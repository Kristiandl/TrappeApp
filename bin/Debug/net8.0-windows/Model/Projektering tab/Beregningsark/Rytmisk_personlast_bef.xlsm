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https://crhemea-my.sharepoint.com/personal/kdl_crhconcrete_dk/Documents/Dokumenter/Udvikling/Dalton_Trapper/Dalton_Trapper/TrappeApp/Model/Projektering tab/Beregningsark/"/>
    </mc:Choice>
  </mc:AlternateContent>
  <xr:revisionPtr revIDLastSave="8" documentId="8_{586A8531-4823-4C65-85DF-444296D524E6}" xr6:coauthVersionLast="47" xr6:coauthVersionMax="47" xr10:uidLastSave="{5D4DA10B-40E2-446D-9036-C1DE96F307BB}"/>
  <bookViews>
    <workbookView xWindow="1170" yWindow="1170" windowWidth="26505" windowHeight="21165" activeTab="1" xr2:uid="{E9A05F00-ECAD-4D05-A501-C33D1393DF4B}"/>
  </bookViews>
  <sheets>
    <sheet name="Vilkårlig konstruktion" sheetId="28" r:id="rId1"/>
    <sheet name="Simpel bjælke" sheetId="23" r:id="rId2"/>
    <sheet name="Udkraget bjælke" sheetId="24" r:id="rId3"/>
    <sheet name="Plade" sheetId="25" r:id="rId4"/>
    <sheet name="Logbog" sheetId="26" r:id="rId5"/>
  </sheets>
  <definedNames>
    <definedName name="Konsekvensklasse" localSheetId="0">#REF!</definedName>
    <definedName name="Konsekvensklasse">#REF!</definedName>
    <definedName name="_xlnm.Print_Titles" localSheetId="3">Plade!$1:$6</definedName>
    <definedName name="_xlnm.Print_Titles" localSheetId="1">'Simpel bjælke'!$1:$6</definedName>
    <definedName name="_xlnm.Print_Titles" localSheetId="2">'Udkraget bjælke'!$1:$6</definedName>
    <definedName name="_xlnm.Print_Titles" localSheetId="0">'Vilkårlig konstruktion'!$1:$6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23" l="1"/>
  <c r="H14" i="23"/>
  <c r="H39" i="28"/>
  <c r="H40" i="28" s="1"/>
  <c r="H42" i="28" s="1"/>
  <c r="H57" i="28" s="1"/>
  <c r="H34" i="28"/>
  <c r="H35" i="25"/>
  <c r="H44" i="25" s="1"/>
  <c r="H45" i="25" s="1"/>
  <c r="H47" i="25" s="1"/>
  <c r="H61" i="25" s="1"/>
  <c r="H51" i="25"/>
  <c r="H33" i="24"/>
  <c r="H35" i="24" s="1"/>
  <c r="H37" i="24"/>
  <c r="H49" i="24"/>
  <c r="H33" i="23"/>
  <c r="H42" i="23" s="1"/>
  <c r="H49" i="23"/>
  <c r="H32" i="28"/>
  <c r="H33" i="28"/>
  <c r="H35" i="28"/>
  <c r="H31" i="28"/>
  <c r="H45" i="28" s="1"/>
  <c r="H47" i="28" s="1"/>
  <c r="H36" i="28"/>
  <c r="H36" i="24"/>
  <c r="H36" i="25"/>
  <c r="H50" i="25" s="1"/>
  <c r="H52" i="25" s="1"/>
  <c r="H37" i="25"/>
  <c r="H39" i="25"/>
  <c r="H38" i="25"/>
  <c r="H40" i="25"/>
  <c r="H39" i="24"/>
  <c r="H41" i="25"/>
  <c r="H42" i="24"/>
  <c r="H48" i="28" l="1"/>
  <c r="H54" i="28"/>
  <c r="H55" i="28" s="1"/>
  <c r="H53" i="25"/>
  <c r="H58" i="25"/>
  <c r="H59" i="25" s="1"/>
  <c r="H34" i="24"/>
  <c r="H38" i="24"/>
  <c r="H37" i="23"/>
  <c r="H36" i="23"/>
  <c r="H39" i="23"/>
  <c r="H34" i="23"/>
  <c r="H35" i="23"/>
  <c r="H38" i="23"/>
  <c r="H48" i="24" l="1"/>
  <c r="H50" i="24" s="1"/>
  <c r="H43" i="24"/>
  <c r="H45" i="24" s="1"/>
  <c r="H59" i="24" s="1"/>
  <c r="H43" i="23"/>
  <c r="H45" i="23" s="1"/>
  <c r="H61" i="23" s="1"/>
  <c r="H48" i="23"/>
  <c r="H51" i="23" s="1"/>
  <c r="H56" i="24" l="1"/>
  <c r="H57" i="24" s="1"/>
  <c r="H51" i="24"/>
  <c r="H52" i="23"/>
  <c r="H58" i="23"/>
  <c r="H59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Bernt Suikkanen</author>
    <author>Julie Brønserud</author>
  </authors>
  <commentList>
    <comment ref="H13" authorId="0" shapeId="0" xr:uid="{F9CCAA83-7DCF-4764-AA8E-DC45772B1214}">
      <text>
        <r>
          <rPr>
            <sz val="8"/>
            <color indexed="81"/>
            <rFont val="Tahoma"/>
            <family val="2"/>
          </rPr>
          <t xml:space="preserve">Ved forpændte dækelementer kan anvendes E =5,00E+10 N/m2
</t>
        </r>
      </text>
    </comment>
    <comment ref="H14" authorId="0" shapeId="0" xr:uid="{70925D3D-7D20-4A27-8446-43B58C2F18D7}">
      <text>
        <r>
          <rPr>
            <sz val="8"/>
            <color indexed="81"/>
            <rFont val="Tahoma"/>
            <family val="2"/>
          </rPr>
          <t>Samlet dæmpning = konstruktionsdæmpning + persondæmpning 
Bemærk at dæmpningsforhold i EN 1991-1-1 NA: 2007  C.3.4 (2) er
angivet som logaritmisk dekrement =2*</t>
        </r>
        <r>
          <rPr>
            <sz val="8"/>
            <color indexed="81"/>
            <rFont val="Symbol"/>
            <family val="1"/>
            <charset val="2"/>
          </rPr>
          <t>p</t>
        </r>
        <r>
          <rPr>
            <sz val="8"/>
            <color indexed="81"/>
            <rFont val="Tahoma"/>
            <family val="2"/>
          </rPr>
          <t xml:space="preserve">*dæmpningsforhold 
</t>
        </r>
      </text>
    </comment>
    <comment ref="H19" authorId="0" shapeId="0" xr:uid="{867FD780-A770-4E76-B2B5-134AEDE9A41A}">
      <text>
        <r>
          <rPr>
            <sz val="8"/>
            <color indexed="81"/>
            <rFont val="Tahoma"/>
            <family val="2"/>
          </rPr>
          <t xml:space="preserve">Konstruktionen skal undersøges for
- belastningsfrekvens = egenfrevens/j, hvor j = 1,2 eller 3.   
  Belastningsfrekvensen skal ligge mellem 0,5 og 3 Hz, så tæt på 3 Hz 
  som muligt (resonans er styrende).
- Maksimal bevægelsesfrekvens = 3 Hz (baggrundsfaktoren er 
  styrende)
</t>
        </r>
      </text>
    </comment>
    <comment ref="H21" authorId="0" shapeId="0" xr:uid="{268A50B7-D5B5-4354-9703-58234CD109AA}">
      <text>
        <r>
          <rPr>
            <sz val="8"/>
            <color indexed="81"/>
            <rFont val="Tahoma"/>
            <family val="2"/>
          </rPr>
          <t xml:space="preserve">Amplitudefaktorer iht EN 1991-1-1 NA: 2007, tabel C.1 </t>
        </r>
      </text>
    </comment>
    <comment ref="H24" authorId="0" shapeId="0" xr:uid="{634DCA70-7FE1-4FF8-9736-404FD89EA708}">
      <text>
        <r>
          <rPr>
            <sz val="8"/>
            <color indexed="81"/>
            <rFont val="Tahoma"/>
            <family val="2"/>
          </rPr>
          <t>Korrelationskoefficienter iht EN 1991-1-1 NA:2007, tabel C.1</t>
        </r>
      </text>
    </comment>
    <comment ref="H55" authorId="1" shapeId="0" xr:uid="{091F828E-1B51-4560-894B-0BE0E86A575E}">
      <text>
        <r>
          <rPr>
            <sz val="8"/>
            <color indexed="81"/>
            <rFont val="Tahoma"/>
            <family val="2"/>
          </rPr>
          <t>I EN 1990 DK NA:2007, tabel A1.4, angives følgende grænseværdier:
Tribuner, fitnesscentre, sportshaller og forsamlingslokaler (rytmisk personlast): 10%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10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6 Hz ofte ikke tilfredsstillende.
Boliger (ganglast): 0,1%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 tilfredsstillende.
Kontorlokaler (ganglast): 0,2%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 tilfredsstillende.
Gangareler
I ATC Design Guide 1, Minimizing Floor Vibratuion, 1999 angives en grænseacceleration på 1% 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Bernt Suikkanen</author>
    <author>Julie Brønserud</author>
  </authors>
  <commentList>
    <comment ref="H15" authorId="0" shapeId="0" xr:uid="{2846AD19-2C0A-4B1B-9C82-823758240CEB}">
      <text>
        <r>
          <rPr>
            <sz val="8"/>
            <color indexed="81"/>
            <rFont val="Tahoma"/>
            <family val="2"/>
          </rPr>
          <t xml:space="preserve">Ved forpændte dækelementer kan anvendes E =5,00E+10 N/m2
</t>
        </r>
      </text>
    </comment>
    <comment ref="H16" authorId="0" shapeId="0" xr:uid="{6D40DF3C-8685-4904-8200-10E65818552C}">
      <text>
        <r>
          <rPr>
            <sz val="8"/>
            <color indexed="81"/>
            <rFont val="Tahoma"/>
            <family val="2"/>
          </rPr>
          <t>Samlet dæmpning = konstruktionsdæmpning + persondæmpning 
Bemærk at dæmpningsforhold i EN 1991-1-1 NA: 2007  C.3.4 (2) er
angivet som logaritmisk dekrement =2*</t>
        </r>
        <r>
          <rPr>
            <sz val="8"/>
            <color indexed="81"/>
            <rFont val="Symbol"/>
            <family val="1"/>
            <charset val="2"/>
          </rPr>
          <t>p</t>
        </r>
        <r>
          <rPr>
            <sz val="8"/>
            <color indexed="81"/>
            <rFont val="Tahoma"/>
            <family val="2"/>
          </rPr>
          <t xml:space="preserve">*dæmpningsforhold 
</t>
        </r>
      </text>
    </comment>
    <comment ref="H21" authorId="0" shapeId="0" xr:uid="{BB3F131C-8B34-4C82-B58F-1B386558DE9C}">
      <text>
        <r>
          <rPr>
            <sz val="8"/>
            <color indexed="81"/>
            <rFont val="Tahoma"/>
            <family val="2"/>
          </rPr>
          <t xml:space="preserve">Konstruktionen skal undersøges for
- belastningsfrekvens = egenfrevens/j, hvor j = 1,2 eller 3.   
  Belastningsfrekvensen skal ligge mellem 0,5 og 3 Hz, så tæt på 3 Hz 
  som muligt (resonans er styrende).
- Maksimal bevægelsesfrekvens = 3 Hz (baggrundsfaktoren er 
  styrende)
</t>
        </r>
      </text>
    </comment>
    <comment ref="H23" authorId="0" shapeId="0" xr:uid="{21A17B1F-457B-4CF0-9EB0-05FB88427735}">
      <text>
        <r>
          <rPr>
            <sz val="8"/>
            <color indexed="81"/>
            <rFont val="Tahoma"/>
            <family val="2"/>
          </rPr>
          <t xml:space="preserve">Amplitudefaktorer iht EN 1991-1-1 NA: 2007, tabel C.1 </t>
        </r>
      </text>
    </comment>
    <comment ref="H26" authorId="0" shapeId="0" xr:uid="{0E3A3A5D-CCCD-45E9-BE4F-C7778FBB1E4B}">
      <text>
        <r>
          <rPr>
            <sz val="8"/>
            <color indexed="81"/>
            <rFont val="Tahoma"/>
            <family val="2"/>
          </rPr>
          <t>Korrelationskoefficienter iht EN 1991-1-1 NA:2007, tabel C.1</t>
        </r>
      </text>
    </comment>
    <comment ref="H59" authorId="1" shapeId="0" xr:uid="{1228FB67-A414-4310-A671-CC0F9B3A779C}">
      <text>
        <r>
          <rPr>
            <sz val="8"/>
            <color indexed="81"/>
            <rFont val="Tahoma"/>
            <family val="2"/>
          </rPr>
          <t>I EN 1990 DK NA:2007, tabel A1.4, angives følgende grænseværdier:
Tribuner, fitnesscentre, sportshaller og forsamlingslokaler (rytmisk personlast): 10%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10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6 Hz ofte ikke tilfredsstillende.
Boliger (ganglast): 0,1%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 tilfredsstillende.
Kontorlokaler (ganglast): 0,2%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 tilfredsstillende.
Gangareler
I ATC Design Guide 1, Minimizing Floor Vibratuion, 1999 angives en grænseacceleration på 1% 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Bernt Suikkanen</author>
    <author>Julie Brønserud</author>
  </authors>
  <commentList>
    <comment ref="H15" authorId="0" shapeId="0" xr:uid="{5C9D74E8-CFBD-4CBA-A62F-5AF1F5252D8E}">
      <text>
        <r>
          <rPr>
            <sz val="8"/>
            <color indexed="81"/>
            <rFont val="Tahoma"/>
            <family val="2"/>
          </rPr>
          <t xml:space="preserve">Ved forpændte dækelementer kan anvendes E =5,00E+10 N/m2
</t>
        </r>
      </text>
    </comment>
    <comment ref="H16" authorId="0" shapeId="0" xr:uid="{9850D9BB-4FD5-4938-9945-95070EFEB92A}">
      <text>
        <r>
          <rPr>
            <sz val="8"/>
            <color indexed="81"/>
            <rFont val="Tahoma"/>
            <family val="2"/>
          </rPr>
          <t>Samlet dæmpning = konstruktionsdæmpning + persondæmpning. 
Bemærk at dæmpningsforhold i EN 1991-1-1 NA: 2007  C.3.4 (2) er
angivet som logaritmisk dekrement =2*</t>
        </r>
        <r>
          <rPr>
            <sz val="8"/>
            <color indexed="81"/>
            <rFont val="Symbol"/>
            <family val="1"/>
            <charset val="2"/>
          </rPr>
          <t>p</t>
        </r>
        <r>
          <rPr>
            <sz val="8"/>
            <color indexed="81"/>
            <rFont val="Tahoma"/>
            <family val="2"/>
          </rPr>
          <t xml:space="preserve">*dæmpningsforhold </t>
        </r>
      </text>
    </comment>
    <comment ref="H21" authorId="0" shapeId="0" xr:uid="{76EFE726-B278-4934-AC81-64D8B916784C}">
      <text>
        <r>
          <rPr>
            <sz val="8"/>
            <color indexed="81"/>
            <rFont val="Tahoma"/>
            <family val="2"/>
          </rPr>
          <t xml:space="preserve">Konstruktionen skal undersøges for
- belastningsfrekvens = egenfrevens/j, hvor j = 1,2 eller 3.   
  Belastningsfrekvensen skal ligge mellem 0,5 og 3 Hz, så tæt på 3 Hz 
  som muligt (resonans er styrende).
- Maksimal bevægelsesfrekvens = 3 Hz (baggrundsfaktoren er 
  styrende)
</t>
        </r>
      </text>
    </comment>
    <comment ref="H23" authorId="0" shapeId="0" xr:uid="{3A489ABB-40D1-4B50-96E9-41E336421DE3}">
      <text>
        <r>
          <rPr>
            <sz val="8"/>
            <color indexed="81"/>
            <rFont val="Tahoma"/>
            <family val="2"/>
          </rPr>
          <t>Amplitudefaktorer iht EN 1991-1-1 NA: 2007, tabel C.1</t>
        </r>
      </text>
    </comment>
    <comment ref="H26" authorId="0" shapeId="0" xr:uid="{4788EB24-5A69-482D-BCB6-95925E6486F8}">
      <text>
        <r>
          <rPr>
            <sz val="8"/>
            <color indexed="81"/>
            <rFont val="Tahoma"/>
            <family val="2"/>
          </rPr>
          <t>Korrelationskoefficienter iht EN 1991-1-1 NA: 2007, tabel C.1</t>
        </r>
      </text>
    </comment>
    <comment ref="H57" authorId="1" shapeId="0" xr:uid="{45501C2F-2431-435B-8F48-DE3A9D638F0B}">
      <text>
        <r>
          <rPr>
            <sz val="8"/>
            <color indexed="81"/>
            <rFont val="Tahoma"/>
            <family val="2"/>
          </rPr>
          <t>I EN 1990 DK NA:2007, tabel A1.4 angives følgende grænseværdier:
Tribuner, fitnesscentre, sportshaller og forsamlingslokaler (rytmisk personlast): 10%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10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6 Hz ofte ikke tilfredsstillende.
Boliger (ganglast): 0,1%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ikke-tilfredsstillende.
Kontorlokaler (ganglast): 0,2%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 tilfredsstillende.
Gangareler
I ATC Design Guide 1, Minimizing Floor Vibratuion, 1999 angives en grænseacceleration på 1% 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Bernt Suikkanen</author>
    <author>Julie Brønserud</author>
  </authors>
  <commentList>
    <comment ref="H16" authorId="0" shapeId="0" xr:uid="{28E26C69-D41C-43A7-B016-9A889614A53A}">
      <text>
        <r>
          <rPr>
            <sz val="8"/>
            <color indexed="81"/>
            <rFont val="Tahoma"/>
            <family val="2"/>
          </rPr>
          <t>Ved forpændte dækelementer kan anvendes E =5,00E+10 N/m2</t>
        </r>
      </text>
    </comment>
    <comment ref="H18" authorId="0" shapeId="0" xr:uid="{95CEBAFD-F603-487E-9256-E2CF1F06D5A2}">
      <text>
        <r>
          <rPr>
            <sz val="8"/>
            <color indexed="81"/>
            <rFont val="Tahoma"/>
            <family val="2"/>
          </rPr>
          <t>Samlet dæmpning = konstruktionsdæmpning + persondæmpning. 
Bemærk at dæmpningsforhold i EN 1991-1-1 NA: 2007  C.3.4 (2) er
angivet som logaritmisk dekrement =2*</t>
        </r>
        <r>
          <rPr>
            <sz val="8"/>
            <color indexed="81"/>
            <rFont val="Symbol"/>
            <family val="1"/>
            <charset val="2"/>
          </rPr>
          <t>p</t>
        </r>
        <r>
          <rPr>
            <sz val="8"/>
            <color indexed="81"/>
            <rFont val="Tahoma"/>
            <family val="2"/>
          </rPr>
          <t xml:space="preserve">*dæmpningsforhold </t>
        </r>
      </text>
    </comment>
    <comment ref="H23" authorId="0" shapeId="0" xr:uid="{4B545B5E-080E-49FE-9AA0-547E2D7D66CD}">
      <text>
        <r>
          <rPr>
            <sz val="8"/>
            <color indexed="81"/>
            <rFont val="Tahoma"/>
            <family val="2"/>
          </rPr>
          <t>Konstruktionen skal undersøges for
- belastningsfrekvens = egenfrevens/j, hvor j = 1,2 eller 3.   
  Belastningsfrekvensen skal ligge mellem 0,5 og 3 Hz, så tæt på 3 Hz 
  som muligt (resonans er styrende).
- Maksimal bevægelsesfrekvens = 3 Hz (baggrundsfaktoren er 
  styrende)</t>
        </r>
      </text>
    </comment>
    <comment ref="H25" authorId="0" shapeId="0" xr:uid="{206FD650-C79F-4EB2-9DCB-41AD8FBD967A}">
      <text>
        <r>
          <rPr>
            <sz val="8"/>
            <color indexed="81"/>
            <rFont val="Tahoma"/>
            <family val="2"/>
          </rPr>
          <t>Amplitudefaktorer iht EN 1991-1-1 NA: 2007, tabel C.1</t>
        </r>
      </text>
    </comment>
    <comment ref="H28" authorId="0" shapeId="0" xr:uid="{A007A66D-4735-43EA-A692-36996993CBAE}">
      <text>
        <r>
          <rPr>
            <sz val="8"/>
            <color indexed="81"/>
            <rFont val="Tahoma"/>
            <family val="2"/>
          </rPr>
          <t>Korrelationskoefficienter iht EN 1991-1-1 NA: 2007, tabel C.1</t>
        </r>
      </text>
    </comment>
    <comment ref="H59" authorId="1" shapeId="0" xr:uid="{36DEE8BD-37AF-44FD-82A9-021254BF5243}">
      <text>
        <r>
          <rPr>
            <sz val="8"/>
            <color indexed="81"/>
            <rFont val="Tahoma"/>
            <family val="2"/>
          </rPr>
          <t>I EN 1990 DK NA:2007, tabel A1.4, angives følgende grænseværdier:
Tribuner, fitnesscentre, sportshaller og forsamlingslokaler (rytmisk personlast): 10%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10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6 Hz er ofte ikke-tilfredsstillende.
Boliger (ganglast): 0,1%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ikke-tilfredsstillende.
Kontorlokaler (ganglast): 0,2% g
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&gt; 8 Hz normalt tilfredsstillende. n</t>
        </r>
        <r>
          <rPr>
            <vertAlign val="subscript"/>
            <sz val="8"/>
            <color indexed="81"/>
            <rFont val="Tahoma"/>
            <family val="2"/>
          </rPr>
          <t>e</t>
        </r>
        <r>
          <rPr>
            <sz val="8"/>
            <color indexed="81"/>
            <rFont val="Tahoma"/>
            <family val="2"/>
          </rPr>
          <t xml:space="preserve"> &lt; 5 Hz ofte ikke-tilfredsstillende.
Gangareler
I ATC Design Guide 1, Minimizing Floor Vibratuion, 1999 angives en grænseacceleration på 1% g</t>
        </r>
      </text>
    </comment>
  </commentList>
</comments>
</file>

<file path=xl/sharedStrings.xml><?xml version="1.0" encoding="utf-8"?>
<sst xmlns="http://schemas.openxmlformats.org/spreadsheetml/2006/main" count="286" uniqueCount="87">
  <si>
    <t>m</t>
  </si>
  <si>
    <t>Sag:</t>
  </si>
  <si>
    <t>Sagsnr.:</t>
  </si>
  <si>
    <t>Emne:</t>
  </si>
  <si>
    <t>Dato:</t>
  </si>
  <si>
    <t>Udarb.:</t>
  </si>
  <si>
    <t>Kontrol:</t>
  </si>
  <si>
    <t>Godk.:</t>
  </si>
  <si>
    <t>Side:</t>
  </si>
  <si>
    <t>INDDATA</t>
  </si>
  <si>
    <t>BEREGNING</t>
  </si>
  <si>
    <t>KONKLUSION</t>
  </si>
  <si>
    <t>Test</t>
  </si>
  <si>
    <t>xxx</t>
  </si>
  <si>
    <t>xx</t>
  </si>
  <si>
    <t>Belastning</t>
  </si>
  <si>
    <t>Konstruktion</t>
  </si>
  <si>
    <t xml:space="preserve"> Medsvingende masse </t>
  </si>
  <si>
    <t xml:space="preserve"> Elasticitetsmodul </t>
  </si>
  <si>
    <t xml:space="preserve"> Dæmpningsforhold</t>
  </si>
  <si>
    <t xml:space="preserve"> Antal personer</t>
  </si>
  <si>
    <t>Hz</t>
  </si>
  <si>
    <t>Beregning</t>
  </si>
  <si>
    <t xml:space="preserve"> Egenfrekvens </t>
  </si>
  <si>
    <t>% g</t>
  </si>
  <si>
    <t>kg/m</t>
  </si>
  <si>
    <t xml:space="preserve"> Udkraget bjælke</t>
  </si>
  <si>
    <r>
      <t xml:space="preserve"> Statisk personlast (F</t>
    </r>
    <r>
      <rPr>
        <vertAlign val="subscript"/>
        <sz val="8"/>
        <rFont val="Verdana"/>
        <family val="2"/>
      </rPr>
      <t>p</t>
    </r>
    <r>
      <rPr>
        <sz val="8"/>
        <rFont val="Verdana"/>
        <family val="2"/>
      </rPr>
      <t>)</t>
    </r>
  </si>
  <si>
    <r>
      <t xml:space="preserve"> Statisk nedbøjning (u</t>
    </r>
    <r>
      <rPr>
        <vertAlign val="subscript"/>
        <sz val="8"/>
        <rFont val="Verdana"/>
        <family val="2"/>
      </rPr>
      <t>p</t>
    </r>
    <r>
      <rPr>
        <sz val="8"/>
        <rFont val="Verdana"/>
        <family val="2"/>
      </rPr>
      <t>)</t>
    </r>
  </si>
  <si>
    <r>
      <t>kg/m</t>
    </r>
    <r>
      <rPr>
        <vertAlign val="superscript"/>
        <sz val="8"/>
        <rFont val="Verdana"/>
        <family val="2"/>
      </rPr>
      <t>2</t>
    </r>
  </si>
  <si>
    <r>
      <t>N/m</t>
    </r>
    <r>
      <rPr>
        <vertAlign val="superscript"/>
        <sz val="8"/>
        <rFont val="Verdana"/>
        <family val="2"/>
      </rPr>
      <t>2</t>
    </r>
  </si>
  <si>
    <r>
      <t>m/s</t>
    </r>
    <r>
      <rPr>
        <vertAlign val="superscript"/>
        <sz val="8"/>
        <rFont val="Verdana"/>
        <family val="2"/>
      </rPr>
      <t>2</t>
    </r>
  </si>
  <si>
    <t xml:space="preserve"> Inertimoment </t>
  </si>
  <si>
    <r>
      <t>m</t>
    </r>
    <r>
      <rPr>
        <vertAlign val="superscript"/>
        <sz val="8"/>
        <rFont val="Verdana"/>
        <family val="2"/>
      </rPr>
      <t>4</t>
    </r>
  </si>
  <si>
    <t xml:space="preserve"> Max. statisk ækvivalent nyttelast</t>
  </si>
  <si>
    <t>kN/m</t>
  </si>
  <si>
    <t xml:space="preserve"> Udkraget længde</t>
  </si>
  <si>
    <t xml:space="preserve"> Poissons forhold</t>
  </si>
  <si>
    <t xml:space="preserve"> Rektangulær plade, simpelt understøttet på alle fire sider</t>
  </si>
  <si>
    <t xml:space="preserve"> Spændvidde</t>
  </si>
  <si>
    <t xml:space="preserve"> Bredde</t>
  </si>
  <si>
    <t xml:space="preserve"> Simpelt understøttet bjælke</t>
  </si>
  <si>
    <t>Beregning af statisk ækvivalent nyttelast og acceleration ved dynamisk virkende personlast</t>
  </si>
  <si>
    <r>
      <t xml:space="preserve"> Amplitudefaktor, 1. harmoniske (</t>
    </r>
    <r>
      <rPr>
        <sz val="8"/>
        <rFont val="Symbol"/>
        <family val="1"/>
        <charset val="2"/>
      </rPr>
      <t>a</t>
    </r>
    <r>
      <rPr>
        <vertAlign val="subscript"/>
        <sz val="8"/>
        <rFont val="Verdana"/>
        <family val="2"/>
      </rPr>
      <t>1</t>
    </r>
    <r>
      <rPr>
        <sz val="8"/>
        <rFont val="Verdana"/>
        <family val="2"/>
      </rPr>
      <t>)</t>
    </r>
  </si>
  <si>
    <r>
      <t xml:space="preserve"> Amplitudefaktor, 2. harmoniske (</t>
    </r>
    <r>
      <rPr>
        <sz val="8"/>
        <rFont val="Symbol"/>
        <family val="1"/>
        <charset val="2"/>
      </rPr>
      <t>a</t>
    </r>
    <r>
      <rPr>
        <vertAlign val="subscript"/>
        <sz val="8"/>
        <rFont val="Verdana"/>
        <family val="2"/>
      </rPr>
      <t>2</t>
    </r>
    <r>
      <rPr>
        <sz val="8"/>
        <rFont val="Verdana"/>
        <family val="2"/>
      </rPr>
      <t>)</t>
    </r>
  </si>
  <si>
    <r>
      <t xml:space="preserve"> Amplitudefaktor, 3. harmoniske (</t>
    </r>
    <r>
      <rPr>
        <sz val="8"/>
        <rFont val="Symbol"/>
        <family val="1"/>
        <charset val="2"/>
      </rPr>
      <t>a</t>
    </r>
    <r>
      <rPr>
        <vertAlign val="subscript"/>
        <sz val="8"/>
        <rFont val="Verdana"/>
        <family val="2"/>
      </rPr>
      <t>3</t>
    </r>
    <r>
      <rPr>
        <sz val="8"/>
        <rFont val="Verdana"/>
        <family val="2"/>
      </rPr>
      <t>)</t>
    </r>
  </si>
  <si>
    <r>
      <t xml:space="preserve"> Korrelationskoeff., 1. harmoniske (</t>
    </r>
    <r>
      <rPr>
        <sz val="8"/>
        <rFont val="Symbol"/>
        <family val="1"/>
        <charset val="2"/>
      </rPr>
      <t>r</t>
    </r>
    <r>
      <rPr>
        <vertAlign val="subscript"/>
        <sz val="8"/>
        <rFont val="Verdana"/>
        <family val="2"/>
      </rPr>
      <t>1</t>
    </r>
    <r>
      <rPr>
        <sz val="8"/>
        <rFont val="Verdana"/>
        <family val="2"/>
      </rPr>
      <t>)</t>
    </r>
  </si>
  <si>
    <r>
      <t xml:space="preserve"> Korrelationskoeff., 2. harmoniske (</t>
    </r>
    <r>
      <rPr>
        <sz val="8"/>
        <rFont val="Symbol"/>
        <family val="1"/>
        <charset val="2"/>
      </rPr>
      <t>r</t>
    </r>
    <r>
      <rPr>
        <vertAlign val="subscript"/>
        <sz val="8"/>
        <rFont val="Verdana"/>
        <family val="2"/>
      </rPr>
      <t>2</t>
    </r>
    <r>
      <rPr>
        <sz val="8"/>
        <rFont val="Verdana"/>
        <family val="2"/>
      </rPr>
      <t>)</t>
    </r>
  </si>
  <si>
    <r>
      <t xml:space="preserve"> Korrelationskoeff., 3. harmoniske (</t>
    </r>
    <r>
      <rPr>
        <sz val="8"/>
        <rFont val="Symbol"/>
        <family val="1"/>
        <charset val="2"/>
      </rPr>
      <t>r</t>
    </r>
    <r>
      <rPr>
        <vertAlign val="subscript"/>
        <sz val="8"/>
        <rFont val="Verdana"/>
        <family val="2"/>
      </rPr>
      <t>3</t>
    </r>
    <r>
      <rPr>
        <sz val="8"/>
        <rFont val="Verdana"/>
        <family val="2"/>
      </rPr>
      <t>)</t>
    </r>
  </si>
  <si>
    <r>
      <t xml:space="preserve"> Frekvensresponsfaktor, 1. harmoniske (H</t>
    </r>
    <r>
      <rPr>
        <vertAlign val="subscript"/>
        <sz val="8"/>
        <rFont val="Verdana"/>
        <family val="2"/>
      </rPr>
      <t>1</t>
    </r>
    <r>
      <rPr>
        <sz val="8"/>
        <rFont val="Verdana"/>
        <family val="2"/>
      </rPr>
      <t>)</t>
    </r>
  </si>
  <si>
    <r>
      <t xml:space="preserve"> Frekvensresponsfaktor, 2. harmoniske (H</t>
    </r>
    <r>
      <rPr>
        <vertAlign val="subscript"/>
        <sz val="8"/>
        <rFont val="Verdana"/>
        <family val="2"/>
      </rPr>
      <t>2</t>
    </r>
    <r>
      <rPr>
        <sz val="8"/>
        <rFont val="Verdana"/>
        <family val="2"/>
      </rPr>
      <t>)</t>
    </r>
  </si>
  <si>
    <r>
      <t xml:space="preserve"> Frekvensresponsfaktor, 3. harmoniske (H</t>
    </r>
    <r>
      <rPr>
        <vertAlign val="subscript"/>
        <sz val="8"/>
        <rFont val="Verdana"/>
        <family val="2"/>
      </rPr>
      <t>3</t>
    </r>
    <r>
      <rPr>
        <sz val="8"/>
        <rFont val="Verdana"/>
        <family val="2"/>
      </rPr>
      <t>)</t>
    </r>
  </si>
  <si>
    <r>
      <t xml:space="preserve"> Størrelsesreduktionsfaktor, 1. harmoniske (K</t>
    </r>
    <r>
      <rPr>
        <vertAlign val="subscript"/>
        <sz val="8"/>
        <rFont val="Verdana"/>
        <family val="2"/>
      </rPr>
      <t>1</t>
    </r>
    <r>
      <rPr>
        <sz val="8"/>
        <rFont val="Verdana"/>
        <family val="2"/>
      </rPr>
      <t>)</t>
    </r>
  </si>
  <si>
    <r>
      <t xml:space="preserve"> Størrelsesreduktionsfaktor, 2. harmoniske (K</t>
    </r>
    <r>
      <rPr>
        <vertAlign val="subscript"/>
        <sz val="8"/>
        <rFont val="Verdana"/>
        <family val="2"/>
      </rPr>
      <t>2</t>
    </r>
    <r>
      <rPr>
        <sz val="8"/>
        <rFont val="Verdana"/>
        <family val="2"/>
      </rPr>
      <t>)</t>
    </r>
  </si>
  <si>
    <r>
      <t xml:space="preserve"> Størrelsesreduktionsfaktor, 3. harmoniske (K</t>
    </r>
    <r>
      <rPr>
        <vertAlign val="subscript"/>
        <sz val="8"/>
        <rFont val="Verdana"/>
        <family val="2"/>
      </rPr>
      <t>3</t>
    </r>
    <r>
      <rPr>
        <sz val="8"/>
        <rFont val="Verdana"/>
        <family val="2"/>
      </rPr>
      <t>)</t>
    </r>
  </si>
  <si>
    <r>
      <t xml:space="preserve"> Spredningen på accelerationen (</t>
    </r>
    <r>
      <rPr>
        <b/>
        <sz val="8"/>
        <rFont val="Symbol"/>
        <family val="1"/>
        <charset val="2"/>
      </rPr>
      <t>s</t>
    </r>
    <r>
      <rPr>
        <b/>
        <vertAlign val="subscript"/>
        <sz val="8"/>
        <rFont val="Arial"/>
        <family val="2"/>
      </rPr>
      <t>a</t>
    </r>
    <r>
      <rPr>
        <b/>
        <sz val="8"/>
        <rFont val="Arial"/>
        <family val="2"/>
      </rPr>
      <t>)</t>
    </r>
  </si>
  <si>
    <t>Vibrationsniveau</t>
  </si>
  <si>
    <r>
      <t>m/s</t>
    </r>
    <r>
      <rPr>
        <b/>
        <vertAlign val="superscript"/>
        <sz val="8"/>
        <rFont val="Verdana"/>
        <family val="2"/>
      </rPr>
      <t>2</t>
    </r>
  </si>
  <si>
    <t>Rytmisk personlast</t>
  </si>
  <si>
    <t>Vibrationskomfort</t>
  </si>
  <si>
    <r>
      <t>m</t>
    </r>
    <r>
      <rPr>
        <vertAlign val="superscript"/>
        <sz val="8"/>
        <rFont val="Verdana"/>
        <family val="2"/>
      </rPr>
      <t>4</t>
    </r>
    <r>
      <rPr>
        <sz val="8"/>
        <rFont val="Verdana"/>
        <family val="2"/>
      </rPr>
      <t>/m</t>
    </r>
  </si>
  <si>
    <t>Ækvivalent statisk nyttelast</t>
  </si>
  <si>
    <r>
      <t>kN/m</t>
    </r>
    <r>
      <rPr>
        <vertAlign val="superscript"/>
        <sz val="8"/>
        <rFont val="Verdana"/>
        <family val="2"/>
      </rPr>
      <t>2</t>
    </r>
  </si>
  <si>
    <t>Ækvivalent statisk last</t>
  </si>
  <si>
    <t>Acceleration</t>
  </si>
  <si>
    <r>
      <t xml:space="preserve"> Accelerationsresponsfaktor (k</t>
    </r>
    <r>
      <rPr>
        <vertAlign val="subscript"/>
        <sz val="8"/>
        <rFont val="Verdana"/>
        <family val="2"/>
      </rPr>
      <t>a</t>
    </r>
    <r>
      <rPr>
        <sz val="8"/>
        <rFont val="Verdana"/>
        <family val="2"/>
      </rPr>
      <t>)</t>
    </r>
  </si>
  <si>
    <t xml:space="preserve"> Responsfordelingsfaktor (a)</t>
  </si>
  <si>
    <r>
      <t xml:space="preserve"> Lastresponsfaktor (k</t>
    </r>
    <r>
      <rPr>
        <vertAlign val="subscript"/>
        <sz val="8"/>
        <rFont val="Verdana"/>
        <family val="2"/>
      </rPr>
      <t>F</t>
    </r>
    <r>
      <rPr>
        <sz val="8"/>
        <rFont val="Verdana"/>
        <family val="2"/>
      </rPr>
      <t>)</t>
    </r>
  </si>
  <si>
    <r>
      <t xml:space="preserve"> Bevægelsesfrekvens (n</t>
    </r>
    <r>
      <rPr>
        <vertAlign val="subscript"/>
        <sz val="8"/>
        <rFont val="Verdana"/>
        <family val="2"/>
      </rPr>
      <t>p</t>
    </r>
    <r>
      <rPr>
        <sz val="8"/>
        <rFont val="Verdana"/>
        <family val="2"/>
      </rPr>
      <t xml:space="preserve">) </t>
    </r>
  </si>
  <si>
    <t>Eksempel</t>
  </si>
  <si>
    <t>Version</t>
  </si>
  <si>
    <t>Dato</t>
  </si>
  <si>
    <t>Rettelser</t>
  </si>
  <si>
    <r>
      <t>Formler for k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og k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rettet i overensstemmelse med 
EN 1991-1-1 DK NA:2007, C.4(3) og C.5(2).
Kommentarer vedr. dæmpningsforhold tilføjet og kommentar vedr. 
vejledning i valg af bevægelsesfrekvens ændret.</t>
    </r>
  </si>
  <si>
    <r>
      <rPr>
        <b/>
        <sz val="10"/>
        <rFont val="Arial"/>
        <family val="2"/>
      </rPr>
      <t>Alle sheets:</t>
    </r>
    <r>
      <rPr>
        <sz val="10"/>
        <rFont val="Arial"/>
        <family val="2"/>
      </rPr>
      <t xml:space="preserve"> I beregning af størrelsesreduktionsfaktorer er formel ændret,
således at der i lastkomponent i resonans med konstruktionen regnes med 
effektivt antal personer = 0,81*antal personer. For de øvrige lastkomponenter regnes med 0,75*antal presoner, jf. EN 1991-1-1 DK NA: 2007, Anneks C.2(4)
I version 2 var det effektive antal personer = 0,75*antallet af persioner
</t>
    </r>
    <r>
      <rPr>
        <b/>
        <sz val="10"/>
        <rFont val="Arial"/>
        <family val="2"/>
      </rPr>
      <t>Sheet "Simpel bjælke":</t>
    </r>
    <r>
      <rPr>
        <sz val="10"/>
        <rFont val="Arial"/>
        <family val="2"/>
      </rPr>
      <t xml:space="preserve"> Effektivt antal personer i H37 (K1) er ændret iht ovenstående. I tidligere versioner var det effektive antal personer = antal personer</t>
    </r>
  </si>
  <si>
    <t xml:space="preserve"> Statisk nedbøjning for jævnt fordelt last</t>
  </si>
  <si>
    <t xml:space="preserve"> Egenfrekvens</t>
  </si>
  <si>
    <t>Sheet "Vilkårlig konstruktion" tilføjet
I sheet "Udkraget bjælke" er formel H45 rettet</t>
  </si>
  <si>
    <t xml:space="preserve"> Beskrivelse af konstruktion</t>
  </si>
  <si>
    <r>
      <t>kN/m (kN/m</t>
    </r>
    <r>
      <rPr>
        <vertAlign val="superscript"/>
        <sz val="8"/>
        <rFont val="Verdana"/>
        <family val="2"/>
      </rPr>
      <t>2</t>
    </r>
    <r>
      <rPr>
        <sz val="8"/>
        <rFont val="Verdana"/>
        <family val="2"/>
      </rPr>
      <t>)</t>
    </r>
  </si>
  <si>
    <r>
      <t xml:space="preserve"> Spredningen på accelerationen (s</t>
    </r>
    <r>
      <rPr>
        <b/>
        <vertAlign val="subscript"/>
        <sz val="8"/>
        <rFont val="Verdana"/>
        <family val="2"/>
      </rPr>
      <t>a</t>
    </r>
    <r>
      <rPr>
        <b/>
        <sz val="8"/>
        <rFont val="Verdana"/>
        <family val="2"/>
      </rPr>
      <t>)</t>
    </r>
  </si>
  <si>
    <r>
      <t>kN/m</t>
    </r>
    <r>
      <rPr>
        <b/>
        <vertAlign val="superscript"/>
        <sz val="8"/>
        <rFont val="Verdana"/>
        <family val="2"/>
      </rPr>
      <t>2</t>
    </r>
  </si>
  <si>
    <t xml:space="preserve"> Ækvivalent statisk nyttelast</t>
  </si>
  <si>
    <t xml:space="preserve">Formel for responsfordelingsfaktor (a) rettet </t>
  </si>
  <si>
    <t>Norm: EN 1990 DK NA: 2007 og EN 1991-1-1 DK NA: 2007.               Ver. 5</t>
  </si>
  <si>
    <t xml:space="preserve">Norm: EN 1190 DK NA: 2007 og EN 1991-1-1 DK NA: 2007.               Ver. 5  </t>
  </si>
  <si>
    <t>Betonelement-Foreningen
December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</si>
</sst>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yy\-mm\-dd&quot; &quot;"/>
  </numFmts>
  <fonts count="30" x14ac:knownFonts="1"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i/>
      <sz val="7"/>
      <name val="Verdana"/>
      <family val="2"/>
    </font>
    <font>
      <i/>
      <sz val="8"/>
      <name val="Verdana"/>
      <family val="2"/>
    </font>
    <font>
      <i/>
      <sz val="6.5"/>
      <name val="Verdana"/>
      <family val="2"/>
    </font>
    <font>
      <b/>
      <sz val="8"/>
      <name val="Verdana"/>
      <family val="2"/>
    </font>
    <font>
      <b/>
      <sz val="8"/>
      <color indexed="9"/>
      <name val="Verdana"/>
      <family val="2"/>
    </font>
    <font>
      <sz val="10"/>
      <name val="Verdana"/>
      <family val="2"/>
    </font>
    <font>
      <vertAlign val="subscript"/>
      <sz val="8"/>
      <name val="Verdana"/>
      <family val="2"/>
    </font>
    <font>
      <vertAlign val="superscript"/>
      <sz val="8"/>
      <name val="Verdana"/>
      <family val="2"/>
    </font>
    <font>
      <b/>
      <sz val="9"/>
      <name val="Verdana"/>
      <family val="2"/>
    </font>
    <font>
      <sz val="10"/>
      <color indexed="17"/>
      <name val="Arial"/>
      <family val="2"/>
    </font>
    <font>
      <sz val="8"/>
      <color indexed="81"/>
      <name val="Tahoma"/>
      <family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8"/>
      <name val="Symbol"/>
      <family val="1"/>
      <charset val="2"/>
    </font>
    <font>
      <b/>
      <vertAlign val="subscript"/>
      <sz val="8"/>
      <name val="Arial"/>
      <family val="2"/>
    </font>
    <font>
      <b/>
      <vertAlign val="superscript"/>
      <sz val="8"/>
      <name val="Verdana"/>
      <family val="2"/>
    </font>
    <font>
      <b/>
      <sz val="10"/>
      <name val="Arial"/>
      <family val="2"/>
    </font>
    <font>
      <vertAlign val="subscript"/>
      <sz val="8"/>
      <color indexed="81"/>
      <name val="Tahoma"/>
      <family val="2"/>
    </font>
    <font>
      <sz val="8"/>
      <color indexed="81"/>
      <name val="Symbol"/>
      <family val="1"/>
      <charset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name val="RomanT"/>
    </font>
    <font>
      <b/>
      <vertAlign val="subscript"/>
      <sz val="8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165" fontId="16" fillId="0" borderId="1" applyFont="0" applyFill="0" applyBorder="0" applyAlignment="0" applyProtection="0">
      <alignment vertical="center"/>
    </xf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>
      <protection locked="0"/>
    </xf>
    <xf numFmtId="0" fontId="10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5" fillId="0" borderId="4" xfId="0" applyFont="1" applyBorder="1" applyAlignment="1" applyProtection="1">
      <alignment horizontal="left" vertical="center" indent="1"/>
      <protection locked="0"/>
    </xf>
    <xf numFmtId="0" fontId="3" fillId="0" borderId="0" xfId="0" applyFont="1"/>
    <xf numFmtId="0" fontId="11" fillId="2" borderId="2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5" xfId="0" applyFont="1" applyFill="1" applyBorder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12" fillId="0" borderId="0" xfId="0" applyFont="1"/>
    <xf numFmtId="0" fontId="12" fillId="0" borderId="2" xfId="0" applyFont="1" applyBorder="1"/>
    <xf numFmtId="0" fontId="5" fillId="0" borderId="11" xfId="0" applyFont="1" applyBorder="1" applyAlignment="1" applyProtection="1">
      <alignment horizontal="left" vertical="center"/>
      <protection locked="0"/>
    </xf>
    <xf numFmtId="0" fontId="5" fillId="0" borderId="2" xfId="0" applyFont="1" applyBorder="1"/>
    <xf numFmtId="0" fontId="5" fillId="0" borderId="0" xfId="0" applyFont="1"/>
    <xf numFmtId="0" fontId="10" fillId="0" borderId="2" xfId="0" applyFont="1" applyBorder="1"/>
    <xf numFmtId="0" fontId="10" fillId="0" borderId="0" xfId="0" applyFont="1"/>
    <xf numFmtId="2" fontId="5" fillId="0" borderId="0" xfId="0" applyNumberFormat="1" applyFont="1" applyProtection="1">
      <protection locked="0"/>
    </xf>
    <xf numFmtId="0" fontId="4" fillId="0" borderId="5" xfId="0" applyFont="1" applyBorder="1"/>
    <xf numFmtId="2" fontId="5" fillId="0" borderId="0" xfId="0" applyNumberFormat="1" applyFont="1"/>
    <xf numFmtId="0" fontId="5" fillId="0" borderId="12" xfId="0" applyFont="1" applyBorder="1"/>
    <xf numFmtId="0" fontId="5" fillId="0" borderId="9" xfId="0" applyFont="1" applyBorder="1"/>
    <xf numFmtId="0" fontId="15" fillId="0" borderId="2" xfId="0" applyFont="1" applyBorder="1" applyAlignment="1">
      <alignment vertical="center"/>
    </xf>
    <xf numFmtId="0" fontId="15" fillId="0" borderId="2" xfId="0" applyFont="1" applyBorder="1"/>
    <xf numFmtId="0" fontId="5" fillId="0" borderId="0" xfId="0" applyFont="1" applyAlignment="1">
      <alignment horizontal="left" indent="1"/>
    </xf>
    <xf numFmtId="164" fontId="5" fillId="0" borderId="0" xfId="0" applyNumberFormat="1" applyFont="1" applyProtection="1">
      <protection locked="0"/>
    </xf>
    <xf numFmtId="11" fontId="5" fillId="0" borderId="0" xfId="0" applyNumberFormat="1" applyFont="1"/>
    <xf numFmtId="0" fontId="5" fillId="2" borderId="0" xfId="0" applyFont="1" applyFill="1"/>
    <xf numFmtId="0" fontId="11" fillId="2" borderId="2" xfId="0" applyFont="1" applyFill="1" applyBorder="1"/>
    <xf numFmtId="0" fontId="5" fillId="2" borderId="5" xfId="0" applyFont="1" applyFill="1" applyBorder="1"/>
    <xf numFmtId="0" fontId="5" fillId="3" borderId="0" xfId="0" applyFont="1" applyFill="1" applyProtection="1">
      <protection locked="0"/>
    </xf>
    <xf numFmtId="11" fontId="5" fillId="3" borderId="0" xfId="0" applyNumberFormat="1" applyFont="1" applyFill="1" applyProtection="1">
      <protection locked="0"/>
    </xf>
    <xf numFmtId="0" fontId="5" fillId="0" borderId="0" xfId="0" applyFont="1" applyAlignment="1" applyProtection="1">
      <alignment horizontal="right"/>
      <protection locked="0"/>
    </xf>
    <xf numFmtId="2" fontId="5" fillId="3" borderId="0" xfId="0" applyNumberFormat="1" applyFont="1" applyFill="1" applyProtection="1">
      <protection locked="0"/>
    </xf>
    <xf numFmtId="0" fontId="12" fillId="0" borderId="9" xfId="0" applyFont="1" applyBorder="1"/>
    <xf numFmtId="2" fontId="5" fillId="0" borderId="9" xfId="0" applyNumberFormat="1" applyFont="1" applyBorder="1" applyProtection="1">
      <protection locked="0"/>
    </xf>
    <xf numFmtId="0" fontId="19" fillId="0" borderId="2" xfId="0" applyFont="1" applyBorder="1"/>
    <xf numFmtId="0" fontId="0" fillId="0" borderId="2" xfId="0" applyBorder="1"/>
    <xf numFmtId="0" fontId="0" fillId="0" borderId="12" xfId="0" applyBorder="1"/>
    <xf numFmtId="2" fontId="10" fillId="0" borderId="0" xfId="0" applyNumberFormat="1" applyFont="1"/>
    <xf numFmtId="0" fontId="23" fillId="0" borderId="2" xfId="0" applyFont="1" applyBorder="1"/>
    <xf numFmtId="0" fontId="10" fillId="0" borderId="12" xfId="0" applyFont="1" applyBorder="1"/>
    <xf numFmtId="0" fontId="10" fillId="0" borderId="9" xfId="0" applyFont="1" applyBorder="1"/>
    <xf numFmtId="0" fontId="5" fillId="0" borderId="9" xfId="0" applyFont="1" applyBorder="1" applyAlignment="1">
      <alignment horizontal="left" indent="1"/>
    </xf>
    <xf numFmtId="0" fontId="4" fillId="0" borderId="0" xfId="0" applyFont="1"/>
    <xf numFmtId="2" fontId="5" fillId="0" borderId="9" xfId="0" applyNumberFormat="1" applyFont="1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7" fillId="0" borderId="0" xfId="0" applyFont="1" applyAlignment="1">
      <alignment wrapText="1"/>
    </xf>
    <xf numFmtId="0" fontId="5" fillId="4" borderId="2" xfId="0" applyFont="1" applyFill="1" applyBorder="1" applyProtection="1">
      <protection locked="0"/>
    </xf>
    <xf numFmtId="0" fontId="5" fillId="4" borderId="0" xfId="0" applyFont="1" applyFill="1" applyProtection="1">
      <protection locked="0"/>
    </xf>
    <xf numFmtId="0" fontId="5" fillId="4" borderId="0" xfId="0" applyFont="1" applyFill="1" applyAlignment="1" applyProtection="1">
      <alignment horizontal="right"/>
      <protection locked="0"/>
    </xf>
    <xf numFmtId="11" fontId="5" fillId="4" borderId="0" xfId="0" applyNumberFormat="1" applyFont="1" applyFill="1" applyProtection="1">
      <protection locked="0"/>
    </xf>
    <xf numFmtId="0" fontId="28" fillId="0" borderId="12" xfId="0" applyFont="1" applyBorder="1"/>
    <xf numFmtId="0" fontId="28" fillId="0" borderId="9" xfId="0" applyFont="1" applyBorder="1"/>
    <xf numFmtId="0" fontId="5" fillId="0" borderId="9" xfId="0" applyFont="1" applyBorder="1" applyAlignment="1" applyProtection="1">
      <alignment horizontal="left" vertical="center" indent="1"/>
      <protection locked="0"/>
    </xf>
    <xf numFmtId="14" fontId="5" fillId="0" borderId="9" xfId="0" applyNumberFormat="1" applyFont="1" applyBorder="1" applyAlignment="1" applyProtection="1">
      <alignment horizontal="left" vertical="center" indent="1"/>
      <protection locked="0"/>
    </xf>
    <xf numFmtId="14" fontId="5" fillId="0" borderId="10" xfId="0" applyNumberFormat="1" applyFont="1" applyBorder="1" applyAlignment="1" applyProtection="1">
      <alignment horizontal="left" vertical="center" indent="1"/>
      <protection locked="0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top"/>
    </xf>
    <xf numFmtId="0" fontId="9" fillId="0" borderId="10" xfId="0" applyFont="1" applyBorder="1" applyAlignment="1">
      <alignment horizontal="center" vertical="top"/>
    </xf>
    <xf numFmtId="0" fontId="5" fillId="0" borderId="7" xfId="0" applyFont="1" applyBorder="1" applyAlignment="1" applyProtection="1">
      <alignment horizontal="left" vertical="center" indent="1"/>
      <protection locked="0"/>
    </xf>
    <xf numFmtId="0" fontId="5" fillId="0" borderId="8" xfId="0" applyFont="1" applyBorder="1" applyAlignment="1" applyProtection="1">
      <alignment horizontal="left" vertical="center" indent="1"/>
      <protection locked="0"/>
    </xf>
  </cellXfs>
  <cellStyles count="2">
    <cellStyle name="Dato (åå-mm-dd)" xfId="1" xr:uid="{7A5E1A33-0B80-4E98-A215-E5102FD20A13}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EF554-62F1-414B-A5F6-39718FC9B976}">
  <dimension ref="B1:T60"/>
  <sheetViews>
    <sheetView zoomScaleNormal="100" workbookViewId="0">
      <selection activeCell="C4" sqref="C4:G4"/>
    </sheetView>
  </sheetViews>
  <sheetFormatPr defaultRowHeight="12.75" x14ac:dyDescent="0.2"/>
  <cols>
    <col min="1" max="1" width="2.140625" customWidth="1"/>
    <col min="3" max="3" width="5.7109375" bestFit="1" customWidth="1"/>
    <col min="7" max="7" width="8.85546875" customWidth="1"/>
    <col min="8" max="8" width="12" bestFit="1" customWidth="1"/>
    <col min="11" max="11" width="1.7109375" customWidth="1"/>
  </cols>
  <sheetData>
    <row r="1" spans="2:20" ht="15" customHeight="1" x14ac:dyDescent="0.2">
      <c r="B1" s="68" t="s">
        <v>58</v>
      </c>
      <c r="C1" s="69"/>
      <c r="D1" s="69"/>
      <c r="E1" s="69"/>
      <c r="F1" s="69"/>
      <c r="G1" s="69"/>
      <c r="H1" s="69"/>
      <c r="I1" s="69"/>
      <c r="J1" s="70"/>
      <c r="L1" s="2"/>
      <c r="M1" s="1"/>
    </row>
    <row r="2" spans="2:20" ht="30" customHeight="1" x14ac:dyDescent="0.2">
      <c r="B2" s="71" t="s">
        <v>42</v>
      </c>
      <c r="C2" s="72"/>
      <c r="D2" s="72"/>
      <c r="E2" s="72"/>
      <c r="F2" s="72"/>
      <c r="G2" s="72"/>
      <c r="H2" s="72"/>
      <c r="I2" s="73" t="s">
        <v>86</v>
      </c>
      <c r="J2" s="74"/>
      <c r="M2" s="3"/>
      <c r="N2" s="3"/>
      <c r="O2" s="3"/>
      <c r="P2" s="3"/>
      <c r="Q2" s="3"/>
      <c r="R2" s="3"/>
      <c r="S2" s="3"/>
      <c r="T2" s="3"/>
    </row>
    <row r="3" spans="2:20" ht="15" customHeight="1" x14ac:dyDescent="0.2">
      <c r="B3" s="75" t="s">
        <v>84</v>
      </c>
      <c r="C3" s="76"/>
      <c r="D3" s="76"/>
      <c r="E3" s="76"/>
      <c r="F3" s="76"/>
      <c r="G3" s="76"/>
      <c r="H3" s="76"/>
      <c r="I3" s="77"/>
      <c r="J3" s="78"/>
      <c r="M3" s="3"/>
      <c r="N3" s="3"/>
      <c r="O3" s="3"/>
      <c r="P3" s="3"/>
      <c r="Q3" s="3"/>
      <c r="R3" s="3"/>
      <c r="S3" s="3"/>
      <c r="T3" s="3"/>
    </row>
    <row r="4" spans="2:20" ht="16.5" customHeight="1" x14ac:dyDescent="0.2">
      <c r="B4" s="4" t="s">
        <v>1</v>
      </c>
      <c r="C4" s="79" t="s">
        <v>69</v>
      </c>
      <c r="D4" s="79"/>
      <c r="E4" s="79"/>
      <c r="F4" s="79"/>
      <c r="G4" s="79"/>
      <c r="H4" s="5" t="s">
        <v>2</v>
      </c>
      <c r="I4" s="79" t="s">
        <v>13</v>
      </c>
      <c r="J4" s="80"/>
      <c r="M4" s="3"/>
      <c r="N4" s="3"/>
      <c r="O4" s="3"/>
      <c r="P4" s="3"/>
      <c r="Q4" s="3"/>
      <c r="R4" s="3"/>
      <c r="S4" s="3"/>
      <c r="T4" s="3"/>
    </row>
    <row r="5" spans="2:20" x14ac:dyDescent="0.2">
      <c r="B5" s="4" t="s">
        <v>3</v>
      </c>
      <c r="C5" s="65" t="s">
        <v>12</v>
      </c>
      <c r="D5" s="65"/>
      <c r="E5" s="65"/>
      <c r="F5" s="65"/>
      <c r="G5" s="65"/>
      <c r="H5" s="5" t="s">
        <v>4</v>
      </c>
      <c r="I5" s="66" t="s">
        <v>13</v>
      </c>
      <c r="J5" s="67"/>
    </row>
    <row r="6" spans="2:20" ht="16.5" customHeight="1" x14ac:dyDescent="0.2">
      <c r="B6" s="6" t="s">
        <v>5</v>
      </c>
      <c r="C6" s="8" t="s">
        <v>13</v>
      </c>
      <c r="D6" s="7" t="s">
        <v>6</v>
      </c>
      <c r="E6" s="8" t="s">
        <v>13</v>
      </c>
      <c r="F6" s="7" t="s">
        <v>7</v>
      </c>
      <c r="G6" s="8" t="s">
        <v>13</v>
      </c>
      <c r="H6" s="7" t="s">
        <v>8</v>
      </c>
      <c r="I6" s="8"/>
      <c r="J6" s="21" t="s">
        <v>14</v>
      </c>
      <c r="L6" s="9"/>
      <c r="N6" s="9"/>
      <c r="P6" s="9"/>
    </row>
    <row r="7" spans="2:20" ht="4.5" customHeight="1" x14ac:dyDescent="0.2">
      <c r="B7" s="13"/>
      <c r="C7" s="14"/>
      <c r="D7" s="14"/>
      <c r="E7" s="14"/>
      <c r="F7" s="14"/>
      <c r="G7" s="14"/>
      <c r="H7" s="14"/>
      <c r="I7" s="14"/>
      <c r="J7" s="15"/>
    </row>
    <row r="8" spans="2:20" ht="16.5" customHeight="1" x14ac:dyDescent="0.2">
      <c r="B8" s="10" t="s">
        <v>9</v>
      </c>
      <c r="C8" s="11"/>
      <c r="D8" s="11"/>
      <c r="E8" s="11"/>
      <c r="F8" s="11"/>
      <c r="G8" s="11"/>
      <c r="H8" s="11"/>
      <c r="I8" s="11"/>
      <c r="J8" s="12"/>
    </row>
    <row r="9" spans="2:20" ht="16.5" customHeight="1" x14ac:dyDescent="0.2">
      <c r="B9" s="31" t="s">
        <v>16</v>
      </c>
      <c r="C9" s="19"/>
      <c r="D9" s="19"/>
      <c r="E9" s="19"/>
      <c r="F9" s="19"/>
      <c r="G9" s="19"/>
      <c r="H9" s="19"/>
      <c r="J9" s="16"/>
    </row>
    <row r="10" spans="2:20" ht="4.5" customHeight="1" x14ac:dyDescent="0.2">
      <c r="B10" s="20"/>
      <c r="C10" s="19"/>
      <c r="D10" s="19"/>
      <c r="E10" s="19"/>
      <c r="F10" s="19"/>
      <c r="G10" s="19"/>
      <c r="H10" s="19"/>
      <c r="J10" s="16"/>
    </row>
    <row r="11" spans="2:20" ht="16.5" customHeight="1" x14ac:dyDescent="0.2">
      <c r="B11" s="59" t="s">
        <v>78</v>
      </c>
      <c r="C11" s="60"/>
      <c r="D11" s="60"/>
      <c r="E11" s="60"/>
      <c r="F11" s="60"/>
      <c r="G11" s="60"/>
      <c r="H11" s="61"/>
      <c r="I11" s="23"/>
      <c r="J11" s="16"/>
    </row>
    <row r="12" spans="2:20" ht="16.5" customHeight="1" x14ac:dyDescent="0.2">
      <c r="B12" s="22" t="s">
        <v>75</v>
      </c>
      <c r="C12" s="23"/>
      <c r="D12" s="23"/>
      <c r="E12" s="23"/>
      <c r="F12" s="23"/>
      <c r="G12" s="23"/>
      <c r="H12" s="62">
        <v>4.4700000000000002E-4</v>
      </c>
      <c r="I12" s="23" t="s">
        <v>0</v>
      </c>
      <c r="J12" s="16"/>
    </row>
    <row r="13" spans="2:20" ht="16.5" customHeight="1" x14ac:dyDescent="0.2">
      <c r="B13" s="22" t="s">
        <v>76</v>
      </c>
      <c r="C13" s="23"/>
      <c r="D13" s="23"/>
      <c r="E13" s="23"/>
      <c r="F13" s="23"/>
      <c r="G13" s="23"/>
      <c r="H13" s="42">
        <v>8.93</v>
      </c>
      <c r="I13" s="23" t="s">
        <v>21</v>
      </c>
      <c r="J13" s="16"/>
    </row>
    <row r="14" spans="2:20" ht="16.5" customHeight="1" x14ac:dyDescent="0.2">
      <c r="B14" s="22" t="s">
        <v>19</v>
      </c>
      <c r="C14" s="23"/>
      <c r="D14" s="23"/>
      <c r="E14" s="23"/>
      <c r="F14" s="23"/>
      <c r="G14" s="23"/>
      <c r="H14" s="39">
        <v>0.02</v>
      </c>
      <c r="I14" s="23"/>
      <c r="J14" s="16"/>
    </row>
    <row r="15" spans="2:20" ht="16.5" customHeight="1" x14ac:dyDescent="0.2">
      <c r="B15" s="29"/>
      <c r="C15" s="30"/>
      <c r="D15" s="30"/>
      <c r="E15" s="30"/>
      <c r="F15" s="30"/>
      <c r="G15" s="30"/>
      <c r="H15" s="30"/>
      <c r="I15" s="30"/>
      <c r="J15" s="18"/>
    </row>
    <row r="16" spans="2:20" ht="16.5" customHeight="1" x14ac:dyDescent="0.2">
      <c r="B16" s="31" t="s">
        <v>15</v>
      </c>
      <c r="C16" s="23"/>
      <c r="D16" s="23"/>
      <c r="E16" s="23"/>
      <c r="F16" s="23"/>
      <c r="G16" s="23"/>
      <c r="H16" s="23"/>
      <c r="I16" s="23"/>
      <c r="J16" s="16"/>
    </row>
    <row r="17" spans="2:15" ht="4.5" customHeight="1" x14ac:dyDescent="0.2">
      <c r="B17" s="4"/>
      <c r="C17" s="23"/>
      <c r="D17" s="23"/>
      <c r="E17" s="23"/>
      <c r="F17" s="23"/>
      <c r="G17" s="23"/>
      <c r="H17" s="23"/>
      <c r="I17" s="23"/>
      <c r="J17" s="16"/>
    </row>
    <row r="18" spans="2:15" ht="16.5" customHeight="1" x14ac:dyDescent="0.2">
      <c r="B18" s="22" t="s">
        <v>20</v>
      </c>
      <c r="C18" s="23"/>
      <c r="D18" s="23"/>
      <c r="E18" s="23"/>
      <c r="F18" s="23"/>
      <c r="G18" s="23"/>
      <c r="H18" s="39">
        <v>10</v>
      </c>
      <c r="I18" s="23"/>
      <c r="J18" s="16"/>
      <c r="O18" s="23"/>
    </row>
    <row r="19" spans="2:15" ht="16.5" customHeight="1" x14ac:dyDescent="0.2">
      <c r="B19" s="22" t="s">
        <v>68</v>
      </c>
      <c r="C19" s="23"/>
      <c r="D19" s="23"/>
      <c r="E19" s="23"/>
      <c r="F19" s="23"/>
      <c r="G19" s="23"/>
      <c r="H19" s="42">
        <v>3</v>
      </c>
      <c r="I19" s="23" t="s">
        <v>21</v>
      </c>
      <c r="J19" s="16"/>
    </row>
    <row r="20" spans="2:15" ht="16.5" customHeight="1" x14ac:dyDescent="0.2">
      <c r="B20" s="22" t="s">
        <v>27</v>
      </c>
      <c r="C20" s="23"/>
      <c r="D20" s="23"/>
      <c r="E20" s="23"/>
      <c r="F20" s="23"/>
      <c r="G20" s="23"/>
      <c r="H20" s="39">
        <v>6</v>
      </c>
      <c r="I20" s="23" t="s">
        <v>79</v>
      </c>
      <c r="J20" s="16"/>
    </row>
    <row r="21" spans="2:15" ht="16.5" customHeight="1" x14ac:dyDescent="0.2">
      <c r="B21" s="22" t="s">
        <v>43</v>
      </c>
      <c r="C21" s="23"/>
      <c r="D21" s="23"/>
      <c r="E21" s="23"/>
      <c r="F21" s="23"/>
      <c r="G21" s="23"/>
      <c r="H21" s="42">
        <v>1.6</v>
      </c>
      <c r="I21" s="23"/>
      <c r="J21" s="16"/>
    </row>
    <row r="22" spans="2:15" ht="16.5" customHeight="1" x14ac:dyDescent="0.2">
      <c r="B22" s="22" t="s">
        <v>44</v>
      </c>
      <c r="C22" s="23"/>
      <c r="D22" s="23"/>
      <c r="E22" s="23"/>
      <c r="F22" s="23"/>
      <c r="G22" s="23"/>
      <c r="H22" s="42">
        <v>1</v>
      </c>
      <c r="I22" s="23"/>
      <c r="J22" s="16"/>
    </row>
    <row r="23" spans="2:15" ht="16.5" customHeight="1" x14ac:dyDescent="0.2">
      <c r="B23" s="22" t="s">
        <v>45</v>
      </c>
      <c r="C23" s="23"/>
      <c r="D23" s="23"/>
      <c r="E23" s="23"/>
      <c r="F23" s="23"/>
      <c r="G23" s="23"/>
      <c r="H23" s="42">
        <v>0.2</v>
      </c>
      <c r="I23" s="23"/>
      <c r="J23" s="16"/>
    </row>
    <row r="24" spans="2:15" ht="16.5" customHeight="1" x14ac:dyDescent="0.2">
      <c r="B24" s="22" t="s">
        <v>46</v>
      </c>
      <c r="C24" s="23"/>
      <c r="D24" s="23"/>
      <c r="E24" s="23"/>
      <c r="F24" s="23"/>
      <c r="G24" s="23"/>
      <c r="H24" s="42">
        <v>1</v>
      </c>
      <c r="I24" s="23"/>
      <c r="J24" s="16"/>
    </row>
    <row r="25" spans="2:15" ht="16.5" customHeight="1" x14ac:dyDescent="0.2">
      <c r="B25" s="22" t="s">
        <v>47</v>
      </c>
      <c r="C25" s="23"/>
      <c r="D25" s="23"/>
      <c r="E25" s="23"/>
      <c r="F25" s="23"/>
      <c r="G25" s="23"/>
      <c r="H25" s="42">
        <v>0.3</v>
      </c>
      <c r="I25" s="23"/>
      <c r="J25" s="16"/>
    </row>
    <row r="26" spans="2:15" ht="16.5" customHeight="1" x14ac:dyDescent="0.2">
      <c r="B26" s="22" t="s">
        <v>48</v>
      </c>
      <c r="C26" s="23"/>
      <c r="D26" s="23"/>
      <c r="E26" s="23"/>
      <c r="F26" s="23"/>
      <c r="G26" s="23"/>
      <c r="H26" s="39">
        <v>0.03</v>
      </c>
      <c r="I26" s="23"/>
      <c r="J26" s="16"/>
    </row>
    <row r="27" spans="2:15" ht="16.5" customHeight="1" x14ac:dyDescent="0.2">
      <c r="B27" s="22"/>
      <c r="C27" s="23"/>
      <c r="D27" s="23"/>
      <c r="E27" s="23"/>
      <c r="F27" s="23"/>
      <c r="G27" s="23"/>
      <c r="H27" s="34"/>
      <c r="I27" s="23"/>
      <c r="J27" s="16"/>
    </row>
    <row r="28" spans="2:15" ht="16.5" customHeight="1" x14ac:dyDescent="0.2">
      <c r="B28" s="10" t="s">
        <v>10</v>
      </c>
      <c r="C28" s="11"/>
      <c r="D28" s="11"/>
      <c r="E28" s="11"/>
      <c r="F28" s="11"/>
      <c r="G28" s="11"/>
      <c r="H28" s="11"/>
      <c r="I28" s="11"/>
      <c r="J28" s="12"/>
    </row>
    <row r="29" spans="2:15" ht="16.5" customHeight="1" x14ac:dyDescent="0.2">
      <c r="B29" s="32" t="s">
        <v>22</v>
      </c>
      <c r="C29" s="25"/>
      <c r="D29" s="25"/>
      <c r="E29" s="23"/>
      <c r="F29" s="23"/>
      <c r="G29" s="23"/>
      <c r="H29" s="23"/>
      <c r="I29" s="33"/>
      <c r="J29" s="16"/>
    </row>
    <row r="30" spans="2:15" ht="3.75" customHeight="1" x14ac:dyDescent="0.2">
      <c r="B30" s="24"/>
      <c r="C30" s="25"/>
      <c r="D30" s="25"/>
      <c r="E30" s="23"/>
      <c r="F30" s="23"/>
      <c r="G30" s="23"/>
      <c r="H30" s="23"/>
      <c r="I30" s="33"/>
      <c r="J30" s="16"/>
    </row>
    <row r="31" spans="2:15" ht="16.5" customHeight="1" x14ac:dyDescent="0.2">
      <c r="B31" s="22" t="s">
        <v>49</v>
      </c>
      <c r="C31" s="23"/>
      <c r="D31" s="23"/>
      <c r="E31" s="23"/>
      <c r="F31" s="23"/>
      <c r="G31" s="23"/>
      <c r="H31" s="28">
        <f>((1-(H19/H13)^2)^2+4*H14^2*(H19/H13)^2)^-0.5</f>
        <v>1.1270883570777825</v>
      </c>
      <c r="I31" s="23"/>
      <c r="J31" s="16"/>
    </row>
    <row r="32" spans="2:15" ht="16.5" customHeight="1" x14ac:dyDescent="0.2">
      <c r="B32" s="22" t="s">
        <v>50</v>
      </c>
      <c r="C32" s="23"/>
      <c r="D32" s="23"/>
      <c r="E32" s="23"/>
      <c r="F32" s="23"/>
      <c r="G32" s="23"/>
      <c r="H32" s="28">
        <f>((1-(2*H19/H13)^2)^2+4*H14^2*(2*H19/H13)^2)^-0.5</f>
        <v>1.8207691640426953</v>
      </c>
      <c r="I32" s="23"/>
      <c r="J32" s="16"/>
    </row>
    <row r="33" spans="2:10" ht="16.5" customHeight="1" x14ac:dyDescent="0.2">
      <c r="B33" s="22" t="s">
        <v>51</v>
      </c>
      <c r="C33" s="23"/>
      <c r="D33" s="23"/>
      <c r="E33" s="23"/>
      <c r="F33" s="23"/>
      <c r="G33" s="23"/>
      <c r="H33" s="28">
        <f>((1-(3*H19/H13)^2)^2+4*H14^2*(3*H19/H13)^2)^-0.5</f>
        <v>23.106976156377868</v>
      </c>
      <c r="I33" s="23"/>
      <c r="J33" s="16"/>
    </row>
    <row r="34" spans="2:10" ht="16.5" customHeight="1" x14ac:dyDescent="0.2">
      <c r="B34" s="22" t="s">
        <v>52</v>
      </c>
      <c r="C34" s="23"/>
      <c r="D34" s="23"/>
      <c r="E34" s="23"/>
      <c r="F34" s="23"/>
      <c r="G34" s="23"/>
      <c r="H34" s="28">
        <f>IF(H18&gt;1,IF((0.999*H13&lt;H19)*(H19&lt;1.001*H13),(H24+(1-H24)/(0.81*H18))^0.5,(H24+(1-H24)/(0.75*H18))^0.5),1)</f>
        <v>1</v>
      </c>
      <c r="I34" s="33"/>
      <c r="J34" s="16"/>
    </row>
    <row r="35" spans="2:10" ht="16.5" customHeight="1" x14ac:dyDescent="0.2">
      <c r="B35" s="22" t="s">
        <v>53</v>
      </c>
      <c r="C35" s="23"/>
      <c r="D35" s="23"/>
      <c r="E35" s="23"/>
      <c r="F35" s="23"/>
      <c r="G35" s="23"/>
      <c r="H35" s="28">
        <f>IF(H18&gt;1,IF((0.999*H13&lt;2*H19)*(2*H19&lt;1.001*H13),(H25+(1-H25)/(0.81*H18))^0.5,(H25+(1-H25)/(0.75*H18))^0.5),1)</f>
        <v>0.62716292407422591</v>
      </c>
      <c r="I35" s="23"/>
      <c r="J35" s="16"/>
    </row>
    <row r="36" spans="2:10" ht="16.5" customHeight="1" x14ac:dyDescent="0.2">
      <c r="B36" s="22" t="s">
        <v>54</v>
      </c>
      <c r="C36" s="23"/>
      <c r="D36" s="23"/>
      <c r="E36" s="23"/>
      <c r="F36" s="23"/>
      <c r="G36" s="23"/>
      <c r="H36" s="28">
        <f>IF(H18&gt;1,IF((0.999*H13&lt;3*H19)*(3*H19&lt;1.001*H13),(H26+(1-H26)/(0.81*H18))^0.5,(H26+(1-H26)/(0.75*H18))^0.5),1)</f>
        <v>0.39916579679793873</v>
      </c>
      <c r="I36" s="23"/>
      <c r="J36" s="16"/>
    </row>
    <row r="37" spans="2:10" ht="16.5" customHeight="1" x14ac:dyDescent="0.2">
      <c r="B37" s="29"/>
      <c r="C37" s="30"/>
      <c r="D37" s="30"/>
      <c r="E37" s="30"/>
      <c r="F37" s="30"/>
      <c r="G37" s="30"/>
      <c r="H37" s="54"/>
      <c r="I37" s="17"/>
      <c r="J37" s="18"/>
    </row>
    <row r="38" spans="2:10" ht="16.5" customHeight="1" x14ac:dyDescent="0.2">
      <c r="B38" s="24" t="s">
        <v>63</v>
      </c>
      <c r="C38" s="19"/>
      <c r="D38" s="19"/>
      <c r="E38" s="19"/>
      <c r="F38" s="19"/>
      <c r="G38" s="19"/>
      <c r="H38" s="28"/>
      <c r="I38" s="23"/>
      <c r="J38" s="16"/>
    </row>
    <row r="39" spans="2:10" ht="16.5" customHeight="1" x14ac:dyDescent="0.2">
      <c r="B39" s="22" t="s">
        <v>66</v>
      </c>
      <c r="C39" s="19"/>
      <c r="D39" s="19"/>
      <c r="E39" s="19"/>
      <c r="F39" s="19"/>
      <c r="G39" s="19"/>
      <c r="H39" s="28">
        <f>IF(((0.99*H19&lt;H13)*AND(1.01*H19&gt;H13))+OR((1.99*H19&lt;H13)*AND(2.01*H19&gt;H13))+OR((2.99*H19&lt;H13)*AND(3.01*H19&gt;H13)),1,1.5)</f>
        <v>1.5</v>
      </c>
      <c r="J39" s="16"/>
    </row>
    <row r="40" spans="2:10" ht="16.5" customHeight="1" x14ac:dyDescent="0.2">
      <c r="B40" s="22" t="s">
        <v>67</v>
      </c>
      <c r="C40" s="19"/>
      <c r="D40" s="19"/>
      <c r="E40" s="19"/>
      <c r="F40" s="19"/>
      <c r="G40" s="19"/>
      <c r="H40" s="28">
        <f>H39*((H21*H31*H34)^2+(H22*H32*H35)^2+(H23*H33*H36)^2)^0.5</f>
        <v>4.2317410594646656</v>
      </c>
      <c r="J40" s="16"/>
    </row>
    <row r="41" spans="2:10" ht="16.5" customHeight="1" x14ac:dyDescent="0.2">
      <c r="B41" s="22"/>
      <c r="C41" s="19"/>
      <c r="D41" s="19"/>
      <c r="E41" s="19"/>
      <c r="F41" s="19"/>
      <c r="G41" s="19"/>
      <c r="H41" s="28"/>
      <c r="J41" s="16"/>
    </row>
    <row r="42" spans="2:10" ht="16.5" customHeight="1" x14ac:dyDescent="0.2">
      <c r="B42" s="45" t="s">
        <v>34</v>
      </c>
      <c r="C42" s="25"/>
      <c r="D42" s="25"/>
      <c r="E42" s="23"/>
      <c r="F42" s="23"/>
      <c r="G42" s="23"/>
      <c r="H42" s="28">
        <f>(1+H40)*H20</f>
        <v>31.390446356787994</v>
      </c>
      <c r="I42" s="23" t="s">
        <v>79</v>
      </c>
      <c r="J42" s="16"/>
    </row>
    <row r="43" spans="2:10" ht="16.5" customHeight="1" x14ac:dyDescent="0.2">
      <c r="B43" s="50"/>
      <c r="C43" s="51"/>
      <c r="D43" s="51"/>
      <c r="E43" s="30"/>
      <c r="F43" s="30"/>
      <c r="G43" s="30"/>
      <c r="H43" s="30"/>
      <c r="I43" s="52"/>
      <c r="J43" s="18"/>
    </row>
    <row r="44" spans="2:10" ht="16.5" customHeight="1" x14ac:dyDescent="0.2">
      <c r="B44" s="45" t="s">
        <v>64</v>
      </c>
      <c r="C44" s="25"/>
      <c r="D44" s="25"/>
      <c r="E44" s="23"/>
      <c r="F44" s="23"/>
      <c r="G44" s="23"/>
      <c r="H44" s="23"/>
      <c r="I44" s="33"/>
      <c r="J44" s="16"/>
    </row>
    <row r="45" spans="2:10" ht="16.5" customHeight="1" x14ac:dyDescent="0.2">
      <c r="B45" s="22" t="s">
        <v>65</v>
      </c>
      <c r="C45" s="25"/>
      <c r="D45" s="25"/>
      <c r="E45" s="23"/>
      <c r="F45" s="23"/>
      <c r="G45" s="23"/>
      <c r="H45" s="28">
        <f>(0.5*((H21*H31*H34)^2+(4*H22*H32*H35)^2+(9*H23*H33*H36)^2))^0.5</f>
        <v>12.24240449881753</v>
      </c>
      <c r="I45" s="23"/>
      <c r="J45" s="16"/>
    </row>
    <row r="46" spans="2:10" ht="16.5" customHeight="1" x14ac:dyDescent="0.2">
      <c r="B46" s="22"/>
      <c r="C46" s="25"/>
      <c r="D46" s="25"/>
      <c r="E46" s="23"/>
      <c r="F46" s="23"/>
      <c r="G46" s="23"/>
      <c r="H46" s="35"/>
      <c r="I46" s="23"/>
      <c r="J46" s="16"/>
    </row>
    <row r="47" spans="2:10" ht="16.5" customHeight="1" x14ac:dyDescent="0.2">
      <c r="B47" s="45" t="s">
        <v>55</v>
      </c>
      <c r="C47" s="25"/>
      <c r="D47" s="25"/>
      <c r="E47" s="23"/>
      <c r="F47" s="23"/>
      <c r="G47" s="23"/>
      <c r="H47" s="28">
        <f>H45*(2*PI()*H19)^2*H12</f>
        <v>1.9443591765607036</v>
      </c>
      <c r="I47" s="23" t="s">
        <v>31</v>
      </c>
      <c r="J47" s="16"/>
    </row>
    <row r="48" spans="2:10" ht="16.5" customHeight="1" x14ac:dyDescent="0.2">
      <c r="B48" s="22"/>
      <c r="C48" s="23"/>
      <c r="D48" s="23"/>
      <c r="E48" s="23"/>
      <c r="F48" s="23"/>
      <c r="G48" s="23"/>
      <c r="H48" s="28">
        <f>H47/9.82*100</f>
        <v>19.799991614671114</v>
      </c>
      <c r="I48" s="23" t="s">
        <v>24</v>
      </c>
      <c r="J48" s="16"/>
    </row>
    <row r="49" spans="2:12" ht="16.5" customHeight="1" x14ac:dyDescent="0.2">
      <c r="B49" s="29"/>
      <c r="C49" s="43"/>
      <c r="D49" s="43"/>
      <c r="E49" s="43"/>
      <c r="F49" s="43"/>
      <c r="G49" s="43"/>
      <c r="H49" s="44"/>
      <c r="I49" s="17"/>
      <c r="J49" s="18"/>
    </row>
    <row r="50" spans="2:12" ht="4.5" customHeight="1" x14ac:dyDescent="0.2">
      <c r="B50" s="22"/>
      <c r="C50" s="19"/>
      <c r="D50" s="19"/>
      <c r="E50" s="19"/>
      <c r="F50" s="19"/>
      <c r="G50" s="19"/>
      <c r="H50" s="26"/>
      <c r="J50" s="16"/>
    </row>
    <row r="51" spans="2:12" ht="17.25" customHeight="1" x14ac:dyDescent="0.2">
      <c r="B51" s="37" t="s">
        <v>11</v>
      </c>
      <c r="C51" s="36"/>
      <c r="D51" s="36"/>
      <c r="E51" s="36"/>
      <c r="F51" s="36"/>
      <c r="G51" s="36"/>
      <c r="H51" s="36"/>
      <c r="I51" s="36"/>
      <c r="J51" s="38"/>
      <c r="L51" s="53"/>
    </row>
    <row r="52" spans="2:12" ht="16.5" customHeight="1" x14ac:dyDescent="0.2">
      <c r="B52" s="49" t="s">
        <v>56</v>
      </c>
      <c r="J52" s="16"/>
    </row>
    <row r="53" spans="2:12" ht="3.75" customHeight="1" x14ac:dyDescent="0.2">
      <c r="B53" s="46"/>
      <c r="J53" s="16"/>
    </row>
    <row r="54" spans="2:12" ht="16.5" customHeight="1" x14ac:dyDescent="0.2">
      <c r="B54" s="24" t="s">
        <v>80</v>
      </c>
      <c r="C54" s="25"/>
      <c r="D54" s="25"/>
      <c r="E54" s="23"/>
      <c r="F54" s="23"/>
      <c r="G54" s="23"/>
      <c r="H54" s="48">
        <f>H47</f>
        <v>1.9443591765607036</v>
      </c>
      <c r="I54" s="25" t="s">
        <v>57</v>
      </c>
      <c r="J54" s="16"/>
    </row>
    <row r="55" spans="2:12" ht="16.5" customHeight="1" x14ac:dyDescent="0.2">
      <c r="B55" s="22"/>
      <c r="C55" s="23"/>
      <c r="D55" s="23"/>
      <c r="E55" s="23"/>
      <c r="F55" s="23"/>
      <c r="G55" s="23"/>
      <c r="H55" s="48">
        <f>H54/9.82*100</f>
        <v>19.799991614671114</v>
      </c>
      <c r="I55" s="25" t="s">
        <v>24</v>
      </c>
      <c r="J55" s="16"/>
    </row>
    <row r="56" spans="2:12" ht="16.5" customHeight="1" x14ac:dyDescent="0.2">
      <c r="B56" s="22"/>
      <c r="C56" s="23"/>
      <c r="D56" s="23"/>
      <c r="E56" s="23"/>
      <c r="F56" s="23"/>
      <c r="G56" s="23"/>
      <c r="H56" s="48"/>
      <c r="I56" s="25"/>
      <c r="J56" s="16"/>
    </row>
    <row r="57" spans="2:12" ht="16.5" customHeight="1" x14ac:dyDescent="0.2">
      <c r="B57" s="24" t="s">
        <v>82</v>
      </c>
      <c r="C57" s="23"/>
      <c r="D57" s="23"/>
      <c r="E57" s="23"/>
      <c r="F57" s="23"/>
      <c r="G57" s="23"/>
      <c r="H57" s="48">
        <f>H42</f>
        <v>31.390446356787994</v>
      </c>
      <c r="I57" s="25" t="s">
        <v>35</v>
      </c>
      <c r="J57" s="16"/>
    </row>
    <row r="58" spans="2:12" ht="3.75" customHeight="1" x14ac:dyDescent="0.2">
      <c r="B58" s="47"/>
      <c r="C58" s="17"/>
      <c r="D58" s="17"/>
      <c r="E58" s="17"/>
      <c r="F58" s="17"/>
      <c r="G58" s="17"/>
      <c r="H58" s="17"/>
      <c r="I58" s="17"/>
      <c r="J58" s="18"/>
    </row>
    <row r="59" spans="2:12" ht="3.75" customHeight="1" x14ac:dyDescent="0.2"/>
    <row r="60" spans="2:12" ht="16.5" customHeight="1" x14ac:dyDescent="0.2"/>
  </sheetData>
  <sheetProtection password="DDC8" sheet="1"/>
  <mergeCells count="9">
    <mergeCell ref="C5:G5"/>
    <mergeCell ref="I5:J5"/>
    <mergeCell ref="B1:J1"/>
    <mergeCell ref="B2:H2"/>
    <mergeCell ref="I2:J2"/>
    <mergeCell ref="B3:H3"/>
    <mergeCell ref="I3:J3"/>
    <mergeCell ref="C4:G4"/>
    <mergeCell ref="I4:J4"/>
  </mergeCells>
  <pageMargins left="0.78740157480314965" right="0.74803149606299213" top="0.82677165354330717" bottom="0.98425196850393704" header="0.51181102362204722" footer="0.51181102362204722"/>
  <pageSetup paperSize="9" orientation="portrait" horizontalDpi="300" verticalDpi="300" r:id="rId1"/>
  <headerFooter alignWithMargins="0">
    <oddFooter>&amp;L&amp;8&amp;Z&amp;F&amp;R&amp;8Side &amp;P</oddFooter>
  </headerFooter>
  <rowBreaks count="1" manualBreakCount="1">
    <brk id="43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6E588-9717-4C8F-AF08-7870A43A324D}">
  <dimension ref="B1:T64"/>
  <sheetViews>
    <sheetView tabSelected="1" zoomScaleNormal="100" workbookViewId="0">
      <selection activeCell="I4" sqref="I4:J4"/>
    </sheetView>
  </sheetViews>
  <sheetFormatPr defaultRowHeight="12.75" x14ac:dyDescent="0.2"/>
  <cols>
    <col min="1" max="1" width="2.140625" customWidth="1"/>
    <col min="3" max="3" width="5.7109375" bestFit="1" customWidth="1"/>
    <col min="7" max="7" width="8.85546875" customWidth="1"/>
    <col min="8" max="8" width="12" bestFit="1" customWidth="1"/>
    <col min="11" max="11" width="1.7109375" customWidth="1"/>
  </cols>
  <sheetData>
    <row r="1" spans="2:20" ht="15" customHeight="1" x14ac:dyDescent="0.2">
      <c r="B1" s="68" t="s">
        <v>58</v>
      </c>
      <c r="C1" s="69"/>
      <c r="D1" s="69"/>
      <c r="E1" s="69"/>
      <c r="F1" s="69"/>
      <c r="G1" s="69"/>
      <c r="H1" s="69"/>
      <c r="I1" s="69"/>
      <c r="J1" s="70"/>
      <c r="L1" s="2"/>
      <c r="M1" s="1"/>
    </row>
    <row r="2" spans="2:20" ht="30" customHeight="1" x14ac:dyDescent="0.2">
      <c r="B2" s="71" t="s">
        <v>42</v>
      </c>
      <c r="C2" s="72"/>
      <c r="D2" s="72"/>
      <c r="E2" s="72"/>
      <c r="F2" s="72"/>
      <c r="G2" s="72"/>
      <c r="H2" s="72"/>
      <c r="I2" s="73" t="s">
        <v>86</v>
      </c>
      <c r="J2" s="74"/>
      <c r="M2" s="3"/>
      <c r="N2" s="3"/>
      <c r="O2" s="3"/>
      <c r="P2" s="3"/>
      <c r="Q2" s="3"/>
      <c r="R2" s="3"/>
      <c r="S2" s="3"/>
      <c r="T2" s="3"/>
    </row>
    <row r="3" spans="2:20" ht="15" customHeight="1" x14ac:dyDescent="0.2">
      <c r="B3" s="75" t="s">
        <v>84</v>
      </c>
      <c r="C3" s="76"/>
      <c r="D3" s="76"/>
      <c r="E3" s="76"/>
      <c r="F3" s="76"/>
      <c r="G3" s="76"/>
      <c r="H3" s="76"/>
      <c r="I3" s="77"/>
      <c r="J3" s="78"/>
      <c r="M3" s="3"/>
      <c r="N3" s="3"/>
      <c r="O3" s="3"/>
      <c r="P3" s="3"/>
      <c r="Q3" s="3"/>
      <c r="R3" s="3"/>
      <c r="S3" s="3"/>
      <c r="T3" s="3"/>
    </row>
    <row r="4" spans="2:20" ht="16.5" customHeight="1" x14ac:dyDescent="0.2">
      <c r="B4" s="4" t="s">
        <v>1</v>
      </c>
      <c r="C4" s="79"/>
      <c r="D4" s="79"/>
      <c r="E4" s="79"/>
      <c r="F4" s="79"/>
      <c r="G4" s="79"/>
      <c r="H4" s="5" t="s">
        <v>2</v>
      </c>
      <c r="I4" s="79"/>
      <c r="J4" s="80"/>
      <c r="M4" s="3"/>
      <c r="N4" s="3"/>
      <c r="O4" s="3"/>
      <c r="P4" s="3"/>
      <c r="Q4" s="3"/>
      <c r="R4" s="3"/>
      <c r="S4" s="3"/>
      <c r="T4" s="3"/>
    </row>
    <row r="5" spans="2:20" x14ac:dyDescent="0.2">
      <c r="B5" s="4" t="s">
        <v>3</v>
      </c>
      <c r="C5" s="65"/>
      <c r="D5" s="65"/>
      <c r="E5" s="65"/>
      <c r="F5" s="65"/>
      <c r="G5" s="65"/>
      <c r="H5" s="5" t="s">
        <v>4</v>
      </c>
      <c r="I5" s="66">
        <f ca="1">NOW()</f>
        <v>45741.616576273147</v>
      </c>
      <c r="J5" s="67"/>
    </row>
    <row r="6" spans="2:20" ht="16.5" customHeight="1" x14ac:dyDescent="0.2">
      <c r="B6" s="6" t="s">
        <v>5</v>
      </c>
      <c r="C6" s="8"/>
      <c r="D6" s="7" t="s">
        <v>6</v>
      </c>
      <c r="E6" s="8"/>
      <c r="F6" s="7" t="s">
        <v>7</v>
      </c>
      <c r="G6" s="8"/>
      <c r="H6" s="7" t="s">
        <v>8</v>
      </c>
      <c r="I6" s="8"/>
      <c r="J6" s="21"/>
      <c r="L6" s="9"/>
      <c r="N6" s="9"/>
      <c r="P6" s="9"/>
    </row>
    <row r="7" spans="2:20" ht="4.5" customHeight="1" x14ac:dyDescent="0.2">
      <c r="B7" s="13"/>
      <c r="C7" s="14"/>
      <c r="D7" s="14"/>
      <c r="E7" s="14"/>
      <c r="F7" s="14"/>
      <c r="G7" s="14"/>
      <c r="H7" s="14"/>
      <c r="I7" s="14"/>
      <c r="J7" s="15"/>
    </row>
    <row r="8" spans="2:20" ht="16.5" customHeight="1" x14ac:dyDescent="0.2">
      <c r="B8" s="10" t="s">
        <v>9</v>
      </c>
      <c r="C8" s="11"/>
      <c r="D8" s="11"/>
      <c r="E8" s="11"/>
      <c r="F8" s="11"/>
      <c r="G8" s="11"/>
      <c r="H8" s="11"/>
      <c r="I8" s="11"/>
      <c r="J8" s="12"/>
    </row>
    <row r="9" spans="2:20" ht="16.5" customHeight="1" x14ac:dyDescent="0.2">
      <c r="B9" s="31" t="s">
        <v>16</v>
      </c>
      <c r="C9" s="19"/>
      <c r="D9" s="19"/>
      <c r="E9" s="19"/>
      <c r="F9" s="19"/>
      <c r="G9" s="19"/>
      <c r="H9" s="19"/>
      <c r="J9" s="16"/>
    </row>
    <row r="10" spans="2:20" ht="4.5" customHeight="1" x14ac:dyDescent="0.2">
      <c r="B10" s="20"/>
      <c r="C10" s="19"/>
      <c r="D10" s="19"/>
      <c r="E10" s="19"/>
      <c r="F10" s="19"/>
      <c r="G10" s="19"/>
      <c r="H10" s="19"/>
      <c r="J10" s="16"/>
    </row>
    <row r="11" spans="2:20" ht="16.5" customHeight="1" x14ac:dyDescent="0.2">
      <c r="B11" s="24" t="s">
        <v>41</v>
      </c>
      <c r="C11" s="23"/>
      <c r="D11" s="23"/>
      <c r="E11" s="23"/>
      <c r="F11" s="23"/>
      <c r="G11" s="23"/>
      <c r="H11" s="41"/>
      <c r="I11" s="23"/>
      <c r="J11" s="16"/>
    </row>
    <row r="12" spans="2:20" ht="16.5" customHeight="1" x14ac:dyDescent="0.2">
      <c r="B12" s="22" t="s">
        <v>17</v>
      </c>
      <c r="C12" s="23"/>
      <c r="D12" s="23"/>
      <c r="E12" s="23"/>
      <c r="F12" s="23"/>
      <c r="G12" s="23"/>
      <c r="H12" s="39">
        <v>1400</v>
      </c>
      <c r="I12" s="23" t="s">
        <v>25</v>
      </c>
      <c r="J12" s="16"/>
    </row>
    <row r="13" spans="2:20" ht="16.5" customHeight="1" x14ac:dyDescent="0.2">
      <c r="B13" s="22" t="s">
        <v>39</v>
      </c>
      <c r="C13" s="23"/>
      <c r="D13" s="23"/>
      <c r="E13" s="23"/>
      <c r="F13" s="23"/>
      <c r="G13" s="23"/>
      <c r="H13" s="39">
        <v>5</v>
      </c>
      <c r="I13" s="23" t="s">
        <v>0</v>
      </c>
      <c r="J13" s="16"/>
    </row>
    <row r="14" spans="2:20" ht="16.5" customHeight="1" x14ac:dyDescent="0.2">
      <c r="B14" s="22" t="s">
        <v>32</v>
      </c>
      <c r="C14" s="23"/>
      <c r="D14" s="23"/>
      <c r="E14" s="23"/>
      <c r="F14" s="23"/>
      <c r="G14" s="23"/>
      <c r="H14" s="40">
        <f>1/12*1.4*0.22^3</f>
        <v>1.2422666666666664E-3</v>
      </c>
      <c r="I14" s="23" t="s">
        <v>33</v>
      </c>
      <c r="J14" s="16"/>
    </row>
    <row r="15" spans="2:20" ht="16.5" customHeight="1" x14ac:dyDescent="0.2">
      <c r="B15" s="22" t="s">
        <v>18</v>
      </c>
      <c r="C15" s="23"/>
      <c r="D15" s="23"/>
      <c r="E15" s="23"/>
      <c r="F15" s="23"/>
      <c r="G15" s="23"/>
      <c r="H15" s="40">
        <v>35580000000</v>
      </c>
      <c r="I15" s="23" t="s">
        <v>30</v>
      </c>
      <c r="J15" s="16"/>
    </row>
    <row r="16" spans="2:20" ht="16.5" customHeight="1" x14ac:dyDescent="0.2">
      <c r="B16" s="22" t="s">
        <v>19</v>
      </c>
      <c r="C16" s="23"/>
      <c r="D16" s="23"/>
      <c r="E16" s="23"/>
      <c r="F16" s="23"/>
      <c r="G16" s="23"/>
      <c r="H16" s="39">
        <v>0.02</v>
      </c>
      <c r="I16" s="23"/>
      <c r="J16" s="16"/>
    </row>
    <row r="17" spans="2:15" ht="16.5" customHeight="1" x14ac:dyDescent="0.2">
      <c r="B17" s="29"/>
      <c r="C17" s="30"/>
      <c r="D17" s="30"/>
      <c r="E17" s="30"/>
      <c r="F17" s="30"/>
      <c r="G17" s="30"/>
      <c r="H17" s="30"/>
      <c r="I17" s="30"/>
      <c r="J17" s="18"/>
    </row>
    <row r="18" spans="2:15" ht="16.5" customHeight="1" x14ac:dyDescent="0.2">
      <c r="B18" s="31" t="s">
        <v>15</v>
      </c>
      <c r="C18" s="23"/>
      <c r="D18" s="23"/>
      <c r="E18" s="23"/>
      <c r="F18" s="23"/>
      <c r="G18" s="23"/>
      <c r="H18" s="23"/>
      <c r="I18" s="23"/>
      <c r="J18" s="16"/>
    </row>
    <row r="19" spans="2:15" ht="4.5" customHeight="1" x14ac:dyDescent="0.2">
      <c r="B19" s="4"/>
      <c r="C19" s="23"/>
      <c r="D19" s="23"/>
      <c r="E19" s="23"/>
      <c r="F19" s="23"/>
      <c r="G19" s="23"/>
      <c r="H19" s="23"/>
      <c r="I19" s="23"/>
      <c r="J19" s="16"/>
    </row>
    <row r="20" spans="2:15" ht="16.5" customHeight="1" x14ac:dyDescent="0.2">
      <c r="B20" s="22" t="s">
        <v>20</v>
      </c>
      <c r="C20" s="23"/>
      <c r="D20" s="23"/>
      <c r="E20" s="23"/>
      <c r="F20" s="23"/>
      <c r="G20" s="23"/>
      <c r="H20" s="39">
        <v>1</v>
      </c>
      <c r="I20" s="23"/>
      <c r="J20" s="16"/>
      <c r="O20" s="23"/>
    </row>
    <row r="21" spans="2:15" ht="16.5" customHeight="1" x14ac:dyDescent="0.2">
      <c r="B21" s="22" t="s">
        <v>68</v>
      </c>
      <c r="C21" s="23"/>
      <c r="D21" s="23"/>
      <c r="E21" s="23"/>
      <c r="F21" s="23"/>
      <c r="G21" s="23"/>
      <c r="H21" s="42">
        <v>3</v>
      </c>
      <c r="I21" s="23" t="s">
        <v>21</v>
      </c>
      <c r="J21" s="16"/>
    </row>
    <row r="22" spans="2:15" ht="16.5" customHeight="1" x14ac:dyDescent="0.2">
      <c r="B22" s="22" t="s">
        <v>27</v>
      </c>
      <c r="C22" s="23"/>
      <c r="D22" s="23"/>
      <c r="E22" s="23"/>
      <c r="F22" s="23"/>
      <c r="G22" s="23"/>
      <c r="H22" s="39">
        <v>0.75</v>
      </c>
      <c r="I22" s="23" t="s">
        <v>35</v>
      </c>
      <c r="J22" s="16"/>
    </row>
    <row r="23" spans="2:15" ht="16.5" customHeight="1" x14ac:dyDescent="0.2">
      <c r="B23" s="22" t="s">
        <v>43</v>
      </c>
      <c r="C23" s="23"/>
      <c r="D23" s="23"/>
      <c r="E23" s="23"/>
      <c r="F23" s="23"/>
      <c r="G23" s="23"/>
      <c r="H23" s="42">
        <v>1.6</v>
      </c>
      <c r="I23" s="23"/>
      <c r="J23" s="16"/>
    </row>
    <row r="24" spans="2:15" ht="16.5" customHeight="1" x14ac:dyDescent="0.2">
      <c r="B24" s="22" t="s">
        <v>44</v>
      </c>
      <c r="C24" s="23"/>
      <c r="D24" s="23"/>
      <c r="E24" s="23"/>
      <c r="F24" s="23"/>
      <c r="G24" s="23"/>
      <c r="H24" s="42">
        <v>1</v>
      </c>
      <c r="I24" s="23"/>
      <c r="J24" s="16"/>
    </row>
    <row r="25" spans="2:15" ht="16.5" customHeight="1" x14ac:dyDescent="0.2">
      <c r="B25" s="22" t="s">
        <v>45</v>
      </c>
      <c r="C25" s="23"/>
      <c r="D25" s="23"/>
      <c r="E25" s="23"/>
      <c r="F25" s="23"/>
      <c r="G25" s="23"/>
      <c r="H25" s="42">
        <v>0.2</v>
      </c>
      <c r="I25" s="23"/>
      <c r="J25" s="16"/>
    </row>
    <row r="26" spans="2:15" ht="16.5" customHeight="1" x14ac:dyDescent="0.2">
      <c r="B26" s="22" t="s">
        <v>46</v>
      </c>
      <c r="C26" s="23"/>
      <c r="D26" s="23"/>
      <c r="E26" s="23"/>
      <c r="F26" s="23"/>
      <c r="G26" s="23"/>
      <c r="H26" s="42">
        <v>1</v>
      </c>
      <c r="I26" s="23"/>
      <c r="J26" s="16"/>
    </row>
    <row r="27" spans="2:15" ht="16.5" customHeight="1" x14ac:dyDescent="0.2">
      <c r="B27" s="22" t="s">
        <v>47</v>
      </c>
      <c r="C27" s="23"/>
      <c r="D27" s="23"/>
      <c r="E27" s="23"/>
      <c r="F27" s="23"/>
      <c r="G27" s="23"/>
      <c r="H27" s="42">
        <v>0.3</v>
      </c>
      <c r="I27" s="23"/>
      <c r="J27" s="16"/>
    </row>
    <row r="28" spans="2:15" ht="16.5" customHeight="1" x14ac:dyDescent="0.2">
      <c r="B28" s="22" t="s">
        <v>48</v>
      </c>
      <c r="C28" s="23"/>
      <c r="D28" s="23"/>
      <c r="E28" s="23"/>
      <c r="F28" s="23"/>
      <c r="G28" s="23"/>
      <c r="H28" s="39">
        <v>0.03</v>
      </c>
      <c r="I28" s="23"/>
      <c r="J28" s="16"/>
    </row>
    <row r="29" spans="2:15" ht="16.5" customHeight="1" x14ac:dyDescent="0.2">
      <c r="B29" s="22"/>
      <c r="C29" s="23"/>
      <c r="D29" s="23"/>
      <c r="E29" s="23"/>
      <c r="F29" s="23"/>
      <c r="G29" s="23"/>
      <c r="H29" s="34"/>
      <c r="I29" s="23"/>
      <c r="J29" s="16"/>
    </row>
    <row r="30" spans="2:15" ht="16.5" customHeight="1" x14ac:dyDescent="0.2">
      <c r="B30" s="10" t="s">
        <v>10</v>
      </c>
      <c r="C30" s="11"/>
      <c r="D30" s="11"/>
      <c r="E30" s="11"/>
      <c r="F30" s="11"/>
      <c r="G30" s="11"/>
      <c r="H30" s="11"/>
      <c r="I30" s="11"/>
      <c r="J30" s="12"/>
    </row>
    <row r="31" spans="2:15" ht="16.5" customHeight="1" x14ac:dyDescent="0.2">
      <c r="B31" s="32" t="s">
        <v>22</v>
      </c>
      <c r="C31" s="25"/>
      <c r="D31" s="25"/>
      <c r="E31" s="23"/>
      <c r="F31" s="23"/>
      <c r="G31" s="23"/>
      <c r="H31" s="23"/>
      <c r="I31" s="33"/>
      <c r="J31" s="16"/>
    </row>
    <row r="32" spans="2:15" ht="3.75" customHeight="1" x14ac:dyDescent="0.2">
      <c r="B32" s="24"/>
      <c r="C32" s="25"/>
      <c r="D32" s="25"/>
      <c r="E32" s="23"/>
      <c r="F32" s="23"/>
      <c r="G32" s="23"/>
      <c r="H32" s="23"/>
      <c r="I32" s="33"/>
      <c r="J32" s="16"/>
    </row>
    <row r="33" spans="2:10" ht="16.5" customHeight="1" x14ac:dyDescent="0.2">
      <c r="B33" s="22" t="s">
        <v>23</v>
      </c>
      <c r="C33" s="25"/>
      <c r="D33" s="25"/>
      <c r="E33" s="23"/>
      <c r="F33" s="23"/>
      <c r="G33" s="23"/>
      <c r="H33" s="28">
        <f>(9.87/H13^2)*(H15*H14/H12)^0.5/(2*PI())</f>
        <v>11.164612281318391</v>
      </c>
      <c r="I33" s="23" t="s">
        <v>21</v>
      </c>
      <c r="J33" s="16"/>
    </row>
    <row r="34" spans="2:10" ht="16.5" customHeight="1" x14ac:dyDescent="0.2">
      <c r="B34" s="22" t="s">
        <v>49</v>
      </c>
      <c r="C34" s="23"/>
      <c r="D34" s="23"/>
      <c r="E34" s="23"/>
      <c r="F34" s="23"/>
      <c r="G34" s="23"/>
      <c r="H34" s="28">
        <f>((1-(H21/H33)^2)^2+4*H16^2*(H21/H33)^2)^-0.5</f>
        <v>1.0777496583229371</v>
      </c>
      <c r="I34" s="23"/>
      <c r="J34" s="16"/>
    </row>
    <row r="35" spans="2:10" ht="16.5" customHeight="1" x14ac:dyDescent="0.2">
      <c r="B35" s="22" t="s">
        <v>50</v>
      </c>
      <c r="C35" s="23"/>
      <c r="D35" s="23"/>
      <c r="E35" s="23"/>
      <c r="F35" s="23"/>
      <c r="G35" s="23"/>
      <c r="H35" s="28">
        <f>((1-(2*H21/H33)^2)^2+4*H16^2*(2*H21/H33)^2)^-0.5</f>
        <v>1.4054560523219539</v>
      </c>
      <c r="I35" s="23"/>
      <c r="J35" s="16"/>
    </row>
    <row r="36" spans="2:10" ht="16.5" customHeight="1" x14ac:dyDescent="0.2">
      <c r="B36" s="22" t="s">
        <v>51</v>
      </c>
      <c r="C36" s="23"/>
      <c r="D36" s="23"/>
      <c r="E36" s="23"/>
      <c r="F36" s="23"/>
      <c r="G36" s="23"/>
      <c r="H36" s="28">
        <f>((1-(3*H21/H33)^2)^2+4*H16^2*(3*H21/H33)^2)^-0.5</f>
        <v>2.8437003767149971</v>
      </c>
      <c r="I36" s="23"/>
      <c r="J36" s="16"/>
    </row>
    <row r="37" spans="2:10" ht="16.5" customHeight="1" x14ac:dyDescent="0.2">
      <c r="B37" s="22" t="s">
        <v>52</v>
      </c>
      <c r="C37" s="23"/>
      <c r="D37" s="23"/>
      <c r="E37" s="23"/>
      <c r="F37" s="23"/>
      <c r="G37" s="23"/>
      <c r="H37" s="28">
        <f>IF(H20&gt;1,IF((0.999*H33&lt;H21)*(H21&lt;1.001*H33),(H26+(1-H26)/(0.81*H20))^0.5,(H26+(1-H26)/(0.75*H20))^0.5),1)</f>
        <v>1</v>
      </c>
      <c r="I37" s="33"/>
      <c r="J37" s="16"/>
    </row>
    <row r="38" spans="2:10" ht="16.5" customHeight="1" x14ac:dyDescent="0.2">
      <c r="B38" s="22" t="s">
        <v>53</v>
      </c>
      <c r="C38" s="23"/>
      <c r="D38" s="23"/>
      <c r="E38" s="23"/>
      <c r="F38" s="23"/>
      <c r="G38" s="23"/>
      <c r="H38" s="28">
        <f>IF(H20&gt;1,IF((0.999*H33&lt;2*H21)*(2*H21&lt;1.001*H33),(H27+(1-H27)/(0.81*H20))^0.5,(H27+(1-H27)/(0.75*H20))^0.5),1)</f>
        <v>1</v>
      </c>
      <c r="I38" s="23"/>
      <c r="J38" s="16"/>
    </row>
    <row r="39" spans="2:10" ht="16.5" customHeight="1" x14ac:dyDescent="0.2">
      <c r="B39" s="22" t="s">
        <v>54</v>
      </c>
      <c r="C39" s="23"/>
      <c r="D39" s="23"/>
      <c r="E39" s="23"/>
      <c r="F39" s="23"/>
      <c r="G39" s="23"/>
      <c r="H39" s="28">
        <f>IF(H20&gt;1,IF((0.999*H33&lt;3*H21)*(3*H21&lt;1.001*H33),(H28+(1-H28)/(0.81*H20))^0.5,(H28+(1-H28)/(0.75*H20))^0.5),1)</f>
        <v>1</v>
      </c>
      <c r="I39" s="23"/>
      <c r="J39" s="16"/>
    </row>
    <row r="40" spans="2:10" ht="16.5" customHeight="1" x14ac:dyDescent="0.2">
      <c r="B40" s="29"/>
      <c r="C40" s="30"/>
      <c r="D40" s="30"/>
      <c r="E40" s="30"/>
      <c r="F40" s="30"/>
      <c r="G40" s="30"/>
      <c r="H40" s="54"/>
      <c r="I40" s="17"/>
      <c r="J40" s="18"/>
    </row>
    <row r="41" spans="2:10" ht="16.5" customHeight="1" x14ac:dyDescent="0.2">
      <c r="B41" s="24" t="s">
        <v>63</v>
      </c>
      <c r="C41" s="19"/>
      <c r="D41" s="19"/>
      <c r="E41" s="19"/>
      <c r="F41" s="19"/>
      <c r="G41" s="19"/>
      <c r="H41" s="28"/>
      <c r="I41" s="23"/>
      <c r="J41" s="16"/>
    </row>
    <row r="42" spans="2:10" ht="16.5" customHeight="1" x14ac:dyDescent="0.2">
      <c r="B42" s="22" t="s">
        <v>66</v>
      </c>
      <c r="C42" s="19"/>
      <c r="D42" s="19"/>
      <c r="E42" s="19"/>
      <c r="F42" s="19"/>
      <c r="G42" s="19"/>
      <c r="H42" s="28">
        <f>IF(((0.99*H21&lt;H33)*AND(1.01*H21&gt;H33))+OR((1.99*H21&lt;H33)*AND(2.01*H21&gt;H33))+OR((2.99*H21&lt;H33)*AND(3.01*H21&gt;H33)),1,1.5)</f>
        <v>1.5</v>
      </c>
      <c r="J42" s="16"/>
    </row>
    <row r="43" spans="2:10" ht="16.5" customHeight="1" x14ac:dyDescent="0.2">
      <c r="B43" s="22" t="s">
        <v>67</v>
      </c>
      <c r="C43" s="19"/>
      <c r="D43" s="19"/>
      <c r="E43" s="19"/>
      <c r="F43" s="19"/>
      <c r="G43" s="19"/>
      <c r="H43" s="28">
        <f>H42*((H23*H34*H37)^2+(H24*H35*H38)^2+(H25*H36*H39)^2)^0.5</f>
        <v>3.4442317418466679</v>
      </c>
      <c r="J43" s="16"/>
    </row>
    <row r="44" spans="2:10" ht="16.5" customHeight="1" x14ac:dyDescent="0.2">
      <c r="B44" s="22"/>
      <c r="C44" s="19"/>
      <c r="D44" s="19"/>
      <c r="E44" s="19"/>
      <c r="F44" s="19"/>
      <c r="G44" s="19"/>
      <c r="H44" s="28"/>
      <c r="J44" s="16"/>
    </row>
    <row r="45" spans="2:10" ht="16.5" customHeight="1" x14ac:dyDescent="0.2">
      <c r="B45" s="45" t="s">
        <v>34</v>
      </c>
      <c r="C45" s="25"/>
      <c r="D45" s="25"/>
      <c r="E45" s="23"/>
      <c r="F45" s="23"/>
      <c r="G45" s="23"/>
      <c r="H45" s="28">
        <f>(1+H43)*H22</f>
        <v>3.3331738063850009</v>
      </c>
      <c r="I45" s="23" t="s">
        <v>35</v>
      </c>
      <c r="J45" s="16"/>
    </row>
    <row r="46" spans="2:10" ht="16.5" customHeight="1" x14ac:dyDescent="0.2">
      <c r="B46" s="50"/>
      <c r="C46" s="51"/>
      <c r="D46" s="51"/>
      <c r="E46" s="30"/>
      <c r="F46" s="30"/>
      <c r="G46" s="30"/>
      <c r="H46" s="30"/>
      <c r="I46" s="52"/>
      <c r="J46" s="18"/>
    </row>
    <row r="47" spans="2:10" ht="16.5" customHeight="1" x14ac:dyDescent="0.2">
      <c r="B47" s="45" t="s">
        <v>64</v>
      </c>
      <c r="C47" s="25"/>
      <c r="D47" s="25"/>
      <c r="E47" s="23"/>
      <c r="F47" s="23"/>
      <c r="G47" s="23"/>
      <c r="H47" s="23"/>
      <c r="I47" s="33"/>
      <c r="J47" s="16"/>
    </row>
    <row r="48" spans="2:10" ht="16.5" customHeight="1" x14ac:dyDescent="0.2">
      <c r="B48" s="22" t="s">
        <v>65</v>
      </c>
      <c r="C48" s="25"/>
      <c r="D48" s="25"/>
      <c r="E48" s="23"/>
      <c r="F48" s="23"/>
      <c r="G48" s="23"/>
      <c r="H48" s="28">
        <f>(0.5*((H23*H34*H37)^2+(4*H24*H35*H38)^2+(9*H25*H36*H39)^2))^0.5</f>
        <v>5.5126739451978981</v>
      </c>
      <c r="I48" s="23"/>
      <c r="J48" s="16"/>
    </row>
    <row r="49" spans="2:12" ht="16.5" customHeight="1" x14ac:dyDescent="0.2">
      <c r="B49" s="22" t="s">
        <v>28</v>
      </c>
      <c r="C49" s="25"/>
      <c r="D49" s="25"/>
      <c r="E49" s="23"/>
      <c r="F49" s="23"/>
      <c r="G49" s="23"/>
      <c r="H49" s="35">
        <f>5/384*((1000*H22)/(H15*H14))*H13^4</f>
        <v>1.3808906367732308E-4</v>
      </c>
      <c r="I49" s="23" t="s">
        <v>0</v>
      </c>
      <c r="J49" s="16"/>
    </row>
    <row r="50" spans="2:12" ht="16.5" customHeight="1" x14ac:dyDescent="0.2">
      <c r="B50" s="22"/>
      <c r="C50" s="25"/>
      <c r="D50" s="25"/>
      <c r="E50" s="23"/>
      <c r="F50" s="23"/>
      <c r="G50" s="23"/>
      <c r="H50" s="35"/>
      <c r="I50" s="23"/>
      <c r="J50" s="16"/>
    </row>
    <row r="51" spans="2:12" ht="16.5" customHeight="1" x14ac:dyDescent="0.2">
      <c r="B51" s="45" t="s">
        <v>55</v>
      </c>
      <c r="C51" s="25"/>
      <c r="D51" s="25"/>
      <c r="E51" s="23"/>
      <c r="F51" s="23"/>
      <c r="G51" s="23"/>
      <c r="H51" s="28">
        <f>H48*(2*PI()*H21)^2*H49</f>
        <v>0.27047294967422653</v>
      </c>
      <c r="I51" s="23" t="s">
        <v>31</v>
      </c>
      <c r="J51" s="16"/>
    </row>
    <row r="52" spans="2:12" ht="16.5" customHeight="1" x14ac:dyDescent="0.2">
      <c r="B52" s="22"/>
      <c r="C52" s="23"/>
      <c r="D52" s="23"/>
      <c r="E52" s="23"/>
      <c r="F52" s="23"/>
      <c r="G52" s="23"/>
      <c r="H52" s="28">
        <f>H51/9.82*100</f>
        <v>2.7543070231591296</v>
      </c>
      <c r="I52" s="23" t="s">
        <v>24</v>
      </c>
      <c r="J52" s="16"/>
    </row>
    <row r="53" spans="2:12" ht="16.5" customHeight="1" x14ac:dyDescent="0.2">
      <c r="B53" s="29"/>
      <c r="C53" s="43"/>
      <c r="D53" s="43"/>
      <c r="E53" s="43"/>
      <c r="F53" s="43"/>
      <c r="G53" s="43"/>
      <c r="H53" s="44"/>
      <c r="I53" s="17"/>
      <c r="J53" s="18"/>
    </row>
    <row r="54" spans="2:12" ht="4.5" customHeight="1" x14ac:dyDescent="0.2">
      <c r="B54" s="22"/>
      <c r="C54" s="19"/>
      <c r="D54" s="19"/>
      <c r="E54" s="19"/>
      <c r="F54" s="19"/>
      <c r="G54" s="19"/>
      <c r="H54" s="26"/>
      <c r="J54" s="16"/>
    </row>
    <row r="55" spans="2:12" ht="17.25" customHeight="1" x14ac:dyDescent="0.2">
      <c r="B55" s="37" t="s">
        <v>11</v>
      </c>
      <c r="C55" s="36"/>
      <c r="D55" s="36"/>
      <c r="E55" s="36"/>
      <c r="F55" s="36"/>
      <c r="G55" s="36"/>
      <c r="H55" s="36"/>
      <c r="I55" s="36"/>
      <c r="J55" s="38"/>
      <c r="L55" s="53"/>
    </row>
    <row r="56" spans="2:12" ht="16.5" customHeight="1" x14ac:dyDescent="0.2">
      <c r="B56" s="49" t="s">
        <v>56</v>
      </c>
      <c r="J56" s="16"/>
    </row>
    <row r="57" spans="2:12" ht="3.75" customHeight="1" x14ac:dyDescent="0.2">
      <c r="B57" s="46"/>
      <c r="J57" s="16"/>
    </row>
    <row r="58" spans="2:12" ht="16.5" customHeight="1" x14ac:dyDescent="0.2">
      <c r="B58" s="24" t="s">
        <v>80</v>
      </c>
      <c r="C58" s="25"/>
      <c r="D58" s="25"/>
      <c r="E58" s="23"/>
      <c r="F58" s="23"/>
      <c r="G58" s="23"/>
      <c r="H58" s="48">
        <f>H51</f>
        <v>0.27047294967422653</v>
      </c>
      <c r="I58" s="25" t="s">
        <v>57</v>
      </c>
      <c r="J58" s="16"/>
    </row>
    <row r="59" spans="2:12" ht="16.5" customHeight="1" x14ac:dyDescent="0.2">
      <c r="B59" s="22"/>
      <c r="C59" s="23"/>
      <c r="D59" s="23"/>
      <c r="E59" s="23"/>
      <c r="F59" s="23"/>
      <c r="G59" s="23"/>
      <c r="H59" s="48">
        <f>H58/9.82*100</f>
        <v>2.7543070231591296</v>
      </c>
      <c r="I59" s="25" t="s">
        <v>24</v>
      </c>
      <c r="J59" s="16"/>
    </row>
    <row r="60" spans="2:12" ht="16.5" customHeight="1" x14ac:dyDescent="0.2">
      <c r="B60" s="22"/>
      <c r="C60" s="23"/>
      <c r="D60" s="23"/>
      <c r="E60" s="23"/>
      <c r="F60" s="23"/>
      <c r="G60" s="23"/>
      <c r="H60" s="48"/>
      <c r="I60" s="25"/>
      <c r="J60" s="16"/>
    </row>
    <row r="61" spans="2:12" ht="16.5" customHeight="1" x14ac:dyDescent="0.2">
      <c r="B61" s="24" t="s">
        <v>61</v>
      </c>
      <c r="C61" s="23"/>
      <c r="D61" s="23"/>
      <c r="E61" s="23"/>
      <c r="F61" s="23"/>
      <c r="G61" s="23"/>
      <c r="H61" s="48">
        <f>H45</f>
        <v>3.3331738063850009</v>
      </c>
      <c r="I61" s="25" t="s">
        <v>35</v>
      </c>
      <c r="J61" s="16"/>
    </row>
    <row r="62" spans="2:12" ht="3.75" customHeight="1" x14ac:dyDescent="0.2">
      <c r="B62" s="47"/>
      <c r="C62" s="17"/>
      <c r="D62" s="17"/>
      <c r="E62" s="17"/>
      <c r="F62" s="17"/>
      <c r="G62" s="17"/>
      <c r="H62" s="17"/>
      <c r="I62" s="17"/>
      <c r="J62" s="18"/>
    </row>
    <row r="63" spans="2:12" ht="3.75" customHeight="1" x14ac:dyDescent="0.2"/>
    <row r="64" spans="2:12" ht="16.5" customHeight="1" x14ac:dyDescent="0.2"/>
  </sheetData>
  <sheetProtection password="DDC8" sheet="1" objects="1" scenarios="1"/>
  <mergeCells count="9">
    <mergeCell ref="I5:J5"/>
    <mergeCell ref="I4:J4"/>
    <mergeCell ref="B1:J1"/>
    <mergeCell ref="B2:H2"/>
    <mergeCell ref="I2:J2"/>
    <mergeCell ref="B3:H3"/>
    <mergeCell ref="I3:J3"/>
    <mergeCell ref="C4:G4"/>
    <mergeCell ref="C5:G5"/>
  </mergeCells>
  <phoneticPr fontId="4" type="noConversion"/>
  <pageMargins left="0.78740157480314965" right="0.74803149606299213" top="0.82677165354330717" bottom="0.98425196850393704" header="0.51181102362204722" footer="0.51181102362204722"/>
  <pageSetup paperSize="9" orientation="portrait" horizontalDpi="300" verticalDpi="300" r:id="rId1"/>
  <headerFooter alignWithMargins="0">
    <oddFooter>&amp;L&amp;8&amp;Z&amp;F&amp;R&amp;8Side &amp;P</oddFooter>
  </headerFooter>
  <rowBreaks count="1" manualBreakCount="1">
    <brk id="46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62BDF-176B-45FB-9194-36C3B4E27E07}">
  <dimension ref="B1:T60"/>
  <sheetViews>
    <sheetView zoomScaleNormal="100" workbookViewId="0">
      <selection activeCell="C4" sqref="C4:G4"/>
    </sheetView>
  </sheetViews>
  <sheetFormatPr defaultRowHeight="12.75" x14ac:dyDescent="0.2"/>
  <cols>
    <col min="1" max="1" width="2.140625" customWidth="1"/>
    <col min="3" max="3" width="5.7109375" bestFit="1" customWidth="1"/>
    <col min="7" max="7" width="8.85546875" customWidth="1"/>
    <col min="8" max="8" width="12" bestFit="1" customWidth="1"/>
    <col min="11" max="11" width="1.7109375" customWidth="1"/>
  </cols>
  <sheetData>
    <row r="1" spans="2:20" ht="15" customHeight="1" x14ac:dyDescent="0.2">
      <c r="B1" s="68" t="s">
        <v>58</v>
      </c>
      <c r="C1" s="69"/>
      <c r="D1" s="69"/>
      <c r="E1" s="69"/>
      <c r="F1" s="69"/>
      <c r="G1" s="69"/>
      <c r="H1" s="69"/>
      <c r="I1" s="69"/>
      <c r="J1" s="70"/>
      <c r="L1" s="2"/>
      <c r="M1" s="1"/>
    </row>
    <row r="2" spans="2:20" ht="30" customHeight="1" x14ac:dyDescent="0.2">
      <c r="B2" s="71" t="s">
        <v>42</v>
      </c>
      <c r="C2" s="72"/>
      <c r="D2" s="72"/>
      <c r="E2" s="72"/>
      <c r="F2" s="72"/>
      <c r="G2" s="72"/>
      <c r="H2" s="72"/>
      <c r="I2" s="73" t="s">
        <v>86</v>
      </c>
      <c r="J2" s="74"/>
      <c r="M2" s="3"/>
      <c r="N2" s="3"/>
      <c r="O2" s="3"/>
      <c r="P2" s="3"/>
      <c r="Q2" s="3"/>
      <c r="R2" s="3"/>
      <c r="S2" s="3"/>
      <c r="T2" s="3"/>
    </row>
    <row r="3" spans="2:20" ht="15" customHeight="1" x14ac:dyDescent="0.2">
      <c r="B3" s="75" t="s">
        <v>84</v>
      </c>
      <c r="C3" s="76"/>
      <c r="D3" s="76"/>
      <c r="E3" s="76"/>
      <c r="F3" s="76"/>
      <c r="G3" s="76"/>
      <c r="H3" s="76"/>
      <c r="I3" s="77"/>
      <c r="J3" s="78"/>
      <c r="M3" s="3"/>
      <c r="N3" s="3"/>
      <c r="O3" s="3"/>
      <c r="P3" s="3"/>
      <c r="Q3" s="3"/>
      <c r="R3" s="3"/>
      <c r="S3" s="3"/>
      <c r="T3" s="3"/>
    </row>
    <row r="4" spans="2:20" ht="16.5" customHeight="1" x14ac:dyDescent="0.2">
      <c r="B4" s="4" t="s">
        <v>1</v>
      </c>
      <c r="C4" s="79" t="s">
        <v>69</v>
      </c>
      <c r="D4" s="79"/>
      <c r="E4" s="79"/>
      <c r="F4" s="79"/>
      <c r="G4" s="79"/>
      <c r="H4" s="5" t="s">
        <v>2</v>
      </c>
      <c r="I4" s="79" t="s">
        <v>13</v>
      </c>
      <c r="J4" s="80"/>
      <c r="M4" s="3"/>
      <c r="N4" s="3"/>
      <c r="O4" s="3"/>
      <c r="P4" s="3"/>
      <c r="Q4" s="3"/>
      <c r="R4" s="3"/>
      <c r="S4" s="3"/>
      <c r="T4" s="3"/>
    </row>
    <row r="5" spans="2:20" x14ac:dyDescent="0.2">
      <c r="B5" s="4" t="s">
        <v>3</v>
      </c>
      <c r="C5" s="65" t="s">
        <v>12</v>
      </c>
      <c r="D5" s="65"/>
      <c r="E5" s="65"/>
      <c r="F5" s="65"/>
      <c r="G5" s="65"/>
      <c r="H5" s="5" t="s">
        <v>4</v>
      </c>
      <c r="I5" s="66" t="s">
        <v>13</v>
      </c>
      <c r="J5" s="67"/>
    </row>
    <row r="6" spans="2:20" ht="16.5" customHeight="1" x14ac:dyDescent="0.2">
      <c r="B6" s="6" t="s">
        <v>5</v>
      </c>
      <c r="C6" s="8" t="s">
        <v>13</v>
      </c>
      <c r="D6" s="7" t="s">
        <v>6</v>
      </c>
      <c r="E6" s="8" t="s">
        <v>13</v>
      </c>
      <c r="F6" s="7" t="s">
        <v>7</v>
      </c>
      <c r="G6" s="8" t="s">
        <v>13</v>
      </c>
      <c r="H6" s="7" t="s">
        <v>8</v>
      </c>
      <c r="I6" s="8"/>
      <c r="J6" s="21" t="s">
        <v>14</v>
      </c>
      <c r="L6" s="9"/>
      <c r="N6" s="9"/>
      <c r="P6" s="9"/>
    </row>
    <row r="7" spans="2:20" ht="4.5" customHeight="1" x14ac:dyDescent="0.2">
      <c r="B7" s="13"/>
      <c r="C7" s="14"/>
      <c r="D7" s="14"/>
      <c r="E7" s="14"/>
      <c r="F7" s="14"/>
      <c r="G7" s="14"/>
      <c r="H7" s="14"/>
      <c r="I7" s="14"/>
      <c r="J7" s="15"/>
    </row>
    <row r="8" spans="2:20" ht="16.5" customHeight="1" x14ac:dyDescent="0.2">
      <c r="B8" s="10" t="s">
        <v>9</v>
      </c>
      <c r="C8" s="11"/>
      <c r="D8" s="11"/>
      <c r="E8" s="11"/>
      <c r="F8" s="11"/>
      <c r="G8" s="11"/>
      <c r="H8" s="11"/>
      <c r="I8" s="11"/>
      <c r="J8" s="12"/>
    </row>
    <row r="9" spans="2:20" ht="16.5" customHeight="1" x14ac:dyDescent="0.2">
      <c r="B9" s="31" t="s">
        <v>16</v>
      </c>
      <c r="C9" s="19"/>
      <c r="D9" s="19"/>
      <c r="E9" s="19"/>
      <c r="F9" s="19"/>
      <c r="G9" s="19"/>
      <c r="H9" s="19"/>
      <c r="J9" s="16"/>
    </row>
    <row r="10" spans="2:20" ht="4.5" customHeight="1" x14ac:dyDescent="0.2">
      <c r="B10" s="20"/>
      <c r="C10" s="19"/>
      <c r="D10" s="19"/>
      <c r="E10" s="19"/>
      <c r="F10" s="19"/>
      <c r="G10" s="19"/>
      <c r="H10" s="19"/>
      <c r="J10" s="16"/>
    </row>
    <row r="11" spans="2:20" ht="16.5" customHeight="1" x14ac:dyDescent="0.2">
      <c r="B11" s="24" t="s">
        <v>26</v>
      </c>
      <c r="C11" s="23"/>
      <c r="D11" s="23"/>
      <c r="E11" s="23"/>
      <c r="F11" s="23"/>
      <c r="G11" s="23"/>
      <c r="H11" s="41"/>
      <c r="I11" s="23"/>
      <c r="J11" s="16"/>
      <c r="R11" s="3"/>
    </row>
    <row r="12" spans="2:20" ht="16.5" customHeight="1" x14ac:dyDescent="0.2">
      <c r="B12" s="22" t="s">
        <v>17</v>
      </c>
      <c r="C12" s="23"/>
      <c r="D12" s="23"/>
      <c r="E12" s="23"/>
      <c r="F12" s="23"/>
      <c r="G12" s="23"/>
      <c r="H12" s="39">
        <v>7032</v>
      </c>
      <c r="I12" s="23" t="s">
        <v>25</v>
      </c>
      <c r="J12" s="16"/>
    </row>
    <row r="13" spans="2:20" ht="16.5" customHeight="1" x14ac:dyDescent="0.2">
      <c r="B13" s="22" t="s">
        <v>36</v>
      </c>
      <c r="C13" s="23"/>
      <c r="D13" s="23"/>
      <c r="E13" s="23"/>
      <c r="F13" s="23"/>
      <c r="G13" s="23"/>
      <c r="H13" s="39">
        <v>7.7050000000000001</v>
      </c>
      <c r="I13" s="23" t="s">
        <v>0</v>
      </c>
      <c r="J13" s="16"/>
    </row>
    <row r="14" spans="2:20" ht="16.5" customHeight="1" x14ac:dyDescent="0.2">
      <c r="B14" s="22" t="s">
        <v>32</v>
      </c>
      <c r="C14" s="23"/>
      <c r="D14" s="23"/>
      <c r="E14" s="23"/>
      <c r="F14" s="23"/>
      <c r="G14" s="23"/>
      <c r="H14" s="40">
        <v>7.9799999999999996E-2</v>
      </c>
      <c r="I14" s="23" t="s">
        <v>33</v>
      </c>
      <c r="J14" s="16"/>
    </row>
    <row r="15" spans="2:20" ht="16.5" customHeight="1" x14ac:dyDescent="0.2">
      <c r="B15" s="22" t="s">
        <v>18</v>
      </c>
      <c r="C15" s="23"/>
      <c r="D15" s="23"/>
      <c r="E15" s="23"/>
      <c r="F15" s="23"/>
      <c r="G15" s="23"/>
      <c r="H15" s="40">
        <v>40000000000</v>
      </c>
      <c r="I15" s="23" t="s">
        <v>30</v>
      </c>
      <c r="J15" s="16"/>
    </row>
    <row r="16" spans="2:20" ht="16.5" customHeight="1" x14ac:dyDescent="0.2">
      <c r="B16" s="22" t="s">
        <v>19</v>
      </c>
      <c r="C16" s="23"/>
      <c r="D16" s="23"/>
      <c r="E16" s="23"/>
      <c r="F16" s="23"/>
      <c r="G16" s="23"/>
      <c r="H16" s="39">
        <v>0.02</v>
      </c>
      <c r="I16" s="23"/>
      <c r="J16" s="16"/>
    </row>
    <row r="17" spans="2:15" ht="16.5" customHeight="1" x14ac:dyDescent="0.2">
      <c r="B17" s="29"/>
      <c r="C17" s="30"/>
      <c r="D17" s="30"/>
      <c r="E17" s="30"/>
      <c r="F17" s="30"/>
      <c r="G17" s="30"/>
      <c r="H17" s="30"/>
      <c r="I17" s="30"/>
      <c r="J17" s="18"/>
    </row>
    <row r="18" spans="2:15" ht="16.5" customHeight="1" x14ac:dyDescent="0.2">
      <c r="B18" s="31" t="s">
        <v>15</v>
      </c>
      <c r="C18" s="23"/>
      <c r="D18" s="23"/>
      <c r="E18" s="23"/>
      <c r="F18" s="23"/>
      <c r="G18" s="23"/>
      <c r="H18" s="23"/>
      <c r="I18" s="23"/>
      <c r="J18" s="16"/>
    </row>
    <row r="19" spans="2:15" ht="4.5" customHeight="1" x14ac:dyDescent="0.2">
      <c r="B19" s="4"/>
      <c r="C19" s="23"/>
      <c r="D19" s="23"/>
      <c r="E19" s="23"/>
      <c r="F19" s="23"/>
      <c r="G19" s="23"/>
      <c r="H19" s="23"/>
      <c r="I19" s="23"/>
      <c r="J19" s="16"/>
    </row>
    <row r="20" spans="2:15" ht="16.5" customHeight="1" x14ac:dyDescent="0.2">
      <c r="B20" s="22" t="s">
        <v>20</v>
      </c>
      <c r="C20" s="23"/>
      <c r="D20" s="23"/>
      <c r="E20" s="23"/>
      <c r="F20" s="23"/>
      <c r="G20" s="23"/>
      <c r="H20" s="39">
        <v>40</v>
      </c>
      <c r="I20" s="23"/>
      <c r="J20" s="16"/>
      <c r="O20" s="23"/>
    </row>
    <row r="21" spans="2:15" ht="16.5" customHeight="1" x14ac:dyDescent="0.2">
      <c r="B21" s="22" t="s">
        <v>68</v>
      </c>
      <c r="C21" s="23"/>
      <c r="D21" s="23"/>
      <c r="E21" s="23"/>
      <c r="F21" s="23"/>
      <c r="G21" s="23"/>
      <c r="H21" s="42">
        <v>3</v>
      </c>
      <c r="I21" s="23" t="s">
        <v>21</v>
      </c>
      <c r="J21" s="16"/>
    </row>
    <row r="22" spans="2:15" ht="16.5" customHeight="1" x14ac:dyDescent="0.2">
      <c r="B22" s="22" t="s">
        <v>27</v>
      </c>
      <c r="C22" s="23"/>
      <c r="D22" s="23"/>
      <c r="E22" s="23"/>
      <c r="F22" s="23"/>
      <c r="G22" s="23"/>
      <c r="H22" s="39">
        <v>6</v>
      </c>
      <c r="I22" s="23" t="s">
        <v>35</v>
      </c>
      <c r="J22" s="16"/>
    </row>
    <row r="23" spans="2:15" ht="16.5" customHeight="1" x14ac:dyDescent="0.2">
      <c r="B23" s="22" t="s">
        <v>43</v>
      </c>
      <c r="C23" s="23"/>
      <c r="D23" s="23"/>
      <c r="E23" s="23"/>
      <c r="F23" s="23"/>
      <c r="G23" s="23"/>
      <c r="H23" s="42">
        <v>1.6</v>
      </c>
      <c r="I23" s="23"/>
      <c r="J23" s="16"/>
    </row>
    <row r="24" spans="2:15" ht="16.5" customHeight="1" x14ac:dyDescent="0.2">
      <c r="B24" s="22" t="s">
        <v>44</v>
      </c>
      <c r="C24" s="23"/>
      <c r="D24" s="23"/>
      <c r="E24" s="23"/>
      <c r="F24" s="23"/>
      <c r="G24" s="23"/>
      <c r="H24" s="42">
        <v>1</v>
      </c>
      <c r="I24" s="23"/>
      <c r="J24" s="16"/>
    </row>
    <row r="25" spans="2:15" ht="16.5" customHeight="1" x14ac:dyDescent="0.2">
      <c r="B25" s="22" t="s">
        <v>45</v>
      </c>
      <c r="C25" s="23"/>
      <c r="D25" s="23"/>
      <c r="E25" s="23"/>
      <c r="F25" s="23"/>
      <c r="G25" s="23"/>
      <c r="H25" s="42">
        <v>0.2</v>
      </c>
      <c r="I25" s="23"/>
      <c r="J25" s="16"/>
    </row>
    <row r="26" spans="2:15" ht="16.5" customHeight="1" x14ac:dyDescent="0.2">
      <c r="B26" s="22" t="s">
        <v>46</v>
      </c>
      <c r="C26" s="23"/>
      <c r="D26" s="23"/>
      <c r="E26" s="23"/>
      <c r="F26" s="23"/>
      <c r="G26" s="23"/>
      <c r="H26" s="42">
        <v>1</v>
      </c>
      <c r="I26" s="23"/>
      <c r="J26" s="16"/>
    </row>
    <row r="27" spans="2:15" ht="16.5" customHeight="1" x14ac:dyDescent="0.2">
      <c r="B27" s="22" t="s">
        <v>47</v>
      </c>
      <c r="C27" s="23"/>
      <c r="D27" s="23"/>
      <c r="E27" s="23"/>
      <c r="F27" s="23"/>
      <c r="G27" s="23"/>
      <c r="H27" s="42">
        <v>0.3</v>
      </c>
      <c r="I27" s="23"/>
      <c r="J27" s="16"/>
    </row>
    <row r="28" spans="2:15" ht="16.5" customHeight="1" x14ac:dyDescent="0.2">
      <c r="B28" s="22" t="s">
        <v>48</v>
      </c>
      <c r="C28" s="23"/>
      <c r="D28" s="23"/>
      <c r="E28" s="23"/>
      <c r="F28" s="23"/>
      <c r="G28" s="23"/>
      <c r="H28" s="39">
        <v>0.03</v>
      </c>
      <c r="I28" s="23"/>
      <c r="J28" s="16"/>
    </row>
    <row r="29" spans="2:15" ht="16.5" customHeight="1" x14ac:dyDescent="0.2">
      <c r="B29" s="22"/>
      <c r="C29" s="23"/>
      <c r="D29" s="23"/>
      <c r="E29" s="23"/>
      <c r="F29" s="23"/>
      <c r="G29" s="23"/>
      <c r="H29" s="34"/>
      <c r="I29" s="23"/>
      <c r="J29" s="16"/>
    </row>
    <row r="30" spans="2:15" ht="16.5" customHeight="1" x14ac:dyDescent="0.2">
      <c r="B30" s="10" t="s">
        <v>10</v>
      </c>
      <c r="C30" s="11"/>
      <c r="D30" s="11"/>
      <c r="E30" s="11"/>
      <c r="F30" s="11"/>
      <c r="G30" s="11"/>
      <c r="H30" s="11"/>
      <c r="I30" s="11"/>
      <c r="J30" s="12"/>
    </row>
    <row r="31" spans="2:15" ht="16.5" customHeight="1" x14ac:dyDescent="0.2">
      <c r="B31" s="32" t="s">
        <v>22</v>
      </c>
      <c r="C31" s="25"/>
      <c r="D31" s="25"/>
      <c r="E31" s="23"/>
      <c r="F31" s="23"/>
      <c r="G31" s="23"/>
      <c r="H31" s="23"/>
      <c r="I31" s="33"/>
      <c r="J31" s="16"/>
    </row>
    <row r="32" spans="2:15" ht="3.75" customHeight="1" x14ac:dyDescent="0.2">
      <c r="B32" s="24"/>
      <c r="C32" s="25"/>
      <c r="D32" s="25"/>
      <c r="E32" s="23"/>
      <c r="F32" s="23"/>
      <c r="G32" s="23"/>
      <c r="H32" s="23"/>
      <c r="I32" s="33"/>
      <c r="J32" s="16"/>
    </row>
    <row r="33" spans="2:10" ht="16.5" customHeight="1" x14ac:dyDescent="0.2">
      <c r="B33" s="22" t="s">
        <v>23</v>
      </c>
      <c r="C33" s="25"/>
      <c r="D33" s="25"/>
      <c r="E33" s="23"/>
      <c r="F33" s="23"/>
      <c r="G33" s="23"/>
      <c r="H33" s="28">
        <f>(3.52/H13^2)*(H15*H14/H12)^0.5/(2*PI())</f>
        <v>6.3578389014625643</v>
      </c>
      <c r="I33" s="23" t="s">
        <v>21</v>
      </c>
      <c r="J33" s="16"/>
    </row>
    <row r="34" spans="2:10" ht="16.5" customHeight="1" x14ac:dyDescent="0.2">
      <c r="B34" s="22" t="s">
        <v>49</v>
      </c>
      <c r="C34" s="23"/>
      <c r="D34" s="23"/>
      <c r="E34" s="23"/>
      <c r="F34" s="23"/>
      <c r="G34" s="23"/>
      <c r="H34" s="28">
        <f>((1-(H21/H33)^2)^2+4*H16^2*(H21/H33)^2)^-0.5</f>
        <v>1.2860434432114192</v>
      </c>
      <c r="I34" s="23"/>
      <c r="J34" s="16"/>
    </row>
    <row r="35" spans="2:10" ht="16.5" customHeight="1" x14ac:dyDescent="0.2">
      <c r="B35" s="22" t="s">
        <v>50</v>
      </c>
      <c r="C35" s="23"/>
      <c r="D35" s="23"/>
      <c r="E35" s="23"/>
      <c r="F35" s="23"/>
      <c r="G35" s="23"/>
      <c r="H35" s="28">
        <f>((1-(2*H21/H33)^2)^2+4*H16^2*(2*H21/H33)^2)^-0.5</f>
        <v>8.6409491124572924</v>
      </c>
      <c r="I35" s="23"/>
      <c r="J35" s="16"/>
    </row>
    <row r="36" spans="2:10" ht="16.5" customHeight="1" x14ac:dyDescent="0.2">
      <c r="B36" s="22" t="s">
        <v>51</v>
      </c>
      <c r="C36" s="23"/>
      <c r="D36" s="23"/>
      <c r="E36" s="23"/>
      <c r="F36" s="23"/>
      <c r="G36" s="23"/>
      <c r="H36" s="28">
        <f>((1-(3*H21/H33)^2)^2+4*H16^2*(3*H21/H33)^2)^-0.5</f>
        <v>0.99458031327828678</v>
      </c>
      <c r="I36" s="23"/>
      <c r="J36" s="16"/>
    </row>
    <row r="37" spans="2:10" ht="16.5" customHeight="1" x14ac:dyDescent="0.2">
      <c r="B37" s="22" t="s">
        <v>52</v>
      </c>
      <c r="C37" s="23"/>
      <c r="D37" s="23"/>
      <c r="E37" s="23"/>
      <c r="F37" s="23"/>
      <c r="G37" s="23"/>
      <c r="H37" s="28">
        <f>IF(H20&gt;1,IF((0.999*H33&lt;H21)*(H21&lt;1.001*H33),(H26+(1-H26)/(0.81*H20))^0.5,(H26+(1-H26)/(0.75*H20))^0.5),1)</f>
        <v>1</v>
      </c>
      <c r="I37" s="33"/>
      <c r="J37" s="16"/>
    </row>
    <row r="38" spans="2:10" ht="16.5" customHeight="1" x14ac:dyDescent="0.2">
      <c r="B38" s="22" t="s">
        <v>53</v>
      </c>
      <c r="C38" s="23"/>
      <c r="D38" s="23"/>
      <c r="E38" s="23"/>
      <c r="F38" s="23"/>
      <c r="G38" s="23"/>
      <c r="H38" s="28">
        <f>IF(H20&gt;1,IF((0.999*H33&lt;2*H21)*(2*H21&lt;1.001*H33),(H27+(1-H27)/(0.81*H20))^0.5,(H27+(1-H27)/(0.75*H20))^0.5),1)</f>
        <v>0.56862407030773265</v>
      </c>
      <c r="I38" s="23"/>
      <c r="J38" s="16"/>
    </row>
    <row r="39" spans="2:10" ht="16.5" customHeight="1" x14ac:dyDescent="0.2">
      <c r="B39" s="22" t="s">
        <v>54</v>
      </c>
      <c r="C39" s="23"/>
      <c r="D39" s="23"/>
      <c r="E39" s="23"/>
      <c r="F39" s="23"/>
      <c r="G39" s="23"/>
      <c r="H39" s="28">
        <f>IF(H20&gt;1,IF((0.999*H33&lt;3*H21)*(3*H21&lt;1.001*H33),(H28+(1-H28)/(0.81*H20))^0.5,(H28+(1-H28)/(0.75*H20))^0.5),1)</f>
        <v>0.2496664441476534</v>
      </c>
      <c r="I39" s="23"/>
      <c r="J39" s="16"/>
    </row>
    <row r="40" spans="2:10" ht="16.5" customHeight="1" x14ac:dyDescent="0.2">
      <c r="B40" s="29"/>
      <c r="C40" s="30"/>
      <c r="D40" s="30"/>
      <c r="E40" s="30"/>
      <c r="F40" s="30"/>
      <c r="G40" s="30"/>
      <c r="H40" s="54"/>
      <c r="I40" s="17"/>
      <c r="J40" s="18"/>
    </row>
    <row r="41" spans="2:10" ht="16.5" customHeight="1" x14ac:dyDescent="0.2">
      <c r="B41" s="24" t="s">
        <v>63</v>
      </c>
      <c r="C41" s="19"/>
      <c r="D41" s="19"/>
      <c r="E41" s="19"/>
      <c r="F41" s="19"/>
      <c r="G41" s="19"/>
      <c r="H41" s="28"/>
      <c r="I41" s="23"/>
      <c r="J41" s="16"/>
    </row>
    <row r="42" spans="2:10" ht="16.5" customHeight="1" x14ac:dyDescent="0.2">
      <c r="B42" s="22" t="s">
        <v>66</v>
      </c>
      <c r="C42" s="19"/>
      <c r="D42" s="19"/>
      <c r="E42" s="19"/>
      <c r="F42" s="19"/>
      <c r="G42" s="19"/>
      <c r="H42" s="28">
        <f>IF(((0.99*H21&lt;H33)*AND(1.01*H21&gt;H33))+OR((1.99*H21&lt;H33)*AND(2.01*H21&gt;H33))+OR((2.99*H21&lt;H33)*AND(3.01*H21&gt;H33)),1,1.5)</f>
        <v>1.5</v>
      </c>
      <c r="J42" s="16"/>
    </row>
    <row r="43" spans="2:10" ht="16.5" customHeight="1" x14ac:dyDescent="0.2">
      <c r="B43" s="22" t="s">
        <v>67</v>
      </c>
      <c r="C43" s="19"/>
      <c r="D43" s="19"/>
      <c r="E43" s="19"/>
      <c r="F43" s="19"/>
      <c r="G43" s="19"/>
      <c r="H43" s="28">
        <f>H42*(((H23*H34*H37)^2+(H24*H35*H38)^2+(H25*H36*H39)^2)^0.5)</f>
        <v>7.9907179942510265</v>
      </c>
      <c r="J43" s="16"/>
    </row>
    <row r="44" spans="2:10" ht="16.5" customHeight="1" x14ac:dyDescent="0.2">
      <c r="B44" s="22"/>
      <c r="C44" s="19"/>
      <c r="D44" s="19"/>
      <c r="E44" s="19"/>
      <c r="F44" s="19"/>
      <c r="G44" s="19"/>
      <c r="H44" s="28"/>
      <c r="J44" s="16"/>
    </row>
    <row r="45" spans="2:10" ht="16.5" customHeight="1" x14ac:dyDescent="0.2">
      <c r="B45" s="45" t="s">
        <v>34</v>
      </c>
      <c r="C45" s="25"/>
      <c r="D45" s="25"/>
      <c r="E45" s="23"/>
      <c r="F45" s="23"/>
      <c r="G45" s="23"/>
      <c r="H45" s="28">
        <f>(1+H43)*H22</f>
        <v>53.944307965506155</v>
      </c>
      <c r="I45" s="23" t="s">
        <v>35</v>
      </c>
      <c r="J45" s="16"/>
    </row>
    <row r="46" spans="2:10" ht="16.5" customHeight="1" x14ac:dyDescent="0.2">
      <c r="B46" s="50"/>
      <c r="C46" s="51"/>
      <c r="D46" s="51"/>
      <c r="E46" s="30"/>
      <c r="F46" s="30"/>
      <c r="G46" s="30"/>
      <c r="H46" s="30"/>
      <c r="I46" s="52"/>
      <c r="J46" s="18"/>
    </row>
    <row r="47" spans="2:10" ht="16.5" customHeight="1" x14ac:dyDescent="0.2">
      <c r="B47" s="45" t="s">
        <v>64</v>
      </c>
      <c r="C47" s="25"/>
      <c r="D47" s="25"/>
      <c r="E47" s="23"/>
      <c r="F47" s="23"/>
      <c r="G47" s="23"/>
      <c r="H47" s="23"/>
      <c r="I47" s="33"/>
      <c r="J47" s="16"/>
    </row>
    <row r="48" spans="2:10" ht="16.5" customHeight="1" x14ac:dyDescent="0.2">
      <c r="B48" s="22" t="s">
        <v>65</v>
      </c>
      <c r="C48" s="25"/>
      <c r="D48" s="25"/>
      <c r="E48" s="23"/>
      <c r="F48" s="23"/>
      <c r="G48" s="23"/>
      <c r="H48" s="28">
        <f>(0.5*((H23*H34*H37)^2+(4*H24*H35*H38)^2+(9*H25*H36*H39)^2))^0.5</f>
        <v>13.976871884998163</v>
      </c>
      <c r="I48" s="23"/>
      <c r="J48" s="16"/>
    </row>
    <row r="49" spans="2:10" ht="16.5" customHeight="1" x14ac:dyDescent="0.2">
      <c r="B49" s="22" t="s">
        <v>28</v>
      </c>
      <c r="C49" s="25"/>
      <c r="D49" s="25"/>
      <c r="E49" s="23"/>
      <c r="F49" s="23"/>
      <c r="G49" s="23"/>
      <c r="H49" s="35">
        <f>1/8*((1000*H22)/(H15*H14))*H13^4</f>
        <v>8.2811176159554149E-4</v>
      </c>
      <c r="I49" s="23" t="s">
        <v>0</v>
      </c>
      <c r="J49" s="16"/>
    </row>
    <row r="50" spans="2:10" ht="16.5" customHeight="1" x14ac:dyDescent="0.2">
      <c r="B50" s="45" t="s">
        <v>55</v>
      </c>
      <c r="C50" s="25"/>
      <c r="D50" s="25"/>
      <c r="E50" s="23"/>
      <c r="F50" s="23"/>
      <c r="G50" s="23"/>
      <c r="H50" s="28">
        <f>H48*(2*PI()*H21)^2*H49</f>
        <v>4.1124552335372115</v>
      </c>
      <c r="I50" s="23" t="s">
        <v>31</v>
      </c>
      <c r="J50" s="27"/>
    </row>
    <row r="51" spans="2:10" ht="16.5" customHeight="1" x14ac:dyDescent="0.2">
      <c r="B51" s="22"/>
      <c r="C51" s="23"/>
      <c r="D51" s="23"/>
      <c r="E51" s="23"/>
      <c r="F51" s="23"/>
      <c r="G51" s="23"/>
      <c r="H51" s="28">
        <f>H50/9.82*100</f>
        <v>41.878362866977717</v>
      </c>
      <c r="I51" s="23" t="s">
        <v>24</v>
      </c>
      <c r="J51" s="27"/>
    </row>
    <row r="52" spans="2:10" ht="4.5" customHeight="1" x14ac:dyDescent="0.2">
      <c r="B52" s="22"/>
      <c r="C52" s="19"/>
      <c r="D52" s="19"/>
      <c r="E52" s="19"/>
      <c r="F52" s="19"/>
      <c r="G52" s="19"/>
      <c r="H52" s="26"/>
      <c r="J52" s="16"/>
    </row>
    <row r="53" spans="2:10" ht="17.25" customHeight="1" x14ac:dyDescent="0.2">
      <c r="B53" s="37" t="s">
        <v>11</v>
      </c>
      <c r="C53" s="36"/>
      <c r="D53" s="36"/>
      <c r="E53" s="36"/>
      <c r="F53" s="36"/>
      <c r="G53" s="36"/>
      <c r="H53" s="36"/>
      <c r="I53" s="36"/>
      <c r="J53" s="38"/>
    </row>
    <row r="54" spans="2:10" ht="16.5" customHeight="1" x14ac:dyDescent="0.2">
      <c r="B54" s="49" t="s">
        <v>59</v>
      </c>
      <c r="J54" s="16"/>
    </row>
    <row r="55" spans="2:10" ht="3.75" customHeight="1" x14ac:dyDescent="0.2">
      <c r="B55" s="46"/>
      <c r="J55" s="16"/>
    </row>
    <row r="56" spans="2:10" ht="16.5" customHeight="1" x14ac:dyDescent="0.2">
      <c r="B56" s="24" t="s">
        <v>80</v>
      </c>
      <c r="C56" s="25"/>
      <c r="D56" s="25"/>
      <c r="E56" s="23"/>
      <c r="F56" s="23"/>
      <c r="G56" s="23"/>
      <c r="H56" s="48">
        <f>H50</f>
        <v>4.1124552335372115</v>
      </c>
      <c r="I56" s="25" t="s">
        <v>57</v>
      </c>
      <c r="J56" s="27"/>
    </row>
    <row r="57" spans="2:10" ht="16.5" customHeight="1" x14ac:dyDescent="0.2">
      <c r="B57" s="22"/>
      <c r="C57" s="23"/>
      <c r="D57" s="23"/>
      <c r="E57" s="23"/>
      <c r="F57" s="23"/>
      <c r="G57" s="23"/>
      <c r="H57" s="48">
        <f>H56/9.82*100</f>
        <v>41.878362866977717</v>
      </c>
      <c r="I57" s="25" t="s">
        <v>24</v>
      </c>
      <c r="J57" s="27"/>
    </row>
    <row r="58" spans="2:10" ht="16.5" customHeight="1" x14ac:dyDescent="0.2">
      <c r="B58" s="22"/>
      <c r="C58" s="23"/>
      <c r="D58" s="23"/>
      <c r="E58" s="23"/>
      <c r="F58" s="23"/>
      <c r="G58" s="23"/>
      <c r="H58" s="48"/>
      <c r="I58" s="25"/>
      <c r="J58" s="27"/>
    </row>
    <row r="59" spans="2:10" ht="16.5" customHeight="1" x14ac:dyDescent="0.2">
      <c r="B59" s="24" t="s">
        <v>82</v>
      </c>
      <c r="C59" s="25"/>
      <c r="D59" s="25"/>
      <c r="E59" s="25"/>
      <c r="F59" s="25"/>
      <c r="G59" s="25"/>
      <c r="H59" s="48">
        <f>H45</f>
        <v>53.944307965506155</v>
      </c>
      <c r="I59" s="25" t="s">
        <v>35</v>
      </c>
      <c r="J59" s="16"/>
    </row>
    <row r="60" spans="2:10" ht="3.75" customHeight="1" x14ac:dyDescent="0.35">
      <c r="B60" s="63"/>
      <c r="C60" s="64"/>
      <c r="D60" s="64"/>
      <c r="E60" s="64"/>
      <c r="F60" s="64"/>
      <c r="G60" s="64"/>
      <c r="H60" s="64"/>
      <c r="I60" s="64"/>
      <c r="J60" s="18"/>
    </row>
  </sheetData>
  <sheetProtection password="DDC8" sheet="1" objects="1" scenarios="1"/>
  <mergeCells count="9">
    <mergeCell ref="I5:J5"/>
    <mergeCell ref="I4:J4"/>
    <mergeCell ref="B1:J1"/>
    <mergeCell ref="B2:H2"/>
    <mergeCell ref="I2:J2"/>
    <mergeCell ref="B3:H3"/>
    <mergeCell ref="I3:J3"/>
    <mergeCell ref="C4:G4"/>
    <mergeCell ref="C5:G5"/>
  </mergeCells>
  <phoneticPr fontId="4" type="noConversion"/>
  <pageMargins left="0.78740157480314965" right="0.74803149606299213" top="0.82677165354330717" bottom="0.98425196850393704" header="0.51181102362204722" footer="0.51181102362204722"/>
  <pageSetup paperSize="9" orientation="portrait" horizontalDpi="300" verticalDpi="300" r:id="rId1"/>
  <headerFooter alignWithMargins="0">
    <oddFooter>&amp;L&amp;8&amp;Z&amp;F&amp;R&amp;8Side &amp;P</oddFooter>
  </headerFooter>
  <rowBreaks count="1" manualBreakCount="1">
    <brk id="46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CF4D-2416-44AC-90F7-C763E0A11CE4}">
  <dimension ref="B1:T62"/>
  <sheetViews>
    <sheetView zoomScaleNormal="100" workbookViewId="0">
      <selection activeCell="C4" sqref="C4:G4"/>
    </sheetView>
  </sheetViews>
  <sheetFormatPr defaultRowHeight="12.75" x14ac:dyDescent="0.2"/>
  <cols>
    <col min="1" max="1" width="2.140625" customWidth="1"/>
    <col min="3" max="3" width="5.7109375" bestFit="1" customWidth="1"/>
    <col min="7" max="7" width="8.85546875" customWidth="1"/>
    <col min="8" max="8" width="12" bestFit="1" customWidth="1"/>
    <col min="11" max="11" width="1.7109375" customWidth="1"/>
  </cols>
  <sheetData>
    <row r="1" spans="2:20" ht="15" customHeight="1" x14ac:dyDescent="0.2">
      <c r="B1" s="68" t="s">
        <v>58</v>
      </c>
      <c r="C1" s="69"/>
      <c r="D1" s="69"/>
      <c r="E1" s="69"/>
      <c r="F1" s="69"/>
      <c r="G1" s="69"/>
      <c r="H1" s="69"/>
      <c r="I1" s="69"/>
      <c r="J1" s="70"/>
      <c r="L1" s="2"/>
      <c r="M1" s="1"/>
    </row>
    <row r="2" spans="2:20" ht="30" customHeight="1" x14ac:dyDescent="0.2">
      <c r="B2" s="71" t="s">
        <v>42</v>
      </c>
      <c r="C2" s="72"/>
      <c r="D2" s="72"/>
      <c r="E2" s="72"/>
      <c r="F2" s="72"/>
      <c r="G2" s="72"/>
      <c r="H2" s="72"/>
      <c r="I2" s="73" t="s">
        <v>86</v>
      </c>
      <c r="J2" s="74"/>
      <c r="M2" s="3"/>
      <c r="N2" s="3"/>
      <c r="O2" s="3"/>
      <c r="P2" s="3"/>
      <c r="Q2" s="3"/>
      <c r="R2" s="3"/>
      <c r="S2" s="3"/>
      <c r="T2" s="3"/>
    </row>
    <row r="3" spans="2:20" ht="15" customHeight="1" x14ac:dyDescent="0.2">
      <c r="B3" s="75" t="s">
        <v>85</v>
      </c>
      <c r="C3" s="76"/>
      <c r="D3" s="76"/>
      <c r="E3" s="76"/>
      <c r="F3" s="76"/>
      <c r="G3" s="76"/>
      <c r="H3" s="76"/>
      <c r="I3" s="77"/>
      <c r="J3" s="78"/>
      <c r="M3" s="3"/>
      <c r="N3" s="3"/>
      <c r="O3" s="3"/>
      <c r="P3" s="3"/>
      <c r="Q3" s="3"/>
      <c r="R3" s="3"/>
      <c r="S3" s="3"/>
      <c r="T3" s="3"/>
    </row>
    <row r="4" spans="2:20" ht="16.5" customHeight="1" x14ac:dyDescent="0.2">
      <c r="B4" s="4" t="s">
        <v>1</v>
      </c>
      <c r="C4" s="79" t="s">
        <v>69</v>
      </c>
      <c r="D4" s="79"/>
      <c r="E4" s="79"/>
      <c r="F4" s="79"/>
      <c r="G4" s="79"/>
      <c r="H4" s="5" t="s">
        <v>2</v>
      </c>
      <c r="I4" s="79" t="s">
        <v>13</v>
      </c>
      <c r="J4" s="80"/>
      <c r="M4" s="3"/>
      <c r="N4" s="3"/>
      <c r="O4" s="3"/>
      <c r="P4" s="3"/>
      <c r="Q4" s="3"/>
      <c r="R4" s="3"/>
      <c r="S4" s="3"/>
      <c r="T4" s="3"/>
    </row>
    <row r="5" spans="2:20" x14ac:dyDescent="0.2">
      <c r="B5" s="4" t="s">
        <v>3</v>
      </c>
      <c r="C5" s="65" t="s">
        <v>12</v>
      </c>
      <c r="D5" s="65"/>
      <c r="E5" s="65"/>
      <c r="F5" s="65"/>
      <c r="G5" s="65"/>
      <c r="H5" s="5" t="s">
        <v>4</v>
      </c>
      <c r="I5" s="66" t="s">
        <v>13</v>
      </c>
      <c r="J5" s="67"/>
    </row>
    <row r="6" spans="2:20" ht="16.5" customHeight="1" x14ac:dyDescent="0.2">
      <c r="B6" s="6" t="s">
        <v>5</v>
      </c>
      <c r="C6" s="8" t="s">
        <v>13</v>
      </c>
      <c r="D6" s="7" t="s">
        <v>6</v>
      </c>
      <c r="E6" s="8" t="s">
        <v>13</v>
      </c>
      <c r="F6" s="7" t="s">
        <v>7</v>
      </c>
      <c r="G6" s="8" t="s">
        <v>13</v>
      </c>
      <c r="H6" s="7" t="s">
        <v>8</v>
      </c>
      <c r="I6" s="8"/>
      <c r="J6" s="21" t="s">
        <v>14</v>
      </c>
      <c r="L6" s="9"/>
      <c r="N6" s="9"/>
      <c r="P6" s="9"/>
    </row>
    <row r="7" spans="2:20" ht="4.5" customHeight="1" x14ac:dyDescent="0.2">
      <c r="B7" s="13"/>
      <c r="C7" s="14"/>
      <c r="D7" s="14"/>
      <c r="E7" s="14"/>
      <c r="F7" s="14"/>
      <c r="G7" s="14"/>
      <c r="H7" s="14"/>
      <c r="I7" s="14"/>
      <c r="J7" s="15"/>
    </row>
    <row r="8" spans="2:20" ht="16.5" customHeight="1" x14ac:dyDescent="0.2">
      <c r="B8" s="10" t="s">
        <v>9</v>
      </c>
      <c r="C8" s="11"/>
      <c r="D8" s="11"/>
      <c r="E8" s="11"/>
      <c r="F8" s="11"/>
      <c r="G8" s="11"/>
      <c r="H8" s="11"/>
      <c r="I8" s="11"/>
      <c r="J8" s="12"/>
    </row>
    <row r="9" spans="2:20" ht="16.5" customHeight="1" x14ac:dyDescent="0.2">
      <c r="B9" s="31" t="s">
        <v>16</v>
      </c>
      <c r="C9" s="19"/>
      <c r="D9" s="19"/>
      <c r="E9" s="19"/>
      <c r="F9" s="19"/>
      <c r="G9" s="19"/>
      <c r="H9" s="19"/>
      <c r="J9" s="16"/>
    </row>
    <row r="10" spans="2:20" ht="4.5" customHeight="1" x14ac:dyDescent="0.2">
      <c r="B10" s="20"/>
      <c r="C10" s="19"/>
      <c r="D10" s="19"/>
      <c r="E10" s="19"/>
      <c r="F10" s="19"/>
      <c r="G10" s="19"/>
      <c r="H10" s="19"/>
      <c r="J10" s="16"/>
    </row>
    <row r="11" spans="2:20" ht="16.5" customHeight="1" x14ac:dyDescent="0.2">
      <c r="B11" s="24" t="s">
        <v>38</v>
      </c>
      <c r="C11" s="23"/>
      <c r="D11" s="23"/>
      <c r="E11" s="23"/>
      <c r="F11" s="23"/>
      <c r="G11" s="23"/>
      <c r="H11" s="41"/>
      <c r="I11" s="23"/>
      <c r="J11" s="16"/>
    </row>
    <row r="12" spans="2:20" ht="16.5" customHeight="1" x14ac:dyDescent="0.2">
      <c r="B12" s="22" t="s">
        <v>17</v>
      </c>
      <c r="C12" s="23"/>
      <c r="D12" s="23"/>
      <c r="E12" s="23"/>
      <c r="F12" s="23"/>
      <c r="G12" s="23"/>
      <c r="H12" s="39">
        <v>475</v>
      </c>
      <c r="I12" s="23" t="s">
        <v>29</v>
      </c>
      <c r="J12" s="16"/>
    </row>
    <row r="13" spans="2:20" ht="16.5" customHeight="1" x14ac:dyDescent="0.2">
      <c r="B13" s="22" t="s">
        <v>39</v>
      </c>
      <c r="C13" s="23"/>
      <c r="D13" s="23"/>
      <c r="E13" s="23"/>
      <c r="F13" s="23"/>
      <c r="G13" s="23"/>
      <c r="H13" s="39">
        <v>10</v>
      </c>
      <c r="I13" s="23" t="s">
        <v>0</v>
      </c>
      <c r="J13" s="16"/>
    </row>
    <row r="14" spans="2:20" ht="16.5" customHeight="1" x14ac:dyDescent="0.2">
      <c r="B14" s="22" t="s">
        <v>40</v>
      </c>
      <c r="C14" s="23"/>
      <c r="D14" s="23"/>
      <c r="E14" s="23"/>
      <c r="F14" s="23"/>
      <c r="G14" s="23"/>
      <c r="H14" s="39">
        <v>8</v>
      </c>
      <c r="I14" s="23" t="s">
        <v>0</v>
      </c>
      <c r="J14" s="16"/>
    </row>
    <row r="15" spans="2:20" ht="16.5" customHeight="1" x14ac:dyDescent="0.2">
      <c r="B15" s="22" t="s">
        <v>32</v>
      </c>
      <c r="C15" s="23"/>
      <c r="D15" s="23"/>
      <c r="E15" s="23"/>
      <c r="F15" s="23"/>
      <c r="G15" s="23"/>
      <c r="H15" s="40">
        <v>4.4900000000000002E-4</v>
      </c>
      <c r="I15" s="23" t="s">
        <v>60</v>
      </c>
      <c r="J15" s="16"/>
    </row>
    <row r="16" spans="2:20" ht="16.5" customHeight="1" x14ac:dyDescent="0.2">
      <c r="B16" s="22" t="s">
        <v>18</v>
      </c>
      <c r="C16" s="23"/>
      <c r="D16" s="23"/>
      <c r="E16" s="23"/>
      <c r="F16" s="23"/>
      <c r="G16" s="23"/>
      <c r="H16" s="40">
        <v>50000000000</v>
      </c>
      <c r="I16" s="23" t="s">
        <v>30</v>
      </c>
      <c r="J16" s="16"/>
    </row>
    <row r="17" spans="2:15" ht="16.5" customHeight="1" x14ac:dyDescent="0.2">
      <c r="B17" s="22" t="s">
        <v>19</v>
      </c>
      <c r="C17" s="23"/>
      <c r="D17" s="23"/>
      <c r="E17" s="23"/>
      <c r="F17" s="23"/>
      <c r="G17" s="23"/>
      <c r="H17" s="39">
        <v>0.02</v>
      </c>
      <c r="I17" s="23"/>
      <c r="J17" s="16"/>
    </row>
    <row r="18" spans="2:15" ht="16.5" customHeight="1" x14ac:dyDescent="0.2">
      <c r="B18" s="22" t="s">
        <v>37</v>
      </c>
      <c r="C18" s="23"/>
      <c r="D18" s="23"/>
      <c r="E18" s="23"/>
      <c r="F18" s="23"/>
      <c r="G18" s="23"/>
      <c r="H18" s="39">
        <v>0.2</v>
      </c>
      <c r="I18" s="23"/>
      <c r="J18" s="16"/>
    </row>
    <row r="19" spans="2:15" ht="16.5" customHeight="1" x14ac:dyDescent="0.2">
      <c r="B19" s="29"/>
      <c r="C19" s="30"/>
      <c r="D19" s="30"/>
      <c r="E19" s="30"/>
      <c r="F19" s="30"/>
      <c r="G19" s="30"/>
      <c r="H19" s="30"/>
      <c r="I19" s="30"/>
      <c r="J19" s="18"/>
    </row>
    <row r="20" spans="2:15" ht="16.5" customHeight="1" x14ac:dyDescent="0.2">
      <c r="B20" s="31" t="s">
        <v>15</v>
      </c>
      <c r="C20" s="23"/>
      <c r="D20" s="23"/>
      <c r="E20" s="23"/>
      <c r="F20" s="23"/>
      <c r="G20" s="23"/>
      <c r="H20" s="23"/>
      <c r="I20" s="23"/>
      <c r="J20" s="16"/>
    </row>
    <row r="21" spans="2:15" ht="4.5" customHeight="1" x14ac:dyDescent="0.2">
      <c r="B21" s="4"/>
      <c r="C21" s="23"/>
      <c r="D21" s="23"/>
      <c r="E21" s="23"/>
      <c r="F21" s="23"/>
      <c r="G21" s="23"/>
      <c r="H21" s="23"/>
      <c r="I21" s="23"/>
      <c r="J21" s="16"/>
    </row>
    <row r="22" spans="2:15" ht="16.5" customHeight="1" x14ac:dyDescent="0.2">
      <c r="B22" s="22" t="s">
        <v>20</v>
      </c>
      <c r="C22" s="23"/>
      <c r="D22" s="23"/>
      <c r="E22" s="23"/>
      <c r="F22" s="23"/>
      <c r="G22" s="23"/>
      <c r="H22" s="39">
        <v>10</v>
      </c>
      <c r="I22" s="23"/>
      <c r="J22" s="16"/>
      <c r="O22" s="23"/>
    </row>
    <row r="23" spans="2:15" ht="16.5" customHeight="1" x14ac:dyDescent="0.2">
      <c r="B23" s="22" t="s">
        <v>68</v>
      </c>
      <c r="C23" s="23"/>
      <c r="D23" s="23"/>
      <c r="E23" s="23"/>
      <c r="F23" s="23"/>
      <c r="G23" s="23"/>
      <c r="H23" s="42">
        <v>2.98</v>
      </c>
      <c r="I23" s="23" t="s">
        <v>21</v>
      </c>
      <c r="J23" s="16"/>
    </row>
    <row r="24" spans="2:15" ht="16.5" customHeight="1" x14ac:dyDescent="0.2">
      <c r="B24" s="22" t="s">
        <v>27</v>
      </c>
      <c r="C24" s="23"/>
      <c r="D24" s="23"/>
      <c r="E24" s="23"/>
      <c r="F24" s="23"/>
      <c r="G24" s="23"/>
      <c r="H24" s="39">
        <v>0.38</v>
      </c>
      <c r="I24" s="23" t="s">
        <v>62</v>
      </c>
      <c r="J24" s="16"/>
    </row>
    <row r="25" spans="2:15" ht="16.5" customHeight="1" x14ac:dyDescent="0.2">
      <c r="B25" s="22" t="s">
        <v>43</v>
      </c>
      <c r="C25" s="23"/>
      <c r="D25" s="23"/>
      <c r="E25" s="23"/>
      <c r="F25" s="23"/>
      <c r="G25" s="23"/>
      <c r="H25" s="42">
        <v>1.6</v>
      </c>
      <c r="I25" s="23"/>
      <c r="J25" s="16"/>
    </row>
    <row r="26" spans="2:15" ht="16.5" customHeight="1" x14ac:dyDescent="0.2">
      <c r="B26" s="22" t="s">
        <v>44</v>
      </c>
      <c r="C26" s="23"/>
      <c r="D26" s="23"/>
      <c r="E26" s="23"/>
      <c r="F26" s="23"/>
      <c r="G26" s="23"/>
      <c r="H26" s="42">
        <v>1</v>
      </c>
      <c r="I26" s="23"/>
      <c r="J26" s="16"/>
    </row>
    <row r="27" spans="2:15" ht="16.5" customHeight="1" x14ac:dyDescent="0.2">
      <c r="B27" s="22" t="s">
        <v>45</v>
      </c>
      <c r="C27" s="23"/>
      <c r="D27" s="23"/>
      <c r="E27" s="23"/>
      <c r="F27" s="23"/>
      <c r="G27" s="23"/>
      <c r="H27" s="42">
        <v>0.2</v>
      </c>
      <c r="I27" s="23"/>
      <c r="J27" s="16"/>
    </row>
    <row r="28" spans="2:15" ht="16.5" customHeight="1" x14ac:dyDescent="0.2">
      <c r="B28" s="22" t="s">
        <v>46</v>
      </c>
      <c r="C28" s="23"/>
      <c r="D28" s="23"/>
      <c r="E28" s="23"/>
      <c r="F28" s="23"/>
      <c r="G28" s="23"/>
      <c r="H28" s="42">
        <v>1</v>
      </c>
      <c r="I28" s="23"/>
      <c r="J28" s="16"/>
    </row>
    <row r="29" spans="2:15" ht="16.5" customHeight="1" x14ac:dyDescent="0.2">
      <c r="B29" s="22" t="s">
        <v>47</v>
      </c>
      <c r="C29" s="23"/>
      <c r="D29" s="23"/>
      <c r="E29" s="23"/>
      <c r="F29" s="23"/>
      <c r="G29" s="23"/>
      <c r="H29" s="42">
        <v>0.3</v>
      </c>
      <c r="I29" s="23"/>
      <c r="J29" s="16"/>
    </row>
    <row r="30" spans="2:15" ht="16.5" customHeight="1" x14ac:dyDescent="0.2">
      <c r="B30" s="22" t="s">
        <v>48</v>
      </c>
      <c r="C30" s="23"/>
      <c r="D30" s="23"/>
      <c r="E30" s="23"/>
      <c r="F30" s="23"/>
      <c r="G30" s="23"/>
      <c r="H30" s="39">
        <v>0.03</v>
      </c>
      <c r="I30" s="23"/>
      <c r="J30" s="16"/>
    </row>
    <row r="31" spans="2:15" ht="16.5" customHeight="1" x14ac:dyDescent="0.2">
      <c r="B31" s="22"/>
      <c r="C31" s="23"/>
      <c r="D31" s="23"/>
      <c r="E31" s="23"/>
      <c r="F31" s="23"/>
      <c r="G31" s="23"/>
      <c r="H31" s="34"/>
      <c r="I31" s="23"/>
      <c r="J31" s="16"/>
    </row>
    <row r="32" spans="2:15" ht="16.5" customHeight="1" x14ac:dyDescent="0.2">
      <c r="B32" s="10" t="s">
        <v>10</v>
      </c>
      <c r="C32" s="11"/>
      <c r="D32" s="11"/>
      <c r="E32" s="11"/>
      <c r="F32" s="11"/>
      <c r="G32" s="11"/>
      <c r="H32" s="11"/>
      <c r="I32" s="11"/>
      <c r="J32" s="12"/>
    </row>
    <row r="33" spans="2:10" ht="16.5" customHeight="1" x14ac:dyDescent="0.2">
      <c r="B33" s="32" t="s">
        <v>22</v>
      </c>
      <c r="C33" s="25"/>
      <c r="D33" s="25"/>
      <c r="E33" s="23"/>
      <c r="F33" s="23"/>
      <c r="G33" s="23"/>
      <c r="H33" s="23"/>
      <c r="I33" s="33"/>
      <c r="J33" s="16"/>
    </row>
    <row r="34" spans="2:10" ht="3.75" customHeight="1" x14ac:dyDescent="0.2">
      <c r="B34" s="24"/>
      <c r="C34" s="25"/>
      <c r="D34" s="25"/>
      <c r="E34" s="23"/>
      <c r="F34" s="23"/>
      <c r="G34" s="23"/>
      <c r="H34" s="23"/>
      <c r="I34" s="33"/>
      <c r="J34" s="16"/>
    </row>
    <row r="35" spans="2:10" ht="16.5" customHeight="1" x14ac:dyDescent="0.2">
      <c r="B35" s="22" t="s">
        <v>23</v>
      </c>
      <c r="C35" s="25"/>
      <c r="D35" s="25"/>
      <c r="E35" s="23"/>
      <c r="F35" s="23"/>
      <c r="G35" s="23"/>
      <c r="H35" s="28">
        <f>PI()/2*SQRT(H16*H15/(H12*(1-H18^2)))*(1/H13^2+1/H14^2)</f>
        <v>8.9311935760143211</v>
      </c>
      <c r="I35" s="23" t="s">
        <v>21</v>
      </c>
      <c r="J35" s="16"/>
    </row>
    <row r="36" spans="2:10" ht="16.5" customHeight="1" x14ac:dyDescent="0.2">
      <c r="B36" s="22" t="s">
        <v>49</v>
      </c>
      <c r="C36" s="23"/>
      <c r="D36" s="23"/>
      <c r="E36" s="23"/>
      <c r="F36" s="23"/>
      <c r="G36" s="23"/>
      <c r="H36" s="28">
        <f>((1-(H23/H35)^2)^2+4*H17^2*(H23/H35)^2)^-0.5</f>
        <v>1.1251506414604668</v>
      </c>
      <c r="I36" s="23"/>
      <c r="J36" s="16"/>
    </row>
    <row r="37" spans="2:10" ht="16.5" customHeight="1" x14ac:dyDescent="0.2">
      <c r="B37" s="22" t="s">
        <v>50</v>
      </c>
      <c r="C37" s="23"/>
      <c r="D37" s="23"/>
      <c r="E37" s="23"/>
      <c r="F37" s="23"/>
      <c r="G37" s="23"/>
      <c r="H37" s="28">
        <f>((1-(2*H23/H35)^2)^2+4*H17^2*(2*H23/H35)^2)^-0.5</f>
        <v>1.8007617158564457</v>
      </c>
      <c r="I37" s="23"/>
      <c r="J37" s="16"/>
    </row>
    <row r="38" spans="2:10" ht="16.5" customHeight="1" x14ac:dyDescent="0.2">
      <c r="B38" s="22" t="s">
        <v>51</v>
      </c>
      <c r="C38" s="23"/>
      <c r="D38" s="23"/>
      <c r="E38" s="23"/>
      <c r="F38" s="23"/>
      <c r="G38" s="23"/>
      <c r="H38" s="28">
        <f>((1-(3*H23/H35)^2)^2+4*H17^2*(3*H23/H35)^2)^-0.5</f>
        <v>24.945105500215043</v>
      </c>
      <c r="I38" s="23"/>
      <c r="J38" s="16"/>
    </row>
    <row r="39" spans="2:10" ht="16.5" customHeight="1" x14ac:dyDescent="0.2">
      <c r="B39" s="22" t="s">
        <v>52</v>
      </c>
      <c r="C39" s="23"/>
      <c r="D39" s="23"/>
      <c r="E39" s="23"/>
      <c r="F39" s="23"/>
      <c r="G39" s="23"/>
      <c r="H39" s="28">
        <f>IF(H22&gt;1,IF((0.999*H35&lt;F23)*(H23&lt;1.001*H35),(H28+(1-H28)/(0.81*H22))^0.5,(H28+(1-H28)/(0.75*H22))^0.5),1)</f>
        <v>1</v>
      </c>
      <c r="I39" s="33"/>
      <c r="J39" s="16"/>
    </row>
    <row r="40" spans="2:10" ht="16.5" customHeight="1" x14ac:dyDescent="0.2">
      <c r="B40" s="22" t="s">
        <v>53</v>
      </c>
      <c r="C40" s="23"/>
      <c r="D40" s="23"/>
      <c r="E40" s="23"/>
      <c r="F40" s="23"/>
      <c r="G40" s="23"/>
      <c r="H40" s="28">
        <f>IF(H22&gt;1,IF((0.999*H35&lt;2*H23)*(2*H23&lt;1.001*H35),(H29+(1-H29)/(0.81*H22))^0.5,(H29+(1-H29)/(0.75*H22))^0.5),1)</f>
        <v>0.62716292407422591</v>
      </c>
      <c r="I40" s="23"/>
      <c r="J40" s="16"/>
    </row>
    <row r="41" spans="2:10" ht="16.5" customHeight="1" x14ac:dyDescent="0.2">
      <c r="B41" s="22" t="s">
        <v>54</v>
      </c>
      <c r="C41" s="23"/>
      <c r="D41" s="23"/>
      <c r="E41" s="23"/>
      <c r="F41" s="23"/>
      <c r="G41" s="23"/>
      <c r="H41" s="28">
        <f>IF(H22&gt;1,IF((0.999*H35&lt;3*H23)*(3*H23&lt;1.001*H35),(H30+(1-H30)/(0.81*H22))^0.5,(H30+(1-H30)/(0.75*H22))^0.5),1)</f>
        <v>0.38697943927262213</v>
      </c>
      <c r="I41" s="23"/>
      <c r="J41" s="16"/>
    </row>
    <row r="42" spans="2:10" ht="16.5" customHeight="1" x14ac:dyDescent="0.2">
      <c r="B42" s="29"/>
      <c r="C42" s="30"/>
      <c r="D42" s="30"/>
      <c r="E42" s="30"/>
      <c r="F42" s="30"/>
      <c r="G42" s="30"/>
      <c r="H42" s="54"/>
      <c r="I42" s="17"/>
      <c r="J42" s="18"/>
    </row>
    <row r="43" spans="2:10" ht="16.5" customHeight="1" x14ac:dyDescent="0.2">
      <c r="B43" s="24" t="s">
        <v>63</v>
      </c>
      <c r="C43" s="19"/>
      <c r="D43" s="19"/>
      <c r="E43" s="19"/>
      <c r="F43" s="19"/>
      <c r="G43" s="19"/>
      <c r="H43" s="28"/>
      <c r="I43" s="23"/>
      <c r="J43" s="16"/>
    </row>
    <row r="44" spans="2:10" ht="16.5" customHeight="1" x14ac:dyDescent="0.2">
      <c r="B44" s="22" t="s">
        <v>66</v>
      </c>
      <c r="C44" s="19"/>
      <c r="D44" s="19"/>
      <c r="E44" s="19"/>
      <c r="F44" s="19"/>
      <c r="G44" s="19"/>
      <c r="H44" s="28">
        <f>IF(((0.99*H23&lt;H35)*AND(1.01*H23&gt;H35))+OR((1.99*H23&lt;H35)*AND(2.01*H23&gt;H35))+OR((2.99*H23&lt;H35)*AND(3.01*H23&gt;H35)),1,1.5)</f>
        <v>1</v>
      </c>
      <c r="I44" s="23"/>
      <c r="J44" s="16"/>
    </row>
    <row r="45" spans="2:10" ht="16.5" customHeight="1" x14ac:dyDescent="0.2">
      <c r="B45" s="22" t="s">
        <v>67</v>
      </c>
      <c r="C45" s="19"/>
      <c r="D45" s="19"/>
      <c r="E45" s="19"/>
      <c r="F45" s="19"/>
      <c r="G45" s="19"/>
      <c r="H45" s="28">
        <f>H44*(((H25*H36*H39)^2+(H26*H37*H40)^2+(H27*H38*H41)^2)^0.5)</f>
        <v>2.8711932258911022</v>
      </c>
      <c r="I45" s="23"/>
      <c r="J45" s="16"/>
    </row>
    <row r="46" spans="2:10" ht="16.5" customHeight="1" x14ac:dyDescent="0.2">
      <c r="B46" s="22"/>
      <c r="C46" s="19"/>
      <c r="D46" s="19"/>
      <c r="E46" s="19"/>
      <c r="F46" s="19"/>
      <c r="G46" s="19"/>
      <c r="H46" s="28"/>
      <c r="J46" s="16"/>
    </row>
    <row r="47" spans="2:10" ht="16.5" customHeight="1" x14ac:dyDescent="0.2">
      <c r="B47" s="45" t="s">
        <v>34</v>
      </c>
      <c r="C47" s="25"/>
      <c r="D47" s="25"/>
      <c r="E47" s="23"/>
      <c r="F47" s="23"/>
      <c r="G47" s="23"/>
      <c r="H47" s="28">
        <f>(1+H45)*H24</f>
        <v>1.4710534258386188</v>
      </c>
      <c r="I47" s="23" t="s">
        <v>62</v>
      </c>
      <c r="J47" s="16"/>
    </row>
    <row r="48" spans="2:10" ht="16.5" customHeight="1" x14ac:dyDescent="0.2">
      <c r="B48" s="50"/>
      <c r="C48" s="51"/>
      <c r="D48" s="51"/>
      <c r="E48" s="30"/>
      <c r="F48" s="30"/>
      <c r="G48" s="30"/>
      <c r="H48" s="30"/>
      <c r="I48" s="52"/>
      <c r="J48" s="18"/>
    </row>
    <row r="49" spans="2:10" ht="16.5" customHeight="1" x14ac:dyDescent="0.2">
      <c r="B49" s="24" t="s">
        <v>64</v>
      </c>
      <c r="C49" s="25"/>
      <c r="D49" s="25"/>
      <c r="E49" s="23"/>
      <c r="F49" s="23"/>
      <c r="G49" s="23"/>
      <c r="H49" s="23"/>
      <c r="I49" s="33"/>
      <c r="J49" s="16"/>
    </row>
    <row r="50" spans="2:10" ht="16.5" customHeight="1" x14ac:dyDescent="0.2">
      <c r="B50" s="22" t="s">
        <v>65</v>
      </c>
      <c r="C50" s="25"/>
      <c r="D50" s="25"/>
      <c r="E50" s="23"/>
      <c r="F50" s="23"/>
      <c r="G50" s="23"/>
      <c r="H50" s="28">
        <f>(0.5*((H25*H36*H39)^2+(4*H26*H37*H40)^2+(9*H27*H38*H41)^2))^0.5</f>
        <v>12.758688223690374</v>
      </c>
      <c r="I50" s="23"/>
      <c r="J50" s="16"/>
    </row>
    <row r="51" spans="2:10" ht="16.5" customHeight="1" x14ac:dyDescent="0.2">
      <c r="B51" s="22" t="s">
        <v>28</v>
      </c>
      <c r="C51" s="25"/>
      <c r="D51" s="25"/>
      <c r="E51" s="23"/>
      <c r="F51" s="23"/>
      <c r="G51" s="23"/>
      <c r="H51" s="35">
        <f>1000*16/PI()^6*H24/H16/H15/(1-H18^2)*(H13^4*H14^4)/(H13^2+H14^2)^2</f>
        <v>4.4687804313735079E-4</v>
      </c>
      <c r="I51" s="23" t="s">
        <v>0</v>
      </c>
      <c r="J51" s="16"/>
    </row>
    <row r="52" spans="2:10" ht="16.5" customHeight="1" x14ac:dyDescent="0.2">
      <c r="B52" s="24" t="s">
        <v>80</v>
      </c>
      <c r="C52" s="25"/>
      <c r="D52" s="25"/>
      <c r="E52" s="23"/>
      <c r="F52" s="25"/>
      <c r="G52" s="25"/>
      <c r="H52" s="28">
        <f>H50*(2*PI()*H23)^2*H51</f>
        <v>1.9988826870493079</v>
      </c>
      <c r="I52" s="23" t="s">
        <v>31</v>
      </c>
      <c r="J52" s="16"/>
    </row>
    <row r="53" spans="2:10" ht="16.5" customHeight="1" x14ac:dyDescent="0.2">
      <c r="B53" s="24"/>
      <c r="C53" s="25"/>
      <c r="D53" s="25"/>
      <c r="E53" s="23"/>
      <c r="F53" s="23"/>
      <c r="G53" s="23"/>
      <c r="H53" s="28">
        <f>H52/9.82*100</f>
        <v>20.355220845715966</v>
      </c>
      <c r="I53" s="23" t="s">
        <v>24</v>
      </c>
      <c r="J53" s="16"/>
    </row>
    <row r="54" spans="2:10" ht="16.5" customHeight="1" x14ac:dyDescent="0.2">
      <c r="B54" s="22"/>
      <c r="C54" s="23"/>
      <c r="D54" s="23"/>
      <c r="E54" s="23"/>
      <c r="F54" s="23"/>
      <c r="G54" s="23"/>
      <c r="J54" s="27"/>
    </row>
    <row r="55" spans="2:10" ht="17.25" customHeight="1" x14ac:dyDescent="0.2">
      <c r="B55" s="37" t="s">
        <v>11</v>
      </c>
      <c r="C55" s="36"/>
      <c r="D55" s="36"/>
      <c r="E55" s="36"/>
      <c r="F55" s="36"/>
      <c r="G55" s="36"/>
      <c r="H55" s="36"/>
      <c r="I55" s="36"/>
      <c r="J55" s="38"/>
    </row>
    <row r="56" spans="2:10" ht="16.5" customHeight="1" x14ac:dyDescent="0.2">
      <c r="B56" s="49" t="s">
        <v>59</v>
      </c>
      <c r="J56" s="16"/>
    </row>
    <row r="57" spans="2:10" ht="3.75" customHeight="1" x14ac:dyDescent="0.2">
      <c r="B57" s="46"/>
      <c r="J57" s="16"/>
    </row>
    <row r="58" spans="2:10" ht="16.5" customHeight="1" x14ac:dyDescent="0.2">
      <c r="B58" s="24" t="s">
        <v>80</v>
      </c>
      <c r="C58" s="25"/>
      <c r="D58" s="25"/>
      <c r="E58" s="25"/>
      <c r="F58" s="25"/>
      <c r="G58" s="25"/>
      <c r="H58" s="48">
        <f>H52</f>
        <v>1.9988826870493079</v>
      </c>
      <c r="I58" s="25" t="s">
        <v>57</v>
      </c>
      <c r="J58" s="16"/>
    </row>
    <row r="59" spans="2:10" ht="16.5" customHeight="1" x14ac:dyDescent="0.2">
      <c r="B59" s="24"/>
      <c r="C59" s="25"/>
      <c r="D59" s="25"/>
      <c r="E59" s="25"/>
      <c r="F59" s="25"/>
      <c r="G59" s="25"/>
      <c r="H59" s="48">
        <f>H58/9.82*100</f>
        <v>20.355220845715966</v>
      </c>
      <c r="I59" s="25" t="s">
        <v>24</v>
      </c>
      <c r="J59" s="16"/>
    </row>
    <row r="60" spans="2:10" ht="16.5" customHeight="1" x14ac:dyDescent="0.2">
      <c r="B60" s="20"/>
      <c r="C60" s="19"/>
      <c r="D60" s="19"/>
      <c r="E60" s="19"/>
      <c r="F60" s="19"/>
      <c r="G60" s="19"/>
      <c r="H60" s="19"/>
      <c r="I60" s="19"/>
      <c r="J60" s="16"/>
    </row>
    <row r="61" spans="2:10" x14ac:dyDescent="0.2">
      <c r="B61" s="24" t="s">
        <v>82</v>
      </c>
      <c r="C61" s="25"/>
      <c r="D61" s="25"/>
      <c r="E61" s="25"/>
      <c r="F61" s="25"/>
      <c r="G61" s="25"/>
      <c r="H61" s="48">
        <f>H47</f>
        <v>1.4710534258386188</v>
      </c>
      <c r="I61" s="25" t="s">
        <v>81</v>
      </c>
      <c r="J61" s="16"/>
    </row>
    <row r="62" spans="2:10" ht="3.75" customHeight="1" x14ac:dyDescent="0.2">
      <c r="B62" s="47"/>
      <c r="C62" s="17"/>
      <c r="D62" s="17"/>
      <c r="E62" s="17"/>
      <c r="F62" s="17"/>
      <c r="G62" s="17"/>
      <c r="H62" s="17"/>
      <c r="I62" s="17"/>
      <c r="J62" s="18"/>
    </row>
  </sheetData>
  <sheetProtection password="DDC8" sheet="1" objects="1" scenarios="1"/>
  <mergeCells count="9">
    <mergeCell ref="I5:J5"/>
    <mergeCell ref="I4:J4"/>
    <mergeCell ref="B1:J1"/>
    <mergeCell ref="B2:H2"/>
    <mergeCell ref="I2:J2"/>
    <mergeCell ref="B3:H3"/>
    <mergeCell ref="I3:J3"/>
    <mergeCell ref="C4:G4"/>
    <mergeCell ref="C5:G5"/>
  </mergeCells>
  <phoneticPr fontId="4" type="noConversion"/>
  <pageMargins left="0.78740157480314965" right="0.74803149606299213" top="0.82677165354330717" bottom="0.98425196850393704" header="0.51181102362204722" footer="0.51181102362204722"/>
  <pageSetup paperSize="9" scale="84" orientation="portrait" horizontalDpi="300" verticalDpi="300" r:id="rId1"/>
  <headerFooter alignWithMargins="0">
    <oddFooter>&amp;L&amp;8&amp;Z&amp;F&amp;R&amp;8Side &amp;P</oddFooter>
  </headerFooter>
  <rowBreaks count="1" manualBreakCount="1">
    <brk id="48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674D-3DEF-4915-9437-6DEF83D4119B}">
  <dimension ref="A2:C6"/>
  <sheetViews>
    <sheetView workbookViewId="0">
      <selection activeCell="C16" sqref="C16"/>
    </sheetView>
  </sheetViews>
  <sheetFormatPr defaultRowHeight="12.75" x14ac:dyDescent="0.2"/>
  <cols>
    <col min="2" max="2" width="10.140625" bestFit="1" customWidth="1"/>
    <col min="3" max="3" width="70.5703125" customWidth="1"/>
  </cols>
  <sheetData>
    <row r="2" spans="1:3" x14ac:dyDescent="0.2">
      <c r="A2" t="s">
        <v>70</v>
      </c>
      <c r="B2" t="s">
        <v>71</v>
      </c>
      <c r="C2" t="s">
        <v>72</v>
      </c>
    </row>
    <row r="3" spans="1:3" ht="54" x14ac:dyDescent="0.2">
      <c r="A3" s="56">
        <v>2</v>
      </c>
      <c r="B3" s="55">
        <v>39823</v>
      </c>
      <c r="C3" s="57" t="s">
        <v>73</v>
      </c>
    </row>
    <row r="4" spans="1:3" ht="89.25" customHeight="1" x14ac:dyDescent="0.2">
      <c r="A4" s="56">
        <v>3</v>
      </c>
      <c r="B4" s="55">
        <v>40620</v>
      </c>
      <c r="C4" s="58" t="s">
        <v>74</v>
      </c>
    </row>
    <row r="5" spans="1:3" ht="26.25" customHeight="1" x14ac:dyDescent="0.2">
      <c r="A5" s="56">
        <v>4</v>
      </c>
      <c r="B5" s="55">
        <v>40666</v>
      </c>
      <c r="C5" s="58" t="s">
        <v>77</v>
      </c>
    </row>
    <row r="6" spans="1:3" x14ac:dyDescent="0.2">
      <c r="A6" s="56">
        <v>5</v>
      </c>
      <c r="B6" s="55">
        <v>40736</v>
      </c>
      <c r="C6" s="58" t="s">
        <v>83</v>
      </c>
    </row>
  </sheetData>
  <sheetProtection password="DDC8" sheet="1" objects="1" scenarios="1"/>
  <phoneticPr fontId="4" type="noConversion"/>
  <printOptions gridLines="1" gridLinesSet="0"/>
  <pageMargins left="0.75" right="0.75" top="1" bottom="1" header="0.5" footer="0.5"/>
  <pageSetup orientation="portrait" horizont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4</vt:i4>
      </vt:variant>
    </vt:vector>
  </HeadingPairs>
  <TitlesOfParts>
    <vt:vector size="9" baseType="lpstr">
      <vt:lpstr>Vilkårlig konstruktion</vt:lpstr>
      <vt:lpstr>Simpel bjælke</vt:lpstr>
      <vt:lpstr>Udkraget bjælke</vt:lpstr>
      <vt:lpstr>Plade</vt:lpstr>
      <vt:lpstr>Logbog</vt:lpstr>
      <vt:lpstr>Plade!Udskriftstitler</vt:lpstr>
      <vt:lpstr>'Simpel bjælke'!Udskriftstitler</vt:lpstr>
      <vt:lpstr>'Udkraget bjælke'!Udskriftstitler</vt:lpstr>
      <vt:lpstr>'Vilkårlig konstruktion'!Udskriftstitler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Beregning af accelerationer fra rytmisk personlast iht EC1 (DK)</dc:title>
  <dc:creator>Bernt Suikkanen</dc:creator>
  <cp:lastModifiedBy>Laugesen, Kristian Damgaard</cp:lastModifiedBy>
  <cp:lastPrinted>2011-05-05T12:28:15Z</cp:lastPrinted>
  <dcterms:created xsi:type="dcterms:W3CDTF">1997-05-29T12:11:02Z</dcterms:created>
  <dcterms:modified xsi:type="dcterms:W3CDTF">2025-03-25T13:47:52Z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usage">
    <vt:lpwstr>Selected Practice</vt:lpwstr>
  </property>
  <property fmtid="{D5CDD505-2E9C-101B-9397-08002B2CF9AE}" pid="3" name="Keywords0">
    <vt:lpwstr>Buildings;Building complexes and built-u;Educational buildings;Health buildings;Hotel and catering buildings;Housing and residential buildi;Industrial buildings;Institutional buildings;Office and commercial building;Sport and recreational buildin;Tourism and cultural buildings;Engineering;General engineering;Energy management;Logistics;Operation and maintenance;Risk and safety management;Construction management;Decommissioning;Computer science;Fire;Construction and civil enginee;Building physics;Geotechnical engineering;Marine and coastal engineering;Material technology;Pavement engineering;Roads and highway engineering;Railway technology;Structural engineering;Mapping;GIS and LIS development;Surveying and cadastre;Estates and site development;Mech., elec, process eng;Installations (electrical);Installations (mechanical);Installations (process);Installations and HVAC (utilit;Instrumentation and control en;Petroleum engineering;Piping and mechanical engineer;Process engineering;Telecommunication engineering;Design;Danish                                  ;</vt:lpwstr>
  </property>
  <property fmtid="{D5CDD505-2E9C-101B-9397-08002B2CF9AE}" pid="4" name="Notes0">
    <vt:lpwstr>Programmet beregninger accelerationer og statisk ækvivalent last fra rytmisk personlast iht. EN 1991-1-1 DK NA: 2007. Endvidere er komfortkriterier fra EN 1990 DK NA: 2007 angivet i comments.</vt:lpwstr>
  </property>
  <property fmtid="{D5CDD505-2E9C-101B-9397-08002B2CF9AE}" pid="5" name="Responsible">
    <vt:lpwstr>AMH</vt:lpwstr>
  </property>
  <property fmtid="{D5CDD505-2E9C-101B-9397-08002B2CF9AE}" pid="6" name="Date of Approval">
    <vt:lpwstr>2011-07-12T00:00:00Z</vt:lpwstr>
  </property>
  <property fmtid="{D5CDD505-2E9C-101B-9397-08002B2CF9AE}" pid="7" name="Author0">
    <vt:lpwstr>BSU</vt:lpwstr>
  </property>
  <property fmtid="{D5CDD505-2E9C-101B-9397-08002B2CF9AE}" pid="8" name="Subject0">
    <vt:lpwstr>Beregninger</vt:lpwstr>
  </property>
  <property fmtid="{D5CDD505-2E9C-101B-9397-08002B2CF9AE}" pid="9" name="FK4 ID">
    <vt:lpwstr>B4000;B4001;B4002;B4003;B4004;B4005;B4006;B4007;B4008;B4009;B4010;C2000;C2100;C2101;C2102;C2103;C2104;C2105;C2106;C2107;C2108;C2200;C2201;C2202;C2203;C2204;C2205;C2206;C2207;C2208;C2209;C2210;C2211;C2212;C2300;C2301;C2302;C2303;C2304;C2305;C2306;C2307;C2308;C2309;D0006;M0000-dan;</vt:lpwstr>
  </property>
  <property fmtid="{D5CDD505-2E9C-101B-9397-08002B2CF9AE}" pid="10" name="Document Type">
    <vt:lpwstr>Solutions</vt:lpwstr>
  </property>
  <property fmtid="{D5CDD505-2E9C-101B-9397-08002B2CF9AE}" pid="11" name="Doc No">
    <vt:lpwstr/>
  </property>
  <property fmtid="{D5CDD505-2E9C-101B-9397-08002B2CF9AE}" pid="12" name="_AdHocReviewCycleID">
    <vt:i4>593281800</vt:i4>
  </property>
  <property fmtid="{D5CDD505-2E9C-101B-9397-08002B2CF9AE}" pid="13" name="_NewReviewCycle">
    <vt:lpwstr/>
  </property>
  <property fmtid="{D5CDD505-2E9C-101B-9397-08002B2CF9AE}" pid="14" name="_EmailSubject">
    <vt:lpwstr>Vibrationskomfort - Regneark</vt:lpwstr>
  </property>
  <property fmtid="{D5CDD505-2E9C-101B-9397-08002B2CF9AE}" pid="15" name="_AuthorEmail">
    <vt:lpwstr>BSU@cowi.dk</vt:lpwstr>
  </property>
  <property fmtid="{D5CDD505-2E9C-101B-9397-08002B2CF9AE}" pid="16" name="_AuthorEmailDisplayName">
    <vt:lpwstr>Bernt Suikkanen</vt:lpwstr>
  </property>
  <property fmtid="{D5CDD505-2E9C-101B-9397-08002B2CF9AE}" pid="17" name="_ReviewingToolsShownOnce">
    <vt:lpwstr/>
  </property>
</Properties>
</file>