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rhemea-my.sharepoint.com/personal/kdl_crhconcrete_dk/Documents/Dokumenter/Udvikling/Overslag på reaktioner/"/>
    </mc:Choice>
  </mc:AlternateContent>
  <xr:revisionPtr revIDLastSave="1611" documentId="11_AD4D1D646341095ACB7000BBB550CA4C693EDF23" xr6:coauthVersionLast="47" xr6:coauthVersionMax="47" xr10:uidLastSave="{CF2452B0-E1CE-4B19-947D-C3D06AA3BB59}"/>
  <bookViews>
    <workbookView xWindow="-120" yWindow="-120" windowWidth="57840" windowHeight="23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Z13" i="1"/>
  <c r="B5" i="1"/>
  <c r="B6" i="1"/>
  <c r="B7" i="1"/>
  <c r="B3" i="1"/>
  <c r="B4" i="1"/>
  <c r="Z29" i="1"/>
  <c r="R11" i="1"/>
  <c r="R13" i="1"/>
  <c r="V34" i="1"/>
  <c r="R34" i="1"/>
  <c r="N34" i="1"/>
  <c r="J34" i="1"/>
  <c r="J10" i="1"/>
  <c r="N10" i="1"/>
  <c r="R10" i="1"/>
  <c r="V10" i="1"/>
  <c r="B35" i="1"/>
  <c r="V49" i="1"/>
  <c r="V47" i="1"/>
  <c r="V48" i="1"/>
  <c r="R47" i="1"/>
  <c r="N47" i="1"/>
  <c r="J47" i="1"/>
  <c r="R23" i="1"/>
  <c r="J23" i="1"/>
  <c r="V35" i="1"/>
  <c r="R35" i="1"/>
  <c r="N35" i="1"/>
  <c r="V37" i="1"/>
  <c r="R37" i="1"/>
  <c r="N37" i="1"/>
  <c r="J37" i="1"/>
  <c r="J35" i="1"/>
  <c r="J13" i="1"/>
  <c r="J11" i="1"/>
  <c r="N11" i="1"/>
  <c r="N13" i="1"/>
  <c r="V11" i="1"/>
  <c r="V13" i="1"/>
  <c r="Z37" i="1"/>
  <c r="Z35" i="1"/>
  <c r="B23" i="1"/>
  <c r="B22" i="1"/>
  <c r="B21" i="1"/>
  <c r="B20" i="1"/>
  <c r="B27" i="1"/>
  <c r="B15" i="1"/>
  <c r="B14" i="1"/>
  <c r="B13" i="1"/>
  <c r="C80" i="1" s="1"/>
  <c r="B80" i="1" s="1"/>
  <c r="B12" i="1"/>
  <c r="B11" i="1"/>
  <c r="B81" i="1" s="1"/>
  <c r="C81" i="1" s="1"/>
  <c r="B86" i="1" l="1"/>
  <c r="C86" i="1" s="1"/>
  <c r="C85" i="1"/>
  <c r="B85" i="1" s="1"/>
  <c r="Z54" i="1"/>
  <c r="Z53" i="1"/>
  <c r="Z44" i="1"/>
  <c r="Z43" i="1"/>
  <c r="AA40" i="1"/>
  <c r="Z40" i="1"/>
  <c r="Y40" i="1"/>
  <c r="AA39" i="1"/>
  <c r="Z39" i="1"/>
  <c r="Y39" i="1"/>
  <c r="AA38" i="1"/>
  <c r="Z38" i="1"/>
  <c r="Y38" i="1"/>
  <c r="U49" i="1"/>
  <c r="W48" i="1"/>
  <c r="W49" i="1" s="1"/>
  <c r="U48" i="1"/>
  <c r="U47" i="1"/>
  <c r="W46" i="1"/>
  <c r="W47" i="1" s="1"/>
  <c r="U46" i="1"/>
  <c r="V44" i="1"/>
  <c r="V43" i="1"/>
  <c r="W40" i="1"/>
  <c r="V40" i="1"/>
  <c r="U40" i="1"/>
  <c r="W39" i="1"/>
  <c r="V39" i="1"/>
  <c r="U39" i="1"/>
  <c r="W38" i="1"/>
  <c r="V38" i="1"/>
  <c r="U38" i="1"/>
  <c r="W36" i="1"/>
  <c r="U36" i="1"/>
  <c r="V36" i="1" s="1"/>
  <c r="Q49" i="1"/>
  <c r="S48" i="1"/>
  <c r="S49" i="1" s="1"/>
  <c r="Q48" i="1"/>
  <c r="Q47" i="1"/>
  <c r="S46" i="1"/>
  <c r="S47" i="1" s="1"/>
  <c r="Q46" i="1"/>
  <c r="R44" i="1"/>
  <c r="R43" i="1"/>
  <c r="S40" i="1"/>
  <c r="R40" i="1"/>
  <c r="Q40" i="1"/>
  <c r="S39" i="1"/>
  <c r="R39" i="1"/>
  <c r="R42" i="1" s="1"/>
  <c r="R51" i="1" s="1"/>
  <c r="N46" i="1" s="1"/>
  <c r="Q39" i="1"/>
  <c r="S38" i="1"/>
  <c r="R38" i="1"/>
  <c r="Q38" i="1"/>
  <c r="S36" i="1"/>
  <c r="Q36" i="1"/>
  <c r="R36" i="1" s="1"/>
  <c r="M46" i="1"/>
  <c r="M40" i="1"/>
  <c r="M39" i="1"/>
  <c r="M38" i="1"/>
  <c r="M36" i="1"/>
  <c r="N36" i="1" s="1"/>
  <c r="O36" i="1"/>
  <c r="N38" i="1"/>
  <c r="O38" i="1"/>
  <c r="N39" i="1"/>
  <c r="O39" i="1"/>
  <c r="N40" i="1"/>
  <c r="N42" i="1" s="1"/>
  <c r="O40" i="1"/>
  <c r="N43" i="1"/>
  <c r="N44" i="1"/>
  <c r="O46" i="1"/>
  <c r="O47" i="1" s="1"/>
  <c r="M47" i="1"/>
  <c r="M48" i="1"/>
  <c r="O48" i="1"/>
  <c r="O49" i="1" s="1"/>
  <c r="M49" i="1"/>
  <c r="I49" i="1"/>
  <c r="K48" i="1"/>
  <c r="K49" i="1" s="1"/>
  <c r="I48" i="1"/>
  <c r="I47" i="1"/>
  <c r="K46" i="1"/>
  <c r="K47" i="1" s="1"/>
  <c r="I46" i="1"/>
  <c r="J44" i="1"/>
  <c r="J43" i="1"/>
  <c r="K40" i="1"/>
  <c r="J40" i="1"/>
  <c r="I40" i="1"/>
  <c r="K39" i="1"/>
  <c r="J39" i="1"/>
  <c r="I39" i="1"/>
  <c r="K38" i="1"/>
  <c r="J38" i="1"/>
  <c r="I38" i="1"/>
  <c r="K36" i="1"/>
  <c r="I36" i="1"/>
  <c r="J36" i="1" s="1"/>
  <c r="Z30" i="1"/>
  <c r="V25" i="1" s="1"/>
  <c r="V24" i="1"/>
  <c r="Z20" i="1"/>
  <c r="Z19" i="1"/>
  <c r="AA16" i="1"/>
  <c r="Y16" i="1"/>
  <c r="Z16" i="1" s="1"/>
  <c r="AA15" i="1"/>
  <c r="Y15" i="1"/>
  <c r="Z15" i="1" s="1"/>
  <c r="AA14" i="1"/>
  <c r="Y14" i="1"/>
  <c r="Z14" i="1" s="1"/>
  <c r="U25" i="1"/>
  <c r="W24" i="1"/>
  <c r="W25" i="1" s="1"/>
  <c r="U24" i="1"/>
  <c r="U23" i="1"/>
  <c r="W22" i="1"/>
  <c r="W23" i="1" s="1"/>
  <c r="U22" i="1"/>
  <c r="V20" i="1"/>
  <c r="V19" i="1"/>
  <c r="W16" i="1"/>
  <c r="U16" i="1"/>
  <c r="V16" i="1" s="1"/>
  <c r="W15" i="1"/>
  <c r="U15" i="1"/>
  <c r="V15" i="1" s="1"/>
  <c r="W14" i="1"/>
  <c r="U14" i="1"/>
  <c r="V14" i="1" s="1"/>
  <c r="W12" i="1"/>
  <c r="U12" i="1"/>
  <c r="V12" i="1" s="1"/>
  <c r="Q25" i="1"/>
  <c r="S24" i="1"/>
  <c r="S25" i="1" s="1"/>
  <c r="Q24" i="1"/>
  <c r="Q23" i="1"/>
  <c r="S22" i="1"/>
  <c r="S23" i="1" s="1"/>
  <c r="Q22" i="1"/>
  <c r="R20" i="1"/>
  <c r="R19" i="1"/>
  <c r="S16" i="1"/>
  <c r="Q16" i="1"/>
  <c r="R16" i="1" s="1"/>
  <c r="S15" i="1"/>
  <c r="Q15" i="1"/>
  <c r="R15" i="1" s="1"/>
  <c r="S14" i="1"/>
  <c r="Q14" i="1"/>
  <c r="R14" i="1" s="1"/>
  <c r="S12" i="1"/>
  <c r="Q12" i="1"/>
  <c r="R12" i="1" s="1"/>
  <c r="M25" i="1"/>
  <c r="O24" i="1"/>
  <c r="O25" i="1" s="1"/>
  <c r="M24" i="1"/>
  <c r="M23" i="1"/>
  <c r="O22" i="1"/>
  <c r="O23" i="1" s="1"/>
  <c r="M22" i="1"/>
  <c r="N20" i="1"/>
  <c r="N19" i="1"/>
  <c r="O16" i="1"/>
  <c r="M16" i="1"/>
  <c r="N16" i="1" s="1"/>
  <c r="O15" i="1"/>
  <c r="M15" i="1"/>
  <c r="N15" i="1" s="1"/>
  <c r="O14" i="1"/>
  <c r="M14" i="1"/>
  <c r="N14" i="1" s="1"/>
  <c r="O12" i="1"/>
  <c r="M12" i="1"/>
  <c r="N12" i="1" s="1"/>
  <c r="B26" i="1"/>
  <c r="C18" i="1"/>
  <c r="A18" i="1"/>
  <c r="B18" i="1" s="1"/>
  <c r="C17" i="1"/>
  <c r="A17" i="1"/>
  <c r="B17" i="1" s="1"/>
  <c r="C16" i="1"/>
  <c r="A16" i="1"/>
  <c r="B16" i="1" s="1"/>
  <c r="K24" i="1"/>
  <c r="K25" i="1" s="1"/>
  <c r="K22" i="1"/>
  <c r="K23" i="1" s="1"/>
  <c r="I22" i="1"/>
  <c r="I25" i="1"/>
  <c r="I24" i="1"/>
  <c r="I23" i="1"/>
  <c r="K12" i="1"/>
  <c r="K16" i="1"/>
  <c r="K15" i="1"/>
  <c r="K14" i="1"/>
  <c r="I16" i="1"/>
  <c r="J16" i="1" s="1"/>
  <c r="I15" i="1"/>
  <c r="J15" i="1" s="1"/>
  <c r="I14" i="1"/>
  <c r="J14" i="1" s="1"/>
  <c r="I12" i="1"/>
  <c r="J12" i="1" s="1"/>
  <c r="J20" i="1"/>
  <c r="J19" i="1"/>
  <c r="V54" i="1" l="1"/>
  <c r="B25" i="1"/>
  <c r="B59" i="1" s="1"/>
  <c r="J42" i="1"/>
  <c r="J51" i="1" s="1"/>
  <c r="B34" i="1" s="1"/>
  <c r="V18" i="1"/>
  <c r="V27" i="1" s="1"/>
  <c r="R22" i="1" s="1"/>
  <c r="N51" i="1"/>
  <c r="J46" i="1" s="1"/>
  <c r="Z42" i="1"/>
  <c r="Z51" i="1" s="1"/>
  <c r="R18" i="1"/>
  <c r="R27" i="1" s="1"/>
  <c r="N22" i="1" s="1"/>
  <c r="Z18" i="1"/>
  <c r="V42" i="1"/>
  <c r="V51" i="1" s="1"/>
  <c r="R46" i="1" s="1"/>
  <c r="N18" i="1"/>
  <c r="N27" i="1" s="1"/>
  <c r="J22" i="1" s="1"/>
  <c r="J18" i="1"/>
  <c r="J27" i="1" s="1"/>
  <c r="B29" i="1" s="1"/>
  <c r="Z27" i="1" l="1"/>
  <c r="V22" i="1" s="1"/>
  <c r="V46" i="1"/>
  <c r="B68" i="1"/>
  <c r="B70" i="1" s="1"/>
  <c r="B67" i="1"/>
  <c r="B69" i="1" s="1"/>
  <c r="V53" i="1" l="1"/>
  <c r="R48" i="1" s="1"/>
  <c r="R53" i="1" s="1"/>
  <c r="N48" i="1" s="1"/>
  <c r="V29" i="1"/>
  <c r="R24" i="1" s="1"/>
  <c r="R29" i="1" s="1"/>
  <c r="N24" i="1" s="1"/>
  <c r="D2" i="1"/>
  <c r="N53" i="1" l="1"/>
  <c r="J48" i="1" s="1"/>
  <c r="J53" i="1" s="1"/>
  <c r="B36" i="1" s="1"/>
  <c r="N29" i="1"/>
  <c r="J24" i="1" s="1"/>
  <c r="J29" i="1" s="1"/>
  <c r="B31" i="1" s="1"/>
  <c r="V28" i="1"/>
  <c r="V52" i="1"/>
  <c r="Z28" i="1"/>
  <c r="Z52" i="1"/>
  <c r="R49" i="1" s="1"/>
  <c r="R54" i="1" s="1"/>
  <c r="R52" i="1"/>
  <c r="R28" i="1"/>
  <c r="N23" i="1" s="1"/>
  <c r="N52" i="1"/>
  <c r="J52" i="1"/>
  <c r="B60" i="1"/>
  <c r="J28" i="1"/>
  <c r="B30" i="1" s="1"/>
  <c r="N28" i="1"/>
  <c r="V23" i="1" l="1"/>
  <c r="C67" i="1"/>
  <c r="C69" i="1" s="1"/>
  <c r="C68" i="1"/>
  <c r="C70" i="1" s="1"/>
  <c r="V30" i="1" l="1"/>
  <c r="R25" i="1" s="1"/>
  <c r="R30" i="1" s="1"/>
  <c r="N25" i="1" s="1"/>
  <c r="N30" i="1" s="1"/>
  <c r="J25" i="1" s="1"/>
  <c r="J30" i="1" s="1"/>
  <c r="B32" i="1" s="1"/>
  <c r="N49" i="1"/>
  <c r="N54" i="1" l="1"/>
  <c r="J49" i="1" s="1"/>
  <c r="J54" i="1" s="1"/>
  <c r="B37" i="1" s="1"/>
  <c r="B63" i="1" s="1"/>
  <c r="B74" i="1" s="1"/>
  <c r="B76" i="1" s="1"/>
  <c r="B61" i="1" l="1"/>
  <c r="B73" i="1" s="1"/>
  <c r="B75" i="1" s="1"/>
  <c r="B64" i="1"/>
  <c r="C74" i="1" s="1"/>
  <c r="F12" i="1" s="1"/>
  <c r="B62" i="1"/>
  <c r="C73" i="1" s="1"/>
  <c r="C75" i="1" s="1"/>
  <c r="F13" i="1" s="1"/>
  <c r="F11" i="1" l="1"/>
  <c r="C76" i="1"/>
  <c r="F14" i="1" s="1"/>
</calcChain>
</file>

<file path=xl/sharedStrings.xml><?xml version="1.0" encoding="utf-8"?>
<sst xmlns="http://schemas.openxmlformats.org/spreadsheetml/2006/main" count="344" uniqueCount="85">
  <si>
    <t>Overslag på reaktioner</t>
  </si>
  <si>
    <t>Konsekvensklasse</t>
  </si>
  <si>
    <t>Nyttelast</t>
  </si>
  <si>
    <t>CC2</t>
  </si>
  <si>
    <t>CC3</t>
  </si>
  <si>
    <r>
      <t>kN/m</t>
    </r>
    <r>
      <rPr>
        <vertAlign val="superscript"/>
        <sz val="14"/>
        <color theme="1"/>
        <rFont val="Calibri"/>
        <family val="2"/>
        <scheme val="minor"/>
      </rPr>
      <t>2</t>
    </r>
  </si>
  <si>
    <t>Længde</t>
  </si>
  <si>
    <t>Tykkelse</t>
  </si>
  <si>
    <t>Der kan ikke regnes med forskudt forkant og strimmel F forudsættes at være 440mm</t>
  </si>
  <si>
    <t>Grund</t>
  </si>
  <si>
    <t>Stigning</t>
  </si>
  <si>
    <t>Smig</t>
  </si>
  <si>
    <t>mm</t>
  </si>
  <si>
    <t>Repos</t>
  </si>
  <si>
    <t>Løb</t>
  </si>
  <si>
    <t>gk</t>
  </si>
  <si>
    <t>qk</t>
  </si>
  <si>
    <t>Ekstra egenlast</t>
  </si>
  <si>
    <t>gk, fri</t>
  </si>
  <si>
    <t>kN/m</t>
  </si>
  <si>
    <t>Reaktion - kar.</t>
  </si>
  <si>
    <t>Reaktion - regn.</t>
  </si>
  <si>
    <r>
      <t>K</t>
    </r>
    <r>
      <rPr>
        <vertAlign val="subscript"/>
        <sz val="14"/>
        <color theme="1"/>
        <rFont val="Calibri"/>
        <family val="2"/>
        <scheme val="minor"/>
      </rPr>
      <t>FI</t>
    </r>
  </si>
  <si>
    <t>Der regnes kun på dominerende nyttelast som lastkombination</t>
  </si>
  <si>
    <t>Knækløb u. nabolast</t>
  </si>
  <si>
    <t>Knækløb m. nabolast</t>
  </si>
  <si>
    <t>Knækløb regner med løbstværsnittet over hele elementet (som SJ ark)</t>
  </si>
  <si>
    <t>kN</t>
  </si>
  <si>
    <t>Afstand fra lastplacering til reposende er altid forudsat til 0</t>
  </si>
  <si>
    <t>Naboelement 1</t>
  </si>
  <si>
    <t>Element der ønskes reaktioner for:</t>
  </si>
  <si>
    <t>Vederlag forudsættes 220mm fra side 2 og 5 i begge ender. Dog ikke for elementet der ønskes reaktioner for.</t>
  </si>
  <si>
    <t>Datavalideringslister:</t>
  </si>
  <si>
    <t>Naboelement 2</t>
  </si>
  <si>
    <t>Naboelement 3</t>
  </si>
  <si>
    <t>Naboelement 4</t>
  </si>
  <si>
    <t>Naboelement 5</t>
  </si>
  <si>
    <t>Reaktion - gk</t>
  </si>
  <si>
    <t>Reaktion - qk</t>
  </si>
  <si>
    <t>Reaktion - Gk</t>
  </si>
  <si>
    <t>Reaktion - Qk</t>
  </si>
  <si>
    <t>R2, Højre</t>
  </si>
  <si>
    <t>R1, Højre</t>
  </si>
  <si>
    <t>R1, Venstre</t>
  </si>
  <si>
    <t>R2, Venstre</t>
  </si>
  <si>
    <t>Lastbredde, Højre</t>
  </si>
  <si>
    <t>Lastbredde, Venstre</t>
  </si>
  <si>
    <t>Linjelast, gk, Venstre</t>
  </si>
  <si>
    <t>Linjelast, qk, Venstre</t>
  </si>
  <si>
    <t>Punktlast, Gk, Venstre</t>
  </si>
  <si>
    <t>Punktlast, Qk, Venstre</t>
  </si>
  <si>
    <t>Linjelast, gk, Højre</t>
  </si>
  <si>
    <t>Linjelast, qk, Højre</t>
  </si>
  <si>
    <t>Punktlast, Gk, Højre</t>
  </si>
  <si>
    <t>Punktlast, Qk, Højre</t>
  </si>
  <si>
    <t xml:space="preserve">Venstre side </t>
  </si>
  <si>
    <t>Forudsætninger:</t>
  </si>
  <si>
    <t xml:space="preserve">Højre side </t>
  </si>
  <si>
    <t>Bredde</t>
  </si>
  <si>
    <t>Fra jævnt fordelt last</t>
  </si>
  <si>
    <t>Fra nabolast</t>
  </si>
  <si>
    <t>kar.</t>
  </si>
  <si>
    <t>regn.</t>
  </si>
  <si>
    <t>Reaktion - regn. Venstre</t>
  </si>
  <si>
    <t>Reaktion - kar. Højre</t>
  </si>
  <si>
    <t>Reaktion - regn. Højre</t>
  </si>
  <si>
    <t>Reaktion - kar. Venstre</t>
  </si>
  <si>
    <t>Punktlast</t>
  </si>
  <si>
    <t>Last venstre</t>
  </si>
  <si>
    <t>Last højre</t>
  </si>
  <si>
    <t>Ven</t>
  </si>
  <si>
    <t>Høj</t>
  </si>
  <si>
    <t>Linjelast</t>
  </si>
  <si>
    <t>R2 Venstre</t>
  </si>
  <si>
    <t>R2 Højre</t>
  </si>
  <si>
    <t>R1 Venstre</t>
  </si>
  <si>
    <t>R1 Højre</t>
  </si>
  <si>
    <t>Resultat</t>
  </si>
  <si>
    <t>Kode: Dalton</t>
  </si>
  <si>
    <t>Vederlagsplaceringer</t>
  </si>
  <si>
    <t>Punktlaster</t>
  </si>
  <si>
    <t>Linjelaster</t>
  </si>
  <si>
    <t>Fladelaster</t>
  </si>
  <si>
    <t>Reaktioner</t>
  </si>
  <si>
    <t>Last fra naboelement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</si>
</sst>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2" fontId="1" fillId="0" borderId="7" xfId="0" applyNumberFormat="1" applyFont="1" applyBorder="1"/>
    <xf numFmtId="0" fontId="1" fillId="0" borderId="8" xfId="0" applyFont="1" applyBorder="1"/>
    <xf numFmtId="165" fontId="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2" fontId="1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0" xfId="0" applyFont="1" applyFill="1" applyProtection="1">
      <protection locked="0"/>
    </xf>
    <xf numFmtId="2" fontId="1" fillId="2" borderId="0" xfId="0" applyNumberFormat="1" applyFont="1" applyFill="1" applyProtection="1">
      <protection locked="0"/>
    </xf>
    <xf numFmtId="0" fontId="1" fillId="0" borderId="0" xfId="0" applyFont="1" applyProtection="1">
      <protection locked="0"/>
    </xf>
    <xf numFmtId="0" fontId="7" fillId="0" borderId="0" xfId="0" applyFont="1"/>
    <xf numFmtId="0" fontId="2" fillId="0" borderId="4" xfId="0" applyFont="1" applyBorder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29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6"/>
  <sheetViews>
    <sheetView tabSelected="1" zoomScale="85" zoomScaleNormal="85" workbookViewId="0">
      <selection activeCell="B3" sqref="B3"/>
    </sheetView>
  </sheetViews>
  <sheetFormatPr defaultRowHeight="18.75" x14ac:dyDescent="0.3"/>
  <cols>
    <col min="1" max="1" width="27.28515625" style="1" customWidth="1"/>
    <col min="2" max="3" width="9.140625" style="1"/>
    <col min="4" max="4" width="6.42578125" style="1" customWidth="1"/>
    <col min="5" max="5" width="13.140625" style="1" customWidth="1"/>
    <col min="6" max="6" width="10.5703125" style="1" customWidth="1"/>
    <col min="7" max="7" width="10.28515625" style="1" customWidth="1"/>
    <col min="8" max="8" width="5.28515625" style="1" customWidth="1"/>
    <col min="9" max="9" width="25" style="1" customWidth="1"/>
    <col min="10" max="12" width="9.28515625" style="1" customWidth="1"/>
    <col min="13" max="13" width="25" style="1" customWidth="1"/>
    <col min="14" max="16" width="9.28515625" style="1" customWidth="1"/>
    <col min="17" max="17" width="25" style="1" customWidth="1"/>
    <col min="18" max="20" width="9.28515625" style="1" customWidth="1"/>
    <col min="21" max="21" width="25" style="1" customWidth="1"/>
    <col min="22" max="24" width="9.28515625" style="1" customWidth="1"/>
    <col min="25" max="25" width="25" style="1" customWidth="1"/>
    <col min="26" max="27" width="9.28515625" style="1" customWidth="1"/>
    <col min="28" max="16384" width="9.140625" style="1"/>
  </cols>
  <sheetData>
    <row r="1" spans="1:27" ht="23.25" x14ac:dyDescent="0.35">
      <c r="A1" s="7" t="s">
        <v>0</v>
      </c>
      <c r="I1" s="2" t="s">
        <v>56</v>
      </c>
      <c r="U1" s="2" t="s">
        <v>32</v>
      </c>
      <c r="Y1" s="1" t="s">
        <v>78</v>
      </c>
    </row>
    <row r="2" spans="1:27" ht="20.25" customHeight="1" x14ac:dyDescent="0.35">
      <c r="A2" s="1" t="s">
        <v>1</v>
      </c>
      <c r="B2" s="20" t="s">
        <v>3</v>
      </c>
      <c r="C2" s="3" t="s">
        <v>22</v>
      </c>
      <c r="D2" s="8">
        <f>IF(B2="CC2",1,1.1)</f>
        <v>1</v>
      </c>
      <c r="I2" s="1" t="s">
        <v>8</v>
      </c>
      <c r="V2" s="1" t="s">
        <v>3</v>
      </c>
    </row>
    <row r="3" spans="1:27" ht="20.25" customHeight="1" x14ac:dyDescent="0.3">
      <c r="A3" s="1" t="s">
        <v>2</v>
      </c>
      <c r="B3" s="21" t="e">
        <f>NA()</f>
        <v>#N/A</v>
      </c>
      <c r="C3" s="1" t="s">
        <v>5</v>
      </c>
      <c r="E3" s="8"/>
      <c r="F3" s="8"/>
      <c r="I3" s="1" t="s">
        <v>23</v>
      </c>
      <c r="U3" s="1" t="s">
        <v>14</v>
      </c>
      <c r="V3" s="1" t="s">
        <v>4</v>
      </c>
    </row>
    <row r="4" spans="1:27" ht="20.25" customHeight="1" x14ac:dyDescent="0.3">
      <c r="A4" s="1" t="s">
        <v>17</v>
      </c>
      <c r="B4" s="21" t="e">
        <f>NA()</f>
        <v>#N/A</v>
      </c>
      <c r="C4" s="1" t="s">
        <v>5</v>
      </c>
      <c r="I4" s="1" t="s">
        <v>26</v>
      </c>
      <c r="U4" s="1" t="s">
        <v>24</v>
      </c>
    </row>
    <row r="5" spans="1:27" ht="20.25" customHeight="1" x14ac:dyDescent="0.3">
      <c r="A5" s="1" t="s">
        <v>9</v>
      </c>
      <c r="B5" s="20" t="e">
        <f>NA()</f>
        <v>#N/A</v>
      </c>
      <c r="C5" s="1" t="s">
        <v>12</v>
      </c>
      <c r="I5" s="1" t="s">
        <v>31</v>
      </c>
      <c r="U5" s="1" t="s">
        <v>13</v>
      </c>
    </row>
    <row r="6" spans="1:27" ht="20.25" customHeight="1" x14ac:dyDescent="0.3">
      <c r="A6" s="1" t="s">
        <v>10</v>
      </c>
      <c r="B6" s="20" t="e">
        <f>NA()</f>
        <v>#N/A</v>
      </c>
      <c r="C6" s="1" t="s">
        <v>12</v>
      </c>
      <c r="I6" s="1" t="s">
        <v>28</v>
      </c>
      <c r="U6" s="1" t="s">
        <v>25</v>
      </c>
    </row>
    <row r="7" spans="1:27" ht="20.25" customHeight="1" x14ac:dyDescent="0.3">
      <c r="A7" s="1" t="s">
        <v>11</v>
      </c>
      <c r="B7" s="20" t="e">
        <f>NA()</f>
        <v>#N/A</v>
      </c>
      <c r="C7" s="1" t="s">
        <v>12</v>
      </c>
    </row>
    <row r="8" spans="1:27" ht="12" customHeight="1" x14ac:dyDescent="0.3"/>
    <row r="9" spans="1:27" ht="21" x14ac:dyDescent="0.35">
      <c r="A9" s="6" t="s">
        <v>30</v>
      </c>
      <c r="I9" s="6" t="s">
        <v>29</v>
      </c>
      <c r="M9" s="6" t="s">
        <v>33</v>
      </c>
      <c r="Q9" s="6" t="s">
        <v>34</v>
      </c>
      <c r="U9" s="6" t="s">
        <v>35</v>
      </c>
      <c r="Y9" s="6" t="s">
        <v>36</v>
      </c>
    </row>
    <row r="10" spans="1:27" x14ac:dyDescent="0.3">
      <c r="A10" s="22" t="s">
        <v>25</v>
      </c>
      <c r="E10" s="2" t="s">
        <v>77</v>
      </c>
      <c r="I10" s="22"/>
      <c r="J10" s="27" t="str">
        <f>IF(OR(AND(I10=$U$3,NOT(M10="")),AND(I10=$U$4,NOT(M10="")),AND(I10="",NOT(M10=""))),"Fejl! Ikke muligt!","")</f>
        <v/>
      </c>
      <c r="M10" s="22"/>
      <c r="N10" s="27" t="str">
        <f>IF(OR(AND(M10=$U$3,NOT(Q10="")),AND(M10=$U$4,NOT(Q10="")),AND(M10="",NOT(Q10=""))),"Fejl! Ikke muligt!","")</f>
        <v/>
      </c>
      <c r="Q10" s="22"/>
      <c r="R10" s="27" t="str">
        <f>IF(OR(AND(Q10=$U$3,NOT(U10="")),AND(Q10=$U$4,NOT(U10="")),AND(Q10="",NOT(U10=""))),"Fejl! Ikke muligt!","")</f>
        <v/>
      </c>
      <c r="U10" s="22"/>
      <c r="V10" s="27" t="str">
        <f>IF(OR(AND(U10=$U$3,NOT(Y10="")),AND(U10=$U$4,NOT(Y10="")),AND(U10="",NOT(Y10=""))),"Fejl! Ikke muligt!","")</f>
        <v/>
      </c>
      <c r="Y10" s="22"/>
    </row>
    <row r="11" spans="1:27" x14ac:dyDescent="0.3">
      <c r="A11" s="9" t="s">
        <v>6</v>
      </c>
      <c r="B11" s="23" t="e">
        <f>NA()</f>
        <v>#N/A</v>
      </c>
      <c r="C11" s="10" t="s">
        <v>12</v>
      </c>
      <c r="E11" s="9" t="s">
        <v>73</v>
      </c>
      <c r="F11" s="17" t="e">
        <f>FIXED(C67+C73,1)&amp;"kN"</f>
        <v>#N/A</v>
      </c>
      <c r="I11" s="9" t="s">
        <v>6</v>
      </c>
      <c r="J11" s="23" t="e">
        <f>NA()</f>
        <v>#N/A</v>
      </c>
      <c r="K11" s="10" t="s">
        <v>12</v>
      </c>
      <c r="M11" s="9" t="s">
        <v>6</v>
      </c>
      <c r="N11" s="23" t="e">
        <f>NA()</f>
        <v>#N/A</v>
      </c>
      <c r="O11" s="10" t="s">
        <v>12</v>
      </c>
      <c r="Q11" s="9" t="s">
        <v>6</v>
      </c>
      <c r="R11" s="23" t="e">
        <f>NA()</f>
        <v>#N/A</v>
      </c>
      <c r="S11" s="10" t="s">
        <v>12</v>
      </c>
      <c r="U11" s="9" t="s">
        <v>6</v>
      </c>
      <c r="V11" s="23" t="e">
        <f>NA()</f>
        <v>#N/A</v>
      </c>
      <c r="W11" s="10" t="s">
        <v>12</v>
      </c>
      <c r="Y11" s="9" t="s">
        <v>6</v>
      </c>
      <c r="Z11" s="23" t="e">
        <f>NA()</f>
        <v>#N/A</v>
      </c>
      <c r="AA11" s="10" t="s">
        <v>12</v>
      </c>
    </row>
    <row r="12" spans="1:27" x14ac:dyDescent="0.3">
      <c r="A12" s="11" t="s">
        <v>58</v>
      </c>
      <c r="B12" s="24" t="e">
        <f>NA()</f>
        <v>#N/A</v>
      </c>
      <c r="C12" s="12" t="s">
        <v>12</v>
      </c>
      <c r="E12" s="11" t="s">
        <v>74</v>
      </c>
      <c r="F12" s="18" t="e">
        <f>FIXED(C68+C74,1)&amp;"kN"</f>
        <v>#N/A</v>
      </c>
      <c r="I12" s="11" t="str">
        <f>IF(I10=$U$5,"Lastbredde",IF(I10=$U$6,"Lastbredde (La / Lc)",""))</f>
        <v/>
      </c>
      <c r="J12" s="26" t="str">
        <f>IF(I12="","",NA())</f>
        <v/>
      </c>
      <c r="K12" s="12" t="str">
        <f>IF(OR(I10=$U$5,I10=$U$6),"mm","")</f>
        <v/>
      </c>
      <c r="M12" s="11" t="str">
        <f>IF(M10=$U$5,"Lastbredde",IF(M10=$U$6,"Lastbredde (La / Lc)",""))</f>
        <v/>
      </c>
      <c r="N12" s="26" t="str">
        <f>IF(M12="","",NA())</f>
        <v/>
      </c>
      <c r="O12" s="12" t="str">
        <f>IF(OR(M10=$U$5,M10=$U$6),"mm","")</f>
        <v/>
      </c>
      <c r="Q12" s="11" t="str">
        <f>IF(Q10=$U$5,"Lastbredde",IF(Q10=$U$6,"Lastbredde (La / Lc)",""))</f>
        <v/>
      </c>
      <c r="R12" s="26" t="str">
        <f>IF(Q12="","",NA())</f>
        <v/>
      </c>
      <c r="S12" s="12" t="str">
        <f>IF(OR(Q10=$U$5,Q10=$U$6),"mm","")</f>
        <v/>
      </c>
      <c r="U12" s="11" t="str">
        <f>IF(U10=$U$5,"Lastbredde",IF(U10=$U$6,"Lastbredde (La / Lc)",""))</f>
        <v/>
      </c>
      <c r="V12" s="26" t="str">
        <f>IF(U12="","",NA())</f>
        <v/>
      </c>
      <c r="W12" s="12" t="str">
        <f>IF(OR(U10=$U$5,U10=$U$6),"mm","")</f>
        <v/>
      </c>
      <c r="Y12" s="11"/>
      <c r="AA12" s="12"/>
    </row>
    <row r="13" spans="1:27" x14ac:dyDescent="0.3">
      <c r="A13" s="11" t="s">
        <v>46</v>
      </c>
      <c r="B13" s="24" t="e">
        <f>NA()</f>
        <v>#N/A</v>
      </c>
      <c r="C13" s="12" t="s">
        <v>12</v>
      </c>
      <c r="E13" s="11" t="s">
        <v>75</v>
      </c>
      <c r="F13" s="18" t="e">
        <f>FIXED(C69+C75,1)&amp;"kN"</f>
        <v>#N/A</v>
      </c>
      <c r="I13" s="11" t="s">
        <v>7</v>
      </c>
      <c r="J13" s="24" t="e">
        <f>NA()</f>
        <v>#N/A</v>
      </c>
      <c r="K13" s="12" t="s">
        <v>12</v>
      </c>
      <c r="M13" s="11" t="s">
        <v>7</v>
      </c>
      <c r="N13" s="24" t="e">
        <f>NA()</f>
        <v>#N/A</v>
      </c>
      <c r="O13" s="12" t="s">
        <v>12</v>
      </c>
      <c r="Q13" s="11" t="s">
        <v>7</v>
      </c>
      <c r="R13" s="24" t="e">
        <f>NA()</f>
        <v>#N/A</v>
      </c>
      <c r="S13" s="12" t="s">
        <v>12</v>
      </c>
      <c r="U13" s="11" t="s">
        <v>7</v>
      </c>
      <c r="V13" s="24" t="e">
        <f>NA()</f>
        <v>#N/A</v>
      </c>
      <c r="W13" s="12" t="s">
        <v>12</v>
      </c>
      <c r="Y13" s="11" t="s">
        <v>7</v>
      </c>
      <c r="Z13" s="24" t="e">
        <f>NA()</f>
        <v>#N/A</v>
      </c>
      <c r="AA13" s="12" t="s">
        <v>12</v>
      </c>
    </row>
    <row r="14" spans="1:27" x14ac:dyDescent="0.3">
      <c r="A14" s="11" t="s">
        <v>45</v>
      </c>
      <c r="B14" s="24" t="e">
        <f>NA()</f>
        <v>#N/A</v>
      </c>
      <c r="C14" s="12" t="s">
        <v>12</v>
      </c>
      <c r="E14" s="13" t="s">
        <v>76</v>
      </c>
      <c r="F14" s="19" t="e">
        <f>FIXED(C70+C76,1)&amp;"kN"</f>
        <v>#N/A</v>
      </c>
      <c r="I14" s="11" t="str">
        <f>IF(I10=$U$5,"","Grund")</f>
        <v>Grund</v>
      </c>
      <c r="J14" s="26" t="e">
        <f>IF(I14="","",$B5)</f>
        <v>#N/A</v>
      </c>
      <c r="K14" s="12" t="str">
        <f>IF(I10=$U$5,"","mm")</f>
        <v>mm</v>
      </c>
      <c r="M14" s="11" t="str">
        <f>IF(M10=$U$5,"","Grund")</f>
        <v>Grund</v>
      </c>
      <c r="N14" s="26" t="e">
        <f>IF(M14="","",$B5)</f>
        <v>#N/A</v>
      </c>
      <c r="O14" s="12" t="str">
        <f>IF(M10=$U$5,"","mm")</f>
        <v>mm</v>
      </c>
      <c r="Q14" s="11" t="str">
        <f>IF(Q10=$U$5,"","Grund")</f>
        <v>Grund</v>
      </c>
      <c r="R14" s="26" t="e">
        <f>IF(Q14="","",$B5)</f>
        <v>#N/A</v>
      </c>
      <c r="S14" s="12" t="str">
        <f>IF(Q10=$U$5,"","mm")</f>
        <v>mm</v>
      </c>
      <c r="U14" s="11" t="str">
        <f>IF(U10=$U$5,"","Grund")</f>
        <v>Grund</v>
      </c>
      <c r="V14" s="26" t="e">
        <f>IF(U14="","",$B5)</f>
        <v>#N/A</v>
      </c>
      <c r="W14" s="12" t="str">
        <f>IF(U10=$U$5,"","mm")</f>
        <v>mm</v>
      </c>
      <c r="Y14" s="11" t="str">
        <f>IF(Y10=$U$5,"","Grund")</f>
        <v>Grund</v>
      </c>
      <c r="Z14" s="26" t="e">
        <f>IF(Y14="","",$B5)</f>
        <v>#N/A</v>
      </c>
      <c r="AA14" s="12" t="str">
        <f>IF(Y10=$U$5,"","mm")</f>
        <v>mm</v>
      </c>
    </row>
    <row r="15" spans="1:27" x14ac:dyDescent="0.3">
      <c r="A15" s="11" t="s">
        <v>7</v>
      </c>
      <c r="B15" s="24" t="e">
        <f>NA()</f>
        <v>#N/A</v>
      </c>
      <c r="C15" s="12" t="s">
        <v>12</v>
      </c>
      <c r="I15" s="11" t="str">
        <f>IF(I10=$U$5,"","Stigning")</f>
        <v>Stigning</v>
      </c>
      <c r="J15" s="26" t="e">
        <f t="shared" ref="J15:J16" si="0">IF(I15="","",$B6)</f>
        <v>#N/A</v>
      </c>
      <c r="K15" s="12" t="str">
        <f>IF(I10=$U$5,"","mm")</f>
        <v>mm</v>
      </c>
      <c r="M15" s="11" t="str">
        <f>IF(M10=$U$5,"","Stigning")</f>
        <v>Stigning</v>
      </c>
      <c r="N15" s="26" t="e">
        <f t="shared" ref="N15:N16" si="1">IF(M15="","",$B6)</f>
        <v>#N/A</v>
      </c>
      <c r="O15" s="12" t="str">
        <f>IF(M10=$U$5,"","mm")</f>
        <v>mm</v>
      </c>
      <c r="Q15" s="11" t="str">
        <f>IF(Q10=$U$5,"","Stigning")</f>
        <v>Stigning</v>
      </c>
      <c r="R15" s="26" t="e">
        <f t="shared" ref="R15:R16" si="2">IF(Q15="","",$B6)</f>
        <v>#N/A</v>
      </c>
      <c r="S15" s="12" t="str">
        <f>IF(Q10=$U$5,"","mm")</f>
        <v>mm</v>
      </c>
      <c r="U15" s="11" t="str">
        <f>IF(U10=$U$5,"","Stigning")</f>
        <v>Stigning</v>
      </c>
      <c r="V15" s="26" t="e">
        <f t="shared" ref="V15:V16" si="3">IF(U15="","",$B6)</f>
        <v>#N/A</v>
      </c>
      <c r="W15" s="12" t="str">
        <f>IF(U10=$U$5,"","mm")</f>
        <v>mm</v>
      </c>
      <c r="Y15" s="11" t="str">
        <f>IF(Y10=$U$5,"","Stigning")</f>
        <v>Stigning</v>
      </c>
      <c r="Z15" s="26" t="e">
        <f t="shared" ref="Z15:Z16" si="4">IF(Y15="","",$B6)</f>
        <v>#N/A</v>
      </c>
      <c r="AA15" s="12" t="str">
        <f>IF(Y10=$U$5,"","mm")</f>
        <v>mm</v>
      </c>
    </row>
    <row r="16" spans="1:27" x14ac:dyDescent="0.3">
      <c r="A16" s="11" t="str">
        <f>IF(A10=$U$5,"","Grund")</f>
        <v>Grund</v>
      </c>
      <c r="B16" s="26" t="e">
        <f>IF(A16="","",$B5)</f>
        <v>#N/A</v>
      </c>
      <c r="C16" s="12" t="str">
        <f>IF(A10=$U$5,"","mm")</f>
        <v>mm</v>
      </c>
      <c r="I16" s="11" t="str">
        <f>IF(I10=$U$5,"","Smig")</f>
        <v>Smig</v>
      </c>
      <c r="J16" s="26" t="e">
        <f t="shared" si="0"/>
        <v>#N/A</v>
      </c>
      <c r="K16" s="12" t="str">
        <f>IF(I10=$U$5,"","mm")</f>
        <v>mm</v>
      </c>
      <c r="M16" s="11" t="str">
        <f>IF(M10=$U$5,"","Smig")</f>
        <v>Smig</v>
      </c>
      <c r="N16" s="26" t="e">
        <f t="shared" si="1"/>
        <v>#N/A</v>
      </c>
      <c r="O16" s="12" t="str">
        <f>IF(M10=$U$5,"","mm")</f>
        <v>mm</v>
      </c>
      <c r="Q16" s="11" t="str">
        <f>IF(Q10=$U$5,"","Smig")</f>
        <v>Smig</v>
      </c>
      <c r="R16" s="26" t="e">
        <f t="shared" si="2"/>
        <v>#N/A</v>
      </c>
      <c r="S16" s="12" t="str">
        <f>IF(Q10=$U$5,"","mm")</f>
        <v>mm</v>
      </c>
      <c r="U16" s="11" t="str">
        <f>IF(U10=$U$5,"","Smig")</f>
        <v>Smig</v>
      </c>
      <c r="V16" s="26" t="e">
        <f t="shared" si="3"/>
        <v>#N/A</v>
      </c>
      <c r="W16" s="12" t="str">
        <f>IF(U10=$U$5,"","mm")</f>
        <v>mm</v>
      </c>
      <c r="Y16" s="11" t="str">
        <f>IF(Y10=$U$5,"","Smig")</f>
        <v>Smig</v>
      </c>
      <c r="Z16" s="26" t="e">
        <f t="shared" si="4"/>
        <v>#N/A</v>
      </c>
      <c r="AA16" s="12" t="str">
        <f>IF(Y10=$U$5,"","mm")</f>
        <v>mm</v>
      </c>
    </row>
    <row r="17" spans="1:45" x14ac:dyDescent="0.3">
      <c r="A17" s="11" t="str">
        <f>IF(A10=$U$5,"","Stigning")</f>
        <v>Stigning</v>
      </c>
      <c r="B17" s="26" t="e">
        <f t="shared" ref="B17" si="5">IF(A17="","",$B6)</f>
        <v>#N/A</v>
      </c>
      <c r="C17" s="12" t="str">
        <f>IF(A10=$U$5,"","mm")</f>
        <v>mm</v>
      </c>
      <c r="I17" s="28" t="s">
        <v>82</v>
      </c>
      <c r="K17" s="12"/>
      <c r="M17" s="28" t="s">
        <v>82</v>
      </c>
      <c r="O17" s="12"/>
      <c r="Q17" s="28" t="s">
        <v>82</v>
      </c>
      <c r="S17" s="12"/>
      <c r="U17" s="28" t="s">
        <v>82</v>
      </c>
      <c r="W17" s="12"/>
      <c r="Y17" s="28" t="s">
        <v>82</v>
      </c>
      <c r="AA17" s="12"/>
    </row>
    <row r="18" spans="1:45" ht="21" x14ac:dyDescent="0.3">
      <c r="A18" s="11" t="str">
        <f>IF(A10=$U$5,"","Smig")</f>
        <v>Smig</v>
      </c>
      <c r="B18" s="26" t="e">
        <f>IF(A18="","",$B7)</f>
        <v>#N/A</v>
      </c>
      <c r="C18" s="12" t="str">
        <f>IF(A10=$U$5,"","mm")</f>
        <v>mm</v>
      </c>
      <c r="I18" s="11" t="s">
        <v>15</v>
      </c>
      <c r="J18" s="25" t="e">
        <f>IF(I10="Repos",25*J13*10^-3,(0.5*(J15*J14+J15*J16)+J13*SQRT(J14^2+J15^2))*25*10^-6/(J14*10^-3))</f>
        <v>#N/A</v>
      </c>
      <c r="K18" s="12" t="s">
        <v>5</v>
      </c>
      <c r="M18" s="11" t="s">
        <v>15</v>
      </c>
      <c r="N18" s="25" t="e">
        <f>IF(M10="Repos",25*N13*10^-3,(0.5*(N15*N14+N15*N16)+N13*SQRT(N14^2+N15^2))*25*10^-6/(N14*10^-3))</f>
        <v>#N/A</v>
      </c>
      <c r="O18" s="12" t="s">
        <v>5</v>
      </c>
      <c r="Q18" s="11" t="s">
        <v>15</v>
      </c>
      <c r="R18" s="25" t="e">
        <f>IF(Q10="Repos",25*R13*10^-3,(0.5*(R15*R14+R15*R16)+R13*SQRT(R14^2+R15^2))*25*10^-6/(R14*10^-3))</f>
        <v>#N/A</v>
      </c>
      <c r="S18" s="12" t="s">
        <v>5</v>
      </c>
      <c r="U18" s="11" t="s">
        <v>15</v>
      </c>
      <c r="V18" s="25" t="e">
        <f>IF(U10="Repos",25*V13*10^-3,(0.5*(V15*V14+V15*V16)+V13*SQRT(V14^2+V15^2))*25*10^-6/(V14*10^-3))</f>
        <v>#N/A</v>
      </c>
      <c r="W18" s="12" t="s">
        <v>5</v>
      </c>
      <c r="Y18" s="11" t="s">
        <v>15</v>
      </c>
      <c r="Z18" s="25" t="e">
        <f>IF(Y10="Repos",25*Z13*10^-3,(0.5*(Z15*Z14+Z15*Z16)+Z13*SQRT(Z14^2+Z15^2))*25*10^-6/(Z14*10^-3))</f>
        <v>#N/A</v>
      </c>
      <c r="AA18" s="12" t="s">
        <v>5</v>
      </c>
      <c r="AG18" s="5"/>
      <c r="AK18" s="5"/>
      <c r="AO18" s="5"/>
      <c r="AS18" s="5"/>
    </row>
    <row r="19" spans="1:45" ht="21" x14ac:dyDescent="0.3">
      <c r="A19" s="28" t="s">
        <v>79</v>
      </c>
      <c r="C19" s="12"/>
      <c r="I19" s="11" t="s">
        <v>18</v>
      </c>
      <c r="J19" s="25" t="e">
        <f>$B$4</f>
        <v>#N/A</v>
      </c>
      <c r="K19" s="12" t="s">
        <v>5</v>
      </c>
      <c r="M19" s="11" t="s">
        <v>18</v>
      </c>
      <c r="N19" s="25" t="e">
        <f>$B$4</f>
        <v>#N/A</v>
      </c>
      <c r="O19" s="12" t="s">
        <v>5</v>
      </c>
      <c r="Q19" s="11" t="s">
        <v>18</v>
      </c>
      <c r="R19" s="25" t="e">
        <f>$B$4</f>
        <v>#N/A</v>
      </c>
      <c r="S19" s="12" t="s">
        <v>5</v>
      </c>
      <c r="U19" s="11" t="s">
        <v>18</v>
      </c>
      <c r="V19" s="25" t="e">
        <f>$B$4</f>
        <v>#N/A</v>
      </c>
      <c r="W19" s="12" t="s">
        <v>5</v>
      </c>
      <c r="Y19" s="11" t="s">
        <v>18</v>
      </c>
      <c r="Z19" s="25" t="e">
        <f>$B$4</f>
        <v>#N/A</v>
      </c>
      <c r="AA19" s="12" t="s">
        <v>5</v>
      </c>
      <c r="AK19" s="5"/>
      <c r="AO19" s="5"/>
      <c r="AS19" s="5"/>
    </row>
    <row r="20" spans="1:45" ht="21" x14ac:dyDescent="0.3">
      <c r="A20" s="11" t="s">
        <v>44</v>
      </c>
      <c r="B20" s="24" t="e">
        <f>NA()</f>
        <v>#N/A</v>
      </c>
      <c r="C20" s="12" t="s">
        <v>12</v>
      </c>
      <c r="G20" s="29" t="s">
        <v>55</v>
      </c>
      <c r="I20" s="11" t="s">
        <v>16</v>
      </c>
      <c r="J20" s="25" t="e">
        <f>$B$3</f>
        <v>#N/A</v>
      </c>
      <c r="K20" s="12" t="s">
        <v>5</v>
      </c>
      <c r="M20" s="11" t="s">
        <v>16</v>
      </c>
      <c r="N20" s="25" t="e">
        <f>$B$3</f>
        <v>#N/A</v>
      </c>
      <c r="O20" s="12" t="s">
        <v>5</v>
      </c>
      <c r="Q20" s="11" t="s">
        <v>16</v>
      </c>
      <c r="R20" s="25" t="e">
        <f>$B$3</f>
        <v>#N/A</v>
      </c>
      <c r="S20" s="12" t="s">
        <v>5</v>
      </c>
      <c r="U20" s="11" t="s">
        <v>16</v>
      </c>
      <c r="V20" s="25" t="e">
        <f>$B$3</f>
        <v>#N/A</v>
      </c>
      <c r="W20" s="12" t="s">
        <v>5</v>
      </c>
      <c r="Y20" s="11" t="s">
        <v>16</v>
      </c>
      <c r="Z20" s="25" t="e">
        <f>$B$3</f>
        <v>#N/A</v>
      </c>
      <c r="AA20" s="12" t="s">
        <v>5</v>
      </c>
      <c r="AK20" s="5"/>
      <c r="AO20" s="5"/>
      <c r="AS20" s="5"/>
    </row>
    <row r="21" spans="1:45" x14ac:dyDescent="0.3">
      <c r="A21" s="11" t="s">
        <v>43</v>
      </c>
      <c r="B21" s="24" t="e">
        <f>NA()</f>
        <v>#N/A</v>
      </c>
      <c r="C21" s="12" t="s">
        <v>12</v>
      </c>
      <c r="G21" s="29"/>
      <c r="I21" s="28" t="s">
        <v>84</v>
      </c>
      <c r="K21" s="12"/>
      <c r="M21" s="28" t="s">
        <v>84</v>
      </c>
      <c r="O21" s="12"/>
      <c r="Q21" s="28" t="s">
        <v>84</v>
      </c>
      <c r="S21" s="12"/>
      <c r="U21" s="28" t="s">
        <v>84</v>
      </c>
      <c r="W21" s="12"/>
      <c r="Y21" s="11"/>
      <c r="AA21" s="12"/>
    </row>
    <row r="22" spans="1:45" x14ac:dyDescent="0.3">
      <c r="A22" s="11" t="s">
        <v>41</v>
      </c>
      <c r="B22" s="24" t="e">
        <f>NA()</f>
        <v>#N/A</v>
      </c>
      <c r="C22" s="12" t="s">
        <v>12</v>
      </c>
      <c r="I22" s="11" t="str">
        <f>IF(OR(I10=$U$5,I10=$U$6),"Linjelast, gk","")</f>
        <v/>
      </c>
      <c r="J22" s="5">
        <f>IF(M$10="",0,N27)</f>
        <v>0</v>
      </c>
      <c r="K22" s="12" t="str">
        <f>IF(OR(I10=$U$5,I10=$U$6),"kN/m","")</f>
        <v/>
      </c>
      <c r="M22" s="11" t="str">
        <f>IF(OR(M10=$U$5,M10=$U$6),"Linjelast, gk","")</f>
        <v/>
      </c>
      <c r="N22" s="5">
        <f>IF(Q$10=0,0,R27)</f>
        <v>0</v>
      </c>
      <c r="O22" s="12" t="str">
        <f>IF(OR(M10=$U$5,M10=$U$6),"kN/m","")</f>
        <v/>
      </c>
      <c r="Q22" s="11" t="str">
        <f>IF(OR(Q10=$U$5,Q10=$U$6),"Linjelast, gk","")</f>
        <v/>
      </c>
      <c r="R22" s="5">
        <f>IF(U$10="",0,V27)</f>
        <v>0</v>
      </c>
      <c r="S22" s="12" t="str">
        <f>IF(OR(Q10=$U$5,Q10=$U$6),"kN/m","")</f>
        <v/>
      </c>
      <c r="U22" s="11" t="str">
        <f>IF(OR(U10=$U$5,U10=$U$6),"Linjelast, gk","")</f>
        <v/>
      </c>
      <c r="V22" s="5">
        <f>IF(Y$10="",0,Z27)</f>
        <v>0</v>
      </c>
      <c r="W22" s="12" t="str">
        <f>IF(OR(U10=$U$5,U10=$U$6),"kN/m","")</f>
        <v/>
      </c>
      <c r="Y22" s="11"/>
      <c r="Z22" s="5"/>
      <c r="AA22" s="12"/>
      <c r="AK22" s="5"/>
      <c r="AS22" s="5"/>
    </row>
    <row r="23" spans="1:45" x14ac:dyDescent="0.3">
      <c r="A23" s="11" t="s">
        <v>42</v>
      </c>
      <c r="B23" s="24" t="e">
        <f>NA()</f>
        <v>#N/A</v>
      </c>
      <c r="C23" s="12" t="s">
        <v>12</v>
      </c>
      <c r="I23" s="11" t="str">
        <f>IF(OR(I10=$U$5,I10=$U$6),"Linjelast, qk","")</f>
        <v/>
      </c>
      <c r="J23" s="5">
        <f>IF(M$10="",0,N28)</f>
        <v>0</v>
      </c>
      <c r="K23" s="12" t="str">
        <f>K22</f>
        <v/>
      </c>
      <c r="M23" s="11" t="str">
        <f>IF(OR(M10=$U$5,M10=$U$6),"Linjelast, qk","")</f>
        <v/>
      </c>
      <c r="N23" s="5">
        <f t="shared" ref="N23:N24" si="6">IF(Q$10=0,0,R28)</f>
        <v>0</v>
      </c>
      <c r="O23" s="12" t="str">
        <f>O22</f>
        <v/>
      </c>
      <c r="Q23" s="11" t="str">
        <f>IF(OR(Q10=$U$5,Q10=$U$6),"Linjelast, qk","")</f>
        <v/>
      </c>
      <c r="R23" s="5">
        <f t="shared" ref="R23:R24" si="7">IF(U$10="",0,V28)</f>
        <v>0</v>
      </c>
      <c r="S23" s="12" t="str">
        <f>S22</f>
        <v/>
      </c>
      <c r="U23" s="11" t="str">
        <f>IF(OR(U10=$U$5,U10=$U$6),"Linjelast, qk","")</f>
        <v/>
      </c>
      <c r="V23" s="5">
        <f t="shared" ref="V23:V24" si="8">IF(Y$10="",0,Z28)</f>
        <v>0</v>
      </c>
      <c r="W23" s="12" t="str">
        <f>W22</f>
        <v/>
      </c>
      <c r="Y23" s="11"/>
      <c r="Z23" s="5"/>
      <c r="AA23" s="12"/>
      <c r="AK23" s="5"/>
      <c r="AS23" s="5"/>
    </row>
    <row r="24" spans="1:45" x14ac:dyDescent="0.3">
      <c r="A24" s="28" t="s">
        <v>82</v>
      </c>
      <c r="C24" s="12"/>
      <c r="I24" s="11" t="str">
        <f>IF(OR(I10=$U$5,I10=$U$6),"Punktlast, Gk","")</f>
        <v/>
      </c>
      <c r="J24" s="5">
        <f>IF(M$10="",0,N29)</f>
        <v>0</v>
      </c>
      <c r="K24" s="12" t="str">
        <f>IF(OR(I10=$U$5,I10=$U$6),"kN","")</f>
        <v/>
      </c>
      <c r="M24" s="11" t="str">
        <f>IF(OR(M10=$U$5,M10=$U$6),"Punktlast, Gk","")</f>
        <v/>
      </c>
      <c r="N24" s="5">
        <f t="shared" si="6"/>
        <v>0</v>
      </c>
      <c r="O24" s="12" t="str">
        <f>IF(OR(M10=$U$5,M10=$U$6),"kN","")</f>
        <v/>
      </c>
      <c r="Q24" s="11" t="str">
        <f>IF(OR(Q10=$U$5,Q10=$U$6),"Punktlast, Gk","")</f>
        <v/>
      </c>
      <c r="R24" s="5">
        <f t="shared" si="7"/>
        <v>0</v>
      </c>
      <c r="S24" s="12" t="str">
        <f>IF(OR(Q10=$U$5,Q10=$U$6),"kN","")</f>
        <v/>
      </c>
      <c r="U24" s="11" t="str">
        <f>IF(OR(U10=$U$5,U10=$U$6),"Punktlast, Gk","")</f>
        <v/>
      </c>
      <c r="V24" s="5">
        <f t="shared" si="8"/>
        <v>0</v>
      </c>
      <c r="W24" s="12" t="str">
        <f>IF(OR(U10=$U$5,U10=$U$6),"kN","")</f>
        <v/>
      </c>
      <c r="Y24" s="11"/>
      <c r="Z24" s="5"/>
      <c r="AA24" s="12"/>
      <c r="AK24" s="5"/>
      <c r="AS24" s="5"/>
    </row>
    <row r="25" spans="1:45" ht="21" x14ac:dyDescent="0.3">
      <c r="A25" s="11" t="s">
        <v>15</v>
      </c>
      <c r="B25" s="25" t="e">
        <f>IF(A10="Repos",25*B15*10^-3,(0.5*(B17*B16+B17*B18)+B15*SQRT(B16^2+B17^2))*25*10^-6/(B16*10^-3))</f>
        <v>#N/A</v>
      </c>
      <c r="C25" s="12" t="s">
        <v>5</v>
      </c>
      <c r="I25" s="11" t="str">
        <f>IF(OR(I10=$U$5,I10=$U$6),"Punktlast, Qk","")</f>
        <v/>
      </c>
      <c r="J25" s="5">
        <f>IF(M$10="",0,N30)</f>
        <v>0</v>
      </c>
      <c r="K25" s="12" t="str">
        <f>K24</f>
        <v/>
      </c>
      <c r="M25" s="11" t="str">
        <f>IF(OR(M10=$U$5,M10=$U$6),"Punktlast, Qk","")</f>
        <v/>
      </c>
      <c r="N25" s="5">
        <f>IF(Q$10=0,0,R30)</f>
        <v>0</v>
      </c>
      <c r="O25" s="12" t="str">
        <f>O24</f>
        <v/>
      </c>
      <c r="Q25" s="11" t="str">
        <f>IF(OR(Q10=$U$5,Q10=$U$6),"Punktlast, Qk","")</f>
        <v/>
      </c>
      <c r="R25" s="5">
        <f>IF(U$10="",0,V30)</f>
        <v>0</v>
      </c>
      <c r="S25" s="12" t="str">
        <f>S24</f>
        <v/>
      </c>
      <c r="U25" s="11" t="str">
        <f>IF(OR(U10=$U$5,U10=$U$6),"Punktlast, Qk","")</f>
        <v/>
      </c>
      <c r="V25" s="5">
        <f>IF(Y$10="",0,Z30)</f>
        <v>0</v>
      </c>
      <c r="W25" s="12" t="str">
        <f>W24</f>
        <v/>
      </c>
      <c r="Y25" s="11"/>
      <c r="Z25" s="5"/>
      <c r="AA25" s="12"/>
      <c r="AK25" s="5"/>
      <c r="AS25" s="5"/>
    </row>
    <row r="26" spans="1:45" ht="21" x14ac:dyDescent="0.3">
      <c r="A26" s="11" t="s">
        <v>18</v>
      </c>
      <c r="B26" s="25" t="e">
        <f>$B$4</f>
        <v>#N/A</v>
      </c>
      <c r="C26" s="12" t="s">
        <v>5</v>
      </c>
      <c r="I26" s="28" t="s">
        <v>83</v>
      </c>
      <c r="K26" s="12"/>
      <c r="M26" s="28" t="s">
        <v>83</v>
      </c>
      <c r="O26" s="12"/>
      <c r="Q26" s="28" t="s">
        <v>83</v>
      </c>
      <c r="S26" s="12"/>
      <c r="U26" s="28" t="s">
        <v>83</v>
      </c>
      <c r="W26" s="12"/>
      <c r="Y26" s="28" t="s">
        <v>83</v>
      </c>
      <c r="AA26" s="12"/>
    </row>
    <row r="27" spans="1:45" ht="21" x14ac:dyDescent="0.3">
      <c r="A27" s="11" t="s">
        <v>16</v>
      </c>
      <c r="B27" s="25" t="e">
        <f>$B$3</f>
        <v>#N/A</v>
      </c>
      <c r="C27" s="12" t="s">
        <v>5</v>
      </c>
      <c r="I27" s="11" t="s">
        <v>37</v>
      </c>
      <c r="J27" s="4" t="e">
        <f>0.5*(J18+J19)*J11*10^-3</f>
        <v>#N/A</v>
      </c>
      <c r="K27" s="12" t="s">
        <v>19</v>
      </c>
      <c r="M27" s="11" t="s">
        <v>37</v>
      </c>
      <c r="N27" s="4" t="e">
        <f>0.5*(N18+N19)*N11*10^-3</f>
        <v>#N/A</v>
      </c>
      <c r="O27" s="12" t="s">
        <v>19</v>
      </c>
      <c r="Q27" s="11" t="s">
        <v>37</v>
      </c>
      <c r="R27" s="4" t="e">
        <f>0.5*(R18+R19)*R11*10^-3</f>
        <v>#N/A</v>
      </c>
      <c r="S27" s="12" t="s">
        <v>19</v>
      </c>
      <c r="U27" s="11" t="s">
        <v>37</v>
      </c>
      <c r="V27" s="4" t="e">
        <f>0.5*(V18+V19)*V11*10^-3</f>
        <v>#N/A</v>
      </c>
      <c r="W27" s="12" t="s">
        <v>19</v>
      </c>
      <c r="Y27" s="11" t="s">
        <v>37</v>
      </c>
      <c r="Z27" s="4" t="e">
        <f>0.5*(Z18+Z19)*Z11*10^-3</f>
        <v>#N/A</v>
      </c>
      <c r="AA27" s="12" t="s">
        <v>19</v>
      </c>
      <c r="AG27" s="4"/>
      <c r="AK27" s="4"/>
      <c r="AO27" s="4"/>
      <c r="AS27" s="4"/>
    </row>
    <row r="28" spans="1:45" x14ac:dyDescent="0.3">
      <c r="A28" s="28" t="s">
        <v>81</v>
      </c>
      <c r="C28" s="12"/>
      <c r="I28" s="11" t="s">
        <v>38</v>
      </c>
      <c r="J28" s="4" t="e">
        <f>0.5*$D$2*J20*J11*10^-3</f>
        <v>#N/A</v>
      </c>
      <c r="K28" s="12" t="s">
        <v>19</v>
      </c>
      <c r="M28" s="11" t="s">
        <v>38</v>
      </c>
      <c r="N28" s="4" t="e">
        <f>0.5*$D$2*N20*N11*10^-3</f>
        <v>#N/A</v>
      </c>
      <c r="O28" s="12" t="s">
        <v>19</v>
      </c>
      <c r="Q28" s="11" t="s">
        <v>38</v>
      </c>
      <c r="R28" s="4" t="e">
        <f>0.5*$D$2*R20*R11*10^-3</f>
        <v>#N/A</v>
      </c>
      <c r="S28" s="12" t="s">
        <v>19</v>
      </c>
      <c r="U28" s="11" t="s">
        <v>38</v>
      </c>
      <c r="V28" s="4" t="e">
        <f>0.5*$D$2*V20*V11*10^-3</f>
        <v>#N/A</v>
      </c>
      <c r="W28" s="12" t="s">
        <v>19</v>
      </c>
      <c r="Y28" s="11" t="s">
        <v>38</v>
      </c>
      <c r="Z28" s="4" t="e">
        <f>0.5*$D$2*Z20*Z11*10^-3</f>
        <v>#N/A</v>
      </c>
      <c r="AA28" s="12" t="s">
        <v>19</v>
      </c>
      <c r="AG28" s="4"/>
      <c r="AK28" s="4"/>
      <c r="AO28" s="4"/>
      <c r="AS28" s="4"/>
    </row>
    <row r="29" spans="1:45" x14ac:dyDescent="0.3">
      <c r="A29" s="11" t="s">
        <v>47</v>
      </c>
      <c r="B29" s="5">
        <f>IF(I$10="",0,J27)</f>
        <v>0</v>
      </c>
      <c r="C29" s="12" t="s">
        <v>19</v>
      </c>
      <c r="I29" s="11" t="s">
        <v>39</v>
      </c>
      <c r="J29" s="5" t="e">
        <f>IF(OR(I10=$U$3,I10=$U$4),0,J24*((J12-220)/J11)+J22*J12*((J12/2)/J11)*10^-3)</f>
        <v>#VALUE!</v>
      </c>
      <c r="K29" s="12" t="s">
        <v>27</v>
      </c>
      <c r="M29" s="11" t="s">
        <v>39</v>
      </c>
      <c r="N29" s="5" t="e">
        <f>IF(OR(M10=$U$3,M10=$U$4),0,N24*((N12-220)/N11)+N22*N12*((N12/2)/N11)*10^-3)</f>
        <v>#VALUE!</v>
      </c>
      <c r="O29" s="12" t="s">
        <v>27</v>
      </c>
      <c r="Q29" s="11" t="s">
        <v>39</v>
      </c>
      <c r="R29" s="5" t="e">
        <f>IF(OR(Q10=$U$3,Q10=$U$4),0,R24*((R12-220)/R11)+R22*R12*((R12/2)/R11)*10^-3)</f>
        <v>#VALUE!</v>
      </c>
      <c r="S29" s="12" t="s">
        <v>27</v>
      </c>
      <c r="U29" s="11" t="s">
        <v>39</v>
      </c>
      <c r="V29" s="5" t="e">
        <f>IF(OR(U10=$U$3,U10=$U$4),0,V24*((V12-220)/V11)+V22*V12*((V12/2)/V11)*10^-3)</f>
        <v>#VALUE!</v>
      </c>
      <c r="W29" s="12" t="s">
        <v>27</v>
      </c>
      <c r="Y29" s="11" t="s">
        <v>39</v>
      </c>
      <c r="Z29" s="5" t="e">
        <f>Z24*((Z12-220)/Z11)+Z22*Z12*((Z12/2)/Z11)*10^-3</f>
        <v>#N/A</v>
      </c>
      <c r="AA29" s="12" t="s">
        <v>27</v>
      </c>
      <c r="AG29" s="5"/>
      <c r="AK29" s="5"/>
      <c r="AO29" s="5"/>
      <c r="AS29" s="5"/>
    </row>
    <row r="30" spans="1:45" x14ac:dyDescent="0.3">
      <c r="A30" s="11" t="s">
        <v>48</v>
      </c>
      <c r="B30" s="5">
        <f t="shared" ref="B30:B31" si="9">IF(I$10="",0,J28)</f>
        <v>0</v>
      </c>
      <c r="C30" s="12" t="s">
        <v>19</v>
      </c>
      <c r="I30" s="13" t="s">
        <v>40</v>
      </c>
      <c r="J30" s="14" t="e">
        <f>IF(OR(I10=$U$3,I10=$U$4),0,(J25*((J12-220)/J11))+(J23*J12*((J12/2)/J11)*10^-3))</f>
        <v>#VALUE!</v>
      </c>
      <c r="K30" s="15" t="s">
        <v>27</v>
      </c>
      <c r="M30" s="13" t="s">
        <v>40</v>
      </c>
      <c r="N30" s="14" t="e">
        <f>IF(OR(M10=$U$3,M10=$U$4),0,(N25*((N12-220)/N11))+(N23*N12*((N12/2)/N11)*10^-3))</f>
        <v>#VALUE!</v>
      </c>
      <c r="O30" s="15" t="s">
        <v>27</v>
      </c>
      <c r="Q30" s="13" t="s">
        <v>40</v>
      </c>
      <c r="R30" s="14" t="e">
        <f>IF(OR(Q10=$U$3,Q10=$U$4),0,(R25*((R12-220)/R11))+(R23*R12*((R12/2)/R11)*10^-3))</f>
        <v>#VALUE!</v>
      </c>
      <c r="S30" s="15" t="s">
        <v>27</v>
      </c>
      <c r="U30" s="13" t="s">
        <v>40</v>
      </c>
      <c r="V30" s="14" t="e">
        <f>IF(OR(U10=$U$3,U10=$U$4),0,(V25*((V12-220)/V11))+(V23*V12*((V12/2)/V11)*10^-3))</f>
        <v>#VALUE!</v>
      </c>
      <c r="W30" s="15" t="s">
        <v>27</v>
      </c>
      <c r="Y30" s="13" t="s">
        <v>40</v>
      </c>
      <c r="Z30" s="14" t="e">
        <f>(Z25*((Z12-220)/Z11))+(Z23*Z12*((Z12/2)/Z11)*10^-3)</f>
        <v>#N/A</v>
      </c>
      <c r="AA30" s="15" t="s">
        <v>27</v>
      </c>
      <c r="AG30" s="5"/>
      <c r="AK30" s="5"/>
      <c r="AO30" s="5"/>
      <c r="AS30" s="5"/>
    </row>
    <row r="31" spans="1:45" x14ac:dyDescent="0.3">
      <c r="A31" s="11" t="s">
        <v>49</v>
      </c>
      <c r="B31" s="5">
        <f t="shared" si="9"/>
        <v>0</v>
      </c>
      <c r="C31" s="12" t="s">
        <v>27</v>
      </c>
    </row>
    <row r="32" spans="1:45" x14ac:dyDescent="0.3">
      <c r="A32" s="11" t="s">
        <v>50</v>
      </c>
      <c r="B32" s="5">
        <f>IF(I$10="",0,J30)</f>
        <v>0</v>
      </c>
      <c r="C32" s="12" t="s">
        <v>27</v>
      </c>
    </row>
    <row r="33" spans="1:27" ht="21" x14ac:dyDescent="0.35">
      <c r="A33" s="28" t="s">
        <v>80</v>
      </c>
      <c r="C33" s="12"/>
      <c r="I33" s="6" t="s">
        <v>29</v>
      </c>
      <c r="M33" s="6" t="s">
        <v>33</v>
      </c>
      <c r="Q33" s="6" t="s">
        <v>34</v>
      </c>
      <c r="U33" s="6" t="s">
        <v>34</v>
      </c>
      <c r="Y33" s="6" t="s">
        <v>36</v>
      </c>
    </row>
    <row r="34" spans="1:27" x14ac:dyDescent="0.3">
      <c r="A34" s="11" t="s">
        <v>51</v>
      </c>
      <c r="B34" s="5">
        <f>IF(I$34="",0,J51)</f>
        <v>0</v>
      </c>
      <c r="C34" s="12" t="s">
        <v>19</v>
      </c>
      <c r="I34" s="22"/>
      <c r="J34" s="27" t="str">
        <f>IF(OR(AND(I34=$U$3,NOT(M34="")),AND(I34=$U$4,NOT(M34="")),AND(I34="",NOT(M34=""))),"Fejl! Ikke muligt!","")</f>
        <v/>
      </c>
      <c r="M34" s="22"/>
      <c r="N34" s="27" t="str">
        <f>IF(OR(AND(M34=$U$3,NOT(Q34="")),AND(M34=$U$4,NOT(Q34="")),AND(M34="",NOT(Q34=""))),"Fejl! Ikke muligt!","")</f>
        <v/>
      </c>
      <c r="Q34" s="22"/>
      <c r="R34" s="27" t="str">
        <f>IF(OR(AND(Q34=$U$3,NOT(U34="")),AND(Q34=$U$4,NOT(U34="")),AND(Q34="",NOT(U34=""))),"Fejl! Ikke muligt!","")</f>
        <v/>
      </c>
      <c r="U34" s="22"/>
      <c r="V34" s="27" t="str">
        <f>IF(OR(AND(U34=$U$3,NOT(Y34="")),AND(U34=$U$4,NOT(Y34="")),AND(U34="",NOT(Y34=""))),"Fejl! Ikke muligt!","")</f>
        <v/>
      </c>
      <c r="Y34" s="22"/>
    </row>
    <row r="35" spans="1:27" x14ac:dyDescent="0.3">
      <c r="A35" s="11" t="s">
        <v>52</v>
      </c>
      <c r="B35" s="5">
        <f t="shared" ref="B35:B36" si="10">IF(I$34="",0,J52)</f>
        <v>0</v>
      </c>
      <c r="C35" s="12" t="s">
        <v>19</v>
      </c>
      <c r="I35" s="9" t="s">
        <v>6</v>
      </c>
      <c r="J35" s="23" t="e">
        <f>NA()</f>
        <v>#N/A</v>
      </c>
      <c r="K35" s="10" t="s">
        <v>12</v>
      </c>
      <c r="M35" s="9" t="s">
        <v>6</v>
      </c>
      <c r="N35" s="23" t="e">
        <f>NA()</f>
        <v>#N/A</v>
      </c>
      <c r="O35" s="10" t="s">
        <v>12</v>
      </c>
      <c r="Q35" s="9" t="s">
        <v>6</v>
      </c>
      <c r="R35" s="23" t="e">
        <f>NA()</f>
        <v>#N/A</v>
      </c>
      <c r="S35" s="10" t="s">
        <v>12</v>
      </c>
      <c r="U35" s="9" t="s">
        <v>6</v>
      </c>
      <c r="V35" s="23" t="e">
        <f>NA()</f>
        <v>#N/A</v>
      </c>
      <c r="W35" s="10" t="s">
        <v>12</v>
      </c>
      <c r="Y35" s="9" t="s">
        <v>6</v>
      </c>
      <c r="Z35" s="23" t="e">
        <f>NA()</f>
        <v>#N/A</v>
      </c>
      <c r="AA35" s="10" t="s">
        <v>12</v>
      </c>
    </row>
    <row r="36" spans="1:27" x14ac:dyDescent="0.3">
      <c r="A36" s="11" t="s">
        <v>53</v>
      </c>
      <c r="B36" s="5">
        <f t="shared" si="10"/>
        <v>0</v>
      </c>
      <c r="C36" s="12" t="s">
        <v>27</v>
      </c>
      <c r="I36" s="11" t="str">
        <f>IF(I34=$U$5,"Lastbredde",IF(I34=$U$6,"Lastbredde (La / Lc)",""))</f>
        <v/>
      </c>
      <c r="J36" s="26" t="str">
        <f>IF(I36="","",NA())</f>
        <v/>
      </c>
      <c r="K36" s="12" t="str">
        <f>IF(OR(I34=$U$5,I34=$U$6),"mm","")</f>
        <v/>
      </c>
      <c r="M36" s="11" t="str">
        <f>IF(M34=$U$5,"Lastbredde",IF(M34=$U$6,"Lastbredde (La / Lc)",""))</f>
        <v/>
      </c>
      <c r="N36" s="26" t="str">
        <f>IF(M36="","",NA())</f>
        <v/>
      </c>
      <c r="O36" s="12" t="str">
        <f>IF(OR(M34=$U$5,M34=$U$6),"mm","")</f>
        <v/>
      </c>
      <c r="Q36" s="11" t="str">
        <f>IF(Q34=$U$5,"Lastbredde",IF(Q34=$U$6,"Lastbredde (La / Lc)",""))</f>
        <v/>
      </c>
      <c r="R36" s="26" t="str">
        <f>IF(Q36="","",NA())</f>
        <v/>
      </c>
      <c r="S36" s="12" t="str">
        <f>IF(OR(Q34=$U$5,Q34=$U$6),"mm","")</f>
        <v/>
      </c>
      <c r="U36" s="11" t="str">
        <f>IF(U34=$U$5,"Lastbredde",IF(U34=$U$6,"Lastbredde (La / Lc)",""))</f>
        <v/>
      </c>
      <c r="V36" s="26" t="str">
        <f>IF(U36="","",NA())</f>
        <v/>
      </c>
      <c r="W36" s="12" t="str">
        <f>IF(OR(U34=$U$5,U34=$U$6),"mm","")</f>
        <v/>
      </c>
      <c r="Y36" s="11"/>
      <c r="AA36" s="12"/>
    </row>
    <row r="37" spans="1:27" x14ac:dyDescent="0.3">
      <c r="A37" s="13" t="s">
        <v>54</v>
      </c>
      <c r="B37" s="14">
        <f>IF(I$34="",0,J54)</f>
        <v>0</v>
      </c>
      <c r="C37" s="15" t="s">
        <v>27</v>
      </c>
      <c r="I37" s="11" t="s">
        <v>7</v>
      </c>
      <c r="J37" s="24" t="e">
        <f>NA()</f>
        <v>#N/A</v>
      </c>
      <c r="K37" s="12" t="s">
        <v>12</v>
      </c>
      <c r="M37" s="11" t="s">
        <v>7</v>
      </c>
      <c r="N37" s="24" t="e">
        <f>NA()</f>
        <v>#N/A</v>
      </c>
      <c r="O37" s="12" t="s">
        <v>12</v>
      </c>
      <c r="Q37" s="11" t="s">
        <v>7</v>
      </c>
      <c r="R37" s="24" t="e">
        <f>NA()</f>
        <v>#N/A</v>
      </c>
      <c r="S37" s="12" t="s">
        <v>12</v>
      </c>
      <c r="U37" s="11" t="s">
        <v>7</v>
      </c>
      <c r="V37" s="24" t="e">
        <f>NA()</f>
        <v>#N/A</v>
      </c>
      <c r="W37" s="12" t="s">
        <v>12</v>
      </c>
      <c r="Y37" s="11" t="s">
        <v>7</v>
      </c>
      <c r="Z37" s="24" t="e">
        <f>NA()</f>
        <v>#N/A</v>
      </c>
      <c r="AA37" s="12" t="s">
        <v>12</v>
      </c>
    </row>
    <row r="38" spans="1:27" x14ac:dyDescent="0.3">
      <c r="I38" s="11" t="str">
        <f>IF(I34=$U$5,"","Grund")</f>
        <v>Grund</v>
      </c>
      <c r="J38" s="26" t="e">
        <f>$B$5</f>
        <v>#N/A</v>
      </c>
      <c r="K38" s="12" t="str">
        <f>IF(I34=$U$5,"","mm")</f>
        <v>mm</v>
      </c>
      <c r="M38" s="11" t="str">
        <f>IF(M34=$U$5,"","Grund")</f>
        <v>Grund</v>
      </c>
      <c r="N38" s="26" t="e">
        <f>$B$5</f>
        <v>#N/A</v>
      </c>
      <c r="O38" s="12" t="str">
        <f>IF(M34=$U$5,"","mm")</f>
        <v>mm</v>
      </c>
      <c r="Q38" s="11" t="str">
        <f>IF(Q34=$U$5,"","Grund")</f>
        <v>Grund</v>
      </c>
      <c r="R38" s="26" t="e">
        <f>$B$5</f>
        <v>#N/A</v>
      </c>
      <c r="S38" s="12" t="str">
        <f>IF(Q34=$U$5,"","mm")</f>
        <v>mm</v>
      </c>
      <c r="U38" s="11" t="str">
        <f>IF(U34=$U$5,"","Grund")</f>
        <v>Grund</v>
      </c>
      <c r="V38" s="26" t="e">
        <f>$B$5</f>
        <v>#N/A</v>
      </c>
      <c r="W38" s="12" t="str">
        <f>IF(U34=$U$5,"","mm")</f>
        <v>mm</v>
      </c>
      <c r="Y38" s="11" t="str">
        <f>IF(Y34=$U$5,"","Grund")</f>
        <v>Grund</v>
      </c>
      <c r="Z38" s="26" t="e">
        <f>$B$5</f>
        <v>#N/A</v>
      </c>
      <c r="AA38" s="12" t="str">
        <f>IF(Y34=$U$5,"","mm")</f>
        <v>mm</v>
      </c>
    </row>
    <row r="39" spans="1:27" x14ac:dyDescent="0.3">
      <c r="I39" s="11" t="str">
        <f>IF(I34=$U$5,"","Stigning")</f>
        <v>Stigning</v>
      </c>
      <c r="J39" s="26" t="e">
        <f>$B$6</f>
        <v>#N/A</v>
      </c>
      <c r="K39" s="12" t="str">
        <f>IF(I34=$U$5,"","mm")</f>
        <v>mm</v>
      </c>
      <c r="M39" s="11" t="str">
        <f>IF(M34=$U$5,"","Stigning")</f>
        <v>Stigning</v>
      </c>
      <c r="N39" s="26" t="e">
        <f>$B$6</f>
        <v>#N/A</v>
      </c>
      <c r="O39" s="12" t="str">
        <f>IF(M34=$U$5,"","mm")</f>
        <v>mm</v>
      </c>
      <c r="Q39" s="11" t="str">
        <f>IF(Q34=$U$5,"","Stigning")</f>
        <v>Stigning</v>
      </c>
      <c r="R39" s="26" t="e">
        <f>$B$6</f>
        <v>#N/A</v>
      </c>
      <c r="S39" s="12" t="str">
        <f>IF(Q34=$U$5,"","mm")</f>
        <v>mm</v>
      </c>
      <c r="U39" s="11" t="str">
        <f>IF(U34=$U$5,"","Stigning")</f>
        <v>Stigning</v>
      </c>
      <c r="V39" s="26" t="e">
        <f>$B$6</f>
        <v>#N/A</v>
      </c>
      <c r="W39" s="12" t="str">
        <f>IF(U34=$U$5,"","mm")</f>
        <v>mm</v>
      </c>
      <c r="Y39" s="11" t="str">
        <f>IF(Y34=$U$5,"","Stigning")</f>
        <v>Stigning</v>
      </c>
      <c r="Z39" s="26" t="e">
        <f>$B$6</f>
        <v>#N/A</v>
      </c>
      <c r="AA39" s="12" t="str">
        <f>IF(Y34=$U$5,"","mm")</f>
        <v>mm</v>
      </c>
    </row>
    <row r="40" spans="1:27" x14ac:dyDescent="0.3">
      <c r="I40" s="11" t="str">
        <f>IF(I34=$U$5,"","Smig")</f>
        <v>Smig</v>
      </c>
      <c r="J40" s="26" t="e">
        <f>$B$7</f>
        <v>#N/A</v>
      </c>
      <c r="K40" s="12" t="str">
        <f>IF(I34=$U$5,"","mm")</f>
        <v>mm</v>
      </c>
      <c r="M40" s="11" t="str">
        <f>IF(M34=$U$5,"","Smig")</f>
        <v>Smig</v>
      </c>
      <c r="N40" s="26" t="e">
        <f>$B$7</f>
        <v>#N/A</v>
      </c>
      <c r="O40" s="12" t="str">
        <f>IF(M34=$U$5,"","mm")</f>
        <v>mm</v>
      </c>
      <c r="Q40" s="11" t="str">
        <f>IF(Q34=$U$5,"","Smig")</f>
        <v>Smig</v>
      </c>
      <c r="R40" s="26" t="e">
        <f>$B$7</f>
        <v>#N/A</v>
      </c>
      <c r="S40" s="12" t="str">
        <f>IF(Q34=$U$5,"","mm")</f>
        <v>mm</v>
      </c>
      <c r="U40" s="11" t="str">
        <f>IF(U34=$U$5,"","Smig")</f>
        <v>Smig</v>
      </c>
      <c r="V40" s="26" t="e">
        <f>$B$7</f>
        <v>#N/A</v>
      </c>
      <c r="W40" s="12" t="str">
        <f>IF(U34=$U$5,"","mm")</f>
        <v>mm</v>
      </c>
      <c r="Y40" s="11" t="str">
        <f>IF(Y34=$U$5,"","Smig")</f>
        <v>Smig</v>
      </c>
      <c r="Z40" s="26" t="e">
        <f>$B$7</f>
        <v>#N/A</v>
      </c>
      <c r="AA40" s="12" t="str">
        <f>IF(Y34=$U$5,"","mm")</f>
        <v>mm</v>
      </c>
    </row>
    <row r="41" spans="1:27" x14ac:dyDescent="0.3">
      <c r="E41" s="4"/>
      <c r="I41" s="28" t="s">
        <v>82</v>
      </c>
      <c r="K41" s="12"/>
      <c r="M41" s="28" t="s">
        <v>82</v>
      </c>
      <c r="O41" s="12"/>
      <c r="Q41" s="28" t="s">
        <v>82</v>
      </c>
      <c r="S41" s="12"/>
      <c r="U41" s="28" t="s">
        <v>82</v>
      </c>
      <c r="W41" s="12"/>
      <c r="Y41" s="28" t="s">
        <v>82</v>
      </c>
      <c r="AA41" s="12"/>
    </row>
    <row r="42" spans="1:27" ht="21" x14ac:dyDescent="0.3">
      <c r="E42" s="4"/>
      <c r="I42" s="11" t="s">
        <v>15</v>
      </c>
      <c r="J42" s="25" t="e">
        <f>IF(I34="Repos",25*J37*10^-3,(0.5*(J39*J38+J39*J40)+J37*SQRT(J38^2+J39^2))*25*10^-6/(J38*10^-3))</f>
        <v>#N/A</v>
      </c>
      <c r="K42" s="12" t="s">
        <v>5</v>
      </c>
      <c r="M42" s="11" t="s">
        <v>15</v>
      </c>
      <c r="N42" s="25" t="e">
        <f>IF(M34="Repos",25*N37*10^-3,(0.5*(N39*N38+N39*N40)+N37*SQRT(N38^2+N39^2))*25*10^-6/(N38*10^-3))</f>
        <v>#N/A</v>
      </c>
      <c r="O42" s="12" t="s">
        <v>5</v>
      </c>
      <c r="Q42" s="11" t="s">
        <v>15</v>
      </c>
      <c r="R42" s="25" t="e">
        <f>IF(Q34="Repos",25*R37*10^-3,(0.5*(R39*R38+R39*R40)+R37*SQRT(R38^2+R39^2))*25*10^-6/(R38*10^-3))</f>
        <v>#N/A</v>
      </c>
      <c r="S42" s="12" t="s">
        <v>5</v>
      </c>
      <c r="U42" s="11" t="s">
        <v>15</v>
      </c>
      <c r="V42" s="25" t="e">
        <f>IF(U34="Repos",25*V37*10^-3,(0.5*(V39*V38+V39*V40)+V37*SQRT(V38^2+V39^2))*25*10^-6/(V38*10^-3))</f>
        <v>#N/A</v>
      </c>
      <c r="W42" s="12" t="s">
        <v>5</v>
      </c>
      <c r="Y42" s="11" t="s">
        <v>15</v>
      </c>
      <c r="Z42" s="25" t="e">
        <f>IF(Y34="Repos",25*Z37*10^-3,(0.5*(Z39*Z38+Z39*Z40)+Z37*SQRT(Z38^2+Z39^2))*25*10^-6/(Z38*10^-3))</f>
        <v>#N/A</v>
      </c>
      <c r="AA42" s="12" t="s">
        <v>5</v>
      </c>
    </row>
    <row r="43" spans="1:27" ht="21" x14ac:dyDescent="0.3">
      <c r="I43" s="11" t="s">
        <v>18</v>
      </c>
      <c r="J43" s="25" t="e">
        <f>$B$4</f>
        <v>#N/A</v>
      </c>
      <c r="K43" s="12" t="s">
        <v>5</v>
      </c>
      <c r="M43" s="11" t="s">
        <v>18</v>
      </c>
      <c r="N43" s="25" t="e">
        <f>$B$4</f>
        <v>#N/A</v>
      </c>
      <c r="O43" s="12" t="s">
        <v>5</v>
      </c>
      <c r="Q43" s="11" t="s">
        <v>18</v>
      </c>
      <c r="R43" s="25" t="e">
        <f>$B$4</f>
        <v>#N/A</v>
      </c>
      <c r="S43" s="12" t="s">
        <v>5</v>
      </c>
      <c r="U43" s="11" t="s">
        <v>18</v>
      </c>
      <c r="V43" s="25" t="e">
        <f>$B$4</f>
        <v>#N/A</v>
      </c>
      <c r="W43" s="12" t="s">
        <v>5</v>
      </c>
      <c r="Y43" s="11" t="s">
        <v>18</v>
      </c>
      <c r="Z43" s="25" t="e">
        <f>$B$4</f>
        <v>#N/A</v>
      </c>
      <c r="AA43" s="12" t="s">
        <v>5</v>
      </c>
    </row>
    <row r="44" spans="1:27" ht="21" x14ac:dyDescent="0.3">
      <c r="G44" s="29" t="s">
        <v>57</v>
      </c>
      <c r="I44" s="11" t="s">
        <v>16</v>
      </c>
      <c r="J44" s="25" t="e">
        <f>$B$3</f>
        <v>#N/A</v>
      </c>
      <c r="K44" s="12" t="s">
        <v>5</v>
      </c>
      <c r="M44" s="11" t="s">
        <v>16</v>
      </c>
      <c r="N44" s="25" t="e">
        <f>$B$3</f>
        <v>#N/A</v>
      </c>
      <c r="O44" s="12" t="s">
        <v>5</v>
      </c>
      <c r="Q44" s="11" t="s">
        <v>16</v>
      </c>
      <c r="R44" s="25" t="e">
        <f>$B$3</f>
        <v>#N/A</v>
      </c>
      <c r="S44" s="12" t="s">
        <v>5</v>
      </c>
      <c r="U44" s="11" t="s">
        <v>16</v>
      </c>
      <c r="V44" s="25" t="e">
        <f>$B$3</f>
        <v>#N/A</v>
      </c>
      <c r="W44" s="12" t="s">
        <v>5</v>
      </c>
      <c r="Y44" s="11" t="s">
        <v>16</v>
      </c>
      <c r="Z44" s="25" t="e">
        <f>$B$3</f>
        <v>#N/A</v>
      </c>
      <c r="AA44" s="12" t="s">
        <v>5</v>
      </c>
    </row>
    <row r="45" spans="1:27" x14ac:dyDescent="0.3">
      <c r="G45" s="29"/>
      <c r="I45" s="28" t="s">
        <v>84</v>
      </c>
      <c r="K45" s="12"/>
      <c r="M45" s="28" t="s">
        <v>84</v>
      </c>
      <c r="O45" s="12"/>
      <c r="Q45" s="28" t="s">
        <v>84</v>
      </c>
      <c r="S45" s="12"/>
      <c r="U45" s="28" t="s">
        <v>84</v>
      </c>
      <c r="W45" s="12"/>
      <c r="Y45" s="11"/>
      <c r="AA45" s="12"/>
    </row>
    <row r="46" spans="1:27" x14ac:dyDescent="0.3">
      <c r="I46" s="11" t="str">
        <f>IF(OR(I34=$U$5,I34=$U$6),"Linjelast, gk","")</f>
        <v/>
      </c>
      <c r="J46" s="5">
        <f>IF(M$34="",0,N51)</f>
        <v>0</v>
      </c>
      <c r="K46" s="12" t="str">
        <f>IF(OR(I34=$U$5,I34=$U$6),"kN/m","")</f>
        <v/>
      </c>
      <c r="M46" s="11" t="str">
        <f>IF(OR(M34=$U$5,M34=$U$6),"Linjelast, gk","")</f>
        <v/>
      </c>
      <c r="N46" s="5">
        <f>IF(Q$34="",0,R51)</f>
        <v>0</v>
      </c>
      <c r="O46" s="12" t="str">
        <f>IF(OR(M34=$U$5,M34=$U$6),"kN/m","")</f>
        <v/>
      </c>
      <c r="Q46" s="11" t="str">
        <f>IF(OR(Q34=$U$5,Q34=$U$6),"Linjelast, gk","")</f>
        <v/>
      </c>
      <c r="R46" s="5">
        <f>IF(U$34="",0,V51)</f>
        <v>0</v>
      </c>
      <c r="S46" s="12" t="str">
        <f>IF(OR(Q34=$U$5,Q34=$U$6),"kN/m","")</f>
        <v/>
      </c>
      <c r="U46" s="11" t="str">
        <f>IF(OR(U34=$U$5,U34=$U$6),"Linjelast, gk","")</f>
        <v/>
      </c>
      <c r="V46" s="5">
        <f>IF(Y$34="",0,Z51)</f>
        <v>0</v>
      </c>
      <c r="W46" s="12" t="str">
        <f>IF(OR(U34=$U$5,U34=$U$6),"kN/m","")</f>
        <v/>
      </c>
      <c r="Y46" s="11"/>
      <c r="Z46" s="5"/>
      <c r="AA46" s="12"/>
    </row>
    <row r="47" spans="1:27" x14ac:dyDescent="0.3">
      <c r="I47" s="11" t="str">
        <f>IF(OR(I34=$U$5,I34=$U$6),"Linjelast, qk","")</f>
        <v/>
      </c>
      <c r="J47" s="5">
        <f t="shared" ref="J47:J49" si="11">IF(M$34="",0,N52)</f>
        <v>0</v>
      </c>
      <c r="K47" s="12" t="str">
        <f>K46</f>
        <v/>
      </c>
      <c r="M47" s="11" t="str">
        <f>IF(OR(M34=$U$5,M34=$U$6),"Linjelast, qk","")</f>
        <v/>
      </c>
      <c r="N47" s="5">
        <f t="shared" ref="N47:N49" si="12">IF(Q$34="",0,R52)</f>
        <v>0</v>
      </c>
      <c r="O47" s="12" t="str">
        <f>O46</f>
        <v/>
      </c>
      <c r="Q47" s="11" t="str">
        <f>IF(OR(Q34=$U$5,Q34=$U$6),"Linjelast, qk","")</f>
        <v/>
      </c>
      <c r="R47" s="5">
        <f t="shared" ref="R47:R48" si="13">IF(U$34="",0,V52)</f>
        <v>0</v>
      </c>
      <c r="S47" s="12" t="str">
        <f>S46</f>
        <v/>
      </c>
      <c r="U47" s="11" t="str">
        <f>IF(OR(U34=$U$5,U34=$U$6),"Linjelast, qk","")</f>
        <v/>
      </c>
      <c r="V47" s="5">
        <f t="shared" ref="V47:V48" si="14">IF(Y$34="",0,Z52)</f>
        <v>0</v>
      </c>
      <c r="W47" s="12" t="str">
        <f>W46</f>
        <v/>
      </c>
      <c r="Y47" s="11"/>
      <c r="Z47" s="5"/>
      <c r="AA47" s="12"/>
    </row>
    <row r="48" spans="1:27" x14ac:dyDescent="0.3">
      <c r="I48" s="11" t="str">
        <f>IF(OR(I34=$U$5,I34=$U$6),"Punktlast, Gk","")</f>
        <v/>
      </c>
      <c r="J48" s="5">
        <f t="shared" si="11"/>
        <v>0</v>
      </c>
      <c r="K48" s="12" t="str">
        <f>IF(OR(I34=$U$5,I34=$U$6),"kN","")</f>
        <v/>
      </c>
      <c r="M48" s="11" t="str">
        <f>IF(OR(M34=$U$5,M34=$U$6),"Punktlast, Gk","")</f>
        <v/>
      </c>
      <c r="N48" s="5">
        <f t="shared" si="12"/>
        <v>0</v>
      </c>
      <c r="O48" s="12" t="str">
        <f>IF(OR(M34=$U$5,M34=$U$6),"kN","")</f>
        <v/>
      </c>
      <c r="Q48" s="11" t="str">
        <f>IF(OR(Q34=$U$5,Q34=$U$6),"Punktlast, Gk","")</f>
        <v/>
      </c>
      <c r="R48" s="5">
        <f t="shared" si="13"/>
        <v>0</v>
      </c>
      <c r="S48" s="12" t="str">
        <f>IF(OR(Q34=$U$5,Q34=$U$6),"kN","")</f>
        <v/>
      </c>
      <c r="U48" s="11" t="str">
        <f>IF(OR(U34=$U$5,U34=$U$6),"Punktlast, Gk","")</f>
        <v/>
      </c>
      <c r="V48" s="5">
        <f t="shared" si="14"/>
        <v>0</v>
      </c>
      <c r="W48" s="12" t="str">
        <f>IF(OR(U34=$U$5,U34=$U$6),"kN","")</f>
        <v/>
      </c>
      <c r="Y48" s="11"/>
      <c r="Z48" s="5"/>
      <c r="AA48" s="12"/>
    </row>
    <row r="49" spans="1:27" x14ac:dyDescent="0.3">
      <c r="I49" s="11" t="str">
        <f>IF(OR(I34=$U$5,I34=$U$6),"Punktlast, Qk","")</f>
        <v/>
      </c>
      <c r="J49" s="5">
        <f t="shared" si="11"/>
        <v>0</v>
      </c>
      <c r="K49" s="12" t="str">
        <f>K48</f>
        <v/>
      </c>
      <c r="M49" s="11" t="str">
        <f>IF(OR(M34=$U$5,M34=$U$6),"Punktlast, Qk","")</f>
        <v/>
      </c>
      <c r="N49" s="5">
        <f t="shared" si="12"/>
        <v>0</v>
      </c>
      <c r="O49" s="12" t="str">
        <f>O48</f>
        <v/>
      </c>
      <c r="Q49" s="11" t="str">
        <f>IF(OR(Q34=$U$5,Q34=$U$6),"Punktlast, Qk","")</f>
        <v/>
      </c>
      <c r="R49" s="5">
        <f>IF(U$34="",0,V54)</f>
        <v>0</v>
      </c>
      <c r="S49" s="12" t="str">
        <f>S48</f>
        <v/>
      </c>
      <c r="U49" s="11" t="str">
        <f>IF(OR(U34=$U$5,U34=$U$6),"Punktlast, Qk","")</f>
        <v/>
      </c>
      <c r="V49" s="5">
        <f>IF(Y$34="",0,Z54)</f>
        <v>0</v>
      </c>
      <c r="W49" s="12" t="str">
        <f>W48</f>
        <v/>
      </c>
      <c r="Y49" s="11"/>
      <c r="Z49" s="5"/>
      <c r="AA49" s="12"/>
    </row>
    <row r="50" spans="1:27" x14ac:dyDescent="0.3">
      <c r="I50" s="28" t="s">
        <v>83</v>
      </c>
      <c r="K50" s="12"/>
      <c r="M50" s="28" t="s">
        <v>83</v>
      </c>
      <c r="O50" s="12"/>
      <c r="Q50" s="28" t="s">
        <v>83</v>
      </c>
      <c r="S50" s="12"/>
      <c r="U50" s="28" t="s">
        <v>83</v>
      </c>
      <c r="W50" s="12"/>
      <c r="Y50" s="28" t="s">
        <v>83</v>
      </c>
      <c r="AA50" s="12"/>
    </row>
    <row r="51" spans="1:27" x14ac:dyDescent="0.3">
      <c r="I51" s="11" t="s">
        <v>37</v>
      </c>
      <c r="J51" s="4" t="e">
        <f>0.5*(J42+J43)*J35*10^-3</f>
        <v>#N/A</v>
      </c>
      <c r="K51" s="12" t="s">
        <v>19</v>
      </c>
      <c r="M51" s="11" t="s">
        <v>37</v>
      </c>
      <c r="N51" s="4" t="e">
        <f>0.5*(N42+N43)*N35*10^-3</f>
        <v>#N/A</v>
      </c>
      <c r="O51" s="12" t="s">
        <v>19</v>
      </c>
      <c r="Q51" s="11" t="s">
        <v>37</v>
      </c>
      <c r="R51" s="4" t="e">
        <f>0.5*(R42+R43)*R35*10^-3</f>
        <v>#N/A</v>
      </c>
      <c r="S51" s="12" t="s">
        <v>19</v>
      </c>
      <c r="U51" s="11" t="s">
        <v>37</v>
      </c>
      <c r="V51" s="4" t="e">
        <f>0.5*(V42+V43)*V35*10^-3</f>
        <v>#N/A</v>
      </c>
      <c r="W51" s="12" t="s">
        <v>19</v>
      </c>
      <c r="Y51" s="11" t="s">
        <v>37</v>
      </c>
      <c r="Z51" s="4" t="e">
        <f>0.5*(Z42+Z43)*Z35*10^-3</f>
        <v>#N/A</v>
      </c>
      <c r="AA51" s="12" t="s">
        <v>19</v>
      </c>
    </row>
    <row r="52" spans="1:27" x14ac:dyDescent="0.3">
      <c r="I52" s="11" t="s">
        <v>38</v>
      </c>
      <c r="J52" s="4" t="e">
        <f>0.5*$D$2*J44*J35*10^-3</f>
        <v>#N/A</v>
      </c>
      <c r="K52" s="12" t="s">
        <v>19</v>
      </c>
      <c r="M52" s="11" t="s">
        <v>38</v>
      </c>
      <c r="N52" s="4" t="e">
        <f>0.5*$D$2*N44*N35*10^-3</f>
        <v>#N/A</v>
      </c>
      <c r="O52" s="12" t="s">
        <v>19</v>
      </c>
      <c r="Q52" s="11" t="s">
        <v>38</v>
      </c>
      <c r="R52" s="4" t="e">
        <f>0.5*$D$2*R44*R35*10^-3</f>
        <v>#N/A</v>
      </c>
      <c r="S52" s="12" t="s">
        <v>19</v>
      </c>
      <c r="U52" s="11" t="s">
        <v>38</v>
      </c>
      <c r="V52" s="4" t="e">
        <f>0.5*$D$2*V44*V35*10^-3</f>
        <v>#N/A</v>
      </c>
      <c r="W52" s="12" t="s">
        <v>19</v>
      </c>
      <c r="Y52" s="11" t="s">
        <v>38</v>
      </c>
      <c r="Z52" s="4" t="e">
        <f>0.5*$D$2*Z44*Z35*10^-3</f>
        <v>#N/A</v>
      </c>
      <c r="AA52" s="12" t="s">
        <v>19</v>
      </c>
    </row>
    <row r="53" spans="1:27" x14ac:dyDescent="0.3">
      <c r="I53" s="11" t="s">
        <v>39</v>
      </c>
      <c r="J53" s="5" t="e">
        <f>IF(OR(I34=$U$3,I34=$U$4),0,J48*((J36-220)/J35)+J46*J36*((J36/2)/J35)*10^-3)</f>
        <v>#VALUE!</v>
      </c>
      <c r="K53" s="12" t="s">
        <v>27</v>
      </c>
      <c r="M53" s="11" t="s">
        <v>39</v>
      </c>
      <c r="N53" s="5" t="e">
        <f>IF(OR(M34=$U$3,M34=$U$4),0,N48*((N36-220)/N35)+N46*N36*((N36/2)/N35)*10^-3)</f>
        <v>#VALUE!</v>
      </c>
      <c r="O53" s="12" t="s">
        <v>27</v>
      </c>
      <c r="Q53" s="11" t="s">
        <v>39</v>
      </c>
      <c r="R53" s="5" t="e">
        <f>IF(OR(Q34=$U$3,Q34=$U$4),0,R48*((R36-220)/R35)+R46*R36*((R36/2)/R35)*10^-3)</f>
        <v>#VALUE!</v>
      </c>
      <c r="S53" s="12" t="s">
        <v>27</v>
      </c>
      <c r="U53" s="11" t="s">
        <v>39</v>
      </c>
      <c r="V53" s="5" t="e">
        <f>IF(OR(U34=$U$3,U34=$U$4),0,V48*((V36-220)/V35)+V46*V36*((V36/2)/V35)*10^-3)</f>
        <v>#VALUE!</v>
      </c>
      <c r="W53" s="12" t="s">
        <v>27</v>
      </c>
      <c r="Y53" s="11" t="s">
        <v>39</v>
      </c>
      <c r="Z53" s="5" t="e">
        <f>Z48*((Z36-220)/Z35)+Z46*Z36*((Z36/2)/Z35)*10^-3</f>
        <v>#N/A</v>
      </c>
      <c r="AA53" s="12" t="s">
        <v>27</v>
      </c>
    </row>
    <row r="54" spans="1:27" x14ac:dyDescent="0.3">
      <c r="I54" s="13" t="s">
        <v>40</v>
      </c>
      <c r="J54" s="14" t="e">
        <f>IF(OR(I34=$U$3,I34=$U$4),0,(J49*((J36-220)/J35))+(J47*J36*((J36/2)/J35)*10^-3))</f>
        <v>#VALUE!</v>
      </c>
      <c r="K54" s="15" t="s">
        <v>27</v>
      </c>
      <c r="M54" s="13" t="s">
        <v>40</v>
      </c>
      <c r="N54" s="14" t="e">
        <f>IF(OR(M34=$U$3,M34=$U$4),0,(N49*((N36-220)/N35))+(N47*N36*((N36/2)/N35)*10^-3))</f>
        <v>#VALUE!</v>
      </c>
      <c r="O54" s="15" t="s">
        <v>27</v>
      </c>
      <c r="Q54" s="13" t="s">
        <v>40</v>
      </c>
      <c r="R54" s="14" t="e">
        <f>IF(OR(Q34=$U$3,Q34=$U$4),0,(R49*((R36-220)/R35))+(R47*R36*((R36/2)/R35)*10^-3))</f>
        <v>#VALUE!</v>
      </c>
      <c r="S54" s="15" t="s">
        <v>27</v>
      </c>
      <c r="U54" s="13" t="s">
        <v>40</v>
      </c>
      <c r="V54" s="14" t="e">
        <f>IF(OR(U34=$U$3,U34=$U$4),0,(V49*((V36-220)/V35))+(V47*V36*((V36/2)/V35)*10^-3))</f>
        <v>#VALUE!</v>
      </c>
      <c r="W54" s="15" t="s">
        <v>27</v>
      </c>
      <c r="Y54" s="13" t="s">
        <v>40</v>
      </c>
      <c r="Z54" s="14" t="e">
        <f>(Z49*((Z36-220)/Z35))+(Z47*Z36*((Z36/2)/Z35)*10^-3)</f>
        <v>#N/A</v>
      </c>
      <c r="AA54" s="15" t="s">
        <v>27</v>
      </c>
    </row>
    <row r="58" spans="1:27" hidden="1" x14ac:dyDescent="0.3">
      <c r="A58" s="2" t="s">
        <v>83</v>
      </c>
    </row>
    <row r="59" spans="1:27" hidden="1" x14ac:dyDescent="0.3">
      <c r="A59" s="1" t="s">
        <v>20</v>
      </c>
      <c r="B59" s="4" t="e">
        <f>0.5*(B25+B26+B27)*B11*10^-3</f>
        <v>#N/A</v>
      </c>
      <c r="C59" s="1" t="s">
        <v>19</v>
      </c>
    </row>
    <row r="60" spans="1:27" hidden="1" x14ac:dyDescent="0.3">
      <c r="A60" s="1" t="s">
        <v>21</v>
      </c>
      <c r="B60" s="4" t="e">
        <f>0.5*$D$2*(B25+B26+1.5*B27)*B11*10^-3</f>
        <v>#N/A</v>
      </c>
      <c r="C60" s="1" t="s">
        <v>19</v>
      </c>
    </row>
    <row r="61" spans="1:27" hidden="1" x14ac:dyDescent="0.3">
      <c r="A61" s="1" t="s">
        <v>66</v>
      </c>
      <c r="B61" s="4" t="e">
        <f>B29*B13*10^-3*B85+B30*B13*10^-3*B85+B31*B80+B32*B80+B34*B14*10^-3*B86+B35*B14*10^-3*B86+B36*B81+B37*B81</f>
        <v>#N/A</v>
      </c>
      <c r="C61" s="1" t="s">
        <v>27</v>
      </c>
    </row>
    <row r="62" spans="1:27" hidden="1" x14ac:dyDescent="0.3">
      <c r="A62" s="1" t="s">
        <v>63</v>
      </c>
      <c r="B62" s="4" t="e">
        <f>B29*B13*10^-3*B85+1.5*B30*B13*10^-3*B85+B31*B80+1.5*B32*B80+B34*B14*10^-3*B86+1.5*B35*B14*10^-3*B86+B36*B81+1.5*B37*B81</f>
        <v>#N/A</v>
      </c>
      <c r="C62" s="1" t="s">
        <v>27</v>
      </c>
    </row>
    <row r="63" spans="1:27" hidden="1" x14ac:dyDescent="0.3">
      <c r="A63" s="1" t="s">
        <v>64</v>
      </c>
      <c r="B63" s="4" t="e">
        <f>B29*B13*10^-3*C85+B30*B13*10^-3*C85+B31*C80+B32*C80+B34*B14*10^-3*C86+B35*B14*10^-3*C86+B36*C81+B37*C81</f>
        <v>#N/A</v>
      </c>
      <c r="C63" s="1" t="s">
        <v>27</v>
      </c>
    </row>
    <row r="64" spans="1:27" hidden="1" x14ac:dyDescent="0.3">
      <c r="A64" s="1" t="s">
        <v>65</v>
      </c>
      <c r="B64" s="4" t="e">
        <f>B29*B13*10^-3*C85+1.5*B30*B13*10^-3*C85+B31*C80+1.5*B32*C80+B34*B14*10^-3*C86+1.5*B35*B14*10^-3*C86+B36*C81+1.5*B37*C81</f>
        <v>#N/A</v>
      </c>
      <c r="C64" s="1" t="s">
        <v>27</v>
      </c>
    </row>
    <row r="65" spans="1:4" hidden="1" x14ac:dyDescent="0.3"/>
    <row r="66" spans="1:4" hidden="1" x14ac:dyDescent="0.3">
      <c r="A66" s="2" t="s">
        <v>59</v>
      </c>
      <c r="B66" s="3" t="s">
        <v>61</v>
      </c>
      <c r="C66" s="3" t="s">
        <v>62</v>
      </c>
    </row>
    <row r="67" spans="1:4" hidden="1" x14ac:dyDescent="0.3">
      <c r="A67" s="1" t="s">
        <v>44</v>
      </c>
      <c r="B67" s="8" t="e">
        <f>B59*B12*10^-3*((B12/2-B21)/(B12-B21-B20))</f>
        <v>#N/A</v>
      </c>
      <c r="C67" s="8" t="e">
        <f>B60*B12*10^-3*((B12/2-B21)/(B12-B21-B20))</f>
        <v>#N/A</v>
      </c>
      <c r="D67" s="1" t="s">
        <v>27</v>
      </c>
    </row>
    <row r="68" spans="1:4" hidden="1" x14ac:dyDescent="0.3">
      <c r="A68" s="1" t="s">
        <v>41</v>
      </c>
      <c r="B68" s="8" t="e">
        <f>B59*B12*10^-3*((B12/2-B23)/(B12-B23-B22))</f>
        <v>#N/A</v>
      </c>
      <c r="C68" s="8" t="e">
        <f>B60*B12*10^-3*((B12/2-B23)/(B12-B23-B22))</f>
        <v>#N/A</v>
      </c>
      <c r="D68" s="1" t="s">
        <v>27</v>
      </c>
    </row>
    <row r="69" spans="1:4" hidden="1" x14ac:dyDescent="0.3">
      <c r="A69" s="1" t="s">
        <v>43</v>
      </c>
      <c r="B69" s="8" t="e">
        <f>B59*B12*10^-3-B67</f>
        <v>#N/A</v>
      </c>
      <c r="C69" s="8" t="e">
        <f>B60*B12*10^-3-C67</f>
        <v>#N/A</v>
      </c>
      <c r="D69" s="1" t="s">
        <v>27</v>
      </c>
    </row>
    <row r="70" spans="1:4" hidden="1" x14ac:dyDescent="0.3">
      <c r="A70" s="1" t="s">
        <v>42</v>
      </c>
      <c r="B70" s="8" t="e">
        <f>B59*B12*10^-3-B68</f>
        <v>#N/A</v>
      </c>
      <c r="C70" s="8" t="e">
        <f>B60*B12*10^-3-C68</f>
        <v>#N/A</v>
      </c>
      <c r="D70" s="1" t="s">
        <v>27</v>
      </c>
    </row>
    <row r="71" spans="1:4" hidden="1" x14ac:dyDescent="0.3">
      <c r="C71" s="8"/>
    </row>
    <row r="72" spans="1:4" hidden="1" x14ac:dyDescent="0.3">
      <c r="A72" s="2" t="s">
        <v>60</v>
      </c>
      <c r="B72" s="3" t="s">
        <v>61</v>
      </c>
      <c r="C72" s="3" t="s">
        <v>62</v>
      </c>
    </row>
    <row r="73" spans="1:4" hidden="1" x14ac:dyDescent="0.3">
      <c r="A73" s="1" t="s">
        <v>44</v>
      </c>
      <c r="B73" s="8" t="e">
        <f>B61*(B12-B21-120/3)/(B12-B20-B21)</f>
        <v>#N/A</v>
      </c>
      <c r="C73" s="8" t="e">
        <f>B62*(B12-B21-120/3)/(B12-B20-B21)</f>
        <v>#N/A</v>
      </c>
      <c r="D73" s="1" t="s">
        <v>27</v>
      </c>
    </row>
    <row r="74" spans="1:4" hidden="1" x14ac:dyDescent="0.3">
      <c r="A74" s="1" t="s">
        <v>41</v>
      </c>
      <c r="B74" s="8" t="e">
        <f>B63*(B12-B23-120/3)/(B12-B22-B23)</f>
        <v>#N/A</v>
      </c>
      <c r="C74" s="8" t="e">
        <f>B64*(B12-B23-120/3)/(B12-B22-B23)</f>
        <v>#N/A</v>
      </c>
      <c r="D74" s="1" t="s">
        <v>27</v>
      </c>
    </row>
    <row r="75" spans="1:4" hidden="1" x14ac:dyDescent="0.3">
      <c r="A75" s="1" t="s">
        <v>43</v>
      </c>
      <c r="B75" s="8" t="e">
        <f>B61-B73</f>
        <v>#N/A</v>
      </c>
      <c r="C75" s="8" t="e">
        <f>B62-C73</f>
        <v>#N/A</v>
      </c>
      <c r="D75" s="1" t="s">
        <v>27</v>
      </c>
    </row>
    <row r="76" spans="1:4" hidden="1" x14ac:dyDescent="0.3">
      <c r="A76" s="1" t="s">
        <v>42</v>
      </c>
      <c r="B76" s="8" t="e">
        <f>B63-B74</f>
        <v>#N/A</v>
      </c>
      <c r="C76" s="8" t="e">
        <f>B64-C74</f>
        <v>#N/A</v>
      </c>
      <c r="D76" s="1" t="s">
        <v>27</v>
      </c>
    </row>
    <row r="77" spans="1:4" hidden="1" x14ac:dyDescent="0.3"/>
    <row r="78" spans="1:4" hidden="1" x14ac:dyDescent="0.3">
      <c r="B78" s="3" t="s">
        <v>67</v>
      </c>
      <c r="C78" s="3"/>
    </row>
    <row r="79" spans="1:4" hidden="1" x14ac:dyDescent="0.3">
      <c r="B79" s="3" t="s">
        <v>70</v>
      </c>
      <c r="C79" s="3" t="s">
        <v>71</v>
      </c>
    </row>
    <row r="80" spans="1:4" hidden="1" x14ac:dyDescent="0.3">
      <c r="A80" s="1" t="s">
        <v>68</v>
      </c>
      <c r="B80" s="16" t="e">
        <f>1-C80</f>
        <v>#N/A</v>
      </c>
      <c r="C80" s="16" t="e">
        <f>(B13-220)/B11</f>
        <v>#N/A</v>
      </c>
    </row>
    <row r="81" spans="1:3" hidden="1" x14ac:dyDescent="0.3">
      <c r="A81" s="1" t="s">
        <v>69</v>
      </c>
      <c r="B81" s="16" t="e">
        <f>(B14-220)/B11</f>
        <v>#N/A</v>
      </c>
      <c r="C81" s="16" t="e">
        <f>1-B81</f>
        <v>#N/A</v>
      </c>
    </row>
    <row r="82" spans="1:3" hidden="1" x14ac:dyDescent="0.3"/>
    <row r="83" spans="1:3" hidden="1" x14ac:dyDescent="0.3">
      <c r="B83" s="3" t="s">
        <v>72</v>
      </c>
      <c r="C83" s="3"/>
    </row>
    <row r="84" spans="1:3" hidden="1" x14ac:dyDescent="0.3">
      <c r="B84" s="3" t="s">
        <v>70</v>
      </c>
      <c r="C84" s="3" t="s">
        <v>71</v>
      </c>
    </row>
    <row r="85" spans="1:3" hidden="1" x14ac:dyDescent="0.3">
      <c r="A85" s="1" t="s">
        <v>68</v>
      </c>
      <c r="B85" s="16" t="e">
        <f>1-C85</f>
        <v>#N/A</v>
      </c>
      <c r="C85" s="16" t="e">
        <f>(B13/2)/B11</f>
        <v>#N/A</v>
      </c>
    </row>
    <row r="86" spans="1:3" hidden="1" x14ac:dyDescent="0.3">
      <c r="A86" s="1" t="s">
        <v>69</v>
      </c>
      <c r="B86" s="16" t="e">
        <f>(B14/2)/B11</f>
        <v>#N/A</v>
      </c>
      <c r="C86" s="16" t="e">
        <f>1-B86</f>
        <v>#N/A</v>
      </c>
    </row>
  </sheetData>
  <sheetProtection algorithmName="SHA-512" hashValue="qihgEZybDybFBFpuj0AZiay7QISoKGlyqYPhDI4gcoM4v9QvcYPkRXWB/rAXjSStk2SPyhkZZaCRP2OHpNQIuQ==" saltValue="GUAmRBvLpPMYnJIEQQwiYw==" spinCount="100000" sheet="1" objects="1" scenarios="1"/>
  <mergeCells count="2">
    <mergeCell ref="G20:G21"/>
    <mergeCell ref="G44:G45"/>
  </mergeCells>
  <conditionalFormatting sqref="B16:B18">
    <cfRule type="expression" dxfId="28" priority="8">
      <formula>NOT($A$16="")</formula>
    </cfRule>
  </conditionalFormatting>
  <conditionalFormatting sqref="I11:K30">
    <cfRule type="expression" dxfId="27" priority="10">
      <formula>$I$10=""</formula>
    </cfRule>
  </conditionalFormatting>
  <conditionalFormatting sqref="I35:K54">
    <cfRule type="expression" dxfId="26" priority="9">
      <formula>$I$34=""</formula>
    </cfRule>
  </conditionalFormatting>
  <conditionalFormatting sqref="J12">
    <cfRule type="expression" dxfId="25" priority="33">
      <formula>NOT($I$12="")</formula>
    </cfRule>
  </conditionalFormatting>
  <conditionalFormatting sqref="J14:J16">
    <cfRule type="expression" dxfId="24" priority="31">
      <formula>NOT($I$14="")</formula>
    </cfRule>
  </conditionalFormatting>
  <conditionalFormatting sqref="J36">
    <cfRule type="expression" dxfId="23" priority="21">
      <formula>NOT($I$36="")</formula>
    </cfRule>
  </conditionalFormatting>
  <conditionalFormatting sqref="J38:J40">
    <cfRule type="expression" dxfId="22" priority="20">
      <formula>NOT($I$38="")</formula>
    </cfRule>
  </conditionalFormatting>
  <conditionalFormatting sqref="M11:O30">
    <cfRule type="expression" dxfId="21" priority="28">
      <formula>$M$10=""</formula>
    </cfRule>
  </conditionalFormatting>
  <conditionalFormatting sqref="M35:O54">
    <cfRule type="expression" dxfId="20" priority="17">
      <formula>$M$34=""</formula>
    </cfRule>
  </conditionalFormatting>
  <conditionalFormatting sqref="N12">
    <cfRule type="expression" dxfId="19" priority="40">
      <formula>NOT($M$12="")</formula>
    </cfRule>
  </conditionalFormatting>
  <conditionalFormatting sqref="N14:N16">
    <cfRule type="expression" dxfId="18" priority="29">
      <formula>NOT($M$14="")</formula>
    </cfRule>
  </conditionalFormatting>
  <conditionalFormatting sqref="N36">
    <cfRule type="expression" dxfId="17" priority="19">
      <formula>NOT($M$36="")</formula>
    </cfRule>
  </conditionalFormatting>
  <conditionalFormatting sqref="N38:N40">
    <cfRule type="expression" dxfId="16" priority="18">
      <formula>NOT($M$38="")</formula>
    </cfRule>
  </conditionalFormatting>
  <conditionalFormatting sqref="Q11:S30">
    <cfRule type="expression" dxfId="15" priority="26">
      <formula>$Q$10=""</formula>
    </cfRule>
  </conditionalFormatting>
  <conditionalFormatting sqref="Q35:S54">
    <cfRule type="expression" dxfId="14" priority="14">
      <formula>$Q$34=""</formula>
    </cfRule>
  </conditionalFormatting>
  <conditionalFormatting sqref="R12">
    <cfRule type="expression" dxfId="13" priority="39">
      <formula>NOT($Q$12="")</formula>
    </cfRule>
  </conditionalFormatting>
  <conditionalFormatting sqref="R14:R16">
    <cfRule type="expression" dxfId="12" priority="27">
      <formula>NOT($Q$14="")</formula>
    </cfRule>
  </conditionalFormatting>
  <conditionalFormatting sqref="R36">
    <cfRule type="expression" dxfId="11" priority="16">
      <formula>NOT($Q$36="")</formula>
    </cfRule>
  </conditionalFormatting>
  <conditionalFormatting sqref="R38:R40">
    <cfRule type="expression" dxfId="10" priority="15">
      <formula>NOT($Q$38="")</formula>
    </cfRule>
  </conditionalFormatting>
  <conditionalFormatting sqref="U11:W30">
    <cfRule type="expression" dxfId="9" priority="24">
      <formula>$U$10=""</formula>
    </cfRule>
  </conditionalFormatting>
  <conditionalFormatting sqref="U35:W54">
    <cfRule type="expression" dxfId="8" priority="12">
      <formula>$U$34=""</formula>
    </cfRule>
  </conditionalFormatting>
  <conditionalFormatting sqref="V12">
    <cfRule type="expression" dxfId="7" priority="38">
      <formula>NOT($U$12="")</formula>
    </cfRule>
  </conditionalFormatting>
  <conditionalFormatting sqref="V14:V16">
    <cfRule type="expression" dxfId="6" priority="25">
      <formula>NOT($U$14="")</formula>
    </cfRule>
  </conditionalFormatting>
  <conditionalFormatting sqref="V36">
    <cfRule type="expression" dxfId="5" priority="34">
      <formula>NOT($U$36="")</formula>
    </cfRule>
  </conditionalFormatting>
  <conditionalFormatting sqref="V38:V40">
    <cfRule type="expression" dxfId="4" priority="13">
      <formula>NOT($U$38="")</formula>
    </cfRule>
  </conditionalFormatting>
  <conditionalFormatting sqref="Y11:AA30">
    <cfRule type="expression" dxfId="3" priority="23">
      <formula>$Y$10=""</formula>
    </cfRule>
  </conditionalFormatting>
  <conditionalFormatting sqref="Y35:AA54">
    <cfRule type="expression" dxfId="2" priority="11">
      <formula>$Y$34=""</formula>
    </cfRule>
  </conditionalFormatting>
  <conditionalFormatting sqref="Z14:Z16">
    <cfRule type="expression" dxfId="1" priority="37">
      <formula>NOT($Y$14="")</formula>
    </cfRule>
  </conditionalFormatting>
  <conditionalFormatting sqref="Z38:Z40">
    <cfRule type="expression" dxfId="0" priority="22">
      <formula>NOT($Y$38="")</formula>
    </cfRule>
  </conditionalFormatting>
  <dataValidations count="4">
    <dataValidation type="list" allowBlank="1" showInputMessage="1" showErrorMessage="1" sqref="B2" xr:uid="{9C860269-062C-4727-91B7-3408B93650DD}">
      <formula1>$V$2:$V$3</formula1>
    </dataValidation>
    <dataValidation type="list" allowBlank="1" showInputMessage="1" showErrorMessage="1" sqref="A10" xr:uid="{40965676-5F12-4FB7-8856-BA167C6EACA6}">
      <formula1>$U$5:$U$6</formula1>
    </dataValidation>
    <dataValidation type="list" allowBlank="1" showInputMessage="1" showErrorMessage="1" sqref="I34 U34 M10 Q10 U10 Q34 M34 I10" xr:uid="{C2B6BC9B-F02B-46DC-AA6F-03B7A90693EE}">
      <formula1>$U$2:$U$6</formula1>
    </dataValidation>
    <dataValidation type="list" allowBlank="1" showInputMessage="1" showErrorMessage="1" sqref="Y10 Y34" xr:uid="{1A5DF9F5-8856-4C32-AE89-692072209F57}">
      <formula1>$U$2:$U$5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Laugesen, Kristian Damgaard</dc:creator>
  <cp:lastModifiedBy>Laugesen, Kristian Damgaard</cp:lastModifiedBy>
  <dcterms:created xsi:type="dcterms:W3CDTF">2015-06-05T18:19:34Z</dcterms:created>
  <dcterms:modified xsi:type="dcterms:W3CDTF">2025-11-03T08:11:08Z</dcterms:modified>
</cp:coreProperties>
</file>