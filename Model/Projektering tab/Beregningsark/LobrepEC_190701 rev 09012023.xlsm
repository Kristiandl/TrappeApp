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3.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harts/chart7.xml" ContentType="application/vnd.openxmlformats-officedocument.drawingml.chart+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6.xml" ContentType="application/vnd.openxmlformats-officedocument.drawing+xml"/>
  <Override PartName="/xl/ctrlProps/ctrlProp5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updateLinks="never" codeName="Denne_projektmappe"/>
  <mc:AlternateContent xmlns:mc="http://schemas.openxmlformats.org/markup-compatibility/2006">
    <mc:Choice Requires="x15">
      <x15ac:absPath xmlns:x15ac="http://schemas.microsoft.com/office/spreadsheetml/2010/11/ac" url="https://crhemea-my.sharepoint.com/personal/kdl_crhconcrete_dk/Documents/Dokumenter/Udvikling/Dalton_Trapper/Dalton_Trapper/TrappeApp/Model/Projektering tab/Beregningsark/"/>
    </mc:Choice>
  </mc:AlternateContent>
  <xr:revisionPtr revIDLastSave="0" documentId="13_ncr:1_{1C70E0D3-39A1-4AD8-9228-34274E673B9B}" xr6:coauthVersionLast="47" xr6:coauthVersionMax="47" xr10:uidLastSave="{00000000-0000-0000-0000-000000000000}"/>
  <workbookProtection workbookAlgorithmName="SHA-512" workbookHashValue="cJxM4UL1puSgGAxw02+6FMoffV2XaPz9BjgdJQYUiYKo2vYpqQuV5x6gRj2IJ0MrInF0BefVdk7qYFdIR0MVdA==" workbookSaltValue="W1WHnh6Yb306iIagVmYJWA==" workbookSpinCount="100000" lockStructure="1"/>
  <bookViews>
    <workbookView xWindow="23775" yWindow="2190" windowWidth="28260" windowHeight="17145" xr2:uid="{00000000-000D-0000-FFFF-FFFF00000000}"/>
  </bookViews>
  <sheets>
    <sheet name="A" sheetId="5" r:id="rId1"/>
    <sheet name="m.sidedorne" sheetId="2" r:id="rId2"/>
    <sheet name="UdskriftsarkA" sheetId="3" r:id="rId3"/>
    <sheet name="UdskriftsarkDorn" sheetId="4" r:id="rId4"/>
    <sheet name="NS" sheetId="7" r:id="rId5"/>
    <sheet name="Logbog" sheetId="6" r:id="rId6"/>
  </sheets>
  <externalReferences>
    <externalReference r:id="rId7"/>
  </externalReferences>
  <definedNames>
    <definedName name="A1H">A!$L$41</definedName>
    <definedName name="A1V">A!$J$41</definedName>
    <definedName name="A2H">A!$L$42</definedName>
    <definedName name="A2V">A!$J$42</definedName>
    <definedName name="ADH">A!$L$43</definedName>
    <definedName name="ADV">A!$J$43</definedName>
    <definedName name="ARMDIAM">A!$J$28</definedName>
    <definedName name="ARMDIAMX">A!$J$29</definedName>
    <definedName name="B">A!$J$23</definedName>
    <definedName name="DORNDIAM">A!$J$129</definedName>
    <definedName name="DÆKLAG">A!$N$9</definedName>
    <definedName name="FCD">A!$J$26</definedName>
    <definedName name="FCK">A!$J$25</definedName>
    <definedName name="GAMMAC">A!$N$13</definedName>
    <definedName name="GAMMACTRÆK">A!$N$14</definedName>
    <definedName name="GAMMADORN">A!$N$16</definedName>
    <definedName name="GAMMAS">A!$N$15</definedName>
    <definedName name="H">A!$L$40</definedName>
    <definedName name="HÆLDNRAD">A!$N$17</definedName>
    <definedName name="LAST_1_2_R">A!$L$52</definedName>
    <definedName name="LAST_1_K">A!$H$49</definedName>
    <definedName name="LAST_2_K">A!$H$50</definedName>
    <definedName name="LV">A!$J$38</definedName>
    <definedName name="R_4">A!$J$121</definedName>
    <definedName name="S">A!$J$15</definedName>
    <definedName name="T">A!$J$19</definedName>
    <definedName name="TG">A!$J$18</definedName>
    <definedName name="TR">A!$J$21</definedName>
    <definedName name="_xlnm.Print_Area" localSheetId="0">A!$AE$1:$AP$108</definedName>
    <definedName name="_xlnm.Print_Area" localSheetId="1">m.sidedorne!$A$1:$M$66</definedName>
    <definedName name="_xlnm.Print_Area" localSheetId="2">UdskriftsarkA!$A$1:$M$399</definedName>
    <definedName name="_xlnm.Print_Area" localSheetId="3">UdskriftsarkDorn!$A$1:$M$61</definedName>
    <definedName name="_xlnm.Print_Titles" localSheetId="0">A!$1:$6</definedName>
    <definedName name="_xlnm.Print_Titles" localSheetId="1">m.sidedorne!$1:$7</definedName>
    <definedName name="_xlnm.Print_Titles" localSheetId="2">UdskriftsarkA!$1:$7</definedName>
    <definedName name="_xlnm.Print_Titles" localSheetId="3">UdskriftsarkDorn!$1:$7</definedName>
    <definedName name="V">A!$J$40</definedName>
  </definedNames>
  <calcPr calcId="191029"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68" i="5" l="1"/>
  <c r="F247" i="5"/>
  <c r="J362" i="5"/>
  <c r="H359" i="5"/>
  <c r="J359" i="5"/>
  <c r="J358" i="5"/>
  <c r="J357" i="5"/>
  <c r="J356" i="5"/>
  <c r="A184" i="5"/>
  <c r="A176" i="5"/>
  <c r="J165" i="5"/>
  <c r="L65" i="5"/>
  <c r="L64" i="5"/>
  <c r="H47" i="5"/>
  <c r="J36" i="5"/>
  <c r="H58" i="5" s="1"/>
  <c r="J35" i="5"/>
  <c r="J34" i="5"/>
  <c r="H29" i="5"/>
  <c r="H28" i="5"/>
  <c r="J28" i="5"/>
  <c r="J23" i="5"/>
  <c r="J21" i="5"/>
  <c r="J19" i="5"/>
  <c r="J18" i="5"/>
  <c r="J15" i="5"/>
  <c r="J14" i="5"/>
  <c r="J41" i="5" l="1"/>
  <c r="G139" i="5"/>
  <c r="Z138" i="5"/>
  <c r="F138" i="5" s="1"/>
  <c r="F89" i="3" s="1"/>
  <c r="X138" i="5"/>
  <c r="D138" i="5" s="1"/>
  <c r="D89" i="3" s="1"/>
  <c r="U138" i="5"/>
  <c r="A138" i="5" s="1"/>
  <c r="A89" i="3" s="1"/>
  <c r="G138" i="5"/>
  <c r="L41" i="5"/>
  <c r="J42" i="5"/>
  <c r="H55" i="5"/>
  <c r="H56" i="5"/>
  <c r="L42" i="5"/>
  <c r="H57" i="5"/>
  <c r="AQ50" i="5"/>
  <c r="AQ49" i="5"/>
  <c r="AQ48" i="5"/>
  <c r="Q50" i="5" l="1"/>
  <c r="J6" i="4" l="1"/>
  <c r="J4" i="4"/>
  <c r="N176" i="5" l="1"/>
  <c r="J253" i="3" l="1"/>
  <c r="K85" i="3" l="1"/>
  <c r="K84" i="3"/>
  <c r="K83" i="3"/>
  <c r="K81" i="3"/>
  <c r="K79" i="3"/>
  <c r="K78" i="3"/>
  <c r="K77" i="3"/>
  <c r="J81" i="3"/>
  <c r="J80" i="3"/>
  <c r="C50" i="3"/>
  <c r="C49" i="3"/>
  <c r="C48" i="3"/>
  <c r="F300" i="5" l="1"/>
  <c r="D57" i="4" l="1"/>
  <c r="E55" i="4"/>
  <c r="F55" i="4"/>
  <c r="F52" i="4"/>
  <c r="C50" i="4"/>
  <c r="F49" i="4"/>
  <c r="F50" i="4"/>
  <c r="E49" i="4"/>
  <c r="C48" i="4"/>
  <c r="G44" i="4"/>
  <c r="C43" i="4"/>
  <c r="I36" i="4"/>
  <c r="G27" i="4"/>
  <c r="K16" i="4"/>
  <c r="I34" i="4"/>
  <c r="G41" i="4"/>
  <c r="E40" i="4"/>
  <c r="F38" i="4"/>
  <c r="D34" i="4"/>
  <c r="F34" i="4"/>
  <c r="F36" i="4"/>
  <c r="K29" i="4"/>
  <c r="K30" i="4"/>
  <c r="J32" i="4"/>
  <c r="K33" i="4"/>
  <c r="J34" i="4"/>
  <c r="K34" i="4"/>
  <c r="K38" i="4"/>
  <c r="H29" i="4"/>
  <c r="H30" i="4"/>
  <c r="H31" i="4"/>
  <c r="H32" i="4"/>
  <c r="H33" i="4"/>
  <c r="H34" i="4"/>
  <c r="H35" i="4"/>
  <c r="H37" i="4"/>
  <c r="H38" i="4"/>
  <c r="H39" i="4"/>
  <c r="C29" i="4"/>
  <c r="J27" i="4"/>
  <c r="J25" i="4"/>
  <c r="K5" i="4"/>
  <c r="G212" i="3"/>
  <c r="G204" i="3"/>
  <c r="G193" i="3"/>
  <c r="E189" i="3"/>
  <c r="G187" i="3"/>
  <c r="C170" i="3"/>
  <c r="G105" i="3"/>
  <c r="H109" i="3"/>
  <c r="H106" i="3"/>
  <c r="G111" i="3"/>
  <c r="G109" i="3"/>
  <c r="G108" i="3"/>
  <c r="G106" i="3"/>
  <c r="G103" i="3"/>
  <c r="A6" i="3"/>
  <c r="M57" i="4"/>
  <c r="J45" i="4"/>
  <c r="K45" i="4"/>
  <c r="K47" i="4"/>
  <c r="K48" i="4"/>
  <c r="J51" i="4"/>
  <c r="K53" i="4"/>
  <c r="K54" i="4"/>
  <c r="K55" i="4"/>
  <c r="K56" i="4"/>
  <c r="J57" i="4"/>
  <c r="K57" i="4"/>
  <c r="K58" i="4"/>
  <c r="K59" i="4"/>
  <c r="J60" i="4"/>
  <c r="I45" i="4"/>
  <c r="I57" i="4"/>
  <c r="G45" i="4"/>
  <c r="H45" i="4"/>
  <c r="G47" i="4"/>
  <c r="H47" i="4"/>
  <c r="G48" i="4"/>
  <c r="H48" i="4"/>
  <c r="G49" i="4"/>
  <c r="H49" i="4"/>
  <c r="G51" i="4"/>
  <c r="G53" i="4"/>
  <c r="H53" i="4"/>
  <c r="H54" i="4"/>
  <c r="H55" i="4"/>
  <c r="H56" i="4"/>
  <c r="H57" i="4"/>
  <c r="H58" i="4"/>
  <c r="H59" i="4"/>
  <c r="G60" i="4"/>
  <c r="G16" i="4"/>
  <c r="H16" i="4"/>
  <c r="H17" i="4"/>
  <c r="H18" i="4"/>
  <c r="H19" i="4"/>
  <c r="H20" i="4"/>
  <c r="H22" i="4"/>
  <c r="G23" i="4"/>
  <c r="H23" i="4"/>
  <c r="H24" i="4"/>
  <c r="E27" i="4"/>
  <c r="C27" i="4"/>
  <c r="C24" i="4"/>
  <c r="E25" i="4"/>
  <c r="F25" i="4"/>
  <c r="E17" i="4"/>
  <c r="C14" i="4"/>
  <c r="J2" i="4"/>
  <c r="C6" i="4"/>
  <c r="C4" i="4"/>
  <c r="C2" i="4"/>
  <c r="A6" i="4"/>
  <c r="A2" i="4"/>
  <c r="B319" i="3"/>
  <c r="D393" i="3"/>
  <c r="E393" i="3"/>
  <c r="I394" i="3"/>
  <c r="L394" i="3"/>
  <c r="L391" i="3"/>
  <c r="G365" i="3"/>
  <c r="I366" i="3"/>
  <c r="K366" i="3"/>
  <c r="B363" i="3"/>
  <c r="M337" i="3"/>
  <c r="M338" i="3"/>
  <c r="M339" i="3"/>
  <c r="M341" i="3"/>
  <c r="M342" i="3"/>
  <c r="M343" i="3"/>
  <c r="M344" i="3"/>
  <c r="M346" i="3"/>
  <c r="M347" i="3"/>
  <c r="M348" i="3"/>
  <c r="M349" i="3"/>
  <c r="H336" i="3"/>
  <c r="J336" i="3"/>
  <c r="L336" i="3"/>
  <c r="G337" i="3"/>
  <c r="G339" i="3"/>
  <c r="G341" i="3"/>
  <c r="G343" i="3"/>
  <c r="G344" i="3"/>
  <c r="G346" i="3"/>
  <c r="G348" i="3"/>
  <c r="G349" i="3"/>
  <c r="C345" i="3"/>
  <c r="C340" i="3"/>
  <c r="C336" i="3"/>
  <c r="B335" i="3"/>
  <c r="K320" i="3"/>
  <c r="K321" i="3"/>
  <c r="K322" i="3"/>
  <c r="K323" i="3"/>
  <c r="K324" i="3"/>
  <c r="K325" i="3"/>
  <c r="K326" i="3"/>
  <c r="K327" i="3"/>
  <c r="K329" i="3"/>
  <c r="J330" i="3"/>
  <c r="J331" i="3"/>
  <c r="J333" i="3"/>
  <c r="I324" i="3"/>
  <c r="G320" i="3"/>
  <c r="H320" i="3"/>
  <c r="G321" i="3"/>
  <c r="H321" i="3"/>
  <c r="G322" i="3"/>
  <c r="H322" i="3"/>
  <c r="G323" i="3"/>
  <c r="H323" i="3"/>
  <c r="G324" i="3"/>
  <c r="H326" i="3"/>
  <c r="H327" i="3"/>
  <c r="G328" i="3"/>
  <c r="G329" i="3"/>
  <c r="G330" i="3"/>
  <c r="G331" i="3"/>
  <c r="G332" i="3"/>
  <c r="G333" i="3"/>
  <c r="E333" i="3"/>
  <c r="F331" i="3"/>
  <c r="E329" i="3"/>
  <c r="F328" i="3"/>
  <c r="E327" i="3"/>
  <c r="F327" i="3"/>
  <c r="F324" i="3"/>
  <c r="F322" i="3"/>
  <c r="E321" i="3"/>
  <c r="K313" i="3"/>
  <c r="J314" i="3"/>
  <c r="J315" i="3"/>
  <c r="J317" i="3"/>
  <c r="D316" i="3"/>
  <c r="F314" i="3"/>
  <c r="F312" i="3"/>
  <c r="G312" i="3"/>
  <c r="G313" i="3"/>
  <c r="G314" i="3"/>
  <c r="G315" i="3"/>
  <c r="G316" i="3"/>
  <c r="G317" i="3"/>
  <c r="H310" i="3"/>
  <c r="H311" i="3"/>
  <c r="K302" i="3"/>
  <c r="K303" i="3"/>
  <c r="K304" i="3"/>
  <c r="K305" i="3"/>
  <c r="K306" i="3"/>
  <c r="K307" i="3"/>
  <c r="J308" i="3"/>
  <c r="K308" i="3"/>
  <c r="K309" i="3"/>
  <c r="K310" i="3"/>
  <c r="K311" i="3"/>
  <c r="I308" i="3"/>
  <c r="G302" i="3"/>
  <c r="H302" i="3"/>
  <c r="G303" i="3"/>
  <c r="H303" i="3"/>
  <c r="G304" i="3"/>
  <c r="H304" i="3"/>
  <c r="G305" i="3"/>
  <c r="H305" i="3"/>
  <c r="G306" i="3"/>
  <c r="H306" i="3"/>
  <c r="G307" i="3"/>
  <c r="H307" i="3"/>
  <c r="G308" i="3"/>
  <c r="D309" i="3"/>
  <c r="E309" i="3"/>
  <c r="D310" i="3"/>
  <c r="E307" i="3"/>
  <c r="F306" i="3"/>
  <c r="F307" i="3"/>
  <c r="F308" i="3"/>
  <c r="F304" i="3"/>
  <c r="E302" i="3"/>
  <c r="C306" i="3"/>
  <c r="B301" i="3"/>
  <c r="B294" i="3"/>
  <c r="A292" i="3"/>
  <c r="A293" i="3"/>
  <c r="L277" i="3"/>
  <c r="K260" i="3"/>
  <c r="K261" i="3"/>
  <c r="K262" i="3"/>
  <c r="K263" i="3"/>
  <c r="K264" i="3"/>
  <c r="K265" i="3"/>
  <c r="K267" i="3"/>
  <c r="K268" i="3"/>
  <c r="K269" i="3"/>
  <c r="K270" i="3"/>
  <c r="K271" i="3"/>
  <c r="K272" i="3"/>
  <c r="J273" i="3"/>
  <c r="K273" i="3"/>
  <c r="K274" i="3"/>
  <c r="K275" i="3"/>
  <c r="J278" i="3"/>
  <c r="J279" i="3"/>
  <c r="I273" i="3"/>
  <c r="I271" i="3"/>
  <c r="H261" i="3"/>
  <c r="H262" i="3"/>
  <c r="H263" i="3"/>
  <c r="H264" i="3"/>
  <c r="H267" i="3"/>
  <c r="H268" i="3"/>
  <c r="H269" i="3"/>
  <c r="H270" i="3"/>
  <c r="H273" i="3"/>
  <c r="H277" i="3"/>
  <c r="G260" i="3"/>
  <c r="G261" i="3"/>
  <c r="G262" i="3"/>
  <c r="G263" i="3"/>
  <c r="G265" i="3"/>
  <c r="G270" i="3"/>
  <c r="G271" i="3"/>
  <c r="G274" i="3"/>
  <c r="G275" i="3"/>
  <c r="G278" i="3"/>
  <c r="G279" i="3"/>
  <c r="B272" i="3"/>
  <c r="A270" i="3"/>
  <c r="A271" i="3"/>
  <c r="B259" i="3"/>
  <c r="K233" i="3"/>
  <c r="K234" i="3"/>
  <c r="K235" i="3"/>
  <c r="J236" i="3"/>
  <c r="K236" i="3"/>
  <c r="J237" i="3"/>
  <c r="K237" i="3"/>
  <c r="J238" i="3"/>
  <c r="K238" i="3"/>
  <c r="J239" i="3"/>
  <c r="K239" i="3"/>
  <c r="K240" i="3"/>
  <c r="K241" i="3"/>
  <c r="J242" i="3"/>
  <c r="K242" i="3"/>
  <c r="K243" i="3"/>
  <c r="J244" i="3"/>
  <c r="K245" i="3"/>
  <c r="K246" i="3"/>
  <c r="K247" i="3"/>
  <c r="J248" i="3"/>
  <c r="K248" i="3"/>
  <c r="K249" i="3"/>
  <c r="K250" i="3"/>
  <c r="J251" i="3"/>
  <c r="J252" i="3"/>
  <c r="K253" i="3"/>
  <c r="K255" i="3"/>
  <c r="K256" i="3"/>
  <c r="K257" i="3"/>
  <c r="I253" i="3"/>
  <c r="I245" i="3"/>
  <c r="I242" i="3"/>
  <c r="I239" i="3"/>
  <c r="H233" i="3"/>
  <c r="H234" i="3"/>
  <c r="H235" i="3"/>
  <c r="H236" i="3"/>
  <c r="H238" i="3"/>
  <c r="H239" i="3"/>
  <c r="H240" i="3"/>
  <c r="H241" i="3"/>
  <c r="H242" i="3"/>
  <c r="H243" i="3"/>
  <c r="H246" i="3"/>
  <c r="H247" i="3"/>
  <c r="H248" i="3"/>
  <c r="H249" i="3"/>
  <c r="H253" i="3"/>
  <c r="H255" i="3"/>
  <c r="H256" i="3"/>
  <c r="G235" i="3"/>
  <c r="G236" i="3"/>
  <c r="G237" i="3"/>
  <c r="G238" i="3"/>
  <c r="G239" i="3"/>
  <c r="G244" i="3"/>
  <c r="G245" i="3"/>
  <c r="G250" i="3"/>
  <c r="G251" i="3"/>
  <c r="G252" i="3"/>
  <c r="G253" i="3"/>
  <c r="G254" i="3"/>
  <c r="G257" i="3"/>
  <c r="D242" i="3"/>
  <c r="D237" i="3"/>
  <c r="F237" i="3"/>
  <c r="B237" i="3"/>
  <c r="C235" i="3"/>
  <c r="E234" i="3"/>
  <c r="B232" i="3"/>
  <c r="K222" i="3"/>
  <c r="J224" i="3"/>
  <c r="J228" i="3"/>
  <c r="J229" i="3"/>
  <c r="G223" i="3"/>
  <c r="G224" i="3"/>
  <c r="G227" i="3"/>
  <c r="G228" i="3"/>
  <c r="G229" i="3"/>
  <c r="D227" i="3"/>
  <c r="F222" i="3"/>
  <c r="G217" i="3"/>
  <c r="H214" i="3"/>
  <c r="I214" i="3"/>
  <c r="K214" i="3"/>
  <c r="H215" i="3"/>
  <c r="I215" i="3"/>
  <c r="K215" i="3"/>
  <c r="H216" i="3"/>
  <c r="I216" i="3"/>
  <c r="K216" i="3"/>
  <c r="J217" i="3"/>
  <c r="K213" i="3"/>
  <c r="K212" i="3"/>
  <c r="G213" i="3"/>
  <c r="F212" i="3"/>
  <c r="G208" i="3"/>
  <c r="K204" i="3"/>
  <c r="H205" i="3"/>
  <c r="K205" i="3"/>
  <c r="H206" i="3"/>
  <c r="K206" i="3"/>
  <c r="H207" i="3"/>
  <c r="K207" i="3"/>
  <c r="J208" i="3"/>
  <c r="F204" i="3"/>
  <c r="I198" i="3"/>
  <c r="H198" i="3"/>
  <c r="K198" i="3"/>
  <c r="E198" i="3"/>
  <c r="C200" i="3"/>
  <c r="D193" i="3"/>
  <c r="G191" i="3"/>
  <c r="H187" i="3"/>
  <c r="I187" i="3"/>
  <c r="J187" i="3"/>
  <c r="K187" i="3"/>
  <c r="H188" i="3"/>
  <c r="I188" i="3"/>
  <c r="K188" i="3"/>
  <c r="H189" i="3"/>
  <c r="I189" i="3"/>
  <c r="K189" i="3"/>
  <c r="H190" i="3"/>
  <c r="I190" i="3"/>
  <c r="K190" i="3"/>
  <c r="J191" i="3"/>
  <c r="F187" i="3"/>
  <c r="D182" i="3"/>
  <c r="E182" i="3"/>
  <c r="F182" i="3"/>
  <c r="C186" i="3"/>
  <c r="A184" i="3"/>
  <c r="F183" i="3"/>
  <c r="G182" i="3"/>
  <c r="G181" i="3"/>
  <c r="G180" i="3"/>
  <c r="G178" i="3"/>
  <c r="G177" i="3"/>
  <c r="J165" i="3"/>
  <c r="J169" i="3"/>
  <c r="J176" i="3"/>
  <c r="K164" i="3"/>
  <c r="K165" i="3"/>
  <c r="K166" i="3"/>
  <c r="K167" i="3"/>
  <c r="K168" i="3"/>
  <c r="K170" i="3"/>
  <c r="K172" i="3"/>
  <c r="K173" i="3"/>
  <c r="K174" i="3"/>
  <c r="K175" i="3"/>
  <c r="K176" i="3"/>
  <c r="K177" i="3"/>
  <c r="K178" i="3"/>
  <c r="K179" i="3"/>
  <c r="K180" i="3"/>
  <c r="K181" i="3"/>
  <c r="H172" i="3"/>
  <c r="H173" i="3"/>
  <c r="H174" i="3"/>
  <c r="H175" i="3"/>
  <c r="H176" i="3"/>
  <c r="H177" i="3"/>
  <c r="H178" i="3"/>
  <c r="H179" i="3"/>
  <c r="H180" i="3"/>
  <c r="G174" i="3"/>
  <c r="D176" i="3"/>
  <c r="C177" i="3"/>
  <c r="A176" i="3"/>
  <c r="E173" i="3"/>
  <c r="D173" i="3"/>
  <c r="F168" i="3"/>
  <c r="E169" i="3"/>
  <c r="G164" i="3"/>
  <c r="H164" i="3"/>
  <c r="G165" i="3"/>
  <c r="H165" i="3"/>
  <c r="G166" i="3"/>
  <c r="H166" i="3"/>
  <c r="G167" i="3"/>
  <c r="H167" i="3"/>
  <c r="H168" i="3"/>
  <c r="G169" i="3"/>
  <c r="H169" i="3"/>
  <c r="H170" i="3"/>
  <c r="B163" i="3"/>
  <c r="K141" i="3"/>
  <c r="K142" i="3"/>
  <c r="K143" i="3"/>
  <c r="K144" i="3"/>
  <c r="K145" i="3"/>
  <c r="K146" i="3"/>
  <c r="K147" i="3"/>
  <c r="J148" i="3"/>
  <c r="K148" i="3"/>
  <c r="K149" i="3"/>
  <c r="K150" i="3"/>
  <c r="K151" i="3"/>
  <c r="J152" i="3"/>
  <c r="J154" i="3"/>
  <c r="K154" i="3"/>
  <c r="K155" i="3"/>
  <c r="J156" i="3"/>
  <c r="J157" i="3"/>
  <c r="K157" i="3"/>
  <c r="J158" i="3"/>
  <c r="J159" i="3"/>
  <c r="I153" i="3"/>
  <c r="I154" i="3"/>
  <c r="I148" i="3"/>
  <c r="H141" i="3"/>
  <c r="H142" i="3"/>
  <c r="H143" i="3"/>
  <c r="H144" i="3"/>
  <c r="H145" i="3"/>
  <c r="H146" i="3"/>
  <c r="H147" i="3"/>
  <c r="H148" i="3"/>
  <c r="H149" i="3"/>
  <c r="H150" i="3"/>
  <c r="H151" i="3"/>
  <c r="H157" i="3"/>
  <c r="G143" i="3"/>
  <c r="G144" i="3"/>
  <c r="G145" i="3"/>
  <c r="G146" i="3"/>
  <c r="G148" i="3"/>
  <c r="G150" i="3"/>
  <c r="G152" i="3"/>
  <c r="G153" i="3"/>
  <c r="G154" i="3"/>
  <c r="G156" i="3"/>
  <c r="G157" i="3"/>
  <c r="G158" i="3"/>
  <c r="G159" i="3"/>
  <c r="C154" i="3"/>
  <c r="E154" i="3"/>
  <c r="E152" i="3"/>
  <c r="F152" i="3"/>
  <c r="F150" i="3"/>
  <c r="F147" i="3"/>
  <c r="E148" i="3"/>
  <c r="C147" i="3"/>
  <c r="C146" i="3"/>
  <c r="C145" i="3"/>
  <c r="E144" i="3"/>
  <c r="F144" i="3"/>
  <c r="B141" i="3"/>
  <c r="K124" i="3"/>
  <c r="K125" i="3"/>
  <c r="J126" i="3"/>
  <c r="K126" i="3"/>
  <c r="J127" i="3"/>
  <c r="K127" i="3"/>
  <c r="K128" i="3"/>
  <c r="K129" i="3"/>
  <c r="K130" i="3"/>
  <c r="K131" i="3"/>
  <c r="J132" i="3"/>
  <c r="J133" i="3"/>
  <c r="K134" i="3"/>
  <c r="K135" i="3"/>
  <c r="K136" i="3"/>
  <c r="K137" i="3"/>
  <c r="K138" i="3"/>
  <c r="J139" i="3"/>
  <c r="I134" i="3"/>
  <c r="I126" i="3"/>
  <c r="G139" i="3"/>
  <c r="H124" i="3"/>
  <c r="H125" i="3"/>
  <c r="H128" i="3"/>
  <c r="H129" i="3"/>
  <c r="H130" i="3"/>
  <c r="H134" i="3"/>
  <c r="H136" i="3"/>
  <c r="H137" i="3"/>
  <c r="H138" i="3"/>
  <c r="G131" i="3"/>
  <c r="G132" i="3"/>
  <c r="G133" i="3"/>
  <c r="G134" i="3"/>
  <c r="G135" i="3"/>
  <c r="G124" i="3"/>
  <c r="G125" i="3"/>
  <c r="G126" i="3"/>
  <c r="G127" i="3"/>
  <c r="C129" i="3"/>
  <c r="C131" i="3"/>
  <c r="F131" i="3"/>
  <c r="F133" i="3"/>
  <c r="F128" i="3"/>
  <c r="E126" i="3"/>
  <c r="B123" i="3"/>
  <c r="L113" i="3"/>
  <c r="M121" i="3"/>
  <c r="J113" i="3"/>
  <c r="H113" i="3"/>
  <c r="G120" i="3"/>
  <c r="G117" i="3"/>
  <c r="G114" i="3"/>
  <c r="F117" i="3"/>
  <c r="F120" i="3"/>
  <c r="E121" i="3"/>
  <c r="C114" i="3"/>
  <c r="C115" i="3"/>
  <c r="C118" i="3"/>
  <c r="B113" i="3"/>
  <c r="K101" i="3"/>
  <c r="K102" i="3"/>
  <c r="J103" i="3"/>
  <c r="K103" i="3"/>
  <c r="K105" i="3"/>
  <c r="J106" i="3"/>
  <c r="K106" i="3"/>
  <c r="K108" i="3"/>
  <c r="J109" i="3"/>
  <c r="K109" i="3"/>
  <c r="K111" i="3"/>
  <c r="K100" i="3"/>
  <c r="J95" i="3"/>
  <c r="J97" i="3"/>
  <c r="L94" i="3"/>
  <c r="J88" i="3"/>
  <c r="K88" i="3"/>
  <c r="K89" i="3"/>
  <c r="K90" i="3"/>
  <c r="K91" i="3"/>
  <c r="K92" i="3"/>
  <c r="K93" i="3"/>
  <c r="I88" i="3"/>
  <c r="I100" i="3"/>
  <c r="H88" i="3"/>
  <c r="H89" i="3"/>
  <c r="H90" i="3"/>
  <c r="H91" i="3"/>
  <c r="H93" i="3"/>
  <c r="H94" i="3"/>
  <c r="H100" i="3"/>
  <c r="H101" i="3"/>
  <c r="H102" i="3"/>
  <c r="H103" i="3"/>
  <c r="D92" i="3"/>
  <c r="G88" i="3"/>
  <c r="B87" i="3"/>
  <c r="I81" i="3"/>
  <c r="G85" i="3"/>
  <c r="G81" i="3"/>
  <c r="G82" i="3"/>
  <c r="G80" i="3"/>
  <c r="C80" i="3"/>
  <c r="G79" i="3"/>
  <c r="H77" i="3"/>
  <c r="H78" i="3"/>
  <c r="H81" i="3"/>
  <c r="H83" i="3"/>
  <c r="H84" i="3"/>
  <c r="G76" i="3"/>
  <c r="J75" i="3"/>
  <c r="K75" i="3"/>
  <c r="J72" i="3"/>
  <c r="J73" i="3"/>
  <c r="J74" i="3"/>
  <c r="I75" i="3"/>
  <c r="C74" i="3"/>
  <c r="G72" i="3"/>
  <c r="G73" i="3"/>
  <c r="G74" i="3"/>
  <c r="G75" i="3"/>
  <c r="H75" i="3"/>
  <c r="H71" i="3"/>
  <c r="B71" i="3"/>
  <c r="J68" i="3"/>
  <c r="J69" i="3"/>
  <c r="C68" i="3"/>
  <c r="C69" i="3"/>
  <c r="L67" i="3"/>
  <c r="H67" i="3"/>
  <c r="B67" i="3"/>
  <c r="M53" i="3"/>
  <c r="M54" i="3"/>
  <c r="M55" i="3"/>
  <c r="M56" i="3"/>
  <c r="M58" i="3"/>
  <c r="M59" i="3"/>
  <c r="M60" i="3"/>
  <c r="M61" i="3"/>
  <c r="M62" i="3"/>
  <c r="M63" i="3"/>
  <c r="H58" i="3"/>
  <c r="H59" i="3"/>
  <c r="H60" i="3"/>
  <c r="H61" i="3"/>
  <c r="C58" i="3"/>
  <c r="C59" i="3"/>
  <c r="C60" i="3"/>
  <c r="C61" i="3"/>
  <c r="C62" i="3"/>
  <c r="B57" i="3"/>
  <c r="C53" i="3"/>
  <c r="C54" i="3"/>
  <c r="C55" i="3"/>
  <c r="C56" i="3"/>
  <c r="B52" i="3"/>
  <c r="M46" i="3"/>
  <c r="M47" i="3"/>
  <c r="M49" i="3"/>
  <c r="M50" i="3"/>
  <c r="L45" i="3"/>
  <c r="J50" i="3"/>
  <c r="J48" i="3"/>
  <c r="J45" i="3"/>
  <c r="H45" i="3"/>
  <c r="H47" i="3"/>
  <c r="G49" i="3"/>
  <c r="C46" i="3"/>
  <c r="C47" i="3"/>
  <c r="B45" i="3"/>
  <c r="B44" i="3"/>
  <c r="H41" i="3"/>
  <c r="H42" i="3"/>
  <c r="H43" i="3"/>
  <c r="H31" i="3"/>
  <c r="H32" i="3"/>
  <c r="H33" i="3"/>
  <c r="H34" i="3"/>
  <c r="H35" i="3"/>
  <c r="H36" i="3"/>
  <c r="H37" i="3"/>
  <c r="H38" i="3"/>
  <c r="G38" i="3"/>
  <c r="G39" i="3"/>
  <c r="G41" i="3"/>
  <c r="G42" i="3"/>
  <c r="G43" i="3"/>
  <c r="G34" i="3"/>
  <c r="G35" i="3"/>
  <c r="G36" i="3"/>
  <c r="D35" i="3"/>
  <c r="C36" i="3"/>
  <c r="D36" i="3"/>
  <c r="F36" i="3"/>
  <c r="D37" i="3"/>
  <c r="M41" i="3"/>
  <c r="M42" i="3"/>
  <c r="M43" i="3"/>
  <c r="J39" i="3"/>
  <c r="L39" i="3"/>
  <c r="K14" i="3"/>
  <c r="K15" i="3"/>
  <c r="K16" i="3"/>
  <c r="K17" i="3"/>
  <c r="K18" i="3"/>
  <c r="K19" i="3"/>
  <c r="K20" i="3"/>
  <c r="K21" i="3"/>
  <c r="K22" i="3"/>
  <c r="K23" i="3"/>
  <c r="K24" i="3"/>
  <c r="K25" i="3"/>
  <c r="K26" i="3"/>
  <c r="K27" i="3"/>
  <c r="K28" i="3"/>
  <c r="K29" i="3"/>
  <c r="K30" i="3"/>
  <c r="K31" i="3"/>
  <c r="K32" i="3"/>
  <c r="K33" i="3"/>
  <c r="K34" i="3"/>
  <c r="K35" i="3"/>
  <c r="K36" i="3"/>
  <c r="K37" i="3"/>
  <c r="K38" i="3"/>
  <c r="G28" i="3"/>
  <c r="G29" i="3"/>
  <c r="G14" i="3"/>
  <c r="H14" i="3"/>
  <c r="G15" i="3"/>
  <c r="H15" i="3"/>
  <c r="G16" i="3"/>
  <c r="H16" i="3"/>
  <c r="G17" i="3"/>
  <c r="H17" i="3"/>
  <c r="G18" i="3"/>
  <c r="H18" i="3"/>
  <c r="G19" i="3"/>
  <c r="H19" i="3"/>
  <c r="G20" i="3"/>
  <c r="H20" i="3"/>
  <c r="G21" i="3"/>
  <c r="H21" i="3"/>
  <c r="G22" i="3"/>
  <c r="H22" i="3"/>
  <c r="G23" i="3"/>
  <c r="H23" i="3"/>
  <c r="G24" i="3"/>
  <c r="G25" i="3"/>
  <c r="H25" i="3"/>
  <c r="H26" i="3"/>
  <c r="H27" i="3"/>
  <c r="F25" i="3"/>
  <c r="F26" i="3"/>
  <c r="F27" i="3"/>
  <c r="F29" i="3"/>
  <c r="F30" i="3"/>
  <c r="C27" i="3"/>
  <c r="C28" i="3"/>
  <c r="B24" i="3"/>
  <c r="F24" i="3"/>
  <c r="F21" i="3"/>
  <c r="F22" i="3"/>
  <c r="F23" i="3"/>
  <c r="C21" i="3"/>
  <c r="C22" i="3"/>
  <c r="C20" i="3"/>
  <c r="D20" i="3"/>
  <c r="F20" i="3"/>
  <c r="B18" i="3"/>
  <c r="C17" i="3"/>
  <c r="B17" i="3"/>
  <c r="D18" i="3"/>
  <c r="D16" i="3"/>
  <c r="C15" i="3"/>
  <c r="B13" i="3"/>
  <c r="B8" i="3"/>
  <c r="L40" i="3" l="1"/>
  <c r="J40" i="3"/>
  <c r="I28" i="3"/>
  <c r="J14" i="3"/>
  <c r="J15" i="3"/>
  <c r="J16" i="3"/>
  <c r="J18" i="3"/>
  <c r="J19" i="3"/>
  <c r="J21" i="3"/>
  <c r="J23" i="3"/>
  <c r="J24" i="3"/>
  <c r="F40" i="3" s="1"/>
  <c r="J28" i="3"/>
  <c r="J34" i="3"/>
  <c r="J35" i="3"/>
  <c r="J36" i="3"/>
  <c r="H29" i="3"/>
  <c r="H28" i="3"/>
  <c r="I11" i="3"/>
  <c r="I10" i="3"/>
  <c r="I9" i="3"/>
  <c r="K5" i="3"/>
  <c r="J2" i="3"/>
  <c r="C6" i="3"/>
  <c r="C4" i="3"/>
  <c r="C2" i="3"/>
  <c r="A2" i="3"/>
  <c r="I265" i="3"/>
  <c r="B121" i="3"/>
  <c r="A121" i="3"/>
  <c r="C90" i="3"/>
  <c r="C89" i="3"/>
  <c r="J6" i="3"/>
  <c r="J4" i="3"/>
  <c r="O88" i="7" l="1"/>
  <c r="G50" i="7"/>
  <c r="R50" i="7" s="1"/>
  <c r="B8" i="7"/>
  <c r="O2" i="7"/>
  <c r="A2" i="7"/>
  <c r="R4" i="7"/>
  <c r="N6" i="7" s="1"/>
  <c r="N2" i="7"/>
  <c r="H10" i="7"/>
  <c r="I10" i="7"/>
  <c r="I9" i="7"/>
  <c r="O94" i="7" s="1"/>
  <c r="J2" i="7"/>
  <c r="K5" i="7"/>
  <c r="C6" i="7"/>
  <c r="C4" i="7"/>
  <c r="C2" i="7"/>
  <c r="A6" i="7"/>
  <c r="U7" i="7"/>
  <c r="T7" i="7"/>
  <c r="O7" i="7"/>
  <c r="U6" i="7"/>
  <c r="O89" i="7" l="1"/>
  <c r="S9" i="7"/>
  <c r="T89" i="7"/>
  <c r="N7" i="7"/>
  <c r="N14" i="7" s="1"/>
  <c r="N16" i="7"/>
  <c r="X15" i="7"/>
  <c r="S10" i="7"/>
  <c r="S11" i="7" s="1"/>
  <c r="O92" i="7"/>
  <c r="N8" i="7"/>
  <c r="K9" i="7"/>
  <c r="J10" i="7"/>
  <c r="R14" i="7"/>
  <c r="Y15" i="7"/>
  <c r="X16" i="7"/>
  <c r="F50" i="7"/>
  <c r="L91" i="7"/>
  <c r="U92" i="7"/>
  <c r="S8" i="7"/>
  <c r="R13" i="7"/>
  <c r="Y16" i="7"/>
  <c r="O93" i="7"/>
  <c r="N12" i="7"/>
  <c r="G9" i="7"/>
  <c r="X13" i="7"/>
  <c r="H50" i="7"/>
  <c r="L50" i="2"/>
  <c r="J2" i="2"/>
  <c r="K5" i="2"/>
  <c r="C6" i="2"/>
  <c r="C4" i="2"/>
  <c r="C2" i="2"/>
  <c r="A2" i="2"/>
  <c r="A6" i="2"/>
  <c r="G30" i="2"/>
  <c r="F30" i="2"/>
  <c r="M26" i="2"/>
  <c r="J26" i="2"/>
  <c r="M25" i="2"/>
  <c r="F53" i="2" s="1"/>
  <c r="J6" i="2"/>
  <c r="J4" i="2"/>
  <c r="G52" i="2" l="1"/>
  <c r="J20" i="2"/>
  <c r="F51" i="2" s="1"/>
  <c r="F52" i="2" s="1"/>
  <c r="G29" i="2"/>
  <c r="F29" i="2" s="1"/>
  <c r="N13" i="7"/>
  <c r="N15" i="7"/>
  <c r="I11" i="7"/>
  <c r="K11" i="7" s="1"/>
  <c r="W16" i="7"/>
  <c r="T88" i="7"/>
  <c r="L51" i="2"/>
  <c r="A2" i="6"/>
  <c r="U11" i="5"/>
  <c r="D507" i="5"/>
  <c r="D398" i="3" s="1"/>
  <c r="D505" i="5"/>
  <c r="D396" i="3" s="1"/>
  <c r="J503" i="5"/>
  <c r="J394" i="3" s="1"/>
  <c r="J474" i="5"/>
  <c r="J365" i="3" s="1"/>
  <c r="J428" i="5"/>
  <c r="J299" i="3" s="1"/>
  <c r="G428" i="5"/>
  <c r="G299" i="3" s="1"/>
  <c r="J427" i="5"/>
  <c r="J298" i="3" s="1"/>
  <c r="G427" i="5"/>
  <c r="G298" i="3" s="1"/>
  <c r="L426" i="5"/>
  <c r="L297" i="3" s="1"/>
  <c r="H426" i="5"/>
  <c r="H297" i="3" s="1"/>
  <c r="K424" i="5"/>
  <c r="K295" i="3" s="1"/>
  <c r="G424" i="5"/>
  <c r="G295" i="3" s="1"/>
  <c r="K423" i="5"/>
  <c r="K294" i="3" s="1"/>
  <c r="G423" i="5"/>
  <c r="G294" i="3" s="1"/>
  <c r="K421" i="5"/>
  <c r="K292" i="3" s="1"/>
  <c r="H421" i="5"/>
  <c r="H292" i="3" s="1"/>
  <c r="G421" i="5"/>
  <c r="G292" i="3" s="1"/>
  <c r="K420" i="5"/>
  <c r="K291" i="3" s="1"/>
  <c r="I420" i="5"/>
  <c r="H420" i="5"/>
  <c r="H291" i="3" s="1"/>
  <c r="K419" i="5"/>
  <c r="K290" i="3" s="1"/>
  <c r="I419" i="5"/>
  <c r="H419" i="5"/>
  <c r="H290" i="3" s="1"/>
  <c r="K418" i="5"/>
  <c r="K289" i="3" s="1"/>
  <c r="I418" i="5"/>
  <c r="H418" i="5"/>
  <c r="H289" i="3" s="1"/>
  <c r="K417" i="5"/>
  <c r="K288" i="3" s="1"/>
  <c r="G416" i="5"/>
  <c r="G287" i="3" s="1"/>
  <c r="K415" i="5"/>
  <c r="K286" i="3" s="1"/>
  <c r="I415" i="5"/>
  <c r="H415" i="5"/>
  <c r="H286" i="3" s="1"/>
  <c r="K414" i="5"/>
  <c r="K285" i="3" s="1"/>
  <c r="I414" i="5"/>
  <c r="H414" i="5"/>
  <c r="H285" i="3" s="1"/>
  <c r="G414" i="5"/>
  <c r="G285" i="3" s="1"/>
  <c r="K413" i="5"/>
  <c r="K284" i="3" s="1"/>
  <c r="I413" i="5"/>
  <c r="H413" i="5"/>
  <c r="H284" i="3" s="1"/>
  <c r="G413" i="5"/>
  <c r="G284" i="3" s="1"/>
  <c r="K412" i="5"/>
  <c r="K283" i="3" s="1"/>
  <c r="I412" i="5"/>
  <c r="H412" i="5"/>
  <c r="H283" i="3" s="1"/>
  <c r="G412" i="5"/>
  <c r="G283" i="3" s="1"/>
  <c r="K411" i="5"/>
  <c r="K282" i="3" s="1"/>
  <c r="I411" i="5"/>
  <c r="G411" i="5"/>
  <c r="G282" i="3" s="1"/>
  <c r="B410" i="5"/>
  <c r="B281" i="3" s="1"/>
  <c r="J396" i="5"/>
  <c r="J275" i="3" s="1"/>
  <c r="J395" i="5"/>
  <c r="S394" i="5"/>
  <c r="O394" i="5"/>
  <c r="J392" i="5"/>
  <c r="J271" i="3" s="1"/>
  <c r="H392" i="5"/>
  <c r="J383" i="5"/>
  <c r="J382" i="5"/>
  <c r="J261" i="3" s="1"/>
  <c r="T381" i="5"/>
  <c r="O371" i="5"/>
  <c r="I368" i="5"/>
  <c r="I248" i="3" s="1"/>
  <c r="AH366" i="5"/>
  <c r="AH368" i="5" s="1"/>
  <c r="Y366" i="5"/>
  <c r="Y368" i="5" s="1"/>
  <c r="X366" i="5"/>
  <c r="AA366" i="5" s="1"/>
  <c r="J365" i="5"/>
  <c r="AG363" i="5"/>
  <c r="AJ363" i="5" s="1"/>
  <c r="Y363" i="5"/>
  <c r="X363" i="5"/>
  <c r="AA363" i="5" s="1"/>
  <c r="O363" i="5"/>
  <c r="O360" i="5"/>
  <c r="J374" i="5"/>
  <c r="L331" i="5"/>
  <c r="L46" i="4" s="1"/>
  <c r="K331" i="5"/>
  <c r="K46" i="4" s="1"/>
  <c r="AZ330" i="5"/>
  <c r="AX330" i="5"/>
  <c r="AW330" i="5"/>
  <c r="AV330" i="5"/>
  <c r="AS330" i="5"/>
  <c r="AO330" i="5"/>
  <c r="AN330" i="5"/>
  <c r="AL330" i="5"/>
  <c r="AK330" i="5"/>
  <c r="AJ330" i="5"/>
  <c r="AI330" i="5"/>
  <c r="AH330" i="5"/>
  <c r="AG330" i="5"/>
  <c r="AF330" i="5"/>
  <c r="AE330" i="5"/>
  <c r="AD330" i="5"/>
  <c r="AC330" i="5"/>
  <c r="AB330" i="5"/>
  <c r="AA330" i="5"/>
  <c r="S330" i="5"/>
  <c r="N330" i="5"/>
  <c r="AZ329" i="5"/>
  <c r="AX329" i="5"/>
  <c r="AW329" i="5"/>
  <c r="AV329" i="5"/>
  <c r="AO329" i="5"/>
  <c r="AN329" i="5"/>
  <c r="AL329" i="5"/>
  <c r="AJ329" i="5"/>
  <c r="AI329" i="5"/>
  <c r="AH329" i="5"/>
  <c r="AG329" i="5"/>
  <c r="AF329" i="5"/>
  <c r="AE329" i="5"/>
  <c r="AD329" i="5"/>
  <c r="AC329" i="5"/>
  <c r="AA329" i="5"/>
  <c r="O329" i="5"/>
  <c r="AZ325" i="5"/>
  <c r="AX325" i="5"/>
  <c r="AW325" i="5"/>
  <c r="AV325" i="5"/>
  <c r="AO325" i="5"/>
  <c r="AN325" i="5"/>
  <c r="AL325" i="5"/>
  <c r="AJ325" i="5"/>
  <c r="AI325" i="5"/>
  <c r="AG325" i="5"/>
  <c r="AF325" i="5"/>
  <c r="AE325" i="5"/>
  <c r="AD325" i="5"/>
  <c r="AC325" i="5"/>
  <c r="AA325" i="5"/>
  <c r="N323" i="5"/>
  <c r="G323" i="5"/>
  <c r="G25" i="4" s="1"/>
  <c r="AZ322" i="5"/>
  <c r="AY322" i="5"/>
  <c r="AX322" i="5"/>
  <c r="AW322" i="5"/>
  <c r="AV322" i="5"/>
  <c r="AU322" i="5"/>
  <c r="AQ322" i="5"/>
  <c r="AP322" i="5"/>
  <c r="AO322" i="5"/>
  <c r="AN322" i="5"/>
  <c r="AM322" i="5"/>
  <c r="AL322" i="5"/>
  <c r="AK322" i="5"/>
  <c r="AJ322" i="5"/>
  <c r="AI322" i="5"/>
  <c r="AG322" i="5"/>
  <c r="AF322" i="5"/>
  <c r="AE322" i="5"/>
  <c r="AD322" i="5"/>
  <c r="AC322" i="5"/>
  <c r="AB322" i="5"/>
  <c r="AA322" i="5"/>
  <c r="K322" i="5"/>
  <c r="K24" i="4" s="1"/>
  <c r="AZ321" i="5"/>
  <c r="AX321" i="5"/>
  <c r="AW321" i="5"/>
  <c r="AV321" i="5"/>
  <c r="AO321" i="5"/>
  <c r="AN321" i="5"/>
  <c r="AL321" i="5"/>
  <c r="AJ321" i="5"/>
  <c r="AI321" i="5"/>
  <c r="AG321" i="5"/>
  <c r="AF321" i="5"/>
  <c r="AE321" i="5"/>
  <c r="AD321" i="5"/>
  <c r="AC321" i="5"/>
  <c r="AA321" i="5"/>
  <c r="K321" i="5"/>
  <c r="K23" i="4" s="1"/>
  <c r="AZ320" i="5"/>
  <c r="AY320" i="5"/>
  <c r="AX320" i="5"/>
  <c r="AW320" i="5"/>
  <c r="AV320" i="5"/>
  <c r="AU320" i="5"/>
  <c r="AT320" i="5"/>
  <c r="AS320" i="5"/>
  <c r="AR320" i="5"/>
  <c r="AQ320" i="5"/>
  <c r="AP320" i="5"/>
  <c r="AO320" i="5"/>
  <c r="AN320" i="5"/>
  <c r="AM320" i="5"/>
  <c r="AL320" i="5"/>
  <c r="AK320" i="5"/>
  <c r="AJ320" i="5"/>
  <c r="AI320" i="5"/>
  <c r="AH320" i="5"/>
  <c r="AG320" i="5"/>
  <c r="AF320" i="5"/>
  <c r="AE320" i="5"/>
  <c r="AD320" i="5"/>
  <c r="AC320" i="5"/>
  <c r="AB320" i="5"/>
  <c r="AA320" i="5"/>
  <c r="K320" i="5"/>
  <c r="K22" i="4" s="1"/>
  <c r="O319" i="5"/>
  <c r="K319" i="5"/>
  <c r="K21" i="4" s="1"/>
  <c r="J319" i="5"/>
  <c r="J21" i="4" s="1"/>
  <c r="I319" i="5"/>
  <c r="I21" i="4" s="1"/>
  <c r="H319" i="5"/>
  <c r="H21" i="4" s="1"/>
  <c r="G319" i="5"/>
  <c r="G21" i="4" s="1"/>
  <c r="E319" i="5"/>
  <c r="E21" i="4" s="1"/>
  <c r="Q318" i="5"/>
  <c r="P318" i="5"/>
  <c r="N318" i="5" s="1"/>
  <c r="K318" i="5"/>
  <c r="K20" i="4" s="1"/>
  <c r="F318" i="5"/>
  <c r="F20" i="4" s="1"/>
  <c r="C318" i="5"/>
  <c r="C20" i="4" s="1"/>
  <c r="K317" i="5"/>
  <c r="K19" i="4" s="1"/>
  <c r="C317" i="5"/>
  <c r="C19" i="4" s="1"/>
  <c r="AA316" i="5"/>
  <c r="AS323" i="5" s="1"/>
  <c r="K316" i="5"/>
  <c r="K18" i="4" s="1"/>
  <c r="G316" i="5"/>
  <c r="G18" i="4" s="1"/>
  <c r="C316" i="5"/>
  <c r="C18" i="4" s="1"/>
  <c r="K315" i="5"/>
  <c r="K17" i="4" s="1"/>
  <c r="G315" i="5"/>
  <c r="G17" i="4" s="1"/>
  <c r="F315" i="5"/>
  <c r="F17" i="4" s="1"/>
  <c r="AA312" i="5"/>
  <c r="P304" i="5"/>
  <c r="O304" i="5"/>
  <c r="P303" i="5"/>
  <c r="O303" i="5"/>
  <c r="F302" i="5"/>
  <c r="F40" i="4" s="1"/>
  <c r="G287" i="5"/>
  <c r="G351" i="3" s="1"/>
  <c r="G283" i="5"/>
  <c r="G347" i="3" s="1"/>
  <c r="G278" i="5"/>
  <c r="G342" i="3" s="1"/>
  <c r="G274" i="5"/>
  <c r="G338" i="3" s="1"/>
  <c r="AI270" i="5"/>
  <c r="O270" i="5"/>
  <c r="AH268" i="5"/>
  <c r="AH267" i="5"/>
  <c r="AC267" i="5"/>
  <c r="AD266" i="5"/>
  <c r="AI264" i="5"/>
  <c r="AI263" i="5"/>
  <c r="H259" i="5"/>
  <c r="H325" i="3" s="1"/>
  <c r="N258" i="5"/>
  <c r="J258" i="5"/>
  <c r="J324" i="3" s="1"/>
  <c r="AA256" i="5"/>
  <c r="AA259" i="5" s="1"/>
  <c r="AB259" i="5" s="1"/>
  <c r="T255" i="5"/>
  <c r="G253" i="5"/>
  <c r="T249" i="5"/>
  <c r="Z244" i="5"/>
  <c r="Z246" i="5" s="1"/>
  <c r="Y244" i="5"/>
  <c r="AB244" i="5" s="1"/>
  <c r="H242" i="5"/>
  <c r="H309" i="3" s="1"/>
  <c r="Z241" i="5"/>
  <c r="Y241" i="5"/>
  <c r="AB241" i="5" s="1"/>
  <c r="N241" i="5"/>
  <c r="J240" i="5"/>
  <c r="J307" i="3" s="1"/>
  <c r="J239" i="5"/>
  <c r="J306" i="3" s="1"/>
  <c r="N238" i="5"/>
  <c r="J238" i="5"/>
  <c r="J305" i="3" s="1"/>
  <c r="J235" i="5"/>
  <c r="J226" i="5"/>
  <c r="J226" i="3" s="1"/>
  <c r="G226" i="5"/>
  <c r="G226" i="3" s="1"/>
  <c r="G225" i="5"/>
  <c r="G225" i="3" s="1"/>
  <c r="N224" i="5"/>
  <c r="J223" i="5"/>
  <c r="J223" i="3" s="1"/>
  <c r="J222" i="5"/>
  <c r="J222" i="3" s="1"/>
  <c r="I222" i="5"/>
  <c r="I222" i="3" s="1"/>
  <c r="G222" i="5"/>
  <c r="G222" i="3" s="1"/>
  <c r="I213" i="5"/>
  <c r="I213" i="3" s="1"/>
  <c r="I212" i="5"/>
  <c r="I212" i="3" s="1"/>
  <c r="AK208" i="5"/>
  <c r="I204" i="5"/>
  <c r="I204" i="3" s="1"/>
  <c r="AS192" i="5"/>
  <c r="AK192" i="5"/>
  <c r="J190" i="5"/>
  <c r="J190" i="3" s="1"/>
  <c r="N187" i="5"/>
  <c r="Z181" i="5"/>
  <c r="N177" i="5"/>
  <c r="D177" i="5"/>
  <c r="D177" i="3" s="1"/>
  <c r="W176" i="5"/>
  <c r="U175" i="5" s="1"/>
  <c r="U176" i="5" s="1"/>
  <c r="W175" i="5"/>
  <c r="U173" i="5"/>
  <c r="D172" i="5"/>
  <c r="D172" i="3" s="1"/>
  <c r="Q171" i="5"/>
  <c r="S168" i="5"/>
  <c r="S166" i="5"/>
  <c r="Z164" i="5"/>
  <c r="Y164" i="5"/>
  <c r="F163" i="5"/>
  <c r="AF155" i="5"/>
  <c r="AF156" i="5" s="1"/>
  <c r="I155" i="5"/>
  <c r="I152" i="5"/>
  <c r="N150" i="5"/>
  <c r="O150" i="5" s="1"/>
  <c r="J150" i="5" s="1"/>
  <c r="J101" i="3" s="1"/>
  <c r="AV147" i="5"/>
  <c r="AI147" i="5"/>
  <c r="AV146" i="5"/>
  <c r="AV145" i="5"/>
  <c r="J145" i="5"/>
  <c r="J96" i="3" s="1"/>
  <c r="AV144" i="5"/>
  <c r="AI144" i="5"/>
  <c r="V144" i="5"/>
  <c r="AV143" i="5"/>
  <c r="T143" i="5"/>
  <c r="AV142" i="5"/>
  <c r="AV141" i="5"/>
  <c r="J141" i="5"/>
  <c r="J92" i="3" s="1"/>
  <c r="AV140" i="5"/>
  <c r="J140" i="5"/>
  <c r="J91" i="3" s="1"/>
  <c r="N137" i="5"/>
  <c r="P133" i="5"/>
  <c r="P134" i="5" s="1"/>
  <c r="N294" i="5"/>
  <c r="AF130" i="5"/>
  <c r="AF131" i="5" s="1"/>
  <c r="N130" i="5"/>
  <c r="V129" i="5"/>
  <c r="W128" i="5"/>
  <c r="V128" i="5"/>
  <c r="J128" i="5"/>
  <c r="J153" i="3" s="1"/>
  <c r="H128" i="5"/>
  <c r="H127" i="5" s="1"/>
  <c r="J125" i="5"/>
  <c r="BO123" i="5"/>
  <c r="BO133" i="5" s="1"/>
  <c r="AV122" i="5"/>
  <c r="AI122" i="5"/>
  <c r="P122" i="5"/>
  <c r="N122" i="5" s="1"/>
  <c r="AV121" i="5"/>
  <c r="G121" i="5"/>
  <c r="G147" i="3" s="1"/>
  <c r="BL120" i="5"/>
  <c r="AV120" i="5"/>
  <c r="F120" i="5"/>
  <c r="F146" i="3" s="1"/>
  <c r="D120" i="5"/>
  <c r="D146" i="3" s="1"/>
  <c r="AV119" i="5"/>
  <c r="AI119" i="5"/>
  <c r="AV118" i="5"/>
  <c r="AV117" i="5"/>
  <c r="F117" i="5"/>
  <c r="AV116" i="5"/>
  <c r="BK115" i="5"/>
  <c r="AV115" i="5"/>
  <c r="BK114" i="5"/>
  <c r="T114" i="5"/>
  <c r="S114" i="5"/>
  <c r="BH109" i="5"/>
  <c r="J109" i="5"/>
  <c r="J135" i="3" s="1"/>
  <c r="N108" i="5"/>
  <c r="J108" i="5"/>
  <c r="J134" i="3" s="1"/>
  <c r="T106" i="5"/>
  <c r="J104" i="5"/>
  <c r="BM103" i="5"/>
  <c r="BM133" i="5" s="1"/>
  <c r="AE100" i="5"/>
  <c r="BL100" i="5"/>
  <c r="N100" i="5"/>
  <c r="J99" i="5"/>
  <c r="J125" i="3" s="1"/>
  <c r="J98" i="5"/>
  <c r="N97" i="5"/>
  <c r="H97" i="5"/>
  <c r="BO93" i="5"/>
  <c r="BO103" i="5" s="1"/>
  <c r="AE91" i="5"/>
  <c r="BH90" i="5"/>
  <c r="BH120" i="5" s="1"/>
  <c r="BH130" i="5" s="1"/>
  <c r="F90" i="5"/>
  <c r="F116" i="3" s="1"/>
  <c r="F89" i="5"/>
  <c r="F115" i="3" s="1"/>
  <c r="T88" i="5"/>
  <c r="AE86" i="5"/>
  <c r="T85" i="5"/>
  <c r="BO81" i="5"/>
  <c r="AE81" i="5"/>
  <c r="N81" i="5"/>
  <c r="T80" i="5"/>
  <c r="BL78" i="5"/>
  <c r="AD75" i="5"/>
  <c r="T75" i="5"/>
  <c r="N75" i="5"/>
  <c r="O73" i="5" s="1"/>
  <c r="BK73" i="5"/>
  <c r="BK72" i="5"/>
  <c r="AD72" i="5"/>
  <c r="T70" i="5"/>
  <c r="AX68" i="5"/>
  <c r="BH67" i="5"/>
  <c r="Z66" i="5"/>
  <c r="Z65" i="5"/>
  <c r="O65" i="5"/>
  <c r="L63" i="3"/>
  <c r="L62" i="3"/>
  <c r="AY63" i="5"/>
  <c r="AY73" i="5" s="1"/>
  <c r="Z63" i="5"/>
  <c r="AY62" i="5"/>
  <c r="AY72" i="5" s="1"/>
  <c r="N62" i="5"/>
  <c r="BM61" i="5"/>
  <c r="BM71" i="5" s="1"/>
  <c r="BA61" i="5"/>
  <c r="BA71" i="5" s="1"/>
  <c r="AE60" i="5"/>
  <c r="N60" i="5"/>
  <c r="AF59" i="5"/>
  <c r="AD59" i="5"/>
  <c r="BL58" i="5"/>
  <c r="AZ58" i="5"/>
  <c r="AY58" i="5"/>
  <c r="AX58" i="5"/>
  <c r="AQ57" i="5"/>
  <c r="AQ56" i="5"/>
  <c r="AQ55" i="5"/>
  <c r="Y55" i="5"/>
  <c r="BR53" i="5"/>
  <c r="BF53" i="5"/>
  <c r="AQ53" i="5"/>
  <c r="AQ52" i="5"/>
  <c r="BO51" i="5"/>
  <c r="BO61" i="5" s="1"/>
  <c r="BO71" i="5" s="1"/>
  <c r="BC51" i="5"/>
  <c r="BC61" i="5" s="1"/>
  <c r="AQ51" i="5"/>
  <c r="AP51" i="5"/>
  <c r="AP56" i="5" s="1"/>
  <c r="Y51" i="5"/>
  <c r="Y56" i="5" s="1"/>
  <c r="BH48" i="5"/>
  <c r="BH58" i="5" s="1"/>
  <c r="AX48" i="5"/>
  <c r="AQ47" i="5"/>
  <c r="AQ46" i="5"/>
  <c r="AQ45" i="5"/>
  <c r="U43" i="5"/>
  <c r="T43" i="5"/>
  <c r="N45" i="5"/>
  <c r="AQ44" i="5"/>
  <c r="AQ43" i="5"/>
  <c r="P43" i="5"/>
  <c r="AQ42" i="5"/>
  <c r="L42" i="3"/>
  <c r="AQ41" i="5"/>
  <c r="AQ40" i="5"/>
  <c r="O40" i="5"/>
  <c r="N40" i="5"/>
  <c r="F40" i="5"/>
  <c r="AQ39" i="5"/>
  <c r="AQ38" i="5"/>
  <c r="AQ37" i="5"/>
  <c r="CC36" i="5"/>
  <c r="BW36" i="5"/>
  <c r="AQ36" i="5"/>
  <c r="CM35" i="5"/>
  <c r="CC34" i="5"/>
  <c r="BW34" i="5"/>
  <c r="CC33" i="5"/>
  <c r="BW33" i="5"/>
  <c r="AF31" i="5"/>
  <c r="AL42" i="5" s="1"/>
  <c r="AF30" i="5"/>
  <c r="AF29" i="5"/>
  <c r="AD42" i="5" s="1"/>
  <c r="I29" i="5"/>
  <c r="H30" i="5" s="1"/>
  <c r="H30" i="3" s="1"/>
  <c r="J29" i="5"/>
  <c r="CL27" i="5"/>
  <c r="CM29" i="5" s="1"/>
  <c r="X23" i="5"/>
  <c r="N23" i="5"/>
  <c r="N27" i="5" s="1"/>
  <c r="CL21" i="5"/>
  <c r="CM23" i="5" s="1"/>
  <c r="AI21" i="5"/>
  <c r="X21" i="5"/>
  <c r="BK61" i="5"/>
  <c r="CL20" i="5"/>
  <c r="CM20" i="5" s="1"/>
  <c r="BC20" i="5"/>
  <c r="AX20" i="5"/>
  <c r="CM19" i="5"/>
  <c r="CB19" i="5"/>
  <c r="CB30" i="5" s="1"/>
  <c r="BV19" i="5"/>
  <c r="BV30" i="5" s="1"/>
  <c r="BK81" i="5"/>
  <c r="AW18" i="5"/>
  <c r="CA17" i="5"/>
  <c r="CB17" i="5" s="1"/>
  <c r="BB15" i="5"/>
  <c r="BF15" i="5" s="1"/>
  <c r="N19" i="5"/>
  <c r="N58" i="5" s="1"/>
  <c r="CM14" i="5"/>
  <c r="AW13" i="5"/>
  <c r="AU13" i="5" s="1"/>
  <c r="CA12" i="5"/>
  <c r="CC12" i="5" s="1"/>
  <c r="G12" i="5"/>
  <c r="G12" i="3" s="1"/>
  <c r="CA9" i="5"/>
  <c r="BU9" i="5"/>
  <c r="BW9" i="5" s="1"/>
  <c r="BL8" i="5"/>
  <c r="BK8" i="5"/>
  <c r="O8" i="5"/>
  <c r="AN6" i="5"/>
  <c r="AH6" i="5"/>
  <c r="AE6" i="5"/>
  <c r="J6" i="5"/>
  <c r="J6" i="7" s="1"/>
  <c r="AN5" i="5"/>
  <c r="AN4" i="5"/>
  <c r="AH4" i="5"/>
  <c r="J4" i="5"/>
  <c r="J4" i="7" s="1"/>
  <c r="AN2" i="5"/>
  <c r="AH2" i="5"/>
  <c r="T2" i="5"/>
  <c r="G504" i="5" l="1"/>
  <c r="G395" i="3" s="1"/>
  <c r="N11" i="5"/>
  <c r="G11" i="5"/>
  <c r="R318" i="5"/>
  <c r="O122" i="5"/>
  <c r="J123" i="5" s="1"/>
  <c r="J149" i="3" s="1"/>
  <c r="O108" i="5"/>
  <c r="J110" i="5" s="1"/>
  <c r="J136" i="3" s="1"/>
  <c r="O187" i="5"/>
  <c r="J188" i="5" s="1"/>
  <c r="J188" i="3" s="1"/>
  <c r="O83" i="5"/>
  <c r="J83" i="5" s="1"/>
  <c r="J83" i="3" s="1"/>
  <c r="O100" i="5"/>
  <c r="J102" i="5" s="1"/>
  <c r="J128" i="3" s="1"/>
  <c r="F92" i="5"/>
  <c r="F118" i="3" s="1"/>
  <c r="AC241" i="5"/>
  <c r="AC259" i="5"/>
  <c r="AG366" i="5"/>
  <c r="AJ366" i="5" s="1"/>
  <c r="AC244" i="5"/>
  <c r="AD323" i="5"/>
  <c r="AD324" i="5" s="1"/>
  <c r="AZ323" i="5"/>
  <c r="AZ324" i="5" s="1"/>
  <c r="N204" i="5"/>
  <c r="O204" i="5" s="1"/>
  <c r="J205" i="5" s="1"/>
  <c r="J205" i="3" s="1"/>
  <c r="N214" i="5"/>
  <c r="O214" i="5" s="1"/>
  <c r="J214" i="5" s="1"/>
  <c r="J214" i="3" s="1"/>
  <c r="AL323" i="5"/>
  <c r="P360" i="5"/>
  <c r="J360" i="5" s="1"/>
  <c r="J240" i="3" s="1"/>
  <c r="J130" i="5"/>
  <c r="J155" i="3" s="1"/>
  <c r="I158" i="5"/>
  <c r="I106" i="3"/>
  <c r="I103" i="3"/>
  <c r="I109" i="3"/>
  <c r="I225" i="5"/>
  <c r="I225" i="3" s="1"/>
  <c r="AV323" i="5"/>
  <c r="AM323" i="5"/>
  <c r="AM324" i="5" s="1"/>
  <c r="AQ323" i="5"/>
  <c r="AQ324" i="5" s="1"/>
  <c r="AR323" i="5"/>
  <c r="AR324" i="5" s="1"/>
  <c r="BH78" i="5"/>
  <c r="O89" i="5"/>
  <c r="BM113" i="5"/>
  <c r="AB256" i="5"/>
  <c r="AC256" i="5" s="1"/>
  <c r="AA323" i="5"/>
  <c r="AW323" i="5"/>
  <c r="AW324" i="5" s="1"/>
  <c r="AJ323" i="5"/>
  <c r="AJ324" i="5" s="1"/>
  <c r="AU323" i="5"/>
  <c r="AY323" i="5"/>
  <c r="AY324" i="5" s="1"/>
  <c r="AB323" i="5"/>
  <c r="AB324" i="5" s="1"/>
  <c r="AT323" i="5"/>
  <c r="H50" i="5"/>
  <c r="H49" i="3" s="1"/>
  <c r="G10" i="5"/>
  <c r="G10" i="3" s="1"/>
  <c r="F50" i="5"/>
  <c r="X13" i="5"/>
  <c r="L91" i="5"/>
  <c r="L117" i="3" s="1"/>
  <c r="O93" i="5"/>
  <c r="O92" i="5"/>
  <c r="O94" i="5"/>
  <c r="R13" i="5"/>
  <c r="R14" i="5"/>
  <c r="H10" i="3"/>
  <c r="T2" i="7"/>
  <c r="O128" i="5"/>
  <c r="H153" i="3"/>
  <c r="K9" i="5"/>
  <c r="O23" i="5"/>
  <c r="J30" i="5" s="1"/>
  <c r="J30" i="3" s="1"/>
  <c r="F93" i="5"/>
  <c r="F119" i="3" s="1"/>
  <c r="H130" i="5"/>
  <c r="H155" i="3" s="1"/>
  <c r="J254" i="5"/>
  <c r="J257" i="5"/>
  <c r="J323" i="3" s="1"/>
  <c r="AC323" i="5"/>
  <c r="AG323" i="5"/>
  <c r="AX323" i="5"/>
  <c r="AX324" i="5" s="1"/>
  <c r="J413" i="5"/>
  <c r="J284" i="3" s="1"/>
  <c r="J262" i="3"/>
  <c r="N7" i="5"/>
  <c r="X16" i="5" s="1"/>
  <c r="J25" i="5"/>
  <c r="J384" i="5" s="1"/>
  <c r="J263" i="3" s="1"/>
  <c r="I386" i="5"/>
  <c r="I29" i="3"/>
  <c r="BH68" i="5"/>
  <c r="V109" i="5"/>
  <c r="T108" i="5" s="1"/>
  <c r="T109" i="5" s="1"/>
  <c r="U109" i="5" s="1"/>
  <c r="J124" i="3"/>
  <c r="V107" i="5"/>
  <c r="J130" i="3"/>
  <c r="V252" i="5"/>
  <c r="T251" i="5" s="1"/>
  <c r="T252" i="5" s="1"/>
  <c r="J302" i="3"/>
  <c r="AP323" i="5"/>
  <c r="AP324" i="5" s="1"/>
  <c r="G393" i="5"/>
  <c r="G272" i="3" s="1"/>
  <c r="H271" i="3"/>
  <c r="AB396" i="5"/>
  <c r="AD396" i="5" s="1"/>
  <c r="J274" i="3"/>
  <c r="J423" i="5"/>
  <c r="J294" i="3" s="1"/>
  <c r="N8" i="5"/>
  <c r="N13" i="5" s="1"/>
  <c r="AH363" i="5"/>
  <c r="J245" i="3"/>
  <c r="K374" i="5"/>
  <c r="J254" i="3"/>
  <c r="J225" i="5"/>
  <c r="J225" i="3" s="1"/>
  <c r="J204" i="3"/>
  <c r="N172" i="5"/>
  <c r="Q172" i="5" s="1"/>
  <c r="AA181" i="5"/>
  <c r="J322" i="5"/>
  <c r="J24" i="4" s="1"/>
  <c r="J151" i="3"/>
  <c r="V145" i="5"/>
  <c r="CM21" i="5"/>
  <c r="CM26" i="5"/>
  <c r="G40" i="5"/>
  <c r="G40" i="3" s="1"/>
  <c r="CM22" i="5"/>
  <c r="CM24" i="5"/>
  <c r="CM34" i="5"/>
  <c r="CM25" i="5"/>
  <c r="CM33" i="5"/>
  <c r="BC15" i="5"/>
  <c r="BD15" i="5"/>
  <c r="J29" i="3"/>
  <c r="N9" i="5"/>
  <c r="A174" i="5" s="1"/>
  <c r="A174" i="3" s="1"/>
  <c r="N10" i="7"/>
  <c r="N11" i="7" s="1"/>
  <c r="Y91" i="7" s="1"/>
  <c r="U91" i="7" s="1"/>
  <c r="AD148" i="5"/>
  <c r="AJ140" i="5" s="1"/>
  <c r="L41" i="3"/>
  <c r="J386" i="5"/>
  <c r="J265" i="3" s="1"/>
  <c r="J33" i="5"/>
  <c r="J33" i="3" s="1"/>
  <c r="J213" i="5"/>
  <c r="J213" i="3" s="1"/>
  <c r="BB16" i="5"/>
  <c r="L43" i="5"/>
  <c r="L43" i="3" s="1"/>
  <c r="G9" i="5"/>
  <c r="G9" i="3" s="1"/>
  <c r="CB9" i="5"/>
  <c r="CB12" i="5"/>
  <c r="AX13" i="5"/>
  <c r="AB42" i="5"/>
  <c r="AE42" i="5"/>
  <c r="AA42" i="5"/>
  <c r="M40" i="5"/>
  <c r="J42" i="3"/>
  <c r="AK42" i="5"/>
  <c r="D317" i="5"/>
  <c r="J118" i="5"/>
  <c r="J144" i="3" s="1"/>
  <c r="J320" i="5"/>
  <c r="J22" i="4" s="1"/>
  <c r="AX51" i="5"/>
  <c r="AU18" i="5"/>
  <c r="AY61" i="5"/>
  <c r="R331" i="5"/>
  <c r="A46" i="5"/>
  <c r="A46" i="7" s="1"/>
  <c r="AH8" i="5"/>
  <c r="H9" i="5"/>
  <c r="H9" i="3" s="1"/>
  <c r="BV9" i="5"/>
  <c r="CC9" i="5"/>
  <c r="G11" i="3"/>
  <c r="N12" i="5"/>
  <c r="AY13" i="5"/>
  <c r="BB14" i="5"/>
  <c r="J17" i="5"/>
  <c r="J17" i="3" s="1"/>
  <c r="AY18" i="5"/>
  <c r="AG21" i="5"/>
  <c r="CM30" i="5"/>
  <c r="CM32" i="5"/>
  <c r="CM31" i="5"/>
  <c r="CM27" i="5"/>
  <c r="M36" i="5"/>
  <c r="P305" i="5"/>
  <c r="P306" i="5" s="1"/>
  <c r="AF148" i="5"/>
  <c r="AC254" i="5"/>
  <c r="AC255" i="5" s="1"/>
  <c r="J27" i="5"/>
  <c r="J387" i="5"/>
  <c r="J266" i="3" s="1"/>
  <c r="I387" i="5"/>
  <c r="H386" i="5"/>
  <c r="H265" i="3" s="1"/>
  <c r="H387" i="5"/>
  <c r="H266" i="3" s="1"/>
  <c r="G387" i="5"/>
  <c r="G266" i="3" s="1"/>
  <c r="N292" i="5"/>
  <c r="AC257" i="5"/>
  <c r="AD380" i="5"/>
  <c r="AD390" i="5" s="1"/>
  <c r="J212" i="5"/>
  <c r="K387" i="5"/>
  <c r="K266" i="3" s="1"/>
  <c r="P173" i="5"/>
  <c r="S173" i="5" s="1"/>
  <c r="J32" i="5"/>
  <c r="J32" i="3" s="1"/>
  <c r="K10" i="5"/>
  <c r="K11" i="5"/>
  <c r="AX18" i="5"/>
  <c r="H11" i="5"/>
  <c r="AW14" i="5"/>
  <c r="BJ123" i="5"/>
  <c r="BJ93" i="5"/>
  <c r="CC17" i="5"/>
  <c r="N18" i="5"/>
  <c r="W25" i="5" s="1"/>
  <c r="Y24" i="5" s="1"/>
  <c r="Z20" i="5" s="1"/>
  <c r="Z21" i="5" s="1"/>
  <c r="BL47" i="5" s="1"/>
  <c r="BL89" i="5" s="1"/>
  <c r="BK93" i="5" s="1"/>
  <c r="BK113" i="5" s="1"/>
  <c r="BB20" i="5"/>
  <c r="BU19" i="5"/>
  <c r="CA19" i="5"/>
  <c r="AW20" i="5"/>
  <c r="AY46" i="5" s="1"/>
  <c r="CM28" i="5"/>
  <c r="AN42" i="5"/>
  <c r="AJ42" i="5"/>
  <c r="AM42" i="5"/>
  <c r="U280" i="5"/>
  <c r="J236" i="5"/>
  <c r="J303" i="3" s="1"/>
  <c r="G90" i="3"/>
  <c r="V94" i="5"/>
  <c r="AE72" i="5"/>
  <c r="H54" i="3"/>
  <c r="H53" i="3"/>
  <c r="O35" i="5"/>
  <c r="G89" i="3"/>
  <c r="M34" i="5"/>
  <c r="J41" i="3"/>
  <c r="AC42" i="5"/>
  <c r="O44" i="5"/>
  <c r="BC71" i="5"/>
  <c r="BO113" i="5"/>
  <c r="J112" i="5"/>
  <c r="Q132" i="5"/>
  <c r="R133" i="5"/>
  <c r="P132" i="5"/>
  <c r="R132" i="5" s="1"/>
  <c r="R134" i="5" s="1"/>
  <c r="N95" i="5"/>
  <c r="Q96" i="5" s="1"/>
  <c r="B95" i="5"/>
  <c r="U281" i="5"/>
  <c r="W94" i="5"/>
  <c r="AE75" i="5"/>
  <c r="K128" i="5"/>
  <c r="K153" i="3" s="1"/>
  <c r="J166" i="5"/>
  <c r="J166" i="3" s="1"/>
  <c r="H241" i="5"/>
  <c r="H308" i="3" s="1"/>
  <c r="H212" i="5"/>
  <c r="H212" i="3" s="1"/>
  <c r="I417" i="5"/>
  <c r="I288" i="3" s="1"/>
  <c r="S391" i="5"/>
  <c r="T391" i="5" s="1"/>
  <c r="U282" i="5"/>
  <c r="X94" i="5"/>
  <c r="J38" i="5"/>
  <c r="J38" i="3" s="1"/>
  <c r="H55" i="3"/>
  <c r="H56" i="3"/>
  <c r="J77" i="5"/>
  <c r="J77" i="3" s="1"/>
  <c r="BK103" i="5"/>
  <c r="BK133" i="5" s="1"/>
  <c r="BH100" i="5"/>
  <c r="BH110" i="5"/>
  <c r="D506" i="5"/>
  <c r="D397" i="3" s="1"/>
  <c r="N319" i="5"/>
  <c r="Q397" i="5"/>
  <c r="J412" i="5"/>
  <c r="J283" i="3" s="1"/>
  <c r="V384" i="5"/>
  <c r="T383" i="5" s="1"/>
  <c r="T384" i="5" s="1"/>
  <c r="H222" i="5"/>
  <c r="H222" i="3" s="1"/>
  <c r="H204" i="3"/>
  <c r="AH365" i="5"/>
  <c r="O241" i="5"/>
  <c r="AN323" i="5"/>
  <c r="AN324" i="5" s="1"/>
  <c r="J424" i="5"/>
  <c r="J295" i="3" s="1"/>
  <c r="L397" i="5"/>
  <c r="G397" i="5"/>
  <c r="K397" i="5"/>
  <c r="H399" i="5"/>
  <c r="H278" i="3" s="1"/>
  <c r="J397" i="5"/>
  <c r="H397" i="5"/>
  <c r="M397" i="5"/>
  <c r="O137" i="5"/>
  <c r="J138" i="5" s="1"/>
  <c r="J89" i="3" s="1"/>
  <c r="AK366" i="5"/>
  <c r="AC258" i="5"/>
  <c r="AU324" i="5"/>
  <c r="AI324" i="5"/>
  <c r="AA324" i="5"/>
  <c r="AS324" i="5"/>
  <c r="AG324" i="5"/>
  <c r="AC324" i="5"/>
  <c r="AI323" i="5"/>
  <c r="AO323" i="5"/>
  <c r="AO324" i="5" s="1"/>
  <c r="AK323" i="5"/>
  <c r="AK324" i="5" s="1"/>
  <c r="O102" i="5" s="1"/>
  <c r="AF323" i="5"/>
  <c r="AF324" i="5" s="1"/>
  <c r="AL324" i="5"/>
  <c r="AT324" i="5"/>
  <c r="P363" i="5"/>
  <c r="J366" i="5" s="1"/>
  <c r="J246" i="3" s="1"/>
  <c r="O258" i="5"/>
  <c r="AE323" i="5"/>
  <c r="AE324" i="5" s="1"/>
  <c r="AH323" i="5"/>
  <c r="AH324" i="5" s="1"/>
  <c r="AV324" i="5"/>
  <c r="AB363" i="5"/>
  <c r="J393" i="5"/>
  <c r="J272" i="3" s="1"/>
  <c r="J340" i="5"/>
  <c r="J55" i="4" s="1"/>
  <c r="J339" i="5"/>
  <c r="P371" i="5"/>
  <c r="J375" i="5" s="1"/>
  <c r="J255" i="3" s="1"/>
  <c r="H365" i="5"/>
  <c r="J363" i="5"/>
  <c r="J243" i="3" s="1"/>
  <c r="AK363" i="5"/>
  <c r="AB366" i="5"/>
  <c r="Q395" i="5"/>
  <c r="Y365" i="5"/>
  <c r="V383" i="5"/>
  <c r="AB395" i="5"/>
  <c r="AD395" i="5" s="1"/>
  <c r="V176" i="5" l="1"/>
  <c r="BU6" i="5"/>
  <c r="J167" i="5"/>
  <c r="J167" i="3" s="1"/>
  <c r="J292" i="5"/>
  <c r="J30" i="4" s="1"/>
  <c r="O328" i="5"/>
  <c r="L334" i="5" s="1"/>
  <c r="L49" i="4" s="1"/>
  <c r="O27" i="5"/>
  <c r="J20" i="5"/>
  <c r="J20" i="3" s="1"/>
  <c r="N386" i="5"/>
  <c r="J293" i="5"/>
  <c r="J31" i="4" s="1"/>
  <c r="AF254" i="5"/>
  <c r="J26" i="5"/>
  <c r="J26" i="3" s="1"/>
  <c r="U108" i="5"/>
  <c r="H107" i="5" s="1"/>
  <c r="H133" i="3" s="1"/>
  <c r="J25" i="3"/>
  <c r="AW12" i="5"/>
  <c r="CA6" i="5"/>
  <c r="AY12" i="5"/>
  <c r="X15" i="5"/>
  <c r="N14" i="5"/>
  <c r="AB384" i="5" s="1"/>
  <c r="AD384" i="5" s="1"/>
  <c r="J425" i="5"/>
  <c r="J296" i="3" s="1"/>
  <c r="J276" i="3"/>
  <c r="H88" i="5"/>
  <c r="H114" i="3" s="1"/>
  <c r="J27" i="3"/>
  <c r="V258" i="5"/>
  <c r="T257" i="5" s="1"/>
  <c r="T258" i="5" s="1"/>
  <c r="J320" i="3"/>
  <c r="J9" i="5"/>
  <c r="K9" i="3"/>
  <c r="Y15" i="5"/>
  <c r="N15" i="5"/>
  <c r="AX326" i="5" s="1"/>
  <c r="AX328" i="5" s="1"/>
  <c r="L110" i="5"/>
  <c r="J138" i="3"/>
  <c r="L136" i="3" s="1"/>
  <c r="J10" i="5"/>
  <c r="K10" i="3"/>
  <c r="H425" i="5"/>
  <c r="H296" i="3" s="1"/>
  <c r="H276" i="3"/>
  <c r="AL175" i="5"/>
  <c r="Y16" i="5"/>
  <c r="N16" i="5"/>
  <c r="L345" i="5" s="1"/>
  <c r="L60" i="4" s="1"/>
  <c r="U384" i="5"/>
  <c r="G425" i="5"/>
  <c r="G296" i="3" s="1"/>
  <c r="G276" i="3"/>
  <c r="AC266" i="5"/>
  <c r="J11" i="5"/>
  <c r="K11" i="3"/>
  <c r="J369" i="5"/>
  <c r="J249" i="3" s="1"/>
  <c r="H245" i="3"/>
  <c r="N374" i="5"/>
  <c r="K254" i="3"/>
  <c r="J315" i="5"/>
  <c r="D19" i="4"/>
  <c r="W181" i="5"/>
  <c r="J212" i="3"/>
  <c r="J390" i="5"/>
  <c r="J269" i="3" s="1"/>
  <c r="K425" i="5"/>
  <c r="K296" i="3" s="1"/>
  <c r="K276" i="3"/>
  <c r="N397" i="5"/>
  <c r="M276" i="3"/>
  <c r="L425" i="5"/>
  <c r="L296" i="3" s="1"/>
  <c r="L276" i="3"/>
  <c r="J341" i="5"/>
  <c r="J56" i="4" s="1"/>
  <c r="J54" i="4"/>
  <c r="BK51" i="5"/>
  <c r="BK71" i="5" s="1"/>
  <c r="AH270" i="5"/>
  <c r="L133" i="5"/>
  <c r="L158" i="3" s="1"/>
  <c r="AE326" i="5"/>
  <c r="AE327" i="5" s="1"/>
  <c r="J189" i="5"/>
  <c r="J189" i="3" s="1"/>
  <c r="J259" i="5"/>
  <c r="O25" i="5"/>
  <c r="O29" i="5" s="1"/>
  <c r="R276" i="5"/>
  <c r="BD20" i="5"/>
  <c r="BF20" i="5"/>
  <c r="AW23" i="5"/>
  <c r="L88" i="5"/>
  <c r="CA13" i="5"/>
  <c r="O305" i="5"/>
  <c r="O306" i="5" s="1"/>
  <c r="A299" i="5" s="1"/>
  <c r="A37" i="4" s="1"/>
  <c r="AF123" i="5"/>
  <c r="F42" i="5"/>
  <c r="F42" i="3" s="1"/>
  <c r="N44" i="5"/>
  <c r="AI20" i="5"/>
  <c r="U383" i="5"/>
  <c r="H400" i="5" s="1"/>
  <c r="H279" i="3" s="1"/>
  <c r="N393" i="5"/>
  <c r="Z243" i="5"/>
  <c r="O243" i="5"/>
  <c r="H225" i="5"/>
  <c r="H225" i="3" s="1"/>
  <c r="J207" i="5"/>
  <c r="J207" i="3" s="1"/>
  <c r="S276" i="5"/>
  <c r="R277" i="5"/>
  <c r="AW19" i="5"/>
  <c r="BU18" i="5"/>
  <c r="BU28" i="5" s="1"/>
  <c r="BB19" i="5"/>
  <c r="J22" i="5"/>
  <c r="CA18" i="5"/>
  <c r="CA28" i="5" s="1"/>
  <c r="AC271" i="5"/>
  <c r="AC261" i="5"/>
  <c r="H417" i="5"/>
  <c r="H288" i="3" s="1"/>
  <c r="J391" i="5"/>
  <c r="AD264" i="5"/>
  <c r="AC264" i="5" s="1"/>
  <c r="AZ326" i="5"/>
  <c r="AM326" i="5"/>
  <c r="AQ326" i="5"/>
  <c r="H274" i="5"/>
  <c r="H338" i="3" s="1"/>
  <c r="AL185" i="5"/>
  <c r="W16" i="5"/>
  <c r="AJ144" i="5"/>
  <c r="AK140" i="5"/>
  <c r="AX61" i="5"/>
  <c r="Y181" i="5"/>
  <c r="N213" i="5"/>
  <c r="S277" i="5"/>
  <c r="H427" i="5"/>
  <c r="H298" i="3" s="1"/>
  <c r="O139" i="5"/>
  <c r="O260" i="5"/>
  <c r="U284" i="5"/>
  <c r="AS166" i="5"/>
  <c r="AO166" i="5"/>
  <c r="BB21" i="5"/>
  <c r="BG8" i="5"/>
  <c r="AW21" i="5"/>
  <c r="AH12" i="5"/>
  <c r="AG14" i="5" s="1"/>
  <c r="J37" i="5"/>
  <c r="J37" i="3" s="1"/>
  <c r="BU14" i="5"/>
  <c r="BK10" i="5"/>
  <c r="AM22" i="5"/>
  <c r="CA14" i="5"/>
  <c r="AM16" i="5"/>
  <c r="J388" i="5"/>
  <c r="H258" i="5"/>
  <c r="J244" i="5"/>
  <c r="J311" i="3" s="1"/>
  <c r="AR175" i="5"/>
  <c r="BJ95" i="5"/>
  <c r="BJ125" i="5"/>
  <c r="AX53" i="5"/>
  <c r="AX63" i="5" s="1"/>
  <c r="AX73" i="5" s="1"/>
  <c r="AD123" i="5"/>
  <c r="J43" i="5"/>
  <c r="J43" i="3" s="1"/>
  <c r="AG20" i="5"/>
  <c r="J255" i="5"/>
  <c r="J321" i="3" s="1"/>
  <c r="V251" i="5"/>
  <c r="U252" i="5" s="1"/>
  <c r="V257" i="5"/>
  <c r="U258" i="5" s="1"/>
  <c r="BK123" i="5"/>
  <c r="BP123" i="5" s="1"/>
  <c r="CC19" i="5"/>
  <c r="CA30" i="5"/>
  <c r="AX14" i="5"/>
  <c r="AU14" i="5"/>
  <c r="AY14" i="5"/>
  <c r="X361" i="5"/>
  <c r="J370" i="5"/>
  <c r="J250" i="3" s="1"/>
  <c r="AG361" i="5"/>
  <c r="J263" i="5"/>
  <c r="J329" i="3" s="1"/>
  <c r="Y239" i="5"/>
  <c r="J168" i="5"/>
  <c r="J246" i="5"/>
  <c r="J313" i="3" s="1"/>
  <c r="J105" i="5"/>
  <c r="J131" i="3" s="1"/>
  <c r="N291" i="5"/>
  <c r="AD265" i="5"/>
  <c r="AC265" i="5" s="1"/>
  <c r="E170" i="5"/>
  <c r="E170" i="3" s="1"/>
  <c r="A393" i="5"/>
  <c r="A272" i="3" s="1"/>
  <c r="F199" i="5"/>
  <c r="F199" i="3" s="1"/>
  <c r="P167" i="5"/>
  <c r="P174" i="5"/>
  <c r="BU11" i="5"/>
  <c r="Q11" i="5"/>
  <c r="T91" i="5" s="1"/>
  <c r="CA11" i="5"/>
  <c r="J414" i="5"/>
  <c r="J285" i="3" s="1"/>
  <c r="J385" i="5"/>
  <c r="BC14" i="5"/>
  <c r="BF14" i="5"/>
  <c r="BD14" i="5"/>
  <c r="T44" i="5"/>
  <c r="G46" i="5"/>
  <c r="J242" i="5"/>
  <c r="AU20" i="5"/>
  <c r="AW32" i="5"/>
  <c r="AY20" i="5"/>
  <c r="AY51" i="5"/>
  <c r="AY71" i="5" s="1"/>
  <c r="BJ103" i="5"/>
  <c r="BJ113" i="5"/>
  <c r="BL113" i="5" s="1"/>
  <c r="BL93" i="5"/>
  <c r="BP93" i="5"/>
  <c r="AB383" i="5"/>
  <c r="W184" i="5"/>
  <c r="B139" i="5"/>
  <c r="AE148" i="5"/>
  <c r="AH21" i="5"/>
  <c r="AG24" i="5" s="1"/>
  <c r="BC16" i="5"/>
  <c r="BF16" i="5"/>
  <c r="BD16" i="5"/>
  <c r="P365" i="5"/>
  <c r="J142" i="5"/>
  <c r="J93" i="3" s="1"/>
  <c r="L131" i="5"/>
  <c r="Y94" i="5"/>
  <c r="BU30" i="5"/>
  <c r="BW19" i="5"/>
  <c r="C139" i="5"/>
  <c r="H46" i="5"/>
  <c r="H46" i="3" s="1"/>
  <c r="BW6" i="5"/>
  <c r="BU41" i="5"/>
  <c r="BU7" i="5"/>
  <c r="BU8" i="5" s="1"/>
  <c r="BU10" i="5" s="1"/>
  <c r="BV6" i="5"/>
  <c r="K94" i="5"/>
  <c r="K120" i="3" s="1"/>
  <c r="M94" i="5"/>
  <c r="L94" i="5"/>
  <c r="L120" i="3" s="1"/>
  <c r="J119" i="5"/>
  <c r="J145" i="3" s="1"/>
  <c r="AB380" i="5"/>
  <c r="AB390" i="5" s="1"/>
  <c r="J417" i="5"/>
  <c r="J288" i="3" s="1"/>
  <c r="AI326" i="5" l="1"/>
  <c r="AT326" i="5"/>
  <c r="J367" i="5"/>
  <c r="U365" i="5" s="1"/>
  <c r="AF255" i="5"/>
  <c r="Y269" i="5" s="1"/>
  <c r="AF326" i="5"/>
  <c r="AF328" i="5" s="1"/>
  <c r="W185" i="5"/>
  <c r="AA185" i="5" s="1"/>
  <c r="I266" i="3"/>
  <c r="J31" i="5"/>
  <c r="T26" i="5" s="1"/>
  <c r="T30" i="5" s="1"/>
  <c r="J206" i="5"/>
  <c r="AA183" i="5" s="1"/>
  <c r="AY326" i="5"/>
  <c r="AC326" i="5"/>
  <c r="AC328" i="5" s="1"/>
  <c r="AU326" i="5"/>
  <c r="AU328" i="5" s="1"/>
  <c r="X362" i="5"/>
  <c r="Y364" i="5" s="1"/>
  <c r="AA371" i="5" s="1"/>
  <c r="AG362" i="5"/>
  <c r="AH367" i="5" s="1"/>
  <c r="AN326" i="5"/>
  <c r="AN328" i="5" s="1"/>
  <c r="J376" i="5"/>
  <c r="H377" i="5" s="1"/>
  <c r="H257" i="3" s="1"/>
  <c r="J215" i="5"/>
  <c r="W183" i="5" s="1"/>
  <c r="Y183" i="5" s="1"/>
  <c r="J243" i="5"/>
  <c r="J310" i="3" s="1"/>
  <c r="AE328" i="5"/>
  <c r="J124" i="5"/>
  <c r="J150" i="3" s="1"/>
  <c r="J103" i="5"/>
  <c r="J129" i="3" s="1"/>
  <c r="AG326" i="5"/>
  <c r="AG327" i="5" s="1"/>
  <c r="AO326" i="5"/>
  <c r="AO328" i="5" s="1"/>
  <c r="AK326" i="5"/>
  <c r="AK327" i="5" s="1"/>
  <c r="AB326" i="5"/>
  <c r="AB328" i="5" s="1"/>
  <c r="AH326" i="5"/>
  <c r="Q394" i="5"/>
  <c r="S398" i="5" s="1"/>
  <c r="J260" i="5"/>
  <c r="J326" i="3" s="1"/>
  <c r="J78" i="5"/>
  <c r="J111" i="5"/>
  <c r="L113" i="5" s="1"/>
  <c r="L139" i="3" s="1"/>
  <c r="J361" i="5"/>
  <c r="J241" i="3" s="1"/>
  <c r="J389" i="5"/>
  <c r="J268" i="3" s="1"/>
  <c r="AA326" i="5"/>
  <c r="AA328" i="5" s="1"/>
  <c r="AW326" i="5"/>
  <c r="Y240" i="5"/>
  <c r="Z242" i="5" s="1"/>
  <c r="AB249" i="5" s="1"/>
  <c r="AS326" i="5"/>
  <c r="AS328" i="5" s="1"/>
  <c r="AR326" i="5"/>
  <c r="AR327" i="5" s="1"/>
  <c r="AP326" i="5"/>
  <c r="AP328" i="5" s="1"/>
  <c r="J139" i="5"/>
  <c r="T139" i="5" s="1"/>
  <c r="AD326" i="5"/>
  <c r="AD327" i="5" s="1"/>
  <c r="J84" i="5"/>
  <c r="J84" i="3" s="1"/>
  <c r="G46" i="3"/>
  <c r="G46" i="7"/>
  <c r="AV326" i="5"/>
  <c r="AJ326" i="5"/>
  <c r="AL326" i="5"/>
  <c r="J151" i="5"/>
  <c r="J102" i="3" s="1"/>
  <c r="AU12" i="5"/>
  <c r="AU36" i="5" s="1"/>
  <c r="BD12" i="5"/>
  <c r="AW72" i="5"/>
  <c r="AW73" i="5" s="1"/>
  <c r="AZ73" i="5" s="1"/>
  <c r="AY36" i="5"/>
  <c r="CA41" i="5"/>
  <c r="CB6" i="5"/>
  <c r="CC6" i="5"/>
  <c r="CA7" i="5"/>
  <c r="CA8" i="5" s="1"/>
  <c r="CA10" i="5" s="1"/>
  <c r="CA20" i="5" s="1"/>
  <c r="CA21" i="5" s="1"/>
  <c r="AX12" i="5"/>
  <c r="AX36" i="5" s="1"/>
  <c r="BB12" i="5"/>
  <c r="AW36" i="5"/>
  <c r="AW52" i="5"/>
  <c r="J22" i="3"/>
  <c r="T77" i="5"/>
  <c r="P82" i="5"/>
  <c r="J82" i="5" s="1"/>
  <c r="P76" i="5"/>
  <c r="J76" i="5" s="1"/>
  <c r="T72" i="5"/>
  <c r="N363" i="5"/>
  <c r="W174" i="5"/>
  <c r="V175" i="5" s="1"/>
  <c r="H372" i="5" s="1"/>
  <c r="H252" i="3" s="1"/>
  <c r="F139" i="5"/>
  <c r="F90" i="3" s="1"/>
  <c r="A139" i="5"/>
  <c r="A90" i="3" s="1"/>
  <c r="J316" i="5"/>
  <c r="J17" i="4"/>
  <c r="AQ166" i="5"/>
  <c r="AP166" i="5" s="1"/>
  <c r="O206" i="5"/>
  <c r="J261" i="5"/>
  <c r="J327" i="3" s="1"/>
  <c r="H324" i="3"/>
  <c r="K88" i="5"/>
  <c r="M88" i="5" s="1"/>
  <c r="L114" i="3"/>
  <c r="BL123" i="5"/>
  <c r="BN123" i="5" s="1"/>
  <c r="BD51" i="5"/>
  <c r="T102" i="5"/>
  <c r="L474" i="5"/>
  <c r="L365" i="3" s="1"/>
  <c r="L156" i="3"/>
  <c r="T243" i="5"/>
  <c r="J309" i="3"/>
  <c r="AF327" i="5"/>
  <c r="J78" i="3"/>
  <c r="T260" i="5"/>
  <c r="J325" i="3"/>
  <c r="J418" i="5"/>
  <c r="J289" i="3" s="1"/>
  <c r="J267" i="3"/>
  <c r="J421" i="5"/>
  <c r="J292" i="3" s="1"/>
  <c r="J270" i="3"/>
  <c r="J415" i="5"/>
  <c r="J286" i="3" s="1"/>
  <c r="J264" i="3"/>
  <c r="S174" i="5"/>
  <c r="N171" i="5"/>
  <c r="C207" i="5" s="1"/>
  <c r="H229" i="5" s="1"/>
  <c r="H229" i="3" s="1"/>
  <c r="J343" i="5"/>
  <c r="J58" i="4" s="1"/>
  <c r="J170" i="5"/>
  <c r="J170" i="3" s="1"/>
  <c r="J168" i="3"/>
  <c r="N94" i="5"/>
  <c r="M120" i="3"/>
  <c r="AX327" i="5"/>
  <c r="Z183" i="5"/>
  <c r="H191" i="5"/>
  <c r="BV41" i="5"/>
  <c r="BV7" i="5"/>
  <c r="BV8" i="5" s="1"/>
  <c r="BV10" i="5" s="1"/>
  <c r="V138" i="5"/>
  <c r="AE123" i="5"/>
  <c r="AD131" i="5" s="1"/>
  <c r="AH20" i="5"/>
  <c r="AH23" i="5" s="1"/>
  <c r="AI328" i="5"/>
  <c r="AI327" i="5"/>
  <c r="AM327" i="5"/>
  <c r="AM328" i="5"/>
  <c r="AT328" i="5"/>
  <c r="AT327" i="5"/>
  <c r="BF19" i="5"/>
  <c r="BD19" i="5"/>
  <c r="H428" i="5"/>
  <c r="H299" i="3" s="1"/>
  <c r="W138" i="5"/>
  <c r="S167" i="5"/>
  <c r="AO176" i="5"/>
  <c r="BN113" i="5"/>
  <c r="J174" i="5"/>
  <c r="J174" i="3" s="1"/>
  <c r="C202" i="5"/>
  <c r="C202" i="3" s="1"/>
  <c r="AZ61" i="5"/>
  <c r="AX71" i="5"/>
  <c r="BD61" i="5"/>
  <c r="AZ328" i="5"/>
  <c r="AZ327" i="5"/>
  <c r="O49" i="5"/>
  <c r="H49" i="5"/>
  <c r="BJ133" i="5"/>
  <c r="BL103" i="5"/>
  <c r="BP103" i="5"/>
  <c r="CA35" i="5"/>
  <c r="CC35" i="5" s="1"/>
  <c r="CB11" i="5"/>
  <c r="CC11" i="5"/>
  <c r="BL10" i="5"/>
  <c r="AX21" i="5"/>
  <c r="AY21" i="5"/>
  <c r="AU21" i="5"/>
  <c r="AY328" i="5"/>
  <c r="AY327" i="5"/>
  <c r="BM124" i="5"/>
  <c r="BM82" i="5"/>
  <c r="BM53" i="5"/>
  <c r="BM52" i="5"/>
  <c r="BW18" i="5"/>
  <c r="BW28" i="5" s="1"/>
  <c r="BW30" i="5"/>
  <c r="N296" i="5"/>
  <c r="N295" i="5"/>
  <c r="O242" i="5"/>
  <c r="V250" i="5"/>
  <c r="U251" i="5" s="1"/>
  <c r="H248" i="5" s="1"/>
  <c r="H315" i="3" s="1"/>
  <c r="BV14" i="5"/>
  <c r="BW14" i="5"/>
  <c r="BG9" i="5"/>
  <c r="AS176" i="5"/>
  <c r="AZ51" i="5"/>
  <c r="AR185" i="5"/>
  <c r="AP185" i="5"/>
  <c r="AN185" i="5"/>
  <c r="T103" i="5"/>
  <c r="AG328" i="5"/>
  <c r="AH328" i="5"/>
  <c r="AH327" i="5"/>
  <c r="BM94" i="5"/>
  <c r="BM95" i="5"/>
  <c r="CC18" i="5"/>
  <c r="CC28" i="5" s="1"/>
  <c r="BA52" i="5"/>
  <c r="AU19" i="5"/>
  <c r="AY19" i="5"/>
  <c r="AY32" i="5" s="1"/>
  <c r="H208" i="5"/>
  <c r="H208" i="3" s="1"/>
  <c r="AX52" i="5"/>
  <c r="AX23" i="5"/>
  <c r="AY23" i="5"/>
  <c r="AU23" i="5"/>
  <c r="AW24" i="5"/>
  <c r="AW25" i="5" s="1"/>
  <c r="AW17" i="5"/>
  <c r="AY17" i="5"/>
  <c r="J156" i="5"/>
  <c r="J107" i="3" s="1"/>
  <c r="J159" i="5"/>
  <c r="J110" i="3" s="1"/>
  <c r="J153" i="5"/>
  <c r="J104" i="3" s="1"/>
  <c r="V146" i="5"/>
  <c r="T145" i="5" s="1"/>
  <c r="T146" i="5" s="1"/>
  <c r="AD153" i="5"/>
  <c r="AU140" i="5"/>
  <c r="AQ140" i="5"/>
  <c r="AA184" i="5"/>
  <c r="Z184" i="5"/>
  <c r="Y184" i="5"/>
  <c r="W186" i="5"/>
  <c r="W187" i="5" s="1"/>
  <c r="AG369" i="5"/>
  <c r="AQ328" i="5"/>
  <c r="AQ327" i="5"/>
  <c r="BI82" i="5"/>
  <c r="BI52" i="5"/>
  <c r="BP113" i="5"/>
  <c r="AD383" i="5"/>
  <c r="AD385" i="5" s="1"/>
  <c r="AD386" i="5" s="1"/>
  <c r="AB385" i="5"/>
  <c r="AB386" i="5" s="1"/>
  <c r="T244" i="5"/>
  <c r="L250" i="5"/>
  <c r="L317" i="3" s="1"/>
  <c r="AJ115" i="5"/>
  <c r="J420" i="5"/>
  <c r="J291" i="3" s="1"/>
  <c r="BW41" i="5"/>
  <c r="BW7" i="5"/>
  <c r="BW8" i="5" s="1"/>
  <c r="BW10" i="5" s="1"/>
  <c r="Z185" i="5"/>
  <c r="Y185" i="5"/>
  <c r="AH24" i="5"/>
  <c r="AI24" i="5"/>
  <c r="BN93" i="5"/>
  <c r="BW11" i="5"/>
  <c r="BU35" i="5"/>
  <c r="BW35" i="5" s="1"/>
  <c r="BV11" i="5"/>
  <c r="A423" i="5"/>
  <c r="A294" i="3" s="1"/>
  <c r="AB400" i="5"/>
  <c r="CC30" i="5"/>
  <c r="BJ105" i="5"/>
  <c r="BJ135" i="5" s="1"/>
  <c r="BJ115" i="5"/>
  <c r="V256" i="5"/>
  <c r="U257" i="5" s="1"/>
  <c r="H265" i="5" s="1"/>
  <c r="H331" i="3" s="1"/>
  <c r="CC14" i="5"/>
  <c r="CB14" i="5"/>
  <c r="U283" i="5"/>
  <c r="N276" i="5" s="1"/>
  <c r="AS163" i="5"/>
  <c r="AK163" i="5"/>
  <c r="BU15" i="5"/>
  <c r="BK7" i="5"/>
  <c r="Z94" i="5"/>
  <c r="AA94" i="5" s="1"/>
  <c r="CA15" i="5"/>
  <c r="AW22" i="5"/>
  <c r="AF32" i="5"/>
  <c r="BL9" i="5"/>
  <c r="O38" i="5"/>
  <c r="A95" i="5" s="1"/>
  <c r="L95" i="5" s="1"/>
  <c r="L121" i="3" s="1"/>
  <c r="AM166" i="5"/>
  <c r="AN167" i="5" s="1"/>
  <c r="BD21" i="5"/>
  <c r="BC21" i="5"/>
  <c r="BF21" i="5"/>
  <c r="P195" i="5"/>
  <c r="H126" i="5"/>
  <c r="H152" i="3" s="1"/>
  <c r="AK144" i="5"/>
  <c r="AW328" i="5"/>
  <c r="AW327" i="5"/>
  <c r="Z245" i="5"/>
  <c r="Y247" i="5" s="1"/>
  <c r="AA247" i="5" s="1"/>
  <c r="AD247" i="5" s="1"/>
  <c r="AR328" i="5"/>
  <c r="N22" i="5"/>
  <c r="BC19" i="5"/>
  <c r="CB18" i="5"/>
  <c r="M22" i="5"/>
  <c r="AX19" i="5"/>
  <c r="AX32" i="5" s="1"/>
  <c r="BV18" i="5"/>
  <c r="L280" i="5"/>
  <c r="L344" i="3" s="1"/>
  <c r="L285" i="5"/>
  <c r="L349" i="3" s="1"/>
  <c r="AF117" i="5"/>
  <c r="F43" i="5"/>
  <c r="F43" i="3" s="1"/>
  <c r="AF142" i="5"/>
  <c r="AD156" i="5" s="1"/>
  <c r="F39" i="5"/>
  <c r="BJ94" i="5"/>
  <c r="BJ124" i="5"/>
  <c r="CB13" i="5"/>
  <c r="CC13" i="5"/>
  <c r="AC327" i="5" l="1"/>
  <c r="U366" i="5"/>
  <c r="O365" i="5" s="1"/>
  <c r="AH364" i="5"/>
  <c r="AJ371" i="5" s="1"/>
  <c r="AE117" i="5"/>
  <c r="AD127" i="5" s="1"/>
  <c r="X63" i="5" s="1"/>
  <c r="F39" i="3"/>
  <c r="N39" i="5"/>
  <c r="AP327" i="5"/>
  <c r="J137" i="3"/>
  <c r="J419" i="5"/>
  <c r="J290" i="3" s="1"/>
  <c r="AU327" i="5"/>
  <c r="AB382" i="5"/>
  <c r="AK328" i="5"/>
  <c r="O244" i="5" s="1"/>
  <c r="AD328" i="5"/>
  <c r="J90" i="3"/>
  <c r="S400" i="5"/>
  <c r="AS327" i="5"/>
  <c r="AC269" i="5"/>
  <c r="AC270" i="5" s="1"/>
  <c r="J247" i="3"/>
  <c r="AB327" i="5"/>
  <c r="AP167" i="5"/>
  <c r="T261" i="5"/>
  <c r="N260" i="5" s="1"/>
  <c r="AA327" i="5"/>
  <c r="J321" i="5"/>
  <c r="J23" i="4" s="1"/>
  <c r="O24" i="5"/>
  <c r="O28" i="5" s="1"/>
  <c r="J215" i="3"/>
  <c r="J206" i="3"/>
  <c r="H85" i="5"/>
  <c r="H85" i="3" s="1"/>
  <c r="Y367" i="5"/>
  <c r="X369" i="5" s="1"/>
  <c r="Z369" i="5" s="1"/>
  <c r="AC369" i="5" s="1"/>
  <c r="J256" i="3"/>
  <c r="J31" i="3"/>
  <c r="AR167" i="5"/>
  <c r="AR166" i="5" s="1"/>
  <c r="L267" i="5"/>
  <c r="L333" i="3" s="1"/>
  <c r="T25" i="5"/>
  <c r="N25" i="5" s="1"/>
  <c r="O101" i="5"/>
  <c r="AN327" i="5"/>
  <c r="O138" i="5"/>
  <c r="N392" i="5"/>
  <c r="T140" i="5"/>
  <c r="N139" i="5" s="1"/>
  <c r="AO327" i="5"/>
  <c r="BB36" i="5"/>
  <c r="BC12" i="5"/>
  <c r="BC36" i="5" s="1"/>
  <c r="CB7" i="5"/>
  <c r="CB8" i="5" s="1"/>
  <c r="CB10" i="5" s="1"/>
  <c r="CB20" i="5" s="1"/>
  <c r="CB21" i="5" s="1"/>
  <c r="CB41" i="5"/>
  <c r="BD36" i="5"/>
  <c r="BF12" i="5"/>
  <c r="BF36" i="5" s="1"/>
  <c r="AJ328" i="5"/>
  <c r="AJ327" i="5"/>
  <c r="AV328" i="5"/>
  <c r="AV327" i="5"/>
  <c r="BL124" i="5"/>
  <c r="BN124" i="5" s="1"/>
  <c r="BN126" i="5" s="1"/>
  <c r="AW62" i="5"/>
  <c r="AW63" i="5" s="1"/>
  <c r="AZ63" i="5" s="1"/>
  <c r="AW53" i="5"/>
  <c r="AZ53" i="5" s="1"/>
  <c r="BI124" i="5"/>
  <c r="BI125" i="5" s="1"/>
  <c r="BL125" i="5" s="1"/>
  <c r="BI94" i="5"/>
  <c r="BL94" i="5" s="1"/>
  <c r="CC41" i="5"/>
  <c r="CC7" i="5"/>
  <c r="CC8" i="5" s="1"/>
  <c r="CC10" i="5" s="1"/>
  <c r="BI114" i="5" s="1"/>
  <c r="BI134" i="5" s="1"/>
  <c r="AL328" i="5"/>
  <c r="AL327" i="5"/>
  <c r="BL11" i="5"/>
  <c r="O259" i="5"/>
  <c r="N259" i="5" s="1"/>
  <c r="H264" i="5" s="1"/>
  <c r="H330" i="3" s="1"/>
  <c r="J76" i="3"/>
  <c r="K76" i="5"/>
  <c r="K82" i="5"/>
  <c r="J82" i="3"/>
  <c r="AY24" i="5"/>
  <c r="AY25" i="5" s="1"/>
  <c r="AY28" i="5" s="1"/>
  <c r="H79" i="5"/>
  <c r="H79" i="3" s="1"/>
  <c r="R76" i="5"/>
  <c r="R77" i="5" s="1"/>
  <c r="T87" i="5"/>
  <c r="R86" i="5" s="1"/>
  <c r="R87" i="5" s="1"/>
  <c r="R71" i="5"/>
  <c r="R72" i="5" s="1"/>
  <c r="T82" i="5"/>
  <c r="R81" i="5" s="1"/>
  <c r="R82" i="5" s="1"/>
  <c r="J332" i="5"/>
  <c r="J18" i="4"/>
  <c r="AU115" i="5"/>
  <c r="AU119" i="5" s="1"/>
  <c r="D139" i="5"/>
  <c r="D90" i="3" s="1"/>
  <c r="AQ176" i="5"/>
  <c r="AQ208" i="5" s="1"/>
  <c r="O283" i="5"/>
  <c r="AQ115" i="5"/>
  <c r="AQ119" i="5" s="1"/>
  <c r="BK9" i="5"/>
  <c r="BK11" i="5" s="1"/>
  <c r="BK12" i="5" s="1"/>
  <c r="O284" i="5"/>
  <c r="N277" i="5"/>
  <c r="O277" i="5" s="1"/>
  <c r="P170" i="5"/>
  <c r="N168" i="5" s="1"/>
  <c r="BP124" i="5"/>
  <c r="BL126" i="5"/>
  <c r="K114" i="3"/>
  <c r="H48" i="3"/>
  <c r="H49" i="7"/>
  <c r="W15" i="7" s="1"/>
  <c r="W188" i="5"/>
  <c r="W189" i="5" s="1"/>
  <c r="N102" i="5"/>
  <c r="N243" i="5"/>
  <c r="N242" i="5" s="1"/>
  <c r="H247" i="5" s="1"/>
  <c r="H314" i="3" s="1"/>
  <c r="R171" i="5"/>
  <c r="S170" i="5" s="1"/>
  <c r="Q167" i="5" s="1"/>
  <c r="N88" i="5"/>
  <c r="M114" i="3"/>
  <c r="AG23" i="5"/>
  <c r="H223" i="5"/>
  <c r="H223" i="3" s="1"/>
  <c r="H191" i="3"/>
  <c r="J295" i="5"/>
  <c r="J33" i="4" s="1"/>
  <c r="O276" i="5"/>
  <c r="BJ104" i="5"/>
  <c r="BJ134" i="5" s="1"/>
  <c r="BJ114" i="5"/>
  <c r="BB18" i="5"/>
  <c r="BB13" i="5"/>
  <c r="BU17" i="5"/>
  <c r="BU12" i="5"/>
  <c r="BB23" i="5"/>
  <c r="AC272" i="5"/>
  <c r="AD277" i="5"/>
  <c r="AU144" i="5"/>
  <c r="AW27" i="5"/>
  <c r="AW28" i="5"/>
  <c r="AW31" i="5"/>
  <c r="AW26" i="5"/>
  <c r="AX62" i="5"/>
  <c r="AZ52" i="5"/>
  <c r="BD52" i="5" s="1"/>
  <c r="H226" i="5"/>
  <c r="H226" i="3" s="1"/>
  <c r="P366" i="5"/>
  <c r="H273" i="5"/>
  <c r="AN175" i="5"/>
  <c r="H52" i="5"/>
  <c r="H50" i="3" s="1"/>
  <c r="W15" i="5"/>
  <c r="AZ71" i="5"/>
  <c r="BD71" i="5"/>
  <c r="AQ198" i="5"/>
  <c r="AQ186" i="5"/>
  <c r="B144" i="5"/>
  <c r="Y66" i="5"/>
  <c r="AL137" i="5"/>
  <c r="BM104" i="5"/>
  <c r="CB28" i="5"/>
  <c r="AN37" i="5"/>
  <c r="AN55" i="5" s="1"/>
  <c r="AJ37" i="5"/>
  <c r="AJ55" i="5" s="1"/>
  <c r="AF37" i="5"/>
  <c r="AF55" i="5" s="1"/>
  <c r="AB37" i="5"/>
  <c r="AB55" i="5" s="1"/>
  <c r="AM37" i="5"/>
  <c r="AM55" i="5" s="1"/>
  <c r="AI37" i="5"/>
  <c r="AI55" i="5" s="1"/>
  <c r="AE37" i="5"/>
  <c r="AE55" i="5" s="1"/>
  <c r="AA37" i="5"/>
  <c r="AA55" i="5" s="1"/>
  <c r="AP37" i="5"/>
  <c r="AH37" i="5"/>
  <c r="AH55" i="5" s="1"/>
  <c r="Z37" i="5"/>
  <c r="Z55" i="5" s="1"/>
  <c r="AN19" i="5"/>
  <c r="AL12" i="5"/>
  <c r="AC37" i="5"/>
  <c r="AC55" i="5" s="1"/>
  <c r="AO37" i="5"/>
  <c r="AO55" i="5" s="1"/>
  <c r="AG37" i="5"/>
  <c r="AG55" i="5" s="1"/>
  <c r="AL37" i="5"/>
  <c r="AL55" i="5" s="1"/>
  <c r="AD37" i="5"/>
  <c r="AD55" i="5" s="1"/>
  <c r="AK37" i="5"/>
  <c r="AK55" i="5" s="1"/>
  <c r="AD400" i="5"/>
  <c r="AD401" i="5" s="1"/>
  <c r="AB401" i="5"/>
  <c r="AJ119" i="5"/>
  <c r="AK115" i="5"/>
  <c r="BI83" i="5"/>
  <c r="AD382" i="5"/>
  <c r="AD387" i="5" s="1"/>
  <c r="AD388" i="5" s="1"/>
  <c r="AD389" i="5" s="1"/>
  <c r="AD392" i="5" s="1"/>
  <c r="AB387" i="5"/>
  <c r="AB388" i="5" s="1"/>
  <c r="AB389" i="5" s="1"/>
  <c r="AB392" i="5" s="1"/>
  <c r="AA186" i="5"/>
  <c r="AA187" i="5" s="1"/>
  <c r="AA188" i="5" s="1"/>
  <c r="AA189" i="5" s="1"/>
  <c r="K159" i="5"/>
  <c r="K110" i="3" s="1"/>
  <c r="H160" i="5"/>
  <c r="H111" i="3" s="1"/>
  <c r="AU24" i="5"/>
  <c r="AU25" i="5" s="1"/>
  <c r="BM115" i="5"/>
  <c r="BM72" i="5"/>
  <c r="BL7" i="5"/>
  <c r="BL12" i="5" s="1"/>
  <c r="BB61" i="5"/>
  <c r="AO208" i="5"/>
  <c r="AO198" i="5"/>
  <c r="AP176" i="5"/>
  <c r="AO186" i="5"/>
  <c r="AD128" i="5"/>
  <c r="T86" i="5"/>
  <c r="T81" i="5"/>
  <c r="CA27" i="5"/>
  <c r="CA22" i="5"/>
  <c r="CA23" i="5"/>
  <c r="CA24" i="5"/>
  <c r="H323" i="5"/>
  <c r="Z186" i="5"/>
  <c r="Z187" i="5" s="1"/>
  <c r="Z188" i="5" s="1"/>
  <c r="Z189" i="5" s="1"/>
  <c r="H154" i="5"/>
  <c r="H105" i="3" s="1"/>
  <c r="BG48" i="5"/>
  <c r="AX17" i="5"/>
  <c r="AW29" i="5"/>
  <c r="CA16" i="5"/>
  <c r="AU17" i="5"/>
  <c r="BM125" i="5"/>
  <c r="BL133" i="5"/>
  <c r="BP133" i="5"/>
  <c r="BM62" i="5"/>
  <c r="BV28" i="5"/>
  <c r="AM176" i="5"/>
  <c r="AN177" i="5" s="1"/>
  <c r="AL167" i="5"/>
  <c r="AL166" i="5" s="1"/>
  <c r="AN166" i="5"/>
  <c r="BB22" i="5"/>
  <c r="BF22" i="5" s="1"/>
  <c r="AU22" i="5"/>
  <c r="AY22" i="5"/>
  <c r="BC22" i="5"/>
  <c r="AX22" i="5"/>
  <c r="BD22" i="5"/>
  <c r="BW15" i="5"/>
  <c r="BV15" i="5"/>
  <c r="L93" i="5"/>
  <c r="L119" i="3" s="1"/>
  <c r="L92" i="5"/>
  <c r="L118" i="3" s="1"/>
  <c r="T29" i="5"/>
  <c r="N29" i="5" s="1"/>
  <c r="BI72" i="5"/>
  <c r="BI62" i="5"/>
  <c r="BI53" i="5"/>
  <c r="W191" i="5"/>
  <c r="AE142" i="5"/>
  <c r="Y64" i="5"/>
  <c r="K156" i="5"/>
  <c r="K107" i="3" s="1"/>
  <c r="H157" i="5"/>
  <c r="H108" i="3" s="1"/>
  <c r="AY31" i="5"/>
  <c r="AY26" i="5"/>
  <c r="BM114" i="5"/>
  <c r="AS198" i="5"/>
  <c r="AR199" i="5" s="1"/>
  <c r="AS186" i="5"/>
  <c r="AS208" i="5"/>
  <c r="AR177" i="5"/>
  <c r="AR178" i="5" s="1"/>
  <c r="BM73" i="5"/>
  <c r="B143" i="5"/>
  <c r="X66" i="5"/>
  <c r="AL112" i="5"/>
  <c r="CB15" i="5"/>
  <c r="CC15" i="5"/>
  <c r="BV35" i="5"/>
  <c r="AI369" i="5"/>
  <c r="AL369" i="5" s="1"/>
  <c r="Y186" i="5"/>
  <c r="Y187" i="5" s="1"/>
  <c r="Y188" i="5" s="1"/>
  <c r="Y189" i="5" s="1"/>
  <c r="AR140" i="5"/>
  <c r="AR144" i="5" s="1"/>
  <c r="AQ144" i="5"/>
  <c r="U146" i="5"/>
  <c r="U145" i="5"/>
  <c r="CC16" i="5"/>
  <c r="AX24" i="5"/>
  <c r="AX25" i="5" s="1"/>
  <c r="BA62" i="5"/>
  <c r="BA53" i="5"/>
  <c r="P102" i="5"/>
  <c r="P25" i="5"/>
  <c r="P29" i="5" s="1"/>
  <c r="P139" i="5"/>
  <c r="P243" i="5"/>
  <c r="P260" i="5"/>
  <c r="Q365" i="5"/>
  <c r="AZ54" i="5"/>
  <c r="BB51" i="5"/>
  <c r="Y248" i="5"/>
  <c r="Y249" i="5" s="1"/>
  <c r="AI23" i="5"/>
  <c r="BM83" i="5"/>
  <c r="CB35" i="5"/>
  <c r="BN103" i="5"/>
  <c r="AG370" i="5"/>
  <c r="BI115" i="5" l="1"/>
  <c r="BL115" i="5" s="1"/>
  <c r="O26" i="5"/>
  <c r="O30" i="5" s="1"/>
  <c r="BL114" i="5"/>
  <c r="BL116" i="5" s="1"/>
  <c r="BP125" i="5"/>
  <c r="CC20" i="5"/>
  <c r="CC21" i="5" s="1"/>
  <c r="X370" i="5"/>
  <c r="O140" i="5"/>
  <c r="O261" i="5"/>
  <c r="N138" i="5"/>
  <c r="H144" i="5" s="1"/>
  <c r="H95" i="3" s="1"/>
  <c r="O103" i="5"/>
  <c r="AR115" i="5"/>
  <c r="AR119" i="5" s="1"/>
  <c r="AY27" i="5"/>
  <c r="AY29" i="5" s="1"/>
  <c r="AY30" i="5" s="1"/>
  <c r="AY33" i="5" s="1"/>
  <c r="BN125" i="5"/>
  <c r="N101" i="5"/>
  <c r="H106" i="5" s="1"/>
  <c r="H132" i="3" s="1"/>
  <c r="BI95" i="5"/>
  <c r="BL95" i="5" s="1"/>
  <c r="BI104" i="5"/>
  <c r="AC48" i="5"/>
  <c r="AB48" i="5"/>
  <c r="AE48" i="5"/>
  <c r="AA48" i="5"/>
  <c r="AD48" i="5"/>
  <c r="Z48" i="5"/>
  <c r="Z54" i="5" s="1"/>
  <c r="BB52" i="5"/>
  <c r="BN127" i="5"/>
  <c r="BP127" i="5" s="1"/>
  <c r="S77" i="5"/>
  <c r="S76" i="5"/>
  <c r="H73" i="5" s="1"/>
  <c r="H73" i="3" s="1"/>
  <c r="K82" i="3"/>
  <c r="N82" i="5"/>
  <c r="N76" i="5"/>
  <c r="K76" i="3"/>
  <c r="S72" i="5"/>
  <c r="S71" i="5"/>
  <c r="H72" i="5" s="1"/>
  <c r="H72" i="3" s="1"/>
  <c r="N302" i="5"/>
  <c r="J338" i="5"/>
  <c r="J53" i="4" s="1"/>
  <c r="J47" i="4"/>
  <c r="AP177" i="5"/>
  <c r="AR187" i="5"/>
  <c r="AR188" i="5" s="1"/>
  <c r="AR176" i="5"/>
  <c r="AR208" i="5" s="1"/>
  <c r="H146" i="5"/>
  <c r="H97" i="3" s="1"/>
  <c r="BP126" i="5"/>
  <c r="N167" i="5"/>
  <c r="F170" i="5" s="1"/>
  <c r="BL106" i="5"/>
  <c r="BP94" i="5"/>
  <c r="BP96" i="5" s="1"/>
  <c r="BL96" i="5"/>
  <c r="H275" i="5"/>
  <c r="H339" i="3" s="1"/>
  <c r="H337" i="3"/>
  <c r="Y17" i="7"/>
  <c r="X17" i="7"/>
  <c r="AG371" i="5"/>
  <c r="AM371" i="5" s="1"/>
  <c r="N368" i="5" s="1"/>
  <c r="X371" i="5"/>
  <c r="H336" i="5"/>
  <c r="H51" i="4" s="1"/>
  <c r="H25" i="4"/>
  <c r="N28" i="5"/>
  <c r="H69" i="5" s="1"/>
  <c r="H69" i="3" s="1"/>
  <c r="H145" i="5"/>
  <c r="H96" i="3" s="1"/>
  <c r="J297" i="5"/>
  <c r="J35" i="4" s="1"/>
  <c r="H298" i="5"/>
  <c r="J298" i="5" s="1"/>
  <c r="N297" i="5"/>
  <c r="A298" i="5"/>
  <c r="A36" i="4" s="1"/>
  <c r="BN94" i="5"/>
  <c r="BN96" i="5" s="1"/>
  <c r="BP114" i="5"/>
  <c r="BP115" i="5"/>
  <c r="AE249" i="5"/>
  <c r="AA249" i="5"/>
  <c r="CA39" i="5"/>
  <c r="CA29" i="5"/>
  <c r="CA31" i="5" s="1"/>
  <c r="CA32" i="5" s="1"/>
  <c r="CA38" i="5" s="1"/>
  <c r="CA40" i="5" s="1"/>
  <c r="AD129" i="5"/>
  <c r="X68" i="5" s="1"/>
  <c r="X64" i="5"/>
  <c r="AU28" i="5"/>
  <c r="AU27" i="5"/>
  <c r="AU29" i="5" s="1"/>
  <c r="AU26" i="5"/>
  <c r="AU31" i="5"/>
  <c r="X17" i="5"/>
  <c r="Y17" i="5"/>
  <c r="AX72" i="5"/>
  <c r="AZ72" i="5" s="1"/>
  <c r="AZ62" i="5"/>
  <c r="BB62" i="5" s="1"/>
  <c r="BD23" i="5"/>
  <c r="BC23" i="5"/>
  <c r="BU13" i="5"/>
  <c r="BF23" i="5"/>
  <c r="BB24" i="5"/>
  <c r="BB25" i="5" s="1"/>
  <c r="BC18" i="5"/>
  <c r="BF18" i="5"/>
  <c r="BD18" i="5"/>
  <c r="BB32" i="5"/>
  <c r="BI63" i="5"/>
  <c r="BI73" i="5"/>
  <c r="BN114" i="5"/>
  <c r="BA72" i="5"/>
  <c r="BB72" i="5" s="1"/>
  <c r="A143" i="5"/>
  <c r="AN112" i="5"/>
  <c r="AO112" i="5" s="1"/>
  <c r="AM112" i="5"/>
  <c r="BI135" i="5"/>
  <c r="BL135" i="5" s="1"/>
  <c r="BL134" i="5"/>
  <c r="BL136" i="5" s="1"/>
  <c r="AD279" i="5"/>
  <c r="N24" i="5"/>
  <c r="H68" i="5" s="1"/>
  <c r="H68" i="3" s="1"/>
  <c r="CC53" i="5"/>
  <c r="CA25" i="5"/>
  <c r="CA47" i="5" s="1"/>
  <c r="CB16" i="5"/>
  <c r="S82" i="5"/>
  <c r="S81" i="5"/>
  <c r="AA191" i="5"/>
  <c r="AN16" i="5"/>
  <c r="BH16" i="5" s="1"/>
  <c r="AN12" i="5"/>
  <c r="AL16" i="5" s="1"/>
  <c r="AP55" i="5"/>
  <c r="AL38" i="5"/>
  <c r="AK48" i="5" s="1"/>
  <c r="AO38" i="5"/>
  <c r="AK38" i="5"/>
  <c r="AM38" i="5"/>
  <c r="AJ38" i="5"/>
  <c r="AN38" i="5"/>
  <c r="A144" i="5"/>
  <c r="AN137" i="5"/>
  <c r="AO137" i="5" s="1"/>
  <c r="AM137" i="5"/>
  <c r="AP209" i="5"/>
  <c r="BW12" i="5"/>
  <c r="BV12" i="5"/>
  <c r="CC24" i="5"/>
  <c r="CC23" i="5"/>
  <c r="CC25" i="5" s="1"/>
  <c r="CC22" i="5"/>
  <c r="CC27" i="5"/>
  <c r="BM63" i="5"/>
  <c r="Z191" i="5"/>
  <c r="AD132" i="5"/>
  <c r="X69" i="5" s="1"/>
  <c r="X65" i="5"/>
  <c r="BM134" i="5"/>
  <c r="BM105" i="5"/>
  <c r="AZ74" i="5"/>
  <c r="BB71" i="5"/>
  <c r="BD13" i="5"/>
  <c r="BF13" i="5"/>
  <c r="BC13" i="5"/>
  <c r="BB53" i="5"/>
  <c r="BB54" i="5" s="1"/>
  <c r="BB55" i="5" s="1"/>
  <c r="BD55" i="5" s="1"/>
  <c r="BA63" i="5"/>
  <c r="BD53" i="5"/>
  <c r="BD54" i="5" s="1"/>
  <c r="AX31" i="5"/>
  <c r="AX26" i="5"/>
  <c r="AX28" i="5"/>
  <c r="AX27" i="5"/>
  <c r="AX29" i="5" s="1"/>
  <c r="Y191" i="5"/>
  <c r="AM208" i="5"/>
  <c r="AN209" i="5" s="1"/>
  <c r="AM198" i="5"/>
  <c r="AL199" i="5" s="1"/>
  <c r="AM186" i="5"/>
  <c r="AL187" i="5" s="1"/>
  <c r="AL188" i="5" s="1"/>
  <c r="AL176" i="5"/>
  <c r="AL177" i="5"/>
  <c r="AL178" i="5" s="1"/>
  <c r="AN176" i="5"/>
  <c r="AD152" i="5"/>
  <c r="BN133" i="5"/>
  <c r="AW30" i="5"/>
  <c r="AW33" i="5" s="1"/>
  <c r="AW34" i="5"/>
  <c r="S87" i="5"/>
  <c r="S86" i="5"/>
  <c r="AP208" i="5"/>
  <c r="AP198" i="5"/>
  <c r="AP186" i="5"/>
  <c r="BN115" i="5"/>
  <c r="AK119" i="5"/>
  <c r="CB27" i="5"/>
  <c r="CB22" i="5"/>
  <c r="CB24" i="5"/>
  <c r="CB23" i="5"/>
  <c r="AL22" i="5"/>
  <c r="BH19" i="5" s="1"/>
  <c r="AL19" i="5"/>
  <c r="AN22" i="5" s="1"/>
  <c r="AP187" i="5"/>
  <c r="AP188" i="5" s="1"/>
  <c r="AN178" i="5"/>
  <c r="AP175" i="5"/>
  <c r="BJ81" i="5"/>
  <c r="BJ51" i="5"/>
  <c r="BV17" i="5"/>
  <c r="BW17" i="5"/>
  <c r="BJ83" i="5"/>
  <c r="BL83" i="5" s="1"/>
  <c r="BJ53" i="5"/>
  <c r="BL53" i="5" s="1"/>
  <c r="BP128" i="5" l="1"/>
  <c r="AY34" i="5"/>
  <c r="BN97" i="5"/>
  <c r="AJ48" i="5"/>
  <c r="AL48" i="5"/>
  <c r="AM48" i="5"/>
  <c r="AN48" i="5"/>
  <c r="AN54" i="5" s="1"/>
  <c r="F170" i="3"/>
  <c r="J173" i="5"/>
  <c r="H282" i="5"/>
  <c r="H346" i="3" s="1"/>
  <c r="BI105" i="5"/>
  <c r="BL105" i="5" s="1"/>
  <c r="BN105" i="5" s="1"/>
  <c r="BN106" i="5" s="1"/>
  <c r="BN107" i="5" s="1"/>
  <c r="BP107" i="5" s="1"/>
  <c r="BL104" i="5"/>
  <c r="BP95" i="5"/>
  <c r="BN95" i="5"/>
  <c r="AO48" i="5"/>
  <c r="AO54" i="5" s="1"/>
  <c r="CA54" i="5"/>
  <c r="CA55" i="5" s="1"/>
  <c r="BQ128" i="5"/>
  <c r="BD56" i="5"/>
  <c r="AI371" i="5"/>
  <c r="AP178" i="5"/>
  <c r="AK179" i="5" s="1"/>
  <c r="H80" i="5"/>
  <c r="H80" i="3" s="1"/>
  <c r="H74" i="5"/>
  <c r="H74" i="3" s="1"/>
  <c r="H147" i="5"/>
  <c r="H98" i="3" s="1"/>
  <c r="AA54" i="5"/>
  <c r="AB54" i="5" s="1"/>
  <c r="AC54" i="5" s="1"/>
  <c r="AR198" i="5"/>
  <c r="AR186" i="5"/>
  <c r="BP116" i="5"/>
  <c r="BN116" i="5"/>
  <c r="BN117" i="5" s="1"/>
  <c r="BP117" i="5" s="1"/>
  <c r="BD62" i="5"/>
  <c r="AZ64" i="5"/>
  <c r="BP97" i="5"/>
  <c r="BP98" i="5" s="1"/>
  <c r="BQ98" i="5" s="1"/>
  <c r="BD24" i="5"/>
  <c r="BD25" i="5" s="1"/>
  <c r="BD31" i="5" s="1"/>
  <c r="Z16" i="7"/>
  <c r="Z15" i="7"/>
  <c r="BC32" i="5"/>
  <c r="S194" i="5"/>
  <c r="P194" i="5" s="1"/>
  <c r="F197" i="5" s="1"/>
  <c r="F202" i="5" s="1"/>
  <c r="F202" i="3" s="1"/>
  <c r="B299" i="5"/>
  <c r="B37" i="4" s="1"/>
  <c r="B300" i="5"/>
  <c r="B38" i="4" s="1"/>
  <c r="H36" i="4"/>
  <c r="Z371" i="5"/>
  <c r="AD371" i="5"/>
  <c r="N362" i="5" s="1"/>
  <c r="J36" i="4"/>
  <c r="N299" i="5"/>
  <c r="J300" i="5"/>
  <c r="J38" i="4" s="1"/>
  <c r="N298" i="5"/>
  <c r="CC47" i="5"/>
  <c r="BP134" i="5"/>
  <c r="AU30" i="5"/>
  <c r="AU34" i="5"/>
  <c r="BP83" i="5"/>
  <c r="BN83" i="5"/>
  <c r="CC39" i="5"/>
  <c r="CC29" i="5"/>
  <c r="CC31" i="5" s="1"/>
  <c r="CC32" i="5" s="1"/>
  <c r="CC38" i="5" s="1"/>
  <c r="CB55" i="5"/>
  <c r="BC24" i="5"/>
  <c r="BC25" i="5" s="1"/>
  <c r="Y63" i="5"/>
  <c r="AD154" i="5"/>
  <c r="BM135" i="5"/>
  <c r="BN135" i="5" s="1"/>
  <c r="BP105" i="5"/>
  <c r="BP106" i="5" s="1"/>
  <c r="BN134" i="5"/>
  <c r="CA26" i="5"/>
  <c r="C143" i="5"/>
  <c r="B147" i="5" s="1"/>
  <c r="C158" i="5"/>
  <c r="C155" i="5"/>
  <c r="F143" i="5"/>
  <c r="E143" i="5"/>
  <c r="AX30" i="5"/>
  <c r="AX33" i="5" s="1"/>
  <c r="AX34" i="5"/>
  <c r="BD28" i="5"/>
  <c r="Z16" i="5"/>
  <c r="Z15" i="5"/>
  <c r="BA73" i="5"/>
  <c r="BB63" i="5"/>
  <c r="BB64" i="5" s="1"/>
  <c r="BD63" i="5"/>
  <c r="BP53" i="5"/>
  <c r="BN53" i="5"/>
  <c r="AO115" i="5"/>
  <c r="AP112" i="5"/>
  <c r="AN186" i="5"/>
  <c r="AN208" i="5"/>
  <c r="AN198" i="5"/>
  <c r="AO140" i="5"/>
  <c r="AP137" i="5"/>
  <c r="BB28" i="5"/>
  <c r="BB27" i="5"/>
  <c r="BB26" i="5"/>
  <c r="BB31" i="5"/>
  <c r="BJ73" i="5"/>
  <c r="BL73" i="5" s="1"/>
  <c r="BJ63" i="5"/>
  <c r="BL63" i="5" s="1"/>
  <c r="BP63" i="5" s="1"/>
  <c r="BJ71" i="5"/>
  <c r="BL51" i="5"/>
  <c r="BJ61" i="5"/>
  <c r="BP51" i="5"/>
  <c r="F144" i="5"/>
  <c r="E144" i="5"/>
  <c r="C159" i="5"/>
  <c r="C144" i="5"/>
  <c r="C156" i="5"/>
  <c r="H277" i="5"/>
  <c r="H278" i="5"/>
  <c r="H342" i="3" s="1"/>
  <c r="AN187" i="5"/>
  <c r="AN188" i="5" s="1"/>
  <c r="BD32" i="5"/>
  <c r="BF24" i="5"/>
  <c r="BF25" i="5" s="1"/>
  <c r="AD157" i="5"/>
  <c r="Y69" i="5" s="1"/>
  <c r="CB39" i="5"/>
  <c r="CB29" i="5"/>
  <c r="CB31" i="5" s="1"/>
  <c r="CB32" i="5" s="1"/>
  <c r="CB38" i="5" s="1"/>
  <c r="CB40" i="5" s="1"/>
  <c r="H283" i="5"/>
  <c r="BE56" i="5"/>
  <c r="AW35" i="5" s="1"/>
  <c r="BF49" i="5"/>
  <c r="BL81" i="5"/>
  <c r="BP81" i="5"/>
  <c r="AL208" i="5"/>
  <c r="AL186" i="5"/>
  <c r="AL198" i="5"/>
  <c r="CC26" i="5"/>
  <c r="BB17" i="5"/>
  <c r="BD17" i="5"/>
  <c r="CB25" i="5"/>
  <c r="CB47" i="5" s="1"/>
  <c r="BJ52" i="5"/>
  <c r="BJ82" i="5"/>
  <c r="BL82" i="5" s="1"/>
  <c r="BV13" i="5"/>
  <c r="BW13" i="5"/>
  <c r="BU20" i="5"/>
  <c r="BU21" i="5" s="1"/>
  <c r="BD72" i="5"/>
  <c r="N394" i="5"/>
  <c r="L394" i="5" s="1"/>
  <c r="L273" i="3" s="1"/>
  <c r="S395" i="5"/>
  <c r="S397" i="5" s="1"/>
  <c r="S399" i="5" s="1"/>
  <c r="S401" i="5" s="1"/>
  <c r="L368" i="5"/>
  <c r="L248" i="3" s="1"/>
  <c r="P364" i="5"/>
  <c r="O364" i="5" s="1"/>
  <c r="H371" i="5" s="1"/>
  <c r="H251" i="3" s="1"/>
  <c r="BP108" i="5" l="1"/>
  <c r="BQ108" i="5" s="1"/>
  <c r="AS179" i="5"/>
  <c r="AQ180" i="5" s="1"/>
  <c r="CC55" i="5"/>
  <c r="BP135" i="5"/>
  <c r="BB65" i="5"/>
  <c r="BP104" i="5"/>
  <c r="BN104" i="5"/>
  <c r="BP118" i="5"/>
  <c r="BQ118" i="5" s="1"/>
  <c r="CC49" i="5" s="1"/>
  <c r="CC50" i="5" s="1"/>
  <c r="CC57" i="5" s="1"/>
  <c r="J173" i="3"/>
  <c r="N175" i="5"/>
  <c r="H148" i="5"/>
  <c r="H99" i="3" s="1"/>
  <c r="AM54" i="5"/>
  <c r="AL54" i="5" s="1"/>
  <c r="AS189" i="5"/>
  <c r="AQ190" i="5" s="1"/>
  <c r="AQ192" i="5" s="1"/>
  <c r="H279" i="5"/>
  <c r="H343" i="3" s="1"/>
  <c r="H341" i="3"/>
  <c r="H284" i="5"/>
  <c r="H348" i="3" s="1"/>
  <c r="H347" i="3"/>
  <c r="BD26" i="5"/>
  <c r="AX92" i="5"/>
  <c r="AL195" i="5" s="1"/>
  <c r="AL205" i="5" s="1"/>
  <c r="AR205" i="5" s="1"/>
  <c r="CB49" i="5"/>
  <c r="CB50" i="5" s="1"/>
  <c r="CB57" i="5" s="1"/>
  <c r="CC40" i="5"/>
  <c r="BP136" i="5"/>
  <c r="BD64" i="5"/>
  <c r="BN136" i="5"/>
  <c r="BN137" i="5" s="1"/>
  <c r="BP137" i="5" s="1"/>
  <c r="BD27" i="5"/>
  <c r="BD29" i="5" s="1"/>
  <c r="BD65" i="5"/>
  <c r="AW92" i="5"/>
  <c r="AN195" i="5" s="1"/>
  <c r="CA49" i="5"/>
  <c r="CA50" i="5" s="1"/>
  <c r="CA57" i="5" s="1"/>
  <c r="F197" i="3"/>
  <c r="J299" i="5"/>
  <c r="N300" i="5" s="1"/>
  <c r="J301" i="5" s="1"/>
  <c r="J39" i="4" s="1"/>
  <c r="L362" i="5"/>
  <c r="L242" i="3" s="1"/>
  <c r="L364" i="5"/>
  <c r="AK189" i="5"/>
  <c r="AO190" i="5" s="1"/>
  <c r="F201" i="5"/>
  <c r="BP73" i="5"/>
  <c r="BN73" i="5"/>
  <c r="BP82" i="5"/>
  <c r="BP84" i="5" s="1"/>
  <c r="BN82" i="5"/>
  <c r="BB29" i="5"/>
  <c r="BS48" i="5"/>
  <c r="BU16" i="5"/>
  <c r="BC17" i="5"/>
  <c r="BF17" i="5"/>
  <c r="BG51" i="5"/>
  <c r="AW39" i="5"/>
  <c r="BF51" i="5"/>
  <c r="BF50" i="5"/>
  <c r="AW2" i="5"/>
  <c r="BF31" i="5"/>
  <c r="BF28" i="5"/>
  <c r="BF27" i="5"/>
  <c r="BF26" i="5"/>
  <c r="AQ112" i="5"/>
  <c r="AP117" i="5"/>
  <c r="J277" i="5"/>
  <c r="J282" i="5"/>
  <c r="J273" i="5"/>
  <c r="J46" i="5"/>
  <c r="J46" i="3" s="1"/>
  <c r="L62" i="5"/>
  <c r="L60" i="5"/>
  <c r="L47" i="5"/>
  <c r="L57" i="5"/>
  <c r="L55" i="3" s="1"/>
  <c r="L55" i="5"/>
  <c r="L53" i="3" s="1"/>
  <c r="U44" i="5"/>
  <c r="U47" i="5" s="1"/>
  <c r="L46" i="5"/>
  <c r="L46" i="3" s="1"/>
  <c r="CA43" i="5"/>
  <c r="CA42" i="5"/>
  <c r="Y65" i="5"/>
  <c r="Y68" i="5"/>
  <c r="BU27" i="5"/>
  <c r="BU22" i="5"/>
  <c r="BU24" i="5"/>
  <c r="BU23" i="5"/>
  <c r="CC43" i="5"/>
  <c r="CC42" i="5"/>
  <c r="AU35" i="5"/>
  <c r="AU37" i="5" s="1"/>
  <c r="AW37" i="5"/>
  <c r="AW38" i="5" s="1"/>
  <c r="BL61" i="5"/>
  <c r="BP61" i="5"/>
  <c r="AO119" i="5"/>
  <c r="AP115" i="5"/>
  <c r="AP119" i="5" s="1"/>
  <c r="AM115" i="5"/>
  <c r="AL115" i="5"/>
  <c r="AN115" i="5"/>
  <c r="J283" i="5"/>
  <c r="J274" i="5"/>
  <c r="J278" i="5"/>
  <c r="L63" i="5"/>
  <c r="L61" i="3" s="1"/>
  <c r="L61" i="5"/>
  <c r="L59" i="3" s="1"/>
  <c r="J50" i="5"/>
  <c r="J49" i="3" s="1"/>
  <c r="L56" i="5"/>
  <c r="L58" i="5"/>
  <c r="L50" i="5"/>
  <c r="BC31" i="5"/>
  <c r="BC26" i="5"/>
  <c r="BC28" i="5"/>
  <c r="BC27" i="5"/>
  <c r="BW20" i="5"/>
  <c r="BW21" i="5" s="1"/>
  <c r="BJ72" i="5"/>
  <c r="BL72" i="5" s="1"/>
  <c r="BJ62" i="5"/>
  <c r="BL62" i="5" s="1"/>
  <c r="BL52" i="5"/>
  <c r="BL54" i="5" s="1"/>
  <c r="AO180" i="5"/>
  <c r="AM180" i="5"/>
  <c r="BN51" i="5"/>
  <c r="AP142" i="5"/>
  <c r="AQ137" i="5"/>
  <c r="BV20" i="5"/>
  <c r="BV21" i="5" s="1"/>
  <c r="BW16" i="5"/>
  <c r="BN81" i="5"/>
  <c r="BL84" i="5"/>
  <c r="BN63" i="5"/>
  <c r="CB26" i="5"/>
  <c r="BL71" i="5"/>
  <c r="BP71" i="5"/>
  <c r="AO144" i="5"/>
  <c r="AP140" i="5"/>
  <c r="AP144" i="5" s="1"/>
  <c r="AM140" i="5"/>
  <c r="AM144" i="5" s="1"/>
  <c r="AL140" i="5"/>
  <c r="AL144" i="5" s="1"/>
  <c r="AN140" i="5"/>
  <c r="AN144" i="5" s="1"/>
  <c r="BB73" i="5"/>
  <c r="BB74" i="5" s="1"/>
  <c r="BB75" i="5" s="1"/>
  <c r="BD75" i="5" s="1"/>
  <c r="BD73" i="5"/>
  <c r="BD74" i="5" s="1"/>
  <c r="CB56" i="5" l="1"/>
  <c r="AW93" i="5"/>
  <c r="BP138" i="5"/>
  <c r="BQ138" i="5" s="1"/>
  <c r="AX93" i="5" s="1"/>
  <c r="BD66" i="5"/>
  <c r="BE66" i="5" s="1"/>
  <c r="AX35" i="5" s="1"/>
  <c r="AX37" i="5" s="1"/>
  <c r="AX38" i="5" s="1"/>
  <c r="AK206" i="5"/>
  <c r="AK196" i="5"/>
  <c r="AR195" i="5"/>
  <c r="AS196" i="5" s="1"/>
  <c r="J177" i="5"/>
  <c r="J177" i="3" s="1"/>
  <c r="J175" i="5"/>
  <c r="J175" i="3" s="1"/>
  <c r="J178" i="5"/>
  <c r="J178" i="3" s="1"/>
  <c r="CC56" i="5"/>
  <c r="H93" i="5" s="1"/>
  <c r="H119" i="3" s="1"/>
  <c r="CC44" i="5"/>
  <c r="CC45" i="5" s="1"/>
  <c r="H90" i="5" s="1"/>
  <c r="H116" i="3" s="1"/>
  <c r="J37" i="4"/>
  <c r="CA44" i="5"/>
  <c r="CA45" i="5" s="1"/>
  <c r="H89" i="5" s="1"/>
  <c r="H115" i="3" s="1"/>
  <c r="AW40" i="5"/>
  <c r="BN84" i="5"/>
  <c r="BN85" i="5" s="1"/>
  <c r="BP85" i="5" s="1"/>
  <c r="BP86" i="5" s="1"/>
  <c r="BD76" i="5"/>
  <c r="BE76" i="5" s="1"/>
  <c r="AY35" i="5" s="1"/>
  <c r="AY37" i="5" s="1"/>
  <c r="AP195" i="5"/>
  <c r="AP196" i="5" s="1"/>
  <c r="AN205" i="5"/>
  <c r="AP205" i="5" s="1"/>
  <c r="CA56" i="5"/>
  <c r="BF52" i="5"/>
  <c r="L58" i="3"/>
  <c r="U48" i="5"/>
  <c r="L60" i="3"/>
  <c r="AR48" i="5"/>
  <c r="L49" i="3"/>
  <c r="AO93" i="5"/>
  <c r="AO102" i="5"/>
  <c r="L283" i="5"/>
  <c r="L347" i="3" s="1"/>
  <c r="J347" i="3"/>
  <c r="U45" i="5"/>
  <c r="L47" i="3"/>
  <c r="L273" i="5"/>
  <c r="L337" i="3" s="1"/>
  <c r="J337" i="3"/>
  <c r="AK28" i="5"/>
  <c r="L56" i="3"/>
  <c r="L282" i="5"/>
  <c r="L346" i="3" s="1"/>
  <c r="J346" i="3"/>
  <c r="L274" i="5"/>
  <c r="L338" i="3" s="1"/>
  <c r="J338" i="3"/>
  <c r="AJ28" i="5"/>
  <c r="L54" i="3"/>
  <c r="L278" i="5"/>
  <c r="L342" i="3" s="1"/>
  <c r="J342" i="3"/>
  <c r="L277" i="5"/>
  <c r="L341" i="3" s="1"/>
  <c r="J341" i="3"/>
  <c r="L244" i="3"/>
  <c r="AM190" i="5"/>
  <c r="AM192" i="5" s="1"/>
  <c r="H134" i="5"/>
  <c r="H27" i="4" s="1"/>
  <c r="AO192" i="5"/>
  <c r="AO196" i="5" s="1"/>
  <c r="F201" i="3"/>
  <c r="BP52" i="5"/>
  <c r="BP54" i="5" s="1"/>
  <c r="BN52" i="5"/>
  <c r="BN54" i="5" s="1"/>
  <c r="BN55" i="5" s="1"/>
  <c r="BP55" i="5" s="1"/>
  <c r="AN119" i="5"/>
  <c r="N49" i="5"/>
  <c r="L52" i="5"/>
  <c r="AR112" i="5"/>
  <c r="BU25" i="5"/>
  <c r="BU47" i="5" s="1"/>
  <c r="BW53" i="5"/>
  <c r="BV16" i="5"/>
  <c r="AR137" i="5"/>
  <c r="CB43" i="5"/>
  <c r="CB42" i="5"/>
  <c r="AP139" i="5"/>
  <c r="AO139" i="5"/>
  <c r="BP62" i="5"/>
  <c r="BP64" i="5" s="1"/>
  <c r="BN62" i="5"/>
  <c r="AL119" i="5"/>
  <c r="BU29" i="5"/>
  <c r="BU31" i="5" s="1"/>
  <c r="BU32" i="5" s="1"/>
  <c r="BU38" i="5" s="1"/>
  <c r="BU39" i="5"/>
  <c r="CM11" i="5"/>
  <c r="BL74" i="5"/>
  <c r="BN71" i="5"/>
  <c r="BD30" i="5"/>
  <c r="BD33" i="5" s="1"/>
  <c r="BD34" i="5"/>
  <c r="BV24" i="5"/>
  <c r="BV23" i="5"/>
  <c r="BV27" i="5"/>
  <c r="BV22" i="5"/>
  <c r="BP72" i="5"/>
  <c r="BP74" i="5" s="1"/>
  <c r="BN72" i="5"/>
  <c r="J63" i="5"/>
  <c r="J61" i="3" s="1"/>
  <c r="J61" i="5"/>
  <c r="J59" i="3" s="1"/>
  <c r="J56" i="5"/>
  <c r="J54" i="3" s="1"/>
  <c r="J58" i="5"/>
  <c r="J56" i="3" s="1"/>
  <c r="AM119" i="5"/>
  <c r="BL64" i="5"/>
  <c r="BN61" i="5"/>
  <c r="BN64" i="5" s="1"/>
  <c r="AJ27" i="5"/>
  <c r="AJ26" i="5"/>
  <c r="BF29" i="5"/>
  <c r="BB30" i="5"/>
  <c r="BB33" i="5" s="1"/>
  <c r="BB34" i="5"/>
  <c r="BW23" i="5"/>
  <c r="BW25" i="5" s="1"/>
  <c r="BW22" i="5"/>
  <c r="BW24" i="5"/>
  <c r="BW27" i="5"/>
  <c r="U46" i="5"/>
  <c r="AL165" i="5" s="1"/>
  <c r="V166" i="5"/>
  <c r="P120" i="5"/>
  <c r="V170" i="5"/>
  <c r="U170" i="5"/>
  <c r="O120" i="5"/>
  <c r="AP102" i="5"/>
  <c r="AP93" i="5"/>
  <c r="U166" i="5"/>
  <c r="O116" i="5"/>
  <c r="P116" i="5"/>
  <c r="AP206" i="5"/>
  <c r="AK27" i="5"/>
  <c r="AK26" i="5"/>
  <c r="J47" i="5"/>
  <c r="J47" i="3" s="1"/>
  <c r="J60" i="5"/>
  <c r="J57" i="5"/>
  <c r="J55" i="3" s="1"/>
  <c r="J62" i="5"/>
  <c r="J55" i="5"/>
  <c r="J53" i="3" s="1"/>
  <c r="AO114" i="5"/>
  <c r="AP114" i="5"/>
  <c r="BC29" i="5"/>
  <c r="AQ196" i="5" l="1"/>
  <c r="BF59" i="5"/>
  <c r="H91" i="5"/>
  <c r="AQ206" i="5"/>
  <c r="AS206" i="5"/>
  <c r="W95" i="5"/>
  <c r="W97" i="5" s="1"/>
  <c r="AF143" i="5"/>
  <c r="AT141" i="5" s="1"/>
  <c r="AD141" i="5"/>
  <c r="Z69" i="5"/>
  <c r="BP56" i="5"/>
  <c r="BR49" i="5" s="1"/>
  <c r="BU40" i="5"/>
  <c r="H159" i="3"/>
  <c r="AY38" i="5"/>
  <c r="AY39" i="5"/>
  <c r="AL168" i="5"/>
  <c r="AR165" i="5"/>
  <c r="AR168" i="5" s="1"/>
  <c r="CB44" i="5"/>
  <c r="CB45" i="5" s="1"/>
  <c r="AF118" i="5"/>
  <c r="AT116" i="5" s="1"/>
  <c r="AD116" i="5"/>
  <c r="BN74" i="5"/>
  <c r="BN75" i="5" s="1"/>
  <c r="BP75" i="5" s="1"/>
  <c r="BP76" i="5" s="1"/>
  <c r="BQ76" i="5" s="1"/>
  <c r="L279" i="5"/>
  <c r="L343" i="3" s="1"/>
  <c r="L275" i="5"/>
  <c r="L284" i="5"/>
  <c r="L348" i="3" s="1"/>
  <c r="BF61" i="5"/>
  <c r="BF60" i="5"/>
  <c r="AX39" i="5" s="1"/>
  <c r="AX40" i="5" s="1"/>
  <c r="BW47" i="5"/>
  <c r="AP50" i="5"/>
  <c r="Y50" i="5"/>
  <c r="AI31" i="5"/>
  <c r="AL32" i="5" s="1"/>
  <c r="AO103" i="5"/>
  <c r="AO94" i="5"/>
  <c r="AO88" i="5"/>
  <c r="AO83" i="5"/>
  <c r="AN206" i="5"/>
  <c r="AN196" i="5"/>
  <c r="AN197" i="5" s="1"/>
  <c r="AN200" i="5" s="1"/>
  <c r="AM206" i="5"/>
  <c r="AL207" i="5" s="1"/>
  <c r="AL210" i="5" s="1"/>
  <c r="H117" i="3"/>
  <c r="O52" i="5"/>
  <c r="N64" i="5"/>
  <c r="J58" i="3"/>
  <c r="C64" i="3"/>
  <c r="M64" i="3"/>
  <c r="L64" i="3"/>
  <c r="L50" i="3"/>
  <c r="C20" i="2"/>
  <c r="N65" i="5"/>
  <c r="J60" i="3"/>
  <c r="AO206" i="5"/>
  <c r="AP207" i="5" s="1"/>
  <c r="AP210" i="5" s="1"/>
  <c r="AM196" i="5"/>
  <c r="AL197" i="5" s="1"/>
  <c r="AL200" i="5" s="1"/>
  <c r="BU26" i="5"/>
  <c r="BU43" i="5" s="1"/>
  <c r="BC30" i="5"/>
  <c r="BC33" i="5" s="1"/>
  <c r="BC34" i="5"/>
  <c r="BV39" i="5"/>
  <c r="BV29" i="5"/>
  <c r="BV31" i="5" s="1"/>
  <c r="BV32" i="5" s="1"/>
  <c r="BV38" i="5" s="1"/>
  <c r="AS28" i="5"/>
  <c r="AJ43" i="5"/>
  <c r="AK43" i="5" s="1"/>
  <c r="AL43" i="5" s="1"/>
  <c r="AM43" i="5" s="1"/>
  <c r="AN43" i="5" s="1"/>
  <c r="AR197" i="5"/>
  <c r="AR200" i="5" s="1"/>
  <c r="BW29" i="5"/>
  <c r="BW31" i="5" s="1"/>
  <c r="BW32" i="5" s="1"/>
  <c r="BW38" i="5" s="1"/>
  <c r="BW39" i="5"/>
  <c r="BF30" i="5"/>
  <c r="BF34" i="5"/>
  <c r="BV25" i="5"/>
  <c r="BV47" i="5" s="1"/>
  <c r="U169" i="5"/>
  <c r="V165" i="5"/>
  <c r="U165" i="5"/>
  <c r="AN165" i="5"/>
  <c r="V169" i="5"/>
  <c r="P119" i="5"/>
  <c r="P115" i="5"/>
  <c r="AP88" i="5"/>
  <c r="T69" i="5"/>
  <c r="L72" i="5" s="1"/>
  <c r="O119" i="5"/>
  <c r="O115" i="5"/>
  <c r="T74" i="5"/>
  <c r="L73" i="5" s="1"/>
  <c r="AP83" i="5"/>
  <c r="Z39" i="5"/>
  <c r="L68" i="5"/>
  <c r="L68" i="3" s="1"/>
  <c r="BW26" i="5"/>
  <c r="AP197" i="5"/>
  <c r="AP200" i="5" s="1"/>
  <c r="BQ86" i="5"/>
  <c r="BU54" i="5"/>
  <c r="AI29" i="5"/>
  <c r="BN65" i="5"/>
  <c r="BP65" i="5" s="1"/>
  <c r="BP66" i="5" s="1"/>
  <c r="AS112" i="5"/>
  <c r="AS115" i="5" s="1"/>
  <c r="AR117" i="5"/>
  <c r="V167" i="5"/>
  <c r="U167" i="5"/>
  <c r="O121" i="5"/>
  <c r="P117" i="5"/>
  <c r="AP103" i="5"/>
  <c r="AP94" i="5"/>
  <c r="P121" i="5"/>
  <c r="O117" i="5"/>
  <c r="O51" i="5"/>
  <c r="AA43" i="5"/>
  <c r="AB43" i="5" s="1"/>
  <c r="AC43" i="5" s="1"/>
  <c r="AD43" i="5" s="1"/>
  <c r="AE43" i="5" s="1"/>
  <c r="AI30" i="5"/>
  <c r="AR28" i="5"/>
  <c r="L107" i="5" s="1"/>
  <c r="L133" i="3" s="1"/>
  <c r="AS137" i="5"/>
  <c r="AS140" i="5" s="1"/>
  <c r="AR142" i="5"/>
  <c r="AR207" i="5" l="1"/>
  <c r="AR210" i="5" s="1"/>
  <c r="V95" i="5"/>
  <c r="X95" i="5"/>
  <c r="A149" i="5"/>
  <c r="AJ141" i="5"/>
  <c r="AU141" i="5"/>
  <c r="AQ145" i="5"/>
  <c r="AR145" i="5" s="1"/>
  <c r="BQ56" i="5"/>
  <c r="BU49" i="5" s="1"/>
  <c r="BU50" i="5" s="1"/>
  <c r="BU57" i="5" s="1"/>
  <c r="AK54" i="5"/>
  <c r="AJ54" i="5" s="1"/>
  <c r="AJ49" i="5" s="1"/>
  <c r="AA69" i="5"/>
  <c r="Z68" i="5"/>
  <c r="AD54" i="5"/>
  <c r="AD49" i="5" s="1"/>
  <c r="AE54" i="5"/>
  <c r="AE49" i="5" s="1"/>
  <c r="AA68" i="5"/>
  <c r="AF132" i="5"/>
  <c r="AF116" i="5" s="1"/>
  <c r="AF126" i="5" s="1"/>
  <c r="BW40" i="5"/>
  <c r="BV40" i="5"/>
  <c r="AY40" i="5"/>
  <c r="AU116" i="5"/>
  <c r="A148" i="5"/>
  <c r="AJ116" i="5"/>
  <c r="AS119" i="5"/>
  <c r="AT115" i="5"/>
  <c r="AS144" i="5"/>
  <c r="AT140" i="5"/>
  <c r="L73" i="3"/>
  <c r="K73" i="5"/>
  <c r="K73" i="3" s="1"/>
  <c r="M73" i="5"/>
  <c r="L339" i="3"/>
  <c r="J237" i="5"/>
  <c r="AF120" i="5"/>
  <c r="AR118" i="5" s="1"/>
  <c r="L72" i="3"/>
  <c r="K72" i="5"/>
  <c r="K72" i="3" s="1"/>
  <c r="M72" i="5"/>
  <c r="BV26" i="5"/>
  <c r="BV43" i="5" s="1"/>
  <c r="BF62" i="5"/>
  <c r="AC49" i="5"/>
  <c r="Z49" i="5"/>
  <c r="Z50" i="5"/>
  <c r="AA50" i="5" s="1"/>
  <c r="AB50" i="5" s="1"/>
  <c r="AC50" i="5" s="1"/>
  <c r="AD50" i="5" s="1"/>
  <c r="AE50" i="5" s="1"/>
  <c r="AF50" i="5" s="1"/>
  <c r="AG50" i="5" s="1"/>
  <c r="AH50" i="5" s="1"/>
  <c r="AI50" i="5" s="1"/>
  <c r="AB49" i="5"/>
  <c r="AA49" i="5"/>
  <c r="AO49" i="5"/>
  <c r="AL49" i="5"/>
  <c r="AO50" i="5"/>
  <c r="AN50" i="5" s="1"/>
  <c r="AM50" i="5" s="1"/>
  <c r="AL50" i="5" s="1"/>
  <c r="AK50" i="5" s="1"/>
  <c r="AJ50" i="5" s="1"/>
  <c r="AN49" i="5"/>
  <c r="AM49" i="5"/>
  <c r="AL31" i="5"/>
  <c r="AF157" i="5" s="1"/>
  <c r="AF141" i="5" s="1"/>
  <c r="AO97" i="5"/>
  <c r="AO85" i="5"/>
  <c r="AL30" i="5"/>
  <c r="AO105" i="5" s="1"/>
  <c r="AO96" i="5"/>
  <c r="AN207" i="5"/>
  <c r="AN210" i="5" s="1"/>
  <c r="AS211" i="5" s="1"/>
  <c r="AQ212" i="5" s="1"/>
  <c r="BU42" i="5"/>
  <c r="BU44" i="5" s="1"/>
  <c r="BU45" i="5" s="1"/>
  <c r="J89" i="5" s="1"/>
  <c r="J115" i="3" s="1"/>
  <c r="AA65" i="5"/>
  <c r="AA66" i="5"/>
  <c r="C34" i="2"/>
  <c r="G32" i="2"/>
  <c r="H35" i="2" s="1"/>
  <c r="AS201" i="5"/>
  <c r="AQ202" i="5" s="1"/>
  <c r="W169" i="5"/>
  <c r="W167" i="5" s="1"/>
  <c r="Y167" i="5" s="1"/>
  <c r="Q119" i="5"/>
  <c r="Q117" i="5" s="1"/>
  <c r="S117" i="5" s="1"/>
  <c r="AP99" i="5" s="1"/>
  <c r="Q115" i="5"/>
  <c r="S115" i="5" s="1"/>
  <c r="Q121" i="5"/>
  <c r="S121" i="5" s="1"/>
  <c r="AP97" i="5"/>
  <c r="AP98" i="5" s="1"/>
  <c r="AP85" i="5"/>
  <c r="AP86" i="5" s="1"/>
  <c r="W165" i="5"/>
  <c r="Y165" i="5" s="1"/>
  <c r="Y44" i="5"/>
  <c r="K68" i="5"/>
  <c r="K68" i="3" s="1"/>
  <c r="M68" i="5"/>
  <c r="BR59" i="5"/>
  <c r="BQ66" i="5"/>
  <c r="Y41" i="5"/>
  <c r="AA39" i="5"/>
  <c r="AB39" i="5" s="1"/>
  <c r="AC39" i="5" s="1"/>
  <c r="AD39" i="5" s="1"/>
  <c r="AE39" i="5" s="1"/>
  <c r="AF39" i="5" s="1"/>
  <c r="AG39" i="5" s="1"/>
  <c r="AH39" i="5" s="1"/>
  <c r="AI39" i="5" s="1"/>
  <c r="AJ39" i="5" s="1"/>
  <c r="AK39" i="5" s="1"/>
  <c r="AL39" i="5" s="1"/>
  <c r="AM39" i="5" s="1"/>
  <c r="AN39" i="5" s="1"/>
  <c r="AO39" i="5" s="1"/>
  <c r="AK201" i="5"/>
  <c r="L106" i="5"/>
  <c r="L132" i="3" s="1"/>
  <c r="H113" i="5"/>
  <c r="H139" i="3" s="1"/>
  <c r="K107" i="5"/>
  <c r="K133" i="3" s="1"/>
  <c r="M107" i="5"/>
  <c r="BS51" i="5"/>
  <c r="BR51" i="5"/>
  <c r="BR50" i="5"/>
  <c r="BB39" i="5" s="1"/>
  <c r="AT112" i="5"/>
  <c r="AT117" i="5" s="1"/>
  <c r="BD35" i="5"/>
  <c r="BD37" i="5" s="1"/>
  <c r="BD38" i="5" s="1"/>
  <c r="BW49" i="5"/>
  <c r="BW50" i="5" s="1"/>
  <c r="BW57" i="5" s="1"/>
  <c r="W170" i="5"/>
  <c r="Y170" i="5" s="1"/>
  <c r="Q116" i="5"/>
  <c r="S116" i="5" s="1"/>
  <c r="S118" i="5" s="1"/>
  <c r="Q120" i="5"/>
  <c r="S120" i="5" s="1"/>
  <c r="AP96" i="5"/>
  <c r="W166" i="5"/>
  <c r="Y166" i="5" s="1"/>
  <c r="Y168" i="5" s="1"/>
  <c r="BW42" i="5"/>
  <c r="BW43" i="5"/>
  <c r="AA63" i="5"/>
  <c r="AP165" i="5"/>
  <c r="AP168" i="5" s="1"/>
  <c r="AN168" i="5"/>
  <c r="AS141" i="5"/>
  <c r="AT137" i="5"/>
  <c r="AT142" i="5" s="1"/>
  <c r="BW55" i="5"/>
  <c r="BV55" i="5"/>
  <c r="BU55" i="5"/>
  <c r="BB35" i="5" l="1"/>
  <c r="AK49" i="5"/>
  <c r="AJ146" i="5"/>
  <c r="AJ147" i="5" s="1"/>
  <c r="AL141" i="5"/>
  <c r="AM141" i="5" s="1"/>
  <c r="AN141" i="5" s="1"/>
  <c r="AO141" i="5"/>
  <c r="AQ141" i="5" s="1"/>
  <c r="AJ145" i="5"/>
  <c r="AK145" i="5" s="1"/>
  <c r="X166" i="5"/>
  <c r="Z166" i="5" s="1"/>
  <c r="Z168" i="5" s="1"/>
  <c r="J355" i="5" s="1"/>
  <c r="M355" i="5" s="1"/>
  <c r="M235" i="3" s="1"/>
  <c r="AP105" i="5"/>
  <c r="AP107" i="5" s="1"/>
  <c r="X170" i="5"/>
  <c r="Z170" i="5" s="1"/>
  <c r="R120" i="5"/>
  <c r="T120" i="5" s="1"/>
  <c r="R116" i="5"/>
  <c r="T116" i="5" s="1"/>
  <c r="BW44" i="5"/>
  <c r="BW45" i="5" s="1"/>
  <c r="J90" i="5" s="1"/>
  <c r="J116" i="3" s="1"/>
  <c r="Y45" i="5"/>
  <c r="Z45" i="5" s="1"/>
  <c r="AA45" i="5" s="1"/>
  <c r="AB45" i="5" s="1"/>
  <c r="AC45" i="5" s="1"/>
  <c r="AD45" i="5" s="1"/>
  <c r="AE45" i="5" s="1"/>
  <c r="AJ45" i="5" s="1"/>
  <c r="AK45" i="5" s="1"/>
  <c r="R115" i="5"/>
  <c r="T115" i="5" s="1"/>
  <c r="AP106" i="5"/>
  <c r="AP108" i="5" s="1"/>
  <c r="R119" i="5"/>
  <c r="R117" i="5" s="1"/>
  <c r="T117" i="5" s="1"/>
  <c r="BV42" i="5"/>
  <c r="BV44" i="5" s="1"/>
  <c r="BV45" i="5" s="1"/>
  <c r="R121" i="5"/>
  <c r="T121" i="5" s="1"/>
  <c r="X165" i="5"/>
  <c r="Z165" i="5" s="1"/>
  <c r="J353" i="5" s="1"/>
  <c r="J233" i="3" s="1"/>
  <c r="AP90" i="5"/>
  <c r="AP91" i="5" s="1"/>
  <c r="X169" i="5"/>
  <c r="X167" i="5" s="1"/>
  <c r="Z167" i="5" s="1"/>
  <c r="AF151" i="5"/>
  <c r="AF145" i="5" s="1"/>
  <c r="AR143" i="5" s="1"/>
  <c r="J115" i="5"/>
  <c r="J141" i="3" s="1"/>
  <c r="BD39" i="5"/>
  <c r="BD40" i="5" s="1"/>
  <c r="AO116" i="5"/>
  <c r="AQ116" i="5" s="1"/>
  <c r="AS116" i="5" s="1"/>
  <c r="AL116" i="5"/>
  <c r="AM116" i="5" s="1"/>
  <c r="AN116" i="5" s="1"/>
  <c r="AJ120" i="5"/>
  <c r="AJ121" i="5"/>
  <c r="AJ122" i="5" s="1"/>
  <c r="AT119" i="5"/>
  <c r="AT120" i="5"/>
  <c r="AS120" i="5" s="1"/>
  <c r="J304" i="3"/>
  <c r="J256" i="5"/>
  <c r="L248" i="5"/>
  <c r="L247" i="5"/>
  <c r="H250" i="5"/>
  <c r="AT144" i="5"/>
  <c r="AT145" i="5"/>
  <c r="AS145" i="5" s="1"/>
  <c r="N73" i="5"/>
  <c r="M73" i="3"/>
  <c r="AE120" i="5"/>
  <c r="AK118" i="5" s="1"/>
  <c r="M72" i="3"/>
  <c r="N72" i="5"/>
  <c r="AK211" i="5"/>
  <c r="AM212" i="5" s="1"/>
  <c r="AF49" i="5"/>
  <c r="AG49" i="5" s="1"/>
  <c r="AH49" i="5" s="1"/>
  <c r="AI49" i="5" s="1"/>
  <c r="Y169" i="5"/>
  <c r="AO106" i="5"/>
  <c r="AO90" i="5"/>
  <c r="S119" i="5"/>
  <c r="L47" i="2"/>
  <c r="C40" i="2"/>
  <c r="H38" i="2"/>
  <c r="H39" i="2"/>
  <c r="N68" i="5"/>
  <c r="M68" i="3"/>
  <c r="N107" i="5"/>
  <c r="M133" i="3"/>
  <c r="BU56" i="5"/>
  <c r="BR52" i="5"/>
  <c r="AP41" i="5"/>
  <c r="Z41" i="5"/>
  <c r="AL40" i="5"/>
  <c r="AH40" i="5"/>
  <c r="AD40" i="5"/>
  <c r="Z40" i="5"/>
  <c r="AO40" i="5"/>
  <c r="AK40" i="5"/>
  <c r="AG40" i="5"/>
  <c r="AC40" i="5"/>
  <c r="AN40" i="5"/>
  <c r="AF40" i="5"/>
  <c r="AI40" i="5"/>
  <c r="AM40" i="5"/>
  <c r="AE40" i="5"/>
  <c r="AJ40" i="5"/>
  <c r="AB40" i="5"/>
  <c r="AA40" i="5"/>
  <c r="AS139" i="5"/>
  <c r="AT139" i="5"/>
  <c r="AT114" i="5"/>
  <c r="AS114" i="5"/>
  <c r="M106" i="5"/>
  <c r="K106" i="5"/>
  <c r="K132" i="3" s="1"/>
  <c r="BF35" i="5"/>
  <c r="BF37" i="5" s="1"/>
  <c r="BB37" i="5"/>
  <c r="BB38" i="5" s="1"/>
  <c r="BB40" i="5" s="1"/>
  <c r="BC35" i="5"/>
  <c r="BC37" i="5" s="1"/>
  <c r="BC38" i="5" s="1"/>
  <c r="BV49" i="5"/>
  <c r="BV50" i="5" s="1"/>
  <c r="BV57" i="5" s="1"/>
  <c r="BW56" i="5"/>
  <c r="J93" i="5" s="1"/>
  <c r="AO202" i="5"/>
  <c r="AM202" i="5"/>
  <c r="BR61" i="5"/>
  <c r="BR60" i="5"/>
  <c r="BC39" i="5" s="1"/>
  <c r="AS169" i="5"/>
  <c r="AQ170" i="5" s="1"/>
  <c r="AK169" i="5"/>
  <c r="K113" i="5"/>
  <c r="K139" i="3" s="1"/>
  <c r="M113" i="5"/>
  <c r="Z44" i="5"/>
  <c r="Y47" i="5"/>
  <c r="Y52" i="5" s="1"/>
  <c r="J91" i="5" l="1"/>
  <c r="T119" i="5"/>
  <c r="T118" i="5"/>
  <c r="J117" i="5" s="1"/>
  <c r="J143" i="3" s="1"/>
  <c r="J235" i="3"/>
  <c r="J116" i="5"/>
  <c r="J142" i="3" s="1"/>
  <c r="T129" i="5"/>
  <c r="AJ46" i="5"/>
  <c r="AJ51" i="5" s="1"/>
  <c r="AJ56" i="5" s="1"/>
  <c r="Z169" i="5"/>
  <c r="AQ120" i="5"/>
  <c r="AR120" i="5" s="1"/>
  <c r="J354" i="5"/>
  <c r="L372" i="5" s="1"/>
  <c r="T128" i="5"/>
  <c r="AE145" i="5"/>
  <c r="AK143" i="5" s="1"/>
  <c r="AO145" i="5" s="1"/>
  <c r="AP145" i="5" s="1"/>
  <c r="BC40" i="5"/>
  <c r="J120" i="5"/>
  <c r="J146" i="3" s="1"/>
  <c r="J314" i="5"/>
  <c r="J16" i="4" s="1"/>
  <c r="J117" i="3"/>
  <c r="K91" i="5"/>
  <c r="AK120" i="5"/>
  <c r="J119" i="3"/>
  <c r="K93" i="5"/>
  <c r="L314" i="3"/>
  <c r="M247" i="5"/>
  <c r="K247" i="5"/>
  <c r="K314" i="3" s="1"/>
  <c r="L315" i="3"/>
  <c r="K248" i="5"/>
  <c r="K315" i="3" s="1"/>
  <c r="M248" i="5"/>
  <c r="J322" i="3"/>
  <c r="L265" i="5"/>
  <c r="L264" i="5"/>
  <c r="H317" i="3"/>
  <c r="K250" i="5"/>
  <c r="K317" i="3" s="1"/>
  <c r="M250" i="5"/>
  <c r="AO212" i="5"/>
  <c r="AO213" i="5" s="1"/>
  <c r="AK121" i="5"/>
  <c r="AO120" i="5"/>
  <c r="AP120" i="5" s="1"/>
  <c r="AL120" i="5"/>
  <c r="AN120" i="5"/>
  <c r="AM120" i="5"/>
  <c r="L55" i="2"/>
  <c r="L54" i="2"/>
  <c r="N113" i="5"/>
  <c r="M139" i="3"/>
  <c r="N106" i="5"/>
  <c r="M132" i="3"/>
  <c r="BR62" i="5"/>
  <c r="Y57" i="5"/>
  <c r="Y53" i="5"/>
  <c r="Z46" i="5"/>
  <c r="Z51" i="5" s="1"/>
  <c r="Z47" i="5"/>
  <c r="Z52" i="5" s="1"/>
  <c r="AA44" i="5"/>
  <c r="BV56" i="5"/>
  <c r="AA41" i="5"/>
  <c r="AO170" i="5"/>
  <c r="AM170" i="5"/>
  <c r="AL45" i="5"/>
  <c r="AK46" i="5"/>
  <c r="AK51" i="5" s="1"/>
  <c r="AK56" i="5" s="1"/>
  <c r="AK47" i="5"/>
  <c r="G115" i="5" l="1"/>
  <c r="G141" i="3" s="1"/>
  <c r="AO203" i="5"/>
  <c r="H131" i="5"/>
  <c r="H156" i="3" s="1"/>
  <c r="C125" i="5"/>
  <c r="C151" i="3" s="1"/>
  <c r="G116" i="5"/>
  <c r="G142" i="3" s="1"/>
  <c r="J333" i="5"/>
  <c r="L336" i="5" s="1"/>
  <c r="L51" i="4" s="1"/>
  <c r="J334" i="5"/>
  <c r="J49" i="4" s="1"/>
  <c r="J317" i="5"/>
  <c r="J318" i="5" s="1"/>
  <c r="J20" i="4" s="1"/>
  <c r="M117" i="5"/>
  <c r="M143" i="3" s="1"/>
  <c r="L252" i="3"/>
  <c r="J377" i="5"/>
  <c r="I377" i="5" s="1"/>
  <c r="I257" i="3" s="1"/>
  <c r="K372" i="5"/>
  <c r="K252" i="3" s="1"/>
  <c r="M372" i="5"/>
  <c r="N372" i="5" s="1"/>
  <c r="L371" i="5"/>
  <c r="L251" i="3" s="1"/>
  <c r="H364" i="5"/>
  <c r="H244" i="3" s="1"/>
  <c r="J164" i="5"/>
  <c r="J164" i="3" s="1"/>
  <c r="J381" i="5"/>
  <c r="H213" i="5"/>
  <c r="J234" i="3"/>
  <c r="G353" i="5"/>
  <c r="G233" i="3" s="1"/>
  <c r="H381" i="5"/>
  <c r="C361" i="5"/>
  <c r="C241" i="3" s="1"/>
  <c r="G354" i="5"/>
  <c r="G234" i="3" s="1"/>
  <c r="AM145" i="5"/>
  <c r="AL145" i="5"/>
  <c r="AK146" i="5"/>
  <c r="AK147" i="5" s="1"/>
  <c r="AN145" i="5"/>
  <c r="L126" i="5"/>
  <c r="L152" i="3" s="1"/>
  <c r="J121" i="5"/>
  <c r="J147" i="3" s="1"/>
  <c r="AS129" i="5"/>
  <c r="O145" i="5" s="1"/>
  <c r="AS128" i="5"/>
  <c r="O144" i="5" s="1"/>
  <c r="M93" i="5"/>
  <c r="K119" i="3"/>
  <c r="M91" i="5"/>
  <c r="K117" i="3"/>
  <c r="K131" i="5"/>
  <c r="K474" i="5" s="1"/>
  <c r="K365" i="3" s="1"/>
  <c r="M317" i="3"/>
  <c r="N250" i="5"/>
  <c r="L331" i="3"/>
  <c r="K265" i="5"/>
  <c r="K331" i="3" s="1"/>
  <c r="H267" i="5"/>
  <c r="M265" i="5"/>
  <c r="N248" i="5"/>
  <c r="M315" i="3"/>
  <c r="M314" i="3"/>
  <c r="N247" i="5"/>
  <c r="L330" i="3"/>
  <c r="M264" i="5"/>
  <c r="K264" i="5"/>
  <c r="K330" i="3" s="1"/>
  <c r="L74" i="5"/>
  <c r="AK122" i="5"/>
  <c r="AO121" i="5"/>
  <c r="AL121" i="5"/>
  <c r="H474" i="5"/>
  <c r="H365" i="3" s="1"/>
  <c r="H65" i="2"/>
  <c r="F44" i="2"/>
  <c r="J92" i="5"/>
  <c r="H92" i="5"/>
  <c r="AL46" i="5"/>
  <c r="AL51" i="5" s="1"/>
  <c r="AL56" i="5" s="1"/>
  <c r="AL47" i="5"/>
  <c r="AM45" i="5"/>
  <c r="Z56" i="5"/>
  <c r="J291" i="5"/>
  <c r="AB41" i="5"/>
  <c r="Z57" i="5"/>
  <c r="Z53" i="5"/>
  <c r="AA46" i="5"/>
  <c r="AA51" i="5" s="1"/>
  <c r="AA56" i="5" s="1"/>
  <c r="AA47" i="5"/>
  <c r="AA52" i="5" s="1"/>
  <c r="AB44" i="5"/>
  <c r="J172" i="5" l="1"/>
  <c r="P181" i="5" s="1"/>
  <c r="J181" i="5" s="1"/>
  <c r="J344" i="5"/>
  <c r="K334" i="5"/>
  <c r="K49" i="4" s="1"/>
  <c r="J475" i="5"/>
  <c r="J366" i="3" s="1"/>
  <c r="M131" i="5"/>
  <c r="N131" i="5" s="1"/>
  <c r="M334" i="5"/>
  <c r="M49" i="4" s="1"/>
  <c r="J257" i="3"/>
  <c r="J19" i="4"/>
  <c r="M126" i="5"/>
  <c r="M152" i="3" s="1"/>
  <c r="L323" i="5"/>
  <c r="L25" i="4" s="1"/>
  <c r="J48" i="4"/>
  <c r="M371" i="5"/>
  <c r="M251" i="3" s="1"/>
  <c r="M377" i="5"/>
  <c r="M257" i="3" s="1"/>
  <c r="M364" i="5"/>
  <c r="N364" i="5" s="1"/>
  <c r="K364" i="5"/>
  <c r="K244" i="3" s="1"/>
  <c r="K371" i="5"/>
  <c r="K251" i="3" s="1"/>
  <c r="M252" i="3"/>
  <c r="L208" i="5"/>
  <c r="O208" i="5" s="1"/>
  <c r="J179" i="5"/>
  <c r="J180" i="5" s="1"/>
  <c r="J180" i="3" s="1"/>
  <c r="J172" i="3"/>
  <c r="C193" i="5"/>
  <c r="H133" i="5"/>
  <c r="H158" i="3" s="1"/>
  <c r="J216" i="5"/>
  <c r="H213" i="3"/>
  <c r="H411" i="5"/>
  <c r="H282" i="3" s="1"/>
  <c r="H260" i="3"/>
  <c r="J260" i="3"/>
  <c r="J411" i="5"/>
  <c r="J282" i="3" s="1"/>
  <c r="Q401" i="5"/>
  <c r="Q400" i="5" s="1"/>
  <c r="L399" i="5" s="1"/>
  <c r="AB394" i="5"/>
  <c r="L400" i="5"/>
  <c r="M181" i="5"/>
  <c r="M181" i="3" s="1"/>
  <c r="J181" i="3"/>
  <c r="Q176" i="5"/>
  <c r="N181" i="5"/>
  <c r="AO146" i="5"/>
  <c r="AP146" i="5" s="1"/>
  <c r="AL146" i="5"/>
  <c r="AL147" i="5" s="1"/>
  <c r="AS153" i="5"/>
  <c r="P144" i="5" s="1"/>
  <c r="L144" i="5" s="1"/>
  <c r="AS154" i="5"/>
  <c r="P145" i="5" s="1"/>
  <c r="L145" i="5" s="1"/>
  <c r="K126" i="5"/>
  <c r="K152" i="3" s="1"/>
  <c r="K156" i="3"/>
  <c r="P126" i="5"/>
  <c r="O323" i="5" s="1"/>
  <c r="K92" i="5"/>
  <c r="M92" i="5" s="1"/>
  <c r="N91" i="5"/>
  <c r="M117" i="3"/>
  <c r="N93" i="5"/>
  <c r="M119" i="3"/>
  <c r="N265" i="5"/>
  <c r="M331" i="3"/>
  <c r="H333" i="3"/>
  <c r="K267" i="5"/>
  <c r="K333" i="3" s="1"/>
  <c r="M267" i="5"/>
  <c r="N264" i="5"/>
  <c r="M330" i="3"/>
  <c r="AO122" i="5"/>
  <c r="B155" i="5" s="1"/>
  <c r="AP121" i="5"/>
  <c r="L74" i="3"/>
  <c r="J79" i="5"/>
  <c r="CM12" i="5"/>
  <c r="M74" i="5"/>
  <c r="H76" i="5"/>
  <c r="H76" i="3" s="1"/>
  <c r="K74" i="5"/>
  <c r="K74" i="3" s="1"/>
  <c r="AL122" i="5"/>
  <c r="AM121" i="5"/>
  <c r="AF73" i="5"/>
  <c r="M336" i="5"/>
  <c r="M51" i="4" s="1"/>
  <c r="O502" i="5"/>
  <c r="G62" i="2"/>
  <c r="C59" i="2" s="1"/>
  <c r="G58" i="2"/>
  <c r="K336" i="5"/>
  <c r="K51" i="4" s="1"/>
  <c r="H345" i="5"/>
  <c r="H60" i="4" s="1"/>
  <c r="J59" i="4"/>
  <c r="H94" i="5"/>
  <c r="H120" i="3" s="1"/>
  <c r="H118" i="3"/>
  <c r="L301" i="5"/>
  <c r="L39" i="4" s="1"/>
  <c r="J29" i="4"/>
  <c r="J94" i="5"/>
  <c r="J120" i="3" s="1"/>
  <c r="J118" i="3"/>
  <c r="AA53" i="5"/>
  <c r="AA57" i="5"/>
  <c r="AB47" i="5"/>
  <c r="AB52" i="5" s="1"/>
  <c r="AC44" i="5"/>
  <c r="AB46" i="5"/>
  <c r="AB51" i="5" s="1"/>
  <c r="AB56" i="5" s="1"/>
  <c r="N334" i="5"/>
  <c r="N124" i="5"/>
  <c r="AM46" i="5"/>
  <c r="AM51" i="5" s="1"/>
  <c r="AM56" i="5" s="1"/>
  <c r="AM47" i="5"/>
  <c r="AN45" i="5"/>
  <c r="M323" i="5"/>
  <c r="M25" i="4" s="1"/>
  <c r="AC41" i="5"/>
  <c r="L475" i="5" l="1"/>
  <c r="L366" i="3" s="1"/>
  <c r="P484" i="5"/>
  <c r="P485" i="5" s="1"/>
  <c r="K118" i="3"/>
  <c r="N126" i="5"/>
  <c r="M156" i="3"/>
  <c r="N377" i="5"/>
  <c r="K133" i="5"/>
  <c r="K158" i="3" s="1"/>
  <c r="L226" i="5"/>
  <c r="L226" i="3" s="1"/>
  <c r="M133" i="5"/>
  <c r="J179" i="3"/>
  <c r="AM146" i="5"/>
  <c r="AO147" i="5"/>
  <c r="B156" i="5" s="1"/>
  <c r="P183" i="5"/>
  <c r="N371" i="5"/>
  <c r="L208" i="3"/>
  <c r="K208" i="5"/>
  <c r="K226" i="5" s="1"/>
  <c r="K226" i="3" s="1"/>
  <c r="M208" i="5"/>
  <c r="N208" i="5" s="1"/>
  <c r="P182" i="5"/>
  <c r="L191" i="5"/>
  <c r="L223" i="5" s="1"/>
  <c r="L223" i="3" s="1"/>
  <c r="M244" i="3"/>
  <c r="C193" i="3"/>
  <c r="J198" i="5"/>
  <c r="L278" i="3"/>
  <c r="L427" i="5"/>
  <c r="L298" i="3" s="1"/>
  <c r="K399" i="5"/>
  <c r="M399" i="5"/>
  <c r="L279" i="3"/>
  <c r="K400" i="5"/>
  <c r="M400" i="5"/>
  <c r="L428" i="5"/>
  <c r="L299" i="3" s="1"/>
  <c r="J216" i="3"/>
  <c r="H217" i="5"/>
  <c r="AB397" i="5"/>
  <c r="AB398" i="5" s="1"/>
  <c r="AB403" i="5" s="1"/>
  <c r="AB404" i="5" s="1"/>
  <c r="AD394" i="5"/>
  <c r="AD397" i="5" s="1"/>
  <c r="AD398" i="5" s="1"/>
  <c r="AD403" i="5" s="1"/>
  <c r="AD404" i="5" s="1"/>
  <c r="N336" i="5"/>
  <c r="K323" i="5"/>
  <c r="K25" i="4" s="1"/>
  <c r="L96" i="3"/>
  <c r="K145" i="5"/>
  <c r="K96" i="3" s="1"/>
  <c r="M145" i="5"/>
  <c r="M144" i="5"/>
  <c r="N144" i="5" s="1"/>
  <c r="K144" i="5"/>
  <c r="K95" i="3" s="1"/>
  <c r="L95" i="3"/>
  <c r="AN146" i="5"/>
  <c r="AN147" i="5" s="1"/>
  <c r="AM147" i="5"/>
  <c r="AP147" i="5"/>
  <c r="AQ146" i="5"/>
  <c r="M333" i="3"/>
  <c r="N267" i="5"/>
  <c r="AM122" i="5"/>
  <c r="AN121" i="5"/>
  <c r="AN122" i="5" s="1"/>
  <c r="J79" i="3"/>
  <c r="I79" i="5"/>
  <c r="I79" i="3" s="1"/>
  <c r="P79" i="5"/>
  <c r="CA224" i="5"/>
  <c r="M74" i="3"/>
  <c r="N74" i="5"/>
  <c r="M79" i="5"/>
  <c r="AQ121" i="5"/>
  <c r="AP122" i="5"/>
  <c r="R484" i="5"/>
  <c r="S484" i="5" s="1"/>
  <c r="K345" i="5"/>
  <c r="K60" i="4" s="1"/>
  <c r="M301" i="5"/>
  <c r="M39" i="4" s="1"/>
  <c r="M345" i="5"/>
  <c r="M60" i="4" s="1"/>
  <c r="L134" i="5"/>
  <c r="L27" i="4" s="1"/>
  <c r="K301" i="5"/>
  <c r="K39" i="4" s="1"/>
  <c r="N133" i="5"/>
  <c r="M158" i="3"/>
  <c r="N92" i="5"/>
  <c r="M118" i="3"/>
  <c r="P486" i="5"/>
  <c r="R485" i="5"/>
  <c r="S485" i="5" s="1"/>
  <c r="AB53" i="5"/>
  <c r="AB57" i="5"/>
  <c r="AN47" i="5"/>
  <c r="AO45" i="5"/>
  <c r="AN46" i="5"/>
  <c r="AN51" i="5" s="1"/>
  <c r="AN56" i="5" s="1"/>
  <c r="AD41" i="5"/>
  <c r="AD44" i="5"/>
  <c r="AC46" i="5"/>
  <c r="AC51" i="5" s="1"/>
  <c r="AC56" i="5" s="1"/>
  <c r="AC47" i="5"/>
  <c r="AC52" i="5" s="1"/>
  <c r="K191" i="5" l="1"/>
  <c r="K191" i="3" s="1"/>
  <c r="M208" i="3"/>
  <c r="K208" i="3"/>
  <c r="M191" i="5"/>
  <c r="M191" i="3" s="1"/>
  <c r="O191" i="5"/>
  <c r="Z190" i="5" s="1"/>
  <c r="F191" i="5" s="1"/>
  <c r="F191" i="3" s="1"/>
  <c r="L191" i="3"/>
  <c r="M226" i="5"/>
  <c r="M226" i="3" s="1"/>
  <c r="M79" i="3"/>
  <c r="N79" i="5"/>
  <c r="L217" i="5"/>
  <c r="L217" i="3" s="1"/>
  <c r="J198" i="3"/>
  <c r="L209" i="5"/>
  <c r="M279" i="3"/>
  <c r="N400" i="5"/>
  <c r="N399" i="5"/>
  <c r="M278" i="3"/>
  <c r="H217" i="3"/>
  <c r="M217" i="5"/>
  <c r="K428" i="5"/>
  <c r="K299" i="3" s="1"/>
  <c r="K279" i="3"/>
  <c r="K278" i="3"/>
  <c r="K427" i="5"/>
  <c r="K298" i="3" s="1"/>
  <c r="M95" i="3"/>
  <c r="N191" i="5"/>
  <c r="K223" i="5"/>
  <c r="K223" i="3" s="1"/>
  <c r="AS155" i="5"/>
  <c r="P146" i="5" s="1"/>
  <c r="A153" i="5" s="1"/>
  <c r="E153" i="5" s="1"/>
  <c r="N145" i="5"/>
  <c r="M96" i="3"/>
  <c r="AQ147" i="5"/>
  <c r="AS156" i="5" s="1"/>
  <c r="P147" i="5" s="1"/>
  <c r="A156" i="5" s="1"/>
  <c r="E156" i="5" s="1"/>
  <c r="AR146" i="5"/>
  <c r="AS130" i="5"/>
  <c r="O146" i="5" s="1"/>
  <c r="L146" i="5" s="1"/>
  <c r="T485" i="5"/>
  <c r="U485" i="5" s="1"/>
  <c r="AQ122" i="5"/>
  <c r="AS131" i="5" s="1"/>
  <c r="O147" i="5" s="1"/>
  <c r="L147" i="5" s="1"/>
  <c r="AR121" i="5"/>
  <c r="N301" i="5"/>
  <c r="M134" i="5"/>
  <c r="M27" i="4" s="1"/>
  <c r="K134" i="5"/>
  <c r="K27" i="4" s="1"/>
  <c r="L159" i="3"/>
  <c r="N125" i="5"/>
  <c r="N345" i="5"/>
  <c r="AC57" i="5"/>
  <c r="AC53" i="5"/>
  <c r="AE41" i="5"/>
  <c r="AD46" i="5"/>
  <c r="AD51" i="5" s="1"/>
  <c r="AD56" i="5" s="1"/>
  <c r="AD47" i="5"/>
  <c r="AD52" i="5" s="1"/>
  <c r="AE44" i="5"/>
  <c r="AP45" i="5"/>
  <c r="AP47" i="5" s="1"/>
  <c r="AP52" i="5" s="1"/>
  <c r="AO46" i="5"/>
  <c r="AO51" i="5" s="1"/>
  <c r="AO56" i="5" s="1"/>
  <c r="AO47" i="5"/>
  <c r="P487" i="5"/>
  <c r="R486" i="5"/>
  <c r="S486" i="5" s="1"/>
  <c r="T486" i="5" s="1"/>
  <c r="U486" i="5" s="1"/>
  <c r="M223" i="5" l="1"/>
  <c r="M223" i="3" s="1"/>
  <c r="H224" i="5"/>
  <c r="H224" i="3" s="1"/>
  <c r="O217" i="5"/>
  <c r="Y190" i="5" s="1"/>
  <c r="K217" i="5"/>
  <c r="K217" i="3" s="1"/>
  <c r="M209" i="5"/>
  <c r="O209" i="5"/>
  <c r="AA190" i="5" s="1"/>
  <c r="K209" i="5"/>
  <c r="L227" i="5"/>
  <c r="L227" i="3" s="1"/>
  <c r="L209" i="3"/>
  <c r="M217" i="3"/>
  <c r="N217" i="5"/>
  <c r="A152" i="5"/>
  <c r="E152" i="5" s="1"/>
  <c r="AR147" i="5"/>
  <c r="AS146" i="5"/>
  <c r="A155" i="5"/>
  <c r="G156" i="5" s="1"/>
  <c r="G107" i="3" s="1"/>
  <c r="K153" i="5"/>
  <c r="K104" i="3" s="1"/>
  <c r="J154" i="5"/>
  <c r="K146" i="5"/>
  <c r="K97" i="3" s="1"/>
  <c r="L97" i="3"/>
  <c r="M146" i="5"/>
  <c r="AS121" i="5"/>
  <c r="AR122" i="5"/>
  <c r="L98" i="3"/>
  <c r="M147" i="5"/>
  <c r="K147" i="5"/>
  <c r="K98" i="3" s="1"/>
  <c r="J157" i="5"/>
  <c r="M159" i="3"/>
  <c r="N134" i="5"/>
  <c r="K159" i="3"/>
  <c r="AD57" i="5"/>
  <c r="AD53" i="5"/>
  <c r="P488" i="5"/>
  <c r="R487" i="5"/>
  <c r="S487" i="5" s="1"/>
  <c r="T487" i="5" s="1"/>
  <c r="U487" i="5" s="1"/>
  <c r="AP57" i="5"/>
  <c r="AP53" i="5"/>
  <c r="AE46" i="5"/>
  <c r="AE47" i="5"/>
  <c r="AF47" i="5" s="1"/>
  <c r="AG47" i="5" s="1"/>
  <c r="AH47" i="5" s="1"/>
  <c r="AI47" i="5" s="1"/>
  <c r="AJ47" i="5" s="1"/>
  <c r="AJ44" i="5"/>
  <c r="AK44" i="5" s="1"/>
  <c r="AL44" i="5" s="1"/>
  <c r="AM44" i="5" s="1"/>
  <c r="AN44" i="5" s="1"/>
  <c r="AO44" i="5" s="1"/>
  <c r="AP44" i="5" s="1"/>
  <c r="AF41" i="5"/>
  <c r="E155" i="5" l="1"/>
  <c r="W190" i="5"/>
  <c r="F210" i="5" s="1"/>
  <c r="H228" i="5" s="1"/>
  <c r="H228" i="3" s="1"/>
  <c r="K227" i="5"/>
  <c r="K227" i="3" s="1"/>
  <c r="K209" i="3"/>
  <c r="M227" i="5"/>
  <c r="M227" i="3" s="1"/>
  <c r="N209" i="5"/>
  <c r="M209" i="3"/>
  <c r="G153" i="5"/>
  <c r="G104" i="3" s="1"/>
  <c r="AT146" i="5"/>
  <c r="AS147" i="5"/>
  <c r="J105" i="3"/>
  <c r="I154" i="5"/>
  <c r="I105" i="3" s="1"/>
  <c r="M154" i="5"/>
  <c r="M97" i="3"/>
  <c r="N146" i="5"/>
  <c r="L80" i="5"/>
  <c r="AF76" i="5" s="1"/>
  <c r="M98" i="3"/>
  <c r="M157" i="5"/>
  <c r="N147" i="5"/>
  <c r="J108" i="3"/>
  <c r="I157" i="5"/>
  <c r="I108" i="3" s="1"/>
  <c r="AS122" i="5"/>
  <c r="AT121" i="5"/>
  <c r="AE52" i="5"/>
  <c r="AE53" i="5" s="1"/>
  <c r="P489" i="5"/>
  <c r="R488" i="5"/>
  <c r="S488" i="5" s="1"/>
  <c r="T488" i="5" s="1"/>
  <c r="U488" i="5" s="1"/>
  <c r="AF52" i="5"/>
  <c r="AG41" i="5"/>
  <c r="AF46" i="5"/>
  <c r="AE51" i="5"/>
  <c r="F210" i="3" l="1"/>
  <c r="AT147" i="5"/>
  <c r="AU146" i="5"/>
  <c r="AU147" i="5" s="1"/>
  <c r="AE56" i="5"/>
  <c r="M105" i="3"/>
  <c r="N154" i="5"/>
  <c r="L80" i="3"/>
  <c r="J85" i="5"/>
  <c r="M80" i="5"/>
  <c r="CM13" i="5"/>
  <c r="H82" i="5"/>
  <c r="H82" i="3" s="1"/>
  <c r="K80" i="5"/>
  <c r="K80" i="3" s="1"/>
  <c r="N157" i="5"/>
  <c r="M108" i="3"/>
  <c r="AU121" i="5"/>
  <c r="AU122" i="5" s="1"/>
  <c r="AT122" i="5"/>
  <c r="AE57" i="5"/>
  <c r="AG46" i="5"/>
  <c r="AF51" i="5"/>
  <c r="AF56" i="5" s="1"/>
  <c r="AG52" i="5"/>
  <c r="AH41" i="5"/>
  <c r="AF53" i="5"/>
  <c r="AF57" i="5"/>
  <c r="R489" i="5"/>
  <c r="S489" i="5" s="1"/>
  <c r="T489" i="5" s="1"/>
  <c r="U489" i="5" s="1"/>
  <c r="P490" i="5"/>
  <c r="AS157" i="5" l="1"/>
  <c r="P148" i="5" s="1"/>
  <c r="A159" i="5" s="1"/>
  <c r="E159" i="5" s="1"/>
  <c r="AS132" i="5"/>
  <c r="O148" i="5" s="1"/>
  <c r="M80" i="3"/>
  <c r="M85" i="5"/>
  <c r="N80" i="5"/>
  <c r="J85" i="3"/>
  <c r="P85" i="5"/>
  <c r="I85" i="5"/>
  <c r="I85" i="3" s="1"/>
  <c r="CA227" i="5"/>
  <c r="AH46" i="5"/>
  <c r="AG51" i="5"/>
  <c r="AG56" i="5" s="1"/>
  <c r="P491" i="5"/>
  <c r="R490" i="5"/>
  <c r="S490" i="5" s="1"/>
  <c r="T490" i="5" s="1"/>
  <c r="U490" i="5" s="1"/>
  <c r="AH52" i="5"/>
  <c r="AI41" i="5"/>
  <c r="AG57" i="5"/>
  <c r="AG53" i="5"/>
  <c r="M85" i="3" l="1"/>
  <c r="N85" i="5"/>
  <c r="L148" i="5"/>
  <c r="L99" i="3" s="1"/>
  <c r="A158" i="5"/>
  <c r="E158" i="5" s="1"/>
  <c r="AH57" i="5"/>
  <c r="AH53" i="5"/>
  <c r="AI46" i="5"/>
  <c r="AI51" i="5" s="1"/>
  <c r="AH51" i="5"/>
  <c r="AH56" i="5" s="1"/>
  <c r="P492" i="5"/>
  <c r="R491" i="5"/>
  <c r="S491" i="5" s="1"/>
  <c r="T491" i="5" s="1"/>
  <c r="U491" i="5" s="1"/>
  <c r="AI52" i="5"/>
  <c r="AJ41" i="5"/>
  <c r="CM15" i="5" l="1"/>
  <c r="CM16" i="5" s="1"/>
  <c r="K148" i="5"/>
  <c r="K99" i="3" s="1"/>
  <c r="M148" i="5"/>
  <c r="N148" i="5" s="1"/>
  <c r="J160" i="5"/>
  <c r="J111" i="3" s="1"/>
  <c r="G159" i="5"/>
  <c r="G110" i="3" s="1"/>
  <c r="AI56" i="5"/>
  <c r="L69" i="5"/>
  <c r="AI53" i="5"/>
  <c r="AI57" i="5"/>
  <c r="P493" i="5"/>
  <c r="R492" i="5"/>
  <c r="S492" i="5" s="1"/>
  <c r="T492" i="5" s="1"/>
  <c r="U492" i="5" s="1"/>
  <c r="AJ52" i="5"/>
  <c r="AK41" i="5"/>
  <c r="M99" i="3" l="1"/>
  <c r="CM17" i="5"/>
  <c r="M160" i="5"/>
  <c r="M111" i="3" s="1"/>
  <c r="CM18" i="5"/>
  <c r="I160" i="5"/>
  <c r="I111" i="3" s="1"/>
  <c r="L69" i="3"/>
  <c r="AF70" i="5"/>
  <c r="K69" i="5"/>
  <c r="K69" i="3" s="1"/>
  <c r="M69" i="5"/>
  <c r="P494" i="5"/>
  <c r="R493" i="5"/>
  <c r="S493" i="5" s="1"/>
  <c r="T493" i="5" s="1"/>
  <c r="U493" i="5" s="1"/>
  <c r="AK52" i="5"/>
  <c r="AL41" i="5"/>
  <c r="AJ53" i="5"/>
  <c r="AJ57" i="5"/>
  <c r="N160" i="5" l="1"/>
  <c r="N69" i="5"/>
  <c r="M69" i="3"/>
  <c r="AM41" i="5"/>
  <c r="AL52" i="5"/>
  <c r="AK57" i="5"/>
  <c r="AK53" i="5"/>
  <c r="P495" i="5"/>
  <c r="R494" i="5"/>
  <c r="S494" i="5" s="1"/>
  <c r="T494" i="5" s="1"/>
  <c r="U494" i="5" s="1"/>
  <c r="AL57" i="5" l="1"/>
  <c r="AL53" i="5"/>
  <c r="P496" i="5"/>
  <c r="R495" i="5"/>
  <c r="S495" i="5" s="1"/>
  <c r="T495" i="5" s="1"/>
  <c r="U495" i="5" s="1"/>
  <c r="AM52" i="5"/>
  <c r="AN41" i="5"/>
  <c r="P497" i="5" l="1"/>
  <c r="R497" i="5" s="1"/>
  <c r="S497" i="5" s="1"/>
  <c r="R496" i="5"/>
  <c r="S496" i="5" s="1"/>
  <c r="T496" i="5" s="1"/>
  <c r="U496" i="5" s="1"/>
  <c r="AN52" i="5"/>
  <c r="AO41" i="5"/>
  <c r="AO52" i="5" s="1"/>
  <c r="AM53" i="5"/>
  <c r="AM57" i="5"/>
  <c r="T497" i="5" l="1"/>
  <c r="U497" i="5" s="1"/>
  <c r="N503" i="5" s="1"/>
  <c r="AO57" i="5"/>
  <c r="AO53" i="5"/>
  <c r="AN53" i="5"/>
  <c r="AN57" i="5"/>
  <c r="O503" i="5" l="1"/>
  <c r="N501" i="5"/>
  <c r="O501" i="5" s="1"/>
  <c r="N502" i="5" l="1"/>
  <c r="J500" i="5" s="1"/>
  <c r="J391" i="3" s="1"/>
</calcChain>
</file>

<file path=xl/sharedStrings.xml><?xml version="1.0" encoding="utf-8"?>
<sst xmlns="http://schemas.openxmlformats.org/spreadsheetml/2006/main" count="3343" uniqueCount="1184">
  <si>
    <t>A</t>
  </si>
  <si>
    <t>Sagsnavn</t>
  </si>
  <si>
    <t>Sagsnr</t>
  </si>
  <si>
    <t>Side</t>
  </si>
  <si>
    <t xml:space="preserve">       af</t>
  </si>
  <si>
    <t xml:space="preserve">lås op </t>
  </si>
  <si>
    <t xml:space="preserve">lås  </t>
  </si>
  <si>
    <t/>
  </si>
  <si>
    <t>kriptologia</t>
  </si>
  <si>
    <t xml:space="preserve"> </t>
  </si>
  <si>
    <t>D</t>
  </si>
  <si>
    <t>&lt;---- efter Dansk(D)-, Norsk(N)- eller Svensk(S)- NA</t>
  </si>
  <si>
    <t xml:space="preserve">ANVENDELSESGRÆNSETILSTAND </t>
  </si>
  <si>
    <t>inclusive last fra naboelem._sidekantpl.strimmel (f)</t>
  </si>
  <si>
    <t>exclusive last fra naboelem._plade (p)</t>
  </si>
  <si>
    <t>Bygningsdel</t>
  </si>
  <si>
    <t>Udskriftsdato</t>
  </si>
  <si>
    <t>Dato</t>
  </si>
  <si>
    <t>Er beregning i ulykkessituation</t>
  </si>
  <si>
    <t>nej</t>
  </si>
  <si>
    <t>&lt;--ja eller nej ?</t>
  </si>
  <si>
    <t>langtids</t>
  </si>
  <si>
    <t>hvilende langtids eller korttids (skriv  det)</t>
  </si>
  <si>
    <t>EFTER DS/EN 1992-1-1</t>
  </si>
  <si>
    <t>m.Rep.tyk.</t>
  </si>
  <si>
    <t>korttids</t>
  </si>
  <si>
    <t>last</t>
  </si>
  <si>
    <t>Hjælpeværdier til udskriftsmakroer:</t>
  </si>
  <si>
    <t>Fabrik</t>
  </si>
  <si>
    <t>Sign</t>
  </si>
  <si>
    <t>Tilst</t>
  </si>
  <si>
    <t xml:space="preserve"> kl.</t>
  </si>
  <si>
    <t>indregn extra styrke i fck</t>
  </si>
  <si>
    <t>venstre</t>
  </si>
  <si>
    <t>højre</t>
  </si>
  <si>
    <t>f,ck</t>
  </si>
  <si>
    <t>N/mm2</t>
  </si>
  <si>
    <t>1 = opfyldt, 0 = Ikke opfyldt</t>
  </si>
  <si>
    <t xml:space="preserve"> = gamma0</t>
  </si>
  <si>
    <t>a =</t>
  </si>
  <si>
    <t>m</t>
  </si>
  <si>
    <t>E,cok</t>
  </si>
  <si>
    <t>Datavalideringslister</t>
  </si>
  <si>
    <t>LØB MED REPOSE I ENDE(R)</t>
  </si>
  <si>
    <t>Plade (p),</t>
  </si>
  <si>
    <t xml:space="preserve">       l=  </t>
  </si>
  <si>
    <t>meter</t>
  </si>
  <si>
    <t>jævnt fordelt last</t>
  </si>
  <si>
    <t>med tillægslast fra naboelem.</t>
  </si>
  <si>
    <t>q=1</t>
  </si>
  <si>
    <t>c =</t>
  </si>
  <si>
    <t>E,cm</t>
  </si>
  <si>
    <t>overskrift</t>
  </si>
  <si>
    <t>Rækker som skjules</t>
  </si>
  <si>
    <t>dorn</t>
  </si>
  <si>
    <t>ja</t>
  </si>
  <si>
    <t>N</t>
  </si>
  <si>
    <t>P</t>
  </si>
  <si>
    <t>XC</t>
  </si>
  <si>
    <t xml:space="preserve"> = minimumsdæklag + 5mm tolerance</t>
  </si>
  <si>
    <t>Fra løbs/naboelementers sidekantpladestrimler</t>
  </si>
  <si>
    <t>hvilende</t>
  </si>
  <si>
    <t>b =</t>
  </si>
  <si>
    <t>E,s</t>
  </si>
  <si>
    <t>Formel</t>
  </si>
  <si>
    <t>i makro</t>
  </si>
  <si>
    <t>i UdskriftsarkA hvis 1</t>
  </si>
  <si>
    <t>fast</t>
  </si>
  <si>
    <t>B</t>
  </si>
  <si>
    <t>S</t>
  </si>
  <si>
    <t>M</t>
  </si>
  <si>
    <t>XD</t>
  </si>
  <si>
    <t xml:space="preserve"> = tolerancetillæg udførelse (beregningsmæssigt)</t>
  </si>
  <si>
    <t>(1+2)</t>
  </si>
  <si>
    <t>m. repose-</t>
  </si>
  <si>
    <t>bevægelig</t>
  </si>
  <si>
    <t>L =</t>
  </si>
  <si>
    <t>alfa,e</t>
  </si>
  <si>
    <t>(hvis formel er opfyldt)</t>
  </si>
  <si>
    <t>ende</t>
  </si>
  <si>
    <t>C</t>
  </si>
  <si>
    <t>XS</t>
  </si>
  <si>
    <t xml:space="preserve"> = ekstra dæklag</t>
  </si>
  <si>
    <t xml:space="preserve"> = foreskrevet dæklag</t>
  </si>
  <si>
    <t>(7)</t>
  </si>
  <si>
    <t xml:space="preserve">   last</t>
  </si>
  <si>
    <t>tykkelse</t>
  </si>
  <si>
    <t xml:space="preserve">   a   c     b</t>
  </si>
  <si>
    <t>Ra =</t>
  </si>
  <si>
    <t>kN/q</t>
  </si>
  <si>
    <t>dæklag c  f. L-armering</t>
  </si>
  <si>
    <t>mm</t>
  </si>
  <si>
    <t>58…63</t>
  </si>
  <si>
    <t>E</t>
  </si>
  <si>
    <t>Lv=</t>
  </si>
  <si>
    <t xml:space="preserve">   meter</t>
  </si>
  <si>
    <t>alfaværdi n (Es/Ec)=?</t>
  </si>
  <si>
    <t>rent tal</t>
  </si>
  <si>
    <t xml:space="preserve">  L</t>
  </si>
  <si>
    <t>Mmidt =</t>
  </si>
  <si>
    <t>kNm/q</t>
  </si>
  <si>
    <t>As diam. = ø (kombineret)=</t>
  </si>
  <si>
    <t>As diam. = ø =</t>
  </si>
  <si>
    <t>75…79</t>
  </si>
  <si>
    <t>Udskrives</t>
  </si>
  <si>
    <t>GEOMETRI, STYRKETAL OG TVÆRSNITSDATA</t>
  </si>
  <si>
    <t>= partialkoefficient for beton, tryk</t>
  </si>
  <si>
    <t>= alfa cc (NA.3.1.6)</t>
  </si>
  <si>
    <t>normsæt</t>
  </si>
  <si>
    <t>permanent</t>
  </si>
  <si>
    <t>As, antal arm.stænger=?</t>
  </si>
  <si>
    <t>[stk]</t>
  </si>
  <si>
    <t xml:space="preserve">[stk] </t>
  </si>
  <si>
    <t>As</t>
  </si>
  <si>
    <t>mm2</t>
  </si>
  <si>
    <t>81…85</t>
  </si>
  <si>
    <t>Udskrives ikke</t>
  </si>
  <si>
    <t>C3</t>
  </si>
  <si>
    <t>løbsgrund</t>
  </si>
  <si>
    <t>g</t>
  </si>
  <si>
    <t>=</t>
  </si>
  <si>
    <t>= partialkoefficient for beton, træk</t>
  </si>
  <si>
    <t>= alfa ct (NA.3.1.6)</t>
  </si>
  <si>
    <t>karakt.last</t>
  </si>
  <si>
    <t>lastfaktor</t>
  </si>
  <si>
    <t>gunstig</t>
  </si>
  <si>
    <t xml:space="preserve"> M = l/4 x (L-l/2) = </t>
  </si>
  <si>
    <t>As, diameter da = ?</t>
  </si>
  <si>
    <t>[mm2]</t>
  </si>
  <si>
    <t>med diam. da = ?</t>
  </si>
  <si>
    <t>vandret spændvidde Lv =</t>
  </si>
  <si>
    <t>86…111</t>
  </si>
  <si>
    <t>C5</t>
  </si>
  <si>
    <t xml:space="preserve">   f    g</t>
  </si>
  <si>
    <t>løbsstigning</t>
  </si>
  <si>
    <t>s</t>
  </si>
  <si>
    <t>= partialkoefficient for armering</t>
  </si>
  <si>
    <t>perm.</t>
  </si>
  <si>
    <t>Mmidt venstre</t>
  </si>
  <si>
    <t>skrå spændvidde =</t>
  </si>
  <si>
    <t>100…111</t>
  </si>
  <si>
    <t xml:space="preserve"> t</t>
  </si>
  <si>
    <t>forkant"hældning"</t>
  </si>
  <si>
    <t>f</t>
  </si>
  <si>
    <t>= partialkoefficient for stål (dorn)</t>
  </si>
  <si>
    <t>var.</t>
  </si>
  <si>
    <t>M=</t>
  </si>
  <si>
    <t>kNm</t>
  </si>
  <si>
    <t>103…105</t>
  </si>
  <si>
    <t>Søndersø</t>
  </si>
  <si>
    <t>CRH Concrete - Snavevej 23 - 5471 Søndersø</t>
  </si>
  <si>
    <t>tg</t>
  </si>
  <si>
    <t>=&gt;løbshældning</t>
  </si>
  <si>
    <t>æ</t>
  </si>
  <si>
    <t>grader</t>
  </si>
  <si>
    <t>regn.m.last--&gt;</t>
  </si>
  <si>
    <t>farligste</t>
  </si>
  <si>
    <t>q1</t>
  </si>
  <si>
    <t>qd</t>
  </si>
  <si>
    <t>q2</t>
  </si>
  <si>
    <t>M = ?</t>
  </si>
  <si>
    <t>[kNm]</t>
  </si>
  <si>
    <t>kNm/P</t>
  </si>
  <si>
    <t>106…108</t>
  </si>
  <si>
    <t>Brørup</t>
  </si>
  <si>
    <t>CRH Concrete - Ribevej 45 - 6650 Brørup</t>
  </si>
  <si>
    <t>tr</t>
  </si>
  <si>
    <t>detailudsnit</t>
  </si>
  <si>
    <t>tykkelse mht. vægt</t>
  </si>
  <si>
    <t>[mm]</t>
  </si>
  <si>
    <t>= hypotenuse i trekant m. kateterne g og s</t>
  </si>
  <si>
    <t>R1</t>
  </si>
  <si>
    <t>(8)</t>
  </si>
  <si>
    <t>b = ?</t>
  </si>
  <si>
    <t>Mmidt højre</t>
  </si>
  <si>
    <t>hef = d =</t>
  </si>
  <si>
    <t>109…111</t>
  </si>
  <si>
    <t>Linå</t>
  </si>
  <si>
    <t>CRH Concrete - Askhøjvej 6 - 8600 Silkeborg</t>
  </si>
  <si>
    <t>løbstykkelse</t>
  </si>
  <si>
    <t>t</t>
  </si>
  <si>
    <t>[rad.]</t>
  </si>
  <si>
    <t xml:space="preserve">= vinkel æ </t>
  </si>
  <si>
    <t>iflg. rapporten 'Bending Stiffness of Concrete Stairs During Production'</t>
  </si>
  <si>
    <t>a1</t>
  </si>
  <si>
    <t>ad</t>
  </si>
  <si>
    <t>a2</t>
  </si>
  <si>
    <t>hef = ?</t>
  </si>
  <si>
    <t>h =</t>
  </si>
  <si>
    <t>122…139</t>
  </si>
  <si>
    <t>Hobro</t>
  </si>
  <si>
    <t>CRH Concrete - Karlbyvej 2 - 9500 Hobro</t>
  </si>
  <si>
    <t>(e)</t>
  </si>
  <si>
    <t>(p)</t>
  </si>
  <si>
    <t>effektiv højde løb</t>
  </si>
  <si>
    <t>d</t>
  </si>
  <si>
    <t>beta=H util / H step=</t>
  </si>
  <si>
    <t>h = ?</t>
  </si>
  <si>
    <t>n fi =</t>
  </si>
  <si>
    <t>140…160</t>
  </si>
  <si>
    <t>Esbjerg</t>
  </si>
  <si>
    <t>CRH Concrete - Lærkevej 7 - 6705 Esbjerg</t>
  </si>
  <si>
    <t>reposetykkelse</t>
  </si>
  <si>
    <t>H step=</t>
  </si>
  <si>
    <t>H util=</t>
  </si>
  <si>
    <t>vandret spændvidde =</t>
  </si>
  <si>
    <t>[m]</t>
  </si>
  <si>
    <t>spændvidde</t>
  </si>
  <si>
    <t>beta =</t>
  </si>
  <si>
    <t>1 hvis fast</t>
  </si>
  <si>
    <t>231…299</t>
  </si>
  <si>
    <t>Viby</t>
  </si>
  <si>
    <t>CRH Concrete - Vestergade 25 - 4130 Viby sj.</t>
  </si>
  <si>
    <t>R2</t>
  </si>
  <si>
    <t xml:space="preserve">        ad</t>
  </si>
  <si>
    <t>effektiv højde rep.</t>
  </si>
  <si>
    <t>dr</t>
  </si>
  <si>
    <t>for q = 1,0 kN/m</t>
  </si>
  <si>
    <t>fq1</t>
  </si>
  <si>
    <t>fqd</t>
  </si>
  <si>
    <t>fq2</t>
  </si>
  <si>
    <t xml:space="preserve"> "skrå" spændvidde =</t>
  </si>
  <si>
    <t>fi s =</t>
  </si>
  <si>
    <t>231…257</t>
  </si>
  <si>
    <t>CRH Concrete - Borumvej 30 - 8381 Tilst</t>
  </si>
  <si>
    <t>(f)</t>
  </si>
  <si>
    <t>bredde</t>
  </si>
  <si>
    <t>b</t>
  </si>
  <si>
    <t>= Code for armering , fyk i [N/mm2]</t>
  </si>
  <si>
    <t>H body=</t>
  </si>
  <si>
    <t>R1 venstre=</t>
  </si>
  <si>
    <t>nu</t>
  </si>
  <si>
    <t>As = ?</t>
  </si>
  <si>
    <t>fi c =</t>
  </si>
  <si>
    <t>258…299</t>
  </si>
  <si>
    <t>løb-/naboelem.udsp., nu</t>
  </si>
  <si>
    <t>mm dybde</t>
  </si>
  <si>
    <t>= w = As*fyd/(b*hef*fcd), i kol.N just.over/underarm.</t>
  </si>
  <si>
    <t>=Lstep/Hstep</t>
  </si>
  <si>
    <t>R1 højre=</t>
  </si>
  <si>
    <t>gamma =</t>
  </si>
  <si>
    <t>253…257</t>
  </si>
  <si>
    <t>betonstyrke</t>
  </si>
  <si>
    <t>f ck</t>
  </si>
  <si>
    <t>= w min.beton , w min.arm. , w bal.</t>
  </si>
  <si>
    <t>L step=</t>
  </si>
  <si>
    <t>sigma C max =</t>
  </si>
  <si>
    <t>259…279</t>
  </si>
  <si>
    <t xml:space="preserve"> (7)</t>
  </si>
  <si>
    <t xml:space="preserve">(6)  </t>
  </si>
  <si>
    <t>f cd</t>
  </si>
  <si>
    <t>= faktor ecu/esk for overarm. tv.snit</t>
  </si>
  <si>
    <t>(3)</t>
  </si>
  <si>
    <t>(5) kN/m regn.m., perm.gunst</t>
  </si>
  <si>
    <t>sigma A = sigma,s</t>
  </si>
  <si>
    <t>280…299</t>
  </si>
  <si>
    <t xml:space="preserve">  (4)</t>
  </si>
  <si>
    <t xml:space="preserve">(5)  </t>
  </si>
  <si>
    <t>f ctm</t>
  </si>
  <si>
    <t>Fra fladelast på løb/naboelementer</t>
  </si>
  <si>
    <t>(5) kN/m regn.m., perm.ugunst</t>
  </si>
  <si>
    <t>y 0 = x =</t>
  </si>
  <si>
    <t>300…351</t>
  </si>
  <si>
    <t xml:space="preserve">  (3)</t>
  </si>
  <si>
    <t>hovedarmering</t>
  </si>
  <si>
    <t>K</t>
  </si>
  <si>
    <t>stk,type,diameter</t>
  </si>
  <si>
    <t>(4)</t>
  </si>
  <si>
    <t>(6) kN/m regn.m., nyttelast</t>
  </si>
  <si>
    <t>hc,eff=2,5(h-d)</t>
  </si>
  <si>
    <t>300…317</t>
  </si>
  <si>
    <t xml:space="preserve">(2)  </t>
  </si>
  <si>
    <t>+ ekstra v.sidekant</t>
  </si>
  <si>
    <t xml:space="preserve">     la =</t>
  </si>
  <si>
    <t>Rnj perm.gunst =</t>
  </si>
  <si>
    <t>sigma c max =</t>
  </si>
  <si>
    <t>[N/mm2]</t>
  </si>
  <si>
    <t>hc,eff=(h-x)/3</t>
  </si>
  <si>
    <t>318…333</t>
  </si>
  <si>
    <t xml:space="preserve">(1)  </t>
  </si>
  <si>
    <t xml:space="preserve">     lb =</t>
  </si>
  <si>
    <t>Rnj perm.ugunst =</t>
  </si>
  <si>
    <t>= Rnj perm.gunst</t>
  </si>
  <si>
    <t>sigma s =</t>
  </si>
  <si>
    <t>hc,eff=h/2</t>
  </si>
  <si>
    <t>350…351</t>
  </si>
  <si>
    <t>f yd</t>
  </si>
  <si>
    <t xml:space="preserve">     lc =</t>
  </si>
  <si>
    <t>Rnj nyttelast =</t>
  </si>
  <si>
    <t>= Rnj perm.ugunst</t>
  </si>
  <si>
    <t>y 0 =</t>
  </si>
  <si>
    <t>=&gt; hc,eff=</t>
  </si>
  <si>
    <t>340…344</t>
  </si>
  <si>
    <t>A s</t>
  </si>
  <si>
    <t xml:space="preserve">      u =</t>
  </si>
  <si>
    <t>Rnj venstre</t>
  </si>
  <si>
    <t>= Rnj nyttelast:</t>
  </si>
  <si>
    <t>revneparameter aw =</t>
  </si>
  <si>
    <t>ro,eff</t>
  </si>
  <si>
    <t>345…349</t>
  </si>
  <si>
    <t>+ ekstra</t>
  </si>
  <si>
    <t>u   la    lb</t>
  </si>
  <si>
    <t xml:space="preserve"> lc   u</t>
  </si>
  <si>
    <t>Rnj højre</t>
  </si>
  <si>
    <t>revnevidde w =</t>
  </si>
  <si>
    <t>k1</t>
  </si>
  <si>
    <t>232…257</t>
  </si>
  <si>
    <t>reposedybde</t>
  </si>
  <si>
    <t>la</t>
  </si>
  <si>
    <t>nedbøjn.u =</t>
  </si>
  <si>
    <t>nedbøjn.u før just.</t>
  </si>
  <si>
    <t>k2</t>
  </si>
  <si>
    <t>161…231</t>
  </si>
  <si>
    <t>l</t>
  </si>
  <si>
    <t>løbs"dybde"</t>
  </si>
  <si>
    <t>lb</t>
  </si>
  <si>
    <t>la+lb+lc=</t>
  </si>
  <si>
    <t>snitkraftudregning for sidekantpladestrimmel (f)</t>
  </si>
  <si>
    <t>u+la++lb+1/5lc</t>
  </si>
  <si>
    <t>u+la++lb+3/5lc</t>
  </si>
  <si>
    <t>Inertimoment =</t>
  </si>
  <si>
    <t>[m4]</t>
  </si>
  <si>
    <t>k3</t>
  </si>
  <si>
    <t>187…221</t>
  </si>
  <si>
    <t xml:space="preserve">u     la </t>
  </si>
  <si>
    <t>lc     u</t>
  </si>
  <si>
    <t>lc</t>
  </si>
  <si>
    <t>snit, x=</t>
  </si>
  <si>
    <t>u</t>
  </si>
  <si>
    <t>u+1/5*la</t>
  </si>
  <si>
    <t>u+2/5*la</t>
  </si>
  <si>
    <t>u+3/5*la</t>
  </si>
  <si>
    <t>u+4/5*la</t>
  </si>
  <si>
    <t>u+la</t>
  </si>
  <si>
    <t>u+la+1/5*lb</t>
  </si>
  <si>
    <t>u+la+2/5*lb</t>
  </si>
  <si>
    <t>u+la+3/5*lb</t>
  </si>
  <si>
    <t>u+la+4/5*lb</t>
  </si>
  <si>
    <t>u+la+lb</t>
  </si>
  <si>
    <t>u+la++lb+2/5lc</t>
  </si>
  <si>
    <t>u+la++lb+4/5lc</t>
  </si>
  <si>
    <t>u+la++lb+lc</t>
  </si>
  <si>
    <t>u+la+lb+lc+u</t>
  </si>
  <si>
    <t>elasticitetsmodul E =</t>
  </si>
  <si>
    <t>k4</t>
  </si>
  <si>
    <t>Lv</t>
  </si>
  <si>
    <t>snit, x= [m]</t>
  </si>
  <si>
    <t>elast.u =</t>
  </si>
  <si>
    <t>kt</t>
  </si>
  <si>
    <t>L skrå =</t>
  </si>
  <si>
    <t>snit, l-x [m]</t>
  </si>
  <si>
    <t>delvis revnet u min.=</t>
  </si>
  <si>
    <t>revneafstand sr,maks 7.11</t>
  </si>
  <si>
    <t>bredde mht. V</t>
  </si>
  <si>
    <t>venstre(a)</t>
  </si>
  <si>
    <t>højre(c)</t>
  </si>
  <si>
    <t>pladelast [kN/m] regn.m</t>
  </si>
  <si>
    <t>(1)</t>
  </si>
  <si>
    <t>u res=</t>
  </si>
  <si>
    <t>revneafstand sr,maks 7.14</t>
  </si>
  <si>
    <t>M pladelast [kNm]</t>
  </si>
  <si>
    <t>sr,maks</t>
  </si>
  <si>
    <t>sidekantplade-</t>
  </si>
  <si>
    <t xml:space="preserve">  t mht. M,</t>
  </si>
  <si>
    <t>bestem forkantpladestrimmel bredde efter</t>
  </si>
  <si>
    <t>V pladelast [kN]</t>
  </si>
  <si>
    <t>DS411, Tabel V 6.3. Værdier af alfa ved spændings- og deformationsbestemmelser</t>
  </si>
  <si>
    <t>f,ct,eff = f,ctm</t>
  </si>
  <si>
    <t>strimmel (f)</t>
  </si>
  <si>
    <t>tr mht. V</t>
  </si>
  <si>
    <t>a2 venstre</t>
  </si>
  <si>
    <t>a2 højre</t>
  </si>
  <si>
    <t>&lt;</t>
  </si>
  <si>
    <t>lastbredde nabolast [m]</t>
  </si>
  <si>
    <t>beton fck</t>
  </si>
  <si>
    <t>0,6*sigma,s/E,s</t>
  </si>
  <si>
    <t>bredde mht. M</t>
  </si>
  <si>
    <t>last [kN/m] regn.m., nabolast</t>
  </si>
  <si>
    <t>(2v)</t>
  </si>
  <si>
    <t>(2h)</t>
  </si>
  <si>
    <t>eps,sm-eps,cm, formel</t>
  </si>
  <si>
    <t>LASTE</t>
  </si>
  <si>
    <t>for reposetværsnit kN/m2</t>
  </si>
  <si>
    <t>Ra, nabolast</t>
  </si>
  <si>
    <t>eps,sm-eps,cm</t>
  </si>
  <si>
    <t xml:space="preserve"> -jævnt fordelt</t>
  </si>
  <si>
    <t>karakt.</t>
  </si>
  <si>
    <t xml:space="preserve">   regn.m.</t>
  </si>
  <si>
    <t xml:space="preserve">&lt;- hvis nej nej anvend istedet </t>
  </si>
  <si>
    <t>Re, nabolast</t>
  </si>
  <si>
    <t>wk</t>
  </si>
  <si>
    <t>egenvægt (løbstværsnit)</t>
  </si>
  <si>
    <t>x</t>
  </si>
  <si>
    <t>kN/m2</t>
  </si>
  <si>
    <t>&lt;- hvis nej nej, find optimal værdi</t>
  </si>
  <si>
    <t>M nabolast [kNm]</t>
  </si>
  <si>
    <t>tillægshøjde tværsnit, trinandel</t>
  </si>
  <si>
    <t xml:space="preserve">permanent udover egenvægt    </t>
  </si>
  <si>
    <t>V nabolast [kNm]</t>
  </si>
  <si>
    <t>Med løbstykkelse med tillægshøjde for trinandel</t>
  </si>
  <si>
    <t>nedbøjning revnet</t>
  </si>
  <si>
    <t>-</t>
  </si>
  <si>
    <t>last [kN] regn.m., nabokantlast</t>
  </si>
  <si>
    <t>(3v)</t>
  </si>
  <si>
    <t>(3h)</t>
  </si>
  <si>
    <t>Tværsnitskonstanter</t>
  </si>
  <si>
    <t>langtidslast</t>
  </si>
  <si>
    <t>permanent ialt  (1)</t>
  </si>
  <si>
    <t>M nabokantlast [kNm]</t>
  </si>
  <si>
    <t>delareal</t>
  </si>
  <si>
    <t>A-faktor</t>
  </si>
  <si>
    <t>bredde#</t>
  </si>
  <si>
    <t>højde</t>
  </si>
  <si>
    <t>areal A</t>
  </si>
  <si>
    <t>S-arm</t>
  </si>
  <si>
    <t>stat.mom.S</t>
  </si>
  <si>
    <t>I-faktor</t>
  </si>
  <si>
    <t>inertimom. I</t>
  </si>
  <si>
    <t xml:space="preserve">Mrevne = </t>
  </si>
  <si>
    <t>m4</t>
  </si>
  <si>
    <t>nyttelast  (2)</t>
  </si>
  <si>
    <t>perm.ugunstig</t>
  </si>
  <si>
    <t>V nabokantlast [kNm]</t>
  </si>
  <si>
    <t>uben.</t>
  </si>
  <si>
    <t>mm3</t>
  </si>
  <si>
    <t>mm4</t>
  </si>
  <si>
    <t>urevne =</t>
  </si>
  <si>
    <t>nedbøjning urevnet (elast.)</t>
  </si>
  <si>
    <t>RE f.hvil.last</t>
  </si>
  <si>
    <t>M ialt [kNm]</t>
  </si>
  <si>
    <t>beton</t>
  </si>
  <si>
    <t>zeta =</t>
  </si>
  <si>
    <t>ialt  (1+2)</t>
  </si>
  <si>
    <t>RE f.nyttelast</t>
  </si>
  <si>
    <t>V ialt [kN]</t>
  </si>
  <si>
    <t>arm.us.</t>
  </si>
  <si>
    <t>u komb =</t>
  </si>
  <si>
    <t>|V| ialt [kN]</t>
  </si>
  <si>
    <t>arm.os.</t>
  </si>
  <si>
    <t xml:space="preserve"> -fra løb/naboelementer</t>
  </si>
  <si>
    <t>sum A=</t>
  </si>
  <si>
    <t>sum S=</t>
  </si>
  <si>
    <t>sum I før flyt.=</t>
  </si>
  <si>
    <t>Revnemoment</t>
  </si>
  <si>
    <t>permanent  repose a  (3)</t>
  </si>
  <si>
    <t>kN/m</t>
  </si>
  <si>
    <t>#)for armering dog areal i mm2</t>
  </si>
  <si>
    <t>no=</t>
  </si>
  <si>
    <t>-sumAxno^2=</t>
  </si>
  <si>
    <t>zeta</t>
  </si>
  <si>
    <t>nyttelast repose a  (4)</t>
  </si>
  <si>
    <t>sum I=</t>
  </si>
  <si>
    <t>komb. nedbøjning</t>
  </si>
  <si>
    <t xml:space="preserve">permanent repose c  (5)  </t>
  </si>
  <si>
    <t>Med reposetykkelse</t>
  </si>
  <si>
    <t>dog mindst</t>
  </si>
  <si>
    <t>nyttelast repose c  (6)</t>
  </si>
  <si>
    <t>= faktor for skrå reaktionhvis la,c=0</t>
  </si>
  <si>
    <t xml:space="preserve"> -fra løbs/naboelementers sidekantpladestrimler</t>
  </si>
  <si>
    <t>permanent repose a  (7)</t>
  </si>
  <si>
    <t>kN</t>
  </si>
  <si>
    <t>perm.gunstig</t>
  </si>
  <si>
    <t>nyttelast repose a  (7)</t>
  </si>
  <si>
    <t xml:space="preserve">permanent repose c  (8) </t>
  </si>
  <si>
    <t>cl. (f)</t>
  </si>
  <si>
    <t>pladelast:</t>
  </si>
  <si>
    <t>nyttelast repose c  (8)</t>
  </si>
  <si>
    <t>x'(f)</t>
  </si>
  <si>
    <t>placeret i afstand fra kant mod durchsicht</t>
  </si>
  <si>
    <t>x'(l)</t>
  </si>
  <si>
    <t>linjelast fra naboelementer:</t>
  </si>
  <si>
    <t>x'(pf)</t>
  </si>
  <si>
    <t>x'(l) - x'(f)</t>
  </si>
  <si>
    <t>MOMENT</t>
  </si>
  <si>
    <t>bæreevne  M Rd</t>
  </si>
  <si>
    <t xml:space="preserve"> snitkraft</t>
  </si>
  <si>
    <t>punktlast fra naboelementer:</t>
  </si>
  <si>
    <t>ved jævnt fordelt last, plade (p)</t>
  </si>
  <si>
    <t>kNm/m</t>
  </si>
  <si>
    <t>Forskydningsbæreevne</t>
  </si>
  <si>
    <t>x'(l) / x'(f) =</t>
  </si>
  <si>
    <t>korttidslast</t>
  </si>
  <si>
    <t>incl. last fra naboelem., sidekantpl.strimmel (f)</t>
  </si>
  <si>
    <t>plade venstre(a)</t>
  </si>
  <si>
    <t>= reaktion</t>
  </si>
  <si>
    <t>x'(pf) / x'(f) =</t>
  </si>
  <si>
    <t>k</t>
  </si>
  <si>
    <t>V Rd,c</t>
  </si>
  <si>
    <t>= As</t>
  </si>
  <si>
    <t xml:space="preserve">maks.M = </t>
  </si>
  <si>
    <t>FORSKYDNING</t>
  </si>
  <si>
    <t>bæreevne  V Rd,c</t>
  </si>
  <si>
    <t>= bw</t>
  </si>
  <si>
    <t>last 2</t>
  </si>
  <si>
    <t>plade (p)</t>
  </si>
  <si>
    <t>= ef. højde</t>
  </si>
  <si>
    <t>last1</t>
  </si>
  <si>
    <t xml:space="preserve">maks.V venstre = </t>
  </si>
  <si>
    <t>sidekantpladestrimmel (f)</t>
  </si>
  <si>
    <t>plade højre(c)</t>
  </si>
  <si>
    <t>-snits bjl.</t>
  </si>
  <si>
    <t>type,diameter</t>
  </si>
  <si>
    <t>antal,  centerafst.</t>
  </si>
  <si>
    <t xml:space="preserve">maks.V højre = </t>
  </si>
  <si>
    <t>f yk</t>
  </si>
  <si>
    <t>hi = 0,9 x d</t>
  </si>
  <si>
    <t>Med løbstykkelse  uden  tillægshøjde for trinandel</t>
  </si>
  <si>
    <t>f ywd</t>
  </si>
  <si>
    <t>V Rd,s =</t>
  </si>
  <si>
    <t>sidek.pl.strimmel venstre(a)</t>
  </si>
  <si>
    <t>ende (la=0 eller lc=0)</t>
  </si>
  <si>
    <t>dorn eller fast</t>
  </si>
  <si>
    <t>Reaktionsudregning</t>
  </si>
  <si>
    <t>v=venstre, h=højre, eksempel a2v=a2 venstre    perm.=permanent</t>
  </si>
  <si>
    <t>fra jævnt fordelt last:</t>
  </si>
  <si>
    <t>last x l/2 x b x (b/2 - a1v) / adv =</t>
  </si>
  <si>
    <t>sidek.pl.strimmel højre(c)</t>
  </si>
  <si>
    <t>fra naboelem.:</t>
  </si>
  <si>
    <t>(Rnjv+RnPv) x (adv + a2v - nu/3) / adv =</t>
  </si>
  <si>
    <t>i alt:</t>
  </si>
  <si>
    <t>ANVENDELSESGRÆNSETILSTAND</t>
  </si>
  <si>
    <t xml:space="preserve"> excl.- e)</t>
  </si>
  <si>
    <t xml:space="preserve"> incl.- i) #</t>
  </si>
  <si>
    <t xml:space="preserve">  last fra naboelem.</t>
  </si>
  <si>
    <t>kontrol af min.armering</t>
  </si>
  <si>
    <t>As min, mm2 =</t>
  </si>
  <si>
    <t xml:space="preserve">  &lt;--kvasipermanent lastkombination for excl.? </t>
  </si>
  <si>
    <t>last x l/2 x b x (b/2 - a1h) / adh =</t>
  </si>
  <si>
    <t>revnevidde</t>
  </si>
  <si>
    <t>= psi 2 (andel af nyttelast indregnet som langtids)</t>
  </si>
  <si>
    <t>(Rnjh+RnPh) x (adh + a2h - nu/3) / adh =</t>
  </si>
  <si>
    <t>Inertimoment m4</t>
  </si>
  <si>
    <t>i alt</t>
  </si>
  <si>
    <t xml:space="preserve">    sæt 0 når ingen krav specificeret</t>
  </si>
  <si>
    <t>Løbstværsnit</t>
  </si>
  <si>
    <t>Reposetværsnit</t>
  </si>
  <si>
    <t>nedbøjning</t>
  </si>
  <si>
    <t>= "del" af spændvidde som nedbøjningskriterie for w3</t>
  </si>
  <si>
    <t>for hvilende last, langtids</t>
  </si>
  <si>
    <t>lb-skrå</t>
  </si>
  <si>
    <t>for nyttelast, korttids</t>
  </si>
  <si>
    <t>ialt</t>
  </si>
  <si>
    <t>= "del" af spændvidde som nedbøjningskriterie, for w maks</t>
  </si>
  <si>
    <t>#) regnet fordelt på en bredde nærmest sidekant (f)</t>
  </si>
  <si>
    <t>stk</t>
  </si>
  <si>
    <t>Oversidearmering som skal medregnes i transformeret tværsnit</t>
  </si>
  <si>
    <t>diameter</t>
  </si>
  <si>
    <t>nedbøjning i "knæk"punkter, ca.</t>
  </si>
  <si>
    <t>UNDERSTØTNINGER FOR NABOELEM.</t>
  </si>
  <si>
    <t>- (Rnjv+RnPv) x (a2v - nu/3) / adv =</t>
  </si>
  <si>
    <t>effektiv højde</t>
  </si>
  <si>
    <t>Medtag last fra nabokantstrimmel (ja eller nej)</t>
  </si>
  <si>
    <t>momentarm</t>
  </si>
  <si>
    <t>a</t>
  </si>
  <si>
    <t>armering (1)</t>
  </si>
  <si>
    <t>-i alt, for perm.last gunstig (lastfaktor 0,9):</t>
  </si>
  <si>
    <t xml:space="preserve">             centerafst.</t>
  </si>
  <si>
    <t>-i alt, for perm.last ugunstig fås i stedet:</t>
  </si>
  <si>
    <t>(2)</t>
  </si>
  <si>
    <t>mm2/m</t>
  </si>
  <si>
    <t>reduc. fcd</t>
  </si>
  <si>
    <t>M Rd =</t>
  </si>
  <si>
    <t>- (Rnjh+RnPh) x (a2h - nu/3) / adh =</t>
  </si>
  <si>
    <t xml:space="preserve">d    </t>
  </si>
  <si>
    <t>V Rd,c =</t>
  </si>
  <si>
    <t>armering (2)</t>
  </si>
  <si>
    <t>a(f)</t>
  </si>
  <si>
    <t>afstand fra sidekant til cl.(f)</t>
  </si>
  <si>
    <t>afstand a2v</t>
  </si>
  <si>
    <t>sigma s</t>
  </si>
  <si>
    <t xml:space="preserve">   fra jævnt fordelt last</t>
  </si>
  <si>
    <t xml:space="preserve">          fra naboelem.</t>
  </si>
  <si>
    <t>i alt venstre</t>
  </si>
  <si>
    <t>i alt højre</t>
  </si>
  <si>
    <t>Venstre ende</t>
  </si>
  <si>
    <t>snitkraftudregning for pladestrimmel ved reposeende</t>
  </si>
  <si>
    <t>CL.sidekantpl.strimmel</t>
  </si>
  <si>
    <t>u.støtn.v</t>
  </si>
  <si>
    <t>u.støtn.h</t>
  </si>
  <si>
    <t xml:space="preserve">            mellempunkter</t>
  </si>
  <si>
    <t>DORNE</t>
  </si>
  <si>
    <t>R2 maks</t>
  </si>
  <si>
    <t xml:space="preserve">      R2 maks:</t>
  </si>
  <si>
    <t>R1 maks</t>
  </si>
  <si>
    <t xml:space="preserve">      R1 min:</t>
  </si>
  <si>
    <t>kN, perm.gunst</t>
  </si>
  <si>
    <t>linielast [kN/m]</t>
  </si>
  <si>
    <t>min. reaktion</t>
  </si>
  <si>
    <t>R1 min</t>
  </si>
  <si>
    <t>kN, perm.ugunst</t>
  </si>
  <si>
    <t>enkeltkraft [kN]</t>
  </si>
  <si>
    <t xml:space="preserve">dornlængde  </t>
  </si>
  <si>
    <t>afstand</t>
  </si>
  <si>
    <t>a3</t>
  </si>
  <si>
    <t>R [kN]</t>
  </si>
  <si>
    <t>a4</t>
  </si>
  <si>
    <t xml:space="preserve">      R1 samtidig:</t>
  </si>
  <si>
    <t>kN, samtidig med R2 maks</t>
  </si>
  <si>
    <t>ophængs-</t>
  </si>
  <si>
    <t>R3</t>
  </si>
  <si>
    <t>R1 maks:</t>
  </si>
  <si>
    <t>M [kNm]</t>
  </si>
  <si>
    <t>R4</t>
  </si>
  <si>
    <t>V [kN]</t>
  </si>
  <si>
    <t>2-snits arm.(3)</t>
  </si>
  <si>
    <t>a1v</t>
  </si>
  <si>
    <t>adv</t>
  </si>
  <si>
    <t>a2v</t>
  </si>
  <si>
    <t xml:space="preserve"> (4)</t>
  </si>
  <si>
    <t>h</t>
  </si>
  <si>
    <t xml:space="preserve">R4    </t>
  </si>
  <si>
    <t>bæreevne (3)</t>
  </si>
  <si>
    <t>Udnyt.-&gt;</t>
  </si>
  <si>
    <t xml:space="preserve">   x'</t>
  </si>
  <si>
    <t>plastisk</t>
  </si>
  <si>
    <t>x'(f) =</t>
  </si>
  <si>
    <t>andel af enkeltkraft, som</t>
  </si>
  <si>
    <t xml:space="preserve">   a3</t>
  </si>
  <si>
    <t>dorn i stålkvalitet</t>
  </si>
  <si>
    <t>&lt;--fyk for dorn</t>
  </si>
  <si>
    <t>går direkte i understøtning</t>
  </si>
  <si>
    <t xml:space="preserve">  min M (overside)</t>
  </si>
  <si>
    <t>dimension</t>
  </si>
  <si>
    <t>Ø</t>
  </si>
  <si>
    <t xml:space="preserve">  maks M (underside)</t>
  </si>
  <si>
    <t>&lt;--plasticitetsteoretisk beregning, ja eller nej</t>
  </si>
  <si>
    <t xml:space="preserve">  maks |V| imlm.bageste u.støtn.og m.pkt.</t>
  </si>
  <si>
    <t>stålspænding</t>
  </si>
  <si>
    <t>DS411 6.2.4:</t>
  </si>
  <si>
    <t xml:space="preserve">  maks |V| bag forreste u.støtn.</t>
  </si>
  <si>
    <t xml:space="preserve">dornplacering </t>
  </si>
  <si>
    <t xml:space="preserve">          ch=</t>
  </si>
  <si>
    <t xml:space="preserve">  maks |V| foran forreste u.støtn.</t>
  </si>
  <si>
    <t>trykspænding (4)</t>
  </si>
  <si>
    <t>db+dl=4b1=</t>
  </si>
  <si>
    <t xml:space="preserve">          cl=</t>
  </si>
  <si>
    <t>gennemlokn. V Rd</t>
  </si>
  <si>
    <t>db=dl=</t>
  </si>
  <si>
    <t>PLADESTRIMMEL V.REPOSEENDER (e)</t>
  </si>
  <si>
    <t>&lt;-- medtag i udskrift?</t>
  </si>
  <si>
    <t>armering (5)</t>
  </si>
  <si>
    <t>afstand a2h</t>
  </si>
  <si>
    <t>Højre ende</t>
  </si>
  <si>
    <t xml:space="preserve"> (5)</t>
  </si>
  <si>
    <t>tværsnitsbredde</t>
  </si>
  <si>
    <t>afst.a(f)&gt;,&lt;el.=a(2)</t>
  </si>
  <si>
    <t>bæreevne</t>
  </si>
  <si>
    <t>venstre ende</t>
  </si>
  <si>
    <t>højre ende</t>
  </si>
  <si>
    <t>moment overside</t>
  </si>
  <si>
    <t>kNm,  min M (overside)</t>
  </si>
  <si>
    <t>moment underside</t>
  </si>
  <si>
    <t>kNm,  maks M (underside)</t>
  </si>
  <si>
    <t>forskydning V Rd,c</t>
  </si>
  <si>
    <t>kN,  maks |V| imlm.bageste u.støtn.og m.pkt.</t>
  </si>
  <si>
    <t>last KN/m</t>
  </si>
  <si>
    <t>kN,  maks |V| bag forreste u.støtn.</t>
  </si>
  <si>
    <t>a1h</t>
  </si>
  <si>
    <t>adh</t>
  </si>
  <si>
    <t>a2h</t>
  </si>
  <si>
    <t>kN,  maks |V| foran forreste u.støtn.</t>
  </si>
  <si>
    <t>bøjler</t>
  </si>
  <si>
    <t>type</t>
  </si>
  <si>
    <t xml:space="preserve">  x</t>
  </si>
  <si>
    <t>type, diameter</t>
  </si>
  <si>
    <t>snitkraftudregning brudgrænse, totallast, uden last fra naboelem</t>
  </si>
  <si>
    <t>FAST VEDERLAG</t>
  </si>
  <si>
    <t xml:space="preserve">     fra jævnt fordelt last</t>
  </si>
  <si>
    <t xml:space="preserve">           fra naboelem.</t>
  </si>
  <si>
    <t>Reaktion</t>
  </si>
  <si>
    <t>R</t>
  </si>
  <si>
    <t>kN jævnt fordelt på b</t>
  </si>
  <si>
    <t>felt</t>
  </si>
  <si>
    <t>b..Lv/2</t>
  </si>
  <si>
    <t>Lv/2…b</t>
  </si>
  <si>
    <t>c</t>
  </si>
  <si>
    <t>vederlagsbredde</t>
  </si>
  <si>
    <t>Vender yderste net som vist? ja eller nej</t>
  </si>
  <si>
    <t>pladetykkelse</t>
  </si>
  <si>
    <t>lastlængde</t>
  </si>
  <si>
    <t>uk.(3)</t>
  </si>
  <si>
    <t>fcd</t>
  </si>
  <si>
    <t xml:space="preserve">cl.(2)    </t>
  </si>
  <si>
    <t>effektivitetsfaktor</t>
  </si>
  <si>
    <t>ν</t>
  </si>
  <si>
    <r>
      <t xml:space="preserve">ν </t>
    </r>
    <r>
      <rPr>
        <sz val="12"/>
        <color theme="1"/>
        <rFont val="Arial"/>
        <family val="2"/>
      </rPr>
      <t>fcd</t>
    </r>
  </si>
  <si>
    <t xml:space="preserve">C4 = R </t>
  </si>
  <si>
    <t>hs</t>
  </si>
  <si>
    <t>snitkraftudregning anvendelsesgrænse, hvilende</t>
  </si>
  <si>
    <t>i plade (pl)</t>
  </si>
  <si>
    <t>hældning af trykstringer</t>
  </si>
  <si>
    <t>radianer</t>
  </si>
  <si>
    <t>h5</t>
  </si>
  <si>
    <t>h4</t>
  </si>
  <si>
    <t>C4</t>
  </si>
  <si>
    <t>h6</t>
  </si>
  <si>
    <t>modhold</t>
  </si>
  <si>
    <t xml:space="preserve"> spring i overside kan være nul</t>
  </si>
  <si>
    <t>C6</t>
  </si>
  <si>
    <t>Forankringslængde</t>
  </si>
  <si>
    <t>L-armering</t>
  </si>
  <si>
    <t>L-arm.suppl</t>
  </si>
  <si>
    <t>arm(1)</t>
  </si>
  <si>
    <t>arm(2)</t>
  </si>
  <si>
    <r>
      <t>σ</t>
    </r>
    <r>
      <rPr>
        <vertAlign val="subscript"/>
        <sz val="12"/>
        <rFont val="Arial"/>
        <family val="2"/>
      </rPr>
      <t>cknude</t>
    </r>
  </si>
  <si>
    <t>sigma 4 =</t>
  </si>
  <si>
    <t>armeringsdiameter</t>
  </si>
  <si>
    <t>ø</t>
  </si>
  <si>
    <t>sigma 5 =</t>
  </si>
  <si>
    <t>sigma 6 =</t>
  </si>
  <si>
    <t>armeringsstyrke</t>
  </si>
  <si>
    <t>snitkraftudregning anvendelsesgrænse, nyttelast</t>
  </si>
  <si>
    <t>betontrækstyrke</t>
  </si>
  <si>
    <t>f ctk,0,05</t>
  </si>
  <si>
    <t>partialkoef. f. beton, træk</t>
  </si>
  <si>
    <t>f ctd,0,05</t>
  </si>
  <si>
    <t>armering</t>
  </si>
  <si>
    <t>i "knast" (1)</t>
  </si>
  <si>
    <t>vedhæftningsstyrke</t>
  </si>
  <si>
    <t>f bd</t>
  </si>
  <si>
    <t>fyk</t>
  </si>
  <si>
    <t>basisforankr.lgd/ø</t>
  </si>
  <si>
    <t>l b,rqd/ø</t>
  </si>
  <si>
    <t>&lt;--udskrives ikke? i stedet udskrives kun række 222 til 228</t>
  </si>
  <si>
    <t>basisforankr.lgd</t>
  </si>
  <si>
    <t>l b,rqd</t>
  </si>
  <si>
    <t>As(1)</t>
  </si>
  <si>
    <t xml:space="preserve">   eller udskrives ?</t>
  </si>
  <si>
    <t>basisforankr.lgd*udnyt.grad</t>
  </si>
  <si>
    <t>M nyt</t>
  </si>
  <si>
    <t>F Rd(1) =</t>
  </si>
  <si>
    <t>=udnyt.grad</t>
  </si>
  <si>
    <t>dog min.</t>
  </si>
  <si>
    <t>lb,min.</t>
  </si>
  <si>
    <t>M hvil+nyt</t>
  </si>
  <si>
    <t>Forankring af hovedarmering (pl)</t>
  </si>
  <si>
    <t>45 grader iht. DS/EN 1992 figur 6.3</t>
  </si>
  <si>
    <t xml:space="preserve">Indre momentarm z = </t>
  </si>
  <si>
    <t xml:space="preserve"> x d</t>
  </si>
  <si>
    <t>hi=</t>
  </si>
  <si>
    <t>Konjugeret bjælke, last i felt a og felt c</t>
  </si>
  <si>
    <t>spændvidde (m.last) l =</t>
  </si>
  <si>
    <t xml:space="preserve"> m</t>
  </si>
  <si>
    <t>Inertimom.</t>
  </si>
  <si>
    <t>m4*10^-6</t>
  </si>
  <si>
    <t>E*last=M/I</t>
  </si>
  <si>
    <t>last g.snit</t>
  </si>
  <si>
    <t>F</t>
  </si>
  <si>
    <t>L</t>
  </si>
  <si>
    <t>v.knast"rod"(2)</t>
  </si>
  <si>
    <t>Konjugeret bjælke, last i felt b</t>
  </si>
  <si>
    <t>As(2)</t>
  </si>
  <si>
    <t>F Rd(2) =</t>
  </si>
  <si>
    <t>i plade udfor b</t>
  </si>
  <si>
    <t>suppleret med</t>
  </si>
  <si>
    <t>As(pl)</t>
  </si>
  <si>
    <t>F Rd(pl) =</t>
  </si>
  <si>
    <t>benlængde(1) =</t>
  </si>
  <si>
    <t>benlængde</t>
  </si>
  <si>
    <t xml:space="preserve">     "   for forankring(pl)</t>
  </si>
  <si>
    <t>benlængde(2) =</t>
  </si>
  <si>
    <t>højde U-bjl(2) =</t>
  </si>
  <si>
    <t>ENDEUNDERSTØTNING</t>
  </si>
  <si>
    <t xml:space="preserve"> 1</t>
  </si>
  <si>
    <t>d1</t>
  </si>
  <si>
    <t>knastbredde</t>
  </si>
  <si>
    <t>kb</t>
  </si>
  <si>
    <t xml:space="preserve">   d1</t>
  </si>
  <si>
    <t>reaktion</t>
  </si>
  <si>
    <t>Medtag last fra sidekantpladestrimmel (ja eller nej)</t>
  </si>
  <si>
    <t>(gælder både detalje i løbstop og løbsbund)</t>
  </si>
  <si>
    <t>U-bøjler, tværarmering i armeringsbuk</t>
  </si>
  <si>
    <t>d2</t>
  </si>
  <si>
    <t>beton=+FCD</t>
  </si>
  <si>
    <t>betontrykfaktor konc.last</t>
  </si>
  <si>
    <t xml:space="preserve"> R</t>
  </si>
  <si>
    <t>indre mom.arm</t>
  </si>
  <si>
    <t>z2</t>
  </si>
  <si>
    <t>+GAMMAS=</t>
  </si>
  <si>
    <t>= partialkoef. armering</t>
  </si>
  <si>
    <t>bukket arm.</t>
  </si>
  <si>
    <t>type, diam.</t>
  </si>
  <si>
    <t>= Code for arm. , fyk i [N/mm2]</t>
  </si>
  <si>
    <t xml:space="preserve">z2   </t>
  </si>
  <si>
    <t>fyd=</t>
  </si>
  <si>
    <t xml:space="preserve">d2  </t>
  </si>
  <si>
    <t>D=</t>
  </si>
  <si>
    <t>tværarm.</t>
  </si>
  <si>
    <t>snit 1-1:</t>
  </si>
  <si>
    <t>reduc. f cd</t>
  </si>
  <si>
    <t>Wplast=</t>
  </si>
  <si>
    <t>Lmulig:</t>
  </si>
  <si>
    <t>mm  =&gt; V=</t>
  </si>
  <si>
    <t>N =&gt; momentreduktion</t>
  </si>
  <si>
    <t>Nmm</t>
  </si>
  <si>
    <t>=&gt; M=</t>
  </si>
  <si>
    <t>Nmm excl.reduktion</t>
  </si>
  <si>
    <t>bøjlemål (udv.)</t>
  </si>
  <si>
    <t>snit 2-2:</t>
  </si>
  <si>
    <t>Tmulig:</t>
  </si>
  <si>
    <t>=&gt; red.fyd.</t>
  </si>
  <si>
    <t>Forankringslængde, DS411/Till.2:2005</t>
  </si>
  <si>
    <t xml:space="preserve">       hvor nedenfor angivet #) refereres der til punkt i DS411/Till.2:2005  6.2.6.1</t>
  </si>
  <si>
    <t>fck =</t>
  </si>
  <si>
    <t>= partialkoefficient for beton</t>
  </si>
  <si>
    <t>fctk =</t>
  </si>
  <si>
    <t>armering som forankres</t>
  </si>
  <si>
    <t>= type, code for armering , fyk i [N/mm2]</t>
  </si>
  <si>
    <t>Ø  =</t>
  </si>
  <si>
    <t>kappa-værdi,  #)(4)P</t>
  </si>
  <si>
    <t xml:space="preserve">kappa = </t>
  </si>
  <si>
    <t>tværtråde el.bøjler</t>
  </si>
  <si>
    <t>Øt =</t>
  </si>
  <si>
    <t>maks. centerafstand efter "55-regel"</t>
  </si>
  <si>
    <t xml:space="preserve"> til beregn. af tværarmeringsforhold, /\:</t>
  </si>
  <si>
    <t>snit 1-1</t>
  </si>
  <si>
    <t>antal bøjler langs forankring ns=</t>
  </si>
  <si>
    <t>&lt;-- sæt ns=0 når effekt af bøjler</t>
  </si>
  <si>
    <t>eta,  #)(10)P, forankring = 1, stød =2</t>
  </si>
  <si>
    <t>eta =</t>
  </si>
  <si>
    <t>antal bøjlesnit nss=</t>
  </si>
  <si>
    <t xml:space="preserve">      ikke skal medtages</t>
  </si>
  <si>
    <t>rådighedsbredde f.stang #) (6)P</t>
  </si>
  <si>
    <t>(Cs/Ø) =</t>
  </si>
  <si>
    <t>stænger der forankres nsp=</t>
  </si>
  <si>
    <t xml:space="preserve">    "    afstand til overflade  #) (6)P</t>
  </si>
  <si>
    <t>(Cc/Ø) =</t>
  </si>
  <si>
    <t>tværarmeringsforhold,  #) (9)P</t>
  </si>
  <si>
    <t>/\ =</t>
  </si>
  <si>
    <t xml:space="preserve"> til beregn. af bidrag fra tværtryk v.vederlag, delta r:</t>
  </si>
  <si>
    <t>bjl.mål(udv.)</t>
  </si>
  <si>
    <t>bidrag tværtryk v.vederlag #)(15)P</t>
  </si>
  <si>
    <t>delta r=</t>
  </si>
  <si>
    <t>vederlagsdybde Ls=</t>
  </si>
  <si>
    <t>regn.m. basisforankringsstyrke fbd:</t>
  </si>
  <si>
    <t>vederlagsbredde b=</t>
  </si>
  <si>
    <t>REDUKTIONSFAKTOR</t>
  </si>
  <si>
    <t>for nyttelast fra naboelem. Er der én eller flere etager over næste element ?</t>
  </si>
  <si>
    <t>reaktion R=</t>
  </si>
  <si>
    <t>&lt;-- sæt R=0 når effekt af vederlagstryk</t>
  </si>
  <si>
    <t>&lt;----reduktionsfaktor</t>
  </si>
  <si>
    <t>forankringslængde ved spænding = fyd =</t>
  </si>
  <si>
    <t>tværtryk rSd=</t>
  </si>
  <si>
    <t>REAKTIONER ENDEUNDERSTØTNING (=last på naboelem./-konstruktion)</t>
  </si>
  <si>
    <t>dog min</t>
  </si>
  <si>
    <t>fra jævnt fordelt last, plade (p), begge ender</t>
  </si>
  <si>
    <t>største værdi gælder =&gt;</t>
  </si>
  <si>
    <t xml:space="preserve">     k  a  r  a  k  t   e  r  i  s  t  i  s  k  e</t>
  </si>
  <si>
    <t xml:space="preserve">  reaktioner </t>
  </si>
  <si>
    <t xml:space="preserve">      laste</t>
  </si>
  <si>
    <t>VENSTRE</t>
  </si>
  <si>
    <t xml:space="preserve">     HØJRE</t>
  </si>
  <si>
    <t xml:space="preserve">  højre</t>
  </si>
  <si>
    <t>fra sidekantpladestrimmel (f), venstre ende</t>
  </si>
  <si>
    <t>= R f.hvil.last:</t>
  </si>
  <si>
    <t>= R f.nyttelast:</t>
  </si>
  <si>
    <t>defaultformel for (Cs/Ø)</t>
  </si>
  <si>
    <t xml:space="preserve">      __        _____ </t>
  </si>
  <si>
    <t>defaultformel for (Cc/Ø)</t>
  </si>
  <si>
    <t>__|__|___|_____|__</t>
  </si>
  <si>
    <t>fra sidekantpladestrimmel (f), højre ende</t>
  </si>
  <si>
    <t xml:space="preserve">                  A /\ venstre  højre      /\ E</t>
  </si>
  <si>
    <t>kontrol</t>
  </si>
  <si>
    <t>.    .     .      .</t>
  </si>
  <si>
    <t xml:space="preserve">        .   .</t>
  </si>
  <si>
    <t xml:space="preserve"> u  la    lb</t>
  </si>
  <si>
    <t xml:space="preserve">  lc    u</t>
  </si>
  <si>
    <t xml:space="preserve">             Lv=  .</t>
  </si>
  <si>
    <t>. meter</t>
  </si>
  <si>
    <t>DORN, GENNEMLOKNING</t>
  </si>
  <si>
    <t>= mm dæklag på yderste armering</t>
  </si>
  <si>
    <t>fck</t>
  </si>
  <si>
    <t>= mm maks. diameter yderste armering</t>
  </si>
  <si>
    <t>gamma C</t>
  </si>
  <si>
    <t>= mm diameter inderste armering</t>
  </si>
  <si>
    <t>effektivitetsfaktor v</t>
  </si>
  <si>
    <t>= mm betontykkelse h</t>
  </si>
  <si>
    <t>nyttehøjde d</t>
  </si>
  <si>
    <t>= mm nyttehøjde yderste armeringslag</t>
  </si>
  <si>
    <t>As, diam. centerafst.</t>
  </si>
  <si>
    <t>mm i begge retn.</t>
  </si>
  <si>
    <t>= mm nyttehøjde inderste armeringslag</t>
  </si>
  <si>
    <t>armeringsfohold</t>
  </si>
  <si>
    <t>= kN V Rd,max.</t>
  </si>
  <si>
    <t>k=</t>
  </si>
  <si>
    <t>=&gt;</t>
  </si>
  <si>
    <t>= N/mm2 vRd,C (9.5)</t>
  </si>
  <si>
    <t>vRd,C</t>
  </si>
  <si>
    <t>= N/mm2 vRd,C, min. (9.6)</t>
  </si>
  <si>
    <t>primær kontrolperimeter u</t>
  </si>
  <si>
    <t>= kN V Rd</t>
  </si>
  <si>
    <t>bæreevne V Rd</t>
  </si>
  <si>
    <t>2d</t>
  </si>
  <si>
    <t>= kontrolperimeter hvis ikke til fri rand</t>
  </si>
  <si>
    <t>BETON</t>
  </si>
  <si>
    <t>forhold iml. højde af rektangulær og trekantf. trykzone..........</t>
  </si>
  <si>
    <t>DORNE UDEN STÅLRØR OG UDEN OPHÆNGSBØJLE</t>
  </si>
  <si>
    <t>brudtøjning ecu [%].............................................</t>
  </si>
  <si>
    <t>max. reaktion</t>
  </si>
  <si>
    <t>ARMERING</t>
  </si>
  <si>
    <t>karakteristisk elasticitetskoefficient  Esk [N/mm2] ...........................</t>
  </si>
  <si>
    <t>symbol</t>
  </si>
  <si>
    <t>G</t>
  </si>
  <si>
    <t>H</t>
  </si>
  <si>
    <t>I</t>
  </si>
  <si>
    <t>J</t>
  </si>
  <si>
    <t>O</t>
  </si>
  <si>
    <t>Q</t>
  </si>
  <si>
    <t>T</t>
  </si>
  <si>
    <t>U</t>
  </si>
  <si>
    <t>V</t>
  </si>
  <si>
    <t>W</t>
  </si>
  <si>
    <t>X</t>
  </si>
  <si>
    <t>Y</t>
  </si>
  <si>
    <t>Z</t>
  </si>
  <si>
    <t>|--------------------</t>
  </si>
  <si>
    <t>|</t>
  </si>
  <si>
    <t>Code</t>
  </si>
  <si>
    <t>gar.jvt.ford.forlæng.eft.brud ee [%]</t>
  </si>
  <si>
    <t>karakterist. brudstyrke  fuk [N/mm2]</t>
  </si>
  <si>
    <t>brudtøjning                  esu [%]</t>
  </si>
  <si>
    <t>min.mek. armeringsgrad    w min.arm.</t>
  </si>
  <si>
    <t>karakteristisk flydespænding [N/mm2]</t>
  </si>
  <si>
    <t>regn.mæssig flydetøjning  eyd [%]</t>
  </si>
  <si>
    <t>bal. mekanisk armeringsgrad   w bal.</t>
  </si>
  <si>
    <t>DORNE MED STÅLRØR OG OPHÆNGSBØJLE</t>
  </si>
  <si>
    <t>=betonstyrke</t>
  </si>
  <si>
    <t>faktor f.overarm.tv.snit     ecu/eyd</t>
  </si>
  <si>
    <t>=kode</t>
  </si>
  <si>
    <t>forankringsfaktor, zeta-værdi</t>
  </si>
  <si>
    <t>bøjle</t>
  </si>
  <si>
    <t>stk, type, diam.</t>
  </si>
  <si>
    <t>kappa-værdi</t>
  </si>
  <si>
    <t>Bæreevne af standard ophængsbjl</t>
  </si>
  <si>
    <t>e=epsilon, w=omega</t>
  </si>
  <si>
    <t>a5</t>
  </si>
  <si>
    <t>kode</t>
  </si>
  <si>
    <t>R5</t>
  </si>
  <si>
    <t>1 K 8</t>
  </si>
  <si>
    <t>2 K 8</t>
  </si>
  <si>
    <t>1 K 10</t>
  </si>
  <si>
    <t>2 K 10</t>
  </si>
  <si>
    <t xml:space="preserve">R6  </t>
  </si>
  <si>
    <t>R6</t>
  </si>
  <si>
    <t>beton 30</t>
  </si>
  <si>
    <t>beton 35</t>
  </si>
  <si>
    <t>beton 40</t>
  </si>
  <si>
    <t>a7</t>
  </si>
  <si>
    <t>udvendig rørdiameter</t>
  </si>
  <si>
    <t>rørtykkelse</t>
  </si>
  <si>
    <t>indvendig rørdiameter</t>
  </si>
  <si>
    <t>rør i stålkvalitet</t>
  </si>
  <si>
    <t>STÅLRØR ALENE</t>
  </si>
  <si>
    <t>modstandsmoment rør</t>
  </si>
  <si>
    <t>moment</t>
  </si>
  <si>
    <t>stålspænding i rør</t>
  </si>
  <si>
    <t>&lt;-- udskriv denne istedet for "FAST VEDERLAG beregnet som konsol" ?</t>
  </si>
  <si>
    <t xml:space="preserve">     ja eller nej</t>
  </si>
  <si>
    <t>(6)</t>
  </si>
  <si>
    <t>(9)</t>
  </si>
  <si>
    <t>"knast"bredde</t>
  </si>
  <si>
    <t>v.knast"rod"(6)</t>
  </si>
  <si>
    <t>Armering ved "knastrod", tværarmering i armeringsbuk</t>
  </si>
  <si>
    <t>Armering i "knast", tværarmering i armeringsbuk</t>
  </si>
  <si>
    <t>hjørnearm.(8) inde i U-bjl.</t>
  </si>
  <si>
    <t>As (6)</t>
  </si>
  <si>
    <t>i "knast" (7)</t>
  </si>
  <si>
    <t>hjørnearm.(9) inde i U-bjl.</t>
  </si>
  <si>
    <t>As (7)</t>
  </si>
  <si>
    <t>suppl.arm.</t>
  </si>
  <si>
    <t>&lt;-- udskriv denne istedet for "FAST VEDERLAG" ovenfor ?</t>
  </si>
  <si>
    <t xml:space="preserve">         "        dog min.</t>
  </si>
  <si>
    <t xml:space="preserve">    "   0,3</t>
  </si>
  <si>
    <t xml:space="preserve">    "  10ø</t>
  </si>
  <si>
    <t>dæklag på</t>
  </si>
  <si>
    <t xml:space="preserve">    "  100</t>
  </si>
  <si>
    <t>hovedarm.</t>
  </si>
  <si>
    <t>U-bøjler</t>
  </si>
  <si>
    <t>stk/m,type,diameter</t>
  </si>
  <si>
    <t xml:space="preserve">        "  =&gt;  result. min.</t>
  </si>
  <si>
    <t>l b,min.</t>
  </si>
  <si>
    <t>mm bukkediameter</t>
  </si>
  <si>
    <t>hjørnearmering inde i U-bjl.buk.</t>
  </si>
  <si>
    <t xml:space="preserve">   =&gt; fs  =</t>
  </si>
  <si>
    <t>=cl DS411 6.2.4</t>
  </si>
  <si>
    <t>vederlagsreaktion</t>
  </si>
  <si>
    <t>vederlagsdybde</t>
  </si>
  <si>
    <t xml:space="preserve">    As  =</t>
  </si>
  <si>
    <t>kap.af U-bjl. mht. betontryk</t>
  </si>
  <si>
    <t>hovedarmering slutter</t>
  </si>
  <si>
    <t>mm fra CL.vederlag</t>
  </si>
  <si>
    <t>kap.af hårnåle mht. betontryk</t>
  </si>
  <si>
    <t>+</t>
  </si>
  <si>
    <t xml:space="preserve">    z   =</t>
  </si>
  <si>
    <t>samlet kapacitet mht. betontryk</t>
  </si>
  <si>
    <t>tværtryk</t>
  </si>
  <si>
    <t>p</t>
  </si>
  <si>
    <t xml:space="preserve">    Vs  =</t>
  </si>
  <si>
    <t>samlet kapacitet mht. stålstyrke</t>
  </si>
  <si>
    <t>tværtrykskoefficient</t>
  </si>
  <si>
    <t>alfa 5</t>
  </si>
  <si>
    <t>forankring</t>
  </si>
  <si>
    <t>Vs just.=</t>
  </si>
  <si>
    <t>resulterende kapacitet</t>
  </si>
  <si>
    <t xml:space="preserve">     der skal forankres for</t>
  </si>
  <si>
    <t>kapacitet af længdearmering fuldt forankret</t>
  </si>
  <si>
    <t>dæklag</t>
  </si>
  <si>
    <t>c d</t>
  </si>
  <si>
    <t>resulterende kapacitet&lt;=kap.af l-armering</t>
  </si>
  <si>
    <t>dæklagskoefficient</t>
  </si>
  <si>
    <t>alfa 2</t>
  </si>
  <si>
    <t>justeret min.værdi alfa 5 x 2</t>
  </si>
  <si>
    <t>samlet koefficient</t>
  </si>
  <si>
    <t>alfa 5x2</t>
  </si>
  <si>
    <t>ULYKKESSITUATION BRAND, STÅLDORNE</t>
  </si>
  <si>
    <t>=&gt; udnyttelsesgrad</t>
  </si>
  <si>
    <t>%</t>
  </si>
  <si>
    <t>aktuel</t>
  </si>
  <si>
    <t>temp. gr.C.</t>
  </si>
  <si>
    <t>red.faktor</t>
  </si>
  <si>
    <t>udnyt.grad</t>
  </si>
  <si>
    <t>af diagrammet ovenfor aflæses kritisk ståltemperatur:</t>
  </si>
  <si>
    <t>gr.C.</t>
  </si>
  <si>
    <t xml:space="preserve">Interpolering       </t>
  </si>
  <si>
    <t>minutters standardbrand excl. afkølingsfase</t>
  </si>
  <si>
    <t>medfører maks. temperatur i ståldorn ca.</t>
  </si>
  <si>
    <t>gr.C</t>
  </si>
  <si>
    <t>30 minutters brand</t>
  </si>
  <si>
    <t>maks</t>
  </si>
  <si>
    <t>afstand til væg</t>
  </si>
  <si>
    <t>dorndiam.</t>
  </si>
  <si>
    <t>dorn.L</t>
  </si>
  <si>
    <t>temp. i dorn</t>
  </si>
  <si>
    <t>30 mm</t>
  </si>
  <si>
    <t>65 mm</t>
  </si>
  <si>
    <t>300 mm</t>
  </si>
  <si>
    <t>239  gr.C.</t>
  </si>
  <si>
    <t>50 mm</t>
  </si>
  <si>
    <t>304  gr.C.</t>
  </si>
  <si>
    <t>400 mm</t>
  </si>
  <si>
    <t>301  gr.C.</t>
  </si>
  <si>
    <t>maks temperatur i dorn aflæses i skema og indtastes i celle J254</t>
  </si>
  <si>
    <t>80 mm</t>
  </si>
  <si>
    <t>268  gr.C.</t>
  </si>
  <si>
    <t>60 minutters brand</t>
  </si>
  <si>
    <t>435  gr.C.</t>
  </si>
  <si>
    <t>538  gr.C.</t>
  </si>
  <si>
    <t>529  gr.C.</t>
  </si>
  <si>
    <t>477  gr.C.</t>
  </si>
  <si>
    <t>Version</t>
  </si>
  <si>
    <t>Ark</t>
  </si>
  <si>
    <t>Ændring</t>
  </si>
  <si>
    <t>Ændret af</t>
  </si>
  <si>
    <t>Flyttet følgende ned hhv op i arket: Brand A272...U319 til række 472, A332...M351 til række 410#, A353...T408 til række 290#, A164…M189 til række 352#, N172…AN189 tilsvarende, A192…X213 TIL RÆKKE 380#, Y191…AD216 tilsvarende, AJ260…AT311 til række 162, A214...AN267 til række 234            #)samme placering som i fil RepoEC</t>
  </si>
  <si>
    <t>SFJ</t>
  </si>
  <si>
    <t>Indsat ny beregningsmodel for fast vederlag fra ark vederlagKONSOL i filen TrdetEC i række 163…228. (samme placering som i fil RepoEC)</t>
  </si>
  <si>
    <t>Indsat i CM33…CN36 supplerende hjælpeværdier for udskrift</t>
  </si>
  <si>
    <t>UdskriftsarkA</t>
  </si>
  <si>
    <t>Brand A282…317 flyttet ned til række 363 (samme placering som i fil RepoEC). Række 162…280 flyttet 70 rækker ned. Indsat FAST VEDERLAG = vederlagKONSOL fra ark A</t>
  </si>
  <si>
    <t>Visual basic editor</t>
  </si>
  <si>
    <t>Justeret makroer</t>
  </si>
  <si>
    <t>I sidehoved var fejlagtigt angivet versionsdato 140727 i stedet for 150727. Nu rettet til 150804. Rettet formel for reaktion i celle J237 (endeunderstøtning), J228 rettet 3 steder til J236.</t>
  </si>
  <si>
    <t xml:space="preserve">I 'hoved' var for version 150804 fejlagtigt angivet 140727. I CW11..13 indsat navn 'Udskrives?'. Indsat datavalidering i celle O189. Rettet bw i celle V257 fra +J261 til +J236. Rettet i formel i celle J246, J227 til J235. </t>
  </si>
  <si>
    <t>Rettet G301 så blank. Rettet J302 fra A!J227 til A!J235, rettet J303 fra A!J228 til A!J236.</t>
  </si>
  <si>
    <t>Indsat i R194…T194 (hi = (1-N28/2)*J22*10^-3 m. Rettet formel for indre momentarm i celle P194 fra AC39/….. til S194/…..</t>
  </si>
  <si>
    <t>Fjernet 'FAST(….;0)' i formler i F191 og i F210 (FAST =&gt; angives som tekst). Tilføjet + C186 i formel for benlængde af armering i "knast" (1). Udvidet kolonnebredde D fra 3 til 3,5. Justeret kolonnebredde A 0,5 ned.</t>
  </si>
  <si>
    <t>Indsat manglende mål i celle A176, rettet A186, justeret kolonnebredder som i ark A ovenfor, slettet celle A192, formatteret C202</t>
  </si>
  <si>
    <t>Justeret formel i celle F199 så ekstra dæklag fra celle N11 medregnes</t>
  </si>
  <si>
    <t>Rettet formel i celle H212 fra H28/BPLADE*J165 til H28/J23*J165. Slettet navn 'BPLADE' som havde reference til celle J19 (kontrolleret inden sletning i Formelrevision vis underordnede). Indsat i skema 'Forankringslængde' lb,min. i linie 191. Justeret celle F191 og F210 så min. medregnes lb,min. Rettet ....+A192 i formel i celle F191 til ....+A184.</t>
  </si>
  <si>
    <t>Rettet celle K76 fra '=HVIS(j76&gt;…….' til '=A!K76'</t>
  </si>
  <si>
    <t>Rettet versionsdato i 'hoved' fra årstal 14 til 15 (fra 140911 til 150916)</t>
  </si>
  <si>
    <t>Ændret stålstyrke fyk for dornmufferør i celle M342 fra 195 til 235.</t>
  </si>
  <si>
    <t>A og UdskriftsarkA</t>
  </si>
  <si>
    <t>Samme justeringer som i filen RepoEC version 160508, for fast vederlag.</t>
  </si>
  <si>
    <t xml:space="preserve">Rettet formel for hs i celle J173 fra J166-A192-F170 til J166-A184-F170. Rettet formel for a i celle J174 fra E170+D177+D176+2/3*A184 til …….2/3*A176. Samme i C202 (A184 til A176) </t>
  </si>
  <si>
    <t>Visual Basic</t>
  </si>
  <si>
    <t>Indsat makro med indtastning af værdier som mest mulig ligner makro Test1_MedIndtastedeVærdierArkA i fil RepoEC. Sidekantpladestrimmel kan ikke sammenlignes med forkantpladestrimmel idét lobrepo ikke har udsparing i midten. Og armeringsnet i Repofil omregnes til stænger i Løbrepofil.</t>
  </si>
  <si>
    <t>Indsat advarsel i celle F117, For lille dornlængde!, hvis ankerdim &gt; 14mm og dornlængde 300mm. Ændret defaultværdi for dorndiam. fra 16 til 12.</t>
  </si>
  <si>
    <t>Indtegnet ophængsbøjle omkring dornhylse på dornfigur og angivet med tekst</t>
  </si>
  <si>
    <t>Justeret advarsel i celle F117, For lille dornlængde!, hvis ankerdim &gt; 16mm og dornlængde 300mm. (idét indført ny standard dornmuffe L=300 mm m. 16 mm ankerjern.)</t>
  </si>
  <si>
    <t>Rettet rumvægt for armeret beton fra 24 til 25 kN/m3 (celle A46)</t>
  </si>
  <si>
    <t>Rettet reaktkion R for endeunderstøtninger, celle J237 (og celle J256, som henter værdi fra J237). Bidrag fra sidekantpladestrimmel var beregnet som L279/(2*L280) hhv. L284/(2*L285), dvs. som kN/m svarende til knastbredde 1000mm. For knastbredde mindre end 1000 mm har R altså været overvurderet. Rettet ved at multiplicere med knastbredden og dermed kN.</t>
  </si>
  <si>
    <t>Hele filen</t>
  </si>
  <si>
    <t>(s)</t>
  </si>
  <si>
    <t xml:space="preserve">   (t)</t>
  </si>
  <si>
    <t>(n)</t>
  </si>
  <si>
    <t>plan</t>
  </si>
  <si>
    <t>kN/m2 regn.m.</t>
  </si>
  <si>
    <t>CL.(t)</t>
  </si>
  <si>
    <t xml:space="preserve"> opstalt</t>
  </si>
  <si>
    <t>ubenævnte mål er m</t>
  </si>
  <si>
    <t>kN/m, fra (n)</t>
  </si>
  <si>
    <t>belastning på (t)</t>
  </si>
  <si>
    <t>M udkragning =</t>
  </si>
  <si>
    <t>V udkragning =</t>
  </si>
  <si>
    <t xml:space="preserve"> kN/m</t>
  </si>
  <si>
    <t>tillægslast på (s) fra (t)</t>
  </si>
  <si>
    <t>assymmetrisk del</t>
  </si>
  <si>
    <t xml:space="preserve">  strimmel (t)</t>
  </si>
  <si>
    <t>V=</t>
  </si>
  <si>
    <t>M kNm</t>
  </si>
  <si>
    <t>V kN</t>
  </si>
  <si>
    <t>Reaktion pr. dorn</t>
  </si>
  <si>
    <t>Konsekvensklasse</t>
  </si>
  <si>
    <t>CC</t>
  </si>
  <si>
    <t>Kontrolklasse</t>
  </si>
  <si>
    <t>= min. dæklag aht. holdbarhed armering + tolerancetillæg udførelse, Norge</t>
  </si>
  <si>
    <t>= min. dæklag aht. holdbarhed armering + tolerancetillæg udførelse, Sverige</t>
  </si>
  <si>
    <t>Eksponeringsklasse aht. dæklag på armering</t>
  </si>
  <si>
    <t>=Miljøklasse hvis i DK</t>
  </si>
  <si>
    <t>=Betonstyrke</t>
  </si>
  <si>
    <t>Nærværende ark er et hjælpeark som indeholder de nationale værdier for Norge eller</t>
  </si>
  <si>
    <t>Sverige, når i ark A, celle N2 er -låst op vha. makroknap, -og der er valgt Norge (N)</t>
  </si>
  <si>
    <t xml:space="preserve">eller Sverige (S), og når følgende fejlmeldinger… </t>
  </si>
  <si>
    <t>Fejl !</t>
  </si>
  <si>
    <t xml:space="preserve"> … er slettet ved (i 'rullegardin'):</t>
  </si>
  <si>
    <t>- i celle H10 at vælge/taste korrekt bogstavbetegnelse for</t>
  </si>
  <si>
    <t xml:space="preserve">  eksponeringsklasse, dvs. XC, XD eller XS</t>
  </si>
  <si>
    <t>- i celle I10 at vælge/taste korrekt tal for</t>
  </si>
  <si>
    <t xml:space="preserve">  eksponeringsklasse, dvs. 1, 2, 3 eller 4</t>
  </si>
  <si>
    <t>- at vælge/taste 'tomt' felt (i 'rullegardin') i cellerne I11 og I9</t>
  </si>
  <si>
    <t>For Norge og Sverige skal altid vælges/indtastes nyttelastkategori (i 'rullegardin'),</t>
  </si>
  <si>
    <t>tomt felt' for Norge, 'A', 'C3' eller C5' for Sverige (normalt C3)</t>
  </si>
  <si>
    <t>Når der i ark A er valgt Danmark (D) anvendes-/gælder hjælpearkets værdier ikke</t>
  </si>
  <si>
    <t>og der vil være fejlmeldinger i arket, som ingen betydning har.</t>
  </si>
  <si>
    <t xml:space="preserve"> -</t>
  </si>
  <si>
    <t>jævnt fordelt:</t>
  </si>
  <si>
    <t>egenvægt (løbstværsnit) (1)</t>
  </si>
  <si>
    <t>=nyttelast Sverige</t>
  </si>
  <si>
    <t>=psi 2 for Norge</t>
  </si>
  <si>
    <t>=psi 2 for Sverige</t>
  </si>
  <si>
    <t>=revneviddekrav Norge</t>
  </si>
  <si>
    <t>=kc</t>
  </si>
  <si>
    <t>=revneviddekrav Sverige</t>
  </si>
  <si>
    <t>I ordinær beregningsudskrift er dornberegning forudsat med nedadrettet kraft direkte fra dorn</t>
  </si>
  <si>
    <t>til beton og optaget som gennemlokning. På nærværende udskriftsside er samme beregning</t>
  </si>
  <si>
    <t>først gentaget, med uddybning af gennemlokningskontrol.</t>
  </si>
  <si>
    <t xml:space="preserve">Beregning med ændrede størrelser og placeringer af reaktioner, idét stålrør medregnes, og </t>
  </si>
  <si>
    <t>med ophængsbøjle for nedadrettet kraft inde i røret er derefter medtaget.</t>
  </si>
  <si>
    <t>kategori</t>
  </si>
  <si>
    <t>Rettet formel i celle F300 fra =F357 til = F121 (fejl på den sikre side)</t>
  </si>
  <si>
    <r>
      <t xml:space="preserve">Kopieret over i Excel 2016 og tilrettet. </t>
    </r>
    <r>
      <rPr>
        <sz val="12"/>
        <rFont val="Arial"/>
        <family val="2"/>
      </rPr>
      <t>Startprompt vedr. kæder sat til 'Vis ikke advarslen, og opdater ikke automatisk kæder'.</t>
    </r>
  </si>
  <si>
    <t>Rettet figurer for fast vederlag i N164…S174, så U-bøjle på venstre figur har nederste ben i samme lag som hovedarmering. Ændret U-bøjle højden på begge figurer så der default angives den størst mulige højde (som så skal overskrives/indtastes med nærmeste lavere afrundede mål)</t>
  </si>
  <si>
    <t>fyk N/mm2 =</t>
  </si>
  <si>
    <t>=robusthedsfaktor</t>
  </si>
  <si>
    <t>Rettet tildel makro for knap 'Gå tilbage til ark A'</t>
  </si>
  <si>
    <t>= formel celle H50</t>
  </si>
  <si>
    <t>A og Visual basic editor</t>
  </si>
  <si>
    <t>Kopieret formel for nyttelast i celle H50 til Q50, og indsat makro og -knap som genindsætter formel i H50. Indsat makro og -knap som låser H50 op.</t>
  </si>
  <si>
    <t>= kopi af formel i kol.L</t>
  </si>
  <si>
    <t>faktorer for last</t>
  </si>
  <si>
    <t>fra naboelem.</t>
  </si>
  <si>
    <t>for linjelast</t>
  </si>
  <si>
    <t>faktor x'(pf)/x'(f)</t>
  </si>
  <si>
    <t>for pladelast</t>
  </si>
  <si>
    <t>RnP</t>
  </si>
  <si>
    <t>last p=1 kN/m</t>
  </si>
  <si>
    <t>moment for p=1 kN/m</t>
  </si>
  <si>
    <t>For pladelast som fri last,</t>
  </si>
  <si>
    <t>for last q = 1 kN/m</t>
  </si>
  <si>
    <t>Reaktion R1</t>
  </si>
  <si>
    <t>Reaktioner for P=1 kN</t>
  </si>
  <si>
    <t>P=1 kN</t>
  </si>
  <si>
    <t>Ændret ordet 'durchsicht' i celle C64 til knækpunkt u+la, og indsat tilsv.tekst i C65. Justeret overskrifter etc. for hjælpestatik i område AE8…AO22. Omprogrammeret Y48…AP50, nabokantlast, så last placeres i variabel afstand fra knækpunkter (var indsat i AE48 og AK48, fejl på den sikre side)  og indsat hjælpeformler for M i skjulte celler Z54...AE54 og AJ54 til AO54 (justering fordi enkeltkræfter kan stå imellem 2 snit)</t>
  </si>
  <si>
    <t>perm.last x l/2 x b x (b/2 - a2v) / adv + nyt.last,fri x l/2 x fq2v =</t>
  </si>
  <si>
    <t>perm.last x l/2 x b x (b/2 - a2h) / adh + nyt.last,fri x l/2 x fq2h =</t>
  </si>
  <si>
    <t>placeret i afstand fra knækpunkt u+la</t>
  </si>
  <si>
    <t>placeret i afstand fra knækpunkt u+lc</t>
  </si>
  <si>
    <t>Indsat i ark A for fast vederlag ekstra indtastningsværdi i celle A174 og justeret figur så der fra vederlag først er en lille lodret trykstringer. Justeret tilsvarende i udskriftsark.</t>
  </si>
  <si>
    <t>Miljøpåvirkning (dansk) aht. valg af beton</t>
  </si>
  <si>
    <t>A og NS</t>
  </si>
  <si>
    <t>Ordet 'Miljøklasse' ændret i celle G11 til 'Miljøpåvirkning'.</t>
  </si>
  <si>
    <t>Alle ark</t>
  </si>
  <si>
    <t xml:space="preserve">    Formler flyttet fra A138…F138, se logbogsnotat 181216.</t>
  </si>
  <si>
    <t>Flyttet formler i celle A138…F138 til U138…Z138 og indsat forklarende tekst over. Indsat formel i A138, Hvis U138=0;" ";U138 og formatteret til tal brugerdefineret 0,000_) og kopieret til D138 og F138.</t>
  </si>
  <si>
    <t>Justeret formel i celle A89 fra =A!U138 til =A!A138, og tilsvarende i celle D89 og F89.</t>
  </si>
  <si>
    <t>Justeret formel i celle AF131, fra =AF130/3 til =(AF130-0,02)/2 og tilsvarende i celle AF156. Justeret celle AD131, ændret J24/3 til (J24-20)/2 og tilsvarende i celle AD156.</t>
  </si>
  <si>
    <t>x'(l) =</t>
  </si>
  <si>
    <t>faktor x'(l)/x'(f) =</t>
  </si>
  <si>
    <r>
      <t>I sidehoved i celle M1 fjernet 'af' og låst celle op. Forklaring på dette og på rettelse notat 181216, Alle ark, er at hver udskriftside</t>
    </r>
    <r>
      <rPr>
        <u/>
        <sz val="12"/>
        <color theme="1"/>
        <rFont val="Arial"/>
        <family val="2"/>
      </rPr>
      <t xml:space="preserve"> ikke</t>
    </r>
    <r>
      <rPr>
        <sz val="12"/>
        <rFont val="Arial"/>
        <family val="2"/>
      </rPr>
      <t>, som oprindelig tænkt, med håndskrift påføres sidenr og efter dette (under 'af') sideantal ialt, og dateres og signeres som dokumentation af egenkontrol af hver side. Da celler nu er låst op kan om øsket genindtastes.</t>
    </r>
  </si>
  <si>
    <t>I sidehoved i celle L3 og L5 slettet 'Dato' og 'Sign.' og låst cellerne op.</t>
  </si>
  <si>
    <t>Fjernet cirkulær reference i celle U47 (rettet formel fra SUM(U44:U47) til SUM (U44:U46)</t>
  </si>
  <si>
    <t>Slettet F51 og G51 (advarsler nyttelastkategori)</t>
  </si>
  <si>
    <t xml:space="preserve">                           N:\Opslag\Statik\Dalton statikark\LobrepEC_190701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</si>
</sst>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_)"/>
    <numFmt numFmtId="165" formatCode=";;;"/>
    <numFmt numFmtId="166" formatCode="dd/mm/yy;@"/>
    <numFmt numFmtId="167" formatCode="0_)"/>
    <numFmt numFmtId="168" formatCode="0.00_)"/>
    <numFmt numFmtId="169" formatCode="0.0E+00_)"/>
    <numFmt numFmtId="170" formatCode="0.000_)"/>
    <numFmt numFmtId="171" formatCode="0.000000_)"/>
    <numFmt numFmtId="172" formatCode="0.0000_)"/>
    <numFmt numFmtId="173" formatCode="0.000"/>
    <numFmt numFmtId="174" formatCode="0.0"/>
    <numFmt numFmtId="175" formatCode="0.0000"/>
    <numFmt numFmtId="176" formatCode="hh:mm_)"/>
  </numFmts>
  <fonts count="52">
    <font>
      <sz val="12"/>
      <color theme="1"/>
      <name val="Arial"/>
      <family val="2"/>
    </font>
    <font>
      <sz val="8"/>
      <name val="Arial MT"/>
      <family val="2"/>
    </font>
    <font>
      <sz val="8"/>
      <name val="Arial"/>
      <family val="2"/>
    </font>
    <font>
      <sz val="12"/>
      <color indexed="12"/>
      <name val="Arial"/>
      <family val="2"/>
    </font>
    <font>
      <b/>
      <sz val="12"/>
      <name val="Arial"/>
      <family val="2"/>
    </font>
    <font>
      <sz val="14"/>
      <name val="Arial MT Black"/>
    </font>
    <font>
      <sz val="12"/>
      <name val="Arial"/>
      <family val="2"/>
    </font>
    <font>
      <sz val="11"/>
      <name val="Arial"/>
      <family val="2"/>
    </font>
    <font>
      <b/>
      <sz val="12"/>
      <color indexed="12"/>
      <name val="Arial"/>
      <family val="2"/>
    </font>
    <font>
      <sz val="10"/>
      <name val="Arial"/>
      <family val="2"/>
    </font>
    <font>
      <sz val="11"/>
      <name val="Arial"/>
      <family val="2"/>
    </font>
    <font>
      <u val="double"/>
      <sz val="12"/>
      <color indexed="12"/>
      <name val="Arial"/>
      <family val="2"/>
    </font>
    <font>
      <u val="double"/>
      <sz val="12"/>
      <color indexed="12"/>
      <name val="Arial"/>
      <family val="2"/>
    </font>
    <font>
      <b/>
      <sz val="12"/>
      <color indexed="10"/>
      <name val="Arial"/>
      <family val="2"/>
    </font>
    <font>
      <sz val="12"/>
      <color indexed="12"/>
      <name val="Arial"/>
      <family val="2"/>
    </font>
    <font>
      <b/>
      <sz val="12"/>
      <color indexed="10"/>
      <name val="Arial MT"/>
      <family val="2"/>
    </font>
    <font>
      <sz val="12"/>
      <name val="Arial Narrow"/>
      <family val="2"/>
    </font>
    <font>
      <sz val="12"/>
      <name val="Arial"/>
      <family val="2"/>
    </font>
    <font>
      <b/>
      <sz val="12"/>
      <name val="Arial MT"/>
      <family val="2"/>
    </font>
    <font>
      <sz val="12"/>
      <color indexed="10"/>
      <name val="Arial MT"/>
      <family val="2"/>
    </font>
    <font>
      <sz val="8"/>
      <name val="Arial"/>
      <family val="2"/>
    </font>
    <font>
      <sz val="10"/>
      <color indexed="12"/>
      <name val="Courier"/>
    </font>
    <font>
      <sz val="12"/>
      <color indexed="8"/>
      <name val="Arial MT"/>
      <family val="2"/>
    </font>
    <font>
      <b/>
      <sz val="12"/>
      <color indexed="10"/>
      <name val="Arial MT"/>
    </font>
    <font>
      <b/>
      <sz val="12"/>
      <color indexed="25"/>
      <name val="Arial MT"/>
      <family val="2"/>
    </font>
    <font>
      <b/>
      <sz val="12"/>
      <color indexed="12"/>
      <name val="Arial MT"/>
      <family val="2"/>
    </font>
    <font>
      <b/>
      <sz val="12"/>
      <name val="Arial Narrow"/>
      <family val="2"/>
    </font>
    <font>
      <b/>
      <i/>
      <sz val="12"/>
      <color indexed="10"/>
      <name val="Arial"/>
      <family val="2"/>
    </font>
    <font>
      <b/>
      <sz val="12"/>
      <color indexed="12"/>
      <name val="Arial"/>
      <family val="2"/>
    </font>
    <font>
      <b/>
      <i/>
      <sz val="12"/>
      <color indexed="17"/>
      <name val="Arial"/>
      <family val="2"/>
    </font>
    <font>
      <b/>
      <i/>
      <sz val="12"/>
      <name val="Arial"/>
      <family val="2"/>
    </font>
    <font>
      <vertAlign val="subscript"/>
      <sz val="12"/>
      <name val="Arial"/>
      <family val="2"/>
    </font>
    <font>
      <sz val="12"/>
      <color indexed="8"/>
      <name val="Arial"/>
      <family val="2"/>
    </font>
    <font>
      <sz val="12"/>
      <color indexed="14"/>
      <name val="Arial"/>
      <family val="2"/>
    </font>
    <font>
      <sz val="20"/>
      <color indexed="10"/>
      <name val="Arial"/>
      <family val="2"/>
    </font>
    <font>
      <b/>
      <sz val="14"/>
      <name val="Arial"/>
      <family val="2"/>
    </font>
    <font>
      <sz val="12"/>
      <color indexed="10"/>
      <name val="Arial"/>
      <family val="2"/>
    </font>
    <font>
      <sz val="12"/>
      <color indexed="10"/>
      <name val="Arial Black"/>
      <family val="2"/>
    </font>
    <font>
      <b/>
      <sz val="12"/>
      <color rgb="FF000000"/>
      <name val="Arial"/>
      <family val="2"/>
    </font>
    <font>
      <b/>
      <sz val="8"/>
      <color rgb="FF000000"/>
      <name val="Arial"/>
      <family val="2"/>
    </font>
    <font>
      <b/>
      <sz val="12"/>
      <color rgb="FF000000"/>
      <name val="Arial MT"/>
    </font>
    <font>
      <sz val="12"/>
      <name val="Arial MT"/>
      <family val="2"/>
    </font>
    <font>
      <sz val="11"/>
      <name val="Arial MT"/>
      <family val="2"/>
    </font>
    <font>
      <u val="double"/>
      <sz val="12"/>
      <name val="Arial"/>
      <family val="2"/>
    </font>
    <font>
      <u/>
      <sz val="12"/>
      <name val="Arial"/>
      <family val="2"/>
    </font>
    <font>
      <sz val="10"/>
      <name val="Courier"/>
    </font>
    <font>
      <b/>
      <sz val="10"/>
      <color rgb="FF000000"/>
      <name val="Arial"/>
      <family val="2"/>
    </font>
    <font>
      <b/>
      <sz val="12"/>
      <color theme="8" tint="-0.499984740745262"/>
      <name val="Arial"/>
      <family val="2"/>
    </font>
    <font>
      <b/>
      <sz val="12"/>
      <color theme="9" tint="-0.499984740745262"/>
      <name val="Arial"/>
      <family val="2"/>
    </font>
    <font>
      <b/>
      <sz val="12"/>
      <color theme="1"/>
      <name val="Arial"/>
      <family val="2"/>
    </font>
    <font>
      <sz val="10"/>
      <color rgb="FF000000"/>
      <name val="Calibri"/>
      <family val="2"/>
    </font>
    <font>
      <u/>
      <sz val="12"/>
      <color theme="1"/>
      <name val="Arial"/>
      <family val="2"/>
    </font>
  </fonts>
  <fills count="12">
    <fill>
      <patternFill patternType="none"/>
    </fill>
    <fill>
      <patternFill patternType="gray125"/>
    </fill>
    <fill>
      <patternFill patternType="solid">
        <fgColor indexed="9"/>
        <bgColor indexed="9"/>
      </patternFill>
    </fill>
    <fill>
      <patternFill patternType="solid">
        <fgColor indexed="27"/>
        <bgColor indexed="27"/>
      </patternFill>
    </fill>
    <fill>
      <patternFill patternType="solid">
        <fgColor indexed="41"/>
        <bgColor indexed="41"/>
      </patternFill>
    </fill>
    <fill>
      <patternFill patternType="solid">
        <fgColor indexed="43"/>
        <bgColor indexed="64"/>
      </patternFill>
    </fill>
    <fill>
      <patternFill patternType="solid">
        <fgColor indexed="27"/>
        <bgColor indexed="64"/>
      </patternFill>
    </fill>
    <fill>
      <patternFill patternType="solid">
        <fgColor indexed="34"/>
        <bgColor indexed="64"/>
      </patternFill>
    </fill>
    <fill>
      <patternFill patternType="solid">
        <fgColor indexed="34"/>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s>
  <borders count="31">
    <border>
      <left/>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style="thin">
        <color indexed="8"/>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indexed="64"/>
      </left>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style="mediumDashed">
        <color indexed="64"/>
      </right>
      <top/>
      <bottom style="mediumDashed">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top/>
      <bottom style="thin">
        <color indexed="64"/>
      </bottom>
      <diagonal/>
    </border>
    <border>
      <left/>
      <right/>
      <top style="mediumDashed">
        <color indexed="64"/>
      </top>
      <bottom/>
      <diagonal/>
    </border>
  </borders>
  <cellStyleXfs count="1">
    <xf numFmtId="0" fontId="0" fillId="0" borderId="0"/>
  </cellStyleXfs>
  <cellXfs count="375">
    <xf numFmtId="0" fontId="0" fillId="0" borderId="0" xfId="0"/>
    <xf numFmtId="164" fontId="0" fillId="0" borderId="1" xfId="0" applyNumberFormat="1" applyBorder="1"/>
    <xf numFmtId="0" fontId="1" fillId="0" borderId="1" xfId="0" applyFont="1" applyBorder="1" applyAlignment="1">
      <alignment horizontal="left" vertical="top"/>
    </xf>
    <xf numFmtId="0" fontId="0" fillId="0" borderId="2" xfId="0" applyBorder="1"/>
    <xf numFmtId="0" fontId="1" fillId="0" borderId="2" xfId="0" applyFont="1" applyBorder="1" applyAlignment="1">
      <alignment horizontal="left" vertical="top"/>
    </xf>
    <xf numFmtId="0" fontId="1" fillId="0" borderId="2" xfId="0" applyFont="1" applyBorder="1" applyAlignment="1">
      <alignment horizontal="center" vertical="top"/>
    </xf>
    <xf numFmtId="0" fontId="1" fillId="0" borderId="3" xfId="0" applyFont="1" applyBorder="1" applyAlignment="1">
      <alignment horizontal="left" vertical="top"/>
    </xf>
    <xf numFmtId="0" fontId="2" fillId="0" borderId="0" xfId="0" applyFont="1" applyAlignment="1">
      <alignment horizontal="center"/>
    </xf>
    <xf numFmtId="0" fontId="0" fillId="0" borderId="1" xfId="0" applyBorder="1"/>
    <xf numFmtId="0" fontId="0" fillId="0" borderId="3" xfId="0" applyBorder="1"/>
    <xf numFmtId="0" fontId="0" fillId="2" borderId="0" xfId="0" applyFill="1"/>
    <xf numFmtId="165" fontId="0" fillId="0" borderId="4" xfId="0" applyNumberFormat="1" applyBorder="1" applyProtection="1">
      <protection hidden="1"/>
    </xf>
    <xf numFmtId="0" fontId="0" fillId="0" borderId="5" xfId="0" applyBorder="1"/>
    <xf numFmtId="0" fontId="3" fillId="0" borderId="6" xfId="0" applyFont="1" applyBorder="1" applyProtection="1">
      <protection locked="0"/>
    </xf>
    <xf numFmtId="0" fontId="0" fillId="0" borderId="6" xfId="0" applyBorder="1"/>
    <xf numFmtId="0" fontId="3" fillId="0" borderId="6" xfId="0" applyFont="1" applyBorder="1" applyAlignment="1" applyProtection="1">
      <alignment horizontal="left"/>
      <protection locked="0"/>
    </xf>
    <xf numFmtId="0" fontId="0" fillId="0" borderId="7" xfId="0" applyBorder="1"/>
    <xf numFmtId="0" fontId="4" fillId="0" borderId="0" xfId="0" applyFont="1" applyAlignment="1">
      <alignment horizontal="right" indent="1"/>
    </xf>
    <xf numFmtId="0" fontId="4" fillId="0" borderId="0" xfId="0" quotePrefix="1" applyFont="1" applyAlignment="1">
      <alignment vertical="center"/>
    </xf>
    <xf numFmtId="0" fontId="0" fillId="0" borderId="0" xfId="0" applyAlignment="1">
      <alignment horizontal="center"/>
    </xf>
    <xf numFmtId="0" fontId="5" fillId="0" borderId="4" xfId="0" applyFont="1" applyBorder="1"/>
    <xf numFmtId="0" fontId="6" fillId="0" borderId="6" xfId="0" applyFont="1" applyBorder="1"/>
    <xf numFmtId="0" fontId="0" fillId="0" borderId="6" xfId="0" applyBorder="1" applyAlignment="1">
      <alignment horizontal="left"/>
    </xf>
    <xf numFmtId="0" fontId="0" fillId="0" borderId="5" xfId="0" applyBorder="1" applyAlignment="1" applyProtection="1">
      <alignment horizontal="right"/>
      <protection locked="0"/>
    </xf>
    <xf numFmtId="0" fontId="0" fillId="0" borderId="7" xfId="0" applyBorder="1" applyAlignment="1" applyProtection="1">
      <alignment horizontal="center"/>
      <protection locked="0"/>
    </xf>
    <xf numFmtId="165" fontId="0" fillId="0" borderId="0" xfId="0" applyNumberFormat="1"/>
    <xf numFmtId="0" fontId="0" fillId="0" borderId="0" xfId="0" applyAlignment="1">
      <alignment horizontal="right"/>
    </xf>
    <xf numFmtId="0" fontId="0" fillId="0" borderId="4" xfId="0" applyBorder="1"/>
    <xf numFmtId="0" fontId="1" fillId="0" borderId="4" xfId="0" applyFont="1" applyBorder="1" applyAlignment="1">
      <alignment horizontal="left" vertical="top"/>
    </xf>
    <xf numFmtId="0" fontId="0" fillId="0" borderId="8" xfId="0" applyBorder="1"/>
    <xf numFmtId="0" fontId="6" fillId="0" borderId="0" xfId="0" applyFont="1"/>
    <xf numFmtId="166" fontId="7" fillId="0" borderId="6" xfId="0" applyNumberFormat="1" applyFont="1" applyBorder="1" applyAlignment="1">
      <alignment horizontal="left"/>
    </xf>
    <xf numFmtId="0" fontId="0" fillId="0" borderId="0" xfId="0" applyAlignment="1">
      <alignment horizontal="left"/>
    </xf>
    <xf numFmtId="0" fontId="3" fillId="0" borderId="0" xfId="0" applyFont="1" applyAlignment="1" applyProtection="1">
      <alignment horizontal="center"/>
      <protection locked="0"/>
    </xf>
    <xf numFmtId="49" fontId="0" fillId="0" borderId="7" xfId="0" applyNumberFormat="1" applyBorder="1" applyProtection="1">
      <protection locked="0"/>
    </xf>
    <xf numFmtId="0" fontId="8" fillId="0" borderId="0" xfId="0" applyFont="1" applyProtection="1">
      <protection locked="0"/>
    </xf>
    <xf numFmtId="0" fontId="6" fillId="0" borderId="0" xfId="0" applyFont="1" applyAlignment="1">
      <alignment horizontal="center" vertical="center"/>
    </xf>
    <xf numFmtId="0" fontId="1" fillId="0" borderId="9" xfId="0" applyFont="1" applyBorder="1" applyAlignment="1">
      <alignment horizontal="left" vertical="top"/>
    </xf>
    <xf numFmtId="0" fontId="1" fillId="0" borderId="0" xfId="0" applyFont="1" applyAlignment="1">
      <alignment horizontal="right" vertical="top"/>
    </xf>
    <xf numFmtId="0" fontId="9" fillId="0" borderId="0" xfId="0" applyFont="1" applyAlignment="1">
      <alignment horizontal="center" vertical="center"/>
    </xf>
    <xf numFmtId="0" fontId="0" fillId="0" borderId="5" xfId="0" applyBorder="1" applyAlignment="1">
      <alignment horizontal="left" indent="1"/>
    </xf>
    <xf numFmtId="0" fontId="1" fillId="0" borderId="5" xfId="0" applyFont="1" applyBorder="1" applyAlignment="1">
      <alignment horizontal="left" vertical="top"/>
    </xf>
    <xf numFmtId="20" fontId="10" fillId="0" borderId="6" xfId="0" applyNumberFormat="1" applyFont="1" applyBorder="1" applyAlignment="1">
      <alignment horizontal="left"/>
    </xf>
    <xf numFmtId="0" fontId="1" fillId="0" borderId="6" xfId="0" applyFont="1" applyBorder="1" applyAlignment="1">
      <alignment horizontal="left" vertical="top"/>
    </xf>
    <xf numFmtId="0" fontId="0" fillId="0" borderId="5" xfId="0" applyBorder="1" applyAlignment="1" applyProtection="1">
      <alignment horizontal="left" indent="1"/>
      <protection locked="0"/>
    </xf>
    <xf numFmtId="0" fontId="0" fillId="0" borderId="7" xfId="0" applyBorder="1" applyProtection="1">
      <protection locked="0"/>
    </xf>
    <xf numFmtId="164" fontId="8" fillId="0" borderId="0" xfId="0" applyNumberFormat="1" applyFont="1" applyProtection="1">
      <protection locked="0"/>
    </xf>
    <xf numFmtId="0" fontId="0" fillId="3" borderId="0" xfId="0" applyFill="1"/>
    <xf numFmtId="167" fontId="0" fillId="4" borderId="0" xfId="0" applyNumberFormat="1" applyFill="1"/>
    <xf numFmtId="0" fontId="0" fillId="0" borderId="0" xfId="0" quotePrefix="1"/>
    <xf numFmtId="168" fontId="0" fillId="0" borderId="0" xfId="0" applyNumberFormat="1"/>
    <xf numFmtId="169" fontId="0" fillId="0" borderId="0" xfId="0" applyNumberFormat="1"/>
    <xf numFmtId="170" fontId="0" fillId="0" borderId="0" xfId="0" applyNumberFormat="1"/>
    <xf numFmtId="167" fontId="0" fillId="0" borderId="0" xfId="0" applyNumberFormat="1"/>
    <xf numFmtId="0" fontId="11" fillId="0" borderId="0" xfId="0" applyFont="1" applyProtection="1">
      <protection locked="0"/>
    </xf>
    <xf numFmtId="0" fontId="4" fillId="0" borderId="0" xfId="0" applyFont="1"/>
    <xf numFmtId="170" fontId="0" fillId="0" borderId="0" xfId="0" applyNumberFormat="1" applyAlignment="1">
      <alignment horizontal="center"/>
    </xf>
    <xf numFmtId="168" fontId="0" fillId="2" borderId="0" xfId="0" applyNumberFormat="1" applyFill="1"/>
    <xf numFmtId="0" fontId="0" fillId="5" borderId="0" xfId="0" applyFill="1" applyAlignment="1">
      <alignment horizontal="center"/>
    </xf>
    <xf numFmtId="0" fontId="4" fillId="5" borderId="0" xfId="0" applyFont="1" applyFill="1" applyAlignment="1">
      <alignment horizontal="center"/>
    </xf>
    <xf numFmtId="0" fontId="12" fillId="0" borderId="0" xfId="0" applyFont="1" applyProtection="1">
      <protection locked="0"/>
    </xf>
    <xf numFmtId="0" fontId="13" fillId="0" borderId="0" xfId="0" applyFont="1"/>
    <xf numFmtId="0" fontId="0" fillId="4" borderId="0" xfId="0" applyFill="1"/>
    <xf numFmtId="0" fontId="14" fillId="0" borderId="0" xfId="0" applyFont="1" applyAlignment="1" applyProtection="1">
      <alignment horizontal="right"/>
      <protection locked="0"/>
    </xf>
    <xf numFmtId="0" fontId="0" fillId="0" borderId="0" xfId="0" applyAlignment="1">
      <alignment horizontal="right" indent="2"/>
    </xf>
    <xf numFmtId="167" fontId="3" fillId="0" borderId="0" xfId="0" applyNumberFormat="1" applyFont="1" applyProtection="1">
      <protection locked="0"/>
    </xf>
    <xf numFmtId="167" fontId="6" fillId="0" borderId="0" xfId="0" applyNumberFormat="1" applyFont="1"/>
    <xf numFmtId="0" fontId="0" fillId="0" borderId="0" xfId="0" quotePrefix="1" applyAlignment="1">
      <alignment horizontal="left" indent="1"/>
    </xf>
    <xf numFmtId="49" fontId="0" fillId="0" borderId="0" xfId="0" applyNumberFormat="1"/>
    <xf numFmtId="168" fontId="0" fillId="0" borderId="0" xfId="0" applyNumberFormat="1" applyAlignment="1">
      <alignment horizontal="center"/>
    </xf>
    <xf numFmtId="0" fontId="15" fillId="0" borderId="0" xfId="0" applyFont="1"/>
    <xf numFmtId="0" fontId="0" fillId="0" borderId="0" xfId="0" applyAlignment="1">
      <alignment horizontal="left" indent="3"/>
    </xf>
    <xf numFmtId="0" fontId="0" fillId="0" borderId="0" xfId="0" applyAlignment="1">
      <alignment horizontal="right" indent="1"/>
    </xf>
    <xf numFmtId="164" fontId="0" fillId="2" borderId="0" xfId="0" applyNumberFormat="1" applyFill="1"/>
    <xf numFmtId="164" fontId="0" fillId="0" borderId="0" xfId="0" applyNumberFormat="1"/>
    <xf numFmtId="167" fontId="0" fillId="2" borderId="0" xfId="0" applyNumberFormat="1" applyFill="1"/>
    <xf numFmtId="167" fontId="0" fillId="3" borderId="0" xfId="0" applyNumberFormat="1" applyFill="1"/>
    <xf numFmtId="168" fontId="0" fillId="0" borderId="0" xfId="0" applyNumberFormat="1" applyAlignment="1">
      <alignment horizontal="right"/>
    </xf>
    <xf numFmtId="171" fontId="0" fillId="0" borderId="0" xfId="0" applyNumberFormat="1" applyAlignment="1">
      <alignment horizontal="right"/>
    </xf>
    <xf numFmtId="0" fontId="0" fillId="0" borderId="0" xfId="0" applyAlignment="1">
      <alignment horizontal="left" indent="1"/>
    </xf>
    <xf numFmtId="168" fontId="0" fillId="3" borderId="0" xfId="0" applyNumberFormat="1" applyFill="1"/>
    <xf numFmtId="0" fontId="0" fillId="0" borderId="0" xfId="0" applyAlignment="1">
      <alignment vertical="center"/>
    </xf>
    <xf numFmtId="0" fontId="4" fillId="0" borderId="0" xfId="0" applyFont="1" applyAlignment="1">
      <alignment horizontal="right"/>
    </xf>
    <xf numFmtId="164" fontId="0" fillId="3" borderId="0" xfId="0" applyNumberFormat="1" applyFill="1"/>
    <xf numFmtId="0" fontId="0" fillId="5" borderId="0" xfId="0" applyFill="1"/>
    <xf numFmtId="171" fontId="0" fillId="0" borderId="0" xfId="0" applyNumberFormat="1"/>
    <xf numFmtId="0" fontId="16" fillId="0" borderId="0" xfId="0" applyFont="1" applyAlignment="1">
      <alignment horizontal="left"/>
    </xf>
    <xf numFmtId="0" fontId="0" fillId="0" borderId="0" xfId="0" quotePrefix="1" applyAlignment="1">
      <alignment horizontal="left"/>
    </xf>
    <xf numFmtId="0" fontId="6" fillId="0" borderId="10" xfId="0" applyFont="1" applyBorder="1"/>
    <xf numFmtId="0" fontId="0" fillId="0" borderId="11" xfId="0" applyBorder="1"/>
    <xf numFmtId="167" fontId="0" fillId="0" borderId="11" xfId="0" applyNumberFormat="1" applyBorder="1"/>
    <xf numFmtId="167" fontId="0" fillId="0" borderId="12" xfId="0" applyNumberFormat="1" applyBorder="1"/>
    <xf numFmtId="0" fontId="0" fillId="0" borderId="13" xfId="0" applyBorder="1"/>
    <xf numFmtId="2" fontId="0" fillId="0" borderId="0" xfId="0" applyNumberFormat="1"/>
    <xf numFmtId="168" fontId="0" fillId="0" borderId="14" xfId="0" applyNumberFormat="1" applyBorder="1"/>
    <xf numFmtId="167" fontId="0" fillId="0" borderId="0" xfId="0" applyNumberFormat="1" applyAlignment="1">
      <alignment horizontal="right"/>
    </xf>
    <xf numFmtId="167" fontId="0" fillId="0" borderId="0" xfId="0" applyNumberFormat="1" applyAlignment="1">
      <alignment horizontal="center"/>
    </xf>
    <xf numFmtId="167" fontId="0" fillId="0" borderId="0" xfId="0" applyNumberFormat="1" applyAlignment="1">
      <alignment horizontal="left"/>
    </xf>
    <xf numFmtId="172" fontId="0" fillId="0" borderId="0" xfId="0" applyNumberFormat="1"/>
    <xf numFmtId="1" fontId="0" fillId="6" borderId="0" xfId="0" applyNumberFormat="1" applyFill="1" applyAlignment="1">
      <alignment horizontal="left"/>
    </xf>
    <xf numFmtId="1" fontId="0" fillId="0" borderId="0" xfId="0" applyNumberFormat="1"/>
    <xf numFmtId="170" fontId="0" fillId="0" borderId="14" xfId="0" applyNumberFormat="1" applyBorder="1"/>
    <xf numFmtId="170" fontId="0" fillId="0" borderId="0" xfId="0" applyNumberFormat="1" applyAlignment="1">
      <alignment horizontal="right"/>
    </xf>
    <xf numFmtId="0" fontId="0" fillId="0" borderId="0" xfId="0" applyAlignment="1">
      <alignment horizontal="right" vertical="center" indent="1"/>
    </xf>
    <xf numFmtId="0" fontId="0" fillId="6" borderId="0" xfId="0" applyFill="1" applyAlignment="1">
      <alignment horizontal="left"/>
    </xf>
    <xf numFmtId="0" fontId="0" fillId="0" borderId="14" xfId="0" applyBorder="1"/>
    <xf numFmtId="173" fontId="0" fillId="0" borderId="0" xfId="0" applyNumberFormat="1" applyAlignment="1">
      <alignment horizontal="center"/>
    </xf>
    <xf numFmtId="172" fontId="0" fillId="2" borderId="0" xfId="0" applyNumberFormat="1" applyFill="1"/>
    <xf numFmtId="0" fontId="0" fillId="0" borderId="15" xfId="0" applyBorder="1" applyAlignment="1">
      <alignment horizontal="right"/>
    </xf>
    <xf numFmtId="1" fontId="0" fillId="6" borderId="16" xfId="0" applyNumberFormat="1" applyFill="1" applyBorder="1" applyAlignment="1">
      <alignment horizontal="left"/>
    </xf>
    <xf numFmtId="0" fontId="0" fillId="0" borderId="16" xfId="0" applyBorder="1"/>
    <xf numFmtId="0" fontId="0" fillId="0" borderId="17" xfId="0" applyBorder="1"/>
    <xf numFmtId="0" fontId="0" fillId="0" borderId="0" xfId="0" quotePrefix="1" applyAlignment="1">
      <alignment horizontal="right"/>
    </xf>
    <xf numFmtId="0" fontId="3" fillId="0" borderId="0" xfId="0" applyFont="1" applyProtection="1">
      <protection locked="0"/>
    </xf>
    <xf numFmtId="171" fontId="0" fillId="0" borderId="0" xfId="0" applyNumberFormat="1" applyAlignment="1">
      <alignment horizontal="center"/>
    </xf>
    <xf numFmtId="0" fontId="17" fillId="0" borderId="0" xfId="0" applyFont="1" applyAlignment="1">
      <alignment horizontal="center"/>
    </xf>
    <xf numFmtId="49" fontId="17" fillId="0" borderId="0" xfId="0" applyNumberFormat="1" applyFont="1"/>
    <xf numFmtId="0" fontId="17" fillId="0" borderId="0" xfId="0" applyFont="1"/>
    <xf numFmtId="168" fontId="3" fillId="0" borderId="0" xfId="0" applyNumberFormat="1" applyFont="1" applyProtection="1">
      <protection locked="0"/>
    </xf>
    <xf numFmtId="0" fontId="18" fillId="0" borderId="0" xfId="0" applyFont="1"/>
    <xf numFmtId="0" fontId="16" fillId="0" borderId="0" xfId="0" applyFont="1" applyAlignment="1">
      <alignment horizontal="right"/>
    </xf>
    <xf numFmtId="167" fontId="16" fillId="0" borderId="0" xfId="0" applyNumberFormat="1" applyFont="1" applyAlignment="1">
      <alignment horizontal="right"/>
    </xf>
    <xf numFmtId="168" fontId="6" fillId="0" borderId="0" xfId="0" applyNumberFormat="1" applyFont="1"/>
    <xf numFmtId="0" fontId="4" fillId="0" borderId="0" xfId="0" quotePrefix="1" applyFont="1" applyAlignment="1">
      <alignment horizontal="right"/>
    </xf>
    <xf numFmtId="0" fontId="19" fillId="0" borderId="0" xfId="0" applyFont="1"/>
    <xf numFmtId="167" fontId="16" fillId="0" borderId="0" xfId="0" applyNumberFormat="1" applyFont="1"/>
    <xf numFmtId="171" fontId="3" fillId="0" borderId="0" xfId="0" applyNumberFormat="1" applyFont="1" applyAlignment="1" applyProtection="1">
      <alignment horizontal="center"/>
      <protection locked="0"/>
    </xf>
    <xf numFmtId="168" fontId="4" fillId="0" borderId="0" xfId="0" applyNumberFormat="1" applyFont="1"/>
    <xf numFmtId="0" fontId="6" fillId="0" borderId="0" xfId="0" applyFont="1" applyAlignment="1">
      <alignment horizontal="center"/>
    </xf>
    <xf numFmtId="0" fontId="0" fillId="0" borderId="18" xfId="0" applyBorder="1"/>
    <xf numFmtId="0" fontId="0" fillId="0" borderId="18" xfId="0" applyBorder="1" applyAlignment="1">
      <alignment horizontal="right"/>
    </xf>
    <xf numFmtId="0" fontId="20" fillId="0" borderId="0" xfId="0" applyFont="1" applyAlignment="1">
      <alignment horizontal="right" vertical="top"/>
    </xf>
    <xf numFmtId="0" fontId="20" fillId="0" borderId="0" xfId="0" applyFont="1" applyAlignment="1">
      <alignment vertical="top"/>
    </xf>
    <xf numFmtId="167" fontId="6" fillId="0" borderId="0" xfId="0" applyNumberFormat="1" applyFont="1" applyAlignment="1">
      <alignment horizontal="center"/>
    </xf>
    <xf numFmtId="167" fontId="3" fillId="0" borderId="0" xfId="0" applyNumberFormat="1" applyFont="1" applyAlignment="1" applyProtection="1">
      <alignment horizontal="center"/>
      <protection locked="0"/>
    </xf>
    <xf numFmtId="0" fontId="0" fillId="0" borderId="19" xfId="0" applyBorder="1"/>
    <xf numFmtId="0" fontId="0" fillId="0" borderId="20" xfId="0" applyBorder="1"/>
    <xf numFmtId="165" fontId="0" fillId="0" borderId="0" xfId="0" applyNumberFormat="1" applyProtection="1">
      <protection hidden="1"/>
    </xf>
    <xf numFmtId="167" fontId="8" fillId="0" borderId="0" xfId="0" applyNumberFormat="1" applyFont="1" applyProtection="1">
      <protection locked="0"/>
    </xf>
    <xf numFmtId="168" fontId="0" fillId="0" borderId="20" xfId="0" applyNumberFormat="1" applyBorder="1"/>
    <xf numFmtId="167" fontId="4" fillId="0" borderId="0" xfId="0" applyNumberFormat="1" applyFont="1"/>
    <xf numFmtId="168" fontId="0" fillId="0" borderId="0" xfId="0" applyNumberFormat="1" applyAlignment="1">
      <alignment horizontal="fill"/>
    </xf>
    <xf numFmtId="49" fontId="4" fillId="0" borderId="0" xfId="0" quotePrefix="1" applyNumberFormat="1" applyFont="1" applyAlignment="1">
      <alignment horizontal="right"/>
    </xf>
    <xf numFmtId="168" fontId="0" fillId="2" borderId="0" xfId="0" applyNumberFormat="1" applyFill="1" applyAlignment="1">
      <alignment horizontal="center"/>
    </xf>
    <xf numFmtId="0" fontId="0" fillId="2" borderId="0" xfId="0" applyFill="1" applyAlignment="1">
      <alignment horizontal="center"/>
    </xf>
    <xf numFmtId="164" fontId="0" fillId="2" borderId="0" xfId="0" applyNumberFormat="1" applyFill="1" applyAlignment="1">
      <alignment horizontal="center"/>
    </xf>
    <xf numFmtId="168" fontId="17" fillId="0" borderId="0" xfId="0" applyNumberFormat="1" applyFont="1"/>
    <xf numFmtId="0" fontId="6" fillId="0" borderId="6" xfId="0" applyFont="1" applyBorder="1" applyAlignment="1">
      <alignment horizontal="right"/>
    </xf>
    <xf numFmtId="0" fontId="0" fillId="0" borderId="6" xfId="0" applyBorder="1" applyAlignment="1">
      <alignment horizontal="right"/>
    </xf>
    <xf numFmtId="164" fontId="0" fillId="0" borderId="0" xfId="0" applyNumberFormat="1" applyAlignment="1">
      <alignment horizontal="right"/>
    </xf>
    <xf numFmtId="0" fontId="0" fillId="0" borderId="21" xfId="0" applyBorder="1"/>
    <xf numFmtId="168" fontId="0" fillId="0" borderId="22" xfId="0" applyNumberFormat="1" applyBorder="1"/>
    <xf numFmtId="167" fontId="0" fillId="0" borderId="6" xfId="0" applyNumberFormat="1" applyBorder="1"/>
    <xf numFmtId="168" fontId="0" fillId="4" borderId="0" xfId="0" applyNumberFormat="1" applyFill="1" applyAlignment="1">
      <alignment horizontal="right"/>
    </xf>
    <xf numFmtId="167" fontId="21" fillId="0" borderId="0" xfId="0" applyNumberFormat="1" applyFont="1" applyProtection="1">
      <protection locked="0"/>
    </xf>
    <xf numFmtId="0" fontId="16" fillId="0" borderId="0" xfId="0" applyFont="1"/>
    <xf numFmtId="168" fontId="0" fillId="4" borderId="0" xfId="0" applyNumberFormat="1" applyFill="1"/>
    <xf numFmtId="164" fontId="0" fillId="0" borderId="0" xfId="0" applyNumberFormat="1" applyAlignment="1">
      <alignment horizontal="center"/>
    </xf>
    <xf numFmtId="0" fontId="4" fillId="0" borderId="0" xfId="0" applyFont="1" applyAlignment="1">
      <alignment horizontal="center"/>
    </xf>
    <xf numFmtId="164" fontId="0" fillId="0" borderId="0" xfId="0" applyNumberFormat="1" applyAlignment="1">
      <alignment horizontal="center" vertical="center"/>
    </xf>
    <xf numFmtId="0" fontId="0" fillId="0" borderId="0" xfId="0" quotePrefix="1" applyAlignment="1">
      <alignment horizontal="center"/>
    </xf>
    <xf numFmtId="0" fontId="0" fillId="0" borderId="0" xfId="0" applyAlignment="1">
      <alignment horizontal="left" indent="2"/>
    </xf>
    <xf numFmtId="173" fontId="0" fillId="0" borderId="0" xfId="0" applyNumberFormat="1" applyAlignment="1">
      <alignment horizontal="right"/>
    </xf>
    <xf numFmtId="49" fontId="4" fillId="0" borderId="0" xfId="0" applyNumberFormat="1" applyFont="1" applyAlignment="1">
      <alignment horizontal="right"/>
    </xf>
    <xf numFmtId="171" fontId="15" fillId="0" borderId="0" xfId="0" applyNumberFormat="1" applyFont="1"/>
    <xf numFmtId="0" fontId="0" fillId="2" borderId="0" xfId="0" applyFill="1" applyAlignment="1">
      <alignment horizontal="left"/>
    </xf>
    <xf numFmtId="174" fontId="0" fillId="0" borderId="0" xfId="0" applyNumberFormat="1" applyAlignment="1">
      <alignment horizontal="left"/>
    </xf>
    <xf numFmtId="164" fontId="0" fillId="0" borderId="0" xfId="0" applyNumberFormat="1" applyAlignment="1">
      <alignment horizontal="left"/>
    </xf>
    <xf numFmtId="0" fontId="6" fillId="0" borderId="0" xfId="0" applyFont="1" applyAlignment="1">
      <alignment horizontal="right"/>
    </xf>
    <xf numFmtId="164" fontId="6" fillId="0" borderId="0" xfId="0" applyNumberFormat="1" applyFont="1"/>
    <xf numFmtId="0" fontId="6" fillId="0" borderId="0" xfId="0" applyFont="1" applyAlignment="1">
      <alignment horizontal="left"/>
    </xf>
    <xf numFmtId="174" fontId="0" fillId="0" borderId="0" xfId="0" applyNumberFormat="1"/>
    <xf numFmtId="0" fontId="3" fillId="0" borderId="0" xfId="0" applyFont="1" applyAlignment="1" applyProtection="1">
      <alignment horizontal="right"/>
      <protection locked="0"/>
    </xf>
    <xf numFmtId="171" fontId="6" fillId="0" borderId="0" xfId="0" applyNumberFormat="1" applyFont="1" applyAlignment="1">
      <alignment horizontal="right"/>
    </xf>
    <xf numFmtId="0" fontId="22" fillId="0" borderId="0" xfId="0" applyFont="1"/>
    <xf numFmtId="0" fontId="22" fillId="0" borderId="0" xfId="0" applyFont="1" applyAlignment="1">
      <alignment horizontal="right"/>
    </xf>
    <xf numFmtId="0" fontId="13" fillId="0" borderId="0" xfId="0" applyFont="1" applyAlignment="1">
      <alignment horizontal="right"/>
    </xf>
    <xf numFmtId="0" fontId="23" fillId="0" borderId="0" xfId="0" applyFont="1"/>
    <xf numFmtId="0" fontId="3" fillId="0" borderId="0" xfId="0" applyFont="1" applyAlignment="1" applyProtection="1">
      <alignment horizontal="left"/>
      <protection locked="0"/>
    </xf>
    <xf numFmtId="9" fontId="0" fillId="0" borderId="0" xfId="0" applyNumberFormat="1"/>
    <xf numFmtId="0" fontId="24" fillId="0" borderId="0" xfId="0" applyFont="1"/>
    <xf numFmtId="49" fontId="3" fillId="0" borderId="0" xfId="0" applyNumberFormat="1" applyFont="1" applyAlignment="1" applyProtection="1">
      <alignment horizontal="center"/>
      <protection locked="0"/>
    </xf>
    <xf numFmtId="0" fontId="25" fillId="0" borderId="0" xfId="0" applyFont="1" applyAlignment="1" applyProtection="1">
      <alignment horizontal="center"/>
      <protection locked="0"/>
    </xf>
    <xf numFmtId="0" fontId="26" fillId="0" borderId="0" xfId="0" applyFont="1"/>
    <xf numFmtId="0" fontId="4" fillId="0" borderId="0" xfId="0" applyFont="1" applyAlignment="1">
      <alignment horizontal="left"/>
    </xf>
    <xf numFmtId="0" fontId="16" fillId="0" borderId="0" xfId="0" applyFont="1" applyAlignment="1">
      <alignment horizontal="center"/>
    </xf>
    <xf numFmtId="0" fontId="27" fillId="0" borderId="0" xfId="0" applyFont="1"/>
    <xf numFmtId="0" fontId="28" fillId="0" borderId="0" xfId="0" applyFont="1" applyAlignment="1" applyProtection="1">
      <alignment horizontal="right"/>
      <protection locked="0"/>
    </xf>
    <xf numFmtId="0" fontId="14" fillId="0" borderId="0" xfId="0" applyFont="1" applyAlignment="1" applyProtection="1">
      <alignment horizontal="center"/>
      <protection locked="0"/>
    </xf>
    <xf numFmtId="167" fontId="14" fillId="0" borderId="0" xfId="0" applyNumberFormat="1" applyFont="1" applyAlignment="1" applyProtection="1">
      <alignment horizontal="center"/>
      <protection locked="0"/>
    </xf>
    <xf numFmtId="164" fontId="14" fillId="0" borderId="0" xfId="0" applyNumberFormat="1" applyFont="1" applyProtection="1">
      <protection locked="0"/>
    </xf>
    <xf numFmtId="49" fontId="0" fillId="0" borderId="0" xfId="0" applyNumberFormat="1" applyAlignment="1">
      <alignment horizontal="center"/>
    </xf>
    <xf numFmtId="0" fontId="17" fillId="0" borderId="0" xfId="0" applyFont="1" applyAlignment="1">
      <alignment horizontal="left" indent="1"/>
    </xf>
    <xf numFmtId="167" fontId="0" fillId="0" borderId="0" xfId="0" applyNumberFormat="1" applyAlignment="1">
      <alignment horizontal="right" indent="1"/>
    </xf>
    <xf numFmtId="49" fontId="0" fillId="0" borderId="0" xfId="0" applyNumberFormat="1" applyAlignment="1">
      <alignment horizontal="right"/>
    </xf>
    <xf numFmtId="173" fontId="0" fillId="0" borderId="0" xfId="0" applyNumberFormat="1"/>
    <xf numFmtId="167" fontId="3" fillId="0" borderId="0" xfId="0" applyNumberFormat="1" applyFont="1" applyAlignment="1" applyProtection="1">
      <alignment horizontal="right"/>
      <protection locked="0"/>
    </xf>
    <xf numFmtId="0" fontId="29" fillId="0" borderId="0" xfId="0" quotePrefix="1" applyFont="1"/>
    <xf numFmtId="0" fontId="30" fillId="0" borderId="0" xfId="0" applyFont="1"/>
    <xf numFmtId="0" fontId="0" fillId="0" borderId="0" xfId="0" applyAlignment="1">
      <alignment horizontal="right" vertical="center"/>
    </xf>
    <xf numFmtId="164" fontId="0" fillId="0" borderId="0" xfId="0" applyNumberFormat="1" applyAlignment="1">
      <alignment vertical="center"/>
    </xf>
    <xf numFmtId="171" fontId="15" fillId="0" borderId="0" xfId="0" applyNumberFormat="1" applyFont="1" applyAlignment="1">
      <alignment vertical="center"/>
    </xf>
    <xf numFmtId="0" fontId="21" fillId="0" borderId="0" xfId="0" applyFont="1" applyProtection="1">
      <protection locked="0"/>
    </xf>
    <xf numFmtId="0" fontId="8" fillId="0" borderId="0" xfId="0" applyFont="1" applyAlignment="1" applyProtection="1">
      <alignment horizontal="right"/>
      <protection locked="0"/>
    </xf>
    <xf numFmtId="168" fontId="0" fillId="0" borderId="0" xfId="0" applyNumberFormat="1" applyAlignment="1">
      <alignment vertical="center"/>
    </xf>
    <xf numFmtId="168" fontId="17" fillId="0" borderId="0" xfId="0" applyNumberFormat="1" applyFont="1" applyAlignment="1">
      <alignment horizontal="right"/>
    </xf>
    <xf numFmtId="170" fontId="6" fillId="0" borderId="0" xfId="0" applyNumberFormat="1" applyFont="1" applyAlignment="1">
      <alignment horizontal="right"/>
    </xf>
    <xf numFmtId="1" fontId="3" fillId="0" borderId="0" xfId="0" applyNumberFormat="1" applyFont="1" applyAlignment="1" applyProtection="1">
      <alignment horizontal="right"/>
      <protection locked="0"/>
    </xf>
    <xf numFmtId="1" fontId="0" fillId="0" borderId="0" xfId="0" applyNumberFormat="1" applyAlignment="1">
      <alignment horizontal="center"/>
    </xf>
    <xf numFmtId="1" fontId="0" fillId="0" borderId="0" xfId="0" applyNumberFormat="1" applyAlignment="1">
      <alignment horizontal="right"/>
    </xf>
    <xf numFmtId="167" fontId="6" fillId="0" borderId="0" xfId="0" applyNumberFormat="1" applyFont="1" applyAlignment="1">
      <alignment horizontal="left"/>
    </xf>
    <xf numFmtId="49" fontId="0" fillId="0" borderId="0" xfId="0" applyNumberFormat="1" applyAlignment="1">
      <alignment horizontal="left"/>
    </xf>
    <xf numFmtId="171" fontId="15" fillId="0" borderId="0" xfId="0" applyNumberFormat="1" applyFont="1" applyAlignment="1">
      <alignment horizontal="center"/>
    </xf>
    <xf numFmtId="164" fontId="6" fillId="0" borderId="0" xfId="0" applyNumberFormat="1" applyFont="1" applyAlignment="1">
      <alignment horizontal="right"/>
    </xf>
    <xf numFmtId="0" fontId="15" fillId="0" borderId="0" xfId="0" applyFont="1" applyAlignment="1">
      <alignment horizontal="center"/>
    </xf>
    <xf numFmtId="0" fontId="30" fillId="0" borderId="0" xfId="0" applyFont="1" applyAlignment="1">
      <alignment horizontal="left" indent="2"/>
    </xf>
    <xf numFmtId="167" fontId="3" fillId="0" borderId="0" xfId="0" applyNumberFormat="1" applyFont="1" applyAlignment="1" applyProtection="1">
      <alignment horizontal="left"/>
      <protection locked="0"/>
    </xf>
    <xf numFmtId="168" fontId="0" fillId="0" borderId="1" xfId="0" applyNumberFormat="1" applyBorder="1"/>
    <xf numFmtId="168" fontId="0" fillId="0" borderId="5" xfId="0" applyNumberFormat="1" applyBorder="1"/>
    <xf numFmtId="167" fontId="21" fillId="0" borderId="0" xfId="0" applyNumberFormat="1" applyFont="1" applyAlignment="1" applyProtection="1">
      <alignment horizontal="right"/>
      <protection locked="0"/>
    </xf>
    <xf numFmtId="168" fontId="21" fillId="0" borderId="0" xfId="0" applyNumberFormat="1" applyFont="1" applyProtection="1">
      <protection locked="0"/>
    </xf>
    <xf numFmtId="164" fontId="3" fillId="0" borderId="0" xfId="0" applyNumberFormat="1" applyFont="1" applyProtection="1">
      <protection locked="0"/>
    </xf>
    <xf numFmtId="168" fontId="0" fillId="0" borderId="6" xfId="0" applyNumberFormat="1" applyBorder="1"/>
    <xf numFmtId="171" fontId="0" fillId="0" borderId="0" xfId="0" applyNumberFormat="1" applyAlignment="1">
      <alignment horizontal="left"/>
    </xf>
    <xf numFmtId="167" fontId="6" fillId="0" borderId="0" xfId="0" applyNumberFormat="1" applyFont="1" applyAlignment="1">
      <alignment horizontal="right"/>
    </xf>
    <xf numFmtId="167" fontId="17" fillId="0" borderId="0" xfId="0" applyNumberFormat="1" applyFont="1" applyAlignment="1">
      <alignment horizontal="right"/>
    </xf>
    <xf numFmtId="167" fontId="14" fillId="0" borderId="0" xfId="0" applyNumberFormat="1" applyFont="1" applyAlignment="1" applyProtection="1">
      <alignment horizontal="right"/>
      <protection locked="0"/>
    </xf>
    <xf numFmtId="167" fontId="14" fillId="0" borderId="0" xfId="0" applyNumberFormat="1" applyFont="1" applyProtection="1">
      <protection locked="0"/>
    </xf>
    <xf numFmtId="167" fontId="14" fillId="0" borderId="0" xfId="0" quotePrefix="1" applyNumberFormat="1" applyFont="1" applyProtection="1">
      <protection locked="0"/>
    </xf>
    <xf numFmtId="175" fontId="0" fillId="0" borderId="0" xfId="0" applyNumberFormat="1"/>
    <xf numFmtId="1" fontId="0" fillId="0" borderId="0" xfId="0" applyNumberFormat="1" applyAlignment="1">
      <alignment horizontal="right" indent="2"/>
    </xf>
    <xf numFmtId="0" fontId="17" fillId="0" borderId="0" xfId="0" applyFont="1" applyAlignment="1">
      <alignment horizontal="right"/>
    </xf>
    <xf numFmtId="164" fontId="33" fillId="0" borderId="0" xfId="0" applyNumberFormat="1" applyFont="1"/>
    <xf numFmtId="167" fontId="33" fillId="0" borderId="0" xfId="0" applyNumberFormat="1" applyFont="1"/>
    <xf numFmtId="0" fontId="3" fillId="0" borderId="0" xfId="0" applyFont="1" applyAlignment="1" applyProtection="1">
      <alignment horizontal="left" indent="1"/>
      <protection locked="0"/>
    </xf>
    <xf numFmtId="0" fontId="33" fillId="0" borderId="0" xfId="0" applyFont="1"/>
    <xf numFmtId="0" fontId="34" fillId="0" borderId="0" xfId="0" applyFont="1"/>
    <xf numFmtId="0" fontId="35" fillId="0" borderId="0" xfId="0" applyFont="1"/>
    <xf numFmtId="0" fontId="16" fillId="0" borderId="0" xfId="0" quotePrefix="1" applyFont="1"/>
    <xf numFmtId="0" fontId="6" fillId="0" borderId="0" xfId="0" applyFont="1" applyAlignment="1">
      <alignment horizontal="left" indent="1"/>
    </xf>
    <xf numFmtId="167" fontId="17" fillId="0" borderId="0" xfId="0" applyNumberFormat="1" applyFont="1"/>
    <xf numFmtId="0" fontId="8" fillId="0" borderId="0" xfId="0" applyFont="1" applyAlignment="1" applyProtection="1">
      <alignment horizontal="center"/>
      <protection locked="0"/>
    </xf>
    <xf numFmtId="0" fontId="36" fillId="0" borderId="0" xfId="0" applyFont="1"/>
    <xf numFmtId="0" fontId="37" fillId="0" borderId="0" xfId="0" applyFont="1"/>
    <xf numFmtId="0" fontId="4" fillId="2" borderId="23" xfId="0" applyFont="1" applyFill="1" applyBorder="1"/>
    <xf numFmtId="0" fontId="0" fillId="2" borderId="24" xfId="0" applyFill="1" applyBorder="1"/>
    <xf numFmtId="0" fontId="0" fillId="2" borderId="25" xfId="0" applyFill="1" applyBorder="1"/>
    <xf numFmtId="0" fontId="0" fillId="2" borderId="26" xfId="0" applyFill="1" applyBorder="1" applyAlignment="1">
      <alignment horizontal="center"/>
    </xf>
    <xf numFmtId="0" fontId="0" fillId="2" borderId="27" xfId="0" applyFill="1" applyBorder="1" applyAlignment="1">
      <alignment horizontal="center"/>
    </xf>
    <xf numFmtId="0" fontId="0" fillId="2" borderId="28" xfId="0" applyFill="1" applyBorder="1" applyAlignment="1">
      <alignment horizontal="center"/>
    </xf>
    <xf numFmtId="165" fontId="0" fillId="0" borderId="0" xfId="0" applyNumberFormat="1" applyAlignment="1">
      <alignment horizontal="center"/>
    </xf>
    <xf numFmtId="165" fontId="0" fillId="0" borderId="0" xfId="0" applyNumberFormat="1" applyAlignment="1">
      <alignment horizontal="right"/>
    </xf>
    <xf numFmtId="0" fontId="32" fillId="0" borderId="0" xfId="0" applyFont="1"/>
    <xf numFmtId="0" fontId="3" fillId="0" borderId="0" xfId="0" applyFont="1"/>
    <xf numFmtId="168" fontId="0" fillId="0" borderId="0" xfId="0" applyNumberFormat="1" applyAlignment="1">
      <alignment horizontal="left"/>
    </xf>
    <xf numFmtId="165" fontId="6" fillId="0" borderId="0" xfId="0" applyNumberFormat="1" applyFont="1" applyProtection="1">
      <protection hidden="1"/>
    </xf>
    <xf numFmtId="0" fontId="6" fillId="0" borderId="0" xfId="0" applyFont="1" applyAlignment="1">
      <alignment wrapText="1"/>
    </xf>
    <xf numFmtId="0" fontId="6" fillId="0" borderId="0" xfId="0" applyFont="1" applyAlignment="1">
      <alignment vertical="top" wrapText="1"/>
    </xf>
    <xf numFmtId="0" fontId="6"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4" fillId="0" borderId="0" xfId="0" applyFont="1" applyAlignment="1">
      <alignment vertical="top"/>
    </xf>
    <xf numFmtId="0" fontId="4" fillId="0" borderId="0" xfId="0" applyFont="1" applyAlignment="1">
      <alignment wrapText="1"/>
    </xf>
    <xf numFmtId="0" fontId="1" fillId="0" borderId="4" xfId="0" applyFont="1" applyBorder="1" applyAlignment="1">
      <alignment vertical="top"/>
    </xf>
    <xf numFmtId="0" fontId="1" fillId="0" borderId="0" xfId="0" applyFont="1" applyAlignment="1">
      <alignment horizontal="left" vertical="top"/>
    </xf>
    <xf numFmtId="0" fontId="1" fillId="0" borderId="0" xfId="0" applyFont="1"/>
    <xf numFmtId="0" fontId="1" fillId="0" borderId="0" xfId="0" applyFont="1" applyAlignment="1">
      <alignment horizontal="right"/>
    </xf>
    <xf numFmtId="176" fontId="7" fillId="0" borderId="6" xfId="0" applyNumberFormat="1" applyFont="1" applyBorder="1" applyAlignment="1">
      <alignment horizontal="left"/>
    </xf>
    <xf numFmtId="170" fontId="3" fillId="0" borderId="0" xfId="0" applyNumberFormat="1" applyFont="1" applyAlignment="1" applyProtection="1">
      <alignment horizontal="left"/>
      <protection locked="0"/>
    </xf>
    <xf numFmtId="168" fontId="6" fillId="0" borderId="0" xfId="0" applyNumberFormat="1" applyFont="1" applyAlignment="1">
      <alignment horizontal="left"/>
    </xf>
    <xf numFmtId="168" fontId="3" fillId="0" borderId="0" xfId="0" applyNumberFormat="1" applyFont="1" applyAlignment="1" applyProtection="1">
      <alignment horizontal="left"/>
      <protection locked="0"/>
    </xf>
    <xf numFmtId="168" fontId="3" fillId="0" borderId="0" xfId="0" applyNumberFormat="1" applyFont="1" applyAlignment="1" applyProtection="1">
      <alignment horizontal="center"/>
      <protection locked="0"/>
    </xf>
    <xf numFmtId="168" fontId="3" fillId="0" borderId="0" xfId="0" applyNumberFormat="1" applyFont="1" applyAlignment="1" applyProtection="1">
      <alignment horizontal="right"/>
      <protection locked="0"/>
    </xf>
    <xf numFmtId="0" fontId="41" fillId="0" borderId="6" xfId="0" applyFont="1" applyBorder="1" applyAlignment="1">
      <alignment horizontal="left"/>
    </xf>
    <xf numFmtId="166" fontId="42" fillId="0" borderId="6" xfId="0" applyNumberFormat="1" applyFont="1" applyBorder="1" applyAlignment="1">
      <alignment horizontal="left"/>
    </xf>
    <xf numFmtId="0" fontId="0" fillId="0" borderId="29" xfId="0" applyBorder="1"/>
    <xf numFmtId="20" fontId="7" fillId="0" borderId="6" xfId="0" applyNumberFormat="1" applyFont="1" applyBorder="1" applyAlignment="1">
      <alignment horizontal="left"/>
    </xf>
    <xf numFmtId="0" fontId="0" fillId="7" borderId="0" xfId="0" applyFill="1"/>
    <xf numFmtId="0" fontId="0" fillId="8" borderId="0" xfId="0" applyFill="1" applyAlignment="1">
      <alignment horizontal="right"/>
    </xf>
    <xf numFmtId="0" fontId="0" fillId="8" borderId="0" xfId="0" applyFill="1"/>
    <xf numFmtId="168" fontId="0" fillId="7" borderId="0" xfId="0" applyNumberFormat="1" applyFill="1"/>
    <xf numFmtId="0" fontId="13" fillId="8" borderId="0" xfId="0" applyFont="1" applyFill="1" applyAlignment="1">
      <alignment horizontal="center"/>
    </xf>
    <xf numFmtId="0" fontId="43" fillId="0" borderId="0" xfId="0" applyFont="1"/>
    <xf numFmtId="167" fontId="0" fillId="8" borderId="0" xfId="0" applyNumberFormat="1" applyFill="1"/>
    <xf numFmtId="0" fontId="0" fillId="9" borderId="0" xfId="0" applyFill="1"/>
    <xf numFmtId="167" fontId="0" fillId="8" borderId="0" xfId="0" applyNumberFormat="1" applyFill="1" applyAlignment="1">
      <alignment horizontal="center"/>
    </xf>
    <xf numFmtId="0" fontId="0" fillId="10" borderId="0" xfId="0" applyFill="1"/>
    <xf numFmtId="0" fontId="4" fillId="10" borderId="0" xfId="0" applyFont="1" applyFill="1" applyAlignment="1">
      <alignment horizontal="right"/>
    </xf>
    <xf numFmtId="0" fontId="6" fillId="10" borderId="0" xfId="0" applyFont="1" applyFill="1"/>
    <xf numFmtId="0" fontId="4" fillId="10" borderId="0" xfId="0" applyFont="1" applyFill="1" applyAlignment="1">
      <alignment horizontal="center"/>
    </xf>
    <xf numFmtId="0" fontId="0" fillId="10" borderId="0" xfId="0" applyFill="1" applyAlignment="1">
      <alignment horizontal="right"/>
    </xf>
    <xf numFmtId="0" fontId="6" fillId="10" borderId="0" xfId="0" applyFont="1" applyFill="1" applyAlignment="1">
      <alignment horizontal="center"/>
    </xf>
    <xf numFmtId="0" fontId="13" fillId="10" borderId="0" xfId="0" applyFont="1" applyFill="1"/>
    <xf numFmtId="0" fontId="6" fillId="8" borderId="0" xfId="0" applyFont="1" applyFill="1"/>
    <xf numFmtId="0" fontId="12" fillId="0" borderId="0" xfId="0" applyFont="1"/>
    <xf numFmtId="0" fontId="4" fillId="8" borderId="0" xfId="0" applyFont="1" applyFill="1"/>
    <xf numFmtId="167" fontId="6" fillId="9" borderId="0" xfId="0" applyNumberFormat="1" applyFont="1" applyFill="1" applyAlignment="1">
      <alignment horizontal="center"/>
    </xf>
    <xf numFmtId="0" fontId="0" fillId="8" borderId="0" xfId="0" quotePrefix="1" applyFill="1"/>
    <xf numFmtId="0" fontId="0" fillId="8" borderId="0" xfId="0" applyFill="1" applyAlignment="1">
      <alignment horizontal="left"/>
    </xf>
    <xf numFmtId="168" fontId="0" fillId="8" borderId="0" xfId="0" applyNumberFormat="1" applyFill="1"/>
    <xf numFmtId="0" fontId="0" fillId="7" borderId="0" xfId="0" applyFill="1" applyAlignment="1">
      <alignment horizontal="right"/>
    </xf>
    <xf numFmtId="168" fontId="0" fillId="7" borderId="0" xfId="0" applyNumberFormat="1" applyFill="1" applyAlignment="1">
      <alignment horizontal="right"/>
    </xf>
    <xf numFmtId="0" fontId="3" fillId="0" borderId="0" xfId="0" applyFont="1" applyAlignment="1">
      <alignment horizontal="center"/>
    </xf>
    <xf numFmtId="0" fontId="3" fillId="0" borderId="0" xfId="0" applyFont="1" applyAlignment="1">
      <alignment horizontal="right"/>
    </xf>
    <xf numFmtId="0" fontId="30" fillId="0" borderId="0" xfId="0" quotePrefix="1" applyFont="1"/>
    <xf numFmtId="168" fontId="6" fillId="10" borderId="0" xfId="0" applyNumberFormat="1" applyFont="1" applyFill="1"/>
    <xf numFmtId="164" fontId="0" fillId="8" borderId="0" xfId="0" applyNumberFormat="1" applyFill="1"/>
    <xf numFmtId="164" fontId="0" fillId="10" borderId="0" xfId="0" applyNumberFormat="1" applyFill="1"/>
    <xf numFmtId="168" fontId="0" fillId="10" borderId="0" xfId="0" applyNumberFormat="1" applyFill="1"/>
    <xf numFmtId="164" fontId="6" fillId="0" borderId="1" xfId="0" applyNumberFormat="1" applyFont="1" applyBorder="1"/>
    <xf numFmtId="0" fontId="6" fillId="0" borderId="2" xfId="0" applyFont="1" applyBorder="1"/>
    <xf numFmtId="165" fontId="6" fillId="0" borderId="4" xfId="0" applyNumberFormat="1" applyFont="1" applyBorder="1" applyProtection="1">
      <protection hidden="1"/>
    </xf>
    <xf numFmtId="0" fontId="6" fillId="0" borderId="5" xfId="0" applyFont="1" applyBorder="1"/>
    <xf numFmtId="0" fontId="6" fillId="0" borderId="6" xfId="0" applyFont="1" applyBorder="1" applyProtection="1">
      <protection locked="0"/>
    </xf>
    <xf numFmtId="0" fontId="6" fillId="0" borderId="6" xfId="0" applyFont="1" applyBorder="1" applyAlignment="1" applyProtection="1">
      <alignment horizontal="left"/>
      <protection locked="0"/>
    </xf>
    <xf numFmtId="0" fontId="6" fillId="0" borderId="7" xfId="0" applyFont="1" applyBorder="1"/>
    <xf numFmtId="0" fontId="6" fillId="0" borderId="4" xfId="0" applyFont="1" applyBorder="1"/>
    <xf numFmtId="0" fontId="6" fillId="0" borderId="8" xfId="0" applyFont="1" applyBorder="1"/>
    <xf numFmtId="0" fontId="6" fillId="0" borderId="5" xfId="0" applyFont="1" applyBorder="1" applyAlignment="1">
      <alignment horizontal="left" indent="1"/>
    </xf>
    <xf numFmtId="0" fontId="44" fillId="0" borderId="0" xfId="0" applyFont="1"/>
    <xf numFmtId="167" fontId="6" fillId="0" borderId="0" xfId="0" quotePrefix="1" applyNumberFormat="1" applyFont="1"/>
    <xf numFmtId="0" fontId="43" fillId="0" borderId="0" xfId="0" applyFont="1" applyProtection="1">
      <protection locked="0"/>
    </xf>
    <xf numFmtId="167" fontId="6" fillId="0" borderId="0" xfId="0" applyNumberFormat="1" applyFont="1" applyProtection="1">
      <protection locked="0"/>
    </xf>
    <xf numFmtId="0" fontId="6" fillId="0" borderId="0" xfId="0" applyFont="1" applyAlignment="1">
      <alignment vertical="center"/>
    </xf>
    <xf numFmtId="0" fontId="6" fillId="0" borderId="0" xfId="0" applyFont="1" applyProtection="1">
      <protection locked="0"/>
    </xf>
    <xf numFmtId="168" fontId="6" fillId="0" borderId="0" xfId="0" applyNumberFormat="1" applyFont="1" applyProtection="1">
      <protection locked="0"/>
    </xf>
    <xf numFmtId="0" fontId="6" fillId="0" borderId="0" xfId="0" applyFont="1" applyAlignment="1" applyProtection="1">
      <alignment horizontal="center"/>
      <protection locked="0"/>
    </xf>
    <xf numFmtId="168" fontId="6" fillId="0" borderId="29" xfId="0" applyNumberFormat="1" applyFont="1" applyBorder="1" applyProtection="1">
      <protection locked="0"/>
    </xf>
    <xf numFmtId="168" fontId="6" fillId="0" borderId="29" xfId="0" applyNumberFormat="1" applyFont="1" applyBorder="1"/>
    <xf numFmtId="168" fontId="6" fillId="0" borderId="0" xfId="0" applyNumberFormat="1" applyFont="1" applyAlignment="1">
      <alignment horizontal="fill"/>
    </xf>
    <xf numFmtId="164" fontId="6" fillId="0" borderId="0" xfId="0" applyNumberFormat="1" applyFont="1" applyAlignment="1">
      <alignment horizontal="center"/>
    </xf>
    <xf numFmtId="170" fontId="6" fillId="0" borderId="0" xfId="0" applyNumberFormat="1" applyFont="1"/>
    <xf numFmtId="165" fontId="6" fillId="0" borderId="0" xfId="0" applyNumberFormat="1" applyFont="1"/>
    <xf numFmtId="167" fontId="6" fillId="2" borderId="0" xfId="0" applyNumberFormat="1" applyFont="1" applyFill="1"/>
    <xf numFmtId="167" fontId="45" fillId="0" borderId="0" xfId="0" applyNumberFormat="1" applyFont="1" applyProtection="1">
      <protection locked="0"/>
    </xf>
    <xf numFmtId="167" fontId="6" fillId="0" borderId="0" xfId="0" applyNumberFormat="1" applyFont="1" applyAlignment="1" applyProtection="1">
      <alignment horizontal="center"/>
      <protection locked="0"/>
    </xf>
    <xf numFmtId="0" fontId="41" fillId="0" borderId="0" xfId="0" applyFont="1"/>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45" fillId="0" borderId="0" xfId="0" applyFont="1" applyProtection="1">
      <protection locked="0"/>
    </xf>
    <xf numFmtId="1" fontId="6" fillId="0" borderId="0" xfId="0" applyNumberFormat="1" applyFont="1"/>
    <xf numFmtId="1" fontId="0" fillId="0" borderId="0" xfId="0" applyNumberFormat="1" applyAlignment="1">
      <alignment horizontal="left"/>
    </xf>
    <xf numFmtId="167" fontId="6" fillId="0" borderId="0" xfId="0" applyNumberFormat="1" applyFont="1" applyAlignment="1" applyProtection="1">
      <alignment horizontal="left"/>
      <protection locked="0"/>
    </xf>
    <xf numFmtId="168" fontId="6" fillId="0" borderId="6" xfId="0" applyNumberFormat="1" applyFont="1" applyBorder="1"/>
    <xf numFmtId="0" fontId="6" fillId="0" borderId="0" xfId="0" applyFont="1" applyAlignment="1">
      <alignment horizontal="right" indent="1"/>
    </xf>
    <xf numFmtId="167" fontId="6" fillId="0" borderId="0" xfId="0" applyNumberFormat="1" applyFont="1" applyAlignment="1" applyProtection="1">
      <alignment horizontal="right"/>
      <protection locked="0"/>
    </xf>
    <xf numFmtId="0" fontId="4" fillId="0" borderId="1" xfId="0" applyFont="1" applyBorder="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vertical="center"/>
    </xf>
    <xf numFmtId="167" fontId="0" fillId="0" borderId="0" xfId="0" applyNumberFormat="1" applyAlignment="1">
      <alignment vertical="center"/>
    </xf>
    <xf numFmtId="167" fontId="0" fillId="0" borderId="8" xfId="0" applyNumberFormat="1" applyBorder="1" applyAlignment="1">
      <alignment vertical="center"/>
    </xf>
    <xf numFmtId="167" fontId="0" fillId="0" borderId="8" xfId="0" applyNumberFormat="1" applyBorder="1"/>
    <xf numFmtId="168" fontId="0" fillId="0" borderId="8" xfId="0" applyNumberFormat="1" applyBorder="1"/>
    <xf numFmtId="164" fontId="0" fillId="0" borderId="8" xfId="0" applyNumberFormat="1" applyBorder="1"/>
    <xf numFmtId="168" fontId="0" fillId="0" borderId="7" xfId="0" applyNumberFormat="1" applyBorder="1"/>
    <xf numFmtId="0" fontId="0" fillId="0" borderId="0" xfId="0" quotePrefix="1" applyAlignment="1">
      <alignment horizontal="left" indent="2"/>
    </xf>
    <xf numFmtId="0" fontId="14" fillId="0" borderId="0" xfId="0" applyFont="1" applyAlignment="1" applyProtection="1">
      <alignment horizontal="left"/>
      <protection locked="0"/>
    </xf>
    <xf numFmtId="49" fontId="0" fillId="0" borderId="0" xfId="0" quotePrefix="1" applyNumberFormat="1" applyAlignment="1">
      <alignment horizontal="left" indent="3"/>
    </xf>
    <xf numFmtId="0" fontId="14" fillId="0" borderId="0" xfId="0" applyFont="1" applyAlignment="1">
      <alignment horizontal="center"/>
    </xf>
    <xf numFmtId="174" fontId="0" fillId="11" borderId="0" xfId="0" applyNumberFormat="1" applyFill="1" applyAlignment="1">
      <alignment horizontal="center"/>
    </xf>
    <xf numFmtId="0" fontId="47" fillId="0" borderId="0" xfId="0" applyFont="1"/>
    <xf numFmtId="0" fontId="48" fillId="0" borderId="0" xfId="0" applyFont="1"/>
    <xf numFmtId="2" fontId="49" fillId="0" borderId="0" xfId="0" applyNumberFormat="1" applyFont="1" applyAlignment="1">
      <alignment horizontal="center"/>
    </xf>
    <xf numFmtId="0" fontId="49" fillId="0" borderId="0" xfId="0" applyFont="1"/>
    <xf numFmtId="0" fontId="0" fillId="0" borderId="30" xfId="0" applyBorder="1"/>
    <xf numFmtId="0" fontId="49" fillId="0" borderId="0" xfId="0" quotePrefix="1" applyFont="1" applyAlignment="1">
      <alignment horizontal="left"/>
    </xf>
    <xf numFmtId="0" fontId="1" fillId="0" borderId="0" xfId="0" applyFont="1" applyAlignment="1" applyProtection="1">
      <alignment horizontal="center" vertical="top"/>
      <protection locked="0"/>
    </xf>
    <xf numFmtId="2" fontId="0" fillId="0" borderId="0" xfId="0" applyNumberFormat="1" applyAlignment="1">
      <alignment horizontal="center"/>
    </xf>
    <xf numFmtId="0" fontId="1" fillId="0" borderId="3" xfId="0" applyFont="1" applyBorder="1" applyAlignment="1" applyProtection="1">
      <alignment horizontal="left" vertical="top" indent="2"/>
      <protection locked="0"/>
    </xf>
    <xf numFmtId="0" fontId="6" fillId="0" borderId="0" xfId="0" applyFont="1"/>
    <xf numFmtId="0" fontId="0" fillId="0" borderId="0" xfId="0"/>
    <xf numFmtId="0" fontId="6" fillId="0" borderId="0" xfId="0" applyFont="1" applyAlignment="1">
      <alignment vertical="top"/>
    </xf>
    <xf numFmtId="0" fontId="0" fillId="0" borderId="0" xfId="0"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1.5299072568049377E-2"/>
          <c:y val="4.2056034861670998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1961057023643949"/>
          <c:y val="0.16588785046728971"/>
          <c:w val="0.6342141863699583"/>
          <c:h val="0.67523364485981308"/>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Ref>
              <c:f>[1]A!$N$484:$N$497</c:f>
              <c:numCache>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Cache>
            </c:numRef>
          </c:xVal>
          <c:yVal>
            <c:numRef>
              <c:f>[1]A!$O$484:$O$497</c:f>
              <c:numCache>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Cache>
            </c:numRef>
          </c:yVal>
          <c:smooth val="0"/>
          <c:extLst>
            <c:ext xmlns:c16="http://schemas.microsoft.com/office/drawing/2014/chart" uri="{C3380CC4-5D6E-409C-BE32-E72D297353CC}">
              <c16:uniqueId val="{00000000-9A99-452C-B082-D639E734A5C3}"/>
            </c:ext>
          </c:extLst>
        </c:ser>
        <c:ser>
          <c:idx val="1"/>
          <c:order val="1"/>
          <c:tx>
            <c:v>udnyt.grad dorn</c:v>
          </c:tx>
          <c:spPr>
            <a:ln w="25400">
              <a:solidFill>
                <a:srgbClr val="000000"/>
              </a:solidFill>
              <a:prstDash val="lgDashDotDot"/>
            </a:ln>
          </c:spPr>
          <c:marker>
            <c:symbol val="none"/>
          </c:marker>
          <c:xVal>
            <c:numRef>
              <c:f>[1]A!$N$484:$N$497</c:f>
              <c:numCache>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Cache>
            </c:numRef>
          </c:xVal>
          <c:yVal>
            <c:numRef>
              <c:f>[1]A!$P$484:$P$497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yVal>
          <c:smooth val="0"/>
          <c:extLst>
            <c:ext xmlns:c16="http://schemas.microsoft.com/office/drawing/2014/chart" uri="{C3380CC4-5D6E-409C-BE32-E72D297353CC}">
              <c16:uniqueId val="{00000001-9A99-452C-B082-D639E734A5C3}"/>
            </c:ext>
          </c:extLst>
        </c:ser>
        <c:dLbls>
          <c:showLegendKey val="0"/>
          <c:showVal val="0"/>
          <c:showCatName val="0"/>
          <c:showSerName val="0"/>
          <c:showPercent val="0"/>
          <c:showBubbleSize val="0"/>
        </c:dLbls>
        <c:axId val="1087493792"/>
        <c:axId val="1"/>
      </c:scatterChart>
      <c:valAx>
        <c:axId val="1087493792"/>
        <c:scaling>
          <c:orientation val="minMax"/>
          <c:max val="1200"/>
          <c:min val="0"/>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856756106581068"/>
              <c:y val="0.9112150096070528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253196462617274E-2"/>
              <c:y val="0.2476635396651973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087493792"/>
        <c:crosses val="autoZero"/>
        <c:crossBetween val="midCat"/>
        <c:majorUnit val="0.1"/>
        <c:minorUnit val="0.05"/>
      </c:valAx>
      <c:spPr>
        <a:solidFill>
          <a:srgbClr val="FFFFFF"/>
        </a:solidFill>
        <a:ln w="12700">
          <a:solidFill>
            <a:srgbClr val="000000"/>
          </a:solidFill>
          <a:prstDash val="solid"/>
        </a:ln>
      </c:spPr>
    </c:plotArea>
    <c:legend>
      <c:legendPos val="r"/>
      <c:layout>
        <c:manualLayout>
          <c:xMode val="edge"/>
          <c:yMode val="edge"/>
          <c:x val="0.7835867362846477"/>
          <c:y val="0.45094919875450018"/>
          <c:w val="0.20274621847924451"/>
          <c:h val="9.813402252688605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76257567968699"/>
          <c:y val="9.8859315589353611E-2"/>
          <c:w val="0.63366438747999732"/>
          <c:h val="0.64258555133079853"/>
        </c:manualLayout>
      </c:layout>
      <c:scatterChart>
        <c:scatterStyle val="lineMarker"/>
        <c:varyColors val="0"/>
        <c:ser>
          <c:idx val="0"/>
          <c:order val="0"/>
          <c:tx>
            <c:v>M</c:v>
          </c:tx>
          <c:spPr>
            <a:ln w="25400">
              <a:solidFill>
                <a:schemeClr val="tx1"/>
              </a:solidFill>
              <a:prstDash val="solid"/>
            </a:ln>
          </c:spPr>
          <c:marker>
            <c:symbol val="none"/>
          </c:marker>
          <c:xVal>
            <c:numRef>
              <c:f>A!$Y$55:$AP$55</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A!$Y$56:$AP$56</c:f>
              <c:numCache>
                <c:formatCode>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numCache>
            </c:numRef>
          </c:yVal>
          <c:smooth val="0"/>
          <c:extLst>
            <c:ext xmlns:c16="http://schemas.microsoft.com/office/drawing/2014/chart" uri="{C3380CC4-5D6E-409C-BE32-E72D297353CC}">
              <c16:uniqueId val="{00000000-932A-48D2-8E2F-08ADEFBD49D8}"/>
            </c:ext>
          </c:extLst>
        </c:ser>
        <c:ser>
          <c:idx val="1"/>
          <c:order val="1"/>
          <c:tx>
            <c:v>V</c:v>
          </c:tx>
          <c:spPr>
            <a:ln w="25400">
              <a:solidFill>
                <a:schemeClr val="tx1"/>
              </a:solidFill>
              <a:prstDash val="lgDashDot"/>
            </a:ln>
          </c:spPr>
          <c:marker>
            <c:symbol val="none"/>
          </c:marker>
          <c:xVal>
            <c:numRef>
              <c:f>A!$Y$55:$AP$55</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A!$Y$57:$AP$57</c:f>
              <c:numCache>
                <c:formatCode>0.00_)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yVal>
          <c:smooth val="0"/>
          <c:extLst>
            <c:ext xmlns:c16="http://schemas.microsoft.com/office/drawing/2014/chart" uri="{C3380CC4-5D6E-409C-BE32-E72D297353CC}">
              <c16:uniqueId val="{00000001-932A-48D2-8E2F-08ADEFBD49D8}"/>
            </c:ext>
          </c:extLst>
        </c:ser>
        <c:dLbls>
          <c:showLegendKey val="0"/>
          <c:showVal val="0"/>
          <c:showCatName val="0"/>
          <c:showSerName val="0"/>
          <c:showPercent val="0"/>
          <c:showBubbleSize val="0"/>
        </c:dLbls>
        <c:axId val="1087497952"/>
        <c:axId val="1"/>
      </c:scatterChart>
      <c:valAx>
        <c:axId val="1087497952"/>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snit x [m]</a:t>
                </a:r>
              </a:p>
            </c:rich>
          </c:tx>
          <c:layout>
            <c:manualLayout>
              <c:xMode val="edge"/>
              <c:yMode val="edge"/>
              <c:x val="0.41030183727034125"/>
              <c:y val="0.86330952816944395"/>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snitkraft</a:t>
                </a:r>
              </a:p>
            </c:rich>
          </c:tx>
          <c:layout>
            <c:manualLayout>
              <c:xMode val="edge"/>
              <c:yMode val="edge"/>
              <c:x val="2.8419153197955519E-2"/>
              <c:y val="0.33453254389712916"/>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087497952"/>
        <c:crosses val="autoZero"/>
        <c:crossBetween val="midCat"/>
      </c:valAx>
      <c:spPr>
        <a:solidFill>
          <a:srgbClr val="FFFFFF"/>
        </a:solidFill>
        <a:ln w="12700">
          <a:solidFill>
            <a:srgbClr val="000000"/>
          </a:solidFill>
          <a:prstDash val="solid"/>
        </a:ln>
      </c:spPr>
    </c:plotArea>
    <c:legend>
      <c:legendPos val="r"/>
      <c:layout>
        <c:manualLayout>
          <c:xMode val="edge"/>
          <c:yMode val="edge"/>
          <c:x val="0.78880366528638268"/>
          <c:y val="4.9431240882146392E-2"/>
          <c:w val="0.1567706029334861"/>
          <c:h val="0.1673057383703416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230817384859236"/>
          <c:y val="0.10788403600726953"/>
          <c:w val="0.72820695164000315"/>
          <c:h val="0.60995974204110082"/>
        </c:manualLayout>
      </c:layout>
      <c:scatterChart>
        <c:scatterStyle val="lineMarker"/>
        <c:varyColors val="0"/>
        <c:ser>
          <c:idx val="0"/>
          <c:order val="0"/>
          <c:tx>
            <c:v>M</c:v>
          </c:tx>
          <c:spPr>
            <a:ln w="25400">
              <a:solidFill>
                <a:schemeClr val="tx1"/>
              </a:solidFill>
              <a:prstDash val="solid"/>
            </a:ln>
          </c:spPr>
          <c:marker>
            <c:symbol val="none"/>
          </c:marker>
          <c:xVal>
            <c:numRef>
              <c:f>A!$AI$119:$AU$119</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A!$AI$120:$AU$120</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644F-4DED-9934-B171BC10D91A}"/>
            </c:ext>
          </c:extLst>
        </c:ser>
        <c:ser>
          <c:idx val="1"/>
          <c:order val="1"/>
          <c:tx>
            <c:v>V</c:v>
          </c:tx>
          <c:spPr>
            <a:ln w="25400">
              <a:solidFill>
                <a:schemeClr val="tx1"/>
              </a:solidFill>
              <a:prstDash val="lgDashDot"/>
            </a:ln>
          </c:spPr>
          <c:marker>
            <c:symbol val="none"/>
          </c:marker>
          <c:xVal>
            <c:numRef>
              <c:f>A!$AI$119:$AU$119</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A!$AI$121:$AU$121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644F-4DED-9934-B171BC10D91A}"/>
            </c:ext>
          </c:extLst>
        </c:ser>
        <c:dLbls>
          <c:showLegendKey val="0"/>
          <c:showVal val="0"/>
          <c:showCatName val="0"/>
          <c:showSerName val="0"/>
          <c:showPercent val="0"/>
          <c:showBubbleSize val="0"/>
        </c:dLbls>
        <c:axId val="1039798800"/>
        <c:axId val="1"/>
      </c:scatterChart>
      <c:valAx>
        <c:axId val="1039798800"/>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 ende</a:t>
                </a:r>
              </a:p>
            </c:rich>
          </c:tx>
          <c:layout>
            <c:manualLayout>
              <c:xMode val="edge"/>
              <c:yMode val="edge"/>
              <c:x val="0.41891992401205602"/>
              <c:y val="0.84167004440900584"/>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6036007008075396E-2"/>
              <c:y val="0.30833449616266323"/>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039798800"/>
        <c:crosses val="autoZero"/>
        <c:crossBetween val="midCat"/>
      </c:valAx>
      <c:spPr>
        <a:solidFill>
          <a:srgbClr val="FFFFFF"/>
        </a:solidFill>
        <a:ln w="12700">
          <a:solidFill>
            <a:srgbClr val="000000"/>
          </a:solidFill>
          <a:prstDash val="solid"/>
        </a:ln>
      </c:spPr>
    </c:plotArea>
    <c:legend>
      <c:legendPos val="r"/>
      <c:layout>
        <c:manualLayout>
          <c:xMode val="edge"/>
          <c:yMode val="edge"/>
          <c:x val="0.68720207213340534"/>
          <c:y val="2.0747627099899454E-2"/>
          <c:w val="0.22564844159604355"/>
          <c:h val="0.16598101679919564"/>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132653061224489"/>
          <c:y val="0.10655759028718599"/>
          <c:w val="0.72959183673469385"/>
          <c:h val="0.61475532857991921"/>
        </c:manualLayout>
      </c:layout>
      <c:scatterChart>
        <c:scatterStyle val="lineMarker"/>
        <c:varyColors val="0"/>
        <c:ser>
          <c:idx val="0"/>
          <c:order val="0"/>
          <c:tx>
            <c:v>M</c:v>
          </c:tx>
          <c:spPr>
            <a:ln w="25400">
              <a:solidFill>
                <a:srgbClr val="000000"/>
              </a:solidFill>
              <a:prstDash val="solid"/>
            </a:ln>
          </c:spPr>
          <c:marker>
            <c:symbol val="none"/>
          </c:marker>
          <c:xVal>
            <c:numRef>
              <c:f>A!$AI$144:$AU$144</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A!$AI$145:$AU$145</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D6B6-46BE-80BD-DCE51236723F}"/>
            </c:ext>
          </c:extLst>
        </c:ser>
        <c:ser>
          <c:idx val="1"/>
          <c:order val="1"/>
          <c:tx>
            <c:v>V</c:v>
          </c:tx>
          <c:spPr>
            <a:ln w="25400">
              <a:solidFill>
                <a:srgbClr val="000000"/>
              </a:solidFill>
              <a:prstDash val="lgDashDot"/>
            </a:ln>
          </c:spPr>
          <c:marker>
            <c:symbol val="none"/>
          </c:marker>
          <c:xVal>
            <c:numRef>
              <c:f>A!$AI$144:$AU$144</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A!$AI$146:$AU$146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D6B6-46BE-80BD-DCE51236723F}"/>
            </c:ext>
          </c:extLst>
        </c:ser>
        <c:dLbls>
          <c:showLegendKey val="0"/>
          <c:showVal val="0"/>
          <c:showCatName val="0"/>
          <c:showSerName val="0"/>
          <c:showPercent val="0"/>
          <c:showBubbleSize val="0"/>
        </c:dLbls>
        <c:axId val="1154265376"/>
        <c:axId val="1"/>
      </c:scatterChart>
      <c:valAx>
        <c:axId val="115426537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 ende</a:t>
                </a:r>
              </a:p>
            </c:rich>
          </c:tx>
          <c:layout>
            <c:manualLayout>
              <c:xMode val="edge"/>
              <c:yMode val="edge"/>
              <c:x val="0.4327356027061503"/>
              <c:y val="0.84426404858388515"/>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5874523318173014E-2"/>
              <c:y val="0.31147585631293995"/>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154265376"/>
        <c:crosses val="autoZero"/>
        <c:crossBetween val="midCat"/>
      </c:valAx>
      <c:spPr>
        <a:solidFill>
          <a:srgbClr val="FFFFFF"/>
        </a:solidFill>
        <a:ln w="12700">
          <a:solidFill>
            <a:srgbClr val="000000"/>
          </a:solidFill>
          <a:prstDash val="solid"/>
        </a:ln>
      </c:spPr>
    </c:plotArea>
    <c:legend>
      <c:legendPos val="r"/>
      <c:layout>
        <c:manualLayout>
          <c:xMode val="edge"/>
          <c:yMode val="edge"/>
          <c:x val="0.68369671160359802"/>
          <c:y val="2.8689538871430068E-2"/>
          <c:w val="0.23470185622213069"/>
          <c:h val="0.18033424433470327"/>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458151480420019"/>
          <c:y val="0.11206920138486956"/>
          <c:w val="0.72413880192955515"/>
          <c:h val="0.59482883811969234"/>
        </c:manualLayout>
      </c:layout>
      <c:scatterChart>
        <c:scatterStyle val="lineMarker"/>
        <c:varyColors val="0"/>
        <c:ser>
          <c:idx val="0"/>
          <c:order val="0"/>
          <c:tx>
            <c:v>M</c:v>
          </c:tx>
          <c:spPr>
            <a:ln w="25400">
              <a:solidFill>
                <a:srgbClr val="000000"/>
              </a:solidFill>
              <a:prstDash val="solid"/>
            </a:ln>
          </c:spPr>
          <c:marker>
            <c:symbol val="none"/>
          </c:marker>
          <c:xVal>
            <c:numRef>
              <c:f>A!$AI$119:$AU$119</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A!$AI$120:$AU$120</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EDE1-468F-B667-704A2D3AA148}"/>
            </c:ext>
          </c:extLst>
        </c:ser>
        <c:ser>
          <c:idx val="1"/>
          <c:order val="1"/>
          <c:tx>
            <c:v>V</c:v>
          </c:tx>
          <c:spPr>
            <a:ln w="25400">
              <a:solidFill>
                <a:srgbClr val="000000"/>
              </a:solidFill>
              <a:prstDash val="lgDashDot"/>
            </a:ln>
          </c:spPr>
          <c:marker>
            <c:symbol val="none"/>
          </c:marker>
          <c:xVal>
            <c:numRef>
              <c:f>A!$AI$119:$AU$119</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A!$AI$121:$AU$121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EDE1-468F-B667-704A2D3AA148}"/>
            </c:ext>
          </c:extLst>
        </c:ser>
        <c:dLbls>
          <c:showLegendKey val="0"/>
          <c:showVal val="0"/>
          <c:showCatName val="0"/>
          <c:showSerName val="0"/>
          <c:showPercent val="0"/>
          <c:showBubbleSize val="0"/>
        </c:dLbls>
        <c:axId val="1090640816"/>
        <c:axId val="1"/>
      </c:scatterChart>
      <c:valAx>
        <c:axId val="109064081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 ende</a:t>
                </a:r>
              </a:p>
            </c:rich>
          </c:tx>
          <c:layout>
            <c:manualLayout>
              <c:xMode val="edge"/>
              <c:yMode val="edge"/>
              <c:x val="0.41379368020173946"/>
              <c:y val="0.86207072800110507"/>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7761309248108695E-2"/>
              <c:y val="0.31474098632407788"/>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090640816"/>
        <c:crosses val="autoZero"/>
        <c:crossBetween val="midCat"/>
      </c:valAx>
      <c:spPr>
        <a:solidFill>
          <a:srgbClr val="FFFFFF"/>
        </a:solidFill>
        <a:ln w="12700">
          <a:solidFill>
            <a:srgbClr val="000000"/>
          </a:solidFill>
          <a:prstDash val="solid"/>
        </a:ln>
      </c:spPr>
    </c:plotArea>
    <c:legend>
      <c:legendPos val="r"/>
      <c:layout>
        <c:manualLayout>
          <c:xMode val="edge"/>
          <c:yMode val="edge"/>
          <c:x val="0.6059300948419486"/>
          <c:y val="2.1552508500287955E-2"/>
          <c:w val="0.21675548108167267"/>
          <c:h val="0.17242006800230364"/>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990384615384615"/>
          <c:y val="0.11659218354160143"/>
          <c:w val="0.73076923076923073"/>
          <c:h val="0.57847660295640713"/>
        </c:manualLayout>
      </c:layout>
      <c:scatterChart>
        <c:scatterStyle val="lineMarker"/>
        <c:varyColors val="0"/>
        <c:ser>
          <c:idx val="0"/>
          <c:order val="0"/>
          <c:tx>
            <c:v>M</c:v>
          </c:tx>
          <c:spPr>
            <a:ln w="25400">
              <a:solidFill>
                <a:srgbClr val="000000"/>
              </a:solidFill>
              <a:prstDash val="solid"/>
            </a:ln>
          </c:spPr>
          <c:marker>
            <c:symbol val="none"/>
          </c:marker>
          <c:xVal>
            <c:numRef>
              <c:f>A!$AI$144:$AU$144</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A!$AI$145:$AU$145</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65DB-4E18-A637-465F82477654}"/>
            </c:ext>
          </c:extLst>
        </c:ser>
        <c:ser>
          <c:idx val="1"/>
          <c:order val="1"/>
          <c:tx>
            <c:v>V</c:v>
          </c:tx>
          <c:spPr>
            <a:ln w="25400">
              <a:solidFill>
                <a:srgbClr val="000000"/>
              </a:solidFill>
              <a:prstDash val="lgDashDot"/>
            </a:ln>
          </c:spPr>
          <c:marker>
            <c:symbol val="none"/>
          </c:marker>
          <c:xVal>
            <c:numRef>
              <c:f>A!$AI$144:$AU$144</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A!$AI$146:$AU$146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65DB-4E18-A637-465F82477654}"/>
            </c:ext>
          </c:extLst>
        </c:ser>
        <c:dLbls>
          <c:showLegendKey val="0"/>
          <c:showVal val="0"/>
          <c:showCatName val="0"/>
          <c:showSerName val="0"/>
          <c:showPercent val="0"/>
          <c:showBubbleSize val="0"/>
        </c:dLbls>
        <c:axId val="1165534960"/>
        <c:axId val="1"/>
      </c:scatterChart>
      <c:valAx>
        <c:axId val="1165534960"/>
        <c:scaling>
          <c:orientation val="minMax"/>
        </c:scaling>
        <c:delete val="0"/>
        <c:axPos val="b"/>
        <c:majorGridlines>
          <c:spPr>
            <a:ln w="12700">
              <a:pattFill prst="pct75">
                <a:fgClr>
                  <a:srgbClr val="000000"/>
                </a:fgClr>
                <a:bgClr>
                  <a:srgbClr val="FFFFFF"/>
                </a:bgClr>
              </a:patt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 ende</a:t>
                </a:r>
              </a:p>
            </c:rich>
          </c:tx>
          <c:layout>
            <c:manualLayout>
              <c:xMode val="edge"/>
              <c:yMode val="edge"/>
              <c:x val="0.40615454168707377"/>
              <c:y val="0.848605628332333"/>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9230807871504099E-2"/>
              <c:y val="0.31474124030460321"/>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165534960"/>
        <c:crosses val="autoZero"/>
        <c:crossBetween val="midCat"/>
      </c:valAx>
      <c:spPr>
        <a:solidFill>
          <a:srgbClr val="FFFFFF"/>
        </a:solidFill>
        <a:ln w="12700">
          <a:solidFill>
            <a:srgbClr val="000000"/>
          </a:solidFill>
          <a:prstDash val="solid"/>
        </a:ln>
      </c:spPr>
    </c:plotArea>
    <c:legend>
      <c:legendPos val="r"/>
      <c:layout>
        <c:manualLayout>
          <c:xMode val="edge"/>
          <c:yMode val="edge"/>
          <c:x val="0.6418480488575119"/>
          <c:y val="2.6432634882290827E-2"/>
          <c:w val="0.21154542434255075"/>
          <c:h val="0.19383932247013275"/>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1.5299001752204796E-2"/>
          <c:y val="4.2056034861670998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1961057023643949"/>
          <c:y val="0.16588785046728971"/>
          <c:w val="0.6342141863699583"/>
          <c:h val="0.67523364485981308"/>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Ref>
              <c:f>[1]A!$N$484:$N$497</c:f>
              <c:numCache>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Cache>
            </c:numRef>
          </c:xVal>
          <c:yVal>
            <c:numRef>
              <c:f>[1]A!$O$484:$O$497</c:f>
              <c:numCache>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Cache>
            </c:numRef>
          </c:yVal>
          <c:smooth val="0"/>
          <c:extLst>
            <c:ext xmlns:c16="http://schemas.microsoft.com/office/drawing/2014/chart" uri="{C3380CC4-5D6E-409C-BE32-E72D297353CC}">
              <c16:uniqueId val="{00000000-3140-47FD-8F5C-3918C1D77269}"/>
            </c:ext>
          </c:extLst>
        </c:ser>
        <c:ser>
          <c:idx val="1"/>
          <c:order val="1"/>
          <c:tx>
            <c:v>udnyt.grad dorn</c:v>
          </c:tx>
          <c:spPr>
            <a:ln w="25400">
              <a:pattFill prst="pct75">
                <a:fgClr>
                  <a:srgbClr val="000000"/>
                </a:fgClr>
                <a:bgClr>
                  <a:srgbClr val="FFFFFF"/>
                </a:bgClr>
              </a:pattFill>
              <a:prstDash val="solid"/>
            </a:ln>
          </c:spPr>
          <c:marker>
            <c:symbol val="none"/>
          </c:marker>
          <c:xVal>
            <c:numRef>
              <c:f>[1]A!$N$484:$N$497</c:f>
              <c:numCache>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Cache>
            </c:numRef>
          </c:xVal>
          <c:yVal>
            <c:numRef>
              <c:f>[1]A!$P$484:$P$497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yVal>
          <c:smooth val="0"/>
          <c:extLst>
            <c:ext xmlns:c16="http://schemas.microsoft.com/office/drawing/2014/chart" uri="{C3380CC4-5D6E-409C-BE32-E72D297353CC}">
              <c16:uniqueId val="{00000001-3140-47FD-8F5C-3918C1D77269}"/>
            </c:ext>
          </c:extLst>
        </c:ser>
        <c:dLbls>
          <c:showLegendKey val="0"/>
          <c:showVal val="0"/>
          <c:showCatName val="0"/>
          <c:showSerName val="0"/>
          <c:showPercent val="0"/>
          <c:showBubbleSize val="0"/>
        </c:dLbls>
        <c:axId val="489656480"/>
        <c:axId val="1"/>
      </c:scatterChart>
      <c:valAx>
        <c:axId val="489656480"/>
        <c:scaling>
          <c:orientation val="minMax"/>
          <c:max val="1200"/>
          <c:min val="0"/>
        </c:scaling>
        <c:delete val="0"/>
        <c:axPos val="b"/>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856748169636688"/>
              <c:y val="0.9112150096070528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25314633454752E-2"/>
              <c:y val="0.2476635396651973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489656480"/>
        <c:crosses val="autoZero"/>
        <c:crossBetween val="midCat"/>
        <c:majorUnit val="0.1"/>
        <c:minorUnit val="0.05"/>
      </c:valAx>
      <c:spPr>
        <a:solidFill>
          <a:srgbClr val="FFFFFF"/>
        </a:solidFill>
        <a:ln w="12700">
          <a:solidFill>
            <a:srgbClr val="000000"/>
          </a:solidFill>
          <a:prstDash val="solid"/>
        </a:ln>
      </c:spPr>
    </c:plotArea>
    <c:legend>
      <c:legendPos val="r"/>
      <c:layout>
        <c:manualLayout>
          <c:xMode val="edge"/>
          <c:yMode val="edge"/>
          <c:x val="0.77224609389200316"/>
          <c:y val="0.4532856120257695"/>
          <c:w val="0.19861728502773712"/>
          <c:h val="9.8134096874254395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3.xml"/><Relationship Id="rId7"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11</xdr:col>
      <xdr:colOff>219075</xdr:colOff>
      <xdr:row>0</xdr:row>
      <xdr:rowOff>0</xdr:rowOff>
    </xdr:from>
    <xdr:to>
      <xdr:col>11</xdr:col>
      <xdr:colOff>219075</xdr:colOff>
      <xdr:row>6</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6886575" y="0"/>
          <a:ext cx="0" cy="904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809625</xdr:colOff>
      <xdr:row>476</xdr:row>
      <xdr:rowOff>142875</xdr:rowOff>
    </xdr:from>
    <xdr:to>
      <xdr:col>12</xdr:col>
      <xdr:colOff>428625</xdr:colOff>
      <xdr:row>498</xdr:row>
      <xdr:rowOff>28575</xdr:rowOff>
    </xdr:to>
    <xdr:graphicFrame macro="">
      <xdr:nvGraphicFramePr>
        <xdr:cNvPr id="3" name="Chart 5">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101</xdr:row>
      <xdr:rowOff>38100</xdr:rowOff>
    </xdr:from>
    <xdr:to>
      <xdr:col>5</xdr:col>
      <xdr:colOff>95250</xdr:colOff>
      <xdr:row>105</xdr:row>
      <xdr:rowOff>104775</xdr:rowOff>
    </xdr:to>
    <xdr:sp macro="" textlink="">
      <xdr:nvSpPr>
        <xdr:cNvPr id="4" name="Tegning 7">
          <a:extLst>
            <a:ext uri="{FF2B5EF4-FFF2-40B4-BE49-F238E27FC236}">
              <a16:creationId xmlns:a16="http://schemas.microsoft.com/office/drawing/2014/main" id="{00000000-0008-0000-0000-000004000000}"/>
            </a:ext>
          </a:extLst>
        </xdr:cNvPr>
        <xdr:cNvSpPr>
          <a:spLocks/>
        </xdr:cNvSpPr>
      </xdr:nvSpPr>
      <xdr:spPr bwMode="auto">
        <a:xfrm>
          <a:off x="1381125" y="19459575"/>
          <a:ext cx="1371600" cy="82867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74" y="0"/>
              </a:moveTo>
              <a:lnTo>
                <a:pt x="9235" y="0"/>
              </a:lnTo>
              <a:lnTo>
                <a:pt x="9235" y="7851"/>
              </a:lnTo>
              <a:lnTo>
                <a:pt x="16384" y="7851"/>
              </a:lnTo>
              <a:lnTo>
                <a:pt x="16384" y="16384"/>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0</xdr:colOff>
      <xdr:row>101</xdr:row>
      <xdr:rowOff>142875</xdr:rowOff>
    </xdr:from>
    <xdr:to>
      <xdr:col>5</xdr:col>
      <xdr:colOff>0</xdr:colOff>
      <xdr:row>105</xdr:row>
      <xdr:rowOff>28575</xdr:rowOff>
    </xdr:to>
    <xdr:sp macro="" textlink="">
      <xdr:nvSpPr>
        <xdr:cNvPr id="5" name="Tegning 8">
          <a:extLst>
            <a:ext uri="{FF2B5EF4-FFF2-40B4-BE49-F238E27FC236}">
              <a16:creationId xmlns:a16="http://schemas.microsoft.com/office/drawing/2014/main" id="{00000000-0008-0000-0000-000005000000}"/>
            </a:ext>
          </a:extLst>
        </xdr:cNvPr>
        <xdr:cNvSpPr>
          <a:spLocks/>
        </xdr:cNvSpPr>
      </xdr:nvSpPr>
      <xdr:spPr bwMode="auto">
        <a:xfrm>
          <a:off x="1381125" y="19564350"/>
          <a:ext cx="1276350" cy="647700"/>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0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85725</xdr:colOff>
      <xdr:row>101</xdr:row>
      <xdr:rowOff>28575</xdr:rowOff>
    </xdr:from>
    <xdr:to>
      <xdr:col>5</xdr:col>
      <xdr:colOff>19050</xdr:colOff>
      <xdr:row>103</xdr:row>
      <xdr:rowOff>47625</xdr:rowOff>
    </xdr:to>
    <xdr:sp macro="" textlink="">
      <xdr:nvSpPr>
        <xdr:cNvPr id="6" name="Tegning 9">
          <a:extLst>
            <a:ext uri="{FF2B5EF4-FFF2-40B4-BE49-F238E27FC236}">
              <a16:creationId xmlns:a16="http://schemas.microsoft.com/office/drawing/2014/main" id="{00000000-0008-0000-0000-000006000000}"/>
            </a:ext>
          </a:extLst>
        </xdr:cNvPr>
        <xdr:cNvSpPr>
          <a:spLocks/>
        </xdr:cNvSpPr>
      </xdr:nvSpPr>
      <xdr:spPr bwMode="auto">
        <a:xfrm>
          <a:off x="2419350" y="19450050"/>
          <a:ext cx="257175" cy="4000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764" y="0"/>
              </a:moveTo>
              <a:lnTo>
                <a:pt x="8764" y="16384"/>
              </a:lnTo>
              <a:lnTo>
                <a:pt x="16384" y="11703"/>
              </a:lnTo>
              <a:lnTo>
                <a:pt x="8764" y="16384"/>
              </a:lnTo>
              <a:lnTo>
                <a:pt x="0" y="11001"/>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552450</xdr:colOff>
      <xdr:row>99</xdr:row>
      <xdr:rowOff>209550</xdr:rowOff>
    </xdr:from>
    <xdr:to>
      <xdr:col>4</xdr:col>
      <xdr:colOff>266700</xdr:colOff>
      <xdr:row>99</xdr:row>
      <xdr:rowOff>209550</xdr:rowOff>
    </xdr:to>
    <xdr:sp macro="" textlink="">
      <xdr:nvSpPr>
        <xdr:cNvPr id="7" name="Line 10">
          <a:extLst>
            <a:ext uri="{FF2B5EF4-FFF2-40B4-BE49-F238E27FC236}">
              <a16:creationId xmlns:a16="http://schemas.microsoft.com/office/drawing/2014/main" id="{00000000-0008-0000-0000-000007000000}"/>
            </a:ext>
          </a:extLst>
        </xdr:cNvPr>
        <xdr:cNvSpPr>
          <a:spLocks noChangeShapeType="1"/>
        </xdr:cNvSpPr>
      </xdr:nvSpPr>
      <xdr:spPr bwMode="auto">
        <a:xfrm>
          <a:off x="1933575" y="19230975"/>
          <a:ext cx="666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99</xdr:row>
      <xdr:rowOff>161925</xdr:rowOff>
    </xdr:from>
    <xdr:to>
      <xdr:col>4</xdr:col>
      <xdr:colOff>228600</xdr:colOff>
      <xdr:row>100</xdr:row>
      <xdr:rowOff>171450</xdr:rowOff>
    </xdr:to>
    <xdr:sp macro="" textlink="">
      <xdr:nvSpPr>
        <xdr:cNvPr id="8" name="Line 11">
          <a:extLst>
            <a:ext uri="{FF2B5EF4-FFF2-40B4-BE49-F238E27FC236}">
              <a16:creationId xmlns:a16="http://schemas.microsoft.com/office/drawing/2014/main" id="{00000000-0008-0000-0000-000008000000}"/>
            </a:ext>
          </a:extLst>
        </xdr:cNvPr>
        <xdr:cNvSpPr>
          <a:spLocks noChangeShapeType="1"/>
        </xdr:cNvSpPr>
      </xdr:nvSpPr>
      <xdr:spPr bwMode="auto">
        <a:xfrm flipV="1">
          <a:off x="2562225" y="19202400"/>
          <a:ext cx="0"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99</xdr:row>
      <xdr:rowOff>133350</xdr:rowOff>
    </xdr:from>
    <xdr:to>
      <xdr:col>3</xdr:col>
      <xdr:colOff>0</xdr:colOff>
      <xdr:row>101</xdr:row>
      <xdr:rowOff>85725</xdr:rowOff>
    </xdr:to>
    <xdr:sp macro="" textlink="">
      <xdr:nvSpPr>
        <xdr:cNvPr id="9" name="Line 12">
          <a:extLst>
            <a:ext uri="{FF2B5EF4-FFF2-40B4-BE49-F238E27FC236}">
              <a16:creationId xmlns:a16="http://schemas.microsoft.com/office/drawing/2014/main" id="{00000000-0008-0000-0000-000009000000}"/>
            </a:ext>
          </a:extLst>
        </xdr:cNvPr>
        <xdr:cNvSpPr>
          <a:spLocks noChangeShapeType="1"/>
        </xdr:cNvSpPr>
      </xdr:nvSpPr>
      <xdr:spPr bwMode="auto">
        <a:xfrm flipV="1">
          <a:off x="1962150" y="1917382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99</xdr:row>
      <xdr:rowOff>123825</xdr:rowOff>
    </xdr:from>
    <xdr:to>
      <xdr:col>3</xdr:col>
      <xdr:colOff>85725</xdr:colOff>
      <xdr:row>100</xdr:row>
      <xdr:rowOff>47625</xdr:rowOff>
    </xdr:to>
    <xdr:sp macro="" textlink="">
      <xdr:nvSpPr>
        <xdr:cNvPr id="10" name="Line 13">
          <a:extLst>
            <a:ext uri="{FF2B5EF4-FFF2-40B4-BE49-F238E27FC236}">
              <a16:creationId xmlns:a16="http://schemas.microsoft.com/office/drawing/2014/main" id="{00000000-0008-0000-0000-00000A000000}"/>
            </a:ext>
          </a:extLst>
        </xdr:cNvPr>
        <xdr:cNvSpPr>
          <a:spLocks noChangeShapeType="1"/>
        </xdr:cNvSpPr>
      </xdr:nvSpPr>
      <xdr:spPr bwMode="auto">
        <a:xfrm flipH="1">
          <a:off x="1914525" y="19164300"/>
          <a:ext cx="1333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99</xdr:row>
      <xdr:rowOff>123825</xdr:rowOff>
    </xdr:from>
    <xdr:to>
      <xdr:col>4</xdr:col>
      <xdr:colOff>295275</xdr:colOff>
      <xdr:row>100</xdr:row>
      <xdr:rowOff>47625</xdr:rowOff>
    </xdr:to>
    <xdr:sp macro="" textlink="">
      <xdr:nvSpPr>
        <xdr:cNvPr id="11" name="Line 14">
          <a:extLst>
            <a:ext uri="{FF2B5EF4-FFF2-40B4-BE49-F238E27FC236}">
              <a16:creationId xmlns:a16="http://schemas.microsoft.com/office/drawing/2014/main" id="{00000000-0008-0000-0000-00000B000000}"/>
            </a:ext>
          </a:extLst>
        </xdr:cNvPr>
        <xdr:cNvSpPr>
          <a:spLocks noChangeShapeType="1"/>
        </xdr:cNvSpPr>
      </xdr:nvSpPr>
      <xdr:spPr bwMode="auto">
        <a:xfrm flipH="1">
          <a:off x="2524125" y="19164300"/>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102</xdr:row>
      <xdr:rowOff>142875</xdr:rowOff>
    </xdr:from>
    <xdr:to>
      <xdr:col>3</xdr:col>
      <xdr:colOff>0</xdr:colOff>
      <xdr:row>102</xdr:row>
      <xdr:rowOff>142875</xdr:rowOff>
    </xdr:to>
    <xdr:sp macro="" textlink="">
      <xdr:nvSpPr>
        <xdr:cNvPr id="12" name="Line 15">
          <a:extLst>
            <a:ext uri="{FF2B5EF4-FFF2-40B4-BE49-F238E27FC236}">
              <a16:creationId xmlns:a16="http://schemas.microsoft.com/office/drawing/2014/main" id="{00000000-0008-0000-0000-00000C000000}"/>
            </a:ext>
          </a:extLst>
        </xdr:cNvPr>
        <xdr:cNvSpPr>
          <a:spLocks noChangeShapeType="1"/>
        </xdr:cNvSpPr>
      </xdr:nvSpPr>
      <xdr:spPr bwMode="auto">
        <a:xfrm>
          <a:off x="1771650" y="19754850"/>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102</xdr:row>
      <xdr:rowOff>95250</xdr:rowOff>
    </xdr:from>
    <xdr:to>
      <xdr:col>3</xdr:col>
      <xdr:colOff>76200</xdr:colOff>
      <xdr:row>102</xdr:row>
      <xdr:rowOff>171450</xdr:rowOff>
    </xdr:to>
    <xdr:sp macro="" textlink="" fLocksText="0">
      <xdr:nvSpPr>
        <xdr:cNvPr id="13" name="Oval 16">
          <a:extLst>
            <a:ext uri="{FF2B5EF4-FFF2-40B4-BE49-F238E27FC236}">
              <a16:creationId xmlns:a16="http://schemas.microsoft.com/office/drawing/2014/main" id="{00000000-0008-0000-0000-00000D000000}"/>
            </a:ext>
          </a:extLst>
        </xdr:cNvPr>
        <xdr:cNvSpPr>
          <a:spLocks noChangeArrowheads="1"/>
        </xdr:cNvSpPr>
      </xdr:nvSpPr>
      <xdr:spPr bwMode="auto">
        <a:xfrm>
          <a:off x="1962150" y="1970722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76200</xdr:colOff>
      <xdr:row>103</xdr:row>
      <xdr:rowOff>114300</xdr:rowOff>
    </xdr:from>
    <xdr:to>
      <xdr:col>4</xdr:col>
      <xdr:colOff>152400</xdr:colOff>
      <xdr:row>104</xdr:row>
      <xdr:rowOff>0</xdr:rowOff>
    </xdr:to>
    <xdr:sp macro="" textlink="" fLocksText="0">
      <xdr:nvSpPr>
        <xdr:cNvPr id="14" name="Oval 17">
          <a:extLst>
            <a:ext uri="{FF2B5EF4-FFF2-40B4-BE49-F238E27FC236}">
              <a16:creationId xmlns:a16="http://schemas.microsoft.com/office/drawing/2014/main" id="{00000000-0008-0000-0000-00000E000000}"/>
            </a:ext>
          </a:extLst>
        </xdr:cNvPr>
        <xdr:cNvSpPr>
          <a:spLocks noChangeArrowheads="1"/>
        </xdr:cNvSpPr>
      </xdr:nvSpPr>
      <xdr:spPr bwMode="auto">
        <a:xfrm>
          <a:off x="2409825" y="1991677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257175</xdr:colOff>
      <xdr:row>103</xdr:row>
      <xdr:rowOff>171450</xdr:rowOff>
    </xdr:from>
    <xdr:to>
      <xdr:col>4</xdr:col>
      <xdr:colOff>285750</xdr:colOff>
      <xdr:row>104</xdr:row>
      <xdr:rowOff>9525</xdr:rowOff>
    </xdr:to>
    <xdr:sp macro="" textlink="" fLocksText="0">
      <xdr:nvSpPr>
        <xdr:cNvPr id="15" name="Oval 18">
          <a:extLst>
            <a:ext uri="{FF2B5EF4-FFF2-40B4-BE49-F238E27FC236}">
              <a16:creationId xmlns:a16="http://schemas.microsoft.com/office/drawing/2014/main" id="{00000000-0008-0000-0000-00000F000000}"/>
            </a:ext>
          </a:extLst>
        </xdr:cNvPr>
        <xdr:cNvSpPr>
          <a:spLocks noChangeArrowheads="1"/>
        </xdr:cNvSpPr>
      </xdr:nvSpPr>
      <xdr:spPr bwMode="auto">
        <a:xfrm>
          <a:off x="2590800" y="19973925"/>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85725</xdr:colOff>
      <xdr:row>104</xdr:row>
      <xdr:rowOff>161925</xdr:rowOff>
    </xdr:from>
    <xdr:to>
      <xdr:col>3</xdr:col>
      <xdr:colOff>114300</xdr:colOff>
      <xdr:row>105</xdr:row>
      <xdr:rowOff>0</xdr:rowOff>
    </xdr:to>
    <xdr:sp macro="" textlink="" fLocksText="0">
      <xdr:nvSpPr>
        <xdr:cNvPr id="16" name="Oval 19">
          <a:extLst>
            <a:ext uri="{FF2B5EF4-FFF2-40B4-BE49-F238E27FC236}">
              <a16:creationId xmlns:a16="http://schemas.microsoft.com/office/drawing/2014/main" id="{00000000-0008-0000-0000-000010000000}"/>
            </a:ext>
          </a:extLst>
        </xdr:cNvPr>
        <xdr:cNvSpPr>
          <a:spLocks noChangeArrowheads="1"/>
        </xdr:cNvSpPr>
      </xdr:nvSpPr>
      <xdr:spPr bwMode="auto">
        <a:xfrm>
          <a:off x="2047875" y="20154900"/>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390525</xdr:colOff>
      <xdr:row>103</xdr:row>
      <xdr:rowOff>171450</xdr:rowOff>
    </xdr:from>
    <xdr:to>
      <xdr:col>5</xdr:col>
      <xdr:colOff>590550</xdr:colOff>
      <xdr:row>103</xdr:row>
      <xdr:rowOff>171450</xdr:rowOff>
    </xdr:to>
    <xdr:sp macro="" textlink="">
      <xdr:nvSpPr>
        <xdr:cNvPr id="17" name="Line 21">
          <a:extLst>
            <a:ext uri="{FF2B5EF4-FFF2-40B4-BE49-F238E27FC236}">
              <a16:creationId xmlns:a16="http://schemas.microsoft.com/office/drawing/2014/main" id="{00000000-0008-0000-0000-000011000000}"/>
            </a:ext>
          </a:extLst>
        </xdr:cNvPr>
        <xdr:cNvSpPr>
          <a:spLocks noChangeShapeType="1"/>
        </xdr:cNvSpPr>
      </xdr:nvSpPr>
      <xdr:spPr bwMode="auto">
        <a:xfrm>
          <a:off x="3048000" y="19973925"/>
          <a:ext cx="200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105</xdr:row>
      <xdr:rowOff>114300</xdr:rowOff>
    </xdr:from>
    <xdr:to>
      <xdr:col>5</xdr:col>
      <xdr:colOff>581025</xdr:colOff>
      <xdr:row>105</xdr:row>
      <xdr:rowOff>114300</xdr:rowOff>
    </xdr:to>
    <xdr:sp macro="" textlink="">
      <xdr:nvSpPr>
        <xdr:cNvPr id="18" name="Line 22">
          <a:extLst>
            <a:ext uri="{FF2B5EF4-FFF2-40B4-BE49-F238E27FC236}">
              <a16:creationId xmlns:a16="http://schemas.microsoft.com/office/drawing/2014/main" id="{00000000-0008-0000-0000-000012000000}"/>
            </a:ext>
          </a:extLst>
        </xdr:cNvPr>
        <xdr:cNvSpPr>
          <a:spLocks noChangeShapeType="1"/>
        </xdr:cNvSpPr>
      </xdr:nvSpPr>
      <xdr:spPr bwMode="auto">
        <a:xfrm>
          <a:off x="2819400" y="20297775"/>
          <a:ext cx="419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103</xdr:row>
      <xdr:rowOff>142875</xdr:rowOff>
    </xdr:from>
    <xdr:to>
      <xdr:col>5</xdr:col>
      <xdr:colOff>542925</xdr:colOff>
      <xdr:row>106</xdr:row>
      <xdr:rowOff>28575</xdr:rowOff>
    </xdr:to>
    <xdr:sp macro="" textlink="">
      <xdr:nvSpPr>
        <xdr:cNvPr id="19" name="Line 23">
          <a:extLst>
            <a:ext uri="{FF2B5EF4-FFF2-40B4-BE49-F238E27FC236}">
              <a16:creationId xmlns:a16="http://schemas.microsoft.com/office/drawing/2014/main" id="{00000000-0008-0000-0000-000013000000}"/>
            </a:ext>
          </a:extLst>
        </xdr:cNvPr>
        <xdr:cNvSpPr>
          <a:spLocks noChangeShapeType="1"/>
        </xdr:cNvSpPr>
      </xdr:nvSpPr>
      <xdr:spPr bwMode="auto">
        <a:xfrm>
          <a:off x="3200400" y="19945350"/>
          <a:ext cx="0" cy="466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495300</xdr:colOff>
      <xdr:row>105</xdr:row>
      <xdr:rowOff>66675</xdr:rowOff>
    </xdr:from>
    <xdr:to>
      <xdr:col>5</xdr:col>
      <xdr:colOff>590550</xdr:colOff>
      <xdr:row>105</xdr:row>
      <xdr:rowOff>152400</xdr:rowOff>
    </xdr:to>
    <xdr:sp macro="" textlink="">
      <xdr:nvSpPr>
        <xdr:cNvPr id="20" name="Line 24">
          <a:extLst>
            <a:ext uri="{FF2B5EF4-FFF2-40B4-BE49-F238E27FC236}">
              <a16:creationId xmlns:a16="http://schemas.microsoft.com/office/drawing/2014/main" id="{00000000-0008-0000-0000-000014000000}"/>
            </a:ext>
          </a:extLst>
        </xdr:cNvPr>
        <xdr:cNvSpPr>
          <a:spLocks noChangeShapeType="1"/>
        </xdr:cNvSpPr>
      </xdr:nvSpPr>
      <xdr:spPr bwMode="auto">
        <a:xfrm flipH="1">
          <a:off x="3152775" y="2025015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354</xdr:row>
      <xdr:rowOff>114300</xdr:rowOff>
    </xdr:from>
    <xdr:to>
      <xdr:col>5</xdr:col>
      <xdr:colOff>561975</xdr:colOff>
      <xdr:row>358</xdr:row>
      <xdr:rowOff>104775</xdr:rowOff>
    </xdr:to>
    <xdr:sp macro="" textlink="">
      <xdr:nvSpPr>
        <xdr:cNvPr id="21" name="Tegning 25">
          <a:extLst>
            <a:ext uri="{FF2B5EF4-FFF2-40B4-BE49-F238E27FC236}">
              <a16:creationId xmlns:a16="http://schemas.microsoft.com/office/drawing/2014/main" id="{00000000-0008-0000-0000-000015000000}"/>
            </a:ext>
          </a:extLst>
        </xdr:cNvPr>
        <xdr:cNvSpPr>
          <a:spLocks/>
        </xdr:cNvSpPr>
      </xdr:nvSpPr>
      <xdr:spPr bwMode="auto">
        <a:xfrm>
          <a:off x="1676400" y="68275200"/>
          <a:ext cx="1543050" cy="752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85725</xdr:colOff>
      <xdr:row>355</xdr:row>
      <xdr:rowOff>19050</xdr:rowOff>
    </xdr:from>
    <xdr:to>
      <xdr:col>5</xdr:col>
      <xdr:colOff>590550</xdr:colOff>
      <xdr:row>358</xdr:row>
      <xdr:rowOff>38100</xdr:rowOff>
    </xdr:to>
    <xdr:sp macro="" textlink="">
      <xdr:nvSpPr>
        <xdr:cNvPr id="22" name="Tegning 26">
          <a:extLst>
            <a:ext uri="{FF2B5EF4-FFF2-40B4-BE49-F238E27FC236}">
              <a16:creationId xmlns:a16="http://schemas.microsoft.com/office/drawing/2014/main" id="{00000000-0008-0000-0000-000016000000}"/>
            </a:ext>
          </a:extLst>
        </xdr:cNvPr>
        <xdr:cNvSpPr>
          <a:spLocks/>
        </xdr:cNvSpPr>
      </xdr:nvSpPr>
      <xdr:spPr bwMode="auto">
        <a:xfrm>
          <a:off x="2419350" y="68370450"/>
          <a:ext cx="828675" cy="59055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355</xdr:row>
      <xdr:rowOff>171450</xdr:rowOff>
    </xdr:from>
    <xdr:to>
      <xdr:col>5</xdr:col>
      <xdr:colOff>561975</xdr:colOff>
      <xdr:row>357</xdr:row>
      <xdr:rowOff>142875</xdr:rowOff>
    </xdr:to>
    <xdr:sp macro="" textlink="">
      <xdr:nvSpPr>
        <xdr:cNvPr id="23" name="Tegning 27">
          <a:extLst>
            <a:ext uri="{FF2B5EF4-FFF2-40B4-BE49-F238E27FC236}">
              <a16:creationId xmlns:a16="http://schemas.microsoft.com/office/drawing/2014/main" id="{00000000-0008-0000-0000-000017000000}"/>
            </a:ext>
          </a:extLst>
        </xdr:cNvPr>
        <xdr:cNvSpPr>
          <a:spLocks/>
        </xdr:cNvSpPr>
      </xdr:nvSpPr>
      <xdr:spPr bwMode="auto">
        <a:xfrm>
          <a:off x="1743075" y="68522850"/>
          <a:ext cx="1476375" cy="35242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342900</xdr:colOff>
      <xdr:row>358</xdr:row>
      <xdr:rowOff>28575</xdr:rowOff>
    </xdr:from>
    <xdr:to>
      <xdr:col>3</xdr:col>
      <xdr:colOff>28575</xdr:colOff>
      <xdr:row>360</xdr:row>
      <xdr:rowOff>171450</xdr:rowOff>
    </xdr:to>
    <xdr:sp macro="" textlink="">
      <xdr:nvSpPr>
        <xdr:cNvPr id="24" name="Tegning 28">
          <a:extLst>
            <a:ext uri="{FF2B5EF4-FFF2-40B4-BE49-F238E27FC236}">
              <a16:creationId xmlns:a16="http://schemas.microsoft.com/office/drawing/2014/main" id="{00000000-0008-0000-0000-000018000000}"/>
            </a:ext>
          </a:extLst>
        </xdr:cNvPr>
        <xdr:cNvSpPr>
          <a:spLocks/>
        </xdr:cNvSpPr>
      </xdr:nvSpPr>
      <xdr:spPr bwMode="auto">
        <a:xfrm>
          <a:off x="1724025" y="68951475"/>
          <a:ext cx="266700" cy="523875"/>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347" y="16384"/>
              </a:moveTo>
              <a:lnTo>
                <a:pt x="8347" y="0"/>
              </a:lnTo>
              <a:lnTo>
                <a:pt x="0" y="4706"/>
              </a:lnTo>
              <a:lnTo>
                <a:pt x="8037" y="174"/>
              </a:lnTo>
              <a:lnTo>
                <a:pt x="16384" y="488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104775</xdr:colOff>
      <xdr:row>358</xdr:row>
      <xdr:rowOff>142875</xdr:rowOff>
    </xdr:from>
    <xdr:to>
      <xdr:col>4</xdr:col>
      <xdr:colOff>104775</xdr:colOff>
      <xdr:row>362</xdr:row>
      <xdr:rowOff>38100</xdr:rowOff>
    </xdr:to>
    <xdr:sp macro="" textlink="">
      <xdr:nvSpPr>
        <xdr:cNvPr id="25" name="Line 29">
          <a:extLst>
            <a:ext uri="{FF2B5EF4-FFF2-40B4-BE49-F238E27FC236}">
              <a16:creationId xmlns:a16="http://schemas.microsoft.com/office/drawing/2014/main" id="{00000000-0008-0000-0000-000019000000}"/>
            </a:ext>
          </a:extLst>
        </xdr:cNvPr>
        <xdr:cNvSpPr>
          <a:spLocks noChangeShapeType="1"/>
        </xdr:cNvSpPr>
      </xdr:nvSpPr>
      <xdr:spPr bwMode="auto">
        <a:xfrm>
          <a:off x="2438400" y="69065775"/>
          <a:ext cx="0" cy="657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361</xdr:row>
      <xdr:rowOff>47625</xdr:rowOff>
    </xdr:from>
    <xdr:to>
      <xdr:col>2</xdr:col>
      <xdr:colOff>485775</xdr:colOff>
      <xdr:row>362</xdr:row>
      <xdr:rowOff>38100</xdr:rowOff>
    </xdr:to>
    <xdr:sp macro="" textlink="">
      <xdr:nvSpPr>
        <xdr:cNvPr id="26" name="Line 30">
          <a:extLst>
            <a:ext uri="{FF2B5EF4-FFF2-40B4-BE49-F238E27FC236}">
              <a16:creationId xmlns:a16="http://schemas.microsoft.com/office/drawing/2014/main" id="{00000000-0008-0000-0000-00001A000000}"/>
            </a:ext>
          </a:extLst>
        </xdr:cNvPr>
        <xdr:cNvSpPr>
          <a:spLocks noChangeShapeType="1"/>
        </xdr:cNvSpPr>
      </xdr:nvSpPr>
      <xdr:spPr bwMode="auto">
        <a:xfrm>
          <a:off x="1866900" y="69542025"/>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361</xdr:row>
      <xdr:rowOff>209550</xdr:rowOff>
    </xdr:from>
    <xdr:to>
      <xdr:col>4</xdr:col>
      <xdr:colOff>190500</xdr:colOff>
      <xdr:row>361</xdr:row>
      <xdr:rowOff>209550</xdr:rowOff>
    </xdr:to>
    <xdr:sp macro="" textlink="">
      <xdr:nvSpPr>
        <xdr:cNvPr id="27" name="Line 31">
          <a:extLst>
            <a:ext uri="{FF2B5EF4-FFF2-40B4-BE49-F238E27FC236}">
              <a16:creationId xmlns:a16="http://schemas.microsoft.com/office/drawing/2014/main" id="{00000000-0008-0000-0000-00001B000000}"/>
            </a:ext>
          </a:extLst>
        </xdr:cNvPr>
        <xdr:cNvSpPr>
          <a:spLocks noChangeShapeType="1"/>
        </xdr:cNvSpPr>
      </xdr:nvSpPr>
      <xdr:spPr bwMode="auto">
        <a:xfrm>
          <a:off x="1790700" y="69684900"/>
          <a:ext cx="733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361</xdr:row>
      <xdr:rowOff>152400</xdr:rowOff>
    </xdr:from>
    <xdr:to>
      <xdr:col>2</xdr:col>
      <xdr:colOff>533400</xdr:colOff>
      <xdr:row>362</xdr:row>
      <xdr:rowOff>47625</xdr:rowOff>
    </xdr:to>
    <xdr:sp macro="" textlink="">
      <xdr:nvSpPr>
        <xdr:cNvPr id="28" name="Line 32">
          <a:extLst>
            <a:ext uri="{FF2B5EF4-FFF2-40B4-BE49-F238E27FC236}">
              <a16:creationId xmlns:a16="http://schemas.microsoft.com/office/drawing/2014/main" id="{00000000-0008-0000-0000-00001C000000}"/>
            </a:ext>
          </a:extLst>
        </xdr:cNvPr>
        <xdr:cNvSpPr>
          <a:spLocks noChangeShapeType="1"/>
        </xdr:cNvSpPr>
      </xdr:nvSpPr>
      <xdr:spPr bwMode="auto">
        <a:xfrm flipH="1">
          <a:off x="1819275" y="6964680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361</xdr:row>
      <xdr:rowOff>142875</xdr:rowOff>
    </xdr:from>
    <xdr:to>
      <xdr:col>4</xdr:col>
      <xdr:colOff>161925</xdr:colOff>
      <xdr:row>362</xdr:row>
      <xdr:rowOff>47625</xdr:rowOff>
    </xdr:to>
    <xdr:sp macro="" textlink="">
      <xdr:nvSpPr>
        <xdr:cNvPr id="29" name="Line 33">
          <a:extLst>
            <a:ext uri="{FF2B5EF4-FFF2-40B4-BE49-F238E27FC236}">
              <a16:creationId xmlns:a16="http://schemas.microsoft.com/office/drawing/2014/main" id="{00000000-0008-0000-0000-00001D000000}"/>
            </a:ext>
          </a:extLst>
        </xdr:cNvPr>
        <xdr:cNvSpPr>
          <a:spLocks noChangeShapeType="1"/>
        </xdr:cNvSpPr>
      </xdr:nvSpPr>
      <xdr:spPr bwMode="auto">
        <a:xfrm flipH="1">
          <a:off x="2390775" y="6963727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353</xdr:row>
      <xdr:rowOff>171450</xdr:rowOff>
    </xdr:from>
    <xdr:to>
      <xdr:col>5</xdr:col>
      <xdr:colOff>123825</xdr:colOff>
      <xdr:row>354</xdr:row>
      <xdr:rowOff>171450</xdr:rowOff>
    </xdr:to>
    <xdr:sp macro="" textlink="">
      <xdr:nvSpPr>
        <xdr:cNvPr id="30" name="Line 34">
          <a:extLst>
            <a:ext uri="{FF2B5EF4-FFF2-40B4-BE49-F238E27FC236}">
              <a16:creationId xmlns:a16="http://schemas.microsoft.com/office/drawing/2014/main" id="{00000000-0008-0000-0000-00001E000000}"/>
            </a:ext>
          </a:extLst>
        </xdr:cNvPr>
        <xdr:cNvSpPr>
          <a:spLocks noChangeShapeType="1"/>
        </xdr:cNvSpPr>
      </xdr:nvSpPr>
      <xdr:spPr bwMode="auto">
        <a:xfrm>
          <a:off x="2524125" y="68141850"/>
          <a:ext cx="257175"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354</xdr:row>
      <xdr:rowOff>180975</xdr:rowOff>
    </xdr:from>
    <xdr:to>
      <xdr:col>3</xdr:col>
      <xdr:colOff>9525</xdr:colOff>
      <xdr:row>355</xdr:row>
      <xdr:rowOff>133350</xdr:rowOff>
    </xdr:to>
    <xdr:sp macro="" textlink="">
      <xdr:nvSpPr>
        <xdr:cNvPr id="31" name="Line 35">
          <a:extLst>
            <a:ext uri="{FF2B5EF4-FFF2-40B4-BE49-F238E27FC236}">
              <a16:creationId xmlns:a16="http://schemas.microsoft.com/office/drawing/2014/main" id="{00000000-0008-0000-0000-00001F000000}"/>
            </a:ext>
          </a:extLst>
        </xdr:cNvPr>
        <xdr:cNvSpPr>
          <a:spLocks noChangeShapeType="1"/>
        </xdr:cNvSpPr>
      </xdr:nvSpPr>
      <xdr:spPr bwMode="auto">
        <a:xfrm>
          <a:off x="1847850" y="68341875"/>
          <a:ext cx="1238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354</xdr:row>
      <xdr:rowOff>160611</xdr:rowOff>
    </xdr:from>
    <xdr:to>
      <xdr:col>5</xdr:col>
      <xdr:colOff>200025</xdr:colOff>
      <xdr:row>355</xdr:row>
      <xdr:rowOff>65361</xdr:rowOff>
    </xdr:to>
    <xdr:sp macro="" textlink="" fLocksText="0">
      <xdr:nvSpPr>
        <xdr:cNvPr id="32" name="Oval 36">
          <a:extLst>
            <a:ext uri="{FF2B5EF4-FFF2-40B4-BE49-F238E27FC236}">
              <a16:creationId xmlns:a16="http://schemas.microsoft.com/office/drawing/2014/main" id="{00000000-0008-0000-0000-000020000000}"/>
            </a:ext>
          </a:extLst>
        </xdr:cNvPr>
        <xdr:cNvSpPr>
          <a:spLocks noChangeArrowheads="1"/>
        </xdr:cNvSpPr>
      </xdr:nvSpPr>
      <xdr:spPr bwMode="auto">
        <a:xfrm>
          <a:off x="2762250" y="68321511"/>
          <a:ext cx="9525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571500</xdr:colOff>
      <xdr:row>355</xdr:row>
      <xdr:rowOff>122511</xdr:rowOff>
    </xdr:from>
    <xdr:to>
      <xdr:col>3</xdr:col>
      <xdr:colOff>76200</xdr:colOff>
      <xdr:row>356</xdr:row>
      <xdr:rowOff>17737</xdr:rowOff>
    </xdr:to>
    <xdr:sp macro="" textlink="" fLocksText="0">
      <xdr:nvSpPr>
        <xdr:cNvPr id="33" name="Oval 37">
          <a:extLst>
            <a:ext uri="{FF2B5EF4-FFF2-40B4-BE49-F238E27FC236}">
              <a16:creationId xmlns:a16="http://schemas.microsoft.com/office/drawing/2014/main" id="{00000000-0008-0000-0000-000021000000}"/>
            </a:ext>
          </a:extLst>
        </xdr:cNvPr>
        <xdr:cNvSpPr>
          <a:spLocks noChangeArrowheads="1"/>
        </xdr:cNvSpPr>
      </xdr:nvSpPr>
      <xdr:spPr bwMode="auto">
        <a:xfrm>
          <a:off x="1952625" y="68473911"/>
          <a:ext cx="85725" cy="85726"/>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28575</xdr:colOff>
      <xdr:row>355</xdr:row>
      <xdr:rowOff>76200</xdr:rowOff>
    </xdr:from>
    <xdr:to>
      <xdr:col>2</xdr:col>
      <xdr:colOff>247650</xdr:colOff>
      <xdr:row>355</xdr:row>
      <xdr:rowOff>76200</xdr:rowOff>
    </xdr:to>
    <xdr:sp macro="" textlink="">
      <xdr:nvSpPr>
        <xdr:cNvPr id="34" name="Line 38">
          <a:extLst>
            <a:ext uri="{FF2B5EF4-FFF2-40B4-BE49-F238E27FC236}">
              <a16:creationId xmlns:a16="http://schemas.microsoft.com/office/drawing/2014/main" id="{00000000-0008-0000-0000-000022000000}"/>
            </a:ext>
          </a:extLst>
        </xdr:cNvPr>
        <xdr:cNvSpPr>
          <a:spLocks noChangeShapeType="1"/>
        </xdr:cNvSpPr>
      </xdr:nvSpPr>
      <xdr:spPr bwMode="auto">
        <a:xfrm flipH="1">
          <a:off x="1409700" y="68427600"/>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357</xdr:row>
      <xdr:rowOff>171450</xdr:rowOff>
    </xdr:from>
    <xdr:to>
      <xdr:col>2</xdr:col>
      <xdr:colOff>247650</xdr:colOff>
      <xdr:row>357</xdr:row>
      <xdr:rowOff>171450</xdr:rowOff>
    </xdr:to>
    <xdr:sp macro="" textlink="">
      <xdr:nvSpPr>
        <xdr:cNvPr id="35" name="Line 39">
          <a:extLst>
            <a:ext uri="{FF2B5EF4-FFF2-40B4-BE49-F238E27FC236}">
              <a16:creationId xmlns:a16="http://schemas.microsoft.com/office/drawing/2014/main" id="{00000000-0008-0000-0000-000023000000}"/>
            </a:ext>
          </a:extLst>
        </xdr:cNvPr>
        <xdr:cNvSpPr>
          <a:spLocks noChangeShapeType="1"/>
        </xdr:cNvSpPr>
      </xdr:nvSpPr>
      <xdr:spPr bwMode="auto">
        <a:xfrm flipH="1">
          <a:off x="1409700" y="68903850"/>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355</xdr:row>
      <xdr:rowOff>47625</xdr:rowOff>
    </xdr:from>
    <xdr:to>
      <xdr:col>2</xdr:col>
      <xdr:colOff>76200</xdr:colOff>
      <xdr:row>358</xdr:row>
      <xdr:rowOff>28575</xdr:rowOff>
    </xdr:to>
    <xdr:sp macro="" textlink="">
      <xdr:nvSpPr>
        <xdr:cNvPr id="36" name="Line 40">
          <a:extLst>
            <a:ext uri="{FF2B5EF4-FFF2-40B4-BE49-F238E27FC236}">
              <a16:creationId xmlns:a16="http://schemas.microsoft.com/office/drawing/2014/main" id="{00000000-0008-0000-0000-000024000000}"/>
            </a:ext>
          </a:extLst>
        </xdr:cNvPr>
        <xdr:cNvSpPr>
          <a:spLocks noChangeShapeType="1"/>
        </xdr:cNvSpPr>
      </xdr:nvSpPr>
      <xdr:spPr bwMode="auto">
        <a:xfrm>
          <a:off x="1457325" y="68399025"/>
          <a:ext cx="0"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355</xdr:row>
      <xdr:rowOff>47625</xdr:rowOff>
    </xdr:from>
    <xdr:to>
      <xdr:col>2</xdr:col>
      <xdr:colOff>123825</xdr:colOff>
      <xdr:row>355</xdr:row>
      <xdr:rowOff>142875</xdr:rowOff>
    </xdr:to>
    <xdr:sp macro="" textlink="">
      <xdr:nvSpPr>
        <xdr:cNvPr id="37" name="Line 41">
          <a:extLst>
            <a:ext uri="{FF2B5EF4-FFF2-40B4-BE49-F238E27FC236}">
              <a16:creationId xmlns:a16="http://schemas.microsoft.com/office/drawing/2014/main" id="{00000000-0008-0000-0000-000025000000}"/>
            </a:ext>
          </a:extLst>
        </xdr:cNvPr>
        <xdr:cNvSpPr>
          <a:spLocks noChangeShapeType="1"/>
        </xdr:cNvSpPr>
      </xdr:nvSpPr>
      <xdr:spPr bwMode="auto">
        <a:xfrm flipH="1">
          <a:off x="1409700" y="683990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357</xdr:row>
      <xdr:rowOff>123825</xdr:rowOff>
    </xdr:from>
    <xdr:to>
      <xdr:col>2</xdr:col>
      <xdr:colOff>123825</xdr:colOff>
      <xdr:row>358</xdr:row>
      <xdr:rowOff>9525</xdr:rowOff>
    </xdr:to>
    <xdr:sp macro="" textlink="">
      <xdr:nvSpPr>
        <xdr:cNvPr id="38" name="Line 42">
          <a:extLst>
            <a:ext uri="{FF2B5EF4-FFF2-40B4-BE49-F238E27FC236}">
              <a16:creationId xmlns:a16="http://schemas.microsoft.com/office/drawing/2014/main" id="{00000000-0008-0000-0000-000026000000}"/>
            </a:ext>
          </a:extLst>
        </xdr:cNvPr>
        <xdr:cNvSpPr>
          <a:spLocks noChangeShapeType="1"/>
        </xdr:cNvSpPr>
      </xdr:nvSpPr>
      <xdr:spPr bwMode="auto">
        <a:xfrm flipH="1">
          <a:off x="1428750" y="6885622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372</xdr:row>
      <xdr:rowOff>95250</xdr:rowOff>
    </xdr:from>
    <xdr:to>
      <xdr:col>6</xdr:col>
      <xdr:colOff>1057275</xdr:colOff>
      <xdr:row>372</xdr:row>
      <xdr:rowOff>95250</xdr:rowOff>
    </xdr:to>
    <xdr:sp macro="" textlink="">
      <xdr:nvSpPr>
        <xdr:cNvPr id="39" name="Line 43">
          <a:extLst>
            <a:ext uri="{FF2B5EF4-FFF2-40B4-BE49-F238E27FC236}">
              <a16:creationId xmlns:a16="http://schemas.microsoft.com/office/drawing/2014/main" id="{00000000-0008-0000-0000-000027000000}"/>
            </a:ext>
          </a:extLst>
        </xdr:cNvPr>
        <xdr:cNvSpPr>
          <a:spLocks noChangeShapeType="1"/>
        </xdr:cNvSpPr>
      </xdr:nvSpPr>
      <xdr:spPr bwMode="auto">
        <a:xfrm flipH="1">
          <a:off x="1619250" y="71723250"/>
          <a:ext cx="2847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372</xdr:row>
      <xdr:rowOff>47625</xdr:rowOff>
    </xdr:from>
    <xdr:to>
      <xdr:col>2</xdr:col>
      <xdr:colOff>295275</xdr:colOff>
      <xdr:row>372</xdr:row>
      <xdr:rowOff>190500</xdr:rowOff>
    </xdr:to>
    <xdr:sp macro="" textlink="">
      <xdr:nvSpPr>
        <xdr:cNvPr id="40" name="Line 44">
          <a:extLst>
            <a:ext uri="{FF2B5EF4-FFF2-40B4-BE49-F238E27FC236}">
              <a16:creationId xmlns:a16="http://schemas.microsoft.com/office/drawing/2014/main" id="{00000000-0008-0000-0000-000028000000}"/>
            </a:ext>
          </a:extLst>
        </xdr:cNvPr>
        <xdr:cNvSpPr>
          <a:spLocks noChangeShapeType="1"/>
        </xdr:cNvSpPr>
      </xdr:nvSpPr>
      <xdr:spPr bwMode="auto">
        <a:xfrm>
          <a:off x="1676400" y="7167562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372</xdr:row>
      <xdr:rowOff>19050</xdr:rowOff>
    </xdr:from>
    <xdr:to>
      <xdr:col>2</xdr:col>
      <xdr:colOff>371475</xdr:colOff>
      <xdr:row>372</xdr:row>
      <xdr:rowOff>190500</xdr:rowOff>
    </xdr:to>
    <xdr:sp macro="" textlink="">
      <xdr:nvSpPr>
        <xdr:cNvPr id="41" name="Tegning 45">
          <a:extLst>
            <a:ext uri="{FF2B5EF4-FFF2-40B4-BE49-F238E27FC236}">
              <a16:creationId xmlns:a16="http://schemas.microsoft.com/office/drawing/2014/main" id="{00000000-0008-0000-0000-000029000000}"/>
            </a:ext>
          </a:extLst>
        </xdr:cNvPr>
        <xdr:cNvSpPr>
          <a:spLocks/>
        </xdr:cNvSpPr>
      </xdr:nvSpPr>
      <xdr:spPr bwMode="auto">
        <a:xfrm>
          <a:off x="1676400" y="71647050"/>
          <a:ext cx="76200" cy="1714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372</xdr:row>
      <xdr:rowOff>19050</xdr:rowOff>
    </xdr:from>
    <xdr:to>
      <xdr:col>3</xdr:col>
      <xdr:colOff>304800</xdr:colOff>
      <xdr:row>372</xdr:row>
      <xdr:rowOff>190500</xdr:rowOff>
    </xdr:to>
    <xdr:sp macro="" textlink="">
      <xdr:nvSpPr>
        <xdr:cNvPr id="42" name="Tegning 46">
          <a:extLst>
            <a:ext uri="{FF2B5EF4-FFF2-40B4-BE49-F238E27FC236}">
              <a16:creationId xmlns:a16="http://schemas.microsoft.com/office/drawing/2014/main" id="{00000000-0008-0000-0000-00002A000000}"/>
            </a:ext>
          </a:extLst>
        </xdr:cNvPr>
        <xdr:cNvSpPr>
          <a:spLocks/>
        </xdr:cNvSpPr>
      </xdr:nvSpPr>
      <xdr:spPr bwMode="auto">
        <a:xfrm>
          <a:off x="2181225" y="71647050"/>
          <a:ext cx="85725" cy="17145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31</xdr:row>
      <xdr:rowOff>190500</xdr:rowOff>
    </xdr:from>
    <xdr:to>
      <xdr:col>5</xdr:col>
      <xdr:colOff>161925</xdr:colOff>
      <xdr:row>34</xdr:row>
      <xdr:rowOff>38100</xdr:rowOff>
    </xdr:to>
    <xdr:sp macro="" textlink="">
      <xdr:nvSpPr>
        <xdr:cNvPr id="43" name="Tegning 47">
          <a:extLst>
            <a:ext uri="{FF2B5EF4-FFF2-40B4-BE49-F238E27FC236}">
              <a16:creationId xmlns:a16="http://schemas.microsoft.com/office/drawing/2014/main" id="{00000000-0008-0000-0000-00002B000000}"/>
            </a:ext>
          </a:extLst>
        </xdr:cNvPr>
        <xdr:cNvSpPr>
          <a:spLocks/>
        </xdr:cNvSpPr>
      </xdr:nvSpPr>
      <xdr:spPr bwMode="auto">
        <a:xfrm>
          <a:off x="1743075" y="5915025"/>
          <a:ext cx="1076325" cy="42862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2147483646 w 16384"/>
            <a:gd name="T27" fmla="*/ 2147483646 h 16384"/>
            <a:gd name="T28" fmla="*/ 2147483646 w 16384"/>
            <a:gd name="T29" fmla="*/ 2147483646 h 16384"/>
            <a:gd name="T30" fmla="*/ 0 w 16384"/>
            <a:gd name="T31" fmla="*/ 2147483646 h 16384"/>
            <a:gd name="T32" fmla="*/ 0 w 16384"/>
            <a:gd name="T33" fmla="*/ 0 h 1638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6384"/>
            <a:gd name="T52" fmla="*/ 0 h 16384"/>
            <a:gd name="T53" fmla="*/ 16384 w 16384"/>
            <a:gd name="T54" fmla="*/ 16384 h 1638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6384" h="16384">
              <a:moveTo>
                <a:pt x="0" y="0"/>
              </a:moveTo>
              <a:lnTo>
                <a:pt x="4915" y="0"/>
              </a:lnTo>
              <a:lnTo>
                <a:pt x="4915" y="3132"/>
              </a:lnTo>
              <a:lnTo>
                <a:pt x="6772" y="3132"/>
              </a:lnTo>
              <a:lnTo>
                <a:pt x="6772" y="6024"/>
              </a:lnTo>
              <a:lnTo>
                <a:pt x="8520" y="6024"/>
              </a:lnTo>
              <a:lnTo>
                <a:pt x="8520" y="8674"/>
              </a:lnTo>
              <a:lnTo>
                <a:pt x="10267" y="8674"/>
              </a:lnTo>
              <a:lnTo>
                <a:pt x="10267" y="11324"/>
              </a:lnTo>
              <a:lnTo>
                <a:pt x="12015" y="11324"/>
              </a:lnTo>
              <a:lnTo>
                <a:pt x="12015" y="13252"/>
              </a:lnTo>
              <a:lnTo>
                <a:pt x="16384" y="13252"/>
              </a:lnTo>
              <a:lnTo>
                <a:pt x="16384" y="16384"/>
              </a:lnTo>
              <a:lnTo>
                <a:pt x="11796" y="16384"/>
              </a:lnTo>
              <a:lnTo>
                <a:pt x="3168" y="3614"/>
              </a:lnTo>
              <a:lnTo>
                <a:pt x="0" y="3614"/>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276225</xdr:colOff>
      <xdr:row>32</xdr:row>
      <xdr:rowOff>28575</xdr:rowOff>
    </xdr:from>
    <xdr:to>
      <xdr:col>2</xdr:col>
      <xdr:colOff>361950</xdr:colOff>
      <xdr:row>32</xdr:row>
      <xdr:rowOff>28575</xdr:rowOff>
    </xdr:to>
    <xdr:sp macro="" textlink="">
      <xdr:nvSpPr>
        <xdr:cNvPr id="44" name="Line 48">
          <a:extLst>
            <a:ext uri="{FF2B5EF4-FFF2-40B4-BE49-F238E27FC236}">
              <a16:creationId xmlns:a16="http://schemas.microsoft.com/office/drawing/2014/main" id="{00000000-0008-0000-0000-00002C000000}"/>
            </a:ext>
          </a:extLst>
        </xdr:cNvPr>
        <xdr:cNvSpPr>
          <a:spLocks noChangeShapeType="1"/>
        </xdr:cNvSpPr>
      </xdr:nvSpPr>
      <xdr:spPr bwMode="auto">
        <a:xfrm flipH="1">
          <a:off x="1657350" y="5943600"/>
          <a:ext cx="85725"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33</xdr:row>
      <xdr:rowOff>190500</xdr:rowOff>
    </xdr:from>
    <xdr:to>
      <xdr:col>5</xdr:col>
      <xdr:colOff>276225</xdr:colOff>
      <xdr:row>33</xdr:row>
      <xdr:rowOff>190500</xdr:rowOff>
    </xdr:to>
    <xdr:sp macro="" textlink="">
      <xdr:nvSpPr>
        <xdr:cNvPr id="45" name="Line 49">
          <a:extLst>
            <a:ext uri="{FF2B5EF4-FFF2-40B4-BE49-F238E27FC236}">
              <a16:creationId xmlns:a16="http://schemas.microsoft.com/office/drawing/2014/main" id="{00000000-0008-0000-0000-00002D000000}"/>
            </a:ext>
          </a:extLst>
        </xdr:cNvPr>
        <xdr:cNvSpPr>
          <a:spLocks noChangeShapeType="1"/>
        </xdr:cNvSpPr>
      </xdr:nvSpPr>
      <xdr:spPr bwMode="auto">
        <a:xfrm>
          <a:off x="2819400" y="6296025"/>
          <a:ext cx="1143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33</xdr:row>
      <xdr:rowOff>85725</xdr:rowOff>
    </xdr:from>
    <xdr:to>
      <xdr:col>2</xdr:col>
      <xdr:colOff>361950</xdr:colOff>
      <xdr:row>36</xdr:row>
      <xdr:rowOff>142875</xdr:rowOff>
    </xdr:to>
    <xdr:sp macro="" textlink="">
      <xdr:nvSpPr>
        <xdr:cNvPr id="46" name="Line 50">
          <a:extLst>
            <a:ext uri="{FF2B5EF4-FFF2-40B4-BE49-F238E27FC236}">
              <a16:creationId xmlns:a16="http://schemas.microsoft.com/office/drawing/2014/main" id="{00000000-0008-0000-0000-00002E000000}"/>
            </a:ext>
          </a:extLst>
        </xdr:cNvPr>
        <xdr:cNvSpPr>
          <a:spLocks noChangeShapeType="1"/>
        </xdr:cNvSpPr>
      </xdr:nvSpPr>
      <xdr:spPr bwMode="auto">
        <a:xfrm>
          <a:off x="1743075" y="6191250"/>
          <a:ext cx="0" cy="657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36</xdr:row>
      <xdr:rowOff>9525</xdr:rowOff>
    </xdr:from>
    <xdr:to>
      <xdr:col>5</xdr:col>
      <xdr:colOff>342900</xdr:colOff>
      <xdr:row>36</xdr:row>
      <xdr:rowOff>9525</xdr:rowOff>
    </xdr:to>
    <xdr:sp macro="" textlink="">
      <xdr:nvSpPr>
        <xdr:cNvPr id="47" name="Line 51">
          <a:extLst>
            <a:ext uri="{FF2B5EF4-FFF2-40B4-BE49-F238E27FC236}">
              <a16:creationId xmlns:a16="http://schemas.microsoft.com/office/drawing/2014/main" id="{00000000-0008-0000-0000-00002F000000}"/>
            </a:ext>
          </a:extLst>
        </xdr:cNvPr>
        <xdr:cNvSpPr>
          <a:spLocks noChangeShapeType="1"/>
        </xdr:cNvSpPr>
      </xdr:nvSpPr>
      <xdr:spPr bwMode="auto">
        <a:xfrm>
          <a:off x="1581150" y="671512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33</xdr:row>
      <xdr:rowOff>38100</xdr:rowOff>
    </xdr:from>
    <xdr:to>
      <xdr:col>3</xdr:col>
      <xdr:colOff>38100</xdr:colOff>
      <xdr:row>36</xdr:row>
      <xdr:rowOff>123825</xdr:rowOff>
    </xdr:to>
    <xdr:sp macro="" textlink="">
      <xdr:nvSpPr>
        <xdr:cNvPr id="48" name="Line 52">
          <a:extLst>
            <a:ext uri="{FF2B5EF4-FFF2-40B4-BE49-F238E27FC236}">
              <a16:creationId xmlns:a16="http://schemas.microsoft.com/office/drawing/2014/main" id="{00000000-0008-0000-0000-000030000000}"/>
            </a:ext>
          </a:extLst>
        </xdr:cNvPr>
        <xdr:cNvSpPr>
          <a:spLocks noChangeShapeType="1"/>
        </xdr:cNvSpPr>
      </xdr:nvSpPr>
      <xdr:spPr bwMode="auto">
        <a:xfrm>
          <a:off x="2000250" y="6143625"/>
          <a:ext cx="0" cy="685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34</xdr:row>
      <xdr:rowOff>123825</xdr:rowOff>
    </xdr:from>
    <xdr:to>
      <xdr:col>4</xdr:col>
      <xdr:colOff>219075</xdr:colOff>
      <xdr:row>36</xdr:row>
      <xdr:rowOff>123825</xdr:rowOff>
    </xdr:to>
    <xdr:sp macro="" textlink="">
      <xdr:nvSpPr>
        <xdr:cNvPr id="49" name="Line 53">
          <a:extLst>
            <a:ext uri="{FF2B5EF4-FFF2-40B4-BE49-F238E27FC236}">
              <a16:creationId xmlns:a16="http://schemas.microsoft.com/office/drawing/2014/main" id="{00000000-0008-0000-0000-000031000000}"/>
            </a:ext>
          </a:extLst>
        </xdr:cNvPr>
        <xdr:cNvSpPr>
          <a:spLocks noChangeShapeType="1"/>
        </xdr:cNvSpPr>
      </xdr:nvSpPr>
      <xdr:spPr bwMode="auto">
        <a:xfrm>
          <a:off x="2552700" y="6429375"/>
          <a:ext cx="0" cy="400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34</xdr:row>
      <xdr:rowOff>85725</xdr:rowOff>
    </xdr:from>
    <xdr:to>
      <xdr:col>5</xdr:col>
      <xdr:colOff>152400</xdr:colOff>
      <xdr:row>36</xdr:row>
      <xdr:rowOff>123825</xdr:rowOff>
    </xdr:to>
    <xdr:sp macro="" textlink="">
      <xdr:nvSpPr>
        <xdr:cNvPr id="50" name="Line 54">
          <a:extLst>
            <a:ext uri="{FF2B5EF4-FFF2-40B4-BE49-F238E27FC236}">
              <a16:creationId xmlns:a16="http://schemas.microsoft.com/office/drawing/2014/main" id="{00000000-0008-0000-0000-000032000000}"/>
            </a:ext>
          </a:extLst>
        </xdr:cNvPr>
        <xdr:cNvSpPr>
          <a:spLocks noChangeShapeType="1"/>
        </xdr:cNvSpPr>
      </xdr:nvSpPr>
      <xdr:spPr bwMode="auto">
        <a:xfrm>
          <a:off x="2809875" y="6391275"/>
          <a:ext cx="0" cy="438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32</xdr:row>
      <xdr:rowOff>95250</xdr:rowOff>
    </xdr:from>
    <xdr:to>
      <xdr:col>2</xdr:col>
      <xdr:colOff>381000</xdr:colOff>
      <xdr:row>32</xdr:row>
      <xdr:rowOff>180975</xdr:rowOff>
    </xdr:to>
    <xdr:sp macro="" textlink="">
      <xdr:nvSpPr>
        <xdr:cNvPr id="51" name="Tegning 55">
          <a:extLst>
            <a:ext uri="{FF2B5EF4-FFF2-40B4-BE49-F238E27FC236}">
              <a16:creationId xmlns:a16="http://schemas.microsoft.com/office/drawing/2014/main" id="{00000000-0008-0000-0000-000033000000}"/>
            </a:ext>
          </a:extLst>
        </xdr:cNvPr>
        <xdr:cNvSpPr>
          <a:spLocks/>
        </xdr:cNvSpPr>
      </xdr:nvSpPr>
      <xdr:spPr bwMode="auto">
        <a:xfrm>
          <a:off x="1571625" y="6010275"/>
          <a:ext cx="190500" cy="85725"/>
        </a:xfrm>
        <a:custGeom>
          <a:avLst/>
          <a:gdLst>
            <a:gd name="T0" fmla="*/ 2147483646 w 16384"/>
            <a:gd name="T1" fmla="*/ 0 h 16384"/>
            <a:gd name="T2" fmla="*/ 0 w 16384"/>
            <a:gd name="T3" fmla="*/ 2147483646 h 16384"/>
            <a:gd name="T4" fmla="*/ 2147483646 w 16384"/>
            <a:gd name="T5" fmla="*/ 2147483646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7910" y="0"/>
              </a:moveTo>
              <a:lnTo>
                <a:pt x="0" y="16384"/>
              </a:lnTo>
              <a:lnTo>
                <a:pt x="16384" y="16384"/>
              </a:lnTo>
              <a:lnTo>
                <a:pt x="847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171450</xdr:colOff>
      <xdr:row>34</xdr:row>
      <xdr:rowOff>47625</xdr:rowOff>
    </xdr:from>
    <xdr:to>
      <xdr:col>5</xdr:col>
      <xdr:colOff>352425</xdr:colOff>
      <xdr:row>34</xdr:row>
      <xdr:rowOff>123825</xdr:rowOff>
    </xdr:to>
    <xdr:sp macro="" textlink="">
      <xdr:nvSpPr>
        <xdr:cNvPr id="52" name="Tegning 56">
          <a:extLst>
            <a:ext uri="{FF2B5EF4-FFF2-40B4-BE49-F238E27FC236}">
              <a16:creationId xmlns:a16="http://schemas.microsoft.com/office/drawing/2014/main" id="{00000000-0008-0000-0000-000034000000}"/>
            </a:ext>
          </a:extLst>
        </xdr:cNvPr>
        <xdr:cNvSpPr>
          <a:spLocks/>
        </xdr:cNvSpPr>
      </xdr:nvSpPr>
      <xdr:spPr bwMode="auto">
        <a:xfrm>
          <a:off x="2828925" y="6353175"/>
          <a:ext cx="180975" cy="76200"/>
        </a:xfrm>
        <a:custGeom>
          <a:avLst/>
          <a:gdLst>
            <a:gd name="T0" fmla="*/ 2147483646 w 16384"/>
            <a:gd name="T1" fmla="*/ 0 h 16384"/>
            <a:gd name="T2" fmla="*/ 0 w 16384"/>
            <a:gd name="T3" fmla="*/ 2147483646 h 16384"/>
            <a:gd name="T4" fmla="*/ 2147483646 w 16384"/>
            <a:gd name="T5" fmla="*/ 2147483646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7910" y="0"/>
              </a:moveTo>
              <a:lnTo>
                <a:pt x="0" y="16384"/>
              </a:lnTo>
              <a:lnTo>
                <a:pt x="16384" y="16384"/>
              </a:lnTo>
              <a:lnTo>
                <a:pt x="847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257175</xdr:colOff>
      <xdr:row>37</xdr:row>
      <xdr:rowOff>9525</xdr:rowOff>
    </xdr:from>
    <xdr:to>
      <xdr:col>5</xdr:col>
      <xdr:colOff>285750</xdr:colOff>
      <xdr:row>37</xdr:row>
      <xdr:rowOff>9525</xdr:rowOff>
    </xdr:to>
    <xdr:sp macro="" textlink="">
      <xdr:nvSpPr>
        <xdr:cNvPr id="53" name="Line 57">
          <a:extLst>
            <a:ext uri="{FF2B5EF4-FFF2-40B4-BE49-F238E27FC236}">
              <a16:creationId xmlns:a16="http://schemas.microsoft.com/office/drawing/2014/main" id="{00000000-0008-0000-0000-000035000000}"/>
            </a:ext>
          </a:extLst>
        </xdr:cNvPr>
        <xdr:cNvSpPr>
          <a:spLocks noChangeShapeType="1"/>
        </xdr:cNvSpPr>
      </xdr:nvSpPr>
      <xdr:spPr bwMode="auto">
        <a:xfrm>
          <a:off x="1638300" y="6905625"/>
          <a:ext cx="1304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33</xdr:row>
      <xdr:rowOff>66675</xdr:rowOff>
    </xdr:from>
    <xdr:to>
      <xdr:col>2</xdr:col>
      <xdr:colOff>276225</xdr:colOff>
      <xdr:row>37</xdr:row>
      <xdr:rowOff>76200</xdr:rowOff>
    </xdr:to>
    <xdr:sp macro="" textlink="">
      <xdr:nvSpPr>
        <xdr:cNvPr id="54" name="Line 58">
          <a:extLst>
            <a:ext uri="{FF2B5EF4-FFF2-40B4-BE49-F238E27FC236}">
              <a16:creationId xmlns:a16="http://schemas.microsoft.com/office/drawing/2014/main" id="{00000000-0008-0000-0000-000036000000}"/>
            </a:ext>
          </a:extLst>
        </xdr:cNvPr>
        <xdr:cNvSpPr>
          <a:spLocks noChangeShapeType="1"/>
        </xdr:cNvSpPr>
      </xdr:nvSpPr>
      <xdr:spPr bwMode="auto">
        <a:xfrm>
          <a:off x="1657350" y="6172200"/>
          <a:ext cx="0" cy="800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34</xdr:row>
      <xdr:rowOff>76200</xdr:rowOff>
    </xdr:from>
    <xdr:to>
      <xdr:col>5</xdr:col>
      <xdr:colOff>266700</xdr:colOff>
      <xdr:row>37</xdr:row>
      <xdr:rowOff>66675</xdr:rowOff>
    </xdr:to>
    <xdr:sp macro="" textlink="">
      <xdr:nvSpPr>
        <xdr:cNvPr id="55" name="Line 59">
          <a:extLst>
            <a:ext uri="{FF2B5EF4-FFF2-40B4-BE49-F238E27FC236}">
              <a16:creationId xmlns:a16="http://schemas.microsoft.com/office/drawing/2014/main" id="{00000000-0008-0000-0000-000037000000}"/>
            </a:ext>
          </a:extLst>
        </xdr:cNvPr>
        <xdr:cNvSpPr>
          <a:spLocks noChangeShapeType="1"/>
        </xdr:cNvSpPr>
      </xdr:nvSpPr>
      <xdr:spPr bwMode="auto">
        <a:xfrm>
          <a:off x="2924175" y="6381750"/>
          <a:ext cx="0" cy="581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28</xdr:row>
      <xdr:rowOff>104775</xdr:rowOff>
    </xdr:from>
    <xdr:to>
      <xdr:col>5</xdr:col>
      <xdr:colOff>171450</xdr:colOff>
      <xdr:row>28</xdr:row>
      <xdr:rowOff>104775</xdr:rowOff>
    </xdr:to>
    <xdr:sp macro="" textlink="">
      <xdr:nvSpPr>
        <xdr:cNvPr id="56" name="Line 60">
          <a:extLst>
            <a:ext uri="{FF2B5EF4-FFF2-40B4-BE49-F238E27FC236}">
              <a16:creationId xmlns:a16="http://schemas.microsoft.com/office/drawing/2014/main" id="{00000000-0008-0000-0000-000038000000}"/>
            </a:ext>
          </a:extLst>
        </xdr:cNvPr>
        <xdr:cNvSpPr>
          <a:spLocks noChangeShapeType="1"/>
        </xdr:cNvSpPr>
      </xdr:nvSpPr>
      <xdr:spPr bwMode="auto">
        <a:xfrm>
          <a:off x="1733550" y="525780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29</xdr:row>
      <xdr:rowOff>57150</xdr:rowOff>
    </xdr:from>
    <xdr:to>
      <xdr:col>5</xdr:col>
      <xdr:colOff>171450</xdr:colOff>
      <xdr:row>29</xdr:row>
      <xdr:rowOff>57150</xdr:rowOff>
    </xdr:to>
    <xdr:sp macro="" textlink="">
      <xdr:nvSpPr>
        <xdr:cNvPr id="57" name="Line 61">
          <a:extLst>
            <a:ext uri="{FF2B5EF4-FFF2-40B4-BE49-F238E27FC236}">
              <a16:creationId xmlns:a16="http://schemas.microsoft.com/office/drawing/2014/main" id="{00000000-0008-0000-0000-000039000000}"/>
            </a:ext>
          </a:extLst>
        </xdr:cNvPr>
        <xdr:cNvSpPr>
          <a:spLocks noChangeShapeType="1"/>
        </xdr:cNvSpPr>
      </xdr:nvSpPr>
      <xdr:spPr bwMode="auto">
        <a:xfrm>
          <a:off x="1733550" y="5400675"/>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25</xdr:row>
      <xdr:rowOff>76200</xdr:rowOff>
    </xdr:from>
    <xdr:to>
      <xdr:col>5</xdr:col>
      <xdr:colOff>171450</xdr:colOff>
      <xdr:row>26</xdr:row>
      <xdr:rowOff>161925</xdr:rowOff>
    </xdr:to>
    <xdr:sp macro="" textlink="">
      <xdr:nvSpPr>
        <xdr:cNvPr id="58" name="Line 62">
          <a:extLst>
            <a:ext uri="{FF2B5EF4-FFF2-40B4-BE49-F238E27FC236}">
              <a16:creationId xmlns:a16="http://schemas.microsoft.com/office/drawing/2014/main" id="{00000000-0008-0000-0000-00003A000000}"/>
            </a:ext>
          </a:extLst>
        </xdr:cNvPr>
        <xdr:cNvSpPr>
          <a:spLocks noChangeShapeType="1"/>
        </xdr:cNvSpPr>
      </xdr:nvSpPr>
      <xdr:spPr bwMode="auto">
        <a:xfrm flipV="1">
          <a:off x="2828925"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20</xdr:row>
      <xdr:rowOff>47625</xdr:rowOff>
    </xdr:from>
    <xdr:to>
      <xdr:col>5</xdr:col>
      <xdr:colOff>171450</xdr:colOff>
      <xdr:row>24</xdr:row>
      <xdr:rowOff>0</xdr:rowOff>
    </xdr:to>
    <xdr:sp macro="" textlink="">
      <xdr:nvSpPr>
        <xdr:cNvPr id="59" name="Tegning 63">
          <a:extLst>
            <a:ext uri="{FF2B5EF4-FFF2-40B4-BE49-F238E27FC236}">
              <a16:creationId xmlns:a16="http://schemas.microsoft.com/office/drawing/2014/main" id="{00000000-0008-0000-0000-00003B000000}"/>
            </a:ext>
          </a:extLst>
        </xdr:cNvPr>
        <xdr:cNvSpPr>
          <a:spLocks/>
        </xdr:cNvSpPr>
      </xdr:nvSpPr>
      <xdr:spPr bwMode="auto">
        <a:xfrm>
          <a:off x="1752600" y="3638550"/>
          <a:ext cx="1076325" cy="73342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5937"/>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57150</xdr:colOff>
      <xdr:row>20</xdr:row>
      <xdr:rowOff>47625</xdr:rowOff>
    </xdr:from>
    <xdr:to>
      <xdr:col>3</xdr:col>
      <xdr:colOff>57150</xdr:colOff>
      <xdr:row>22</xdr:row>
      <xdr:rowOff>0</xdr:rowOff>
    </xdr:to>
    <xdr:sp macro="" textlink="">
      <xdr:nvSpPr>
        <xdr:cNvPr id="60" name="Line 64">
          <a:extLst>
            <a:ext uri="{FF2B5EF4-FFF2-40B4-BE49-F238E27FC236}">
              <a16:creationId xmlns:a16="http://schemas.microsoft.com/office/drawing/2014/main" id="{00000000-0008-0000-0000-00003C000000}"/>
            </a:ext>
          </a:extLst>
        </xdr:cNvPr>
        <xdr:cNvSpPr>
          <a:spLocks noChangeShapeType="1"/>
        </xdr:cNvSpPr>
      </xdr:nvSpPr>
      <xdr:spPr bwMode="auto">
        <a:xfrm flipV="1">
          <a:off x="2019300" y="36385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20</xdr:row>
      <xdr:rowOff>57150</xdr:rowOff>
    </xdr:from>
    <xdr:to>
      <xdr:col>3</xdr:col>
      <xdr:colOff>171450</xdr:colOff>
      <xdr:row>21</xdr:row>
      <xdr:rowOff>190500</xdr:rowOff>
    </xdr:to>
    <xdr:sp macro="" textlink="">
      <xdr:nvSpPr>
        <xdr:cNvPr id="61" name="Line 65">
          <a:extLst>
            <a:ext uri="{FF2B5EF4-FFF2-40B4-BE49-F238E27FC236}">
              <a16:creationId xmlns:a16="http://schemas.microsoft.com/office/drawing/2014/main" id="{00000000-0008-0000-0000-00003D000000}"/>
            </a:ext>
          </a:extLst>
        </xdr:cNvPr>
        <xdr:cNvSpPr>
          <a:spLocks noChangeShapeType="1"/>
        </xdr:cNvSpPr>
      </xdr:nvSpPr>
      <xdr:spPr bwMode="auto">
        <a:xfrm flipV="1">
          <a:off x="2133600" y="364807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20</xdr:row>
      <xdr:rowOff>47625</xdr:rowOff>
    </xdr:from>
    <xdr:to>
      <xdr:col>4</xdr:col>
      <xdr:colOff>66675</xdr:colOff>
      <xdr:row>22</xdr:row>
      <xdr:rowOff>0</xdr:rowOff>
    </xdr:to>
    <xdr:sp macro="" textlink="">
      <xdr:nvSpPr>
        <xdr:cNvPr id="62" name="Line 66">
          <a:extLst>
            <a:ext uri="{FF2B5EF4-FFF2-40B4-BE49-F238E27FC236}">
              <a16:creationId xmlns:a16="http://schemas.microsoft.com/office/drawing/2014/main" id="{00000000-0008-0000-0000-00003E000000}"/>
            </a:ext>
          </a:extLst>
        </xdr:cNvPr>
        <xdr:cNvSpPr>
          <a:spLocks noChangeShapeType="1"/>
        </xdr:cNvSpPr>
      </xdr:nvSpPr>
      <xdr:spPr bwMode="auto">
        <a:xfrm flipV="1">
          <a:off x="2400300" y="36385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20</xdr:row>
      <xdr:rowOff>57150</xdr:rowOff>
    </xdr:from>
    <xdr:to>
      <xdr:col>4</xdr:col>
      <xdr:colOff>180975</xdr:colOff>
      <xdr:row>21</xdr:row>
      <xdr:rowOff>190500</xdr:rowOff>
    </xdr:to>
    <xdr:sp macro="" textlink="">
      <xdr:nvSpPr>
        <xdr:cNvPr id="63" name="Line 67">
          <a:extLst>
            <a:ext uri="{FF2B5EF4-FFF2-40B4-BE49-F238E27FC236}">
              <a16:creationId xmlns:a16="http://schemas.microsoft.com/office/drawing/2014/main" id="{00000000-0008-0000-0000-00003F000000}"/>
            </a:ext>
          </a:extLst>
        </xdr:cNvPr>
        <xdr:cNvSpPr>
          <a:spLocks noChangeShapeType="1"/>
        </xdr:cNvSpPr>
      </xdr:nvSpPr>
      <xdr:spPr bwMode="auto">
        <a:xfrm flipV="1">
          <a:off x="2514600" y="364807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21</xdr:row>
      <xdr:rowOff>152400</xdr:rowOff>
    </xdr:from>
    <xdr:to>
      <xdr:col>3</xdr:col>
      <xdr:colOff>28575</xdr:colOff>
      <xdr:row>22</xdr:row>
      <xdr:rowOff>0</xdr:rowOff>
    </xdr:to>
    <xdr:sp macro="" textlink="">
      <xdr:nvSpPr>
        <xdr:cNvPr id="64" name="Tegning 68">
          <a:extLst>
            <a:ext uri="{FF2B5EF4-FFF2-40B4-BE49-F238E27FC236}">
              <a16:creationId xmlns:a16="http://schemas.microsoft.com/office/drawing/2014/main" id="{00000000-0008-0000-0000-000040000000}"/>
            </a:ext>
          </a:extLst>
        </xdr:cNvPr>
        <xdr:cNvSpPr>
          <a:spLocks/>
        </xdr:cNvSpPr>
      </xdr:nvSpPr>
      <xdr:spPr bwMode="auto">
        <a:xfrm>
          <a:off x="1743075" y="3943350"/>
          <a:ext cx="247650" cy="47625"/>
        </a:xfrm>
        <a:custGeom>
          <a:avLst/>
          <a:gdLst>
            <a:gd name="T0" fmla="*/ 2147483646 w 16384"/>
            <a:gd name="T1" fmla="*/ 2147483646 h 16384"/>
            <a:gd name="T2" fmla="*/ 2147483646 w 16384"/>
            <a:gd name="T3" fmla="*/ 0 h 16384"/>
            <a:gd name="T4" fmla="*/ 0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16384"/>
              </a:moveTo>
              <a:lnTo>
                <a:pt x="16384" y="0"/>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200025</xdr:colOff>
      <xdr:row>21</xdr:row>
      <xdr:rowOff>152400</xdr:rowOff>
    </xdr:from>
    <xdr:to>
      <xdr:col>5</xdr:col>
      <xdr:colOff>180975</xdr:colOff>
      <xdr:row>21</xdr:row>
      <xdr:rowOff>200025</xdr:rowOff>
    </xdr:to>
    <xdr:sp macro="" textlink="">
      <xdr:nvSpPr>
        <xdr:cNvPr id="65" name="Tegning 69">
          <a:extLst>
            <a:ext uri="{FF2B5EF4-FFF2-40B4-BE49-F238E27FC236}">
              <a16:creationId xmlns:a16="http://schemas.microsoft.com/office/drawing/2014/main" id="{00000000-0008-0000-0000-000041000000}"/>
            </a:ext>
          </a:extLst>
        </xdr:cNvPr>
        <xdr:cNvSpPr>
          <a:spLocks/>
        </xdr:cNvSpPr>
      </xdr:nvSpPr>
      <xdr:spPr bwMode="auto">
        <a:xfrm>
          <a:off x="2533650" y="3943350"/>
          <a:ext cx="304800" cy="476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22</xdr:row>
      <xdr:rowOff>47625</xdr:rowOff>
    </xdr:from>
    <xdr:to>
      <xdr:col>3</xdr:col>
      <xdr:colOff>28575</xdr:colOff>
      <xdr:row>22</xdr:row>
      <xdr:rowOff>47625</xdr:rowOff>
    </xdr:to>
    <xdr:sp macro="" textlink="">
      <xdr:nvSpPr>
        <xdr:cNvPr id="66" name="Line 70">
          <a:extLst>
            <a:ext uri="{FF2B5EF4-FFF2-40B4-BE49-F238E27FC236}">
              <a16:creationId xmlns:a16="http://schemas.microsoft.com/office/drawing/2014/main" id="{00000000-0008-0000-0000-000042000000}"/>
            </a:ext>
          </a:extLst>
        </xdr:cNvPr>
        <xdr:cNvSpPr>
          <a:spLocks noChangeShapeType="1"/>
        </xdr:cNvSpPr>
      </xdr:nvSpPr>
      <xdr:spPr bwMode="auto">
        <a:xfrm>
          <a:off x="1743075" y="4038600"/>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22</xdr:row>
      <xdr:rowOff>152400</xdr:rowOff>
    </xdr:from>
    <xdr:to>
      <xdr:col>3</xdr:col>
      <xdr:colOff>28575</xdr:colOff>
      <xdr:row>22</xdr:row>
      <xdr:rowOff>152400</xdr:rowOff>
    </xdr:to>
    <xdr:sp macro="" textlink="">
      <xdr:nvSpPr>
        <xdr:cNvPr id="67" name="Line 71">
          <a:extLst>
            <a:ext uri="{FF2B5EF4-FFF2-40B4-BE49-F238E27FC236}">
              <a16:creationId xmlns:a16="http://schemas.microsoft.com/office/drawing/2014/main" id="{00000000-0008-0000-0000-000043000000}"/>
            </a:ext>
          </a:extLst>
        </xdr:cNvPr>
        <xdr:cNvSpPr>
          <a:spLocks noChangeShapeType="1"/>
        </xdr:cNvSpPr>
      </xdr:nvSpPr>
      <xdr:spPr bwMode="auto">
        <a:xfrm>
          <a:off x="1743075" y="4143375"/>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23</xdr:row>
      <xdr:rowOff>47625</xdr:rowOff>
    </xdr:from>
    <xdr:to>
      <xdr:col>3</xdr:col>
      <xdr:colOff>28575</xdr:colOff>
      <xdr:row>23</xdr:row>
      <xdr:rowOff>47625</xdr:rowOff>
    </xdr:to>
    <xdr:sp macro="" textlink="">
      <xdr:nvSpPr>
        <xdr:cNvPr id="68" name="Line 72">
          <a:extLst>
            <a:ext uri="{FF2B5EF4-FFF2-40B4-BE49-F238E27FC236}">
              <a16:creationId xmlns:a16="http://schemas.microsoft.com/office/drawing/2014/main" id="{00000000-0008-0000-0000-000044000000}"/>
            </a:ext>
          </a:extLst>
        </xdr:cNvPr>
        <xdr:cNvSpPr>
          <a:spLocks noChangeShapeType="1"/>
        </xdr:cNvSpPr>
      </xdr:nvSpPr>
      <xdr:spPr bwMode="auto">
        <a:xfrm>
          <a:off x="1752600" y="4229100"/>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23</xdr:row>
      <xdr:rowOff>152400</xdr:rowOff>
    </xdr:from>
    <xdr:to>
      <xdr:col>3</xdr:col>
      <xdr:colOff>28575</xdr:colOff>
      <xdr:row>23</xdr:row>
      <xdr:rowOff>152400</xdr:rowOff>
    </xdr:to>
    <xdr:sp macro="" textlink="">
      <xdr:nvSpPr>
        <xdr:cNvPr id="69" name="Line 73">
          <a:extLst>
            <a:ext uri="{FF2B5EF4-FFF2-40B4-BE49-F238E27FC236}">
              <a16:creationId xmlns:a16="http://schemas.microsoft.com/office/drawing/2014/main" id="{00000000-0008-0000-0000-000045000000}"/>
            </a:ext>
          </a:extLst>
        </xdr:cNvPr>
        <xdr:cNvSpPr>
          <a:spLocks noChangeShapeType="1"/>
        </xdr:cNvSpPr>
      </xdr:nvSpPr>
      <xdr:spPr bwMode="auto">
        <a:xfrm>
          <a:off x="1743075" y="4333875"/>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22</xdr:row>
      <xdr:rowOff>47625</xdr:rowOff>
    </xdr:from>
    <xdr:to>
      <xdr:col>5</xdr:col>
      <xdr:colOff>161925</xdr:colOff>
      <xdr:row>22</xdr:row>
      <xdr:rowOff>47625</xdr:rowOff>
    </xdr:to>
    <xdr:sp macro="" textlink="">
      <xdr:nvSpPr>
        <xdr:cNvPr id="70" name="Line 74">
          <a:extLst>
            <a:ext uri="{FF2B5EF4-FFF2-40B4-BE49-F238E27FC236}">
              <a16:creationId xmlns:a16="http://schemas.microsoft.com/office/drawing/2014/main" id="{00000000-0008-0000-0000-000046000000}"/>
            </a:ext>
          </a:extLst>
        </xdr:cNvPr>
        <xdr:cNvSpPr>
          <a:spLocks noChangeShapeType="1"/>
        </xdr:cNvSpPr>
      </xdr:nvSpPr>
      <xdr:spPr bwMode="auto">
        <a:xfrm>
          <a:off x="2552700" y="4038600"/>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22</xdr:row>
      <xdr:rowOff>152400</xdr:rowOff>
    </xdr:from>
    <xdr:to>
      <xdr:col>5</xdr:col>
      <xdr:colOff>171450</xdr:colOff>
      <xdr:row>22</xdr:row>
      <xdr:rowOff>152400</xdr:rowOff>
    </xdr:to>
    <xdr:sp macro="" textlink="">
      <xdr:nvSpPr>
        <xdr:cNvPr id="71" name="Line 75">
          <a:extLst>
            <a:ext uri="{FF2B5EF4-FFF2-40B4-BE49-F238E27FC236}">
              <a16:creationId xmlns:a16="http://schemas.microsoft.com/office/drawing/2014/main" id="{00000000-0008-0000-0000-000047000000}"/>
            </a:ext>
          </a:extLst>
        </xdr:cNvPr>
        <xdr:cNvSpPr>
          <a:spLocks noChangeShapeType="1"/>
        </xdr:cNvSpPr>
      </xdr:nvSpPr>
      <xdr:spPr bwMode="auto">
        <a:xfrm>
          <a:off x="2543175" y="4143375"/>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23</xdr:row>
      <xdr:rowOff>47625</xdr:rowOff>
    </xdr:from>
    <xdr:to>
      <xdr:col>5</xdr:col>
      <xdr:colOff>171450</xdr:colOff>
      <xdr:row>23</xdr:row>
      <xdr:rowOff>47625</xdr:rowOff>
    </xdr:to>
    <xdr:sp macro="" textlink="">
      <xdr:nvSpPr>
        <xdr:cNvPr id="72" name="Line 76">
          <a:extLst>
            <a:ext uri="{FF2B5EF4-FFF2-40B4-BE49-F238E27FC236}">
              <a16:creationId xmlns:a16="http://schemas.microsoft.com/office/drawing/2014/main" id="{00000000-0008-0000-0000-000048000000}"/>
            </a:ext>
          </a:extLst>
        </xdr:cNvPr>
        <xdr:cNvSpPr>
          <a:spLocks noChangeShapeType="1"/>
        </xdr:cNvSpPr>
      </xdr:nvSpPr>
      <xdr:spPr bwMode="auto">
        <a:xfrm>
          <a:off x="2533650" y="4229100"/>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23</xdr:row>
      <xdr:rowOff>152400</xdr:rowOff>
    </xdr:from>
    <xdr:to>
      <xdr:col>5</xdr:col>
      <xdr:colOff>161925</xdr:colOff>
      <xdr:row>23</xdr:row>
      <xdr:rowOff>152400</xdr:rowOff>
    </xdr:to>
    <xdr:sp macro="" textlink="">
      <xdr:nvSpPr>
        <xdr:cNvPr id="73" name="Line 77">
          <a:extLst>
            <a:ext uri="{FF2B5EF4-FFF2-40B4-BE49-F238E27FC236}">
              <a16:creationId xmlns:a16="http://schemas.microsoft.com/office/drawing/2014/main" id="{00000000-0008-0000-0000-000049000000}"/>
            </a:ext>
          </a:extLst>
        </xdr:cNvPr>
        <xdr:cNvSpPr>
          <a:spLocks noChangeShapeType="1"/>
        </xdr:cNvSpPr>
      </xdr:nvSpPr>
      <xdr:spPr bwMode="auto">
        <a:xfrm>
          <a:off x="2533650" y="4333875"/>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21</xdr:row>
      <xdr:rowOff>200025</xdr:rowOff>
    </xdr:from>
    <xdr:to>
      <xdr:col>4</xdr:col>
      <xdr:colOff>200025</xdr:colOff>
      <xdr:row>23</xdr:row>
      <xdr:rowOff>180975</xdr:rowOff>
    </xdr:to>
    <xdr:sp macro="" textlink="">
      <xdr:nvSpPr>
        <xdr:cNvPr id="74" name="Tegning 78">
          <a:extLst>
            <a:ext uri="{FF2B5EF4-FFF2-40B4-BE49-F238E27FC236}">
              <a16:creationId xmlns:a16="http://schemas.microsoft.com/office/drawing/2014/main" id="{00000000-0008-0000-0000-00004A000000}"/>
            </a:ext>
          </a:extLst>
        </xdr:cNvPr>
        <xdr:cNvSpPr>
          <a:spLocks/>
        </xdr:cNvSpPr>
      </xdr:nvSpPr>
      <xdr:spPr bwMode="auto">
        <a:xfrm>
          <a:off x="1990725" y="3990975"/>
          <a:ext cx="542925" cy="37147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31</xdr:row>
      <xdr:rowOff>190500</xdr:rowOff>
    </xdr:from>
    <xdr:to>
      <xdr:col>2</xdr:col>
      <xdr:colOff>361950</xdr:colOff>
      <xdr:row>32</xdr:row>
      <xdr:rowOff>76200</xdr:rowOff>
    </xdr:to>
    <xdr:sp macro="" textlink="">
      <xdr:nvSpPr>
        <xdr:cNvPr id="75" name="Line 79">
          <a:extLst>
            <a:ext uri="{FF2B5EF4-FFF2-40B4-BE49-F238E27FC236}">
              <a16:creationId xmlns:a16="http://schemas.microsoft.com/office/drawing/2014/main" id="{00000000-0008-0000-0000-00004B000000}"/>
            </a:ext>
          </a:extLst>
        </xdr:cNvPr>
        <xdr:cNvSpPr>
          <a:spLocks noChangeShapeType="1"/>
        </xdr:cNvSpPr>
      </xdr:nvSpPr>
      <xdr:spPr bwMode="auto">
        <a:xfrm flipV="1">
          <a:off x="1743075" y="5915025"/>
          <a:ext cx="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32</xdr:row>
      <xdr:rowOff>47625</xdr:rowOff>
    </xdr:from>
    <xdr:to>
      <xdr:col>2</xdr:col>
      <xdr:colOff>304800</xdr:colOff>
      <xdr:row>32</xdr:row>
      <xdr:rowOff>95250</xdr:rowOff>
    </xdr:to>
    <xdr:sp macro="" textlink="" fLocksText="0">
      <xdr:nvSpPr>
        <xdr:cNvPr id="76" name="Oval 80">
          <a:extLst>
            <a:ext uri="{FF2B5EF4-FFF2-40B4-BE49-F238E27FC236}">
              <a16:creationId xmlns:a16="http://schemas.microsoft.com/office/drawing/2014/main" id="{00000000-0008-0000-0000-00004C000000}"/>
            </a:ext>
          </a:extLst>
        </xdr:cNvPr>
        <xdr:cNvSpPr>
          <a:spLocks noChangeArrowheads="1"/>
        </xdr:cNvSpPr>
      </xdr:nvSpPr>
      <xdr:spPr bwMode="auto">
        <a:xfrm>
          <a:off x="1638300" y="5962650"/>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238125</xdr:colOff>
      <xdr:row>34</xdr:row>
      <xdr:rowOff>0</xdr:rowOff>
    </xdr:from>
    <xdr:to>
      <xdr:col>5</xdr:col>
      <xdr:colOff>285750</xdr:colOff>
      <xdr:row>34</xdr:row>
      <xdr:rowOff>47625</xdr:rowOff>
    </xdr:to>
    <xdr:sp macro="" textlink="" fLocksText="0">
      <xdr:nvSpPr>
        <xdr:cNvPr id="77" name="Oval 81">
          <a:extLst>
            <a:ext uri="{FF2B5EF4-FFF2-40B4-BE49-F238E27FC236}">
              <a16:creationId xmlns:a16="http://schemas.microsoft.com/office/drawing/2014/main" id="{00000000-0008-0000-0000-00004D000000}"/>
            </a:ext>
          </a:extLst>
        </xdr:cNvPr>
        <xdr:cNvSpPr>
          <a:spLocks noChangeArrowheads="1"/>
        </xdr:cNvSpPr>
      </xdr:nvSpPr>
      <xdr:spPr bwMode="auto">
        <a:xfrm>
          <a:off x="2895600" y="6305550"/>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209550</xdr:colOff>
      <xdr:row>33</xdr:row>
      <xdr:rowOff>0</xdr:rowOff>
    </xdr:from>
    <xdr:to>
      <xdr:col>2</xdr:col>
      <xdr:colOff>257175</xdr:colOff>
      <xdr:row>33</xdr:row>
      <xdr:rowOff>47625</xdr:rowOff>
    </xdr:to>
    <xdr:sp macro="" textlink="" fLocksText="0">
      <xdr:nvSpPr>
        <xdr:cNvPr id="78" name="Oval 82">
          <a:extLst>
            <a:ext uri="{FF2B5EF4-FFF2-40B4-BE49-F238E27FC236}">
              <a16:creationId xmlns:a16="http://schemas.microsoft.com/office/drawing/2014/main" id="{00000000-0008-0000-0000-00004E000000}"/>
            </a:ext>
          </a:extLst>
        </xdr:cNvPr>
        <xdr:cNvSpPr>
          <a:spLocks noChangeArrowheads="1"/>
        </xdr:cNvSpPr>
      </xdr:nvSpPr>
      <xdr:spPr bwMode="auto">
        <a:xfrm>
          <a:off x="1590675" y="6105525"/>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304800</xdr:colOff>
      <xdr:row>33</xdr:row>
      <xdr:rowOff>0</xdr:rowOff>
    </xdr:from>
    <xdr:to>
      <xdr:col>2</xdr:col>
      <xdr:colOff>352425</xdr:colOff>
      <xdr:row>33</xdr:row>
      <xdr:rowOff>47625</xdr:rowOff>
    </xdr:to>
    <xdr:sp macro="" textlink="" fLocksText="0">
      <xdr:nvSpPr>
        <xdr:cNvPr id="79" name="Oval 83">
          <a:extLst>
            <a:ext uri="{FF2B5EF4-FFF2-40B4-BE49-F238E27FC236}">
              <a16:creationId xmlns:a16="http://schemas.microsoft.com/office/drawing/2014/main" id="{00000000-0008-0000-0000-00004F000000}"/>
            </a:ext>
          </a:extLst>
        </xdr:cNvPr>
        <xdr:cNvSpPr>
          <a:spLocks noChangeArrowheads="1"/>
        </xdr:cNvSpPr>
      </xdr:nvSpPr>
      <xdr:spPr bwMode="auto">
        <a:xfrm>
          <a:off x="1685925" y="6105525"/>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33</xdr:row>
      <xdr:rowOff>47625</xdr:rowOff>
    </xdr:from>
    <xdr:to>
      <xdr:col>2</xdr:col>
      <xdr:colOff>438150</xdr:colOff>
      <xdr:row>33</xdr:row>
      <xdr:rowOff>47625</xdr:rowOff>
    </xdr:to>
    <xdr:sp macro="" textlink="">
      <xdr:nvSpPr>
        <xdr:cNvPr id="80" name="Line 84">
          <a:extLst>
            <a:ext uri="{FF2B5EF4-FFF2-40B4-BE49-F238E27FC236}">
              <a16:creationId xmlns:a16="http://schemas.microsoft.com/office/drawing/2014/main" id="{00000000-0008-0000-0000-000050000000}"/>
            </a:ext>
          </a:extLst>
        </xdr:cNvPr>
        <xdr:cNvSpPr>
          <a:spLocks noChangeShapeType="1"/>
        </xdr:cNvSpPr>
      </xdr:nvSpPr>
      <xdr:spPr bwMode="auto">
        <a:xfrm>
          <a:off x="1524000" y="6153150"/>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34</xdr:row>
      <xdr:rowOff>123825</xdr:rowOff>
    </xdr:from>
    <xdr:to>
      <xdr:col>5</xdr:col>
      <xdr:colOff>419100</xdr:colOff>
      <xdr:row>34</xdr:row>
      <xdr:rowOff>123825</xdr:rowOff>
    </xdr:to>
    <xdr:sp macro="" textlink="">
      <xdr:nvSpPr>
        <xdr:cNvPr id="81" name="Line 85">
          <a:extLst>
            <a:ext uri="{FF2B5EF4-FFF2-40B4-BE49-F238E27FC236}">
              <a16:creationId xmlns:a16="http://schemas.microsoft.com/office/drawing/2014/main" id="{00000000-0008-0000-0000-000051000000}"/>
            </a:ext>
          </a:extLst>
        </xdr:cNvPr>
        <xdr:cNvSpPr>
          <a:spLocks noChangeShapeType="1"/>
        </xdr:cNvSpPr>
      </xdr:nvSpPr>
      <xdr:spPr bwMode="auto">
        <a:xfrm>
          <a:off x="2762250" y="6429375"/>
          <a:ext cx="314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20</xdr:row>
      <xdr:rowOff>9525</xdr:rowOff>
    </xdr:from>
    <xdr:to>
      <xdr:col>5</xdr:col>
      <xdr:colOff>304800</xdr:colOff>
      <xdr:row>22</xdr:row>
      <xdr:rowOff>123825</xdr:rowOff>
    </xdr:to>
    <xdr:sp macro="" textlink="">
      <xdr:nvSpPr>
        <xdr:cNvPr id="82" name="Line 86">
          <a:extLst>
            <a:ext uri="{FF2B5EF4-FFF2-40B4-BE49-F238E27FC236}">
              <a16:creationId xmlns:a16="http://schemas.microsoft.com/office/drawing/2014/main" id="{00000000-0008-0000-0000-000052000000}"/>
            </a:ext>
          </a:extLst>
        </xdr:cNvPr>
        <xdr:cNvSpPr>
          <a:spLocks noChangeShapeType="1"/>
        </xdr:cNvSpPr>
      </xdr:nvSpPr>
      <xdr:spPr bwMode="auto">
        <a:xfrm>
          <a:off x="2962275" y="3600450"/>
          <a:ext cx="0" cy="514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20</xdr:row>
      <xdr:rowOff>104775</xdr:rowOff>
    </xdr:from>
    <xdr:to>
      <xdr:col>2</xdr:col>
      <xdr:colOff>381000</xdr:colOff>
      <xdr:row>20</xdr:row>
      <xdr:rowOff>104775</xdr:rowOff>
    </xdr:to>
    <xdr:sp macro="" textlink="">
      <xdr:nvSpPr>
        <xdr:cNvPr id="83" name="Line 87">
          <a:extLst>
            <a:ext uri="{FF2B5EF4-FFF2-40B4-BE49-F238E27FC236}">
              <a16:creationId xmlns:a16="http://schemas.microsoft.com/office/drawing/2014/main" id="{00000000-0008-0000-0000-000053000000}"/>
            </a:ext>
          </a:extLst>
        </xdr:cNvPr>
        <xdr:cNvSpPr>
          <a:spLocks noChangeShapeType="1"/>
        </xdr:cNvSpPr>
      </xdr:nvSpPr>
      <xdr:spPr bwMode="auto">
        <a:xfrm>
          <a:off x="1666875" y="3695700"/>
          <a:ext cx="9525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21</xdr:row>
      <xdr:rowOff>104775</xdr:rowOff>
    </xdr:from>
    <xdr:to>
      <xdr:col>2</xdr:col>
      <xdr:colOff>381000</xdr:colOff>
      <xdr:row>21</xdr:row>
      <xdr:rowOff>104775</xdr:rowOff>
    </xdr:to>
    <xdr:sp macro="" textlink="">
      <xdr:nvSpPr>
        <xdr:cNvPr id="84" name="Line 88">
          <a:extLst>
            <a:ext uri="{FF2B5EF4-FFF2-40B4-BE49-F238E27FC236}">
              <a16:creationId xmlns:a16="http://schemas.microsoft.com/office/drawing/2014/main" id="{00000000-0008-0000-0000-000054000000}"/>
            </a:ext>
          </a:extLst>
        </xdr:cNvPr>
        <xdr:cNvSpPr>
          <a:spLocks noChangeShapeType="1"/>
        </xdr:cNvSpPr>
      </xdr:nvSpPr>
      <xdr:spPr bwMode="auto">
        <a:xfrm>
          <a:off x="1666875" y="3895725"/>
          <a:ext cx="9525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20</xdr:row>
      <xdr:rowOff>114300</xdr:rowOff>
    </xdr:from>
    <xdr:to>
      <xdr:col>5</xdr:col>
      <xdr:colOff>247650</xdr:colOff>
      <xdr:row>20</xdr:row>
      <xdr:rowOff>114300</xdr:rowOff>
    </xdr:to>
    <xdr:sp macro="" textlink="">
      <xdr:nvSpPr>
        <xdr:cNvPr id="85" name="Line 89">
          <a:extLst>
            <a:ext uri="{FF2B5EF4-FFF2-40B4-BE49-F238E27FC236}">
              <a16:creationId xmlns:a16="http://schemas.microsoft.com/office/drawing/2014/main" id="{00000000-0008-0000-0000-000055000000}"/>
            </a:ext>
          </a:extLst>
        </xdr:cNvPr>
        <xdr:cNvSpPr>
          <a:spLocks noChangeShapeType="1"/>
        </xdr:cNvSpPr>
      </xdr:nvSpPr>
      <xdr:spPr bwMode="auto">
        <a:xfrm>
          <a:off x="2828925" y="3705225"/>
          <a:ext cx="762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21</xdr:row>
      <xdr:rowOff>114300</xdr:rowOff>
    </xdr:from>
    <xdr:to>
      <xdr:col>5</xdr:col>
      <xdr:colOff>247650</xdr:colOff>
      <xdr:row>21</xdr:row>
      <xdr:rowOff>114300</xdr:rowOff>
    </xdr:to>
    <xdr:sp macro="" textlink="">
      <xdr:nvSpPr>
        <xdr:cNvPr id="86" name="Line 90">
          <a:extLst>
            <a:ext uri="{FF2B5EF4-FFF2-40B4-BE49-F238E27FC236}">
              <a16:creationId xmlns:a16="http://schemas.microsoft.com/office/drawing/2014/main" id="{00000000-0008-0000-0000-000056000000}"/>
            </a:ext>
          </a:extLst>
        </xdr:cNvPr>
        <xdr:cNvSpPr>
          <a:spLocks noChangeShapeType="1"/>
        </xdr:cNvSpPr>
      </xdr:nvSpPr>
      <xdr:spPr bwMode="auto">
        <a:xfrm>
          <a:off x="2828925" y="3905250"/>
          <a:ext cx="762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20</xdr:row>
      <xdr:rowOff>47625</xdr:rowOff>
    </xdr:from>
    <xdr:to>
      <xdr:col>5</xdr:col>
      <xdr:colOff>352425</xdr:colOff>
      <xdr:row>20</xdr:row>
      <xdr:rowOff>47625</xdr:rowOff>
    </xdr:to>
    <xdr:sp macro="" textlink="">
      <xdr:nvSpPr>
        <xdr:cNvPr id="87" name="Line 91">
          <a:extLst>
            <a:ext uri="{FF2B5EF4-FFF2-40B4-BE49-F238E27FC236}">
              <a16:creationId xmlns:a16="http://schemas.microsoft.com/office/drawing/2014/main" id="{00000000-0008-0000-0000-000057000000}"/>
            </a:ext>
          </a:extLst>
        </xdr:cNvPr>
        <xdr:cNvSpPr>
          <a:spLocks noChangeShapeType="1"/>
        </xdr:cNvSpPr>
      </xdr:nvSpPr>
      <xdr:spPr bwMode="auto">
        <a:xfrm>
          <a:off x="2876550" y="3638550"/>
          <a:ext cx="133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276225</xdr:colOff>
      <xdr:row>20</xdr:row>
      <xdr:rowOff>123825</xdr:rowOff>
    </xdr:from>
    <xdr:to>
      <xdr:col>5</xdr:col>
      <xdr:colOff>342900</xdr:colOff>
      <xdr:row>20</xdr:row>
      <xdr:rowOff>123825</xdr:rowOff>
    </xdr:to>
    <xdr:sp macro="" textlink="">
      <xdr:nvSpPr>
        <xdr:cNvPr id="88" name="Line 92">
          <a:extLst>
            <a:ext uri="{FF2B5EF4-FFF2-40B4-BE49-F238E27FC236}">
              <a16:creationId xmlns:a16="http://schemas.microsoft.com/office/drawing/2014/main" id="{00000000-0008-0000-0000-000058000000}"/>
            </a:ext>
          </a:extLst>
        </xdr:cNvPr>
        <xdr:cNvSpPr>
          <a:spLocks noChangeShapeType="1"/>
        </xdr:cNvSpPr>
      </xdr:nvSpPr>
      <xdr:spPr bwMode="auto">
        <a:xfrm>
          <a:off x="2933700" y="3714750"/>
          <a:ext cx="66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21</xdr:row>
      <xdr:rowOff>123825</xdr:rowOff>
    </xdr:from>
    <xdr:to>
      <xdr:col>5</xdr:col>
      <xdr:colOff>333375</xdr:colOff>
      <xdr:row>21</xdr:row>
      <xdr:rowOff>123825</xdr:rowOff>
    </xdr:to>
    <xdr:sp macro="" textlink="">
      <xdr:nvSpPr>
        <xdr:cNvPr id="89" name="Line 93">
          <a:extLst>
            <a:ext uri="{FF2B5EF4-FFF2-40B4-BE49-F238E27FC236}">
              <a16:creationId xmlns:a16="http://schemas.microsoft.com/office/drawing/2014/main" id="{00000000-0008-0000-0000-000059000000}"/>
            </a:ext>
          </a:extLst>
        </xdr:cNvPr>
        <xdr:cNvSpPr>
          <a:spLocks noChangeShapeType="1"/>
        </xdr:cNvSpPr>
      </xdr:nvSpPr>
      <xdr:spPr bwMode="auto">
        <a:xfrm>
          <a:off x="2924175" y="3914775"/>
          <a:ext cx="66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21</xdr:row>
      <xdr:rowOff>200025</xdr:rowOff>
    </xdr:from>
    <xdr:to>
      <xdr:col>5</xdr:col>
      <xdr:colOff>342900</xdr:colOff>
      <xdr:row>21</xdr:row>
      <xdr:rowOff>200025</xdr:rowOff>
    </xdr:to>
    <xdr:sp macro="" textlink="">
      <xdr:nvSpPr>
        <xdr:cNvPr id="90" name="Line 94">
          <a:extLst>
            <a:ext uri="{FF2B5EF4-FFF2-40B4-BE49-F238E27FC236}">
              <a16:creationId xmlns:a16="http://schemas.microsoft.com/office/drawing/2014/main" id="{00000000-0008-0000-0000-00005A000000}"/>
            </a:ext>
          </a:extLst>
        </xdr:cNvPr>
        <xdr:cNvSpPr>
          <a:spLocks noChangeShapeType="1"/>
        </xdr:cNvSpPr>
      </xdr:nvSpPr>
      <xdr:spPr bwMode="auto">
        <a:xfrm>
          <a:off x="2581275" y="3990975"/>
          <a:ext cx="419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20</xdr:row>
      <xdr:rowOff>9525</xdr:rowOff>
    </xdr:from>
    <xdr:to>
      <xdr:col>5</xdr:col>
      <xdr:colOff>333375</xdr:colOff>
      <xdr:row>20</xdr:row>
      <xdr:rowOff>85725</xdr:rowOff>
    </xdr:to>
    <xdr:sp macro="" textlink="">
      <xdr:nvSpPr>
        <xdr:cNvPr id="91" name="Line 95">
          <a:extLst>
            <a:ext uri="{FF2B5EF4-FFF2-40B4-BE49-F238E27FC236}">
              <a16:creationId xmlns:a16="http://schemas.microsoft.com/office/drawing/2014/main" id="{00000000-0008-0000-0000-00005B000000}"/>
            </a:ext>
          </a:extLst>
        </xdr:cNvPr>
        <xdr:cNvSpPr>
          <a:spLocks noChangeShapeType="1"/>
        </xdr:cNvSpPr>
      </xdr:nvSpPr>
      <xdr:spPr bwMode="auto">
        <a:xfrm flipH="1">
          <a:off x="2924175" y="36004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20</xdr:row>
      <xdr:rowOff>85725</xdr:rowOff>
    </xdr:from>
    <xdr:to>
      <xdr:col>5</xdr:col>
      <xdr:colOff>333375</xdr:colOff>
      <xdr:row>20</xdr:row>
      <xdr:rowOff>161925</xdr:rowOff>
    </xdr:to>
    <xdr:sp macro="" textlink="">
      <xdr:nvSpPr>
        <xdr:cNvPr id="92" name="Line 96">
          <a:extLst>
            <a:ext uri="{FF2B5EF4-FFF2-40B4-BE49-F238E27FC236}">
              <a16:creationId xmlns:a16="http://schemas.microsoft.com/office/drawing/2014/main" id="{00000000-0008-0000-0000-00005C000000}"/>
            </a:ext>
          </a:extLst>
        </xdr:cNvPr>
        <xdr:cNvSpPr>
          <a:spLocks noChangeShapeType="1"/>
        </xdr:cNvSpPr>
      </xdr:nvSpPr>
      <xdr:spPr bwMode="auto">
        <a:xfrm flipH="1">
          <a:off x="2924175" y="36766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21</xdr:row>
      <xdr:rowOff>95250</xdr:rowOff>
    </xdr:from>
    <xdr:to>
      <xdr:col>5</xdr:col>
      <xdr:colOff>333375</xdr:colOff>
      <xdr:row>21</xdr:row>
      <xdr:rowOff>171450</xdr:rowOff>
    </xdr:to>
    <xdr:sp macro="" textlink="">
      <xdr:nvSpPr>
        <xdr:cNvPr id="93" name="Line 97">
          <a:extLst>
            <a:ext uri="{FF2B5EF4-FFF2-40B4-BE49-F238E27FC236}">
              <a16:creationId xmlns:a16="http://schemas.microsoft.com/office/drawing/2014/main" id="{00000000-0008-0000-0000-00005D000000}"/>
            </a:ext>
          </a:extLst>
        </xdr:cNvPr>
        <xdr:cNvSpPr>
          <a:spLocks noChangeShapeType="1"/>
        </xdr:cNvSpPr>
      </xdr:nvSpPr>
      <xdr:spPr bwMode="auto">
        <a:xfrm flipH="1">
          <a:off x="2924175" y="388620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276225</xdr:colOff>
      <xdr:row>21</xdr:row>
      <xdr:rowOff>180975</xdr:rowOff>
    </xdr:from>
    <xdr:to>
      <xdr:col>5</xdr:col>
      <xdr:colOff>333375</xdr:colOff>
      <xdr:row>22</xdr:row>
      <xdr:rowOff>28575</xdr:rowOff>
    </xdr:to>
    <xdr:sp macro="" textlink="">
      <xdr:nvSpPr>
        <xdr:cNvPr id="94" name="Line 98">
          <a:extLst>
            <a:ext uri="{FF2B5EF4-FFF2-40B4-BE49-F238E27FC236}">
              <a16:creationId xmlns:a16="http://schemas.microsoft.com/office/drawing/2014/main" id="{00000000-0008-0000-0000-00005E000000}"/>
            </a:ext>
          </a:extLst>
        </xdr:cNvPr>
        <xdr:cNvSpPr>
          <a:spLocks noChangeShapeType="1"/>
        </xdr:cNvSpPr>
      </xdr:nvSpPr>
      <xdr:spPr bwMode="auto">
        <a:xfrm flipH="1">
          <a:off x="2933700" y="3971925"/>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25</xdr:row>
      <xdr:rowOff>76200</xdr:rowOff>
    </xdr:from>
    <xdr:to>
      <xdr:col>4</xdr:col>
      <xdr:colOff>209550</xdr:colOff>
      <xdr:row>26</xdr:row>
      <xdr:rowOff>161925</xdr:rowOff>
    </xdr:to>
    <xdr:sp macro="" textlink="">
      <xdr:nvSpPr>
        <xdr:cNvPr id="95" name="Line 99">
          <a:extLst>
            <a:ext uri="{FF2B5EF4-FFF2-40B4-BE49-F238E27FC236}">
              <a16:creationId xmlns:a16="http://schemas.microsoft.com/office/drawing/2014/main" id="{00000000-0008-0000-0000-00005F000000}"/>
            </a:ext>
          </a:extLst>
        </xdr:cNvPr>
        <xdr:cNvSpPr>
          <a:spLocks noChangeShapeType="1"/>
        </xdr:cNvSpPr>
      </xdr:nvSpPr>
      <xdr:spPr bwMode="auto">
        <a:xfrm flipV="1">
          <a:off x="2543175"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26</xdr:row>
      <xdr:rowOff>57150</xdr:rowOff>
    </xdr:from>
    <xdr:to>
      <xdr:col>3</xdr:col>
      <xdr:colOff>38100</xdr:colOff>
      <xdr:row>27</xdr:row>
      <xdr:rowOff>161925</xdr:rowOff>
    </xdr:to>
    <xdr:sp macro="" textlink="">
      <xdr:nvSpPr>
        <xdr:cNvPr id="96" name="Line 100">
          <a:extLst>
            <a:ext uri="{FF2B5EF4-FFF2-40B4-BE49-F238E27FC236}">
              <a16:creationId xmlns:a16="http://schemas.microsoft.com/office/drawing/2014/main" id="{00000000-0008-0000-0000-000060000000}"/>
            </a:ext>
          </a:extLst>
        </xdr:cNvPr>
        <xdr:cNvSpPr>
          <a:spLocks noChangeShapeType="1"/>
        </xdr:cNvSpPr>
      </xdr:nvSpPr>
      <xdr:spPr bwMode="auto">
        <a:xfrm flipV="1">
          <a:off x="2000250"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xdr:row>
      <xdr:rowOff>57150</xdr:rowOff>
    </xdr:from>
    <xdr:to>
      <xdr:col>2</xdr:col>
      <xdr:colOff>361950</xdr:colOff>
      <xdr:row>27</xdr:row>
      <xdr:rowOff>161925</xdr:rowOff>
    </xdr:to>
    <xdr:sp macro="" textlink="">
      <xdr:nvSpPr>
        <xdr:cNvPr id="97" name="Line 101">
          <a:extLst>
            <a:ext uri="{FF2B5EF4-FFF2-40B4-BE49-F238E27FC236}">
              <a16:creationId xmlns:a16="http://schemas.microsoft.com/office/drawing/2014/main" id="{00000000-0008-0000-0000-000061000000}"/>
            </a:ext>
          </a:extLst>
        </xdr:cNvPr>
        <xdr:cNvSpPr>
          <a:spLocks noChangeShapeType="1"/>
        </xdr:cNvSpPr>
      </xdr:nvSpPr>
      <xdr:spPr bwMode="auto">
        <a:xfrm>
          <a:off x="1743075"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25</xdr:row>
      <xdr:rowOff>76200</xdr:rowOff>
    </xdr:from>
    <xdr:to>
      <xdr:col>5</xdr:col>
      <xdr:colOff>171450</xdr:colOff>
      <xdr:row>25</xdr:row>
      <xdr:rowOff>76200</xdr:rowOff>
    </xdr:to>
    <xdr:sp macro="" textlink="">
      <xdr:nvSpPr>
        <xdr:cNvPr id="98" name="Line 102">
          <a:extLst>
            <a:ext uri="{FF2B5EF4-FFF2-40B4-BE49-F238E27FC236}">
              <a16:creationId xmlns:a16="http://schemas.microsoft.com/office/drawing/2014/main" id="{00000000-0008-0000-0000-000062000000}"/>
            </a:ext>
          </a:extLst>
        </xdr:cNvPr>
        <xdr:cNvSpPr>
          <a:spLocks noChangeShapeType="1"/>
        </xdr:cNvSpPr>
      </xdr:nvSpPr>
      <xdr:spPr bwMode="auto">
        <a:xfrm flipH="1">
          <a:off x="2552700" y="4648200"/>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26</xdr:row>
      <xdr:rowOff>19050</xdr:rowOff>
    </xdr:from>
    <xdr:to>
      <xdr:col>5</xdr:col>
      <xdr:colOff>161925</xdr:colOff>
      <xdr:row>26</xdr:row>
      <xdr:rowOff>19050</xdr:rowOff>
    </xdr:to>
    <xdr:sp macro="" textlink="">
      <xdr:nvSpPr>
        <xdr:cNvPr id="99" name="Line 103">
          <a:extLst>
            <a:ext uri="{FF2B5EF4-FFF2-40B4-BE49-F238E27FC236}">
              <a16:creationId xmlns:a16="http://schemas.microsoft.com/office/drawing/2014/main" id="{00000000-0008-0000-0000-000063000000}"/>
            </a:ext>
          </a:extLst>
        </xdr:cNvPr>
        <xdr:cNvSpPr>
          <a:spLocks noChangeShapeType="1"/>
        </xdr:cNvSpPr>
      </xdr:nvSpPr>
      <xdr:spPr bwMode="auto">
        <a:xfrm flipH="1">
          <a:off x="2552700" y="4781550"/>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26</xdr:row>
      <xdr:rowOff>161925</xdr:rowOff>
    </xdr:from>
    <xdr:to>
      <xdr:col>5</xdr:col>
      <xdr:colOff>171450</xdr:colOff>
      <xdr:row>26</xdr:row>
      <xdr:rowOff>161925</xdr:rowOff>
    </xdr:to>
    <xdr:sp macro="" textlink="">
      <xdr:nvSpPr>
        <xdr:cNvPr id="100" name="Line 104">
          <a:extLst>
            <a:ext uri="{FF2B5EF4-FFF2-40B4-BE49-F238E27FC236}">
              <a16:creationId xmlns:a16="http://schemas.microsoft.com/office/drawing/2014/main" id="{00000000-0008-0000-0000-000064000000}"/>
            </a:ext>
          </a:extLst>
        </xdr:cNvPr>
        <xdr:cNvSpPr>
          <a:spLocks noChangeShapeType="1"/>
        </xdr:cNvSpPr>
      </xdr:nvSpPr>
      <xdr:spPr bwMode="auto">
        <a:xfrm flipH="1">
          <a:off x="2552700" y="4924425"/>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xdr:row>
      <xdr:rowOff>57150</xdr:rowOff>
    </xdr:from>
    <xdr:to>
      <xdr:col>3</xdr:col>
      <xdr:colOff>38100</xdr:colOff>
      <xdr:row>26</xdr:row>
      <xdr:rowOff>57150</xdr:rowOff>
    </xdr:to>
    <xdr:sp macro="" textlink="">
      <xdr:nvSpPr>
        <xdr:cNvPr id="101" name="Line 105">
          <a:extLst>
            <a:ext uri="{FF2B5EF4-FFF2-40B4-BE49-F238E27FC236}">
              <a16:creationId xmlns:a16="http://schemas.microsoft.com/office/drawing/2014/main" id="{00000000-0008-0000-0000-000065000000}"/>
            </a:ext>
          </a:extLst>
        </xdr:cNvPr>
        <xdr:cNvSpPr>
          <a:spLocks noChangeShapeType="1"/>
        </xdr:cNvSpPr>
      </xdr:nvSpPr>
      <xdr:spPr bwMode="auto">
        <a:xfrm>
          <a:off x="1743075" y="4819650"/>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27</xdr:row>
      <xdr:rowOff>0</xdr:rowOff>
    </xdr:from>
    <xdr:to>
      <xdr:col>3</xdr:col>
      <xdr:colOff>47625</xdr:colOff>
      <xdr:row>27</xdr:row>
      <xdr:rowOff>0</xdr:rowOff>
    </xdr:to>
    <xdr:sp macro="" textlink="">
      <xdr:nvSpPr>
        <xdr:cNvPr id="102" name="Line 106">
          <a:extLst>
            <a:ext uri="{FF2B5EF4-FFF2-40B4-BE49-F238E27FC236}">
              <a16:creationId xmlns:a16="http://schemas.microsoft.com/office/drawing/2014/main" id="{00000000-0008-0000-0000-000066000000}"/>
            </a:ext>
          </a:extLst>
        </xdr:cNvPr>
        <xdr:cNvSpPr>
          <a:spLocks noChangeShapeType="1"/>
        </xdr:cNvSpPr>
      </xdr:nvSpPr>
      <xdr:spPr bwMode="auto">
        <a:xfrm>
          <a:off x="1743075" y="4962525"/>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27</xdr:row>
      <xdr:rowOff>161925</xdr:rowOff>
    </xdr:from>
    <xdr:to>
      <xdr:col>3</xdr:col>
      <xdr:colOff>38100</xdr:colOff>
      <xdr:row>27</xdr:row>
      <xdr:rowOff>161925</xdr:rowOff>
    </xdr:to>
    <xdr:sp macro="" textlink="">
      <xdr:nvSpPr>
        <xdr:cNvPr id="103" name="Line 107">
          <a:extLst>
            <a:ext uri="{FF2B5EF4-FFF2-40B4-BE49-F238E27FC236}">
              <a16:creationId xmlns:a16="http://schemas.microsoft.com/office/drawing/2014/main" id="{00000000-0008-0000-0000-000067000000}"/>
            </a:ext>
          </a:extLst>
        </xdr:cNvPr>
        <xdr:cNvSpPr>
          <a:spLocks noChangeShapeType="1"/>
        </xdr:cNvSpPr>
      </xdr:nvSpPr>
      <xdr:spPr bwMode="auto">
        <a:xfrm>
          <a:off x="1743075" y="5124450"/>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28</xdr:row>
      <xdr:rowOff>104775</xdr:rowOff>
    </xdr:from>
    <xdr:to>
      <xdr:col>2</xdr:col>
      <xdr:colOff>352425</xdr:colOff>
      <xdr:row>30</xdr:row>
      <xdr:rowOff>19050</xdr:rowOff>
    </xdr:to>
    <xdr:sp macro="" textlink="">
      <xdr:nvSpPr>
        <xdr:cNvPr id="104" name="Line 108">
          <a:extLst>
            <a:ext uri="{FF2B5EF4-FFF2-40B4-BE49-F238E27FC236}">
              <a16:creationId xmlns:a16="http://schemas.microsoft.com/office/drawing/2014/main" id="{00000000-0008-0000-0000-000068000000}"/>
            </a:ext>
          </a:extLst>
        </xdr:cNvPr>
        <xdr:cNvSpPr>
          <a:spLocks noChangeShapeType="1"/>
        </xdr:cNvSpPr>
      </xdr:nvSpPr>
      <xdr:spPr bwMode="auto">
        <a:xfrm>
          <a:off x="1733550" y="52578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28</xdr:row>
      <xdr:rowOff>104775</xdr:rowOff>
    </xdr:from>
    <xdr:to>
      <xdr:col>5</xdr:col>
      <xdr:colOff>171450</xdr:colOff>
      <xdr:row>30</xdr:row>
      <xdr:rowOff>19050</xdr:rowOff>
    </xdr:to>
    <xdr:sp macro="" textlink="">
      <xdr:nvSpPr>
        <xdr:cNvPr id="105" name="Line 109">
          <a:extLst>
            <a:ext uri="{FF2B5EF4-FFF2-40B4-BE49-F238E27FC236}">
              <a16:creationId xmlns:a16="http://schemas.microsoft.com/office/drawing/2014/main" id="{00000000-0008-0000-0000-000069000000}"/>
            </a:ext>
          </a:extLst>
        </xdr:cNvPr>
        <xdr:cNvSpPr>
          <a:spLocks noChangeShapeType="1"/>
        </xdr:cNvSpPr>
      </xdr:nvSpPr>
      <xdr:spPr bwMode="auto">
        <a:xfrm flipV="1">
          <a:off x="2828925" y="52578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32</xdr:row>
      <xdr:rowOff>95250</xdr:rowOff>
    </xdr:from>
    <xdr:to>
      <xdr:col>2</xdr:col>
      <xdr:colOff>381000</xdr:colOff>
      <xdr:row>32</xdr:row>
      <xdr:rowOff>180975</xdr:rowOff>
    </xdr:to>
    <xdr:sp macro="" textlink="">
      <xdr:nvSpPr>
        <xdr:cNvPr id="106" name="Line 110">
          <a:extLst>
            <a:ext uri="{FF2B5EF4-FFF2-40B4-BE49-F238E27FC236}">
              <a16:creationId xmlns:a16="http://schemas.microsoft.com/office/drawing/2014/main" id="{00000000-0008-0000-0000-00006A000000}"/>
            </a:ext>
          </a:extLst>
        </xdr:cNvPr>
        <xdr:cNvSpPr>
          <a:spLocks noChangeShapeType="1"/>
        </xdr:cNvSpPr>
      </xdr:nvSpPr>
      <xdr:spPr bwMode="auto">
        <a:xfrm>
          <a:off x="1666875" y="6010275"/>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36</xdr:row>
      <xdr:rowOff>171450</xdr:rowOff>
    </xdr:from>
    <xdr:to>
      <xdr:col>2</xdr:col>
      <xdr:colOff>304800</xdr:colOff>
      <xdr:row>37</xdr:row>
      <xdr:rowOff>38100</xdr:rowOff>
    </xdr:to>
    <xdr:sp macro="" textlink="">
      <xdr:nvSpPr>
        <xdr:cNvPr id="107" name="Line 111">
          <a:extLst>
            <a:ext uri="{FF2B5EF4-FFF2-40B4-BE49-F238E27FC236}">
              <a16:creationId xmlns:a16="http://schemas.microsoft.com/office/drawing/2014/main" id="{00000000-0008-0000-0000-00006B000000}"/>
            </a:ext>
          </a:extLst>
        </xdr:cNvPr>
        <xdr:cNvSpPr>
          <a:spLocks noChangeShapeType="1"/>
        </xdr:cNvSpPr>
      </xdr:nvSpPr>
      <xdr:spPr bwMode="auto">
        <a:xfrm flipH="1">
          <a:off x="1619250" y="6877050"/>
          <a:ext cx="6667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35</xdr:row>
      <xdr:rowOff>171450</xdr:rowOff>
    </xdr:from>
    <xdr:to>
      <xdr:col>2</xdr:col>
      <xdr:colOff>304800</xdr:colOff>
      <xdr:row>36</xdr:row>
      <xdr:rowOff>57150</xdr:rowOff>
    </xdr:to>
    <xdr:sp macro="" textlink="">
      <xdr:nvSpPr>
        <xdr:cNvPr id="108" name="Line 112">
          <a:extLst>
            <a:ext uri="{FF2B5EF4-FFF2-40B4-BE49-F238E27FC236}">
              <a16:creationId xmlns:a16="http://schemas.microsoft.com/office/drawing/2014/main" id="{00000000-0008-0000-0000-00006C000000}"/>
            </a:ext>
          </a:extLst>
        </xdr:cNvPr>
        <xdr:cNvSpPr>
          <a:spLocks noChangeShapeType="1"/>
        </xdr:cNvSpPr>
      </xdr:nvSpPr>
      <xdr:spPr bwMode="auto">
        <a:xfrm flipH="1">
          <a:off x="1609725" y="6677025"/>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35</xdr:row>
      <xdr:rowOff>161925</xdr:rowOff>
    </xdr:from>
    <xdr:to>
      <xdr:col>2</xdr:col>
      <xdr:colOff>400050</xdr:colOff>
      <xdr:row>36</xdr:row>
      <xdr:rowOff>47625</xdr:rowOff>
    </xdr:to>
    <xdr:sp macro="" textlink="">
      <xdr:nvSpPr>
        <xdr:cNvPr id="109" name="Line 113">
          <a:extLst>
            <a:ext uri="{FF2B5EF4-FFF2-40B4-BE49-F238E27FC236}">
              <a16:creationId xmlns:a16="http://schemas.microsoft.com/office/drawing/2014/main" id="{00000000-0008-0000-0000-00006D000000}"/>
            </a:ext>
          </a:extLst>
        </xdr:cNvPr>
        <xdr:cNvSpPr>
          <a:spLocks noChangeShapeType="1"/>
        </xdr:cNvSpPr>
      </xdr:nvSpPr>
      <xdr:spPr bwMode="auto">
        <a:xfrm flipH="1">
          <a:off x="1714500" y="6667500"/>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35</xdr:row>
      <xdr:rowOff>161925</xdr:rowOff>
    </xdr:from>
    <xdr:to>
      <xdr:col>3</xdr:col>
      <xdr:colOff>76200</xdr:colOff>
      <xdr:row>36</xdr:row>
      <xdr:rowOff>47625</xdr:rowOff>
    </xdr:to>
    <xdr:sp macro="" textlink="">
      <xdr:nvSpPr>
        <xdr:cNvPr id="110" name="Line 114">
          <a:extLst>
            <a:ext uri="{FF2B5EF4-FFF2-40B4-BE49-F238E27FC236}">
              <a16:creationId xmlns:a16="http://schemas.microsoft.com/office/drawing/2014/main" id="{00000000-0008-0000-0000-00006E000000}"/>
            </a:ext>
          </a:extLst>
        </xdr:cNvPr>
        <xdr:cNvSpPr>
          <a:spLocks noChangeShapeType="1"/>
        </xdr:cNvSpPr>
      </xdr:nvSpPr>
      <xdr:spPr bwMode="auto">
        <a:xfrm flipH="1">
          <a:off x="1971675" y="6667500"/>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35</xdr:row>
      <xdr:rowOff>161925</xdr:rowOff>
    </xdr:from>
    <xdr:to>
      <xdr:col>4</xdr:col>
      <xdr:colOff>247650</xdr:colOff>
      <xdr:row>36</xdr:row>
      <xdr:rowOff>47625</xdr:rowOff>
    </xdr:to>
    <xdr:sp macro="" textlink="">
      <xdr:nvSpPr>
        <xdr:cNvPr id="111" name="Line 115">
          <a:extLst>
            <a:ext uri="{FF2B5EF4-FFF2-40B4-BE49-F238E27FC236}">
              <a16:creationId xmlns:a16="http://schemas.microsoft.com/office/drawing/2014/main" id="{00000000-0008-0000-0000-00006F000000}"/>
            </a:ext>
          </a:extLst>
        </xdr:cNvPr>
        <xdr:cNvSpPr>
          <a:spLocks noChangeShapeType="1"/>
        </xdr:cNvSpPr>
      </xdr:nvSpPr>
      <xdr:spPr bwMode="auto">
        <a:xfrm flipH="1">
          <a:off x="2514600" y="6667500"/>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35</xdr:row>
      <xdr:rowOff>161925</xdr:rowOff>
    </xdr:from>
    <xdr:to>
      <xdr:col>5</xdr:col>
      <xdr:colOff>190500</xdr:colOff>
      <xdr:row>36</xdr:row>
      <xdr:rowOff>47625</xdr:rowOff>
    </xdr:to>
    <xdr:sp macro="" textlink="">
      <xdr:nvSpPr>
        <xdr:cNvPr id="112" name="Line 116">
          <a:extLst>
            <a:ext uri="{FF2B5EF4-FFF2-40B4-BE49-F238E27FC236}">
              <a16:creationId xmlns:a16="http://schemas.microsoft.com/office/drawing/2014/main" id="{00000000-0008-0000-0000-000070000000}"/>
            </a:ext>
          </a:extLst>
        </xdr:cNvPr>
        <xdr:cNvSpPr>
          <a:spLocks noChangeShapeType="1"/>
        </xdr:cNvSpPr>
      </xdr:nvSpPr>
      <xdr:spPr bwMode="auto">
        <a:xfrm flipH="1">
          <a:off x="2781300" y="6667500"/>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35</xdr:row>
      <xdr:rowOff>161925</xdr:rowOff>
    </xdr:from>
    <xdr:to>
      <xdr:col>5</xdr:col>
      <xdr:colOff>295275</xdr:colOff>
      <xdr:row>36</xdr:row>
      <xdr:rowOff>47625</xdr:rowOff>
    </xdr:to>
    <xdr:sp macro="" textlink="">
      <xdr:nvSpPr>
        <xdr:cNvPr id="113" name="Line 117">
          <a:extLst>
            <a:ext uri="{FF2B5EF4-FFF2-40B4-BE49-F238E27FC236}">
              <a16:creationId xmlns:a16="http://schemas.microsoft.com/office/drawing/2014/main" id="{00000000-0008-0000-0000-000071000000}"/>
            </a:ext>
          </a:extLst>
        </xdr:cNvPr>
        <xdr:cNvSpPr>
          <a:spLocks noChangeShapeType="1"/>
        </xdr:cNvSpPr>
      </xdr:nvSpPr>
      <xdr:spPr bwMode="auto">
        <a:xfrm flipH="1">
          <a:off x="2895600" y="6667500"/>
          <a:ext cx="571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36</xdr:row>
      <xdr:rowOff>180975</xdr:rowOff>
    </xdr:from>
    <xdr:to>
      <xdr:col>5</xdr:col>
      <xdr:colOff>295275</xdr:colOff>
      <xdr:row>37</xdr:row>
      <xdr:rowOff>38100</xdr:rowOff>
    </xdr:to>
    <xdr:sp macro="" textlink="">
      <xdr:nvSpPr>
        <xdr:cNvPr id="114" name="Line 118">
          <a:extLst>
            <a:ext uri="{FF2B5EF4-FFF2-40B4-BE49-F238E27FC236}">
              <a16:creationId xmlns:a16="http://schemas.microsoft.com/office/drawing/2014/main" id="{00000000-0008-0000-0000-000072000000}"/>
            </a:ext>
          </a:extLst>
        </xdr:cNvPr>
        <xdr:cNvSpPr>
          <a:spLocks noChangeShapeType="1"/>
        </xdr:cNvSpPr>
      </xdr:nvSpPr>
      <xdr:spPr bwMode="auto">
        <a:xfrm flipH="1">
          <a:off x="2895600" y="6886575"/>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25</xdr:row>
      <xdr:rowOff>76200</xdr:rowOff>
    </xdr:from>
    <xdr:to>
      <xdr:col>4</xdr:col>
      <xdr:colOff>247650</xdr:colOff>
      <xdr:row>26</xdr:row>
      <xdr:rowOff>161925</xdr:rowOff>
    </xdr:to>
    <xdr:sp macro="" textlink="">
      <xdr:nvSpPr>
        <xdr:cNvPr id="115" name="Line 119">
          <a:extLst>
            <a:ext uri="{FF2B5EF4-FFF2-40B4-BE49-F238E27FC236}">
              <a16:creationId xmlns:a16="http://schemas.microsoft.com/office/drawing/2014/main" id="{00000000-0008-0000-0000-000073000000}"/>
            </a:ext>
          </a:extLst>
        </xdr:cNvPr>
        <xdr:cNvSpPr>
          <a:spLocks noChangeShapeType="1"/>
        </xdr:cNvSpPr>
      </xdr:nvSpPr>
      <xdr:spPr bwMode="auto">
        <a:xfrm>
          <a:off x="2581275"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25</xdr:row>
      <xdr:rowOff>76200</xdr:rowOff>
    </xdr:from>
    <xdr:to>
      <xdr:col>4</xdr:col>
      <xdr:colOff>276225</xdr:colOff>
      <xdr:row>26</xdr:row>
      <xdr:rowOff>161925</xdr:rowOff>
    </xdr:to>
    <xdr:sp macro="" textlink="">
      <xdr:nvSpPr>
        <xdr:cNvPr id="116" name="Line 120">
          <a:extLst>
            <a:ext uri="{FF2B5EF4-FFF2-40B4-BE49-F238E27FC236}">
              <a16:creationId xmlns:a16="http://schemas.microsoft.com/office/drawing/2014/main" id="{00000000-0008-0000-0000-000074000000}"/>
            </a:ext>
          </a:extLst>
        </xdr:cNvPr>
        <xdr:cNvSpPr>
          <a:spLocks noChangeShapeType="1"/>
        </xdr:cNvSpPr>
      </xdr:nvSpPr>
      <xdr:spPr bwMode="auto">
        <a:xfrm>
          <a:off x="2609850"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25</xdr:row>
      <xdr:rowOff>76200</xdr:rowOff>
    </xdr:from>
    <xdr:to>
      <xdr:col>4</xdr:col>
      <xdr:colOff>314325</xdr:colOff>
      <xdr:row>26</xdr:row>
      <xdr:rowOff>161925</xdr:rowOff>
    </xdr:to>
    <xdr:sp macro="" textlink="">
      <xdr:nvSpPr>
        <xdr:cNvPr id="117" name="Line 121">
          <a:extLst>
            <a:ext uri="{FF2B5EF4-FFF2-40B4-BE49-F238E27FC236}">
              <a16:creationId xmlns:a16="http://schemas.microsoft.com/office/drawing/2014/main" id="{00000000-0008-0000-0000-000075000000}"/>
            </a:ext>
          </a:extLst>
        </xdr:cNvPr>
        <xdr:cNvSpPr>
          <a:spLocks noChangeShapeType="1"/>
        </xdr:cNvSpPr>
      </xdr:nvSpPr>
      <xdr:spPr bwMode="auto">
        <a:xfrm>
          <a:off x="2647950"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25</xdr:row>
      <xdr:rowOff>76200</xdr:rowOff>
    </xdr:from>
    <xdr:to>
      <xdr:col>5</xdr:col>
      <xdr:colOff>28575</xdr:colOff>
      <xdr:row>26</xdr:row>
      <xdr:rowOff>161925</xdr:rowOff>
    </xdr:to>
    <xdr:sp macro="" textlink="">
      <xdr:nvSpPr>
        <xdr:cNvPr id="118" name="Line 122">
          <a:extLst>
            <a:ext uri="{FF2B5EF4-FFF2-40B4-BE49-F238E27FC236}">
              <a16:creationId xmlns:a16="http://schemas.microsoft.com/office/drawing/2014/main" id="{00000000-0008-0000-0000-000076000000}"/>
            </a:ext>
          </a:extLst>
        </xdr:cNvPr>
        <xdr:cNvSpPr>
          <a:spLocks noChangeShapeType="1"/>
        </xdr:cNvSpPr>
      </xdr:nvSpPr>
      <xdr:spPr bwMode="auto">
        <a:xfrm>
          <a:off x="2686050"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xdr:colOff>
      <xdr:row>25</xdr:row>
      <xdr:rowOff>76200</xdr:rowOff>
    </xdr:from>
    <xdr:to>
      <xdr:col>5</xdr:col>
      <xdr:colOff>57150</xdr:colOff>
      <xdr:row>26</xdr:row>
      <xdr:rowOff>161925</xdr:rowOff>
    </xdr:to>
    <xdr:sp macro="" textlink="">
      <xdr:nvSpPr>
        <xdr:cNvPr id="119" name="Line 123">
          <a:extLst>
            <a:ext uri="{FF2B5EF4-FFF2-40B4-BE49-F238E27FC236}">
              <a16:creationId xmlns:a16="http://schemas.microsoft.com/office/drawing/2014/main" id="{00000000-0008-0000-0000-000077000000}"/>
            </a:ext>
          </a:extLst>
        </xdr:cNvPr>
        <xdr:cNvSpPr>
          <a:spLocks noChangeShapeType="1"/>
        </xdr:cNvSpPr>
      </xdr:nvSpPr>
      <xdr:spPr bwMode="auto">
        <a:xfrm>
          <a:off x="2714625"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25</xdr:row>
      <xdr:rowOff>76200</xdr:rowOff>
    </xdr:from>
    <xdr:to>
      <xdr:col>5</xdr:col>
      <xdr:colOff>85725</xdr:colOff>
      <xdr:row>26</xdr:row>
      <xdr:rowOff>161925</xdr:rowOff>
    </xdr:to>
    <xdr:sp macro="" textlink="">
      <xdr:nvSpPr>
        <xdr:cNvPr id="120" name="Line 124">
          <a:extLst>
            <a:ext uri="{FF2B5EF4-FFF2-40B4-BE49-F238E27FC236}">
              <a16:creationId xmlns:a16="http://schemas.microsoft.com/office/drawing/2014/main" id="{00000000-0008-0000-0000-000078000000}"/>
            </a:ext>
          </a:extLst>
        </xdr:cNvPr>
        <xdr:cNvSpPr>
          <a:spLocks noChangeShapeType="1"/>
        </xdr:cNvSpPr>
      </xdr:nvSpPr>
      <xdr:spPr bwMode="auto">
        <a:xfrm>
          <a:off x="2743200"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25</xdr:row>
      <xdr:rowOff>76200</xdr:rowOff>
    </xdr:from>
    <xdr:to>
      <xdr:col>5</xdr:col>
      <xdr:colOff>114300</xdr:colOff>
      <xdr:row>26</xdr:row>
      <xdr:rowOff>161925</xdr:rowOff>
    </xdr:to>
    <xdr:sp macro="" textlink="">
      <xdr:nvSpPr>
        <xdr:cNvPr id="121" name="Line 125">
          <a:extLst>
            <a:ext uri="{FF2B5EF4-FFF2-40B4-BE49-F238E27FC236}">
              <a16:creationId xmlns:a16="http://schemas.microsoft.com/office/drawing/2014/main" id="{00000000-0008-0000-0000-000079000000}"/>
            </a:ext>
          </a:extLst>
        </xdr:cNvPr>
        <xdr:cNvSpPr>
          <a:spLocks noChangeShapeType="1"/>
        </xdr:cNvSpPr>
      </xdr:nvSpPr>
      <xdr:spPr bwMode="auto">
        <a:xfrm>
          <a:off x="2771775"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25</xdr:row>
      <xdr:rowOff>76200</xdr:rowOff>
    </xdr:from>
    <xdr:to>
      <xdr:col>5</xdr:col>
      <xdr:colOff>142875</xdr:colOff>
      <xdr:row>26</xdr:row>
      <xdr:rowOff>161925</xdr:rowOff>
    </xdr:to>
    <xdr:sp macro="" textlink="">
      <xdr:nvSpPr>
        <xdr:cNvPr id="122" name="Line 126">
          <a:extLst>
            <a:ext uri="{FF2B5EF4-FFF2-40B4-BE49-F238E27FC236}">
              <a16:creationId xmlns:a16="http://schemas.microsoft.com/office/drawing/2014/main" id="{00000000-0008-0000-0000-00007A000000}"/>
            </a:ext>
          </a:extLst>
        </xdr:cNvPr>
        <xdr:cNvSpPr>
          <a:spLocks noChangeShapeType="1"/>
        </xdr:cNvSpPr>
      </xdr:nvSpPr>
      <xdr:spPr bwMode="auto">
        <a:xfrm>
          <a:off x="2800350" y="46482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26</xdr:row>
      <xdr:rowOff>57150</xdr:rowOff>
    </xdr:from>
    <xdr:to>
      <xdr:col>2</xdr:col>
      <xdr:colOff>390525</xdr:colOff>
      <xdr:row>27</xdr:row>
      <xdr:rowOff>161925</xdr:rowOff>
    </xdr:to>
    <xdr:sp macro="" textlink="">
      <xdr:nvSpPr>
        <xdr:cNvPr id="123" name="Line 127">
          <a:extLst>
            <a:ext uri="{FF2B5EF4-FFF2-40B4-BE49-F238E27FC236}">
              <a16:creationId xmlns:a16="http://schemas.microsoft.com/office/drawing/2014/main" id="{00000000-0008-0000-0000-00007B000000}"/>
            </a:ext>
          </a:extLst>
        </xdr:cNvPr>
        <xdr:cNvSpPr>
          <a:spLocks noChangeShapeType="1"/>
        </xdr:cNvSpPr>
      </xdr:nvSpPr>
      <xdr:spPr bwMode="auto">
        <a:xfrm>
          <a:off x="1771650"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26</xdr:row>
      <xdr:rowOff>57150</xdr:rowOff>
    </xdr:from>
    <xdr:to>
      <xdr:col>2</xdr:col>
      <xdr:colOff>419100</xdr:colOff>
      <xdr:row>27</xdr:row>
      <xdr:rowOff>161925</xdr:rowOff>
    </xdr:to>
    <xdr:sp macro="" textlink="">
      <xdr:nvSpPr>
        <xdr:cNvPr id="124" name="Line 128">
          <a:extLst>
            <a:ext uri="{FF2B5EF4-FFF2-40B4-BE49-F238E27FC236}">
              <a16:creationId xmlns:a16="http://schemas.microsoft.com/office/drawing/2014/main" id="{00000000-0008-0000-0000-00007C000000}"/>
            </a:ext>
          </a:extLst>
        </xdr:cNvPr>
        <xdr:cNvSpPr>
          <a:spLocks noChangeShapeType="1"/>
        </xdr:cNvSpPr>
      </xdr:nvSpPr>
      <xdr:spPr bwMode="auto">
        <a:xfrm>
          <a:off x="1800225"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26</xdr:row>
      <xdr:rowOff>57150</xdr:rowOff>
    </xdr:from>
    <xdr:to>
      <xdr:col>2</xdr:col>
      <xdr:colOff>447675</xdr:colOff>
      <xdr:row>27</xdr:row>
      <xdr:rowOff>161925</xdr:rowOff>
    </xdr:to>
    <xdr:sp macro="" textlink="">
      <xdr:nvSpPr>
        <xdr:cNvPr id="125" name="Line 129">
          <a:extLst>
            <a:ext uri="{FF2B5EF4-FFF2-40B4-BE49-F238E27FC236}">
              <a16:creationId xmlns:a16="http://schemas.microsoft.com/office/drawing/2014/main" id="{00000000-0008-0000-0000-00007D000000}"/>
            </a:ext>
          </a:extLst>
        </xdr:cNvPr>
        <xdr:cNvSpPr>
          <a:spLocks noChangeShapeType="1"/>
        </xdr:cNvSpPr>
      </xdr:nvSpPr>
      <xdr:spPr bwMode="auto">
        <a:xfrm>
          <a:off x="1828800"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476250</xdr:colOff>
      <xdr:row>26</xdr:row>
      <xdr:rowOff>57150</xdr:rowOff>
    </xdr:from>
    <xdr:to>
      <xdr:col>2</xdr:col>
      <xdr:colOff>476250</xdr:colOff>
      <xdr:row>27</xdr:row>
      <xdr:rowOff>161925</xdr:rowOff>
    </xdr:to>
    <xdr:sp macro="" textlink="">
      <xdr:nvSpPr>
        <xdr:cNvPr id="126" name="Line 130">
          <a:extLst>
            <a:ext uri="{FF2B5EF4-FFF2-40B4-BE49-F238E27FC236}">
              <a16:creationId xmlns:a16="http://schemas.microsoft.com/office/drawing/2014/main" id="{00000000-0008-0000-0000-00007E000000}"/>
            </a:ext>
          </a:extLst>
        </xdr:cNvPr>
        <xdr:cNvSpPr>
          <a:spLocks noChangeShapeType="1"/>
        </xdr:cNvSpPr>
      </xdr:nvSpPr>
      <xdr:spPr bwMode="auto">
        <a:xfrm>
          <a:off x="1857375"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26</xdr:row>
      <xdr:rowOff>57150</xdr:rowOff>
    </xdr:from>
    <xdr:to>
      <xdr:col>2</xdr:col>
      <xdr:colOff>542925</xdr:colOff>
      <xdr:row>27</xdr:row>
      <xdr:rowOff>161925</xdr:rowOff>
    </xdr:to>
    <xdr:sp macro="" textlink="">
      <xdr:nvSpPr>
        <xdr:cNvPr id="127" name="Line 131">
          <a:extLst>
            <a:ext uri="{FF2B5EF4-FFF2-40B4-BE49-F238E27FC236}">
              <a16:creationId xmlns:a16="http://schemas.microsoft.com/office/drawing/2014/main" id="{00000000-0008-0000-0000-00007F000000}"/>
            </a:ext>
          </a:extLst>
        </xdr:cNvPr>
        <xdr:cNvSpPr>
          <a:spLocks noChangeShapeType="1"/>
        </xdr:cNvSpPr>
      </xdr:nvSpPr>
      <xdr:spPr bwMode="auto">
        <a:xfrm>
          <a:off x="1924050"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26</xdr:row>
      <xdr:rowOff>57150</xdr:rowOff>
    </xdr:from>
    <xdr:to>
      <xdr:col>3</xdr:col>
      <xdr:colOff>0</xdr:colOff>
      <xdr:row>27</xdr:row>
      <xdr:rowOff>152400</xdr:rowOff>
    </xdr:to>
    <xdr:sp macro="" textlink="">
      <xdr:nvSpPr>
        <xdr:cNvPr id="128" name="Line 132">
          <a:extLst>
            <a:ext uri="{FF2B5EF4-FFF2-40B4-BE49-F238E27FC236}">
              <a16:creationId xmlns:a16="http://schemas.microsoft.com/office/drawing/2014/main" id="{00000000-0008-0000-0000-000080000000}"/>
            </a:ext>
          </a:extLst>
        </xdr:cNvPr>
        <xdr:cNvSpPr>
          <a:spLocks noChangeShapeType="1"/>
        </xdr:cNvSpPr>
      </xdr:nvSpPr>
      <xdr:spPr bwMode="auto">
        <a:xfrm>
          <a:off x="1962150" y="481965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30</xdr:row>
      <xdr:rowOff>0</xdr:rowOff>
    </xdr:from>
    <xdr:to>
      <xdr:col>5</xdr:col>
      <xdr:colOff>180975</xdr:colOff>
      <xdr:row>30</xdr:row>
      <xdr:rowOff>0</xdr:rowOff>
    </xdr:to>
    <xdr:sp macro="" textlink="">
      <xdr:nvSpPr>
        <xdr:cNvPr id="129" name="Line 133">
          <a:extLst>
            <a:ext uri="{FF2B5EF4-FFF2-40B4-BE49-F238E27FC236}">
              <a16:creationId xmlns:a16="http://schemas.microsoft.com/office/drawing/2014/main" id="{00000000-0008-0000-0000-000081000000}"/>
            </a:ext>
          </a:extLst>
        </xdr:cNvPr>
        <xdr:cNvSpPr>
          <a:spLocks noChangeShapeType="1"/>
        </xdr:cNvSpPr>
      </xdr:nvSpPr>
      <xdr:spPr bwMode="auto">
        <a:xfrm>
          <a:off x="1724025" y="5534025"/>
          <a:ext cx="1114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28</xdr:row>
      <xdr:rowOff>104775</xdr:rowOff>
    </xdr:from>
    <xdr:to>
      <xdr:col>2</xdr:col>
      <xdr:colOff>390525</xdr:colOff>
      <xdr:row>30</xdr:row>
      <xdr:rowOff>0</xdr:rowOff>
    </xdr:to>
    <xdr:sp macro="" textlink="">
      <xdr:nvSpPr>
        <xdr:cNvPr id="130" name="Line 134">
          <a:extLst>
            <a:ext uri="{FF2B5EF4-FFF2-40B4-BE49-F238E27FC236}">
              <a16:creationId xmlns:a16="http://schemas.microsoft.com/office/drawing/2014/main" id="{00000000-0008-0000-0000-000082000000}"/>
            </a:ext>
          </a:extLst>
        </xdr:cNvPr>
        <xdr:cNvSpPr>
          <a:spLocks noChangeShapeType="1"/>
        </xdr:cNvSpPr>
      </xdr:nvSpPr>
      <xdr:spPr bwMode="auto">
        <a:xfrm>
          <a:off x="17716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28</xdr:row>
      <xdr:rowOff>104775</xdr:rowOff>
    </xdr:from>
    <xdr:to>
      <xdr:col>2</xdr:col>
      <xdr:colOff>419100</xdr:colOff>
      <xdr:row>29</xdr:row>
      <xdr:rowOff>190500</xdr:rowOff>
    </xdr:to>
    <xdr:sp macro="" textlink="">
      <xdr:nvSpPr>
        <xdr:cNvPr id="131" name="Line 135">
          <a:extLst>
            <a:ext uri="{FF2B5EF4-FFF2-40B4-BE49-F238E27FC236}">
              <a16:creationId xmlns:a16="http://schemas.microsoft.com/office/drawing/2014/main" id="{00000000-0008-0000-0000-000083000000}"/>
            </a:ext>
          </a:extLst>
        </xdr:cNvPr>
        <xdr:cNvSpPr>
          <a:spLocks noChangeShapeType="1"/>
        </xdr:cNvSpPr>
      </xdr:nvSpPr>
      <xdr:spPr bwMode="auto">
        <a:xfrm>
          <a:off x="18002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28</xdr:row>
      <xdr:rowOff>104775</xdr:rowOff>
    </xdr:from>
    <xdr:to>
      <xdr:col>2</xdr:col>
      <xdr:colOff>457200</xdr:colOff>
      <xdr:row>30</xdr:row>
      <xdr:rowOff>0</xdr:rowOff>
    </xdr:to>
    <xdr:sp macro="" textlink="">
      <xdr:nvSpPr>
        <xdr:cNvPr id="132" name="Line 136">
          <a:extLst>
            <a:ext uri="{FF2B5EF4-FFF2-40B4-BE49-F238E27FC236}">
              <a16:creationId xmlns:a16="http://schemas.microsoft.com/office/drawing/2014/main" id="{00000000-0008-0000-0000-000084000000}"/>
            </a:ext>
          </a:extLst>
        </xdr:cNvPr>
        <xdr:cNvSpPr>
          <a:spLocks noChangeShapeType="1"/>
        </xdr:cNvSpPr>
      </xdr:nvSpPr>
      <xdr:spPr bwMode="auto">
        <a:xfrm>
          <a:off x="18383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28</xdr:row>
      <xdr:rowOff>123825</xdr:rowOff>
    </xdr:from>
    <xdr:to>
      <xdr:col>2</xdr:col>
      <xdr:colOff>495300</xdr:colOff>
      <xdr:row>30</xdr:row>
      <xdr:rowOff>0</xdr:rowOff>
    </xdr:to>
    <xdr:sp macro="" textlink="">
      <xdr:nvSpPr>
        <xdr:cNvPr id="133" name="Line 137">
          <a:extLst>
            <a:ext uri="{FF2B5EF4-FFF2-40B4-BE49-F238E27FC236}">
              <a16:creationId xmlns:a16="http://schemas.microsoft.com/office/drawing/2014/main" id="{00000000-0008-0000-0000-000085000000}"/>
            </a:ext>
          </a:extLst>
        </xdr:cNvPr>
        <xdr:cNvSpPr>
          <a:spLocks noChangeShapeType="1"/>
        </xdr:cNvSpPr>
      </xdr:nvSpPr>
      <xdr:spPr bwMode="auto">
        <a:xfrm>
          <a:off x="1876425" y="527685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28</xdr:row>
      <xdr:rowOff>104775</xdr:rowOff>
    </xdr:from>
    <xdr:to>
      <xdr:col>2</xdr:col>
      <xdr:colOff>533400</xdr:colOff>
      <xdr:row>30</xdr:row>
      <xdr:rowOff>0</xdr:rowOff>
    </xdr:to>
    <xdr:sp macro="" textlink="">
      <xdr:nvSpPr>
        <xdr:cNvPr id="134" name="Line 138">
          <a:extLst>
            <a:ext uri="{FF2B5EF4-FFF2-40B4-BE49-F238E27FC236}">
              <a16:creationId xmlns:a16="http://schemas.microsoft.com/office/drawing/2014/main" id="{00000000-0008-0000-0000-000086000000}"/>
            </a:ext>
          </a:extLst>
        </xdr:cNvPr>
        <xdr:cNvSpPr>
          <a:spLocks noChangeShapeType="1"/>
        </xdr:cNvSpPr>
      </xdr:nvSpPr>
      <xdr:spPr bwMode="auto">
        <a:xfrm>
          <a:off x="19145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28</xdr:row>
      <xdr:rowOff>104775</xdr:rowOff>
    </xdr:from>
    <xdr:to>
      <xdr:col>2</xdr:col>
      <xdr:colOff>552450</xdr:colOff>
      <xdr:row>30</xdr:row>
      <xdr:rowOff>0</xdr:rowOff>
    </xdr:to>
    <xdr:sp macro="" textlink="">
      <xdr:nvSpPr>
        <xdr:cNvPr id="135" name="Line 139">
          <a:extLst>
            <a:ext uri="{FF2B5EF4-FFF2-40B4-BE49-F238E27FC236}">
              <a16:creationId xmlns:a16="http://schemas.microsoft.com/office/drawing/2014/main" id="{00000000-0008-0000-0000-000087000000}"/>
            </a:ext>
          </a:extLst>
        </xdr:cNvPr>
        <xdr:cNvSpPr>
          <a:spLocks noChangeShapeType="1"/>
        </xdr:cNvSpPr>
      </xdr:nvSpPr>
      <xdr:spPr bwMode="auto">
        <a:xfrm>
          <a:off x="193357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28</xdr:row>
      <xdr:rowOff>123825</xdr:rowOff>
    </xdr:from>
    <xdr:to>
      <xdr:col>3</xdr:col>
      <xdr:colOff>9525</xdr:colOff>
      <xdr:row>30</xdr:row>
      <xdr:rowOff>0</xdr:rowOff>
    </xdr:to>
    <xdr:sp macro="" textlink="">
      <xdr:nvSpPr>
        <xdr:cNvPr id="136" name="Line 140">
          <a:extLst>
            <a:ext uri="{FF2B5EF4-FFF2-40B4-BE49-F238E27FC236}">
              <a16:creationId xmlns:a16="http://schemas.microsoft.com/office/drawing/2014/main" id="{00000000-0008-0000-0000-000088000000}"/>
            </a:ext>
          </a:extLst>
        </xdr:cNvPr>
        <xdr:cNvSpPr>
          <a:spLocks noChangeShapeType="1"/>
        </xdr:cNvSpPr>
      </xdr:nvSpPr>
      <xdr:spPr bwMode="auto">
        <a:xfrm>
          <a:off x="1971675" y="527685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28</xdr:row>
      <xdr:rowOff>123825</xdr:rowOff>
    </xdr:from>
    <xdr:to>
      <xdr:col>3</xdr:col>
      <xdr:colOff>57150</xdr:colOff>
      <xdr:row>30</xdr:row>
      <xdr:rowOff>0</xdr:rowOff>
    </xdr:to>
    <xdr:sp macro="" textlink="">
      <xdr:nvSpPr>
        <xdr:cNvPr id="137" name="Line 141">
          <a:extLst>
            <a:ext uri="{FF2B5EF4-FFF2-40B4-BE49-F238E27FC236}">
              <a16:creationId xmlns:a16="http://schemas.microsoft.com/office/drawing/2014/main" id="{00000000-0008-0000-0000-000089000000}"/>
            </a:ext>
          </a:extLst>
        </xdr:cNvPr>
        <xdr:cNvSpPr>
          <a:spLocks noChangeShapeType="1"/>
        </xdr:cNvSpPr>
      </xdr:nvSpPr>
      <xdr:spPr bwMode="auto">
        <a:xfrm>
          <a:off x="2019300" y="527685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28</xdr:row>
      <xdr:rowOff>104775</xdr:rowOff>
    </xdr:from>
    <xdr:to>
      <xdr:col>3</xdr:col>
      <xdr:colOff>104775</xdr:colOff>
      <xdr:row>30</xdr:row>
      <xdr:rowOff>0</xdr:rowOff>
    </xdr:to>
    <xdr:sp macro="" textlink="">
      <xdr:nvSpPr>
        <xdr:cNvPr id="138" name="Line 142">
          <a:extLst>
            <a:ext uri="{FF2B5EF4-FFF2-40B4-BE49-F238E27FC236}">
              <a16:creationId xmlns:a16="http://schemas.microsoft.com/office/drawing/2014/main" id="{00000000-0008-0000-0000-00008A000000}"/>
            </a:ext>
          </a:extLst>
        </xdr:cNvPr>
        <xdr:cNvSpPr>
          <a:spLocks noChangeShapeType="1"/>
        </xdr:cNvSpPr>
      </xdr:nvSpPr>
      <xdr:spPr bwMode="auto">
        <a:xfrm>
          <a:off x="20669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152400</xdr:colOff>
      <xdr:row>28</xdr:row>
      <xdr:rowOff>104775</xdr:rowOff>
    </xdr:from>
    <xdr:to>
      <xdr:col>3</xdr:col>
      <xdr:colOff>152400</xdr:colOff>
      <xdr:row>29</xdr:row>
      <xdr:rowOff>190500</xdr:rowOff>
    </xdr:to>
    <xdr:sp macro="" textlink="">
      <xdr:nvSpPr>
        <xdr:cNvPr id="139" name="Line 143">
          <a:extLst>
            <a:ext uri="{FF2B5EF4-FFF2-40B4-BE49-F238E27FC236}">
              <a16:creationId xmlns:a16="http://schemas.microsoft.com/office/drawing/2014/main" id="{00000000-0008-0000-0000-00008B000000}"/>
            </a:ext>
          </a:extLst>
        </xdr:cNvPr>
        <xdr:cNvSpPr>
          <a:spLocks noChangeShapeType="1"/>
        </xdr:cNvSpPr>
      </xdr:nvSpPr>
      <xdr:spPr bwMode="auto">
        <a:xfrm>
          <a:off x="21145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28</xdr:row>
      <xdr:rowOff>104775</xdr:rowOff>
    </xdr:from>
    <xdr:to>
      <xdr:col>3</xdr:col>
      <xdr:colOff>190500</xdr:colOff>
      <xdr:row>30</xdr:row>
      <xdr:rowOff>0</xdr:rowOff>
    </xdr:to>
    <xdr:sp macro="" textlink="">
      <xdr:nvSpPr>
        <xdr:cNvPr id="140" name="Line 144">
          <a:extLst>
            <a:ext uri="{FF2B5EF4-FFF2-40B4-BE49-F238E27FC236}">
              <a16:creationId xmlns:a16="http://schemas.microsoft.com/office/drawing/2014/main" id="{00000000-0008-0000-0000-00008C000000}"/>
            </a:ext>
          </a:extLst>
        </xdr:cNvPr>
        <xdr:cNvSpPr>
          <a:spLocks noChangeShapeType="1"/>
        </xdr:cNvSpPr>
      </xdr:nvSpPr>
      <xdr:spPr bwMode="auto">
        <a:xfrm>
          <a:off x="21526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228600</xdr:colOff>
      <xdr:row>28</xdr:row>
      <xdr:rowOff>104775</xdr:rowOff>
    </xdr:from>
    <xdr:to>
      <xdr:col>3</xdr:col>
      <xdr:colOff>228600</xdr:colOff>
      <xdr:row>30</xdr:row>
      <xdr:rowOff>0</xdr:rowOff>
    </xdr:to>
    <xdr:sp macro="" textlink="">
      <xdr:nvSpPr>
        <xdr:cNvPr id="141" name="Line 145">
          <a:extLst>
            <a:ext uri="{FF2B5EF4-FFF2-40B4-BE49-F238E27FC236}">
              <a16:creationId xmlns:a16="http://schemas.microsoft.com/office/drawing/2014/main" id="{00000000-0008-0000-0000-00008D000000}"/>
            </a:ext>
          </a:extLst>
        </xdr:cNvPr>
        <xdr:cNvSpPr>
          <a:spLocks noChangeShapeType="1"/>
        </xdr:cNvSpPr>
      </xdr:nvSpPr>
      <xdr:spPr bwMode="auto">
        <a:xfrm>
          <a:off x="21907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266700</xdr:colOff>
      <xdr:row>28</xdr:row>
      <xdr:rowOff>123825</xdr:rowOff>
    </xdr:from>
    <xdr:to>
      <xdr:col>3</xdr:col>
      <xdr:colOff>266700</xdr:colOff>
      <xdr:row>30</xdr:row>
      <xdr:rowOff>0</xdr:rowOff>
    </xdr:to>
    <xdr:sp macro="" textlink="">
      <xdr:nvSpPr>
        <xdr:cNvPr id="142" name="Line 146">
          <a:extLst>
            <a:ext uri="{FF2B5EF4-FFF2-40B4-BE49-F238E27FC236}">
              <a16:creationId xmlns:a16="http://schemas.microsoft.com/office/drawing/2014/main" id="{00000000-0008-0000-0000-00008E000000}"/>
            </a:ext>
          </a:extLst>
        </xdr:cNvPr>
        <xdr:cNvSpPr>
          <a:spLocks noChangeShapeType="1"/>
        </xdr:cNvSpPr>
      </xdr:nvSpPr>
      <xdr:spPr bwMode="auto">
        <a:xfrm>
          <a:off x="2228850" y="527685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314325</xdr:colOff>
      <xdr:row>28</xdr:row>
      <xdr:rowOff>104775</xdr:rowOff>
    </xdr:from>
    <xdr:to>
      <xdr:col>3</xdr:col>
      <xdr:colOff>314325</xdr:colOff>
      <xdr:row>30</xdr:row>
      <xdr:rowOff>0</xdr:rowOff>
    </xdr:to>
    <xdr:sp macro="" textlink="">
      <xdr:nvSpPr>
        <xdr:cNvPr id="143" name="Line 147">
          <a:extLst>
            <a:ext uri="{FF2B5EF4-FFF2-40B4-BE49-F238E27FC236}">
              <a16:creationId xmlns:a16="http://schemas.microsoft.com/office/drawing/2014/main" id="{00000000-0008-0000-0000-00008F000000}"/>
            </a:ext>
          </a:extLst>
        </xdr:cNvPr>
        <xdr:cNvSpPr>
          <a:spLocks noChangeShapeType="1"/>
        </xdr:cNvSpPr>
      </xdr:nvSpPr>
      <xdr:spPr bwMode="auto">
        <a:xfrm>
          <a:off x="227647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38100</xdr:colOff>
      <xdr:row>28</xdr:row>
      <xdr:rowOff>104775</xdr:rowOff>
    </xdr:from>
    <xdr:to>
      <xdr:col>4</xdr:col>
      <xdr:colOff>38100</xdr:colOff>
      <xdr:row>30</xdr:row>
      <xdr:rowOff>0</xdr:rowOff>
    </xdr:to>
    <xdr:sp macro="" textlink="">
      <xdr:nvSpPr>
        <xdr:cNvPr id="144" name="Line 148">
          <a:extLst>
            <a:ext uri="{FF2B5EF4-FFF2-40B4-BE49-F238E27FC236}">
              <a16:creationId xmlns:a16="http://schemas.microsoft.com/office/drawing/2014/main" id="{00000000-0008-0000-0000-000090000000}"/>
            </a:ext>
          </a:extLst>
        </xdr:cNvPr>
        <xdr:cNvSpPr>
          <a:spLocks noChangeShapeType="1"/>
        </xdr:cNvSpPr>
      </xdr:nvSpPr>
      <xdr:spPr bwMode="auto">
        <a:xfrm>
          <a:off x="23717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28</xdr:row>
      <xdr:rowOff>104775</xdr:rowOff>
    </xdr:from>
    <xdr:to>
      <xdr:col>4</xdr:col>
      <xdr:colOff>85725</xdr:colOff>
      <xdr:row>30</xdr:row>
      <xdr:rowOff>0</xdr:rowOff>
    </xdr:to>
    <xdr:sp macro="" textlink="">
      <xdr:nvSpPr>
        <xdr:cNvPr id="145" name="Line 149">
          <a:extLst>
            <a:ext uri="{FF2B5EF4-FFF2-40B4-BE49-F238E27FC236}">
              <a16:creationId xmlns:a16="http://schemas.microsoft.com/office/drawing/2014/main" id="{00000000-0008-0000-0000-000091000000}"/>
            </a:ext>
          </a:extLst>
        </xdr:cNvPr>
        <xdr:cNvSpPr>
          <a:spLocks noChangeShapeType="1"/>
        </xdr:cNvSpPr>
      </xdr:nvSpPr>
      <xdr:spPr bwMode="auto">
        <a:xfrm>
          <a:off x="24193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28</xdr:row>
      <xdr:rowOff>114300</xdr:rowOff>
    </xdr:from>
    <xdr:to>
      <xdr:col>4</xdr:col>
      <xdr:colOff>123825</xdr:colOff>
      <xdr:row>30</xdr:row>
      <xdr:rowOff>0</xdr:rowOff>
    </xdr:to>
    <xdr:sp macro="" textlink="">
      <xdr:nvSpPr>
        <xdr:cNvPr id="146" name="Line 150">
          <a:extLst>
            <a:ext uri="{FF2B5EF4-FFF2-40B4-BE49-F238E27FC236}">
              <a16:creationId xmlns:a16="http://schemas.microsoft.com/office/drawing/2014/main" id="{00000000-0008-0000-0000-000092000000}"/>
            </a:ext>
          </a:extLst>
        </xdr:cNvPr>
        <xdr:cNvSpPr>
          <a:spLocks noChangeShapeType="1"/>
        </xdr:cNvSpPr>
      </xdr:nvSpPr>
      <xdr:spPr bwMode="auto">
        <a:xfrm>
          <a:off x="2457450" y="526732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28</xdr:row>
      <xdr:rowOff>104775</xdr:rowOff>
    </xdr:from>
    <xdr:to>
      <xdr:col>4</xdr:col>
      <xdr:colOff>171450</xdr:colOff>
      <xdr:row>30</xdr:row>
      <xdr:rowOff>0</xdr:rowOff>
    </xdr:to>
    <xdr:sp macro="" textlink="">
      <xdr:nvSpPr>
        <xdr:cNvPr id="147" name="Line 151">
          <a:extLst>
            <a:ext uri="{FF2B5EF4-FFF2-40B4-BE49-F238E27FC236}">
              <a16:creationId xmlns:a16="http://schemas.microsoft.com/office/drawing/2014/main" id="{00000000-0008-0000-0000-000093000000}"/>
            </a:ext>
          </a:extLst>
        </xdr:cNvPr>
        <xdr:cNvSpPr>
          <a:spLocks noChangeShapeType="1"/>
        </xdr:cNvSpPr>
      </xdr:nvSpPr>
      <xdr:spPr bwMode="auto">
        <a:xfrm>
          <a:off x="250507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28</xdr:row>
      <xdr:rowOff>104775</xdr:rowOff>
    </xdr:from>
    <xdr:to>
      <xdr:col>4</xdr:col>
      <xdr:colOff>219075</xdr:colOff>
      <xdr:row>30</xdr:row>
      <xdr:rowOff>0</xdr:rowOff>
    </xdr:to>
    <xdr:sp macro="" textlink="">
      <xdr:nvSpPr>
        <xdr:cNvPr id="148" name="Line 152">
          <a:extLst>
            <a:ext uri="{FF2B5EF4-FFF2-40B4-BE49-F238E27FC236}">
              <a16:creationId xmlns:a16="http://schemas.microsoft.com/office/drawing/2014/main" id="{00000000-0008-0000-0000-000094000000}"/>
            </a:ext>
          </a:extLst>
        </xdr:cNvPr>
        <xdr:cNvSpPr>
          <a:spLocks noChangeShapeType="1"/>
        </xdr:cNvSpPr>
      </xdr:nvSpPr>
      <xdr:spPr bwMode="auto">
        <a:xfrm>
          <a:off x="255270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28</xdr:row>
      <xdr:rowOff>104775</xdr:rowOff>
    </xdr:from>
    <xdr:to>
      <xdr:col>4</xdr:col>
      <xdr:colOff>266700</xdr:colOff>
      <xdr:row>30</xdr:row>
      <xdr:rowOff>0</xdr:rowOff>
    </xdr:to>
    <xdr:sp macro="" textlink="">
      <xdr:nvSpPr>
        <xdr:cNvPr id="149" name="Line 153">
          <a:extLst>
            <a:ext uri="{FF2B5EF4-FFF2-40B4-BE49-F238E27FC236}">
              <a16:creationId xmlns:a16="http://schemas.microsoft.com/office/drawing/2014/main" id="{00000000-0008-0000-0000-000095000000}"/>
            </a:ext>
          </a:extLst>
        </xdr:cNvPr>
        <xdr:cNvSpPr>
          <a:spLocks noChangeShapeType="1"/>
        </xdr:cNvSpPr>
      </xdr:nvSpPr>
      <xdr:spPr bwMode="auto">
        <a:xfrm>
          <a:off x="26003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28</xdr:row>
      <xdr:rowOff>104775</xdr:rowOff>
    </xdr:from>
    <xdr:to>
      <xdr:col>4</xdr:col>
      <xdr:colOff>314325</xdr:colOff>
      <xdr:row>30</xdr:row>
      <xdr:rowOff>0</xdr:rowOff>
    </xdr:to>
    <xdr:sp macro="" textlink="">
      <xdr:nvSpPr>
        <xdr:cNvPr id="150" name="Line 154">
          <a:extLst>
            <a:ext uri="{FF2B5EF4-FFF2-40B4-BE49-F238E27FC236}">
              <a16:creationId xmlns:a16="http://schemas.microsoft.com/office/drawing/2014/main" id="{00000000-0008-0000-0000-000096000000}"/>
            </a:ext>
          </a:extLst>
        </xdr:cNvPr>
        <xdr:cNvSpPr>
          <a:spLocks noChangeShapeType="1"/>
        </xdr:cNvSpPr>
      </xdr:nvSpPr>
      <xdr:spPr bwMode="auto">
        <a:xfrm>
          <a:off x="26479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xdr:colOff>
      <xdr:row>28</xdr:row>
      <xdr:rowOff>104775</xdr:rowOff>
    </xdr:from>
    <xdr:to>
      <xdr:col>5</xdr:col>
      <xdr:colOff>19050</xdr:colOff>
      <xdr:row>29</xdr:row>
      <xdr:rowOff>190500</xdr:rowOff>
    </xdr:to>
    <xdr:sp macro="" textlink="">
      <xdr:nvSpPr>
        <xdr:cNvPr id="151" name="Line 155">
          <a:extLst>
            <a:ext uri="{FF2B5EF4-FFF2-40B4-BE49-F238E27FC236}">
              <a16:creationId xmlns:a16="http://schemas.microsoft.com/office/drawing/2014/main" id="{00000000-0008-0000-0000-000097000000}"/>
            </a:ext>
          </a:extLst>
        </xdr:cNvPr>
        <xdr:cNvSpPr>
          <a:spLocks noChangeShapeType="1"/>
        </xdr:cNvSpPr>
      </xdr:nvSpPr>
      <xdr:spPr bwMode="auto">
        <a:xfrm>
          <a:off x="26765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28</xdr:row>
      <xdr:rowOff>104775</xdr:rowOff>
    </xdr:from>
    <xdr:to>
      <xdr:col>5</xdr:col>
      <xdr:colOff>66675</xdr:colOff>
      <xdr:row>29</xdr:row>
      <xdr:rowOff>190500</xdr:rowOff>
    </xdr:to>
    <xdr:sp macro="" textlink="">
      <xdr:nvSpPr>
        <xdr:cNvPr id="152" name="Line 156">
          <a:extLst>
            <a:ext uri="{FF2B5EF4-FFF2-40B4-BE49-F238E27FC236}">
              <a16:creationId xmlns:a16="http://schemas.microsoft.com/office/drawing/2014/main" id="{00000000-0008-0000-0000-000098000000}"/>
            </a:ext>
          </a:extLst>
        </xdr:cNvPr>
        <xdr:cNvSpPr>
          <a:spLocks noChangeShapeType="1"/>
        </xdr:cNvSpPr>
      </xdr:nvSpPr>
      <xdr:spPr bwMode="auto">
        <a:xfrm>
          <a:off x="2724150"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28</xdr:row>
      <xdr:rowOff>104775</xdr:rowOff>
    </xdr:from>
    <xdr:to>
      <xdr:col>5</xdr:col>
      <xdr:colOff>95250</xdr:colOff>
      <xdr:row>30</xdr:row>
      <xdr:rowOff>0</xdr:rowOff>
    </xdr:to>
    <xdr:sp macro="" textlink="">
      <xdr:nvSpPr>
        <xdr:cNvPr id="153" name="Line 157">
          <a:extLst>
            <a:ext uri="{FF2B5EF4-FFF2-40B4-BE49-F238E27FC236}">
              <a16:creationId xmlns:a16="http://schemas.microsoft.com/office/drawing/2014/main" id="{00000000-0008-0000-0000-000099000000}"/>
            </a:ext>
          </a:extLst>
        </xdr:cNvPr>
        <xdr:cNvSpPr>
          <a:spLocks noChangeShapeType="1"/>
        </xdr:cNvSpPr>
      </xdr:nvSpPr>
      <xdr:spPr bwMode="auto">
        <a:xfrm>
          <a:off x="27527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28</xdr:row>
      <xdr:rowOff>104775</xdr:rowOff>
    </xdr:from>
    <xdr:to>
      <xdr:col>5</xdr:col>
      <xdr:colOff>133350</xdr:colOff>
      <xdr:row>30</xdr:row>
      <xdr:rowOff>0</xdr:rowOff>
    </xdr:to>
    <xdr:sp macro="" textlink="">
      <xdr:nvSpPr>
        <xdr:cNvPr id="154" name="Line 158">
          <a:extLst>
            <a:ext uri="{FF2B5EF4-FFF2-40B4-BE49-F238E27FC236}">
              <a16:creationId xmlns:a16="http://schemas.microsoft.com/office/drawing/2014/main" id="{00000000-0008-0000-0000-00009A000000}"/>
            </a:ext>
          </a:extLst>
        </xdr:cNvPr>
        <xdr:cNvSpPr>
          <a:spLocks noChangeShapeType="1"/>
        </xdr:cNvSpPr>
      </xdr:nvSpPr>
      <xdr:spPr bwMode="auto">
        <a:xfrm>
          <a:off x="2790825" y="52578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514350</xdr:colOff>
      <xdr:row>26</xdr:row>
      <xdr:rowOff>57150</xdr:rowOff>
    </xdr:from>
    <xdr:to>
      <xdr:col>2</xdr:col>
      <xdr:colOff>514350</xdr:colOff>
      <xdr:row>27</xdr:row>
      <xdr:rowOff>161925</xdr:rowOff>
    </xdr:to>
    <xdr:sp macro="" textlink="">
      <xdr:nvSpPr>
        <xdr:cNvPr id="155" name="Line 159">
          <a:extLst>
            <a:ext uri="{FF2B5EF4-FFF2-40B4-BE49-F238E27FC236}">
              <a16:creationId xmlns:a16="http://schemas.microsoft.com/office/drawing/2014/main" id="{00000000-0008-0000-0000-00009B000000}"/>
            </a:ext>
          </a:extLst>
        </xdr:cNvPr>
        <xdr:cNvSpPr>
          <a:spLocks noChangeShapeType="1"/>
        </xdr:cNvSpPr>
      </xdr:nvSpPr>
      <xdr:spPr bwMode="auto">
        <a:xfrm>
          <a:off x="1895475" y="48196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3</xdr:col>
      <xdr:colOff>247650</xdr:colOff>
      <xdr:row>18</xdr:row>
      <xdr:rowOff>85725</xdr:rowOff>
    </xdr:to>
    <xdr:sp macro="" textlink="">
      <xdr:nvSpPr>
        <xdr:cNvPr id="156" name="Line 160">
          <a:extLst>
            <a:ext uri="{FF2B5EF4-FFF2-40B4-BE49-F238E27FC236}">
              <a16:creationId xmlns:a16="http://schemas.microsoft.com/office/drawing/2014/main" id="{00000000-0008-0000-0000-00009C000000}"/>
            </a:ext>
          </a:extLst>
        </xdr:cNvPr>
        <xdr:cNvSpPr>
          <a:spLocks noChangeShapeType="1"/>
        </xdr:cNvSpPr>
      </xdr:nvSpPr>
      <xdr:spPr bwMode="auto">
        <a:xfrm flipH="1">
          <a:off x="1590675" y="2857500"/>
          <a:ext cx="619125" cy="43815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1133475</xdr:colOff>
      <xdr:row>17</xdr:row>
      <xdr:rowOff>0</xdr:rowOff>
    </xdr:from>
    <xdr:to>
      <xdr:col>2</xdr:col>
      <xdr:colOff>371475</xdr:colOff>
      <xdr:row>17</xdr:row>
      <xdr:rowOff>0</xdr:rowOff>
    </xdr:to>
    <xdr:sp macro="" textlink="">
      <xdr:nvSpPr>
        <xdr:cNvPr id="157" name="Line 161">
          <a:extLst>
            <a:ext uri="{FF2B5EF4-FFF2-40B4-BE49-F238E27FC236}">
              <a16:creationId xmlns:a16="http://schemas.microsoft.com/office/drawing/2014/main" id="{00000000-0008-0000-0000-00009D000000}"/>
            </a:ext>
          </a:extLst>
        </xdr:cNvPr>
        <xdr:cNvSpPr>
          <a:spLocks noChangeShapeType="1"/>
        </xdr:cNvSpPr>
      </xdr:nvSpPr>
      <xdr:spPr bwMode="auto">
        <a:xfrm>
          <a:off x="1133475" y="3000375"/>
          <a:ext cx="6191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xdr:colOff>
      <xdr:row>16</xdr:row>
      <xdr:rowOff>0</xdr:rowOff>
    </xdr:from>
    <xdr:to>
      <xdr:col>3</xdr:col>
      <xdr:colOff>19050</xdr:colOff>
      <xdr:row>16</xdr:row>
      <xdr:rowOff>0</xdr:rowOff>
    </xdr:to>
    <xdr:sp macro="" textlink="">
      <xdr:nvSpPr>
        <xdr:cNvPr id="158" name="Line 162">
          <a:extLst>
            <a:ext uri="{FF2B5EF4-FFF2-40B4-BE49-F238E27FC236}">
              <a16:creationId xmlns:a16="http://schemas.microsoft.com/office/drawing/2014/main" id="{00000000-0008-0000-0000-00009E000000}"/>
            </a:ext>
          </a:extLst>
        </xdr:cNvPr>
        <xdr:cNvSpPr>
          <a:spLocks noChangeShapeType="1"/>
        </xdr:cNvSpPr>
      </xdr:nvSpPr>
      <xdr:spPr bwMode="auto">
        <a:xfrm>
          <a:off x="1400175" y="2800350"/>
          <a:ext cx="581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15</xdr:row>
      <xdr:rowOff>161925</xdr:rowOff>
    </xdr:from>
    <xdr:to>
      <xdr:col>3</xdr:col>
      <xdr:colOff>0</xdr:colOff>
      <xdr:row>17</xdr:row>
      <xdr:rowOff>114300</xdr:rowOff>
    </xdr:to>
    <xdr:sp macro="" textlink="">
      <xdr:nvSpPr>
        <xdr:cNvPr id="159" name="Line 163">
          <a:extLst>
            <a:ext uri="{FF2B5EF4-FFF2-40B4-BE49-F238E27FC236}">
              <a16:creationId xmlns:a16="http://schemas.microsoft.com/office/drawing/2014/main" id="{00000000-0008-0000-0000-00009F000000}"/>
            </a:ext>
          </a:extLst>
        </xdr:cNvPr>
        <xdr:cNvSpPr>
          <a:spLocks noChangeShapeType="1"/>
        </xdr:cNvSpPr>
      </xdr:nvSpPr>
      <xdr:spPr bwMode="auto">
        <a:xfrm flipV="1">
          <a:off x="1524000" y="2762250"/>
          <a:ext cx="438150" cy="35242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66675</xdr:colOff>
      <xdr:row>15</xdr:row>
      <xdr:rowOff>57150</xdr:rowOff>
    </xdr:from>
    <xdr:to>
      <xdr:col>3</xdr:col>
      <xdr:colOff>95250</xdr:colOff>
      <xdr:row>17</xdr:row>
      <xdr:rowOff>142875</xdr:rowOff>
    </xdr:to>
    <xdr:sp macro="" textlink="">
      <xdr:nvSpPr>
        <xdr:cNvPr id="160" name="Line 164">
          <a:extLst>
            <a:ext uri="{FF2B5EF4-FFF2-40B4-BE49-F238E27FC236}">
              <a16:creationId xmlns:a16="http://schemas.microsoft.com/office/drawing/2014/main" id="{00000000-0008-0000-0000-0000A0000000}"/>
            </a:ext>
          </a:extLst>
        </xdr:cNvPr>
        <xdr:cNvSpPr>
          <a:spLocks noChangeShapeType="1"/>
        </xdr:cNvSpPr>
      </xdr:nvSpPr>
      <xdr:spPr bwMode="auto">
        <a:xfrm flipV="1">
          <a:off x="1447800" y="2657475"/>
          <a:ext cx="609600" cy="4857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15</xdr:row>
      <xdr:rowOff>161925</xdr:rowOff>
    </xdr:from>
    <xdr:to>
      <xdr:col>2</xdr:col>
      <xdr:colOff>276225</xdr:colOff>
      <xdr:row>17</xdr:row>
      <xdr:rowOff>0</xdr:rowOff>
    </xdr:to>
    <xdr:sp macro="" textlink="">
      <xdr:nvSpPr>
        <xdr:cNvPr id="161" name="Line 165">
          <a:extLst>
            <a:ext uri="{FF2B5EF4-FFF2-40B4-BE49-F238E27FC236}">
              <a16:creationId xmlns:a16="http://schemas.microsoft.com/office/drawing/2014/main" id="{00000000-0008-0000-0000-0000A1000000}"/>
            </a:ext>
          </a:extLst>
        </xdr:cNvPr>
        <xdr:cNvSpPr>
          <a:spLocks noChangeShapeType="1"/>
        </xdr:cNvSpPr>
      </xdr:nvSpPr>
      <xdr:spPr bwMode="auto">
        <a:xfrm flipH="1" flipV="1">
          <a:off x="1590675" y="2762250"/>
          <a:ext cx="66675" cy="23812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14</xdr:row>
      <xdr:rowOff>180975</xdr:rowOff>
    </xdr:from>
    <xdr:to>
      <xdr:col>2</xdr:col>
      <xdr:colOff>533400</xdr:colOff>
      <xdr:row>16</xdr:row>
      <xdr:rowOff>0</xdr:rowOff>
    </xdr:to>
    <xdr:sp macro="" textlink="">
      <xdr:nvSpPr>
        <xdr:cNvPr id="162" name="Line 166">
          <a:extLst>
            <a:ext uri="{FF2B5EF4-FFF2-40B4-BE49-F238E27FC236}">
              <a16:creationId xmlns:a16="http://schemas.microsoft.com/office/drawing/2014/main" id="{00000000-0008-0000-0000-0000A2000000}"/>
            </a:ext>
          </a:extLst>
        </xdr:cNvPr>
        <xdr:cNvSpPr>
          <a:spLocks noChangeShapeType="1"/>
        </xdr:cNvSpPr>
      </xdr:nvSpPr>
      <xdr:spPr bwMode="auto">
        <a:xfrm flipH="1" flipV="1">
          <a:off x="1847850" y="2590800"/>
          <a:ext cx="66675" cy="209550"/>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15</xdr:row>
      <xdr:rowOff>28575</xdr:rowOff>
    </xdr:from>
    <xdr:to>
      <xdr:col>2</xdr:col>
      <xdr:colOff>514350</xdr:colOff>
      <xdr:row>17</xdr:row>
      <xdr:rowOff>0</xdr:rowOff>
    </xdr:to>
    <xdr:sp macro="" textlink="">
      <xdr:nvSpPr>
        <xdr:cNvPr id="163" name="Tegning 167">
          <a:extLst>
            <a:ext uri="{FF2B5EF4-FFF2-40B4-BE49-F238E27FC236}">
              <a16:creationId xmlns:a16="http://schemas.microsoft.com/office/drawing/2014/main" id="{00000000-0008-0000-0000-0000A3000000}"/>
            </a:ext>
          </a:extLst>
        </xdr:cNvPr>
        <xdr:cNvSpPr>
          <a:spLocks/>
        </xdr:cNvSpPr>
      </xdr:nvSpPr>
      <xdr:spPr bwMode="auto">
        <a:xfrm>
          <a:off x="1409700" y="2628900"/>
          <a:ext cx="485775" cy="37147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0 h 16384"/>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6384"/>
            <a:gd name="T31" fmla="*/ 0 h 16384"/>
            <a:gd name="T32" fmla="*/ 16384 w 16384"/>
            <a:gd name="T33" fmla="*/ 16384 h 16384"/>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6384" h="16384">
              <a:moveTo>
                <a:pt x="0" y="16384"/>
              </a:moveTo>
              <a:lnTo>
                <a:pt x="5461" y="16384"/>
              </a:lnTo>
              <a:lnTo>
                <a:pt x="7168" y="15909"/>
              </a:lnTo>
              <a:lnTo>
                <a:pt x="7851" y="14010"/>
              </a:lnTo>
              <a:lnTo>
                <a:pt x="6827" y="8548"/>
              </a:lnTo>
              <a:lnTo>
                <a:pt x="7509" y="7361"/>
              </a:lnTo>
              <a:lnTo>
                <a:pt x="14507" y="7361"/>
              </a:lnTo>
              <a:lnTo>
                <a:pt x="15701" y="7123"/>
              </a:lnTo>
              <a:lnTo>
                <a:pt x="16384" y="5224"/>
              </a:lnTo>
              <a:lnTo>
                <a:pt x="15189"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57150</xdr:colOff>
      <xdr:row>15</xdr:row>
      <xdr:rowOff>190500</xdr:rowOff>
    </xdr:from>
    <xdr:to>
      <xdr:col>2</xdr:col>
      <xdr:colOff>57150</xdr:colOff>
      <xdr:row>17</xdr:row>
      <xdr:rowOff>28575</xdr:rowOff>
    </xdr:to>
    <xdr:sp macro="" textlink="">
      <xdr:nvSpPr>
        <xdr:cNvPr id="164" name="Line 168">
          <a:extLst>
            <a:ext uri="{FF2B5EF4-FFF2-40B4-BE49-F238E27FC236}">
              <a16:creationId xmlns:a16="http://schemas.microsoft.com/office/drawing/2014/main" id="{00000000-0008-0000-0000-0000A4000000}"/>
            </a:ext>
          </a:extLst>
        </xdr:cNvPr>
        <xdr:cNvSpPr>
          <a:spLocks noChangeShapeType="1"/>
        </xdr:cNvSpPr>
      </xdr:nvSpPr>
      <xdr:spPr bwMode="auto">
        <a:xfrm>
          <a:off x="1438275" y="2790825"/>
          <a:ext cx="0"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15</xdr:row>
      <xdr:rowOff>171450</xdr:rowOff>
    </xdr:from>
    <xdr:to>
      <xdr:col>2</xdr:col>
      <xdr:colOff>85725</xdr:colOff>
      <xdr:row>16</xdr:row>
      <xdr:rowOff>19050</xdr:rowOff>
    </xdr:to>
    <xdr:sp macro="" textlink="">
      <xdr:nvSpPr>
        <xdr:cNvPr id="165" name="Line 169">
          <a:extLst>
            <a:ext uri="{FF2B5EF4-FFF2-40B4-BE49-F238E27FC236}">
              <a16:creationId xmlns:a16="http://schemas.microsoft.com/office/drawing/2014/main" id="{00000000-0008-0000-0000-0000A5000000}"/>
            </a:ext>
          </a:extLst>
        </xdr:cNvPr>
        <xdr:cNvSpPr>
          <a:spLocks noChangeShapeType="1"/>
        </xdr:cNvSpPr>
      </xdr:nvSpPr>
      <xdr:spPr bwMode="auto">
        <a:xfrm flipH="1">
          <a:off x="1409700" y="2771775"/>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16</xdr:row>
      <xdr:rowOff>171450</xdr:rowOff>
    </xdr:from>
    <xdr:to>
      <xdr:col>2</xdr:col>
      <xdr:colOff>85725</xdr:colOff>
      <xdr:row>17</xdr:row>
      <xdr:rowOff>19050</xdr:rowOff>
    </xdr:to>
    <xdr:sp macro="" textlink="">
      <xdr:nvSpPr>
        <xdr:cNvPr id="166" name="Line 170">
          <a:extLst>
            <a:ext uri="{FF2B5EF4-FFF2-40B4-BE49-F238E27FC236}">
              <a16:creationId xmlns:a16="http://schemas.microsoft.com/office/drawing/2014/main" id="{00000000-0008-0000-0000-0000A6000000}"/>
            </a:ext>
          </a:extLst>
        </xdr:cNvPr>
        <xdr:cNvSpPr>
          <a:spLocks noChangeShapeType="1"/>
        </xdr:cNvSpPr>
      </xdr:nvSpPr>
      <xdr:spPr bwMode="auto">
        <a:xfrm flipH="1">
          <a:off x="1409700" y="2971800"/>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xdr:colOff>
      <xdr:row>15</xdr:row>
      <xdr:rowOff>0</xdr:rowOff>
    </xdr:from>
    <xdr:to>
      <xdr:col>2</xdr:col>
      <xdr:colOff>561975</xdr:colOff>
      <xdr:row>15</xdr:row>
      <xdr:rowOff>0</xdr:rowOff>
    </xdr:to>
    <xdr:sp macro="" textlink="">
      <xdr:nvSpPr>
        <xdr:cNvPr id="167" name="Line 171">
          <a:extLst>
            <a:ext uri="{FF2B5EF4-FFF2-40B4-BE49-F238E27FC236}">
              <a16:creationId xmlns:a16="http://schemas.microsoft.com/office/drawing/2014/main" id="{00000000-0008-0000-0000-0000A7000000}"/>
            </a:ext>
          </a:extLst>
        </xdr:cNvPr>
        <xdr:cNvSpPr>
          <a:spLocks noChangeShapeType="1"/>
        </xdr:cNvSpPr>
      </xdr:nvSpPr>
      <xdr:spPr bwMode="auto">
        <a:xfrm>
          <a:off x="1400175" y="2600325"/>
          <a:ext cx="542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14</xdr:row>
      <xdr:rowOff>190500</xdr:rowOff>
    </xdr:from>
    <xdr:to>
      <xdr:col>2</xdr:col>
      <xdr:colOff>542925</xdr:colOff>
      <xdr:row>15</xdr:row>
      <xdr:rowOff>190500</xdr:rowOff>
    </xdr:to>
    <xdr:sp macro="" textlink="">
      <xdr:nvSpPr>
        <xdr:cNvPr id="168" name="Line 172">
          <a:extLst>
            <a:ext uri="{FF2B5EF4-FFF2-40B4-BE49-F238E27FC236}">
              <a16:creationId xmlns:a16="http://schemas.microsoft.com/office/drawing/2014/main" id="{00000000-0008-0000-0000-0000A8000000}"/>
            </a:ext>
          </a:extLst>
        </xdr:cNvPr>
        <xdr:cNvSpPr>
          <a:spLocks noChangeShapeType="1"/>
        </xdr:cNvSpPr>
      </xdr:nvSpPr>
      <xdr:spPr bwMode="auto">
        <a:xfrm flipV="1">
          <a:off x="1924050" y="260032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14</xdr:row>
      <xdr:rowOff>190500</xdr:rowOff>
    </xdr:from>
    <xdr:to>
      <xdr:col>2</xdr:col>
      <xdr:colOff>209550</xdr:colOff>
      <xdr:row>15</xdr:row>
      <xdr:rowOff>161925</xdr:rowOff>
    </xdr:to>
    <xdr:sp macro="" textlink="">
      <xdr:nvSpPr>
        <xdr:cNvPr id="169" name="Line 173">
          <a:extLst>
            <a:ext uri="{FF2B5EF4-FFF2-40B4-BE49-F238E27FC236}">
              <a16:creationId xmlns:a16="http://schemas.microsoft.com/office/drawing/2014/main" id="{00000000-0008-0000-0000-0000A9000000}"/>
            </a:ext>
          </a:extLst>
        </xdr:cNvPr>
        <xdr:cNvSpPr>
          <a:spLocks noChangeShapeType="1"/>
        </xdr:cNvSpPr>
      </xdr:nvSpPr>
      <xdr:spPr bwMode="auto">
        <a:xfrm flipV="1">
          <a:off x="1590675" y="2600325"/>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xdr:row>
      <xdr:rowOff>190500</xdr:rowOff>
    </xdr:from>
    <xdr:to>
      <xdr:col>2</xdr:col>
      <xdr:colOff>276225</xdr:colOff>
      <xdr:row>17</xdr:row>
      <xdr:rowOff>47625</xdr:rowOff>
    </xdr:to>
    <xdr:sp macro="" textlink="">
      <xdr:nvSpPr>
        <xdr:cNvPr id="170" name="Line 174">
          <a:extLst>
            <a:ext uri="{FF2B5EF4-FFF2-40B4-BE49-F238E27FC236}">
              <a16:creationId xmlns:a16="http://schemas.microsoft.com/office/drawing/2014/main" id="{00000000-0008-0000-0000-0000AA000000}"/>
            </a:ext>
          </a:extLst>
        </xdr:cNvPr>
        <xdr:cNvSpPr>
          <a:spLocks noChangeShapeType="1"/>
        </xdr:cNvSpPr>
      </xdr:nvSpPr>
      <xdr:spPr bwMode="auto">
        <a:xfrm flipV="1">
          <a:off x="1657350" y="2600325"/>
          <a:ext cx="0" cy="447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14</xdr:row>
      <xdr:rowOff>171450</xdr:rowOff>
    </xdr:from>
    <xdr:to>
      <xdr:col>2</xdr:col>
      <xdr:colOff>238125</xdr:colOff>
      <xdr:row>15</xdr:row>
      <xdr:rowOff>19050</xdr:rowOff>
    </xdr:to>
    <xdr:sp macro="" textlink="">
      <xdr:nvSpPr>
        <xdr:cNvPr id="171" name="Line 175">
          <a:extLst>
            <a:ext uri="{FF2B5EF4-FFF2-40B4-BE49-F238E27FC236}">
              <a16:creationId xmlns:a16="http://schemas.microsoft.com/office/drawing/2014/main" id="{00000000-0008-0000-0000-0000AB000000}"/>
            </a:ext>
          </a:extLst>
        </xdr:cNvPr>
        <xdr:cNvSpPr>
          <a:spLocks noChangeShapeType="1"/>
        </xdr:cNvSpPr>
      </xdr:nvSpPr>
      <xdr:spPr bwMode="auto">
        <a:xfrm flipH="1">
          <a:off x="1571625" y="2581275"/>
          <a:ext cx="4762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14</xdr:row>
      <xdr:rowOff>171450</xdr:rowOff>
    </xdr:from>
    <xdr:to>
      <xdr:col>2</xdr:col>
      <xdr:colOff>304800</xdr:colOff>
      <xdr:row>15</xdr:row>
      <xdr:rowOff>19050</xdr:rowOff>
    </xdr:to>
    <xdr:sp macro="" textlink="">
      <xdr:nvSpPr>
        <xdr:cNvPr id="172" name="Line 176">
          <a:extLst>
            <a:ext uri="{FF2B5EF4-FFF2-40B4-BE49-F238E27FC236}">
              <a16:creationId xmlns:a16="http://schemas.microsoft.com/office/drawing/2014/main" id="{00000000-0008-0000-0000-0000AC000000}"/>
            </a:ext>
          </a:extLst>
        </xdr:cNvPr>
        <xdr:cNvSpPr>
          <a:spLocks noChangeShapeType="1"/>
        </xdr:cNvSpPr>
      </xdr:nvSpPr>
      <xdr:spPr bwMode="auto">
        <a:xfrm flipH="1">
          <a:off x="1638300" y="2581275"/>
          <a:ext cx="4762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514350</xdr:colOff>
      <xdr:row>14</xdr:row>
      <xdr:rowOff>171450</xdr:rowOff>
    </xdr:from>
    <xdr:to>
      <xdr:col>2</xdr:col>
      <xdr:colOff>561975</xdr:colOff>
      <xdr:row>15</xdr:row>
      <xdr:rowOff>28575</xdr:rowOff>
    </xdr:to>
    <xdr:sp macro="" textlink="">
      <xdr:nvSpPr>
        <xdr:cNvPr id="173" name="Line 177">
          <a:extLst>
            <a:ext uri="{FF2B5EF4-FFF2-40B4-BE49-F238E27FC236}">
              <a16:creationId xmlns:a16="http://schemas.microsoft.com/office/drawing/2014/main" id="{00000000-0008-0000-0000-0000AD000000}"/>
            </a:ext>
          </a:extLst>
        </xdr:cNvPr>
        <xdr:cNvSpPr>
          <a:spLocks noChangeShapeType="1"/>
        </xdr:cNvSpPr>
      </xdr:nvSpPr>
      <xdr:spPr bwMode="auto">
        <a:xfrm flipH="1">
          <a:off x="1895475" y="2581275"/>
          <a:ext cx="4762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16</xdr:row>
      <xdr:rowOff>104775</xdr:rowOff>
    </xdr:from>
    <xdr:to>
      <xdr:col>2</xdr:col>
      <xdr:colOff>533400</xdr:colOff>
      <xdr:row>17</xdr:row>
      <xdr:rowOff>114300</xdr:rowOff>
    </xdr:to>
    <xdr:sp macro="" textlink="">
      <xdr:nvSpPr>
        <xdr:cNvPr id="174" name="Line 178">
          <a:extLst>
            <a:ext uri="{FF2B5EF4-FFF2-40B4-BE49-F238E27FC236}">
              <a16:creationId xmlns:a16="http://schemas.microsoft.com/office/drawing/2014/main" id="{00000000-0008-0000-0000-0000AE000000}"/>
            </a:ext>
          </a:extLst>
        </xdr:cNvPr>
        <xdr:cNvSpPr>
          <a:spLocks noChangeShapeType="1"/>
        </xdr:cNvSpPr>
      </xdr:nvSpPr>
      <xdr:spPr bwMode="auto">
        <a:xfrm>
          <a:off x="1771650" y="2905125"/>
          <a:ext cx="142875"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16</xdr:row>
      <xdr:rowOff>76200</xdr:rowOff>
    </xdr:from>
    <xdr:to>
      <xdr:col>2</xdr:col>
      <xdr:colOff>400050</xdr:colOff>
      <xdr:row>16</xdr:row>
      <xdr:rowOff>152400</xdr:rowOff>
    </xdr:to>
    <xdr:sp macro="" textlink="">
      <xdr:nvSpPr>
        <xdr:cNvPr id="175" name="Line 179">
          <a:extLst>
            <a:ext uri="{FF2B5EF4-FFF2-40B4-BE49-F238E27FC236}">
              <a16:creationId xmlns:a16="http://schemas.microsoft.com/office/drawing/2014/main" id="{00000000-0008-0000-0000-0000AF000000}"/>
            </a:ext>
          </a:extLst>
        </xdr:cNvPr>
        <xdr:cNvSpPr>
          <a:spLocks noChangeShapeType="1"/>
        </xdr:cNvSpPr>
      </xdr:nvSpPr>
      <xdr:spPr bwMode="auto">
        <a:xfrm flipH="1">
          <a:off x="1762125" y="2876550"/>
          <a:ext cx="190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17</xdr:row>
      <xdr:rowOff>28575</xdr:rowOff>
    </xdr:from>
    <xdr:to>
      <xdr:col>2</xdr:col>
      <xdr:colOff>523875</xdr:colOff>
      <xdr:row>17</xdr:row>
      <xdr:rowOff>114300</xdr:rowOff>
    </xdr:to>
    <xdr:sp macro="" textlink="">
      <xdr:nvSpPr>
        <xdr:cNvPr id="176" name="Line 180">
          <a:extLst>
            <a:ext uri="{FF2B5EF4-FFF2-40B4-BE49-F238E27FC236}">
              <a16:creationId xmlns:a16="http://schemas.microsoft.com/office/drawing/2014/main" id="{00000000-0008-0000-0000-0000B0000000}"/>
            </a:ext>
          </a:extLst>
        </xdr:cNvPr>
        <xdr:cNvSpPr>
          <a:spLocks noChangeShapeType="1"/>
        </xdr:cNvSpPr>
      </xdr:nvSpPr>
      <xdr:spPr bwMode="auto">
        <a:xfrm flipH="1">
          <a:off x="1885950" y="3028950"/>
          <a:ext cx="190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15</xdr:row>
      <xdr:rowOff>85725</xdr:rowOff>
    </xdr:from>
    <xdr:to>
      <xdr:col>3</xdr:col>
      <xdr:colOff>200025</xdr:colOff>
      <xdr:row>16</xdr:row>
      <xdr:rowOff>123825</xdr:rowOff>
    </xdr:to>
    <xdr:sp macro="" textlink="">
      <xdr:nvSpPr>
        <xdr:cNvPr id="177" name="Line 181">
          <a:extLst>
            <a:ext uri="{FF2B5EF4-FFF2-40B4-BE49-F238E27FC236}">
              <a16:creationId xmlns:a16="http://schemas.microsoft.com/office/drawing/2014/main" id="{00000000-0008-0000-0000-0000B1000000}"/>
            </a:ext>
          </a:extLst>
        </xdr:cNvPr>
        <xdr:cNvSpPr>
          <a:spLocks noChangeShapeType="1"/>
        </xdr:cNvSpPr>
      </xdr:nvSpPr>
      <xdr:spPr bwMode="auto">
        <a:xfrm>
          <a:off x="1981200" y="2686050"/>
          <a:ext cx="180975"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15</xdr:row>
      <xdr:rowOff>76200</xdr:rowOff>
    </xdr:from>
    <xdr:to>
      <xdr:col>3</xdr:col>
      <xdr:colOff>38100</xdr:colOff>
      <xdr:row>15</xdr:row>
      <xdr:rowOff>152400</xdr:rowOff>
    </xdr:to>
    <xdr:sp macro="" textlink="">
      <xdr:nvSpPr>
        <xdr:cNvPr id="178" name="Line 182">
          <a:extLst>
            <a:ext uri="{FF2B5EF4-FFF2-40B4-BE49-F238E27FC236}">
              <a16:creationId xmlns:a16="http://schemas.microsoft.com/office/drawing/2014/main" id="{00000000-0008-0000-0000-0000B2000000}"/>
            </a:ext>
          </a:extLst>
        </xdr:cNvPr>
        <xdr:cNvSpPr>
          <a:spLocks noChangeShapeType="1"/>
        </xdr:cNvSpPr>
      </xdr:nvSpPr>
      <xdr:spPr bwMode="auto">
        <a:xfrm flipH="1">
          <a:off x="1990725" y="2676525"/>
          <a:ext cx="95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16</xdr:row>
      <xdr:rowOff>57150</xdr:rowOff>
    </xdr:from>
    <xdr:to>
      <xdr:col>3</xdr:col>
      <xdr:colOff>190500</xdr:colOff>
      <xdr:row>16</xdr:row>
      <xdr:rowOff>161925</xdr:rowOff>
    </xdr:to>
    <xdr:sp macro="" textlink="">
      <xdr:nvSpPr>
        <xdr:cNvPr id="179" name="Line 183">
          <a:extLst>
            <a:ext uri="{FF2B5EF4-FFF2-40B4-BE49-F238E27FC236}">
              <a16:creationId xmlns:a16="http://schemas.microsoft.com/office/drawing/2014/main" id="{00000000-0008-0000-0000-0000B3000000}"/>
            </a:ext>
          </a:extLst>
        </xdr:cNvPr>
        <xdr:cNvSpPr>
          <a:spLocks noChangeShapeType="1"/>
        </xdr:cNvSpPr>
      </xdr:nvSpPr>
      <xdr:spPr bwMode="auto">
        <a:xfrm flipH="1">
          <a:off x="2133600" y="2857500"/>
          <a:ext cx="190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16</xdr:row>
      <xdr:rowOff>190500</xdr:rowOff>
    </xdr:from>
    <xdr:to>
      <xdr:col>2</xdr:col>
      <xdr:colOff>285750</xdr:colOff>
      <xdr:row>17</xdr:row>
      <xdr:rowOff>19050</xdr:rowOff>
    </xdr:to>
    <xdr:sp macro="" textlink="" fLocksText="0">
      <xdr:nvSpPr>
        <xdr:cNvPr id="180" name="Oval 184">
          <a:extLst>
            <a:ext uri="{FF2B5EF4-FFF2-40B4-BE49-F238E27FC236}">
              <a16:creationId xmlns:a16="http://schemas.microsoft.com/office/drawing/2014/main" id="{00000000-0008-0000-0000-0000B4000000}"/>
            </a:ext>
          </a:extLst>
        </xdr:cNvPr>
        <xdr:cNvSpPr>
          <a:spLocks noChangeArrowheads="1"/>
        </xdr:cNvSpPr>
      </xdr:nvSpPr>
      <xdr:spPr bwMode="auto">
        <a:xfrm>
          <a:off x="1647825" y="2990850"/>
          <a:ext cx="19050"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533400</xdr:colOff>
      <xdr:row>15</xdr:row>
      <xdr:rowOff>190500</xdr:rowOff>
    </xdr:from>
    <xdr:to>
      <xdr:col>2</xdr:col>
      <xdr:colOff>552450</xdr:colOff>
      <xdr:row>16</xdr:row>
      <xdr:rowOff>19050</xdr:rowOff>
    </xdr:to>
    <xdr:sp macro="" textlink="" fLocksText="0">
      <xdr:nvSpPr>
        <xdr:cNvPr id="181" name="Oval 185">
          <a:extLst>
            <a:ext uri="{FF2B5EF4-FFF2-40B4-BE49-F238E27FC236}">
              <a16:creationId xmlns:a16="http://schemas.microsoft.com/office/drawing/2014/main" id="{00000000-0008-0000-0000-0000B5000000}"/>
            </a:ext>
          </a:extLst>
        </xdr:cNvPr>
        <xdr:cNvSpPr>
          <a:spLocks noChangeArrowheads="1"/>
        </xdr:cNvSpPr>
      </xdr:nvSpPr>
      <xdr:spPr bwMode="auto">
        <a:xfrm>
          <a:off x="1914525" y="2790825"/>
          <a:ext cx="19050"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209550</xdr:colOff>
      <xdr:row>15</xdr:row>
      <xdr:rowOff>190500</xdr:rowOff>
    </xdr:from>
    <xdr:to>
      <xdr:col>2</xdr:col>
      <xdr:colOff>228600</xdr:colOff>
      <xdr:row>16</xdr:row>
      <xdr:rowOff>19050</xdr:rowOff>
    </xdr:to>
    <xdr:sp macro="" textlink="" fLocksText="0">
      <xdr:nvSpPr>
        <xdr:cNvPr id="182" name="Oval 186">
          <a:extLst>
            <a:ext uri="{FF2B5EF4-FFF2-40B4-BE49-F238E27FC236}">
              <a16:creationId xmlns:a16="http://schemas.microsoft.com/office/drawing/2014/main" id="{00000000-0008-0000-0000-0000B6000000}"/>
            </a:ext>
          </a:extLst>
        </xdr:cNvPr>
        <xdr:cNvSpPr>
          <a:spLocks noChangeArrowheads="1"/>
        </xdr:cNvSpPr>
      </xdr:nvSpPr>
      <xdr:spPr bwMode="auto">
        <a:xfrm>
          <a:off x="1590675" y="2790825"/>
          <a:ext cx="19050"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47625</xdr:colOff>
      <xdr:row>40</xdr:row>
      <xdr:rowOff>114300</xdr:rowOff>
    </xdr:from>
    <xdr:to>
      <xdr:col>5</xdr:col>
      <xdr:colOff>152400</xdr:colOff>
      <xdr:row>41</xdr:row>
      <xdr:rowOff>8868</xdr:rowOff>
    </xdr:to>
    <xdr:sp macro="" textlink="" fLocksText="0">
      <xdr:nvSpPr>
        <xdr:cNvPr id="183" name="Oval 187">
          <a:extLst>
            <a:ext uri="{FF2B5EF4-FFF2-40B4-BE49-F238E27FC236}">
              <a16:creationId xmlns:a16="http://schemas.microsoft.com/office/drawing/2014/main" id="{00000000-0008-0000-0000-0000B7000000}"/>
            </a:ext>
          </a:extLst>
        </xdr:cNvPr>
        <xdr:cNvSpPr>
          <a:spLocks noChangeArrowheads="1"/>
        </xdr:cNvSpPr>
      </xdr:nvSpPr>
      <xdr:spPr bwMode="auto">
        <a:xfrm>
          <a:off x="2705100" y="7600950"/>
          <a:ext cx="104775" cy="94593"/>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209550</xdr:colOff>
      <xdr:row>39</xdr:row>
      <xdr:rowOff>114300</xdr:rowOff>
    </xdr:from>
    <xdr:to>
      <xdr:col>5</xdr:col>
      <xdr:colOff>466725</xdr:colOff>
      <xdr:row>39</xdr:row>
      <xdr:rowOff>114300</xdr:rowOff>
    </xdr:to>
    <xdr:sp macro="" textlink="">
      <xdr:nvSpPr>
        <xdr:cNvPr id="184" name="Line 188">
          <a:extLst>
            <a:ext uri="{FF2B5EF4-FFF2-40B4-BE49-F238E27FC236}">
              <a16:creationId xmlns:a16="http://schemas.microsoft.com/office/drawing/2014/main" id="{00000000-0008-0000-0000-0000B8000000}"/>
            </a:ext>
          </a:extLst>
        </xdr:cNvPr>
        <xdr:cNvSpPr>
          <a:spLocks noChangeShapeType="1"/>
        </xdr:cNvSpPr>
      </xdr:nvSpPr>
      <xdr:spPr bwMode="auto">
        <a:xfrm>
          <a:off x="2867025" y="7400925"/>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361950</xdr:colOff>
      <xdr:row>39</xdr:row>
      <xdr:rowOff>85725</xdr:rowOff>
    </xdr:from>
    <xdr:to>
      <xdr:col>5</xdr:col>
      <xdr:colOff>438150</xdr:colOff>
      <xdr:row>39</xdr:row>
      <xdr:rowOff>152400</xdr:rowOff>
    </xdr:to>
    <xdr:sp macro="" textlink="">
      <xdr:nvSpPr>
        <xdr:cNvPr id="185" name="Line 189">
          <a:extLst>
            <a:ext uri="{FF2B5EF4-FFF2-40B4-BE49-F238E27FC236}">
              <a16:creationId xmlns:a16="http://schemas.microsoft.com/office/drawing/2014/main" id="{00000000-0008-0000-0000-0000B9000000}"/>
            </a:ext>
          </a:extLst>
        </xdr:cNvPr>
        <xdr:cNvSpPr>
          <a:spLocks noChangeShapeType="1"/>
        </xdr:cNvSpPr>
      </xdr:nvSpPr>
      <xdr:spPr bwMode="auto">
        <a:xfrm flipH="1">
          <a:off x="3019425" y="73723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40</xdr:row>
      <xdr:rowOff>38100</xdr:rowOff>
    </xdr:from>
    <xdr:to>
      <xdr:col>4</xdr:col>
      <xdr:colOff>266700</xdr:colOff>
      <xdr:row>41</xdr:row>
      <xdr:rowOff>123825</xdr:rowOff>
    </xdr:to>
    <xdr:sp macro="" textlink="">
      <xdr:nvSpPr>
        <xdr:cNvPr id="186" name="Tegning 190">
          <a:extLst>
            <a:ext uri="{FF2B5EF4-FFF2-40B4-BE49-F238E27FC236}">
              <a16:creationId xmlns:a16="http://schemas.microsoft.com/office/drawing/2014/main" id="{00000000-0008-0000-0000-0000BA000000}"/>
            </a:ext>
          </a:extLst>
        </xdr:cNvPr>
        <xdr:cNvSpPr>
          <a:spLocks/>
        </xdr:cNvSpPr>
      </xdr:nvSpPr>
      <xdr:spPr bwMode="auto">
        <a:xfrm>
          <a:off x="2419350" y="7524750"/>
          <a:ext cx="180975" cy="285750"/>
        </a:xfrm>
        <a:custGeom>
          <a:avLst/>
          <a:gdLst>
            <a:gd name="T0" fmla="*/ 2147483646 w 16384"/>
            <a:gd name="T1" fmla="*/ 0 h 16384"/>
            <a:gd name="T2" fmla="*/ 2147483646 w 16384"/>
            <a:gd name="T3" fmla="*/ 2147483646 h 16384"/>
            <a:gd name="T4" fmla="*/ 0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8192"/>
              </a:lnTo>
              <a:lnTo>
                <a:pt x="0" y="8192"/>
              </a:lnTo>
              <a:lnTo>
                <a:pt x="0"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219075</xdr:colOff>
      <xdr:row>39</xdr:row>
      <xdr:rowOff>28575</xdr:rowOff>
    </xdr:from>
    <xdr:to>
      <xdr:col>5</xdr:col>
      <xdr:colOff>247650</xdr:colOff>
      <xdr:row>39</xdr:row>
      <xdr:rowOff>28575</xdr:rowOff>
    </xdr:to>
    <xdr:sp macro="" textlink="">
      <xdr:nvSpPr>
        <xdr:cNvPr id="187" name="Line 191">
          <a:extLst>
            <a:ext uri="{FF2B5EF4-FFF2-40B4-BE49-F238E27FC236}">
              <a16:creationId xmlns:a16="http://schemas.microsoft.com/office/drawing/2014/main" id="{00000000-0008-0000-0000-0000BB000000}"/>
            </a:ext>
          </a:extLst>
        </xdr:cNvPr>
        <xdr:cNvSpPr>
          <a:spLocks noChangeShapeType="1"/>
        </xdr:cNvSpPr>
      </xdr:nvSpPr>
      <xdr:spPr bwMode="auto">
        <a:xfrm>
          <a:off x="2552700" y="7315200"/>
          <a:ext cx="352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39</xdr:row>
      <xdr:rowOff>0</xdr:rowOff>
    </xdr:from>
    <xdr:to>
      <xdr:col>4</xdr:col>
      <xdr:colOff>266700</xdr:colOff>
      <xdr:row>40</xdr:row>
      <xdr:rowOff>0</xdr:rowOff>
    </xdr:to>
    <xdr:sp macro="" textlink="">
      <xdr:nvSpPr>
        <xdr:cNvPr id="188" name="Line 192">
          <a:extLst>
            <a:ext uri="{FF2B5EF4-FFF2-40B4-BE49-F238E27FC236}">
              <a16:creationId xmlns:a16="http://schemas.microsoft.com/office/drawing/2014/main" id="{00000000-0008-0000-0000-0000BC000000}"/>
            </a:ext>
          </a:extLst>
        </xdr:cNvPr>
        <xdr:cNvSpPr>
          <a:spLocks noChangeShapeType="1"/>
        </xdr:cNvSpPr>
      </xdr:nvSpPr>
      <xdr:spPr bwMode="auto">
        <a:xfrm>
          <a:off x="2600325" y="7286625"/>
          <a:ext cx="0"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38</xdr:row>
      <xdr:rowOff>190500</xdr:rowOff>
    </xdr:from>
    <xdr:to>
      <xdr:col>5</xdr:col>
      <xdr:colOff>209550</xdr:colOff>
      <xdr:row>40</xdr:row>
      <xdr:rowOff>9525</xdr:rowOff>
    </xdr:to>
    <xdr:sp macro="" textlink="">
      <xdr:nvSpPr>
        <xdr:cNvPr id="189" name="Line 193">
          <a:extLst>
            <a:ext uri="{FF2B5EF4-FFF2-40B4-BE49-F238E27FC236}">
              <a16:creationId xmlns:a16="http://schemas.microsoft.com/office/drawing/2014/main" id="{00000000-0008-0000-0000-0000BD000000}"/>
            </a:ext>
          </a:extLst>
        </xdr:cNvPr>
        <xdr:cNvSpPr>
          <a:spLocks noChangeShapeType="1"/>
        </xdr:cNvSpPr>
      </xdr:nvSpPr>
      <xdr:spPr bwMode="auto">
        <a:xfrm>
          <a:off x="2867025" y="7277100"/>
          <a:ext cx="0"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42</xdr:row>
      <xdr:rowOff>19050</xdr:rowOff>
    </xdr:from>
    <xdr:to>
      <xdr:col>5</xdr:col>
      <xdr:colOff>657225</xdr:colOff>
      <xdr:row>42</xdr:row>
      <xdr:rowOff>19050</xdr:rowOff>
    </xdr:to>
    <xdr:sp macro="" textlink="">
      <xdr:nvSpPr>
        <xdr:cNvPr id="190" name="Line 194">
          <a:extLst>
            <a:ext uri="{FF2B5EF4-FFF2-40B4-BE49-F238E27FC236}">
              <a16:creationId xmlns:a16="http://schemas.microsoft.com/office/drawing/2014/main" id="{00000000-0008-0000-0000-0000BE000000}"/>
            </a:ext>
          </a:extLst>
        </xdr:cNvPr>
        <xdr:cNvSpPr>
          <a:spLocks noChangeShapeType="1"/>
        </xdr:cNvSpPr>
      </xdr:nvSpPr>
      <xdr:spPr bwMode="auto">
        <a:xfrm>
          <a:off x="2752725" y="7896225"/>
          <a:ext cx="561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41</xdr:row>
      <xdr:rowOff>47625</xdr:rowOff>
    </xdr:from>
    <xdr:to>
      <xdr:col>5</xdr:col>
      <xdr:colOff>95250</xdr:colOff>
      <xdr:row>42</xdr:row>
      <xdr:rowOff>47625</xdr:rowOff>
    </xdr:to>
    <xdr:sp macro="" textlink="">
      <xdr:nvSpPr>
        <xdr:cNvPr id="191" name="Line 195">
          <a:extLst>
            <a:ext uri="{FF2B5EF4-FFF2-40B4-BE49-F238E27FC236}">
              <a16:creationId xmlns:a16="http://schemas.microsoft.com/office/drawing/2014/main" id="{00000000-0008-0000-0000-0000BF000000}"/>
            </a:ext>
          </a:extLst>
        </xdr:cNvPr>
        <xdr:cNvSpPr>
          <a:spLocks noChangeShapeType="1"/>
        </xdr:cNvSpPr>
      </xdr:nvSpPr>
      <xdr:spPr bwMode="auto">
        <a:xfrm>
          <a:off x="2752725" y="7734300"/>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39</xdr:row>
      <xdr:rowOff>66675</xdr:rowOff>
    </xdr:from>
    <xdr:to>
      <xdr:col>5</xdr:col>
      <xdr:colOff>409575</xdr:colOff>
      <xdr:row>39</xdr:row>
      <xdr:rowOff>171450</xdr:rowOff>
    </xdr:to>
    <xdr:sp macro="" textlink="">
      <xdr:nvSpPr>
        <xdr:cNvPr id="192" name="Line 196">
          <a:extLst>
            <a:ext uri="{FF2B5EF4-FFF2-40B4-BE49-F238E27FC236}">
              <a16:creationId xmlns:a16="http://schemas.microsoft.com/office/drawing/2014/main" id="{00000000-0008-0000-0000-0000C0000000}"/>
            </a:ext>
          </a:extLst>
        </xdr:cNvPr>
        <xdr:cNvSpPr>
          <a:spLocks noChangeShapeType="1"/>
        </xdr:cNvSpPr>
      </xdr:nvSpPr>
      <xdr:spPr bwMode="auto">
        <a:xfrm flipV="1">
          <a:off x="3067050" y="7353300"/>
          <a:ext cx="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41</xdr:row>
      <xdr:rowOff>161925</xdr:rowOff>
    </xdr:from>
    <xdr:to>
      <xdr:col>4</xdr:col>
      <xdr:colOff>85725</xdr:colOff>
      <xdr:row>43</xdr:row>
      <xdr:rowOff>47625</xdr:rowOff>
    </xdr:to>
    <xdr:sp macro="" textlink="">
      <xdr:nvSpPr>
        <xdr:cNvPr id="193" name="Line 197">
          <a:extLst>
            <a:ext uri="{FF2B5EF4-FFF2-40B4-BE49-F238E27FC236}">
              <a16:creationId xmlns:a16="http://schemas.microsoft.com/office/drawing/2014/main" id="{00000000-0008-0000-0000-0000C1000000}"/>
            </a:ext>
          </a:extLst>
        </xdr:cNvPr>
        <xdr:cNvSpPr>
          <a:spLocks noChangeShapeType="1"/>
        </xdr:cNvSpPr>
      </xdr:nvSpPr>
      <xdr:spPr bwMode="auto">
        <a:xfrm>
          <a:off x="2419350" y="7848600"/>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41</xdr:row>
      <xdr:rowOff>161925</xdr:rowOff>
    </xdr:from>
    <xdr:to>
      <xdr:col>5</xdr:col>
      <xdr:colOff>400050</xdr:colOff>
      <xdr:row>43</xdr:row>
      <xdr:rowOff>47625</xdr:rowOff>
    </xdr:to>
    <xdr:sp macro="" textlink="">
      <xdr:nvSpPr>
        <xdr:cNvPr id="194" name="Line 198">
          <a:extLst>
            <a:ext uri="{FF2B5EF4-FFF2-40B4-BE49-F238E27FC236}">
              <a16:creationId xmlns:a16="http://schemas.microsoft.com/office/drawing/2014/main" id="{00000000-0008-0000-0000-0000C2000000}"/>
            </a:ext>
          </a:extLst>
        </xdr:cNvPr>
        <xdr:cNvSpPr>
          <a:spLocks noChangeShapeType="1"/>
        </xdr:cNvSpPr>
      </xdr:nvSpPr>
      <xdr:spPr bwMode="auto">
        <a:xfrm>
          <a:off x="3057525" y="7848600"/>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43</xdr:row>
      <xdr:rowOff>28575</xdr:rowOff>
    </xdr:from>
    <xdr:to>
      <xdr:col>5</xdr:col>
      <xdr:colOff>447675</xdr:colOff>
      <xdr:row>43</xdr:row>
      <xdr:rowOff>28575</xdr:rowOff>
    </xdr:to>
    <xdr:sp macro="" textlink="">
      <xdr:nvSpPr>
        <xdr:cNvPr id="195" name="Line 199">
          <a:extLst>
            <a:ext uri="{FF2B5EF4-FFF2-40B4-BE49-F238E27FC236}">
              <a16:creationId xmlns:a16="http://schemas.microsoft.com/office/drawing/2014/main" id="{00000000-0008-0000-0000-0000C3000000}"/>
            </a:ext>
          </a:extLst>
        </xdr:cNvPr>
        <xdr:cNvSpPr>
          <a:spLocks noChangeShapeType="1"/>
        </xdr:cNvSpPr>
      </xdr:nvSpPr>
      <xdr:spPr bwMode="auto">
        <a:xfrm>
          <a:off x="2362200" y="8115300"/>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43</xdr:row>
      <xdr:rowOff>0</xdr:rowOff>
    </xdr:from>
    <xdr:to>
      <xdr:col>4</xdr:col>
      <xdr:colOff>123825</xdr:colOff>
      <xdr:row>43</xdr:row>
      <xdr:rowOff>66675</xdr:rowOff>
    </xdr:to>
    <xdr:sp macro="" textlink="">
      <xdr:nvSpPr>
        <xdr:cNvPr id="196" name="Line 200">
          <a:extLst>
            <a:ext uri="{FF2B5EF4-FFF2-40B4-BE49-F238E27FC236}">
              <a16:creationId xmlns:a16="http://schemas.microsoft.com/office/drawing/2014/main" id="{00000000-0008-0000-0000-0000C4000000}"/>
            </a:ext>
          </a:extLst>
        </xdr:cNvPr>
        <xdr:cNvSpPr>
          <a:spLocks noChangeShapeType="1"/>
        </xdr:cNvSpPr>
      </xdr:nvSpPr>
      <xdr:spPr bwMode="auto">
        <a:xfrm flipH="1">
          <a:off x="2381250" y="808672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361950</xdr:colOff>
      <xdr:row>43</xdr:row>
      <xdr:rowOff>0</xdr:rowOff>
    </xdr:from>
    <xdr:to>
      <xdr:col>5</xdr:col>
      <xdr:colOff>428625</xdr:colOff>
      <xdr:row>43</xdr:row>
      <xdr:rowOff>66675</xdr:rowOff>
    </xdr:to>
    <xdr:sp macro="" textlink="">
      <xdr:nvSpPr>
        <xdr:cNvPr id="197" name="Line 201">
          <a:extLst>
            <a:ext uri="{FF2B5EF4-FFF2-40B4-BE49-F238E27FC236}">
              <a16:creationId xmlns:a16="http://schemas.microsoft.com/office/drawing/2014/main" id="{00000000-0008-0000-0000-0000C5000000}"/>
            </a:ext>
          </a:extLst>
        </xdr:cNvPr>
        <xdr:cNvSpPr>
          <a:spLocks noChangeShapeType="1"/>
        </xdr:cNvSpPr>
      </xdr:nvSpPr>
      <xdr:spPr bwMode="auto">
        <a:xfrm flipH="1">
          <a:off x="3019425" y="8086725"/>
          <a:ext cx="666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41</xdr:row>
      <xdr:rowOff>161925</xdr:rowOff>
    </xdr:from>
    <xdr:to>
      <xdr:col>5</xdr:col>
      <xdr:colOff>142875</xdr:colOff>
      <xdr:row>42</xdr:row>
      <xdr:rowOff>47625</xdr:rowOff>
    </xdr:to>
    <xdr:sp macro="" textlink="">
      <xdr:nvSpPr>
        <xdr:cNvPr id="198" name="Line 202">
          <a:extLst>
            <a:ext uri="{FF2B5EF4-FFF2-40B4-BE49-F238E27FC236}">
              <a16:creationId xmlns:a16="http://schemas.microsoft.com/office/drawing/2014/main" id="{00000000-0008-0000-0000-0000C6000000}"/>
            </a:ext>
          </a:extLst>
        </xdr:cNvPr>
        <xdr:cNvSpPr>
          <a:spLocks noChangeShapeType="1"/>
        </xdr:cNvSpPr>
      </xdr:nvSpPr>
      <xdr:spPr bwMode="auto">
        <a:xfrm flipH="1">
          <a:off x="2724150" y="7848600"/>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39</xdr:row>
      <xdr:rowOff>0</xdr:rowOff>
    </xdr:from>
    <xdr:to>
      <xdr:col>4</xdr:col>
      <xdr:colOff>295275</xdr:colOff>
      <xdr:row>39</xdr:row>
      <xdr:rowOff>66675</xdr:rowOff>
    </xdr:to>
    <xdr:sp macro="" textlink="">
      <xdr:nvSpPr>
        <xdr:cNvPr id="199" name="Line 203">
          <a:extLst>
            <a:ext uri="{FF2B5EF4-FFF2-40B4-BE49-F238E27FC236}">
              <a16:creationId xmlns:a16="http://schemas.microsoft.com/office/drawing/2014/main" id="{00000000-0008-0000-0000-0000C7000000}"/>
            </a:ext>
          </a:extLst>
        </xdr:cNvPr>
        <xdr:cNvSpPr>
          <a:spLocks noChangeShapeType="1"/>
        </xdr:cNvSpPr>
      </xdr:nvSpPr>
      <xdr:spPr bwMode="auto">
        <a:xfrm flipH="1">
          <a:off x="2552700" y="728662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39</xdr:row>
      <xdr:rowOff>0</xdr:rowOff>
    </xdr:from>
    <xdr:to>
      <xdr:col>5</xdr:col>
      <xdr:colOff>238125</xdr:colOff>
      <xdr:row>39</xdr:row>
      <xdr:rowOff>76200</xdr:rowOff>
    </xdr:to>
    <xdr:sp macro="" textlink="">
      <xdr:nvSpPr>
        <xdr:cNvPr id="200" name="Line 204">
          <a:extLst>
            <a:ext uri="{FF2B5EF4-FFF2-40B4-BE49-F238E27FC236}">
              <a16:creationId xmlns:a16="http://schemas.microsoft.com/office/drawing/2014/main" id="{00000000-0008-0000-0000-0000C8000000}"/>
            </a:ext>
          </a:extLst>
        </xdr:cNvPr>
        <xdr:cNvSpPr>
          <a:spLocks noChangeShapeType="1"/>
        </xdr:cNvSpPr>
      </xdr:nvSpPr>
      <xdr:spPr bwMode="auto">
        <a:xfrm flipH="1">
          <a:off x="2828925" y="7286625"/>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39</xdr:row>
      <xdr:rowOff>85725</xdr:rowOff>
    </xdr:from>
    <xdr:to>
      <xdr:col>5</xdr:col>
      <xdr:colOff>238125</xdr:colOff>
      <xdr:row>39</xdr:row>
      <xdr:rowOff>152400</xdr:rowOff>
    </xdr:to>
    <xdr:sp macro="" textlink="">
      <xdr:nvSpPr>
        <xdr:cNvPr id="201" name="Line 205">
          <a:extLst>
            <a:ext uri="{FF2B5EF4-FFF2-40B4-BE49-F238E27FC236}">
              <a16:creationId xmlns:a16="http://schemas.microsoft.com/office/drawing/2014/main" id="{00000000-0008-0000-0000-0000C9000000}"/>
            </a:ext>
          </a:extLst>
        </xdr:cNvPr>
        <xdr:cNvSpPr>
          <a:spLocks noChangeShapeType="1"/>
        </xdr:cNvSpPr>
      </xdr:nvSpPr>
      <xdr:spPr bwMode="auto">
        <a:xfrm flipH="1">
          <a:off x="2828925" y="7372350"/>
          <a:ext cx="666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40</xdr:row>
      <xdr:rowOff>28575</xdr:rowOff>
    </xdr:from>
    <xdr:to>
      <xdr:col>5</xdr:col>
      <xdr:colOff>409575</xdr:colOff>
      <xdr:row>41</xdr:row>
      <xdr:rowOff>133350</xdr:rowOff>
    </xdr:to>
    <xdr:sp macro="" textlink="">
      <xdr:nvSpPr>
        <xdr:cNvPr id="202" name="Tegning 206">
          <a:extLst>
            <a:ext uri="{FF2B5EF4-FFF2-40B4-BE49-F238E27FC236}">
              <a16:creationId xmlns:a16="http://schemas.microsoft.com/office/drawing/2014/main" id="{00000000-0008-0000-0000-0000CA000000}"/>
            </a:ext>
          </a:extLst>
        </xdr:cNvPr>
        <xdr:cNvSpPr>
          <a:spLocks/>
        </xdr:cNvSpPr>
      </xdr:nvSpPr>
      <xdr:spPr bwMode="auto">
        <a:xfrm>
          <a:off x="2266950" y="7515225"/>
          <a:ext cx="800100" cy="304800"/>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16384" y="0"/>
              </a:lnTo>
              <a:lnTo>
                <a:pt x="16384" y="16384"/>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209550</xdr:colOff>
      <xdr:row>40</xdr:row>
      <xdr:rowOff>38100</xdr:rowOff>
    </xdr:from>
    <xdr:to>
      <xdr:col>5</xdr:col>
      <xdr:colOff>400050</xdr:colOff>
      <xdr:row>41</xdr:row>
      <xdr:rowOff>0</xdr:rowOff>
    </xdr:to>
    <xdr:sp macro="" textlink="">
      <xdr:nvSpPr>
        <xdr:cNvPr id="203" name="Tegning 207">
          <a:extLst>
            <a:ext uri="{FF2B5EF4-FFF2-40B4-BE49-F238E27FC236}">
              <a16:creationId xmlns:a16="http://schemas.microsoft.com/office/drawing/2014/main" id="{00000000-0008-0000-0000-0000CB000000}"/>
            </a:ext>
          </a:extLst>
        </xdr:cNvPr>
        <xdr:cNvSpPr>
          <a:spLocks/>
        </xdr:cNvSpPr>
      </xdr:nvSpPr>
      <xdr:spPr bwMode="auto">
        <a:xfrm>
          <a:off x="2867025" y="7524750"/>
          <a:ext cx="190500" cy="161925"/>
        </a:xfrm>
        <a:custGeom>
          <a:avLst/>
          <a:gdLst>
            <a:gd name="T0" fmla="*/ 0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0" y="16384"/>
              </a:lnTo>
              <a:lnTo>
                <a:pt x="16384"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38</xdr:row>
      <xdr:rowOff>123825</xdr:rowOff>
    </xdr:from>
    <xdr:to>
      <xdr:col>5</xdr:col>
      <xdr:colOff>742950</xdr:colOff>
      <xdr:row>38</xdr:row>
      <xdr:rowOff>123825</xdr:rowOff>
    </xdr:to>
    <xdr:sp macro="" textlink="">
      <xdr:nvSpPr>
        <xdr:cNvPr id="204" name="Line 208">
          <a:extLst>
            <a:ext uri="{FF2B5EF4-FFF2-40B4-BE49-F238E27FC236}">
              <a16:creationId xmlns:a16="http://schemas.microsoft.com/office/drawing/2014/main" id="{00000000-0008-0000-0000-0000CC000000}"/>
            </a:ext>
          </a:extLst>
        </xdr:cNvPr>
        <xdr:cNvSpPr>
          <a:spLocks noChangeShapeType="1"/>
        </xdr:cNvSpPr>
      </xdr:nvSpPr>
      <xdr:spPr bwMode="auto">
        <a:xfrm>
          <a:off x="2914650" y="7210425"/>
          <a:ext cx="485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42</xdr:row>
      <xdr:rowOff>114300</xdr:rowOff>
    </xdr:from>
    <xdr:to>
      <xdr:col>5</xdr:col>
      <xdr:colOff>733425</xdr:colOff>
      <xdr:row>42</xdr:row>
      <xdr:rowOff>114300</xdr:rowOff>
    </xdr:to>
    <xdr:sp macro="" textlink="">
      <xdr:nvSpPr>
        <xdr:cNvPr id="205" name="Line 209">
          <a:extLst>
            <a:ext uri="{FF2B5EF4-FFF2-40B4-BE49-F238E27FC236}">
              <a16:creationId xmlns:a16="http://schemas.microsoft.com/office/drawing/2014/main" id="{00000000-0008-0000-0000-0000CD000000}"/>
            </a:ext>
          </a:extLst>
        </xdr:cNvPr>
        <xdr:cNvSpPr>
          <a:spLocks noChangeShapeType="1"/>
        </xdr:cNvSpPr>
      </xdr:nvSpPr>
      <xdr:spPr bwMode="auto">
        <a:xfrm flipH="1">
          <a:off x="2924175" y="7991475"/>
          <a:ext cx="466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18</xdr:row>
      <xdr:rowOff>85725</xdr:rowOff>
    </xdr:from>
    <xdr:to>
      <xdr:col>2</xdr:col>
      <xdr:colOff>209550</xdr:colOff>
      <xdr:row>18</xdr:row>
      <xdr:rowOff>85725</xdr:rowOff>
    </xdr:to>
    <xdr:sp macro="" textlink="">
      <xdr:nvSpPr>
        <xdr:cNvPr id="206" name="Line 210">
          <a:extLst>
            <a:ext uri="{FF2B5EF4-FFF2-40B4-BE49-F238E27FC236}">
              <a16:creationId xmlns:a16="http://schemas.microsoft.com/office/drawing/2014/main" id="{00000000-0008-0000-0000-0000CE000000}"/>
            </a:ext>
          </a:extLst>
        </xdr:cNvPr>
        <xdr:cNvSpPr>
          <a:spLocks noChangeShapeType="1"/>
        </xdr:cNvSpPr>
      </xdr:nvSpPr>
      <xdr:spPr bwMode="auto">
        <a:xfrm flipH="1">
          <a:off x="971550" y="3295650"/>
          <a:ext cx="6191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17</xdr:row>
      <xdr:rowOff>0</xdr:rowOff>
    </xdr:from>
    <xdr:to>
      <xdr:col>2</xdr:col>
      <xdr:colOff>38100</xdr:colOff>
      <xdr:row>17</xdr:row>
      <xdr:rowOff>0</xdr:rowOff>
    </xdr:to>
    <xdr:sp macro="" textlink="">
      <xdr:nvSpPr>
        <xdr:cNvPr id="207" name="Line 211">
          <a:extLst>
            <a:ext uri="{FF2B5EF4-FFF2-40B4-BE49-F238E27FC236}">
              <a16:creationId xmlns:a16="http://schemas.microsoft.com/office/drawing/2014/main" id="{00000000-0008-0000-0000-0000CF000000}"/>
            </a:ext>
          </a:extLst>
        </xdr:cNvPr>
        <xdr:cNvSpPr>
          <a:spLocks noChangeShapeType="1"/>
        </xdr:cNvSpPr>
      </xdr:nvSpPr>
      <xdr:spPr bwMode="auto">
        <a:xfrm flipH="1">
          <a:off x="952500" y="3000375"/>
          <a:ext cx="4667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1123950</xdr:colOff>
      <xdr:row>16</xdr:row>
      <xdr:rowOff>180975</xdr:rowOff>
    </xdr:from>
    <xdr:to>
      <xdr:col>0</xdr:col>
      <xdr:colOff>1123950</xdr:colOff>
      <xdr:row>18</xdr:row>
      <xdr:rowOff>123825</xdr:rowOff>
    </xdr:to>
    <xdr:sp macro="" textlink="">
      <xdr:nvSpPr>
        <xdr:cNvPr id="208" name="Line 212">
          <a:extLst>
            <a:ext uri="{FF2B5EF4-FFF2-40B4-BE49-F238E27FC236}">
              <a16:creationId xmlns:a16="http://schemas.microsoft.com/office/drawing/2014/main" id="{00000000-0008-0000-0000-0000D0000000}"/>
            </a:ext>
          </a:extLst>
        </xdr:cNvPr>
        <xdr:cNvSpPr>
          <a:spLocks noChangeShapeType="1"/>
        </xdr:cNvSpPr>
      </xdr:nvSpPr>
      <xdr:spPr bwMode="auto">
        <a:xfrm>
          <a:off x="1123950" y="2981325"/>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1095375</xdr:colOff>
      <xdr:row>16</xdr:row>
      <xdr:rowOff>161925</xdr:rowOff>
    </xdr:from>
    <xdr:to>
      <xdr:col>0</xdr:col>
      <xdr:colOff>1152525</xdr:colOff>
      <xdr:row>17</xdr:row>
      <xdr:rowOff>19050</xdr:rowOff>
    </xdr:to>
    <xdr:sp macro="" textlink="">
      <xdr:nvSpPr>
        <xdr:cNvPr id="209" name="Line 213">
          <a:extLst>
            <a:ext uri="{FF2B5EF4-FFF2-40B4-BE49-F238E27FC236}">
              <a16:creationId xmlns:a16="http://schemas.microsoft.com/office/drawing/2014/main" id="{00000000-0008-0000-0000-0000D1000000}"/>
            </a:ext>
          </a:extLst>
        </xdr:cNvPr>
        <xdr:cNvSpPr>
          <a:spLocks noChangeShapeType="1"/>
        </xdr:cNvSpPr>
      </xdr:nvSpPr>
      <xdr:spPr bwMode="auto">
        <a:xfrm flipH="1">
          <a:off x="1095375" y="2962275"/>
          <a:ext cx="4762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1095375</xdr:colOff>
      <xdr:row>18</xdr:row>
      <xdr:rowOff>57150</xdr:rowOff>
    </xdr:from>
    <xdr:to>
      <xdr:col>0</xdr:col>
      <xdr:colOff>1143000</xdr:colOff>
      <xdr:row>18</xdr:row>
      <xdr:rowOff>114300</xdr:rowOff>
    </xdr:to>
    <xdr:sp macro="" textlink="">
      <xdr:nvSpPr>
        <xdr:cNvPr id="210" name="Line 214">
          <a:extLst>
            <a:ext uri="{FF2B5EF4-FFF2-40B4-BE49-F238E27FC236}">
              <a16:creationId xmlns:a16="http://schemas.microsoft.com/office/drawing/2014/main" id="{00000000-0008-0000-0000-0000D2000000}"/>
            </a:ext>
          </a:extLst>
        </xdr:cNvPr>
        <xdr:cNvSpPr>
          <a:spLocks noChangeShapeType="1"/>
        </xdr:cNvSpPr>
      </xdr:nvSpPr>
      <xdr:spPr bwMode="auto">
        <a:xfrm flipH="1">
          <a:off x="1095375" y="3267075"/>
          <a:ext cx="4762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485775</xdr:colOff>
      <xdr:row>40</xdr:row>
      <xdr:rowOff>38100</xdr:rowOff>
    </xdr:from>
    <xdr:to>
      <xdr:col>6</xdr:col>
      <xdr:colOff>390525</xdr:colOff>
      <xdr:row>40</xdr:row>
      <xdr:rowOff>38100</xdr:rowOff>
    </xdr:to>
    <xdr:sp macro="" textlink="">
      <xdr:nvSpPr>
        <xdr:cNvPr id="211" name="Line 215">
          <a:extLst>
            <a:ext uri="{FF2B5EF4-FFF2-40B4-BE49-F238E27FC236}">
              <a16:creationId xmlns:a16="http://schemas.microsoft.com/office/drawing/2014/main" id="{00000000-0008-0000-0000-0000D3000000}"/>
            </a:ext>
          </a:extLst>
        </xdr:cNvPr>
        <xdr:cNvSpPr>
          <a:spLocks noChangeShapeType="1"/>
        </xdr:cNvSpPr>
      </xdr:nvSpPr>
      <xdr:spPr bwMode="auto">
        <a:xfrm>
          <a:off x="3143250" y="7524750"/>
          <a:ext cx="657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142875</xdr:colOff>
      <xdr:row>41</xdr:row>
      <xdr:rowOff>133350</xdr:rowOff>
    </xdr:from>
    <xdr:to>
      <xdr:col>6</xdr:col>
      <xdr:colOff>371475</xdr:colOff>
      <xdr:row>41</xdr:row>
      <xdr:rowOff>133350</xdr:rowOff>
    </xdr:to>
    <xdr:sp macro="" textlink="">
      <xdr:nvSpPr>
        <xdr:cNvPr id="212" name="Line 216">
          <a:extLst>
            <a:ext uri="{FF2B5EF4-FFF2-40B4-BE49-F238E27FC236}">
              <a16:creationId xmlns:a16="http://schemas.microsoft.com/office/drawing/2014/main" id="{00000000-0008-0000-0000-0000D4000000}"/>
            </a:ext>
          </a:extLst>
        </xdr:cNvPr>
        <xdr:cNvSpPr>
          <a:spLocks noChangeShapeType="1"/>
        </xdr:cNvSpPr>
      </xdr:nvSpPr>
      <xdr:spPr bwMode="auto">
        <a:xfrm>
          <a:off x="3552825" y="7820025"/>
          <a:ext cx="228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342900</xdr:colOff>
      <xdr:row>40</xdr:row>
      <xdr:rowOff>9525</xdr:rowOff>
    </xdr:from>
    <xdr:to>
      <xdr:col>6</xdr:col>
      <xdr:colOff>342900</xdr:colOff>
      <xdr:row>41</xdr:row>
      <xdr:rowOff>161925</xdr:rowOff>
    </xdr:to>
    <xdr:sp macro="" textlink="">
      <xdr:nvSpPr>
        <xdr:cNvPr id="213" name="Line 217">
          <a:extLst>
            <a:ext uri="{FF2B5EF4-FFF2-40B4-BE49-F238E27FC236}">
              <a16:creationId xmlns:a16="http://schemas.microsoft.com/office/drawing/2014/main" id="{00000000-0008-0000-0000-0000D5000000}"/>
            </a:ext>
          </a:extLst>
        </xdr:cNvPr>
        <xdr:cNvSpPr>
          <a:spLocks noChangeShapeType="1"/>
        </xdr:cNvSpPr>
      </xdr:nvSpPr>
      <xdr:spPr bwMode="auto">
        <a:xfrm>
          <a:off x="3752850" y="7496175"/>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314325</xdr:colOff>
      <xdr:row>40</xdr:row>
      <xdr:rowOff>0</xdr:rowOff>
    </xdr:from>
    <xdr:to>
      <xdr:col>6</xdr:col>
      <xdr:colOff>390525</xdr:colOff>
      <xdr:row>40</xdr:row>
      <xdr:rowOff>66675</xdr:rowOff>
    </xdr:to>
    <xdr:sp macro="" textlink="">
      <xdr:nvSpPr>
        <xdr:cNvPr id="214" name="Line 218">
          <a:extLst>
            <a:ext uri="{FF2B5EF4-FFF2-40B4-BE49-F238E27FC236}">
              <a16:creationId xmlns:a16="http://schemas.microsoft.com/office/drawing/2014/main" id="{00000000-0008-0000-0000-0000D6000000}"/>
            </a:ext>
          </a:extLst>
        </xdr:cNvPr>
        <xdr:cNvSpPr>
          <a:spLocks noChangeShapeType="1"/>
        </xdr:cNvSpPr>
      </xdr:nvSpPr>
      <xdr:spPr bwMode="auto">
        <a:xfrm flipH="1">
          <a:off x="3724275" y="74866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304800</xdr:colOff>
      <xdr:row>41</xdr:row>
      <xdr:rowOff>85725</xdr:rowOff>
    </xdr:from>
    <xdr:to>
      <xdr:col>6</xdr:col>
      <xdr:colOff>381000</xdr:colOff>
      <xdr:row>41</xdr:row>
      <xdr:rowOff>161925</xdr:rowOff>
    </xdr:to>
    <xdr:sp macro="" textlink="">
      <xdr:nvSpPr>
        <xdr:cNvPr id="215" name="Line 219">
          <a:extLst>
            <a:ext uri="{FF2B5EF4-FFF2-40B4-BE49-F238E27FC236}">
              <a16:creationId xmlns:a16="http://schemas.microsoft.com/office/drawing/2014/main" id="{00000000-0008-0000-0000-0000D7000000}"/>
            </a:ext>
          </a:extLst>
        </xdr:cNvPr>
        <xdr:cNvSpPr>
          <a:spLocks noChangeShapeType="1"/>
        </xdr:cNvSpPr>
      </xdr:nvSpPr>
      <xdr:spPr bwMode="auto">
        <a:xfrm flipH="1">
          <a:off x="3714750" y="7772400"/>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41</xdr:row>
      <xdr:rowOff>171450</xdr:rowOff>
    </xdr:from>
    <xdr:to>
      <xdr:col>5</xdr:col>
      <xdr:colOff>447675</xdr:colOff>
      <xdr:row>42</xdr:row>
      <xdr:rowOff>66675</xdr:rowOff>
    </xdr:to>
    <xdr:sp macro="" textlink="">
      <xdr:nvSpPr>
        <xdr:cNvPr id="216" name="Line 220">
          <a:extLst>
            <a:ext uri="{FF2B5EF4-FFF2-40B4-BE49-F238E27FC236}">
              <a16:creationId xmlns:a16="http://schemas.microsoft.com/office/drawing/2014/main" id="{00000000-0008-0000-0000-0000D8000000}"/>
            </a:ext>
          </a:extLst>
        </xdr:cNvPr>
        <xdr:cNvSpPr>
          <a:spLocks noChangeShapeType="1"/>
        </xdr:cNvSpPr>
      </xdr:nvSpPr>
      <xdr:spPr bwMode="auto">
        <a:xfrm flipH="1">
          <a:off x="3038475" y="785812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20</xdr:row>
      <xdr:rowOff>142875</xdr:rowOff>
    </xdr:from>
    <xdr:to>
      <xdr:col>5</xdr:col>
      <xdr:colOff>38100</xdr:colOff>
      <xdr:row>21</xdr:row>
      <xdr:rowOff>47625</xdr:rowOff>
    </xdr:to>
    <xdr:sp macro="" textlink="">
      <xdr:nvSpPr>
        <xdr:cNvPr id="217" name="Tegning 222">
          <a:extLst>
            <a:ext uri="{FF2B5EF4-FFF2-40B4-BE49-F238E27FC236}">
              <a16:creationId xmlns:a16="http://schemas.microsoft.com/office/drawing/2014/main" id="{00000000-0008-0000-0000-0000D9000000}"/>
            </a:ext>
          </a:extLst>
        </xdr:cNvPr>
        <xdr:cNvSpPr>
          <a:spLocks/>
        </xdr:cNvSpPr>
      </xdr:nvSpPr>
      <xdr:spPr bwMode="auto">
        <a:xfrm>
          <a:off x="1847850" y="3733800"/>
          <a:ext cx="847725" cy="104775"/>
        </a:xfrm>
        <a:custGeom>
          <a:avLst/>
          <a:gdLst>
            <a:gd name="T0" fmla="*/ 2147483646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762" y="2891"/>
              </a:moveTo>
              <a:lnTo>
                <a:pt x="0" y="8674"/>
              </a:lnTo>
              <a:lnTo>
                <a:pt x="1016" y="16384"/>
              </a:lnTo>
              <a:lnTo>
                <a:pt x="0" y="8674"/>
              </a:lnTo>
              <a:lnTo>
                <a:pt x="16384" y="8674"/>
              </a:lnTo>
              <a:lnTo>
                <a:pt x="15241" y="0"/>
              </a:lnTo>
              <a:lnTo>
                <a:pt x="16257" y="7710"/>
              </a:lnTo>
              <a:lnTo>
                <a:pt x="15368" y="14456"/>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400050</xdr:colOff>
      <xdr:row>20</xdr:row>
      <xdr:rowOff>95250</xdr:rowOff>
    </xdr:from>
    <xdr:to>
      <xdr:col>2</xdr:col>
      <xdr:colOff>476250</xdr:colOff>
      <xdr:row>21</xdr:row>
      <xdr:rowOff>95250</xdr:rowOff>
    </xdr:to>
    <xdr:sp macro="" textlink="">
      <xdr:nvSpPr>
        <xdr:cNvPr id="218" name="Tegning 223">
          <a:extLst>
            <a:ext uri="{FF2B5EF4-FFF2-40B4-BE49-F238E27FC236}">
              <a16:creationId xmlns:a16="http://schemas.microsoft.com/office/drawing/2014/main" id="{00000000-0008-0000-0000-0000DA000000}"/>
            </a:ext>
          </a:extLst>
        </xdr:cNvPr>
        <xdr:cNvSpPr>
          <a:spLocks/>
        </xdr:cNvSpPr>
      </xdr:nvSpPr>
      <xdr:spPr bwMode="auto">
        <a:xfrm>
          <a:off x="1781175" y="3686175"/>
          <a:ext cx="76200" cy="200025"/>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2493"/>
              </a:moveTo>
              <a:lnTo>
                <a:pt x="6746" y="0"/>
              </a:lnTo>
              <a:lnTo>
                <a:pt x="14456" y="2849"/>
              </a:lnTo>
              <a:lnTo>
                <a:pt x="7710" y="356"/>
              </a:lnTo>
              <a:lnTo>
                <a:pt x="7710" y="16384"/>
              </a:lnTo>
              <a:lnTo>
                <a:pt x="0" y="13535"/>
              </a:lnTo>
              <a:lnTo>
                <a:pt x="7710" y="16384"/>
              </a:lnTo>
              <a:lnTo>
                <a:pt x="16384" y="13178"/>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76200</xdr:colOff>
      <xdr:row>20</xdr:row>
      <xdr:rowOff>95250</xdr:rowOff>
    </xdr:from>
    <xdr:to>
      <xdr:col>5</xdr:col>
      <xdr:colOff>152400</xdr:colOff>
      <xdr:row>21</xdr:row>
      <xdr:rowOff>95250</xdr:rowOff>
    </xdr:to>
    <xdr:sp macro="" textlink="">
      <xdr:nvSpPr>
        <xdr:cNvPr id="219" name="Tegning 224">
          <a:extLst>
            <a:ext uri="{FF2B5EF4-FFF2-40B4-BE49-F238E27FC236}">
              <a16:creationId xmlns:a16="http://schemas.microsoft.com/office/drawing/2014/main" id="{00000000-0008-0000-0000-0000DB000000}"/>
            </a:ext>
          </a:extLst>
        </xdr:cNvPr>
        <xdr:cNvSpPr>
          <a:spLocks/>
        </xdr:cNvSpPr>
      </xdr:nvSpPr>
      <xdr:spPr bwMode="auto">
        <a:xfrm>
          <a:off x="2733675" y="3686175"/>
          <a:ext cx="76200" cy="200025"/>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2493"/>
              </a:moveTo>
              <a:lnTo>
                <a:pt x="6746" y="0"/>
              </a:lnTo>
              <a:lnTo>
                <a:pt x="14456" y="2849"/>
              </a:lnTo>
              <a:lnTo>
                <a:pt x="7710" y="356"/>
              </a:lnTo>
              <a:lnTo>
                <a:pt x="7710" y="16384"/>
              </a:lnTo>
              <a:lnTo>
                <a:pt x="0" y="13535"/>
              </a:lnTo>
              <a:lnTo>
                <a:pt x="7710" y="16384"/>
              </a:lnTo>
              <a:lnTo>
                <a:pt x="16384" y="13178"/>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447675</xdr:colOff>
      <xdr:row>21</xdr:row>
      <xdr:rowOff>76200</xdr:rowOff>
    </xdr:from>
    <xdr:to>
      <xdr:col>5</xdr:col>
      <xdr:colOff>104775</xdr:colOff>
      <xdr:row>21</xdr:row>
      <xdr:rowOff>152400</xdr:rowOff>
    </xdr:to>
    <xdr:sp macro="" textlink="">
      <xdr:nvSpPr>
        <xdr:cNvPr id="220" name="Tegning 225">
          <a:extLst>
            <a:ext uri="{FF2B5EF4-FFF2-40B4-BE49-F238E27FC236}">
              <a16:creationId xmlns:a16="http://schemas.microsoft.com/office/drawing/2014/main" id="{00000000-0008-0000-0000-0000DC000000}"/>
            </a:ext>
          </a:extLst>
        </xdr:cNvPr>
        <xdr:cNvSpPr>
          <a:spLocks/>
        </xdr:cNvSpPr>
      </xdr:nvSpPr>
      <xdr:spPr bwMode="auto">
        <a:xfrm>
          <a:off x="1828800" y="3867150"/>
          <a:ext cx="933450" cy="76200"/>
        </a:xfrm>
        <a:custGeom>
          <a:avLst/>
          <a:gdLst>
            <a:gd name="T0" fmla="*/ 2147483646 w 16384"/>
            <a:gd name="T1" fmla="*/ 0 h 16384"/>
            <a:gd name="T2" fmla="*/ 0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701" y="0"/>
              </a:moveTo>
              <a:lnTo>
                <a:pt x="0" y="8192"/>
              </a:lnTo>
              <a:lnTo>
                <a:pt x="701" y="16384"/>
              </a:lnTo>
              <a:lnTo>
                <a:pt x="0" y="8192"/>
              </a:lnTo>
              <a:lnTo>
                <a:pt x="16384" y="8192"/>
              </a:lnTo>
              <a:lnTo>
                <a:pt x="15683" y="0"/>
              </a:lnTo>
              <a:lnTo>
                <a:pt x="16296" y="7168"/>
              </a:lnTo>
              <a:lnTo>
                <a:pt x="15508"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228600</xdr:colOff>
      <xdr:row>19</xdr:row>
      <xdr:rowOff>190500</xdr:rowOff>
    </xdr:from>
    <xdr:to>
      <xdr:col>3</xdr:col>
      <xdr:colOff>238125</xdr:colOff>
      <xdr:row>20</xdr:row>
      <xdr:rowOff>200025</xdr:rowOff>
    </xdr:to>
    <xdr:sp macro="" textlink="">
      <xdr:nvSpPr>
        <xdr:cNvPr id="221" name="Line 226">
          <a:extLst>
            <a:ext uri="{FF2B5EF4-FFF2-40B4-BE49-F238E27FC236}">
              <a16:creationId xmlns:a16="http://schemas.microsoft.com/office/drawing/2014/main" id="{00000000-0008-0000-0000-0000DD000000}"/>
            </a:ext>
          </a:extLst>
        </xdr:cNvPr>
        <xdr:cNvSpPr>
          <a:spLocks noChangeShapeType="1"/>
        </xdr:cNvSpPr>
      </xdr:nvSpPr>
      <xdr:spPr bwMode="auto">
        <a:xfrm>
          <a:off x="2190750" y="3590925"/>
          <a:ext cx="9525"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428625</xdr:colOff>
      <xdr:row>19</xdr:row>
      <xdr:rowOff>180975</xdr:rowOff>
    </xdr:from>
    <xdr:to>
      <xdr:col>2</xdr:col>
      <xdr:colOff>476250</xdr:colOff>
      <xdr:row>20</xdr:row>
      <xdr:rowOff>95250</xdr:rowOff>
    </xdr:to>
    <xdr:sp macro="" textlink="">
      <xdr:nvSpPr>
        <xdr:cNvPr id="222" name="Line 227">
          <a:extLst>
            <a:ext uri="{FF2B5EF4-FFF2-40B4-BE49-F238E27FC236}">
              <a16:creationId xmlns:a16="http://schemas.microsoft.com/office/drawing/2014/main" id="{00000000-0008-0000-0000-0000DE000000}"/>
            </a:ext>
          </a:extLst>
        </xdr:cNvPr>
        <xdr:cNvSpPr>
          <a:spLocks noChangeShapeType="1"/>
        </xdr:cNvSpPr>
      </xdr:nvSpPr>
      <xdr:spPr bwMode="auto">
        <a:xfrm flipH="1">
          <a:off x="1809750" y="3581400"/>
          <a:ext cx="476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19</xdr:row>
      <xdr:rowOff>180975</xdr:rowOff>
    </xdr:from>
    <xdr:to>
      <xdr:col>5</xdr:col>
      <xdr:colOff>114300</xdr:colOff>
      <xdr:row>20</xdr:row>
      <xdr:rowOff>85725</xdr:rowOff>
    </xdr:to>
    <xdr:sp macro="" textlink="">
      <xdr:nvSpPr>
        <xdr:cNvPr id="223" name="Line 228">
          <a:extLst>
            <a:ext uri="{FF2B5EF4-FFF2-40B4-BE49-F238E27FC236}">
              <a16:creationId xmlns:a16="http://schemas.microsoft.com/office/drawing/2014/main" id="{00000000-0008-0000-0000-0000DF000000}"/>
            </a:ext>
          </a:extLst>
        </xdr:cNvPr>
        <xdr:cNvSpPr>
          <a:spLocks noChangeShapeType="1"/>
        </xdr:cNvSpPr>
      </xdr:nvSpPr>
      <xdr:spPr bwMode="auto">
        <a:xfrm>
          <a:off x="2743200" y="3581400"/>
          <a:ext cx="285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24</xdr:row>
      <xdr:rowOff>180975</xdr:rowOff>
    </xdr:from>
    <xdr:to>
      <xdr:col>3</xdr:col>
      <xdr:colOff>57150</xdr:colOff>
      <xdr:row>26</xdr:row>
      <xdr:rowOff>28575</xdr:rowOff>
    </xdr:to>
    <xdr:sp macro="" textlink="">
      <xdr:nvSpPr>
        <xdr:cNvPr id="224" name="Tegning 229">
          <a:extLst>
            <a:ext uri="{FF2B5EF4-FFF2-40B4-BE49-F238E27FC236}">
              <a16:creationId xmlns:a16="http://schemas.microsoft.com/office/drawing/2014/main" id="{00000000-0008-0000-0000-0000E0000000}"/>
            </a:ext>
          </a:extLst>
        </xdr:cNvPr>
        <xdr:cNvSpPr>
          <a:spLocks/>
        </xdr:cNvSpPr>
      </xdr:nvSpPr>
      <xdr:spPr bwMode="auto">
        <a:xfrm>
          <a:off x="1885950" y="4552950"/>
          <a:ext cx="133350" cy="238125"/>
        </a:xfrm>
        <a:custGeom>
          <a:avLst/>
          <a:gdLst>
            <a:gd name="T0" fmla="*/ 2147483646 w 16384"/>
            <a:gd name="T1" fmla="*/ 0 h 16384"/>
            <a:gd name="T2" fmla="*/ 2147483646 w 16384"/>
            <a:gd name="T3" fmla="*/ 2147483646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0" y="12047"/>
              </a:lnTo>
              <a:lnTo>
                <a:pt x="8192" y="16384"/>
              </a:lnTo>
              <a:lnTo>
                <a:pt x="16384" y="12047"/>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171450</xdr:colOff>
      <xdr:row>23</xdr:row>
      <xdr:rowOff>209550</xdr:rowOff>
    </xdr:from>
    <xdr:to>
      <xdr:col>5</xdr:col>
      <xdr:colOff>0</xdr:colOff>
      <xdr:row>25</xdr:row>
      <xdr:rowOff>28575</xdr:rowOff>
    </xdr:to>
    <xdr:sp macro="" textlink="">
      <xdr:nvSpPr>
        <xdr:cNvPr id="225" name="Tegning 230">
          <a:extLst>
            <a:ext uri="{FF2B5EF4-FFF2-40B4-BE49-F238E27FC236}">
              <a16:creationId xmlns:a16="http://schemas.microsoft.com/office/drawing/2014/main" id="{00000000-0008-0000-0000-0000E1000000}"/>
            </a:ext>
          </a:extLst>
        </xdr:cNvPr>
        <xdr:cNvSpPr>
          <a:spLocks/>
        </xdr:cNvSpPr>
      </xdr:nvSpPr>
      <xdr:spPr bwMode="auto">
        <a:xfrm>
          <a:off x="2505075" y="4371975"/>
          <a:ext cx="152400" cy="228600"/>
        </a:xfrm>
        <a:custGeom>
          <a:avLst/>
          <a:gdLst>
            <a:gd name="T0" fmla="*/ 2147483646 w 16384"/>
            <a:gd name="T1" fmla="*/ 0 h 16384"/>
            <a:gd name="T2" fmla="*/ 2147483646 w 16384"/>
            <a:gd name="T3" fmla="*/ 2147483646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0" y="12047"/>
              </a:lnTo>
              <a:lnTo>
                <a:pt x="8192" y="16384"/>
              </a:lnTo>
              <a:lnTo>
                <a:pt x="16384" y="12047"/>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38</xdr:col>
      <xdr:colOff>0</xdr:colOff>
      <xdr:row>13</xdr:row>
      <xdr:rowOff>38100</xdr:rowOff>
    </xdr:from>
    <xdr:to>
      <xdr:col>38</xdr:col>
      <xdr:colOff>0</xdr:colOff>
      <xdr:row>15</xdr:row>
      <xdr:rowOff>28575</xdr:rowOff>
    </xdr:to>
    <xdr:sp macro="" textlink="">
      <xdr:nvSpPr>
        <xdr:cNvPr id="226" name="Line 232">
          <a:extLst>
            <a:ext uri="{FF2B5EF4-FFF2-40B4-BE49-F238E27FC236}">
              <a16:creationId xmlns:a16="http://schemas.microsoft.com/office/drawing/2014/main" id="{00000000-0008-0000-0000-0000E2000000}"/>
            </a:ext>
          </a:extLst>
        </xdr:cNvPr>
        <xdr:cNvSpPr>
          <a:spLocks noChangeShapeType="1"/>
        </xdr:cNvSpPr>
      </xdr:nvSpPr>
      <xdr:spPr bwMode="auto">
        <a:xfrm flipV="1">
          <a:off x="27822525" y="2257425"/>
          <a:ext cx="0" cy="3714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47625</xdr:colOff>
      <xdr:row>14</xdr:row>
      <xdr:rowOff>38100</xdr:rowOff>
    </xdr:from>
    <xdr:to>
      <xdr:col>39</xdr:col>
      <xdr:colOff>47625</xdr:colOff>
      <xdr:row>16</xdr:row>
      <xdr:rowOff>38100</xdr:rowOff>
    </xdr:to>
    <xdr:sp macro="" textlink="">
      <xdr:nvSpPr>
        <xdr:cNvPr id="227" name="Line 233">
          <a:extLst>
            <a:ext uri="{FF2B5EF4-FFF2-40B4-BE49-F238E27FC236}">
              <a16:creationId xmlns:a16="http://schemas.microsoft.com/office/drawing/2014/main" id="{00000000-0008-0000-0000-0000E3000000}"/>
            </a:ext>
          </a:extLst>
        </xdr:cNvPr>
        <xdr:cNvSpPr>
          <a:spLocks noChangeShapeType="1"/>
        </xdr:cNvSpPr>
      </xdr:nvSpPr>
      <xdr:spPr bwMode="auto">
        <a:xfrm flipV="1">
          <a:off x="28622625" y="2447925"/>
          <a:ext cx="0" cy="39052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38</xdr:col>
      <xdr:colOff>190500</xdr:colOff>
      <xdr:row>11</xdr:row>
      <xdr:rowOff>28575</xdr:rowOff>
    </xdr:from>
    <xdr:to>
      <xdr:col>38</xdr:col>
      <xdr:colOff>190500</xdr:colOff>
      <xdr:row>13</xdr:row>
      <xdr:rowOff>47625</xdr:rowOff>
    </xdr:to>
    <xdr:sp macro="" textlink="">
      <xdr:nvSpPr>
        <xdr:cNvPr id="228" name="Line 234">
          <a:extLst>
            <a:ext uri="{FF2B5EF4-FFF2-40B4-BE49-F238E27FC236}">
              <a16:creationId xmlns:a16="http://schemas.microsoft.com/office/drawing/2014/main" id="{00000000-0008-0000-0000-0000E4000000}"/>
            </a:ext>
          </a:extLst>
        </xdr:cNvPr>
        <xdr:cNvSpPr>
          <a:spLocks noChangeShapeType="1"/>
        </xdr:cNvSpPr>
      </xdr:nvSpPr>
      <xdr:spPr bwMode="auto">
        <a:xfrm>
          <a:off x="28013025" y="1857375"/>
          <a:ext cx="0" cy="4095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355</xdr:row>
      <xdr:rowOff>46311</xdr:rowOff>
    </xdr:from>
    <xdr:to>
      <xdr:col>4</xdr:col>
      <xdr:colOff>152400</xdr:colOff>
      <xdr:row>355</xdr:row>
      <xdr:rowOff>74886</xdr:rowOff>
    </xdr:to>
    <xdr:sp macro="" textlink="" fLocksText="0">
      <xdr:nvSpPr>
        <xdr:cNvPr id="229" name="Oval 240">
          <a:extLst>
            <a:ext uri="{FF2B5EF4-FFF2-40B4-BE49-F238E27FC236}">
              <a16:creationId xmlns:a16="http://schemas.microsoft.com/office/drawing/2014/main" id="{00000000-0008-0000-0000-0000E5000000}"/>
            </a:ext>
          </a:extLst>
        </xdr:cNvPr>
        <xdr:cNvSpPr>
          <a:spLocks noChangeArrowheads="1"/>
        </xdr:cNvSpPr>
      </xdr:nvSpPr>
      <xdr:spPr bwMode="auto">
        <a:xfrm>
          <a:off x="2457450" y="68397711"/>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152400</xdr:colOff>
      <xdr:row>356</xdr:row>
      <xdr:rowOff>142875</xdr:rowOff>
    </xdr:from>
    <xdr:to>
      <xdr:col>4</xdr:col>
      <xdr:colOff>314325</xdr:colOff>
      <xdr:row>357</xdr:row>
      <xdr:rowOff>209550</xdr:rowOff>
    </xdr:to>
    <xdr:sp macro="" textlink="">
      <xdr:nvSpPr>
        <xdr:cNvPr id="230" name="Line 242">
          <a:extLst>
            <a:ext uri="{FF2B5EF4-FFF2-40B4-BE49-F238E27FC236}">
              <a16:creationId xmlns:a16="http://schemas.microsoft.com/office/drawing/2014/main" id="{00000000-0008-0000-0000-0000E6000000}"/>
            </a:ext>
          </a:extLst>
        </xdr:cNvPr>
        <xdr:cNvSpPr>
          <a:spLocks noChangeShapeType="1"/>
        </xdr:cNvSpPr>
      </xdr:nvSpPr>
      <xdr:spPr bwMode="auto">
        <a:xfrm flipH="1">
          <a:off x="2486025" y="68684775"/>
          <a:ext cx="161925"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356</xdr:row>
      <xdr:rowOff>142875</xdr:rowOff>
    </xdr:from>
    <xdr:to>
      <xdr:col>3</xdr:col>
      <xdr:colOff>0</xdr:colOff>
      <xdr:row>357</xdr:row>
      <xdr:rowOff>95250</xdr:rowOff>
    </xdr:to>
    <xdr:sp macro="" textlink="">
      <xdr:nvSpPr>
        <xdr:cNvPr id="231" name="Line 243">
          <a:extLst>
            <a:ext uri="{FF2B5EF4-FFF2-40B4-BE49-F238E27FC236}">
              <a16:creationId xmlns:a16="http://schemas.microsoft.com/office/drawing/2014/main" id="{00000000-0008-0000-0000-0000E7000000}"/>
            </a:ext>
          </a:extLst>
        </xdr:cNvPr>
        <xdr:cNvSpPr>
          <a:spLocks noChangeShapeType="1"/>
        </xdr:cNvSpPr>
      </xdr:nvSpPr>
      <xdr:spPr bwMode="auto">
        <a:xfrm flipH="1">
          <a:off x="1781175" y="68684775"/>
          <a:ext cx="18097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390525</xdr:colOff>
      <xdr:row>97</xdr:row>
      <xdr:rowOff>104775</xdr:rowOff>
    </xdr:from>
    <xdr:to>
      <xdr:col>13</xdr:col>
      <xdr:colOff>790575</xdr:colOff>
      <xdr:row>97</xdr:row>
      <xdr:rowOff>104775</xdr:rowOff>
    </xdr:to>
    <xdr:sp macro="" textlink="">
      <xdr:nvSpPr>
        <xdr:cNvPr id="232" name="Line 244">
          <a:extLst>
            <a:ext uri="{FF2B5EF4-FFF2-40B4-BE49-F238E27FC236}">
              <a16:creationId xmlns:a16="http://schemas.microsoft.com/office/drawing/2014/main" id="{00000000-0008-0000-0000-0000E8000000}"/>
            </a:ext>
          </a:extLst>
        </xdr:cNvPr>
        <xdr:cNvSpPr>
          <a:spLocks noChangeShapeType="1"/>
        </xdr:cNvSpPr>
      </xdr:nvSpPr>
      <xdr:spPr bwMode="auto">
        <a:xfrm flipH="1">
          <a:off x="8543925" y="18754725"/>
          <a:ext cx="4000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387</xdr:row>
      <xdr:rowOff>76200</xdr:rowOff>
    </xdr:from>
    <xdr:to>
      <xdr:col>5</xdr:col>
      <xdr:colOff>38100</xdr:colOff>
      <xdr:row>389</xdr:row>
      <xdr:rowOff>114300</xdr:rowOff>
    </xdr:to>
    <xdr:sp macro="" textlink="">
      <xdr:nvSpPr>
        <xdr:cNvPr id="233" name="Tegning 245">
          <a:extLst>
            <a:ext uri="{FF2B5EF4-FFF2-40B4-BE49-F238E27FC236}">
              <a16:creationId xmlns:a16="http://schemas.microsoft.com/office/drawing/2014/main" id="{00000000-0008-0000-0000-0000E9000000}"/>
            </a:ext>
          </a:extLst>
        </xdr:cNvPr>
        <xdr:cNvSpPr>
          <a:spLocks/>
        </xdr:cNvSpPr>
      </xdr:nvSpPr>
      <xdr:spPr bwMode="auto">
        <a:xfrm>
          <a:off x="1590675" y="74618850"/>
          <a:ext cx="1104900" cy="41910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152400</xdr:colOff>
      <xdr:row>395</xdr:row>
      <xdr:rowOff>66675</xdr:rowOff>
    </xdr:from>
    <xdr:to>
      <xdr:col>2</xdr:col>
      <xdr:colOff>276225</xdr:colOff>
      <xdr:row>396</xdr:row>
      <xdr:rowOff>0</xdr:rowOff>
    </xdr:to>
    <xdr:sp macro="" textlink="">
      <xdr:nvSpPr>
        <xdr:cNvPr id="234" name="Line 246">
          <a:extLst>
            <a:ext uri="{FF2B5EF4-FFF2-40B4-BE49-F238E27FC236}">
              <a16:creationId xmlns:a16="http://schemas.microsoft.com/office/drawing/2014/main" id="{00000000-0008-0000-0000-0000EA000000}"/>
            </a:ext>
          </a:extLst>
        </xdr:cNvPr>
        <xdr:cNvSpPr>
          <a:spLocks noChangeShapeType="1"/>
        </xdr:cNvSpPr>
      </xdr:nvSpPr>
      <xdr:spPr bwMode="auto">
        <a:xfrm flipH="1">
          <a:off x="1533525" y="76142850"/>
          <a:ext cx="123825"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38100</xdr:colOff>
      <xdr:row>387</xdr:row>
      <xdr:rowOff>76200</xdr:rowOff>
    </xdr:from>
    <xdr:to>
      <xdr:col>5</xdr:col>
      <xdr:colOff>695325</xdr:colOff>
      <xdr:row>391</xdr:row>
      <xdr:rowOff>104775</xdr:rowOff>
    </xdr:to>
    <xdr:sp macro="" textlink="">
      <xdr:nvSpPr>
        <xdr:cNvPr id="235" name="Tegning 247">
          <a:extLst>
            <a:ext uri="{FF2B5EF4-FFF2-40B4-BE49-F238E27FC236}">
              <a16:creationId xmlns:a16="http://schemas.microsoft.com/office/drawing/2014/main" id="{00000000-0008-0000-0000-0000EB000000}"/>
            </a:ext>
          </a:extLst>
        </xdr:cNvPr>
        <xdr:cNvSpPr>
          <a:spLocks/>
        </xdr:cNvSpPr>
      </xdr:nvSpPr>
      <xdr:spPr bwMode="auto">
        <a:xfrm>
          <a:off x="2371725" y="74618850"/>
          <a:ext cx="981075" cy="790575"/>
        </a:xfrm>
        <a:custGeom>
          <a:avLst/>
          <a:gdLst>
            <a:gd name="T0" fmla="*/ 2147483646 w 16384"/>
            <a:gd name="T1" fmla="*/ 2147483646 h 16384"/>
            <a:gd name="T2" fmla="*/ 0 w 16384"/>
            <a:gd name="T3" fmla="*/ 2147483646 h 16384"/>
            <a:gd name="T4" fmla="*/ 0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16384"/>
              </a:moveTo>
              <a:lnTo>
                <a:pt x="0" y="16384"/>
              </a:lnTo>
              <a:lnTo>
                <a:pt x="0"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366713</xdr:colOff>
      <xdr:row>387</xdr:row>
      <xdr:rowOff>45381</xdr:rowOff>
    </xdr:from>
    <xdr:to>
      <xdr:col>4</xdr:col>
      <xdr:colOff>90488</xdr:colOff>
      <xdr:row>387</xdr:row>
      <xdr:rowOff>133351</xdr:rowOff>
    </xdr:to>
    <xdr:sp macro="" textlink="" fLocksText="0">
      <xdr:nvSpPr>
        <xdr:cNvPr id="236" name="Oval 248">
          <a:extLst>
            <a:ext uri="{FF2B5EF4-FFF2-40B4-BE49-F238E27FC236}">
              <a16:creationId xmlns:a16="http://schemas.microsoft.com/office/drawing/2014/main" id="{00000000-0008-0000-0000-0000EC000000}"/>
            </a:ext>
          </a:extLst>
        </xdr:cNvPr>
        <xdr:cNvSpPr>
          <a:spLocks noChangeArrowheads="1"/>
        </xdr:cNvSpPr>
      </xdr:nvSpPr>
      <xdr:spPr bwMode="auto">
        <a:xfrm>
          <a:off x="2328863" y="73549806"/>
          <a:ext cx="95250" cy="8797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304800</xdr:colOff>
      <xdr:row>390</xdr:row>
      <xdr:rowOff>66675</xdr:rowOff>
    </xdr:from>
    <xdr:to>
      <xdr:col>2</xdr:col>
      <xdr:colOff>571500</xdr:colOff>
      <xdr:row>393</xdr:row>
      <xdr:rowOff>28575</xdr:rowOff>
    </xdr:to>
    <xdr:sp macro="" textlink="">
      <xdr:nvSpPr>
        <xdr:cNvPr id="237" name="Tegning 249">
          <a:extLst>
            <a:ext uri="{FF2B5EF4-FFF2-40B4-BE49-F238E27FC236}">
              <a16:creationId xmlns:a16="http://schemas.microsoft.com/office/drawing/2014/main" id="{00000000-0008-0000-0000-0000ED000000}"/>
            </a:ext>
          </a:extLst>
        </xdr:cNvPr>
        <xdr:cNvSpPr>
          <a:spLocks/>
        </xdr:cNvSpPr>
      </xdr:nvSpPr>
      <xdr:spPr bwMode="auto">
        <a:xfrm>
          <a:off x="1685925" y="75180825"/>
          <a:ext cx="266700" cy="542925"/>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347" y="16384"/>
              </a:moveTo>
              <a:lnTo>
                <a:pt x="8347" y="0"/>
              </a:lnTo>
              <a:lnTo>
                <a:pt x="0" y="4706"/>
              </a:lnTo>
              <a:lnTo>
                <a:pt x="8037" y="174"/>
              </a:lnTo>
              <a:lnTo>
                <a:pt x="16384" y="488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180975</xdr:colOff>
      <xdr:row>396</xdr:row>
      <xdr:rowOff>9525</xdr:rowOff>
    </xdr:from>
    <xdr:to>
      <xdr:col>2</xdr:col>
      <xdr:colOff>276225</xdr:colOff>
      <xdr:row>397</xdr:row>
      <xdr:rowOff>0</xdr:rowOff>
    </xdr:to>
    <xdr:sp macro="" textlink="">
      <xdr:nvSpPr>
        <xdr:cNvPr id="238" name="Tegning 252">
          <a:extLst>
            <a:ext uri="{FF2B5EF4-FFF2-40B4-BE49-F238E27FC236}">
              <a16:creationId xmlns:a16="http://schemas.microsoft.com/office/drawing/2014/main" id="{00000000-0008-0000-0000-0000EE000000}"/>
            </a:ext>
          </a:extLst>
        </xdr:cNvPr>
        <xdr:cNvSpPr>
          <a:spLocks/>
        </xdr:cNvSpPr>
      </xdr:nvSpPr>
      <xdr:spPr bwMode="auto">
        <a:xfrm>
          <a:off x="1562100" y="76285725"/>
          <a:ext cx="95250"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4336" y="0"/>
              </a:moveTo>
              <a:lnTo>
                <a:pt x="0" y="7646"/>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34</xdr:col>
      <xdr:colOff>9525</xdr:colOff>
      <xdr:row>58</xdr:row>
      <xdr:rowOff>47625</xdr:rowOff>
    </xdr:from>
    <xdr:to>
      <xdr:col>41</xdr:col>
      <xdr:colOff>514350</xdr:colOff>
      <xdr:row>71</xdr:row>
      <xdr:rowOff>9525</xdr:rowOff>
    </xdr:to>
    <xdr:graphicFrame macro="">
      <xdr:nvGraphicFramePr>
        <xdr:cNvPr id="239" name="Chart 253">
          <a:extLst>
            <a:ext uri="{FF2B5EF4-FFF2-40B4-BE49-F238E27FC236}">
              <a16:creationId xmlns:a16="http://schemas.microsoft.com/office/drawing/2014/main" id="{00000000-0008-0000-0000-0000E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235</xdr:row>
      <xdr:rowOff>123825</xdr:rowOff>
    </xdr:from>
    <xdr:to>
      <xdr:col>5</xdr:col>
      <xdr:colOff>190500</xdr:colOff>
      <xdr:row>242</xdr:row>
      <xdr:rowOff>66675</xdr:rowOff>
    </xdr:to>
    <xdr:sp macro="" textlink="">
      <xdr:nvSpPr>
        <xdr:cNvPr id="240" name="Tegning 259">
          <a:extLst>
            <a:ext uri="{FF2B5EF4-FFF2-40B4-BE49-F238E27FC236}">
              <a16:creationId xmlns:a16="http://schemas.microsoft.com/office/drawing/2014/main" id="{00000000-0008-0000-0000-0000F0000000}"/>
            </a:ext>
          </a:extLst>
        </xdr:cNvPr>
        <xdr:cNvSpPr>
          <a:spLocks/>
        </xdr:cNvSpPr>
      </xdr:nvSpPr>
      <xdr:spPr bwMode="auto">
        <a:xfrm>
          <a:off x="1504950" y="45453300"/>
          <a:ext cx="1343025" cy="1295400"/>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16384"/>
              </a:moveTo>
              <a:lnTo>
                <a:pt x="10323" y="10133"/>
              </a:lnTo>
              <a:lnTo>
                <a:pt x="10323" y="4409"/>
              </a:lnTo>
              <a:lnTo>
                <a:pt x="16384" y="4409"/>
              </a:lnTo>
              <a:lnTo>
                <a:pt x="16384" y="0"/>
              </a:lnTo>
              <a:lnTo>
                <a:pt x="2797" y="0"/>
              </a:lnTo>
              <a:lnTo>
                <a:pt x="3596" y="8028"/>
              </a:lnTo>
              <a:lnTo>
                <a:pt x="333" y="8028"/>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123825</xdr:colOff>
      <xdr:row>236</xdr:row>
      <xdr:rowOff>0</xdr:rowOff>
    </xdr:from>
    <xdr:to>
      <xdr:col>3</xdr:col>
      <xdr:colOff>247650</xdr:colOff>
      <xdr:row>241</xdr:row>
      <xdr:rowOff>142875</xdr:rowOff>
    </xdr:to>
    <xdr:sp macro="" textlink="">
      <xdr:nvSpPr>
        <xdr:cNvPr id="241" name="Tegning 260">
          <a:extLst>
            <a:ext uri="{FF2B5EF4-FFF2-40B4-BE49-F238E27FC236}">
              <a16:creationId xmlns:a16="http://schemas.microsoft.com/office/drawing/2014/main" id="{00000000-0008-0000-0000-0000F1000000}"/>
            </a:ext>
          </a:extLst>
        </xdr:cNvPr>
        <xdr:cNvSpPr>
          <a:spLocks/>
        </xdr:cNvSpPr>
      </xdr:nvSpPr>
      <xdr:spPr bwMode="auto">
        <a:xfrm>
          <a:off x="1504950" y="45519975"/>
          <a:ext cx="704850" cy="111442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2147483646 w 16384"/>
            <a:gd name="T15" fmla="*/ 0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6384"/>
            <a:gd name="T37" fmla="*/ 0 h 16384"/>
            <a:gd name="T38" fmla="*/ 16384 w 16384"/>
            <a:gd name="T39" fmla="*/ 16384 h 1638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6384" h="16384">
              <a:moveTo>
                <a:pt x="0" y="16384"/>
              </a:moveTo>
              <a:lnTo>
                <a:pt x="15895" y="10124"/>
              </a:lnTo>
              <a:lnTo>
                <a:pt x="16384" y="9738"/>
              </a:lnTo>
              <a:lnTo>
                <a:pt x="16262" y="9351"/>
              </a:lnTo>
              <a:lnTo>
                <a:pt x="16262" y="464"/>
              </a:lnTo>
              <a:lnTo>
                <a:pt x="16017" y="155"/>
              </a:lnTo>
              <a:lnTo>
                <a:pt x="15284" y="0"/>
              </a:lnTo>
              <a:lnTo>
                <a:pt x="8926" y="0"/>
              </a:lnTo>
              <a:lnTo>
                <a:pt x="8437" y="309"/>
              </a:lnTo>
              <a:lnTo>
                <a:pt x="8314" y="696"/>
              </a:lnTo>
              <a:lnTo>
                <a:pt x="8314" y="12520"/>
              </a:lnTo>
              <a:lnTo>
                <a:pt x="8070" y="13138"/>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476250</xdr:colOff>
      <xdr:row>236</xdr:row>
      <xdr:rowOff>0</xdr:rowOff>
    </xdr:from>
    <xdr:to>
      <xdr:col>5</xdr:col>
      <xdr:colOff>114300</xdr:colOff>
      <xdr:row>237</xdr:row>
      <xdr:rowOff>9525</xdr:rowOff>
    </xdr:to>
    <xdr:sp macro="" textlink="">
      <xdr:nvSpPr>
        <xdr:cNvPr id="242" name="Tegning 261">
          <a:extLst>
            <a:ext uri="{FF2B5EF4-FFF2-40B4-BE49-F238E27FC236}">
              <a16:creationId xmlns:a16="http://schemas.microsoft.com/office/drawing/2014/main" id="{00000000-0008-0000-0000-0000F2000000}"/>
            </a:ext>
          </a:extLst>
        </xdr:cNvPr>
        <xdr:cNvSpPr>
          <a:spLocks/>
        </xdr:cNvSpPr>
      </xdr:nvSpPr>
      <xdr:spPr bwMode="auto">
        <a:xfrm>
          <a:off x="1857375" y="45519975"/>
          <a:ext cx="914400" cy="20955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0 h 16384"/>
            <a:gd name="T18" fmla="*/ 2147483646 w 16384"/>
            <a:gd name="T19" fmla="*/ 0 h 16384"/>
            <a:gd name="T20" fmla="*/ 2147483646 w 16384"/>
            <a:gd name="T21" fmla="*/ 0 h 16384"/>
            <a:gd name="T22" fmla="*/ 0 w 16384"/>
            <a:gd name="T23" fmla="*/ 2147483646 h 16384"/>
            <a:gd name="T24" fmla="*/ 0 w 16384"/>
            <a:gd name="T25" fmla="*/ 2147483646 h 16384"/>
            <a:gd name="T26" fmla="*/ 2147483646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102" y="12788"/>
              </a:moveTo>
              <a:lnTo>
                <a:pt x="407" y="14786"/>
              </a:lnTo>
              <a:lnTo>
                <a:pt x="916" y="16384"/>
              </a:lnTo>
              <a:lnTo>
                <a:pt x="15773" y="16384"/>
              </a:lnTo>
              <a:lnTo>
                <a:pt x="16282" y="15185"/>
              </a:lnTo>
              <a:lnTo>
                <a:pt x="16384" y="13187"/>
              </a:lnTo>
              <a:lnTo>
                <a:pt x="16384" y="2398"/>
              </a:lnTo>
              <a:lnTo>
                <a:pt x="15977" y="799"/>
              </a:lnTo>
              <a:lnTo>
                <a:pt x="15163" y="0"/>
              </a:lnTo>
              <a:lnTo>
                <a:pt x="1934" y="0"/>
              </a:lnTo>
              <a:lnTo>
                <a:pt x="509" y="0"/>
              </a:lnTo>
              <a:lnTo>
                <a:pt x="0" y="1998"/>
              </a:lnTo>
              <a:lnTo>
                <a:pt x="0" y="13187"/>
              </a:lnTo>
              <a:lnTo>
                <a:pt x="305" y="14386"/>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95250</xdr:colOff>
      <xdr:row>238</xdr:row>
      <xdr:rowOff>190500</xdr:rowOff>
    </xdr:from>
    <xdr:to>
      <xdr:col>5</xdr:col>
      <xdr:colOff>285750</xdr:colOff>
      <xdr:row>238</xdr:row>
      <xdr:rowOff>190500</xdr:rowOff>
    </xdr:to>
    <xdr:sp macro="" textlink="">
      <xdr:nvSpPr>
        <xdr:cNvPr id="243" name="Line 262">
          <a:extLst>
            <a:ext uri="{FF2B5EF4-FFF2-40B4-BE49-F238E27FC236}">
              <a16:creationId xmlns:a16="http://schemas.microsoft.com/office/drawing/2014/main" id="{00000000-0008-0000-0000-0000F3000000}"/>
            </a:ext>
          </a:extLst>
        </xdr:cNvPr>
        <xdr:cNvSpPr>
          <a:spLocks noChangeShapeType="1"/>
        </xdr:cNvSpPr>
      </xdr:nvSpPr>
      <xdr:spPr bwMode="auto">
        <a:xfrm>
          <a:off x="1476375" y="46110525"/>
          <a:ext cx="1466850" cy="0"/>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234</xdr:row>
      <xdr:rowOff>209550</xdr:rowOff>
    </xdr:from>
    <xdr:to>
      <xdr:col>4</xdr:col>
      <xdr:colOff>57150</xdr:colOff>
      <xdr:row>240</xdr:row>
      <xdr:rowOff>28575</xdr:rowOff>
    </xdr:to>
    <xdr:sp macro="" textlink="">
      <xdr:nvSpPr>
        <xdr:cNvPr id="244" name="Line 263">
          <a:extLst>
            <a:ext uri="{FF2B5EF4-FFF2-40B4-BE49-F238E27FC236}">
              <a16:creationId xmlns:a16="http://schemas.microsoft.com/office/drawing/2014/main" id="{00000000-0008-0000-0000-0000F4000000}"/>
            </a:ext>
          </a:extLst>
        </xdr:cNvPr>
        <xdr:cNvSpPr>
          <a:spLocks noChangeShapeType="1"/>
        </xdr:cNvSpPr>
      </xdr:nvSpPr>
      <xdr:spPr bwMode="auto">
        <a:xfrm>
          <a:off x="2390775" y="45329475"/>
          <a:ext cx="0" cy="1000125"/>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237</xdr:row>
      <xdr:rowOff>76200</xdr:rowOff>
    </xdr:from>
    <xdr:to>
      <xdr:col>5</xdr:col>
      <xdr:colOff>142875</xdr:colOff>
      <xdr:row>239</xdr:row>
      <xdr:rowOff>209550</xdr:rowOff>
    </xdr:to>
    <xdr:sp macro="" textlink="">
      <xdr:nvSpPr>
        <xdr:cNvPr id="245" name="Tegning 264">
          <a:extLst>
            <a:ext uri="{FF2B5EF4-FFF2-40B4-BE49-F238E27FC236}">
              <a16:creationId xmlns:a16="http://schemas.microsoft.com/office/drawing/2014/main" id="{00000000-0008-0000-0000-0000F5000000}"/>
            </a:ext>
          </a:extLst>
        </xdr:cNvPr>
        <xdr:cNvSpPr>
          <a:spLocks/>
        </xdr:cNvSpPr>
      </xdr:nvSpPr>
      <xdr:spPr bwMode="auto">
        <a:xfrm>
          <a:off x="2552700" y="45796200"/>
          <a:ext cx="247650" cy="504825"/>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16384"/>
              </a:moveTo>
              <a:lnTo>
                <a:pt x="8192" y="0"/>
              </a:lnTo>
              <a:lnTo>
                <a:pt x="0" y="4096"/>
              </a:lnTo>
              <a:lnTo>
                <a:pt x="8192" y="0"/>
              </a:lnTo>
              <a:lnTo>
                <a:pt x="16384" y="409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28575</xdr:colOff>
      <xdr:row>240</xdr:row>
      <xdr:rowOff>66675</xdr:rowOff>
    </xdr:from>
    <xdr:to>
      <xdr:col>5</xdr:col>
      <xdr:colOff>28575</xdr:colOff>
      <xdr:row>242</xdr:row>
      <xdr:rowOff>76200</xdr:rowOff>
    </xdr:to>
    <xdr:sp macro="" textlink="">
      <xdr:nvSpPr>
        <xdr:cNvPr id="246" name="Line 265">
          <a:extLst>
            <a:ext uri="{FF2B5EF4-FFF2-40B4-BE49-F238E27FC236}">
              <a16:creationId xmlns:a16="http://schemas.microsoft.com/office/drawing/2014/main" id="{00000000-0008-0000-0000-0000F6000000}"/>
            </a:ext>
          </a:extLst>
        </xdr:cNvPr>
        <xdr:cNvSpPr>
          <a:spLocks noChangeShapeType="1"/>
        </xdr:cNvSpPr>
      </xdr:nvSpPr>
      <xdr:spPr bwMode="auto">
        <a:xfrm>
          <a:off x="2686050" y="46367700"/>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238125</xdr:colOff>
      <xdr:row>239</xdr:row>
      <xdr:rowOff>161925</xdr:rowOff>
    </xdr:from>
    <xdr:to>
      <xdr:col>3</xdr:col>
      <xdr:colOff>238125</xdr:colOff>
      <xdr:row>243</xdr:row>
      <xdr:rowOff>76200</xdr:rowOff>
    </xdr:to>
    <xdr:sp macro="" textlink="">
      <xdr:nvSpPr>
        <xdr:cNvPr id="247" name="Line 266">
          <a:extLst>
            <a:ext uri="{FF2B5EF4-FFF2-40B4-BE49-F238E27FC236}">
              <a16:creationId xmlns:a16="http://schemas.microsoft.com/office/drawing/2014/main" id="{00000000-0008-0000-0000-0000F7000000}"/>
            </a:ext>
          </a:extLst>
        </xdr:cNvPr>
        <xdr:cNvSpPr>
          <a:spLocks noChangeShapeType="1"/>
        </xdr:cNvSpPr>
      </xdr:nvSpPr>
      <xdr:spPr bwMode="auto">
        <a:xfrm>
          <a:off x="2200275" y="46272450"/>
          <a:ext cx="0" cy="676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239</xdr:row>
      <xdr:rowOff>76200</xdr:rowOff>
    </xdr:from>
    <xdr:to>
      <xdr:col>2</xdr:col>
      <xdr:colOff>390525</xdr:colOff>
      <xdr:row>243</xdr:row>
      <xdr:rowOff>76200</xdr:rowOff>
    </xdr:to>
    <xdr:sp macro="" textlink="">
      <xdr:nvSpPr>
        <xdr:cNvPr id="248" name="Line 267">
          <a:extLst>
            <a:ext uri="{FF2B5EF4-FFF2-40B4-BE49-F238E27FC236}">
              <a16:creationId xmlns:a16="http://schemas.microsoft.com/office/drawing/2014/main" id="{00000000-0008-0000-0000-0000F8000000}"/>
            </a:ext>
          </a:extLst>
        </xdr:cNvPr>
        <xdr:cNvSpPr>
          <a:spLocks noChangeShapeType="1"/>
        </xdr:cNvSpPr>
      </xdr:nvSpPr>
      <xdr:spPr bwMode="auto">
        <a:xfrm>
          <a:off x="1771650" y="4618672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243</xdr:row>
      <xdr:rowOff>0</xdr:rowOff>
    </xdr:from>
    <xdr:to>
      <xdr:col>3</xdr:col>
      <xdr:colOff>266700</xdr:colOff>
      <xdr:row>243</xdr:row>
      <xdr:rowOff>0</xdr:rowOff>
    </xdr:to>
    <xdr:sp macro="" textlink="">
      <xdr:nvSpPr>
        <xdr:cNvPr id="249" name="Line 268">
          <a:extLst>
            <a:ext uri="{FF2B5EF4-FFF2-40B4-BE49-F238E27FC236}">
              <a16:creationId xmlns:a16="http://schemas.microsoft.com/office/drawing/2014/main" id="{00000000-0008-0000-0000-0000F9000000}"/>
            </a:ext>
          </a:extLst>
        </xdr:cNvPr>
        <xdr:cNvSpPr>
          <a:spLocks noChangeShapeType="1"/>
        </xdr:cNvSpPr>
      </xdr:nvSpPr>
      <xdr:spPr bwMode="auto">
        <a:xfrm>
          <a:off x="1743075" y="46872525"/>
          <a:ext cx="485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242</xdr:row>
      <xdr:rowOff>133350</xdr:rowOff>
    </xdr:from>
    <xdr:to>
      <xdr:col>2</xdr:col>
      <xdr:colOff>457200</xdr:colOff>
      <xdr:row>243</xdr:row>
      <xdr:rowOff>66675</xdr:rowOff>
    </xdr:to>
    <xdr:sp macro="" textlink="">
      <xdr:nvSpPr>
        <xdr:cNvPr id="250" name="Line 269">
          <a:extLst>
            <a:ext uri="{FF2B5EF4-FFF2-40B4-BE49-F238E27FC236}">
              <a16:creationId xmlns:a16="http://schemas.microsoft.com/office/drawing/2014/main" id="{00000000-0008-0000-0000-0000FA000000}"/>
            </a:ext>
          </a:extLst>
        </xdr:cNvPr>
        <xdr:cNvSpPr>
          <a:spLocks noChangeShapeType="1"/>
        </xdr:cNvSpPr>
      </xdr:nvSpPr>
      <xdr:spPr bwMode="auto">
        <a:xfrm flipH="1">
          <a:off x="1714500" y="4681537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240</xdr:row>
      <xdr:rowOff>209550</xdr:rowOff>
    </xdr:from>
    <xdr:to>
      <xdr:col>2</xdr:col>
      <xdr:colOff>457200</xdr:colOff>
      <xdr:row>242</xdr:row>
      <xdr:rowOff>0</xdr:rowOff>
    </xdr:to>
    <xdr:sp macro="" textlink="">
      <xdr:nvSpPr>
        <xdr:cNvPr id="251" name="Line 270">
          <a:extLst>
            <a:ext uri="{FF2B5EF4-FFF2-40B4-BE49-F238E27FC236}">
              <a16:creationId xmlns:a16="http://schemas.microsoft.com/office/drawing/2014/main" id="{00000000-0008-0000-0000-0000FB000000}"/>
            </a:ext>
          </a:extLst>
        </xdr:cNvPr>
        <xdr:cNvSpPr>
          <a:spLocks noChangeShapeType="1"/>
        </xdr:cNvSpPr>
      </xdr:nvSpPr>
      <xdr:spPr bwMode="auto">
        <a:xfrm>
          <a:off x="1838325" y="4649152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241</xdr:row>
      <xdr:rowOff>209550</xdr:rowOff>
    </xdr:from>
    <xdr:to>
      <xdr:col>5</xdr:col>
      <xdr:colOff>47625</xdr:colOff>
      <xdr:row>241</xdr:row>
      <xdr:rowOff>209550</xdr:rowOff>
    </xdr:to>
    <xdr:sp macro="" textlink="">
      <xdr:nvSpPr>
        <xdr:cNvPr id="252" name="Line 271">
          <a:extLst>
            <a:ext uri="{FF2B5EF4-FFF2-40B4-BE49-F238E27FC236}">
              <a16:creationId xmlns:a16="http://schemas.microsoft.com/office/drawing/2014/main" id="{00000000-0008-0000-0000-0000FC000000}"/>
            </a:ext>
          </a:extLst>
        </xdr:cNvPr>
        <xdr:cNvSpPr>
          <a:spLocks noChangeShapeType="1"/>
        </xdr:cNvSpPr>
      </xdr:nvSpPr>
      <xdr:spPr bwMode="auto">
        <a:xfrm>
          <a:off x="1819275" y="46682025"/>
          <a:ext cx="885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235</xdr:row>
      <xdr:rowOff>142875</xdr:rowOff>
    </xdr:from>
    <xdr:to>
      <xdr:col>5</xdr:col>
      <xdr:colOff>609600</xdr:colOff>
      <xdr:row>235</xdr:row>
      <xdr:rowOff>142875</xdr:rowOff>
    </xdr:to>
    <xdr:sp macro="" textlink="">
      <xdr:nvSpPr>
        <xdr:cNvPr id="253" name="Line 272">
          <a:extLst>
            <a:ext uri="{FF2B5EF4-FFF2-40B4-BE49-F238E27FC236}">
              <a16:creationId xmlns:a16="http://schemas.microsoft.com/office/drawing/2014/main" id="{00000000-0008-0000-0000-0000FD000000}"/>
            </a:ext>
          </a:extLst>
        </xdr:cNvPr>
        <xdr:cNvSpPr>
          <a:spLocks noChangeShapeType="1"/>
        </xdr:cNvSpPr>
      </xdr:nvSpPr>
      <xdr:spPr bwMode="auto">
        <a:xfrm>
          <a:off x="2962275" y="45472350"/>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285750</xdr:colOff>
      <xdr:row>237</xdr:row>
      <xdr:rowOff>9525</xdr:rowOff>
    </xdr:from>
    <xdr:to>
      <xdr:col>5</xdr:col>
      <xdr:colOff>619125</xdr:colOff>
      <xdr:row>237</xdr:row>
      <xdr:rowOff>9525</xdr:rowOff>
    </xdr:to>
    <xdr:sp macro="" textlink="">
      <xdr:nvSpPr>
        <xdr:cNvPr id="254" name="Line 273">
          <a:extLst>
            <a:ext uri="{FF2B5EF4-FFF2-40B4-BE49-F238E27FC236}">
              <a16:creationId xmlns:a16="http://schemas.microsoft.com/office/drawing/2014/main" id="{00000000-0008-0000-0000-0000FE000000}"/>
            </a:ext>
          </a:extLst>
        </xdr:cNvPr>
        <xdr:cNvSpPr>
          <a:spLocks noChangeShapeType="1"/>
        </xdr:cNvSpPr>
      </xdr:nvSpPr>
      <xdr:spPr bwMode="auto">
        <a:xfrm>
          <a:off x="2943225" y="45729525"/>
          <a:ext cx="333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235</xdr:row>
      <xdr:rowOff>114300</xdr:rowOff>
    </xdr:from>
    <xdr:to>
      <xdr:col>5</xdr:col>
      <xdr:colOff>590550</xdr:colOff>
      <xdr:row>237</xdr:row>
      <xdr:rowOff>47625</xdr:rowOff>
    </xdr:to>
    <xdr:sp macro="" textlink="">
      <xdr:nvSpPr>
        <xdr:cNvPr id="255" name="Line 274">
          <a:extLst>
            <a:ext uri="{FF2B5EF4-FFF2-40B4-BE49-F238E27FC236}">
              <a16:creationId xmlns:a16="http://schemas.microsoft.com/office/drawing/2014/main" id="{00000000-0008-0000-0000-0000FF000000}"/>
            </a:ext>
          </a:extLst>
        </xdr:cNvPr>
        <xdr:cNvSpPr>
          <a:spLocks noChangeShapeType="1"/>
        </xdr:cNvSpPr>
      </xdr:nvSpPr>
      <xdr:spPr bwMode="auto">
        <a:xfrm>
          <a:off x="3248025" y="45443775"/>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533400</xdr:colOff>
      <xdr:row>235</xdr:row>
      <xdr:rowOff>66675</xdr:rowOff>
    </xdr:from>
    <xdr:to>
      <xdr:col>5</xdr:col>
      <xdr:colOff>647700</xdr:colOff>
      <xdr:row>236</xdr:row>
      <xdr:rowOff>0</xdr:rowOff>
    </xdr:to>
    <xdr:sp macro="" textlink="">
      <xdr:nvSpPr>
        <xdr:cNvPr id="256" name="Line 275">
          <a:extLst>
            <a:ext uri="{FF2B5EF4-FFF2-40B4-BE49-F238E27FC236}">
              <a16:creationId xmlns:a16="http://schemas.microsoft.com/office/drawing/2014/main" id="{00000000-0008-0000-0000-000000010000}"/>
            </a:ext>
          </a:extLst>
        </xdr:cNvPr>
        <xdr:cNvSpPr>
          <a:spLocks noChangeShapeType="1"/>
        </xdr:cNvSpPr>
      </xdr:nvSpPr>
      <xdr:spPr bwMode="auto">
        <a:xfrm flipH="1">
          <a:off x="3190875" y="45396150"/>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523875</xdr:colOff>
      <xdr:row>236</xdr:row>
      <xdr:rowOff>152400</xdr:rowOff>
    </xdr:from>
    <xdr:to>
      <xdr:col>5</xdr:col>
      <xdr:colOff>647700</xdr:colOff>
      <xdr:row>237</xdr:row>
      <xdr:rowOff>76200</xdr:rowOff>
    </xdr:to>
    <xdr:sp macro="" textlink="">
      <xdr:nvSpPr>
        <xdr:cNvPr id="257" name="Line 276">
          <a:extLst>
            <a:ext uri="{FF2B5EF4-FFF2-40B4-BE49-F238E27FC236}">
              <a16:creationId xmlns:a16="http://schemas.microsoft.com/office/drawing/2014/main" id="{00000000-0008-0000-0000-000001010000}"/>
            </a:ext>
          </a:extLst>
        </xdr:cNvPr>
        <xdr:cNvSpPr>
          <a:spLocks noChangeShapeType="1"/>
        </xdr:cNvSpPr>
      </xdr:nvSpPr>
      <xdr:spPr bwMode="auto">
        <a:xfrm flipH="1">
          <a:off x="3181350" y="4567237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239</xdr:row>
      <xdr:rowOff>46640</xdr:rowOff>
    </xdr:from>
    <xdr:to>
      <xdr:col>3</xdr:col>
      <xdr:colOff>209550</xdr:colOff>
      <xdr:row>239</xdr:row>
      <xdr:rowOff>75215</xdr:rowOff>
    </xdr:to>
    <xdr:sp macro="" textlink="" fLocksText="0">
      <xdr:nvSpPr>
        <xdr:cNvPr id="258" name="Oval 280">
          <a:extLst>
            <a:ext uri="{FF2B5EF4-FFF2-40B4-BE49-F238E27FC236}">
              <a16:creationId xmlns:a16="http://schemas.microsoft.com/office/drawing/2014/main" id="{00000000-0008-0000-0000-000002010000}"/>
            </a:ext>
          </a:extLst>
        </xdr:cNvPr>
        <xdr:cNvSpPr>
          <a:spLocks noChangeArrowheads="1"/>
        </xdr:cNvSpPr>
      </xdr:nvSpPr>
      <xdr:spPr bwMode="auto">
        <a:xfrm>
          <a:off x="2143125" y="46157165"/>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285750</xdr:colOff>
      <xdr:row>20</xdr:row>
      <xdr:rowOff>47625</xdr:rowOff>
    </xdr:from>
    <xdr:to>
      <xdr:col>3</xdr:col>
      <xdr:colOff>285750</xdr:colOff>
      <xdr:row>21</xdr:row>
      <xdr:rowOff>200025</xdr:rowOff>
    </xdr:to>
    <xdr:sp macro="" textlink="">
      <xdr:nvSpPr>
        <xdr:cNvPr id="259" name="Line 281">
          <a:extLst>
            <a:ext uri="{FF2B5EF4-FFF2-40B4-BE49-F238E27FC236}">
              <a16:creationId xmlns:a16="http://schemas.microsoft.com/office/drawing/2014/main" id="{00000000-0008-0000-0000-000003010000}"/>
            </a:ext>
          </a:extLst>
        </xdr:cNvPr>
        <xdr:cNvSpPr>
          <a:spLocks noChangeShapeType="1"/>
        </xdr:cNvSpPr>
      </xdr:nvSpPr>
      <xdr:spPr bwMode="auto">
        <a:xfrm flipV="1">
          <a:off x="2247900" y="36385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219075</xdr:colOff>
      <xdr:row>21</xdr:row>
      <xdr:rowOff>114300</xdr:rowOff>
    </xdr:from>
    <xdr:to>
      <xdr:col>3</xdr:col>
      <xdr:colOff>257175</xdr:colOff>
      <xdr:row>22</xdr:row>
      <xdr:rowOff>28575</xdr:rowOff>
    </xdr:to>
    <xdr:sp macro="" textlink="">
      <xdr:nvSpPr>
        <xdr:cNvPr id="260" name="Line 282">
          <a:extLst>
            <a:ext uri="{FF2B5EF4-FFF2-40B4-BE49-F238E27FC236}">
              <a16:creationId xmlns:a16="http://schemas.microsoft.com/office/drawing/2014/main" id="{00000000-0008-0000-0000-000004010000}"/>
            </a:ext>
          </a:extLst>
        </xdr:cNvPr>
        <xdr:cNvSpPr>
          <a:spLocks noChangeShapeType="1"/>
        </xdr:cNvSpPr>
      </xdr:nvSpPr>
      <xdr:spPr bwMode="auto">
        <a:xfrm flipV="1">
          <a:off x="2181225" y="3905250"/>
          <a:ext cx="381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390525</xdr:colOff>
      <xdr:row>236</xdr:row>
      <xdr:rowOff>104775</xdr:rowOff>
    </xdr:from>
    <xdr:to>
      <xdr:col>13</xdr:col>
      <xdr:colOff>790575</xdr:colOff>
      <xdr:row>236</xdr:row>
      <xdr:rowOff>104775</xdr:rowOff>
    </xdr:to>
    <xdr:sp macro="" textlink="">
      <xdr:nvSpPr>
        <xdr:cNvPr id="261" name="Line 283">
          <a:extLst>
            <a:ext uri="{FF2B5EF4-FFF2-40B4-BE49-F238E27FC236}">
              <a16:creationId xmlns:a16="http://schemas.microsoft.com/office/drawing/2014/main" id="{00000000-0008-0000-0000-000005010000}"/>
            </a:ext>
          </a:extLst>
        </xdr:cNvPr>
        <xdr:cNvSpPr>
          <a:spLocks noChangeShapeType="1"/>
        </xdr:cNvSpPr>
      </xdr:nvSpPr>
      <xdr:spPr bwMode="auto">
        <a:xfrm flipH="1">
          <a:off x="8543925" y="45624750"/>
          <a:ext cx="40005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256</xdr:row>
      <xdr:rowOff>152400</xdr:rowOff>
    </xdr:from>
    <xdr:to>
      <xdr:col>5</xdr:col>
      <xdr:colOff>152400</xdr:colOff>
      <xdr:row>260</xdr:row>
      <xdr:rowOff>38100</xdr:rowOff>
    </xdr:to>
    <xdr:sp macro="" textlink="">
      <xdr:nvSpPr>
        <xdr:cNvPr id="262" name="Tegning 284">
          <a:extLst>
            <a:ext uri="{FF2B5EF4-FFF2-40B4-BE49-F238E27FC236}">
              <a16:creationId xmlns:a16="http://schemas.microsoft.com/office/drawing/2014/main" id="{00000000-0008-0000-0000-000006010000}"/>
            </a:ext>
          </a:extLst>
        </xdr:cNvPr>
        <xdr:cNvSpPr>
          <a:spLocks/>
        </xdr:cNvSpPr>
      </xdr:nvSpPr>
      <xdr:spPr bwMode="auto">
        <a:xfrm>
          <a:off x="1495425" y="49539525"/>
          <a:ext cx="1314450" cy="657225"/>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0 w 16384"/>
            <a:gd name="T21" fmla="*/ 2147483646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88" y="3040"/>
              </a:moveTo>
              <a:lnTo>
                <a:pt x="9337" y="16384"/>
              </a:lnTo>
              <a:lnTo>
                <a:pt x="9954" y="15708"/>
              </a:lnTo>
              <a:lnTo>
                <a:pt x="9954" y="676"/>
              </a:lnTo>
              <a:lnTo>
                <a:pt x="10218" y="0"/>
              </a:lnTo>
              <a:lnTo>
                <a:pt x="16032" y="0"/>
              </a:lnTo>
              <a:lnTo>
                <a:pt x="16384" y="507"/>
              </a:lnTo>
              <a:lnTo>
                <a:pt x="16384" y="6081"/>
              </a:lnTo>
              <a:lnTo>
                <a:pt x="16032" y="6925"/>
              </a:lnTo>
              <a:lnTo>
                <a:pt x="2907" y="6925"/>
              </a:lnTo>
              <a:lnTo>
                <a:pt x="0" y="2703"/>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219075</xdr:colOff>
      <xdr:row>258</xdr:row>
      <xdr:rowOff>95250</xdr:rowOff>
    </xdr:from>
    <xdr:to>
      <xdr:col>5</xdr:col>
      <xdr:colOff>142875</xdr:colOff>
      <xdr:row>260</xdr:row>
      <xdr:rowOff>209550</xdr:rowOff>
    </xdr:to>
    <xdr:sp macro="" textlink="">
      <xdr:nvSpPr>
        <xdr:cNvPr id="263" name="Tegning 288">
          <a:extLst>
            <a:ext uri="{FF2B5EF4-FFF2-40B4-BE49-F238E27FC236}">
              <a16:creationId xmlns:a16="http://schemas.microsoft.com/office/drawing/2014/main" id="{00000000-0008-0000-0000-000007010000}"/>
            </a:ext>
          </a:extLst>
        </xdr:cNvPr>
        <xdr:cNvSpPr>
          <a:spLocks/>
        </xdr:cNvSpPr>
      </xdr:nvSpPr>
      <xdr:spPr bwMode="auto">
        <a:xfrm>
          <a:off x="2552700" y="49872900"/>
          <a:ext cx="247650" cy="47625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16384"/>
              </a:moveTo>
              <a:lnTo>
                <a:pt x="8192" y="0"/>
              </a:lnTo>
              <a:lnTo>
                <a:pt x="0" y="4096"/>
              </a:lnTo>
              <a:lnTo>
                <a:pt x="8192" y="0"/>
              </a:lnTo>
              <a:lnTo>
                <a:pt x="16384" y="409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66675</xdr:colOff>
      <xdr:row>254</xdr:row>
      <xdr:rowOff>209550</xdr:rowOff>
    </xdr:from>
    <xdr:to>
      <xdr:col>4</xdr:col>
      <xdr:colOff>66675</xdr:colOff>
      <xdr:row>261</xdr:row>
      <xdr:rowOff>0</xdr:rowOff>
    </xdr:to>
    <xdr:sp macro="" textlink="">
      <xdr:nvSpPr>
        <xdr:cNvPr id="264" name="Line 289">
          <a:extLst>
            <a:ext uri="{FF2B5EF4-FFF2-40B4-BE49-F238E27FC236}">
              <a16:creationId xmlns:a16="http://schemas.microsoft.com/office/drawing/2014/main" id="{00000000-0008-0000-0000-000008010000}"/>
            </a:ext>
          </a:extLst>
        </xdr:cNvPr>
        <xdr:cNvSpPr>
          <a:spLocks noChangeShapeType="1"/>
        </xdr:cNvSpPr>
      </xdr:nvSpPr>
      <xdr:spPr bwMode="auto">
        <a:xfrm>
          <a:off x="2400300" y="49196625"/>
          <a:ext cx="0" cy="1152525"/>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253</xdr:row>
      <xdr:rowOff>47625</xdr:rowOff>
    </xdr:from>
    <xdr:to>
      <xdr:col>5</xdr:col>
      <xdr:colOff>209550</xdr:colOff>
      <xdr:row>260</xdr:row>
      <xdr:rowOff>161925</xdr:rowOff>
    </xdr:to>
    <xdr:sp macro="" textlink="">
      <xdr:nvSpPr>
        <xdr:cNvPr id="265" name="Tegning 290">
          <a:extLst>
            <a:ext uri="{FF2B5EF4-FFF2-40B4-BE49-F238E27FC236}">
              <a16:creationId xmlns:a16="http://schemas.microsoft.com/office/drawing/2014/main" id="{00000000-0008-0000-0000-000009010000}"/>
            </a:ext>
          </a:extLst>
        </xdr:cNvPr>
        <xdr:cNvSpPr>
          <a:spLocks/>
        </xdr:cNvSpPr>
      </xdr:nvSpPr>
      <xdr:spPr bwMode="auto">
        <a:xfrm>
          <a:off x="1504950" y="48863250"/>
          <a:ext cx="1362075" cy="145732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0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98" y="0"/>
              </a:moveTo>
              <a:lnTo>
                <a:pt x="5298" y="0"/>
              </a:lnTo>
              <a:lnTo>
                <a:pt x="4415" y="7058"/>
              </a:lnTo>
              <a:lnTo>
                <a:pt x="16384" y="7058"/>
              </a:lnTo>
              <a:lnTo>
                <a:pt x="16384" y="11427"/>
              </a:lnTo>
              <a:lnTo>
                <a:pt x="10301" y="11427"/>
              </a:lnTo>
              <a:lnTo>
                <a:pt x="10301" y="15964"/>
              </a:lnTo>
              <a:lnTo>
                <a:pt x="9615" y="16384"/>
              </a:lnTo>
              <a:lnTo>
                <a:pt x="0" y="983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257175</xdr:colOff>
      <xdr:row>262</xdr:row>
      <xdr:rowOff>171450</xdr:rowOff>
    </xdr:from>
    <xdr:to>
      <xdr:col>5</xdr:col>
      <xdr:colOff>38100</xdr:colOff>
      <xdr:row>262</xdr:row>
      <xdr:rowOff>171450</xdr:rowOff>
    </xdr:to>
    <xdr:sp macro="" textlink="">
      <xdr:nvSpPr>
        <xdr:cNvPr id="266" name="Line 291">
          <a:extLst>
            <a:ext uri="{FF2B5EF4-FFF2-40B4-BE49-F238E27FC236}">
              <a16:creationId xmlns:a16="http://schemas.microsoft.com/office/drawing/2014/main" id="{00000000-0008-0000-0000-00000A010000}"/>
            </a:ext>
          </a:extLst>
        </xdr:cNvPr>
        <xdr:cNvSpPr>
          <a:spLocks noChangeShapeType="1"/>
        </xdr:cNvSpPr>
      </xdr:nvSpPr>
      <xdr:spPr bwMode="auto">
        <a:xfrm flipH="1">
          <a:off x="2219325" y="50711100"/>
          <a:ext cx="476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260</xdr:row>
      <xdr:rowOff>76200</xdr:rowOff>
    </xdr:from>
    <xdr:to>
      <xdr:col>3</xdr:col>
      <xdr:colOff>295275</xdr:colOff>
      <xdr:row>263</xdr:row>
      <xdr:rowOff>38100</xdr:rowOff>
    </xdr:to>
    <xdr:sp macro="" textlink="">
      <xdr:nvSpPr>
        <xdr:cNvPr id="267" name="Line 292">
          <a:extLst>
            <a:ext uri="{FF2B5EF4-FFF2-40B4-BE49-F238E27FC236}">
              <a16:creationId xmlns:a16="http://schemas.microsoft.com/office/drawing/2014/main" id="{00000000-0008-0000-0000-00000B010000}"/>
            </a:ext>
          </a:extLst>
        </xdr:cNvPr>
        <xdr:cNvSpPr>
          <a:spLocks noChangeShapeType="1"/>
        </xdr:cNvSpPr>
      </xdr:nvSpPr>
      <xdr:spPr bwMode="auto">
        <a:xfrm>
          <a:off x="2257425" y="50234850"/>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259</xdr:row>
      <xdr:rowOff>9525</xdr:rowOff>
    </xdr:from>
    <xdr:to>
      <xdr:col>3</xdr:col>
      <xdr:colOff>257175</xdr:colOff>
      <xdr:row>259</xdr:row>
      <xdr:rowOff>133350</xdr:rowOff>
    </xdr:to>
    <xdr:sp macro="" textlink="">
      <xdr:nvSpPr>
        <xdr:cNvPr id="268" name="Line 293">
          <a:extLst>
            <a:ext uri="{FF2B5EF4-FFF2-40B4-BE49-F238E27FC236}">
              <a16:creationId xmlns:a16="http://schemas.microsoft.com/office/drawing/2014/main" id="{00000000-0008-0000-0000-00000C010000}"/>
            </a:ext>
          </a:extLst>
        </xdr:cNvPr>
        <xdr:cNvSpPr>
          <a:spLocks noChangeShapeType="1"/>
        </xdr:cNvSpPr>
      </xdr:nvSpPr>
      <xdr:spPr bwMode="auto">
        <a:xfrm flipV="1">
          <a:off x="1781175" y="49977675"/>
          <a:ext cx="4381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258</xdr:row>
      <xdr:rowOff>147145</xdr:rowOff>
    </xdr:from>
    <xdr:to>
      <xdr:col>4</xdr:col>
      <xdr:colOff>9525</xdr:colOff>
      <xdr:row>259</xdr:row>
      <xdr:rowOff>52538</xdr:rowOff>
    </xdr:to>
    <xdr:sp macro="" textlink="" fLocksText="0">
      <xdr:nvSpPr>
        <xdr:cNvPr id="269" name="Oval 294">
          <a:extLst>
            <a:ext uri="{FF2B5EF4-FFF2-40B4-BE49-F238E27FC236}">
              <a16:creationId xmlns:a16="http://schemas.microsoft.com/office/drawing/2014/main" id="{00000000-0008-0000-0000-00000D010000}"/>
            </a:ext>
          </a:extLst>
        </xdr:cNvPr>
        <xdr:cNvSpPr>
          <a:spLocks noChangeArrowheads="1"/>
        </xdr:cNvSpPr>
      </xdr:nvSpPr>
      <xdr:spPr bwMode="auto">
        <a:xfrm>
          <a:off x="2209800" y="49924795"/>
          <a:ext cx="133350" cy="95893"/>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256</xdr:row>
      <xdr:rowOff>85725</xdr:rowOff>
    </xdr:from>
    <xdr:to>
      <xdr:col>5</xdr:col>
      <xdr:colOff>638175</xdr:colOff>
      <xdr:row>256</xdr:row>
      <xdr:rowOff>85725</xdr:rowOff>
    </xdr:to>
    <xdr:sp macro="" textlink="">
      <xdr:nvSpPr>
        <xdr:cNvPr id="270" name="Line 295">
          <a:extLst>
            <a:ext uri="{FF2B5EF4-FFF2-40B4-BE49-F238E27FC236}">
              <a16:creationId xmlns:a16="http://schemas.microsoft.com/office/drawing/2014/main" id="{00000000-0008-0000-0000-00000E010000}"/>
            </a:ext>
          </a:extLst>
        </xdr:cNvPr>
        <xdr:cNvSpPr>
          <a:spLocks noChangeShapeType="1"/>
        </xdr:cNvSpPr>
      </xdr:nvSpPr>
      <xdr:spPr bwMode="auto">
        <a:xfrm>
          <a:off x="2914650" y="49472850"/>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257175</xdr:colOff>
      <xdr:row>258</xdr:row>
      <xdr:rowOff>28575</xdr:rowOff>
    </xdr:from>
    <xdr:to>
      <xdr:col>5</xdr:col>
      <xdr:colOff>657225</xdr:colOff>
      <xdr:row>258</xdr:row>
      <xdr:rowOff>28575</xdr:rowOff>
    </xdr:to>
    <xdr:sp macro="" textlink="">
      <xdr:nvSpPr>
        <xdr:cNvPr id="271" name="Line 296">
          <a:extLst>
            <a:ext uri="{FF2B5EF4-FFF2-40B4-BE49-F238E27FC236}">
              <a16:creationId xmlns:a16="http://schemas.microsoft.com/office/drawing/2014/main" id="{00000000-0008-0000-0000-00000F010000}"/>
            </a:ext>
          </a:extLst>
        </xdr:cNvPr>
        <xdr:cNvSpPr>
          <a:spLocks noChangeShapeType="1"/>
        </xdr:cNvSpPr>
      </xdr:nvSpPr>
      <xdr:spPr bwMode="auto">
        <a:xfrm>
          <a:off x="2914650" y="49806225"/>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256</xdr:row>
      <xdr:rowOff>66675</xdr:rowOff>
    </xdr:from>
    <xdr:to>
      <xdr:col>5</xdr:col>
      <xdr:colOff>609600</xdr:colOff>
      <xdr:row>258</xdr:row>
      <xdr:rowOff>66675</xdr:rowOff>
    </xdr:to>
    <xdr:sp macro="" textlink="">
      <xdr:nvSpPr>
        <xdr:cNvPr id="272" name="Line 297">
          <a:extLst>
            <a:ext uri="{FF2B5EF4-FFF2-40B4-BE49-F238E27FC236}">
              <a16:creationId xmlns:a16="http://schemas.microsoft.com/office/drawing/2014/main" id="{00000000-0008-0000-0000-000010010000}"/>
            </a:ext>
          </a:extLst>
        </xdr:cNvPr>
        <xdr:cNvSpPr>
          <a:spLocks noChangeShapeType="1"/>
        </xdr:cNvSpPr>
      </xdr:nvSpPr>
      <xdr:spPr bwMode="auto">
        <a:xfrm>
          <a:off x="3267075" y="49453800"/>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256</xdr:row>
      <xdr:rowOff>38100</xdr:rowOff>
    </xdr:from>
    <xdr:to>
      <xdr:col>5</xdr:col>
      <xdr:colOff>657225</xdr:colOff>
      <xdr:row>256</xdr:row>
      <xdr:rowOff>142875</xdr:rowOff>
    </xdr:to>
    <xdr:sp macro="" textlink="">
      <xdr:nvSpPr>
        <xdr:cNvPr id="273" name="Line 298">
          <a:extLst>
            <a:ext uri="{FF2B5EF4-FFF2-40B4-BE49-F238E27FC236}">
              <a16:creationId xmlns:a16="http://schemas.microsoft.com/office/drawing/2014/main" id="{00000000-0008-0000-0000-000011010000}"/>
            </a:ext>
          </a:extLst>
        </xdr:cNvPr>
        <xdr:cNvSpPr>
          <a:spLocks noChangeShapeType="1"/>
        </xdr:cNvSpPr>
      </xdr:nvSpPr>
      <xdr:spPr bwMode="auto">
        <a:xfrm flipH="1">
          <a:off x="3200400" y="49425225"/>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561975</xdr:colOff>
      <xdr:row>257</xdr:row>
      <xdr:rowOff>190500</xdr:rowOff>
    </xdr:from>
    <xdr:to>
      <xdr:col>5</xdr:col>
      <xdr:colOff>657225</xdr:colOff>
      <xdr:row>258</xdr:row>
      <xdr:rowOff>76200</xdr:rowOff>
    </xdr:to>
    <xdr:sp macro="" textlink="">
      <xdr:nvSpPr>
        <xdr:cNvPr id="274" name="Line 299">
          <a:extLst>
            <a:ext uri="{FF2B5EF4-FFF2-40B4-BE49-F238E27FC236}">
              <a16:creationId xmlns:a16="http://schemas.microsoft.com/office/drawing/2014/main" id="{00000000-0008-0000-0000-000012010000}"/>
            </a:ext>
          </a:extLst>
        </xdr:cNvPr>
        <xdr:cNvSpPr>
          <a:spLocks noChangeShapeType="1"/>
        </xdr:cNvSpPr>
      </xdr:nvSpPr>
      <xdr:spPr bwMode="auto">
        <a:xfrm flipH="1">
          <a:off x="3219450" y="49777650"/>
          <a:ext cx="952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257</xdr:row>
      <xdr:rowOff>174296</xdr:rowOff>
    </xdr:from>
    <xdr:to>
      <xdr:col>4</xdr:col>
      <xdr:colOff>295275</xdr:colOff>
      <xdr:row>258</xdr:row>
      <xdr:rowOff>62011</xdr:rowOff>
    </xdr:to>
    <xdr:sp macro="" textlink="" fLocksText="0">
      <xdr:nvSpPr>
        <xdr:cNvPr id="275" name="Oval 300">
          <a:extLst>
            <a:ext uri="{FF2B5EF4-FFF2-40B4-BE49-F238E27FC236}">
              <a16:creationId xmlns:a16="http://schemas.microsoft.com/office/drawing/2014/main" id="{00000000-0008-0000-0000-000013010000}"/>
            </a:ext>
          </a:extLst>
        </xdr:cNvPr>
        <xdr:cNvSpPr>
          <a:spLocks noChangeArrowheads="1"/>
        </xdr:cNvSpPr>
      </xdr:nvSpPr>
      <xdr:spPr bwMode="auto">
        <a:xfrm>
          <a:off x="2543175" y="49761446"/>
          <a:ext cx="85725" cy="7821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266700</xdr:colOff>
      <xdr:row>255</xdr:row>
      <xdr:rowOff>209550</xdr:rowOff>
    </xdr:from>
    <xdr:to>
      <xdr:col>5</xdr:col>
      <xdr:colOff>47625</xdr:colOff>
      <xdr:row>257</xdr:row>
      <xdr:rowOff>190500</xdr:rowOff>
    </xdr:to>
    <xdr:sp macro="" textlink="">
      <xdr:nvSpPr>
        <xdr:cNvPr id="276" name="Line 301">
          <a:extLst>
            <a:ext uri="{FF2B5EF4-FFF2-40B4-BE49-F238E27FC236}">
              <a16:creationId xmlns:a16="http://schemas.microsoft.com/office/drawing/2014/main" id="{00000000-0008-0000-0000-000014010000}"/>
            </a:ext>
          </a:extLst>
        </xdr:cNvPr>
        <xdr:cNvSpPr>
          <a:spLocks noChangeShapeType="1"/>
        </xdr:cNvSpPr>
      </xdr:nvSpPr>
      <xdr:spPr bwMode="auto">
        <a:xfrm flipH="1">
          <a:off x="2600325" y="49387125"/>
          <a:ext cx="104775"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704850</xdr:colOff>
      <xdr:row>122</xdr:row>
      <xdr:rowOff>104775</xdr:rowOff>
    </xdr:from>
    <xdr:to>
      <xdr:col>5</xdr:col>
      <xdr:colOff>704850</xdr:colOff>
      <xdr:row>124</xdr:row>
      <xdr:rowOff>47625</xdr:rowOff>
    </xdr:to>
    <xdr:sp macro="" textlink="">
      <xdr:nvSpPr>
        <xdr:cNvPr id="277" name="Line 302">
          <a:extLst>
            <a:ext uri="{FF2B5EF4-FFF2-40B4-BE49-F238E27FC236}">
              <a16:creationId xmlns:a16="http://schemas.microsoft.com/office/drawing/2014/main" id="{00000000-0008-0000-0000-000015010000}"/>
            </a:ext>
          </a:extLst>
        </xdr:cNvPr>
        <xdr:cNvSpPr>
          <a:spLocks noChangeShapeType="1"/>
        </xdr:cNvSpPr>
      </xdr:nvSpPr>
      <xdr:spPr bwMode="auto">
        <a:xfrm>
          <a:off x="3362325" y="23593425"/>
          <a:ext cx="0" cy="342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561975</xdr:colOff>
      <xdr:row>120</xdr:row>
      <xdr:rowOff>161925</xdr:rowOff>
    </xdr:from>
    <xdr:to>
      <xdr:col>5</xdr:col>
      <xdr:colOff>609600</xdr:colOff>
      <xdr:row>124</xdr:row>
      <xdr:rowOff>47625</xdr:rowOff>
    </xdr:to>
    <xdr:sp macro="" textlink="">
      <xdr:nvSpPr>
        <xdr:cNvPr id="278" name="Tegning 303">
          <a:extLst>
            <a:ext uri="{FF2B5EF4-FFF2-40B4-BE49-F238E27FC236}">
              <a16:creationId xmlns:a16="http://schemas.microsoft.com/office/drawing/2014/main" id="{00000000-0008-0000-0000-000016010000}"/>
            </a:ext>
          </a:extLst>
        </xdr:cNvPr>
        <xdr:cNvSpPr>
          <a:spLocks/>
        </xdr:cNvSpPr>
      </xdr:nvSpPr>
      <xdr:spPr bwMode="auto">
        <a:xfrm>
          <a:off x="1943100" y="23269575"/>
          <a:ext cx="1323975" cy="6667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183"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95250</xdr:colOff>
      <xdr:row>121</xdr:row>
      <xdr:rowOff>161925</xdr:rowOff>
    </xdr:from>
    <xdr:to>
      <xdr:col>3</xdr:col>
      <xdr:colOff>0</xdr:colOff>
      <xdr:row>122</xdr:row>
      <xdr:rowOff>114300</xdr:rowOff>
    </xdr:to>
    <xdr:sp macro="" textlink="">
      <xdr:nvSpPr>
        <xdr:cNvPr id="279" name="Tegning 304">
          <a:extLst>
            <a:ext uri="{FF2B5EF4-FFF2-40B4-BE49-F238E27FC236}">
              <a16:creationId xmlns:a16="http://schemas.microsoft.com/office/drawing/2014/main" id="{00000000-0008-0000-0000-000017010000}"/>
            </a:ext>
          </a:extLst>
        </xdr:cNvPr>
        <xdr:cNvSpPr>
          <a:spLocks/>
        </xdr:cNvSpPr>
      </xdr:nvSpPr>
      <xdr:spPr bwMode="auto">
        <a:xfrm>
          <a:off x="1476375" y="23460075"/>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039"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0</xdr:colOff>
      <xdr:row>121</xdr:row>
      <xdr:rowOff>161925</xdr:rowOff>
    </xdr:from>
    <xdr:to>
      <xdr:col>5</xdr:col>
      <xdr:colOff>209550</xdr:colOff>
      <xdr:row>122</xdr:row>
      <xdr:rowOff>114300</xdr:rowOff>
    </xdr:to>
    <xdr:sp macro="" textlink="">
      <xdr:nvSpPr>
        <xdr:cNvPr id="280" name="Tegning 305">
          <a:extLst>
            <a:ext uri="{FF2B5EF4-FFF2-40B4-BE49-F238E27FC236}">
              <a16:creationId xmlns:a16="http://schemas.microsoft.com/office/drawing/2014/main" id="{00000000-0008-0000-0000-000018010000}"/>
            </a:ext>
          </a:extLst>
        </xdr:cNvPr>
        <xdr:cNvSpPr>
          <a:spLocks/>
        </xdr:cNvSpPr>
      </xdr:nvSpPr>
      <xdr:spPr bwMode="auto">
        <a:xfrm>
          <a:off x="1962150" y="23460075"/>
          <a:ext cx="904875"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16384" y="0"/>
              </a:lnTo>
              <a:lnTo>
                <a:pt x="16384" y="16384"/>
              </a:lnTo>
              <a:lnTo>
                <a:pt x="0"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552450</xdr:colOff>
      <xdr:row>124</xdr:row>
      <xdr:rowOff>76200</xdr:rowOff>
    </xdr:from>
    <xdr:to>
      <xdr:col>3</xdr:col>
      <xdr:colOff>266700</xdr:colOff>
      <xdr:row>126</xdr:row>
      <xdr:rowOff>85725</xdr:rowOff>
    </xdr:to>
    <xdr:sp macro="" textlink="">
      <xdr:nvSpPr>
        <xdr:cNvPr id="281" name="Tegning 306">
          <a:extLst>
            <a:ext uri="{FF2B5EF4-FFF2-40B4-BE49-F238E27FC236}">
              <a16:creationId xmlns:a16="http://schemas.microsoft.com/office/drawing/2014/main" id="{00000000-0008-0000-0000-000019010000}"/>
            </a:ext>
          </a:extLst>
        </xdr:cNvPr>
        <xdr:cNvSpPr>
          <a:spLocks/>
        </xdr:cNvSpPr>
      </xdr:nvSpPr>
      <xdr:spPr bwMode="auto">
        <a:xfrm>
          <a:off x="1933575" y="23964900"/>
          <a:ext cx="295275" cy="40957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16384" y="10384"/>
              </a:lnTo>
              <a:lnTo>
                <a:pt x="8192" y="16384"/>
              </a:lnTo>
              <a:lnTo>
                <a:pt x="0" y="10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171450</xdr:colOff>
      <xdr:row>122</xdr:row>
      <xdr:rowOff>123825</xdr:rowOff>
    </xdr:from>
    <xdr:to>
      <xdr:col>2</xdr:col>
      <xdr:colOff>390525</xdr:colOff>
      <xdr:row>124</xdr:row>
      <xdr:rowOff>161925</xdr:rowOff>
    </xdr:to>
    <xdr:sp macro="" textlink="">
      <xdr:nvSpPr>
        <xdr:cNvPr id="282" name="Tegning 307">
          <a:extLst>
            <a:ext uri="{FF2B5EF4-FFF2-40B4-BE49-F238E27FC236}">
              <a16:creationId xmlns:a16="http://schemas.microsoft.com/office/drawing/2014/main" id="{00000000-0008-0000-0000-00001A010000}"/>
            </a:ext>
          </a:extLst>
        </xdr:cNvPr>
        <xdr:cNvSpPr>
          <a:spLocks/>
        </xdr:cNvSpPr>
      </xdr:nvSpPr>
      <xdr:spPr bwMode="auto">
        <a:xfrm>
          <a:off x="1552575" y="23612475"/>
          <a:ext cx="219075" cy="43815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7620" y="16384"/>
              </a:moveTo>
              <a:lnTo>
                <a:pt x="7620" y="0"/>
              </a:lnTo>
              <a:lnTo>
                <a:pt x="0" y="4819"/>
              </a:lnTo>
              <a:lnTo>
                <a:pt x="7620" y="0"/>
              </a:lnTo>
              <a:lnTo>
                <a:pt x="16384" y="554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114300</xdr:colOff>
      <xdr:row>122</xdr:row>
      <xdr:rowOff>114300</xdr:rowOff>
    </xdr:from>
    <xdr:to>
      <xdr:col>5</xdr:col>
      <xdr:colOff>209550</xdr:colOff>
      <xdr:row>122</xdr:row>
      <xdr:rowOff>114300</xdr:rowOff>
    </xdr:to>
    <xdr:sp macro="" textlink="">
      <xdr:nvSpPr>
        <xdr:cNvPr id="283" name="Line 308">
          <a:extLst>
            <a:ext uri="{FF2B5EF4-FFF2-40B4-BE49-F238E27FC236}">
              <a16:creationId xmlns:a16="http://schemas.microsoft.com/office/drawing/2014/main" id="{00000000-0008-0000-0000-00001B010000}"/>
            </a:ext>
          </a:extLst>
        </xdr:cNvPr>
        <xdr:cNvSpPr>
          <a:spLocks noChangeShapeType="1"/>
        </xdr:cNvSpPr>
      </xdr:nvSpPr>
      <xdr:spPr bwMode="auto">
        <a:xfrm>
          <a:off x="2771775" y="23602950"/>
          <a:ext cx="95250" cy="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122</xdr:row>
      <xdr:rowOff>142875</xdr:rowOff>
    </xdr:from>
    <xdr:to>
      <xdr:col>5</xdr:col>
      <xdr:colOff>104775</xdr:colOff>
      <xdr:row>124</xdr:row>
      <xdr:rowOff>28575</xdr:rowOff>
    </xdr:to>
    <xdr:sp macro="" textlink="">
      <xdr:nvSpPr>
        <xdr:cNvPr id="284" name="Line 309">
          <a:extLst>
            <a:ext uri="{FF2B5EF4-FFF2-40B4-BE49-F238E27FC236}">
              <a16:creationId xmlns:a16="http://schemas.microsoft.com/office/drawing/2014/main" id="{00000000-0008-0000-0000-00001C010000}"/>
            </a:ext>
          </a:extLst>
        </xdr:cNvPr>
        <xdr:cNvSpPr>
          <a:spLocks noChangeShapeType="1"/>
        </xdr:cNvSpPr>
      </xdr:nvSpPr>
      <xdr:spPr bwMode="auto">
        <a:xfrm flipH="1">
          <a:off x="2495550" y="23631525"/>
          <a:ext cx="266700" cy="2857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122</xdr:row>
      <xdr:rowOff>142875</xdr:rowOff>
    </xdr:from>
    <xdr:to>
      <xdr:col>5</xdr:col>
      <xdr:colOff>447675</xdr:colOff>
      <xdr:row>124</xdr:row>
      <xdr:rowOff>0</xdr:rowOff>
    </xdr:to>
    <xdr:sp macro="" textlink="">
      <xdr:nvSpPr>
        <xdr:cNvPr id="285" name="Line 310">
          <a:extLst>
            <a:ext uri="{FF2B5EF4-FFF2-40B4-BE49-F238E27FC236}">
              <a16:creationId xmlns:a16="http://schemas.microsoft.com/office/drawing/2014/main" id="{00000000-0008-0000-0000-00001D010000}"/>
            </a:ext>
          </a:extLst>
        </xdr:cNvPr>
        <xdr:cNvSpPr>
          <a:spLocks noChangeShapeType="1"/>
        </xdr:cNvSpPr>
      </xdr:nvSpPr>
      <xdr:spPr bwMode="auto">
        <a:xfrm>
          <a:off x="2895600" y="23631525"/>
          <a:ext cx="209550" cy="25717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124</xdr:row>
      <xdr:rowOff>47625</xdr:rowOff>
    </xdr:from>
    <xdr:to>
      <xdr:col>5</xdr:col>
      <xdr:colOff>276225</xdr:colOff>
      <xdr:row>125</xdr:row>
      <xdr:rowOff>161925</xdr:rowOff>
    </xdr:to>
    <xdr:sp macro="" textlink="">
      <xdr:nvSpPr>
        <xdr:cNvPr id="286" name="Tegning 311">
          <a:extLst>
            <a:ext uri="{FF2B5EF4-FFF2-40B4-BE49-F238E27FC236}">
              <a16:creationId xmlns:a16="http://schemas.microsoft.com/office/drawing/2014/main" id="{00000000-0008-0000-0000-00001E010000}"/>
            </a:ext>
          </a:extLst>
        </xdr:cNvPr>
        <xdr:cNvSpPr>
          <a:spLocks/>
        </xdr:cNvSpPr>
      </xdr:nvSpPr>
      <xdr:spPr bwMode="auto">
        <a:xfrm>
          <a:off x="2695575" y="23936325"/>
          <a:ext cx="238125" cy="31432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95" y="16384"/>
              </a:moveTo>
              <a:lnTo>
                <a:pt x="8495" y="0"/>
              </a:lnTo>
              <a:lnTo>
                <a:pt x="16384" y="5605"/>
              </a:lnTo>
              <a:lnTo>
                <a:pt x="8495" y="0"/>
              </a:lnTo>
              <a:lnTo>
                <a:pt x="0" y="603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219075</xdr:colOff>
      <xdr:row>128</xdr:row>
      <xdr:rowOff>0</xdr:rowOff>
    </xdr:from>
    <xdr:to>
      <xdr:col>5</xdr:col>
      <xdr:colOff>171450</xdr:colOff>
      <xdr:row>128</xdr:row>
      <xdr:rowOff>0</xdr:rowOff>
    </xdr:to>
    <xdr:sp macro="" textlink="">
      <xdr:nvSpPr>
        <xdr:cNvPr id="287" name="Line 312">
          <a:extLst>
            <a:ext uri="{FF2B5EF4-FFF2-40B4-BE49-F238E27FC236}">
              <a16:creationId xmlns:a16="http://schemas.microsoft.com/office/drawing/2014/main" id="{00000000-0008-0000-0000-00001F010000}"/>
            </a:ext>
          </a:extLst>
        </xdr:cNvPr>
        <xdr:cNvSpPr>
          <a:spLocks noChangeShapeType="1"/>
        </xdr:cNvSpPr>
      </xdr:nvSpPr>
      <xdr:spPr bwMode="auto">
        <a:xfrm>
          <a:off x="1600200" y="24679275"/>
          <a:ext cx="1228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126</xdr:row>
      <xdr:rowOff>28575</xdr:rowOff>
    </xdr:from>
    <xdr:to>
      <xdr:col>5</xdr:col>
      <xdr:colOff>152400</xdr:colOff>
      <xdr:row>128</xdr:row>
      <xdr:rowOff>66675</xdr:rowOff>
    </xdr:to>
    <xdr:sp macro="" textlink="">
      <xdr:nvSpPr>
        <xdr:cNvPr id="288" name="Line 313">
          <a:extLst>
            <a:ext uri="{FF2B5EF4-FFF2-40B4-BE49-F238E27FC236}">
              <a16:creationId xmlns:a16="http://schemas.microsoft.com/office/drawing/2014/main" id="{00000000-0008-0000-0000-000020010000}"/>
            </a:ext>
          </a:extLst>
        </xdr:cNvPr>
        <xdr:cNvSpPr>
          <a:spLocks noChangeShapeType="1"/>
        </xdr:cNvSpPr>
      </xdr:nvSpPr>
      <xdr:spPr bwMode="auto">
        <a:xfrm>
          <a:off x="2809875" y="24317325"/>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126</xdr:row>
      <xdr:rowOff>114300</xdr:rowOff>
    </xdr:from>
    <xdr:to>
      <xdr:col>3</xdr:col>
      <xdr:colOff>114300</xdr:colOff>
      <xdr:row>128</xdr:row>
      <xdr:rowOff>28575</xdr:rowOff>
    </xdr:to>
    <xdr:sp macro="" textlink="">
      <xdr:nvSpPr>
        <xdr:cNvPr id="289" name="Line 314">
          <a:extLst>
            <a:ext uri="{FF2B5EF4-FFF2-40B4-BE49-F238E27FC236}">
              <a16:creationId xmlns:a16="http://schemas.microsoft.com/office/drawing/2014/main" id="{00000000-0008-0000-0000-000021010000}"/>
            </a:ext>
          </a:extLst>
        </xdr:cNvPr>
        <xdr:cNvSpPr>
          <a:spLocks noChangeShapeType="1"/>
        </xdr:cNvSpPr>
      </xdr:nvSpPr>
      <xdr:spPr bwMode="auto">
        <a:xfrm>
          <a:off x="2076450" y="244030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125</xdr:row>
      <xdr:rowOff>38100</xdr:rowOff>
    </xdr:from>
    <xdr:to>
      <xdr:col>2</xdr:col>
      <xdr:colOff>266700</xdr:colOff>
      <xdr:row>128</xdr:row>
      <xdr:rowOff>66675</xdr:rowOff>
    </xdr:to>
    <xdr:sp macro="" textlink="">
      <xdr:nvSpPr>
        <xdr:cNvPr id="290" name="Line 315">
          <a:extLst>
            <a:ext uri="{FF2B5EF4-FFF2-40B4-BE49-F238E27FC236}">
              <a16:creationId xmlns:a16="http://schemas.microsoft.com/office/drawing/2014/main" id="{00000000-0008-0000-0000-000022010000}"/>
            </a:ext>
          </a:extLst>
        </xdr:cNvPr>
        <xdr:cNvSpPr>
          <a:spLocks noChangeShapeType="1"/>
        </xdr:cNvSpPr>
      </xdr:nvSpPr>
      <xdr:spPr bwMode="auto">
        <a:xfrm>
          <a:off x="1647825" y="24126825"/>
          <a:ext cx="0" cy="619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127</xdr:row>
      <xdr:rowOff>142875</xdr:rowOff>
    </xdr:from>
    <xdr:to>
      <xdr:col>2</xdr:col>
      <xdr:colOff>314325</xdr:colOff>
      <xdr:row>128</xdr:row>
      <xdr:rowOff>66675</xdr:rowOff>
    </xdr:to>
    <xdr:sp macro="" textlink="">
      <xdr:nvSpPr>
        <xdr:cNvPr id="291" name="Line 316">
          <a:extLst>
            <a:ext uri="{FF2B5EF4-FFF2-40B4-BE49-F238E27FC236}">
              <a16:creationId xmlns:a16="http://schemas.microsoft.com/office/drawing/2014/main" id="{00000000-0008-0000-0000-000023010000}"/>
            </a:ext>
          </a:extLst>
        </xdr:cNvPr>
        <xdr:cNvSpPr>
          <a:spLocks noChangeShapeType="1"/>
        </xdr:cNvSpPr>
      </xdr:nvSpPr>
      <xdr:spPr bwMode="auto">
        <a:xfrm flipH="1">
          <a:off x="1600200" y="2463165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127</xdr:row>
      <xdr:rowOff>142875</xdr:rowOff>
    </xdr:from>
    <xdr:to>
      <xdr:col>3</xdr:col>
      <xdr:colOff>161925</xdr:colOff>
      <xdr:row>128</xdr:row>
      <xdr:rowOff>66675</xdr:rowOff>
    </xdr:to>
    <xdr:sp macro="" textlink="">
      <xdr:nvSpPr>
        <xdr:cNvPr id="292" name="Line 317">
          <a:extLst>
            <a:ext uri="{FF2B5EF4-FFF2-40B4-BE49-F238E27FC236}">
              <a16:creationId xmlns:a16="http://schemas.microsoft.com/office/drawing/2014/main" id="{00000000-0008-0000-0000-000024010000}"/>
            </a:ext>
          </a:extLst>
        </xdr:cNvPr>
        <xdr:cNvSpPr>
          <a:spLocks noChangeShapeType="1"/>
        </xdr:cNvSpPr>
      </xdr:nvSpPr>
      <xdr:spPr bwMode="auto">
        <a:xfrm flipH="1">
          <a:off x="2009775" y="2463165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127</xdr:row>
      <xdr:rowOff>123825</xdr:rowOff>
    </xdr:from>
    <xdr:to>
      <xdr:col>5</xdr:col>
      <xdr:colOff>200025</xdr:colOff>
      <xdr:row>128</xdr:row>
      <xdr:rowOff>47625</xdr:rowOff>
    </xdr:to>
    <xdr:sp macro="" textlink="">
      <xdr:nvSpPr>
        <xdr:cNvPr id="293" name="Line 318">
          <a:extLst>
            <a:ext uri="{FF2B5EF4-FFF2-40B4-BE49-F238E27FC236}">
              <a16:creationId xmlns:a16="http://schemas.microsoft.com/office/drawing/2014/main" id="{00000000-0008-0000-0000-000025010000}"/>
            </a:ext>
          </a:extLst>
        </xdr:cNvPr>
        <xdr:cNvSpPr>
          <a:spLocks noChangeShapeType="1"/>
        </xdr:cNvSpPr>
      </xdr:nvSpPr>
      <xdr:spPr bwMode="auto">
        <a:xfrm flipH="1">
          <a:off x="2752725" y="24612600"/>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124</xdr:row>
      <xdr:rowOff>0</xdr:rowOff>
    </xdr:from>
    <xdr:to>
      <xdr:col>5</xdr:col>
      <xdr:colOff>723900</xdr:colOff>
      <xdr:row>124</xdr:row>
      <xdr:rowOff>95250</xdr:rowOff>
    </xdr:to>
    <xdr:sp macro="" textlink="">
      <xdr:nvSpPr>
        <xdr:cNvPr id="294" name="Line 319">
          <a:extLst>
            <a:ext uri="{FF2B5EF4-FFF2-40B4-BE49-F238E27FC236}">
              <a16:creationId xmlns:a16="http://schemas.microsoft.com/office/drawing/2014/main" id="{00000000-0008-0000-0000-000026010000}"/>
            </a:ext>
          </a:extLst>
        </xdr:cNvPr>
        <xdr:cNvSpPr>
          <a:spLocks noChangeShapeType="1"/>
        </xdr:cNvSpPr>
      </xdr:nvSpPr>
      <xdr:spPr bwMode="auto">
        <a:xfrm flipH="1">
          <a:off x="3314700" y="23888700"/>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120</xdr:row>
      <xdr:rowOff>66675</xdr:rowOff>
    </xdr:from>
    <xdr:to>
      <xdr:col>5</xdr:col>
      <xdr:colOff>114300</xdr:colOff>
      <xdr:row>121</xdr:row>
      <xdr:rowOff>123825</xdr:rowOff>
    </xdr:to>
    <xdr:sp macro="" textlink="">
      <xdr:nvSpPr>
        <xdr:cNvPr id="295" name="Line 320">
          <a:extLst>
            <a:ext uri="{FF2B5EF4-FFF2-40B4-BE49-F238E27FC236}">
              <a16:creationId xmlns:a16="http://schemas.microsoft.com/office/drawing/2014/main" id="{00000000-0008-0000-0000-000027010000}"/>
            </a:ext>
          </a:extLst>
        </xdr:cNvPr>
        <xdr:cNvSpPr>
          <a:spLocks noChangeShapeType="1"/>
        </xdr:cNvSpPr>
      </xdr:nvSpPr>
      <xdr:spPr bwMode="auto">
        <a:xfrm flipV="1">
          <a:off x="2771775" y="23174325"/>
          <a:ext cx="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117</xdr:row>
      <xdr:rowOff>152400</xdr:rowOff>
    </xdr:from>
    <xdr:to>
      <xdr:col>5</xdr:col>
      <xdr:colOff>209550</xdr:colOff>
      <xdr:row>121</xdr:row>
      <xdr:rowOff>152400</xdr:rowOff>
    </xdr:to>
    <xdr:sp macro="" textlink="">
      <xdr:nvSpPr>
        <xdr:cNvPr id="296" name="Line 321">
          <a:extLst>
            <a:ext uri="{FF2B5EF4-FFF2-40B4-BE49-F238E27FC236}">
              <a16:creationId xmlns:a16="http://schemas.microsoft.com/office/drawing/2014/main" id="{00000000-0008-0000-0000-000028010000}"/>
            </a:ext>
          </a:extLst>
        </xdr:cNvPr>
        <xdr:cNvSpPr>
          <a:spLocks noChangeShapeType="1"/>
        </xdr:cNvSpPr>
      </xdr:nvSpPr>
      <xdr:spPr bwMode="auto">
        <a:xfrm flipV="1">
          <a:off x="2867025" y="22688550"/>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120</xdr:row>
      <xdr:rowOff>114300</xdr:rowOff>
    </xdr:from>
    <xdr:to>
      <xdr:col>5</xdr:col>
      <xdr:colOff>276225</xdr:colOff>
      <xdr:row>120</xdr:row>
      <xdr:rowOff>114300</xdr:rowOff>
    </xdr:to>
    <xdr:sp macro="" textlink="">
      <xdr:nvSpPr>
        <xdr:cNvPr id="297" name="Line 322">
          <a:extLst>
            <a:ext uri="{FF2B5EF4-FFF2-40B4-BE49-F238E27FC236}">
              <a16:creationId xmlns:a16="http://schemas.microsoft.com/office/drawing/2014/main" id="{00000000-0008-0000-0000-000029010000}"/>
            </a:ext>
          </a:extLst>
        </xdr:cNvPr>
        <xdr:cNvSpPr>
          <a:spLocks noChangeShapeType="1"/>
        </xdr:cNvSpPr>
      </xdr:nvSpPr>
      <xdr:spPr bwMode="auto">
        <a:xfrm>
          <a:off x="2743200" y="23221950"/>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76200</xdr:colOff>
      <xdr:row>120</xdr:row>
      <xdr:rowOff>66675</xdr:rowOff>
    </xdr:from>
    <xdr:to>
      <xdr:col>5</xdr:col>
      <xdr:colOff>152400</xdr:colOff>
      <xdr:row>120</xdr:row>
      <xdr:rowOff>142875</xdr:rowOff>
    </xdr:to>
    <xdr:sp macro="" textlink="">
      <xdr:nvSpPr>
        <xdr:cNvPr id="298" name="Line 323">
          <a:extLst>
            <a:ext uri="{FF2B5EF4-FFF2-40B4-BE49-F238E27FC236}">
              <a16:creationId xmlns:a16="http://schemas.microsoft.com/office/drawing/2014/main" id="{00000000-0008-0000-0000-00002A010000}"/>
            </a:ext>
          </a:extLst>
        </xdr:cNvPr>
        <xdr:cNvSpPr>
          <a:spLocks noChangeShapeType="1"/>
        </xdr:cNvSpPr>
      </xdr:nvSpPr>
      <xdr:spPr bwMode="auto">
        <a:xfrm flipV="1">
          <a:off x="2733675" y="2317432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120</xdr:row>
      <xdr:rowOff>9525</xdr:rowOff>
    </xdr:from>
    <xdr:to>
      <xdr:col>3</xdr:col>
      <xdr:colOff>190500</xdr:colOff>
      <xdr:row>120</xdr:row>
      <xdr:rowOff>9525</xdr:rowOff>
    </xdr:to>
    <xdr:sp macro="" textlink="">
      <xdr:nvSpPr>
        <xdr:cNvPr id="299" name="Line 324">
          <a:extLst>
            <a:ext uri="{FF2B5EF4-FFF2-40B4-BE49-F238E27FC236}">
              <a16:creationId xmlns:a16="http://schemas.microsoft.com/office/drawing/2014/main" id="{00000000-0008-0000-0000-00002B010000}"/>
            </a:ext>
          </a:extLst>
        </xdr:cNvPr>
        <xdr:cNvSpPr>
          <a:spLocks noChangeShapeType="1"/>
        </xdr:cNvSpPr>
      </xdr:nvSpPr>
      <xdr:spPr bwMode="auto">
        <a:xfrm>
          <a:off x="1381125" y="23117175"/>
          <a:ext cx="771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119</xdr:row>
      <xdr:rowOff>152400</xdr:rowOff>
    </xdr:from>
    <xdr:to>
      <xdr:col>2</xdr:col>
      <xdr:colOff>266700</xdr:colOff>
      <xdr:row>122</xdr:row>
      <xdr:rowOff>38100</xdr:rowOff>
    </xdr:to>
    <xdr:sp macro="" textlink="">
      <xdr:nvSpPr>
        <xdr:cNvPr id="300" name="Line 325">
          <a:extLst>
            <a:ext uri="{FF2B5EF4-FFF2-40B4-BE49-F238E27FC236}">
              <a16:creationId xmlns:a16="http://schemas.microsoft.com/office/drawing/2014/main" id="{00000000-0008-0000-0000-00002C010000}"/>
            </a:ext>
          </a:extLst>
        </xdr:cNvPr>
        <xdr:cNvSpPr>
          <a:spLocks noChangeShapeType="1"/>
        </xdr:cNvSpPr>
      </xdr:nvSpPr>
      <xdr:spPr bwMode="auto">
        <a:xfrm flipV="1">
          <a:off x="1647825" y="23069550"/>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119</xdr:row>
      <xdr:rowOff>123825</xdr:rowOff>
    </xdr:from>
    <xdr:to>
      <xdr:col>2</xdr:col>
      <xdr:colOff>571500</xdr:colOff>
      <xdr:row>120</xdr:row>
      <xdr:rowOff>123825</xdr:rowOff>
    </xdr:to>
    <xdr:sp macro="" textlink="">
      <xdr:nvSpPr>
        <xdr:cNvPr id="301" name="Line 326">
          <a:extLst>
            <a:ext uri="{FF2B5EF4-FFF2-40B4-BE49-F238E27FC236}">
              <a16:creationId xmlns:a16="http://schemas.microsoft.com/office/drawing/2014/main" id="{00000000-0008-0000-0000-00002D010000}"/>
            </a:ext>
          </a:extLst>
        </xdr:cNvPr>
        <xdr:cNvSpPr>
          <a:spLocks noChangeShapeType="1"/>
        </xdr:cNvSpPr>
      </xdr:nvSpPr>
      <xdr:spPr bwMode="auto">
        <a:xfrm flipV="1">
          <a:off x="1952625" y="2304097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121</xdr:row>
      <xdr:rowOff>38100</xdr:rowOff>
    </xdr:from>
    <xdr:to>
      <xdr:col>2</xdr:col>
      <xdr:colOff>438150</xdr:colOff>
      <xdr:row>125</xdr:row>
      <xdr:rowOff>152400</xdr:rowOff>
    </xdr:to>
    <xdr:sp macro="" textlink="">
      <xdr:nvSpPr>
        <xdr:cNvPr id="302" name="Line 327">
          <a:extLst>
            <a:ext uri="{FF2B5EF4-FFF2-40B4-BE49-F238E27FC236}">
              <a16:creationId xmlns:a16="http://schemas.microsoft.com/office/drawing/2014/main" id="{00000000-0008-0000-0000-00002E010000}"/>
            </a:ext>
          </a:extLst>
        </xdr:cNvPr>
        <xdr:cNvSpPr>
          <a:spLocks noChangeShapeType="1"/>
        </xdr:cNvSpPr>
      </xdr:nvSpPr>
      <xdr:spPr bwMode="auto">
        <a:xfrm>
          <a:off x="1819275" y="23336250"/>
          <a:ext cx="0" cy="90487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119</xdr:row>
      <xdr:rowOff>161925</xdr:rowOff>
    </xdr:from>
    <xdr:to>
      <xdr:col>3</xdr:col>
      <xdr:colOff>161925</xdr:colOff>
      <xdr:row>120</xdr:row>
      <xdr:rowOff>38100</xdr:rowOff>
    </xdr:to>
    <xdr:sp macro="" textlink="">
      <xdr:nvSpPr>
        <xdr:cNvPr id="303" name="Line 328">
          <a:extLst>
            <a:ext uri="{FF2B5EF4-FFF2-40B4-BE49-F238E27FC236}">
              <a16:creationId xmlns:a16="http://schemas.microsoft.com/office/drawing/2014/main" id="{00000000-0008-0000-0000-00002F010000}"/>
            </a:ext>
          </a:extLst>
        </xdr:cNvPr>
        <xdr:cNvSpPr>
          <a:spLocks noChangeShapeType="1"/>
        </xdr:cNvSpPr>
      </xdr:nvSpPr>
      <xdr:spPr bwMode="auto">
        <a:xfrm flipH="1">
          <a:off x="2047875" y="2307907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119</xdr:row>
      <xdr:rowOff>161925</xdr:rowOff>
    </xdr:from>
    <xdr:to>
      <xdr:col>2</xdr:col>
      <xdr:colOff>457200</xdr:colOff>
      <xdr:row>120</xdr:row>
      <xdr:rowOff>66675</xdr:rowOff>
    </xdr:to>
    <xdr:sp macro="" textlink="">
      <xdr:nvSpPr>
        <xdr:cNvPr id="304" name="Line 329">
          <a:extLst>
            <a:ext uri="{FF2B5EF4-FFF2-40B4-BE49-F238E27FC236}">
              <a16:creationId xmlns:a16="http://schemas.microsoft.com/office/drawing/2014/main" id="{00000000-0008-0000-0000-000030010000}"/>
            </a:ext>
          </a:extLst>
        </xdr:cNvPr>
        <xdr:cNvSpPr>
          <a:spLocks noChangeShapeType="1"/>
        </xdr:cNvSpPr>
      </xdr:nvSpPr>
      <xdr:spPr bwMode="auto">
        <a:xfrm flipH="1">
          <a:off x="1771650" y="23079075"/>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121</xdr:row>
      <xdr:rowOff>9525</xdr:rowOff>
    </xdr:from>
    <xdr:to>
      <xdr:col>2</xdr:col>
      <xdr:colOff>95250</xdr:colOff>
      <xdr:row>121</xdr:row>
      <xdr:rowOff>114300</xdr:rowOff>
    </xdr:to>
    <xdr:sp macro="" textlink="">
      <xdr:nvSpPr>
        <xdr:cNvPr id="305" name="Line 330">
          <a:extLst>
            <a:ext uri="{FF2B5EF4-FFF2-40B4-BE49-F238E27FC236}">
              <a16:creationId xmlns:a16="http://schemas.microsoft.com/office/drawing/2014/main" id="{00000000-0008-0000-0000-000031010000}"/>
            </a:ext>
          </a:extLst>
        </xdr:cNvPr>
        <xdr:cNvSpPr>
          <a:spLocks noChangeShapeType="1"/>
        </xdr:cNvSpPr>
      </xdr:nvSpPr>
      <xdr:spPr bwMode="auto">
        <a:xfrm flipV="1">
          <a:off x="1476375" y="23307675"/>
          <a:ext cx="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119</xdr:row>
      <xdr:rowOff>152400</xdr:rowOff>
    </xdr:from>
    <xdr:to>
      <xdr:col>2</xdr:col>
      <xdr:colOff>142875</xdr:colOff>
      <xdr:row>120</xdr:row>
      <xdr:rowOff>57150</xdr:rowOff>
    </xdr:to>
    <xdr:sp macro="" textlink="">
      <xdr:nvSpPr>
        <xdr:cNvPr id="306" name="Line 331">
          <a:extLst>
            <a:ext uri="{FF2B5EF4-FFF2-40B4-BE49-F238E27FC236}">
              <a16:creationId xmlns:a16="http://schemas.microsoft.com/office/drawing/2014/main" id="{00000000-0008-0000-0000-000032010000}"/>
            </a:ext>
          </a:extLst>
        </xdr:cNvPr>
        <xdr:cNvSpPr>
          <a:spLocks noChangeShapeType="1"/>
        </xdr:cNvSpPr>
      </xdr:nvSpPr>
      <xdr:spPr bwMode="auto">
        <a:xfrm flipH="1">
          <a:off x="1409700" y="23069550"/>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118</xdr:row>
      <xdr:rowOff>0</xdr:rowOff>
    </xdr:from>
    <xdr:to>
      <xdr:col>5</xdr:col>
      <xdr:colOff>285750</xdr:colOff>
      <xdr:row>118</xdr:row>
      <xdr:rowOff>0</xdr:rowOff>
    </xdr:to>
    <xdr:sp macro="" textlink="">
      <xdr:nvSpPr>
        <xdr:cNvPr id="307" name="Line 332">
          <a:extLst>
            <a:ext uri="{FF2B5EF4-FFF2-40B4-BE49-F238E27FC236}">
              <a16:creationId xmlns:a16="http://schemas.microsoft.com/office/drawing/2014/main" id="{00000000-0008-0000-0000-000033010000}"/>
            </a:ext>
          </a:extLst>
        </xdr:cNvPr>
        <xdr:cNvSpPr>
          <a:spLocks noChangeShapeType="1"/>
        </xdr:cNvSpPr>
      </xdr:nvSpPr>
      <xdr:spPr bwMode="auto">
        <a:xfrm flipH="1">
          <a:off x="1428750" y="22726650"/>
          <a:ext cx="1514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117</xdr:row>
      <xdr:rowOff>142875</xdr:rowOff>
    </xdr:from>
    <xdr:to>
      <xdr:col>2</xdr:col>
      <xdr:colOff>152400</xdr:colOff>
      <xdr:row>118</xdr:row>
      <xdr:rowOff>38100</xdr:rowOff>
    </xdr:to>
    <xdr:sp macro="" textlink="">
      <xdr:nvSpPr>
        <xdr:cNvPr id="308" name="Line 333">
          <a:extLst>
            <a:ext uri="{FF2B5EF4-FFF2-40B4-BE49-F238E27FC236}">
              <a16:creationId xmlns:a16="http://schemas.microsoft.com/office/drawing/2014/main" id="{00000000-0008-0000-0000-000034010000}"/>
            </a:ext>
          </a:extLst>
        </xdr:cNvPr>
        <xdr:cNvSpPr>
          <a:spLocks noChangeShapeType="1"/>
        </xdr:cNvSpPr>
      </xdr:nvSpPr>
      <xdr:spPr bwMode="auto">
        <a:xfrm flipH="1">
          <a:off x="1438275" y="22679025"/>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119</xdr:row>
      <xdr:rowOff>161925</xdr:rowOff>
    </xdr:from>
    <xdr:to>
      <xdr:col>2</xdr:col>
      <xdr:colOff>295275</xdr:colOff>
      <xdr:row>120</xdr:row>
      <xdr:rowOff>38100</xdr:rowOff>
    </xdr:to>
    <xdr:sp macro="" textlink="">
      <xdr:nvSpPr>
        <xdr:cNvPr id="309" name="Line 334">
          <a:extLst>
            <a:ext uri="{FF2B5EF4-FFF2-40B4-BE49-F238E27FC236}">
              <a16:creationId xmlns:a16="http://schemas.microsoft.com/office/drawing/2014/main" id="{00000000-0008-0000-0000-000035010000}"/>
            </a:ext>
          </a:extLst>
        </xdr:cNvPr>
        <xdr:cNvSpPr>
          <a:spLocks noChangeShapeType="1"/>
        </xdr:cNvSpPr>
      </xdr:nvSpPr>
      <xdr:spPr bwMode="auto">
        <a:xfrm flipH="1">
          <a:off x="1619250" y="23079075"/>
          <a:ext cx="571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117</xdr:row>
      <xdr:rowOff>123825</xdr:rowOff>
    </xdr:from>
    <xdr:to>
      <xdr:col>2</xdr:col>
      <xdr:colOff>95250</xdr:colOff>
      <xdr:row>120</xdr:row>
      <xdr:rowOff>38100</xdr:rowOff>
    </xdr:to>
    <xdr:sp macro="" textlink="">
      <xdr:nvSpPr>
        <xdr:cNvPr id="310" name="Line 335">
          <a:extLst>
            <a:ext uri="{FF2B5EF4-FFF2-40B4-BE49-F238E27FC236}">
              <a16:creationId xmlns:a16="http://schemas.microsoft.com/office/drawing/2014/main" id="{00000000-0008-0000-0000-000036010000}"/>
            </a:ext>
          </a:extLst>
        </xdr:cNvPr>
        <xdr:cNvSpPr>
          <a:spLocks noChangeShapeType="1"/>
        </xdr:cNvSpPr>
      </xdr:nvSpPr>
      <xdr:spPr bwMode="auto">
        <a:xfrm>
          <a:off x="1476375" y="22659975"/>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120</xdr:row>
      <xdr:rowOff>66675</xdr:rowOff>
    </xdr:from>
    <xdr:to>
      <xdr:col>5</xdr:col>
      <xdr:colOff>247650</xdr:colOff>
      <xdr:row>120</xdr:row>
      <xdr:rowOff>142875</xdr:rowOff>
    </xdr:to>
    <xdr:sp macro="" textlink="">
      <xdr:nvSpPr>
        <xdr:cNvPr id="311" name="Line 336">
          <a:extLst>
            <a:ext uri="{FF2B5EF4-FFF2-40B4-BE49-F238E27FC236}">
              <a16:creationId xmlns:a16="http://schemas.microsoft.com/office/drawing/2014/main" id="{00000000-0008-0000-0000-000037010000}"/>
            </a:ext>
          </a:extLst>
        </xdr:cNvPr>
        <xdr:cNvSpPr>
          <a:spLocks noChangeShapeType="1"/>
        </xdr:cNvSpPr>
      </xdr:nvSpPr>
      <xdr:spPr bwMode="auto">
        <a:xfrm flipH="1">
          <a:off x="2838450" y="23174325"/>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119</xdr:row>
      <xdr:rowOff>152400</xdr:rowOff>
    </xdr:from>
    <xdr:to>
      <xdr:col>3</xdr:col>
      <xdr:colOff>114300</xdr:colOff>
      <xdr:row>121</xdr:row>
      <xdr:rowOff>76200</xdr:rowOff>
    </xdr:to>
    <xdr:sp macro="" textlink="">
      <xdr:nvSpPr>
        <xdr:cNvPr id="312" name="Line 337">
          <a:extLst>
            <a:ext uri="{FF2B5EF4-FFF2-40B4-BE49-F238E27FC236}">
              <a16:creationId xmlns:a16="http://schemas.microsoft.com/office/drawing/2014/main" id="{00000000-0008-0000-0000-000038010000}"/>
            </a:ext>
          </a:extLst>
        </xdr:cNvPr>
        <xdr:cNvSpPr>
          <a:spLocks noChangeShapeType="1"/>
        </xdr:cNvSpPr>
      </xdr:nvSpPr>
      <xdr:spPr bwMode="auto">
        <a:xfrm>
          <a:off x="2076450" y="230695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121</xdr:row>
      <xdr:rowOff>142875</xdr:rowOff>
    </xdr:from>
    <xdr:to>
      <xdr:col>5</xdr:col>
      <xdr:colOff>619125</xdr:colOff>
      <xdr:row>123</xdr:row>
      <xdr:rowOff>161925</xdr:rowOff>
    </xdr:to>
    <xdr:sp macro="" textlink="">
      <xdr:nvSpPr>
        <xdr:cNvPr id="313" name="Tegning 338">
          <a:extLst>
            <a:ext uri="{FF2B5EF4-FFF2-40B4-BE49-F238E27FC236}">
              <a16:creationId xmlns:a16="http://schemas.microsoft.com/office/drawing/2014/main" id="{00000000-0008-0000-0000-000039010000}"/>
            </a:ext>
          </a:extLst>
        </xdr:cNvPr>
        <xdr:cNvSpPr>
          <a:spLocks/>
        </xdr:cNvSpPr>
      </xdr:nvSpPr>
      <xdr:spPr bwMode="auto">
        <a:xfrm>
          <a:off x="2066925" y="23441025"/>
          <a:ext cx="1209675"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0" y="14444"/>
              </a:lnTo>
              <a:lnTo>
                <a:pt x="67" y="15522"/>
              </a:lnTo>
              <a:lnTo>
                <a:pt x="336" y="16168"/>
              </a:lnTo>
              <a:lnTo>
                <a:pt x="806" y="16384"/>
              </a:lnTo>
              <a:lnTo>
                <a:pt x="16384"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428625</xdr:colOff>
      <xdr:row>119</xdr:row>
      <xdr:rowOff>152400</xdr:rowOff>
    </xdr:from>
    <xdr:to>
      <xdr:col>2</xdr:col>
      <xdr:colOff>428625</xdr:colOff>
      <xdr:row>120</xdr:row>
      <xdr:rowOff>152400</xdr:rowOff>
    </xdr:to>
    <xdr:sp macro="" textlink="">
      <xdr:nvSpPr>
        <xdr:cNvPr id="314" name="Line 339">
          <a:extLst>
            <a:ext uri="{FF2B5EF4-FFF2-40B4-BE49-F238E27FC236}">
              <a16:creationId xmlns:a16="http://schemas.microsoft.com/office/drawing/2014/main" id="{00000000-0008-0000-0000-00003A010000}"/>
            </a:ext>
          </a:extLst>
        </xdr:cNvPr>
        <xdr:cNvSpPr>
          <a:spLocks noChangeShapeType="1"/>
        </xdr:cNvSpPr>
      </xdr:nvSpPr>
      <xdr:spPr bwMode="auto">
        <a:xfrm>
          <a:off x="1809750" y="23069550"/>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118</xdr:row>
      <xdr:rowOff>161925</xdr:rowOff>
    </xdr:from>
    <xdr:to>
      <xdr:col>2</xdr:col>
      <xdr:colOff>514350</xdr:colOff>
      <xdr:row>120</xdr:row>
      <xdr:rowOff>0</xdr:rowOff>
    </xdr:to>
    <xdr:sp macro="" textlink="">
      <xdr:nvSpPr>
        <xdr:cNvPr id="315" name="Line 340">
          <a:extLst>
            <a:ext uri="{FF2B5EF4-FFF2-40B4-BE49-F238E27FC236}">
              <a16:creationId xmlns:a16="http://schemas.microsoft.com/office/drawing/2014/main" id="{00000000-0008-0000-0000-00003B010000}"/>
            </a:ext>
          </a:extLst>
        </xdr:cNvPr>
        <xdr:cNvSpPr>
          <a:spLocks noChangeShapeType="1"/>
        </xdr:cNvSpPr>
      </xdr:nvSpPr>
      <xdr:spPr bwMode="auto">
        <a:xfrm>
          <a:off x="1828800" y="22888575"/>
          <a:ext cx="66675"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117</xdr:row>
      <xdr:rowOff>142875</xdr:rowOff>
    </xdr:from>
    <xdr:to>
      <xdr:col>5</xdr:col>
      <xdr:colOff>247650</xdr:colOff>
      <xdr:row>118</xdr:row>
      <xdr:rowOff>47625</xdr:rowOff>
    </xdr:to>
    <xdr:sp macro="" textlink="">
      <xdr:nvSpPr>
        <xdr:cNvPr id="316" name="Line 341">
          <a:extLst>
            <a:ext uri="{FF2B5EF4-FFF2-40B4-BE49-F238E27FC236}">
              <a16:creationId xmlns:a16="http://schemas.microsoft.com/office/drawing/2014/main" id="{00000000-0008-0000-0000-00003C010000}"/>
            </a:ext>
          </a:extLst>
        </xdr:cNvPr>
        <xdr:cNvSpPr>
          <a:spLocks noChangeShapeType="1"/>
        </xdr:cNvSpPr>
      </xdr:nvSpPr>
      <xdr:spPr bwMode="auto">
        <a:xfrm flipH="1">
          <a:off x="2809875" y="226790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120</xdr:row>
      <xdr:rowOff>0</xdr:rowOff>
    </xdr:from>
    <xdr:to>
      <xdr:col>2</xdr:col>
      <xdr:colOff>523875</xdr:colOff>
      <xdr:row>120</xdr:row>
      <xdr:rowOff>28575</xdr:rowOff>
    </xdr:to>
    <xdr:sp macro="" textlink="" fLocksText="0">
      <xdr:nvSpPr>
        <xdr:cNvPr id="317" name="Oval 342">
          <a:extLst>
            <a:ext uri="{FF2B5EF4-FFF2-40B4-BE49-F238E27FC236}">
              <a16:creationId xmlns:a16="http://schemas.microsoft.com/office/drawing/2014/main" id="{00000000-0008-0000-0000-00003D010000}"/>
            </a:ext>
          </a:extLst>
        </xdr:cNvPr>
        <xdr:cNvSpPr>
          <a:spLocks noChangeArrowheads="1"/>
        </xdr:cNvSpPr>
      </xdr:nvSpPr>
      <xdr:spPr bwMode="auto">
        <a:xfrm>
          <a:off x="1876425" y="23107650"/>
          <a:ext cx="28575"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66675</xdr:colOff>
      <xdr:row>123</xdr:row>
      <xdr:rowOff>0</xdr:rowOff>
    </xdr:from>
    <xdr:to>
      <xdr:col>3</xdr:col>
      <xdr:colOff>142875</xdr:colOff>
      <xdr:row>123</xdr:row>
      <xdr:rowOff>76200</xdr:rowOff>
    </xdr:to>
    <xdr:sp macro="" textlink="" fLocksText="0">
      <xdr:nvSpPr>
        <xdr:cNvPr id="318" name="Oval 343">
          <a:extLst>
            <a:ext uri="{FF2B5EF4-FFF2-40B4-BE49-F238E27FC236}">
              <a16:creationId xmlns:a16="http://schemas.microsoft.com/office/drawing/2014/main" id="{00000000-0008-0000-0000-00003E010000}"/>
            </a:ext>
          </a:extLst>
        </xdr:cNvPr>
        <xdr:cNvSpPr>
          <a:spLocks noChangeArrowheads="1"/>
        </xdr:cNvSpPr>
      </xdr:nvSpPr>
      <xdr:spPr bwMode="auto">
        <a:xfrm>
          <a:off x="2028825" y="2368867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152400</xdr:colOff>
      <xdr:row>121</xdr:row>
      <xdr:rowOff>152400</xdr:rowOff>
    </xdr:from>
    <xdr:to>
      <xdr:col>4</xdr:col>
      <xdr:colOff>133350</xdr:colOff>
      <xdr:row>123</xdr:row>
      <xdr:rowOff>28575</xdr:rowOff>
    </xdr:to>
    <xdr:sp macro="" textlink="">
      <xdr:nvSpPr>
        <xdr:cNvPr id="319" name="Line 344">
          <a:extLst>
            <a:ext uri="{FF2B5EF4-FFF2-40B4-BE49-F238E27FC236}">
              <a16:creationId xmlns:a16="http://schemas.microsoft.com/office/drawing/2014/main" id="{00000000-0008-0000-0000-00003F010000}"/>
            </a:ext>
          </a:extLst>
        </xdr:cNvPr>
        <xdr:cNvSpPr>
          <a:spLocks noChangeShapeType="1"/>
        </xdr:cNvSpPr>
      </xdr:nvSpPr>
      <xdr:spPr bwMode="auto">
        <a:xfrm flipH="1">
          <a:off x="2114550" y="23450550"/>
          <a:ext cx="352425"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314325</xdr:colOff>
      <xdr:row>122</xdr:row>
      <xdr:rowOff>114300</xdr:rowOff>
    </xdr:from>
    <xdr:to>
      <xdr:col>6</xdr:col>
      <xdr:colOff>9525</xdr:colOff>
      <xdr:row>122</xdr:row>
      <xdr:rowOff>114300</xdr:rowOff>
    </xdr:to>
    <xdr:sp macro="" textlink="">
      <xdr:nvSpPr>
        <xdr:cNvPr id="320" name="Line 345">
          <a:extLst>
            <a:ext uri="{FF2B5EF4-FFF2-40B4-BE49-F238E27FC236}">
              <a16:creationId xmlns:a16="http://schemas.microsoft.com/office/drawing/2014/main" id="{00000000-0008-0000-0000-000040010000}"/>
            </a:ext>
          </a:extLst>
        </xdr:cNvPr>
        <xdr:cNvSpPr>
          <a:spLocks noChangeShapeType="1"/>
        </xdr:cNvSpPr>
      </xdr:nvSpPr>
      <xdr:spPr bwMode="auto">
        <a:xfrm>
          <a:off x="2971800" y="23602950"/>
          <a:ext cx="447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638175</xdr:colOff>
      <xdr:row>124</xdr:row>
      <xdr:rowOff>47625</xdr:rowOff>
    </xdr:from>
    <xdr:to>
      <xdr:col>6</xdr:col>
      <xdr:colOff>9525</xdr:colOff>
      <xdr:row>124</xdr:row>
      <xdr:rowOff>47625</xdr:rowOff>
    </xdr:to>
    <xdr:sp macro="" textlink="">
      <xdr:nvSpPr>
        <xdr:cNvPr id="321" name="Line 346">
          <a:extLst>
            <a:ext uri="{FF2B5EF4-FFF2-40B4-BE49-F238E27FC236}">
              <a16:creationId xmlns:a16="http://schemas.microsoft.com/office/drawing/2014/main" id="{00000000-0008-0000-0000-000041010000}"/>
            </a:ext>
          </a:extLst>
        </xdr:cNvPr>
        <xdr:cNvSpPr>
          <a:spLocks noChangeShapeType="1"/>
        </xdr:cNvSpPr>
      </xdr:nvSpPr>
      <xdr:spPr bwMode="auto">
        <a:xfrm>
          <a:off x="3295650" y="23936325"/>
          <a:ext cx="123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122</xdr:row>
      <xdr:rowOff>76200</xdr:rowOff>
    </xdr:from>
    <xdr:to>
      <xdr:col>5</xdr:col>
      <xdr:colOff>742950</xdr:colOff>
      <xdr:row>122</xdr:row>
      <xdr:rowOff>161925</xdr:rowOff>
    </xdr:to>
    <xdr:sp macro="" textlink="">
      <xdr:nvSpPr>
        <xdr:cNvPr id="322" name="Line 347">
          <a:extLst>
            <a:ext uri="{FF2B5EF4-FFF2-40B4-BE49-F238E27FC236}">
              <a16:creationId xmlns:a16="http://schemas.microsoft.com/office/drawing/2014/main" id="{00000000-0008-0000-0000-000042010000}"/>
            </a:ext>
          </a:extLst>
        </xdr:cNvPr>
        <xdr:cNvSpPr>
          <a:spLocks noChangeShapeType="1"/>
        </xdr:cNvSpPr>
      </xdr:nvSpPr>
      <xdr:spPr bwMode="auto">
        <a:xfrm flipH="1">
          <a:off x="3314700" y="23564850"/>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119</xdr:row>
      <xdr:rowOff>161925</xdr:rowOff>
    </xdr:from>
    <xdr:to>
      <xdr:col>3</xdr:col>
      <xdr:colOff>19050</xdr:colOff>
      <xdr:row>120</xdr:row>
      <xdr:rowOff>66675</xdr:rowOff>
    </xdr:to>
    <xdr:sp macro="" textlink="">
      <xdr:nvSpPr>
        <xdr:cNvPr id="323" name="Line 351">
          <a:extLst>
            <a:ext uri="{FF2B5EF4-FFF2-40B4-BE49-F238E27FC236}">
              <a16:creationId xmlns:a16="http://schemas.microsoft.com/office/drawing/2014/main" id="{00000000-0008-0000-0000-000043010000}"/>
            </a:ext>
          </a:extLst>
        </xdr:cNvPr>
        <xdr:cNvSpPr>
          <a:spLocks noChangeShapeType="1"/>
        </xdr:cNvSpPr>
      </xdr:nvSpPr>
      <xdr:spPr bwMode="auto">
        <a:xfrm flipH="1">
          <a:off x="1914525" y="23079075"/>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152400</xdr:colOff>
      <xdr:row>8</xdr:row>
      <xdr:rowOff>9525</xdr:rowOff>
    </xdr:from>
    <xdr:to>
      <xdr:col>61</xdr:col>
      <xdr:colOff>0</xdr:colOff>
      <xdr:row>8</xdr:row>
      <xdr:rowOff>9525</xdr:rowOff>
    </xdr:to>
    <xdr:sp macro="" textlink="">
      <xdr:nvSpPr>
        <xdr:cNvPr id="324" name="Line 352">
          <a:extLst>
            <a:ext uri="{FF2B5EF4-FFF2-40B4-BE49-F238E27FC236}">
              <a16:creationId xmlns:a16="http://schemas.microsoft.com/office/drawing/2014/main" id="{00000000-0008-0000-0000-000044010000}"/>
            </a:ext>
          </a:extLst>
        </xdr:cNvPr>
        <xdr:cNvSpPr>
          <a:spLocks noChangeShapeType="1"/>
        </xdr:cNvSpPr>
      </xdr:nvSpPr>
      <xdr:spPr bwMode="auto">
        <a:xfrm>
          <a:off x="46843950" y="1257300"/>
          <a:ext cx="685800"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142875</xdr:colOff>
      <xdr:row>8</xdr:row>
      <xdr:rowOff>9525</xdr:rowOff>
    </xdr:from>
    <xdr:to>
      <xdr:col>60</xdr:col>
      <xdr:colOff>142875</xdr:colOff>
      <xdr:row>9</xdr:row>
      <xdr:rowOff>57150</xdr:rowOff>
    </xdr:to>
    <xdr:sp macro="" textlink="">
      <xdr:nvSpPr>
        <xdr:cNvPr id="325" name="Line 353">
          <a:extLst>
            <a:ext uri="{FF2B5EF4-FFF2-40B4-BE49-F238E27FC236}">
              <a16:creationId xmlns:a16="http://schemas.microsoft.com/office/drawing/2014/main" id="{00000000-0008-0000-0000-000045010000}"/>
            </a:ext>
          </a:extLst>
        </xdr:cNvPr>
        <xdr:cNvSpPr>
          <a:spLocks noChangeShapeType="1"/>
        </xdr:cNvSpPr>
      </xdr:nvSpPr>
      <xdr:spPr bwMode="auto">
        <a:xfrm flipV="1">
          <a:off x="46834425" y="1257300"/>
          <a:ext cx="0" cy="2476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60</xdr:col>
      <xdr:colOff>285750</xdr:colOff>
      <xdr:row>7</xdr:row>
      <xdr:rowOff>0</xdr:rowOff>
    </xdr:from>
    <xdr:to>
      <xdr:col>60</xdr:col>
      <xdr:colOff>514350</xdr:colOff>
      <xdr:row>8</xdr:row>
      <xdr:rowOff>0</xdr:rowOff>
    </xdr:to>
    <xdr:sp macro="" textlink="">
      <xdr:nvSpPr>
        <xdr:cNvPr id="326" name="Tegning 354">
          <a:extLst>
            <a:ext uri="{FF2B5EF4-FFF2-40B4-BE49-F238E27FC236}">
              <a16:creationId xmlns:a16="http://schemas.microsoft.com/office/drawing/2014/main" id="{00000000-0008-0000-0000-000046010000}"/>
            </a:ext>
          </a:extLst>
        </xdr:cNvPr>
        <xdr:cNvSpPr>
          <a:spLocks/>
        </xdr:cNvSpPr>
      </xdr:nvSpPr>
      <xdr:spPr bwMode="auto">
        <a:xfrm>
          <a:off x="46977300" y="1076325"/>
          <a:ext cx="228600" cy="17145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0" y="0"/>
              </a:lnTo>
              <a:lnTo>
                <a:pt x="16384" y="0"/>
              </a:lnTo>
              <a:lnTo>
                <a:pt x="16384" y="16384"/>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59</xdr:col>
      <xdr:colOff>809625</xdr:colOff>
      <xdr:row>6</xdr:row>
      <xdr:rowOff>123825</xdr:rowOff>
    </xdr:from>
    <xdr:to>
      <xdr:col>59</xdr:col>
      <xdr:colOff>809625</xdr:colOff>
      <xdr:row>8</xdr:row>
      <xdr:rowOff>28575</xdr:rowOff>
    </xdr:to>
    <xdr:sp macro="" textlink="">
      <xdr:nvSpPr>
        <xdr:cNvPr id="327" name="Line 355">
          <a:extLst>
            <a:ext uri="{FF2B5EF4-FFF2-40B4-BE49-F238E27FC236}">
              <a16:creationId xmlns:a16="http://schemas.microsoft.com/office/drawing/2014/main" id="{00000000-0008-0000-0000-000047010000}"/>
            </a:ext>
          </a:extLst>
        </xdr:cNvPr>
        <xdr:cNvSpPr>
          <a:spLocks noChangeShapeType="1"/>
        </xdr:cNvSpPr>
      </xdr:nvSpPr>
      <xdr:spPr bwMode="auto">
        <a:xfrm>
          <a:off x="46405800" y="1028700"/>
          <a:ext cx="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59</xdr:col>
      <xdr:colOff>742950</xdr:colOff>
      <xdr:row>7</xdr:row>
      <xdr:rowOff>0</xdr:rowOff>
    </xdr:from>
    <xdr:to>
      <xdr:col>60</xdr:col>
      <xdr:colOff>171450</xdr:colOff>
      <xdr:row>7</xdr:row>
      <xdr:rowOff>0</xdr:rowOff>
    </xdr:to>
    <xdr:sp macro="" textlink="">
      <xdr:nvSpPr>
        <xdr:cNvPr id="328" name="Line 356">
          <a:extLst>
            <a:ext uri="{FF2B5EF4-FFF2-40B4-BE49-F238E27FC236}">
              <a16:creationId xmlns:a16="http://schemas.microsoft.com/office/drawing/2014/main" id="{00000000-0008-0000-0000-000048010000}"/>
            </a:ext>
          </a:extLst>
        </xdr:cNvPr>
        <xdr:cNvSpPr>
          <a:spLocks noChangeShapeType="1"/>
        </xdr:cNvSpPr>
      </xdr:nvSpPr>
      <xdr:spPr bwMode="auto">
        <a:xfrm flipH="1">
          <a:off x="46339125" y="1076325"/>
          <a:ext cx="523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59</xdr:col>
      <xdr:colOff>733425</xdr:colOff>
      <xdr:row>8</xdr:row>
      <xdr:rowOff>0</xdr:rowOff>
    </xdr:from>
    <xdr:to>
      <xdr:col>60</xdr:col>
      <xdr:colOff>95250</xdr:colOff>
      <xdr:row>8</xdr:row>
      <xdr:rowOff>0</xdr:rowOff>
    </xdr:to>
    <xdr:sp macro="" textlink="">
      <xdr:nvSpPr>
        <xdr:cNvPr id="329" name="Line 357">
          <a:extLst>
            <a:ext uri="{FF2B5EF4-FFF2-40B4-BE49-F238E27FC236}">
              <a16:creationId xmlns:a16="http://schemas.microsoft.com/office/drawing/2014/main" id="{00000000-0008-0000-0000-000049010000}"/>
            </a:ext>
          </a:extLst>
        </xdr:cNvPr>
        <xdr:cNvSpPr>
          <a:spLocks noChangeShapeType="1"/>
        </xdr:cNvSpPr>
      </xdr:nvSpPr>
      <xdr:spPr bwMode="auto">
        <a:xfrm flipH="1">
          <a:off x="46329600" y="1247775"/>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59</xdr:col>
      <xdr:colOff>752475</xdr:colOff>
      <xdr:row>6</xdr:row>
      <xdr:rowOff>133350</xdr:rowOff>
    </xdr:from>
    <xdr:to>
      <xdr:col>59</xdr:col>
      <xdr:colOff>857250</xdr:colOff>
      <xdr:row>7</xdr:row>
      <xdr:rowOff>47625</xdr:rowOff>
    </xdr:to>
    <xdr:sp macro="" textlink="">
      <xdr:nvSpPr>
        <xdr:cNvPr id="330" name="Line 358">
          <a:extLst>
            <a:ext uri="{FF2B5EF4-FFF2-40B4-BE49-F238E27FC236}">
              <a16:creationId xmlns:a16="http://schemas.microsoft.com/office/drawing/2014/main" id="{00000000-0008-0000-0000-00004A010000}"/>
            </a:ext>
          </a:extLst>
        </xdr:cNvPr>
        <xdr:cNvSpPr>
          <a:spLocks noChangeShapeType="1"/>
        </xdr:cNvSpPr>
      </xdr:nvSpPr>
      <xdr:spPr bwMode="auto">
        <a:xfrm flipH="1">
          <a:off x="46348650" y="1038225"/>
          <a:ext cx="1047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61</xdr:col>
      <xdr:colOff>0</xdr:colOff>
      <xdr:row>8</xdr:row>
      <xdr:rowOff>19050</xdr:rowOff>
    </xdr:from>
    <xdr:to>
      <xdr:col>61</xdr:col>
      <xdr:colOff>0</xdr:colOff>
      <xdr:row>9</xdr:row>
      <xdr:rowOff>66675</xdr:rowOff>
    </xdr:to>
    <xdr:sp macro="" textlink="">
      <xdr:nvSpPr>
        <xdr:cNvPr id="331" name="Line 359">
          <a:extLst>
            <a:ext uri="{FF2B5EF4-FFF2-40B4-BE49-F238E27FC236}">
              <a16:creationId xmlns:a16="http://schemas.microsoft.com/office/drawing/2014/main" id="{00000000-0008-0000-0000-00004B010000}"/>
            </a:ext>
          </a:extLst>
        </xdr:cNvPr>
        <xdr:cNvSpPr>
          <a:spLocks noChangeShapeType="1"/>
        </xdr:cNvSpPr>
      </xdr:nvSpPr>
      <xdr:spPr bwMode="auto">
        <a:xfrm flipV="1">
          <a:off x="47529750" y="1266825"/>
          <a:ext cx="0" cy="2476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60</xdr:col>
      <xdr:colOff>152400</xdr:colOff>
      <xdr:row>10</xdr:row>
      <xdr:rowOff>0</xdr:rowOff>
    </xdr:from>
    <xdr:to>
      <xdr:col>61</xdr:col>
      <xdr:colOff>38100</xdr:colOff>
      <xdr:row>10</xdr:row>
      <xdr:rowOff>0</xdr:rowOff>
    </xdr:to>
    <xdr:sp macro="" textlink="">
      <xdr:nvSpPr>
        <xdr:cNvPr id="332" name="Line 360">
          <a:extLst>
            <a:ext uri="{FF2B5EF4-FFF2-40B4-BE49-F238E27FC236}">
              <a16:creationId xmlns:a16="http://schemas.microsoft.com/office/drawing/2014/main" id="{00000000-0008-0000-0000-00004C010000}"/>
            </a:ext>
          </a:extLst>
        </xdr:cNvPr>
        <xdr:cNvSpPr>
          <a:spLocks noChangeShapeType="1"/>
        </xdr:cNvSpPr>
      </xdr:nvSpPr>
      <xdr:spPr bwMode="auto">
        <a:xfrm>
          <a:off x="46843950" y="1628775"/>
          <a:ext cx="723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61</xdr:col>
      <xdr:colOff>0</xdr:colOff>
      <xdr:row>9</xdr:row>
      <xdr:rowOff>114300</xdr:rowOff>
    </xdr:from>
    <xdr:to>
      <xdr:col>61</xdr:col>
      <xdr:colOff>0</xdr:colOff>
      <xdr:row>12</xdr:row>
      <xdr:rowOff>76200</xdr:rowOff>
    </xdr:to>
    <xdr:sp macro="" textlink="">
      <xdr:nvSpPr>
        <xdr:cNvPr id="333" name="Line 361">
          <a:extLst>
            <a:ext uri="{FF2B5EF4-FFF2-40B4-BE49-F238E27FC236}">
              <a16:creationId xmlns:a16="http://schemas.microsoft.com/office/drawing/2014/main" id="{00000000-0008-0000-0000-00004D010000}"/>
            </a:ext>
          </a:extLst>
        </xdr:cNvPr>
        <xdr:cNvSpPr>
          <a:spLocks noChangeShapeType="1"/>
        </xdr:cNvSpPr>
      </xdr:nvSpPr>
      <xdr:spPr bwMode="auto">
        <a:xfrm flipH="1">
          <a:off x="47529750" y="1562100"/>
          <a:ext cx="0" cy="542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142875</xdr:colOff>
      <xdr:row>9</xdr:row>
      <xdr:rowOff>95250</xdr:rowOff>
    </xdr:from>
    <xdr:to>
      <xdr:col>60</xdr:col>
      <xdr:colOff>142875</xdr:colOff>
      <xdr:row>12</xdr:row>
      <xdr:rowOff>28575</xdr:rowOff>
    </xdr:to>
    <xdr:sp macro="" textlink="">
      <xdr:nvSpPr>
        <xdr:cNvPr id="334" name="Line 362">
          <a:extLst>
            <a:ext uri="{FF2B5EF4-FFF2-40B4-BE49-F238E27FC236}">
              <a16:creationId xmlns:a16="http://schemas.microsoft.com/office/drawing/2014/main" id="{00000000-0008-0000-0000-00004E010000}"/>
            </a:ext>
          </a:extLst>
        </xdr:cNvPr>
        <xdr:cNvSpPr>
          <a:spLocks noChangeShapeType="1"/>
        </xdr:cNvSpPr>
      </xdr:nvSpPr>
      <xdr:spPr bwMode="auto">
        <a:xfrm>
          <a:off x="46834425" y="1543050"/>
          <a:ext cx="0" cy="514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285750</xdr:colOff>
      <xdr:row>8</xdr:row>
      <xdr:rowOff>47625</xdr:rowOff>
    </xdr:from>
    <xdr:to>
      <xdr:col>60</xdr:col>
      <xdr:colOff>285750</xdr:colOff>
      <xdr:row>10</xdr:row>
      <xdr:rowOff>57150</xdr:rowOff>
    </xdr:to>
    <xdr:sp macro="" textlink="">
      <xdr:nvSpPr>
        <xdr:cNvPr id="335" name="Line 363">
          <a:extLst>
            <a:ext uri="{FF2B5EF4-FFF2-40B4-BE49-F238E27FC236}">
              <a16:creationId xmlns:a16="http://schemas.microsoft.com/office/drawing/2014/main" id="{00000000-0008-0000-0000-00004F010000}"/>
            </a:ext>
          </a:extLst>
        </xdr:cNvPr>
        <xdr:cNvSpPr>
          <a:spLocks noChangeShapeType="1"/>
        </xdr:cNvSpPr>
      </xdr:nvSpPr>
      <xdr:spPr bwMode="auto">
        <a:xfrm>
          <a:off x="46977300" y="1295400"/>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542925</xdr:colOff>
      <xdr:row>8</xdr:row>
      <xdr:rowOff>47625</xdr:rowOff>
    </xdr:from>
    <xdr:to>
      <xdr:col>60</xdr:col>
      <xdr:colOff>542925</xdr:colOff>
      <xdr:row>10</xdr:row>
      <xdr:rowOff>57150</xdr:rowOff>
    </xdr:to>
    <xdr:sp macro="" textlink="">
      <xdr:nvSpPr>
        <xdr:cNvPr id="336" name="Line 364">
          <a:extLst>
            <a:ext uri="{FF2B5EF4-FFF2-40B4-BE49-F238E27FC236}">
              <a16:creationId xmlns:a16="http://schemas.microsoft.com/office/drawing/2014/main" id="{00000000-0008-0000-0000-000050010000}"/>
            </a:ext>
          </a:extLst>
        </xdr:cNvPr>
        <xdr:cNvSpPr>
          <a:spLocks noChangeShapeType="1"/>
        </xdr:cNvSpPr>
      </xdr:nvSpPr>
      <xdr:spPr bwMode="auto">
        <a:xfrm>
          <a:off x="47234475" y="1295400"/>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485775</xdr:colOff>
      <xdr:row>9</xdr:row>
      <xdr:rowOff>133350</xdr:rowOff>
    </xdr:from>
    <xdr:to>
      <xdr:col>60</xdr:col>
      <xdr:colOff>590550</xdr:colOff>
      <xdr:row>10</xdr:row>
      <xdr:rowOff>76200</xdr:rowOff>
    </xdr:to>
    <xdr:sp macro="" textlink="">
      <xdr:nvSpPr>
        <xdr:cNvPr id="337" name="Line 365">
          <a:extLst>
            <a:ext uri="{FF2B5EF4-FFF2-40B4-BE49-F238E27FC236}">
              <a16:creationId xmlns:a16="http://schemas.microsoft.com/office/drawing/2014/main" id="{00000000-0008-0000-0000-000051010000}"/>
            </a:ext>
          </a:extLst>
        </xdr:cNvPr>
        <xdr:cNvSpPr>
          <a:spLocks noChangeShapeType="1"/>
        </xdr:cNvSpPr>
      </xdr:nvSpPr>
      <xdr:spPr bwMode="auto">
        <a:xfrm flipH="1">
          <a:off x="47177325" y="1581150"/>
          <a:ext cx="1047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228600</xdr:colOff>
      <xdr:row>9</xdr:row>
      <xdr:rowOff>133350</xdr:rowOff>
    </xdr:from>
    <xdr:to>
      <xdr:col>60</xdr:col>
      <xdr:colOff>342900</xdr:colOff>
      <xdr:row>10</xdr:row>
      <xdr:rowOff>47625</xdr:rowOff>
    </xdr:to>
    <xdr:sp macro="" textlink="">
      <xdr:nvSpPr>
        <xdr:cNvPr id="338" name="Line 366">
          <a:extLst>
            <a:ext uri="{FF2B5EF4-FFF2-40B4-BE49-F238E27FC236}">
              <a16:creationId xmlns:a16="http://schemas.microsoft.com/office/drawing/2014/main" id="{00000000-0008-0000-0000-000052010000}"/>
            </a:ext>
          </a:extLst>
        </xdr:cNvPr>
        <xdr:cNvSpPr>
          <a:spLocks noChangeShapeType="1"/>
        </xdr:cNvSpPr>
      </xdr:nvSpPr>
      <xdr:spPr bwMode="auto">
        <a:xfrm flipH="1">
          <a:off x="46920150" y="1581150"/>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95250</xdr:colOff>
      <xdr:row>9</xdr:row>
      <xdr:rowOff>114300</xdr:rowOff>
    </xdr:from>
    <xdr:to>
      <xdr:col>60</xdr:col>
      <xdr:colOff>209550</xdr:colOff>
      <xdr:row>10</xdr:row>
      <xdr:rowOff>47625</xdr:rowOff>
    </xdr:to>
    <xdr:sp macro="" textlink="">
      <xdr:nvSpPr>
        <xdr:cNvPr id="339" name="Line 367">
          <a:extLst>
            <a:ext uri="{FF2B5EF4-FFF2-40B4-BE49-F238E27FC236}">
              <a16:creationId xmlns:a16="http://schemas.microsoft.com/office/drawing/2014/main" id="{00000000-0008-0000-0000-000053010000}"/>
            </a:ext>
          </a:extLst>
        </xdr:cNvPr>
        <xdr:cNvSpPr>
          <a:spLocks noChangeShapeType="1"/>
        </xdr:cNvSpPr>
      </xdr:nvSpPr>
      <xdr:spPr bwMode="auto">
        <a:xfrm flipH="1">
          <a:off x="46786800" y="156210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59</xdr:col>
      <xdr:colOff>752475</xdr:colOff>
      <xdr:row>7</xdr:row>
      <xdr:rowOff>114300</xdr:rowOff>
    </xdr:from>
    <xdr:to>
      <xdr:col>59</xdr:col>
      <xdr:colOff>857250</xdr:colOff>
      <xdr:row>8</xdr:row>
      <xdr:rowOff>57150</xdr:rowOff>
    </xdr:to>
    <xdr:sp macro="" textlink="">
      <xdr:nvSpPr>
        <xdr:cNvPr id="340" name="Line 368">
          <a:extLst>
            <a:ext uri="{FF2B5EF4-FFF2-40B4-BE49-F238E27FC236}">
              <a16:creationId xmlns:a16="http://schemas.microsoft.com/office/drawing/2014/main" id="{00000000-0008-0000-0000-000054010000}"/>
            </a:ext>
          </a:extLst>
        </xdr:cNvPr>
        <xdr:cNvSpPr>
          <a:spLocks noChangeShapeType="1"/>
        </xdr:cNvSpPr>
      </xdr:nvSpPr>
      <xdr:spPr bwMode="auto">
        <a:xfrm flipH="1">
          <a:off x="46348650" y="1190625"/>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114300</xdr:colOff>
      <xdr:row>12</xdr:row>
      <xdr:rowOff>0</xdr:rowOff>
    </xdr:from>
    <xdr:to>
      <xdr:col>61</xdr:col>
      <xdr:colOff>47625</xdr:colOff>
      <xdr:row>12</xdr:row>
      <xdr:rowOff>0</xdr:rowOff>
    </xdr:to>
    <xdr:sp macro="" textlink="">
      <xdr:nvSpPr>
        <xdr:cNvPr id="341" name="Line 369">
          <a:extLst>
            <a:ext uri="{FF2B5EF4-FFF2-40B4-BE49-F238E27FC236}">
              <a16:creationId xmlns:a16="http://schemas.microsoft.com/office/drawing/2014/main" id="{00000000-0008-0000-0000-000055010000}"/>
            </a:ext>
          </a:extLst>
        </xdr:cNvPr>
        <xdr:cNvSpPr>
          <a:spLocks noChangeShapeType="1"/>
        </xdr:cNvSpPr>
      </xdr:nvSpPr>
      <xdr:spPr bwMode="auto">
        <a:xfrm>
          <a:off x="46805850" y="2028825"/>
          <a:ext cx="771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95250</xdr:colOff>
      <xdr:row>11</xdr:row>
      <xdr:rowOff>133350</xdr:rowOff>
    </xdr:from>
    <xdr:to>
      <xdr:col>60</xdr:col>
      <xdr:colOff>200025</xdr:colOff>
      <xdr:row>12</xdr:row>
      <xdr:rowOff>57150</xdr:rowOff>
    </xdr:to>
    <xdr:sp macro="" textlink="">
      <xdr:nvSpPr>
        <xdr:cNvPr id="342" name="Line 370">
          <a:extLst>
            <a:ext uri="{FF2B5EF4-FFF2-40B4-BE49-F238E27FC236}">
              <a16:creationId xmlns:a16="http://schemas.microsoft.com/office/drawing/2014/main" id="{00000000-0008-0000-0000-000056010000}"/>
            </a:ext>
          </a:extLst>
        </xdr:cNvPr>
        <xdr:cNvSpPr>
          <a:spLocks noChangeShapeType="1"/>
        </xdr:cNvSpPr>
      </xdr:nvSpPr>
      <xdr:spPr bwMode="auto">
        <a:xfrm flipH="1">
          <a:off x="46786800" y="1962150"/>
          <a:ext cx="1047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800100</xdr:colOff>
      <xdr:row>9</xdr:row>
      <xdr:rowOff>123825</xdr:rowOff>
    </xdr:from>
    <xdr:to>
      <xdr:col>61</xdr:col>
      <xdr:colOff>57150</xdr:colOff>
      <xdr:row>10</xdr:row>
      <xdr:rowOff>47625</xdr:rowOff>
    </xdr:to>
    <xdr:sp macro="" textlink="">
      <xdr:nvSpPr>
        <xdr:cNvPr id="343" name="Line 371">
          <a:extLst>
            <a:ext uri="{FF2B5EF4-FFF2-40B4-BE49-F238E27FC236}">
              <a16:creationId xmlns:a16="http://schemas.microsoft.com/office/drawing/2014/main" id="{00000000-0008-0000-0000-000057010000}"/>
            </a:ext>
          </a:extLst>
        </xdr:cNvPr>
        <xdr:cNvSpPr>
          <a:spLocks noChangeShapeType="1"/>
        </xdr:cNvSpPr>
      </xdr:nvSpPr>
      <xdr:spPr bwMode="auto">
        <a:xfrm flipH="1">
          <a:off x="47491650" y="1571625"/>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60</xdr:col>
      <xdr:colOff>771525</xdr:colOff>
      <xdr:row>11</xdr:row>
      <xdr:rowOff>133350</xdr:rowOff>
    </xdr:from>
    <xdr:to>
      <xdr:col>61</xdr:col>
      <xdr:colOff>47625</xdr:colOff>
      <xdr:row>12</xdr:row>
      <xdr:rowOff>66675</xdr:rowOff>
    </xdr:to>
    <xdr:sp macro="" textlink="">
      <xdr:nvSpPr>
        <xdr:cNvPr id="344" name="Line 372">
          <a:extLst>
            <a:ext uri="{FF2B5EF4-FFF2-40B4-BE49-F238E27FC236}">
              <a16:creationId xmlns:a16="http://schemas.microsoft.com/office/drawing/2014/main" id="{00000000-0008-0000-0000-000058010000}"/>
            </a:ext>
          </a:extLst>
        </xdr:cNvPr>
        <xdr:cNvSpPr>
          <a:spLocks noChangeShapeType="1"/>
        </xdr:cNvSpPr>
      </xdr:nvSpPr>
      <xdr:spPr bwMode="auto">
        <a:xfrm flipH="1">
          <a:off x="47463075" y="1962150"/>
          <a:ext cx="11430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241</xdr:row>
      <xdr:rowOff>161925</xdr:rowOff>
    </xdr:from>
    <xdr:to>
      <xdr:col>2</xdr:col>
      <xdr:colOff>495300</xdr:colOff>
      <xdr:row>242</xdr:row>
      <xdr:rowOff>28575</xdr:rowOff>
    </xdr:to>
    <xdr:sp macro="" textlink="">
      <xdr:nvSpPr>
        <xdr:cNvPr id="345" name="Line 373">
          <a:extLst>
            <a:ext uri="{FF2B5EF4-FFF2-40B4-BE49-F238E27FC236}">
              <a16:creationId xmlns:a16="http://schemas.microsoft.com/office/drawing/2014/main" id="{00000000-0008-0000-0000-000059010000}"/>
            </a:ext>
          </a:extLst>
        </xdr:cNvPr>
        <xdr:cNvSpPr>
          <a:spLocks noChangeShapeType="1"/>
        </xdr:cNvSpPr>
      </xdr:nvSpPr>
      <xdr:spPr bwMode="auto">
        <a:xfrm flipH="1">
          <a:off x="1800225" y="46653450"/>
          <a:ext cx="76200"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242</xdr:row>
      <xdr:rowOff>152400</xdr:rowOff>
    </xdr:from>
    <xdr:to>
      <xdr:col>3</xdr:col>
      <xdr:colOff>285750</xdr:colOff>
      <xdr:row>243</xdr:row>
      <xdr:rowOff>47625</xdr:rowOff>
    </xdr:to>
    <xdr:sp macro="" textlink="">
      <xdr:nvSpPr>
        <xdr:cNvPr id="346" name="Line 374">
          <a:extLst>
            <a:ext uri="{FF2B5EF4-FFF2-40B4-BE49-F238E27FC236}">
              <a16:creationId xmlns:a16="http://schemas.microsoft.com/office/drawing/2014/main" id="{00000000-0008-0000-0000-00005A010000}"/>
            </a:ext>
          </a:extLst>
        </xdr:cNvPr>
        <xdr:cNvSpPr>
          <a:spLocks noChangeShapeType="1"/>
        </xdr:cNvSpPr>
      </xdr:nvSpPr>
      <xdr:spPr bwMode="auto">
        <a:xfrm flipH="1">
          <a:off x="2162175" y="4683442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209550</xdr:colOff>
      <xdr:row>241</xdr:row>
      <xdr:rowOff>152400</xdr:rowOff>
    </xdr:from>
    <xdr:to>
      <xdr:col>3</xdr:col>
      <xdr:colOff>285750</xdr:colOff>
      <xdr:row>242</xdr:row>
      <xdr:rowOff>28575</xdr:rowOff>
    </xdr:to>
    <xdr:sp macro="" textlink="">
      <xdr:nvSpPr>
        <xdr:cNvPr id="347" name="Line 375">
          <a:extLst>
            <a:ext uri="{FF2B5EF4-FFF2-40B4-BE49-F238E27FC236}">
              <a16:creationId xmlns:a16="http://schemas.microsoft.com/office/drawing/2014/main" id="{00000000-0008-0000-0000-00005B010000}"/>
            </a:ext>
          </a:extLst>
        </xdr:cNvPr>
        <xdr:cNvSpPr>
          <a:spLocks noChangeShapeType="1"/>
        </xdr:cNvSpPr>
      </xdr:nvSpPr>
      <xdr:spPr bwMode="auto">
        <a:xfrm flipH="1">
          <a:off x="2171700" y="4664392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241</xdr:row>
      <xdr:rowOff>142875</xdr:rowOff>
    </xdr:from>
    <xdr:to>
      <xdr:col>5</xdr:col>
      <xdr:colOff>66675</xdr:colOff>
      <xdr:row>242</xdr:row>
      <xdr:rowOff>47625</xdr:rowOff>
    </xdr:to>
    <xdr:sp macro="" textlink="">
      <xdr:nvSpPr>
        <xdr:cNvPr id="348" name="Line 376">
          <a:extLst>
            <a:ext uri="{FF2B5EF4-FFF2-40B4-BE49-F238E27FC236}">
              <a16:creationId xmlns:a16="http://schemas.microsoft.com/office/drawing/2014/main" id="{00000000-0008-0000-0000-00005C010000}"/>
            </a:ext>
          </a:extLst>
        </xdr:cNvPr>
        <xdr:cNvSpPr>
          <a:spLocks noChangeShapeType="1"/>
        </xdr:cNvSpPr>
      </xdr:nvSpPr>
      <xdr:spPr bwMode="auto">
        <a:xfrm flipH="1">
          <a:off x="2628900" y="4663440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239</xdr:row>
      <xdr:rowOff>209550</xdr:rowOff>
    </xdr:from>
    <xdr:to>
      <xdr:col>4</xdr:col>
      <xdr:colOff>28575</xdr:colOff>
      <xdr:row>241</xdr:row>
      <xdr:rowOff>19050</xdr:rowOff>
    </xdr:to>
    <xdr:sp macro="" textlink="">
      <xdr:nvSpPr>
        <xdr:cNvPr id="349" name="Line 377">
          <a:extLst>
            <a:ext uri="{FF2B5EF4-FFF2-40B4-BE49-F238E27FC236}">
              <a16:creationId xmlns:a16="http://schemas.microsoft.com/office/drawing/2014/main" id="{00000000-0008-0000-0000-00005D010000}"/>
            </a:ext>
          </a:extLst>
        </xdr:cNvPr>
        <xdr:cNvSpPr>
          <a:spLocks noChangeShapeType="1"/>
        </xdr:cNvSpPr>
      </xdr:nvSpPr>
      <xdr:spPr bwMode="auto">
        <a:xfrm>
          <a:off x="2362200" y="46301025"/>
          <a:ext cx="0"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0</xdr:colOff>
      <xdr:row>241</xdr:row>
      <xdr:rowOff>0</xdr:rowOff>
    </xdr:from>
    <xdr:to>
      <xdr:col>5</xdr:col>
      <xdr:colOff>352425</xdr:colOff>
      <xdr:row>241</xdr:row>
      <xdr:rowOff>0</xdr:rowOff>
    </xdr:to>
    <xdr:sp macro="" textlink="">
      <xdr:nvSpPr>
        <xdr:cNvPr id="350" name="Line 378">
          <a:extLst>
            <a:ext uri="{FF2B5EF4-FFF2-40B4-BE49-F238E27FC236}">
              <a16:creationId xmlns:a16="http://schemas.microsoft.com/office/drawing/2014/main" id="{00000000-0008-0000-0000-00005E010000}"/>
            </a:ext>
          </a:extLst>
        </xdr:cNvPr>
        <xdr:cNvSpPr>
          <a:spLocks noChangeShapeType="1"/>
        </xdr:cNvSpPr>
      </xdr:nvSpPr>
      <xdr:spPr bwMode="auto">
        <a:xfrm>
          <a:off x="2333625" y="46491525"/>
          <a:ext cx="676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240</xdr:row>
      <xdr:rowOff>171450</xdr:rowOff>
    </xdr:from>
    <xdr:to>
      <xdr:col>5</xdr:col>
      <xdr:colOff>66675</xdr:colOff>
      <xdr:row>241</xdr:row>
      <xdr:rowOff>47625</xdr:rowOff>
    </xdr:to>
    <xdr:sp macro="" textlink="">
      <xdr:nvSpPr>
        <xdr:cNvPr id="351" name="Line 379">
          <a:extLst>
            <a:ext uri="{FF2B5EF4-FFF2-40B4-BE49-F238E27FC236}">
              <a16:creationId xmlns:a16="http://schemas.microsoft.com/office/drawing/2014/main" id="{00000000-0008-0000-0000-00005F010000}"/>
            </a:ext>
          </a:extLst>
        </xdr:cNvPr>
        <xdr:cNvSpPr>
          <a:spLocks noChangeShapeType="1"/>
        </xdr:cNvSpPr>
      </xdr:nvSpPr>
      <xdr:spPr bwMode="auto">
        <a:xfrm flipH="1">
          <a:off x="2647950" y="4647247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240</xdr:row>
      <xdr:rowOff>161925</xdr:rowOff>
    </xdr:from>
    <xdr:to>
      <xdr:col>4</xdr:col>
      <xdr:colOff>66675</xdr:colOff>
      <xdr:row>241</xdr:row>
      <xdr:rowOff>38100</xdr:rowOff>
    </xdr:to>
    <xdr:sp macro="" textlink="">
      <xdr:nvSpPr>
        <xdr:cNvPr id="352" name="Line 380">
          <a:extLst>
            <a:ext uri="{FF2B5EF4-FFF2-40B4-BE49-F238E27FC236}">
              <a16:creationId xmlns:a16="http://schemas.microsoft.com/office/drawing/2014/main" id="{00000000-0008-0000-0000-000060010000}"/>
            </a:ext>
          </a:extLst>
        </xdr:cNvPr>
        <xdr:cNvSpPr>
          <a:spLocks noChangeShapeType="1"/>
        </xdr:cNvSpPr>
      </xdr:nvSpPr>
      <xdr:spPr bwMode="auto">
        <a:xfrm flipH="1">
          <a:off x="2266950" y="46462950"/>
          <a:ext cx="1333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244</xdr:row>
      <xdr:rowOff>0</xdr:rowOff>
    </xdr:from>
    <xdr:to>
      <xdr:col>3</xdr:col>
      <xdr:colOff>247650</xdr:colOff>
      <xdr:row>249</xdr:row>
      <xdr:rowOff>114300</xdr:rowOff>
    </xdr:to>
    <xdr:sp macro="" textlink="">
      <xdr:nvSpPr>
        <xdr:cNvPr id="353" name="Tegning 381">
          <a:extLst>
            <a:ext uri="{FF2B5EF4-FFF2-40B4-BE49-F238E27FC236}">
              <a16:creationId xmlns:a16="http://schemas.microsoft.com/office/drawing/2014/main" id="{00000000-0008-0000-0000-000061010000}"/>
            </a:ext>
          </a:extLst>
        </xdr:cNvPr>
        <xdr:cNvSpPr>
          <a:spLocks/>
        </xdr:cNvSpPr>
      </xdr:nvSpPr>
      <xdr:spPr bwMode="auto">
        <a:xfrm>
          <a:off x="1504950" y="47063025"/>
          <a:ext cx="704850" cy="1085850"/>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2147483646 w 16384"/>
            <a:gd name="T15" fmla="*/ 0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6384"/>
            <a:gd name="T37" fmla="*/ 0 h 16384"/>
            <a:gd name="T38" fmla="*/ 16384 w 16384"/>
            <a:gd name="T39" fmla="*/ 16384 h 1638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6384" h="16384">
              <a:moveTo>
                <a:pt x="0" y="16384"/>
              </a:moveTo>
              <a:lnTo>
                <a:pt x="15895" y="10124"/>
              </a:lnTo>
              <a:lnTo>
                <a:pt x="16384" y="9738"/>
              </a:lnTo>
              <a:lnTo>
                <a:pt x="16262" y="9351"/>
              </a:lnTo>
              <a:lnTo>
                <a:pt x="16262" y="464"/>
              </a:lnTo>
              <a:lnTo>
                <a:pt x="16017" y="155"/>
              </a:lnTo>
              <a:lnTo>
                <a:pt x="15284" y="0"/>
              </a:lnTo>
              <a:lnTo>
                <a:pt x="8926" y="0"/>
              </a:lnTo>
              <a:lnTo>
                <a:pt x="8437" y="309"/>
              </a:lnTo>
              <a:lnTo>
                <a:pt x="8314" y="696"/>
              </a:lnTo>
              <a:lnTo>
                <a:pt x="8314" y="12520"/>
              </a:lnTo>
              <a:lnTo>
                <a:pt x="8070" y="13138"/>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476250</xdr:colOff>
      <xdr:row>244</xdr:row>
      <xdr:rowOff>0</xdr:rowOff>
    </xdr:from>
    <xdr:to>
      <xdr:col>5</xdr:col>
      <xdr:colOff>114300</xdr:colOff>
      <xdr:row>245</xdr:row>
      <xdr:rowOff>19050</xdr:rowOff>
    </xdr:to>
    <xdr:sp macro="" textlink="">
      <xdr:nvSpPr>
        <xdr:cNvPr id="354" name="Tegning 382">
          <a:extLst>
            <a:ext uri="{FF2B5EF4-FFF2-40B4-BE49-F238E27FC236}">
              <a16:creationId xmlns:a16="http://schemas.microsoft.com/office/drawing/2014/main" id="{00000000-0008-0000-0000-000062010000}"/>
            </a:ext>
          </a:extLst>
        </xdr:cNvPr>
        <xdr:cNvSpPr>
          <a:spLocks/>
        </xdr:cNvSpPr>
      </xdr:nvSpPr>
      <xdr:spPr bwMode="auto">
        <a:xfrm>
          <a:off x="1857375" y="47063025"/>
          <a:ext cx="914400" cy="20955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0 h 16384"/>
            <a:gd name="T18" fmla="*/ 2147483646 w 16384"/>
            <a:gd name="T19" fmla="*/ 0 h 16384"/>
            <a:gd name="T20" fmla="*/ 2147483646 w 16384"/>
            <a:gd name="T21" fmla="*/ 0 h 16384"/>
            <a:gd name="T22" fmla="*/ 0 w 16384"/>
            <a:gd name="T23" fmla="*/ 2147483646 h 16384"/>
            <a:gd name="T24" fmla="*/ 0 w 16384"/>
            <a:gd name="T25" fmla="*/ 2147483646 h 16384"/>
            <a:gd name="T26" fmla="*/ 2147483646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102" y="12788"/>
              </a:moveTo>
              <a:lnTo>
                <a:pt x="407" y="14786"/>
              </a:lnTo>
              <a:lnTo>
                <a:pt x="916" y="16384"/>
              </a:lnTo>
              <a:lnTo>
                <a:pt x="15773" y="16384"/>
              </a:lnTo>
              <a:lnTo>
                <a:pt x="16282" y="15185"/>
              </a:lnTo>
              <a:lnTo>
                <a:pt x="16384" y="13187"/>
              </a:lnTo>
              <a:lnTo>
                <a:pt x="16384" y="2398"/>
              </a:lnTo>
              <a:lnTo>
                <a:pt x="15977" y="799"/>
              </a:lnTo>
              <a:lnTo>
                <a:pt x="15163" y="0"/>
              </a:lnTo>
              <a:lnTo>
                <a:pt x="1934" y="0"/>
              </a:lnTo>
              <a:lnTo>
                <a:pt x="509" y="0"/>
              </a:lnTo>
              <a:lnTo>
                <a:pt x="0" y="1998"/>
              </a:lnTo>
              <a:lnTo>
                <a:pt x="0" y="13187"/>
              </a:lnTo>
              <a:lnTo>
                <a:pt x="305" y="14386"/>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152400</xdr:colOff>
      <xdr:row>243</xdr:row>
      <xdr:rowOff>190500</xdr:rowOff>
    </xdr:from>
    <xdr:to>
      <xdr:col>5</xdr:col>
      <xdr:colOff>314325</xdr:colOff>
      <xdr:row>243</xdr:row>
      <xdr:rowOff>190500</xdr:rowOff>
    </xdr:to>
    <xdr:sp macro="" textlink="">
      <xdr:nvSpPr>
        <xdr:cNvPr id="355" name="Line 383">
          <a:extLst>
            <a:ext uri="{FF2B5EF4-FFF2-40B4-BE49-F238E27FC236}">
              <a16:creationId xmlns:a16="http://schemas.microsoft.com/office/drawing/2014/main" id="{00000000-0008-0000-0000-000063010000}"/>
            </a:ext>
          </a:extLst>
        </xdr:cNvPr>
        <xdr:cNvSpPr>
          <a:spLocks noChangeShapeType="1"/>
        </xdr:cNvSpPr>
      </xdr:nvSpPr>
      <xdr:spPr bwMode="auto">
        <a:xfrm>
          <a:off x="2809875" y="47063025"/>
          <a:ext cx="161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245</xdr:row>
      <xdr:rowOff>47625</xdr:rowOff>
    </xdr:from>
    <xdr:to>
      <xdr:col>5</xdr:col>
      <xdr:colOff>314325</xdr:colOff>
      <xdr:row>245</xdr:row>
      <xdr:rowOff>47625</xdr:rowOff>
    </xdr:to>
    <xdr:sp macro="" textlink="">
      <xdr:nvSpPr>
        <xdr:cNvPr id="356" name="Line 384">
          <a:extLst>
            <a:ext uri="{FF2B5EF4-FFF2-40B4-BE49-F238E27FC236}">
              <a16:creationId xmlns:a16="http://schemas.microsoft.com/office/drawing/2014/main" id="{00000000-0008-0000-0000-000064010000}"/>
            </a:ext>
          </a:extLst>
        </xdr:cNvPr>
        <xdr:cNvSpPr>
          <a:spLocks noChangeShapeType="1"/>
        </xdr:cNvSpPr>
      </xdr:nvSpPr>
      <xdr:spPr bwMode="auto">
        <a:xfrm>
          <a:off x="2800350" y="47301150"/>
          <a:ext cx="171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246</xdr:row>
      <xdr:rowOff>104775</xdr:rowOff>
    </xdr:from>
    <xdr:to>
      <xdr:col>4</xdr:col>
      <xdr:colOff>276225</xdr:colOff>
      <xdr:row>246</xdr:row>
      <xdr:rowOff>104775</xdr:rowOff>
    </xdr:to>
    <xdr:sp macro="" textlink="">
      <xdr:nvSpPr>
        <xdr:cNvPr id="357" name="Line 385">
          <a:extLst>
            <a:ext uri="{FF2B5EF4-FFF2-40B4-BE49-F238E27FC236}">
              <a16:creationId xmlns:a16="http://schemas.microsoft.com/office/drawing/2014/main" id="{00000000-0008-0000-0000-000065010000}"/>
            </a:ext>
          </a:extLst>
        </xdr:cNvPr>
        <xdr:cNvSpPr>
          <a:spLocks noChangeShapeType="1"/>
        </xdr:cNvSpPr>
      </xdr:nvSpPr>
      <xdr:spPr bwMode="auto">
        <a:xfrm flipH="1">
          <a:off x="1800225" y="47548800"/>
          <a:ext cx="809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246</xdr:row>
      <xdr:rowOff>47625</xdr:rowOff>
    </xdr:from>
    <xdr:to>
      <xdr:col>2</xdr:col>
      <xdr:colOff>533400</xdr:colOff>
      <xdr:row>246</xdr:row>
      <xdr:rowOff>152400</xdr:rowOff>
    </xdr:to>
    <xdr:sp macro="" textlink="">
      <xdr:nvSpPr>
        <xdr:cNvPr id="358" name="Line 386">
          <a:extLst>
            <a:ext uri="{FF2B5EF4-FFF2-40B4-BE49-F238E27FC236}">
              <a16:creationId xmlns:a16="http://schemas.microsoft.com/office/drawing/2014/main" id="{00000000-0008-0000-0000-000066010000}"/>
            </a:ext>
          </a:extLst>
        </xdr:cNvPr>
        <xdr:cNvSpPr>
          <a:spLocks noChangeShapeType="1"/>
        </xdr:cNvSpPr>
      </xdr:nvSpPr>
      <xdr:spPr bwMode="auto">
        <a:xfrm flipV="1">
          <a:off x="1800225" y="47491650"/>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246</xdr:row>
      <xdr:rowOff>47625</xdr:rowOff>
    </xdr:from>
    <xdr:to>
      <xdr:col>3</xdr:col>
      <xdr:colOff>304800</xdr:colOff>
      <xdr:row>246</xdr:row>
      <xdr:rowOff>161925</xdr:rowOff>
    </xdr:to>
    <xdr:sp macro="" textlink="">
      <xdr:nvSpPr>
        <xdr:cNvPr id="359" name="Line 387">
          <a:extLst>
            <a:ext uri="{FF2B5EF4-FFF2-40B4-BE49-F238E27FC236}">
              <a16:creationId xmlns:a16="http://schemas.microsoft.com/office/drawing/2014/main" id="{00000000-0008-0000-0000-000067010000}"/>
            </a:ext>
          </a:extLst>
        </xdr:cNvPr>
        <xdr:cNvSpPr>
          <a:spLocks noChangeShapeType="1"/>
        </xdr:cNvSpPr>
      </xdr:nvSpPr>
      <xdr:spPr bwMode="auto">
        <a:xfrm flipH="1">
          <a:off x="2133600" y="47491650"/>
          <a:ext cx="1333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257175</xdr:colOff>
      <xdr:row>243</xdr:row>
      <xdr:rowOff>161925</xdr:rowOff>
    </xdr:from>
    <xdr:to>
      <xdr:col>5</xdr:col>
      <xdr:colOff>257175</xdr:colOff>
      <xdr:row>245</xdr:row>
      <xdr:rowOff>76200</xdr:rowOff>
    </xdr:to>
    <xdr:sp macro="" textlink="">
      <xdr:nvSpPr>
        <xdr:cNvPr id="360" name="Line 388">
          <a:extLst>
            <a:ext uri="{FF2B5EF4-FFF2-40B4-BE49-F238E27FC236}">
              <a16:creationId xmlns:a16="http://schemas.microsoft.com/office/drawing/2014/main" id="{00000000-0008-0000-0000-000068010000}"/>
            </a:ext>
          </a:extLst>
        </xdr:cNvPr>
        <xdr:cNvSpPr>
          <a:spLocks noChangeShapeType="1"/>
        </xdr:cNvSpPr>
      </xdr:nvSpPr>
      <xdr:spPr bwMode="auto">
        <a:xfrm>
          <a:off x="2914650" y="4703445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243</xdr:row>
      <xdr:rowOff>142875</xdr:rowOff>
    </xdr:from>
    <xdr:to>
      <xdr:col>5</xdr:col>
      <xdr:colOff>295275</xdr:colOff>
      <xdr:row>244</xdr:row>
      <xdr:rowOff>19050</xdr:rowOff>
    </xdr:to>
    <xdr:sp macro="" textlink="">
      <xdr:nvSpPr>
        <xdr:cNvPr id="361" name="Line 389">
          <a:extLst>
            <a:ext uri="{FF2B5EF4-FFF2-40B4-BE49-F238E27FC236}">
              <a16:creationId xmlns:a16="http://schemas.microsoft.com/office/drawing/2014/main" id="{00000000-0008-0000-0000-000069010000}"/>
            </a:ext>
          </a:extLst>
        </xdr:cNvPr>
        <xdr:cNvSpPr>
          <a:spLocks noChangeShapeType="1"/>
        </xdr:cNvSpPr>
      </xdr:nvSpPr>
      <xdr:spPr bwMode="auto">
        <a:xfrm flipV="1">
          <a:off x="2876550" y="4701540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244</xdr:row>
      <xdr:rowOff>219075</xdr:rowOff>
    </xdr:from>
    <xdr:to>
      <xdr:col>5</xdr:col>
      <xdr:colOff>295275</xdr:colOff>
      <xdr:row>245</xdr:row>
      <xdr:rowOff>95250</xdr:rowOff>
    </xdr:to>
    <xdr:sp macro="" textlink="">
      <xdr:nvSpPr>
        <xdr:cNvPr id="362" name="Line 390">
          <a:extLst>
            <a:ext uri="{FF2B5EF4-FFF2-40B4-BE49-F238E27FC236}">
              <a16:creationId xmlns:a16="http://schemas.microsoft.com/office/drawing/2014/main" id="{00000000-0008-0000-0000-00006A010000}"/>
            </a:ext>
          </a:extLst>
        </xdr:cNvPr>
        <xdr:cNvSpPr>
          <a:spLocks noChangeShapeType="1"/>
        </xdr:cNvSpPr>
      </xdr:nvSpPr>
      <xdr:spPr bwMode="auto">
        <a:xfrm flipV="1">
          <a:off x="2867025" y="47253525"/>
          <a:ext cx="8572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263</xdr:row>
      <xdr:rowOff>104775</xdr:rowOff>
    </xdr:from>
    <xdr:to>
      <xdr:col>5</xdr:col>
      <xdr:colOff>161925</xdr:colOff>
      <xdr:row>266</xdr:row>
      <xdr:rowOff>161925</xdr:rowOff>
    </xdr:to>
    <xdr:sp macro="" textlink="">
      <xdr:nvSpPr>
        <xdr:cNvPr id="363" name="Tegning 391">
          <a:extLst>
            <a:ext uri="{FF2B5EF4-FFF2-40B4-BE49-F238E27FC236}">
              <a16:creationId xmlns:a16="http://schemas.microsoft.com/office/drawing/2014/main" id="{00000000-0008-0000-0000-00006B010000}"/>
            </a:ext>
          </a:extLst>
        </xdr:cNvPr>
        <xdr:cNvSpPr>
          <a:spLocks/>
        </xdr:cNvSpPr>
      </xdr:nvSpPr>
      <xdr:spPr bwMode="auto">
        <a:xfrm>
          <a:off x="1504950" y="50834925"/>
          <a:ext cx="1314450" cy="64770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0 w 16384"/>
            <a:gd name="T21" fmla="*/ 2147483646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88" y="3040"/>
              </a:moveTo>
              <a:lnTo>
                <a:pt x="9337" y="16384"/>
              </a:lnTo>
              <a:lnTo>
                <a:pt x="9954" y="15708"/>
              </a:lnTo>
              <a:lnTo>
                <a:pt x="9954" y="676"/>
              </a:lnTo>
              <a:lnTo>
                <a:pt x="10218" y="0"/>
              </a:lnTo>
              <a:lnTo>
                <a:pt x="16032" y="0"/>
              </a:lnTo>
              <a:lnTo>
                <a:pt x="16384" y="507"/>
              </a:lnTo>
              <a:lnTo>
                <a:pt x="16384" y="6081"/>
              </a:lnTo>
              <a:lnTo>
                <a:pt x="16032" y="6925"/>
              </a:lnTo>
              <a:lnTo>
                <a:pt x="2907" y="6925"/>
              </a:lnTo>
              <a:lnTo>
                <a:pt x="0" y="2703"/>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19050</xdr:colOff>
      <xdr:row>261</xdr:row>
      <xdr:rowOff>47625</xdr:rowOff>
    </xdr:from>
    <xdr:to>
      <xdr:col>5</xdr:col>
      <xdr:colOff>19050</xdr:colOff>
      <xdr:row>263</xdr:row>
      <xdr:rowOff>9525</xdr:rowOff>
    </xdr:to>
    <xdr:sp macro="" textlink="">
      <xdr:nvSpPr>
        <xdr:cNvPr id="364" name="Line 392">
          <a:extLst>
            <a:ext uri="{FF2B5EF4-FFF2-40B4-BE49-F238E27FC236}">
              <a16:creationId xmlns:a16="http://schemas.microsoft.com/office/drawing/2014/main" id="{00000000-0008-0000-0000-00006C010000}"/>
            </a:ext>
          </a:extLst>
        </xdr:cNvPr>
        <xdr:cNvSpPr>
          <a:spLocks noChangeShapeType="1"/>
        </xdr:cNvSpPr>
      </xdr:nvSpPr>
      <xdr:spPr bwMode="auto">
        <a:xfrm>
          <a:off x="2676525" y="50396775"/>
          <a:ext cx="0" cy="342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262</xdr:row>
      <xdr:rowOff>133350</xdr:rowOff>
    </xdr:from>
    <xdr:to>
      <xdr:col>4</xdr:col>
      <xdr:colOff>28575</xdr:colOff>
      <xdr:row>263</xdr:row>
      <xdr:rowOff>28575</xdr:rowOff>
    </xdr:to>
    <xdr:sp macro="" textlink="">
      <xdr:nvSpPr>
        <xdr:cNvPr id="365" name="Line 393">
          <a:extLst>
            <a:ext uri="{FF2B5EF4-FFF2-40B4-BE49-F238E27FC236}">
              <a16:creationId xmlns:a16="http://schemas.microsoft.com/office/drawing/2014/main" id="{00000000-0008-0000-0000-00006D010000}"/>
            </a:ext>
          </a:extLst>
        </xdr:cNvPr>
        <xdr:cNvSpPr>
          <a:spLocks noChangeShapeType="1"/>
        </xdr:cNvSpPr>
      </xdr:nvSpPr>
      <xdr:spPr bwMode="auto">
        <a:xfrm flipH="1">
          <a:off x="2219325" y="50673000"/>
          <a:ext cx="1428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262</xdr:row>
      <xdr:rowOff>133350</xdr:rowOff>
    </xdr:from>
    <xdr:to>
      <xdr:col>5</xdr:col>
      <xdr:colOff>57150</xdr:colOff>
      <xdr:row>263</xdr:row>
      <xdr:rowOff>28575</xdr:rowOff>
    </xdr:to>
    <xdr:sp macro="" textlink="">
      <xdr:nvSpPr>
        <xdr:cNvPr id="366" name="Line 394">
          <a:extLst>
            <a:ext uri="{FF2B5EF4-FFF2-40B4-BE49-F238E27FC236}">
              <a16:creationId xmlns:a16="http://schemas.microsoft.com/office/drawing/2014/main" id="{00000000-0008-0000-0000-00006E010000}"/>
            </a:ext>
          </a:extLst>
        </xdr:cNvPr>
        <xdr:cNvSpPr>
          <a:spLocks noChangeShapeType="1"/>
        </xdr:cNvSpPr>
      </xdr:nvSpPr>
      <xdr:spPr bwMode="auto">
        <a:xfrm flipH="1">
          <a:off x="2628900" y="50673000"/>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261</xdr:row>
      <xdr:rowOff>171450</xdr:rowOff>
    </xdr:from>
    <xdr:to>
      <xdr:col>5</xdr:col>
      <xdr:colOff>361950</xdr:colOff>
      <xdr:row>261</xdr:row>
      <xdr:rowOff>171450</xdr:rowOff>
    </xdr:to>
    <xdr:sp macro="" textlink="">
      <xdr:nvSpPr>
        <xdr:cNvPr id="367" name="Line 395">
          <a:extLst>
            <a:ext uri="{FF2B5EF4-FFF2-40B4-BE49-F238E27FC236}">
              <a16:creationId xmlns:a16="http://schemas.microsoft.com/office/drawing/2014/main" id="{00000000-0008-0000-0000-00006F010000}"/>
            </a:ext>
          </a:extLst>
        </xdr:cNvPr>
        <xdr:cNvSpPr>
          <a:spLocks noChangeShapeType="1"/>
        </xdr:cNvSpPr>
      </xdr:nvSpPr>
      <xdr:spPr bwMode="auto">
        <a:xfrm flipH="1">
          <a:off x="2362200" y="50520600"/>
          <a:ext cx="657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258</xdr:row>
      <xdr:rowOff>190500</xdr:rowOff>
    </xdr:from>
    <xdr:to>
      <xdr:col>5</xdr:col>
      <xdr:colOff>209550</xdr:colOff>
      <xdr:row>262</xdr:row>
      <xdr:rowOff>28575</xdr:rowOff>
    </xdr:to>
    <xdr:sp macro="" textlink="">
      <xdr:nvSpPr>
        <xdr:cNvPr id="368" name="Line 396">
          <a:extLst>
            <a:ext uri="{FF2B5EF4-FFF2-40B4-BE49-F238E27FC236}">
              <a16:creationId xmlns:a16="http://schemas.microsoft.com/office/drawing/2014/main" id="{00000000-0008-0000-0000-000070010000}"/>
            </a:ext>
          </a:extLst>
        </xdr:cNvPr>
        <xdr:cNvSpPr>
          <a:spLocks noChangeShapeType="1"/>
        </xdr:cNvSpPr>
      </xdr:nvSpPr>
      <xdr:spPr bwMode="auto">
        <a:xfrm>
          <a:off x="2867025" y="49968150"/>
          <a:ext cx="0" cy="600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261</xdr:row>
      <xdr:rowOff>9525</xdr:rowOff>
    </xdr:from>
    <xdr:to>
      <xdr:col>4</xdr:col>
      <xdr:colOff>47625</xdr:colOff>
      <xdr:row>262</xdr:row>
      <xdr:rowOff>38100</xdr:rowOff>
    </xdr:to>
    <xdr:sp macro="" textlink="">
      <xdr:nvSpPr>
        <xdr:cNvPr id="369" name="Line 397">
          <a:extLst>
            <a:ext uri="{FF2B5EF4-FFF2-40B4-BE49-F238E27FC236}">
              <a16:creationId xmlns:a16="http://schemas.microsoft.com/office/drawing/2014/main" id="{00000000-0008-0000-0000-000071010000}"/>
            </a:ext>
          </a:extLst>
        </xdr:cNvPr>
        <xdr:cNvSpPr>
          <a:spLocks noChangeShapeType="1"/>
        </xdr:cNvSpPr>
      </xdr:nvSpPr>
      <xdr:spPr bwMode="auto">
        <a:xfrm>
          <a:off x="2381250" y="50358675"/>
          <a:ext cx="0"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261</xdr:row>
      <xdr:rowOff>133350</xdr:rowOff>
    </xdr:from>
    <xdr:to>
      <xdr:col>5</xdr:col>
      <xdr:colOff>247650</xdr:colOff>
      <xdr:row>262</xdr:row>
      <xdr:rowOff>28575</xdr:rowOff>
    </xdr:to>
    <xdr:sp macro="" textlink="">
      <xdr:nvSpPr>
        <xdr:cNvPr id="370" name="Line 398">
          <a:extLst>
            <a:ext uri="{FF2B5EF4-FFF2-40B4-BE49-F238E27FC236}">
              <a16:creationId xmlns:a16="http://schemas.microsoft.com/office/drawing/2014/main" id="{00000000-0008-0000-0000-000072010000}"/>
            </a:ext>
          </a:extLst>
        </xdr:cNvPr>
        <xdr:cNvSpPr>
          <a:spLocks noChangeShapeType="1"/>
        </xdr:cNvSpPr>
      </xdr:nvSpPr>
      <xdr:spPr bwMode="auto">
        <a:xfrm flipH="1">
          <a:off x="2828925" y="50482500"/>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314325</xdr:colOff>
      <xdr:row>261</xdr:row>
      <xdr:rowOff>133350</xdr:rowOff>
    </xdr:from>
    <xdr:to>
      <xdr:col>4</xdr:col>
      <xdr:colOff>95250</xdr:colOff>
      <xdr:row>262</xdr:row>
      <xdr:rowOff>38100</xdr:rowOff>
    </xdr:to>
    <xdr:sp macro="" textlink="">
      <xdr:nvSpPr>
        <xdr:cNvPr id="371" name="Line 399">
          <a:extLst>
            <a:ext uri="{FF2B5EF4-FFF2-40B4-BE49-F238E27FC236}">
              <a16:creationId xmlns:a16="http://schemas.microsoft.com/office/drawing/2014/main" id="{00000000-0008-0000-0000-000073010000}"/>
            </a:ext>
          </a:extLst>
        </xdr:cNvPr>
        <xdr:cNvSpPr>
          <a:spLocks noChangeShapeType="1"/>
        </xdr:cNvSpPr>
      </xdr:nvSpPr>
      <xdr:spPr bwMode="auto">
        <a:xfrm flipH="1">
          <a:off x="2276475" y="50482500"/>
          <a:ext cx="1524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263</xdr:row>
      <xdr:rowOff>76200</xdr:rowOff>
    </xdr:from>
    <xdr:to>
      <xdr:col>5</xdr:col>
      <xdr:colOff>323850</xdr:colOff>
      <xdr:row>263</xdr:row>
      <xdr:rowOff>76200</xdr:rowOff>
    </xdr:to>
    <xdr:sp macro="" textlink="">
      <xdr:nvSpPr>
        <xdr:cNvPr id="372" name="Line 400">
          <a:extLst>
            <a:ext uri="{FF2B5EF4-FFF2-40B4-BE49-F238E27FC236}">
              <a16:creationId xmlns:a16="http://schemas.microsoft.com/office/drawing/2014/main" id="{00000000-0008-0000-0000-000074010000}"/>
            </a:ext>
          </a:extLst>
        </xdr:cNvPr>
        <xdr:cNvSpPr>
          <a:spLocks noChangeShapeType="1"/>
        </xdr:cNvSpPr>
      </xdr:nvSpPr>
      <xdr:spPr bwMode="auto">
        <a:xfrm>
          <a:off x="2867025" y="50806350"/>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265</xdr:row>
      <xdr:rowOff>9525</xdr:rowOff>
    </xdr:from>
    <xdr:to>
      <xdr:col>5</xdr:col>
      <xdr:colOff>342900</xdr:colOff>
      <xdr:row>265</xdr:row>
      <xdr:rowOff>9525</xdr:rowOff>
    </xdr:to>
    <xdr:sp macro="" textlink="">
      <xdr:nvSpPr>
        <xdr:cNvPr id="373" name="Line 401">
          <a:extLst>
            <a:ext uri="{FF2B5EF4-FFF2-40B4-BE49-F238E27FC236}">
              <a16:creationId xmlns:a16="http://schemas.microsoft.com/office/drawing/2014/main" id="{00000000-0008-0000-0000-000075010000}"/>
            </a:ext>
          </a:extLst>
        </xdr:cNvPr>
        <xdr:cNvSpPr>
          <a:spLocks noChangeShapeType="1"/>
        </xdr:cNvSpPr>
      </xdr:nvSpPr>
      <xdr:spPr bwMode="auto">
        <a:xfrm>
          <a:off x="2847975" y="51139725"/>
          <a:ext cx="152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263</xdr:row>
      <xdr:rowOff>38100</xdr:rowOff>
    </xdr:from>
    <xdr:to>
      <xdr:col>5</xdr:col>
      <xdr:colOff>266700</xdr:colOff>
      <xdr:row>265</xdr:row>
      <xdr:rowOff>38100</xdr:rowOff>
    </xdr:to>
    <xdr:sp macro="" textlink="">
      <xdr:nvSpPr>
        <xdr:cNvPr id="374" name="Line 402">
          <a:extLst>
            <a:ext uri="{FF2B5EF4-FFF2-40B4-BE49-F238E27FC236}">
              <a16:creationId xmlns:a16="http://schemas.microsoft.com/office/drawing/2014/main" id="{00000000-0008-0000-0000-000076010000}"/>
            </a:ext>
          </a:extLst>
        </xdr:cNvPr>
        <xdr:cNvSpPr>
          <a:spLocks noChangeShapeType="1"/>
        </xdr:cNvSpPr>
      </xdr:nvSpPr>
      <xdr:spPr bwMode="auto">
        <a:xfrm flipV="1">
          <a:off x="2924175" y="50768250"/>
          <a:ext cx="0" cy="400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264</xdr:row>
      <xdr:rowOff>152400</xdr:rowOff>
    </xdr:from>
    <xdr:to>
      <xdr:col>5</xdr:col>
      <xdr:colOff>295275</xdr:colOff>
      <xdr:row>265</xdr:row>
      <xdr:rowOff>66675</xdr:rowOff>
    </xdr:to>
    <xdr:sp macro="" textlink="">
      <xdr:nvSpPr>
        <xdr:cNvPr id="375" name="Line 403">
          <a:extLst>
            <a:ext uri="{FF2B5EF4-FFF2-40B4-BE49-F238E27FC236}">
              <a16:creationId xmlns:a16="http://schemas.microsoft.com/office/drawing/2014/main" id="{00000000-0008-0000-0000-000077010000}"/>
            </a:ext>
          </a:extLst>
        </xdr:cNvPr>
        <xdr:cNvSpPr>
          <a:spLocks noChangeShapeType="1"/>
        </xdr:cNvSpPr>
      </xdr:nvSpPr>
      <xdr:spPr bwMode="auto">
        <a:xfrm flipV="1">
          <a:off x="2867025" y="51082575"/>
          <a:ext cx="857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263</xdr:row>
      <xdr:rowOff>38100</xdr:rowOff>
    </xdr:from>
    <xdr:to>
      <xdr:col>5</xdr:col>
      <xdr:colOff>314325</xdr:colOff>
      <xdr:row>263</xdr:row>
      <xdr:rowOff>114300</xdr:rowOff>
    </xdr:to>
    <xdr:sp macro="" textlink="">
      <xdr:nvSpPr>
        <xdr:cNvPr id="376" name="Line 404">
          <a:extLst>
            <a:ext uri="{FF2B5EF4-FFF2-40B4-BE49-F238E27FC236}">
              <a16:creationId xmlns:a16="http://schemas.microsoft.com/office/drawing/2014/main" id="{00000000-0008-0000-0000-000078010000}"/>
            </a:ext>
          </a:extLst>
        </xdr:cNvPr>
        <xdr:cNvSpPr>
          <a:spLocks noChangeShapeType="1"/>
        </xdr:cNvSpPr>
      </xdr:nvSpPr>
      <xdr:spPr bwMode="auto">
        <a:xfrm flipV="1">
          <a:off x="2886075" y="50768250"/>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103</xdr:row>
      <xdr:rowOff>171450</xdr:rowOff>
    </xdr:from>
    <xdr:to>
      <xdr:col>4</xdr:col>
      <xdr:colOff>95250</xdr:colOff>
      <xdr:row>104</xdr:row>
      <xdr:rowOff>104775</xdr:rowOff>
    </xdr:to>
    <xdr:sp macro="" textlink="">
      <xdr:nvSpPr>
        <xdr:cNvPr id="377" name="Line 405">
          <a:extLst>
            <a:ext uri="{FF2B5EF4-FFF2-40B4-BE49-F238E27FC236}">
              <a16:creationId xmlns:a16="http://schemas.microsoft.com/office/drawing/2014/main" id="{00000000-0008-0000-0000-000079010000}"/>
            </a:ext>
          </a:extLst>
        </xdr:cNvPr>
        <xdr:cNvSpPr>
          <a:spLocks noChangeShapeType="1"/>
        </xdr:cNvSpPr>
      </xdr:nvSpPr>
      <xdr:spPr bwMode="auto">
        <a:xfrm flipH="1">
          <a:off x="1733550" y="19973925"/>
          <a:ext cx="6953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105</xdr:row>
      <xdr:rowOff>38100</xdr:rowOff>
    </xdr:from>
    <xdr:to>
      <xdr:col>5</xdr:col>
      <xdr:colOff>285750</xdr:colOff>
      <xdr:row>105</xdr:row>
      <xdr:rowOff>38100</xdr:rowOff>
    </xdr:to>
    <xdr:sp macro="" textlink="">
      <xdr:nvSpPr>
        <xdr:cNvPr id="378" name="Line 406">
          <a:extLst>
            <a:ext uri="{FF2B5EF4-FFF2-40B4-BE49-F238E27FC236}">
              <a16:creationId xmlns:a16="http://schemas.microsoft.com/office/drawing/2014/main" id="{00000000-0008-0000-0000-00007A010000}"/>
            </a:ext>
          </a:extLst>
        </xdr:cNvPr>
        <xdr:cNvSpPr>
          <a:spLocks noChangeShapeType="1"/>
        </xdr:cNvSpPr>
      </xdr:nvSpPr>
      <xdr:spPr bwMode="auto">
        <a:xfrm>
          <a:off x="2695575" y="20221575"/>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103</xdr:row>
      <xdr:rowOff>161925</xdr:rowOff>
    </xdr:from>
    <xdr:to>
      <xdr:col>5</xdr:col>
      <xdr:colOff>266700</xdr:colOff>
      <xdr:row>103</xdr:row>
      <xdr:rowOff>161925</xdr:rowOff>
    </xdr:to>
    <xdr:sp macro="" textlink="">
      <xdr:nvSpPr>
        <xdr:cNvPr id="379" name="Line 407">
          <a:extLst>
            <a:ext uri="{FF2B5EF4-FFF2-40B4-BE49-F238E27FC236}">
              <a16:creationId xmlns:a16="http://schemas.microsoft.com/office/drawing/2014/main" id="{00000000-0008-0000-0000-00007B010000}"/>
            </a:ext>
          </a:extLst>
        </xdr:cNvPr>
        <xdr:cNvSpPr>
          <a:spLocks noChangeShapeType="1"/>
        </xdr:cNvSpPr>
      </xdr:nvSpPr>
      <xdr:spPr bwMode="auto">
        <a:xfrm>
          <a:off x="2705100" y="19964400"/>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103</xdr:row>
      <xdr:rowOff>123825</xdr:rowOff>
    </xdr:from>
    <xdr:to>
      <xdr:col>5</xdr:col>
      <xdr:colOff>238125</xdr:colOff>
      <xdr:row>105</xdr:row>
      <xdr:rowOff>66675</xdr:rowOff>
    </xdr:to>
    <xdr:sp macro="" textlink="">
      <xdr:nvSpPr>
        <xdr:cNvPr id="380" name="Line 408">
          <a:extLst>
            <a:ext uri="{FF2B5EF4-FFF2-40B4-BE49-F238E27FC236}">
              <a16:creationId xmlns:a16="http://schemas.microsoft.com/office/drawing/2014/main" id="{00000000-0008-0000-0000-00007C010000}"/>
            </a:ext>
          </a:extLst>
        </xdr:cNvPr>
        <xdr:cNvSpPr>
          <a:spLocks noChangeShapeType="1"/>
        </xdr:cNvSpPr>
      </xdr:nvSpPr>
      <xdr:spPr bwMode="auto">
        <a:xfrm>
          <a:off x="2895600" y="19926300"/>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200025</xdr:colOff>
      <xdr:row>103</xdr:row>
      <xdr:rowOff>114300</xdr:rowOff>
    </xdr:from>
    <xdr:to>
      <xdr:col>5</xdr:col>
      <xdr:colOff>276225</xdr:colOff>
      <xdr:row>103</xdr:row>
      <xdr:rowOff>209550</xdr:rowOff>
    </xdr:to>
    <xdr:sp macro="" textlink="">
      <xdr:nvSpPr>
        <xdr:cNvPr id="381" name="Line 409">
          <a:extLst>
            <a:ext uri="{FF2B5EF4-FFF2-40B4-BE49-F238E27FC236}">
              <a16:creationId xmlns:a16="http://schemas.microsoft.com/office/drawing/2014/main" id="{00000000-0008-0000-0000-00007D010000}"/>
            </a:ext>
          </a:extLst>
        </xdr:cNvPr>
        <xdr:cNvSpPr>
          <a:spLocks noChangeShapeType="1"/>
        </xdr:cNvSpPr>
      </xdr:nvSpPr>
      <xdr:spPr bwMode="auto">
        <a:xfrm flipV="1">
          <a:off x="2857500" y="1991677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200025</xdr:colOff>
      <xdr:row>104</xdr:row>
      <xdr:rowOff>209550</xdr:rowOff>
    </xdr:from>
    <xdr:to>
      <xdr:col>5</xdr:col>
      <xdr:colOff>276225</xdr:colOff>
      <xdr:row>105</xdr:row>
      <xdr:rowOff>66675</xdr:rowOff>
    </xdr:to>
    <xdr:sp macro="" textlink="">
      <xdr:nvSpPr>
        <xdr:cNvPr id="382" name="Line 410">
          <a:extLst>
            <a:ext uri="{FF2B5EF4-FFF2-40B4-BE49-F238E27FC236}">
              <a16:creationId xmlns:a16="http://schemas.microsoft.com/office/drawing/2014/main" id="{00000000-0008-0000-0000-00007E010000}"/>
            </a:ext>
          </a:extLst>
        </xdr:cNvPr>
        <xdr:cNvSpPr>
          <a:spLocks noChangeShapeType="1"/>
        </xdr:cNvSpPr>
      </xdr:nvSpPr>
      <xdr:spPr bwMode="auto">
        <a:xfrm flipV="1">
          <a:off x="2857500" y="2018347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504825</xdr:colOff>
      <xdr:row>103</xdr:row>
      <xdr:rowOff>123825</xdr:rowOff>
    </xdr:from>
    <xdr:to>
      <xdr:col>5</xdr:col>
      <xdr:colOff>581025</xdr:colOff>
      <xdr:row>104</xdr:row>
      <xdr:rowOff>0</xdr:rowOff>
    </xdr:to>
    <xdr:sp macro="" textlink="">
      <xdr:nvSpPr>
        <xdr:cNvPr id="383" name="Line 411">
          <a:extLst>
            <a:ext uri="{FF2B5EF4-FFF2-40B4-BE49-F238E27FC236}">
              <a16:creationId xmlns:a16="http://schemas.microsoft.com/office/drawing/2014/main" id="{00000000-0008-0000-0000-00007F010000}"/>
            </a:ext>
          </a:extLst>
        </xdr:cNvPr>
        <xdr:cNvSpPr>
          <a:spLocks noChangeShapeType="1"/>
        </xdr:cNvSpPr>
      </xdr:nvSpPr>
      <xdr:spPr bwMode="auto">
        <a:xfrm flipH="1">
          <a:off x="3162300" y="1992630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101</xdr:row>
      <xdr:rowOff>123825</xdr:rowOff>
    </xdr:from>
    <xdr:to>
      <xdr:col>5</xdr:col>
      <xdr:colOff>95250</xdr:colOff>
      <xdr:row>103</xdr:row>
      <xdr:rowOff>28575</xdr:rowOff>
    </xdr:to>
    <xdr:sp macro="" textlink="">
      <xdr:nvSpPr>
        <xdr:cNvPr id="384" name="Line 412">
          <a:extLst>
            <a:ext uri="{FF2B5EF4-FFF2-40B4-BE49-F238E27FC236}">
              <a16:creationId xmlns:a16="http://schemas.microsoft.com/office/drawing/2014/main" id="{00000000-0008-0000-0000-000080010000}"/>
            </a:ext>
          </a:extLst>
        </xdr:cNvPr>
        <xdr:cNvSpPr>
          <a:spLocks noChangeShapeType="1"/>
        </xdr:cNvSpPr>
      </xdr:nvSpPr>
      <xdr:spPr bwMode="auto">
        <a:xfrm flipV="1">
          <a:off x="2752725" y="19545300"/>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102</xdr:row>
      <xdr:rowOff>0</xdr:rowOff>
    </xdr:from>
    <xdr:to>
      <xdr:col>5</xdr:col>
      <xdr:colOff>419100</xdr:colOff>
      <xdr:row>102</xdr:row>
      <xdr:rowOff>9525</xdr:rowOff>
    </xdr:to>
    <xdr:sp macro="" textlink="">
      <xdr:nvSpPr>
        <xdr:cNvPr id="385" name="Line 413">
          <a:extLst>
            <a:ext uri="{FF2B5EF4-FFF2-40B4-BE49-F238E27FC236}">
              <a16:creationId xmlns:a16="http://schemas.microsoft.com/office/drawing/2014/main" id="{00000000-0008-0000-0000-000081010000}"/>
            </a:ext>
          </a:extLst>
        </xdr:cNvPr>
        <xdr:cNvSpPr>
          <a:spLocks noChangeShapeType="1"/>
        </xdr:cNvSpPr>
      </xdr:nvSpPr>
      <xdr:spPr bwMode="auto">
        <a:xfrm>
          <a:off x="2066925" y="19611975"/>
          <a:ext cx="1009650"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101</xdr:row>
      <xdr:rowOff>133350</xdr:rowOff>
    </xdr:from>
    <xdr:to>
      <xdr:col>3</xdr:col>
      <xdr:colOff>209550</xdr:colOff>
      <xdr:row>102</xdr:row>
      <xdr:rowOff>38100</xdr:rowOff>
    </xdr:to>
    <xdr:sp macro="" textlink="">
      <xdr:nvSpPr>
        <xdr:cNvPr id="386" name="Line 414">
          <a:extLst>
            <a:ext uri="{FF2B5EF4-FFF2-40B4-BE49-F238E27FC236}">
              <a16:creationId xmlns:a16="http://schemas.microsoft.com/office/drawing/2014/main" id="{00000000-0008-0000-0000-000082010000}"/>
            </a:ext>
          </a:extLst>
        </xdr:cNvPr>
        <xdr:cNvSpPr>
          <a:spLocks noChangeShapeType="1"/>
        </xdr:cNvSpPr>
      </xdr:nvSpPr>
      <xdr:spPr bwMode="auto">
        <a:xfrm flipV="1">
          <a:off x="2076450" y="195548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101</xdr:row>
      <xdr:rowOff>123825</xdr:rowOff>
    </xdr:from>
    <xdr:to>
      <xdr:col>5</xdr:col>
      <xdr:colOff>142875</xdr:colOff>
      <xdr:row>102</xdr:row>
      <xdr:rowOff>47625</xdr:rowOff>
    </xdr:to>
    <xdr:sp macro="" textlink="">
      <xdr:nvSpPr>
        <xdr:cNvPr id="387" name="Line 415">
          <a:extLst>
            <a:ext uri="{FF2B5EF4-FFF2-40B4-BE49-F238E27FC236}">
              <a16:creationId xmlns:a16="http://schemas.microsoft.com/office/drawing/2014/main" id="{00000000-0008-0000-0000-000083010000}"/>
            </a:ext>
          </a:extLst>
        </xdr:cNvPr>
        <xdr:cNvSpPr>
          <a:spLocks noChangeShapeType="1"/>
        </xdr:cNvSpPr>
      </xdr:nvSpPr>
      <xdr:spPr bwMode="auto">
        <a:xfrm flipV="1">
          <a:off x="2705100" y="1954530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49</xdr:col>
      <xdr:colOff>104775</xdr:colOff>
      <xdr:row>3</xdr:row>
      <xdr:rowOff>104775</xdr:rowOff>
    </xdr:from>
    <xdr:to>
      <xdr:col>49</xdr:col>
      <xdr:colOff>647700</xdr:colOff>
      <xdr:row>3</xdr:row>
      <xdr:rowOff>104775</xdr:rowOff>
    </xdr:to>
    <xdr:sp macro="" textlink="">
      <xdr:nvSpPr>
        <xdr:cNvPr id="388" name="Line 416">
          <a:extLst>
            <a:ext uri="{FF2B5EF4-FFF2-40B4-BE49-F238E27FC236}">
              <a16:creationId xmlns:a16="http://schemas.microsoft.com/office/drawing/2014/main" id="{00000000-0008-0000-0000-000084010000}"/>
            </a:ext>
          </a:extLst>
        </xdr:cNvPr>
        <xdr:cNvSpPr>
          <a:spLocks noChangeShapeType="1"/>
        </xdr:cNvSpPr>
      </xdr:nvSpPr>
      <xdr:spPr bwMode="auto">
        <a:xfrm flipH="1">
          <a:off x="37318950" y="542925"/>
          <a:ext cx="542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21</xdr:col>
      <xdr:colOff>0</xdr:colOff>
      <xdr:row>95</xdr:row>
      <xdr:rowOff>142875</xdr:rowOff>
    </xdr:from>
    <xdr:to>
      <xdr:col>23</xdr:col>
      <xdr:colOff>561975</xdr:colOff>
      <xdr:row>95</xdr:row>
      <xdr:rowOff>142875</xdr:rowOff>
    </xdr:to>
    <xdr:sp macro="" textlink="">
      <xdr:nvSpPr>
        <xdr:cNvPr id="389" name="Line 417">
          <a:extLst>
            <a:ext uri="{FF2B5EF4-FFF2-40B4-BE49-F238E27FC236}">
              <a16:creationId xmlns:a16="http://schemas.microsoft.com/office/drawing/2014/main" id="{00000000-0008-0000-0000-000085010000}"/>
            </a:ext>
          </a:extLst>
        </xdr:cNvPr>
        <xdr:cNvSpPr>
          <a:spLocks noChangeShapeType="1"/>
        </xdr:cNvSpPr>
      </xdr:nvSpPr>
      <xdr:spPr bwMode="auto">
        <a:xfrm flipH="1">
          <a:off x="15030450" y="18402300"/>
          <a:ext cx="2066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21</xdr:col>
      <xdr:colOff>0</xdr:colOff>
      <xdr:row>95</xdr:row>
      <xdr:rowOff>9525</xdr:rowOff>
    </xdr:from>
    <xdr:to>
      <xdr:col>21</xdr:col>
      <xdr:colOff>0</xdr:colOff>
      <xdr:row>95</xdr:row>
      <xdr:rowOff>133350</xdr:rowOff>
    </xdr:to>
    <xdr:sp macro="" textlink="">
      <xdr:nvSpPr>
        <xdr:cNvPr id="390" name="Line 418">
          <a:extLst>
            <a:ext uri="{FF2B5EF4-FFF2-40B4-BE49-F238E27FC236}">
              <a16:creationId xmlns:a16="http://schemas.microsoft.com/office/drawing/2014/main" id="{00000000-0008-0000-0000-000086010000}"/>
            </a:ext>
          </a:extLst>
        </xdr:cNvPr>
        <xdr:cNvSpPr>
          <a:spLocks noChangeShapeType="1"/>
        </xdr:cNvSpPr>
      </xdr:nvSpPr>
      <xdr:spPr bwMode="auto">
        <a:xfrm flipV="1">
          <a:off x="15030450" y="18268950"/>
          <a:ext cx="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23</xdr:col>
      <xdr:colOff>123825</xdr:colOff>
      <xdr:row>95</xdr:row>
      <xdr:rowOff>9525</xdr:rowOff>
    </xdr:from>
    <xdr:to>
      <xdr:col>23</xdr:col>
      <xdr:colOff>123825</xdr:colOff>
      <xdr:row>95</xdr:row>
      <xdr:rowOff>152400</xdr:rowOff>
    </xdr:to>
    <xdr:sp macro="" textlink="">
      <xdr:nvSpPr>
        <xdr:cNvPr id="391" name="Line 419">
          <a:extLst>
            <a:ext uri="{FF2B5EF4-FFF2-40B4-BE49-F238E27FC236}">
              <a16:creationId xmlns:a16="http://schemas.microsoft.com/office/drawing/2014/main" id="{00000000-0008-0000-0000-000087010000}"/>
            </a:ext>
          </a:extLst>
        </xdr:cNvPr>
        <xdr:cNvSpPr>
          <a:spLocks noChangeShapeType="1"/>
        </xdr:cNvSpPr>
      </xdr:nvSpPr>
      <xdr:spPr bwMode="auto">
        <a:xfrm flipV="1">
          <a:off x="16659225" y="18268950"/>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22</xdr:col>
      <xdr:colOff>609600</xdr:colOff>
      <xdr:row>92</xdr:row>
      <xdr:rowOff>66675</xdr:rowOff>
    </xdr:from>
    <xdr:to>
      <xdr:col>22</xdr:col>
      <xdr:colOff>742950</xdr:colOff>
      <xdr:row>94</xdr:row>
      <xdr:rowOff>38100</xdr:rowOff>
    </xdr:to>
    <xdr:sp macro="" textlink="">
      <xdr:nvSpPr>
        <xdr:cNvPr id="392" name="Line 420">
          <a:extLst>
            <a:ext uri="{FF2B5EF4-FFF2-40B4-BE49-F238E27FC236}">
              <a16:creationId xmlns:a16="http://schemas.microsoft.com/office/drawing/2014/main" id="{00000000-0008-0000-0000-000088010000}"/>
            </a:ext>
          </a:extLst>
        </xdr:cNvPr>
        <xdr:cNvSpPr>
          <a:spLocks noChangeShapeType="1"/>
        </xdr:cNvSpPr>
      </xdr:nvSpPr>
      <xdr:spPr bwMode="auto">
        <a:xfrm flipH="1">
          <a:off x="16392525" y="17735550"/>
          <a:ext cx="133350"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49</xdr:col>
      <xdr:colOff>104775</xdr:colOff>
      <xdr:row>5</xdr:row>
      <xdr:rowOff>104775</xdr:rowOff>
    </xdr:from>
    <xdr:to>
      <xdr:col>49</xdr:col>
      <xdr:colOff>647700</xdr:colOff>
      <xdr:row>5</xdr:row>
      <xdr:rowOff>104775</xdr:rowOff>
    </xdr:to>
    <xdr:sp macro="" textlink="">
      <xdr:nvSpPr>
        <xdr:cNvPr id="393" name="Line 435">
          <a:extLst>
            <a:ext uri="{FF2B5EF4-FFF2-40B4-BE49-F238E27FC236}">
              <a16:creationId xmlns:a16="http://schemas.microsoft.com/office/drawing/2014/main" id="{00000000-0008-0000-0000-000089010000}"/>
            </a:ext>
          </a:extLst>
        </xdr:cNvPr>
        <xdr:cNvSpPr>
          <a:spLocks noChangeShapeType="1"/>
        </xdr:cNvSpPr>
      </xdr:nvSpPr>
      <xdr:spPr bwMode="auto">
        <a:xfrm flipH="1">
          <a:off x="37318950" y="838200"/>
          <a:ext cx="542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329</xdr:row>
      <xdr:rowOff>85725</xdr:rowOff>
    </xdr:from>
    <xdr:to>
      <xdr:col>47</xdr:col>
      <xdr:colOff>95250</xdr:colOff>
      <xdr:row>329</xdr:row>
      <xdr:rowOff>85725</xdr:rowOff>
    </xdr:to>
    <xdr:sp macro="" textlink="">
      <xdr:nvSpPr>
        <xdr:cNvPr id="394" name="Line 436">
          <a:extLst>
            <a:ext uri="{FF2B5EF4-FFF2-40B4-BE49-F238E27FC236}">
              <a16:creationId xmlns:a16="http://schemas.microsoft.com/office/drawing/2014/main" id="{00000000-0008-0000-0000-00008A010000}"/>
            </a:ext>
          </a:extLst>
        </xdr:cNvPr>
        <xdr:cNvSpPr>
          <a:spLocks noChangeShapeType="1"/>
        </xdr:cNvSpPr>
      </xdr:nvSpPr>
      <xdr:spPr bwMode="auto">
        <a:xfrm>
          <a:off x="18802350" y="63436500"/>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328</xdr:row>
      <xdr:rowOff>85725</xdr:rowOff>
    </xdr:from>
    <xdr:to>
      <xdr:col>47</xdr:col>
      <xdr:colOff>95250</xdr:colOff>
      <xdr:row>328</xdr:row>
      <xdr:rowOff>85725</xdr:rowOff>
    </xdr:to>
    <xdr:sp macro="" textlink="">
      <xdr:nvSpPr>
        <xdr:cNvPr id="395" name="Line 437">
          <a:extLst>
            <a:ext uri="{FF2B5EF4-FFF2-40B4-BE49-F238E27FC236}">
              <a16:creationId xmlns:a16="http://schemas.microsoft.com/office/drawing/2014/main" id="{00000000-0008-0000-0000-00008B010000}"/>
            </a:ext>
          </a:extLst>
        </xdr:cNvPr>
        <xdr:cNvSpPr>
          <a:spLocks noChangeShapeType="1"/>
        </xdr:cNvSpPr>
      </xdr:nvSpPr>
      <xdr:spPr bwMode="auto">
        <a:xfrm>
          <a:off x="18802350" y="63246000"/>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320</xdr:row>
      <xdr:rowOff>85725</xdr:rowOff>
    </xdr:from>
    <xdr:to>
      <xdr:col>47</xdr:col>
      <xdr:colOff>95250</xdr:colOff>
      <xdr:row>320</xdr:row>
      <xdr:rowOff>85725</xdr:rowOff>
    </xdr:to>
    <xdr:sp macro="" textlink="">
      <xdr:nvSpPr>
        <xdr:cNvPr id="396" name="Line 438">
          <a:extLst>
            <a:ext uri="{FF2B5EF4-FFF2-40B4-BE49-F238E27FC236}">
              <a16:creationId xmlns:a16="http://schemas.microsoft.com/office/drawing/2014/main" id="{00000000-0008-0000-0000-00008C010000}"/>
            </a:ext>
          </a:extLst>
        </xdr:cNvPr>
        <xdr:cNvSpPr>
          <a:spLocks noChangeShapeType="1"/>
        </xdr:cNvSpPr>
      </xdr:nvSpPr>
      <xdr:spPr bwMode="auto">
        <a:xfrm>
          <a:off x="18802350" y="61722000"/>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321</xdr:row>
      <xdr:rowOff>85725</xdr:rowOff>
    </xdr:from>
    <xdr:to>
      <xdr:col>47</xdr:col>
      <xdr:colOff>95250</xdr:colOff>
      <xdr:row>321</xdr:row>
      <xdr:rowOff>85725</xdr:rowOff>
    </xdr:to>
    <xdr:sp macro="" textlink="">
      <xdr:nvSpPr>
        <xdr:cNvPr id="397" name="Line 439">
          <a:extLst>
            <a:ext uri="{FF2B5EF4-FFF2-40B4-BE49-F238E27FC236}">
              <a16:creationId xmlns:a16="http://schemas.microsoft.com/office/drawing/2014/main" id="{00000000-0008-0000-0000-00008D010000}"/>
            </a:ext>
          </a:extLst>
        </xdr:cNvPr>
        <xdr:cNvSpPr>
          <a:spLocks noChangeShapeType="1"/>
        </xdr:cNvSpPr>
      </xdr:nvSpPr>
      <xdr:spPr bwMode="auto">
        <a:xfrm>
          <a:off x="18802350" y="61912500"/>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322</xdr:row>
      <xdr:rowOff>114300</xdr:rowOff>
    </xdr:from>
    <xdr:to>
      <xdr:col>47</xdr:col>
      <xdr:colOff>95250</xdr:colOff>
      <xdr:row>322</xdr:row>
      <xdr:rowOff>114300</xdr:rowOff>
    </xdr:to>
    <xdr:sp macro="" textlink="">
      <xdr:nvSpPr>
        <xdr:cNvPr id="398" name="Line 440">
          <a:extLst>
            <a:ext uri="{FF2B5EF4-FFF2-40B4-BE49-F238E27FC236}">
              <a16:creationId xmlns:a16="http://schemas.microsoft.com/office/drawing/2014/main" id="{00000000-0008-0000-0000-00008E010000}"/>
            </a:ext>
          </a:extLst>
        </xdr:cNvPr>
        <xdr:cNvSpPr>
          <a:spLocks noChangeShapeType="1"/>
        </xdr:cNvSpPr>
      </xdr:nvSpPr>
      <xdr:spPr bwMode="auto">
        <a:xfrm>
          <a:off x="18802350" y="62131575"/>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9525</xdr:colOff>
      <xdr:row>323</xdr:row>
      <xdr:rowOff>114300</xdr:rowOff>
    </xdr:from>
    <xdr:to>
      <xdr:col>47</xdr:col>
      <xdr:colOff>95250</xdr:colOff>
      <xdr:row>323</xdr:row>
      <xdr:rowOff>114300</xdr:rowOff>
    </xdr:to>
    <xdr:sp macro="" textlink="">
      <xdr:nvSpPr>
        <xdr:cNvPr id="399" name="Line 441">
          <a:extLst>
            <a:ext uri="{FF2B5EF4-FFF2-40B4-BE49-F238E27FC236}">
              <a16:creationId xmlns:a16="http://schemas.microsoft.com/office/drawing/2014/main" id="{00000000-0008-0000-0000-00008F010000}"/>
            </a:ext>
          </a:extLst>
        </xdr:cNvPr>
        <xdr:cNvSpPr>
          <a:spLocks noChangeShapeType="1"/>
        </xdr:cNvSpPr>
      </xdr:nvSpPr>
      <xdr:spPr bwMode="auto">
        <a:xfrm>
          <a:off x="18802350" y="62322075"/>
          <a:ext cx="15887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37</xdr:col>
      <xdr:colOff>723900</xdr:colOff>
      <xdr:row>15</xdr:row>
      <xdr:rowOff>180975</xdr:rowOff>
    </xdr:from>
    <xdr:to>
      <xdr:col>39</xdr:col>
      <xdr:colOff>133350</xdr:colOff>
      <xdr:row>15</xdr:row>
      <xdr:rowOff>180975</xdr:rowOff>
    </xdr:to>
    <xdr:sp macro="" textlink="">
      <xdr:nvSpPr>
        <xdr:cNvPr id="400" name="Line 445">
          <a:extLst>
            <a:ext uri="{FF2B5EF4-FFF2-40B4-BE49-F238E27FC236}">
              <a16:creationId xmlns:a16="http://schemas.microsoft.com/office/drawing/2014/main" id="{00000000-0008-0000-0000-000090010000}"/>
            </a:ext>
          </a:extLst>
        </xdr:cNvPr>
        <xdr:cNvSpPr>
          <a:spLocks noChangeShapeType="1"/>
        </xdr:cNvSpPr>
      </xdr:nvSpPr>
      <xdr:spPr bwMode="auto">
        <a:xfrm>
          <a:off x="27793950" y="2781300"/>
          <a:ext cx="914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161925</xdr:colOff>
      <xdr:row>24</xdr:row>
      <xdr:rowOff>85725</xdr:rowOff>
    </xdr:from>
    <xdr:to>
      <xdr:col>14</xdr:col>
      <xdr:colOff>828675</xdr:colOff>
      <xdr:row>24</xdr:row>
      <xdr:rowOff>85725</xdr:rowOff>
    </xdr:to>
    <xdr:sp macro="" textlink="">
      <xdr:nvSpPr>
        <xdr:cNvPr id="401" name="Line 448">
          <a:extLst>
            <a:ext uri="{FF2B5EF4-FFF2-40B4-BE49-F238E27FC236}">
              <a16:creationId xmlns:a16="http://schemas.microsoft.com/office/drawing/2014/main" id="{00000000-0008-0000-0000-000091010000}"/>
            </a:ext>
          </a:extLst>
        </xdr:cNvPr>
        <xdr:cNvSpPr>
          <a:spLocks noChangeShapeType="1"/>
        </xdr:cNvSpPr>
      </xdr:nvSpPr>
      <xdr:spPr bwMode="auto">
        <a:xfrm>
          <a:off x="9324975" y="4457700"/>
          <a:ext cx="666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161925</xdr:colOff>
      <xdr:row>28</xdr:row>
      <xdr:rowOff>85725</xdr:rowOff>
    </xdr:from>
    <xdr:to>
      <xdr:col>14</xdr:col>
      <xdr:colOff>828675</xdr:colOff>
      <xdr:row>28</xdr:row>
      <xdr:rowOff>85725</xdr:rowOff>
    </xdr:to>
    <xdr:sp macro="" textlink="">
      <xdr:nvSpPr>
        <xdr:cNvPr id="402" name="Line 449">
          <a:extLst>
            <a:ext uri="{FF2B5EF4-FFF2-40B4-BE49-F238E27FC236}">
              <a16:creationId xmlns:a16="http://schemas.microsoft.com/office/drawing/2014/main" id="{00000000-0008-0000-0000-000092010000}"/>
            </a:ext>
          </a:extLst>
        </xdr:cNvPr>
        <xdr:cNvSpPr>
          <a:spLocks noChangeShapeType="1"/>
        </xdr:cNvSpPr>
      </xdr:nvSpPr>
      <xdr:spPr bwMode="auto">
        <a:xfrm>
          <a:off x="9324975" y="5238750"/>
          <a:ext cx="666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123825</xdr:colOff>
      <xdr:row>101</xdr:row>
      <xdr:rowOff>85725</xdr:rowOff>
    </xdr:from>
    <xdr:to>
      <xdr:col>14</xdr:col>
      <xdr:colOff>819150</xdr:colOff>
      <xdr:row>101</xdr:row>
      <xdr:rowOff>85725</xdr:rowOff>
    </xdr:to>
    <xdr:sp macro="" textlink="">
      <xdr:nvSpPr>
        <xdr:cNvPr id="403" name="Line 450">
          <a:extLst>
            <a:ext uri="{FF2B5EF4-FFF2-40B4-BE49-F238E27FC236}">
              <a16:creationId xmlns:a16="http://schemas.microsoft.com/office/drawing/2014/main" id="{00000000-0008-0000-0000-000093010000}"/>
            </a:ext>
          </a:extLst>
        </xdr:cNvPr>
        <xdr:cNvSpPr>
          <a:spLocks noChangeShapeType="1"/>
        </xdr:cNvSpPr>
      </xdr:nvSpPr>
      <xdr:spPr bwMode="auto">
        <a:xfrm>
          <a:off x="9286875" y="19507200"/>
          <a:ext cx="695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95250</xdr:colOff>
      <xdr:row>364</xdr:row>
      <xdr:rowOff>123825</xdr:rowOff>
    </xdr:from>
    <xdr:to>
      <xdr:col>15</xdr:col>
      <xdr:colOff>790575</xdr:colOff>
      <xdr:row>364</xdr:row>
      <xdr:rowOff>123825</xdr:rowOff>
    </xdr:to>
    <xdr:sp macro="" textlink="">
      <xdr:nvSpPr>
        <xdr:cNvPr id="404" name="Line 451">
          <a:extLst>
            <a:ext uri="{FF2B5EF4-FFF2-40B4-BE49-F238E27FC236}">
              <a16:creationId xmlns:a16="http://schemas.microsoft.com/office/drawing/2014/main" id="{00000000-0008-0000-0000-000094010000}"/>
            </a:ext>
          </a:extLst>
        </xdr:cNvPr>
        <xdr:cNvSpPr>
          <a:spLocks noChangeShapeType="1"/>
        </xdr:cNvSpPr>
      </xdr:nvSpPr>
      <xdr:spPr bwMode="auto">
        <a:xfrm>
          <a:off x="10096500" y="70208775"/>
          <a:ext cx="695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95250</xdr:colOff>
      <xdr:row>138</xdr:row>
      <xdr:rowOff>104775</xdr:rowOff>
    </xdr:from>
    <xdr:to>
      <xdr:col>14</xdr:col>
      <xdr:colOff>790575</xdr:colOff>
      <xdr:row>138</xdr:row>
      <xdr:rowOff>104775</xdr:rowOff>
    </xdr:to>
    <xdr:sp macro="" textlink="">
      <xdr:nvSpPr>
        <xdr:cNvPr id="405" name="Line 452">
          <a:extLst>
            <a:ext uri="{FF2B5EF4-FFF2-40B4-BE49-F238E27FC236}">
              <a16:creationId xmlns:a16="http://schemas.microsoft.com/office/drawing/2014/main" id="{00000000-0008-0000-0000-000095010000}"/>
            </a:ext>
          </a:extLst>
        </xdr:cNvPr>
        <xdr:cNvSpPr>
          <a:spLocks noChangeShapeType="1"/>
        </xdr:cNvSpPr>
      </xdr:nvSpPr>
      <xdr:spPr bwMode="auto">
        <a:xfrm>
          <a:off x="9258300" y="26746200"/>
          <a:ext cx="695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104775</xdr:colOff>
      <xdr:row>259</xdr:row>
      <xdr:rowOff>95250</xdr:rowOff>
    </xdr:from>
    <xdr:to>
      <xdr:col>15</xdr:col>
      <xdr:colOff>9525</xdr:colOff>
      <xdr:row>259</xdr:row>
      <xdr:rowOff>95250</xdr:rowOff>
    </xdr:to>
    <xdr:sp macro="" textlink="">
      <xdr:nvSpPr>
        <xdr:cNvPr id="406" name="Line 453">
          <a:extLst>
            <a:ext uri="{FF2B5EF4-FFF2-40B4-BE49-F238E27FC236}">
              <a16:creationId xmlns:a16="http://schemas.microsoft.com/office/drawing/2014/main" id="{00000000-0008-0000-0000-000096010000}"/>
            </a:ext>
          </a:extLst>
        </xdr:cNvPr>
        <xdr:cNvSpPr>
          <a:spLocks noChangeShapeType="1"/>
        </xdr:cNvSpPr>
      </xdr:nvSpPr>
      <xdr:spPr bwMode="auto">
        <a:xfrm>
          <a:off x="9267825" y="50063400"/>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104775</xdr:colOff>
      <xdr:row>242</xdr:row>
      <xdr:rowOff>95250</xdr:rowOff>
    </xdr:from>
    <xdr:to>
      <xdr:col>15</xdr:col>
      <xdr:colOff>9525</xdr:colOff>
      <xdr:row>242</xdr:row>
      <xdr:rowOff>95250</xdr:rowOff>
    </xdr:to>
    <xdr:sp macro="" textlink="">
      <xdr:nvSpPr>
        <xdr:cNvPr id="407" name="Line 454">
          <a:extLst>
            <a:ext uri="{FF2B5EF4-FFF2-40B4-BE49-F238E27FC236}">
              <a16:creationId xmlns:a16="http://schemas.microsoft.com/office/drawing/2014/main" id="{00000000-0008-0000-0000-000097010000}"/>
            </a:ext>
          </a:extLst>
        </xdr:cNvPr>
        <xdr:cNvSpPr>
          <a:spLocks noChangeShapeType="1"/>
        </xdr:cNvSpPr>
      </xdr:nvSpPr>
      <xdr:spPr bwMode="auto">
        <a:xfrm>
          <a:off x="9267825" y="46777275"/>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323850</xdr:colOff>
      <xdr:row>94</xdr:row>
      <xdr:rowOff>85725</xdr:rowOff>
    </xdr:from>
    <xdr:to>
      <xdr:col>14</xdr:col>
      <xdr:colOff>752475</xdr:colOff>
      <xdr:row>94</xdr:row>
      <xdr:rowOff>85725</xdr:rowOff>
    </xdr:to>
    <xdr:sp macro="" textlink="">
      <xdr:nvSpPr>
        <xdr:cNvPr id="408" name="Line 461">
          <a:extLst>
            <a:ext uri="{FF2B5EF4-FFF2-40B4-BE49-F238E27FC236}">
              <a16:creationId xmlns:a16="http://schemas.microsoft.com/office/drawing/2014/main" id="{00000000-0008-0000-0000-000098010000}"/>
            </a:ext>
          </a:extLst>
        </xdr:cNvPr>
        <xdr:cNvSpPr>
          <a:spLocks noChangeShapeType="1"/>
        </xdr:cNvSpPr>
      </xdr:nvSpPr>
      <xdr:spPr bwMode="auto">
        <a:xfrm flipH="1">
          <a:off x="9486900" y="18154650"/>
          <a:ext cx="4286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14</xdr:col>
      <xdr:colOff>666750</xdr:colOff>
      <xdr:row>90</xdr:row>
      <xdr:rowOff>85725</xdr:rowOff>
    </xdr:from>
    <xdr:to>
      <xdr:col>15</xdr:col>
      <xdr:colOff>95250</xdr:colOff>
      <xdr:row>91</xdr:row>
      <xdr:rowOff>0</xdr:rowOff>
    </xdr:to>
    <xdr:sp macro="" textlink="">
      <xdr:nvSpPr>
        <xdr:cNvPr id="409" name="Tegning 462">
          <a:extLst>
            <a:ext uri="{FF2B5EF4-FFF2-40B4-BE49-F238E27FC236}">
              <a16:creationId xmlns:a16="http://schemas.microsoft.com/office/drawing/2014/main" id="{00000000-0008-0000-0000-000099010000}"/>
            </a:ext>
          </a:extLst>
        </xdr:cNvPr>
        <xdr:cNvSpPr>
          <a:spLocks/>
        </xdr:cNvSpPr>
      </xdr:nvSpPr>
      <xdr:spPr bwMode="auto">
        <a:xfrm>
          <a:off x="9829800" y="17354550"/>
          <a:ext cx="266700" cy="11430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68</xdr:col>
      <xdr:colOff>200025</xdr:colOff>
      <xdr:row>47</xdr:row>
      <xdr:rowOff>28575</xdr:rowOff>
    </xdr:from>
    <xdr:to>
      <xdr:col>70</xdr:col>
      <xdr:colOff>752475</xdr:colOff>
      <xdr:row>53</xdr:row>
      <xdr:rowOff>47625</xdr:rowOff>
    </xdr:to>
    <xdr:sp macro="" textlink="">
      <xdr:nvSpPr>
        <xdr:cNvPr id="410" name="Line 473">
          <a:extLst>
            <a:ext uri="{FF2B5EF4-FFF2-40B4-BE49-F238E27FC236}">
              <a16:creationId xmlns:a16="http://schemas.microsoft.com/office/drawing/2014/main" id="{00000000-0008-0000-0000-00009A010000}"/>
            </a:ext>
          </a:extLst>
        </xdr:cNvPr>
        <xdr:cNvSpPr>
          <a:spLocks noChangeShapeType="1"/>
        </xdr:cNvSpPr>
      </xdr:nvSpPr>
      <xdr:spPr bwMode="auto">
        <a:xfrm flipV="1">
          <a:off x="53940075" y="8896350"/>
          <a:ext cx="2228850" cy="1190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68</xdr:col>
      <xdr:colOff>190500</xdr:colOff>
      <xdr:row>46</xdr:row>
      <xdr:rowOff>161925</xdr:rowOff>
    </xdr:from>
    <xdr:to>
      <xdr:col>70</xdr:col>
      <xdr:colOff>781050</xdr:colOff>
      <xdr:row>54</xdr:row>
      <xdr:rowOff>9525</xdr:rowOff>
    </xdr:to>
    <xdr:sp macro="" textlink="">
      <xdr:nvSpPr>
        <xdr:cNvPr id="411" name="Line 474">
          <a:extLst>
            <a:ext uri="{FF2B5EF4-FFF2-40B4-BE49-F238E27FC236}">
              <a16:creationId xmlns:a16="http://schemas.microsoft.com/office/drawing/2014/main" id="{00000000-0008-0000-0000-00009B010000}"/>
            </a:ext>
          </a:extLst>
        </xdr:cNvPr>
        <xdr:cNvSpPr>
          <a:spLocks noChangeShapeType="1"/>
        </xdr:cNvSpPr>
      </xdr:nvSpPr>
      <xdr:spPr bwMode="auto">
        <a:xfrm>
          <a:off x="53930550" y="8829675"/>
          <a:ext cx="2266950" cy="1409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68</xdr:col>
      <xdr:colOff>171450</xdr:colOff>
      <xdr:row>57</xdr:row>
      <xdr:rowOff>171450</xdr:rowOff>
    </xdr:from>
    <xdr:to>
      <xdr:col>70</xdr:col>
      <xdr:colOff>38100</xdr:colOff>
      <xdr:row>62</xdr:row>
      <xdr:rowOff>76200</xdr:rowOff>
    </xdr:to>
    <xdr:sp macro="" textlink="">
      <xdr:nvSpPr>
        <xdr:cNvPr id="412" name="Line 475">
          <a:extLst>
            <a:ext uri="{FF2B5EF4-FFF2-40B4-BE49-F238E27FC236}">
              <a16:creationId xmlns:a16="http://schemas.microsoft.com/office/drawing/2014/main" id="{00000000-0008-0000-0000-00009C010000}"/>
            </a:ext>
          </a:extLst>
        </xdr:cNvPr>
        <xdr:cNvSpPr>
          <a:spLocks noChangeShapeType="1"/>
        </xdr:cNvSpPr>
      </xdr:nvSpPr>
      <xdr:spPr bwMode="auto">
        <a:xfrm>
          <a:off x="53911500" y="10982325"/>
          <a:ext cx="1543050" cy="876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68</xdr:col>
      <xdr:colOff>228600</xdr:colOff>
      <xdr:row>57</xdr:row>
      <xdr:rowOff>209550</xdr:rowOff>
    </xdr:from>
    <xdr:to>
      <xdr:col>70</xdr:col>
      <xdr:colOff>57150</xdr:colOff>
      <xdr:row>62</xdr:row>
      <xdr:rowOff>66675</xdr:rowOff>
    </xdr:to>
    <xdr:sp macro="" textlink="">
      <xdr:nvSpPr>
        <xdr:cNvPr id="413" name="Line 476">
          <a:extLst>
            <a:ext uri="{FF2B5EF4-FFF2-40B4-BE49-F238E27FC236}">
              <a16:creationId xmlns:a16="http://schemas.microsoft.com/office/drawing/2014/main" id="{00000000-0008-0000-0000-00009D010000}"/>
            </a:ext>
          </a:extLst>
        </xdr:cNvPr>
        <xdr:cNvSpPr>
          <a:spLocks noChangeShapeType="1"/>
        </xdr:cNvSpPr>
      </xdr:nvSpPr>
      <xdr:spPr bwMode="auto">
        <a:xfrm flipH="1">
          <a:off x="53968650" y="11001375"/>
          <a:ext cx="1504950" cy="847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58</xdr:col>
      <xdr:colOff>828675</xdr:colOff>
      <xdr:row>86</xdr:row>
      <xdr:rowOff>190500</xdr:rowOff>
    </xdr:from>
    <xdr:to>
      <xdr:col>69</xdr:col>
      <xdr:colOff>581025</xdr:colOff>
      <xdr:row>86</xdr:row>
      <xdr:rowOff>190500</xdr:rowOff>
    </xdr:to>
    <xdr:sp macro="" textlink="">
      <xdr:nvSpPr>
        <xdr:cNvPr id="414" name="Line 477">
          <a:extLst>
            <a:ext uri="{FF2B5EF4-FFF2-40B4-BE49-F238E27FC236}">
              <a16:creationId xmlns:a16="http://schemas.microsoft.com/office/drawing/2014/main" id="{00000000-0008-0000-0000-00009E010000}"/>
            </a:ext>
          </a:extLst>
        </xdr:cNvPr>
        <xdr:cNvSpPr>
          <a:spLocks noChangeShapeType="1"/>
        </xdr:cNvSpPr>
      </xdr:nvSpPr>
      <xdr:spPr bwMode="auto">
        <a:xfrm>
          <a:off x="45586650" y="16678275"/>
          <a:ext cx="957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133350</xdr:colOff>
      <xdr:row>46</xdr:row>
      <xdr:rowOff>142875</xdr:rowOff>
    </xdr:from>
    <xdr:to>
      <xdr:col>57</xdr:col>
      <xdr:colOff>609600</xdr:colOff>
      <xdr:row>74</xdr:row>
      <xdr:rowOff>161925</xdr:rowOff>
    </xdr:to>
    <xdr:sp macro="" textlink="">
      <xdr:nvSpPr>
        <xdr:cNvPr id="415" name="Line 478">
          <a:extLst>
            <a:ext uri="{FF2B5EF4-FFF2-40B4-BE49-F238E27FC236}">
              <a16:creationId xmlns:a16="http://schemas.microsoft.com/office/drawing/2014/main" id="{00000000-0008-0000-0000-00009F010000}"/>
            </a:ext>
          </a:extLst>
        </xdr:cNvPr>
        <xdr:cNvSpPr>
          <a:spLocks noChangeShapeType="1"/>
        </xdr:cNvSpPr>
      </xdr:nvSpPr>
      <xdr:spPr bwMode="auto">
        <a:xfrm flipV="1">
          <a:off x="34728150" y="8810625"/>
          <a:ext cx="9801225" cy="5495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19050</xdr:colOff>
      <xdr:row>47</xdr:row>
      <xdr:rowOff>142875</xdr:rowOff>
    </xdr:from>
    <xdr:to>
      <xdr:col>57</xdr:col>
      <xdr:colOff>828675</xdr:colOff>
      <xdr:row>77</xdr:row>
      <xdr:rowOff>114300</xdr:rowOff>
    </xdr:to>
    <xdr:sp macro="" textlink="">
      <xdr:nvSpPr>
        <xdr:cNvPr id="416" name="Line 479">
          <a:extLst>
            <a:ext uri="{FF2B5EF4-FFF2-40B4-BE49-F238E27FC236}">
              <a16:creationId xmlns:a16="http://schemas.microsoft.com/office/drawing/2014/main" id="{00000000-0008-0000-0000-0000A0010000}"/>
            </a:ext>
          </a:extLst>
        </xdr:cNvPr>
        <xdr:cNvSpPr>
          <a:spLocks noChangeShapeType="1"/>
        </xdr:cNvSpPr>
      </xdr:nvSpPr>
      <xdr:spPr bwMode="auto">
        <a:xfrm>
          <a:off x="34613850" y="9010650"/>
          <a:ext cx="10134600" cy="5838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19050</xdr:colOff>
      <xdr:row>39</xdr:row>
      <xdr:rowOff>142875</xdr:rowOff>
    </xdr:from>
    <xdr:to>
      <xdr:col>56</xdr:col>
      <xdr:colOff>419100</xdr:colOff>
      <xdr:row>44</xdr:row>
      <xdr:rowOff>66675</xdr:rowOff>
    </xdr:to>
    <xdr:sp macro="" textlink="">
      <xdr:nvSpPr>
        <xdr:cNvPr id="417" name="Line 480">
          <a:extLst>
            <a:ext uri="{FF2B5EF4-FFF2-40B4-BE49-F238E27FC236}">
              <a16:creationId xmlns:a16="http://schemas.microsoft.com/office/drawing/2014/main" id="{00000000-0008-0000-0000-0000A1010000}"/>
            </a:ext>
          </a:extLst>
        </xdr:cNvPr>
        <xdr:cNvSpPr>
          <a:spLocks noChangeShapeType="1"/>
        </xdr:cNvSpPr>
      </xdr:nvSpPr>
      <xdr:spPr bwMode="auto">
        <a:xfrm>
          <a:off x="34613850" y="7429500"/>
          <a:ext cx="8886825" cy="914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57150</xdr:colOff>
      <xdr:row>40</xdr:row>
      <xdr:rowOff>47625</xdr:rowOff>
    </xdr:from>
    <xdr:to>
      <xdr:col>56</xdr:col>
      <xdr:colOff>276225</xdr:colOff>
      <xdr:row>44</xdr:row>
      <xdr:rowOff>76200</xdr:rowOff>
    </xdr:to>
    <xdr:sp macro="" textlink="">
      <xdr:nvSpPr>
        <xdr:cNvPr id="418" name="Line 481">
          <a:extLst>
            <a:ext uri="{FF2B5EF4-FFF2-40B4-BE49-F238E27FC236}">
              <a16:creationId xmlns:a16="http://schemas.microsoft.com/office/drawing/2014/main" id="{00000000-0008-0000-0000-0000A2010000}"/>
            </a:ext>
          </a:extLst>
        </xdr:cNvPr>
        <xdr:cNvSpPr>
          <a:spLocks noChangeShapeType="1"/>
        </xdr:cNvSpPr>
      </xdr:nvSpPr>
      <xdr:spPr bwMode="auto">
        <a:xfrm flipV="1">
          <a:off x="34651950" y="7534275"/>
          <a:ext cx="8705850" cy="819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9525</xdr:colOff>
      <xdr:row>119</xdr:row>
      <xdr:rowOff>0</xdr:rowOff>
    </xdr:from>
    <xdr:to>
      <xdr:col>30</xdr:col>
      <xdr:colOff>9525</xdr:colOff>
      <xdr:row>120</xdr:row>
      <xdr:rowOff>152400</xdr:rowOff>
    </xdr:to>
    <xdr:sp macro="" textlink="">
      <xdr:nvSpPr>
        <xdr:cNvPr id="419" name="Line 485">
          <a:extLst>
            <a:ext uri="{FF2B5EF4-FFF2-40B4-BE49-F238E27FC236}">
              <a16:creationId xmlns:a16="http://schemas.microsoft.com/office/drawing/2014/main" id="{00000000-0008-0000-0000-0000A3010000}"/>
            </a:ext>
          </a:extLst>
        </xdr:cNvPr>
        <xdr:cNvSpPr>
          <a:spLocks noChangeShapeType="1"/>
        </xdr:cNvSpPr>
      </xdr:nvSpPr>
      <xdr:spPr bwMode="auto">
        <a:xfrm flipV="1">
          <a:off x="21812250" y="22917150"/>
          <a:ext cx="0" cy="3429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119</xdr:row>
      <xdr:rowOff>28575</xdr:rowOff>
    </xdr:from>
    <xdr:to>
      <xdr:col>31</xdr:col>
      <xdr:colOff>9525</xdr:colOff>
      <xdr:row>120</xdr:row>
      <xdr:rowOff>152400</xdr:rowOff>
    </xdr:to>
    <xdr:sp macro="" textlink="">
      <xdr:nvSpPr>
        <xdr:cNvPr id="420" name="Line 486">
          <a:extLst>
            <a:ext uri="{FF2B5EF4-FFF2-40B4-BE49-F238E27FC236}">
              <a16:creationId xmlns:a16="http://schemas.microsoft.com/office/drawing/2014/main" id="{00000000-0008-0000-0000-0000A4010000}"/>
            </a:ext>
          </a:extLst>
        </xdr:cNvPr>
        <xdr:cNvSpPr>
          <a:spLocks noChangeShapeType="1"/>
        </xdr:cNvSpPr>
      </xdr:nvSpPr>
      <xdr:spPr bwMode="auto">
        <a:xfrm flipV="1">
          <a:off x="22564725" y="22945725"/>
          <a:ext cx="0" cy="31432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29</xdr:col>
      <xdr:colOff>542925</xdr:colOff>
      <xdr:row>122</xdr:row>
      <xdr:rowOff>0</xdr:rowOff>
    </xdr:from>
    <xdr:to>
      <xdr:col>31</xdr:col>
      <xdr:colOff>276225</xdr:colOff>
      <xdr:row>122</xdr:row>
      <xdr:rowOff>9525</xdr:rowOff>
    </xdr:to>
    <xdr:sp macro="" textlink="">
      <xdr:nvSpPr>
        <xdr:cNvPr id="421" name="Line 487">
          <a:extLst>
            <a:ext uri="{FF2B5EF4-FFF2-40B4-BE49-F238E27FC236}">
              <a16:creationId xmlns:a16="http://schemas.microsoft.com/office/drawing/2014/main" id="{00000000-0008-0000-0000-0000A5010000}"/>
            </a:ext>
          </a:extLst>
        </xdr:cNvPr>
        <xdr:cNvSpPr>
          <a:spLocks noChangeShapeType="1"/>
        </xdr:cNvSpPr>
      </xdr:nvSpPr>
      <xdr:spPr bwMode="auto">
        <a:xfrm>
          <a:off x="21593175" y="23488650"/>
          <a:ext cx="1238250"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657225</xdr:colOff>
      <xdr:row>119</xdr:row>
      <xdr:rowOff>28575</xdr:rowOff>
    </xdr:from>
    <xdr:to>
      <xdr:col>29</xdr:col>
      <xdr:colOff>657225</xdr:colOff>
      <xdr:row>123</xdr:row>
      <xdr:rowOff>152400</xdr:rowOff>
    </xdr:to>
    <xdr:sp macro="" textlink="">
      <xdr:nvSpPr>
        <xdr:cNvPr id="422" name="Line 488">
          <a:extLst>
            <a:ext uri="{FF2B5EF4-FFF2-40B4-BE49-F238E27FC236}">
              <a16:creationId xmlns:a16="http://schemas.microsoft.com/office/drawing/2014/main" id="{00000000-0008-0000-0000-0000A6010000}"/>
            </a:ext>
          </a:extLst>
        </xdr:cNvPr>
        <xdr:cNvSpPr>
          <a:spLocks noChangeShapeType="1"/>
        </xdr:cNvSpPr>
      </xdr:nvSpPr>
      <xdr:spPr bwMode="auto">
        <a:xfrm>
          <a:off x="21707475" y="22945725"/>
          <a:ext cx="0" cy="895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714375</xdr:colOff>
      <xdr:row>121</xdr:row>
      <xdr:rowOff>133350</xdr:rowOff>
    </xdr:from>
    <xdr:to>
      <xdr:col>30</xdr:col>
      <xdr:colOff>57150</xdr:colOff>
      <xdr:row>122</xdr:row>
      <xdr:rowOff>57150</xdr:rowOff>
    </xdr:to>
    <xdr:sp macro="" textlink="">
      <xdr:nvSpPr>
        <xdr:cNvPr id="423" name="Line 489">
          <a:extLst>
            <a:ext uri="{FF2B5EF4-FFF2-40B4-BE49-F238E27FC236}">
              <a16:creationId xmlns:a16="http://schemas.microsoft.com/office/drawing/2014/main" id="{00000000-0008-0000-0000-0000A7010000}"/>
            </a:ext>
          </a:extLst>
        </xdr:cNvPr>
        <xdr:cNvSpPr>
          <a:spLocks noChangeShapeType="1"/>
        </xdr:cNvSpPr>
      </xdr:nvSpPr>
      <xdr:spPr bwMode="auto">
        <a:xfrm flipH="1">
          <a:off x="21764625" y="2343150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647700</xdr:colOff>
      <xdr:row>117</xdr:row>
      <xdr:rowOff>85725</xdr:rowOff>
    </xdr:from>
    <xdr:to>
      <xdr:col>30</xdr:col>
      <xdr:colOff>685800</xdr:colOff>
      <xdr:row>119</xdr:row>
      <xdr:rowOff>0</xdr:rowOff>
    </xdr:to>
    <xdr:sp macro="" textlink="">
      <xdr:nvSpPr>
        <xdr:cNvPr id="424" name="Tegning 490">
          <a:extLst>
            <a:ext uri="{FF2B5EF4-FFF2-40B4-BE49-F238E27FC236}">
              <a16:creationId xmlns:a16="http://schemas.microsoft.com/office/drawing/2014/main" id="{00000000-0008-0000-0000-0000A8010000}"/>
            </a:ext>
          </a:extLst>
        </xdr:cNvPr>
        <xdr:cNvSpPr>
          <a:spLocks/>
        </xdr:cNvSpPr>
      </xdr:nvSpPr>
      <xdr:spPr bwMode="auto">
        <a:xfrm>
          <a:off x="21697950" y="22621875"/>
          <a:ext cx="790575" cy="29527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5214"/>
              </a:moveTo>
              <a:lnTo>
                <a:pt x="0" y="0"/>
              </a:ln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152400</xdr:colOff>
      <xdr:row>119</xdr:row>
      <xdr:rowOff>66675</xdr:rowOff>
    </xdr:from>
    <xdr:to>
      <xdr:col>31</xdr:col>
      <xdr:colOff>152400</xdr:colOff>
      <xdr:row>122</xdr:row>
      <xdr:rowOff>9525</xdr:rowOff>
    </xdr:to>
    <xdr:sp macro="" textlink="">
      <xdr:nvSpPr>
        <xdr:cNvPr id="425" name="Line 491">
          <a:extLst>
            <a:ext uri="{FF2B5EF4-FFF2-40B4-BE49-F238E27FC236}">
              <a16:creationId xmlns:a16="http://schemas.microsoft.com/office/drawing/2014/main" id="{00000000-0008-0000-0000-0000A9010000}"/>
            </a:ext>
          </a:extLst>
        </xdr:cNvPr>
        <xdr:cNvSpPr>
          <a:spLocks noChangeShapeType="1"/>
        </xdr:cNvSpPr>
      </xdr:nvSpPr>
      <xdr:spPr bwMode="auto">
        <a:xfrm>
          <a:off x="22707600" y="22983825"/>
          <a:ext cx="0" cy="514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685800</xdr:colOff>
      <xdr:row>116</xdr:row>
      <xdr:rowOff>152400</xdr:rowOff>
    </xdr:from>
    <xdr:to>
      <xdr:col>30</xdr:col>
      <xdr:colOff>685800</xdr:colOff>
      <xdr:row>119</xdr:row>
      <xdr:rowOff>19050</xdr:rowOff>
    </xdr:to>
    <xdr:sp macro="" textlink="">
      <xdr:nvSpPr>
        <xdr:cNvPr id="426" name="Line 492">
          <a:extLst>
            <a:ext uri="{FF2B5EF4-FFF2-40B4-BE49-F238E27FC236}">
              <a16:creationId xmlns:a16="http://schemas.microsoft.com/office/drawing/2014/main" id="{00000000-0008-0000-0000-0000AA010000}"/>
            </a:ext>
          </a:extLst>
        </xdr:cNvPr>
        <xdr:cNvSpPr>
          <a:spLocks noChangeShapeType="1"/>
        </xdr:cNvSpPr>
      </xdr:nvSpPr>
      <xdr:spPr bwMode="auto">
        <a:xfrm>
          <a:off x="22488525" y="22488525"/>
          <a:ext cx="0" cy="4476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29</xdr:col>
      <xdr:colOff>619125</xdr:colOff>
      <xdr:row>116</xdr:row>
      <xdr:rowOff>152400</xdr:rowOff>
    </xdr:from>
    <xdr:to>
      <xdr:col>31</xdr:col>
      <xdr:colOff>342900</xdr:colOff>
      <xdr:row>116</xdr:row>
      <xdr:rowOff>152400</xdr:rowOff>
    </xdr:to>
    <xdr:sp macro="" textlink="">
      <xdr:nvSpPr>
        <xdr:cNvPr id="427" name="Line 493">
          <a:extLst>
            <a:ext uri="{FF2B5EF4-FFF2-40B4-BE49-F238E27FC236}">
              <a16:creationId xmlns:a16="http://schemas.microsoft.com/office/drawing/2014/main" id="{00000000-0008-0000-0000-0000AB010000}"/>
            </a:ext>
          </a:extLst>
        </xdr:cNvPr>
        <xdr:cNvSpPr>
          <a:spLocks noChangeShapeType="1"/>
        </xdr:cNvSpPr>
      </xdr:nvSpPr>
      <xdr:spPr bwMode="auto">
        <a:xfrm flipH="1">
          <a:off x="21669375" y="22488525"/>
          <a:ext cx="1228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485775</xdr:colOff>
      <xdr:row>115</xdr:row>
      <xdr:rowOff>190500</xdr:rowOff>
    </xdr:from>
    <xdr:to>
      <xdr:col>29</xdr:col>
      <xdr:colOff>485775</xdr:colOff>
      <xdr:row>119</xdr:row>
      <xdr:rowOff>9525</xdr:rowOff>
    </xdr:to>
    <xdr:sp macro="" textlink="">
      <xdr:nvSpPr>
        <xdr:cNvPr id="428" name="Line 494">
          <a:extLst>
            <a:ext uri="{FF2B5EF4-FFF2-40B4-BE49-F238E27FC236}">
              <a16:creationId xmlns:a16="http://schemas.microsoft.com/office/drawing/2014/main" id="{00000000-0008-0000-0000-0000AC010000}"/>
            </a:ext>
          </a:extLst>
        </xdr:cNvPr>
        <xdr:cNvSpPr>
          <a:spLocks noChangeShapeType="1"/>
        </xdr:cNvSpPr>
      </xdr:nvSpPr>
      <xdr:spPr bwMode="auto">
        <a:xfrm>
          <a:off x="21536025" y="22336125"/>
          <a:ext cx="0" cy="590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409575</xdr:colOff>
      <xdr:row>118</xdr:row>
      <xdr:rowOff>180975</xdr:rowOff>
    </xdr:from>
    <xdr:to>
      <xdr:col>29</xdr:col>
      <xdr:colOff>600075</xdr:colOff>
      <xdr:row>118</xdr:row>
      <xdr:rowOff>180975</xdr:rowOff>
    </xdr:to>
    <xdr:sp macro="" textlink="">
      <xdr:nvSpPr>
        <xdr:cNvPr id="429" name="Line 495">
          <a:extLst>
            <a:ext uri="{FF2B5EF4-FFF2-40B4-BE49-F238E27FC236}">
              <a16:creationId xmlns:a16="http://schemas.microsoft.com/office/drawing/2014/main" id="{00000000-0008-0000-0000-0000AD010000}"/>
            </a:ext>
          </a:extLst>
        </xdr:cNvPr>
        <xdr:cNvSpPr>
          <a:spLocks noChangeShapeType="1"/>
        </xdr:cNvSpPr>
      </xdr:nvSpPr>
      <xdr:spPr bwMode="auto">
        <a:xfrm>
          <a:off x="21459825" y="22907625"/>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419100</xdr:colOff>
      <xdr:row>117</xdr:row>
      <xdr:rowOff>47625</xdr:rowOff>
    </xdr:from>
    <xdr:to>
      <xdr:col>29</xdr:col>
      <xdr:colOff>533400</xdr:colOff>
      <xdr:row>117</xdr:row>
      <xdr:rowOff>142875</xdr:rowOff>
    </xdr:to>
    <xdr:sp macro="" textlink="">
      <xdr:nvSpPr>
        <xdr:cNvPr id="430" name="Line 496">
          <a:extLst>
            <a:ext uri="{FF2B5EF4-FFF2-40B4-BE49-F238E27FC236}">
              <a16:creationId xmlns:a16="http://schemas.microsoft.com/office/drawing/2014/main" id="{00000000-0008-0000-0000-0000AE010000}"/>
            </a:ext>
          </a:extLst>
        </xdr:cNvPr>
        <xdr:cNvSpPr>
          <a:spLocks noChangeShapeType="1"/>
        </xdr:cNvSpPr>
      </xdr:nvSpPr>
      <xdr:spPr bwMode="auto">
        <a:xfrm flipH="1">
          <a:off x="21469350" y="225837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419100</xdr:colOff>
      <xdr:row>118</xdr:row>
      <xdr:rowOff>123825</xdr:rowOff>
    </xdr:from>
    <xdr:to>
      <xdr:col>29</xdr:col>
      <xdr:colOff>542925</xdr:colOff>
      <xdr:row>119</xdr:row>
      <xdr:rowOff>38100</xdr:rowOff>
    </xdr:to>
    <xdr:sp macro="" textlink="">
      <xdr:nvSpPr>
        <xdr:cNvPr id="431" name="Line 497">
          <a:extLst>
            <a:ext uri="{FF2B5EF4-FFF2-40B4-BE49-F238E27FC236}">
              <a16:creationId xmlns:a16="http://schemas.microsoft.com/office/drawing/2014/main" id="{00000000-0008-0000-0000-0000AF010000}"/>
            </a:ext>
          </a:extLst>
        </xdr:cNvPr>
        <xdr:cNvSpPr>
          <a:spLocks noChangeShapeType="1"/>
        </xdr:cNvSpPr>
      </xdr:nvSpPr>
      <xdr:spPr bwMode="auto">
        <a:xfrm flipH="1">
          <a:off x="21469350" y="22850475"/>
          <a:ext cx="1238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200025</xdr:colOff>
      <xdr:row>113</xdr:row>
      <xdr:rowOff>142875</xdr:rowOff>
    </xdr:from>
    <xdr:to>
      <xdr:col>30</xdr:col>
      <xdr:colOff>666750</xdr:colOff>
      <xdr:row>114</xdr:row>
      <xdr:rowOff>142875</xdr:rowOff>
    </xdr:to>
    <xdr:sp macro="" textlink="">
      <xdr:nvSpPr>
        <xdr:cNvPr id="432" name="Line 499">
          <a:extLst>
            <a:ext uri="{FF2B5EF4-FFF2-40B4-BE49-F238E27FC236}">
              <a16:creationId xmlns:a16="http://schemas.microsoft.com/office/drawing/2014/main" id="{00000000-0008-0000-0000-0000B0010000}"/>
            </a:ext>
          </a:extLst>
        </xdr:cNvPr>
        <xdr:cNvSpPr>
          <a:spLocks noChangeShapeType="1"/>
        </xdr:cNvSpPr>
      </xdr:nvSpPr>
      <xdr:spPr bwMode="auto">
        <a:xfrm>
          <a:off x="22002750" y="21897975"/>
          <a:ext cx="466725"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119</xdr:row>
      <xdr:rowOff>114300</xdr:rowOff>
    </xdr:from>
    <xdr:to>
      <xdr:col>31</xdr:col>
      <xdr:colOff>381000</xdr:colOff>
      <xdr:row>120</xdr:row>
      <xdr:rowOff>47625</xdr:rowOff>
    </xdr:to>
    <xdr:sp macro="" textlink="">
      <xdr:nvSpPr>
        <xdr:cNvPr id="433" name="Line 500">
          <a:extLst>
            <a:ext uri="{FF2B5EF4-FFF2-40B4-BE49-F238E27FC236}">
              <a16:creationId xmlns:a16="http://schemas.microsoft.com/office/drawing/2014/main" id="{00000000-0008-0000-0000-0000B1010000}"/>
            </a:ext>
          </a:extLst>
        </xdr:cNvPr>
        <xdr:cNvSpPr>
          <a:spLocks noChangeShapeType="1"/>
        </xdr:cNvSpPr>
      </xdr:nvSpPr>
      <xdr:spPr bwMode="auto">
        <a:xfrm flipH="1">
          <a:off x="22564725" y="23031450"/>
          <a:ext cx="3714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723900</xdr:colOff>
      <xdr:row>121</xdr:row>
      <xdr:rowOff>142875</xdr:rowOff>
    </xdr:from>
    <xdr:to>
      <xdr:col>31</xdr:col>
      <xdr:colOff>66675</xdr:colOff>
      <xdr:row>122</xdr:row>
      <xdr:rowOff>66675</xdr:rowOff>
    </xdr:to>
    <xdr:sp macro="" textlink="">
      <xdr:nvSpPr>
        <xdr:cNvPr id="434" name="Line 501">
          <a:extLst>
            <a:ext uri="{FF2B5EF4-FFF2-40B4-BE49-F238E27FC236}">
              <a16:creationId xmlns:a16="http://schemas.microsoft.com/office/drawing/2014/main" id="{00000000-0008-0000-0000-0000B2010000}"/>
            </a:ext>
          </a:extLst>
        </xdr:cNvPr>
        <xdr:cNvSpPr>
          <a:spLocks noChangeShapeType="1"/>
        </xdr:cNvSpPr>
      </xdr:nvSpPr>
      <xdr:spPr bwMode="auto">
        <a:xfrm flipH="1">
          <a:off x="22526625" y="2344102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121</xdr:row>
      <xdr:rowOff>0</xdr:rowOff>
    </xdr:from>
    <xdr:to>
      <xdr:col>31</xdr:col>
      <xdr:colOff>9525</xdr:colOff>
      <xdr:row>122</xdr:row>
      <xdr:rowOff>47625</xdr:rowOff>
    </xdr:to>
    <xdr:sp macro="" textlink="">
      <xdr:nvSpPr>
        <xdr:cNvPr id="435" name="Line 502">
          <a:extLst>
            <a:ext uri="{FF2B5EF4-FFF2-40B4-BE49-F238E27FC236}">
              <a16:creationId xmlns:a16="http://schemas.microsoft.com/office/drawing/2014/main" id="{00000000-0008-0000-0000-0000B3010000}"/>
            </a:ext>
          </a:extLst>
        </xdr:cNvPr>
        <xdr:cNvSpPr>
          <a:spLocks noChangeShapeType="1"/>
        </xdr:cNvSpPr>
      </xdr:nvSpPr>
      <xdr:spPr bwMode="auto">
        <a:xfrm>
          <a:off x="22564725" y="23298150"/>
          <a:ext cx="0"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9525</xdr:colOff>
      <xdr:row>121</xdr:row>
      <xdr:rowOff>9525</xdr:rowOff>
    </xdr:from>
    <xdr:to>
      <xdr:col>30</xdr:col>
      <xdr:colOff>9525</xdr:colOff>
      <xdr:row>122</xdr:row>
      <xdr:rowOff>66675</xdr:rowOff>
    </xdr:to>
    <xdr:sp macro="" textlink="">
      <xdr:nvSpPr>
        <xdr:cNvPr id="436" name="Line 503">
          <a:extLst>
            <a:ext uri="{FF2B5EF4-FFF2-40B4-BE49-F238E27FC236}">
              <a16:creationId xmlns:a16="http://schemas.microsoft.com/office/drawing/2014/main" id="{00000000-0008-0000-0000-0000B4010000}"/>
            </a:ext>
          </a:extLst>
        </xdr:cNvPr>
        <xdr:cNvSpPr>
          <a:spLocks noChangeShapeType="1"/>
        </xdr:cNvSpPr>
      </xdr:nvSpPr>
      <xdr:spPr bwMode="auto">
        <a:xfrm>
          <a:off x="21812250" y="23307675"/>
          <a:ext cx="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9525</xdr:colOff>
      <xdr:row>144</xdr:row>
      <xdr:rowOff>9525</xdr:rowOff>
    </xdr:from>
    <xdr:to>
      <xdr:col>30</xdr:col>
      <xdr:colOff>9525</xdr:colOff>
      <xdr:row>146</xdr:row>
      <xdr:rowOff>0</xdr:rowOff>
    </xdr:to>
    <xdr:sp macro="" textlink="">
      <xdr:nvSpPr>
        <xdr:cNvPr id="437" name="Line 504">
          <a:extLst>
            <a:ext uri="{FF2B5EF4-FFF2-40B4-BE49-F238E27FC236}">
              <a16:creationId xmlns:a16="http://schemas.microsoft.com/office/drawing/2014/main" id="{00000000-0008-0000-0000-0000B5010000}"/>
            </a:ext>
          </a:extLst>
        </xdr:cNvPr>
        <xdr:cNvSpPr>
          <a:spLocks noChangeShapeType="1"/>
        </xdr:cNvSpPr>
      </xdr:nvSpPr>
      <xdr:spPr bwMode="auto">
        <a:xfrm flipV="1">
          <a:off x="21812250" y="27822525"/>
          <a:ext cx="0" cy="39052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144</xdr:row>
      <xdr:rowOff>0</xdr:rowOff>
    </xdr:from>
    <xdr:to>
      <xdr:col>31</xdr:col>
      <xdr:colOff>9525</xdr:colOff>
      <xdr:row>146</xdr:row>
      <xdr:rowOff>0</xdr:rowOff>
    </xdr:to>
    <xdr:sp macro="" textlink="">
      <xdr:nvSpPr>
        <xdr:cNvPr id="438" name="Line 505">
          <a:extLst>
            <a:ext uri="{FF2B5EF4-FFF2-40B4-BE49-F238E27FC236}">
              <a16:creationId xmlns:a16="http://schemas.microsoft.com/office/drawing/2014/main" id="{00000000-0008-0000-0000-0000B6010000}"/>
            </a:ext>
          </a:extLst>
        </xdr:cNvPr>
        <xdr:cNvSpPr>
          <a:spLocks noChangeShapeType="1"/>
        </xdr:cNvSpPr>
      </xdr:nvSpPr>
      <xdr:spPr bwMode="auto">
        <a:xfrm flipV="1">
          <a:off x="22564725" y="27813000"/>
          <a:ext cx="0" cy="4000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29</xdr:col>
      <xdr:colOff>590550</xdr:colOff>
      <xdr:row>146</xdr:row>
      <xdr:rowOff>161925</xdr:rowOff>
    </xdr:from>
    <xdr:to>
      <xdr:col>31</xdr:col>
      <xdr:colOff>333375</xdr:colOff>
      <xdr:row>146</xdr:row>
      <xdr:rowOff>161925</xdr:rowOff>
    </xdr:to>
    <xdr:sp macro="" textlink="">
      <xdr:nvSpPr>
        <xdr:cNvPr id="439" name="Line 506">
          <a:extLst>
            <a:ext uri="{FF2B5EF4-FFF2-40B4-BE49-F238E27FC236}">
              <a16:creationId xmlns:a16="http://schemas.microsoft.com/office/drawing/2014/main" id="{00000000-0008-0000-0000-0000B7010000}"/>
            </a:ext>
          </a:extLst>
        </xdr:cNvPr>
        <xdr:cNvSpPr>
          <a:spLocks noChangeShapeType="1"/>
        </xdr:cNvSpPr>
      </xdr:nvSpPr>
      <xdr:spPr bwMode="auto">
        <a:xfrm>
          <a:off x="21640800" y="28374975"/>
          <a:ext cx="1247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666750</xdr:colOff>
      <xdr:row>144</xdr:row>
      <xdr:rowOff>114300</xdr:rowOff>
    </xdr:from>
    <xdr:to>
      <xdr:col>29</xdr:col>
      <xdr:colOff>666750</xdr:colOff>
      <xdr:row>147</xdr:row>
      <xdr:rowOff>76200</xdr:rowOff>
    </xdr:to>
    <xdr:sp macro="" textlink="">
      <xdr:nvSpPr>
        <xdr:cNvPr id="440" name="Line 507">
          <a:extLst>
            <a:ext uri="{FF2B5EF4-FFF2-40B4-BE49-F238E27FC236}">
              <a16:creationId xmlns:a16="http://schemas.microsoft.com/office/drawing/2014/main" id="{00000000-0008-0000-0000-0000B8010000}"/>
            </a:ext>
          </a:extLst>
        </xdr:cNvPr>
        <xdr:cNvSpPr>
          <a:spLocks noChangeShapeType="1"/>
        </xdr:cNvSpPr>
      </xdr:nvSpPr>
      <xdr:spPr bwMode="auto">
        <a:xfrm>
          <a:off x="21717000" y="27927300"/>
          <a:ext cx="0" cy="561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714375</xdr:colOff>
      <xdr:row>146</xdr:row>
      <xdr:rowOff>114300</xdr:rowOff>
    </xdr:from>
    <xdr:to>
      <xdr:col>30</xdr:col>
      <xdr:colOff>57150</xdr:colOff>
      <xdr:row>147</xdr:row>
      <xdr:rowOff>47625</xdr:rowOff>
    </xdr:to>
    <xdr:sp macro="" textlink="">
      <xdr:nvSpPr>
        <xdr:cNvPr id="441" name="Line 508">
          <a:extLst>
            <a:ext uri="{FF2B5EF4-FFF2-40B4-BE49-F238E27FC236}">
              <a16:creationId xmlns:a16="http://schemas.microsoft.com/office/drawing/2014/main" id="{00000000-0008-0000-0000-0000B9010000}"/>
            </a:ext>
          </a:extLst>
        </xdr:cNvPr>
        <xdr:cNvSpPr>
          <a:spLocks noChangeShapeType="1"/>
        </xdr:cNvSpPr>
      </xdr:nvSpPr>
      <xdr:spPr bwMode="auto">
        <a:xfrm flipH="1">
          <a:off x="21764625" y="28327350"/>
          <a:ext cx="9525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647700</xdr:colOff>
      <xdr:row>142</xdr:row>
      <xdr:rowOff>123825</xdr:rowOff>
    </xdr:from>
    <xdr:to>
      <xdr:col>30</xdr:col>
      <xdr:colOff>695325</xdr:colOff>
      <xdr:row>144</xdr:row>
      <xdr:rowOff>28575</xdr:rowOff>
    </xdr:to>
    <xdr:sp macro="" textlink="">
      <xdr:nvSpPr>
        <xdr:cNvPr id="442" name="Tegning 509">
          <a:extLst>
            <a:ext uri="{FF2B5EF4-FFF2-40B4-BE49-F238E27FC236}">
              <a16:creationId xmlns:a16="http://schemas.microsoft.com/office/drawing/2014/main" id="{00000000-0008-0000-0000-0000BA010000}"/>
            </a:ext>
          </a:extLst>
        </xdr:cNvPr>
        <xdr:cNvSpPr>
          <a:spLocks/>
        </xdr:cNvSpPr>
      </xdr:nvSpPr>
      <xdr:spPr bwMode="auto">
        <a:xfrm>
          <a:off x="21697950" y="27536775"/>
          <a:ext cx="800100" cy="30480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5214"/>
              </a:moveTo>
              <a:lnTo>
                <a:pt x="0" y="0"/>
              </a:ln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152400</xdr:colOff>
      <xdr:row>144</xdr:row>
      <xdr:rowOff>76200</xdr:rowOff>
    </xdr:from>
    <xdr:to>
      <xdr:col>31</xdr:col>
      <xdr:colOff>152400</xdr:colOff>
      <xdr:row>147</xdr:row>
      <xdr:rowOff>38100</xdr:rowOff>
    </xdr:to>
    <xdr:sp macro="" textlink="">
      <xdr:nvSpPr>
        <xdr:cNvPr id="443" name="Line 510">
          <a:extLst>
            <a:ext uri="{FF2B5EF4-FFF2-40B4-BE49-F238E27FC236}">
              <a16:creationId xmlns:a16="http://schemas.microsoft.com/office/drawing/2014/main" id="{00000000-0008-0000-0000-0000BB010000}"/>
            </a:ext>
          </a:extLst>
        </xdr:cNvPr>
        <xdr:cNvSpPr>
          <a:spLocks noChangeShapeType="1"/>
        </xdr:cNvSpPr>
      </xdr:nvSpPr>
      <xdr:spPr bwMode="auto">
        <a:xfrm>
          <a:off x="22707600" y="27889200"/>
          <a:ext cx="0" cy="561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695325</xdr:colOff>
      <xdr:row>141</xdr:row>
      <xdr:rowOff>76200</xdr:rowOff>
    </xdr:from>
    <xdr:to>
      <xdr:col>30</xdr:col>
      <xdr:colOff>695325</xdr:colOff>
      <xdr:row>143</xdr:row>
      <xdr:rowOff>190500</xdr:rowOff>
    </xdr:to>
    <xdr:sp macro="" textlink="">
      <xdr:nvSpPr>
        <xdr:cNvPr id="444" name="Line 511">
          <a:extLst>
            <a:ext uri="{FF2B5EF4-FFF2-40B4-BE49-F238E27FC236}">
              <a16:creationId xmlns:a16="http://schemas.microsoft.com/office/drawing/2014/main" id="{00000000-0008-0000-0000-0000BC010000}"/>
            </a:ext>
          </a:extLst>
        </xdr:cNvPr>
        <xdr:cNvSpPr>
          <a:spLocks noChangeShapeType="1"/>
        </xdr:cNvSpPr>
      </xdr:nvSpPr>
      <xdr:spPr bwMode="auto">
        <a:xfrm>
          <a:off x="22498050" y="27298650"/>
          <a:ext cx="0" cy="50482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31</xdr:col>
      <xdr:colOff>152400</xdr:colOff>
      <xdr:row>141</xdr:row>
      <xdr:rowOff>95250</xdr:rowOff>
    </xdr:from>
    <xdr:to>
      <xdr:col>31</xdr:col>
      <xdr:colOff>152400</xdr:colOff>
      <xdr:row>143</xdr:row>
      <xdr:rowOff>152400</xdr:rowOff>
    </xdr:to>
    <xdr:sp macro="" textlink="">
      <xdr:nvSpPr>
        <xdr:cNvPr id="445" name="Line 512">
          <a:extLst>
            <a:ext uri="{FF2B5EF4-FFF2-40B4-BE49-F238E27FC236}">
              <a16:creationId xmlns:a16="http://schemas.microsoft.com/office/drawing/2014/main" id="{00000000-0008-0000-0000-0000BD010000}"/>
            </a:ext>
          </a:extLst>
        </xdr:cNvPr>
        <xdr:cNvSpPr>
          <a:spLocks noChangeShapeType="1"/>
        </xdr:cNvSpPr>
      </xdr:nvSpPr>
      <xdr:spPr bwMode="auto">
        <a:xfrm flipV="1">
          <a:off x="22707600" y="27317700"/>
          <a:ext cx="0" cy="447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581025</xdr:colOff>
      <xdr:row>142</xdr:row>
      <xdr:rowOff>0</xdr:rowOff>
    </xdr:from>
    <xdr:to>
      <xdr:col>31</xdr:col>
      <xdr:colOff>342900</xdr:colOff>
      <xdr:row>142</xdr:row>
      <xdr:rowOff>0</xdr:rowOff>
    </xdr:to>
    <xdr:sp macro="" textlink="">
      <xdr:nvSpPr>
        <xdr:cNvPr id="446" name="Line 513">
          <a:extLst>
            <a:ext uri="{FF2B5EF4-FFF2-40B4-BE49-F238E27FC236}">
              <a16:creationId xmlns:a16="http://schemas.microsoft.com/office/drawing/2014/main" id="{00000000-0008-0000-0000-0000BE010000}"/>
            </a:ext>
          </a:extLst>
        </xdr:cNvPr>
        <xdr:cNvSpPr>
          <a:spLocks noChangeShapeType="1"/>
        </xdr:cNvSpPr>
      </xdr:nvSpPr>
      <xdr:spPr bwMode="auto">
        <a:xfrm flipH="1">
          <a:off x="21631275" y="27412950"/>
          <a:ext cx="1266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666750</xdr:colOff>
      <xdr:row>148</xdr:row>
      <xdr:rowOff>114300</xdr:rowOff>
    </xdr:from>
    <xdr:to>
      <xdr:col>31</xdr:col>
      <xdr:colOff>9525</xdr:colOff>
      <xdr:row>148</xdr:row>
      <xdr:rowOff>114300</xdr:rowOff>
    </xdr:to>
    <xdr:sp macro="" textlink="">
      <xdr:nvSpPr>
        <xdr:cNvPr id="447" name="Line 514">
          <a:extLst>
            <a:ext uri="{FF2B5EF4-FFF2-40B4-BE49-F238E27FC236}">
              <a16:creationId xmlns:a16="http://schemas.microsoft.com/office/drawing/2014/main" id="{00000000-0008-0000-0000-0000BF010000}"/>
            </a:ext>
          </a:extLst>
        </xdr:cNvPr>
        <xdr:cNvSpPr>
          <a:spLocks noChangeShapeType="1"/>
        </xdr:cNvSpPr>
      </xdr:nvSpPr>
      <xdr:spPr bwMode="auto">
        <a:xfrm>
          <a:off x="21717000" y="28727400"/>
          <a:ext cx="847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485775</xdr:colOff>
      <xdr:row>141</xdr:row>
      <xdr:rowOff>0</xdr:rowOff>
    </xdr:from>
    <xdr:to>
      <xdr:col>29</xdr:col>
      <xdr:colOff>485775</xdr:colOff>
      <xdr:row>144</xdr:row>
      <xdr:rowOff>38100</xdr:rowOff>
    </xdr:to>
    <xdr:sp macro="" textlink="">
      <xdr:nvSpPr>
        <xdr:cNvPr id="448" name="Line 515">
          <a:extLst>
            <a:ext uri="{FF2B5EF4-FFF2-40B4-BE49-F238E27FC236}">
              <a16:creationId xmlns:a16="http://schemas.microsoft.com/office/drawing/2014/main" id="{00000000-0008-0000-0000-0000C0010000}"/>
            </a:ext>
          </a:extLst>
        </xdr:cNvPr>
        <xdr:cNvSpPr>
          <a:spLocks noChangeShapeType="1"/>
        </xdr:cNvSpPr>
      </xdr:nvSpPr>
      <xdr:spPr bwMode="auto">
        <a:xfrm>
          <a:off x="21536025" y="27222450"/>
          <a:ext cx="0" cy="628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400050</xdr:colOff>
      <xdr:row>144</xdr:row>
      <xdr:rowOff>9525</xdr:rowOff>
    </xdr:from>
    <xdr:to>
      <xdr:col>29</xdr:col>
      <xdr:colOff>590550</xdr:colOff>
      <xdr:row>144</xdr:row>
      <xdr:rowOff>9525</xdr:rowOff>
    </xdr:to>
    <xdr:sp macro="" textlink="">
      <xdr:nvSpPr>
        <xdr:cNvPr id="449" name="Line 516">
          <a:extLst>
            <a:ext uri="{FF2B5EF4-FFF2-40B4-BE49-F238E27FC236}">
              <a16:creationId xmlns:a16="http://schemas.microsoft.com/office/drawing/2014/main" id="{00000000-0008-0000-0000-0000C1010000}"/>
            </a:ext>
          </a:extLst>
        </xdr:cNvPr>
        <xdr:cNvSpPr>
          <a:spLocks noChangeShapeType="1"/>
        </xdr:cNvSpPr>
      </xdr:nvSpPr>
      <xdr:spPr bwMode="auto">
        <a:xfrm>
          <a:off x="21450300" y="27822525"/>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419100</xdr:colOff>
      <xdr:row>142</xdr:row>
      <xdr:rowOff>66675</xdr:rowOff>
    </xdr:from>
    <xdr:to>
      <xdr:col>29</xdr:col>
      <xdr:colOff>552450</xdr:colOff>
      <xdr:row>142</xdr:row>
      <xdr:rowOff>190500</xdr:rowOff>
    </xdr:to>
    <xdr:sp macro="" textlink="">
      <xdr:nvSpPr>
        <xdr:cNvPr id="450" name="Line 517">
          <a:extLst>
            <a:ext uri="{FF2B5EF4-FFF2-40B4-BE49-F238E27FC236}">
              <a16:creationId xmlns:a16="http://schemas.microsoft.com/office/drawing/2014/main" id="{00000000-0008-0000-0000-0000C2010000}"/>
            </a:ext>
          </a:extLst>
        </xdr:cNvPr>
        <xdr:cNvSpPr>
          <a:spLocks noChangeShapeType="1"/>
        </xdr:cNvSpPr>
      </xdr:nvSpPr>
      <xdr:spPr bwMode="auto">
        <a:xfrm flipH="1">
          <a:off x="21469350" y="27479625"/>
          <a:ext cx="1333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419100</xdr:colOff>
      <xdr:row>143</xdr:row>
      <xdr:rowOff>133350</xdr:rowOff>
    </xdr:from>
    <xdr:to>
      <xdr:col>29</xdr:col>
      <xdr:colOff>552450</xdr:colOff>
      <xdr:row>144</xdr:row>
      <xdr:rowOff>66675</xdr:rowOff>
    </xdr:to>
    <xdr:sp macro="" textlink="">
      <xdr:nvSpPr>
        <xdr:cNvPr id="451" name="Line 518">
          <a:extLst>
            <a:ext uri="{FF2B5EF4-FFF2-40B4-BE49-F238E27FC236}">
              <a16:creationId xmlns:a16="http://schemas.microsoft.com/office/drawing/2014/main" id="{00000000-0008-0000-0000-0000C3010000}"/>
            </a:ext>
          </a:extLst>
        </xdr:cNvPr>
        <xdr:cNvSpPr>
          <a:spLocks noChangeShapeType="1"/>
        </xdr:cNvSpPr>
      </xdr:nvSpPr>
      <xdr:spPr bwMode="auto">
        <a:xfrm flipH="1">
          <a:off x="21469350" y="27746325"/>
          <a:ext cx="13335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695325</xdr:colOff>
      <xdr:row>135</xdr:row>
      <xdr:rowOff>152400</xdr:rowOff>
    </xdr:from>
    <xdr:to>
      <xdr:col>30</xdr:col>
      <xdr:colOff>695325</xdr:colOff>
      <xdr:row>152</xdr:row>
      <xdr:rowOff>133350</xdr:rowOff>
    </xdr:to>
    <xdr:sp macro="" textlink="">
      <xdr:nvSpPr>
        <xdr:cNvPr id="452" name="Line 519">
          <a:extLst>
            <a:ext uri="{FF2B5EF4-FFF2-40B4-BE49-F238E27FC236}">
              <a16:creationId xmlns:a16="http://schemas.microsoft.com/office/drawing/2014/main" id="{00000000-0008-0000-0000-0000C4010000}"/>
            </a:ext>
          </a:extLst>
        </xdr:cNvPr>
        <xdr:cNvSpPr>
          <a:spLocks noChangeShapeType="1"/>
        </xdr:cNvSpPr>
      </xdr:nvSpPr>
      <xdr:spPr bwMode="auto">
        <a:xfrm flipV="1">
          <a:off x="22498050" y="26193750"/>
          <a:ext cx="0" cy="3324225"/>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200025</xdr:colOff>
      <xdr:row>138</xdr:row>
      <xdr:rowOff>161925</xdr:rowOff>
    </xdr:from>
    <xdr:to>
      <xdr:col>30</xdr:col>
      <xdr:colOff>666750</xdr:colOff>
      <xdr:row>139</xdr:row>
      <xdr:rowOff>171450</xdr:rowOff>
    </xdr:to>
    <xdr:sp macro="" textlink="">
      <xdr:nvSpPr>
        <xdr:cNvPr id="453" name="Line 520">
          <a:extLst>
            <a:ext uri="{FF2B5EF4-FFF2-40B4-BE49-F238E27FC236}">
              <a16:creationId xmlns:a16="http://schemas.microsoft.com/office/drawing/2014/main" id="{00000000-0008-0000-0000-0000C5010000}"/>
            </a:ext>
          </a:extLst>
        </xdr:cNvPr>
        <xdr:cNvSpPr>
          <a:spLocks noChangeShapeType="1"/>
        </xdr:cNvSpPr>
      </xdr:nvSpPr>
      <xdr:spPr bwMode="auto">
        <a:xfrm>
          <a:off x="22002750" y="26803350"/>
          <a:ext cx="466725"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144</xdr:row>
      <xdr:rowOff>161925</xdr:rowOff>
    </xdr:from>
    <xdr:to>
      <xdr:col>31</xdr:col>
      <xdr:colOff>266700</xdr:colOff>
      <xdr:row>145</xdr:row>
      <xdr:rowOff>76200</xdr:rowOff>
    </xdr:to>
    <xdr:sp macro="" textlink="">
      <xdr:nvSpPr>
        <xdr:cNvPr id="454" name="Line 521">
          <a:extLst>
            <a:ext uri="{FF2B5EF4-FFF2-40B4-BE49-F238E27FC236}">
              <a16:creationId xmlns:a16="http://schemas.microsoft.com/office/drawing/2014/main" id="{00000000-0008-0000-0000-0000C6010000}"/>
            </a:ext>
          </a:extLst>
        </xdr:cNvPr>
        <xdr:cNvSpPr>
          <a:spLocks noChangeShapeType="1"/>
        </xdr:cNvSpPr>
      </xdr:nvSpPr>
      <xdr:spPr bwMode="auto">
        <a:xfrm flipH="1">
          <a:off x="22564725" y="27974925"/>
          <a:ext cx="2571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704850</xdr:colOff>
      <xdr:row>146</xdr:row>
      <xdr:rowOff>114300</xdr:rowOff>
    </xdr:from>
    <xdr:to>
      <xdr:col>31</xdr:col>
      <xdr:colOff>47625</xdr:colOff>
      <xdr:row>147</xdr:row>
      <xdr:rowOff>28575</xdr:rowOff>
    </xdr:to>
    <xdr:sp macro="" textlink="">
      <xdr:nvSpPr>
        <xdr:cNvPr id="455" name="Line 522">
          <a:extLst>
            <a:ext uri="{FF2B5EF4-FFF2-40B4-BE49-F238E27FC236}">
              <a16:creationId xmlns:a16="http://schemas.microsoft.com/office/drawing/2014/main" id="{00000000-0008-0000-0000-0000C7010000}"/>
            </a:ext>
          </a:extLst>
        </xdr:cNvPr>
        <xdr:cNvSpPr>
          <a:spLocks noChangeShapeType="1"/>
        </xdr:cNvSpPr>
      </xdr:nvSpPr>
      <xdr:spPr bwMode="auto">
        <a:xfrm flipH="1">
          <a:off x="22507575" y="2832735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146</xdr:row>
      <xdr:rowOff>38100</xdr:rowOff>
    </xdr:from>
    <xdr:to>
      <xdr:col>31</xdr:col>
      <xdr:colOff>9525</xdr:colOff>
      <xdr:row>147</xdr:row>
      <xdr:rowOff>76200</xdr:rowOff>
    </xdr:to>
    <xdr:sp macro="" textlink="">
      <xdr:nvSpPr>
        <xdr:cNvPr id="456" name="Line 523">
          <a:extLst>
            <a:ext uri="{FF2B5EF4-FFF2-40B4-BE49-F238E27FC236}">
              <a16:creationId xmlns:a16="http://schemas.microsoft.com/office/drawing/2014/main" id="{00000000-0008-0000-0000-0000C8010000}"/>
            </a:ext>
          </a:extLst>
        </xdr:cNvPr>
        <xdr:cNvSpPr>
          <a:spLocks noChangeShapeType="1"/>
        </xdr:cNvSpPr>
      </xdr:nvSpPr>
      <xdr:spPr bwMode="auto">
        <a:xfrm>
          <a:off x="22564725" y="28251150"/>
          <a:ext cx="0"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9525</xdr:colOff>
      <xdr:row>146</xdr:row>
      <xdr:rowOff>38100</xdr:rowOff>
    </xdr:from>
    <xdr:to>
      <xdr:col>30</xdr:col>
      <xdr:colOff>9525</xdr:colOff>
      <xdr:row>147</xdr:row>
      <xdr:rowOff>76200</xdr:rowOff>
    </xdr:to>
    <xdr:sp macro="" textlink="">
      <xdr:nvSpPr>
        <xdr:cNvPr id="457" name="Line 524">
          <a:extLst>
            <a:ext uri="{FF2B5EF4-FFF2-40B4-BE49-F238E27FC236}">
              <a16:creationId xmlns:a16="http://schemas.microsoft.com/office/drawing/2014/main" id="{00000000-0008-0000-0000-0000C9010000}"/>
            </a:ext>
          </a:extLst>
        </xdr:cNvPr>
        <xdr:cNvSpPr>
          <a:spLocks noChangeShapeType="1"/>
        </xdr:cNvSpPr>
      </xdr:nvSpPr>
      <xdr:spPr bwMode="auto">
        <a:xfrm>
          <a:off x="21812250" y="28251150"/>
          <a:ext cx="0"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514350</xdr:colOff>
      <xdr:row>142</xdr:row>
      <xdr:rowOff>133350</xdr:rowOff>
    </xdr:from>
    <xdr:to>
      <xdr:col>30</xdr:col>
      <xdr:colOff>514350</xdr:colOff>
      <xdr:row>144</xdr:row>
      <xdr:rowOff>9525</xdr:rowOff>
    </xdr:to>
    <xdr:sp macro="" textlink="">
      <xdr:nvSpPr>
        <xdr:cNvPr id="458" name="Line 525">
          <a:extLst>
            <a:ext uri="{FF2B5EF4-FFF2-40B4-BE49-F238E27FC236}">
              <a16:creationId xmlns:a16="http://schemas.microsoft.com/office/drawing/2014/main" id="{00000000-0008-0000-0000-0000CA010000}"/>
            </a:ext>
          </a:extLst>
        </xdr:cNvPr>
        <xdr:cNvSpPr>
          <a:spLocks noChangeShapeType="1"/>
        </xdr:cNvSpPr>
      </xdr:nvSpPr>
      <xdr:spPr bwMode="auto">
        <a:xfrm>
          <a:off x="22317075" y="2754630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190500</xdr:colOff>
      <xdr:row>142</xdr:row>
      <xdr:rowOff>123825</xdr:rowOff>
    </xdr:from>
    <xdr:to>
      <xdr:col>30</xdr:col>
      <xdr:colOff>190500</xdr:colOff>
      <xdr:row>144</xdr:row>
      <xdr:rowOff>9525</xdr:rowOff>
    </xdr:to>
    <xdr:sp macro="" textlink="">
      <xdr:nvSpPr>
        <xdr:cNvPr id="459" name="Line 526">
          <a:extLst>
            <a:ext uri="{FF2B5EF4-FFF2-40B4-BE49-F238E27FC236}">
              <a16:creationId xmlns:a16="http://schemas.microsoft.com/office/drawing/2014/main" id="{00000000-0008-0000-0000-0000CB010000}"/>
            </a:ext>
          </a:extLst>
        </xdr:cNvPr>
        <xdr:cNvSpPr>
          <a:spLocks noChangeShapeType="1"/>
        </xdr:cNvSpPr>
      </xdr:nvSpPr>
      <xdr:spPr bwMode="auto">
        <a:xfrm>
          <a:off x="21993225"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114300</xdr:colOff>
      <xdr:row>142</xdr:row>
      <xdr:rowOff>123825</xdr:rowOff>
    </xdr:from>
    <xdr:to>
      <xdr:col>30</xdr:col>
      <xdr:colOff>114300</xdr:colOff>
      <xdr:row>144</xdr:row>
      <xdr:rowOff>9525</xdr:rowOff>
    </xdr:to>
    <xdr:sp macro="" textlink="">
      <xdr:nvSpPr>
        <xdr:cNvPr id="460" name="Line 527">
          <a:extLst>
            <a:ext uri="{FF2B5EF4-FFF2-40B4-BE49-F238E27FC236}">
              <a16:creationId xmlns:a16="http://schemas.microsoft.com/office/drawing/2014/main" id="{00000000-0008-0000-0000-0000CC010000}"/>
            </a:ext>
          </a:extLst>
        </xdr:cNvPr>
        <xdr:cNvSpPr>
          <a:spLocks noChangeShapeType="1"/>
        </xdr:cNvSpPr>
      </xdr:nvSpPr>
      <xdr:spPr bwMode="auto">
        <a:xfrm>
          <a:off x="21917025"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47625</xdr:colOff>
      <xdr:row>142</xdr:row>
      <xdr:rowOff>123825</xdr:rowOff>
    </xdr:from>
    <xdr:to>
      <xdr:col>30</xdr:col>
      <xdr:colOff>47625</xdr:colOff>
      <xdr:row>144</xdr:row>
      <xdr:rowOff>28575</xdr:rowOff>
    </xdr:to>
    <xdr:sp macro="" textlink="">
      <xdr:nvSpPr>
        <xdr:cNvPr id="461" name="Line 528">
          <a:extLst>
            <a:ext uri="{FF2B5EF4-FFF2-40B4-BE49-F238E27FC236}">
              <a16:creationId xmlns:a16="http://schemas.microsoft.com/office/drawing/2014/main" id="{00000000-0008-0000-0000-0000CD010000}"/>
            </a:ext>
          </a:extLst>
        </xdr:cNvPr>
        <xdr:cNvSpPr>
          <a:spLocks noChangeShapeType="1"/>
        </xdr:cNvSpPr>
      </xdr:nvSpPr>
      <xdr:spPr bwMode="auto">
        <a:xfrm>
          <a:off x="21850350" y="275367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0</xdr:colOff>
      <xdr:row>142</xdr:row>
      <xdr:rowOff>123825</xdr:rowOff>
    </xdr:from>
    <xdr:to>
      <xdr:col>30</xdr:col>
      <xdr:colOff>0</xdr:colOff>
      <xdr:row>144</xdr:row>
      <xdr:rowOff>9525</xdr:rowOff>
    </xdr:to>
    <xdr:sp macro="" textlink="">
      <xdr:nvSpPr>
        <xdr:cNvPr id="462" name="Line 529">
          <a:extLst>
            <a:ext uri="{FF2B5EF4-FFF2-40B4-BE49-F238E27FC236}">
              <a16:creationId xmlns:a16="http://schemas.microsoft.com/office/drawing/2014/main" id="{00000000-0008-0000-0000-0000CE010000}"/>
            </a:ext>
          </a:extLst>
        </xdr:cNvPr>
        <xdr:cNvSpPr>
          <a:spLocks noChangeShapeType="1"/>
        </xdr:cNvSpPr>
      </xdr:nvSpPr>
      <xdr:spPr bwMode="auto">
        <a:xfrm>
          <a:off x="21802725"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704850</xdr:colOff>
      <xdr:row>142</xdr:row>
      <xdr:rowOff>123825</xdr:rowOff>
    </xdr:from>
    <xdr:to>
      <xdr:col>29</xdr:col>
      <xdr:colOff>704850</xdr:colOff>
      <xdr:row>144</xdr:row>
      <xdr:rowOff>9525</xdr:rowOff>
    </xdr:to>
    <xdr:sp macro="" textlink="">
      <xdr:nvSpPr>
        <xdr:cNvPr id="463" name="Line 530">
          <a:extLst>
            <a:ext uri="{FF2B5EF4-FFF2-40B4-BE49-F238E27FC236}">
              <a16:creationId xmlns:a16="http://schemas.microsoft.com/office/drawing/2014/main" id="{00000000-0008-0000-0000-0000CF010000}"/>
            </a:ext>
          </a:extLst>
        </xdr:cNvPr>
        <xdr:cNvSpPr>
          <a:spLocks noChangeShapeType="1"/>
        </xdr:cNvSpPr>
      </xdr:nvSpPr>
      <xdr:spPr bwMode="auto">
        <a:xfrm>
          <a:off x="21755100"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590550</xdr:colOff>
      <xdr:row>142</xdr:row>
      <xdr:rowOff>123825</xdr:rowOff>
    </xdr:from>
    <xdr:to>
      <xdr:col>30</xdr:col>
      <xdr:colOff>590550</xdr:colOff>
      <xdr:row>144</xdr:row>
      <xdr:rowOff>0</xdr:rowOff>
    </xdr:to>
    <xdr:sp macro="" textlink="">
      <xdr:nvSpPr>
        <xdr:cNvPr id="464" name="Line 531">
          <a:extLst>
            <a:ext uri="{FF2B5EF4-FFF2-40B4-BE49-F238E27FC236}">
              <a16:creationId xmlns:a16="http://schemas.microsoft.com/office/drawing/2014/main" id="{00000000-0008-0000-0000-0000D0010000}"/>
            </a:ext>
          </a:extLst>
        </xdr:cNvPr>
        <xdr:cNvSpPr>
          <a:spLocks noChangeShapeType="1"/>
        </xdr:cNvSpPr>
      </xdr:nvSpPr>
      <xdr:spPr bwMode="auto">
        <a:xfrm>
          <a:off x="22393275" y="2753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466725</xdr:colOff>
      <xdr:row>142</xdr:row>
      <xdr:rowOff>133350</xdr:rowOff>
    </xdr:from>
    <xdr:to>
      <xdr:col>30</xdr:col>
      <xdr:colOff>466725</xdr:colOff>
      <xdr:row>144</xdr:row>
      <xdr:rowOff>0</xdr:rowOff>
    </xdr:to>
    <xdr:sp macro="" textlink="">
      <xdr:nvSpPr>
        <xdr:cNvPr id="465" name="Line 532">
          <a:extLst>
            <a:ext uri="{FF2B5EF4-FFF2-40B4-BE49-F238E27FC236}">
              <a16:creationId xmlns:a16="http://schemas.microsoft.com/office/drawing/2014/main" id="{00000000-0008-0000-0000-0000D1010000}"/>
            </a:ext>
          </a:extLst>
        </xdr:cNvPr>
        <xdr:cNvSpPr>
          <a:spLocks noChangeShapeType="1"/>
        </xdr:cNvSpPr>
      </xdr:nvSpPr>
      <xdr:spPr bwMode="auto">
        <a:xfrm>
          <a:off x="22269450" y="27546300"/>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352425</xdr:colOff>
      <xdr:row>142</xdr:row>
      <xdr:rowOff>133350</xdr:rowOff>
    </xdr:from>
    <xdr:to>
      <xdr:col>30</xdr:col>
      <xdr:colOff>352425</xdr:colOff>
      <xdr:row>144</xdr:row>
      <xdr:rowOff>0</xdr:rowOff>
    </xdr:to>
    <xdr:sp macro="" textlink="">
      <xdr:nvSpPr>
        <xdr:cNvPr id="466" name="Line 533">
          <a:extLst>
            <a:ext uri="{FF2B5EF4-FFF2-40B4-BE49-F238E27FC236}">
              <a16:creationId xmlns:a16="http://schemas.microsoft.com/office/drawing/2014/main" id="{00000000-0008-0000-0000-0000D2010000}"/>
            </a:ext>
          </a:extLst>
        </xdr:cNvPr>
        <xdr:cNvSpPr>
          <a:spLocks noChangeShapeType="1"/>
        </xdr:cNvSpPr>
      </xdr:nvSpPr>
      <xdr:spPr bwMode="auto">
        <a:xfrm>
          <a:off x="22155150" y="27546300"/>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257175</xdr:colOff>
      <xdr:row>142</xdr:row>
      <xdr:rowOff>123825</xdr:rowOff>
    </xdr:from>
    <xdr:to>
      <xdr:col>30</xdr:col>
      <xdr:colOff>257175</xdr:colOff>
      <xdr:row>144</xdr:row>
      <xdr:rowOff>9525</xdr:rowOff>
    </xdr:to>
    <xdr:sp macro="" textlink="">
      <xdr:nvSpPr>
        <xdr:cNvPr id="467" name="Line 534">
          <a:extLst>
            <a:ext uri="{FF2B5EF4-FFF2-40B4-BE49-F238E27FC236}">
              <a16:creationId xmlns:a16="http://schemas.microsoft.com/office/drawing/2014/main" id="{00000000-0008-0000-0000-0000D3010000}"/>
            </a:ext>
          </a:extLst>
        </xdr:cNvPr>
        <xdr:cNvSpPr>
          <a:spLocks noChangeShapeType="1"/>
        </xdr:cNvSpPr>
      </xdr:nvSpPr>
      <xdr:spPr bwMode="auto">
        <a:xfrm>
          <a:off x="22059900"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304800</xdr:colOff>
      <xdr:row>142</xdr:row>
      <xdr:rowOff>123825</xdr:rowOff>
    </xdr:from>
    <xdr:to>
      <xdr:col>30</xdr:col>
      <xdr:colOff>304800</xdr:colOff>
      <xdr:row>144</xdr:row>
      <xdr:rowOff>9525</xdr:rowOff>
    </xdr:to>
    <xdr:sp macro="" textlink="">
      <xdr:nvSpPr>
        <xdr:cNvPr id="468" name="Line 535">
          <a:extLst>
            <a:ext uri="{FF2B5EF4-FFF2-40B4-BE49-F238E27FC236}">
              <a16:creationId xmlns:a16="http://schemas.microsoft.com/office/drawing/2014/main" id="{00000000-0008-0000-0000-0000D4010000}"/>
            </a:ext>
          </a:extLst>
        </xdr:cNvPr>
        <xdr:cNvSpPr>
          <a:spLocks noChangeShapeType="1"/>
        </xdr:cNvSpPr>
      </xdr:nvSpPr>
      <xdr:spPr bwMode="auto">
        <a:xfrm>
          <a:off x="22107525" y="275367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514350</xdr:colOff>
      <xdr:row>117</xdr:row>
      <xdr:rowOff>104775</xdr:rowOff>
    </xdr:from>
    <xdr:to>
      <xdr:col>30</xdr:col>
      <xdr:colOff>514350</xdr:colOff>
      <xdr:row>119</xdr:row>
      <xdr:rowOff>9525</xdr:rowOff>
    </xdr:to>
    <xdr:sp macro="" textlink="">
      <xdr:nvSpPr>
        <xdr:cNvPr id="469" name="Line 536">
          <a:extLst>
            <a:ext uri="{FF2B5EF4-FFF2-40B4-BE49-F238E27FC236}">
              <a16:creationId xmlns:a16="http://schemas.microsoft.com/office/drawing/2014/main" id="{00000000-0008-0000-0000-0000D5010000}"/>
            </a:ext>
          </a:extLst>
        </xdr:cNvPr>
        <xdr:cNvSpPr>
          <a:spLocks noChangeShapeType="1"/>
        </xdr:cNvSpPr>
      </xdr:nvSpPr>
      <xdr:spPr bwMode="auto">
        <a:xfrm>
          <a:off x="22317075" y="2264092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190500</xdr:colOff>
      <xdr:row>117</xdr:row>
      <xdr:rowOff>114300</xdr:rowOff>
    </xdr:from>
    <xdr:to>
      <xdr:col>30</xdr:col>
      <xdr:colOff>190500</xdr:colOff>
      <xdr:row>119</xdr:row>
      <xdr:rowOff>9525</xdr:rowOff>
    </xdr:to>
    <xdr:sp macro="" textlink="">
      <xdr:nvSpPr>
        <xdr:cNvPr id="470" name="Line 537">
          <a:extLst>
            <a:ext uri="{FF2B5EF4-FFF2-40B4-BE49-F238E27FC236}">
              <a16:creationId xmlns:a16="http://schemas.microsoft.com/office/drawing/2014/main" id="{00000000-0008-0000-0000-0000D6010000}"/>
            </a:ext>
          </a:extLst>
        </xdr:cNvPr>
        <xdr:cNvSpPr>
          <a:spLocks noChangeShapeType="1"/>
        </xdr:cNvSpPr>
      </xdr:nvSpPr>
      <xdr:spPr bwMode="auto">
        <a:xfrm>
          <a:off x="21993225" y="226504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114300</xdr:colOff>
      <xdr:row>117</xdr:row>
      <xdr:rowOff>104775</xdr:rowOff>
    </xdr:from>
    <xdr:to>
      <xdr:col>30</xdr:col>
      <xdr:colOff>114300</xdr:colOff>
      <xdr:row>119</xdr:row>
      <xdr:rowOff>9525</xdr:rowOff>
    </xdr:to>
    <xdr:sp macro="" textlink="">
      <xdr:nvSpPr>
        <xdr:cNvPr id="471" name="Line 538">
          <a:extLst>
            <a:ext uri="{FF2B5EF4-FFF2-40B4-BE49-F238E27FC236}">
              <a16:creationId xmlns:a16="http://schemas.microsoft.com/office/drawing/2014/main" id="{00000000-0008-0000-0000-0000D7010000}"/>
            </a:ext>
          </a:extLst>
        </xdr:cNvPr>
        <xdr:cNvSpPr>
          <a:spLocks noChangeShapeType="1"/>
        </xdr:cNvSpPr>
      </xdr:nvSpPr>
      <xdr:spPr bwMode="auto">
        <a:xfrm>
          <a:off x="21917025" y="2264092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38100</xdr:colOff>
      <xdr:row>117</xdr:row>
      <xdr:rowOff>85725</xdr:rowOff>
    </xdr:from>
    <xdr:to>
      <xdr:col>30</xdr:col>
      <xdr:colOff>38100</xdr:colOff>
      <xdr:row>119</xdr:row>
      <xdr:rowOff>28575</xdr:rowOff>
    </xdr:to>
    <xdr:sp macro="" textlink="">
      <xdr:nvSpPr>
        <xdr:cNvPr id="472" name="Line 539">
          <a:extLst>
            <a:ext uri="{FF2B5EF4-FFF2-40B4-BE49-F238E27FC236}">
              <a16:creationId xmlns:a16="http://schemas.microsoft.com/office/drawing/2014/main" id="{00000000-0008-0000-0000-0000D8010000}"/>
            </a:ext>
          </a:extLst>
        </xdr:cNvPr>
        <xdr:cNvSpPr>
          <a:spLocks noChangeShapeType="1"/>
        </xdr:cNvSpPr>
      </xdr:nvSpPr>
      <xdr:spPr bwMode="auto">
        <a:xfrm>
          <a:off x="21840825" y="22621875"/>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742950</xdr:colOff>
      <xdr:row>117</xdr:row>
      <xdr:rowOff>95250</xdr:rowOff>
    </xdr:from>
    <xdr:to>
      <xdr:col>29</xdr:col>
      <xdr:colOff>742950</xdr:colOff>
      <xdr:row>119</xdr:row>
      <xdr:rowOff>9525</xdr:rowOff>
    </xdr:to>
    <xdr:sp macro="" textlink="">
      <xdr:nvSpPr>
        <xdr:cNvPr id="473" name="Line 540">
          <a:extLst>
            <a:ext uri="{FF2B5EF4-FFF2-40B4-BE49-F238E27FC236}">
              <a16:creationId xmlns:a16="http://schemas.microsoft.com/office/drawing/2014/main" id="{00000000-0008-0000-0000-0000D9010000}"/>
            </a:ext>
          </a:extLst>
        </xdr:cNvPr>
        <xdr:cNvSpPr>
          <a:spLocks noChangeShapeType="1"/>
        </xdr:cNvSpPr>
      </xdr:nvSpPr>
      <xdr:spPr bwMode="auto">
        <a:xfrm>
          <a:off x="21793200" y="226314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695325</xdr:colOff>
      <xdr:row>117</xdr:row>
      <xdr:rowOff>95250</xdr:rowOff>
    </xdr:from>
    <xdr:to>
      <xdr:col>29</xdr:col>
      <xdr:colOff>695325</xdr:colOff>
      <xdr:row>119</xdr:row>
      <xdr:rowOff>9525</xdr:rowOff>
    </xdr:to>
    <xdr:sp macro="" textlink="">
      <xdr:nvSpPr>
        <xdr:cNvPr id="474" name="Line 541">
          <a:extLst>
            <a:ext uri="{FF2B5EF4-FFF2-40B4-BE49-F238E27FC236}">
              <a16:creationId xmlns:a16="http://schemas.microsoft.com/office/drawing/2014/main" id="{00000000-0008-0000-0000-0000DA010000}"/>
            </a:ext>
          </a:extLst>
        </xdr:cNvPr>
        <xdr:cNvSpPr>
          <a:spLocks noChangeShapeType="1"/>
        </xdr:cNvSpPr>
      </xdr:nvSpPr>
      <xdr:spPr bwMode="auto">
        <a:xfrm>
          <a:off x="21745575" y="226314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581025</xdr:colOff>
      <xdr:row>117</xdr:row>
      <xdr:rowOff>76200</xdr:rowOff>
    </xdr:from>
    <xdr:to>
      <xdr:col>30</xdr:col>
      <xdr:colOff>581025</xdr:colOff>
      <xdr:row>119</xdr:row>
      <xdr:rowOff>0</xdr:rowOff>
    </xdr:to>
    <xdr:sp macro="" textlink="">
      <xdr:nvSpPr>
        <xdr:cNvPr id="475" name="Line 542">
          <a:extLst>
            <a:ext uri="{FF2B5EF4-FFF2-40B4-BE49-F238E27FC236}">
              <a16:creationId xmlns:a16="http://schemas.microsoft.com/office/drawing/2014/main" id="{00000000-0008-0000-0000-0000DB010000}"/>
            </a:ext>
          </a:extLst>
        </xdr:cNvPr>
        <xdr:cNvSpPr>
          <a:spLocks noChangeShapeType="1"/>
        </xdr:cNvSpPr>
      </xdr:nvSpPr>
      <xdr:spPr bwMode="auto">
        <a:xfrm>
          <a:off x="22383750" y="226123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466725</xdr:colOff>
      <xdr:row>117</xdr:row>
      <xdr:rowOff>85725</xdr:rowOff>
    </xdr:from>
    <xdr:to>
      <xdr:col>30</xdr:col>
      <xdr:colOff>466725</xdr:colOff>
      <xdr:row>119</xdr:row>
      <xdr:rowOff>0</xdr:rowOff>
    </xdr:to>
    <xdr:sp macro="" textlink="">
      <xdr:nvSpPr>
        <xdr:cNvPr id="476" name="Line 543">
          <a:extLst>
            <a:ext uri="{FF2B5EF4-FFF2-40B4-BE49-F238E27FC236}">
              <a16:creationId xmlns:a16="http://schemas.microsoft.com/office/drawing/2014/main" id="{00000000-0008-0000-0000-0000DC010000}"/>
            </a:ext>
          </a:extLst>
        </xdr:cNvPr>
        <xdr:cNvSpPr>
          <a:spLocks noChangeShapeType="1"/>
        </xdr:cNvSpPr>
      </xdr:nvSpPr>
      <xdr:spPr bwMode="auto">
        <a:xfrm>
          <a:off x="22269450" y="2262187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352425</xdr:colOff>
      <xdr:row>117</xdr:row>
      <xdr:rowOff>104775</xdr:rowOff>
    </xdr:from>
    <xdr:to>
      <xdr:col>30</xdr:col>
      <xdr:colOff>352425</xdr:colOff>
      <xdr:row>119</xdr:row>
      <xdr:rowOff>0</xdr:rowOff>
    </xdr:to>
    <xdr:sp macro="" textlink="">
      <xdr:nvSpPr>
        <xdr:cNvPr id="477" name="Line 544">
          <a:extLst>
            <a:ext uri="{FF2B5EF4-FFF2-40B4-BE49-F238E27FC236}">
              <a16:creationId xmlns:a16="http://schemas.microsoft.com/office/drawing/2014/main" id="{00000000-0008-0000-0000-0000DD010000}"/>
            </a:ext>
          </a:extLst>
        </xdr:cNvPr>
        <xdr:cNvSpPr>
          <a:spLocks noChangeShapeType="1"/>
        </xdr:cNvSpPr>
      </xdr:nvSpPr>
      <xdr:spPr bwMode="auto">
        <a:xfrm>
          <a:off x="22155150" y="2264092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257175</xdr:colOff>
      <xdr:row>117</xdr:row>
      <xdr:rowOff>104775</xdr:rowOff>
    </xdr:from>
    <xdr:to>
      <xdr:col>30</xdr:col>
      <xdr:colOff>257175</xdr:colOff>
      <xdr:row>119</xdr:row>
      <xdr:rowOff>9525</xdr:rowOff>
    </xdr:to>
    <xdr:sp macro="" textlink="">
      <xdr:nvSpPr>
        <xdr:cNvPr id="478" name="Line 545">
          <a:extLst>
            <a:ext uri="{FF2B5EF4-FFF2-40B4-BE49-F238E27FC236}">
              <a16:creationId xmlns:a16="http://schemas.microsoft.com/office/drawing/2014/main" id="{00000000-0008-0000-0000-0000DE010000}"/>
            </a:ext>
          </a:extLst>
        </xdr:cNvPr>
        <xdr:cNvSpPr>
          <a:spLocks noChangeShapeType="1"/>
        </xdr:cNvSpPr>
      </xdr:nvSpPr>
      <xdr:spPr bwMode="auto">
        <a:xfrm>
          <a:off x="22059900" y="2264092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304800</xdr:colOff>
      <xdr:row>117</xdr:row>
      <xdr:rowOff>85725</xdr:rowOff>
    </xdr:from>
    <xdr:to>
      <xdr:col>30</xdr:col>
      <xdr:colOff>304800</xdr:colOff>
      <xdr:row>119</xdr:row>
      <xdr:rowOff>9525</xdr:rowOff>
    </xdr:to>
    <xdr:sp macro="" textlink="">
      <xdr:nvSpPr>
        <xdr:cNvPr id="479" name="Line 546">
          <a:extLst>
            <a:ext uri="{FF2B5EF4-FFF2-40B4-BE49-F238E27FC236}">
              <a16:creationId xmlns:a16="http://schemas.microsoft.com/office/drawing/2014/main" id="{00000000-0008-0000-0000-0000DF010000}"/>
            </a:ext>
          </a:extLst>
        </xdr:cNvPr>
        <xdr:cNvSpPr>
          <a:spLocks noChangeShapeType="1"/>
        </xdr:cNvSpPr>
      </xdr:nvSpPr>
      <xdr:spPr bwMode="auto">
        <a:xfrm>
          <a:off x="22107525" y="226218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657225</xdr:colOff>
      <xdr:row>119</xdr:row>
      <xdr:rowOff>0</xdr:rowOff>
    </xdr:from>
    <xdr:to>
      <xdr:col>31</xdr:col>
      <xdr:colOff>123825</xdr:colOff>
      <xdr:row>119</xdr:row>
      <xdr:rowOff>19050</xdr:rowOff>
    </xdr:to>
    <xdr:sp macro="" textlink="">
      <xdr:nvSpPr>
        <xdr:cNvPr id="480" name="Line 547">
          <a:extLst>
            <a:ext uri="{FF2B5EF4-FFF2-40B4-BE49-F238E27FC236}">
              <a16:creationId xmlns:a16="http://schemas.microsoft.com/office/drawing/2014/main" id="{00000000-0008-0000-0000-0000E0010000}"/>
            </a:ext>
          </a:extLst>
        </xdr:cNvPr>
        <xdr:cNvSpPr>
          <a:spLocks noChangeShapeType="1"/>
        </xdr:cNvSpPr>
      </xdr:nvSpPr>
      <xdr:spPr bwMode="auto">
        <a:xfrm>
          <a:off x="21707475" y="22917150"/>
          <a:ext cx="971550" cy="19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704850</xdr:colOff>
      <xdr:row>115</xdr:row>
      <xdr:rowOff>142875</xdr:rowOff>
    </xdr:from>
    <xdr:to>
      <xdr:col>31</xdr:col>
      <xdr:colOff>209550</xdr:colOff>
      <xdr:row>117</xdr:row>
      <xdr:rowOff>9525</xdr:rowOff>
    </xdr:to>
    <xdr:sp macro="" textlink="">
      <xdr:nvSpPr>
        <xdr:cNvPr id="481" name="Line 548">
          <a:extLst>
            <a:ext uri="{FF2B5EF4-FFF2-40B4-BE49-F238E27FC236}">
              <a16:creationId xmlns:a16="http://schemas.microsoft.com/office/drawing/2014/main" id="{00000000-0008-0000-0000-0000E1010000}"/>
            </a:ext>
          </a:extLst>
        </xdr:cNvPr>
        <xdr:cNvSpPr>
          <a:spLocks noChangeShapeType="1"/>
        </xdr:cNvSpPr>
      </xdr:nvSpPr>
      <xdr:spPr bwMode="auto">
        <a:xfrm flipH="1">
          <a:off x="22507575" y="22288500"/>
          <a:ext cx="257175"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647700</xdr:colOff>
      <xdr:row>114</xdr:row>
      <xdr:rowOff>123825</xdr:rowOff>
    </xdr:from>
    <xdr:to>
      <xdr:col>30</xdr:col>
      <xdr:colOff>714375</xdr:colOff>
      <xdr:row>114</xdr:row>
      <xdr:rowOff>180975</xdr:rowOff>
    </xdr:to>
    <xdr:sp macro="" textlink="" fLocksText="0">
      <xdr:nvSpPr>
        <xdr:cNvPr id="482" name="Oval 549">
          <a:extLst>
            <a:ext uri="{FF2B5EF4-FFF2-40B4-BE49-F238E27FC236}">
              <a16:creationId xmlns:a16="http://schemas.microsoft.com/office/drawing/2014/main" id="{00000000-0008-0000-0000-0000E2010000}"/>
            </a:ext>
          </a:extLst>
        </xdr:cNvPr>
        <xdr:cNvSpPr>
          <a:spLocks noChangeArrowheads="1"/>
        </xdr:cNvSpPr>
      </xdr:nvSpPr>
      <xdr:spPr bwMode="auto">
        <a:xfrm>
          <a:off x="22450425" y="22078950"/>
          <a:ext cx="66675" cy="571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29</xdr:col>
      <xdr:colOff>409575</xdr:colOff>
      <xdr:row>117</xdr:row>
      <xdr:rowOff>85725</xdr:rowOff>
    </xdr:from>
    <xdr:to>
      <xdr:col>29</xdr:col>
      <xdr:colOff>600075</xdr:colOff>
      <xdr:row>117</xdr:row>
      <xdr:rowOff>85725</xdr:rowOff>
    </xdr:to>
    <xdr:sp macro="" textlink="">
      <xdr:nvSpPr>
        <xdr:cNvPr id="483" name="Line 550">
          <a:extLst>
            <a:ext uri="{FF2B5EF4-FFF2-40B4-BE49-F238E27FC236}">
              <a16:creationId xmlns:a16="http://schemas.microsoft.com/office/drawing/2014/main" id="{00000000-0008-0000-0000-0000E3010000}"/>
            </a:ext>
          </a:extLst>
        </xdr:cNvPr>
        <xdr:cNvSpPr>
          <a:spLocks noChangeShapeType="1"/>
        </xdr:cNvSpPr>
      </xdr:nvSpPr>
      <xdr:spPr bwMode="auto">
        <a:xfrm flipH="1">
          <a:off x="21459825" y="22621875"/>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647700</xdr:colOff>
      <xdr:row>116</xdr:row>
      <xdr:rowOff>104775</xdr:rowOff>
    </xdr:from>
    <xdr:to>
      <xdr:col>29</xdr:col>
      <xdr:colOff>647700</xdr:colOff>
      <xdr:row>117</xdr:row>
      <xdr:rowOff>66675</xdr:rowOff>
    </xdr:to>
    <xdr:sp macro="" textlink="">
      <xdr:nvSpPr>
        <xdr:cNvPr id="484" name="Line 551">
          <a:extLst>
            <a:ext uri="{FF2B5EF4-FFF2-40B4-BE49-F238E27FC236}">
              <a16:creationId xmlns:a16="http://schemas.microsoft.com/office/drawing/2014/main" id="{00000000-0008-0000-0000-0000E4010000}"/>
            </a:ext>
          </a:extLst>
        </xdr:cNvPr>
        <xdr:cNvSpPr>
          <a:spLocks noChangeShapeType="1"/>
        </xdr:cNvSpPr>
      </xdr:nvSpPr>
      <xdr:spPr bwMode="auto">
        <a:xfrm flipV="1">
          <a:off x="21697950" y="2244090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600075</xdr:colOff>
      <xdr:row>116</xdr:row>
      <xdr:rowOff>114300</xdr:rowOff>
    </xdr:from>
    <xdr:to>
      <xdr:col>29</xdr:col>
      <xdr:colOff>685800</xdr:colOff>
      <xdr:row>117</xdr:row>
      <xdr:rowOff>0</xdr:rowOff>
    </xdr:to>
    <xdr:sp macro="" textlink="">
      <xdr:nvSpPr>
        <xdr:cNvPr id="485" name="Line 552">
          <a:extLst>
            <a:ext uri="{FF2B5EF4-FFF2-40B4-BE49-F238E27FC236}">
              <a16:creationId xmlns:a16="http://schemas.microsoft.com/office/drawing/2014/main" id="{00000000-0008-0000-0000-0000E5010000}"/>
            </a:ext>
          </a:extLst>
        </xdr:cNvPr>
        <xdr:cNvSpPr>
          <a:spLocks noChangeShapeType="1"/>
        </xdr:cNvSpPr>
      </xdr:nvSpPr>
      <xdr:spPr bwMode="auto">
        <a:xfrm flipH="1">
          <a:off x="21650325" y="2245042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628650</xdr:colOff>
      <xdr:row>116</xdr:row>
      <xdr:rowOff>95250</xdr:rowOff>
    </xdr:from>
    <xdr:to>
      <xdr:col>30</xdr:col>
      <xdr:colOff>742950</xdr:colOff>
      <xdr:row>117</xdr:row>
      <xdr:rowOff>0</xdr:rowOff>
    </xdr:to>
    <xdr:sp macro="" textlink="">
      <xdr:nvSpPr>
        <xdr:cNvPr id="486" name="Line 553">
          <a:extLst>
            <a:ext uri="{FF2B5EF4-FFF2-40B4-BE49-F238E27FC236}">
              <a16:creationId xmlns:a16="http://schemas.microsoft.com/office/drawing/2014/main" id="{00000000-0008-0000-0000-0000E6010000}"/>
            </a:ext>
          </a:extLst>
        </xdr:cNvPr>
        <xdr:cNvSpPr>
          <a:spLocks noChangeShapeType="1"/>
        </xdr:cNvSpPr>
      </xdr:nvSpPr>
      <xdr:spPr bwMode="auto">
        <a:xfrm flipH="1">
          <a:off x="22431375" y="22431375"/>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104775</xdr:colOff>
      <xdr:row>116</xdr:row>
      <xdr:rowOff>85725</xdr:rowOff>
    </xdr:from>
    <xdr:to>
      <xdr:col>31</xdr:col>
      <xdr:colOff>219075</xdr:colOff>
      <xdr:row>117</xdr:row>
      <xdr:rowOff>28575</xdr:rowOff>
    </xdr:to>
    <xdr:sp macro="" textlink="">
      <xdr:nvSpPr>
        <xdr:cNvPr id="487" name="Line 554">
          <a:extLst>
            <a:ext uri="{FF2B5EF4-FFF2-40B4-BE49-F238E27FC236}">
              <a16:creationId xmlns:a16="http://schemas.microsoft.com/office/drawing/2014/main" id="{00000000-0008-0000-0000-0000E7010000}"/>
            </a:ext>
          </a:extLst>
        </xdr:cNvPr>
        <xdr:cNvSpPr>
          <a:spLocks noChangeShapeType="1"/>
        </xdr:cNvSpPr>
      </xdr:nvSpPr>
      <xdr:spPr bwMode="auto">
        <a:xfrm flipH="1">
          <a:off x="22659975" y="22421850"/>
          <a:ext cx="1143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609600</xdr:colOff>
      <xdr:row>121</xdr:row>
      <xdr:rowOff>123825</xdr:rowOff>
    </xdr:from>
    <xdr:to>
      <xdr:col>29</xdr:col>
      <xdr:colOff>723900</xdr:colOff>
      <xdr:row>122</xdr:row>
      <xdr:rowOff>57150</xdr:rowOff>
    </xdr:to>
    <xdr:sp macro="" textlink="">
      <xdr:nvSpPr>
        <xdr:cNvPr id="488" name="Line 555">
          <a:extLst>
            <a:ext uri="{FF2B5EF4-FFF2-40B4-BE49-F238E27FC236}">
              <a16:creationId xmlns:a16="http://schemas.microsoft.com/office/drawing/2014/main" id="{00000000-0008-0000-0000-0000E8010000}"/>
            </a:ext>
          </a:extLst>
        </xdr:cNvPr>
        <xdr:cNvSpPr>
          <a:spLocks noChangeShapeType="1"/>
        </xdr:cNvSpPr>
      </xdr:nvSpPr>
      <xdr:spPr bwMode="auto">
        <a:xfrm flipH="1">
          <a:off x="21659850" y="23421975"/>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76200</xdr:colOff>
      <xdr:row>121</xdr:row>
      <xdr:rowOff>142875</xdr:rowOff>
    </xdr:from>
    <xdr:to>
      <xdr:col>31</xdr:col>
      <xdr:colOff>200025</xdr:colOff>
      <xdr:row>122</xdr:row>
      <xdr:rowOff>76200</xdr:rowOff>
    </xdr:to>
    <xdr:sp macro="" textlink="">
      <xdr:nvSpPr>
        <xdr:cNvPr id="489" name="Line 556">
          <a:extLst>
            <a:ext uri="{FF2B5EF4-FFF2-40B4-BE49-F238E27FC236}">
              <a16:creationId xmlns:a16="http://schemas.microsoft.com/office/drawing/2014/main" id="{00000000-0008-0000-0000-0000E9010000}"/>
            </a:ext>
          </a:extLst>
        </xdr:cNvPr>
        <xdr:cNvSpPr>
          <a:spLocks noChangeShapeType="1"/>
        </xdr:cNvSpPr>
      </xdr:nvSpPr>
      <xdr:spPr bwMode="auto">
        <a:xfrm flipH="1">
          <a:off x="22631400" y="2344102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628650</xdr:colOff>
      <xdr:row>123</xdr:row>
      <xdr:rowOff>85725</xdr:rowOff>
    </xdr:from>
    <xdr:to>
      <xdr:col>30</xdr:col>
      <xdr:colOff>609600</xdr:colOff>
      <xdr:row>123</xdr:row>
      <xdr:rowOff>85725</xdr:rowOff>
    </xdr:to>
    <xdr:sp macro="" textlink="">
      <xdr:nvSpPr>
        <xdr:cNvPr id="490" name="Line 557">
          <a:extLst>
            <a:ext uri="{FF2B5EF4-FFF2-40B4-BE49-F238E27FC236}">
              <a16:creationId xmlns:a16="http://schemas.microsoft.com/office/drawing/2014/main" id="{00000000-0008-0000-0000-0000EA010000}"/>
            </a:ext>
          </a:extLst>
        </xdr:cNvPr>
        <xdr:cNvSpPr>
          <a:spLocks noChangeShapeType="1"/>
        </xdr:cNvSpPr>
      </xdr:nvSpPr>
      <xdr:spPr bwMode="auto">
        <a:xfrm>
          <a:off x="21678900" y="23774400"/>
          <a:ext cx="733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447675</xdr:colOff>
      <xdr:row>123</xdr:row>
      <xdr:rowOff>9525</xdr:rowOff>
    </xdr:from>
    <xdr:to>
      <xdr:col>30</xdr:col>
      <xdr:colOff>638175</xdr:colOff>
      <xdr:row>123</xdr:row>
      <xdr:rowOff>152400</xdr:rowOff>
    </xdr:to>
    <xdr:sp macro="" textlink="">
      <xdr:nvSpPr>
        <xdr:cNvPr id="491" name="Tegning 558">
          <a:extLst>
            <a:ext uri="{FF2B5EF4-FFF2-40B4-BE49-F238E27FC236}">
              <a16:creationId xmlns:a16="http://schemas.microsoft.com/office/drawing/2014/main" id="{00000000-0008-0000-0000-0000EB010000}"/>
            </a:ext>
          </a:extLst>
        </xdr:cNvPr>
        <xdr:cNvSpPr>
          <a:spLocks/>
        </xdr:cNvSpPr>
      </xdr:nvSpPr>
      <xdr:spPr bwMode="auto">
        <a:xfrm>
          <a:off x="22250400" y="23698200"/>
          <a:ext cx="190500" cy="14287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3277" y="0"/>
              </a:moveTo>
              <a:lnTo>
                <a:pt x="16384" y="8738"/>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419100</xdr:colOff>
      <xdr:row>117</xdr:row>
      <xdr:rowOff>104775</xdr:rowOff>
    </xdr:from>
    <xdr:to>
      <xdr:col>30</xdr:col>
      <xdr:colOff>419100</xdr:colOff>
      <xdr:row>119</xdr:row>
      <xdr:rowOff>0</xdr:rowOff>
    </xdr:to>
    <xdr:sp macro="" textlink="">
      <xdr:nvSpPr>
        <xdr:cNvPr id="492" name="Line 559">
          <a:extLst>
            <a:ext uri="{FF2B5EF4-FFF2-40B4-BE49-F238E27FC236}">
              <a16:creationId xmlns:a16="http://schemas.microsoft.com/office/drawing/2014/main" id="{00000000-0008-0000-0000-0000EC010000}"/>
            </a:ext>
          </a:extLst>
        </xdr:cNvPr>
        <xdr:cNvSpPr>
          <a:spLocks noChangeShapeType="1"/>
        </xdr:cNvSpPr>
      </xdr:nvSpPr>
      <xdr:spPr bwMode="auto">
        <a:xfrm>
          <a:off x="22221825" y="2264092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647700</xdr:colOff>
      <xdr:row>117</xdr:row>
      <xdr:rowOff>85725</xdr:rowOff>
    </xdr:from>
    <xdr:to>
      <xdr:col>30</xdr:col>
      <xdr:colOff>647700</xdr:colOff>
      <xdr:row>119</xdr:row>
      <xdr:rowOff>9525</xdr:rowOff>
    </xdr:to>
    <xdr:sp macro="" textlink="">
      <xdr:nvSpPr>
        <xdr:cNvPr id="493" name="Line 560">
          <a:extLst>
            <a:ext uri="{FF2B5EF4-FFF2-40B4-BE49-F238E27FC236}">
              <a16:creationId xmlns:a16="http://schemas.microsoft.com/office/drawing/2014/main" id="{00000000-0008-0000-0000-0000ED010000}"/>
            </a:ext>
          </a:extLst>
        </xdr:cNvPr>
        <xdr:cNvSpPr>
          <a:spLocks noChangeShapeType="1"/>
        </xdr:cNvSpPr>
      </xdr:nvSpPr>
      <xdr:spPr bwMode="auto">
        <a:xfrm>
          <a:off x="22450425" y="226218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9525</xdr:colOff>
      <xdr:row>119</xdr:row>
      <xdr:rowOff>123825</xdr:rowOff>
    </xdr:from>
    <xdr:to>
      <xdr:col>30</xdr:col>
      <xdr:colOff>200025</xdr:colOff>
      <xdr:row>120</xdr:row>
      <xdr:rowOff>66675</xdr:rowOff>
    </xdr:to>
    <xdr:sp macro="" textlink="">
      <xdr:nvSpPr>
        <xdr:cNvPr id="494" name="Line 561">
          <a:extLst>
            <a:ext uri="{FF2B5EF4-FFF2-40B4-BE49-F238E27FC236}">
              <a16:creationId xmlns:a16="http://schemas.microsoft.com/office/drawing/2014/main" id="{00000000-0008-0000-0000-0000EE010000}"/>
            </a:ext>
          </a:extLst>
        </xdr:cNvPr>
        <xdr:cNvSpPr>
          <a:spLocks noChangeShapeType="1"/>
        </xdr:cNvSpPr>
      </xdr:nvSpPr>
      <xdr:spPr bwMode="auto">
        <a:xfrm flipH="1">
          <a:off x="21812250" y="23040975"/>
          <a:ext cx="19050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733425</xdr:colOff>
      <xdr:row>120</xdr:row>
      <xdr:rowOff>47625</xdr:rowOff>
    </xdr:from>
    <xdr:to>
      <xdr:col>30</xdr:col>
      <xdr:colOff>28575</xdr:colOff>
      <xdr:row>120</xdr:row>
      <xdr:rowOff>104775</xdr:rowOff>
    </xdr:to>
    <xdr:sp macro="" textlink="" fLocksText="0">
      <xdr:nvSpPr>
        <xdr:cNvPr id="495" name="Oval 562">
          <a:extLst>
            <a:ext uri="{FF2B5EF4-FFF2-40B4-BE49-F238E27FC236}">
              <a16:creationId xmlns:a16="http://schemas.microsoft.com/office/drawing/2014/main" id="{00000000-0008-0000-0000-0000EF010000}"/>
            </a:ext>
          </a:extLst>
        </xdr:cNvPr>
        <xdr:cNvSpPr>
          <a:spLocks noChangeArrowheads="1"/>
        </xdr:cNvSpPr>
      </xdr:nvSpPr>
      <xdr:spPr bwMode="auto">
        <a:xfrm>
          <a:off x="21783675" y="23155275"/>
          <a:ext cx="47625" cy="571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657225</xdr:colOff>
      <xdr:row>117</xdr:row>
      <xdr:rowOff>0</xdr:rowOff>
    </xdr:from>
    <xdr:to>
      <xdr:col>30</xdr:col>
      <xdr:colOff>714375</xdr:colOff>
      <xdr:row>117</xdr:row>
      <xdr:rowOff>47625</xdr:rowOff>
    </xdr:to>
    <xdr:sp macro="" textlink="" fLocksText="0">
      <xdr:nvSpPr>
        <xdr:cNvPr id="496" name="Oval 563">
          <a:extLst>
            <a:ext uri="{FF2B5EF4-FFF2-40B4-BE49-F238E27FC236}">
              <a16:creationId xmlns:a16="http://schemas.microsoft.com/office/drawing/2014/main" id="{00000000-0008-0000-0000-0000F0010000}"/>
            </a:ext>
          </a:extLst>
        </xdr:cNvPr>
        <xdr:cNvSpPr>
          <a:spLocks noChangeArrowheads="1"/>
        </xdr:cNvSpPr>
      </xdr:nvSpPr>
      <xdr:spPr bwMode="auto">
        <a:xfrm>
          <a:off x="22459950" y="22536150"/>
          <a:ext cx="57150"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29</xdr:col>
      <xdr:colOff>647700</xdr:colOff>
      <xdr:row>144</xdr:row>
      <xdr:rowOff>9525</xdr:rowOff>
    </xdr:from>
    <xdr:to>
      <xdr:col>31</xdr:col>
      <xdr:colOff>171450</xdr:colOff>
      <xdr:row>144</xdr:row>
      <xdr:rowOff>9525</xdr:rowOff>
    </xdr:to>
    <xdr:sp macro="" textlink="">
      <xdr:nvSpPr>
        <xdr:cNvPr id="497" name="Line 564">
          <a:extLst>
            <a:ext uri="{FF2B5EF4-FFF2-40B4-BE49-F238E27FC236}">
              <a16:creationId xmlns:a16="http://schemas.microsoft.com/office/drawing/2014/main" id="{00000000-0008-0000-0000-0000F1010000}"/>
            </a:ext>
          </a:extLst>
        </xdr:cNvPr>
        <xdr:cNvSpPr>
          <a:spLocks noChangeShapeType="1"/>
        </xdr:cNvSpPr>
      </xdr:nvSpPr>
      <xdr:spPr bwMode="auto">
        <a:xfrm>
          <a:off x="21697950" y="27822525"/>
          <a:ext cx="1028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400050</xdr:colOff>
      <xdr:row>142</xdr:row>
      <xdr:rowOff>123825</xdr:rowOff>
    </xdr:from>
    <xdr:to>
      <xdr:col>29</xdr:col>
      <xdr:colOff>609600</xdr:colOff>
      <xdr:row>142</xdr:row>
      <xdr:rowOff>123825</xdr:rowOff>
    </xdr:to>
    <xdr:sp macro="" textlink="">
      <xdr:nvSpPr>
        <xdr:cNvPr id="498" name="Line 565">
          <a:extLst>
            <a:ext uri="{FF2B5EF4-FFF2-40B4-BE49-F238E27FC236}">
              <a16:creationId xmlns:a16="http://schemas.microsoft.com/office/drawing/2014/main" id="{00000000-0008-0000-0000-0000F2010000}"/>
            </a:ext>
          </a:extLst>
        </xdr:cNvPr>
        <xdr:cNvSpPr>
          <a:spLocks noChangeShapeType="1"/>
        </xdr:cNvSpPr>
      </xdr:nvSpPr>
      <xdr:spPr bwMode="auto">
        <a:xfrm flipH="1">
          <a:off x="21450300" y="27536775"/>
          <a:ext cx="2095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638175</xdr:colOff>
      <xdr:row>141</xdr:row>
      <xdr:rowOff>161925</xdr:rowOff>
    </xdr:from>
    <xdr:to>
      <xdr:col>29</xdr:col>
      <xdr:colOff>638175</xdr:colOff>
      <xdr:row>142</xdr:row>
      <xdr:rowOff>66675</xdr:rowOff>
    </xdr:to>
    <xdr:sp macro="" textlink="">
      <xdr:nvSpPr>
        <xdr:cNvPr id="499" name="Line 566">
          <a:extLst>
            <a:ext uri="{FF2B5EF4-FFF2-40B4-BE49-F238E27FC236}">
              <a16:creationId xmlns:a16="http://schemas.microsoft.com/office/drawing/2014/main" id="{00000000-0008-0000-0000-0000F3010000}"/>
            </a:ext>
          </a:extLst>
        </xdr:cNvPr>
        <xdr:cNvSpPr>
          <a:spLocks noChangeShapeType="1"/>
        </xdr:cNvSpPr>
      </xdr:nvSpPr>
      <xdr:spPr bwMode="auto">
        <a:xfrm flipV="1">
          <a:off x="21688425" y="27384375"/>
          <a:ext cx="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581025</xdr:colOff>
      <xdr:row>141</xdr:row>
      <xdr:rowOff>142875</xdr:rowOff>
    </xdr:from>
    <xdr:to>
      <xdr:col>29</xdr:col>
      <xdr:colOff>695325</xdr:colOff>
      <xdr:row>142</xdr:row>
      <xdr:rowOff>38100</xdr:rowOff>
    </xdr:to>
    <xdr:sp macro="" textlink="">
      <xdr:nvSpPr>
        <xdr:cNvPr id="500" name="Line 567">
          <a:extLst>
            <a:ext uri="{FF2B5EF4-FFF2-40B4-BE49-F238E27FC236}">
              <a16:creationId xmlns:a16="http://schemas.microsoft.com/office/drawing/2014/main" id="{00000000-0008-0000-0000-0000F4010000}"/>
            </a:ext>
          </a:extLst>
        </xdr:cNvPr>
        <xdr:cNvSpPr>
          <a:spLocks noChangeShapeType="1"/>
        </xdr:cNvSpPr>
      </xdr:nvSpPr>
      <xdr:spPr bwMode="auto">
        <a:xfrm flipH="1">
          <a:off x="21631275" y="27365325"/>
          <a:ext cx="1143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628650</xdr:colOff>
      <xdr:row>141</xdr:row>
      <xdr:rowOff>133350</xdr:rowOff>
    </xdr:from>
    <xdr:to>
      <xdr:col>31</xdr:col>
      <xdr:colOff>0</xdr:colOff>
      <xdr:row>142</xdr:row>
      <xdr:rowOff>47625</xdr:rowOff>
    </xdr:to>
    <xdr:sp macro="" textlink="">
      <xdr:nvSpPr>
        <xdr:cNvPr id="501" name="Line 568">
          <a:extLst>
            <a:ext uri="{FF2B5EF4-FFF2-40B4-BE49-F238E27FC236}">
              <a16:creationId xmlns:a16="http://schemas.microsoft.com/office/drawing/2014/main" id="{00000000-0008-0000-0000-0000F5010000}"/>
            </a:ext>
          </a:extLst>
        </xdr:cNvPr>
        <xdr:cNvSpPr>
          <a:spLocks noChangeShapeType="1"/>
        </xdr:cNvSpPr>
      </xdr:nvSpPr>
      <xdr:spPr bwMode="auto">
        <a:xfrm flipH="1">
          <a:off x="22431375" y="27355800"/>
          <a:ext cx="1238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95250</xdr:colOff>
      <xdr:row>141</xdr:row>
      <xdr:rowOff>142875</xdr:rowOff>
    </xdr:from>
    <xdr:to>
      <xdr:col>31</xdr:col>
      <xdr:colOff>200025</xdr:colOff>
      <xdr:row>142</xdr:row>
      <xdr:rowOff>38100</xdr:rowOff>
    </xdr:to>
    <xdr:sp macro="" textlink="">
      <xdr:nvSpPr>
        <xdr:cNvPr id="502" name="Line 569">
          <a:extLst>
            <a:ext uri="{FF2B5EF4-FFF2-40B4-BE49-F238E27FC236}">
              <a16:creationId xmlns:a16="http://schemas.microsoft.com/office/drawing/2014/main" id="{00000000-0008-0000-0000-0000F6010000}"/>
            </a:ext>
          </a:extLst>
        </xdr:cNvPr>
        <xdr:cNvSpPr>
          <a:spLocks noChangeShapeType="1"/>
        </xdr:cNvSpPr>
      </xdr:nvSpPr>
      <xdr:spPr bwMode="auto">
        <a:xfrm flipH="1">
          <a:off x="22650450" y="27365325"/>
          <a:ext cx="1047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28575</xdr:colOff>
      <xdr:row>144</xdr:row>
      <xdr:rowOff>142875</xdr:rowOff>
    </xdr:from>
    <xdr:to>
      <xdr:col>30</xdr:col>
      <xdr:colOff>228600</xdr:colOff>
      <xdr:row>145</xdr:row>
      <xdr:rowOff>66675</xdr:rowOff>
    </xdr:to>
    <xdr:sp macro="" textlink="">
      <xdr:nvSpPr>
        <xdr:cNvPr id="503" name="Line 570">
          <a:extLst>
            <a:ext uri="{FF2B5EF4-FFF2-40B4-BE49-F238E27FC236}">
              <a16:creationId xmlns:a16="http://schemas.microsoft.com/office/drawing/2014/main" id="{00000000-0008-0000-0000-0000F7010000}"/>
            </a:ext>
          </a:extLst>
        </xdr:cNvPr>
        <xdr:cNvSpPr>
          <a:spLocks noChangeShapeType="1"/>
        </xdr:cNvSpPr>
      </xdr:nvSpPr>
      <xdr:spPr bwMode="auto">
        <a:xfrm flipH="1">
          <a:off x="21831300" y="27955875"/>
          <a:ext cx="2000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647700</xdr:colOff>
      <xdr:row>139</xdr:row>
      <xdr:rowOff>123825</xdr:rowOff>
    </xdr:from>
    <xdr:to>
      <xdr:col>30</xdr:col>
      <xdr:colOff>723900</xdr:colOff>
      <xdr:row>140</xdr:row>
      <xdr:rowOff>9525</xdr:rowOff>
    </xdr:to>
    <xdr:sp macro="" textlink="" fLocksText="0">
      <xdr:nvSpPr>
        <xdr:cNvPr id="504" name="Oval 571">
          <a:extLst>
            <a:ext uri="{FF2B5EF4-FFF2-40B4-BE49-F238E27FC236}">
              <a16:creationId xmlns:a16="http://schemas.microsoft.com/office/drawing/2014/main" id="{00000000-0008-0000-0000-0000F8010000}"/>
            </a:ext>
          </a:extLst>
        </xdr:cNvPr>
        <xdr:cNvSpPr>
          <a:spLocks noChangeArrowheads="1"/>
        </xdr:cNvSpPr>
      </xdr:nvSpPr>
      <xdr:spPr bwMode="auto">
        <a:xfrm>
          <a:off x="22450425" y="2696527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685800</xdr:colOff>
      <xdr:row>140</xdr:row>
      <xdr:rowOff>142875</xdr:rowOff>
    </xdr:from>
    <xdr:to>
      <xdr:col>31</xdr:col>
      <xdr:colOff>190500</xdr:colOff>
      <xdr:row>142</xdr:row>
      <xdr:rowOff>66675</xdr:rowOff>
    </xdr:to>
    <xdr:sp macro="" textlink="">
      <xdr:nvSpPr>
        <xdr:cNvPr id="505" name="Line 572">
          <a:extLst>
            <a:ext uri="{FF2B5EF4-FFF2-40B4-BE49-F238E27FC236}">
              <a16:creationId xmlns:a16="http://schemas.microsoft.com/office/drawing/2014/main" id="{00000000-0008-0000-0000-0000F9010000}"/>
            </a:ext>
          </a:extLst>
        </xdr:cNvPr>
        <xdr:cNvSpPr>
          <a:spLocks noChangeShapeType="1"/>
        </xdr:cNvSpPr>
      </xdr:nvSpPr>
      <xdr:spPr bwMode="auto">
        <a:xfrm flipH="1">
          <a:off x="22488525" y="27174825"/>
          <a:ext cx="257175"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149</xdr:row>
      <xdr:rowOff>180975</xdr:rowOff>
    </xdr:from>
    <xdr:to>
      <xdr:col>31</xdr:col>
      <xdr:colOff>19050</xdr:colOff>
      <xdr:row>152</xdr:row>
      <xdr:rowOff>85725</xdr:rowOff>
    </xdr:to>
    <xdr:sp macro="" textlink="">
      <xdr:nvSpPr>
        <xdr:cNvPr id="506" name="Line 573">
          <a:extLst>
            <a:ext uri="{FF2B5EF4-FFF2-40B4-BE49-F238E27FC236}">
              <a16:creationId xmlns:a16="http://schemas.microsoft.com/office/drawing/2014/main" id="{00000000-0008-0000-0000-0000FA010000}"/>
            </a:ext>
          </a:extLst>
        </xdr:cNvPr>
        <xdr:cNvSpPr>
          <a:spLocks noChangeShapeType="1"/>
        </xdr:cNvSpPr>
      </xdr:nvSpPr>
      <xdr:spPr bwMode="auto">
        <a:xfrm flipV="1">
          <a:off x="22574250" y="28994100"/>
          <a:ext cx="0" cy="4762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29</xdr:col>
      <xdr:colOff>666750</xdr:colOff>
      <xdr:row>147</xdr:row>
      <xdr:rowOff>142875</xdr:rowOff>
    </xdr:from>
    <xdr:to>
      <xdr:col>29</xdr:col>
      <xdr:colOff>666750</xdr:colOff>
      <xdr:row>149</xdr:row>
      <xdr:rowOff>0</xdr:rowOff>
    </xdr:to>
    <xdr:sp macro="" textlink="">
      <xdr:nvSpPr>
        <xdr:cNvPr id="507" name="Line 574">
          <a:extLst>
            <a:ext uri="{FF2B5EF4-FFF2-40B4-BE49-F238E27FC236}">
              <a16:creationId xmlns:a16="http://schemas.microsoft.com/office/drawing/2014/main" id="{00000000-0008-0000-0000-0000FB010000}"/>
            </a:ext>
          </a:extLst>
        </xdr:cNvPr>
        <xdr:cNvSpPr>
          <a:spLocks noChangeShapeType="1"/>
        </xdr:cNvSpPr>
      </xdr:nvSpPr>
      <xdr:spPr bwMode="auto">
        <a:xfrm>
          <a:off x="21717000" y="2855595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609600</xdr:colOff>
      <xdr:row>148</xdr:row>
      <xdr:rowOff>47625</xdr:rowOff>
    </xdr:from>
    <xdr:to>
      <xdr:col>29</xdr:col>
      <xdr:colOff>742950</xdr:colOff>
      <xdr:row>149</xdr:row>
      <xdr:rowOff>0</xdr:rowOff>
    </xdr:to>
    <xdr:sp macro="" textlink="">
      <xdr:nvSpPr>
        <xdr:cNvPr id="508" name="Line 575">
          <a:extLst>
            <a:ext uri="{FF2B5EF4-FFF2-40B4-BE49-F238E27FC236}">
              <a16:creationId xmlns:a16="http://schemas.microsoft.com/office/drawing/2014/main" id="{00000000-0008-0000-0000-0000FC010000}"/>
            </a:ext>
          </a:extLst>
        </xdr:cNvPr>
        <xdr:cNvSpPr>
          <a:spLocks noChangeShapeType="1"/>
        </xdr:cNvSpPr>
      </xdr:nvSpPr>
      <xdr:spPr bwMode="auto">
        <a:xfrm flipH="1">
          <a:off x="21659850" y="28660725"/>
          <a:ext cx="13335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609600</xdr:colOff>
      <xdr:row>148</xdr:row>
      <xdr:rowOff>28575</xdr:rowOff>
    </xdr:from>
    <xdr:to>
      <xdr:col>31</xdr:col>
      <xdr:colOff>0</xdr:colOff>
      <xdr:row>148</xdr:row>
      <xdr:rowOff>190500</xdr:rowOff>
    </xdr:to>
    <xdr:sp macro="" textlink="">
      <xdr:nvSpPr>
        <xdr:cNvPr id="509" name="Tegning 576">
          <a:extLst>
            <a:ext uri="{FF2B5EF4-FFF2-40B4-BE49-F238E27FC236}">
              <a16:creationId xmlns:a16="http://schemas.microsoft.com/office/drawing/2014/main" id="{00000000-0008-0000-0000-0000FD010000}"/>
            </a:ext>
          </a:extLst>
        </xdr:cNvPr>
        <xdr:cNvSpPr>
          <a:spLocks/>
        </xdr:cNvSpPr>
      </xdr:nvSpPr>
      <xdr:spPr bwMode="auto">
        <a:xfrm>
          <a:off x="22412325" y="28641675"/>
          <a:ext cx="142875" cy="1619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3277" y="0"/>
              </a:moveTo>
              <a:lnTo>
                <a:pt x="16384" y="8738"/>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95250</xdr:colOff>
      <xdr:row>146</xdr:row>
      <xdr:rowOff>95250</xdr:rowOff>
    </xdr:from>
    <xdr:to>
      <xdr:col>31</xdr:col>
      <xdr:colOff>219075</xdr:colOff>
      <xdr:row>147</xdr:row>
      <xdr:rowOff>28575</xdr:rowOff>
    </xdr:to>
    <xdr:sp macro="" textlink="">
      <xdr:nvSpPr>
        <xdr:cNvPr id="510" name="Line 577">
          <a:extLst>
            <a:ext uri="{FF2B5EF4-FFF2-40B4-BE49-F238E27FC236}">
              <a16:creationId xmlns:a16="http://schemas.microsoft.com/office/drawing/2014/main" id="{00000000-0008-0000-0000-0000FE010000}"/>
            </a:ext>
          </a:extLst>
        </xdr:cNvPr>
        <xdr:cNvSpPr>
          <a:spLocks noChangeShapeType="1"/>
        </xdr:cNvSpPr>
      </xdr:nvSpPr>
      <xdr:spPr bwMode="auto">
        <a:xfrm flipH="1">
          <a:off x="22650450" y="28308300"/>
          <a:ext cx="123825"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138</xdr:row>
      <xdr:rowOff>114300</xdr:rowOff>
    </xdr:from>
    <xdr:to>
      <xdr:col>2</xdr:col>
      <xdr:colOff>361950</xdr:colOff>
      <xdr:row>153</xdr:row>
      <xdr:rowOff>38100</xdr:rowOff>
    </xdr:to>
    <xdr:sp macro="" textlink="">
      <xdr:nvSpPr>
        <xdr:cNvPr id="511" name="Line 578">
          <a:extLst>
            <a:ext uri="{FF2B5EF4-FFF2-40B4-BE49-F238E27FC236}">
              <a16:creationId xmlns:a16="http://schemas.microsoft.com/office/drawing/2014/main" id="{00000000-0008-0000-0000-0000FF010000}"/>
            </a:ext>
          </a:extLst>
        </xdr:cNvPr>
        <xdr:cNvSpPr>
          <a:spLocks noChangeShapeType="1"/>
        </xdr:cNvSpPr>
      </xdr:nvSpPr>
      <xdr:spPr bwMode="auto">
        <a:xfrm flipV="1">
          <a:off x="1743075" y="26755725"/>
          <a:ext cx="0" cy="2857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138</xdr:row>
      <xdr:rowOff>142875</xdr:rowOff>
    </xdr:from>
    <xdr:to>
      <xdr:col>5</xdr:col>
      <xdr:colOff>142875</xdr:colOff>
      <xdr:row>142</xdr:row>
      <xdr:rowOff>19050</xdr:rowOff>
    </xdr:to>
    <xdr:sp macro="" textlink="">
      <xdr:nvSpPr>
        <xdr:cNvPr id="512" name="Line 579">
          <a:extLst>
            <a:ext uri="{FF2B5EF4-FFF2-40B4-BE49-F238E27FC236}">
              <a16:creationId xmlns:a16="http://schemas.microsoft.com/office/drawing/2014/main" id="{00000000-0008-0000-0000-000000020000}"/>
            </a:ext>
          </a:extLst>
        </xdr:cNvPr>
        <xdr:cNvSpPr>
          <a:spLocks noChangeShapeType="1"/>
        </xdr:cNvSpPr>
      </xdr:nvSpPr>
      <xdr:spPr bwMode="auto">
        <a:xfrm flipV="1">
          <a:off x="2800350" y="26784300"/>
          <a:ext cx="0" cy="647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138</xdr:row>
      <xdr:rowOff>104775</xdr:rowOff>
    </xdr:from>
    <xdr:to>
      <xdr:col>2</xdr:col>
      <xdr:colOff>28575</xdr:colOff>
      <xdr:row>139</xdr:row>
      <xdr:rowOff>85725</xdr:rowOff>
    </xdr:to>
    <xdr:sp macro="" textlink="">
      <xdr:nvSpPr>
        <xdr:cNvPr id="513" name="Line 580">
          <a:extLst>
            <a:ext uri="{FF2B5EF4-FFF2-40B4-BE49-F238E27FC236}">
              <a16:creationId xmlns:a16="http://schemas.microsoft.com/office/drawing/2014/main" id="{00000000-0008-0000-0000-000001020000}"/>
            </a:ext>
          </a:extLst>
        </xdr:cNvPr>
        <xdr:cNvSpPr>
          <a:spLocks noChangeShapeType="1"/>
        </xdr:cNvSpPr>
      </xdr:nvSpPr>
      <xdr:spPr bwMode="auto">
        <a:xfrm flipV="1">
          <a:off x="1409700" y="26746200"/>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139</xdr:row>
      <xdr:rowOff>0</xdr:rowOff>
    </xdr:from>
    <xdr:to>
      <xdr:col>6</xdr:col>
      <xdr:colOff>0</xdr:colOff>
      <xdr:row>139</xdr:row>
      <xdr:rowOff>0</xdr:rowOff>
    </xdr:to>
    <xdr:sp macro="" textlink="">
      <xdr:nvSpPr>
        <xdr:cNvPr id="514" name="Line 581">
          <a:extLst>
            <a:ext uri="{FF2B5EF4-FFF2-40B4-BE49-F238E27FC236}">
              <a16:creationId xmlns:a16="http://schemas.microsoft.com/office/drawing/2014/main" id="{00000000-0008-0000-0000-000002020000}"/>
            </a:ext>
          </a:extLst>
        </xdr:cNvPr>
        <xdr:cNvSpPr>
          <a:spLocks noChangeShapeType="1"/>
        </xdr:cNvSpPr>
      </xdr:nvSpPr>
      <xdr:spPr bwMode="auto">
        <a:xfrm>
          <a:off x="1143000" y="26841450"/>
          <a:ext cx="2266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138</xdr:row>
      <xdr:rowOff>142875</xdr:rowOff>
    </xdr:from>
    <xdr:to>
      <xdr:col>2</xdr:col>
      <xdr:colOff>76200</xdr:colOff>
      <xdr:row>139</xdr:row>
      <xdr:rowOff>66675</xdr:rowOff>
    </xdr:to>
    <xdr:sp macro="" textlink="">
      <xdr:nvSpPr>
        <xdr:cNvPr id="515" name="Line 582">
          <a:extLst>
            <a:ext uri="{FF2B5EF4-FFF2-40B4-BE49-F238E27FC236}">
              <a16:creationId xmlns:a16="http://schemas.microsoft.com/office/drawing/2014/main" id="{00000000-0008-0000-0000-000003020000}"/>
            </a:ext>
          </a:extLst>
        </xdr:cNvPr>
        <xdr:cNvSpPr>
          <a:spLocks noChangeShapeType="1"/>
        </xdr:cNvSpPr>
      </xdr:nvSpPr>
      <xdr:spPr bwMode="auto">
        <a:xfrm flipH="1">
          <a:off x="1352550" y="26784300"/>
          <a:ext cx="1047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138</xdr:row>
      <xdr:rowOff>152400</xdr:rowOff>
    </xdr:from>
    <xdr:to>
      <xdr:col>5</xdr:col>
      <xdr:colOff>190500</xdr:colOff>
      <xdr:row>139</xdr:row>
      <xdr:rowOff>47625</xdr:rowOff>
    </xdr:to>
    <xdr:sp macro="" textlink="">
      <xdr:nvSpPr>
        <xdr:cNvPr id="516" name="Line 583">
          <a:extLst>
            <a:ext uri="{FF2B5EF4-FFF2-40B4-BE49-F238E27FC236}">
              <a16:creationId xmlns:a16="http://schemas.microsoft.com/office/drawing/2014/main" id="{00000000-0008-0000-0000-000004020000}"/>
            </a:ext>
          </a:extLst>
        </xdr:cNvPr>
        <xdr:cNvSpPr>
          <a:spLocks noChangeShapeType="1"/>
        </xdr:cNvSpPr>
      </xdr:nvSpPr>
      <xdr:spPr bwMode="auto">
        <a:xfrm flipH="1">
          <a:off x="2771775" y="26793825"/>
          <a:ext cx="762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138</xdr:row>
      <xdr:rowOff>104775</xdr:rowOff>
    </xdr:from>
    <xdr:to>
      <xdr:col>5</xdr:col>
      <xdr:colOff>571500</xdr:colOff>
      <xdr:row>140</xdr:row>
      <xdr:rowOff>66675</xdr:rowOff>
    </xdr:to>
    <xdr:sp macro="" textlink="">
      <xdr:nvSpPr>
        <xdr:cNvPr id="517" name="Line 584">
          <a:extLst>
            <a:ext uri="{FF2B5EF4-FFF2-40B4-BE49-F238E27FC236}">
              <a16:creationId xmlns:a16="http://schemas.microsoft.com/office/drawing/2014/main" id="{00000000-0008-0000-0000-000005020000}"/>
            </a:ext>
          </a:extLst>
        </xdr:cNvPr>
        <xdr:cNvSpPr>
          <a:spLocks noChangeShapeType="1"/>
        </xdr:cNvSpPr>
      </xdr:nvSpPr>
      <xdr:spPr bwMode="auto">
        <a:xfrm flipV="1">
          <a:off x="3228975" y="2674620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514350</xdr:colOff>
      <xdr:row>138</xdr:row>
      <xdr:rowOff>142875</xdr:rowOff>
    </xdr:from>
    <xdr:to>
      <xdr:col>5</xdr:col>
      <xdr:colOff>609600</xdr:colOff>
      <xdr:row>139</xdr:row>
      <xdr:rowOff>47625</xdr:rowOff>
    </xdr:to>
    <xdr:sp macro="" textlink="">
      <xdr:nvSpPr>
        <xdr:cNvPr id="518" name="Line 585">
          <a:extLst>
            <a:ext uri="{FF2B5EF4-FFF2-40B4-BE49-F238E27FC236}">
              <a16:creationId xmlns:a16="http://schemas.microsoft.com/office/drawing/2014/main" id="{00000000-0008-0000-0000-000006020000}"/>
            </a:ext>
          </a:extLst>
        </xdr:cNvPr>
        <xdr:cNvSpPr>
          <a:spLocks noChangeShapeType="1"/>
        </xdr:cNvSpPr>
      </xdr:nvSpPr>
      <xdr:spPr bwMode="auto">
        <a:xfrm flipH="1">
          <a:off x="3171825" y="26784300"/>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139</xdr:row>
      <xdr:rowOff>142875</xdr:rowOff>
    </xdr:from>
    <xdr:to>
      <xdr:col>5</xdr:col>
      <xdr:colOff>581025</xdr:colOff>
      <xdr:row>141</xdr:row>
      <xdr:rowOff>123825</xdr:rowOff>
    </xdr:to>
    <xdr:sp macro="" textlink="">
      <xdr:nvSpPr>
        <xdr:cNvPr id="519" name="Tegning 586">
          <a:extLst>
            <a:ext uri="{FF2B5EF4-FFF2-40B4-BE49-F238E27FC236}">
              <a16:creationId xmlns:a16="http://schemas.microsoft.com/office/drawing/2014/main" id="{00000000-0008-0000-0000-000007020000}"/>
            </a:ext>
          </a:extLst>
        </xdr:cNvPr>
        <xdr:cNvSpPr>
          <a:spLocks/>
        </xdr:cNvSpPr>
      </xdr:nvSpPr>
      <xdr:spPr bwMode="auto">
        <a:xfrm>
          <a:off x="1419225" y="26984325"/>
          <a:ext cx="1819275" cy="3619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19050</xdr:colOff>
      <xdr:row>140</xdr:row>
      <xdr:rowOff>19050</xdr:rowOff>
    </xdr:from>
    <xdr:to>
      <xdr:col>5</xdr:col>
      <xdr:colOff>542925</xdr:colOff>
      <xdr:row>141</xdr:row>
      <xdr:rowOff>47625</xdr:rowOff>
    </xdr:to>
    <xdr:sp macro="" textlink="">
      <xdr:nvSpPr>
        <xdr:cNvPr id="520" name="Tegning 587">
          <a:extLst>
            <a:ext uri="{FF2B5EF4-FFF2-40B4-BE49-F238E27FC236}">
              <a16:creationId xmlns:a16="http://schemas.microsoft.com/office/drawing/2014/main" id="{00000000-0008-0000-0000-000008020000}"/>
            </a:ext>
          </a:extLst>
        </xdr:cNvPr>
        <xdr:cNvSpPr>
          <a:spLocks/>
        </xdr:cNvSpPr>
      </xdr:nvSpPr>
      <xdr:spPr bwMode="auto">
        <a:xfrm>
          <a:off x="2676525" y="27051000"/>
          <a:ext cx="523875" cy="21907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9362" y="0"/>
              </a:lnTo>
              <a:lnTo>
                <a:pt x="9362" y="16384"/>
              </a:lnTo>
              <a:lnTo>
                <a:pt x="16384" y="16384"/>
              </a:lnTo>
              <a:lnTo>
                <a:pt x="16384" y="11812"/>
              </a:lnTo>
              <a:lnTo>
                <a:pt x="468" y="1181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76200</xdr:colOff>
      <xdr:row>139</xdr:row>
      <xdr:rowOff>171450</xdr:rowOff>
    </xdr:from>
    <xdr:to>
      <xdr:col>5</xdr:col>
      <xdr:colOff>333375</xdr:colOff>
      <xdr:row>139</xdr:row>
      <xdr:rowOff>171450</xdr:rowOff>
    </xdr:to>
    <xdr:sp macro="" textlink="">
      <xdr:nvSpPr>
        <xdr:cNvPr id="521" name="Line 588">
          <a:extLst>
            <a:ext uri="{FF2B5EF4-FFF2-40B4-BE49-F238E27FC236}">
              <a16:creationId xmlns:a16="http://schemas.microsoft.com/office/drawing/2014/main" id="{00000000-0008-0000-0000-000009020000}"/>
            </a:ext>
          </a:extLst>
        </xdr:cNvPr>
        <xdr:cNvSpPr>
          <a:spLocks noChangeShapeType="1"/>
        </xdr:cNvSpPr>
      </xdr:nvSpPr>
      <xdr:spPr bwMode="auto">
        <a:xfrm flipH="1">
          <a:off x="1457325" y="27012900"/>
          <a:ext cx="15335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140</xdr:row>
      <xdr:rowOff>19050</xdr:rowOff>
    </xdr:from>
    <xdr:to>
      <xdr:col>2</xdr:col>
      <xdr:colOff>390525</xdr:colOff>
      <xdr:row>141</xdr:row>
      <xdr:rowOff>47625</xdr:rowOff>
    </xdr:to>
    <xdr:sp macro="" textlink="">
      <xdr:nvSpPr>
        <xdr:cNvPr id="522" name="Tegning 589">
          <a:extLst>
            <a:ext uri="{FF2B5EF4-FFF2-40B4-BE49-F238E27FC236}">
              <a16:creationId xmlns:a16="http://schemas.microsoft.com/office/drawing/2014/main" id="{00000000-0008-0000-0000-00000A020000}"/>
            </a:ext>
          </a:extLst>
        </xdr:cNvPr>
        <xdr:cNvSpPr>
          <a:spLocks/>
        </xdr:cNvSpPr>
      </xdr:nvSpPr>
      <xdr:spPr bwMode="auto">
        <a:xfrm>
          <a:off x="1457325" y="27051000"/>
          <a:ext cx="314325" cy="2190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5864"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76200</xdr:colOff>
      <xdr:row>141</xdr:row>
      <xdr:rowOff>76200</xdr:rowOff>
    </xdr:from>
    <xdr:to>
      <xdr:col>5</xdr:col>
      <xdr:colOff>533400</xdr:colOff>
      <xdr:row>141</xdr:row>
      <xdr:rowOff>76200</xdr:rowOff>
    </xdr:to>
    <xdr:sp macro="" textlink="">
      <xdr:nvSpPr>
        <xdr:cNvPr id="523" name="Line 590">
          <a:extLst>
            <a:ext uri="{FF2B5EF4-FFF2-40B4-BE49-F238E27FC236}">
              <a16:creationId xmlns:a16="http://schemas.microsoft.com/office/drawing/2014/main" id="{00000000-0008-0000-0000-00000B020000}"/>
            </a:ext>
          </a:extLst>
        </xdr:cNvPr>
        <xdr:cNvSpPr>
          <a:spLocks noChangeShapeType="1"/>
        </xdr:cNvSpPr>
      </xdr:nvSpPr>
      <xdr:spPr bwMode="auto">
        <a:xfrm flipH="1">
          <a:off x="1457325" y="27298650"/>
          <a:ext cx="1733550"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140</xdr:row>
      <xdr:rowOff>66675</xdr:rowOff>
    </xdr:from>
    <xdr:to>
      <xdr:col>2</xdr:col>
      <xdr:colOff>409575</xdr:colOff>
      <xdr:row>140</xdr:row>
      <xdr:rowOff>161925</xdr:rowOff>
    </xdr:to>
    <xdr:sp macro="" textlink="" fLocksText="0">
      <xdr:nvSpPr>
        <xdr:cNvPr id="524" name="Oval 591">
          <a:extLst>
            <a:ext uri="{FF2B5EF4-FFF2-40B4-BE49-F238E27FC236}">
              <a16:creationId xmlns:a16="http://schemas.microsoft.com/office/drawing/2014/main" id="{00000000-0008-0000-0000-00000C020000}"/>
            </a:ext>
          </a:extLst>
        </xdr:cNvPr>
        <xdr:cNvSpPr>
          <a:spLocks noChangeArrowheads="1"/>
        </xdr:cNvSpPr>
      </xdr:nvSpPr>
      <xdr:spPr bwMode="auto">
        <a:xfrm>
          <a:off x="1695450" y="27098625"/>
          <a:ext cx="95250" cy="95250"/>
        </a:xfrm>
        <a:prstGeom prst="ellipse">
          <a:avLst/>
        </a:prstGeom>
        <a:noFill/>
        <a:ln w="158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140</xdr:row>
      <xdr:rowOff>66675</xdr:rowOff>
    </xdr:from>
    <xdr:to>
      <xdr:col>5</xdr:col>
      <xdr:colOff>190500</xdr:colOff>
      <xdr:row>140</xdr:row>
      <xdr:rowOff>152400</xdr:rowOff>
    </xdr:to>
    <xdr:sp macro="" textlink="" fLocksText="0">
      <xdr:nvSpPr>
        <xdr:cNvPr id="525" name="Oval 592">
          <a:extLst>
            <a:ext uri="{FF2B5EF4-FFF2-40B4-BE49-F238E27FC236}">
              <a16:creationId xmlns:a16="http://schemas.microsoft.com/office/drawing/2014/main" id="{00000000-0008-0000-0000-00000D020000}"/>
            </a:ext>
          </a:extLst>
        </xdr:cNvPr>
        <xdr:cNvSpPr>
          <a:spLocks noChangeArrowheads="1"/>
        </xdr:cNvSpPr>
      </xdr:nvSpPr>
      <xdr:spPr bwMode="auto">
        <a:xfrm>
          <a:off x="2752725" y="27098625"/>
          <a:ext cx="95250" cy="85725"/>
        </a:xfrm>
        <a:prstGeom prst="ellipse">
          <a:avLst/>
        </a:prstGeom>
        <a:noFill/>
        <a:ln w="158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0</xdr:colOff>
      <xdr:row>139</xdr:row>
      <xdr:rowOff>161925</xdr:rowOff>
    </xdr:from>
    <xdr:to>
      <xdr:col>4</xdr:col>
      <xdr:colOff>0</xdr:colOff>
      <xdr:row>141</xdr:row>
      <xdr:rowOff>76200</xdr:rowOff>
    </xdr:to>
    <xdr:sp macro="" textlink="">
      <xdr:nvSpPr>
        <xdr:cNvPr id="526" name="Line 593">
          <a:extLst>
            <a:ext uri="{FF2B5EF4-FFF2-40B4-BE49-F238E27FC236}">
              <a16:creationId xmlns:a16="http://schemas.microsoft.com/office/drawing/2014/main" id="{00000000-0008-0000-0000-00000E020000}"/>
            </a:ext>
          </a:extLst>
        </xdr:cNvPr>
        <xdr:cNvSpPr>
          <a:spLocks noChangeShapeType="1"/>
        </xdr:cNvSpPr>
      </xdr:nvSpPr>
      <xdr:spPr bwMode="auto">
        <a:xfrm flipV="1">
          <a:off x="2333625" y="2700337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342900</xdr:colOff>
      <xdr:row>139</xdr:row>
      <xdr:rowOff>142875</xdr:rowOff>
    </xdr:from>
    <xdr:to>
      <xdr:col>4</xdr:col>
      <xdr:colOff>38100</xdr:colOff>
      <xdr:row>140</xdr:row>
      <xdr:rowOff>19050</xdr:rowOff>
    </xdr:to>
    <xdr:sp macro="" textlink="" fLocksText="0">
      <xdr:nvSpPr>
        <xdr:cNvPr id="527" name="Oval 594">
          <a:extLst>
            <a:ext uri="{FF2B5EF4-FFF2-40B4-BE49-F238E27FC236}">
              <a16:creationId xmlns:a16="http://schemas.microsoft.com/office/drawing/2014/main" id="{00000000-0008-0000-0000-00000F020000}"/>
            </a:ext>
          </a:extLst>
        </xdr:cNvPr>
        <xdr:cNvSpPr>
          <a:spLocks noChangeArrowheads="1"/>
        </xdr:cNvSpPr>
      </xdr:nvSpPr>
      <xdr:spPr bwMode="auto">
        <a:xfrm>
          <a:off x="2305050" y="26984325"/>
          <a:ext cx="6667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342900</xdr:colOff>
      <xdr:row>141</xdr:row>
      <xdr:rowOff>38100</xdr:rowOff>
    </xdr:from>
    <xdr:to>
      <xdr:col>4</xdr:col>
      <xdr:colOff>38100</xdr:colOff>
      <xdr:row>141</xdr:row>
      <xdr:rowOff>104775</xdr:rowOff>
    </xdr:to>
    <xdr:sp macro="" textlink="" fLocksText="0">
      <xdr:nvSpPr>
        <xdr:cNvPr id="528" name="Oval 595">
          <a:extLst>
            <a:ext uri="{FF2B5EF4-FFF2-40B4-BE49-F238E27FC236}">
              <a16:creationId xmlns:a16="http://schemas.microsoft.com/office/drawing/2014/main" id="{00000000-0008-0000-0000-000010020000}"/>
            </a:ext>
          </a:extLst>
        </xdr:cNvPr>
        <xdr:cNvSpPr>
          <a:spLocks noChangeArrowheads="1"/>
        </xdr:cNvSpPr>
      </xdr:nvSpPr>
      <xdr:spPr bwMode="auto">
        <a:xfrm>
          <a:off x="2305050" y="27260550"/>
          <a:ext cx="6667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266700</xdr:colOff>
      <xdr:row>140</xdr:row>
      <xdr:rowOff>142875</xdr:rowOff>
    </xdr:from>
    <xdr:to>
      <xdr:col>4</xdr:col>
      <xdr:colOff>0</xdr:colOff>
      <xdr:row>140</xdr:row>
      <xdr:rowOff>161925</xdr:rowOff>
    </xdr:to>
    <xdr:sp macro="" textlink="">
      <xdr:nvSpPr>
        <xdr:cNvPr id="529" name="Line 597">
          <a:extLst>
            <a:ext uri="{FF2B5EF4-FFF2-40B4-BE49-F238E27FC236}">
              <a16:creationId xmlns:a16="http://schemas.microsoft.com/office/drawing/2014/main" id="{00000000-0008-0000-0000-000011020000}"/>
            </a:ext>
          </a:extLst>
        </xdr:cNvPr>
        <xdr:cNvSpPr>
          <a:spLocks noChangeShapeType="1"/>
        </xdr:cNvSpPr>
      </xdr:nvSpPr>
      <xdr:spPr bwMode="auto">
        <a:xfrm>
          <a:off x="2228850" y="27174825"/>
          <a:ext cx="104775" cy="19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145</xdr:row>
      <xdr:rowOff>85725</xdr:rowOff>
    </xdr:from>
    <xdr:to>
      <xdr:col>5</xdr:col>
      <xdr:colOff>609600</xdr:colOff>
      <xdr:row>145</xdr:row>
      <xdr:rowOff>85725</xdr:rowOff>
    </xdr:to>
    <xdr:sp macro="" textlink="">
      <xdr:nvSpPr>
        <xdr:cNvPr id="530" name="Line 598">
          <a:extLst>
            <a:ext uri="{FF2B5EF4-FFF2-40B4-BE49-F238E27FC236}">
              <a16:creationId xmlns:a16="http://schemas.microsoft.com/office/drawing/2014/main" id="{00000000-0008-0000-0000-000012020000}"/>
            </a:ext>
          </a:extLst>
        </xdr:cNvPr>
        <xdr:cNvSpPr>
          <a:spLocks noChangeShapeType="1"/>
        </xdr:cNvSpPr>
      </xdr:nvSpPr>
      <xdr:spPr bwMode="auto">
        <a:xfrm flipH="1">
          <a:off x="1733550" y="28098750"/>
          <a:ext cx="1533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144</xdr:row>
      <xdr:rowOff>161925</xdr:rowOff>
    </xdr:from>
    <xdr:to>
      <xdr:col>4</xdr:col>
      <xdr:colOff>190500</xdr:colOff>
      <xdr:row>156</xdr:row>
      <xdr:rowOff>38100</xdr:rowOff>
    </xdr:to>
    <xdr:sp macro="" textlink="">
      <xdr:nvSpPr>
        <xdr:cNvPr id="531" name="Line 599">
          <a:extLst>
            <a:ext uri="{FF2B5EF4-FFF2-40B4-BE49-F238E27FC236}">
              <a16:creationId xmlns:a16="http://schemas.microsoft.com/office/drawing/2014/main" id="{00000000-0008-0000-0000-000013020000}"/>
            </a:ext>
          </a:extLst>
        </xdr:cNvPr>
        <xdr:cNvSpPr>
          <a:spLocks noChangeShapeType="1"/>
        </xdr:cNvSpPr>
      </xdr:nvSpPr>
      <xdr:spPr bwMode="auto">
        <a:xfrm>
          <a:off x="2524125" y="27974925"/>
          <a:ext cx="0" cy="2219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141</xdr:row>
      <xdr:rowOff>190500</xdr:rowOff>
    </xdr:from>
    <xdr:to>
      <xdr:col>5</xdr:col>
      <xdr:colOff>142875</xdr:colOff>
      <xdr:row>159</xdr:row>
      <xdr:rowOff>47625</xdr:rowOff>
    </xdr:to>
    <xdr:sp macro="" textlink="">
      <xdr:nvSpPr>
        <xdr:cNvPr id="532" name="Line 600">
          <a:extLst>
            <a:ext uri="{FF2B5EF4-FFF2-40B4-BE49-F238E27FC236}">
              <a16:creationId xmlns:a16="http://schemas.microsoft.com/office/drawing/2014/main" id="{00000000-0008-0000-0000-000014020000}"/>
            </a:ext>
          </a:extLst>
        </xdr:cNvPr>
        <xdr:cNvSpPr>
          <a:spLocks noChangeShapeType="1"/>
        </xdr:cNvSpPr>
      </xdr:nvSpPr>
      <xdr:spPr bwMode="auto">
        <a:xfrm flipV="1">
          <a:off x="2800350" y="27412950"/>
          <a:ext cx="0" cy="3371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141</xdr:row>
      <xdr:rowOff>171450</xdr:rowOff>
    </xdr:from>
    <xdr:to>
      <xdr:col>5</xdr:col>
      <xdr:colOff>352425</xdr:colOff>
      <xdr:row>147</xdr:row>
      <xdr:rowOff>161925</xdr:rowOff>
    </xdr:to>
    <xdr:sp macro="" textlink="">
      <xdr:nvSpPr>
        <xdr:cNvPr id="533" name="Line 601">
          <a:extLst>
            <a:ext uri="{FF2B5EF4-FFF2-40B4-BE49-F238E27FC236}">
              <a16:creationId xmlns:a16="http://schemas.microsoft.com/office/drawing/2014/main" id="{00000000-0008-0000-0000-000015020000}"/>
            </a:ext>
          </a:extLst>
        </xdr:cNvPr>
        <xdr:cNvSpPr>
          <a:spLocks noChangeShapeType="1"/>
        </xdr:cNvSpPr>
      </xdr:nvSpPr>
      <xdr:spPr bwMode="auto">
        <a:xfrm>
          <a:off x="3009900" y="27393900"/>
          <a:ext cx="0" cy="1181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146</xdr:row>
      <xdr:rowOff>85725</xdr:rowOff>
    </xdr:from>
    <xdr:to>
      <xdr:col>5</xdr:col>
      <xdr:colOff>609600</xdr:colOff>
      <xdr:row>146</xdr:row>
      <xdr:rowOff>85725</xdr:rowOff>
    </xdr:to>
    <xdr:sp macro="" textlink="">
      <xdr:nvSpPr>
        <xdr:cNvPr id="534" name="Line 602">
          <a:extLst>
            <a:ext uri="{FF2B5EF4-FFF2-40B4-BE49-F238E27FC236}">
              <a16:creationId xmlns:a16="http://schemas.microsoft.com/office/drawing/2014/main" id="{00000000-0008-0000-0000-000016020000}"/>
            </a:ext>
          </a:extLst>
        </xdr:cNvPr>
        <xdr:cNvSpPr>
          <a:spLocks noChangeShapeType="1"/>
        </xdr:cNvSpPr>
      </xdr:nvSpPr>
      <xdr:spPr bwMode="auto">
        <a:xfrm>
          <a:off x="2524125" y="28298775"/>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147</xdr:row>
      <xdr:rowOff>104775</xdr:rowOff>
    </xdr:from>
    <xdr:to>
      <xdr:col>5</xdr:col>
      <xdr:colOff>609600</xdr:colOff>
      <xdr:row>147</xdr:row>
      <xdr:rowOff>104775</xdr:rowOff>
    </xdr:to>
    <xdr:sp macro="" textlink="">
      <xdr:nvSpPr>
        <xdr:cNvPr id="535" name="Line 603">
          <a:extLst>
            <a:ext uri="{FF2B5EF4-FFF2-40B4-BE49-F238E27FC236}">
              <a16:creationId xmlns:a16="http://schemas.microsoft.com/office/drawing/2014/main" id="{00000000-0008-0000-0000-000017020000}"/>
            </a:ext>
          </a:extLst>
        </xdr:cNvPr>
        <xdr:cNvSpPr>
          <a:spLocks noChangeShapeType="1"/>
        </xdr:cNvSpPr>
      </xdr:nvSpPr>
      <xdr:spPr bwMode="auto">
        <a:xfrm flipH="1">
          <a:off x="2800350" y="28517850"/>
          <a:ext cx="466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638175</xdr:colOff>
      <xdr:row>145</xdr:row>
      <xdr:rowOff>9525</xdr:rowOff>
    </xdr:from>
    <xdr:to>
      <xdr:col>5</xdr:col>
      <xdr:colOff>733425</xdr:colOff>
      <xdr:row>147</xdr:row>
      <xdr:rowOff>142875</xdr:rowOff>
    </xdr:to>
    <xdr:sp macro="" textlink="">
      <xdr:nvSpPr>
        <xdr:cNvPr id="536" name="Tegning 604">
          <a:extLst>
            <a:ext uri="{FF2B5EF4-FFF2-40B4-BE49-F238E27FC236}">
              <a16:creationId xmlns:a16="http://schemas.microsoft.com/office/drawing/2014/main" id="{00000000-0008-0000-0000-000018020000}"/>
            </a:ext>
          </a:extLst>
        </xdr:cNvPr>
        <xdr:cNvSpPr>
          <a:spLocks/>
        </xdr:cNvSpPr>
      </xdr:nvSpPr>
      <xdr:spPr bwMode="auto">
        <a:xfrm>
          <a:off x="3295650" y="28022550"/>
          <a:ext cx="95250" cy="5334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104775</xdr:colOff>
      <xdr:row>145</xdr:row>
      <xdr:rowOff>47625</xdr:rowOff>
    </xdr:from>
    <xdr:to>
      <xdr:col>4</xdr:col>
      <xdr:colOff>190500</xdr:colOff>
      <xdr:row>145</xdr:row>
      <xdr:rowOff>123825</xdr:rowOff>
    </xdr:to>
    <xdr:sp macro="" textlink="">
      <xdr:nvSpPr>
        <xdr:cNvPr id="537" name="Tegning 605">
          <a:extLst>
            <a:ext uri="{FF2B5EF4-FFF2-40B4-BE49-F238E27FC236}">
              <a16:creationId xmlns:a16="http://schemas.microsoft.com/office/drawing/2014/main" id="{00000000-0008-0000-0000-000019020000}"/>
            </a:ext>
          </a:extLst>
        </xdr:cNvPr>
        <xdr:cNvSpPr>
          <a:spLocks/>
        </xdr:cNvSpPr>
      </xdr:nvSpPr>
      <xdr:spPr bwMode="auto">
        <a:xfrm>
          <a:off x="2438400" y="28060650"/>
          <a:ext cx="8572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76200</xdr:colOff>
      <xdr:row>146</xdr:row>
      <xdr:rowOff>57150</xdr:rowOff>
    </xdr:from>
    <xdr:to>
      <xdr:col>5</xdr:col>
      <xdr:colOff>142875</xdr:colOff>
      <xdr:row>146</xdr:row>
      <xdr:rowOff>123825</xdr:rowOff>
    </xdr:to>
    <xdr:sp macro="" textlink="">
      <xdr:nvSpPr>
        <xdr:cNvPr id="538" name="Tegning 606">
          <a:extLst>
            <a:ext uri="{FF2B5EF4-FFF2-40B4-BE49-F238E27FC236}">
              <a16:creationId xmlns:a16="http://schemas.microsoft.com/office/drawing/2014/main" id="{00000000-0008-0000-0000-00001A020000}"/>
            </a:ext>
          </a:extLst>
        </xdr:cNvPr>
        <xdr:cNvSpPr>
          <a:spLocks/>
        </xdr:cNvSpPr>
      </xdr:nvSpPr>
      <xdr:spPr bwMode="auto">
        <a:xfrm>
          <a:off x="2733675" y="28270200"/>
          <a:ext cx="66675" cy="6667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285750</xdr:colOff>
      <xdr:row>147</xdr:row>
      <xdr:rowOff>66675</xdr:rowOff>
    </xdr:from>
    <xdr:to>
      <xdr:col>5</xdr:col>
      <xdr:colOff>352425</xdr:colOff>
      <xdr:row>147</xdr:row>
      <xdr:rowOff>142875</xdr:rowOff>
    </xdr:to>
    <xdr:sp macro="" textlink="">
      <xdr:nvSpPr>
        <xdr:cNvPr id="539" name="Tegning 607">
          <a:extLst>
            <a:ext uri="{FF2B5EF4-FFF2-40B4-BE49-F238E27FC236}">
              <a16:creationId xmlns:a16="http://schemas.microsoft.com/office/drawing/2014/main" id="{00000000-0008-0000-0000-00001B020000}"/>
            </a:ext>
          </a:extLst>
        </xdr:cNvPr>
        <xdr:cNvSpPr>
          <a:spLocks/>
        </xdr:cNvSpPr>
      </xdr:nvSpPr>
      <xdr:spPr bwMode="auto">
        <a:xfrm>
          <a:off x="2943225" y="28479750"/>
          <a:ext cx="6667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145</xdr:row>
      <xdr:rowOff>47625</xdr:rowOff>
    </xdr:from>
    <xdr:to>
      <xdr:col>2</xdr:col>
      <xdr:colOff>438150</xdr:colOff>
      <xdr:row>145</xdr:row>
      <xdr:rowOff>123825</xdr:rowOff>
    </xdr:to>
    <xdr:sp macro="" textlink="">
      <xdr:nvSpPr>
        <xdr:cNvPr id="540" name="Tegning 608">
          <a:extLst>
            <a:ext uri="{FF2B5EF4-FFF2-40B4-BE49-F238E27FC236}">
              <a16:creationId xmlns:a16="http://schemas.microsoft.com/office/drawing/2014/main" id="{00000000-0008-0000-0000-00001C020000}"/>
            </a:ext>
          </a:extLst>
        </xdr:cNvPr>
        <xdr:cNvSpPr>
          <a:spLocks/>
        </xdr:cNvSpPr>
      </xdr:nvSpPr>
      <xdr:spPr bwMode="auto">
        <a:xfrm>
          <a:off x="1743075" y="28060650"/>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190500</xdr:colOff>
      <xdr:row>146</xdr:row>
      <xdr:rowOff>47625</xdr:rowOff>
    </xdr:from>
    <xdr:to>
      <xdr:col>4</xdr:col>
      <xdr:colOff>257175</xdr:colOff>
      <xdr:row>146</xdr:row>
      <xdr:rowOff>123825</xdr:rowOff>
    </xdr:to>
    <xdr:sp macro="" textlink="">
      <xdr:nvSpPr>
        <xdr:cNvPr id="541" name="Tegning 609">
          <a:extLst>
            <a:ext uri="{FF2B5EF4-FFF2-40B4-BE49-F238E27FC236}">
              <a16:creationId xmlns:a16="http://schemas.microsoft.com/office/drawing/2014/main" id="{00000000-0008-0000-0000-00001D020000}"/>
            </a:ext>
          </a:extLst>
        </xdr:cNvPr>
        <xdr:cNvSpPr>
          <a:spLocks/>
        </xdr:cNvSpPr>
      </xdr:nvSpPr>
      <xdr:spPr bwMode="auto">
        <a:xfrm>
          <a:off x="2524125" y="28260675"/>
          <a:ext cx="6667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133350</xdr:colOff>
      <xdr:row>147</xdr:row>
      <xdr:rowOff>66675</xdr:rowOff>
    </xdr:from>
    <xdr:to>
      <xdr:col>5</xdr:col>
      <xdr:colOff>200025</xdr:colOff>
      <xdr:row>147</xdr:row>
      <xdr:rowOff>142875</xdr:rowOff>
    </xdr:to>
    <xdr:sp macro="" textlink="">
      <xdr:nvSpPr>
        <xdr:cNvPr id="542" name="Tegning 610">
          <a:extLst>
            <a:ext uri="{FF2B5EF4-FFF2-40B4-BE49-F238E27FC236}">
              <a16:creationId xmlns:a16="http://schemas.microsoft.com/office/drawing/2014/main" id="{00000000-0008-0000-0000-00001E020000}"/>
            </a:ext>
          </a:extLst>
        </xdr:cNvPr>
        <xdr:cNvSpPr>
          <a:spLocks/>
        </xdr:cNvSpPr>
      </xdr:nvSpPr>
      <xdr:spPr bwMode="auto">
        <a:xfrm>
          <a:off x="2790825" y="28479750"/>
          <a:ext cx="6667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152</xdr:row>
      <xdr:rowOff>114300</xdr:rowOff>
    </xdr:from>
    <xdr:to>
      <xdr:col>6</xdr:col>
      <xdr:colOff>0</xdr:colOff>
      <xdr:row>152</xdr:row>
      <xdr:rowOff>114300</xdr:rowOff>
    </xdr:to>
    <xdr:sp macro="" textlink="">
      <xdr:nvSpPr>
        <xdr:cNvPr id="543" name="Line 611">
          <a:extLst>
            <a:ext uri="{FF2B5EF4-FFF2-40B4-BE49-F238E27FC236}">
              <a16:creationId xmlns:a16="http://schemas.microsoft.com/office/drawing/2014/main" id="{00000000-0008-0000-0000-00001F020000}"/>
            </a:ext>
          </a:extLst>
        </xdr:cNvPr>
        <xdr:cNvSpPr>
          <a:spLocks noChangeShapeType="1"/>
        </xdr:cNvSpPr>
      </xdr:nvSpPr>
      <xdr:spPr bwMode="auto">
        <a:xfrm flipH="1">
          <a:off x="1743075" y="29498925"/>
          <a:ext cx="1666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151</xdr:row>
      <xdr:rowOff>19050</xdr:rowOff>
    </xdr:from>
    <xdr:to>
      <xdr:col>2</xdr:col>
      <xdr:colOff>361950</xdr:colOff>
      <xdr:row>151</xdr:row>
      <xdr:rowOff>209550</xdr:rowOff>
    </xdr:to>
    <xdr:sp macro="" textlink="">
      <xdr:nvSpPr>
        <xdr:cNvPr id="544" name="Line 612">
          <a:extLst>
            <a:ext uri="{FF2B5EF4-FFF2-40B4-BE49-F238E27FC236}">
              <a16:creationId xmlns:a16="http://schemas.microsoft.com/office/drawing/2014/main" id="{00000000-0008-0000-0000-000020020000}"/>
            </a:ext>
          </a:extLst>
        </xdr:cNvPr>
        <xdr:cNvSpPr>
          <a:spLocks noChangeShapeType="1"/>
        </xdr:cNvSpPr>
      </xdr:nvSpPr>
      <xdr:spPr bwMode="auto">
        <a:xfrm>
          <a:off x="1743075" y="29213175"/>
          <a:ext cx="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152</xdr:row>
      <xdr:rowOff>47625</xdr:rowOff>
    </xdr:from>
    <xdr:to>
      <xdr:col>3</xdr:col>
      <xdr:colOff>276225</xdr:colOff>
      <xdr:row>152</xdr:row>
      <xdr:rowOff>171450</xdr:rowOff>
    </xdr:to>
    <xdr:sp macro="" textlink="">
      <xdr:nvSpPr>
        <xdr:cNvPr id="545" name="Tegning 613">
          <a:extLst>
            <a:ext uri="{FF2B5EF4-FFF2-40B4-BE49-F238E27FC236}">
              <a16:creationId xmlns:a16="http://schemas.microsoft.com/office/drawing/2014/main" id="{00000000-0008-0000-0000-000021020000}"/>
            </a:ext>
          </a:extLst>
        </xdr:cNvPr>
        <xdr:cNvSpPr>
          <a:spLocks/>
        </xdr:cNvSpPr>
      </xdr:nvSpPr>
      <xdr:spPr bwMode="auto">
        <a:xfrm>
          <a:off x="2133600" y="29432250"/>
          <a:ext cx="104775" cy="1238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190500</xdr:colOff>
      <xdr:row>155</xdr:row>
      <xdr:rowOff>123825</xdr:rowOff>
    </xdr:from>
    <xdr:to>
      <xdr:col>5</xdr:col>
      <xdr:colOff>742950</xdr:colOff>
      <xdr:row>155</xdr:row>
      <xdr:rowOff>123825</xdr:rowOff>
    </xdr:to>
    <xdr:sp macro="" textlink="">
      <xdr:nvSpPr>
        <xdr:cNvPr id="546" name="Line 614">
          <a:extLst>
            <a:ext uri="{FF2B5EF4-FFF2-40B4-BE49-F238E27FC236}">
              <a16:creationId xmlns:a16="http://schemas.microsoft.com/office/drawing/2014/main" id="{00000000-0008-0000-0000-000022020000}"/>
            </a:ext>
          </a:extLst>
        </xdr:cNvPr>
        <xdr:cNvSpPr>
          <a:spLocks noChangeShapeType="1"/>
        </xdr:cNvSpPr>
      </xdr:nvSpPr>
      <xdr:spPr bwMode="auto">
        <a:xfrm flipH="1">
          <a:off x="2524125" y="30089475"/>
          <a:ext cx="876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155</xdr:row>
      <xdr:rowOff>28575</xdr:rowOff>
    </xdr:from>
    <xdr:to>
      <xdr:col>4</xdr:col>
      <xdr:colOff>190500</xdr:colOff>
      <xdr:row>155</xdr:row>
      <xdr:rowOff>190500</xdr:rowOff>
    </xdr:to>
    <xdr:sp macro="" textlink="">
      <xdr:nvSpPr>
        <xdr:cNvPr id="547" name="Line 615">
          <a:extLst>
            <a:ext uri="{FF2B5EF4-FFF2-40B4-BE49-F238E27FC236}">
              <a16:creationId xmlns:a16="http://schemas.microsoft.com/office/drawing/2014/main" id="{00000000-0008-0000-0000-000023020000}"/>
            </a:ext>
          </a:extLst>
        </xdr:cNvPr>
        <xdr:cNvSpPr>
          <a:spLocks noChangeShapeType="1"/>
        </xdr:cNvSpPr>
      </xdr:nvSpPr>
      <xdr:spPr bwMode="auto">
        <a:xfrm>
          <a:off x="2524125" y="29994225"/>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155</xdr:row>
      <xdr:rowOff>47625</xdr:rowOff>
    </xdr:from>
    <xdr:to>
      <xdr:col>5</xdr:col>
      <xdr:colOff>142875</xdr:colOff>
      <xdr:row>155</xdr:row>
      <xdr:rowOff>209550</xdr:rowOff>
    </xdr:to>
    <xdr:sp macro="" textlink="">
      <xdr:nvSpPr>
        <xdr:cNvPr id="548" name="Line 616">
          <a:extLst>
            <a:ext uri="{FF2B5EF4-FFF2-40B4-BE49-F238E27FC236}">
              <a16:creationId xmlns:a16="http://schemas.microsoft.com/office/drawing/2014/main" id="{00000000-0008-0000-0000-000024020000}"/>
            </a:ext>
          </a:extLst>
        </xdr:cNvPr>
        <xdr:cNvSpPr>
          <a:spLocks noChangeShapeType="1"/>
        </xdr:cNvSpPr>
      </xdr:nvSpPr>
      <xdr:spPr bwMode="auto">
        <a:xfrm>
          <a:off x="2800350" y="3001327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155</xdr:row>
      <xdr:rowOff>76200</xdr:rowOff>
    </xdr:from>
    <xdr:to>
      <xdr:col>4</xdr:col>
      <xdr:colOff>266700</xdr:colOff>
      <xdr:row>155</xdr:row>
      <xdr:rowOff>171450</xdr:rowOff>
    </xdr:to>
    <xdr:sp macro="" textlink="">
      <xdr:nvSpPr>
        <xdr:cNvPr id="549" name="Tegning 617">
          <a:extLst>
            <a:ext uri="{FF2B5EF4-FFF2-40B4-BE49-F238E27FC236}">
              <a16:creationId xmlns:a16="http://schemas.microsoft.com/office/drawing/2014/main" id="{00000000-0008-0000-0000-000025020000}"/>
            </a:ext>
          </a:extLst>
        </xdr:cNvPr>
        <xdr:cNvSpPr>
          <a:spLocks/>
        </xdr:cNvSpPr>
      </xdr:nvSpPr>
      <xdr:spPr bwMode="auto">
        <a:xfrm>
          <a:off x="2514600" y="30041850"/>
          <a:ext cx="85725" cy="952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152400</xdr:colOff>
      <xdr:row>158</xdr:row>
      <xdr:rowOff>114300</xdr:rowOff>
    </xdr:from>
    <xdr:to>
      <xdr:col>6</xdr:col>
      <xdr:colOff>0</xdr:colOff>
      <xdr:row>158</xdr:row>
      <xdr:rowOff>114300</xdr:rowOff>
    </xdr:to>
    <xdr:sp macro="" textlink="">
      <xdr:nvSpPr>
        <xdr:cNvPr id="550" name="Line 618">
          <a:extLst>
            <a:ext uri="{FF2B5EF4-FFF2-40B4-BE49-F238E27FC236}">
              <a16:creationId xmlns:a16="http://schemas.microsoft.com/office/drawing/2014/main" id="{00000000-0008-0000-0000-000026020000}"/>
            </a:ext>
          </a:extLst>
        </xdr:cNvPr>
        <xdr:cNvSpPr>
          <a:spLocks noChangeShapeType="1"/>
        </xdr:cNvSpPr>
      </xdr:nvSpPr>
      <xdr:spPr bwMode="auto">
        <a:xfrm flipH="1">
          <a:off x="2809875" y="30660975"/>
          <a:ext cx="600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158</xdr:row>
      <xdr:rowOff>28575</xdr:rowOff>
    </xdr:from>
    <xdr:to>
      <xdr:col>5</xdr:col>
      <xdr:colOff>142875</xdr:colOff>
      <xdr:row>158</xdr:row>
      <xdr:rowOff>200025</xdr:rowOff>
    </xdr:to>
    <xdr:sp macro="" textlink="">
      <xdr:nvSpPr>
        <xdr:cNvPr id="551" name="Line 619">
          <a:extLst>
            <a:ext uri="{FF2B5EF4-FFF2-40B4-BE49-F238E27FC236}">
              <a16:creationId xmlns:a16="http://schemas.microsoft.com/office/drawing/2014/main" id="{00000000-0008-0000-0000-000027020000}"/>
            </a:ext>
          </a:extLst>
        </xdr:cNvPr>
        <xdr:cNvSpPr>
          <a:spLocks noChangeShapeType="1"/>
        </xdr:cNvSpPr>
      </xdr:nvSpPr>
      <xdr:spPr bwMode="auto">
        <a:xfrm>
          <a:off x="2800350" y="3057525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158</xdr:row>
      <xdr:rowOff>28575</xdr:rowOff>
    </xdr:from>
    <xdr:to>
      <xdr:col>5</xdr:col>
      <xdr:colOff>381000</xdr:colOff>
      <xdr:row>158</xdr:row>
      <xdr:rowOff>190500</xdr:rowOff>
    </xdr:to>
    <xdr:sp macro="" textlink="">
      <xdr:nvSpPr>
        <xdr:cNvPr id="552" name="Line 620">
          <a:extLst>
            <a:ext uri="{FF2B5EF4-FFF2-40B4-BE49-F238E27FC236}">
              <a16:creationId xmlns:a16="http://schemas.microsoft.com/office/drawing/2014/main" id="{00000000-0008-0000-0000-000028020000}"/>
            </a:ext>
          </a:extLst>
        </xdr:cNvPr>
        <xdr:cNvSpPr>
          <a:spLocks noChangeShapeType="1"/>
        </xdr:cNvSpPr>
      </xdr:nvSpPr>
      <xdr:spPr bwMode="auto">
        <a:xfrm>
          <a:off x="3038475" y="3057525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158</xdr:row>
      <xdr:rowOff>66675</xdr:rowOff>
    </xdr:from>
    <xdr:to>
      <xdr:col>5</xdr:col>
      <xdr:colOff>371475</xdr:colOff>
      <xdr:row>158</xdr:row>
      <xdr:rowOff>161925</xdr:rowOff>
    </xdr:to>
    <xdr:sp macro="" textlink="">
      <xdr:nvSpPr>
        <xdr:cNvPr id="553" name="Tegning 621">
          <a:extLst>
            <a:ext uri="{FF2B5EF4-FFF2-40B4-BE49-F238E27FC236}">
              <a16:creationId xmlns:a16="http://schemas.microsoft.com/office/drawing/2014/main" id="{00000000-0008-0000-0000-000029020000}"/>
            </a:ext>
          </a:extLst>
        </xdr:cNvPr>
        <xdr:cNvSpPr>
          <a:spLocks/>
        </xdr:cNvSpPr>
      </xdr:nvSpPr>
      <xdr:spPr bwMode="auto">
        <a:xfrm>
          <a:off x="2962275" y="30613350"/>
          <a:ext cx="66675" cy="9525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152400</xdr:colOff>
      <xdr:row>116</xdr:row>
      <xdr:rowOff>85725</xdr:rowOff>
    </xdr:from>
    <xdr:to>
      <xdr:col>31</xdr:col>
      <xdr:colOff>152400</xdr:colOff>
      <xdr:row>118</xdr:row>
      <xdr:rowOff>0</xdr:rowOff>
    </xdr:to>
    <xdr:sp macro="" textlink="">
      <xdr:nvSpPr>
        <xdr:cNvPr id="554" name="Line 622">
          <a:extLst>
            <a:ext uri="{FF2B5EF4-FFF2-40B4-BE49-F238E27FC236}">
              <a16:creationId xmlns:a16="http://schemas.microsoft.com/office/drawing/2014/main" id="{00000000-0008-0000-0000-00002A020000}"/>
            </a:ext>
          </a:extLst>
        </xdr:cNvPr>
        <xdr:cNvSpPr>
          <a:spLocks noChangeShapeType="1"/>
        </xdr:cNvSpPr>
      </xdr:nvSpPr>
      <xdr:spPr bwMode="auto">
        <a:xfrm flipV="1">
          <a:off x="22707600" y="224218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152400</xdr:colOff>
      <xdr:row>141</xdr:row>
      <xdr:rowOff>142875</xdr:rowOff>
    </xdr:from>
    <xdr:to>
      <xdr:col>31</xdr:col>
      <xdr:colOff>152400</xdr:colOff>
      <xdr:row>143</xdr:row>
      <xdr:rowOff>142875</xdr:rowOff>
    </xdr:to>
    <xdr:sp macro="" textlink="">
      <xdr:nvSpPr>
        <xdr:cNvPr id="555" name="Line 623">
          <a:extLst>
            <a:ext uri="{FF2B5EF4-FFF2-40B4-BE49-F238E27FC236}">
              <a16:creationId xmlns:a16="http://schemas.microsoft.com/office/drawing/2014/main" id="{00000000-0008-0000-0000-00002B020000}"/>
            </a:ext>
          </a:extLst>
        </xdr:cNvPr>
        <xdr:cNvSpPr>
          <a:spLocks noChangeShapeType="1"/>
        </xdr:cNvSpPr>
      </xdr:nvSpPr>
      <xdr:spPr bwMode="auto">
        <a:xfrm flipV="1">
          <a:off x="22707600" y="27365325"/>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590550</xdr:colOff>
      <xdr:row>146</xdr:row>
      <xdr:rowOff>114300</xdr:rowOff>
    </xdr:from>
    <xdr:to>
      <xdr:col>29</xdr:col>
      <xdr:colOff>714375</xdr:colOff>
      <xdr:row>147</xdr:row>
      <xdr:rowOff>47625</xdr:rowOff>
    </xdr:to>
    <xdr:sp macro="" textlink="">
      <xdr:nvSpPr>
        <xdr:cNvPr id="556" name="Line 624">
          <a:extLst>
            <a:ext uri="{FF2B5EF4-FFF2-40B4-BE49-F238E27FC236}">
              <a16:creationId xmlns:a16="http://schemas.microsoft.com/office/drawing/2014/main" id="{00000000-0008-0000-0000-00002C020000}"/>
            </a:ext>
          </a:extLst>
        </xdr:cNvPr>
        <xdr:cNvSpPr>
          <a:spLocks noChangeShapeType="1"/>
        </xdr:cNvSpPr>
      </xdr:nvSpPr>
      <xdr:spPr bwMode="auto">
        <a:xfrm flipH="1">
          <a:off x="21640800" y="28327350"/>
          <a:ext cx="123825"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123825</xdr:colOff>
      <xdr:row>40</xdr:row>
      <xdr:rowOff>85725</xdr:rowOff>
    </xdr:from>
    <xdr:to>
      <xdr:col>16</xdr:col>
      <xdr:colOff>19050</xdr:colOff>
      <xdr:row>41</xdr:row>
      <xdr:rowOff>104775</xdr:rowOff>
    </xdr:to>
    <xdr:sp macro="" textlink="">
      <xdr:nvSpPr>
        <xdr:cNvPr id="557" name="Tegning 625">
          <a:extLst>
            <a:ext uri="{FF2B5EF4-FFF2-40B4-BE49-F238E27FC236}">
              <a16:creationId xmlns:a16="http://schemas.microsoft.com/office/drawing/2014/main" id="{00000000-0008-0000-0000-00002D020000}"/>
            </a:ext>
          </a:extLst>
        </xdr:cNvPr>
        <xdr:cNvSpPr>
          <a:spLocks/>
        </xdr:cNvSpPr>
      </xdr:nvSpPr>
      <xdr:spPr bwMode="auto">
        <a:xfrm>
          <a:off x="10125075" y="7572375"/>
          <a:ext cx="733425" cy="2190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0082" y="0"/>
              </a:moveTo>
              <a:lnTo>
                <a:pt x="16384" y="0"/>
              </a:lnTo>
              <a:lnTo>
                <a:pt x="16384" y="16384"/>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35</xdr:col>
      <xdr:colOff>0</xdr:colOff>
      <xdr:row>122</xdr:row>
      <xdr:rowOff>28575</xdr:rowOff>
    </xdr:from>
    <xdr:to>
      <xdr:col>39</xdr:col>
      <xdr:colOff>704850</xdr:colOff>
      <xdr:row>133</xdr:row>
      <xdr:rowOff>161925</xdr:rowOff>
    </xdr:to>
    <xdr:graphicFrame macro="">
      <xdr:nvGraphicFramePr>
        <xdr:cNvPr id="558" name="Chart 627">
          <a:extLst>
            <a:ext uri="{FF2B5EF4-FFF2-40B4-BE49-F238E27FC236}">
              <a16:creationId xmlns:a16="http://schemas.microsoft.com/office/drawing/2014/main" id="{00000000-0008-0000-0000-00002E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9525</xdr:colOff>
      <xdr:row>147</xdr:row>
      <xdr:rowOff>0</xdr:rowOff>
    </xdr:from>
    <xdr:to>
      <xdr:col>39</xdr:col>
      <xdr:colOff>733425</xdr:colOff>
      <xdr:row>159</xdr:row>
      <xdr:rowOff>0</xdr:rowOff>
    </xdr:to>
    <xdr:graphicFrame macro="">
      <xdr:nvGraphicFramePr>
        <xdr:cNvPr id="559" name="Chart 628">
          <a:extLst>
            <a:ext uri="{FF2B5EF4-FFF2-40B4-BE49-F238E27FC236}">
              <a16:creationId xmlns:a16="http://schemas.microsoft.com/office/drawing/2014/main" id="{00000000-0008-0000-0000-00002F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0</xdr:colOff>
      <xdr:row>10</xdr:row>
      <xdr:rowOff>0</xdr:rowOff>
    </xdr:from>
    <xdr:to>
      <xdr:col>33</xdr:col>
      <xdr:colOff>0</xdr:colOff>
      <xdr:row>11</xdr:row>
      <xdr:rowOff>161925</xdr:rowOff>
    </xdr:to>
    <xdr:sp macro="" textlink="">
      <xdr:nvSpPr>
        <xdr:cNvPr id="560" name="Line 631">
          <a:extLst>
            <a:ext uri="{FF2B5EF4-FFF2-40B4-BE49-F238E27FC236}">
              <a16:creationId xmlns:a16="http://schemas.microsoft.com/office/drawing/2014/main" id="{00000000-0008-0000-0000-000030020000}"/>
            </a:ext>
          </a:extLst>
        </xdr:cNvPr>
        <xdr:cNvSpPr>
          <a:spLocks noChangeShapeType="1"/>
        </xdr:cNvSpPr>
      </xdr:nvSpPr>
      <xdr:spPr bwMode="auto">
        <a:xfrm flipV="1">
          <a:off x="24060150" y="1628775"/>
          <a:ext cx="0" cy="3619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33</xdr:col>
      <xdr:colOff>76200</xdr:colOff>
      <xdr:row>9</xdr:row>
      <xdr:rowOff>9525</xdr:rowOff>
    </xdr:from>
    <xdr:to>
      <xdr:col>33</xdr:col>
      <xdr:colOff>666750</xdr:colOff>
      <xdr:row>9</xdr:row>
      <xdr:rowOff>133350</xdr:rowOff>
    </xdr:to>
    <xdr:sp macro="" textlink="">
      <xdr:nvSpPr>
        <xdr:cNvPr id="561" name="Tegning 632">
          <a:extLst>
            <a:ext uri="{FF2B5EF4-FFF2-40B4-BE49-F238E27FC236}">
              <a16:creationId xmlns:a16="http://schemas.microsoft.com/office/drawing/2014/main" id="{00000000-0008-0000-0000-000031020000}"/>
            </a:ext>
          </a:extLst>
        </xdr:cNvPr>
        <xdr:cNvSpPr>
          <a:spLocks/>
        </xdr:cNvSpPr>
      </xdr:nvSpPr>
      <xdr:spPr bwMode="auto">
        <a:xfrm>
          <a:off x="24136350" y="1457325"/>
          <a:ext cx="590550" cy="12382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0" y="0"/>
              </a:lnTo>
              <a:lnTo>
                <a:pt x="16384" y="0"/>
              </a:lnTo>
              <a:lnTo>
                <a:pt x="16384" y="16384"/>
              </a:lnTo>
              <a:lnTo>
                <a:pt x="0" y="16384"/>
              </a:lnTo>
            </a:path>
          </a:pathLst>
        </a:custGeom>
        <a:noFill/>
        <a:ln w="1905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32</xdr:col>
      <xdr:colOff>609600</xdr:colOff>
      <xdr:row>8</xdr:row>
      <xdr:rowOff>152400</xdr:rowOff>
    </xdr:from>
    <xdr:to>
      <xdr:col>32</xdr:col>
      <xdr:colOff>609600</xdr:colOff>
      <xdr:row>9</xdr:row>
      <xdr:rowOff>190500</xdr:rowOff>
    </xdr:to>
    <xdr:sp macro="" textlink="">
      <xdr:nvSpPr>
        <xdr:cNvPr id="562" name="Line 633">
          <a:extLst>
            <a:ext uri="{FF2B5EF4-FFF2-40B4-BE49-F238E27FC236}">
              <a16:creationId xmlns:a16="http://schemas.microsoft.com/office/drawing/2014/main" id="{00000000-0008-0000-0000-000032020000}"/>
            </a:ext>
          </a:extLst>
        </xdr:cNvPr>
        <xdr:cNvSpPr>
          <a:spLocks noChangeShapeType="1"/>
        </xdr:cNvSpPr>
      </xdr:nvSpPr>
      <xdr:spPr bwMode="auto">
        <a:xfrm>
          <a:off x="23917275" y="1400175"/>
          <a:ext cx="0" cy="2286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542925</xdr:colOff>
      <xdr:row>9</xdr:row>
      <xdr:rowOff>9525</xdr:rowOff>
    </xdr:from>
    <xdr:to>
      <xdr:col>33</xdr:col>
      <xdr:colOff>19050</xdr:colOff>
      <xdr:row>9</xdr:row>
      <xdr:rowOff>9525</xdr:rowOff>
    </xdr:to>
    <xdr:sp macro="" textlink="">
      <xdr:nvSpPr>
        <xdr:cNvPr id="563" name="Line 634">
          <a:extLst>
            <a:ext uri="{FF2B5EF4-FFF2-40B4-BE49-F238E27FC236}">
              <a16:creationId xmlns:a16="http://schemas.microsoft.com/office/drawing/2014/main" id="{00000000-0008-0000-0000-000033020000}"/>
            </a:ext>
          </a:extLst>
        </xdr:cNvPr>
        <xdr:cNvSpPr>
          <a:spLocks noChangeShapeType="1"/>
        </xdr:cNvSpPr>
      </xdr:nvSpPr>
      <xdr:spPr bwMode="auto">
        <a:xfrm flipH="1">
          <a:off x="23850600" y="1457325"/>
          <a:ext cx="228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542925</xdr:colOff>
      <xdr:row>9</xdr:row>
      <xdr:rowOff>133350</xdr:rowOff>
    </xdr:from>
    <xdr:to>
      <xdr:col>33</xdr:col>
      <xdr:colOff>28575</xdr:colOff>
      <xdr:row>9</xdr:row>
      <xdr:rowOff>133350</xdr:rowOff>
    </xdr:to>
    <xdr:sp macro="" textlink="">
      <xdr:nvSpPr>
        <xdr:cNvPr id="564" name="Line 635">
          <a:extLst>
            <a:ext uri="{FF2B5EF4-FFF2-40B4-BE49-F238E27FC236}">
              <a16:creationId xmlns:a16="http://schemas.microsoft.com/office/drawing/2014/main" id="{00000000-0008-0000-0000-000034020000}"/>
            </a:ext>
          </a:extLst>
        </xdr:cNvPr>
        <xdr:cNvSpPr>
          <a:spLocks noChangeShapeType="1"/>
        </xdr:cNvSpPr>
      </xdr:nvSpPr>
      <xdr:spPr bwMode="auto">
        <a:xfrm flipH="1" flipV="1">
          <a:off x="23850600" y="1581150"/>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0</xdr:colOff>
      <xdr:row>10</xdr:row>
      <xdr:rowOff>190500</xdr:rowOff>
    </xdr:from>
    <xdr:to>
      <xdr:col>34</xdr:col>
      <xdr:colOff>0</xdr:colOff>
      <xdr:row>12</xdr:row>
      <xdr:rowOff>133350</xdr:rowOff>
    </xdr:to>
    <xdr:sp macro="" textlink="">
      <xdr:nvSpPr>
        <xdr:cNvPr id="565" name="Line 636">
          <a:extLst>
            <a:ext uri="{FF2B5EF4-FFF2-40B4-BE49-F238E27FC236}">
              <a16:creationId xmlns:a16="http://schemas.microsoft.com/office/drawing/2014/main" id="{00000000-0008-0000-0000-000035020000}"/>
            </a:ext>
          </a:extLst>
        </xdr:cNvPr>
        <xdr:cNvSpPr>
          <a:spLocks noChangeShapeType="1"/>
        </xdr:cNvSpPr>
      </xdr:nvSpPr>
      <xdr:spPr bwMode="auto">
        <a:xfrm flipV="1">
          <a:off x="24812625" y="1819275"/>
          <a:ext cx="0" cy="3429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32</xdr:col>
      <xdr:colOff>552450</xdr:colOff>
      <xdr:row>8</xdr:row>
      <xdr:rowOff>161925</xdr:rowOff>
    </xdr:from>
    <xdr:to>
      <xdr:col>32</xdr:col>
      <xdr:colOff>657225</xdr:colOff>
      <xdr:row>9</xdr:row>
      <xdr:rowOff>66675</xdr:rowOff>
    </xdr:to>
    <xdr:sp macro="" textlink="">
      <xdr:nvSpPr>
        <xdr:cNvPr id="566" name="Line 637">
          <a:extLst>
            <a:ext uri="{FF2B5EF4-FFF2-40B4-BE49-F238E27FC236}">
              <a16:creationId xmlns:a16="http://schemas.microsoft.com/office/drawing/2014/main" id="{00000000-0008-0000-0000-000036020000}"/>
            </a:ext>
          </a:extLst>
        </xdr:cNvPr>
        <xdr:cNvSpPr>
          <a:spLocks noChangeShapeType="1"/>
        </xdr:cNvSpPr>
      </xdr:nvSpPr>
      <xdr:spPr bwMode="auto">
        <a:xfrm flipH="1">
          <a:off x="23860125" y="1409700"/>
          <a:ext cx="10477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561975</xdr:colOff>
      <xdr:row>9</xdr:row>
      <xdr:rowOff>76200</xdr:rowOff>
    </xdr:from>
    <xdr:to>
      <xdr:col>32</xdr:col>
      <xdr:colOff>666750</xdr:colOff>
      <xdr:row>9</xdr:row>
      <xdr:rowOff>180975</xdr:rowOff>
    </xdr:to>
    <xdr:sp macro="" textlink="">
      <xdr:nvSpPr>
        <xdr:cNvPr id="567" name="Line 638">
          <a:extLst>
            <a:ext uri="{FF2B5EF4-FFF2-40B4-BE49-F238E27FC236}">
              <a16:creationId xmlns:a16="http://schemas.microsoft.com/office/drawing/2014/main" id="{00000000-0008-0000-0000-000037020000}"/>
            </a:ext>
          </a:extLst>
        </xdr:cNvPr>
        <xdr:cNvSpPr>
          <a:spLocks noChangeShapeType="1"/>
        </xdr:cNvSpPr>
      </xdr:nvSpPr>
      <xdr:spPr bwMode="auto">
        <a:xfrm flipH="1">
          <a:off x="23869650" y="1524000"/>
          <a:ext cx="10477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33</xdr:col>
      <xdr:colOff>76200</xdr:colOff>
      <xdr:row>7</xdr:row>
      <xdr:rowOff>123825</xdr:rowOff>
    </xdr:from>
    <xdr:to>
      <xdr:col>33</xdr:col>
      <xdr:colOff>76200</xdr:colOff>
      <xdr:row>8</xdr:row>
      <xdr:rowOff>161925</xdr:rowOff>
    </xdr:to>
    <xdr:sp macro="" textlink="">
      <xdr:nvSpPr>
        <xdr:cNvPr id="568" name="Line 639">
          <a:extLst>
            <a:ext uri="{FF2B5EF4-FFF2-40B4-BE49-F238E27FC236}">
              <a16:creationId xmlns:a16="http://schemas.microsoft.com/office/drawing/2014/main" id="{00000000-0008-0000-0000-000038020000}"/>
            </a:ext>
          </a:extLst>
        </xdr:cNvPr>
        <xdr:cNvSpPr>
          <a:spLocks noChangeShapeType="1"/>
        </xdr:cNvSpPr>
      </xdr:nvSpPr>
      <xdr:spPr bwMode="auto">
        <a:xfrm flipV="1">
          <a:off x="24136350" y="1200150"/>
          <a:ext cx="0"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33</xdr:col>
      <xdr:colOff>666750</xdr:colOff>
      <xdr:row>7</xdr:row>
      <xdr:rowOff>133350</xdr:rowOff>
    </xdr:from>
    <xdr:to>
      <xdr:col>33</xdr:col>
      <xdr:colOff>666750</xdr:colOff>
      <xdr:row>8</xdr:row>
      <xdr:rowOff>142875</xdr:rowOff>
    </xdr:to>
    <xdr:sp macro="" textlink="">
      <xdr:nvSpPr>
        <xdr:cNvPr id="569" name="Line 640">
          <a:extLst>
            <a:ext uri="{FF2B5EF4-FFF2-40B4-BE49-F238E27FC236}">
              <a16:creationId xmlns:a16="http://schemas.microsoft.com/office/drawing/2014/main" id="{00000000-0008-0000-0000-000039020000}"/>
            </a:ext>
          </a:extLst>
        </xdr:cNvPr>
        <xdr:cNvSpPr>
          <a:spLocks noChangeShapeType="1"/>
        </xdr:cNvSpPr>
      </xdr:nvSpPr>
      <xdr:spPr bwMode="auto">
        <a:xfrm flipV="1">
          <a:off x="24726900" y="1209675"/>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33</xdr:col>
      <xdr:colOff>28575</xdr:colOff>
      <xdr:row>8</xdr:row>
      <xdr:rowOff>0</xdr:rowOff>
    </xdr:from>
    <xdr:to>
      <xdr:col>33</xdr:col>
      <xdr:colOff>704850</xdr:colOff>
      <xdr:row>8</xdr:row>
      <xdr:rowOff>0</xdr:rowOff>
    </xdr:to>
    <xdr:sp macro="" textlink="">
      <xdr:nvSpPr>
        <xdr:cNvPr id="570" name="Line 641">
          <a:extLst>
            <a:ext uri="{FF2B5EF4-FFF2-40B4-BE49-F238E27FC236}">
              <a16:creationId xmlns:a16="http://schemas.microsoft.com/office/drawing/2014/main" id="{00000000-0008-0000-0000-00003A020000}"/>
            </a:ext>
          </a:extLst>
        </xdr:cNvPr>
        <xdr:cNvSpPr>
          <a:spLocks noChangeShapeType="1"/>
        </xdr:cNvSpPr>
      </xdr:nvSpPr>
      <xdr:spPr bwMode="auto">
        <a:xfrm>
          <a:off x="24088725" y="1247775"/>
          <a:ext cx="676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714375</xdr:colOff>
      <xdr:row>12</xdr:row>
      <xdr:rowOff>9525</xdr:rowOff>
    </xdr:from>
    <xdr:to>
      <xdr:col>34</xdr:col>
      <xdr:colOff>85725</xdr:colOff>
      <xdr:row>12</xdr:row>
      <xdr:rowOff>9525</xdr:rowOff>
    </xdr:to>
    <xdr:sp macro="" textlink="">
      <xdr:nvSpPr>
        <xdr:cNvPr id="571" name="Line 644">
          <a:extLst>
            <a:ext uri="{FF2B5EF4-FFF2-40B4-BE49-F238E27FC236}">
              <a16:creationId xmlns:a16="http://schemas.microsoft.com/office/drawing/2014/main" id="{00000000-0008-0000-0000-00003B020000}"/>
            </a:ext>
          </a:extLst>
        </xdr:cNvPr>
        <xdr:cNvSpPr>
          <a:spLocks noChangeShapeType="1"/>
        </xdr:cNvSpPr>
      </xdr:nvSpPr>
      <xdr:spPr bwMode="auto">
        <a:xfrm>
          <a:off x="24022050" y="2038350"/>
          <a:ext cx="876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742950</xdr:colOff>
      <xdr:row>32</xdr:row>
      <xdr:rowOff>9525</xdr:rowOff>
    </xdr:from>
    <xdr:to>
      <xdr:col>36</xdr:col>
      <xdr:colOff>504825</xdr:colOff>
      <xdr:row>32</xdr:row>
      <xdr:rowOff>9525</xdr:rowOff>
    </xdr:to>
    <xdr:sp macro="" textlink="">
      <xdr:nvSpPr>
        <xdr:cNvPr id="572" name="Line 647">
          <a:extLst>
            <a:ext uri="{FF2B5EF4-FFF2-40B4-BE49-F238E27FC236}">
              <a16:creationId xmlns:a16="http://schemas.microsoft.com/office/drawing/2014/main" id="{00000000-0008-0000-0000-00003C020000}"/>
            </a:ext>
          </a:extLst>
        </xdr:cNvPr>
        <xdr:cNvSpPr>
          <a:spLocks noChangeShapeType="1"/>
        </xdr:cNvSpPr>
      </xdr:nvSpPr>
      <xdr:spPr bwMode="auto">
        <a:xfrm>
          <a:off x="25555575" y="5924550"/>
          <a:ext cx="1266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742950</xdr:colOff>
      <xdr:row>30</xdr:row>
      <xdr:rowOff>0</xdr:rowOff>
    </xdr:from>
    <xdr:to>
      <xdr:col>34</xdr:col>
      <xdr:colOff>742950</xdr:colOff>
      <xdr:row>31</xdr:row>
      <xdr:rowOff>171450</xdr:rowOff>
    </xdr:to>
    <xdr:sp macro="" textlink="">
      <xdr:nvSpPr>
        <xdr:cNvPr id="573" name="Line 648">
          <a:extLst>
            <a:ext uri="{FF2B5EF4-FFF2-40B4-BE49-F238E27FC236}">
              <a16:creationId xmlns:a16="http://schemas.microsoft.com/office/drawing/2014/main" id="{00000000-0008-0000-0000-00003D020000}"/>
            </a:ext>
          </a:extLst>
        </xdr:cNvPr>
        <xdr:cNvSpPr>
          <a:spLocks noChangeShapeType="1"/>
        </xdr:cNvSpPr>
      </xdr:nvSpPr>
      <xdr:spPr bwMode="auto">
        <a:xfrm flipH="1" flipV="1">
          <a:off x="25555575" y="5534025"/>
          <a:ext cx="0" cy="3619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36</xdr:col>
      <xdr:colOff>476250</xdr:colOff>
      <xdr:row>29</xdr:row>
      <xdr:rowOff>180975</xdr:rowOff>
    </xdr:from>
    <xdr:to>
      <xdr:col>36</xdr:col>
      <xdr:colOff>476250</xdr:colOff>
      <xdr:row>31</xdr:row>
      <xdr:rowOff>133350</xdr:rowOff>
    </xdr:to>
    <xdr:sp macro="" textlink="">
      <xdr:nvSpPr>
        <xdr:cNvPr id="574" name="Line 649">
          <a:extLst>
            <a:ext uri="{FF2B5EF4-FFF2-40B4-BE49-F238E27FC236}">
              <a16:creationId xmlns:a16="http://schemas.microsoft.com/office/drawing/2014/main" id="{00000000-0008-0000-0000-00003E020000}"/>
            </a:ext>
          </a:extLst>
        </xdr:cNvPr>
        <xdr:cNvSpPr>
          <a:spLocks noChangeShapeType="1"/>
        </xdr:cNvSpPr>
      </xdr:nvSpPr>
      <xdr:spPr bwMode="auto">
        <a:xfrm flipV="1">
          <a:off x="26793825" y="5524500"/>
          <a:ext cx="0" cy="3333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35</xdr:col>
      <xdr:colOff>180975</xdr:colOff>
      <xdr:row>29</xdr:row>
      <xdr:rowOff>114300</xdr:rowOff>
    </xdr:from>
    <xdr:to>
      <xdr:col>35</xdr:col>
      <xdr:colOff>180975</xdr:colOff>
      <xdr:row>32</xdr:row>
      <xdr:rowOff>76200</xdr:rowOff>
    </xdr:to>
    <xdr:sp macro="" textlink="">
      <xdr:nvSpPr>
        <xdr:cNvPr id="575" name="Line 650">
          <a:extLst>
            <a:ext uri="{FF2B5EF4-FFF2-40B4-BE49-F238E27FC236}">
              <a16:creationId xmlns:a16="http://schemas.microsoft.com/office/drawing/2014/main" id="{00000000-0008-0000-0000-00003F020000}"/>
            </a:ext>
          </a:extLst>
        </xdr:cNvPr>
        <xdr:cNvSpPr>
          <a:spLocks noChangeShapeType="1"/>
        </xdr:cNvSpPr>
      </xdr:nvSpPr>
      <xdr:spPr bwMode="auto">
        <a:xfrm flipV="1">
          <a:off x="25746075" y="5457825"/>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447675</xdr:colOff>
      <xdr:row>29</xdr:row>
      <xdr:rowOff>114300</xdr:rowOff>
    </xdr:from>
    <xdr:to>
      <xdr:col>35</xdr:col>
      <xdr:colOff>447675</xdr:colOff>
      <xdr:row>32</xdr:row>
      <xdr:rowOff>95250</xdr:rowOff>
    </xdr:to>
    <xdr:sp macro="" textlink="">
      <xdr:nvSpPr>
        <xdr:cNvPr id="576" name="Line 651">
          <a:extLst>
            <a:ext uri="{FF2B5EF4-FFF2-40B4-BE49-F238E27FC236}">
              <a16:creationId xmlns:a16="http://schemas.microsoft.com/office/drawing/2014/main" id="{00000000-0008-0000-0000-000040020000}"/>
            </a:ext>
          </a:extLst>
        </xdr:cNvPr>
        <xdr:cNvSpPr>
          <a:spLocks noChangeShapeType="1"/>
        </xdr:cNvSpPr>
      </xdr:nvSpPr>
      <xdr:spPr bwMode="auto">
        <a:xfrm flipV="1">
          <a:off x="26012775" y="5457825"/>
          <a:ext cx="0"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0</xdr:colOff>
      <xdr:row>30</xdr:row>
      <xdr:rowOff>104775</xdr:rowOff>
    </xdr:from>
    <xdr:to>
      <xdr:col>36</xdr:col>
      <xdr:colOff>0</xdr:colOff>
      <xdr:row>32</xdr:row>
      <xdr:rowOff>123825</xdr:rowOff>
    </xdr:to>
    <xdr:sp macro="" textlink="">
      <xdr:nvSpPr>
        <xdr:cNvPr id="577" name="Line 652">
          <a:extLst>
            <a:ext uri="{FF2B5EF4-FFF2-40B4-BE49-F238E27FC236}">
              <a16:creationId xmlns:a16="http://schemas.microsoft.com/office/drawing/2014/main" id="{00000000-0008-0000-0000-000041020000}"/>
            </a:ext>
          </a:extLst>
        </xdr:cNvPr>
        <xdr:cNvSpPr>
          <a:spLocks noChangeShapeType="1"/>
        </xdr:cNvSpPr>
      </xdr:nvSpPr>
      <xdr:spPr bwMode="auto">
        <a:xfrm flipV="1">
          <a:off x="26317575" y="5638800"/>
          <a:ext cx="0" cy="400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276225</xdr:colOff>
      <xdr:row>30</xdr:row>
      <xdr:rowOff>85725</xdr:rowOff>
    </xdr:from>
    <xdr:to>
      <xdr:col>36</xdr:col>
      <xdr:colOff>276225</xdr:colOff>
      <xdr:row>32</xdr:row>
      <xdr:rowOff>76200</xdr:rowOff>
    </xdr:to>
    <xdr:sp macro="" textlink="">
      <xdr:nvSpPr>
        <xdr:cNvPr id="578" name="Line 653">
          <a:extLst>
            <a:ext uri="{FF2B5EF4-FFF2-40B4-BE49-F238E27FC236}">
              <a16:creationId xmlns:a16="http://schemas.microsoft.com/office/drawing/2014/main" id="{00000000-0008-0000-0000-000042020000}"/>
            </a:ext>
          </a:extLst>
        </xdr:cNvPr>
        <xdr:cNvSpPr>
          <a:spLocks noChangeShapeType="1"/>
        </xdr:cNvSpPr>
      </xdr:nvSpPr>
      <xdr:spPr bwMode="auto">
        <a:xfrm flipV="1">
          <a:off x="26593800" y="5619750"/>
          <a:ext cx="0" cy="371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704850</xdr:colOff>
      <xdr:row>31</xdr:row>
      <xdr:rowOff>161925</xdr:rowOff>
    </xdr:from>
    <xdr:to>
      <xdr:col>35</xdr:col>
      <xdr:colOff>28575</xdr:colOff>
      <xdr:row>32</xdr:row>
      <xdr:rowOff>66675</xdr:rowOff>
    </xdr:to>
    <xdr:sp macro="" textlink="">
      <xdr:nvSpPr>
        <xdr:cNvPr id="579" name="Line 654">
          <a:extLst>
            <a:ext uri="{FF2B5EF4-FFF2-40B4-BE49-F238E27FC236}">
              <a16:creationId xmlns:a16="http://schemas.microsoft.com/office/drawing/2014/main" id="{00000000-0008-0000-0000-000043020000}"/>
            </a:ext>
          </a:extLst>
        </xdr:cNvPr>
        <xdr:cNvSpPr>
          <a:spLocks noChangeShapeType="1"/>
        </xdr:cNvSpPr>
      </xdr:nvSpPr>
      <xdr:spPr bwMode="auto">
        <a:xfrm flipH="1">
          <a:off x="25517475" y="5886450"/>
          <a:ext cx="762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152400</xdr:colOff>
      <xdr:row>31</xdr:row>
      <xdr:rowOff>171450</xdr:rowOff>
    </xdr:from>
    <xdr:to>
      <xdr:col>35</xdr:col>
      <xdr:colOff>209550</xdr:colOff>
      <xdr:row>32</xdr:row>
      <xdr:rowOff>47625</xdr:rowOff>
    </xdr:to>
    <xdr:sp macro="" textlink="">
      <xdr:nvSpPr>
        <xdr:cNvPr id="580" name="Line 655">
          <a:extLst>
            <a:ext uri="{FF2B5EF4-FFF2-40B4-BE49-F238E27FC236}">
              <a16:creationId xmlns:a16="http://schemas.microsoft.com/office/drawing/2014/main" id="{00000000-0008-0000-0000-000044020000}"/>
            </a:ext>
          </a:extLst>
        </xdr:cNvPr>
        <xdr:cNvSpPr>
          <a:spLocks noChangeShapeType="1"/>
        </xdr:cNvSpPr>
      </xdr:nvSpPr>
      <xdr:spPr bwMode="auto">
        <a:xfrm flipH="1">
          <a:off x="25717500" y="5895975"/>
          <a:ext cx="571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409575</xdr:colOff>
      <xdr:row>31</xdr:row>
      <xdr:rowOff>171450</xdr:rowOff>
    </xdr:from>
    <xdr:to>
      <xdr:col>35</xdr:col>
      <xdr:colOff>476250</xdr:colOff>
      <xdr:row>32</xdr:row>
      <xdr:rowOff>47625</xdr:rowOff>
    </xdr:to>
    <xdr:sp macro="" textlink="">
      <xdr:nvSpPr>
        <xdr:cNvPr id="581" name="Line 656">
          <a:extLst>
            <a:ext uri="{FF2B5EF4-FFF2-40B4-BE49-F238E27FC236}">
              <a16:creationId xmlns:a16="http://schemas.microsoft.com/office/drawing/2014/main" id="{00000000-0008-0000-0000-000045020000}"/>
            </a:ext>
          </a:extLst>
        </xdr:cNvPr>
        <xdr:cNvSpPr>
          <a:spLocks noChangeShapeType="1"/>
        </xdr:cNvSpPr>
      </xdr:nvSpPr>
      <xdr:spPr bwMode="auto">
        <a:xfrm flipH="1">
          <a:off x="25974675" y="5895975"/>
          <a:ext cx="666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228600</xdr:colOff>
      <xdr:row>31</xdr:row>
      <xdr:rowOff>152400</xdr:rowOff>
    </xdr:from>
    <xdr:to>
      <xdr:col>36</xdr:col>
      <xdr:colOff>295275</xdr:colOff>
      <xdr:row>32</xdr:row>
      <xdr:rowOff>38100</xdr:rowOff>
    </xdr:to>
    <xdr:sp macro="" textlink="">
      <xdr:nvSpPr>
        <xdr:cNvPr id="582" name="Line 657">
          <a:extLst>
            <a:ext uri="{FF2B5EF4-FFF2-40B4-BE49-F238E27FC236}">
              <a16:creationId xmlns:a16="http://schemas.microsoft.com/office/drawing/2014/main" id="{00000000-0008-0000-0000-000046020000}"/>
            </a:ext>
          </a:extLst>
        </xdr:cNvPr>
        <xdr:cNvSpPr>
          <a:spLocks noChangeShapeType="1"/>
        </xdr:cNvSpPr>
      </xdr:nvSpPr>
      <xdr:spPr bwMode="auto">
        <a:xfrm flipH="1">
          <a:off x="26546175" y="5876925"/>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428625</xdr:colOff>
      <xdr:row>31</xdr:row>
      <xdr:rowOff>161925</xdr:rowOff>
    </xdr:from>
    <xdr:to>
      <xdr:col>36</xdr:col>
      <xdr:colOff>514350</xdr:colOff>
      <xdr:row>32</xdr:row>
      <xdr:rowOff>57150</xdr:rowOff>
    </xdr:to>
    <xdr:sp macro="" textlink="">
      <xdr:nvSpPr>
        <xdr:cNvPr id="583" name="Line 658">
          <a:extLst>
            <a:ext uri="{FF2B5EF4-FFF2-40B4-BE49-F238E27FC236}">
              <a16:creationId xmlns:a16="http://schemas.microsoft.com/office/drawing/2014/main" id="{00000000-0008-0000-0000-000047020000}"/>
            </a:ext>
          </a:extLst>
        </xdr:cNvPr>
        <xdr:cNvSpPr>
          <a:spLocks noChangeShapeType="1"/>
        </xdr:cNvSpPr>
      </xdr:nvSpPr>
      <xdr:spPr bwMode="auto">
        <a:xfrm flipH="1">
          <a:off x="26746200" y="5886450"/>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180975</xdr:colOff>
      <xdr:row>28</xdr:row>
      <xdr:rowOff>19050</xdr:rowOff>
    </xdr:from>
    <xdr:to>
      <xdr:col>35</xdr:col>
      <xdr:colOff>447675</xdr:colOff>
      <xdr:row>29</xdr:row>
      <xdr:rowOff>0</xdr:rowOff>
    </xdr:to>
    <xdr:sp macro="" textlink="">
      <xdr:nvSpPr>
        <xdr:cNvPr id="584" name="Tegning 659">
          <a:extLst>
            <a:ext uri="{FF2B5EF4-FFF2-40B4-BE49-F238E27FC236}">
              <a16:creationId xmlns:a16="http://schemas.microsoft.com/office/drawing/2014/main" id="{00000000-0008-0000-0000-000048020000}"/>
            </a:ext>
          </a:extLst>
        </xdr:cNvPr>
        <xdr:cNvSpPr>
          <a:spLocks/>
        </xdr:cNvSpPr>
      </xdr:nvSpPr>
      <xdr:spPr bwMode="auto">
        <a:xfrm>
          <a:off x="25746075" y="5172075"/>
          <a:ext cx="266700" cy="17145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5754"/>
              </a:moveTo>
              <a:lnTo>
                <a:pt x="0" y="0"/>
              </a:lnTo>
              <a:lnTo>
                <a:pt x="16384" y="0"/>
              </a:lnTo>
              <a:lnTo>
                <a:pt x="16384" y="16384"/>
              </a:lnTo>
            </a:path>
          </a:pathLst>
        </a:custGeom>
        <a:noFill/>
        <a:ln w="1905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35</xdr:col>
      <xdr:colOff>781050</xdr:colOff>
      <xdr:row>29</xdr:row>
      <xdr:rowOff>0</xdr:rowOff>
    </xdr:from>
    <xdr:to>
      <xdr:col>36</xdr:col>
      <xdr:colOff>276225</xdr:colOff>
      <xdr:row>29</xdr:row>
      <xdr:rowOff>190500</xdr:rowOff>
    </xdr:to>
    <xdr:sp macro="" textlink="">
      <xdr:nvSpPr>
        <xdr:cNvPr id="585" name="Tegning 660">
          <a:extLst>
            <a:ext uri="{FF2B5EF4-FFF2-40B4-BE49-F238E27FC236}">
              <a16:creationId xmlns:a16="http://schemas.microsoft.com/office/drawing/2014/main" id="{00000000-0008-0000-0000-000049020000}"/>
            </a:ext>
          </a:extLst>
        </xdr:cNvPr>
        <xdr:cNvSpPr>
          <a:spLocks/>
        </xdr:cNvSpPr>
      </xdr:nvSpPr>
      <xdr:spPr bwMode="auto">
        <a:xfrm>
          <a:off x="26317575" y="5343525"/>
          <a:ext cx="276225" cy="19050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6384"/>
              </a:lnTo>
            </a:path>
          </a:pathLst>
        </a:custGeom>
        <a:noFill/>
        <a:ln w="1905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35</xdr:col>
      <xdr:colOff>752475</xdr:colOff>
      <xdr:row>31</xdr:row>
      <xdr:rowOff>171450</xdr:rowOff>
    </xdr:from>
    <xdr:to>
      <xdr:col>35</xdr:col>
      <xdr:colOff>838200</xdr:colOff>
      <xdr:row>32</xdr:row>
      <xdr:rowOff>57150</xdr:rowOff>
    </xdr:to>
    <xdr:sp macro="" textlink="">
      <xdr:nvSpPr>
        <xdr:cNvPr id="586" name="Line 663">
          <a:extLst>
            <a:ext uri="{FF2B5EF4-FFF2-40B4-BE49-F238E27FC236}">
              <a16:creationId xmlns:a16="http://schemas.microsoft.com/office/drawing/2014/main" id="{00000000-0008-0000-0000-00004A020000}"/>
            </a:ext>
          </a:extLst>
        </xdr:cNvPr>
        <xdr:cNvSpPr>
          <a:spLocks noChangeShapeType="1"/>
        </xdr:cNvSpPr>
      </xdr:nvSpPr>
      <xdr:spPr bwMode="auto">
        <a:xfrm flipH="1">
          <a:off x="26317575" y="5895975"/>
          <a:ext cx="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685800</xdr:colOff>
      <xdr:row>110</xdr:row>
      <xdr:rowOff>171450</xdr:rowOff>
    </xdr:from>
    <xdr:to>
      <xdr:col>30</xdr:col>
      <xdr:colOff>685800</xdr:colOff>
      <xdr:row>127</xdr:row>
      <xdr:rowOff>57150</xdr:rowOff>
    </xdr:to>
    <xdr:sp macro="" textlink="">
      <xdr:nvSpPr>
        <xdr:cNvPr id="587" name="Line 667">
          <a:extLst>
            <a:ext uri="{FF2B5EF4-FFF2-40B4-BE49-F238E27FC236}">
              <a16:creationId xmlns:a16="http://schemas.microsoft.com/office/drawing/2014/main" id="{00000000-0008-0000-0000-00004B020000}"/>
            </a:ext>
          </a:extLst>
        </xdr:cNvPr>
        <xdr:cNvSpPr>
          <a:spLocks noChangeShapeType="1"/>
        </xdr:cNvSpPr>
      </xdr:nvSpPr>
      <xdr:spPr bwMode="auto">
        <a:xfrm flipV="1">
          <a:off x="22488525" y="21336000"/>
          <a:ext cx="0" cy="3209925"/>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66675</xdr:colOff>
      <xdr:row>156</xdr:row>
      <xdr:rowOff>161925</xdr:rowOff>
    </xdr:from>
    <xdr:to>
      <xdr:col>31</xdr:col>
      <xdr:colOff>152400</xdr:colOff>
      <xdr:row>159</xdr:row>
      <xdr:rowOff>0</xdr:rowOff>
    </xdr:to>
    <xdr:sp macro="" textlink="">
      <xdr:nvSpPr>
        <xdr:cNvPr id="588" name="Tegning 668">
          <a:extLst>
            <a:ext uri="{FF2B5EF4-FFF2-40B4-BE49-F238E27FC236}">
              <a16:creationId xmlns:a16="http://schemas.microsoft.com/office/drawing/2014/main" id="{00000000-0008-0000-0000-00004C020000}"/>
            </a:ext>
          </a:extLst>
        </xdr:cNvPr>
        <xdr:cNvSpPr>
          <a:spLocks/>
        </xdr:cNvSpPr>
      </xdr:nvSpPr>
      <xdr:spPr bwMode="auto">
        <a:xfrm>
          <a:off x="21869400" y="30318075"/>
          <a:ext cx="838200" cy="419100"/>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1895" y="0"/>
              </a:lnTo>
              <a:lnTo>
                <a:pt x="11895" y="7928"/>
              </a:lnTo>
              <a:lnTo>
                <a:pt x="16384" y="7928"/>
              </a:lnTo>
              <a:lnTo>
                <a:pt x="16384" y="16384"/>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152400</xdr:colOff>
      <xdr:row>141</xdr:row>
      <xdr:rowOff>171450</xdr:rowOff>
    </xdr:from>
    <xdr:to>
      <xdr:col>31</xdr:col>
      <xdr:colOff>152400</xdr:colOff>
      <xdr:row>161</xdr:row>
      <xdr:rowOff>19050</xdr:rowOff>
    </xdr:to>
    <xdr:sp macro="" textlink="">
      <xdr:nvSpPr>
        <xdr:cNvPr id="589" name="Line 669">
          <a:extLst>
            <a:ext uri="{FF2B5EF4-FFF2-40B4-BE49-F238E27FC236}">
              <a16:creationId xmlns:a16="http://schemas.microsoft.com/office/drawing/2014/main" id="{00000000-0008-0000-0000-00004D020000}"/>
            </a:ext>
          </a:extLst>
        </xdr:cNvPr>
        <xdr:cNvSpPr>
          <a:spLocks noChangeShapeType="1"/>
        </xdr:cNvSpPr>
      </xdr:nvSpPr>
      <xdr:spPr bwMode="auto">
        <a:xfrm flipV="1">
          <a:off x="22707600" y="27393900"/>
          <a:ext cx="0" cy="375285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190500</xdr:colOff>
      <xdr:row>152</xdr:row>
      <xdr:rowOff>209550</xdr:rowOff>
    </xdr:from>
    <xdr:to>
      <xdr:col>31</xdr:col>
      <xdr:colOff>114300</xdr:colOff>
      <xdr:row>152</xdr:row>
      <xdr:rowOff>209550</xdr:rowOff>
    </xdr:to>
    <xdr:sp macro="" textlink="">
      <xdr:nvSpPr>
        <xdr:cNvPr id="590" name="Line 670">
          <a:extLst>
            <a:ext uri="{FF2B5EF4-FFF2-40B4-BE49-F238E27FC236}">
              <a16:creationId xmlns:a16="http://schemas.microsoft.com/office/drawing/2014/main" id="{00000000-0008-0000-0000-00004E020000}"/>
            </a:ext>
          </a:extLst>
        </xdr:cNvPr>
        <xdr:cNvSpPr>
          <a:spLocks noChangeShapeType="1"/>
        </xdr:cNvSpPr>
      </xdr:nvSpPr>
      <xdr:spPr bwMode="auto">
        <a:xfrm flipH="1">
          <a:off x="21240750" y="29575125"/>
          <a:ext cx="1428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171450</xdr:colOff>
      <xdr:row>152</xdr:row>
      <xdr:rowOff>0</xdr:rowOff>
    </xdr:from>
    <xdr:to>
      <xdr:col>30</xdr:col>
      <xdr:colOff>685800</xdr:colOff>
      <xdr:row>152</xdr:row>
      <xdr:rowOff>0</xdr:rowOff>
    </xdr:to>
    <xdr:sp macro="" textlink="">
      <xdr:nvSpPr>
        <xdr:cNvPr id="591" name="Line 671">
          <a:extLst>
            <a:ext uri="{FF2B5EF4-FFF2-40B4-BE49-F238E27FC236}">
              <a16:creationId xmlns:a16="http://schemas.microsoft.com/office/drawing/2014/main" id="{00000000-0008-0000-0000-00004F020000}"/>
            </a:ext>
          </a:extLst>
        </xdr:cNvPr>
        <xdr:cNvSpPr>
          <a:spLocks noChangeShapeType="1"/>
        </xdr:cNvSpPr>
      </xdr:nvSpPr>
      <xdr:spPr bwMode="auto">
        <a:xfrm flipH="1">
          <a:off x="21221700" y="29384625"/>
          <a:ext cx="1266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704850</xdr:colOff>
      <xdr:row>151</xdr:row>
      <xdr:rowOff>123825</xdr:rowOff>
    </xdr:from>
    <xdr:to>
      <xdr:col>30</xdr:col>
      <xdr:colOff>66675</xdr:colOff>
      <xdr:row>152</xdr:row>
      <xdr:rowOff>47625</xdr:rowOff>
    </xdr:to>
    <xdr:sp macro="" textlink="">
      <xdr:nvSpPr>
        <xdr:cNvPr id="592" name="Line 672">
          <a:extLst>
            <a:ext uri="{FF2B5EF4-FFF2-40B4-BE49-F238E27FC236}">
              <a16:creationId xmlns:a16="http://schemas.microsoft.com/office/drawing/2014/main" id="{00000000-0008-0000-0000-000050020000}"/>
            </a:ext>
          </a:extLst>
        </xdr:cNvPr>
        <xdr:cNvSpPr>
          <a:spLocks noChangeShapeType="1"/>
        </xdr:cNvSpPr>
      </xdr:nvSpPr>
      <xdr:spPr bwMode="auto">
        <a:xfrm flipH="1">
          <a:off x="21755100" y="2931795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628650</xdr:colOff>
      <xdr:row>151</xdr:row>
      <xdr:rowOff>133350</xdr:rowOff>
    </xdr:from>
    <xdr:to>
      <xdr:col>30</xdr:col>
      <xdr:colOff>733425</xdr:colOff>
      <xdr:row>152</xdr:row>
      <xdr:rowOff>66675</xdr:rowOff>
    </xdr:to>
    <xdr:sp macro="" textlink="">
      <xdr:nvSpPr>
        <xdr:cNvPr id="593" name="Line 673">
          <a:extLst>
            <a:ext uri="{FF2B5EF4-FFF2-40B4-BE49-F238E27FC236}">
              <a16:creationId xmlns:a16="http://schemas.microsoft.com/office/drawing/2014/main" id="{00000000-0008-0000-0000-000051020000}"/>
            </a:ext>
          </a:extLst>
        </xdr:cNvPr>
        <xdr:cNvSpPr>
          <a:spLocks noChangeShapeType="1"/>
        </xdr:cNvSpPr>
      </xdr:nvSpPr>
      <xdr:spPr bwMode="auto">
        <a:xfrm flipH="1">
          <a:off x="22431375" y="29327475"/>
          <a:ext cx="1047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152</xdr:row>
      <xdr:rowOff>142875</xdr:rowOff>
    </xdr:from>
    <xdr:to>
      <xdr:col>31</xdr:col>
      <xdr:colOff>142875</xdr:colOff>
      <xdr:row>153</xdr:row>
      <xdr:rowOff>66675</xdr:rowOff>
    </xdr:to>
    <xdr:sp macro="" textlink="">
      <xdr:nvSpPr>
        <xdr:cNvPr id="594" name="Line 674">
          <a:extLst>
            <a:ext uri="{FF2B5EF4-FFF2-40B4-BE49-F238E27FC236}">
              <a16:creationId xmlns:a16="http://schemas.microsoft.com/office/drawing/2014/main" id="{00000000-0008-0000-0000-000052020000}"/>
            </a:ext>
          </a:extLst>
        </xdr:cNvPr>
        <xdr:cNvSpPr>
          <a:spLocks noChangeShapeType="1"/>
        </xdr:cNvSpPr>
      </xdr:nvSpPr>
      <xdr:spPr bwMode="auto">
        <a:xfrm flipH="1">
          <a:off x="22574250" y="29527500"/>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685800</xdr:colOff>
      <xdr:row>152</xdr:row>
      <xdr:rowOff>104775</xdr:rowOff>
    </xdr:from>
    <xdr:to>
      <xdr:col>30</xdr:col>
      <xdr:colOff>66675</xdr:colOff>
      <xdr:row>153</xdr:row>
      <xdr:rowOff>66675</xdr:rowOff>
    </xdr:to>
    <xdr:sp macro="" textlink="">
      <xdr:nvSpPr>
        <xdr:cNvPr id="595" name="Line 675">
          <a:extLst>
            <a:ext uri="{FF2B5EF4-FFF2-40B4-BE49-F238E27FC236}">
              <a16:creationId xmlns:a16="http://schemas.microsoft.com/office/drawing/2014/main" id="{00000000-0008-0000-0000-000053020000}"/>
            </a:ext>
          </a:extLst>
        </xdr:cNvPr>
        <xdr:cNvSpPr>
          <a:spLocks noChangeShapeType="1"/>
        </xdr:cNvSpPr>
      </xdr:nvSpPr>
      <xdr:spPr bwMode="auto">
        <a:xfrm flipH="1">
          <a:off x="21736050" y="29489400"/>
          <a:ext cx="13335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0</xdr:colOff>
      <xdr:row>147</xdr:row>
      <xdr:rowOff>95250</xdr:rowOff>
    </xdr:from>
    <xdr:to>
      <xdr:col>30</xdr:col>
      <xdr:colOff>0</xdr:colOff>
      <xdr:row>153</xdr:row>
      <xdr:rowOff>123825</xdr:rowOff>
    </xdr:to>
    <xdr:sp macro="" textlink="">
      <xdr:nvSpPr>
        <xdr:cNvPr id="596" name="Line 676">
          <a:extLst>
            <a:ext uri="{FF2B5EF4-FFF2-40B4-BE49-F238E27FC236}">
              <a16:creationId xmlns:a16="http://schemas.microsoft.com/office/drawing/2014/main" id="{00000000-0008-0000-0000-000054020000}"/>
            </a:ext>
          </a:extLst>
        </xdr:cNvPr>
        <xdr:cNvSpPr>
          <a:spLocks noChangeShapeType="1"/>
        </xdr:cNvSpPr>
      </xdr:nvSpPr>
      <xdr:spPr bwMode="auto">
        <a:xfrm>
          <a:off x="21802725" y="28508325"/>
          <a:ext cx="0" cy="1190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130</xdr:row>
      <xdr:rowOff>76200</xdr:rowOff>
    </xdr:from>
    <xdr:to>
      <xdr:col>31</xdr:col>
      <xdr:colOff>257175</xdr:colOff>
      <xdr:row>130</xdr:row>
      <xdr:rowOff>76200</xdr:rowOff>
    </xdr:to>
    <xdr:sp macro="" textlink="">
      <xdr:nvSpPr>
        <xdr:cNvPr id="597" name="Line 677">
          <a:extLst>
            <a:ext uri="{FF2B5EF4-FFF2-40B4-BE49-F238E27FC236}">
              <a16:creationId xmlns:a16="http://schemas.microsoft.com/office/drawing/2014/main" id="{00000000-0008-0000-0000-000055020000}"/>
            </a:ext>
          </a:extLst>
        </xdr:cNvPr>
        <xdr:cNvSpPr>
          <a:spLocks noChangeShapeType="1"/>
        </xdr:cNvSpPr>
      </xdr:nvSpPr>
      <xdr:spPr bwMode="auto">
        <a:xfrm>
          <a:off x="22574250" y="25136475"/>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152400</xdr:colOff>
      <xdr:row>110</xdr:row>
      <xdr:rowOff>190500</xdr:rowOff>
    </xdr:from>
    <xdr:to>
      <xdr:col>31</xdr:col>
      <xdr:colOff>152400</xdr:colOff>
      <xdr:row>132</xdr:row>
      <xdr:rowOff>104775</xdr:rowOff>
    </xdr:to>
    <xdr:sp macro="" textlink="">
      <xdr:nvSpPr>
        <xdr:cNvPr id="598" name="Line 678">
          <a:extLst>
            <a:ext uri="{FF2B5EF4-FFF2-40B4-BE49-F238E27FC236}">
              <a16:creationId xmlns:a16="http://schemas.microsoft.com/office/drawing/2014/main" id="{00000000-0008-0000-0000-000056020000}"/>
            </a:ext>
          </a:extLst>
        </xdr:cNvPr>
        <xdr:cNvSpPr>
          <a:spLocks noChangeShapeType="1"/>
        </xdr:cNvSpPr>
      </xdr:nvSpPr>
      <xdr:spPr bwMode="auto">
        <a:xfrm flipV="1">
          <a:off x="22707600" y="21355050"/>
          <a:ext cx="0" cy="420052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85725</xdr:colOff>
      <xdr:row>155</xdr:row>
      <xdr:rowOff>123825</xdr:rowOff>
    </xdr:from>
    <xdr:to>
      <xdr:col>31</xdr:col>
      <xdr:colOff>85725</xdr:colOff>
      <xdr:row>157</xdr:row>
      <xdr:rowOff>152400</xdr:rowOff>
    </xdr:to>
    <xdr:sp macro="" textlink="">
      <xdr:nvSpPr>
        <xdr:cNvPr id="599" name="Line 679">
          <a:extLst>
            <a:ext uri="{FF2B5EF4-FFF2-40B4-BE49-F238E27FC236}">
              <a16:creationId xmlns:a16="http://schemas.microsoft.com/office/drawing/2014/main" id="{00000000-0008-0000-0000-000057020000}"/>
            </a:ext>
          </a:extLst>
        </xdr:cNvPr>
        <xdr:cNvSpPr>
          <a:spLocks noChangeShapeType="1"/>
        </xdr:cNvSpPr>
      </xdr:nvSpPr>
      <xdr:spPr bwMode="auto">
        <a:xfrm>
          <a:off x="22640925" y="30089475"/>
          <a:ext cx="0" cy="4191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30</xdr:col>
      <xdr:colOff>676275</xdr:colOff>
      <xdr:row>154</xdr:row>
      <xdr:rowOff>123825</xdr:rowOff>
    </xdr:from>
    <xdr:to>
      <xdr:col>30</xdr:col>
      <xdr:colOff>676275</xdr:colOff>
      <xdr:row>156</xdr:row>
      <xdr:rowOff>123825</xdr:rowOff>
    </xdr:to>
    <xdr:sp macro="" textlink="">
      <xdr:nvSpPr>
        <xdr:cNvPr id="600" name="Line 680">
          <a:extLst>
            <a:ext uri="{FF2B5EF4-FFF2-40B4-BE49-F238E27FC236}">
              <a16:creationId xmlns:a16="http://schemas.microsoft.com/office/drawing/2014/main" id="{00000000-0008-0000-0000-000058020000}"/>
            </a:ext>
          </a:extLst>
        </xdr:cNvPr>
        <xdr:cNvSpPr>
          <a:spLocks noChangeShapeType="1"/>
        </xdr:cNvSpPr>
      </xdr:nvSpPr>
      <xdr:spPr bwMode="auto">
        <a:xfrm flipV="1">
          <a:off x="22479000" y="29898975"/>
          <a:ext cx="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600075</xdr:colOff>
      <xdr:row>154</xdr:row>
      <xdr:rowOff>114300</xdr:rowOff>
    </xdr:from>
    <xdr:to>
      <xdr:col>30</xdr:col>
      <xdr:colOff>742950</xdr:colOff>
      <xdr:row>155</xdr:row>
      <xdr:rowOff>38100</xdr:rowOff>
    </xdr:to>
    <xdr:sp macro="" textlink="">
      <xdr:nvSpPr>
        <xdr:cNvPr id="601" name="Line 681">
          <a:extLst>
            <a:ext uri="{FF2B5EF4-FFF2-40B4-BE49-F238E27FC236}">
              <a16:creationId xmlns:a16="http://schemas.microsoft.com/office/drawing/2014/main" id="{00000000-0008-0000-0000-000059020000}"/>
            </a:ext>
          </a:extLst>
        </xdr:cNvPr>
        <xdr:cNvSpPr>
          <a:spLocks noChangeShapeType="1"/>
        </xdr:cNvSpPr>
      </xdr:nvSpPr>
      <xdr:spPr bwMode="auto">
        <a:xfrm flipH="1">
          <a:off x="22402800" y="29889450"/>
          <a:ext cx="1428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28575</xdr:colOff>
      <xdr:row>154</xdr:row>
      <xdr:rowOff>114300</xdr:rowOff>
    </xdr:from>
    <xdr:to>
      <xdr:col>31</xdr:col>
      <xdr:colOff>123825</xdr:colOff>
      <xdr:row>155</xdr:row>
      <xdr:rowOff>19050</xdr:rowOff>
    </xdr:to>
    <xdr:sp macro="" textlink="">
      <xdr:nvSpPr>
        <xdr:cNvPr id="602" name="Line 682">
          <a:extLst>
            <a:ext uri="{FF2B5EF4-FFF2-40B4-BE49-F238E27FC236}">
              <a16:creationId xmlns:a16="http://schemas.microsoft.com/office/drawing/2014/main" id="{00000000-0008-0000-0000-00005A020000}"/>
            </a:ext>
          </a:extLst>
        </xdr:cNvPr>
        <xdr:cNvSpPr>
          <a:spLocks noChangeShapeType="1"/>
        </xdr:cNvSpPr>
      </xdr:nvSpPr>
      <xdr:spPr bwMode="auto">
        <a:xfrm flipH="1">
          <a:off x="22583775" y="2988945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38100</xdr:colOff>
      <xdr:row>155</xdr:row>
      <xdr:rowOff>142875</xdr:rowOff>
    </xdr:from>
    <xdr:to>
      <xdr:col>31</xdr:col>
      <xdr:colOff>276225</xdr:colOff>
      <xdr:row>155</xdr:row>
      <xdr:rowOff>142875</xdr:rowOff>
    </xdr:to>
    <xdr:sp macro="" textlink="">
      <xdr:nvSpPr>
        <xdr:cNvPr id="603" name="Line 683">
          <a:extLst>
            <a:ext uri="{FF2B5EF4-FFF2-40B4-BE49-F238E27FC236}">
              <a16:creationId xmlns:a16="http://schemas.microsoft.com/office/drawing/2014/main" id="{00000000-0008-0000-0000-00005B020000}"/>
            </a:ext>
          </a:extLst>
        </xdr:cNvPr>
        <xdr:cNvSpPr>
          <a:spLocks noChangeShapeType="1"/>
        </xdr:cNvSpPr>
      </xdr:nvSpPr>
      <xdr:spPr bwMode="auto">
        <a:xfrm>
          <a:off x="22593300" y="30108525"/>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104775</xdr:colOff>
      <xdr:row>155</xdr:row>
      <xdr:rowOff>66675</xdr:rowOff>
    </xdr:from>
    <xdr:to>
      <xdr:col>31</xdr:col>
      <xdr:colOff>219075</xdr:colOff>
      <xdr:row>156</xdr:row>
      <xdr:rowOff>0</xdr:rowOff>
    </xdr:to>
    <xdr:sp macro="" textlink="">
      <xdr:nvSpPr>
        <xdr:cNvPr id="604" name="Line 684">
          <a:extLst>
            <a:ext uri="{FF2B5EF4-FFF2-40B4-BE49-F238E27FC236}">
              <a16:creationId xmlns:a16="http://schemas.microsoft.com/office/drawing/2014/main" id="{00000000-0008-0000-0000-00005C020000}"/>
            </a:ext>
          </a:extLst>
        </xdr:cNvPr>
        <xdr:cNvSpPr>
          <a:spLocks noChangeShapeType="1"/>
        </xdr:cNvSpPr>
      </xdr:nvSpPr>
      <xdr:spPr bwMode="auto">
        <a:xfrm flipH="1">
          <a:off x="22659975" y="30032325"/>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155</xdr:row>
      <xdr:rowOff>76200</xdr:rowOff>
    </xdr:from>
    <xdr:to>
      <xdr:col>31</xdr:col>
      <xdr:colOff>133350</xdr:colOff>
      <xdr:row>156</xdr:row>
      <xdr:rowOff>9525</xdr:rowOff>
    </xdr:to>
    <xdr:sp macro="" textlink="">
      <xdr:nvSpPr>
        <xdr:cNvPr id="605" name="Line 685">
          <a:extLst>
            <a:ext uri="{FF2B5EF4-FFF2-40B4-BE49-F238E27FC236}">
              <a16:creationId xmlns:a16="http://schemas.microsoft.com/office/drawing/2014/main" id="{00000000-0008-0000-0000-00005D020000}"/>
            </a:ext>
          </a:extLst>
        </xdr:cNvPr>
        <xdr:cNvSpPr>
          <a:spLocks noChangeShapeType="1"/>
        </xdr:cNvSpPr>
      </xdr:nvSpPr>
      <xdr:spPr bwMode="auto">
        <a:xfrm flipH="1">
          <a:off x="22574250" y="30041850"/>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619125</xdr:colOff>
      <xdr:row>154</xdr:row>
      <xdr:rowOff>161925</xdr:rowOff>
    </xdr:from>
    <xdr:to>
      <xdr:col>31</xdr:col>
      <xdr:colOff>266700</xdr:colOff>
      <xdr:row>154</xdr:row>
      <xdr:rowOff>161925</xdr:rowOff>
    </xdr:to>
    <xdr:sp macro="" textlink="">
      <xdr:nvSpPr>
        <xdr:cNvPr id="606" name="Line 686">
          <a:extLst>
            <a:ext uri="{FF2B5EF4-FFF2-40B4-BE49-F238E27FC236}">
              <a16:creationId xmlns:a16="http://schemas.microsoft.com/office/drawing/2014/main" id="{00000000-0008-0000-0000-00005E020000}"/>
            </a:ext>
          </a:extLst>
        </xdr:cNvPr>
        <xdr:cNvSpPr>
          <a:spLocks noChangeShapeType="1"/>
        </xdr:cNvSpPr>
      </xdr:nvSpPr>
      <xdr:spPr bwMode="auto">
        <a:xfrm flipH="1">
          <a:off x="22421850" y="29937075"/>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152400</xdr:colOff>
      <xdr:row>135</xdr:row>
      <xdr:rowOff>152400</xdr:rowOff>
    </xdr:from>
    <xdr:to>
      <xdr:col>31</xdr:col>
      <xdr:colOff>152400</xdr:colOff>
      <xdr:row>158</xdr:row>
      <xdr:rowOff>190500</xdr:rowOff>
    </xdr:to>
    <xdr:sp macro="" textlink="">
      <xdr:nvSpPr>
        <xdr:cNvPr id="607" name="Line 687">
          <a:extLst>
            <a:ext uri="{FF2B5EF4-FFF2-40B4-BE49-F238E27FC236}">
              <a16:creationId xmlns:a16="http://schemas.microsoft.com/office/drawing/2014/main" id="{00000000-0008-0000-0000-00005F020000}"/>
            </a:ext>
          </a:extLst>
        </xdr:cNvPr>
        <xdr:cNvSpPr>
          <a:spLocks noChangeShapeType="1"/>
        </xdr:cNvSpPr>
      </xdr:nvSpPr>
      <xdr:spPr bwMode="auto">
        <a:xfrm flipV="1">
          <a:off x="22707600" y="26193750"/>
          <a:ext cx="0" cy="454342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66675</xdr:colOff>
      <xdr:row>156</xdr:row>
      <xdr:rowOff>38100</xdr:rowOff>
    </xdr:from>
    <xdr:to>
      <xdr:col>31</xdr:col>
      <xdr:colOff>419100</xdr:colOff>
      <xdr:row>156</xdr:row>
      <xdr:rowOff>85725</xdr:rowOff>
    </xdr:to>
    <xdr:sp macro="" textlink="">
      <xdr:nvSpPr>
        <xdr:cNvPr id="608" name="Line 688">
          <a:extLst>
            <a:ext uri="{FF2B5EF4-FFF2-40B4-BE49-F238E27FC236}">
              <a16:creationId xmlns:a16="http://schemas.microsoft.com/office/drawing/2014/main" id="{00000000-0008-0000-0000-000060020000}"/>
            </a:ext>
          </a:extLst>
        </xdr:cNvPr>
        <xdr:cNvSpPr>
          <a:spLocks noChangeShapeType="1"/>
        </xdr:cNvSpPr>
      </xdr:nvSpPr>
      <xdr:spPr bwMode="auto">
        <a:xfrm flipH="1" flipV="1">
          <a:off x="22621875" y="30194250"/>
          <a:ext cx="35242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38100</xdr:colOff>
      <xdr:row>156</xdr:row>
      <xdr:rowOff>9525</xdr:rowOff>
    </xdr:from>
    <xdr:to>
      <xdr:col>31</xdr:col>
      <xdr:colOff>123825</xdr:colOff>
      <xdr:row>156</xdr:row>
      <xdr:rowOff>85725</xdr:rowOff>
    </xdr:to>
    <xdr:sp macro="" textlink="" fLocksText="0">
      <xdr:nvSpPr>
        <xdr:cNvPr id="609" name="Oval 689">
          <a:extLst>
            <a:ext uri="{FF2B5EF4-FFF2-40B4-BE49-F238E27FC236}">
              <a16:creationId xmlns:a16="http://schemas.microsoft.com/office/drawing/2014/main" id="{00000000-0008-0000-0000-000061020000}"/>
            </a:ext>
          </a:extLst>
        </xdr:cNvPr>
        <xdr:cNvSpPr>
          <a:spLocks noChangeArrowheads="1"/>
        </xdr:cNvSpPr>
      </xdr:nvSpPr>
      <xdr:spPr bwMode="auto">
        <a:xfrm>
          <a:off x="22593300" y="30165675"/>
          <a:ext cx="85725"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85725</xdr:colOff>
      <xdr:row>152</xdr:row>
      <xdr:rowOff>142875</xdr:rowOff>
    </xdr:from>
    <xdr:to>
      <xdr:col>31</xdr:col>
      <xdr:colOff>85725</xdr:colOff>
      <xdr:row>156</xdr:row>
      <xdr:rowOff>28575</xdr:rowOff>
    </xdr:to>
    <xdr:sp macro="" textlink="">
      <xdr:nvSpPr>
        <xdr:cNvPr id="610" name="Line 690">
          <a:extLst>
            <a:ext uri="{FF2B5EF4-FFF2-40B4-BE49-F238E27FC236}">
              <a16:creationId xmlns:a16="http://schemas.microsoft.com/office/drawing/2014/main" id="{00000000-0008-0000-0000-000062020000}"/>
            </a:ext>
          </a:extLst>
        </xdr:cNvPr>
        <xdr:cNvSpPr>
          <a:spLocks noChangeShapeType="1"/>
        </xdr:cNvSpPr>
      </xdr:nvSpPr>
      <xdr:spPr bwMode="auto">
        <a:xfrm flipV="1">
          <a:off x="22640925" y="29527500"/>
          <a:ext cx="0" cy="657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47625</xdr:colOff>
      <xdr:row>151</xdr:row>
      <xdr:rowOff>28575</xdr:rowOff>
    </xdr:from>
    <xdr:to>
      <xdr:col>31</xdr:col>
      <xdr:colOff>695325</xdr:colOff>
      <xdr:row>151</xdr:row>
      <xdr:rowOff>104775</xdr:rowOff>
    </xdr:to>
    <xdr:sp macro="" textlink="">
      <xdr:nvSpPr>
        <xdr:cNvPr id="611" name="Line 691">
          <a:extLst>
            <a:ext uri="{FF2B5EF4-FFF2-40B4-BE49-F238E27FC236}">
              <a16:creationId xmlns:a16="http://schemas.microsoft.com/office/drawing/2014/main" id="{00000000-0008-0000-0000-000063020000}"/>
            </a:ext>
          </a:extLst>
        </xdr:cNvPr>
        <xdr:cNvSpPr>
          <a:spLocks noChangeShapeType="1"/>
        </xdr:cNvSpPr>
      </xdr:nvSpPr>
      <xdr:spPr bwMode="auto">
        <a:xfrm flipH="1" flipV="1">
          <a:off x="22602825" y="29222700"/>
          <a:ext cx="6477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723900</xdr:colOff>
      <xdr:row>151</xdr:row>
      <xdr:rowOff>0</xdr:rowOff>
    </xdr:from>
    <xdr:to>
      <xdr:col>31</xdr:col>
      <xdr:colOff>57150</xdr:colOff>
      <xdr:row>151</xdr:row>
      <xdr:rowOff>66675</xdr:rowOff>
    </xdr:to>
    <xdr:sp macro="" textlink="" fLocksText="0">
      <xdr:nvSpPr>
        <xdr:cNvPr id="612" name="Oval 692">
          <a:extLst>
            <a:ext uri="{FF2B5EF4-FFF2-40B4-BE49-F238E27FC236}">
              <a16:creationId xmlns:a16="http://schemas.microsoft.com/office/drawing/2014/main" id="{00000000-0008-0000-0000-000064020000}"/>
            </a:ext>
          </a:extLst>
        </xdr:cNvPr>
        <xdr:cNvSpPr>
          <a:spLocks noChangeArrowheads="1"/>
        </xdr:cNvSpPr>
      </xdr:nvSpPr>
      <xdr:spPr bwMode="auto">
        <a:xfrm>
          <a:off x="22526625" y="29194125"/>
          <a:ext cx="8572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16</xdr:col>
      <xdr:colOff>28575</xdr:colOff>
      <xdr:row>150</xdr:row>
      <xdr:rowOff>76200</xdr:rowOff>
    </xdr:from>
    <xdr:to>
      <xdr:col>20</xdr:col>
      <xdr:colOff>542925</xdr:colOff>
      <xdr:row>161</xdr:row>
      <xdr:rowOff>161925</xdr:rowOff>
    </xdr:to>
    <xdr:graphicFrame macro="">
      <xdr:nvGraphicFramePr>
        <xdr:cNvPr id="613" name="Chart 693">
          <a:extLst>
            <a:ext uri="{FF2B5EF4-FFF2-40B4-BE49-F238E27FC236}">
              <a16:creationId xmlns:a16="http://schemas.microsoft.com/office/drawing/2014/main" id="{00000000-0008-0000-0000-000065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676275</xdr:colOff>
      <xdr:row>150</xdr:row>
      <xdr:rowOff>95250</xdr:rowOff>
    </xdr:from>
    <xdr:to>
      <xdr:col>26</xdr:col>
      <xdr:colOff>38100</xdr:colOff>
      <xdr:row>161</xdr:row>
      <xdr:rowOff>133350</xdr:rowOff>
    </xdr:to>
    <xdr:graphicFrame macro="">
      <xdr:nvGraphicFramePr>
        <xdr:cNvPr id="614" name="Chart 694">
          <a:extLst>
            <a:ext uri="{FF2B5EF4-FFF2-40B4-BE49-F238E27FC236}">
              <a16:creationId xmlns:a16="http://schemas.microsoft.com/office/drawing/2014/main" id="{00000000-0008-0000-0000-0000660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30</xdr:col>
      <xdr:colOff>409575</xdr:colOff>
      <xdr:row>142</xdr:row>
      <xdr:rowOff>123825</xdr:rowOff>
    </xdr:from>
    <xdr:to>
      <xdr:col>30</xdr:col>
      <xdr:colOff>409575</xdr:colOff>
      <xdr:row>144</xdr:row>
      <xdr:rowOff>0</xdr:rowOff>
    </xdr:to>
    <xdr:sp macro="" textlink="">
      <xdr:nvSpPr>
        <xdr:cNvPr id="615" name="Line 700">
          <a:extLst>
            <a:ext uri="{FF2B5EF4-FFF2-40B4-BE49-F238E27FC236}">
              <a16:creationId xmlns:a16="http://schemas.microsoft.com/office/drawing/2014/main" id="{00000000-0008-0000-0000-000067020000}"/>
            </a:ext>
          </a:extLst>
        </xdr:cNvPr>
        <xdr:cNvSpPr>
          <a:spLocks noChangeShapeType="1"/>
        </xdr:cNvSpPr>
      </xdr:nvSpPr>
      <xdr:spPr bwMode="auto">
        <a:xfrm>
          <a:off x="22212300" y="2753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125</xdr:row>
      <xdr:rowOff>0</xdr:rowOff>
    </xdr:from>
    <xdr:to>
      <xdr:col>31</xdr:col>
      <xdr:colOff>19050</xdr:colOff>
      <xdr:row>126</xdr:row>
      <xdr:rowOff>142875</xdr:rowOff>
    </xdr:to>
    <xdr:sp macro="" textlink="">
      <xdr:nvSpPr>
        <xdr:cNvPr id="616" name="Line 701">
          <a:extLst>
            <a:ext uri="{FF2B5EF4-FFF2-40B4-BE49-F238E27FC236}">
              <a16:creationId xmlns:a16="http://schemas.microsoft.com/office/drawing/2014/main" id="{00000000-0008-0000-0000-000068020000}"/>
            </a:ext>
          </a:extLst>
        </xdr:cNvPr>
        <xdr:cNvSpPr>
          <a:spLocks noChangeShapeType="1"/>
        </xdr:cNvSpPr>
      </xdr:nvSpPr>
      <xdr:spPr bwMode="auto">
        <a:xfrm flipV="1">
          <a:off x="22574250" y="24088725"/>
          <a:ext cx="0" cy="3429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130</xdr:row>
      <xdr:rowOff>161925</xdr:rowOff>
    </xdr:from>
    <xdr:to>
      <xdr:col>31</xdr:col>
      <xdr:colOff>114300</xdr:colOff>
      <xdr:row>131</xdr:row>
      <xdr:rowOff>66675</xdr:rowOff>
    </xdr:to>
    <xdr:sp macro="" textlink="" fLocksText="0">
      <xdr:nvSpPr>
        <xdr:cNvPr id="617" name="Oval 702">
          <a:extLst>
            <a:ext uri="{FF2B5EF4-FFF2-40B4-BE49-F238E27FC236}">
              <a16:creationId xmlns:a16="http://schemas.microsoft.com/office/drawing/2014/main" id="{00000000-0008-0000-0000-000069020000}"/>
            </a:ext>
          </a:extLst>
        </xdr:cNvPr>
        <xdr:cNvSpPr>
          <a:spLocks noChangeArrowheads="1"/>
        </xdr:cNvSpPr>
      </xdr:nvSpPr>
      <xdr:spPr bwMode="auto">
        <a:xfrm>
          <a:off x="22574250" y="25222200"/>
          <a:ext cx="95250" cy="1047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38100</xdr:colOff>
      <xdr:row>131</xdr:row>
      <xdr:rowOff>190500</xdr:rowOff>
    </xdr:from>
    <xdr:to>
      <xdr:col>31</xdr:col>
      <xdr:colOff>142875</xdr:colOff>
      <xdr:row>133</xdr:row>
      <xdr:rowOff>142875</xdr:rowOff>
    </xdr:to>
    <xdr:sp macro="" textlink="">
      <xdr:nvSpPr>
        <xdr:cNvPr id="618" name="Tegning 703">
          <a:extLst>
            <a:ext uri="{FF2B5EF4-FFF2-40B4-BE49-F238E27FC236}">
              <a16:creationId xmlns:a16="http://schemas.microsoft.com/office/drawing/2014/main" id="{00000000-0008-0000-0000-00006A020000}"/>
            </a:ext>
          </a:extLst>
        </xdr:cNvPr>
        <xdr:cNvSpPr>
          <a:spLocks/>
        </xdr:cNvSpPr>
      </xdr:nvSpPr>
      <xdr:spPr bwMode="auto">
        <a:xfrm>
          <a:off x="21840825" y="25450800"/>
          <a:ext cx="857250" cy="342900"/>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1895" y="0"/>
              </a:lnTo>
              <a:lnTo>
                <a:pt x="11895" y="7928"/>
              </a:lnTo>
              <a:lnTo>
                <a:pt x="16384" y="7928"/>
              </a:lnTo>
              <a:lnTo>
                <a:pt x="16384" y="16384"/>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66675</xdr:colOff>
      <xdr:row>131</xdr:row>
      <xdr:rowOff>19050</xdr:rowOff>
    </xdr:from>
    <xdr:to>
      <xdr:col>31</xdr:col>
      <xdr:colOff>466725</xdr:colOff>
      <xdr:row>131</xdr:row>
      <xdr:rowOff>114300</xdr:rowOff>
    </xdr:to>
    <xdr:sp macro="" textlink="">
      <xdr:nvSpPr>
        <xdr:cNvPr id="619" name="Line 704">
          <a:extLst>
            <a:ext uri="{FF2B5EF4-FFF2-40B4-BE49-F238E27FC236}">
              <a16:creationId xmlns:a16="http://schemas.microsoft.com/office/drawing/2014/main" id="{00000000-0008-0000-0000-00006B020000}"/>
            </a:ext>
          </a:extLst>
        </xdr:cNvPr>
        <xdr:cNvSpPr>
          <a:spLocks noChangeShapeType="1"/>
        </xdr:cNvSpPr>
      </xdr:nvSpPr>
      <xdr:spPr bwMode="auto">
        <a:xfrm flipH="1" flipV="1">
          <a:off x="22621875" y="25279350"/>
          <a:ext cx="4000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142875</xdr:colOff>
      <xdr:row>128</xdr:row>
      <xdr:rowOff>0</xdr:rowOff>
    </xdr:from>
    <xdr:to>
      <xdr:col>31</xdr:col>
      <xdr:colOff>95250</xdr:colOff>
      <xdr:row>128</xdr:row>
      <xdr:rowOff>9525</xdr:rowOff>
    </xdr:to>
    <xdr:sp macro="" textlink="">
      <xdr:nvSpPr>
        <xdr:cNvPr id="620" name="Line 705">
          <a:extLst>
            <a:ext uri="{FF2B5EF4-FFF2-40B4-BE49-F238E27FC236}">
              <a16:creationId xmlns:a16="http://schemas.microsoft.com/office/drawing/2014/main" id="{00000000-0008-0000-0000-00006C020000}"/>
            </a:ext>
          </a:extLst>
        </xdr:cNvPr>
        <xdr:cNvSpPr>
          <a:spLocks noChangeShapeType="1"/>
        </xdr:cNvSpPr>
      </xdr:nvSpPr>
      <xdr:spPr bwMode="auto">
        <a:xfrm flipH="1">
          <a:off x="21193125" y="24679275"/>
          <a:ext cx="14573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161925</xdr:colOff>
      <xdr:row>127</xdr:row>
      <xdr:rowOff>0</xdr:rowOff>
    </xdr:from>
    <xdr:to>
      <xdr:col>30</xdr:col>
      <xdr:colOff>685800</xdr:colOff>
      <xdr:row>127</xdr:row>
      <xdr:rowOff>9525</xdr:rowOff>
    </xdr:to>
    <xdr:sp macro="" textlink="">
      <xdr:nvSpPr>
        <xdr:cNvPr id="621" name="Line 706">
          <a:extLst>
            <a:ext uri="{FF2B5EF4-FFF2-40B4-BE49-F238E27FC236}">
              <a16:creationId xmlns:a16="http://schemas.microsoft.com/office/drawing/2014/main" id="{00000000-0008-0000-0000-00006D020000}"/>
            </a:ext>
          </a:extLst>
        </xdr:cNvPr>
        <xdr:cNvSpPr>
          <a:spLocks noChangeShapeType="1"/>
        </xdr:cNvSpPr>
      </xdr:nvSpPr>
      <xdr:spPr bwMode="auto">
        <a:xfrm flipH="1">
          <a:off x="21212175" y="24488775"/>
          <a:ext cx="1276350"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666750</xdr:colOff>
      <xdr:row>126</xdr:row>
      <xdr:rowOff>114300</xdr:rowOff>
    </xdr:from>
    <xdr:to>
      <xdr:col>30</xdr:col>
      <xdr:colOff>76200</xdr:colOff>
      <xdr:row>127</xdr:row>
      <xdr:rowOff>95250</xdr:rowOff>
    </xdr:to>
    <xdr:sp macro="" textlink="">
      <xdr:nvSpPr>
        <xdr:cNvPr id="622" name="Line 707">
          <a:extLst>
            <a:ext uri="{FF2B5EF4-FFF2-40B4-BE49-F238E27FC236}">
              <a16:creationId xmlns:a16="http://schemas.microsoft.com/office/drawing/2014/main" id="{00000000-0008-0000-0000-00006E020000}"/>
            </a:ext>
          </a:extLst>
        </xdr:cNvPr>
        <xdr:cNvSpPr>
          <a:spLocks noChangeShapeType="1"/>
        </xdr:cNvSpPr>
      </xdr:nvSpPr>
      <xdr:spPr bwMode="auto">
        <a:xfrm flipH="1">
          <a:off x="21717000" y="24403050"/>
          <a:ext cx="161925"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628650</xdr:colOff>
      <xdr:row>126</xdr:row>
      <xdr:rowOff>152400</xdr:rowOff>
    </xdr:from>
    <xdr:to>
      <xdr:col>30</xdr:col>
      <xdr:colOff>723900</xdr:colOff>
      <xdr:row>127</xdr:row>
      <xdr:rowOff>57150</xdr:rowOff>
    </xdr:to>
    <xdr:sp macro="" textlink="">
      <xdr:nvSpPr>
        <xdr:cNvPr id="623" name="Line 708">
          <a:extLst>
            <a:ext uri="{FF2B5EF4-FFF2-40B4-BE49-F238E27FC236}">
              <a16:creationId xmlns:a16="http://schemas.microsoft.com/office/drawing/2014/main" id="{00000000-0008-0000-0000-00006F020000}"/>
            </a:ext>
          </a:extLst>
        </xdr:cNvPr>
        <xdr:cNvSpPr>
          <a:spLocks noChangeShapeType="1"/>
        </xdr:cNvSpPr>
      </xdr:nvSpPr>
      <xdr:spPr bwMode="auto">
        <a:xfrm flipH="1">
          <a:off x="22431375" y="24441150"/>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9525</xdr:colOff>
      <xdr:row>127</xdr:row>
      <xdr:rowOff>123825</xdr:rowOff>
    </xdr:from>
    <xdr:to>
      <xdr:col>31</xdr:col>
      <xdr:colOff>123825</xdr:colOff>
      <xdr:row>128</xdr:row>
      <xdr:rowOff>76200</xdr:rowOff>
    </xdr:to>
    <xdr:sp macro="" textlink="">
      <xdr:nvSpPr>
        <xdr:cNvPr id="624" name="Line 709">
          <a:extLst>
            <a:ext uri="{FF2B5EF4-FFF2-40B4-BE49-F238E27FC236}">
              <a16:creationId xmlns:a16="http://schemas.microsoft.com/office/drawing/2014/main" id="{00000000-0008-0000-0000-000070020000}"/>
            </a:ext>
          </a:extLst>
        </xdr:cNvPr>
        <xdr:cNvSpPr>
          <a:spLocks noChangeShapeType="1"/>
        </xdr:cNvSpPr>
      </xdr:nvSpPr>
      <xdr:spPr bwMode="auto">
        <a:xfrm flipH="1">
          <a:off x="22564725" y="24612600"/>
          <a:ext cx="1143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685800</xdr:colOff>
      <xdr:row>127</xdr:row>
      <xdr:rowOff>85725</xdr:rowOff>
    </xdr:from>
    <xdr:to>
      <xdr:col>30</xdr:col>
      <xdr:colOff>95250</xdr:colOff>
      <xdr:row>128</xdr:row>
      <xdr:rowOff>95250</xdr:rowOff>
    </xdr:to>
    <xdr:sp macro="" textlink="">
      <xdr:nvSpPr>
        <xdr:cNvPr id="625" name="Line 710">
          <a:extLst>
            <a:ext uri="{FF2B5EF4-FFF2-40B4-BE49-F238E27FC236}">
              <a16:creationId xmlns:a16="http://schemas.microsoft.com/office/drawing/2014/main" id="{00000000-0008-0000-0000-000071020000}"/>
            </a:ext>
          </a:extLst>
        </xdr:cNvPr>
        <xdr:cNvSpPr>
          <a:spLocks noChangeShapeType="1"/>
        </xdr:cNvSpPr>
      </xdr:nvSpPr>
      <xdr:spPr bwMode="auto">
        <a:xfrm flipH="1">
          <a:off x="21736050" y="24574500"/>
          <a:ext cx="161925"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0</xdr:colOff>
      <xdr:row>122</xdr:row>
      <xdr:rowOff>76200</xdr:rowOff>
    </xdr:from>
    <xdr:to>
      <xdr:col>30</xdr:col>
      <xdr:colOff>9525</xdr:colOff>
      <xdr:row>128</xdr:row>
      <xdr:rowOff>133350</xdr:rowOff>
    </xdr:to>
    <xdr:sp macro="" textlink="">
      <xdr:nvSpPr>
        <xdr:cNvPr id="626" name="Line 711">
          <a:extLst>
            <a:ext uri="{FF2B5EF4-FFF2-40B4-BE49-F238E27FC236}">
              <a16:creationId xmlns:a16="http://schemas.microsoft.com/office/drawing/2014/main" id="{00000000-0008-0000-0000-000072020000}"/>
            </a:ext>
          </a:extLst>
        </xdr:cNvPr>
        <xdr:cNvSpPr>
          <a:spLocks noChangeShapeType="1"/>
        </xdr:cNvSpPr>
      </xdr:nvSpPr>
      <xdr:spPr bwMode="auto">
        <a:xfrm>
          <a:off x="21802725" y="23564850"/>
          <a:ext cx="9525" cy="1247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66675</xdr:colOff>
      <xdr:row>130</xdr:row>
      <xdr:rowOff>9525</xdr:rowOff>
    </xdr:from>
    <xdr:to>
      <xdr:col>31</xdr:col>
      <xdr:colOff>66675</xdr:colOff>
      <xdr:row>132</xdr:row>
      <xdr:rowOff>142875</xdr:rowOff>
    </xdr:to>
    <xdr:sp macro="" textlink="">
      <xdr:nvSpPr>
        <xdr:cNvPr id="627" name="Line 712">
          <a:extLst>
            <a:ext uri="{FF2B5EF4-FFF2-40B4-BE49-F238E27FC236}">
              <a16:creationId xmlns:a16="http://schemas.microsoft.com/office/drawing/2014/main" id="{00000000-0008-0000-0000-000073020000}"/>
            </a:ext>
          </a:extLst>
        </xdr:cNvPr>
        <xdr:cNvSpPr>
          <a:spLocks noChangeShapeType="1"/>
        </xdr:cNvSpPr>
      </xdr:nvSpPr>
      <xdr:spPr bwMode="auto">
        <a:xfrm>
          <a:off x="22621875" y="25069800"/>
          <a:ext cx="0" cy="5238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30</xdr:col>
      <xdr:colOff>657225</xdr:colOff>
      <xdr:row>129</xdr:row>
      <xdr:rowOff>66675</xdr:rowOff>
    </xdr:from>
    <xdr:to>
      <xdr:col>30</xdr:col>
      <xdr:colOff>657225</xdr:colOff>
      <xdr:row>131</xdr:row>
      <xdr:rowOff>142875</xdr:rowOff>
    </xdr:to>
    <xdr:sp macro="" textlink="">
      <xdr:nvSpPr>
        <xdr:cNvPr id="628" name="Line 713">
          <a:extLst>
            <a:ext uri="{FF2B5EF4-FFF2-40B4-BE49-F238E27FC236}">
              <a16:creationId xmlns:a16="http://schemas.microsoft.com/office/drawing/2014/main" id="{00000000-0008-0000-0000-000074020000}"/>
            </a:ext>
          </a:extLst>
        </xdr:cNvPr>
        <xdr:cNvSpPr>
          <a:spLocks noChangeShapeType="1"/>
        </xdr:cNvSpPr>
      </xdr:nvSpPr>
      <xdr:spPr bwMode="auto">
        <a:xfrm flipV="1">
          <a:off x="22459950" y="24936450"/>
          <a:ext cx="0" cy="466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590550</xdr:colOff>
      <xdr:row>129</xdr:row>
      <xdr:rowOff>47625</xdr:rowOff>
    </xdr:from>
    <xdr:to>
      <xdr:col>30</xdr:col>
      <xdr:colOff>733425</xdr:colOff>
      <xdr:row>129</xdr:row>
      <xdr:rowOff>171450</xdr:rowOff>
    </xdr:to>
    <xdr:sp macro="" textlink="">
      <xdr:nvSpPr>
        <xdr:cNvPr id="629" name="Line 714">
          <a:extLst>
            <a:ext uri="{FF2B5EF4-FFF2-40B4-BE49-F238E27FC236}">
              <a16:creationId xmlns:a16="http://schemas.microsoft.com/office/drawing/2014/main" id="{00000000-0008-0000-0000-000075020000}"/>
            </a:ext>
          </a:extLst>
        </xdr:cNvPr>
        <xdr:cNvSpPr>
          <a:spLocks noChangeShapeType="1"/>
        </xdr:cNvSpPr>
      </xdr:nvSpPr>
      <xdr:spPr bwMode="auto">
        <a:xfrm flipH="1">
          <a:off x="22393275" y="24917400"/>
          <a:ext cx="1428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0</xdr:colOff>
      <xdr:row>129</xdr:row>
      <xdr:rowOff>66675</xdr:rowOff>
    </xdr:from>
    <xdr:to>
      <xdr:col>31</xdr:col>
      <xdr:colOff>133350</xdr:colOff>
      <xdr:row>129</xdr:row>
      <xdr:rowOff>209550</xdr:rowOff>
    </xdr:to>
    <xdr:sp macro="" textlink="">
      <xdr:nvSpPr>
        <xdr:cNvPr id="630" name="Line 715">
          <a:extLst>
            <a:ext uri="{FF2B5EF4-FFF2-40B4-BE49-F238E27FC236}">
              <a16:creationId xmlns:a16="http://schemas.microsoft.com/office/drawing/2014/main" id="{00000000-0008-0000-0000-000076020000}"/>
            </a:ext>
          </a:extLst>
        </xdr:cNvPr>
        <xdr:cNvSpPr>
          <a:spLocks noChangeShapeType="1"/>
        </xdr:cNvSpPr>
      </xdr:nvSpPr>
      <xdr:spPr bwMode="auto">
        <a:xfrm flipH="1">
          <a:off x="22555200" y="24936450"/>
          <a:ext cx="1333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66675</xdr:colOff>
      <xdr:row>130</xdr:row>
      <xdr:rowOff>9525</xdr:rowOff>
    </xdr:from>
    <xdr:to>
      <xdr:col>31</xdr:col>
      <xdr:colOff>180975</xdr:colOff>
      <xdr:row>130</xdr:row>
      <xdr:rowOff>123825</xdr:rowOff>
    </xdr:to>
    <xdr:sp macro="" textlink="">
      <xdr:nvSpPr>
        <xdr:cNvPr id="631" name="Line 716">
          <a:extLst>
            <a:ext uri="{FF2B5EF4-FFF2-40B4-BE49-F238E27FC236}">
              <a16:creationId xmlns:a16="http://schemas.microsoft.com/office/drawing/2014/main" id="{00000000-0008-0000-0000-000077020000}"/>
            </a:ext>
          </a:extLst>
        </xdr:cNvPr>
        <xdr:cNvSpPr>
          <a:spLocks noChangeShapeType="1"/>
        </xdr:cNvSpPr>
      </xdr:nvSpPr>
      <xdr:spPr bwMode="auto">
        <a:xfrm flipH="1">
          <a:off x="22621875" y="2506980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733425</xdr:colOff>
      <xdr:row>130</xdr:row>
      <xdr:rowOff>9525</xdr:rowOff>
    </xdr:from>
    <xdr:to>
      <xdr:col>31</xdr:col>
      <xdr:colOff>114300</xdr:colOff>
      <xdr:row>130</xdr:row>
      <xdr:rowOff>152400</xdr:rowOff>
    </xdr:to>
    <xdr:sp macro="" textlink="">
      <xdr:nvSpPr>
        <xdr:cNvPr id="632" name="Line 717">
          <a:extLst>
            <a:ext uri="{FF2B5EF4-FFF2-40B4-BE49-F238E27FC236}">
              <a16:creationId xmlns:a16="http://schemas.microsoft.com/office/drawing/2014/main" id="{00000000-0008-0000-0000-000078020000}"/>
            </a:ext>
          </a:extLst>
        </xdr:cNvPr>
        <xdr:cNvSpPr>
          <a:spLocks noChangeShapeType="1"/>
        </xdr:cNvSpPr>
      </xdr:nvSpPr>
      <xdr:spPr bwMode="auto">
        <a:xfrm flipH="1">
          <a:off x="22536150" y="25069800"/>
          <a:ext cx="13335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609600</xdr:colOff>
      <xdr:row>129</xdr:row>
      <xdr:rowOff>114300</xdr:rowOff>
    </xdr:from>
    <xdr:to>
      <xdr:col>31</xdr:col>
      <xdr:colOff>257175</xdr:colOff>
      <xdr:row>129</xdr:row>
      <xdr:rowOff>114300</xdr:rowOff>
    </xdr:to>
    <xdr:sp macro="" textlink="">
      <xdr:nvSpPr>
        <xdr:cNvPr id="633" name="Line 718">
          <a:extLst>
            <a:ext uri="{FF2B5EF4-FFF2-40B4-BE49-F238E27FC236}">
              <a16:creationId xmlns:a16="http://schemas.microsoft.com/office/drawing/2014/main" id="{00000000-0008-0000-0000-000079020000}"/>
            </a:ext>
          </a:extLst>
        </xdr:cNvPr>
        <xdr:cNvSpPr>
          <a:spLocks noChangeShapeType="1"/>
        </xdr:cNvSpPr>
      </xdr:nvSpPr>
      <xdr:spPr bwMode="auto">
        <a:xfrm flipH="1">
          <a:off x="22412325" y="24984075"/>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0</xdr:colOff>
      <xdr:row>126</xdr:row>
      <xdr:rowOff>9525</xdr:rowOff>
    </xdr:from>
    <xdr:to>
      <xdr:col>31</xdr:col>
      <xdr:colOff>704850</xdr:colOff>
      <xdr:row>126</xdr:row>
      <xdr:rowOff>114300</xdr:rowOff>
    </xdr:to>
    <xdr:sp macro="" textlink="">
      <xdr:nvSpPr>
        <xdr:cNvPr id="634" name="Line 719">
          <a:extLst>
            <a:ext uri="{FF2B5EF4-FFF2-40B4-BE49-F238E27FC236}">
              <a16:creationId xmlns:a16="http://schemas.microsoft.com/office/drawing/2014/main" id="{00000000-0008-0000-0000-00007A020000}"/>
            </a:ext>
          </a:extLst>
        </xdr:cNvPr>
        <xdr:cNvSpPr>
          <a:spLocks noChangeShapeType="1"/>
        </xdr:cNvSpPr>
      </xdr:nvSpPr>
      <xdr:spPr bwMode="auto">
        <a:xfrm flipH="1" flipV="1">
          <a:off x="22555200" y="24298275"/>
          <a:ext cx="7048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723900</xdr:colOff>
      <xdr:row>125</xdr:row>
      <xdr:rowOff>180975</xdr:rowOff>
    </xdr:from>
    <xdr:to>
      <xdr:col>31</xdr:col>
      <xdr:colOff>47625</xdr:colOff>
      <xdr:row>126</xdr:row>
      <xdr:rowOff>47625</xdr:rowOff>
    </xdr:to>
    <xdr:sp macro="" textlink="" fLocksText="0">
      <xdr:nvSpPr>
        <xdr:cNvPr id="635" name="Oval 720">
          <a:extLst>
            <a:ext uri="{FF2B5EF4-FFF2-40B4-BE49-F238E27FC236}">
              <a16:creationId xmlns:a16="http://schemas.microsoft.com/office/drawing/2014/main" id="{00000000-0008-0000-0000-00007B020000}"/>
            </a:ext>
          </a:extLst>
        </xdr:cNvPr>
        <xdr:cNvSpPr>
          <a:spLocks noChangeArrowheads="1"/>
        </xdr:cNvSpPr>
      </xdr:nvSpPr>
      <xdr:spPr bwMode="auto">
        <a:xfrm>
          <a:off x="22526625" y="24269700"/>
          <a:ext cx="76200"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76200</xdr:colOff>
      <xdr:row>127</xdr:row>
      <xdr:rowOff>104775</xdr:rowOff>
    </xdr:from>
    <xdr:to>
      <xdr:col>31</xdr:col>
      <xdr:colOff>76200</xdr:colOff>
      <xdr:row>129</xdr:row>
      <xdr:rowOff>219075</xdr:rowOff>
    </xdr:to>
    <xdr:sp macro="" textlink="">
      <xdr:nvSpPr>
        <xdr:cNvPr id="636" name="Line 721">
          <a:extLst>
            <a:ext uri="{FF2B5EF4-FFF2-40B4-BE49-F238E27FC236}">
              <a16:creationId xmlns:a16="http://schemas.microsoft.com/office/drawing/2014/main" id="{00000000-0008-0000-0000-00007C020000}"/>
            </a:ext>
          </a:extLst>
        </xdr:cNvPr>
        <xdr:cNvSpPr>
          <a:spLocks noChangeShapeType="1"/>
        </xdr:cNvSpPr>
      </xdr:nvSpPr>
      <xdr:spPr bwMode="auto">
        <a:xfrm flipV="1">
          <a:off x="22631400" y="24593550"/>
          <a:ext cx="0" cy="466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685800</xdr:colOff>
      <xdr:row>125</xdr:row>
      <xdr:rowOff>161925</xdr:rowOff>
    </xdr:from>
    <xdr:to>
      <xdr:col>30</xdr:col>
      <xdr:colOff>304800</xdr:colOff>
      <xdr:row>125</xdr:row>
      <xdr:rowOff>161925</xdr:rowOff>
    </xdr:to>
    <xdr:sp macro="" textlink="">
      <xdr:nvSpPr>
        <xdr:cNvPr id="637" name="Line 722">
          <a:extLst>
            <a:ext uri="{FF2B5EF4-FFF2-40B4-BE49-F238E27FC236}">
              <a16:creationId xmlns:a16="http://schemas.microsoft.com/office/drawing/2014/main" id="{00000000-0008-0000-0000-00007D020000}"/>
            </a:ext>
          </a:extLst>
        </xdr:cNvPr>
        <xdr:cNvSpPr>
          <a:spLocks noChangeShapeType="1"/>
        </xdr:cNvSpPr>
      </xdr:nvSpPr>
      <xdr:spPr bwMode="auto">
        <a:xfrm>
          <a:off x="21736050" y="24250650"/>
          <a:ext cx="371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152400</xdr:colOff>
      <xdr:row>125</xdr:row>
      <xdr:rowOff>85725</xdr:rowOff>
    </xdr:from>
    <xdr:to>
      <xdr:col>30</xdr:col>
      <xdr:colOff>342900</xdr:colOff>
      <xdr:row>126</xdr:row>
      <xdr:rowOff>47625</xdr:rowOff>
    </xdr:to>
    <xdr:sp macro="" textlink="">
      <xdr:nvSpPr>
        <xdr:cNvPr id="638" name="Tegning 723">
          <a:extLst>
            <a:ext uri="{FF2B5EF4-FFF2-40B4-BE49-F238E27FC236}">
              <a16:creationId xmlns:a16="http://schemas.microsoft.com/office/drawing/2014/main" id="{00000000-0008-0000-0000-00007E020000}"/>
            </a:ext>
          </a:extLst>
        </xdr:cNvPr>
        <xdr:cNvSpPr>
          <a:spLocks/>
        </xdr:cNvSpPr>
      </xdr:nvSpPr>
      <xdr:spPr bwMode="auto">
        <a:xfrm>
          <a:off x="21955125" y="24174450"/>
          <a:ext cx="190500" cy="1619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3277" y="0"/>
              </a:moveTo>
              <a:lnTo>
                <a:pt x="16384" y="8738"/>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29</xdr:col>
      <xdr:colOff>704850</xdr:colOff>
      <xdr:row>125</xdr:row>
      <xdr:rowOff>123825</xdr:rowOff>
    </xdr:from>
    <xdr:to>
      <xdr:col>30</xdr:col>
      <xdr:colOff>47625</xdr:colOff>
      <xdr:row>126</xdr:row>
      <xdr:rowOff>9525</xdr:rowOff>
    </xdr:to>
    <xdr:sp macro="" textlink="" fLocksText="0">
      <xdr:nvSpPr>
        <xdr:cNvPr id="639" name="Oval 724">
          <a:extLst>
            <a:ext uri="{FF2B5EF4-FFF2-40B4-BE49-F238E27FC236}">
              <a16:creationId xmlns:a16="http://schemas.microsoft.com/office/drawing/2014/main" id="{00000000-0008-0000-0000-00007F020000}"/>
            </a:ext>
          </a:extLst>
        </xdr:cNvPr>
        <xdr:cNvSpPr>
          <a:spLocks noChangeArrowheads="1"/>
        </xdr:cNvSpPr>
      </xdr:nvSpPr>
      <xdr:spPr bwMode="auto">
        <a:xfrm>
          <a:off x="21755100" y="24212550"/>
          <a:ext cx="95250" cy="857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29</xdr:col>
      <xdr:colOff>723900</xdr:colOff>
      <xdr:row>145</xdr:row>
      <xdr:rowOff>28575</xdr:rowOff>
    </xdr:from>
    <xdr:to>
      <xdr:col>30</xdr:col>
      <xdr:colOff>57150</xdr:colOff>
      <xdr:row>145</xdr:row>
      <xdr:rowOff>95250</xdr:rowOff>
    </xdr:to>
    <xdr:sp macro="" textlink="" fLocksText="0">
      <xdr:nvSpPr>
        <xdr:cNvPr id="640" name="Oval 725">
          <a:extLst>
            <a:ext uri="{FF2B5EF4-FFF2-40B4-BE49-F238E27FC236}">
              <a16:creationId xmlns:a16="http://schemas.microsoft.com/office/drawing/2014/main" id="{00000000-0008-0000-0000-000080020000}"/>
            </a:ext>
          </a:extLst>
        </xdr:cNvPr>
        <xdr:cNvSpPr>
          <a:spLocks noChangeArrowheads="1"/>
        </xdr:cNvSpPr>
      </xdr:nvSpPr>
      <xdr:spPr bwMode="auto">
        <a:xfrm>
          <a:off x="21774150" y="28041600"/>
          <a:ext cx="8572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723900</xdr:colOff>
      <xdr:row>145</xdr:row>
      <xdr:rowOff>38100</xdr:rowOff>
    </xdr:from>
    <xdr:to>
      <xdr:col>31</xdr:col>
      <xdr:colOff>57150</xdr:colOff>
      <xdr:row>145</xdr:row>
      <xdr:rowOff>104775</xdr:rowOff>
    </xdr:to>
    <xdr:sp macro="" textlink="" fLocksText="0">
      <xdr:nvSpPr>
        <xdr:cNvPr id="641" name="Oval 726">
          <a:extLst>
            <a:ext uri="{FF2B5EF4-FFF2-40B4-BE49-F238E27FC236}">
              <a16:creationId xmlns:a16="http://schemas.microsoft.com/office/drawing/2014/main" id="{00000000-0008-0000-0000-000081020000}"/>
            </a:ext>
          </a:extLst>
        </xdr:cNvPr>
        <xdr:cNvSpPr>
          <a:spLocks noChangeArrowheads="1"/>
        </xdr:cNvSpPr>
      </xdr:nvSpPr>
      <xdr:spPr bwMode="auto">
        <a:xfrm>
          <a:off x="22526625" y="28051125"/>
          <a:ext cx="8572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647700</xdr:colOff>
      <xdr:row>142</xdr:row>
      <xdr:rowOff>28575</xdr:rowOff>
    </xdr:from>
    <xdr:to>
      <xdr:col>30</xdr:col>
      <xdr:colOff>723900</xdr:colOff>
      <xdr:row>142</xdr:row>
      <xdr:rowOff>95250</xdr:rowOff>
    </xdr:to>
    <xdr:sp macro="" textlink="" fLocksText="0">
      <xdr:nvSpPr>
        <xdr:cNvPr id="642" name="Oval 727">
          <a:extLst>
            <a:ext uri="{FF2B5EF4-FFF2-40B4-BE49-F238E27FC236}">
              <a16:creationId xmlns:a16="http://schemas.microsoft.com/office/drawing/2014/main" id="{00000000-0008-0000-0000-000082020000}"/>
            </a:ext>
          </a:extLst>
        </xdr:cNvPr>
        <xdr:cNvSpPr>
          <a:spLocks noChangeArrowheads="1"/>
        </xdr:cNvSpPr>
      </xdr:nvSpPr>
      <xdr:spPr bwMode="auto">
        <a:xfrm>
          <a:off x="22450425" y="27441525"/>
          <a:ext cx="76200"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647700</xdr:colOff>
      <xdr:row>142</xdr:row>
      <xdr:rowOff>114300</xdr:rowOff>
    </xdr:from>
    <xdr:to>
      <xdr:col>30</xdr:col>
      <xdr:colOff>647700</xdr:colOff>
      <xdr:row>144</xdr:row>
      <xdr:rowOff>28575</xdr:rowOff>
    </xdr:to>
    <xdr:sp macro="" textlink="">
      <xdr:nvSpPr>
        <xdr:cNvPr id="643" name="Line 728">
          <a:extLst>
            <a:ext uri="{FF2B5EF4-FFF2-40B4-BE49-F238E27FC236}">
              <a16:creationId xmlns:a16="http://schemas.microsoft.com/office/drawing/2014/main" id="{00000000-0008-0000-0000-000083020000}"/>
            </a:ext>
          </a:extLst>
        </xdr:cNvPr>
        <xdr:cNvSpPr>
          <a:spLocks noChangeShapeType="1"/>
        </xdr:cNvSpPr>
      </xdr:nvSpPr>
      <xdr:spPr bwMode="auto">
        <a:xfrm>
          <a:off x="22450425" y="27527250"/>
          <a:ext cx="0"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733425</xdr:colOff>
      <xdr:row>118</xdr:row>
      <xdr:rowOff>47625</xdr:rowOff>
    </xdr:from>
    <xdr:to>
      <xdr:col>30</xdr:col>
      <xdr:colOff>733425</xdr:colOff>
      <xdr:row>118</xdr:row>
      <xdr:rowOff>161925</xdr:rowOff>
    </xdr:to>
    <xdr:sp macro="" textlink="">
      <xdr:nvSpPr>
        <xdr:cNvPr id="644" name="Line 729">
          <a:extLst>
            <a:ext uri="{FF2B5EF4-FFF2-40B4-BE49-F238E27FC236}">
              <a16:creationId xmlns:a16="http://schemas.microsoft.com/office/drawing/2014/main" id="{00000000-0008-0000-0000-000084020000}"/>
            </a:ext>
          </a:extLst>
        </xdr:cNvPr>
        <xdr:cNvSpPr>
          <a:spLocks noChangeShapeType="1"/>
        </xdr:cNvSpPr>
      </xdr:nvSpPr>
      <xdr:spPr bwMode="auto">
        <a:xfrm flipV="1">
          <a:off x="22536150" y="22774275"/>
          <a:ext cx="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609600</xdr:colOff>
      <xdr:row>123</xdr:row>
      <xdr:rowOff>38100</xdr:rowOff>
    </xdr:from>
    <xdr:to>
      <xdr:col>29</xdr:col>
      <xdr:colOff>714375</xdr:colOff>
      <xdr:row>123</xdr:row>
      <xdr:rowOff>142875</xdr:rowOff>
    </xdr:to>
    <xdr:sp macro="" textlink="" fLocksText="0">
      <xdr:nvSpPr>
        <xdr:cNvPr id="645" name="Oval 730">
          <a:extLst>
            <a:ext uri="{FF2B5EF4-FFF2-40B4-BE49-F238E27FC236}">
              <a16:creationId xmlns:a16="http://schemas.microsoft.com/office/drawing/2014/main" id="{00000000-0008-0000-0000-000085020000}"/>
            </a:ext>
          </a:extLst>
        </xdr:cNvPr>
        <xdr:cNvSpPr>
          <a:spLocks noChangeArrowheads="1"/>
        </xdr:cNvSpPr>
      </xdr:nvSpPr>
      <xdr:spPr bwMode="auto">
        <a:xfrm>
          <a:off x="21659850" y="23726775"/>
          <a:ext cx="104775" cy="1047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714375</xdr:colOff>
      <xdr:row>120</xdr:row>
      <xdr:rowOff>9525</xdr:rowOff>
    </xdr:from>
    <xdr:to>
      <xdr:col>31</xdr:col>
      <xdr:colOff>38100</xdr:colOff>
      <xdr:row>120</xdr:row>
      <xdr:rowOff>76200</xdr:rowOff>
    </xdr:to>
    <xdr:sp macro="" textlink="" fLocksText="0">
      <xdr:nvSpPr>
        <xdr:cNvPr id="646" name="Oval 731">
          <a:extLst>
            <a:ext uri="{FF2B5EF4-FFF2-40B4-BE49-F238E27FC236}">
              <a16:creationId xmlns:a16="http://schemas.microsoft.com/office/drawing/2014/main" id="{00000000-0008-0000-0000-000086020000}"/>
            </a:ext>
          </a:extLst>
        </xdr:cNvPr>
        <xdr:cNvSpPr>
          <a:spLocks noChangeArrowheads="1"/>
        </xdr:cNvSpPr>
      </xdr:nvSpPr>
      <xdr:spPr bwMode="auto">
        <a:xfrm>
          <a:off x="22517100" y="23117175"/>
          <a:ext cx="76200"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180975</xdr:colOff>
      <xdr:row>119</xdr:row>
      <xdr:rowOff>0</xdr:rowOff>
    </xdr:from>
    <xdr:to>
      <xdr:col>31</xdr:col>
      <xdr:colOff>371475</xdr:colOff>
      <xdr:row>119</xdr:row>
      <xdr:rowOff>0</xdr:rowOff>
    </xdr:to>
    <xdr:sp macro="" textlink="">
      <xdr:nvSpPr>
        <xdr:cNvPr id="647" name="Line 732">
          <a:extLst>
            <a:ext uri="{FF2B5EF4-FFF2-40B4-BE49-F238E27FC236}">
              <a16:creationId xmlns:a16="http://schemas.microsoft.com/office/drawing/2014/main" id="{00000000-0008-0000-0000-000087020000}"/>
            </a:ext>
          </a:extLst>
        </xdr:cNvPr>
        <xdr:cNvSpPr>
          <a:spLocks noChangeShapeType="1"/>
        </xdr:cNvSpPr>
      </xdr:nvSpPr>
      <xdr:spPr bwMode="auto">
        <a:xfrm>
          <a:off x="22736175" y="22917150"/>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685800</xdr:colOff>
      <xdr:row>118</xdr:row>
      <xdr:rowOff>47625</xdr:rowOff>
    </xdr:from>
    <xdr:to>
      <xdr:col>31</xdr:col>
      <xdr:colOff>142875</xdr:colOff>
      <xdr:row>119</xdr:row>
      <xdr:rowOff>9525</xdr:rowOff>
    </xdr:to>
    <xdr:sp macro="" textlink="">
      <xdr:nvSpPr>
        <xdr:cNvPr id="648" name="Tegning 733">
          <a:extLst>
            <a:ext uri="{FF2B5EF4-FFF2-40B4-BE49-F238E27FC236}">
              <a16:creationId xmlns:a16="http://schemas.microsoft.com/office/drawing/2014/main" id="{00000000-0008-0000-0000-000088020000}"/>
            </a:ext>
          </a:extLst>
        </xdr:cNvPr>
        <xdr:cNvSpPr>
          <a:spLocks/>
        </xdr:cNvSpPr>
      </xdr:nvSpPr>
      <xdr:spPr bwMode="auto">
        <a:xfrm>
          <a:off x="22488525" y="22774275"/>
          <a:ext cx="209550" cy="15240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5420"/>
              </a:moveTo>
              <a:lnTo>
                <a:pt x="0" y="0"/>
              </a:ln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114300</xdr:colOff>
      <xdr:row>118</xdr:row>
      <xdr:rowOff>47625</xdr:rowOff>
    </xdr:from>
    <xdr:to>
      <xdr:col>31</xdr:col>
      <xdr:colOff>114300</xdr:colOff>
      <xdr:row>119</xdr:row>
      <xdr:rowOff>0</xdr:rowOff>
    </xdr:to>
    <xdr:sp macro="" textlink="">
      <xdr:nvSpPr>
        <xdr:cNvPr id="649" name="Line 734">
          <a:extLst>
            <a:ext uri="{FF2B5EF4-FFF2-40B4-BE49-F238E27FC236}">
              <a16:creationId xmlns:a16="http://schemas.microsoft.com/office/drawing/2014/main" id="{00000000-0008-0000-0000-000089020000}"/>
            </a:ext>
          </a:extLst>
        </xdr:cNvPr>
        <xdr:cNvSpPr>
          <a:spLocks noChangeShapeType="1"/>
        </xdr:cNvSpPr>
      </xdr:nvSpPr>
      <xdr:spPr bwMode="auto">
        <a:xfrm>
          <a:off x="22669500" y="2277427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66675</xdr:colOff>
      <xdr:row>118</xdr:row>
      <xdr:rowOff>38100</xdr:rowOff>
    </xdr:from>
    <xdr:to>
      <xdr:col>31</xdr:col>
      <xdr:colOff>66675</xdr:colOff>
      <xdr:row>119</xdr:row>
      <xdr:rowOff>9525</xdr:rowOff>
    </xdr:to>
    <xdr:sp macro="" textlink="">
      <xdr:nvSpPr>
        <xdr:cNvPr id="650" name="Line 735">
          <a:extLst>
            <a:ext uri="{FF2B5EF4-FFF2-40B4-BE49-F238E27FC236}">
              <a16:creationId xmlns:a16="http://schemas.microsoft.com/office/drawing/2014/main" id="{00000000-0008-0000-0000-00008A020000}"/>
            </a:ext>
          </a:extLst>
        </xdr:cNvPr>
        <xdr:cNvSpPr>
          <a:spLocks noChangeShapeType="1"/>
        </xdr:cNvSpPr>
      </xdr:nvSpPr>
      <xdr:spPr bwMode="auto">
        <a:xfrm>
          <a:off x="22621875" y="2276475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xdr:colOff>
      <xdr:row>118</xdr:row>
      <xdr:rowOff>38100</xdr:rowOff>
    </xdr:from>
    <xdr:to>
      <xdr:col>31</xdr:col>
      <xdr:colOff>19050</xdr:colOff>
      <xdr:row>119</xdr:row>
      <xdr:rowOff>0</xdr:rowOff>
    </xdr:to>
    <xdr:sp macro="" textlink="">
      <xdr:nvSpPr>
        <xdr:cNvPr id="651" name="Line 736">
          <a:extLst>
            <a:ext uri="{FF2B5EF4-FFF2-40B4-BE49-F238E27FC236}">
              <a16:creationId xmlns:a16="http://schemas.microsoft.com/office/drawing/2014/main" id="{00000000-0008-0000-0000-00008B020000}"/>
            </a:ext>
          </a:extLst>
        </xdr:cNvPr>
        <xdr:cNvSpPr>
          <a:spLocks noChangeShapeType="1"/>
        </xdr:cNvSpPr>
      </xdr:nvSpPr>
      <xdr:spPr bwMode="auto">
        <a:xfrm>
          <a:off x="22574250" y="22764750"/>
          <a:ext cx="0" cy="152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285750</xdr:colOff>
      <xdr:row>117</xdr:row>
      <xdr:rowOff>104775</xdr:rowOff>
    </xdr:from>
    <xdr:to>
      <xdr:col>31</xdr:col>
      <xdr:colOff>381000</xdr:colOff>
      <xdr:row>119</xdr:row>
      <xdr:rowOff>0</xdr:rowOff>
    </xdr:to>
    <xdr:sp macro="" textlink="">
      <xdr:nvSpPr>
        <xdr:cNvPr id="652" name="Tegning 737">
          <a:extLst>
            <a:ext uri="{FF2B5EF4-FFF2-40B4-BE49-F238E27FC236}">
              <a16:creationId xmlns:a16="http://schemas.microsoft.com/office/drawing/2014/main" id="{00000000-0008-0000-0000-00008C020000}"/>
            </a:ext>
          </a:extLst>
        </xdr:cNvPr>
        <xdr:cNvSpPr>
          <a:spLocks/>
        </xdr:cNvSpPr>
      </xdr:nvSpPr>
      <xdr:spPr bwMode="auto">
        <a:xfrm>
          <a:off x="22840950" y="22640925"/>
          <a:ext cx="95250" cy="276225"/>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209550</xdr:colOff>
      <xdr:row>118</xdr:row>
      <xdr:rowOff>47625</xdr:rowOff>
    </xdr:from>
    <xdr:to>
      <xdr:col>31</xdr:col>
      <xdr:colOff>323850</xdr:colOff>
      <xdr:row>118</xdr:row>
      <xdr:rowOff>47625</xdr:rowOff>
    </xdr:to>
    <xdr:sp macro="" textlink="">
      <xdr:nvSpPr>
        <xdr:cNvPr id="653" name="Line 738">
          <a:extLst>
            <a:ext uri="{FF2B5EF4-FFF2-40B4-BE49-F238E27FC236}">
              <a16:creationId xmlns:a16="http://schemas.microsoft.com/office/drawing/2014/main" id="{00000000-0008-0000-0000-00008D020000}"/>
            </a:ext>
          </a:extLst>
        </xdr:cNvPr>
        <xdr:cNvSpPr>
          <a:spLocks noChangeShapeType="1"/>
        </xdr:cNvSpPr>
      </xdr:nvSpPr>
      <xdr:spPr bwMode="auto">
        <a:xfrm>
          <a:off x="22764750" y="22774275"/>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238125</xdr:colOff>
      <xdr:row>118</xdr:row>
      <xdr:rowOff>0</xdr:rowOff>
    </xdr:from>
    <xdr:to>
      <xdr:col>31</xdr:col>
      <xdr:colOff>333375</xdr:colOff>
      <xdr:row>118</xdr:row>
      <xdr:rowOff>104775</xdr:rowOff>
    </xdr:to>
    <xdr:sp macro="" textlink="">
      <xdr:nvSpPr>
        <xdr:cNvPr id="654" name="Line 739">
          <a:extLst>
            <a:ext uri="{FF2B5EF4-FFF2-40B4-BE49-F238E27FC236}">
              <a16:creationId xmlns:a16="http://schemas.microsoft.com/office/drawing/2014/main" id="{00000000-0008-0000-0000-00008E020000}"/>
            </a:ext>
          </a:extLst>
        </xdr:cNvPr>
        <xdr:cNvSpPr>
          <a:spLocks noChangeShapeType="1"/>
        </xdr:cNvSpPr>
      </xdr:nvSpPr>
      <xdr:spPr bwMode="auto">
        <a:xfrm flipH="1">
          <a:off x="22793325" y="22726650"/>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238125</xdr:colOff>
      <xdr:row>118</xdr:row>
      <xdr:rowOff>123825</xdr:rowOff>
    </xdr:from>
    <xdr:to>
      <xdr:col>31</xdr:col>
      <xdr:colOff>352425</xdr:colOff>
      <xdr:row>119</xdr:row>
      <xdr:rowOff>47625</xdr:rowOff>
    </xdr:to>
    <xdr:sp macro="" textlink="">
      <xdr:nvSpPr>
        <xdr:cNvPr id="655" name="Line 740">
          <a:extLst>
            <a:ext uri="{FF2B5EF4-FFF2-40B4-BE49-F238E27FC236}">
              <a16:creationId xmlns:a16="http://schemas.microsoft.com/office/drawing/2014/main" id="{00000000-0008-0000-0000-00008F020000}"/>
            </a:ext>
          </a:extLst>
        </xdr:cNvPr>
        <xdr:cNvSpPr>
          <a:spLocks noChangeShapeType="1"/>
        </xdr:cNvSpPr>
      </xdr:nvSpPr>
      <xdr:spPr bwMode="auto">
        <a:xfrm flipH="1">
          <a:off x="22793325" y="22850475"/>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685800</xdr:colOff>
      <xdr:row>143</xdr:row>
      <xdr:rowOff>47625</xdr:rowOff>
    </xdr:from>
    <xdr:to>
      <xdr:col>31</xdr:col>
      <xdr:colOff>142875</xdr:colOff>
      <xdr:row>144</xdr:row>
      <xdr:rowOff>28575</xdr:rowOff>
    </xdr:to>
    <xdr:sp macro="" textlink="">
      <xdr:nvSpPr>
        <xdr:cNvPr id="656" name="Tegning 741">
          <a:extLst>
            <a:ext uri="{FF2B5EF4-FFF2-40B4-BE49-F238E27FC236}">
              <a16:creationId xmlns:a16="http://schemas.microsoft.com/office/drawing/2014/main" id="{00000000-0008-0000-0000-000090020000}"/>
            </a:ext>
          </a:extLst>
        </xdr:cNvPr>
        <xdr:cNvSpPr>
          <a:spLocks/>
        </xdr:cNvSpPr>
      </xdr:nvSpPr>
      <xdr:spPr bwMode="auto">
        <a:xfrm>
          <a:off x="22488525" y="27660600"/>
          <a:ext cx="209550" cy="18097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5420"/>
              </a:moveTo>
              <a:lnTo>
                <a:pt x="0" y="0"/>
              </a:ln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123825</xdr:colOff>
      <xdr:row>143</xdr:row>
      <xdr:rowOff>47625</xdr:rowOff>
    </xdr:from>
    <xdr:to>
      <xdr:col>31</xdr:col>
      <xdr:colOff>123825</xdr:colOff>
      <xdr:row>144</xdr:row>
      <xdr:rowOff>9525</xdr:rowOff>
    </xdr:to>
    <xdr:sp macro="" textlink="">
      <xdr:nvSpPr>
        <xdr:cNvPr id="657" name="Line 742">
          <a:extLst>
            <a:ext uri="{FF2B5EF4-FFF2-40B4-BE49-F238E27FC236}">
              <a16:creationId xmlns:a16="http://schemas.microsoft.com/office/drawing/2014/main" id="{00000000-0008-0000-0000-000091020000}"/>
            </a:ext>
          </a:extLst>
        </xdr:cNvPr>
        <xdr:cNvSpPr>
          <a:spLocks noChangeShapeType="1"/>
        </xdr:cNvSpPr>
      </xdr:nvSpPr>
      <xdr:spPr bwMode="auto">
        <a:xfrm>
          <a:off x="22679025" y="2766060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76200</xdr:colOff>
      <xdr:row>143</xdr:row>
      <xdr:rowOff>38100</xdr:rowOff>
    </xdr:from>
    <xdr:to>
      <xdr:col>31</xdr:col>
      <xdr:colOff>76200</xdr:colOff>
      <xdr:row>144</xdr:row>
      <xdr:rowOff>28575</xdr:rowOff>
    </xdr:to>
    <xdr:sp macro="" textlink="">
      <xdr:nvSpPr>
        <xdr:cNvPr id="658" name="Line 743">
          <a:extLst>
            <a:ext uri="{FF2B5EF4-FFF2-40B4-BE49-F238E27FC236}">
              <a16:creationId xmlns:a16="http://schemas.microsoft.com/office/drawing/2014/main" id="{00000000-0008-0000-0000-000092020000}"/>
            </a:ext>
          </a:extLst>
        </xdr:cNvPr>
        <xdr:cNvSpPr>
          <a:spLocks noChangeShapeType="1"/>
        </xdr:cNvSpPr>
      </xdr:nvSpPr>
      <xdr:spPr bwMode="auto">
        <a:xfrm>
          <a:off x="22631400" y="2765107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28575</xdr:colOff>
      <xdr:row>143</xdr:row>
      <xdr:rowOff>38100</xdr:rowOff>
    </xdr:from>
    <xdr:to>
      <xdr:col>31</xdr:col>
      <xdr:colOff>28575</xdr:colOff>
      <xdr:row>144</xdr:row>
      <xdr:rowOff>9525</xdr:rowOff>
    </xdr:to>
    <xdr:sp macro="" textlink="">
      <xdr:nvSpPr>
        <xdr:cNvPr id="659" name="Line 744">
          <a:extLst>
            <a:ext uri="{FF2B5EF4-FFF2-40B4-BE49-F238E27FC236}">
              <a16:creationId xmlns:a16="http://schemas.microsoft.com/office/drawing/2014/main" id="{00000000-0008-0000-0000-000093020000}"/>
            </a:ext>
          </a:extLst>
        </xdr:cNvPr>
        <xdr:cNvSpPr>
          <a:spLocks noChangeShapeType="1"/>
        </xdr:cNvSpPr>
      </xdr:nvSpPr>
      <xdr:spPr bwMode="auto">
        <a:xfrm>
          <a:off x="22583775" y="27651075"/>
          <a:ext cx="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285750</xdr:colOff>
      <xdr:row>142</xdr:row>
      <xdr:rowOff>123825</xdr:rowOff>
    </xdr:from>
    <xdr:to>
      <xdr:col>31</xdr:col>
      <xdr:colOff>381000</xdr:colOff>
      <xdr:row>144</xdr:row>
      <xdr:rowOff>9525</xdr:rowOff>
    </xdr:to>
    <xdr:sp macro="" textlink="">
      <xdr:nvSpPr>
        <xdr:cNvPr id="660" name="Tegning 745">
          <a:extLst>
            <a:ext uri="{FF2B5EF4-FFF2-40B4-BE49-F238E27FC236}">
              <a16:creationId xmlns:a16="http://schemas.microsoft.com/office/drawing/2014/main" id="{00000000-0008-0000-0000-000094020000}"/>
            </a:ext>
          </a:extLst>
        </xdr:cNvPr>
        <xdr:cNvSpPr>
          <a:spLocks/>
        </xdr:cNvSpPr>
      </xdr:nvSpPr>
      <xdr:spPr bwMode="auto">
        <a:xfrm>
          <a:off x="22840950" y="27536775"/>
          <a:ext cx="95250" cy="28575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31</xdr:col>
      <xdr:colOff>219075</xdr:colOff>
      <xdr:row>143</xdr:row>
      <xdr:rowOff>47625</xdr:rowOff>
    </xdr:from>
    <xdr:to>
      <xdr:col>31</xdr:col>
      <xdr:colOff>333375</xdr:colOff>
      <xdr:row>143</xdr:row>
      <xdr:rowOff>47625</xdr:rowOff>
    </xdr:to>
    <xdr:sp macro="" textlink="">
      <xdr:nvSpPr>
        <xdr:cNvPr id="661" name="Line 746">
          <a:extLst>
            <a:ext uri="{FF2B5EF4-FFF2-40B4-BE49-F238E27FC236}">
              <a16:creationId xmlns:a16="http://schemas.microsoft.com/office/drawing/2014/main" id="{00000000-0008-0000-0000-000095020000}"/>
            </a:ext>
          </a:extLst>
        </xdr:cNvPr>
        <xdr:cNvSpPr>
          <a:spLocks noChangeShapeType="1"/>
        </xdr:cNvSpPr>
      </xdr:nvSpPr>
      <xdr:spPr bwMode="auto">
        <a:xfrm>
          <a:off x="22774275" y="27660600"/>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238125</xdr:colOff>
      <xdr:row>142</xdr:row>
      <xdr:rowOff>190500</xdr:rowOff>
    </xdr:from>
    <xdr:to>
      <xdr:col>31</xdr:col>
      <xdr:colOff>333375</xdr:colOff>
      <xdr:row>143</xdr:row>
      <xdr:rowOff>95250</xdr:rowOff>
    </xdr:to>
    <xdr:sp macro="" textlink="">
      <xdr:nvSpPr>
        <xdr:cNvPr id="662" name="Line 747">
          <a:extLst>
            <a:ext uri="{FF2B5EF4-FFF2-40B4-BE49-F238E27FC236}">
              <a16:creationId xmlns:a16="http://schemas.microsoft.com/office/drawing/2014/main" id="{00000000-0008-0000-0000-000096020000}"/>
            </a:ext>
          </a:extLst>
        </xdr:cNvPr>
        <xdr:cNvSpPr>
          <a:spLocks noChangeShapeType="1"/>
        </xdr:cNvSpPr>
      </xdr:nvSpPr>
      <xdr:spPr bwMode="auto">
        <a:xfrm flipH="1">
          <a:off x="22793325" y="27603450"/>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238125</xdr:colOff>
      <xdr:row>143</xdr:row>
      <xdr:rowOff>123825</xdr:rowOff>
    </xdr:from>
    <xdr:to>
      <xdr:col>31</xdr:col>
      <xdr:colOff>361950</xdr:colOff>
      <xdr:row>144</xdr:row>
      <xdr:rowOff>47625</xdr:rowOff>
    </xdr:to>
    <xdr:sp macro="" textlink="">
      <xdr:nvSpPr>
        <xdr:cNvPr id="663" name="Line 748">
          <a:extLst>
            <a:ext uri="{FF2B5EF4-FFF2-40B4-BE49-F238E27FC236}">
              <a16:creationId xmlns:a16="http://schemas.microsoft.com/office/drawing/2014/main" id="{00000000-0008-0000-0000-000097020000}"/>
            </a:ext>
          </a:extLst>
        </xdr:cNvPr>
        <xdr:cNvSpPr>
          <a:spLocks noChangeShapeType="1"/>
        </xdr:cNvSpPr>
      </xdr:nvSpPr>
      <xdr:spPr bwMode="auto">
        <a:xfrm flipH="1">
          <a:off x="22793325" y="27736800"/>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190500</xdr:colOff>
      <xdr:row>144</xdr:row>
      <xdr:rowOff>9525</xdr:rowOff>
    </xdr:from>
    <xdr:to>
      <xdr:col>31</xdr:col>
      <xdr:colOff>342900</xdr:colOff>
      <xdr:row>144</xdr:row>
      <xdr:rowOff>9525</xdr:rowOff>
    </xdr:to>
    <xdr:sp macro="" textlink="">
      <xdr:nvSpPr>
        <xdr:cNvPr id="664" name="Line 749">
          <a:extLst>
            <a:ext uri="{FF2B5EF4-FFF2-40B4-BE49-F238E27FC236}">
              <a16:creationId xmlns:a16="http://schemas.microsoft.com/office/drawing/2014/main" id="{00000000-0008-0000-0000-000098020000}"/>
            </a:ext>
          </a:extLst>
        </xdr:cNvPr>
        <xdr:cNvSpPr>
          <a:spLocks noChangeShapeType="1"/>
        </xdr:cNvSpPr>
      </xdr:nvSpPr>
      <xdr:spPr bwMode="auto">
        <a:xfrm>
          <a:off x="22745700" y="27822525"/>
          <a:ext cx="152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323850</xdr:colOff>
      <xdr:row>138</xdr:row>
      <xdr:rowOff>123825</xdr:rowOff>
    </xdr:from>
    <xdr:to>
      <xdr:col>2</xdr:col>
      <xdr:colOff>419100</xdr:colOff>
      <xdr:row>139</xdr:row>
      <xdr:rowOff>47625</xdr:rowOff>
    </xdr:to>
    <xdr:sp macro="" textlink="">
      <xdr:nvSpPr>
        <xdr:cNvPr id="665" name="Line 756">
          <a:extLst>
            <a:ext uri="{FF2B5EF4-FFF2-40B4-BE49-F238E27FC236}">
              <a16:creationId xmlns:a16="http://schemas.microsoft.com/office/drawing/2014/main" id="{00000000-0008-0000-0000-000099020000}"/>
            </a:ext>
          </a:extLst>
        </xdr:cNvPr>
        <xdr:cNvSpPr>
          <a:spLocks noChangeShapeType="1"/>
        </xdr:cNvSpPr>
      </xdr:nvSpPr>
      <xdr:spPr bwMode="auto">
        <a:xfrm flipH="1">
          <a:off x="1704975" y="26765250"/>
          <a:ext cx="952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152</xdr:row>
      <xdr:rowOff>66675</xdr:rowOff>
    </xdr:from>
    <xdr:to>
      <xdr:col>2</xdr:col>
      <xdr:colOff>409575</xdr:colOff>
      <xdr:row>152</xdr:row>
      <xdr:rowOff>161925</xdr:rowOff>
    </xdr:to>
    <xdr:sp macro="" textlink="" fLocksText="0">
      <xdr:nvSpPr>
        <xdr:cNvPr id="666" name="Oval 757">
          <a:extLst>
            <a:ext uri="{FF2B5EF4-FFF2-40B4-BE49-F238E27FC236}">
              <a16:creationId xmlns:a16="http://schemas.microsoft.com/office/drawing/2014/main" id="{00000000-0008-0000-0000-00009A020000}"/>
            </a:ext>
          </a:extLst>
        </xdr:cNvPr>
        <xdr:cNvSpPr>
          <a:spLocks noChangeArrowheads="1"/>
        </xdr:cNvSpPr>
      </xdr:nvSpPr>
      <xdr:spPr bwMode="auto">
        <a:xfrm>
          <a:off x="1695450" y="29451300"/>
          <a:ext cx="9525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155</xdr:row>
      <xdr:rowOff>76200</xdr:rowOff>
    </xdr:from>
    <xdr:to>
      <xdr:col>5</xdr:col>
      <xdr:colOff>190500</xdr:colOff>
      <xdr:row>155</xdr:row>
      <xdr:rowOff>171450</xdr:rowOff>
    </xdr:to>
    <xdr:sp macro="" textlink="" fLocksText="0">
      <xdr:nvSpPr>
        <xdr:cNvPr id="667" name="Oval 758">
          <a:extLst>
            <a:ext uri="{FF2B5EF4-FFF2-40B4-BE49-F238E27FC236}">
              <a16:creationId xmlns:a16="http://schemas.microsoft.com/office/drawing/2014/main" id="{00000000-0008-0000-0000-00009B020000}"/>
            </a:ext>
          </a:extLst>
        </xdr:cNvPr>
        <xdr:cNvSpPr>
          <a:spLocks noChangeArrowheads="1"/>
        </xdr:cNvSpPr>
      </xdr:nvSpPr>
      <xdr:spPr bwMode="auto">
        <a:xfrm>
          <a:off x="2752725" y="30041850"/>
          <a:ext cx="9525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158</xdr:row>
      <xdr:rowOff>66675</xdr:rowOff>
    </xdr:from>
    <xdr:to>
      <xdr:col>5</xdr:col>
      <xdr:colOff>190500</xdr:colOff>
      <xdr:row>158</xdr:row>
      <xdr:rowOff>152400</xdr:rowOff>
    </xdr:to>
    <xdr:sp macro="" textlink="" fLocksText="0">
      <xdr:nvSpPr>
        <xdr:cNvPr id="668" name="Oval 759">
          <a:extLst>
            <a:ext uri="{FF2B5EF4-FFF2-40B4-BE49-F238E27FC236}">
              <a16:creationId xmlns:a16="http://schemas.microsoft.com/office/drawing/2014/main" id="{00000000-0008-0000-0000-00009C020000}"/>
            </a:ext>
          </a:extLst>
        </xdr:cNvPr>
        <xdr:cNvSpPr>
          <a:spLocks noChangeArrowheads="1"/>
        </xdr:cNvSpPr>
      </xdr:nvSpPr>
      <xdr:spPr bwMode="auto">
        <a:xfrm>
          <a:off x="2752725" y="30613350"/>
          <a:ext cx="95250" cy="857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30</xdr:col>
      <xdr:colOff>561975</xdr:colOff>
      <xdr:row>111</xdr:row>
      <xdr:rowOff>85725</xdr:rowOff>
    </xdr:from>
    <xdr:to>
      <xdr:col>31</xdr:col>
      <xdr:colOff>638175</xdr:colOff>
      <xdr:row>111</xdr:row>
      <xdr:rowOff>85725</xdr:rowOff>
    </xdr:to>
    <xdr:sp macro="" textlink="">
      <xdr:nvSpPr>
        <xdr:cNvPr id="669" name="Line 764">
          <a:extLst>
            <a:ext uri="{FF2B5EF4-FFF2-40B4-BE49-F238E27FC236}">
              <a16:creationId xmlns:a16="http://schemas.microsoft.com/office/drawing/2014/main" id="{00000000-0008-0000-0000-00009D020000}"/>
            </a:ext>
          </a:extLst>
        </xdr:cNvPr>
        <xdr:cNvSpPr>
          <a:spLocks noChangeShapeType="1"/>
        </xdr:cNvSpPr>
      </xdr:nvSpPr>
      <xdr:spPr bwMode="auto">
        <a:xfrm flipH="1">
          <a:off x="22364700" y="21440775"/>
          <a:ext cx="828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628650</xdr:colOff>
      <xdr:row>111</xdr:row>
      <xdr:rowOff>19050</xdr:rowOff>
    </xdr:from>
    <xdr:to>
      <xdr:col>31</xdr:col>
      <xdr:colOff>19050</xdr:colOff>
      <xdr:row>111</xdr:row>
      <xdr:rowOff>142875</xdr:rowOff>
    </xdr:to>
    <xdr:sp macro="" textlink="">
      <xdr:nvSpPr>
        <xdr:cNvPr id="670" name="Line 765">
          <a:extLst>
            <a:ext uri="{FF2B5EF4-FFF2-40B4-BE49-F238E27FC236}">
              <a16:creationId xmlns:a16="http://schemas.microsoft.com/office/drawing/2014/main" id="{00000000-0008-0000-0000-00009E020000}"/>
            </a:ext>
          </a:extLst>
        </xdr:cNvPr>
        <xdr:cNvSpPr>
          <a:spLocks noChangeShapeType="1"/>
        </xdr:cNvSpPr>
      </xdr:nvSpPr>
      <xdr:spPr bwMode="auto">
        <a:xfrm flipH="1">
          <a:off x="22431375" y="21374100"/>
          <a:ext cx="1428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85725</xdr:colOff>
      <xdr:row>111</xdr:row>
      <xdr:rowOff>28575</xdr:rowOff>
    </xdr:from>
    <xdr:to>
      <xdr:col>31</xdr:col>
      <xdr:colOff>247650</xdr:colOff>
      <xdr:row>111</xdr:row>
      <xdr:rowOff>142875</xdr:rowOff>
    </xdr:to>
    <xdr:sp macro="" textlink="">
      <xdr:nvSpPr>
        <xdr:cNvPr id="671" name="Line 766">
          <a:extLst>
            <a:ext uri="{FF2B5EF4-FFF2-40B4-BE49-F238E27FC236}">
              <a16:creationId xmlns:a16="http://schemas.microsoft.com/office/drawing/2014/main" id="{00000000-0008-0000-0000-00009F020000}"/>
            </a:ext>
          </a:extLst>
        </xdr:cNvPr>
        <xdr:cNvSpPr>
          <a:spLocks noChangeShapeType="1"/>
        </xdr:cNvSpPr>
      </xdr:nvSpPr>
      <xdr:spPr bwMode="auto">
        <a:xfrm flipH="1">
          <a:off x="22640925" y="21383625"/>
          <a:ext cx="1619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390525</xdr:colOff>
      <xdr:row>111</xdr:row>
      <xdr:rowOff>85725</xdr:rowOff>
    </xdr:from>
    <xdr:to>
      <xdr:col>34</xdr:col>
      <xdr:colOff>95250</xdr:colOff>
      <xdr:row>111</xdr:row>
      <xdr:rowOff>85725</xdr:rowOff>
    </xdr:to>
    <xdr:sp macro="" textlink="">
      <xdr:nvSpPr>
        <xdr:cNvPr id="672" name="Line 767">
          <a:extLst>
            <a:ext uri="{FF2B5EF4-FFF2-40B4-BE49-F238E27FC236}">
              <a16:creationId xmlns:a16="http://schemas.microsoft.com/office/drawing/2014/main" id="{00000000-0008-0000-0000-0000A0020000}"/>
            </a:ext>
          </a:extLst>
        </xdr:cNvPr>
        <xdr:cNvSpPr>
          <a:spLocks noChangeShapeType="1"/>
        </xdr:cNvSpPr>
      </xdr:nvSpPr>
      <xdr:spPr bwMode="auto">
        <a:xfrm>
          <a:off x="23698200" y="21440775"/>
          <a:ext cx="1209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561975</xdr:colOff>
      <xdr:row>136</xdr:row>
      <xdr:rowOff>114300</xdr:rowOff>
    </xdr:from>
    <xdr:to>
      <xdr:col>31</xdr:col>
      <xdr:colOff>657225</xdr:colOff>
      <xdr:row>136</xdr:row>
      <xdr:rowOff>114300</xdr:rowOff>
    </xdr:to>
    <xdr:sp macro="" textlink="">
      <xdr:nvSpPr>
        <xdr:cNvPr id="673" name="Line 768">
          <a:extLst>
            <a:ext uri="{FF2B5EF4-FFF2-40B4-BE49-F238E27FC236}">
              <a16:creationId xmlns:a16="http://schemas.microsoft.com/office/drawing/2014/main" id="{00000000-0008-0000-0000-0000A1020000}"/>
            </a:ext>
          </a:extLst>
        </xdr:cNvPr>
        <xdr:cNvSpPr>
          <a:spLocks noChangeShapeType="1"/>
        </xdr:cNvSpPr>
      </xdr:nvSpPr>
      <xdr:spPr bwMode="auto">
        <a:xfrm flipH="1">
          <a:off x="22364700" y="26355675"/>
          <a:ext cx="847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30</xdr:col>
      <xdr:colOff>609600</xdr:colOff>
      <xdr:row>136</xdr:row>
      <xdr:rowOff>28575</xdr:rowOff>
    </xdr:from>
    <xdr:to>
      <xdr:col>31</xdr:col>
      <xdr:colOff>0</xdr:colOff>
      <xdr:row>137</xdr:row>
      <xdr:rowOff>0</xdr:rowOff>
    </xdr:to>
    <xdr:sp macro="" textlink="">
      <xdr:nvSpPr>
        <xdr:cNvPr id="674" name="Line 769">
          <a:extLst>
            <a:ext uri="{FF2B5EF4-FFF2-40B4-BE49-F238E27FC236}">
              <a16:creationId xmlns:a16="http://schemas.microsoft.com/office/drawing/2014/main" id="{00000000-0008-0000-0000-0000A2020000}"/>
            </a:ext>
          </a:extLst>
        </xdr:cNvPr>
        <xdr:cNvSpPr>
          <a:spLocks noChangeShapeType="1"/>
        </xdr:cNvSpPr>
      </xdr:nvSpPr>
      <xdr:spPr bwMode="auto">
        <a:xfrm flipH="1">
          <a:off x="22412325" y="26269950"/>
          <a:ext cx="14287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31</xdr:col>
      <xdr:colOff>85725</xdr:colOff>
      <xdr:row>136</xdr:row>
      <xdr:rowOff>28575</xdr:rowOff>
    </xdr:from>
    <xdr:to>
      <xdr:col>31</xdr:col>
      <xdr:colOff>247650</xdr:colOff>
      <xdr:row>136</xdr:row>
      <xdr:rowOff>171450</xdr:rowOff>
    </xdr:to>
    <xdr:sp macro="" textlink="">
      <xdr:nvSpPr>
        <xdr:cNvPr id="675" name="Line 770">
          <a:extLst>
            <a:ext uri="{FF2B5EF4-FFF2-40B4-BE49-F238E27FC236}">
              <a16:creationId xmlns:a16="http://schemas.microsoft.com/office/drawing/2014/main" id="{00000000-0008-0000-0000-0000A3020000}"/>
            </a:ext>
          </a:extLst>
        </xdr:cNvPr>
        <xdr:cNvSpPr>
          <a:spLocks noChangeShapeType="1"/>
        </xdr:cNvSpPr>
      </xdr:nvSpPr>
      <xdr:spPr bwMode="auto">
        <a:xfrm flipH="1">
          <a:off x="22640925" y="26269950"/>
          <a:ext cx="1619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32</xdr:col>
      <xdr:colOff>314325</xdr:colOff>
      <xdr:row>136</xdr:row>
      <xdr:rowOff>114300</xdr:rowOff>
    </xdr:from>
    <xdr:to>
      <xdr:col>34</xdr:col>
      <xdr:colOff>266700</xdr:colOff>
      <xdr:row>136</xdr:row>
      <xdr:rowOff>114300</xdr:rowOff>
    </xdr:to>
    <xdr:sp macro="" textlink="">
      <xdr:nvSpPr>
        <xdr:cNvPr id="676" name="Line 771">
          <a:extLst>
            <a:ext uri="{FF2B5EF4-FFF2-40B4-BE49-F238E27FC236}">
              <a16:creationId xmlns:a16="http://schemas.microsoft.com/office/drawing/2014/main" id="{00000000-0008-0000-0000-0000A4020000}"/>
            </a:ext>
          </a:extLst>
        </xdr:cNvPr>
        <xdr:cNvSpPr>
          <a:spLocks noChangeShapeType="1"/>
        </xdr:cNvSpPr>
      </xdr:nvSpPr>
      <xdr:spPr bwMode="auto">
        <a:xfrm>
          <a:off x="23622000" y="26355675"/>
          <a:ext cx="1457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389</xdr:row>
      <xdr:rowOff>85725</xdr:rowOff>
    </xdr:from>
    <xdr:to>
      <xdr:col>0</xdr:col>
      <xdr:colOff>1066800</xdr:colOff>
      <xdr:row>390</xdr:row>
      <xdr:rowOff>0</xdr:rowOff>
    </xdr:to>
    <xdr:sp macro="" textlink="">
      <xdr:nvSpPr>
        <xdr:cNvPr id="677" name="Line 772">
          <a:extLst>
            <a:ext uri="{FF2B5EF4-FFF2-40B4-BE49-F238E27FC236}">
              <a16:creationId xmlns:a16="http://schemas.microsoft.com/office/drawing/2014/main" id="{00000000-0008-0000-0000-0000A5020000}"/>
            </a:ext>
          </a:extLst>
        </xdr:cNvPr>
        <xdr:cNvSpPr>
          <a:spLocks noChangeShapeType="1"/>
        </xdr:cNvSpPr>
      </xdr:nvSpPr>
      <xdr:spPr bwMode="auto">
        <a:xfrm flipH="1">
          <a:off x="952500" y="75009375"/>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396</xdr:row>
      <xdr:rowOff>38100</xdr:rowOff>
    </xdr:from>
    <xdr:to>
      <xdr:col>2</xdr:col>
      <xdr:colOff>504825</xdr:colOff>
      <xdr:row>396</xdr:row>
      <xdr:rowOff>161925</xdr:rowOff>
    </xdr:to>
    <xdr:sp macro="" textlink="">
      <xdr:nvSpPr>
        <xdr:cNvPr id="678" name="Line 773">
          <a:extLst>
            <a:ext uri="{FF2B5EF4-FFF2-40B4-BE49-F238E27FC236}">
              <a16:creationId xmlns:a16="http://schemas.microsoft.com/office/drawing/2014/main" id="{00000000-0008-0000-0000-0000A6020000}"/>
            </a:ext>
          </a:extLst>
        </xdr:cNvPr>
        <xdr:cNvSpPr>
          <a:spLocks noChangeShapeType="1"/>
        </xdr:cNvSpPr>
      </xdr:nvSpPr>
      <xdr:spPr bwMode="auto">
        <a:xfrm flipH="1">
          <a:off x="1743075" y="76314300"/>
          <a:ext cx="1428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390</xdr:row>
      <xdr:rowOff>66675</xdr:rowOff>
    </xdr:from>
    <xdr:to>
      <xdr:col>3</xdr:col>
      <xdr:colOff>28575</xdr:colOff>
      <xdr:row>392</xdr:row>
      <xdr:rowOff>28575</xdr:rowOff>
    </xdr:to>
    <xdr:sp macro="" textlink="">
      <xdr:nvSpPr>
        <xdr:cNvPr id="679" name="Tegning 774">
          <a:extLst>
            <a:ext uri="{FF2B5EF4-FFF2-40B4-BE49-F238E27FC236}">
              <a16:creationId xmlns:a16="http://schemas.microsoft.com/office/drawing/2014/main" id="{00000000-0008-0000-0000-0000A7020000}"/>
            </a:ext>
          </a:extLst>
        </xdr:cNvPr>
        <xdr:cNvSpPr>
          <a:spLocks/>
        </xdr:cNvSpPr>
      </xdr:nvSpPr>
      <xdr:spPr bwMode="auto">
        <a:xfrm>
          <a:off x="1143000" y="75180825"/>
          <a:ext cx="847725" cy="352425"/>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0"/>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438150</xdr:colOff>
      <xdr:row>388</xdr:row>
      <xdr:rowOff>28575</xdr:rowOff>
    </xdr:from>
    <xdr:to>
      <xdr:col>2</xdr:col>
      <xdr:colOff>438150</xdr:colOff>
      <xdr:row>397</xdr:row>
      <xdr:rowOff>28575</xdr:rowOff>
    </xdr:to>
    <xdr:sp macro="" textlink="">
      <xdr:nvSpPr>
        <xdr:cNvPr id="680" name="Line 775">
          <a:extLst>
            <a:ext uri="{FF2B5EF4-FFF2-40B4-BE49-F238E27FC236}">
              <a16:creationId xmlns:a16="http://schemas.microsoft.com/office/drawing/2014/main" id="{00000000-0008-0000-0000-0000A8020000}"/>
            </a:ext>
          </a:extLst>
        </xdr:cNvPr>
        <xdr:cNvSpPr>
          <a:spLocks noChangeShapeType="1"/>
        </xdr:cNvSpPr>
      </xdr:nvSpPr>
      <xdr:spPr bwMode="auto">
        <a:xfrm flipV="1">
          <a:off x="1819275" y="74761725"/>
          <a:ext cx="0" cy="17430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394</xdr:row>
      <xdr:rowOff>171450</xdr:rowOff>
    </xdr:from>
    <xdr:to>
      <xdr:col>5</xdr:col>
      <xdr:colOff>657225</xdr:colOff>
      <xdr:row>394</xdr:row>
      <xdr:rowOff>171450</xdr:rowOff>
    </xdr:to>
    <xdr:sp macro="" textlink="">
      <xdr:nvSpPr>
        <xdr:cNvPr id="681" name="Line 776">
          <a:extLst>
            <a:ext uri="{FF2B5EF4-FFF2-40B4-BE49-F238E27FC236}">
              <a16:creationId xmlns:a16="http://schemas.microsoft.com/office/drawing/2014/main" id="{00000000-0008-0000-0000-0000A9020000}"/>
            </a:ext>
          </a:extLst>
        </xdr:cNvPr>
        <xdr:cNvSpPr>
          <a:spLocks noChangeShapeType="1"/>
        </xdr:cNvSpPr>
      </xdr:nvSpPr>
      <xdr:spPr bwMode="auto">
        <a:xfrm flipH="1">
          <a:off x="1676400" y="76057125"/>
          <a:ext cx="1638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390</xdr:row>
      <xdr:rowOff>123825</xdr:rowOff>
    </xdr:from>
    <xdr:to>
      <xdr:col>2</xdr:col>
      <xdr:colOff>342900</xdr:colOff>
      <xdr:row>395</xdr:row>
      <xdr:rowOff>9525</xdr:rowOff>
    </xdr:to>
    <xdr:sp macro="" textlink="">
      <xdr:nvSpPr>
        <xdr:cNvPr id="682" name="Line 777">
          <a:extLst>
            <a:ext uri="{FF2B5EF4-FFF2-40B4-BE49-F238E27FC236}">
              <a16:creationId xmlns:a16="http://schemas.microsoft.com/office/drawing/2014/main" id="{00000000-0008-0000-0000-0000AA020000}"/>
            </a:ext>
          </a:extLst>
        </xdr:cNvPr>
        <xdr:cNvSpPr>
          <a:spLocks noChangeShapeType="1"/>
        </xdr:cNvSpPr>
      </xdr:nvSpPr>
      <xdr:spPr bwMode="auto">
        <a:xfrm>
          <a:off x="1724025" y="75237975"/>
          <a:ext cx="0" cy="847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390</xdr:row>
      <xdr:rowOff>123825</xdr:rowOff>
    </xdr:from>
    <xdr:to>
      <xdr:col>2</xdr:col>
      <xdr:colOff>533400</xdr:colOff>
      <xdr:row>395</xdr:row>
      <xdr:rowOff>28575</xdr:rowOff>
    </xdr:to>
    <xdr:sp macro="" textlink="">
      <xdr:nvSpPr>
        <xdr:cNvPr id="683" name="Line 778">
          <a:extLst>
            <a:ext uri="{FF2B5EF4-FFF2-40B4-BE49-F238E27FC236}">
              <a16:creationId xmlns:a16="http://schemas.microsoft.com/office/drawing/2014/main" id="{00000000-0008-0000-0000-0000AB020000}"/>
            </a:ext>
          </a:extLst>
        </xdr:cNvPr>
        <xdr:cNvSpPr>
          <a:spLocks noChangeShapeType="1"/>
        </xdr:cNvSpPr>
      </xdr:nvSpPr>
      <xdr:spPr bwMode="auto">
        <a:xfrm>
          <a:off x="1914525" y="75237975"/>
          <a:ext cx="0" cy="866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394</xdr:row>
      <xdr:rowOff>114300</xdr:rowOff>
    </xdr:from>
    <xdr:to>
      <xdr:col>2</xdr:col>
      <xdr:colOff>400050</xdr:colOff>
      <xdr:row>395</xdr:row>
      <xdr:rowOff>19050</xdr:rowOff>
    </xdr:to>
    <xdr:sp macro="" textlink="">
      <xdr:nvSpPr>
        <xdr:cNvPr id="684" name="Line 779">
          <a:extLst>
            <a:ext uri="{FF2B5EF4-FFF2-40B4-BE49-F238E27FC236}">
              <a16:creationId xmlns:a16="http://schemas.microsoft.com/office/drawing/2014/main" id="{00000000-0008-0000-0000-0000AC020000}"/>
            </a:ext>
          </a:extLst>
        </xdr:cNvPr>
        <xdr:cNvSpPr>
          <a:spLocks noChangeShapeType="1"/>
        </xdr:cNvSpPr>
      </xdr:nvSpPr>
      <xdr:spPr bwMode="auto">
        <a:xfrm flipH="1">
          <a:off x="1666875" y="759999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394</xdr:row>
      <xdr:rowOff>114300</xdr:rowOff>
    </xdr:from>
    <xdr:to>
      <xdr:col>3</xdr:col>
      <xdr:colOff>28575</xdr:colOff>
      <xdr:row>395</xdr:row>
      <xdr:rowOff>28575</xdr:rowOff>
    </xdr:to>
    <xdr:sp macro="" textlink="">
      <xdr:nvSpPr>
        <xdr:cNvPr id="685" name="Line 780">
          <a:extLst>
            <a:ext uri="{FF2B5EF4-FFF2-40B4-BE49-F238E27FC236}">
              <a16:creationId xmlns:a16="http://schemas.microsoft.com/office/drawing/2014/main" id="{00000000-0008-0000-0000-0000AD020000}"/>
            </a:ext>
          </a:extLst>
        </xdr:cNvPr>
        <xdr:cNvSpPr>
          <a:spLocks noChangeShapeType="1"/>
        </xdr:cNvSpPr>
      </xdr:nvSpPr>
      <xdr:spPr bwMode="auto">
        <a:xfrm flipH="1">
          <a:off x="1838325" y="75999975"/>
          <a:ext cx="1524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395</xdr:row>
      <xdr:rowOff>123825</xdr:rowOff>
    </xdr:from>
    <xdr:to>
      <xdr:col>5</xdr:col>
      <xdr:colOff>628650</xdr:colOff>
      <xdr:row>395</xdr:row>
      <xdr:rowOff>123825</xdr:rowOff>
    </xdr:to>
    <xdr:sp macro="" textlink="">
      <xdr:nvSpPr>
        <xdr:cNvPr id="686" name="Line 781">
          <a:extLst>
            <a:ext uri="{FF2B5EF4-FFF2-40B4-BE49-F238E27FC236}">
              <a16:creationId xmlns:a16="http://schemas.microsoft.com/office/drawing/2014/main" id="{00000000-0008-0000-0000-0000AE020000}"/>
            </a:ext>
          </a:extLst>
        </xdr:cNvPr>
        <xdr:cNvSpPr>
          <a:spLocks noChangeShapeType="1"/>
        </xdr:cNvSpPr>
      </xdr:nvSpPr>
      <xdr:spPr bwMode="auto">
        <a:xfrm flipH="1">
          <a:off x="1590675" y="76200000"/>
          <a:ext cx="1695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389</xdr:row>
      <xdr:rowOff>209550</xdr:rowOff>
    </xdr:from>
    <xdr:to>
      <xdr:col>2</xdr:col>
      <xdr:colOff>219075</xdr:colOff>
      <xdr:row>396</xdr:row>
      <xdr:rowOff>9525</xdr:rowOff>
    </xdr:to>
    <xdr:sp macro="" textlink="">
      <xdr:nvSpPr>
        <xdr:cNvPr id="687" name="Line 782">
          <a:extLst>
            <a:ext uri="{FF2B5EF4-FFF2-40B4-BE49-F238E27FC236}">
              <a16:creationId xmlns:a16="http://schemas.microsoft.com/office/drawing/2014/main" id="{00000000-0008-0000-0000-0000AF020000}"/>
            </a:ext>
          </a:extLst>
        </xdr:cNvPr>
        <xdr:cNvSpPr>
          <a:spLocks noChangeShapeType="1"/>
        </xdr:cNvSpPr>
      </xdr:nvSpPr>
      <xdr:spPr bwMode="auto">
        <a:xfrm>
          <a:off x="1600200" y="75114150"/>
          <a:ext cx="0" cy="1171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395</xdr:row>
      <xdr:rowOff>76200</xdr:rowOff>
    </xdr:from>
    <xdr:to>
      <xdr:col>2</xdr:col>
      <xdr:colOff>495300</xdr:colOff>
      <xdr:row>395</xdr:row>
      <xdr:rowOff>190500</xdr:rowOff>
    </xdr:to>
    <xdr:sp macro="" textlink="">
      <xdr:nvSpPr>
        <xdr:cNvPr id="688" name="Line 783">
          <a:extLst>
            <a:ext uri="{FF2B5EF4-FFF2-40B4-BE49-F238E27FC236}">
              <a16:creationId xmlns:a16="http://schemas.microsoft.com/office/drawing/2014/main" id="{00000000-0008-0000-0000-0000B0020000}"/>
            </a:ext>
          </a:extLst>
        </xdr:cNvPr>
        <xdr:cNvSpPr>
          <a:spLocks noChangeShapeType="1"/>
        </xdr:cNvSpPr>
      </xdr:nvSpPr>
      <xdr:spPr bwMode="auto">
        <a:xfrm flipH="1">
          <a:off x="1762125" y="76152375"/>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389</xdr:row>
      <xdr:rowOff>116818</xdr:rowOff>
    </xdr:from>
    <xdr:to>
      <xdr:col>5</xdr:col>
      <xdr:colOff>304800</xdr:colOff>
      <xdr:row>390</xdr:row>
      <xdr:rowOff>3005</xdr:rowOff>
    </xdr:to>
    <xdr:sp macro="" textlink="" fLocksText="0">
      <xdr:nvSpPr>
        <xdr:cNvPr id="689" name="Oval 784">
          <a:extLst>
            <a:ext uri="{FF2B5EF4-FFF2-40B4-BE49-F238E27FC236}">
              <a16:creationId xmlns:a16="http://schemas.microsoft.com/office/drawing/2014/main" id="{00000000-0008-0000-0000-0000B1020000}"/>
            </a:ext>
          </a:extLst>
        </xdr:cNvPr>
        <xdr:cNvSpPr>
          <a:spLocks noChangeArrowheads="1"/>
        </xdr:cNvSpPr>
      </xdr:nvSpPr>
      <xdr:spPr bwMode="auto">
        <a:xfrm>
          <a:off x="2867025" y="75040468"/>
          <a:ext cx="95250" cy="76687"/>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385</xdr:row>
      <xdr:rowOff>114300</xdr:rowOff>
    </xdr:from>
    <xdr:to>
      <xdr:col>5</xdr:col>
      <xdr:colOff>733425</xdr:colOff>
      <xdr:row>389</xdr:row>
      <xdr:rowOff>123825</xdr:rowOff>
    </xdr:to>
    <xdr:sp macro="" textlink="">
      <xdr:nvSpPr>
        <xdr:cNvPr id="690" name="Tegning 785">
          <a:extLst>
            <a:ext uri="{FF2B5EF4-FFF2-40B4-BE49-F238E27FC236}">
              <a16:creationId xmlns:a16="http://schemas.microsoft.com/office/drawing/2014/main" id="{00000000-0008-0000-0000-0000B2020000}"/>
            </a:ext>
          </a:extLst>
        </xdr:cNvPr>
        <xdr:cNvSpPr>
          <a:spLocks/>
        </xdr:cNvSpPr>
      </xdr:nvSpPr>
      <xdr:spPr bwMode="auto">
        <a:xfrm>
          <a:off x="2914650" y="74266425"/>
          <a:ext cx="476250" cy="781050"/>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386</xdr:row>
      <xdr:rowOff>66675</xdr:rowOff>
    </xdr:from>
    <xdr:to>
      <xdr:col>5</xdr:col>
      <xdr:colOff>400050</xdr:colOff>
      <xdr:row>390</xdr:row>
      <xdr:rowOff>19050</xdr:rowOff>
    </xdr:to>
    <xdr:sp macro="" textlink="">
      <xdr:nvSpPr>
        <xdr:cNvPr id="691" name="Tegning 786">
          <a:extLst>
            <a:ext uri="{FF2B5EF4-FFF2-40B4-BE49-F238E27FC236}">
              <a16:creationId xmlns:a16="http://schemas.microsoft.com/office/drawing/2014/main" id="{00000000-0008-0000-0000-0000B3020000}"/>
            </a:ext>
          </a:extLst>
        </xdr:cNvPr>
        <xdr:cNvSpPr>
          <a:spLocks/>
        </xdr:cNvSpPr>
      </xdr:nvSpPr>
      <xdr:spPr bwMode="auto">
        <a:xfrm>
          <a:off x="1524000" y="74418825"/>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6104" y="16384"/>
              </a:moveTo>
              <a:lnTo>
                <a:pt x="0" y="16384"/>
              </a:lnTo>
              <a:lnTo>
                <a:pt x="0" y="3550"/>
              </a:lnTo>
              <a:lnTo>
                <a:pt x="6162" y="3550"/>
              </a:lnTo>
              <a:lnTo>
                <a:pt x="6162"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386</xdr:row>
      <xdr:rowOff>123825</xdr:rowOff>
    </xdr:from>
    <xdr:to>
      <xdr:col>5</xdr:col>
      <xdr:colOff>381000</xdr:colOff>
      <xdr:row>386</xdr:row>
      <xdr:rowOff>123825</xdr:rowOff>
    </xdr:to>
    <xdr:sp macro="" textlink="">
      <xdr:nvSpPr>
        <xdr:cNvPr id="692" name="Line 787">
          <a:extLst>
            <a:ext uri="{FF2B5EF4-FFF2-40B4-BE49-F238E27FC236}">
              <a16:creationId xmlns:a16="http://schemas.microsoft.com/office/drawing/2014/main" id="{00000000-0008-0000-0000-0000B4020000}"/>
            </a:ext>
          </a:extLst>
        </xdr:cNvPr>
        <xdr:cNvSpPr>
          <a:spLocks noChangeShapeType="1"/>
        </xdr:cNvSpPr>
      </xdr:nvSpPr>
      <xdr:spPr bwMode="auto">
        <a:xfrm>
          <a:off x="2181225" y="74475975"/>
          <a:ext cx="8572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381</xdr:row>
      <xdr:rowOff>123825</xdr:rowOff>
    </xdr:from>
    <xdr:to>
      <xdr:col>5</xdr:col>
      <xdr:colOff>704850</xdr:colOff>
      <xdr:row>389</xdr:row>
      <xdr:rowOff>114300</xdr:rowOff>
    </xdr:to>
    <xdr:sp macro="" textlink="">
      <xdr:nvSpPr>
        <xdr:cNvPr id="693" name="Tegning 788">
          <a:extLst>
            <a:ext uri="{FF2B5EF4-FFF2-40B4-BE49-F238E27FC236}">
              <a16:creationId xmlns:a16="http://schemas.microsoft.com/office/drawing/2014/main" id="{00000000-0008-0000-0000-0000B5020000}"/>
            </a:ext>
          </a:extLst>
        </xdr:cNvPr>
        <xdr:cNvSpPr>
          <a:spLocks/>
        </xdr:cNvSpPr>
      </xdr:nvSpPr>
      <xdr:spPr bwMode="auto">
        <a:xfrm>
          <a:off x="1266825" y="73513950"/>
          <a:ext cx="2095500" cy="152400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xdr:col>
      <xdr:colOff>57150</xdr:colOff>
      <xdr:row>387</xdr:row>
      <xdr:rowOff>28575</xdr:rowOff>
    </xdr:from>
    <xdr:to>
      <xdr:col>2</xdr:col>
      <xdr:colOff>95250</xdr:colOff>
      <xdr:row>387</xdr:row>
      <xdr:rowOff>28575</xdr:rowOff>
    </xdr:to>
    <xdr:sp macro="" textlink="">
      <xdr:nvSpPr>
        <xdr:cNvPr id="694" name="Line 789">
          <a:extLst>
            <a:ext uri="{FF2B5EF4-FFF2-40B4-BE49-F238E27FC236}">
              <a16:creationId xmlns:a16="http://schemas.microsoft.com/office/drawing/2014/main" id="{00000000-0008-0000-0000-0000B6020000}"/>
            </a:ext>
          </a:extLst>
        </xdr:cNvPr>
        <xdr:cNvSpPr>
          <a:spLocks noChangeShapeType="1"/>
        </xdr:cNvSpPr>
      </xdr:nvSpPr>
      <xdr:spPr bwMode="auto">
        <a:xfrm flipH="1">
          <a:off x="1200150" y="74571225"/>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386</xdr:row>
      <xdr:rowOff>152400</xdr:rowOff>
    </xdr:from>
    <xdr:to>
      <xdr:col>1</xdr:col>
      <xdr:colOff>209550</xdr:colOff>
      <xdr:row>387</xdr:row>
      <xdr:rowOff>104775</xdr:rowOff>
    </xdr:to>
    <xdr:sp macro="" textlink="">
      <xdr:nvSpPr>
        <xdr:cNvPr id="695" name="Line 790">
          <a:extLst>
            <a:ext uri="{FF2B5EF4-FFF2-40B4-BE49-F238E27FC236}">
              <a16:creationId xmlns:a16="http://schemas.microsoft.com/office/drawing/2014/main" id="{00000000-0008-0000-0000-0000B7020000}"/>
            </a:ext>
          </a:extLst>
        </xdr:cNvPr>
        <xdr:cNvSpPr>
          <a:spLocks noChangeShapeType="1"/>
        </xdr:cNvSpPr>
      </xdr:nvSpPr>
      <xdr:spPr bwMode="auto">
        <a:xfrm flipH="1">
          <a:off x="1200150" y="74504550"/>
          <a:ext cx="1524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389</xdr:row>
      <xdr:rowOff>76200</xdr:rowOff>
    </xdr:from>
    <xdr:to>
      <xdr:col>2</xdr:col>
      <xdr:colOff>76200</xdr:colOff>
      <xdr:row>389</xdr:row>
      <xdr:rowOff>76200</xdr:rowOff>
    </xdr:to>
    <xdr:sp macro="" textlink="">
      <xdr:nvSpPr>
        <xdr:cNvPr id="696" name="Line 791">
          <a:extLst>
            <a:ext uri="{FF2B5EF4-FFF2-40B4-BE49-F238E27FC236}">
              <a16:creationId xmlns:a16="http://schemas.microsoft.com/office/drawing/2014/main" id="{00000000-0008-0000-0000-0000B8020000}"/>
            </a:ext>
          </a:extLst>
        </xdr:cNvPr>
        <xdr:cNvSpPr>
          <a:spLocks noChangeShapeType="1"/>
        </xdr:cNvSpPr>
      </xdr:nvSpPr>
      <xdr:spPr bwMode="auto">
        <a:xfrm flipH="1">
          <a:off x="1171575" y="74999850"/>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389</xdr:row>
      <xdr:rowOff>0</xdr:rowOff>
    </xdr:from>
    <xdr:to>
      <xdr:col>1</xdr:col>
      <xdr:colOff>209550</xdr:colOff>
      <xdr:row>389</xdr:row>
      <xdr:rowOff>161925</xdr:rowOff>
    </xdr:to>
    <xdr:sp macro="" textlink="">
      <xdr:nvSpPr>
        <xdr:cNvPr id="697" name="Line 792">
          <a:extLst>
            <a:ext uri="{FF2B5EF4-FFF2-40B4-BE49-F238E27FC236}">
              <a16:creationId xmlns:a16="http://schemas.microsoft.com/office/drawing/2014/main" id="{00000000-0008-0000-0000-0000B9020000}"/>
            </a:ext>
          </a:extLst>
        </xdr:cNvPr>
        <xdr:cNvSpPr>
          <a:spLocks noChangeShapeType="1"/>
        </xdr:cNvSpPr>
      </xdr:nvSpPr>
      <xdr:spPr bwMode="auto">
        <a:xfrm flipH="1">
          <a:off x="1171575" y="74923650"/>
          <a:ext cx="1809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389</xdr:row>
      <xdr:rowOff>161925</xdr:rowOff>
    </xdr:from>
    <xdr:to>
      <xdr:col>5</xdr:col>
      <xdr:colOff>447675</xdr:colOff>
      <xdr:row>389</xdr:row>
      <xdr:rowOff>161925</xdr:rowOff>
    </xdr:to>
    <xdr:sp macro="" textlink="">
      <xdr:nvSpPr>
        <xdr:cNvPr id="698" name="Line 793">
          <a:extLst>
            <a:ext uri="{FF2B5EF4-FFF2-40B4-BE49-F238E27FC236}">
              <a16:creationId xmlns:a16="http://schemas.microsoft.com/office/drawing/2014/main" id="{00000000-0008-0000-0000-0000BA020000}"/>
            </a:ext>
          </a:extLst>
        </xdr:cNvPr>
        <xdr:cNvSpPr>
          <a:spLocks noChangeShapeType="1"/>
        </xdr:cNvSpPr>
      </xdr:nvSpPr>
      <xdr:spPr bwMode="auto">
        <a:xfrm flipH="1">
          <a:off x="1600200" y="75085575"/>
          <a:ext cx="15049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396</xdr:row>
      <xdr:rowOff>104775</xdr:rowOff>
    </xdr:from>
    <xdr:to>
      <xdr:col>2</xdr:col>
      <xdr:colOff>485775</xdr:colOff>
      <xdr:row>396</xdr:row>
      <xdr:rowOff>104775</xdr:rowOff>
    </xdr:to>
    <xdr:sp macro="" textlink="">
      <xdr:nvSpPr>
        <xdr:cNvPr id="699" name="Line 794">
          <a:extLst>
            <a:ext uri="{FF2B5EF4-FFF2-40B4-BE49-F238E27FC236}">
              <a16:creationId xmlns:a16="http://schemas.microsoft.com/office/drawing/2014/main" id="{00000000-0008-0000-0000-0000BB020000}"/>
            </a:ext>
          </a:extLst>
        </xdr:cNvPr>
        <xdr:cNvSpPr>
          <a:spLocks noChangeShapeType="1"/>
        </xdr:cNvSpPr>
      </xdr:nvSpPr>
      <xdr:spPr bwMode="auto">
        <a:xfrm flipH="1">
          <a:off x="1571625" y="76380975"/>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390</xdr:row>
      <xdr:rowOff>38100</xdr:rowOff>
    </xdr:from>
    <xdr:to>
      <xdr:col>2</xdr:col>
      <xdr:colOff>533400</xdr:colOff>
      <xdr:row>390</xdr:row>
      <xdr:rowOff>38100</xdr:rowOff>
    </xdr:to>
    <xdr:sp macro="" textlink="">
      <xdr:nvSpPr>
        <xdr:cNvPr id="700" name="Line 795">
          <a:extLst>
            <a:ext uri="{FF2B5EF4-FFF2-40B4-BE49-F238E27FC236}">
              <a16:creationId xmlns:a16="http://schemas.microsoft.com/office/drawing/2014/main" id="{00000000-0008-0000-0000-0000BC020000}"/>
            </a:ext>
          </a:extLst>
        </xdr:cNvPr>
        <xdr:cNvSpPr>
          <a:spLocks noChangeShapeType="1"/>
        </xdr:cNvSpPr>
      </xdr:nvSpPr>
      <xdr:spPr bwMode="auto">
        <a:xfrm>
          <a:off x="1724025" y="75152250"/>
          <a:ext cx="190500" cy="0"/>
        </a:xfrm>
        <a:prstGeom prst="line">
          <a:avLst/>
        </a:prstGeom>
        <a:noFill/>
        <a:ln w="374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390</xdr:row>
      <xdr:rowOff>0</xdr:rowOff>
    </xdr:from>
    <xdr:to>
      <xdr:col>2</xdr:col>
      <xdr:colOff>28575</xdr:colOff>
      <xdr:row>390</xdr:row>
      <xdr:rowOff>0</xdr:rowOff>
    </xdr:to>
    <xdr:sp macro="" textlink="">
      <xdr:nvSpPr>
        <xdr:cNvPr id="701" name="Line 796">
          <a:extLst>
            <a:ext uri="{FF2B5EF4-FFF2-40B4-BE49-F238E27FC236}">
              <a16:creationId xmlns:a16="http://schemas.microsoft.com/office/drawing/2014/main" id="{00000000-0008-0000-0000-0000BD020000}"/>
            </a:ext>
          </a:extLst>
        </xdr:cNvPr>
        <xdr:cNvSpPr>
          <a:spLocks noChangeShapeType="1"/>
        </xdr:cNvSpPr>
      </xdr:nvSpPr>
      <xdr:spPr bwMode="auto">
        <a:xfrm flipH="1">
          <a:off x="952500" y="7511415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389</xdr:row>
      <xdr:rowOff>142875</xdr:rowOff>
    </xdr:from>
    <xdr:to>
      <xdr:col>2</xdr:col>
      <xdr:colOff>0</xdr:colOff>
      <xdr:row>389</xdr:row>
      <xdr:rowOff>142875</xdr:rowOff>
    </xdr:to>
    <xdr:sp macro="" textlink="">
      <xdr:nvSpPr>
        <xdr:cNvPr id="702" name="Line 797">
          <a:extLst>
            <a:ext uri="{FF2B5EF4-FFF2-40B4-BE49-F238E27FC236}">
              <a16:creationId xmlns:a16="http://schemas.microsoft.com/office/drawing/2014/main" id="{00000000-0008-0000-0000-0000BE020000}"/>
            </a:ext>
          </a:extLst>
        </xdr:cNvPr>
        <xdr:cNvSpPr>
          <a:spLocks noChangeShapeType="1"/>
        </xdr:cNvSpPr>
      </xdr:nvSpPr>
      <xdr:spPr bwMode="auto">
        <a:xfrm flipH="1">
          <a:off x="971550" y="75066525"/>
          <a:ext cx="409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389</xdr:row>
      <xdr:rowOff>66675</xdr:rowOff>
    </xdr:from>
    <xdr:to>
      <xdr:col>0</xdr:col>
      <xdr:colOff>1019175</xdr:colOff>
      <xdr:row>391</xdr:row>
      <xdr:rowOff>142875</xdr:rowOff>
    </xdr:to>
    <xdr:sp macro="" textlink="">
      <xdr:nvSpPr>
        <xdr:cNvPr id="703" name="Line 798">
          <a:extLst>
            <a:ext uri="{FF2B5EF4-FFF2-40B4-BE49-F238E27FC236}">
              <a16:creationId xmlns:a16="http://schemas.microsoft.com/office/drawing/2014/main" id="{00000000-0008-0000-0000-0000BF020000}"/>
            </a:ext>
          </a:extLst>
        </xdr:cNvPr>
        <xdr:cNvSpPr>
          <a:spLocks noChangeShapeType="1"/>
        </xdr:cNvSpPr>
      </xdr:nvSpPr>
      <xdr:spPr bwMode="auto">
        <a:xfrm>
          <a:off x="1019175" y="74990325"/>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389</xdr:row>
      <xdr:rowOff>161925</xdr:rowOff>
    </xdr:from>
    <xdr:to>
      <xdr:col>0</xdr:col>
      <xdr:colOff>1066800</xdr:colOff>
      <xdr:row>390</xdr:row>
      <xdr:rowOff>66675</xdr:rowOff>
    </xdr:to>
    <xdr:sp macro="" textlink="">
      <xdr:nvSpPr>
        <xdr:cNvPr id="704" name="Line 799">
          <a:extLst>
            <a:ext uri="{FF2B5EF4-FFF2-40B4-BE49-F238E27FC236}">
              <a16:creationId xmlns:a16="http://schemas.microsoft.com/office/drawing/2014/main" id="{00000000-0008-0000-0000-0000C0020000}"/>
            </a:ext>
          </a:extLst>
        </xdr:cNvPr>
        <xdr:cNvSpPr>
          <a:spLocks noChangeShapeType="1"/>
        </xdr:cNvSpPr>
      </xdr:nvSpPr>
      <xdr:spPr bwMode="auto">
        <a:xfrm flipH="1">
          <a:off x="952500" y="750855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424</xdr:row>
      <xdr:rowOff>66675</xdr:rowOff>
    </xdr:from>
    <xdr:to>
      <xdr:col>2</xdr:col>
      <xdr:colOff>495300</xdr:colOff>
      <xdr:row>424</xdr:row>
      <xdr:rowOff>190500</xdr:rowOff>
    </xdr:to>
    <xdr:sp macro="" textlink="">
      <xdr:nvSpPr>
        <xdr:cNvPr id="705" name="Line 800">
          <a:extLst>
            <a:ext uri="{FF2B5EF4-FFF2-40B4-BE49-F238E27FC236}">
              <a16:creationId xmlns:a16="http://schemas.microsoft.com/office/drawing/2014/main" id="{00000000-0008-0000-0000-0000C1020000}"/>
            </a:ext>
          </a:extLst>
        </xdr:cNvPr>
        <xdr:cNvSpPr>
          <a:spLocks noChangeShapeType="1"/>
        </xdr:cNvSpPr>
      </xdr:nvSpPr>
      <xdr:spPr bwMode="auto">
        <a:xfrm flipH="1">
          <a:off x="1762125" y="81714975"/>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420</xdr:row>
      <xdr:rowOff>66675</xdr:rowOff>
    </xdr:from>
    <xdr:to>
      <xdr:col>3</xdr:col>
      <xdr:colOff>28575</xdr:colOff>
      <xdr:row>422</xdr:row>
      <xdr:rowOff>28575</xdr:rowOff>
    </xdr:to>
    <xdr:sp macro="" textlink="">
      <xdr:nvSpPr>
        <xdr:cNvPr id="706" name="Tegning 801">
          <a:extLst>
            <a:ext uri="{FF2B5EF4-FFF2-40B4-BE49-F238E27FC236}">
              <a16:creationId xmlns:a16="http://schemas.microsoft.com/office/drawing/2014/main" id="{00000000-0008-0000-0000-0000C2020000}"/>
            </a:ext>
          </a:extLst>
        </xdr:cNvPr>
        <xdr:cNvSpPr>
          <a:spLocks/>
        </xdr:cNvSpPr>
      </xdr:nvSpPr>
      <xdr:spPr bwMode="auto">
        <a:xfrm>
          <a:off x="1143000" y="80952975"/>
          <a:ext cx="847725" cy="342900"/>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438150</xdr:colOff>
      <xdr:row>418</xdr:row>
      <xdr:rowOff>28575</xdr:rowOff>
    </xdr:from>
    <xdr:to>
      <xdr:col>2</xdr:col>
      <xdr:colOff>438150</xdr:colOff>
      <xdr:row>425</xdr:row>
      <xdr:rowOff>57150</xdr:rowOff>
    </xdr:to>
    <xdr:sp macro="" textlink="">
      <xdr:nvSpPr>
        <xdr:cNvPr id="707" name="Line 802">
          <a:extLst>
            <a:ext uri="{FF2B5EF4-FFF2-40B4-BE49-F238E27FC236}">
              <a16:creationId xmlns:a16="http://schemas.microsoft.com/office/drawing/2014/main" id="{00000000-0008-0000-0000-0000C3020000}"/>
            </a:ext>
          </a:extLst>
        </xdr:cNvPr>
        <xdr:cNvSpPr>
          <a:spLocks noChangeShapeType="1"/>
        </xdr:cNvSpPr>
      </xdr:nvSpPr>
      <xdr:spPr bwMode="auto">
        <a:xfrm flipV="1">
          <a:off x="1819275" y="80533875"/>
          <a:ext cx="0" cy="13620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422</xdr:row>
      <xdr:rowOff>171450</xdr:rowOff>
    </xdr:from>
    <xdr:to>
      <xdr:col>5</xdr:col>
      <xdr:colOff>657225</xdr:colOff>
      <xdr:row>422</xdr:row>
      <xdr:rowOff>171450</xdr:rowOff>
    </xdr:to>
    <xdr:sp macro="" textlink="">
      <xdr:nvSpPr>
        <xdr:cNvPr id="708" name="Line 803">
          <a:extLst>
            <a:ext uri="{FF2B5EF4-FFF2-40B4-BE49-F238E27FC236}">
              <a16:creationId xmlns:a16="http://schemas.microsoft.com/office/drawing/2014/main" id="{00000000-0008-0000-0000-0000C4020000}"/>
            </a:ext>
          </a:extLst>
        </xdr:cNvPr>
        <xdr:cNvSpPr>
          <a:spLocks noChangeShapeType="1"/>
        </xdr:cNvSpPr>
      </xdr:nvSpPr>
      <xdr:spPr bwMode="auto">
        <a:xfrm flipH="1">
          <a:off x="1676400" y="81438750"/>
          <a:ext cx="1638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420</xdr:row>
      <xdr:rowOff>123825</xdr:rowOff>
    </xdr:from>
    <xdr:to>
      <xdr:col>2</xdr:col>
      <xdr:colOff>342900</xdr:colOff>
      <xdr:row>425</xdr:row>
      <xdr:rowOff>19050</xdr:rowOff>
    </xdr:to>
    <xdr:sp macro="" textlink="">
      <xdr:nvSpPr>
        <xdr:cNvPr id="709" name="Line 804">
          <a:extLst>
            <a:ext uri="{FF2B5EF4-FFF2-40B4-BE49-F238E27FC236}">
              <a16:creationId xmlns:a16="http://schemas.microsoft.com/office/drawing/2014/main" id="{00000000-0008-0000-0000-0000C5020000}"/>
            </a:ext>
          </a:extLst>
        </xdr:cNvPr>
        <xdr:cNvSpPr>
          <a:spLocks noChangeShapeType="1"/>
        </xdr:cNvSpPr>
      </xdr:nvSpPr>
      <xdr:spPr bwMode="auto">
        <a:xfrm>
          <a:off x="1724025" y="81010125"/>
          <a:ext cx="0" cy="847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420</xdr:row>
      <xdr:rowOff>123825</xdr:rowOff>
    </xdr:from>
    <xdr:to>
      <xdr:col>2</xdr:col>
      <xdr:colOff>533400</xdr:colOff>
      <xdr:row>423</xdr:row>
      <xdr:rowOff>47625</xdr:rowOff>
    </xdr:to>
    <xdr:sp macro="" textlink="">
      <xdr:nvSpPr>
        <xdr:cNvPr id="710" name="Line 805">
          <a:extLst>
            <a:ext uri="{FF2B5EF4-FFF2-40B4-BE49-F238E27FC236}">
              <a16:creationId xmlns:a16="http://schemas.microsoft.com/office/drawing/2014/main" id="{00000000-0008-0000-0000-0000C6020000}"/>
            </a:ext>
          </a:extLst>
        </xdr:cNvPr>
        <xdr:cNvSpPr>
          <a:spLocks noChangeShapeType="1"/>
        </xdr:cNvSpPr>
      </xdr:nvSpPr>
      <xdr:spPr bwMode="auto">
        <a:xfrm>
          <a:off x="1914525" y="81010125"/>
          <a:ext cx="0" cy="495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422</xdr:row>
      <xdr:rowOff>123825</xdr:rowOff>
    </xdr:from>
    <xdr:to>
      <xdr:col>2</xdr:col>
      <xdr:colOff>409575</xdr:colOff>
      <xdr:row>423</xdr:row>
      <xdr:rowOff>28575</xdr:rowOff>
    </xdr:to>
    <xdr:sp macro="" textlink="">
      <xdr:nvSpPr>
        <xdr:cNvPr id="711" name="Line 806">
          <a:extLst>
            <a:ext uri="{FF2B5EF4-FFF2-40B4-BE49-F238E27FC236}">
              <a16:creationId xmlns:a16="http://schemas.microsoft.com/office/drawing/2014/main" id="{00000000-0008-0000-0000-0000C7020000}"/>
            </a:ext>
          </a:extLst>
        </xdr:cNvPr>
        <xdr:cNvSpPr>
          <a:spLocks noChangeShapeType="1"/>
        </xdr:cNvSpPr>
      </xdr:nvSpPr>
      <xdr:spPr bwMode="auto">
        <a:xfrm flipH="1">
          <a:off x="1676400" y="8139112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422</xdr:row>
      <xdr:rowOff>114300</xdr:rowOff>
    </xdr:from>
    <xdr:to>
      <xdr:col>3</xdr:col>
      <xdr:colOff>28575</xdr:colOff>
      <xdr:row>423</xdr:row>
      <xdr:rowOff>47625</xdr:rowOff>
    </xdr:to>
    <xdr:sp macro="" textlink="">
      <xdr:nvSpPr>
        <xdr:cNvPr id="712" name="Line 807">
          <a:extLst>
            <a:ext uri="{FF2B5EF4-FFF2-40B4-BE49-F238E27FC236}">
              <a16:creationId xmlns:a16="http://schemas.microsoft.com/office/drawing/2014/main" id="{00000000-0008-0000-0000-0000C8020000}"/>
            </a:ext>
          </a:extLst>
        </xdr:cNvPr>
        <xdr:cNvSpPr>
          <a:spLocks noChangeShapeType="1"/>
        </xdr:cNvSpPr>
      </xdr:nvSpPr>
      <xdr:spPr bwMode="auto">
        <a:xfrm flipH="1">
          <a:off x="1819275" y="81381600"/>
          <a:ext cx="1714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423</xdr:row>
      <xdr:rowOff>142875</xdr:rowOff>
    </xdr:from>
    <xdr:to>
      <xdr:col>5</xdr:col>
      <xdr:colOff>638175</xdr:colOff>
      <xdr:row>423</xdr:row>
      <xdr:rowOff>142875</xdr:rowOff>
    </xdr:to>
    <xdr:sp macro="" textlink="">
      <xdr:nvSpPr>
        <xdr:cNvPr id="713" name="Line 808">
          <a:extLst>
            <a:ext uri="{FF2B5EF4-FFF2-40B4-BE49-F238E27FC236}">
              <a16:creationId xmlns:a16="http://schemas.microsoft.com/office/drawing/2014/main" id="{00000000-0008-0000-0000-0000C9020000}"/>
            </a:ext>
          </a:extLst>
        </xdr:cNvPr>
        <xdr:cNvSpPr>
          <a:spLocks noChangeShapeType="1"/>
        </xdr:cNvSpPr>
      </xdr:nvSpPr>
      <xdr:spPr bwMode="auto">
        <a:xfrm flipH="1">
          <a:off x="1600200" y="81600675"/>
          <a:ext cx="1695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419</xdr:row>
      <xdr:rowOff>209550</xdr:rowOff>
    </xdr:from>
    <xdr:to>
      <xdr:col>2</xdr:col>
      <xdr:colOff>219075</xdr:colOff>
      <xdr:row>423</xdr:row>
      <xdr:rowOff>171450</xdr:rowOff>
    </xdr:to>
    <xdr:sp macro="" textlink="">
      <xdr:nvSpPr>
        <xdr:cNvPr id="714" name="Line 809">
          <a:extLst>
            <a:ext uri="{FF2B5EF4-FFF2-40B4-BE49-F238E27FC236}">
              <a16:creationId xmlns:a16="http://schemas.microsoft.com/office/drawing/2014/main" id="{00000000-0008-0000-0000-0000CA020000}"/>
            </a:ext>
          </a:extLst>
        </xdr:cNvPr>
        <xdr:cNvSpPr>
          <a:spLocks noChangeShapeType="1"/>
        </xdr:cNvSpPr>
      </xdr:nvSpPr>
      <xdr:spPr bwMode="auto">
        <a:xfrm>
          <a:off x="1600200" y="80886300"/>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423</xdr:row>
      <xdr:rowOff>76200</xdr:rowOff>
    </xdr:from>
    <xdr:to>
      <xdr:col>2</xdr:col>
      <xdr:colOff>504825</xdr:colOff>
      <xdr:row>423</xdr:row>
      <xdr:rowOff>190500</xdr:rowOff>
    </xdr:to>
    <xdr:sp macro="" textlink="">
      <xdr:nvSpPr>
        <xdr:cNvPr id="715" name="Line 810">
          <a:extLst>
            <a:ext uri="{FF2B5EF4-FFF2-40B4-BE49-F238E27FC236}">
              <a16:creationId xmlns:a16="http://schemas.microsoft.com/office/drawing/2014/main" id="{00000000-0008-0000-0000-0000CB020000}"/>
            </a:ext>
          </a:extLst>
        </xdr:cNvPr>
        <xdr:cNvSpPr>
          <a:spLocks noChangeShapeType="1"/>
        </xdr:cNvSpPr>
      </xdr:nvSpPr>
      <xdr:spPr bwMode="auto">
        <a:xfrm flipH="1">
          <a:off x="1762125" y="81534000"/>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419</xdr:row>
      <xdr:rowOff>114519</xdr:rowOff>
    </xdr:from>
    <xdr:to>
      <xdr:col>5</xdr:col>
      <xdr:colOff>304800</xdr:colOff>
      <xdr:row>420</xdr:row>
      <xdr:rowOff>219</xdr:rowOff>
    </xdr:to>
    <xdr:sp macro="" textlink="" fLocksText="0">
      <xdr:nvSpPr>
        <xdr:cNvPr id="716" name="Oval 811">
          <a:extLst>
            <a:ext uri="{FF2B5EF4-FFF2-40B4-BE49-F238E27FC236}">
              <a16:creationId xmlns:a16="http://schemas.microsoft.com/office/drawing/2014/main" id="{00000000-0008-0000-0000-0000CC020000}"/>
            </a:ext>
          </a:extLst>
        </xdr:cNvPr>
        <xdr:cNvSpPr>
          <a:spLocks noChangeArrowheads="1"/>
        </xdr:cNvSpPr>
      </xdr:nvSpPr>
      <xdr:spPr bwMode="auto">
        <a:xfrm>
          <a:off x="2867025" y="80810319"/>
          <a:ext cx="9525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415</xdr:row>
      <xdr:rowOff>142875</xdr:rowOff>
    </xdr:from>
    <xdr:to>
      <xdr:col>5</xdr:col>
      <xdr:colOff>733425</xdr:colOff>
      <xdr:row>419</xdr:row>
      <xdr:rowOff>114300</xdr:rowOff>
    </xdr:to>
    <xdr:sp macro="" textlink="">
      <xdr:nvSpPr>
        <xdr:cNvPr id="717" name="Tegning 812">
          <a:extLst>
            <a:ext uri="{FF2B5EF4-FFF2-40B4-BE49-F238E27FC236}">
              <a16:creationId xmlns:a16="http://schemas.microsoft.com/office/drawing/2014/main" id="{00000000-0008-0000-0000-0000CD020000}"/>
            </a:ext>
          </a:extLst>
        </xdr:cNvPr>
        <xdr:cNvSpPr>
          <a:spLocks/>
        </xdr:cNvSpPr>
      </xdr:nvSpPr>
      <xdr:spPr bwMode="auto">
        <a:xfrm>
          <a:off x="2914650" y="80076675"/>
          <a:ext cx="476250" cy="7334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416</xdr:row>
      <xdr:rowOff>66675</xdr:rowOff>
    </xdr:from>
    <xdr:to>
      <xdr:col>5</xdr:col>
      <xdr:colOff>400050</xdr:colOff>
      <xdr:row>420</xdr:row>
      <xdr:rowOff>19050</xdr:rowOff>
    </xdr:to>
    <xdr:sp macro="" textlink="">
      <xdr:nvSpPr>
        <xdr:cNvPr id="718" name="Tegning 813">
          <a:extLst>
            <a:ext uri="{FF2B5EF4-FFF2-40B4-BE49-F238E27FC236}">
              <a16:creationId xmlns:a16="http://schemas.microsoft.com/office/drawing/2014/main" id="{00000000-0008-0000-0000-0000CE020000}"/>
            </a:ext>
          </a:extLst>
        </xdr:cNvPr>
        <xdr:cNvSpPr>
          <a:spLocks/>
        </xdr:cNvSpPr>
      </xdr:nvSpPr>
      <xdr:spPr bwMode="auto">
        <a:xfrm>
          <a:off x="1524000" y="80190975"/>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6104" y="16384"/>
              </a:moveTo>
              <a:lnTo>
                <a:pt x="0" y="16384"/>
              </a:lnTo>
              <a:lnTo>
                <a:pt x="0" y="3550"/>
              </a:lnTo>
              <a:lnTo>
                <a:pt x="6162" y="3550"/>
              </a:lnTo>
              <a:lnTo>
                <a:pt x="6162"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416</xdr:row>
      <xdr:rowOff>123825</xdr:rowOff>
    </xdr:from>
    <xdr:to>
      <xdr:col>5</xdr:col>
      <xdr:colOff>381000</xdr:colOff>
      <xdr:row>416</xdr:row>
      <xdr:rowOff>123825</xdr:rowOff>
    </xdr:to>
    <xdr:sp macro="" textlink="">
      <xdr:nvSpPr>
        <xdr:cNvPr id="719" name="Line 814">
          <a:extLst>
            <a:ext uri="{FF2B5EF4-FFF2-40B4-BE49-F238E27FC236}">
              <a16:creationId xmlns:a16="http://schemas.microsoft.com/office/drawing/2014/main" id="{00000000-0008-0000-0000-0000CF020000}"/>
            </a:ext>
          </a:extLst>
        </xdr:cNvPr>
        <xdr:cNvSpPr>
          <a:spLocks noChangeShapeType="1"/>
        </xdr:cNvSpPr>
      </xdr:nvSpPr>
      <xdr:spPr bwMode="auto">
        <a:xfrm>
          <a:off x="2181225" y="80248125"/>
          <a:ext cx="8572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411</xdr:row>
      <xdr:rowOff>123825</xdr:rowOff>
    </xdr:from>
    <xdr:to>
      <xdr:col>5</xdr:col>
      <xdr:colOff>704850</xdr:colOff>
      <xdr:row>419</xdr:row>
      <xdr:rowOff>161925</xdr:rowOff>
    </xdr:to>
    <xdr:sp macro="" textlink="">
      <xdr:nvSpPr>
        <xdr:cNvPr id="720" name="Tegning 815">
          <a:extLst>
            <a:ext uri="{FF2B5EF4-FFF2-40B4-BE49-F238E27FC236}">
              <a16:creationId xmlns:a16="http://schemas.microsoft.com/office/drawing/2014/main" id="{00000000-0008-0000-0000-0000D0020000}"/>
            </a:ext>
          </a:extLst>
        </xdr:cNvPr>
        <xdr:cNvSpPr>
          <a:spLocks/>
        </xdr:cNvSpPr>
      </xdr:nvSpPr>
      <xdr:spPr bwMode="auto">
        <a:xfrm>
          <a:off x="1266825" y="79295625"/>
          <a:ext cx="2095500" cy="156210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xdr:col>
      <xdr:colOff>57150</xdr:colOff>
      <xdr:row>417</xdr:row>
      <xdr:rowOff>19050</xdr:rowOff>
    </xdr:from>
    <xdr:to>
      <xdr:col>2</xdr:col>
      <xdr:colOff>95250</xdr:colOff>
      <xdr:row>417</xdr:row>
      <xdr:rowOff>19050</xdr:rowOff>
    </xdr:to>
    <xdr:sp macro="" textlink="">
      <xdr:nvSpPr>
        <xdr:cNvPr id="721" name="Line 816">
          <a:extLst>
            <a:ext uri="{FF2B5EF4-FFF2-40B4-BE49-F238E27FC236}">
              <a16:creationId xmlns:a16="http://schemas.microsoft.com/office/drawing/2014/main" id="{00000000-0008-0000-0000-0000D1020000}"/>
            </a:ext>
          </a:extLst>
        </xdr:cNvPr>
        <xdr:cNvSpPr>
          <a:spLocks noChangeShapeType="1"/>
        </xdr:cNvSpPr>
      </xdr:nvSpPr>
      <xdr:spPr bwMode="auto">
        <a:xfrm flipH="1">
          <a:off x="1200150" y="80333850"/>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416</xdr:row>
      <xdr:rowOff>142875</xdr:rowOff>
    </xdr:from>
    <xdr:to>
      <xdr:col>1</xdr:col>
      <xdr:colOff>190500</xdr:colOff>
      <xdr:row>417</xdr:row>
      <xdr:rowOff>85725</xdr:rowOff>
    </xdr:to>
    <xdr:sp macro="" textlink="">
      <xdr:nvSpPr>
        <xdr:cNvPr id="722" name="Line 817">
          <a:extLst>
            <a:ext uri="{FF2B5EF4-FFF2-40B4-BE49-F238E27FC236}">
              <a16:creationId xmlns:a16="http://schemas.microsoft.com/office/drawing/2014/main" id="{00000000-0008-0000-0000-0000D2020000}"/>
            </a:ext>
          </a:extLst>
        </xdr:cNvPr>
        <xdr:cNvSpPr>
          <a:spLocks noChangeShapeType="1"/>
        </xdr:cNvSpPr>
      </xdr:nvSpPr>
      <xdr:spPr bwMode="auto">
        <a:xfrm flipH="1">
          <a:off x="1181100" y="80267175"/>
          <a:ext cx="15240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419</xdr:row>
      <xdr:rowOff>142875</xdr:rowOff>
    </xdr:from>
    <xdr:to>
      <xdr:col>2</xdr:col>
      <xdr:colOff>85725</xdr:colOff>
      <xdr:row>419</xdr:row>
      <xdr:rowOff>142875</xdr:rowOff>
    </xdr:to>
    <xdr:sp macro="" textlink="">
      <xdr:nvSpPr>
        <xdr:cNvPr id="723" name="Line 818">
          <a:extLst>
            <a:ext uri="{FF2B5EF4-FFF2-40B4-BE49-F238E27FC236}">
              <a16:creationId xmlns:a16="http://schemas.microsoft.com/office/drawing/2014/main" id="{00000000-0008-0000-0000-0000D3020000}"/>
            </a:ext>
          </a:extLst>
        </xdr:cNvPr>
        <xdr:cNvSpPr>
          <a:spLocks noChangeShapeType="1"/>
        </xdr:cNvSpPr>
      </xdr:nvSpPr>
      <xdr:spPr bwMode="auto">
        <a:xfrm flipH="1">
          <a:off x="1200150" y="80838675"/>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47625</xdr:colOff>
      <xdr:row>419</xdr:row>
      <xdr:rowOff>47625</xdr:rowOff>
    </xdr:from>
    <xdr:to>
      <xdr:col>1</xdr:col>
      <xdr:colOff>219075</xdr:colOff>
      <xdr:row>420</xdr:row>
      <xdr:rowOff>0</xdr:rowOff>
    </xdr:to>
    <xdr:sp macro="" textlink="">
      <xdr:nvSpPr>
        <xdr:cNvPr id="724" name="Line 819">
          <a:extLst>
            <a:ext uri="{FF2B5EF4-FFF2-40B4-BE49-F238E27FC236}">
              <a16:creationId xmlns:a16="http://schemas.microsoft.com/office/drawing/2014/main" id="{00000000-0008-0000-0000-0000D4020000}"/>
            </a:ext>
          </a:extLst>
        </xdr:cNvPr>
        <xdr:cNvSpPr>
          <a:spLocks noChangeShapeType="1"/>
        </xdr:cNvSpPr>
      </xdr:nvSpPr>
      <xdr:spPr bwMode="auto">
        <a:xfrm flipH="1">
          <a:off x="1190625" y="80743425"/>
          <a:ext cx="17145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419</xdr:row>
      <xdr:rowOff>161925</xdr:rowOff>
    </xdr:from>
    <xdr:to>
      <xdr:col>5</xdr:col>
      <xdr:colOff>447675</xdr:colOff>
      <xdr:row>419</xdr:row>
      <xdr:rowOff>161925</xdr:rowOff>
    </xdr:to>
    <xdr:sp macro="" textlink="">
      <xdr:nvSpPr>
        <xdr:cNvPr id="725" name="Line 820">
          <a:extLst>
            <a:ext uri="{FF2B5EF4-FFF2-40B4-BE49-F238E27FC236}">
              <a16:creationId xmlns:a16="http://schemas.microsoft.com/office/drawing/2014/main" id="{00000000-0008-0000-0000-0000D5020000}"/>
            </a:ext>
          </a:extLst>
        </xdr:cNvPr>
        <xdr:cNvSpPr>
          <a:spLocks noChangeShapeType="1"/>
        </xdr:cNvSpPr>
      </xdr:nvSpPr>
      <xdr:spPr bwMode="auto">
        <a:xfrm flipH="1">
          <a:off x="1600200" y="80857725"/>
          <a:ext cx="15049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424</xdr:row>
      <xdr:rowOff>123825</xdr:rowOff>
    </xdr:from>
    <xdr:to>
      <xdr:col>2</xdr:col>
      <xdr:colOff>485775</xdr:colOff>
      <xdr:row>424</xdr:row>
      <xdr:rowOff>123825</xdr:rowOff>
    </xdr:to>
    <xdr:sp macro="" textlink="">
      <xdr:nvSpPr>
        <xdr:cNvPr id="726" name="Line 821">
          <a:extLst>
            <a:ext uri="{FF2B5EF4-FFF2-40B4-BE49-F238E27FC236}">
              <a16:creationId xmlns:a16="http://schemas.microsoft.com/office/drawing/2014/main" id="{00000000-0008-0000-0000-0000D6020000}"/>
            </a:ext>
          </a:extLst>
        </xdr:cNvPr>
        <xdr:cNvSpPr>
          <a:spLocks noChangeShapeType="1"/>
        </xdr:cNvSpPr>
      </xdr:nvSpPr>
      <xdr:spPr bwMode="auto">
        <a:xfrm flipH="1">
          <a:off x="1571625" y="81772125"/>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420</xdr:row>
      <xdr:rowOff>47625</xdr:rowOff>
    </xdr:from>
    <xdr:to>
      <xdr:col>2</xdr:col>
      <xdr:colOff>533400</xdr:colOff>
      <xdr:row>420</xdr:row>
      <xdr:rowOff>47625</xdr:rowOff>
    </xdr:to>
    <xdr:sp macro="" textlink="">
      <xdr:nvSpPr>
        <xdr:cNvPr id="727" name="Line 822">
          <a:extLst>
            <a:ext uri="{FF2B5EF4-FFF2-40B4-BE49-F238E27FC236}">
              <a16:creationId xmlns:a16="http://schemas.microsoft.com/office/drawing/2014/main" id="{00000000-0008-0000-0000-0000D7020000}"/>
            </a:ext>
          </a:extLst>
        </xdr:cNvPr>
        <xdr:cNvSpPr>
          <a:spLocks noChangeShapeType="1"/>
        </xdr:cNvSpPr>
      </xdr:nvSpPr>
      <xdr:spPr bwMode="auto">
        <a:xfrm>
          <a:off x="1724025" y="80933925"/>
          <a:ext cx="190500" cy="0"/>
        </a:xfrm>
        <a:prstGeom prst="line">
          <a:avLst/>
        </a:prstGeom>
        <a:noFill/>
        <a:ln w="374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420</xdr:row>
      <xdr:rowOff>0</xdr:rowOff>
    </xdr:from>
    <xdr:to>
      <xdr:col>2</xdr:col>
      <xdr:colOff>28575</xdr:colOff>
      <xdr:row>420</xdr:row>
      <xdr:rowOff>0</xdr:rowOff>
    </xdr:to>
    <xdr:sp macro="" textlink="">
      <xdr:nvSpPr>
        <xdr:cNvPr id="728" name="Line 823">
          <a:extLst>
            <a:ext uri="{FF2B5EF4-FFF2-40B4-BE49-F238E27FC236}">
              <a16:creationId xmlns:a16="http://schemas.microsoft.com/office/drawing/2014/main" id="{00000000-0008-0000-0000-0000D8020000}"/>
            </a:ext>
          </a:extLst>
        </xdr:cNvPr>
        <xdr:cNvSpPr>
          <a:spLocks noChangeShapeType="1"/>
        </xdr:cNvSpPr>
      </xdr:nvSpPr>
      <xdr:spPr bwMode="auto">
        <a:xfrm flipH="1">
          <a:off x="952500" y="8088630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419</xdr:row>
      <xdr:rowOff>171450</xdr:rowOff>
    </xdr:from>
    <xdr:to>
      <xdr:col>2</xdr:col>
      <xdr:colOff>28575</xdr:colOff>
      <xdr:row>419</xdr:row>
      <xdr:rowOff>171450</xdr:rowOff>
    </xdr:to>
    <xdr:sp macro="" textlink="">
      <xdr:nvSpPr>
        <xdr:cNvPr id="729" name="Line 824">
          <a:extLst>
            <a:ext uri="{FF2B5EF4-FFF2-40B4-BE49-F238E27FC236}">
              <a16:creationId xmlns:a16="http://schemas.microsoft.com/office/drawing/2014/main" id="{00000000-0008-0000-0000-0000D9020000}"/>
            </a:ext>
          </a:extLst>
        </xdr:cNvPr>
        <xdr:cNvSpPr>
          <a:spLocks noChangeShapeType="1"/>
        </xdr:cNvSpPr>
      </xdr:nvSpPr>
      <xdr:spPr bwMode="auto">
        <a:xfrm flipH="1">
          <a:off x="952500" y="8086725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419</xdr:row>
      <xdr:rowOff>95250</xdr:rowOff>
    </xdr:from>
    <xdr:to>
      <xdr:col>0</xdr:col>
      <xdr:colOff>1019175</xdr:colOff>
      <xdr:row>421</xdr:row>
      <xdr:rowOff>171450</xdr:rowOff>
    </xdr:to>
    <xdr:sp macro="" textlink="">
      <xdr:nvSpPr>
        <xdr:cNvPr id="730" name="Line 825">
          <a:extLst>
            <a:ext uri="{FF2B5EF4-FFF2-40B4-BE49-F238E27FC236}">
              <a16:creationId xmlns:a16="http://schemas.microsoft.com/office/drawing/2014/main" id="{00000000-0008-0000-0000-0000DA020000}"/>
            </a:ext>
          </a:extLst>
        </xdr:cNvPr>
        <xdr:cNvSpPr>
          <a:spLocks noChangeShapeType="1"/>
        </xdr:cNvSpPr>
      </xdr:nvSpPr>
      <xdr:spPr bwMode="auto">
        <a:xfrm>
          <a:off x="1019175" y="80791050"/>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180975</xdr:colOff>
      <xdr:row>424</xdr:row>
      <xdr:rowOff>38100</xdr:rowOff>
    </xdr:from>
    <xdr:to>
      <xdr:col>2</xdr:col>
      <xdr:colOff>276225</xdr:colOff>
      <xdr:row>425</xdr:row>
      <xdr:rowOff>28575</xdr:rowOff>
    </xdr:to>
    <xdr:sp macro="" textlink="">
      <xdr:nvSpPr>
        <xdr:cNvPr id="731" name="Tegning 826">
          <a:extLst>
            <a:ext uri="{FF2B5EF4-FFF2-40B4-BE49-F238E27FC236}">
              <a16:creationId xmlns:a16="http://schemas.microsoft.com/office/drawing/2014/main" id="{00000000-0008-0000-0000-0000DB020000}"/>
            </a:ext>
          </a:extLst>
        </xdr:cNvPr>
        <xdr:cNvSpPr>
          <a:spLocks/>
        </xdr:cNvSpPr>
      </xdr:nvSpPr>
      <xdr:spPr bwMode="auto">
        <a:xfrm>
          <a:off x="1562100" y="81686400"/>
          <a:ext cx="95250" cy="180975"/>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4336" y="0"/>
              </a:moveTo>
              <a:lnTo>
                <a:pt x="0" y="7646"/>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171450</xdr:colOff>
      <xdr:row>423</xdr:row>
      <xdr:rowOff>76200</xdr:rowOff>
    </xdr:from>
    <xdr:to>
      <xdr:col>2</xdr:col>
      <xdr:colOff>276225</xdr:colOff>
      <xdr:row>423</xdr:row>
      <xdr:rowOff>190500</xdr:rowOff>
    </xdr:to>
    <xdr:sp macro="" textlink="">
      <xdr:nvSpPr>
        <xdr:cNvPr id="732" name="Line 827">
          <a:extLst>
            <a:ext uri="{FF2B5EF4-FFF2-40B4-BE49-F238E27FC236}">
              <a16:creationId xmlns:a16="http://schemas.microsoft.com/office/drawing/2014/main" id="{00000000-0008-0000-0000-0000DC020000}"/>
            </a:ext>
          </a:extLst>
        </xdr:cNvPr>
        <xdr:cNvSpPr>
          <a:spLocks noChangeShapeType="1"/>
        </xdr:cNvSpPr>
      </xdr:nvSpPr>
      <xdr:spPr bwMode="auto">
        <a:xfrm flipH="1">
          <a:off x="1552575" y="81534000"/>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419</xdr:row>
      <xdr:rowOff>123825</xdr:rowOff>
    </xdr:from>
    <xdr:to>
      <xdr:col>0</xdr:col>
      <xdr:colOff>1057275</xdr:colOff>
      <xdr:row>420</xdr:row>
      <xdr:rowOff>28575</xdr:rowOff>
    </xdr:to>
    <xdr:sp macro="" textlink="">
      <xdr:nvSpPr>
        <xdr:cNvPr id="733" name="Line 828">
          <a:extLst>
            <a:ext uri="{FF2B5EF4-FFF2-40B4-BE49-F238E27FC236}">
              <a16:creationId xmlns:a16="http://schemas.microsoft.com/office/drawing/2014/main" id="{00000000-0008-0000-0000-0000DD020000}"/>
            </a:ext>
          </a:extLst>
        </xdr:cNvPr>
        <xdr:cNvSpPr>
          <a:spLocks noChangeShapeType="1"/>
        </xdr:cNvSpPr>
      </xdr:nvSpPr>
      <xdr:spPr bwMode="auto">
        <a:xfrm flipH="1">
          <a:off x="952500" y="8081962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419</xdr:row>
      <xdr:rowOff>142875</xdr:rowOff>
    </xdr:from>
    <xdr:to>
      <xdr:col>0</xdr:col>
      <xdr:colOff>1085850</xdr:colOff>
      <xdr:row>420</xdr:row>
      <xdr:rowOff>47625</xdr:rowOff>
    </xdr:to>
    <xdr:sp macro="" textlink="">
      <xdr:nvSpPr>
        <xdr:cNvPr id="734" name="Line 829">
          <a:extLst>
            <a:ext uri="{FF2B5EF4-FFF2-40B4-BE49-F238E27FC236}">
              <a16:creationId xmlns:a16="http://schemas.microsoft.com/office/drawing/2014/main" id="{00000000-0008-0000-0000-0000DE020000}"/>
            </a:ext>
          </a:extLst>
        </xdr:cNvPr>
        <xdr:cNvSpPr>
          <a:spLocks noChangeShapeType="1"/>
        </xdr:cNvSpPr>
      </xdr:nvSpPr>
      <xdr:spPr bwMode="auto">
        <a:xfrm flipH="1">
          <a:off x="971550" y="808386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561975</xdr:colOff>
      <xdr:row>101</xdr:row>
      <xdr:rowOff>171450</xdr:rowOff>
    </xdr:from>
    <xdr:to>
      <xdr:col>3</xdr:col>
      <xdr:colOff>9525</xdr:colOff>
      <xdr:row>102</xdr:row>
      <xdr:rowOff>9525</xdr:rowOff>
    </xdr:to>
    <xdr:sp macro="" textlink="" fLocksText="0">
      <xdr:nvSpPr>
        <xdr:cNvPr id="735" name="Oval 832">
          <a:extLst>
            <a:ext uri="{FF2B5EF4-FFF2-40B4-BE49-F238E27FC236}">
              <a16:creationId xmlns:a16="http://schemas.microsoft.com/office/drawing/2014/main" id="{00000000-0008-0000-0000-0000DF020000}"/>
            </a:ext>
          </a:extLst>
        </xdr:cNvPr>
        <xdr:cNvSpPr>
          <a:spLocks noChangeArrowheads="1"/>
        </xdr:cNvSpPr>
      </xdr:nvSpPr>
      <xdr:spPr bwMode="auto">
        <a:xfrm>
          <a:off x="1943100" y="19592925"/>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400050</xdr:colOff>
      <xdr:row>356</xdr:row>
      <xdr:rowOff>8212</xdr:rowOff>
    </xdr:from>
    <xdr:to>
      <xdr:col>2</xdr:col>
      <xdr:colOff>428625</xdr:colOff>
      <xdr:row>356</xdr:row>
      <xdr:rowOff>36787</xdr:rowOff>
    </xdr:to>
    <xdr:sp macro="" textlink="" fLocksText="0">
      <xdr:nvSpPr>
        <xdr:cNvPr id="736" name="Oval 833">
          <a:extLst>
            <a:ext uri="{FF2B5EF4-FFF2-40B4-BE49-F238E27FC236}">
              <a16:creationId xmlns:a16="http://schemas.microsoft.com/office/drawing/2014/main" id="{00000000-0008-0000-0000-0000E0020000}"/>
            </a:ext>
          </a:extLst>
        </xdr:cNvPr>
        <xdr:cNvSpPr>
          <a:spLocks noChangeArrowheads="1"/>
        </xdr:cNvSpPr>
      </xdr:nvSpPr>
      <xdr:spPr bwMode="auto">
        <a:xfrm>
          <a:off x="1781175" y="68550112"/>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390525</xdr:colOff>
      <xdr:row>357</xdr:row>
      <xdr:rowOff>84411</xdr:rowOff>
    </xdr:from>
    <xdr:to>
      <xdr:col>2</xdr:col>
      <xdr:colOff>419100</xdr:colOff>
      <xdr:row>357</xdr:row>
      <xdr:rowOff>112986</xdr:rowOff>
    </xdr:to>
    <xdr:sp macro="" textlink="" fLocksText="0">
      <xdr:nvSpPr>
        <xdr:cNvPr id="737" name="Oval 834">
          <a:extLst>
            <a:ext uri="{FF2B5EF4-FFF2-40B4-BE49-F238E27FC236}">
              <a16:creationId xmlns:a16="http://schemas.microsoft.com/office/drawing/2014/main" id="{00000000-0008-0000-0000-0000E1020000}"/>
            </a:ext>
          </a:extLst>
        </xdr:cNvPr>
        <xdr:cNvSpPr>
          <a:spLocks noChangeArrowheads="1"/>
        </xdr:cNvSpPr>
      </xdr:nvSpPr>
      <xdr:spPr bwMode="auto">
        <a:xfrm>
          <a:off x="1771650" y="68816811"/>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123825</xdr:colOff>
      <xdr:row>357</xdr:row>
      <xdr:rowOff>160611</xdr:rowOff>
    </xdr:from>
    <xdr:to>
      <xdr:col>4</xdr:col>
      <xdr:colOff>152400</xdr:colOff>
      <xdr:row>357</xdr:row>
      <xdr:rowOff>184807</xdr:rowOff>
    </xdr:to>
    <xdr:sp macro="" textlink="" fLocksText="0">
      <xdr:nvSpPr>
        <xdr:cNvPr id="738" name="Oval 835">
          <a:extLst>
            <a:ext uri="{FF2B5EF4-FFF2-40B4-BE49-F238E27FC236}">
              <a16:creationId xmlns:a16="http://schemas.microsoft.com/office/drawing/2014/main" id="{00000000-0008-0000-0000-0000E2020000}"/>
            </a:ext>
          </a:extLst>
        </xdr:cNvPr>
        <xdr:cNvSpPr>
          <a:spLocks noChangeArrowheads="1"/>
        </xdr:cNvSpPr>
      </xdr:nvSpPr>
      <xdr:spPr bwMode="auto">
        <a:xfrm>
          <a:off x="2457450" y="68893011"/>
          <a:ext cx="28575" cy="24196"/>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238125</xdr:colOff>
      <xdr:row>387</xdr:row>
      <xdr:rowOff>116818</xdr:rowOff>
    </xdr:from>
    <xdr:to>
      <xdr:col>2</xdr:col>
      <xdr:colOff>266700</xdr:colOff>
      <xdr:row>387</xdr:row>
      <xdr:rowOff>145393</xdr:rowOff>
    </xdr:to>
    <xdr:sp macro="" textlink="" fLocksText="0">
      <xdr:nvSpPr>
        <xdr:cNvPr id="739" name="Oval 836">
          <a:extLst>
            <a:ext uri="{FF2B5EF4-FFF2-40B4-BE49-F238E27FC236}">
              <a16:creationId xmlns:a16="http://schemas.microsoft.com/office/drawing/2014/main" id="{00000000-0008-0000-0000-0000E3020000}"/>
            </a:ext>
          </a:extLst>
        </xdr:cNvPr>
        <xdr:cNvSpPr>
          <a:spLocks noChangeArrowheads="1"/>
        </xdr:cNvSpPr>
      </xdr:nvSpPr>
      <xdr:spPr bwMode="auto">
        <a:xfrm>
          <a:off x="1619250" y="7465946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238125</xdr:colOff>
      <xdr:row>389</xdr:row>
      <xdr:rowOff>59668</xdr:rowOff>
    </xdr:from>
    <xdr:to>
      <xdr:col>2</xdr:col>
      <xdr:colOff>266700</xdr:colOff>
      <xdr:row>389</xdr:row>
      <xdr:rowOff>88243</xdr:rowOff>
    </xdr:to>
    <xdr:sp macro="" textlink="" fLocksText="0">
      <xdr:nvSpPr>
        <xdr:cNvPr id="740" name="Oval 838">
          <a:extLst>
            <a:ext uri="{FF2B5EF4-FFF2-40B4-BE49-F238E27FC236}">
              <a16:creationId xmlns:a16="http://schemas.microsoft.com/office/drawing/2014/main" id="{00000000-0008-0000-0000-0000E4020000}"/>
            </a:ext>
          </a:extLst>
        </xdr:cNvPr>
        <xdr:cNvSpPr>
          <a:spLocks noChangeArrowheads="1"/>
        </xdr:cNvSpPr>
      </xdr:nvSpPr>
      <xdr:spPr bwMode="auto">
        <a:xfrm>
          <a:off x="1619250" y="7498331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47625</xdr:colOff>
      <xdr:row>236</xdr:row>
      <xdr:rowOff>143313</xdr:rowOff>
    </xdr:from>
    <xdr:to>
      <xdr:col>5</xdr:col>
      <xdr:colOff>76200</xdr:colOff>
      <xdr:row>236</xdr:row>
      <xdr:rowOff>171888</xdr:rowOff>
    </xdr:to>
    <xdr:sp macro="" textlink="" fLocksText="0">
      <xdr:nvSpPr>
        <xdr:cNvPr id="741" name="Oval 839">
          <a:extLst>
            <a:ext uri="{FF2B5EF4-FFF2-40B4-BE49-F238E27FC236}">
              <a16:creationId xmlns:a16="http://schemas.microsoft.com/office/drawing/2014/main" id="{00000000-0008-0000-0000-0000E5020000}"/>
            </a:ext>
          </a:extLst>
        </xdr:cNvPr>
        <xdr:cNvSpPr>
          <a:spLocks noChangeArrowheads="1"/>
        </xdr:cNvSpPr>
      </xdr:nvSpPr>
      <xdr:spPr bwMode="auto">
        <a:xfrm>
          <a:off x="2705100" y="4566328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180975</xdr:colOff>
      <xdr:row>236</xdr:row>
      <xdr:rowOff>19488</xdr:rowOff>
    </xdr:from>
    <xdr:to>
      <xdr:col>3</xdr:col>
      <xdr:colOff>209550</xdr:colOff>
      <xdr:row>236</xdr:row>
      <xdr:rowOff>48063</xdr:rowOff>
    </xdr:to>
    <xdr:sp macro="" textlink="" fLocksText="0">
      <xdr:nvSpPr>
        <xdr:cNvPr id="742" name="Oval 840">
          <a:extLst>
            <a:ext uri="{FF2B5EF4-FFF2-40B4-BE49-F238E27FC236}">
              <a16:creationId xmlns:a16="http://schemas.microsoft.com/office/drawing/2014/main" id="{00000000-0008-0000-0000-0000E6020000}"/>
            </a:ext>
          </a:extLst>
        </xdr:cNvPr>
        <xdr:cNvSpPr>
          <a:spLocks noChangeArrowheads="1"/>
        </xdr:cNvSpPr>
      </xdr:nvSpPr>
      <xdr:spPr bwMode="auto">
        <a:xfrm>
          <a:off x="2143125" y="45539463"/>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504825</xdr:colOff>
      <xdr:row>236</xdr:row>
      <xdr:rowOff>143313</xdr:rowOff>
    </xdr:from>
    <xdr:to>
      <xdr:col>2</xdr:col>
      <xdr:colOff>533400</xdr:colOff>
      <xdr:row>236</xdr:row>
      <xdr:rowOff>171888</xdr:rowOff>
    </xdr:to>
    <xdr:sp macro="" textlink="" fLocksText="0">
      <xdr:nvSpPr>
        <xdr:cNvPr id="743" name="Oval 841">
          <a:extLst>
            <a:ext uri="{FF2B5EF4-FFF2-40B4-BE49-F238E27FC236}">
              <a16:creationId xmlns:a16="http://schemas.microsoft.com/office/drawing/2014/main" id="{00000000-0008-0000-0000-0000E7020000}"/>
            </a:ext>
          </a:extLst>
        </xdr:cNvPr>
        <xdr:cNvSpPr>
          <a:spLocks noChangeArrowheads="1"/>
        </xdr:cNvSpPr>
      </xdr:nvSpPr>
      <xdr:spPr bwMode="auto">
        <a:xfrm>
          <a:off x="1885950" y="4566328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0</xdr:colOff>
      <xdr:row>256</xdr:row>
      <xdr:rowOff>174296</xdr:rowOff>
    </xdr:from>
    <xdr:to>
      <xdr:col>4</xdr:col>
      <xdr:colOff>28575</xdr:colOff>
      <xdr:row>257</xdr:row>
      <xdr:rowOff>15656</xdr:rowOff>
    </xdr:to>
    <xdr:sp macro="" textlink="" fLocksText="0">
      <xdr:nvSpPr>
        <xdr:cNvPr id="744" name="Oval 842">
          <a:extLst>
            <a:ext uri="{FF2B5EF4-FFF2-40B4-BE49-F238E27FC236}">
              <a16:creationId xmlns:a16="http://schemas.microsoft.com/office/drawing/2014/main" id="{00000000-0008-0000-0000-0000E8020000}"/>
            </a:ext>
          </a:extLst>
        </xdr:cNvPr>
        <xdr:cNvSpPr>
          <a:spLocks noChangeArrowheads="1"/>
        </xdr:cNvSpPr>
      </xdr:nvSpPr>
      <xdr:spPr bwMode="auto">
        <a:xfrm>
          <a:off x="2333625" y="49561421"/>
          <a:ext cx="28575" cy="4138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257</xdr:row>
      <xdr:rowOff>174296</xdr:rowOff>
    </xdr:from>
    <xdr:to>
      <xdr:col>5</xdr:col>
      <xdr:colOff>123825</xdr:colOff>
      <xdr:row>258</xdr:row>
      <xdr:rowOff>5748</xdr:rowOff>
    </xdr:to>
    <xdr:sp macro="" textlink="" fLocksText="0">
      <xdr:nvSpPr>
        <xdr:cNvPr id="745" name="Oval 843">
          <a:extLst>
            <a:ext uri="{FF2B5EF4-FFF2-40B4-BE49-F238E27FC236}">
              <a16:creationId xmlns:a16="http://schemas.microsoft.com/office/drawing/2014/main" id="{00000000-0008-0000-0000-0000E9020000}"/>
            </a:ext>
          </a:extLst>
        </xdr:cNvPr>
        <xdr:cNvSpPr>
          <a:spLocks noChangeArrowheads="1"/>
        </xdr:cNvSpPr>
      </xdr:nvSpPr>
      <xdr:spPr bwMode="auto">
        <a:xfrm>
          <a:off x="2752725" y="49761446"/>
          <a:ext cx="28575" cy="21952"/>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238125</xdr:colOff>
      <xdr:row>259</xdr:row>
      <xdr:rowOff>175720</xdr:rowOff>
    </xdr:from>
    <xdr:to>
      <xdr:col>3</xdr:col>
      <xdr:colOff>266700</xdr:colOff>
      <xdr:row>260</xdr:row>
      <xdr:rowOff>13795</xdr:rowOff>
    </xdr:to>
    <xdr:sp macro="" textlink="" fLocksText="0">
      <xdr:nvSpPr>
        <xdr:cNvPr id="746" name="Oval 845">
          <a:extLst>
            <a:ext uri="{FF2B5EF4-FFF2-40B4-BE49-F238E27FC236}">
              <a16:creationId xmlns:a16="http://schemas.microsoft.com/office/drawing/2014/main" id="{00000000-0008-0000-0000-0000EA020000}"/>
            </a:ext>
          </a:extLst>
        </xdr:cNvPr>
        <xdr:cNvSpPr>
          <a:spLocks noChangeArrowheads="1"/>
        </xdr:cNvSpPr>
      </xdr:nvSpPr>
      <xdr:spPr bwMode="auto">
        <a:xfrm>
          <a:off x="2200275" y="50143870"/>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381000</xdr:colOff>
          <xdr:row>7</xdr:row>
          <xdr:rowOff>76200</xdr:rowOff>
        </xdr:from>
        <xdr:to>
          <xdr:col>13</xdr:col>
          <xdr:colOff>104775</xdr:colOff>
          <xdr:row>10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fra UdskriftsarkA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472</xdr:row>
          <xdr:rowOff>95250</xdr:rowOff>
        </xdr:from>
        <xdr:to>
          <xdr:col>5</xdr:col>
          <xdr:colOff>495300</xdr:colOff>
          <xdr:row>474</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38100</xdr:rowOff>
        </xdr:from>
        <xdr:to>
          <xdr:col>0</xdr:col>
          <xdr:colOff>219075</xdr:colOff>
          <xdr:row>1</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117</xdr:row>
          <xdr:rowOff>47625</xdr:rowOff>
        </xdr:from>
        <xdr:to>
          <xdr:col>12</xdr:col>
          <xdr:colOff>819150</xdr:colOff>
          <xdr:row>118</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sæt 30mm"luft"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118</xdr:row>
          <xdr:rowOff>76200</xdr:rowOff>
        </xdr:from>
        <xdr:to>
          <xdr:col>0</xdr:col>
          <xdr:colOff>1066800</xdr:colOff>
          <xdr:row>119</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mål op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127</xdr:row>
          <xdr:rowOff>9525</xdr:rowOff>
        </xdr:from>
        <xdr:to>
          <xdr:col>13</xdr:col>
          <xdr:colOff>666750</xdr:colOff>
          <xdr:row>128</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rustfri dorn</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97</xdr:row>
          <xdr:rowOff>38100</xdr:rowOff>
        </xdr:from>
        <xdr:to>
          <xdr:col>7</xdr:col>
          <xdr:colOff>609600</xdr:colOff>
          <xdr:row>97</xdr:row>
          <xdr:rowOff>142875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98</xdr:row>
          <xdr:rowOff>28575</xdr:rowOff>
        </xdr:from>
        <xdr:to>
          <xdr:col>7</xdr:col>
          <xdr:colOff>609600</xdr:colOff>
          <xdr:row>98</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234</xdr:row>
          <xdr:rowOff>85725</xdr:rowOff>
        </xdr:from>
        <xdr:to>
          <xdr:col>7</xdr:col>
          <xdr:colOff>600075</xdr:colOff>
          <xdr:row>235</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495300</xdr:colOff>
          <xdr:row>235</xdr:row>
          <xdr:rowOff>85725</xdr:rowOff>
        </xdr:from>
        <xdr:to>
          <xdr:col>7</xdr:col>
          <xdr:colOff>600075</xdr:colOff>
          <xdr:row>236</xdr:row>
          <xdr:rowOff>9525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237</xdr:row>
          <xdr:rowOff>66675</xdr:rowOff>
        </xdr:from>
        <xdr:to>
          <xdr:col>7</xdr:col>
          <xdr:colOff>590550</xdr:colOff>
          <xdr:row>237</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238</xdr:row>
          <xdr:rowOff>76200</xdr:rowOff>
        </xdr:from>
        <xdr:to>
          <xdr:col>7</xdr:col>
          <xdr:colOff>590550</xdr:colOff>
          <xdr:row>239</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253</xdr:row>
          <xdr:rowOff>76200</xdr:rowOff>
        </xdr:from>
        <xdr:to>
          <xdr:col>7</xdr:col>
          <xdr:colOff>590550</xdr:colOff>
          <xdr:row>254</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254</xdr:row>
          <xdr:rowOff>76200</xdr:rowOff>
        </xdr:from>
        <xdr:to>
          <xdr:col>7</xdr:col>
          <xdr:colOff>590550</xdr:colOff>
          <xdr:row>255</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256</xdr:row>
          <xdr:rowOff>66675</xdr:rowOff>
        </xdr:from>
        <xdr:to>
          <xdr:col>7</xdr:col>
          <xdr:colOff>590550</xdr:colOff>
          <xdr:row>256</xdr:row>
          <xdr:rowOff>152400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240</xdr:row>
          <xdr:rowOff>47625</xdr:rowOff>
        </xdr:from>
        <xdr:to>
          <xdr:col>5</xdr:col>
          <xdr:colOff>676275</xdr:colOff>
          <xdr:row>240</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261</xdr:row>
          <xdr:rowOff>28575</xdr:rowOff>
        </xdr:from>
        <xdr:to>
          <xdr:col>5</xdr:col>
          <xdr:colOff>685800</xdr:colOff>
          <xdr:row>261</xdr:row>
          <xdr:rowOff>142875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101</xdr:row>
          <xdr:rowOff>28575</xdr:rowOff>
        </xdr:from>
        <xdr:to>
          <xdr:col>5</xdr:col>
          <xdr:colOff>695325</xdr:colOff>
          <xdr:row>101</xdr:row>
          <xdr:rowOff>142875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127</xdr:row>
          <xdr:rowOff>38100</xdr:rowOff>
        </xdr:from>
        <xdr:to>
          <xdr:col>14</xdr:col>
          <xdr:colOff>200025</xdr:colOff>
          <xdr:row>127</xdr:row>
          <xdr:rowOff>142875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20</xdr:col>
          <xdr:colOff>495300</xdr:colOff>
          <xdr:row>69</xdr:row>
          <xdr:rowOff>38100</xdr:rowOff>
        </xdr:from>
        <xdr:to>
          <xdr:col>20</xdr:col>
          <xdr:colOff>609600</xdr:colOff>
          <xdr:row>69</xdr:row>
          <xdr:rowOff>142875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20</xdr:col>
          <xdr:colOff>495300</xdr:colOff>
          <xdr:row>74</xdr:row>
          <xdr:rowOff>38100</xdr:rowOff>
        </xdr:from>
        <xdr:to>
          <xdr:col>20</xdr:col>
          <xdr:colOff>609600</xdr:colOff>
          <xdr:row>74</xdr:row>
          <xdr:rowOff>152400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20</xdr:col>
          <xdr:colOff>495300</xdr:colOff>
          <xdr:row>79</xdr:row>
          <xdr:rowOff>38100</xdr:rowOff>
        </xdr:from>
        <xdr:to>
          <xdr:col>20</xdr:col>
          <xdr:colOff>609600</xdr:colOff>
          <xdr:row>79</xdr:row>
          <xdr:rowOff>142875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20</xdr:col>
          <xdr:colOff>495300</xdr:colOff>
          <xdr:row>84</xdr:row>
          <xdr:rowOff>38100</xdr:rowOff>
        </xdr:from>
        <xdr:to>
          <xdr:col>20</xdr:col>
          <xdr:colOff>609600</xdr:colOff>
          <xdr:row>84</xdr:row>
          <xdr:rowOff>142875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143</xdr:row>
          <xdr:rowOff>38100</xdr:rowOff>
        </xdr:from>
        <xdr:to>
          <xdr:col>22</xdr:col>
          <xdr:colOff>609600</xdr:colOff>
          <xdr:row>143</xdr:row>
          <xdr:rowOff>142875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106</xdr:row>
          <xdr:rowOff>38100</xdr:rowOff>
        </xdr:from>
        <xdr:to>
          <xdr:col>22</xdr:col>
          <xdr:colOff>609600</xdr:colOff>
          <xdr:row>106</xdr:row>
          <xdr:rowOff>142875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771525</xdr:colOff>
          <xdr:row>45</xdr:row>
          <xdr:rowOff>38100</xdr:rowOff>
        </xdr:from>
        <xdr:to>
          <xdr:col>15</xdr:col>
          <xdr:colOff>742950</xdr:colOff>
          <xdr:row>46</xdr:row>
          <xdr:rowOff>66675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bredde af (f) venstre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12</xdr:col>
          <xdr:colOff>781050</xdr:colOff>
          <xdr:row>46</xdr:row>
          <xdr:rowOff>123825</xdr:rowOff>
        </xdr:from>
        <xdr:to>
          <xdr:col>15</xdr:col>
          <xdr:colOff>752475</xdr:colOff>
          <xdr:row>47</xdr:row>
          <xdr:rowOff>142875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bredde af (f) højre</a:t>
              </a:r>
            </a:p>
          </xdr:txBody>
        </xdr:sp>
        <xdr:clientData fLocksWithSheet="0"/>
      </xdr:twoCellAnchor>
    </mc:Choice>
    <mc:Fallback/>
  </mc:AlternateContent>
  <xdr:twoCellAnchor editAs="oneCell">
    <xdr:from>
      <xdr:col>0</xdr:col>
      <xdr:colOff>466725</xdr:colOff>
      <xdr:row>0</xdr:row>
      <xdr:rowOff>104775</xdr:rowOff>
    </xdr:from>
    <xdr:to>
      <xdr:col>0</xdr:col>
      <xdr:colOff>1076325</xdr:colOff>
      <xdr:row>3</xdr:row>
      <xdr:rowOff>114300</xdr:rowOff>
    </xdr:to>
    <xdr:pic>
      <xdr:nvPicPr>
        <xdr:cNvPr id="774" name="Picture 197" descr="CRH_office_pantone">
          <a:extLst>
            <a:ext uri="{FF2B5EF4-FFF2-40B4-BE49-F238E27FC236}">
              <a16:creationId xmlns:a16="http://schemas.microsoft.com/office/drawing/2014/main" id="{00000000-0008-0000-0000-00000603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381000</xdr:colOff>
          <xdr:row>10</xdr:row>
          <xdr:rowOff>104775</xdr:rowOff>
        </xdr:from>
        <xdr:to>
          <xdr:col>13</xdr:col>
          <xdr:colOff>95250</xdr:colOff>
          <xdr:row>13</xdr:row>
          <xdr:rowOff>19050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 udskriftsark A</a:t>
              </a:r>
            </a:p>
          </xdr:txBody>
        </xdr:sp>
        <xdr:clientData fLocksWithSheet="0" fPrintsWithSheet="0"/>
      </xdr:twoCellAnchor>
    </mc:Choice>
    <mc:Fallback/>
  </mc:AlternateContent>
  <xdr:twoCellAnchor>
    <xdr:from>
      <xdr:col>2</xdr:col>
      <xdr:colOff>552450</xdr:colOff>
      <xdr:row>292</xdr:row>
      <xdr:rowOff>161925</xdr:rowOff>
    </xdr:from>
    <xdr:to>
      <xdr:col>5</xdr:col>
      <xdr:colOff>609600</xdr:colOff>
      <xdr:row>296</xdr:row>
      <xdr:rowOff>47625</xdr:rowOff>
    </xdr:to>
    <xdr:sp macro="" textlink="">
      <xdr:nvSpPr>
        <xdr:cNvPr id="776" name="Tegning 308">
          <a:extLst>
            <a:ext uri="{FF2B5EF4-FFF2-40B4-BE49-F238E27FC236}">
              <a16:creationId xmlns:a16="http://schemas.microsoft.com/office/drawing/2014/main" id="{00000000-0008-0000-0000-000008030000}"/>
            </a:ext>
          </a:extLst>
        </xdr:cNvPr>
        <xdr:cNvSpPr>
          <a:spLocks/>
        </xdr:cNvSpPr>
      </xdr:nvSpPr>
      <xdr:spPr bwMode="auto">
        <a:xfrm>
          <a:off x="1933575" y="56454675"/>
          <a:ext cx="133350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293</xdr:row>
      <xdr:rowOff>209550</xdr:rowOff>
    </xdr:from>
    <xdr:to>
      <xdr:col>3</xdr:col>
      <xdr:colOff>0</xdr:colOff>
      <xdr:row>294</xdr:row>
      <xdr:rowOff>142875</xdr:rowOff>
    </xdr:to>
    <xdr:sp macro="" textlink="">
      <xdr:nvSpPr>
        <xdr:cNvPr id="777" name="Tegning 309">
          <a:extLst>
            <a:ext uri="{FF2B5EF4-FFF2-40B4-BE49-F238E27FC236}">
              <a16:creationId xmlns:a16="http://schemas.microsoft.com/office/drawing/2014/main" id="{00000000-0008-0000-0000-000009030000}"/>
            </a:ext>
          </a:extLst>
        </xdr:cNvPr>
        <xdr:cNvSpPr>
          <a:spLocks/>
        </xdr:cNvSpPr>
      </xdr:nvSpPr>
      <xdr:spPr bwMode="auto">
        <a:xfrm>
          <a:off x="1476375" y="56673750"/>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293</xdr:row>
      <xdr:rowOff>209550</xdr:rowOff>
    </xdr:from>
    <xdr:to>
      <xdr:col>5</xdr:col>
      <xdr:colOff>209550</xdr:colOff>
      <xdr:row>294</xdr:row>
      <xdr:rowOff>142875</xdr:rowOff>
    </xdr:to>
    <xdr:sp macro="" textlink="">
      <xdr:nvSpPr>
        <xdr:cNvPr id="778" name="Tegning 310">
          <a:extLst>
            <a:ext uri="{FF2B5EF4-FFF2-40B4-BE49-F238E27FC236}">
              <a16:creationId xmlns:a16="http://schemas.microsoft.com/office/drawing/2014/main" id="{00000000-0008-0000-0000-00000A030000}"/>
            </a:ext>
          </a:extLst>
        </xdr:cNvPr>
        <xdr:cNvSpPr>
          <a:spLocks/>
        </xdr:cNvSpPr>
      </xdr:nvSpPr>
      <xdr:spPr bwMode="auto">
        <a:xfrm>
          <a:off x="1962150" y="56673750"/>
          <a:ext cx="904875"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291</xdr:row>
      <xdr:rowOff>171450</xdr:rowOff>
    </xdr:from>
    <xdr:to>
      <xdr:col>3</xdr:col>
      <xdr:colOff>257175</xdr:colOff>
      <xdr:row>293</xdr:row>
      <xdr:rowOff>180975</xdr:rowOff>
    </xdr:to>
    <xdr:sp macro="" textlink="">
      <xdr:nvSpPr>
        <xdr:cNvPr id="779" name="Tegning 311">
          <a:extLst>
            <a:ext uri="{FF2B5EF4-FFF2-40B4-BE49-F238E27FC236}">
              <a16:creationId xmlns:a16="http://schemas.microsoft.com/office/drawing/2014/main" id="{00000000-0008-0000-0000-00000B030000}"/>
            </a:ext>
          </a:extLst>
        </xdr:cNvPr>
        <xdr:cNvSpPr>
          <a:spLocks/>
        </xdr:cNvSpPr>
      </xdr:nvSpPr>
      <xdr:spPr bwMode="auto">
        <a:xfrm>
          <a:off x="1924050" y="56273700"/>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294</xdr:row>
      <xdr:rowOff>152400</xdr:rowOff>
    </xdr:from>
    <xdr:to>
      <xdr:col>2</xdr:col>
      <xdr:colOff>381000</xdr:colOff>
      <xdr:row>296</xdr:row>
      <xdr:rowOff>152400</xdr:rowOff>
    </xdr:to>
    <xdr:sp macro="" textlink="">
      <xdr:nvSpPr>
        <xdr:cNvPr id="780" name="Tegning 312">
          <a:extLst>
            <a:ext uri="{FF2B5EF4-FFF2-40B4-BE49-F238E27FC236}">
              <a16:creationId xmlns:a16="http://schemas.microsoft.com/office/drawing/2014/main" id="{00000000-0008-0000-0000-00000C030000}"/>
            </a:ext>
          </a:extLst>
        </xdr:cNvPr>
        <xdr:cNvSpPr>
          <a:spLocks/>
        </xdr:cNvSpPr>
      </xdr:nvSpPr>
      <xdr:spPr bwMode="auto">
        <a:xfrm>
          <a:off x="1543050" y="568261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294</xdr:row>
      <xdr:rowOff>142875</xdr:rowOff>
    </xdr:from>
    <xdr:to>
      <xdr:col>5</xdr:col>
      <xdr:colOff>209550</xdr:colOff>
      <xdr:row>294</xdr:row>
      <xdr:rowOff>142875</xdr:rowOff>
    </xdr:to>
    <xdr:sp macro="" textlink="">
      <xdr:nvSpPr>
        <xdr:cNvPr id="781" name="Line 1657">
          <a:extLst>
            <a:ext uri="{FF2B5EF4-FFF2-40B4-BE49-F238E27FC236}">
              <a16:creationId xmlns:a16="http://schemas.microsoft.com/office/drawing/2014/main" id="{00000000-0008-0000-0000-00000D030000}"/>
            </a:ext>
          </a:extLst>
        </xdr:cNvPr>
        <xdr:cNvSpPr>
          <a:spLocks noChangeShapeType="1"/>
        </xdr:cNvSpPr>
      </xdr:nvSpPr>
      <xdr:spPr bwMode="auto">
        <a:xfrm>
          <a:off x="2705100" y="56816625"/>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294</xdr:row>
      <xdr:rowOff>171450</xdr:rowOff>
    </xdr:from>
    <xdr:to>
      <xdr:col>5</xdr:col>
      <xdr:colOff>47625</xdr:colOff>
      <xdr:row>296</xdr:row>
      <xdr:rowOff>28575</xdr:rowOff>
    </xdr:to>
    <xdr:sp macro="" textlink="">
      <xdr:nvSpPr>
        <xdr:cNvPr id="782" name="Line 1658">
          <a:extLst>
            <a:ext uri="{FF2B5EF4-FFF2-40B4-BE49-F238E27FC236}">
              <a16:creationId xmlns:a16="http://schemas.microsoft.com/office/drawing/2014/main" id="{00000000-0008-0000-0000-00000E030000}"/>
            </a:ext>
          </a:extLst>
        </xdr:cNvPr>
        <xdr:cNvSpPr>
          <a:spLocks noChangeShapeType="1"/>
        </xdr:cNvSpPr>
      </xdr:nvSpPr>
      <xdr:spPr bwMode="auto">
        <a:xfrm flipH="1">
          <a:off x="2438400" y="56845200"/>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294</xdr:row>
      <xdr:rowOff>171450</xdr:rowOff>
    </xdr:from>
    <xdr:to>
      <xdr:col>5</xdr:col>
      <xdr:colOff>447675</xdr:colOff>
      <xdr:row>296</xdr:row>
      <xdr:rowOff>0</xdr:rowOff>
    </xdr:to>
    <xdr:sp macro="" textlink="">
      <xdr:nvSpPr>
        <xdr:cNvPr id="783" name="Line 1659">
          <a:extLst>
            <a:ext uri="{FF2B5EF4-FFF2-40B4-BE49-F238E27FC236}">
              <a16:creationId xmlns:a16="http://schemas.microsoft.com/office/drawing/2014/main" id="{00000000-0008-0000-0000-00000F030000}"/>
            </a:ext>
          </a:extLst>
        </xdr:cNvPr>
        <xdr:cNvSpPr>
          <a:spLocks noChangeShapeType="1"/>
        </xdr:cNvSpPr>
      </xdr:nvSpPr>
      <xdr:spPr bwMode="auto">
        <a:xfrm>
          <a:off x="2895600" y="56845200"/>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294</xdr:row>
      <xdr:rowOff>152400</xdr:rowOff>
    </xdr:from>
    <xdr:to>
      <xdr:col>5</xdr:col>
      <xdr:colOff>247650</xdr:colOff>
      <xdr:row>296</xdr:row>
      <xdr:rowOff>104775</xdr:rowOff>
    </xdr:to>
    <xdr:sp macro="" textlink="">
      <xdr:nvSpPr>
        <xdr:cNvPr id="784" name="Tegning 316">
          <a:extLst>
            <a:ext uri="{FF2B5EF4-FFF2-40B4-BE49-F238E27FC236}">
              <a16:creationId xmlns:a16="http://schemas.microsoft.com/office/drawing/2014/main" id="{00000000-0008-0000-0000-000010030000}"/>
            </a:ext>
          </a:extLst>
        </xdr:cNvPr>
        <xdr:cNvSpPr>
          <a:spLocks/>
        </xdr:cNvSpPr>
      </xdr:nvSpPr>
      <xdr:spPr bwMode="auto">
        <a:xfrm>
          <a:off x="2667000" y="5682615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299</xdr:row>
      <xdr:rowOff>47625</xdr:rowOff>
    </xdr:from>
    <xdr:to>
      <xdr:col>5</xdr:col>
      <xdr:colOff>47625</xdr:colOff>
      <xdr:row>300</xdr:row>
      <xdr:rowOff>142875</xdr:rowOff>
    </xdr:to>
    <xdr:sp macro="" textlink="">
      <xdr:nvSpPr>
        <xdr:cNvPr id="785" name="Line 1661">
          <a:extLst>
            <a:ext uri="{FF2B5EF4-FFF2-40B4-BE49-F238E27FC236}">
              <a16:creationId xmlns:a16="http://schemas.microsoft.com/office/drawing/2014/main" id="{00000000-0008-0000-0000-000011030000}"/>
            </a:ext>
          </a:extLst>
        </xdr:cNvPr>
        <xdr:cNvSpPr>
          <a:spLocks noChangeShapeType="1"/>
        </xdr:cNvSpPr>
      </xdr:nvSpPr>
      <xdr:spPr bwMode="auto">
        <a:xfrm flipV="1">
          <a:off x="2705100" y="576738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299</xdr:row>
      <xdr:rowOff>85725</xdr:rowOff>
    </xdr:from>
    <xdr:to>
      <xdr:col>5</xdr:col>
      <xdr:colOff>276225</xdr:colOff>
      <xdr:row>299</xdr:row>
      <xdr:rowOff>85725</xdr:rowOff>
    </xdr:to>
    <xdr:sp macro="" textlink="">
      <xdr:nvSpPr>
        <xdr:cNvPr id="786" name="Line 1662">
          <a:extLst>
            <a:ext uri="{FF2B5EF4-FFF2-40B4-BE49-F238E27FC236}">
              <a16:creationId xmlns:a16="http://schemas.microsoft.com/office/drawing/2014/main" id="{00000000-0008-0000-0000-000012030000}"/>
            </a:ext>
          </a:extLst>
        </xdr:cNvPr>
        <xdr:cNvSpPr>
          <a:spLocks noChangeShapeType="1"/>
        </xdr:cNvSpPr>
      </xdr:nvSpPr>
      <xdr:spPr bwMode="auto">
        <a:xfrm>
          <a:off x="2686050" y="57711975"/>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299</xdr:row>
      <xdr:rowOff>47625</xdr:rowOff>
    </xdr:from>
    <xdr:to>
      <xdr:col>5</xdr:col>
      <xdr:colOff>95250</xdr:colOff>
      <xdr:row>299</xdr:row>
      <xdr:rowOff>123825</xdr:rowOff>
    </xdr:to>
    <xdr:sp macro="" textlink="">
      <xdr:nvSpPr>
        <xdr:cNvPr id="787" name="Line 1663">
          <a:extLst>
            <a:ext uri="{FF2B5EF4-FFF2-40B4-BE49-F238E27FC236}">
              <a16:creationId xmlns:a16="http://schemas.microsoft.com/office/drawing/2014/main" id="{00000000-0008-0000-0000-000013030000}"/>
            </a:ext>
          </a:extLst>
        </xdr:cNvPr>
        <xdr:cNvSpPr>
          <a:spLocks noChangeShapeType="1"/>
        </xdr:cNvSpPr>
      </xdr:nvSpPr>
      <xdr:spPr bwMode="auto">
        <a:xfrm flipV="1">
          <a:off x="2657475" y="5767387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299</xdr:row>
      <xdr:rowOff>57150</xdr:rowOff>
    </xdr:from>
    <xdr:to>
      <xdr:col>5</xdr:col>
      <xdr:colOff>257175</xdr:colOff>
      <xdr:row>299</xdr:row>
      <xdr:rowOff>123825</xdr:rowOff>
    </xdr:to>
    <xdr:sp macro="" textlink="">
      <xdr:nvSpPr>
        <xdr:cNvPr id="788" name="Line 1664">
          <a:extLst>
            <a:ext uri="{FF2B5EF4-FFF2-40B4-BE49-F238E27FC236}">
              <a16:creationId xmlns:a16="http://schemas.microsoft.com/office/drawing/2014/main" id="{00000000-0008-0000-0000-000014030000}"/>
            </a:ext>
          </a:extLst>
        </xdr:cNvPr>
        <xdr:cNvSpPr>
          <a:spLocks noChangeShapeType="1"/>
        </xdr:cNvSpPr>
      </xdr:nvSpPr>
      <xdr:spPr bwMode="auto">
        <a:xfrm flipH="1">
          <a:off x="2838450" y="576834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300</xdr:row>
      <xdr:rowOff>180975</xdr:rowOff>
    </xdr:from>
    <xdr:to>
      <xdr:col>5</xdr:col>
      <xdr:colOff>228600</xdr:colOff>
      <xdr:row>302</xdr:row>
      <xdr:rowOff>0</xdr:rowOff>
    </xdr:to>
    <xdr:sp macro="" textlink="">
      <xdr:nvSpPr>
        <xdr:cNvPr id="789" name="Rectangle 1665">
          <a:extLst>
            <a:ext uri="{FF2B5EF4-FFF2-40B4-BE49-F238E27FC236}">
              <a16:creationId xmlns:a16="http://schemas.microsoft.com/office/drawing/2014/main" id="{00000000-0008-0000-0000-000015030000}"/>
            </a:ext>
          </a:extLst>
        </xdr:cNvPr>
        <xdr:cNvSpPr>
          <a:spLocks noChangeArrowheads="1"/>
        </xdr:cNvSpPr>
      </xdr:nvSpPr>
      <xdr:spPr bwMode="auto">
        <a:xfrm>
          <a:off x="2705100" y="57997725"/>
          <a:ext cx="180975" cy="209550"/>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300</xdr:row>
      <xdr:rowOff>114300</xdr:rowOff>
    </xdr:from>
    <xdr:to>
      <xdr:col>4</xdr:col>
      <xdr:colOff>152400</xdr:colOff>
      <xdr:row>302</xdr:row>
      <xdr:rowOff>38100</xdr:rowOff>
    </xdr:to>
    <xdr:sp macro="" textlink="">
      <xdr:nvSpPr>
        <xdr:cNvPr id="790" name="Line 1666">
          <a:extLst>
            <a:ext uri="{FF2B5EF4-FFF2-40B4-BE49-F238E27FC236}">
              <a16:creationId xmlns:a16="http://schemas.microsoft.com/office/drawing/2014/main" id="{00000000-0008-0000-0000-000016030000}"/>
            </a:ext>
          </a:extLst>
        </xdr:cNvPr>
        <xdr:cNvSpPr>
          <a:spLocks noChangeShapeType="1"/>
        </xdr:cNvSpPr>
      </xdr:nvSpPr>
      <xdr:spPr bwMode="auto">
        <a:xfrm>
          <a:off x="2486025" y="57931050"/>
          <a:ext cx="0" cy="3143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300</xdr:row>
      <xdr:rowOff>133350</xdr:rowOff>
    </xdr:from>
    <xdr:to>
      <xdr:col>5</xdr:col>
      <xdr:colOff>438150</xdr:colOff>
      <xdr:row>302</xdr:row>
      <xdr:rowOff>85725</xdr:rowOff>
    </xdr:to>
    <xdr:sp macro="" textlink="">
      <xdr:nvSpPr>
        <xdr:cNvPr id="791" name="Line 1667">
          <a:extLst>
            <a:ext uri="{FF2B5EF4-FFF2-40B4-BE49-F238E27FC236}">
              <a16:creationId xmlns:a16="http://schemas.microsoft.com/office/drawing/2014/main" id="{00000000-0008-0000-0000-000017030000}"/>
            </a:ext>
          </a:extLst>
        </xdr:cNvPr>
        <xdr:cNvSpPr>
          <a:spLocks noChangeShapeType="1"/>
        </xdr:cNvSpPr>
      </xdr:nvSpPr>
      <xdr:spPr bwMode="auto">
        <a:xfrm>
          <a:off x="3095625" y="579501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299</xdr:row>
      <xdr:rowOff>180975</xdr:rowOff>
    </xdr:from>
    <xdr:to>
      <xdr:col>5</xdr:col>
      <xdr:colOff>0</xdr:colOff>
      <xdr:row>300</xdr:row>
      <xdr:rowOff>123825</xdr:rowOff>
    </xdr:to>
    <xdr:sp macro="" textlink="">
      <xdr:nvSpPr>
        <xdr:cNvPr id="792" name="Arc 1668">
          <a:extLst>
            <a:ext uri="{FF2B5EF4-FFF2-40B4-BE49-F238E27FC236}">
              <a16:creationId xmlns:a16="http://schemas.microsoft.com/office/drawing/2014/main" id="{00000000-0008-0000-0000-000018030000}"/>
            </a:ext>
          </a:extLst>
        </xdr:cNvPr>
        <xdr:cNvSpPr>
          <a:spLocks/>
        </xdr:cNvSpPr>
      </xdr:nvSpPr>
      <xdr:spPr bwMode="auto">
        <a:xfrm flipH="1">
          <a:off x="2486025" y="57807225"/>
          <a:ext cx="171450" cy="133350"/>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299</xdr:row>
      <xdr:rowOff>180975</xdr:rowOff>
    </xdr:from>
    <xdr:to>
      <xdr:col>5</xdr:col>
      <xdr:colOff>438150</xdr:colOff>
      <xdr:row>301</xdr:row>
      <xdr:rowOff>19050</xdr:rowOff>
    </xdr:to>
    <xdr:sp macro="" textlink="">
      <xdr:nvSpPr>
        <xdr:cNvPr id="793" name="Arc 1669">
          <a:extLst>
            <a:ext uri="{FF2B5EF4-FFF2-40B4-BE49-F238E27FC236}">
              <a16:creationId xmlns:a16="http://schemas.microsoft.com/office/drawing/2014/main" id="{00000000-0008-0000-0000-000019030000}"/>
            </a:ext>
          </a:extLst>
        </xdr:cNvPr>
        <xdr:cNvSpPr>
          <a:spLocks/>
        </xdr:cNvSpPr>
      </xdr:nvSpPr>
      <xdr:spPr bwMode="auto">
        <a:xfrm>
          <a:off x="2924175" y="57807225"/>
          <a:ext cx="171450" cy="228600"/>
        </a:xfrm>
        <a:custGeom>
          <a:avLst/>
          <a:gdLst>
            <a:gd name="T0" fmla="*/ 0 w 19492"/>
            <a:gd name="T1" fmla="*/ 0 h 21600"/>
            <a:gd name="T2" fmla="*/ 2147483646 w 19492"/>
            <a:gd name="T3" fmla="*/ 2147483646 h 21600"/>
            <a:gd name="T4" fmla="*/ 0 w 19492"/>
            <a:gd name="T5" fmla="*/ 2147483646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299</xdr:row>
      <xdr:rowOff>180975</xdr:rowOff>
    </xdr:from>
    <xdr:to>
      <xdr:col>5</xdr:col>
      <xdr:colOff>266700</xdr:colOff>
      <xdr:row>299</xdr:row>
      <xdr:rowOff>180975</xdr:rowOff>
    </xdr:to>
    <xdr:sp macro="" textlink="">
      <xdr:nvSpPr>
        <xdr:cNvPr id="794" name="Line 1670">
          <a:extLst>
            <a:ext uri="{FF2B5EF4-FFF2-40B4-BE49-F238E27FC236}">
              <a16:creationId xmlns:a16="http://schemas.microsoft.com/office/drawing/2014/main" id="{00000000-0008-0000-0000-00001A030000}"/>
            </a:ext>
          </a:extLst>
        </xdr:cNvPr>
        <xdr:cNvSpPr>
          <a:spLocks noChangeShapeType="1"/>
        </xdr:cNvSpPr>
      </xdr:nvSpPr>
      <xdr:spPr bwMode="auto">
        <a:xfrm>
          <a:off x="2647950" y="5780722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303</xdr:row>
      <xdr:rowOff>9525</xdr:rowOff>
    </xdr:from>
    <xdr:to>
      <xdr:col>5</xdr:col>
      <xdr:colOff>266700</xdr:colOff>
      <xdr:row>303</xdr:row>
      <xdr:rowOff>9525</xdr:rowOff>
    </xdr:to>
    <xdr:sp macro="" textlink="">
      <xdr:nvSpPr>
        <xdr:cNvPr id="795" name="Line 1671">
          <a:extLst>
            <a:ext uri="{FF2B5EF4-FFF2-40B4-BE49-F238E27FC236}">
              <a16:creationId xmlns:a16="http://schemas.microsoft.com/office/drawing/2014/main" id="{00000000-0008-0000-0000-00001B030000}"/>
            </a:ext>
          </a:extLst>
        </xdr:cNvPr>
        <xdr:cNvSpPr>
          <a:spLocks noChangeShapeType="1"/>
        </xdr:cNvSpPr>
      </xdr:nvSpPr>
      <xdr:spPr bwMode="auto">
        <a:xfrm>
          <a:off x="2628900" y="58407300"/>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302</xdr:row>
      <xdr:rowOff>76200</xdr:rowOff>
    </xdr:from>
    <xdr:to>
      <xdr:col>5</xdr:col>
      <xdr:colOff>438150</xdr:colOff>
      <xdr:row>303</xdr:row>
      <xdr:rowOff>9525</xdr:rowOff>
    </xdr:to>
    <xdr:sp macro="" textlink="">
      <xdr:nvSpPr>
        <xdr:cNvPr id="796" name="Arc 1672">
          <a:extLst>
            <a:ext uri="{FF2B5EF4-FFF2-40B4-BE49-F238E27FC236}">
              <a16:creationId xmlns:a16="http://schemas.microsoft.com/office/drawing/2014/main" id="{00000000-0008-0000-0000-00001C030000}"/>
            </a:ext>
          </a:extLst>
        </xdr:cNvPr>
        <xdr:cNvSpPr>
          <a:spLocks/>
        </xdr:cNvSpPr>
      </xdr:nvSpPr>
      <xdr:spPr bwMode="auto">
        <a:xfrm flipV="1">
          <a:off x="2924175" y="58283475"/>
          <a:ext cx="171450" cy="123825"/>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302</xdr:row>
      <xdr:rowOff>57150</xdr:rowOff>
    </xdr:from>
    <xdr:to>
      <xdr:col>4</xdr:col>
      <xdr:colOff>314325</xdr:colOff>
      <xdr:row>303</xdr:row>
      <xdr:rowOff>9525</xdr:rowOff>
    </xdr:to>
    <xdr:sp macro="" textlink="">
      <xdr:nvSpPr>
        <xdr:cNvPr id="797" name="Arc 1673">
          <a:extLst>
            <a:ext uri="{FF2B5EF4-FFF2-40B4-BE49-F238E27FC236}">
              <a16:creationId xmlns:a16="http://schemas.microsoft.com/office/drawing/2014/main" id="{00000000-0008-0000-0000-00001D030000}"/>
            </a:ext>
          </a:extLst>
        </xdr:cNvPr>
        <xdr:cNvSpPr>
          <a:spLocks/>
        </xdr:cNvSpPr>
      </xdr:nvSpPr>
      <xdr:spPr bwMode="auto">
        <a:xfrm flipH="1" flipV="1">
          <a:off x="2486025" y="58264425"/>
          <a:ext cx="161925" cy="142875"/>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299</xdr:row>
      <xdr:rowOff>38100</xdr:rowOff>
    </xdr:from>
    <xdr:to>
      <xdr:col>5</xdr:col>
      <xdr:colOff>228600</xdr:colOff>
      <xdr:row>300</xdr:row>
      <xdr:rowOff>152400</xdr:rowOff>
    </xdr:to>
    <xdr:sp macro="" textlink="">
      <xdr:nvSpPr>
        <xdr:cNvPr id="798" name="Line 1674">
          <a:extLst>
            <a:ext uri="{FF2B5EF4-FFF2-40B4-BE49-F238E27FC236}">
              <a16:creationId xmlns:a16="http://schemas.microsoft.com/office/drawing/2014/main" id="{00000000-0008-0000-0000-00001E030000}"/>
            </a:ext>
          </a:extLst>
        </xdr:cNvPr>
        <xdr:cNvSpPr>
          <a:spLocks noChangeShapeType="1"/>
        </xdr:cNvSpPr>
      </xdr:nvSpPr>
      <xdr:spPr bwMode="auto">
        <a:xfrm flipV="1">
          <a:off x="2886075" y="576643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300</xdr:row>
      <xdr:rowOff>180975</xdr:rowOff>
    </xdr:from>
    <xdr:to>
      <xdr:col>5</xdr:col>
      <xdr:colOff>542925</xdr:colOff>
      <xdr:row>300</xdr:row>
      <xdr:rowOff>180975</xdr:rowOff>
    </xdr:to>
    <xdr:sp macro="" textlink="">
      <xdr:nvSpPr>
        <xdr:cNvPr id="799" name="Line 1675">
          <a:extLst>
            <a:ext uri="{FF2B5EF4-FFF2-40B4-BE49-F238E27FC236}">
              <a16:creationId xmlns:a16="http://schemas.microsoft.com/office/drawing/2014/main" id="{00000000-0008-0000-0000-00001F030000}"/>
            </a:ext>
          </a:extLst>
        </xdr:cNvPr>
        <xdr:cNvSpPr>
          <a:spLocks noChangeShapeType="1"/>
        </xdr:cNvSpPr>
      </xdr:nvSpPr>
      <xdr:spPr bwMode="auto">
        <a:xfrm>
          <a:off x="2924175" y="5799772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302</xdr:row>
      <xdr:rowOff>0</xdr:rowOff>
    </xdr:from>
    <xdr:to>
      <xdr:col>5</xdr:col>
      <xdr:colOff>523875</xdr:colOff>
      <xdr:row>302</xdr:row>
      <xdr:rowOff>0</xdr:rowOff>
    </xdr:to>
    <xdr:sp macro="" textlink="">
      <xdr:nvSpPr>
        <xdr:cNvPr id="800" name="Line 1676">
          <a:extLst>
            <a:ext uri="{FF2B5EF4-FFF2-40B4-BE49-F238E27FC236}">
              <a16:creationId xmlns:a16="http://schemas.microsoft.com/office/drawing/2014/main" id="{00000000-0008-0000-0000-000020030000}"/>
            </a:ext>
          </a:extLst>
        </xdr:cNvPr>
        <xdr:cNvSpPr>
          <a:spLocks noChangeShapeType="1"/>
        </xdr:cNvSpPr>
      </xdr:nvSpPr>
      <xdr:spPr bwMode="auto">
        <a:xfrm>
          <a:off x="2933700" y="58207275"/>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300</xdr:row>
      <xdr:rowOff>152400</xdr:rowOff>
    </xdr:from>
    <xdr:to>
      <xdr:col>5</xdr:col>
      <xdr:colOff>504825</xdr:colOff>
      <xdr:row>302</xdr:row>
      <xdr:rowOff>38100</xdr:rowOff>
    </xdr:to>
    <xdr:sp macro="" textlink="">
      <xdr:nvSpPr>
        <xdr:cNvPr id="801" name="Line 1677">
          <a:extLst>
            <a:ext uri="{FF2B5EF4-FFF2-40B4-BE49-F238E27FC236}">
              <a16:creationId xmlns:a16="http://schemas.microsoft.com/office/drawing/2014/main" id="{00000000-0008-0000-0000-000021030000}"/>
            </a:ext>
          </a:extLst>
        </xdr:cNvPr>
        <xdr:cNvSpPr>
          <a:spLocks noChangeShapeType="1"/>
        </xdr:cNvSpPr>
      </xdr:nvSpPr>
      <xdr:spPr bwMode="auto">
        <a:xfrm>
          <a:off x="3162300" y="579691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300</xdr:row>
      <xdr:rowOff>152400</xdr:rowOff>
    </xdr:from>
    <xdr:to>
      <xdr:col>5</xdr:col>
      <xdr:colOff>542925</xdr:colOff>
      <xdr:row>301</xdr:row>
      <xdr:rowOff>9525</xdr:rowOff>
    </xdr:to>
    <xdr:sp macro="" textlink="">
      <xdr:nvSpPr>
        <xdr:cNvPr id="802" name="Line 1678">
          <a:extLst>
            <a:ext uri="{FF2B5EF4-FFF2-40B4-BE49-F238E27FC236}">
              <a16:creationId xmlns:a16="http://schemas.microsoft.com/office/drawing/2014/main" id="{00000000-0008-0000-0000-000022030000}"/>
            </a:ext>
          </a:extLst>
        </xdr:cNvPr>
        <xdr:cNvSpPr>
          <a:spLocks noChangeShapeType="1"/>
        </xdr:cNvSpPr>
      </xdr:nvSpPr>
      <xdr:spPr bwMode="auto">
        <a:xfrm flipH="1">
          <a:off x="3124200" y="57969150"/>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301</xdr:row>
      <xdr:rowOff>152400</xdr:rowOff>
    </xdr:from>
    <xdr:to>
      <xdr:col>5</xdr:col>
      <xdr:colOff>542925</xdr:colOff>
      <xdr:row>302</xdr:row>
      <xdr:rowOff>38100</xdr:rowOff>
    </xdr:to>
    <xdr:sp macro="" textlink="">
      <xdr:nvSpPr>
        <xdr:cNvPr id="803" name="Line 1679">
          <a:extLst>
            <a:ext uri="{FF2B5EF4-FFF2-40B4-BE49-F238E27FC236}">
              <a16:creationId xmlns:a16="http://schemas.microsoft.com/office/drawing/2014/main" id="{00000000-0008-0000-0000-000023030000}"/>
            </a:ext>
          </a:extLst>
        </xdr:cNvPr>
        <xdr:cNvSpPr>
          <a:spLocks noChangeShapeType="1"/>
        </xdr:cNvSpPr>
      </xdr:nvSpPr>
      <xdr:spPr bwMode="auto">
        <a:xfrm flipH="1">
          <a:off x="3124200" y="581691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301</xdr:row>
      <xdr:rowOff>180975</xdr:rowOff>
    </xdr:from>
    <xdr:to>
      <xdr:col>5</xdr:col>
      <xdr:colOff>47625</xdr:colOff>
      <xdr:row>302</xdr:row>
      <xdr:rowOff>85725</xdr:rowOff>
    </xdr:to>
    <xdr:sp macro="" textlink="">
      <xdr:nvSpPr>
        <xdr:cNvPr id="804" name="Line 1680">
          <a:extLst>
            <a:ext uri="{FF2B5EF4-FFF2-40B4-BE49-F238E27FC236}">
              <a16:creationId xmlns:a16="http://schemas.microsoft.com/office/drawing/2014/main" id="{00000000-0008-0000-0000-000024030000}"/>
            </a:ext>
          </a:extLst>
        </xdr:cNvPr>
        <xdr:cNvSpPr>
          <a:spLocks noChangeShapeType="1"/>
        </xdr:cNvSpPr>
      </xdr:nvSpPr>
      <xdr:spPr bwMode="auto">
        <a:xfrm flipH="1">
          <a:off x="2476500" y="58197750"/>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302</xdr:row>
      <xdr:rowOff>57150</xdr:rowOff>
    </xdr:from>
    <xdr:to>
      <xdr:col>4</xdr:col>
      <xdr:colOff>200025</xdr:colOff>
      <xdr:row>302</xdr:row>
      <xdr:rowOff>104775</xdr:rowOff>
    </xdr:to>
    <xdr:sp macro="" textlink="">
      <xdr:nvSpPr>
        <xdr:cNvPr id="805" name="Line 1681">
          <a:extLst>
            <a:ext uri="{FF2B5EF4-FFF2-40B4-BE49-F238E27FC236}">
              <a16:creationId xmlns:a16="http://schemas.microsoft.com/office/drawing/2014/main" id="{00000000-0008-0000-0000-000025030000}"/>
            </a:ext>
          </a:extLst>
        </xdr:cNvPr>
        <xdr:cNvSpPr>
          <a:spLocks noChangeShapeType="1"/>
        </xdr:cNvSpPr>
      </xdr:nvSpPr>
      <xdr:spPr bwMode="auto">
        <a:xfrm flipH="1" flipV="1">
          <a:off x="2447925" y="58264425"/>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301</xdr:row>
      <xdr:rowOff>152400</xdr:rowOff>
    </xdr:from>
    <xdr:to>
      <xdr:col>5</xdr:col>
      <xdr:colOff>85725</xdr:colOff>
      <xdr:row>302</xdr:row>
      <xdr:rowOff>28575</xdr:rowOff>
    </xdr:to>
    <xdr:sp macro="" textlink="">
      <xdr:nvSpPr>
        <xdr:cNvPr id="806" name="Line 1682">
          <a:extLst>
            <a:ext uri="{FF2B5EF4-FFF2-40B4-BE49-F238E27FC236}">
              <a16:creationId xmlns:a16="http://schemas.microsoft.com/office/drawing/2014/main" id="{00000000-0008-0000-0000-000026030000}"/>
            </a:ext>
          </a:extLst>
        </xdr:cNvPr>
        <xdr:cNvSpPr>
          <a:spLocks noChangeShapeType="1"/>
        </xdr:cNvSpPr>
      </xdr:nvSpPr>
      <xdr:spPr bwMode="auto">
        <a:xfrm flipH="1" flipV="1">
          <a:off x="2667000" y="581691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295</xdr:row>
      <xdr:rowOff>180975</xdr:rowOff>
    </xdr:from>
    <xdr:to>
      <xdr:col>5</xdr:col>
      <xdr:colOff>619125</xdr:colOff>
      <xdr:row>295</xdr:row>
      <xdr:rowOff>180975</xdr:rowOff>
    </xdr:to>
    <xdr:sp macro="" textlink="">
      <xdr:nvSpPr>
        <xdr:cNvPr id="807" name="Line 1683">
          <a:extLst>
            <a:ext uri="{FF2B5EF4-FFF2-40B4-BE49-F238E27FC236}">
              <a16:creationId xmlns:a16="http://schemas.microsoft.com/office/drawing/2014/main" id="{00000000-0008-0000-0000-000027030000}"/>
            </a:ext>
          </a:extLst>
        </xdr:cNvPr>
        <xdr:cNvSpPr>
          <a:spLocks noChangeShapeType="1"/>
        </xdr:cNvSpPr>
      </xdr:nvSpPr>
      <xdr:spPr bwMode="auto">
        <a:xfrm>
          <a:off x="2028825" y="57045225"/>
          <a:ext cx="12477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294</xdr:row>
      <xdr:rowOff>142875</xdr:rowOff>
    </xdr:from>
    <xdr:to>
      <xdr:col>6</xdr:col>
      <xdr:colOff>114300</xdr:colOff>
      <xdr:row>294</xdr:row>
      <xdr:rowOff>142875</xdr:rowOff>
    </xdr:to>
    <xdr:sp macro="" textlink="">
      <xdr:nvSpPr>
        <xdr:cNvPr id="808" name="Line 1684">
          <a:extLst>
            <a:ext uri="{FF2B5EF4-FFF2-40B4-BE49-F238E27FC236}">
              <a16:creationId xmlns:a16="http://schemas.microsoft.com/office/drawing/2014/main" id="{00000000-0008-0000-0000-000028030000}"/>
            </a:ext>
          </a:extLst>
        </xdr:cNvPr>
        <xdr:cNvSpPr>
          <a:spLocks noChangeShapeType="1"/>
        </xdr:cNvSpPr>
      </xdr:nvSpPr>
      <xdr:spPr bwMode="auto">
        <a:xfrm>
          <a:off x="2952750" y="56816625"/>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295</xdr:row>
      <xdr:rowOff>171450</xdr:rowOff>
    </xdr:from>
    <xdr:to>
      <xdr:col>6</xdr:col>
      <xdr:colOff>133350</xdr:colOff>
      <xdr:row>295</xdr:row>
      <xdr:rowOff>171450</xdr:rowOff>
    </xdr:to>
    <xdr:sp macro="" textlink="">
      <xdr:nvSpPr>
        <xdr:cNvPr id="809" name="Line 1685">
          <a:extLst>
            <a:ext uri="{FF2B5EF4-FFF2-40B4-BE49-F238E27FC236}">
              <a16:creationId xmlns:a16="http://schemas.microsoft.com/office/drawing/2014/main" id="{00000000-0008-0000-0000-000029030000}"/>
            </a:ext>
          </a:extLst>
        </xdr:cNvPr>
        <xdr:cNvSpPr>
          <a:spLocks noChangeShapeType="1"/>
        </xdr:cNvSpPr>
      </xdr:nvSpPr>
      <xdr:spPr bwMode="auto">
        <a:xfrm>
          <a:off x="3333750" y="5703570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294</xdr:row>
      <xdr:rowOff>104775</xdr:rowOff>
    </xdr:from>
    <xdr:to>
      <xdr:col>6</xdr:col>
      <xdr:colOff>85725</xdr:colOff>
      <xdr:row>296</xdr:row>
      <xdr:rowOff>28575</xdr:rowOff>
    </xdr:to>
    <xdr:sp macro="" textlink="">
      <xdr:nvSpPr>
        <xdr:cNvPr id="810" name="Line 1686">
          <a:extLst>
            <a:ext uri="{FF2B5EF4-FFF2-40B4-BE49-F238E27FC236}">
              <a16:creationId xmlns:a16="http://schemas.microsoft.com/office/drawing/2014/main" id="{00000000-0008-0000-0000-00002A030000}"/>
            </a:ext>
          </a:extLst>
        </xdr:cNvPr>
        <xdr:cNvSpPr>
          <a:spLocks noChangeShapeType="1"/>
        </xdr:cNvSpPr>
      </xdr:nvSpPr>
      <xdr:spPr bwMode="auto">
        <a:xfrm>
          <a:off x="3495675" y="567785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294</xdr:row>
      <xdr:rowOff>104775</xdr:rowOff>
    </xdr:from>
    <xdr:to>
      <xdr:col>6</xdr:col>
      <xdr:colOff>123825</xdr:colOff>
      <xdr:row>294</xdr:row>
      <xdr:rowOff>180975</xdr:rowOff>
    </xdr:to>
    <xdr:sp macro="" textlink="">
      <xdr:nvSpPr>
        <xdr:cNvPr id="811" name="Line 1687">
          <a:extLst>
            <a:ext uri="{FF2B5EF4-FFF2-40B4-BE49-F238E27FC236}">
              <a16:creationId xmlns:a16="http://schemas.microsoft.com/office/drawing/2014/main" id="{00000000-0008-0000-0000-00002B030000}"/>
            </a:ext>
          </a:extLst>
        </xdr:cNvPr>
        <xdr:cNvSpPr>
          <a:spLocks noChangeShapeType="1"/>
        </xdr:cNvSpPr>
      </xdr:nvSpPr>
      <xdr:spPr bwMode="auto">
        <a:xfrm flipH="1">
          <a:off x="3457575" y="567785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295</xdr:row>
      <xdr:rowOff>142875</xdr:rowOff>
    </xdr:from>
    <xdr:to>
      <xdr:col>6</xdr:col>
      <xdr:colOff>114300</xdr:colOff>
      <xdr:row>296</xdr:row>
      <xdr:rowOff>19050</xdr:rowOff>
    </xdr:to>
    <xdr:sp macro="" textlink="">
      <xdr:nvSpPr>
        <xdr:cNvPr id="812" name="Line 1688">
          <a:extLst>
            <a:ext uri="{FF2B5EF4-FFF2-40B4-BE49-F238E27FC236}">
              <a16:creationId xmlns:a16="http://schemas.microsoft.com/office/drawing/2014/main" id="{00000000-0008-0000-0000-00002C030000}"/>
            </a:ext>
          </a:extLst>
        </xdr:cNvPr>
        <xdr:cNvSpPr>
          <a:spLocks noChangeShapeType="1"/>
        </xdr:cNvSpPr>
      </xdr:nvSpPr>
      <xdr:spPr bwMode="auto">
        <a:xfrm flipH="1">
          <a:off x="3457575" y="570071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292</xdr:row>
      <xdr:rowOff>161925</xdr:rowOff>
    </xdr:from>
    <xdr:to>
      <xdr:col>0</xdr:col>
      <xdr:colOff>1057275</xdr:colOff>
      <xdr:row>296</xdr:row>
      <xdr:rowOff>47625</xdr:rowOff>
    </xdr:to>
    <xdr:sp macro="" textlink="">
      <xdr:nvSpPr>
        <xdr:cNvPr id="813" name="Freeform 1689">
          <a:extLst>
            <a:ext uri="{FF2B5EF4-FFF2-40B4-BE49-F238E27FC236}">
              <a16:creationId xmlns:a16="http://schemas.microsoft.com/office/drawing/2014/main" id="{00000000-0008-0000-0000-00002D030000}"/>
            </a:ext>
          </a:extLst>
        </xdr:cNvPr>
        <xdr:cNvSpPr>
          <a:spLocks/>
        </xdr:cNvSpPr>
      </xdr:nvSpPr>
      <xdr:spPr bwMode="auto">
        <a:xfrm>
          <a:off x="266700" y="56454675"/>
          <a:ext cx="790575" cy="647700"/>
        </a:xfrm>
        <a:custGeom>
          <a:avLst/>
          <a:gdLst>
            <a:gd name="T0" fmla="*/ 0 w 83"/>
            <a:gd name="T1" fmla="*/ 0 h 68"/>
            <a:gd name="T2" fmla="*/ 2147483646 w 83"/>
            <a:gd name="T3" fmla="*/ 0 h 68"/>
            <a:gd name="T4" fmla="*/ 2147483646 w 83"/>
            <a:gd name="T5" fmla="*/ 2147483646 h 68"/>
            <a:gd name="T6" fmla="*/ 2147483646 w 83"/>
            <a:gd name="T7" fmla="*/ 2147483646 h 68"/>
            <a:gd name="T8" fmla="*/ 2147483646 w 83"/>
            <a:gd name="T9" fmla="*/ 2147483646 h 68"/>
            <a:gd name="T10" fmla="*/ 0 w 83"/>
            <a:gd name="T11" fmla="*/ 2147483646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293</xdr:row>
      <xdr:rowOff>171450</xdr:rowOff>
    </xdr:from>
    <xdr:to>
      <xdr:col>0</xdr:col>
      <xdr:colOff>590550</xdr:colOff>
      <xdr:row>294</xdr:row>
      <xdr:rowOff>133350</xdr:rowOff>
    </xdr:to>
    <xdr:sp macro="" textlink="">
      <xdr:nvSpPr>
        <xdr:cNvPr id="814" name="Oval 1690">
          <a:extLst>
            <a:ext uri="{FF2B5EF4-FFF2-40B4-BE49-F238E27FC236}">
              <a16:creationId xmlns:a16="http://schemas.microsoft.com/office/drawing/2014/main" id="{00000000-0008-0000-0000-00002E030000}"/>
            </a:ext>
          </a:extLst>
        </xdr:cNvPr>
        <xdr:cNvSpPr>
          <a:spLocks noChangeArrowheads="1"/>
        </xdr:cNvSpPr>
      </xdr:nvSpPr>
      <xdr:spPr bwMode="auto">
        <a:xfrm>
          <a:off x="428625" y="56654700"/>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295</xdr:row>
      <xdr:rowOff>38100</xdr:rowOff>
    </xdr:from>
    <xdr:to>
      <xdr:col>0</xdr:col>
      <xdr:colOff>504825</xdr:colOff>
      <xdr:row>299</xdr:row>
      <xdr:rowOff>28575</xdr:rowOff>
    </xdr:to>
    <xdr:sp macro="" textlink="">
      <xdr:nvSpPr>
        <xdr:cNvPr id="815" name="Line 1691">
          <a:extLst>
            <a:ext uri="{FF2B5EF4-FFF2-40B4-BE49-F238E27FC236}">
              <a16:creationId xmlns:a16="http://schemas.microsoft.com/office/drawing/2014/main" id="{00000000-0008-0000-0000-00002F030000}"/>
            </a:ext>
          </a:extLst>
        </xdr:cNvPr>
        <xdr:cNvSpPr>
          <a:spLocks noChangeShapeType="1"/>
        </xdr:cNvSpPr>
      </xdr:nvSpPr>
      <xdr:spPr bwMode="auto">
        <a:xfrm>
          <a:off x="504825" y="56902350"/>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296</xdr:row>
      <xdr:rowOff>114300</xdr:rowOff>
    </xdr:from>
    <xdr:to>
      <xdr:col>0</xdr:col>
      <xdr:colOff>1057275</xdr:colOff>
      <xdr:row>299</xdr:row>
      <xdr:rowOff>19050</xdr:rowOff>
    </xdr:to>
    <xdr:sp macro="" textlink="">
      <xdr:nvSpPr>
        <xdr:cNvPr id="816" name="Line 1692">
          <a:extLst>
            <a:ext uri="{FF2B5EF4-FFF2-40B4-BE49-F238E27FC236}">
              <a16:creationId xmlns:a16="http://schemas.microsoft.com/office/drawing/2014/main" id="{00000000-0008-0000-0000-000030030000}"/>
            </a:ext>
          </a:extLst>
        </xdr:cNvPr>
        <xdr:cNvSpPr>
          <a:spLocks noChangeShapeType="1"/>
        </xdr:cNvSpPr>
      </xdr:nvSpPr>
      <xdr:spPr bwMode="auto">
        <a:xfrm>
          <a:off x="1057275" y="571690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298</xdr:row>
      <xdr:rowOff>180975</xdr:rowOff>
    </xdr:from>
    <xdr:to>
      <xdr:col>0</xdr:col>
      <xdr:colOff>1095375</xdr:colOff>
      <xdr:row>298</xdr:row>
      <xdr:rowOff>180975</xdr:rowOff>
    </xdr:to>
    <xdr:sp macro="" textlink="">
      <xdr:nvSpPr>
        <xdr:cNvPr id="817" name="Line 1693">
          <a:extLst>
            <a:ext uri="{FF2B5EF4-FFF2-40B4-BE49-F238E27FC236}">
              <a16:creationId xmlns:a16="http://schemas.microsoft.com/office/drawing/2014/main" id="{00000000-0008-0000-0000-000031030000}"/>
            </a:ext>
          </a:extLst>
        </xdr:cNvPr>
        <xdr:cNvSpPr>
          <a:spLocks noChangeShapeType="1"/>
        </xdr:cNvSpPr>
      </xdr:nvSpPr>
      <xdr:spPr bwMode="auto">
        <a:xfrm>
          <a:off x="495300" y="57616725"/>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294</xdr:row>
      <xdr:rowOff>133350</xdr:rowOff>
    </xdr:from>
    <xdr:to>
      <xdr:col>0</xdr:col>
      <xdr:colOff>600075</xdr:colOff>
      <xdr:row>294</xdr:row>
      <xdr:rowOff>133350</xdr:rowOff>
    </xdr:to>
    <xdr:sp macro="" textlink="">
      <xdr:nvSpPr>
        <xdr:cNvPr id="818" name="Line 1694">
          <a:extLst>
            <a:ext uri="{FF2B5EF4-FFF2-40B4-BE49-F238E27FC236}">
              <a16:creationId xmlns:a16="http://schemas.microsoft.com/office/drawing/2014/main" id="{00000000-0008-0000-0000-000032030000}"/>
            </a:ext>
          </a:extLst>
        </xdr:cNvPr>
        <xdr:cNvSpPr>
          <a:spLocks noChangeShapeType="1"/>
        </xdr:cNvSpPr>
      </xdr:nvSpPr>
      <xdr:spPr bwMode="auto">
        <a:xfrm>
          <a:off x="419100" y="56807100"/>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294</xdr:row>
      <xdr:rowOff>152400</xdr:rowOff>
    </xdr:from>
    <xdr:to>
      <xdr:col>0</xdr:col>
      <xdr:colOff>981075</xdr:colOff>
      <xdr:row>296</xdr:row>
      <xdr:rowOff>57150</xdr:rowOff>
    </xdr:to>
    <xdr:sp macro="" textlink="">
      <xdr:nvSpPr>
        <xdr:cNvPr id="819" name="Line 1695">
          <a:extLst>
            <a:ext uri="{FF2B5EF4-FFF2-40B4-BE49-F238E27FC236}">
              <a16:creationId xmlns:a16="http://schemas.microsoft.com/office/drawing/2014/main" id="{00000000-0008-0000-0000-000033030000}"/>
            </a:ext>
          </a:extLst>
        </xdr:cNvPr>
        <xdr:cNvSpPr>
          <a:spLocks noChangeShapeType="1"/>
        </xdr:cNvSpPr>
      </xdr:nvSpPr>
      <xdr:spPr bwMode="auto">
        <a:xfrm>
          <a:off x="600075" y="56826150"/>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296</xdr:row>
      <xdr:rowOff>95250</xdr:rowOff>
    </xdr:from>
    <xdr:to>
      <xdr:col>0</xdr:col>
      <xdr:colOff>981075</xdr:colOff>
      <xdr:row>298</xdr:row>
      <xdr:rowOff>19050</xdr:rowOff>
    </xdr:to>
    <xdr:sp macro="" textlink="">
      <xdr:nvSpPr>
        <xdr:cNvPr id="820" name="Line 1696">
          <a:extLst>
            <a:ext uri="{FF2B5EF4-FFF2-40B4-BE49-F238E27FC236}">
              <a16:creationId xmlns:a16="http://schemas.microsoft.com/office/drawing/2014/main" id="{00000000-0008-0000-0000-000034030000}"/>
            </a:ext>
          </a:extLst>
        </xdr:cNvPr>
        <xdr:cNvSpPr>
          <a:spLocks noChangeShapeType="1"/>
        </xdr:cNvSpPr>
      </xdr:nvSpPr>
      <xdr:spPr bwMode="auto">
        <a:xfrm>
          <a:off x="981075" y="571500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298</xdr:row>
      <xdr:rowOff>0</xdr:rowOff>
    </xdr:from>
    <xdr:to>
      <xdr:col>0</xdr:col>
      <xdr:colOff>1019175</xdr:colOff>
      <xdr:row>298</xdr:row>
      <xdr:rowOff>0</xdr:rowOff>
    </xdr:to>
    <xdr:sp macro="" textlink="">
      <xdr:nvSpPr>
        <xdr:cNvPr id="821" name="Line 1697">
          <a:extLst>
            <a:ext uri="{FF2B5EF4-FFF2-40B4-BE49-F238E27FC236}">
              <a16:creationId xmlns:a16="http://schemas.microsoft.com/office/drawing/2014/main" id="{00000000-0008-0000-0000-000035030000}"/>
            </a:ext>
          </a:extLst>
        </xdr:cNvPr>
        <xdr:cNvSpPr>
          <a:spLocks noChangeShapeType="1"/>
        </xdr:cNvSpPr>
      </xdr:nvSpPr>
      <xdr:spPr bwMode="auto">
        <a:xfrm>
          <a:off x="466725" y="5743575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294</xdr:row>
      <xdr:rowOff>161925</xdr:rowOff>
    </xdr:from>
    <xdr:to>
      <xdr:col>0</xdr:col>
      <xdr:colOff>409575</xdr:colOff>
      <xdr:row>295</xdr:row>
      <xdr:rowOff>114300</xdr:rowOff>
    </xdr:to>
    <xdr:sp macro="" textlink="">
      <xdr:nvSpPr>
        <xdr:cNvPr id="822" name="Line 1698">
          <a:extLst>
            <a:ext uri="{FF2B5EF4-FFF2-40B4-BE49-F238E27FC236}">
              <a16:creationId xmlns:a16="http://schemas.microsoft.com/office/drawing/2014/main" id="{00000000-0008-0000-0000-000036030000}"/>
            </a:ext>
          </a:extLst>
        </xdr:cNvPr>
        <xdr:cNvSpPr>
          <a:spLocks noChangeShapeType="1"/>
        </xdr:cNvSpPr>
      </xdr:nvSpPr>
      <xdr:spPr bwMode="auto">
        <a:xfrm flipH="1">
          <a:off x="257175" y="56835675"/>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297</xdr:row>
      <xdr:rowOff>142875</xdr:rowOff>
    </xdr:from>
    <xdr:to>
      <xdr:col>0</xdr:col>
      <xdr:colOff>542925</xdr:colOff>
      <xdr:row>298</xdr:row>
      <xdr:rowOff>28575</xdr:rowOff>
    </xdr:to>
    <xdr:sp macro="" textlink="">
      <xdr:nvSpPr>
        <xdr:cNvPr id="823" name="Line 1699">
          <a:extLst>
            <a:ext uri="{FF2B5EF4-FFF2-40B4-BE49-F238E27FC236}">
              <a16:creationId xmlns:a16="http://schemas.microsoft.com/office/drawing/2014/main" id="{00000000-0008-0000-0000-000037030000}"/>
            </a:ext>
          </a:extLst>
        </xdr:cNvPr>
        <xdr:cNvSpPr>
          <a:spLocks noChangeShapeType="1"/>
        </xdr:cNvSpPr>
      </xdr:nvSpPr>
      <xdr:spPr bwMode="auto">
        <a:xfrm flipH="1">
          <a:off x="466725" y="573881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297</xdr:row>
      <xdr:rowOff>152400</xdr:rowOff>
    </xdr:from>
    <xdr:to>
      <xdr:col>0</xdr:col>
      <xdr:colOff>1019175</xdr:colOff>
      <xdr:row>298</xdr:row>
      <xdr:rowOff>28575</xdr:rowOff>
    </xdr:to>
    <xdr:sp macro="" textlink="">
      <xdr:nvSpPr>
        <xdr:cNvPr id="824" name="Line 1700">
          <a:extLst>
            <a:ext uri="{FF2B5EF4-FFF2-40B4-BE49-F238E27FC236}">
              <a16:creationId xmlns:a16="http://schemas.microsoft.com/office/drawing/2014/main" id="{00000000-0008-0000-0000-000038030000}"/>
            </a:ext>
          </a:extLst>
        </xdr:cNvPr>
        <xdr:cNvSpPr>
          <a:spLocks noChangeShapeType="1"/>
        </xdr:cNvSpPr>
      </xdr:nvSpPr>
      <xdr:spPr bwMode="auto">
        <a:xfrm flipH="1">
          <a:off x="952500" y="573976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298</xdr:row>
      <xdr:rowOff>133350</xdr:rowOff>
    </xdr:from>
    <xdr:to>
      <xdr:col>0</xdr:col>
      <xdr:colOff>552450</xdr:colOff>
      <xdr:row>299</xdr:row>
      <xdr:rowOff>28575</xdr:rowOff>
    </xdr:to>
    <xdr:sp macro="" textlink="">
      <xdr:nvSpPr>
        <xdr:cNvPr id="825" name="Line 1701">
          <a:extLst>
            <a:ext uri="{FF2B5EF4-FFF2-40B4-BE49-F238E27FC236}">
              <a16:creationId xmlns:a16="http://schemas.microsoft.com/office/drawing/2014/main" id="{00000000-0008-0000-0000-000039030000}"/>
            </a:ext>
          </a:extLst>
        </xdr:cNvPr>
        <xdr:cNvSpPr>
          <a:spLocks noChangeShapeType="1"/>
        </xdr:cNvSpPr>
      </xdr:nvSpPr>
      <xdr:spPr bwMode="auto">
        <a:xfrm flipH="1">
          <a:off x="457200" y="57569100"/>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298</xdr:row>
      <xdr:rowOff>142875</xdr:rowOff>
    </xdr:from>
    <xdr:to>
      <xdr:col>0</xdr:col>
      <xdr:colOff>1095375</xdr:colOff>
      <xdr:row>299</xdr:row>
      <xdr:rowOff>28575</xdr:rowOff>
    </xdr:to>
    <xdr:sp macro="" textlink="">
      <xdr:nvSpPr>
        <xdr:cNvPr id="826" name="Line 1702">
          <a:extLst>
            <a:ext uri="{FF2B5EF4-FFF2-40B4-BE49-F238E27FC236}">
              <a16:creationId xmlns:a16="http://schemas.microsoft.com/office/drawing/2014/main" id="{00000000-0008-0000-0000-00003A030000}"/>
            </a:ext>
          </a:extLst>
        </xdr:cNvPr>
        <xdr:cNvSpPr>
          <a:spLocks noChangeShapeType="1"/>
        </xdr:cNvSpPr>
      </xdr:nvSpPr>
      <xdr:spPr bwMode="auto">
        <a:xfrm flipH="1">
          <a:off x="1019175" y="575786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295</xdr:row>
      <xdr:rowOff>142875</xdr:rowOff>
    </xdr:from>
    <xdr:to>
      <xdr:col>4</xdr:col>
      <xdr:colOff>28575</xdr:colOff>
      <xdr:row>295</xdr:row>
      <xdr:rowOff>171450</xdr:rowOff>
    </xdr:to>
    <xdr:sp macro="" textlink="">
      <xdr:nvSpPr>
        <xdr:cNvPr id="827" name="Oval 1703">
          <a:extLst>
            <a:ext uri="{FF2B5EF4-FFF2-40B4-BE49-F238E27FC236}">
              <a16:creationId xmlns:a16="http://schemas.microsoft.com/office/drawing/2014/main" id="{00000000-0008-0000-0000-00003B030000}"/>
            </a:ext>
          </a:extLst>
        </xdr:cNvPr>
        <xdr:cNvSpPr>
          <a:spLocks noChangeArrowheads="1"/>
        </xdr:cNvSpPr>
      </xdr:nvSpPr>
      <xdr:spPr bwMode="auto">
        <a:xfrm flipV="1">
          <a:off x="2333625" y="5700712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295</xdr:row>
      <xdr:rowOff>142875</xdr:rowOff>
    </xdr:from>
    <xdr:to>
      <xdr:col>5</xdr:col>
      <xdr:colOff>600075</xdr:colOff>
      <xdr:row>295</xdr:row>
      <xdr:rowOff>171450</xdr:rowOff>
    </xdr:to>
    <xdr:sp macro="" textlink="">
      <xdr:nvSpPr>
        <xdr:cNvPr id="828" name="Oval 1704">
          <a:extLst>
            <a:ext uri="{FF2B5EF4-FFF2-40B4-BE49-F238E27FC236}">
              <a16:creationId xmlns:a16="http://schemas.microsoft.com/office/drawing/2014/main" id="{00000000-0008-0000-0000-00003C030000}"/>
            </a:ext>
          </a:extLst>
        </xdr:cNvPr>
        <xdr:cNvSpPr>
          <a:spLocks noChangeArrowheads="1"/>
        </xdr:cNvSpPr>
      </xdr:nvSpPr>
      <xdr:spPr bwMode="auto">
        <a:xfrm flipV="1">
          <a:off x="3228975" y="5700712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295</xdr:row>
      <xdr:rowOff>142875</xdr:rowOff>
    </xdr:from>
    <xdr:to>
      <xdr:col>5</xdr:col>
      <xdr:colOff>9525</xdr:colOff>
      <xdr:row>295</xdr:row>
      <xdr:rowOff>171450</xdr:rowOff>
    </xdr:to>
    <xdr:sp macro="" textlink="">
      <xdr:nvSpPr>
        <xdr:cNvPr id="829" name="Oval 1705">
          <a:extLst>
            <a:ext uri="{FF2B5EF4-FFF2-40B4-BE49-F238E27FC236}">
              <a16:creationId xmlns:a16="http://schemas.microsoft.com/office/drawing/2014/main" id="{00000000-0008-0000-0000-00003D030000}"/>
            </a:ext>
          </a:extLst>
        </xdr:cNvPr>
        <xdr:cNvSpPr>
          <a:spLocks noChangeArrowheads="1"/>
        </xdr:cNvSpPr>
      </xdr:nvSpPr>
      <xdr:spPr bwMode="auto">
        <a:xfrm flipV="1">
          <a:off x="2638425" y="5700712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295</xdr:row>
      <xdr:rowOff>142875</xdr:rowOff>
    </xdr:from>
    <xdr:to>
      <xdr:col>5</xdr:col>
      <xdr:colOff>295275</xdr:colOff>
      <xdr:row>295</xdr:row>
      <xdr:rowOff>171450</xdr:rowOff>
    </xdr:to>
    <xdr:sp macro="" textlink="">
      <xdr:nvSpPr>
        <xdr:cNvPr id="830" name="Oval 1706">
          <a:extLst>
            <a:ext uri="{FF2B5EF4-FFF2-40B4-BE49-F238E27FC236}">
              <a16:creationId xmlns:a16="http://schemas.microsoft.com/office/drawing/2014/main" id="{00000000-0008-0000-0000-00003E030000}"/>
            </a:ext>
          </a:extLst>
        </xdr:cNvPr>
        <xdr:cNvSpPr>
          <a:spLocks noChangeArrowheads="1"/>
        </xdr:cNvSpPr>
      </xdr:nvSpPr>
      <xdr:spPr bwMode="auto">
        <a:xfrm flipV="1">
          <a:off x="2924175" y="5700712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300</xdr:row>
      <xdr:rowOff>38100</xdr:rowOff>
    </xdr:from>
    <xdr:to>
      <xdr:col>5</xdr:col>
      <xdr:colOff>685800</xdr:colOff>
      <xdr:row>300</xdr:row>
      <xdr:rowOff>38100</xdr:rowOff>
    </xdr:to>
    <xdr:sp macro="" textlink="">
      <xdr:nvSpPr>
        <xdr:cNvPr id="831" name="Line 1707">
          <a:extLst>
            <a:ext uri="{FF2B5EF4-FFF2-40B4-BE49-F238E27FC236}">
              <a16:creationId xmlns:a16="http://schemas.microsoft.com/office/drawing/2014/main" id="{00000000-0008-0000-0000-00003F030000}"/>
            </a:ext>
          </a:extLst>
        </xdr:cNvPr>
        <xdr:cNvSpPr>
          <a:spLocks noChangeShapeType="1"/>
        </xdr:cNvSpPr>
      </xdr:nvSpPr>
      <xdr:spPr bwMode="auto">
        <a:xfrm>
          <a:off x="2124075" y="57854850"/>
          <a:ext cx="121920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5</xdr:col>
      <xdr:colOff>704850</xdr:colOff>
      <xdr:row>319</xdr:row>
      <xdr:rowOff>123825</xdr:rowOff>
    </xdr:from>
    <xdr:to>
      <xdr:col>5</xdr:col>
      <xdr:colOff>704850</xdr:colOff>
      <xdr:row>321</xdr:row>
      <xdr:rowOff>47625</xdr:rowOff>
    </xdr:to>
    <xdr:sp macro="" textlink="">
      <xdr:nvSpPr>
        <xdr:cNvPr id="832" name="Line 1708">
          <a:extLst>
            <a:ext uri="{FF2B5EF4-FFF2-40B4-BE49-F238E27FC236}">
              <a16:creationId xmlns:a16="http://schemas.microsoft.com/office/drawing/2014/main" id="{00000000-0008-0000-0000-000040030000}"/>
            </a:ext>
          </a:extLst>
        </xdr:cNvPr>
        <xdr:cNvSpPr>
          <a:spLocks noChangeShapeType="1"/>
        </xdr:cNvSpPr>
      </xdr:nvSpPr>
      <xdr:spPr bwMode="auto">
        <a:xfrm>
          <a:off x="3362325" y="615696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317</xdr:row>
      <xdr:rowOff>161925</xdr:rowOff>
    </xdr:from>
    <xdr:to>
      <xdr:col>5</xdr:col>
      <xdr:colOff>609600</xdr:colOff>
      <xdr:row>321</xdr:row>
      <xdr:rowOff>47625</xdr:rowOff>
    </xdr:to>
    <xdr:sp macro="" textlink="">
      <xdr:nvSpPr>
        <xdr:cNvPr id="833" name="Tegning 308">
          <a:extLst>
            <a:ext uri="{FF2B5EF4-FFF2-40B4-BE49-F238E27FC236}">
              <a16:creationId xmlns:a16="http://schemas.microsoft.com/office/drawing/2014/main" id="{00000000-0008-0000-0000-000041030000}"/>
            </a:ext>
          </a:extLst>
        </xdr:cNvPr>
        <xdr:cNvSpPr>
          <a:spLocks/>
        </xdr:cNvSpPr>
      </xdr:nvSpPr>
      <xdr:spPr bwMode="auto">
        <a:xfrm>
          <a:off x="1933575" y="61226700"/>
          <a:ext cx="133350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318</xdr:row>
      <xdr:rowOff>209550</xdr:rowOff>
    </xdr:from>
    <xdr:to>
      <xdr:col>3</xdr:col>
      <xdr:colOff>0</xdr:colOff>
      <xdr:row>319</xdr:row>
      <xdr:rowOff>142875</xdr:rowOff>
    </xdr:to>
    <xdr:sp macro="" textlink="">
      <xdr:nvSpPr>
        <xdr:cNvPr id="834" name="Tegning 309">
          <a:extLst>
            <a:ext uri="{FF2B5EF4-FFF2-40B4-BE49-F238E27FC236}">
              <a16:creationId xmlns:a16="http://schemas.microsoft.com/office/drawing/2014/main" id="{00000000-0008-0000-0000-000042030000}"/>
            </a:ext>
          </a:extLst>
        </xdr:cNvPr>
        <xdr:cNvSpPr>
          <a:spLocks/>
        </xdr:cNvSpPr>
      </xdr:nvSpPr>
      <xdr:spPr bwMode="auto">
        <a:xfrm>
          <a:off x="1476375" y="61445775"/>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318</xdr:row>
      <xdr:rowOff>209550</xdr:rowOff>
    </xdr:from>
    <xdr:to>
      <xdr:col>5</xdr:col>
      <xdr:colOff>209550</xdr:colOff>
      <xdr:row>319</xdr:row>
      <xdr:rowOff>142875</xdr:rowOff>
    </xdr:to>
    <xdr:sp macro="" textlink="">
      <xdr:nvSpPr>
        <xdr:cNvPr id="835" name="Tegning 310">
          <a:extLst>
            <a:ext uri="{FF2B5EF4-FFF2-40B4-BE49-F238E27FC236}">
              <a16:creationId xmlns:a16="http://schemas.microsoft.com/office/drawing/2014/main" id="{00000000-0008-0000-0000-000043030000}"/>
            </a:ext>
          </a:extLst>
        </xdr:cNvPr>
        <xdr:cNvSpPr>
          <a:spLocks/>
        </xdr:cNvSpPr>
      </xdr:nvSpPr>
      <xdr:spPr bwMode="auto">
        <a:xfrm>
          <a:off x="1962150" y="61445775"/>
          <a:ext cx="904875"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321</xdr:row>
      <xdr:rowOff>76200</xdr:rowOff>
    </xdr:from>
    <xdr:to>
      <xdr:col>3</xdr:col>
      <xdr:colOff>266700</xdr:colOff>
      <xdr:row>323</xdr:row>
      <xdr:rowOff>85725</xdr:rowOff>
    </xdr:to>
    <xdr:sp macro="" textlink="">
      <xdr:nvSpPr>
        <xdr:cNvPr id="836" name="Tegning 311">
          <a:extLst>
            <a:ext uri="{FF2B5EF4-FFF2-40B4-BE49-F238E27FC236}">
              <a16:creationId xmlns:a16="http://schemas.microsoft.com/office/drawing/2014/main" id="{00000000-0008-0000-0000-000044030000}"/>
            </a:ext>
          </a:extLst>
        </xdr:cNvPr>
        <xdr:cNvSpPr>
          <a:spLocks/>
        </xdr:cNvSpPr>
      </xdr:nvSpPr>
      <xdr:spPr bwMode="auto">
        <a:xfrm>
          <a:off x="1933575" y="61902975"/>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319</xdr:row>
      <xdr:rowOff>161925</xdr:rowOff>
    </xdr:from>
    <xdr:to>
      <xdr:col>2</xdr:col>
      <xdr:colOff>381000</xdr:colOff>
      <xdr:row>321</xdr:row>
      <xdr:rowOff>161925</xdr:rowOff>
    </xdr:to>
    <xdr:sp macro="" textlink="">
      <xdr:nvSpPr>
        <xdr:cNvPr id="837" name="Tegning 312">
          <a:extLst>
            <a:ext uri="{FF2B5EF4-FFF2-40B4-BE49-F238E27FC236}">
              <a16:creationId xmlns:a16="http://schemas.microsoft.com/office/drawing/2014/main" id="{00000000-0008-0000-0000-000045030000}"/>
            </a:ext>
          </a:extLst>
        </xdr:cNvPr>
        <xdr:cNvSpPr>
          <a:spLocks/>
        </xdr:cNvSpPr>
      </xdr:nvSpPr>
      <xdr:spPr bwMode="auto">
        <a:xfrm>
          <a:off x="1543050" y="6160770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319</xdr:row>
      <xdr:rowOff>142875</xdr:rowOff>
    </xdr:from>
    <xdr:to>
      <xdr:col>5</xdr:col>
      <xdr:colOff>209550</xdr:colOff>
      <xdr:row>319</xdr:row>
      <xdr:rowOff>142875</xdr:rowOff>
    </xdr:to>
    <xdr:sp macro="" textlink="">
      <xdr:nvSpPr>
        <xdr:cNvPr id="838" name="Line 1714">
          <a:extLst>
            <a:ext uri="{FF2B5EF4-FFF2-40B4-BE49-F238E27FC236}">
              <a16:creationId xmlns:a16="http://schemas.microsoft.com/office/drawing/2014/main" id="{00000000-0008-0000-0000-000046030000}"/>
            </a:ext>
          </a:extLst>
        </xdr:cNvPr>
        <xdr:cNvSpPr>
          <a:spLocks noChangeShapeType="1"/>
        </xdr:cNvSpPr>
      </xdr:nvSpPr>
      <xdr:spPr bwMode="auto">
        <a:xfrm>
          <a:off x="2705100" y="61588650"/>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319</xdr:row>
      <xdr:rowOff>171450</xdr:rowOff>
    </xdr:from>
    <xdr:to>
      <xdr:col>5</xdr:col>
      <xdr:colOff>47625</xdr:colOff>
      <xdr:row>321</xdr:row>
      <xdr:rowOff>28575</xdr:rowOff>
    </xdr:to>
    <xdr:sp macro="" textlink="">
      <xdr:nvSpPr>
        <xdr:cNvPr id="839" name="Line 1715">
          <a:extLst>
            <a:ext uri="{FF2B5EF4-FFF2-40B4-BE49-F238E27FC236}">
              <a16:creationId xmlns:a16="http://schemas.microsoft.com/office/drawing/2014/main" id="{00000000-0008-0000-0000-000047030000}"/>
            </a:ext>
          </a:extLst>
        </xdr:cNvPr>
        <xdr:cNvSpPr>
          <a:spLocks noChangeShapeType="1"/>
        </xdr:cNvSpPr>
      </xdr:nvSpPr>
      <xdr:spPr bwMode="auto">
        <a:xfrm flipH="1">
          <a:off x="2438400" y="616172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319</xdr:row>
      <xdr:rowOff>171450</xdr:rowOff>
    </xdr:from>
    <xdr:to>
      <xdr:col>5</xdr:col>
      <xdr:colOff>447675</xdr:colOff>
      <xdr:row>321</xdr:row>
      <xdr:rowOff>0</xdr:rowOff>
    </xdr:to>
    <xdr:sp macro="" textlink="">
      <xdr:nvSpPr>
        <xdr:cNvPr id="840" name="Line 1716">
          <a:extLst>
            <a:ext uri="{FF2B5EF4-FFF2-40B4-BE49-F238E27FC236}">
              <a16:creationId xmlns:a16="http://schemas.microsoft.com/office/drawing/2014/main" id="{00000000-0008-0000-0000-000048030000}"/>
            </a:ext>
          </a:extLst>
        </xdr:cNvPr>
        <xdr:cNvSpPr>
          <a:spLocks noChangeShapeType="1"/>
        </xdr:cNvSpPr>
      </xdr:nvSpPr>
      <xdr:spPr bwMode="auto">
        <a:xfrm>
          <a:off x="2895600" y="61617225"/>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321</xdr:row>
      <xdr:rowOff>47625</xdr:rowOff>
    </xdr:from>
    <xdr:to>
      <xdr:col>5</xdr:col>
      <xdr:colOff>238125</xdr:colOff>
      <xdr:row>322</xdr:row>
      <xdr:rowOff>209550</xdr:rowOff>
    </xdr:to>
    <xdr:sp macro="" textlink="">
      <xdr:nvSpPr>
        <xdr:cNvPr id="841" name="Tegning 316">
          <a:extLst>
            <a:ext uri="{FF2B5EF4-FFF2-40B4-BE49-F238E27FC236}">
              <a16:creationId xmlns:a16="http://schemas.microsoft.com/office/drawing/2014/main" id="{00000000-0008-0000-0000-000049030000}"/>
            </a:ext>
          </a:extLst>
        </xdr:cNvPr>
        <xdr:cNvSpPr>
          <a:spLocks/>
        </xdr:cNvSpPr>
      </xdr:nvSpPr>
      <xdr:spPr bwMode="auto">
        <a:xfrm>
          <a:off x="2657475" y="6187440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219075</xdr:colOff>
      <xdr:row>325</xdr:row>
      <xdr:rowOff>19050</xdr:rowOff>
    </xdr:from>
    <xdr:to>
      <xdr:col>5</xdr:col>
      <xdr:colOff>161925</xdr:colOff>
      <xdr:row>325</xdr:row>
      <xdr:rowOff>19050</xdr:rowOff>
    </xdr:to>
    <xdr:sp macro="" textlink="">
      <xdr:nvSpPr>
        <xdr:cNvPr id="842" name="Line 1718">
          <a:extLst>
            <a:ext uri="{FF2B5EF4-FFF2-40B4-BE49-F238E27FC236}">
              <a16:creationId xmlns:a16="http://schemas.microsoft.com/office/drawing/2014/main" id="{00000000-0008-0000-0000-00004A030000}"/>
            </a:ext>
          </a:extLst>
        </xdr:cNvPr>
        <xdr:cNvSpPr>
          <a:spLocks noChangeShapeType="1"/>
        </xdr:cNvSpPr>
      </xdr:nvSpPr>
      <xdr:spPr bwMode="auto">
        <a:xfrm>
          <a:off x="1600200" y="62607825"/>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323</xdr:row>
      <xdr:rowOff>28575</xdr:rowOff>
    </xdr:from>
    <xdr:to>
      <xdr:col>5</xdr:col>
      <xdr:colOff>123825</xdr:colOff>
      <xdr:row>325</xdr:row>
      <xdr:rowOff>66675</xdr:rowOff>
    </xdr:to>
    <xdr:sp macro="" textlink="">
      <xdr:nvSpPr>
        <xdr:cNvPr id="843" name="Line 1719">
          <a:extLst>
            <a:ext uri="{FF2B5EF4-FFF2-40B4-BE49-F238E27FC236}">
              <a16:creationId xmlns:a16="http://schemas.microsoft.com/office/drawing/2014/main" id="{00000000-0008-0000-0000-00004B030000}"/>
            </a:ext>
          </a:extLst>
        </xdr:cNvPr>
        <xdr:cNvSpPr>
          <a:spLocks noChangeShapeType="1"/>
        </xdr:cNvSpPr>
      </xdr:nvSpPr>
      <xdr:spPr bwMode="auto">
        <a:xfrm>
          <a:off x="2781300" y="62236350"/>
          <a:ext cx="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323</xdr:row>
      <xdr:rowOff>123825</xdr:rowOff>
    </xdr:from>
    <xdr:to>
      <xdr:col>3</xdr:col>
      <xdr:colOff>114300</xdr:colOff>
      <xdr:row>325</xdr:row>
      <xdr:rowOff>95250</xdr:rowOff>
    </xdr:to>
    <xdr:sp macro="" textlink="">
      <xdr:nvSpPr>
        <xdr:cNvPr id="844" name="Line 1720">
          <a:extLst>
            <a:ext uri="{FF2B5EF4-FFF2-40B4-BE49-F238E27FC236}">
              <a16:creationId xmlns:a16="http://schemas.microsoft.com/office/drawing/2014/main" id="{00000000-0008-0000-0000-00004C030000}"/>
            </a:ext>
          </a:extLst>
        </xdr:cNvPr>
        <xdr:cNvSpPr>
          <a:spLocks noChangeShapeType="1"/>
        </xdr:cNvSpPr>
      </xdr:nvSpPr>
      <xdr:spPr bwMode="auto">
        <a:xfrm>
          <a:off x="2076450" y="6233160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322</xdr:row>
      <xdr:rowOff>47625</xdr:rowOff>
    </xdr:from>
    <xdr:to>
      <xdr:col>2</xdr:col>
      <xdr:colOff>266700</xdr:colOff>
      <xdr:row>325</xdr:row>
      <xdr:rowOff>66675</xdr:rowOff>
    </xdr:to>
    <xdr:sp macro="" textlink="">
      <xdr:nvSpPr>
        <xdr:cNvPr id="845" name="Line 1721">
          <a:extLst>
            <a:ext uri="{FF2B5EF4-FFF2-40B4-BE49-F238E27FC236}">
              <a16:creationId xmlns:a16="http://schemas.microsoft.com/office/drawing/2014/main" id="{00000000-0008-0000-0000-00004D030000}"/>
            </a:ext>
          </a:extLst>
        </xdr:cNvPr>
        <xdr:cNvSpPr>
          <a:spLocks noChangeShapeType="1"/>
        </xdr:cNvSpPr>
      </xdr:nvSpPr>
      <xdr:spPr bwMode="auto">
        <a:xfrm>
          <a:off x="1647825" y="62064900"/>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324</xdr:row>
      <xdr:rowOff>171450</xdr:rowOff>
    </xdr:from>
    <xdr:to>
      <xdr:col>2</xdr:col>
      <xdr:colOff>314325</xdr:colOff>
      <xdr:row>325</xdr:row>
      <xdr:rowOff>66675</xdr:rowOff>
    </xdr:to>
    <xdr:sp macro="" textlink="">
      <xdr:nvSpPr>
        <xdr:cNvPr id="846" name="Line 1722">
          <a:extLst>
            <a:ext uri="{FF2B5EF4-FFF2-40B4-BE49-F238E27FC236}">
              <a16:creationId xmlns:a16="http://schemas.microsoft.com/office/drawing/2014/main" id="{00000000-0008-0000-0000-00004E030000}"/>
            </a:ext>
          </a:extLst>
        </xdr:cNvPr>
        <xdr:cNvSpPr>
          <a:spLocks noChangeShapeType="1"/>
        </xdr:cNvSpPr>
      </xdr:nvSpPr>
      <xdr:spPr bwMode="auto">
        <a:xfrm flipH="1">
          <a:off x="1600200" y="625697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324</xdr:row>
      <xdr:rowOff>209550</xdr:rowOff>
    </xdr:from>
    <xdr:to>
      <xdr:col>3</xdr:col>
      <xdr:colOff>142875</xdr:colOff>
      <xdr:row>325</xdr:row>
      <xdr:rowOff>76200</xdr:rowOff>
    </xdr:to>
    <xdr:sp macro="" textlink="">
      <xdr:nvSpPr>
        <xdr:cNvPr id="847" name="Line 1723">
          <a:extLst>
            <a:ext uri="{FF2B5EF4-FFF2-40B4-BE49-F238E27FC236}">
              <a16:creationId xmlns:a16="http://schemas.microsoft.com/office/drawing/2014/main" id="{00000000-0008-0000-0000-00004F030000}"/>
            </a:ext>
          </a:extLst>
        </xdr:cNvPr>
        <xdr:cNvSpPr>
          <a:spLocks noChangeShapeType="1"/>
        </xdr:cNvSpPr>
      </xdr:nvSpPr>
      <xdr:spPr bwMode="auto">
        <a:xfrm flipH="1">
          <a:off x="2019300" y="625887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324</xdr:row>
      <xdr:rowOff>190500</xdr:rowOff>
    </xdr:from>
    <xdr:to>
      <xdr:col>5</xdr:col>
      <xdr:colOff>161925</xdr:colOff>
      <xdr:row>325</xdr:row>
      <xdr:rowOff>66675</xdr:rowOff>
    </xdr:to>
    <xdr:sp macro="" textlink="">
      <xdr:nvSpPr>
        <xdr:cNvPr id="848" name="Line 1724">
          <a:extLst>
            <a:ext uri="{FF2B5EF4-FFF2-40B4-BE49-F238E27FC236}">
              <a16:creationId xmlns:a16="http://schemas.microsoft.com/office/drawing/2014/main" id="{00000000-0008-0000-0000-000050030000}"/>
            </a:ext>
          </a:extLst>
        </xdr:cNvPr>
        <xdr:cNvSpPr>
          <a:spLocks noChangeShapeType="1"/>
        </xdr:cNvSpPr>
      </xdr:nvSpPr>
      <xdr:spPr bwMode="auto">
        <a:xfrm flipH="1">
          <a:off x="2724150" y="62588775"/>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319</xdr:row>
      <xdr:rowOff>95250</xdr:rowOff>
    </xdr:from>
    <xdr:to>
      <xdr:col>6</xdr:col>
      <xdr:colOff>0</xdr:colOff>
      <xdr:row>319</xdr:row>
      <xdr:rowOff>209550</xdr:rowOff>
    </xdr:to>
    <xdr:sp macro="" textlink="">
      <xdr:nvSpPr>
        <xdr:cNvPr id="849" name="Line 1725">
          <a:extLst>
            <a:ext uri="{FF2B5EF4-FFF2-40B4-BE49-F238E27FC236}">
              <a16:creationId xmlns:a16="http://schemas.microsoft.com/office/drawing/2014/main" id="{00000000-0008-0000-0000-000051030000}"/>
            </a:ext>
          </a:extLst>
        </xdr:cNvPr>
        <xdr:cNvSpPr>
          <a:spLocks noChangeShapeType="1"/>
        </xdr:cNvSpPr>
      </xdr:nvSpPr>
      <xdr:spPr bwMode="auto">
        <a:xfrm flipH="1">
          <a:off x="3314700" y="615410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320</xdr:row>
      <xdr:rowOff>209550</xdr:rowOff>
    </xdr:from>
    <xdr:to>
      <xdr:col>5</xdr:col>
      <xdr:colOff>742950</xdr:colOff>
      <xdr:row>321</xdr:row>
      <xdr:rowOff>95250</xdr:rowOff>
    </xdr:to>
    <xdr:sp macro="" textlink="">
      <xdr:nvSpPr>
        <xdr:cNvPr id="850" name="Line 1726">
          <a:extLst>
            <a:ext uri="{FF2B5EF4-FFF2-40B4-BE49-F238E27FC236}">
              <a16:creationId xmlns:a16="http://schemas.microsoft.com/office/drawing/2014/main" id="{00000000-0008-0000-0000-000052030000}"/>
            </a:ext>
          </a:extLst>
        </xdr:cNvPr>
        <xdr:cNvSpPr>
          <a:spLocks noChangeShapeType="1"/>
        </xdr:cNvSpPr>
      </xdr:nvSpPr>
      <xdr:spPr bwMode="auto">
        <a:xfrm flipH="1">
          <a:off x="3314700" y="618267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317</xdr:row>
      <xdr:rowOff>47625</xdr:rowOff>
    </xdr:from>
    <xdr:to>
      <xdr:col>5</xdr:col>
      <xdr:colOff>47625</xdr:colOff>
      <xdr:row>318</xdr:row>
      <xdr:rowOff>142875</xdr:rowOff>
    </xdr:to>
    <xdr:sp macro="" textlink="">
      <xdr:nvSpPr>
        <xdr:cNvPr id="851" name="Line 1727">
          <a:extLst>
            <a:ext uri="{FF2B5EF4-FFF2-40B4-BE49-F238E27FC236}">
              <a16:creationId xmlns:a16="http://schemas.microsoft.com/office/drawing/2014/main" id="{00000000-0008-0000-0000-000053030000}"/>
            </a:ext>
          </a:extLst>
        </xdr:cNvPr>
        <xdr:cNvSpPr>
          <a:spLocks noChangeShapeType="1"/>
        </xdr:cNvSpPr>
      </xdr:nvSpPr>
      <xdr:spPr bwMode="auto">
        <a:xfrm flipV="1">
          <a:off x="2705100" y="611124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314</xdr:row>
      <xdr:rowOff>152400</xdr:rowOff>
    </xdr:from>
    <xdr:to>
      <xdr:col>5</xdr:col>
      <xdr:colOff>209550</xdr:colOff>
      <xdr:row>318</xdr:row>
      <xdr:rowOff>161925</xdr:rowOff>
    </xdr:to>
    <xdr:sp macro="" textlink="">
      <xdr:nvSpPr>
        <xdr:cNvPr id="852" name="Line 1728">
          <a:extLst>
            <a:ext uri="{FF2B5EF4-FFF2-40B4-BE49-F238E27FC236}">
              <a16:creationId xmlns:a16="http://schemas.microsoft.com/office/drawing/2014/main" id="{00000000-0008-0000-0000-000054030000}"/>
            </a:ext>
          </a:extLst>
        </xdr:cNvPr>
        <xdr:cNvSpPr>
          <a:spLocks noChangeShapeType="1"/>
        </xdr:cNvSpPr>
      </xdr:nvSpPr>
      <xdr:spPr bwMode="auto">
        <a:xfrm flipV="1">
          <a:off x="2867025" y="60645675"/>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317</xdr:row>
      <xdr:rowOff>85725</xdr:rowOff>
    </xdr:from>
    <xdr:to>
      <xdr:col>5</xdr:col>
      <xdr:colOff>276225</xdr:colOff>
      <xdr:row>317</xdr:row>
      <xdr:rowOff>85725</xdr:rowOff>
    </xdr:to>
    <xdr:sp macro="" textlink="">
      <xdr:nvSpPr>
        <xdr:cNvPr id="853" name="Line 1729">
          <a:extLst>
            <a:ext uri="{FF2B5EF4-FFF2-40B4-BE49-F238E27FC236}">
              <a16:creationId xmlns:a16="http://schemas.microsoft.com/office/drawing/2014/main" id="{00000000-0008-0000-0000-000055030000}"/>
            </a:ext>
          </a:extLst>
        </xdr:cNvPr>
        <xdr:cNvSpPr>
          <a:spLocks noChangeShapeType="1"/>
        </xdr:cNvSpPr>
      </xdr:nvSpPr>
      <xdr:spPr bwMode="auto">
        <a:xfrm>
          <a:off x="2686050" y="61150500"/>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317</xdr:row>
      <xdr:rowOff>47625</xdr:rowOff>
    </xdr:from>
    <xdr:to>
      <xdr:col>5</xdr:col>
      <xdr:colOff>95250</xdr:colOff>
      <xdr:row>317</xdr:row>
      <xdr:rowOff>123825</xdr:rowOff>
    </xdr:to>
    <xdr:sp macro="" textlink="">
      <xdr:nvSpPr>
        <xdr:cNvPr id="854" name="Line 1730">
          <a:extLst>
            <a:ext uri="{FF2B5EF4-FFF2-40B4-BE49-F238E27FC236}">
              <a16:creationId xmlns:a16="http://schemas.microsoft.com/office/drawing/2014/main" id="{00000000-0008-0000-0000-000056030000}"/>
            </a:ext>
          </a:extLst>
        </xdr:cNvPr>
        <xdr:cNvSpPr>
          <a:spLocks noChangeShapeType="1"/>
        </xdr:cNvSpPr>
      </xdr:nvSpPr>
      <xdr:spPr bwMode="auto">
        <a:xfrm flipV="1">
          <a:off x="2657475" y="611124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317</xdr:row>
      <xdr:rowOff>0</xdr:rowOff>
    </xdr:from>
    <xdr:to>
      <xdr:col>3</xdr:col>
      <xdr:colOff>266700</xdr:colOff>
      <xdr:row>317</xdr:row>
      <xdr:rowOff>0</xdr:rowOff>
    </xdr:to>
    <xdr:sp macro="" textlink="">
      <xdr:nvSpPr>
        <xdr:cNvPr id="855" name="Line 1731">
          <a:extLst>
            <a:ext uri="{FF2B5EF4-FFF2-40B4-BE49-F238E27FC236}">
              <a16:creationId xmlns:a16="http://schemas.microsoft.com/office/drawing/2014/main" id="{00000000-0008-0000-0000-000057030000}"/>
            </a:ext>
          </a:extLst>
        </xdr:cNvPr>
        <xdr:cNvSpPr>
          <a:spLocks noChangeShapeType="1"/>
        </xdr:cNvSpPr>
      </xdr:nvSpPr>
      <xdr:spPr bwMode="auto">
        <a:xfrm>
          <a:off x="1381125" y="61064775"/>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316</xdr:row>
      <xdr:rowOff>142875</xdr:rowOff>
    </xdr:from>
    <xdr:to>
      <xdr:col>3</xdr:col>
      <xdr:colOff>104775</xdr:colOff>
      <xdr:row>318</xdr:row>
      <xdr:rowOff>76200</xdr:rowOff>
    </xdr:to>
    <xdr:sp macro="" textlink="">
      <xdr:nvSpPr>
        <xdr:cNvPr id="856" name="Line 1732">
          <a:extLst>
            <a:ext uri="{FF2B5EF4-FFF2-40B4-BE49-F238E27FC236}">
              <a16:creationId xmlns:a16="http://schemas.microsoft.com/office/drawing/2014/main" id="{00000000-0008-0000-0000-000058030000}"/>
            </a:ext>
          </a:extLst>
        </xdr:cNvPr>
        <xdr:cNvSpPr>
          <a:spLocks noChangeShapeType="1"/>
        </xdr:cNvSpPr>
      </xdr:nvSpPr>
      <xdr:spPr bwMode="auto">
        <a:xfrm flipV="1">
          <a:off x="2066925" y="61017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316</xdr:row>
      <xdr:rowOff>142875</xdr:rowOff>
    </xdr:from>
    <xdr:to>
      <xdr:col>2</xdr:col>
      <xdr:colOff>266700</xdr:colOff>
      <xdr:row>319</xdr:row>
      <xdr:rowOff>76200</xdr:rowOff>
    </xdr:to>
    <xdr:sp macro="" textlink="">
      <xdr:nvSpPr>
        <xdr:cNvPr id="857" name="Line 1733">
          <a:extLst>
            <a:ext uri="{FF2B5EF4-FFF2-40B4-BE49-F238E27FC236}">
              <a16:creationId xmlns:a16="http://schemas.microsoft.com/office/drawing/2014/main" id="{00000000-0008-0000-0000-000059030000}"/>
            </a:ext>
          </a:extLst>
        </xdr:cNvPr>
        <xdr:cNvSpPr>
          <a:spLocks noChangeShapeType="1"/>
        </xdr:cNvSpPr>
      </xdr:nvSpPr>
      <xdr:spPr bwMode="auto">
        <a:xfrm flipV="1">
          <a:off x="1647825" y="61017150"/>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318</xdr:row>
      <xdr:rowOff>19050</xdr:rowOff>
    </xdr:from>
    <xdr:to>
      <xdr:col>2</xdr:col>
      <xdr:colOff>438150</xdr:colOff>
      <xdr:row>322</xdr:row>
      <xdr:rowOff>142875</xdr:rowOff>
    </xdr:to>
    <xdr:sp macro="" textlink="">
      <xdr:nvSpPr>
        <xdr:cNvPr id="858" name="Line 1734">
          <a:extLst>
            <a:ext uri="{FF2B5EF4-FFF2-40B4-BE49-F238E27FC236}">
              <a16:creationId xmlns:a16="http://schemas.microsoft.com/office/drawing/2014/main" id="{00000000-0008-0000-0000-00005A030000}"/>
            </a:ext>
          </a:extLst>
        </xdr:cNvPr>
        <xdr:cNvSpPr>
          <a:spLocks noChangeShapeType="1"/>
        </xdr:cNvSpPr>
      </xdr:nvSpPr>
      <xdr:spPr bwMode="auto">
        <a:xfrm>
          <a:off x="1819275" y="61274325"/>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316</xdr:row>
      <xdr:rowOff>142875</xdr:rowOff>
    </xdr:from>
    <xdr:to>
      <xdr:col>3</xdr:col>
      <xdr:colOff>161925</xdr:colOff>
      <xdr:row>317</xdr:row>
      <xdr:rowOff>38100</xdr:rowOff>
    </xdr:to>
    <xdr:sp macro="" textlink="">
      <xdr:nvSpPr>
        <xdr:cNvPr id="859" name="Line 1735">
          <a:extLst>
            <a:ext uri="{FF2B5EF4-FFF2-40B4-BE49-F238E27FC236}">
              <a16:creationId xmlns:a16="http://schemas.microsoft.com/office/drawing/2014/main" id="{00000000-0008-0000-0000-00005B030000}"/>
            </a:ext>
          </a:extLst>
        </xdr:cNvPr>
        <xdr:cNvSpPr>
          <a:spLocks noChangeShapeType="1"/>
        </xdr:cNvSpPr>
      </xdr:nvSpPr>
      <xdr:spPr bwMode="auto">
        <a:xfrm flipH="1">
          <a:off x="2028825" y="610171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316</xdr:row>
      <xdr:rowOff>114300</xdr:rowOff>
    </xdr:from>
    <xdr:to>
      <xdr:col>3</xdr:col>
      <xdr:colOff>19050</xdr:colOff>
      <xdr:row>317</xdr:row>
      <xdr:rowOff>47625</xdr:rowOff>
    </xdr:to>
    <xdr:sp macro="" textlink="">
      <xdr:nvSpPr>
        <xdr:cNvPr id="860" name="Line 1736">
          <a:extLst>
            <a:ext uri="{FF2B5EF4-FFF2-40B4-BE49-F238E27FC236}">
              <a16:creationId xmlns:a16="http://schemas.microsoft.com/office/drawing/2014/main" id="{00000000-0008-0000-0000-00005C030000}"/>
            </a:ext>
          </a:extLst>
        </xdr:cNvPr>
        <xdr:cNvSpPr>
          <a:spLocks noChangeShapeType="1"/>
        </xdr:cNvSpPr>
      </xdr:nvSpPr>
      <xdr:spPr bwMode="auto">
        <a:xfrm flipH="1">
          <a:off x="1885950" y="60988575"/>
          <a:ext cx="952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316</xdr:row>
      <xdr:rowOff>123825</xdr:rowOff>
    </xdr:from>
    <xdr:to>
      <xdr:col>2</xdr:col>
      <xdr:colOff>466725</xdr:colOff>
      <xdr:row>317</xdr:row>
      <xdr:rowOff>47625</xdr:rowOff>
    </xdr:to>
    <xdr:sp macro="" textlink="">
      <xdr:nvSpPr>
        <xdr:cNvPr id="861" name="Line 1737">
          <a:extLst>
            <a:ext uri="{FF2B5EF4-FFF2-40B4-BE49-F238E27FC236}">
              <a16:creationId xmlns:a16="http://schemas.microsoft.com/office/drawing/2014/main" id="{00000000-0008-0000-0000-00005D030000}"/>
            </a:ext>
          </a:extLst>
        </xdr:cNvPr>
        <xdr:cNvSpPr>
          <a:spLocks noChangeShapeType="1"/>
        </xdr:cNvSpPr>
      </xdr:nvSpPr>
      <xdr:spPr bwMode="auto">
        <a:xfrm flipH="1">
          <a:off x="1771650" y="60998100"/>
          <a:ext cx="762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316</xdr:row>
      <xdr:rowOff>28575</xdr:rowOff>
    </xdr:from>
    <xdr:to>
      <xdr:col>2</xdr:col>
      <xdr:colOff>495300</xdr:colOff>
      <xdr:row>317</xdr:row>
      <xdr:rowOff>9525</xdr:rowOff>
    </xdr:to>
    <xdr:sp macro="" textlink="">
      <xdr:nvSpPr>
        <xdr:cNvPr id="862" name="Line 1738">
          <a:extLst>
            <a:ext uri="{FF2B5EF4-FFF2-40B4-BE49-F238E27FC236}">
              <a16:creationId xmlns:a16="http://schemas.microsoft.com/office/drawing/2014/main" id="{00000000-0008-0000-0000-00005E030000}"/>
            </a:ext>
          </a:extLst>
        </xdr:cNvPr>
        <xdr:cNvSpPr>
          <a:spLocks noChangeShapeType="1"/>
        </xdr:cNvSpPr>
      </xdr:nvSpPr>
      <xdr:spPr bwMode="auto">
        <a:xfrm>
          <a:off x="1838325" y="60902850"/>
          <a:ext cx="3810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317</xdr:row>
      <xdr:rowOff>161925</xdr:rowOff>
    </xdr:from>
    <xdr:to>
      <xdr:col>2</xdr:col>
      <xdr:colOff>95250</xdr:colOff>
      <xdr:row>318</xdr:row>
      <xdr:rowOff>123825</xdr:rowOff>
    </xdr:to>
    <xdr:sp macro="" textlink="">
      <xdr:nvSpPr>
        <xdr:cNvPr id="863" name="Line 1739">
          <a:extLst>
            <a:ext uri="{FF2B5EF4-FFF2-40B4-BE49-F238E27FC236}">
              <a16:creationId xmlns:a16="http://schemas.microsoft.com/office/drawing/2014/main" id="{00000000-0008-0000-0000-00005F030000}"/>
            </a:ext>
          </a:extLst>
        </xdr:cNvPr>
        <xdr:cNvSpPr>
          <a:spLocks noChangeShapeType="1"/>
        </xdr:cNvSpPr>
      </xdr:nvSpPr>
      <xdr:spPr bwMode="auto">
        <a:xfrm flipV="1">
          <a:off x="1476375" y="61226700"/>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315</xdr:row>
      <xdr:rowOff>0</xdr:rowOff>
    </xdr:from>
    <xdr:to>
      <xdr:col>5</xdr:col>
      <xdr:colOff>285750</xdr:colOff>
      <xdr:row>315</xdr:row>
      <xdr:rowOff>0</xdr:rowOff>
    </xdr:to>
    <xdr:sp macro="" textlink="">
      <xdr:nvSpPr>
        <xdr:cNvPr id="864" name="Line 1740">
          <a:extLst>
            <a:ext uri="{FF2B5EF4-FFF2-40B4-BE49-F238E27FC236}">
              <a16:creationId xmlns:a16="http://schemas.microsoft.com/office/drawing/2014/main" id="{00000000-0008-0000-0000-000060030000}"/>
            </a:ext>
          </a:extLst>
        </xdr:cNvPr>
        <xdr:cNvSpPr>
          <a:spLocks noChangeShapeType="1"/>
        </xdr:cNvSpPr>
      </xdr:nvSpPr>
      <xdr:spPr bwMode="auto">
        <a:xfrm flipH="1">
          <a:off x="1438275" y="60683775"/>
          <a:ext cx="1504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314</xdr:row>
      <xdr:rowOff>123825</xdr:rowOff>
    </xdr:from>
    <xdr:to>
      <xdr:col>2</xdr:col>
      <xdr:colOff>142875</xdr:colOff>
      <xdr:row>315</xdr:row>
      <xdr:rowOff>47625</xdr:rowOff>
    </xdr:to>
    <xdr:sp macro="" textlink="">
      <xdr:nvSpPr>
        <xdr:cNvPr id="865" name="Line 1741">
          <a:extLst>
            <a:ext uri="{FF2B5EF4-FFF2-40B4-BE49-F238E27FC236}">
              <a16:creationId xmlns:a16="http://schemas.microsoft.com/office/drawing/2014/main" id="{00000000-0008-0000-0000-000061030000}"/>
            </a:ext>
          </a:extLst>
        </xdr:cNvPr>
        <xdr:cNvSpPr>
          <a:spLocks noChangeShapeType="1"/>
        </xdr:cNvSpPr>
      </xdr:nvSpPr>
      <xdr:spPr bwMode="auto">
        <a:xfrm flipH="1">
          <a:off x="1428750" y="606171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314</xdr:row>
      <xdr:rowOff>142875</xdr:rowOff>
    </xdr:from>
    <xdr:to>
      <xdr:col>5</xdr:col>
      <xdr:colOff>257175</xdr:colOff>
      <xdr:row>315</xdr:row>
      <xdr:rowOff>38100</xdr:rowOff>
    </xdr:to>
    <xdr:sp macro="" textlink="">
      <xdr:nvSpPr>
        <xdr:cNvPr id="866" name="Line 1742">
          <a:extLst>
            <a:ext uri="{FF2B5EF4-FFF2-40B4-BE49-F238E27FC236}">
              <a16:creationId xmlns:a16="http://schemas.microsoft.com/office/drawing/2014/main" id="{00000000-0008-0000-0000-000062030000}"/>
            </a:ext>
          </a:extLst>
        </xdr:cNvPr>
        <xdr:cNvSpPr>
          <a:spLocks noChangeShapeType="1"/>
        </xdr:cNvSpPr>
      </xdr:nvSpPr>
      <xdr:spPr bwMode="auto">
        <a:xfrm flipH="1">
          <a:off x="2828925" y="606361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316</xdr:row>
      <xdr:rowOff>142875</xdr:rowOff>
    </xdr:from>
    <xdr:to>
      <xdr:col>2</xdr:col>
      <xdr:colOff>304800</xdr:colOff>
      <xdr:row>317</xdr:row>
      <xdr:rowOff>38100</xdr:rowOff>
    </xdr:to>
    <xdr:sp macro="" textlink="">
      <xdr:nvSpPr>
        <xdr:cNvPr id="867" name="Line 1743">
          <a:extLst>
            <a:ext uri="{FF2B5EF4-FFF2-40B4-BE49-F238E27FC236}">
              <a16:creationId xmlns:a16="http://schemas.microsoft.com/office/drawing/2014/main" id="{00000000-0008-0000-0000-000063030000}"/>
            </a:ext>
          </a:extLst>
        </xdr:cNvPr>
        <xdr:cNvSpPr>
          <a:spLocks noChangeShapeType="1"/>
        </xdr:cNvSpPr>
      </xdr:nvSpPr>
      <xdr:spPr bwMode="auto">
        <a:xfrm flipH="1">
          <a:off x="1590675" y="610171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314</xdr:row>
      <xdr:rowOff>123825</xdr:rowOff>
    </xdr:from>
    <xdr:to>
      <xdr:col>2</xdr:col>
      <xdr:colOff>95250</xdr:colOff>
      <xdr:row>317</xdr:row>
      <xdr:rowOff>38100</xdr:rowOff>
    </xdr:to>
    <xdr:sp macro="" textlink="">
      <xdr:nvSpPr>
        <xdr:cNvPr id="868" name="Line 1744">
          <a:extLst>
            <a:ext uri="{FF2B5EF4-FFF2-40B4-BE49-F238E27FC236}">
              <a16:creationId xmlns:a16="http://schemas.microsoft.com/office/drawing/2014/main" id="{00000000-0008-0000-0000-000064030000}"/>
            </a:ext>
          </a:extLst>
        </xdr:cNvPr>
        <xdr:cNvSpPr>
          <a:spLocks noChangeShapeType="1"/>
        </xdr:cNvSpPr>
      </xdr:nvSpPr>
      <xdr:spPr bwMode="auto">
        <a:xfrm>
          <a:off x="1476375" y="6061710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318</xdr:row>
      <xdr:rowOff>171450</xdr:rowOff>
    </xdr:from>
    <xdr:to>
      <xdr:col>5</xdr:col>
      <xdr:colOff>638175</xdr:colOff>
      <xdr:row>320</xdr:row>
      <xdr:rowOff>209550</xdr:rowOff>
    </xdr:to>
    <xdr:sp macro="" textlink="">
      <xdr:nvSpPr>
        <xdr:cNvPr id="869" name="Tegning 344">
          <a:extLst>
            <a:ext uri="{FF2B5EF4-FFF2-40B4-BE49-F238E27FC236}">
              <a16:creationId xmlns:a16="http://schemas.microsoft.com/office/drawing/2014/main" id="{00000000-0008-0000-0000-000065030000}"/>
            </a:ext>
          </a:extLst>
        </xdr:cNvPr>
        <xdr:cNvSpPr>
          <a:spLocks/>
        </xdr:cNvSpPr>
      </xdr:nvSpPr>
      <xdr:spPr bwMode="auto">
        <a:xfrm>
          <a:off x="2066925" y="61426725"/>
          <a:ext cx="1228725" cy="4000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317</xdr:row>
      <xdr:rowOff>47625</xdr:rowOff>
    </xdr:from>
    <xdr:to>
      <xdr:col>5</xdr:col>
      <xdr:colOff>257175</xdr:colOff>
      <xdr:row>317</xdr:row>
      <xdr:rowOff>114300</xdr:rowOff>
    </xdr:to>
    <xdr:sp macro="" textlink="">
      <xdr:nvSpPr>
        <xdr:cNvPr id="870" name="Line 1746">
          <a:extLst>
            <a:ext uri="{FF2B5EF4-FFF2-40B4-BE49-F238E27FC236}">
              <a16:creationId xmlns:a16="http://schemas.microsoft.com/office/drawing/2014/main" id="{00000000-0008-0000-0000-000066030000}"/>
            </a:ext>
          </a:extLst>
        </xdr:cNvPr>
        <xdr:cNvSpPr>
          <a:spLocks noChangeShapeType="1"/>
        </xdr:cNvSpPr>
      </xdr:nvSpPr>
      <xdr:spPr bwMode="auto">
        <a:xfrm flipH="1">
          <a:off x="2838450" y="611124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371475</xdr:colOff>
      <xdr:row>319</xdr:row>
      <xdr:rowOff>161925</xdr:rowOff>
    </xdr:from>
    <xdr:to>
      <xdr:col>6</xdr:col>
      <xdr:colOff>9525</xdr:colOff>
      <xdr:row>319</xdr:row>
      <xdr:rowOff>161925</xdr:rowOff>
    </xdr:to>
    <xdr:sp macro="" textlink="">
      <xdr:nvSpPr>
        <xdr:cNvPr id="871" name="Line 1747">
          <a:extLst>
            <a:ext uri="{FF2B5EF4-FFF2-40B4-BE49-F238E27FC236}">
              <a16:creationId xmlns:a16="http://schemas.microsoft.com/office/drawing/2014/main" id="{00000000-0008-0000-0000-000067030000}"/>
            </a:ext>
          </a:extLst>
        </xdr:cNvPr>
        <xdr:cNvSpPr>
          <a:spLocks noChangeShapeType="1"/>
        </xdr:cNvSpPr>
      </xdr:nvSpPr>
      <xdr:spPr bwMode="auto">
        <a:xfrm>
          <a:off x="3028950" y="61607700"/>
          <a:ext cx="390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321</xdr:row>
      <xdr:rowOff>47625</xdr:rowOff>
    </xdr:from>
    <xdr:to>
      <xdr:col>6</xdr:col>
      <xdr:colOff>19050</xdr:colOff>
      <xdr:row>321</xdr:row>
      <xdr:rowOff>47625</xdr:rowOff>
    </xdr:to>
    <xdr:sp macro="" textlink="">
      <xdr:nvSpPr>
        <xdr:cNvPr id="872" name="Line 1748">
          <a:extLst>
            <a:ext uri="{FF2B5EF4-FFF2-40B4-BE49-F238E27FC236}">
              <a16:creationId xmlns:a16="http://schemas.microsoft.com/office/drawing/2014/main" id="{00000000-0008-0000-0000-000068030000}"/>
            </a:ext>
          </a:extLst>
        </xdr:cNvPr>
        <xdr:cNvSpPr>
          <a:spLocks noChangeShapeType="1"/>
        </xdr:cNvSpPr>
      </xdr:nvSpPr>
      <xdr:spPr bwMode="auto">
        <a:xfrm>
          <a:off x="3305175" y="61874400"/>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316</xdr:row>
      <xdr:rowOff>142875</xdr:rowOff>
    </xdr:from>
    <xdr:to>
      <xdr:col>2</xdr:col>
      <xdr:colOff>552450</xdr:colOff>
      <xdr:row>317</xdr:row>
      <xdr:rowOff>123825</xdr:rowOff>
    </xdr:to>
    <xdr:sp macro="" textlink="">
      <xdr:nvSpPr>
        <xdr:cNvPr id="873" name="Line 1749">
          <a:extLst>
            <a:ext uri="{FF2B5EF4-FFF2-40B4-BE49-F238E27FC236}">
              <a16:creationId xmlns:a16="http://schemas.microsoft.com/office/drawing/2014/main" id="{00000000-0008-0000-0000-000069030000}"/>
            </a:ext>
          </a:extLst>
        </xdr:cNvPr>
        <xdr:cNvSpPr>
          <a:spLocks noChangeShapeType="1"/>
        </xdr:cNvSpPr>
      </xdr:nvSpPr>
      <xdr:spPr bwMode="auto">
        <a:xfrm flipV="1">
          <a:off x="1933575" y="61017150"/>
          <a:ext cx="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476250</xdr:colOff>
      <xdr:row>316</xdr:row>
      <xdr:rowOff>161925</xdr:rowOff>
    </xdr:from>
    <xdr:to>
      <xdr:col>2</xdr:col>
      <xdr:colOff>504825</xdr:colOff>
      <xdr:row>317</xdr:row>
      <xdr:rowOff>9525</xdr:rowOff>
    </xdr:to>
    <xdr:sp macro="" textlink="">
      <xdr:nvSpPr>
        <xdr:cNvPr id="874" name="Oval 1750">
          <a:extLst>
            <a:ext uri="{FF2B5EF4-FFF2-40B4-BE49-F238E27FC236}">
              <a16:creationId xmlns:a16="http://schemas.microsoft.com/office/drawing/2014/main" id="{00000000-0008-0000-0000-00006A030000}"/>
            </a:ext>
          </a:extLst>
        </xdr:cNvPr>
        <xdr:cNvSpPr>
          <a:spLocks noChangeArrowheads="1"/>
        </xdr:cNvSpPr>
      </xdr:nvSpPr>
      <xdr:spPr bwMode="auto">
        <a:xfrm>
          <a:off x="1857375" y="61036200"/>
          <a:ext cx="28575"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316</xdr:row>
      <xdr:rowOff>152400</xdr:rowOff>
    </xdr:from>
    <xdr:to>
      <xdr:col>2</xdr:col>
      <xdr:colOff>438150</xdr:colOff>
      <xdr:row>317</xdr:row>
      <xdr:rowOff>152400</xdr:rowOff>
    </xdr:to>
    <xdr:sp macro="" textlink="">
      <xdr:nvSpPr>
        <xdr:cNvPr id="875" name="Line 1751">
          <a:extLst>
            <a:ext uri="{FF2B5EF4-FFF2-40B4-BE49-F238E27FC236}">
              <a16:creationId xmlns:a16="http://schemas.microsoft.com/office/drawing/2014/main" id="{00000000-0008-0000-0000-00006B030000}"/>
            </a:ext>
          </a:extLst>
        </xdr:cNvPr>
        <xdr:cNvSpPr>
          <a:spLocks noChangeShapeType="1"/>
        </xdr:cNvSpPr>
      </xdr:nvSpPr>
      <xdr:spPr bwMode="auto">
        <a:xfrm flipV="1">
          <a:off x="1819275" y="61026675"/>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316</xdr:row>
      <xdr:rowOff>152400</xdr:rowOff>
    </xdr:from>
    <xdr:to>
      <xdr:col>2</xdr:col>
      <xdr:colOff>133350</xdr:colOff>
      <xdr:row>317</xdr:row>
      <xdr:rowOff>38100</xdr:rowOff>
    </xdr:to>
    <xdr:sp macro="" textlink="">
      <xdr:nvSpPr>
        <xdr:cNvPr id="876" name="Line 1752">
          <a:extLst>
            <a:ext uri="{FF2B5EF4-FFF2-40B4-BE49-F238E27FC236}">
              <a16:creationId xmlns:a16="http://schemas.microsoft.com/office/drawing/2014/main" id="{00000000-0008-0000-0000-00006C030000}"/>
            </a:ext>
          </a:extLst>
        </xdr:cNvPr>
        <xdr:cNvSpPr>
          <a:spLocks noChangeShapeType="1"/>
        </xdr:cNvSpPr>
      </xdr:nvSpPr>
      <xdr:spPr bwMode="auto">
        <a:xfrm flipH="1">
          <a:off x="1428750" y="610266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328</xdr:row>
      <xdr:rowOff>161925</xdr:rowOff>
    </xdr:from>
    <xdr:to>
      <xdr:col>6</xdr:col>
      <xdr:colOff>114300</xdr:colOff>
      <xdr:row>332</xdr:row>
      <xdr:rowOff>47625</xdr:rowOff>
    </xdr:to>
    <xdr:sp macro="" textlink="">
      <xdr:nvSpPr>
        <xdr:cNvPr id="877" name="Tegning 308">
          <a:extLst>
            <a:ext uri="{FF2B5EF4-FFF2-40B4-BE49-F238E27FC236}">
              <a16:creationId xmlns:a16="http://schemas.microsoft.com/office/drawing/2014/main" id="{00000000-0008-0000-0000-00006D030000}"/>
            </a:ext>
          </a:extLst>
        </xdr:cNvPr>
        <xdr:cNvSpPr>
          <a:spLocks/>
        </xdr:cNvSpPr>
      </xdr:nvSpPr>
      <xdr:spPr bwMode="auto">
        <a:xfrm>
          <a:off x="1933575" y="63322200"/>
          <a:ext cx="159067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332</xdr:row>
      <xdr:rowOff>19050</xdr:rowOff>
    </xdr:from>
    <xdr:to>
      <xdr:col>3</xdr:col>
      <xdr:colOff>247650</xdr:colOff>
      <xdr:row>334</xdr:row>
      <xdr:rowOff>28575</xdr:rowOff>
    </xdr:to>
    <xdr:sp macro="" textlink="">
      <xdr:nvSpPr>
        <xdr:cNvPr id="878" name="Tegning 311">
          <a:extLst>
            <a:ext uri="{FF2B5EF4-FFF2-40B4-BE49-F238E27FC236}">
              <a16:creationId xmlns:a16="http://schemas.microsoft.com/office/drawing/2014/main" id="{00000000-0008-0000-0000-00006E030000}"/>
            </a:ext>
          </a:extLst>
        </xdr:cNvPr>
        <xdr:cNvSpPr>
          <a:spLocks/>
        </xdr:cNvSpPr>
      </xdr:nvSpPr>
      <xdr:spPr bwMode="auto">
        <a:xfrm>
          <a:off x="1914525" y="63941325"/>
          <a:ext cx="295275" cy="4000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330</xdr:row>
      <xdr:rowOff>161925</xdr:rowOff>
    </xdr:from>
    <xdr:to>
      <xdr:col>2</xdr:col>
      <xdr:colOff>381000</xdr:colOff>
      <xdr:row>332</xdr:row>
      <xdr:rowOff>161925</xdr:rowOff>
    </xdr:to>
    <xdr:sp macro="" textlink="">
      <xdr:nvSpPr>
        <xdr:cNvPr id="879" name="Tegning 312">
          <a:extLst>
            <a:ext uri="{FF2B5EF4-FFF2-40B4-BE49-F238E27FC236}">
              <a16:creationId xmlns:a16="http://schemas.microsoft.com/office/drawing/2014/main" id="{00000000-0008-0000-0000-00006F030000}"/>
            </a:ext>
          </a:extLst>
        </xdr:cNvPr>
        <xdr:cNvSpPr>
          <a:spLocks/>
        </xdr:cNvSpPr>
      </xdr:nvSpPr>
      <xdr:spPr bwMode="auto">
        <a:xfrm>
          <a:off x="1543050" y="6370320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330</xdr:row>
      <xdr:rowOff>161925</xdr:rowOff>
    </xdr:from>
    <xdr:to>
      <xdr:col>5</xdr:col>
      <xdr:colOff>552450</xdr:colOff>
      <xdr:row>332</xdr:row>
      <xdr:rowOff>114300</xdr:rowOff>
    </xdr:to>
    <xdr:sp macro="" textlink="">
      <xdr:nvSpPr>
        <xdr:cNvPr id="880" name="Tegning 316">
          <a:extLst>
            <a:ext uri="{FF2B5EF4-FFF2-40B4-BE49-F238E27FC236}">
              <a16:creationId xmlns:a16="http://schemas.microsoft.com/office/drawing/2014/main" id="{00000000-0008-0000-0000-000070030000}"/>
            </a:ext>
          </a:extLst>
        </xdr:cNvPr>
        <xdr:cNvSpPr>
          <a:spLocks/>
        </xdr:cNvSpPr>
      </xdr:nvSpPr>
      <xdr:spPr bwMode="auto">
        <a:xfrm>
          <a:off x="2971800" y="6370320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329</xdr:row>
      <xdr:rowOff>142875</xdr:rowOff>
    </xdr:from>
    <xdr:to>
      <xdr:col>5</xdr:col>
      <xdr:colOff>638175</xdr:colOff>
      <xdr:row>332</xdr:row>
      <xdr:rowOff>0</xdr:rowOff>
    </xdr:to>
    <xdr:sp macro="" textlink="">
      <xdr:nvSpPr>
        <xdr:cNvPr id="881" name="Tegning 344">
          <a:extLst>
            <a:ext uri="{FF2B5EF4-FFF2-40B4-BE49-F238E27FC236}">
              <a16:creationId xmlns:a16="http://schemas.microsoft.com/office/drawing/2014/main" id="{00000000-0008-0000-0000-000071030000}"/>
            </a:ext>
          </a:extLst>
        </xdr:cNvPr>
        <xdr:cNvSpPr>
          <a:spLocks/>
        </xdr:cNvSpPr>
      </xdr:nvSpPr>
      <xdr:spPr bwMode="auto">
        <a:xfrm>
          <a:off x="2057400" y="63493650"/>
          <a:ext cx="1238250"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329</xdr:row>
      <xdr:rowOff>171450</xdr:rowOff>
    </xdr:from>
    <xdr:to>
      <xdr:col>5</xdr:col>
      <xdr:colOff>600075</xdr:colOff>
      <xdr:row>330</xdr:row>
      <xdr:rowOff>161925</xdr:rowOff>
    </xdr:to>
    <xdr:sp macro="" textlink="">
      <xdr:nvSpPr>
        <xdr:cNvPr id="882" name="Freeform 1758">
          <a:extLst>
            <a:ext uri="{FF2B5EF4-FFF2-40B4-BE49-F238E27FC236}">
              <a16:creationId xmlns:a16="http://schemas.microsoft.com/office/drawing/2014/main" id="{00000000-0008-0000-0000-000072030000}"/>
            </a:ext>
          </a:extLst>
        </xdr:cNvPr>
        <xdr:cNvSpPr>
          <a:spLocks/>
        </xdr:cNvSpPr>
      </xdr:nvSpPr>
      <xdr:spPr bwMode="auto">
        <a:xfrm>
          <a:off x="1933575" y="63522225"/>
          <a:ext cx="1323975" cy="180975"/>
        </a:xfrm>
        <a:custGeom>
          <a:avLst/>
          <a:gdLst>
            <a:gd name="T0" fmla="*/ 2147483646 w 134"/>
            <a:gd name="T1" fmla="*/ 0 h 19"/>
            <a:gd name="T2" fmla="*/ 2147483646 w 134"/>
            <a:gd name="T3" fmla="*/ 0 h 19"/>
            <a:gd name="T4" fmla="*/ 2147483646 w 134"/>
            <a:gd name="T5" fmla="*/ 2147483646 h 19"/>
            <a:gd name="T6" fmla="*/ 0 w 134"/>
            <a:gd name="T7" fmla="*/ 2147483646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330</xdr:row>
      <xdr:rowOff>0</xdr:rowOff>
    </xdr:from>
    <xdr:to>
      <xdr:col>5</xdr:col>
      <xdr:colOff>200025</xdr:colOff>
      <xdr:row>330</xdr:row>
      <xdr:rowOff>142875</xdr:rowOff>
    </xdr:to>
    <xdr:sp macro="" textlink="">
      <xdr:nvSpPr>
        <xdr:cNvPr id="883" name="Rectangle 1759">
          <a:extLst>
            <a:ext uri="{FF2B5EF4-FFF2-40B4-BE49-F238E27FC236}">
              <a16:creationId xmlns:a16="http://schemas.microsoft.com/office/drawing/2014/main" id="{00000000-0008-0000-0000-000073030000}"/>
            </a:ext>
          </a:extLst>
        </xdr:cNvPr>
        <xdr:cNvSpPr>
          <a:spLocks noChangeArrowheads="1"/>
        </xdr:cNvSpPr>
      </xdr:nvSpPr>
      <xdr:spPr bwMode="auto">
        <a:xfrm>
          <a:off x="1476375" y="63541275"/>
          <a:ext cx="1381125"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334</xdr:row>
      <xdr:rowOff>19050</xdr:rowOff>
    </xdr:from>
    <xdr:to>
      <xdr:col>5</xdr:col>
      <xdr:colOff>447675</xdr:colOff>
      <xdr:row>335</xdr:row>
      <xdr:rowOff>28575</xdr:rowOff>
    </xdr:to>
    <xdr:sp macro="" textlink="">
      <xdr:nvSpPr>
        <xdr:cNvPr id="884" name="Line 1760">
          <a:extLst>
            <a:ext uri="{FF2B5EF4-FFF2-40B4-BE49-F238E27FC236}">
              <a16:creationId xmlns:a16="http://schemas.microsoft.com/office/drawing/2014/main" id="{00000000-0008-0000-0000-000074030000}"/>
            </a:ext>
          </a:extLst>
        </xdr:cNvPr>
        <xdr:cNvSpPr>
          <a:spLocks noChangeShapeType="1"/>
        </xdr:cNvSpPr>
      </xdr:nvSpPr>
      <xdr:spPr bwMode="auto">
        <a:xfrm>
          <a:off x="3105150" y="643318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335</xdr:row>
      <xdr:rowOff>0</xdr:rowOff>
    </xdr:from>
    <xdr:to>
      <xdr:col>5</xdr:col>
      <xdr:colOff>571500</xdr:colOff>
      <xdr:row>335</xdr:row>
      <xdr:rowOff>0</xdr:rowOff>
    </xdr:to>
    <xdr:sp macro="" textlink="">
      <xdr:nvSpPr>
        <xdr:cNvPr id="885" name="Line 1761">
          <a:extLst>
            <a:ext uri="{FF2B5EF4-FFF2-40B4-BE49-F238E27FC236}">
              <a16:creationId xmlns:a16="http://schemas.microsoft.com/office/drawing/2014/main" id="{00000000-0008-0000-0000-000075030000}"/>
            </a:ext>
          </a:extLst>
        </xdr:cNvPr>
        <xdr:cNvSpPr>
          <a:spLocks noChangeShapeType="1"/>
        </xdr:cNvSpPr>
      </xdr:nvSpPr>
      <xdr:spPr bwMode="auto">
        <a:xfrm flipH="1">
          <a:off x="1581150" y="64503300"/>
          <a:ext cx="1647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334</xdr:row>
      <xdr:rowOff>85725</xdr:rowOff>
    </xdr:from>
    <xdr:to>
      <xdr:col>3</xdr:col>
      <xdr:colOff>95250</xdr:colOff>
      <xdr:row>335</xdr:row>
      <xdr:rowOff>28575</xdr:rowOff>
    </xdr:to>
    <xdr:sp macro="" textlink="">
      <xdr:nvSpPr>
        <xdr:cNvPr id="886" name="Line 1762">
          <a:extLst>
            <a:ext uri="{FF2B5EF4-FFF2-40B4-BE49-F238E27FC236}">
              <a16:creationId xmlns:a16="http://schemas.microsoft.com/office/drawing/2014/main" id="{00000000-0008-0000-0000-000076030000}"/>
            </a:ext>
          </a:extLst>
        </xdr:cNvPr>
        <xdr:cNvSpPr>
          <a:spLocks noChangeShapeType="1"/>
        </xdr:cNvSpPr>
      </xdr:nvSpPr>
      <xdr:spPr bwMode="auto">
        <a:xfrm>
          <a:off x="2057400" y="643985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334</xdr:row>
      <xdr:rowOff>152400</xdr:rowOff>
    </xdr:from>
    <xdr:to>
      <xdr:col>3</xdr:col>
      <xdr:colOff>123825</xdr:colOff>
      <xdr:row>335</xdr:row>
      <xdr:rowOff>28575</xdr:rowOff>
    </xdr:to>
    <xdr:sp macro="" textlink="">
      <xdr:nvSpPr>
        <xdr:cNvPr id="887" name="Line 1763">
          <a:extLst>
            <a:ext uri="{FF2B5EF4-FFF2-40B4-BE49-F238E27FC236}">
              <a16:creationId xmlns:a16="http://schemas.microsoft.com/office/drawing/2014/main" id="{00000000-0008-0000-0000-000077030000}"/>
            </a:ext>
          </a:extLst>
        </xdr:cNvPr>
        <xdr:cNvSpPr>
          <a:spLocks noChangeShapeType="1"/>
        </xdr:cNvSpPr>
      </xdr:nvSpPr>
      <xdr:spPr bwMode="auto">
        <a:xfrm flipH="1">
          <a:off x="2019300" y="644652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334</xdr:row>
      <xdr:rowOff>161925</xdr:rowOff>
    </xdr:from>
    <xdr:to>
      <xdr:col>5</xdr:col>
      <xdr:colOff>485775</xdr:colOff>
      <xdr:row>335</xdr:row>
      <xdr:rowOff>57150</xdr:rowOff>
    </xdr:to>
    <xdr:sp macro="" textlink="">
      <xdr:nvSpPr>
        <xdr:cNvPr id="888" name="Line 1764">
          <a:extLst>
            <a:ext uri="{FF2B5EF4-FFF2-40B4-BE49-F238E27FC236}">
              <a16:creationId xmlns:a16="http://schemas.microsoft.com/office/drawing/2014/main" id="{00000000-0008-0000-0000-000078030000}"/>
            </a:ext>
          </a:extLst>
        </xdr:cNvPr>
        <xdr:cNvSpPr>
          <a:spLocks noChangeShapeType="1"/>
        </xdr:cNvSpPr>
      </xdr:nvSpPr>
      <xdr:spPr bwMode="auto">
        <a:xfrm flipH="1">
          <a:off x="3057525" y="6447472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333</xdr:row>
      <xdr:rowOff>28575</xdr:rowOff>
    </xdr:from>
    <xdr:to>
      <xdr:col>2</xdr:col>
      <xdr:colOff>266700</xdr:colOff>
      <xdr:row>335</xdr:row>
      <xdr:rowOff>57150</xdr:rowOff>
    </xdr:to>
    <xdr:sp macro="" textlink="">
      <xdr:nvSpPr>
        <xdr:cNvPr id="889" name="Line 1765">
          <a:extLst>
            <a:ext uri="{FF2B5EF4-FFF2-40B4-BE49-F238E27FC236}">
              <a16:creationId xmlns:a16="http://schemas.microsoft.com/office/drawing/2014/main" id="{00000000-0008-0000-0000-000079030000}"/>
            </a:ext>
          </a:extLst>
        </xdr:cNvPr>
        <xdr:cNvSpPr>
          <a:spLocks noChangeShapeType="1"/>
        </xdr:cNvSpPr>
      </xdr:nvSpPr>
      <xdr:spPr bwMode="auto">
        <a:xfrm>
          <a:off x="1647825" y="64141350"/>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334</xdr:row>
      <xdr:rowOff>152400</xdr:rowOff>
    </xdr:from>
    <xdr:to>
      <xdr:col>2</xdr:col>
      <xdr:colOff>304800</xdr:colOff>
      <xdr:row>335</xdr:row>
      <xdr:rowOff>38100</xdr:rowOff>
    </xdr:to>
    <xdr:sp macro="" textlink="">
      <xdr:nvSpPr>
        <xdr:cNvPr id="890" name="Line 1766">
          <a:extLst>
            <a:ext uri="{FF2B5EF4-FFF2-40B4-BE49-F238E27FC236}">
              <a16:creationId xmlns:a16="http://schemas.microsoft.com/office/drawing/2014/main" id="{00000000-0008-0000-0000-00007A030000}"/>
            </a:ext>
          </a:extLst>
        </xdr:cNvPr>
        <xdr:cNvSpPr>
          <a:spLocks noChangeShapeType="1"/>
        </xdr:cNvSpPr>
      </xdr:nvSpPr>
      <xdr:spPr bwMode="auto">
        <a:xfrm flipH="1">
          <a:off x="1609725" y="644652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337</xdr:row>
      <xdr:rowOff>171450</xdr:rowOff>
    </xdr:from>
    <xdr:to>
      <xdr:col>3</xdr:col>
      <xdr:colOff>247650</xdr:colOff>
      <xdr:row>340</xdr:row>
      <xdr:rowOff>19050</xdr:rowOff>
    </xdr:to>
    <xdr:sp macro="" textlink="">
      <xdr:nvSpPr>
        <xdr:cNvPr id="891" name="Tegning 311">
          <a:extLst>
            <a:ext uri="{FF2B5EF4-FFF2-40B4-BE49-F238E27FC236}">
              <a16:creationId xmlns:a16="http://schemas.microsoft.com/office/drawing/2014/main" id="{00000000-0008-0000-0000-00007B030000}"/>
            </a:ext>
          </a:extLst>
        </xdr:cNvPr>
        <xdr:cNvSpPr>
          <a:spLocks/>
        </xdr:cNvSpPr>
      </xdr:nvSpPr>
      <xdr:spPr bwMode="auto">
        <a:xfrm flipV="1">
          <a:off x="1914525" y="65065275"/>
          <a:ext cx="295275" cy="4191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338</xdr:row>
      <xdr:rowOff>171450</xdr:rowOff>
    </xdr:from>
    <xdr:to>
      <xdr:col>5</xdr:col>
      <xdr:colOff>561975</xdr:colOff>
      <xdr:row>340</xdr:row>
      <xdr:rowOff>95250</xdr:rowOff>
    </xdr:to>
    <xdr:sp macro="" textlink="">
      <xdr:nvSpPr>
        <xdr:cNvPr id="892" name="Tegning 316">
          <a:extLst>
            <a:ext uri="{FF2B5EF4-FFF2-40B4-BE49-F238E27FC236}">
              <a16:creationId xmlns:a16="http://schemas.microsoft.com/office/drawing/2014/main" id="{00000000-0008-0000-0000-00007C030000}"/>
            </a:ext>
          </a:extLst>
        </xdr:cNvPr>
        <xdr:cNvSpPr>
          <a:spLocks/>
        </xdr:cNvSpPr>
      </xdr:nvSpPr>
      <xdr:spPr bwMode="auto">
        <a:xfrm>
          <a:off x="2981325" y="65255775"/>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337</xdr:row>
      <xdr:rowOff>28575</xdr:rowOff>
    </xdr:from>
    <xdr:to>
      <xdr:col>5</xdr:col>
      <xdr:colOff>600075</xdr:colOff>
      <xdr:row>339</xdr:row>
      <xdr:rowOff>161925</xdr:rowOff>
    </xdr:to>
    <xdr:sp macro="" textlink="">
      <xdr:nvSpPr>
        <xdr:cNvPr id="893" name="Freeform 1769">
          <a:extLst>
            <a:ext uri="{FF2B5EF4-FFF2-40B4-BE49-F238E27FC236}">
              <a16:creationId xmlns:a16="http://schemas.microsoft.com/office/drawing/2014/main" id="{00000000-0008-0000-0000-00007D030000}"/>
            </a:ext>
          </a:extLst>
        </xdr:cNvPr>
        <xdr:cNvSpPr>
          <a:spLocks/>
        </xdr:cNvSpPr>
      </xdr:nvSpPr>
      <xdr:spPr bwMode="auto">
        <a:xfrm>
          <a:off x="1924050" y="64922400"/>
          <a:ext cx="1333500" cy="514350"/>
        </a:xfrm>
        <a:custGeom>
          <a:avLst/>
          <a:gdLst>
            <a:gd name="T0" fmla="*/ 0 w 135"/>
            <a:gd name="T1" fmla="*/ 0 h 54"/>
            <a:gd name="T2" fmla="*/ 0 w 135"/>
            <a:gd name="T3" fmla="*/ 2147483646 h 54"/>
            <a:gd name="T4" fmla="*/ 2147483646 w 135"/>
            <a:gd name="T5" fmla="*/ 2147483646 h 54"/>
            <a:gd name="T6" fmla="*/ 2147483646 w 135"/>
            <a:gd name="T7" fmla="*/ 2147483646 h 54"/>
            <a:gd name="T8" fmla="*/ 2147483646 w 135"/>
            <a:gd name="T9" fmla="*/ 2147483646 h 54"/>
            <a:gd name="T10" fmla="*/ 2147483646 w 135"/>
            <a:gd name="T11" fmla="*/ 2147483646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337</xdr:row>
      <xdr:rowOff>19050</xdr:rowOff>
    </xdr:from>
    <xdr:to>
      <xdr:col>5</xdr:col>
      <xdr:colOff>228600</xdr:colOff>
      <xdr:row>338</xdr:row>
      <xdr:rowOff>152400</xdr:rowOff>
    </xdr:to>
    <xdr:sp macro="" textlink="">
      <xdr:nvSpPr>
        <xdr:cNvPr id="894" name="Tegning 316">
          <a:extLst>
            <a:ext uri="{FF2B5EF4-FFF2-40B4-BE49-F238E27FC236}">
              <a16:creationId xmlns:a16="http://schemas.microsoft.com/office/drawing/2014/main" id="{00000000-0008-0000-0000-00007E030000}"/>
            </a:ext>
          </a:extLst>
        </xdr:cNvPr>
        <xdr:cNvSpPr>
          <a:spLocks/>
        </xdr:cNvSpPr>
      </xdr:nvSpPr>
      <xdr:spPr bwMode="auto">
        <a:xfrm flipV="1">
          <a:off x="2647950" y="64912875"/>
          <a:ext cx="238125" cy="32385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341</xdr:row>
      <xdr:rowOff>0</xdr:rowOff>
    </xdr:from>
    <xdr:to>
      <xdr:col>5</xdr:col>
      <xdr:colOff>571500</xdr:colOff>
      <xdr:row>341</xdr:row>
      <xdr:rowOff>0</xdr:rowOff>
    </xdr:to>
    <xdr:sp macro="" textlink="">
      <xdr:nvSpPr>
        <xdr:cNvPr id="895" name="Line 1771">
          <a:extLst>
            <a:ext uri="{FF2B5EF4-FFF2-40B4-BE49-F238E27FC236}">
              <a16:creationId xmlns:a16="http://schemas.microsoft.com/office/drawing/2014/main" id="{00000000-0008-0000-0000-00007F030000}"/>
            </a:ext>
          </a:extLst>
        </xdr:cNvPr>
        <xdr:cNvSpPr>
          <a:spLocks noChangeShapeType="1"/>
        </xdr:cNvSpPr>
      </xdr:nvSpPr>
      <xdr:spPr bwMode="auto">
        <a:xfrm>
          <a:off x="2047875" y="65655825"/>
          <a:ext cx="1181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340</xdr:row>
      <xdr:rowOff>47625</xdr:rowOff>
    </xdr:from>
    <xdr:to>
      <xdr:col>3</xdr:col>
      <xdr:colOff>95250</xdr:colOff>
      <xdr:row>341</xdr:row>
      <xdr:rowOff>57150</xdr:rowOff>
    </xdr:to>
    <xdr:sp macro="" textlink="">
      <xdr:nvSpPr>
        <xdr:cNvPr id="896" name="Line 1772">
          <a:extLst>
            <a:ext uri="{FF2B5EF4-FFF2-40B4-BE49-F238E27FC236}">
              <a16:creationId xmlns:a16="http://schemas.microsoft.com/office/drawing/2014/main" id="{00000000-0008-0000-0000-000080030000}"/>
            </a:ext>
          </a:extLst>
        </xdr:cNvPr>
        <xdr:cNvSpPr>
          <a:spLocks noChangeShapeType="1"/>
        </xdr:cNvSpPr>
      </xdr:nvSpPr>
      <xdr:spPr bwMode="auto">
        <a:xfrm>
          <a:off x="2057400" y="655129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339</xdr:row>
      <xdr:rowOff>28575</xdr:rowOff>
    </xdr:from>
    <xdr:to>
      <xdr:col>5</xdr:col>
      <xdr:colOff>114300</xdr:colOff>
      <xdr:row>341</xdr:row>
      <xdr:rowOff>57150</xdr:rowOff>
    </xdr:to>
    <xdr:sp macro="" textlink="">
      <xdr:nvSpPr>
        <xdr:cNvPr id="897" name="Line 1773">
          <a:extLst>
            <a:ext uri="{FF2B5EF4-FFF2-40B4-BE49-F238E27FC236}">
              <a16:creationId xmlns:a16="http://schemas.microsoft.com/office/drawing/2014/main" id="{00000000-0008-0000-0000-000081030000}"/>
            </a:ext>
          </a:extLst>
        </xdr:cNvPr>
        <xdr:cNvSpPr>
          <a:spLocks noChangeShapeType="1"/>
        </xdr:cNvSpPr>
      </xdr:nvSpPr>
      <xdr:spPr bwMode="auto">
        <a:xfrm>
          <a:off x="2771775" y="6530340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340</xdr:row>
      <xdr:rowOff>133350</xdr:rowOff>
    </xdr:from>
    <xdr:to>
      <xdr:col>5</xdr:col>
      <xdr:colOff>447675</xdr:colOff>
      <xdr:row>341</xdr:row>
      <xdr:rowOff>57150</xdr:rowOff>
    </xdr:to>
    <xdr:sp macro="" textlink="">
      <xdr:nvSpPr>
        <xdr:cNvPr id="898" name="Line 1774">
          <a:extLst>
            <a:ext uri="{FF2B5EF4-FFF2-40B4-BE49-F238E27FC236}">
              <a16:creationId xmlns:a16="http://schemas.microsoft.com/office/drawing/2014/main" id="{00000000-0008-0000-0000-000082030000}"/>
            </a:ext>
          </a:extLst>
        </xdr:cNvPr>
        <xdr:cNvSpPr>
          <a:spLocks noChangeShapeType="1"/>
        </xdr:cNvSpPr>
      </xdr:nvSpPr>
      <xdr:spPr bwMode="auto">
        <a:xfrm>
          <a:off x="3105150" y="655986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328</xdr:row>
      <xdr:rowOff>76200</xdr:rowOff>
    </xdr:from>
    <xdr:to>
      <xdr:col>5</xdr:col>
      <xdr:colOff>428625</xdr:colOff>
      <xdr:row>330</xdr:row>
      <xdr:rowOff>85725</xdr:rowOff>
    </xdr:to>
    <xdr:sp macro="" textlink="">
      <xdr:nvSpPr>
        <xdr:cNvPr id="899" name="Line 1775">
          <a:extLst>
            <a:ext uri="{FF2B5EF4-FFF2-40B4-BE49-F238E27FC236}">
              <a16:creationId xmlns:a16="http://schemas.microsoft.com/office/drawing/2014/main" id="{00000000-0008-0000-0000-000083030000}"/>
            </a:ext>
          </a:extLst>
        </xdr:cNvPr>
        <xdr:cNvSpPr>
          <a:spLocks noChangeShapeType="1"/>
        </xdr:cNvSpPr>
      </xdr:nvSpPr>
      <xdr:spPr bwMode="auto">
        <a:xfrm flipV="1">
          <a:off x="3086100" y="632364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328</xdr:row>
      <xdr:rowOff>114300</xdr:rowOff>
    </xdr:from>
    <xdr:to>
      <xdr:col>6</xdr:col>
      <xdr:colOff>9525</xdr:colOff>
      <xdr:row>328</xdr:row>
      <xdr:rowOff>114300</xdr:rowOff>
    </xdr:to>
    <xdr:sp macro="" textlink="">
      <xdr:nvSpPr>
        <xdr:cNvPr id="900" name="Line 1776">
          <a:extLst>
            <a:ext uri="{FF2B5EF4-FFF2-40B4-BE49-F238E27FC236}">
              <a16:creationId xmlns:a16="http://schemas.microsoft.com/office/drawing/2014/main" id="{00000000-0008-0000-0000-000084030000}"/>
            </a:ext>
          </a:extLst>
        </xdr:cNvPr>
        <xdr:cNvSpPr>
          <a:spLocks noChangeShapeType="1"/>
        </xdr:cNvSpPr>
      </xdr:nvSpPr>
      <xdr:spPr bwMode="auto">
        <a:xfrm>
          <a:off x="3048000" y="6327457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328</xdr:row>
      <xdr:rowOff>57150</xdr:rowOff>
    </xdr:from>
    <xdr:to>
      <xdr:col>5</xdr:col>
      <xdr:colOff>647700</xdr:colOff>
      <xdr:row>328</xdr:row>
      <xdr:rowOff>133350</xdr:rowOff>
    </xdr:to>
    <xdr:sp macro="" textlink="">
      <xdr:nvSpPr>
        <xdr:cNvPr id="901" name="Line 1777">
          <a:extLst>
            <a:ext uri="{FF2B5EF4-FFF2-40B4-BE49-F238E27FC236}">
              <a16:creationId xmlns:a16="http://schemas.microsoft.com/office/drawing/2014/main" id="{00000000-0008-0000-0000-000085030000}"/>
            </a:ext>
          </a:extLst>
        </xdr:cNvPr>
        <xdr:cNvSpPr>
          <a:spLocks noChangeShapeType="1"/>
        </xdr:cNvSpPr>
      </xdr:nvSpPr>
      <xdr:spPr bwMode="auto">
        <a:xfrm flipV="1">
          <a:off x="3209925" y="632174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328</xdr:row>
      <xdr:rowOff>85725</xdr:rowOff>
    </xdr:from>
    <xdr:to>
      <xdr:col>5</xdr:col>
      <xdr:colOff>457200</xdr:colOff>
      <xdr:row>328</xdr:row>
      <xdr:rowOff>152400</xdr:rowOff>
    </xdr:to>
    <xdr:sp macro="" textlink="">
      <xdr:nvSpPr>
        <xdr:cNvPr id="902" name="Line 1778">
          <a:extLst>
            <a:ext uri="{FF2B5EF4-FFF2-40B4-BE49-F238E27FC236}">
              <a16:creationId xmlns:a16="http://schemas.microsoft.com/office/drawing/2014/main" id="{00000000-0008-0000-0000-000086030000}"/>
            </a:ext>
          </a:extLst>
        </xdr:cNvPr>
        <xdr:cNvSpPr>
          <a:spLocks noChangeShapeType="1"/>
        </xdr:cNvSpPr>
      </xdr:nvSpPr>
      <xdr:spPr bwMode="auto">
        <a:xfrm flipH="1">
          <a:off x="3038475" y="632460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328</xdr:row>
      <xdr:rowOff>76200</xdr:rowOff>
    </xdr:from>
    <xdr:to>
      <xdr:col>5</xdr:col>
      <xdr:colOff>590550</xdr:colOff>
      <xdr:row>329</xdr:row>
      <xdr:rowOff>152400</xdr:rowOff>
    </xdr:to>
    <xdr:sp macro="" textlink="">
      <xdr:nvSpPr>
        <xdr:cNvPr id="903" name="Line 1779">
          <a:extLst>
            <a:ext uri="{FF2B5EF4-FFF2-40B4-BE49-F238E27FC236}">
              <a16:creationId xmlns:a16="http://schemas.microsoft.com/office/drawing/2014/main" id="{00000000-0008-0000-0000-000087030000}"/>
            </a:ext>
          </a:extLst>
        </xdr:cNvPr>
        <xdr:cNvSpPr>
          <a:spLocks noChangeShapeType="1"/>
        </xdr:cNvSpPr>
      </xdr:nvSpPr>
      <xdr:spPr bwMode="auto">
        <a:xfrm flipV="1">
          <a:off x="3248025" y="632364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340</xdr:row>
      <xdr:rowOff>152400</xdr:rowOff>
    </xdr:from>
    <xdr:to>
      <xdr:col>3</xdr:col>
      <xdr:colOff>123825</xdr:colOff>
      <xdr:row>341</xdr:row>
      <xdr:rowOff>38100</xdr:rowOff>
    </xdr:to>
    <xdr:sp macro="" textlink="">
      <xdr:nvSpPr>
        <xdr:cNvPr id="904" name="Line 1780">
          <a:extLst>
            <a:ext uri="{FF2B5EF4-FFF2-40B4-BE49-F238E27FC236}">
              <a16:creationId xmlns:a16="http://schemas.microsoft.com/office/drawing/2014/main" id="{00000000-0008-0000-0000-000088030000}"/>
            </a:ext>
          </a:extLst>
        </xdr:cNvPr>
        <xdr:cNvSpPr>
          <a:spLocks noChangeShapeType="1"/>
        </xdr:cNvSpPr>
      </xdr:nvSpPr>
      <xdr:spPr bwMode="auto">
        <a:xfrm flipH="1">
          <a:off x="2009775" y="65617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340</xdr:row>
      <xdr:rowOff>142875</xdr:rowOff>
    </xdr:from>
    <xdr:to>
      <xdr:col>5</xdr:col>
      <xdr:colOff>152400</xdr:colOff>
      <xdr:row>341</xdr:row>
      <xdr:rowOff>47625</xdr:rowOff>
    </xdr:to>
    <xdr:sp macro="" textlink="">
      <xdr:nvSpPr>
        <xdr:cNvPr id="905" name="Line 1781">
          <a:extLst>
            <a:ext uri="{FF2B5EF4-FFF2-40B4-BE49-F238E27FC236}">
              <a16:creationId xmlns:a16="http://schemas.microsoft.com/office/drawing/2014/main" id="{00000000-0008-0000-0000-000089030000}"/>
            </a:ext>
          </a:extLst>
        </xdr:cNvPr>
        <xdr:cNvSpPr>
          <a:spLocks noChangeShapeType="1"/>
        </xdr:cNvSpPr>
      </xdr:nvSpPr>
      <xdr:spPr bwMode="auto">
        <a:xfrm flipH="1">
          <a:off x="2714625" y="656082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340</xdr:row>
      <xdr:rowOff>152400</xdr:rowOff>
    </xdr:from>
    <xdr:to>
      <xdr:col>5</xdr:col>
      <xdr:colOff>476250</xdr:colOff>
      <xdr:row>341</xdr:row>
      <xdr:rowOff>38100</xdr:rowOff>
    </xdr:to>
    <xdr:sp macro="" textlink="">
      <xdr:nvSpPr>
        <xdr:cNvPr id="906" name="Line 1782">
          <a:extLst>
            <a:ext uri="{FF2B5EF4-FFF2-40B4-BE49-F238E27FC236}">
              <a16:creationId xmlns:a16="http://schemas.microsoft.com/office/drawing/2014/main" id="{00000000-0008-0000-0000-00008A030000}"/>
            </a:ext>
          </a:extLst>
        </xdr:cNvPr>
        <xdr:cNvSpPr>
          <a:spLocks noChangeShapeType="1"/>
        </xdr:cNvSpPr>
      </xdr:nvSpPr>
      <xdr:spPr bwMode="auto">
        <a:xfrm flipH="1">
          <a:off x="3057525" y="65617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329</xdr:row>
      <xdr:rowOff>123825</xdr:rowOff>
    </xdr:from>
    <xdr:to>
      <xdr:col>6</xdr:col>
      <xdr:colOff>361950</xdr:colOff>
      <xdr:row>331</xdr:row>
      <xdr:rowOff>28575</xdr:rowOff>
    </xdr:to>
    <xdr:sp macro="" textlink="">
      <xdr:nvSpPr>
        <xdr:cNvPr id="907" name="Freeform 1783">
          <a:extLst>
            <a:ext uri="{FF2B5EF4-FFF2-40B4-BE49-F238E27FC236}">
              <a16:creationId xmlns:a16="http://schemas.microsoft.com/office/drawing/2014/main" id="{00000000-0008-0000-0000-00008B030000}"/>
            </a:ext>
          </a:extLst>
        </xdr:cNvPr>
        <xdr:cNvSpPr>
          <a:spLocks/>
        </xdr:cNvSpPr>
      </xdr:nvSpPr>
      <xdr:spPr bwMode="auto">
        <a:xfrm>
          <a:off x="3086100" y="63474600"/>
          <a:ext cx="685800" cy="2857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104775</xdr:colOff>
      <xdr:row>319</xdr:row>
      <xdr:rowOff>19050</xdr:rowOff>
    </xdr:from>
    <xdr:to>
      <xdr:col>4</xdr:col>
      <xdr:colOff>57150</xdr:colOff>
      <xdr:row>320</xdr:row>
      <xdr:rowOff>57150</xdr:rowOff>
    </xdr:to>
    <xdr:sp macro="" textlink="">
      <xdr:nvSpPr>
        <xdr:cNvPr id="908" name="Line 1784">
          <a:extLst>
            <a:ext uri="{FF2B5EF4-FFF2-40B4-BE49-F238E27FC236}">
              <a16:creationId xmlns:a16="http://schemas.microsoft.com/office/drawing/2014/main" id="{00000000-0008-0000-0000-00008C030000}"/>
            </a:ext>
          </a:extLst>
        </xdr:cNvPr>
        <xdr:cNvSpPr>
          <a:spLocks noChangeShapeType="1"/>
        </xdr:cNvSpPr>
      </xdr:nvSpPr>
      <xdr:spPr bwMode="auto">
        <a:xfrm flipH="1">
          <a:off x="2066925" y="61464825"/>
          <a:ext cx="32385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320</xdr:row>
      <xdr:rowOff>19050</xdr:rowOff>
    </xdr:from>
    <xdr:to>
      <xdr:col>3</xdr:col>
      <xdr:colOff>152400</xdr:colOff>
      <xdr:row>320</xdr:row>
      <xdr:rowOff>104775</xdr:rowOff>
    </xdr:to>
    <xdr:sp macro="" textlink="">
      <xdr:nvSpPr>
        <xdr:cNvPr id="909" name="Oval 1785">
          <a:extLst>
            <a:ext uri="{FF2B5EF4-FFF2-40B4-BE49-F238E27FC236}">
              <a16:creationId xmlns:a16="http://schemas.microsoft.com/office/drawing/2014/main" id="{00000000-0008-0000-0000-00008D030000}"/>
            </a:ext>
          </a:extLst>
        </xdr:cNvPr>
        <xdr:cNvSpPr>
          <a:spLocks noChangeArrowheads="1"/>
        </xdr:cNvSpPr>
      </xdr:nvSpPr>
      <xdr:spPr bwMode="auto">
        <a:xfrm>
          <a:off x="2038350" y="61655325"/>
          <a:ext cx="76200" cy="857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xdr:from>
          <xdr:col>13</xdr:col>
          <xdr:colOff>819150</xdr:colOff>
          <xdr:row>0</xdr:row>
          <xdr:rowOff>9525</xdr:rowOff>
        </xdr:from>
        <xdr:to>
          <xdr:col>13</xdr:col>
          <xdr:colOff>1038225</xdr:colOff>
          <xdr:row>0</xdr:row>
          <xdr:rowOff>104775</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xdr:colOff>
          <xdr:row>0</xdr:row>
          <xdr:rowOff>9525</xdr:rowOff>
        </xdr:from>
        <xdr:to>
          <xdr:col>14</xdr:col>
          <xdr:colOff>257175</xdr:colOff>
          <xdr:row>0</xdr:row>
          <xdr:rowOff>104775</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647700</xdr:colOff>
          <xdr:row>0</xdr:row>
          <xdr:rowOff>0</xdr:rowOff>
        </xdr:from>
        <xdr:to>
          <xdr:col>16</xdr:col>
          <xdr:colOff>57150</xdr:colOff>
          <xdr:row>1</xdr:row>
          <xdr:rowOff>19050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Vejledning ark 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28575</xdr:colOff>
          <xdr:row>9</xdr:row>
          <xdr:rowOff>161925</xdr:rowOff>
        </xdr:from>
        <xdr:to>
          <xdr:col>22</xdr:col>
          <xdr:colOff>438150</xdr:colOff>
          <xdr:row>11</xdr:row>
          <xdr:rowOff>76200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f.ekstra dæklag</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828675</xdr:colOff>
          <xdr:row>89</xdr:row>
          <xdr:rowOff>142875</xdr:rowOff>
        </xdr:from>
        <xdr:to>
          <xdr:col>21</xdr:col>
          <xdr:colOff>190500</xdr:colOff>
          <xdr:row>91</xdr:row>
          <xdr:rowOff>47625</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f.revnevidde ialt</a:t>
              </a:r>
            </a:p>
          </xdr:txBody>
        </xdr:sp>
        <xdr:clientData fLocksWithSheet="0" fPrintsWithSheet="0"/>
      </xdr:twoCellAnchor>
    </mc:Choice>
    <mc:Fallback/>
  </mc:AlternateContent>
  <xdr:twoCellAnchor>
    <xdr:from>
      <xdr:col>22</xdr:col>
      <xdr:colOff>714375</xdr:colOff>
      <xdr:row>22</xdr:row>
      <xdr:rowOff>152400</xdr:rowOff>
    </xdr:from>
    <xdr:to>
      <xdr:col>23</xdr:col>
      <xdr:colOff>28575</xdr:colOff>
      <xdr:row>23</xdr:row>
      <xdr:rowOff>28575</xdr:rowOff>
    </xdr:to>
    <xdr:sp macro="" textlink="">
      <xdr:nvSpPr>
        <xdr:cNvPr id="918" name="Line 1818">
          <a:extLst>
            <a:ext uri="{FF2B5EF4-FFF2-40B4-BE49-F238E27FC236}">
              <a16:creationId xmlns:a16="http://schemas.microsoft.com/office/drawing/2014/main" id="{00000000-0008-0000-0000-000096030000}"/>
            </a:ext>
          </a:extLst>
        </xdr:cNvPr>
        <xdr:cNvSpPr>
          <a:spLocks noChangeShapeType="1"/>
        </xdr:cNvSpPr>
      </xdr:nvSpPr>
      <xdr:spPr bwMode="auto">
        <a:xfrm flipH="1">
          <a:off x="16497300" y="4143375"/>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581025</xdr:colOff>
      <xdr:row>23</xdr:row>
      <xdr:rowOff>0</xdr:rowOff>
    </xdr:from>
    <xdr:to>
      <xdr:col>22</xdr:col>
      <xdr:colOff>542925</xdr:colOff>
      <xdr:row>23</xdr:row>
      <xdr:rowOff>0</xdr:rowOff>
    </xdr:to>
    <xdr:sp macro="" textlink="">
      <xdr:nvSpPr>
        <xdr:cNvPr id="919" name="Line 1819">
          <a:extLst>
            <a:ext uri="{FF2B5EF4-FFF2-40B4-BE49-F238E27FC236}">
              <a16:creationId xmlns:a16="http://schemas.microsoft.com/office/drawing/2014/main" id="{00000000-0008-0000-0000-000097030000}"/>
            </a:ext>
          </a:extLst>
        </xdr:cNvPr>
        <xdr:cNvSpPr>
          <a:spLocks noChangeShapeType="1"/>
        </xdr:cNvSpPr>
      </xdr:nvSpPr>
      <xdr:spPr bwMode="auto">
        <a:xfrm>
          <a:off x="15611475" y="4181475"/>
          <a:ext cx="7143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590550</xdr:colOff>
      <xdr:row>19</xdr:row>
      <xdr:rowOff>171450</xdr:rowOff>
    </xdr:from>
    <xdr:to>
      <xdr:col>22</xdr:col>
      <xdr:colOff>523875</xdr:colOff>
      <xdr:row>21</xdr:row>
      <xdr:rowOff>123825</xdr:rowOff>
    </xdr:to>
    <xdr:sp macro="" textlink="">
      <xdr:nvSpPr>
        <xdr:cNvPr id="920" name="Freeform 1820">
          <a:extLst>
            <a:ext uri="{FF2B5EF4-FFF2-40B4-BE49-F238E27FC236}">
              <a16:creationId xmlns:a16="http://schemas.microsoft.com/office/drawing/2014/main" id="{00000000-0008-0000-0000-000098030000}"/>
            </a:ext>
          </a:extLst>
        </xdr:cNvPr>
        <xdr:cNvSpPr>
          <a:spLocks/>
        </xdr:cNvSpPr>
      </xdr:nvSpPr>
      <xdr:spPr bwMode="auto">
        <a:xfrm>
          <a:off x="15621000" y="3571875"/>
          <a:ext cx="685800" cy="342900"/>
        </a:xfrm>
        <a:custGeom>
          <a:avLst/>
          <a:gdLst>
            <a:gd name="T0" fmla="*/ 0 w 76"/>
            <a:gd name="T1" fmla="*/ 2147483646 h 37"/>
            <a:gd name="T2" fmla="*/ 2147483646 w 76"/>
            <a:gd name="T3" fmla="*/ 0 h 37"/>
            <a:gd name="T4" fmla="*/ 2147483646 w 76"/>
            <a:gd name="T5" fmla="*/ 2147483646 h 37"/>
            <a:gd name="T6" fmla="*/ 0 60000 65536"/>
            <a:gd name="T7" fmla="*/ 0 60000 65536"/>
            <a:gd name="T8" fmla="*/ 0 60000 65536"/>
          </a:gdLst>
          <a:ahLst/>
          <a:cxnLst>
            <a:cxn ang="T6">
              <a:pos x="T0" y="T1"/>
            </a:cxn>
            <a:cxn ang="T7">
              <a:pos x="T2" y="T3"/>
            </a:cxn>
            <a:cxn ang="T8">
              <a:pos x="T4" y="T5"/>
            </a:cxn>
          </a:cxnLst>
          <a:rect l="0" t="0" r="r" b="b"/>
          <a:pathLst>
            <a:path w="76" h="37">
              <a:moveTo>
                <a:pt x="0" y="36"/>
              </a:moveTo>
              <a:lnTo>
                <a:pt x="18" y="0"/>
              </a:lnTo>
              <a:lnTo>
                <a:pt x="76" y="37"/>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581025</xdr:colOff>
      <xdr:row>20</xdr:row>
      <xdr:rowOff>104775</xdr:rowOff>
    </xdr:from>
    <xdr:to>
      <xdr:col>21</xdr:col>
      <xdr:colOff>581025</xdr:colOff>
      <xdr:row>24</xdr:row>
      <xdr:rowOff>38100</xdr:rowOff>
    </xdr:to>
    <xdr:sp macro="" textlink="">
      <xdr:nvSpPr>
        <xdr:cNvPr id="921" name="Line 1821">
          <a:extLst>
            <a:ext uri="{FF2B5EF4-FFF2-40B4-BE49-F238E27FC236}">
              <a16:creationId xmlns:a16="http://schemas.microsoft.com/office/drawing/2014/main" id="{00000000-0008-0000-0000-000099030000}"/>
            </a:ext>
          </a:extLst>
        </xdr:cNvPr>
        <xdr:cNvSpPr>
          <a:spLocks noChangeShapeType="1"/>
        </xdr:cNvSpPr>
      </xdr:nvSpPr>
      <xdr:spPr bwMode="auto">
        <a:xfrm>
          <a:off x="15611475" y="3695700"/>
          <a:ext cx="0" cy="7143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533400</xdr:colOff>
      <xdr:row>20</xdr:row>
      <xdr:rowOff>66675</xdr:rowOff>
    </xdr:from>
    <xdr:to>
      <xdr:col>22</xdr:col>
      <xdr:colOff>533400</xdr:colOff>
      <xdr:row>24</xdr:row>
      <xdr:rowOff>57150</xdr:rowOff>
    </xdr:to>
    <xdr:sp macro="" textlink="">
      <xdr:nvSpPr>
        <xdr:cNvPr id="922" name="Line 1822">
          <a:extLst>
            <a:ext uri="{FF2B5EF4-FFF2-40B4-BE49-F238E27FC236}">
              <a16:creationId xmlns:a16="http://schemas.microsoft.com/office/drawing/2014/main" id="{00000000-0008-0000-0000-00009A030000}"/>
            </a:ext>
          </a:extLst>
        </xdr:cNvPr>
        <xdr:cNvSpPr>
          <a:spLocks noChangeShapeType="1"/>
        </xdr:cNvSpPr>
      </xdr:nvSpPr>
      <xdr:spPr bwMode="auto">
        <a:xfrm>
          <a:off x="16316325" y="365760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23</xdr:col>
      <xdr:colOff>0</xdr:colOff>
      <xdr:row>19</xdr:row>
      <xdr:rowOff>152400</xdr:rowOff>
    </xdr:from>
    <xdr:to>
      <xdr:col>23</xdr:col>
      <xdr:colOff>0</xdr:colOff>
      <xdr:row>23</xdr:row>
      <xdr:rowOff>28575</xdr:rowOff>
    </xdr:to>
    <xdr:sp macro="" textlink="">
      <xdr:nvSpPr>
        <xdr:cNvPr id="923" name="Line 1823">
          <a:extLst>
            <a:ext uri="{FF2B5EF4-FFF2-40B4-BE49-F238E27FC236}">
              <a16:creationId xmlns:a16="http://schemas.microsoft.com/office/drawing/2014/main" id="{00000000-0008-0000-0000-00009B030000}"/>
            </a:ext>
          </a:extLst>
        </xdr:cNvPr>
        <xdr:cNvSpPr>
          <a:spLocks noChangeShapeType="1"/>
        </xdr:cNvSpPr>
      </xdr:nvSpPr>
      <xdr:spPr bwMode="auto">
        <a:xfrm>
          <a:off x="16535400" y="3552825"/>
          <a:ext cx="0" cy="657225"/>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304800</xdr:colOff>
      <xdr:row>20</xdr:row>
      <xdr:rowOff>0</xdr:rowOff>
    </xdr:from>
    <xdr:to>
      <xdr:col>23</xdr:col>
      <xdr:colOff>76200</xdr:colOff>
      <xdr:row>20</xdr:row>
      <xdr:rowOff>0</xdr:rowOff>
    </xdr:to>
    <xdr:sp macro="" textlink="">
      <xdr:nvSpPr>
        <xdr:cNvPr id="924" name="Line 1824">
          <a:extLst>
            <a:ext uri="{FF2B5EF4-FFF2-40B4-BE49-F238E27FC236}">
              <a16:creationId xmlns:a16="http://schemas.microsoft.com/office/drawing/2014/main" id="{00000000-0008-0000-0000-00009C030000}"/>
            </a:ext>
          </a:extLst>
        </xdr:cNvPr>
        <xdr:cNvSpPr>
          <a:spLocks noChangeShapeType="1"/>
        </xdr:cNvSpPr>
      </xdr:nvSpPr>
      <xdr:spPr bwMode="auto">
        <a:xfrm>
          <a:off x="16087725" y="3590925"/>
          <a:ext cx="523875" cy="0"/>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638175</xdr:colOff>
      <xdr:row>21</xdr:row>
      <xdr:rowOff>104775</xdr:rowOff>
    </xdr:from>
    <xdr:to>
      <xdr:col>24</xdr:col>
      <xdr:colOff>361950</xdr:colOff>
      <xdr:row>21</xdr:row>
      <xdr:rowOff>104775</xdr:rowOff>
    </xdr:to>
    <xdr:sp macro="" textlink="">
      <xdr:nvSpPr>
        <xdr:cNvPr id="925" name="Line 1825">
          <a:extLst>
            <a:ext uri="{FF2B5EF4-FFF2-40B4-BE49-F238E27FC236}">
              <a16:creationId xmlns:a16="http://schemas.microsoft.com/office/drawing/2014/main" id="{00000000-0008-0000-0000-00009D030000}"/>
            </a:ext>
          </a:extLst>
        </xdr:cNvPr>
        <xdr:cNvSpPr>
          <a:spLocks noChangeShapeType="1"/>
        </xdr:cNvSpPr>
      </xdr:nvSpPr>
      <xdr:spPr bwMode="auto">
        <a:xfrm>
          <a:off x="16421100" y="3895725"/>
          <a:ext cx="1228725" cy="0"/>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581025</xdr:colOff>
      <xdr:row>23</xdr:row>
      <xdr:rowOff>0</xdr:rowOff>
    </xdr:from>
    <xdr:to>
      <xdr:col>23</xdr:col>
      <xdr:colOff>76200</xdr:colOff>
      <xdr:row>23</xdr:row>
      <xdr:rowOff>0</xdr:rowOff>
    </xdr:to>
    <xdr:sp macro="" textlink="">
      <xdr:nvSpPr>
        <xdr:cNvPr id="926" name="Line 1826">
          <a:extLst>
            <a:ext uri="{FF2B5EF4-FFF2-40B4-BE49-F238E27FC236}">
              <a16:creationId xmlns:a16="http://schemas.microsoft.com/office/drawing/2014/main" id="{00000000-0008-0000-0000-00009E030000}"/>
            </a:ext>
          </a:extLst>
        </xdr:cNvPr>
        <xdr:cNvSpPr>
          <a:spLocks noChangeShapeType="1"/>
        </xdr:cNvSpPr>
      </xdr:nvSpPr>
      <xdr:spPr bwMode="auto">
        <a:xfrm>
          <a:off x="16363950" y="4181475"/>
          <a:ext cx="247650" cy="0"/>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714375</xdr:colOff>
      <xdr:row>19</xdr:row>
      <xdr:rowOff>161925</xdr:rowOff>
    </xdr:from>
    <xdr:to>
      <xdr:col>23</xdr:col>
      <xdr:colOff>38100</xdr:colOff>
      <xdr:row>20</xdr:row>
      <xdr:rowOff>47625</xdr:rowOff>
    </xdr:to>
    <xdr:sp macro="" textlink="">
      <xdr:nvSpPr>
        <xdr:cNvPr id="927" name="Line 1827">
          <a:extLst>
            <a:ext uri="{FF2B5EF4-FFF2-40B4-BE49-F238E27FC236}">
              <a16:creationId xmlns:a16="http://schemas.microsoft.com/office/drawing/2014/main" id="{00000000-0008-0000-0000-00009F030000}"/>
            </a:ext>
          </a:extLst>
        </xdr:cNvPr>
        <xdr:cNvSpPr>
          <a:spLocks noChangeShapeType="1"/>
        </xdr:cNvSpPr>
      </xdr:nvSpPr>
      <xdr:spPr bwMode="auto">
        <a:xfrm flipH="1">
          <a:off x="16497300" y="35623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704850</xdr:colOff>
      <xdr:row>21</xdr:row>
      <xdr:rowOff>76200</xdr:rowOff>
    </xdr:from>
    <xdr:to>
      <xdr:col>23</xdr:col>
      <xdr:colOff>38100</xdr:colOff>
      <xdr:row>21</xdr:row>
      <xdr:rowOff>152400</xdr:rowOff>
    </xdr:to>
    <xdr:sp macro="" textlink="">
      <xdr:nvSpPr>
        <xdr:cNvPr id="928" name="Line 1828">
          <a:extLst>
            <a:ext uri="{FF2B5EF4-FFF2-40B4-BE49-F238E27FC236}">
              <a16:creationId xmlns:a16="http://schemas.microsoft.com/office/drawing/2014/main" id="{00000000-0008-0000-0000-0000A0030000}"/>
            </a:ext>
          </a:extLst>
        </xdr:cNvPr>
        <xdr:cNvSpPr>
          <a:spLocks noChangeShapeType="1"/>
        </xdr:cNvSpPr>
      </xdr:nvSpPr>
      <xdr:spPr bwMode="auto">
        <a:xfrm flipH="1">
          <a:off x="16487775" y="38671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552450</xdr:colOff>
      <xdr:row>24</xdr:row>
      <xdr:rowOff>9525</xdr:rowOff>
    </xdr:from>
    <xdr:to>
      <xdr:col>22</xdr:col>
      <xdr:colOff>542925</xdr:colOff>
      <xdr:row>24</xdr:row>
      <xdr:rowOff>9525</xdr:rowOff>
    </xdr:to>
    <xdr:sp macro="" textlink="">
      <xdr:nvSpPr>
        <xdr:cNvPr id="929" name="Line 1829">
          <a:extLst>
            <a:ext uri="{FF2B5EF4-FFF2-40B4-BE49-F238E27FC236}">
              <a16:creationId xmlns:a16="http://schemas.microsoft.com/office/drawing/2014/main" id="{00000000-0008-0000-0000-0000A1030000}"/>
            </a:ext>
          </a:extLst>
        </xdr:cNvPr>
        <xdr:cNvSpPr>
          <a:spLocks noChangeShapeType="1"/>
        </xdr:cNvSpPr>
      </xdr:nvSpPr>
      <xdr:spPr bwMode="auto">
        <a:xfrm>
          <a:off x="15582900" y="4381500"/>
          <a:ext cx="742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542925</xdr:colOff>
      <xdr:row>23</xdr:row>
      <xdr:rowOff>161925</xdr:rowOff>
    </xdr:from>
    <xdr:to>
      <xdr:col>21</xdr:col>
      <xdr:colOff>628650</xdr:colOff>
      <xdr:row>24</xdr:row>
      <xdr:rowOff>57150</xdr:rowOff>
    </xdr:to>
    <xdr:sp macro="" textlink="">
      <xdr:nvSpPr>
        <xdr:cNvPr id="930" name="Line 1830">
          <a:extLst>
            <a:ext uri="{FF2B5EF4-FFF2-40B4-BE49-F238E27FC236}">
              <a16:creationId xmlns:a16="http://schemas.microsoft.com/office/drawing/2014/main" id="{00000000-0008-0000-0000-0000A2030000}"/>
            </a:ext>
          </a:extLst>
        </xdr:cNvPr>
        <xdr:cNvSpPr>
          <a:spLocks noChangeShapeType="1"/>
        </xdr:cNvSpPr>
      </xdr:nvSpPr>
      <xdr:spPr bwMode="auto">
        <a:xfrm flipH="1">
          <a:off x="15573375" y="43434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22</xdr:col>
      <xdr:colOff>485775</xdr:colOff>
      <xdr:row>23</xdr:row>
      <xdr:rowOff>161925</xdr:rowOff>
    </xdr:from>
    <xdr:to>
      <xdr:col>22</xdr:col>
      <xdr:colOff>561975</xdr:colOff>
      <xdr:row>24</xdr:row>
      <xdr:rowOff>47625</xdr:rowOff>
    </xdr:to>
    <xdr:sp macro="" textlink="">
      <xdr:nvSpPr>
        <xdr:cNvPr id="931" name="Line 1831">
          <a:extLst>
            <a:ext uri="{FF2B5EF4-FFF2-40B4-BE49-F238E27FC236}">
              <a16:creationId xmlns:a16="http://schemas.microsoft.com/office/drawing/2014/main" id="{00000000-0008-0000-0000-0000A3030000}"/>
            </a:ext>
          </a:extLst>
        </xdr:cNvPr>
        <xdr:cNvSpPr>
          <a:spLocks noChangeShapeType="1"/>
        </xdr:cNvSpPr>
      </xdr:nvSpPr>
      <xdr:spPr bwMode="auto">
        <a:xfrm flipH="1">
          <a:off x="16268700" y="434340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23</xdr:col>
      <xdr:colOff>495300</xdr:colOff>
      <xdr:row>23</xdr:row>
      <xdr:rowOff>0</xdr:rowOff>
    </xdr:from>
    <xdr:to>
      <xdr:col>24</xdr:col>
      <xdr:colOff>342900</xdr:colOff>
      <xdr:row>23</xdr:row>
      <xdr:rowOff>0</xdr:rowOff>
    </xdr:to>
    <xdr:sp macro="" textlink="">
      <xdr:nvSpPr>
        <xdr:cNvPr id="932" name="Line 1832">
          <a:extLst>
            <a:ext uri="{FF2B5EF4-FFF2-40B4-BE49-F238E27FC236}">
              <a16:creationId xmlns:a16="http://schemas.microsoft.com/office/drawing/2014/main" id="{00000000-0008-0000-0000-0000A4030000}"/>
            </a:ext>
          </a:extLst>
        </xdr:cNvPr>
        <xdr:cNvSpPr>
          <a:spLocks noChangeShapeType="1"/>
        </xdr:cNvSpPr>
      </xdr:nvSpPr>
      <xdr:spPr bwMode="auto">
        <a:xfrm>
          <a:off x="17030700" y="4181475"/>
          <a:ext cx="6000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23</xdr:col>
      <xdr:colOff>485775</xdr:colOff>
      <xdr:row>20</xdr:row>
      <xdr:rowOff>171450</xdr:rowOff>
    </xdr:from>
    <xdr:to>
      <xdr:col>24</xdr:col>
      <xdr:colOff>285750</xdr:colOff>
      <xdr:row>20</xdr:row>
      <xdr:rowOff>171450</xdr:rowOff>
    </xdr:to>
    <xdr:sp macro="" textlink="">
      <xdr:nvSpPr>
        <xdr:cNvPr id="933" name="Line 1833">
          <a:extLst>
            <a:ext uri="{FF2B5EF4-FFF2-40B4-BE49-F238E27FC236}">
              <a16:creationId xmlns:a16="http://schemas.microsoft.com/office/drawing/2014/main" id="{00000000-0008-0000-0000-0000A5030000}"/>
            </a:ext>
          </a:extLst>
        </xdr:cNvPr>
        <xdr:cNvSpPr>
          <a:spLocks noChangeShapeType="1"/>
        </xdr:cNvSpPr>
      </xdr:nvSpPr>
      <xdr:spPr bwMode="auto">
        <a:xfrm>
          <a:off x="17021175" y="3762375"/>
          <a:ext cx="552450"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23</xdr:col>
      <xdr:colOff>485775</xdr:colOff>
      <xdr:row>20</xdr:row>
      <xdr:rowOff>114300</xdr:rowOff>
    </xdr:from>
    <xdr:to>
      <xdr:col>23</xdr:col>
      <xdr:colOff>485775</xdr:colOff>
      <xdr:row>23</xdr:row>
      <xdr:rowOff>114300</xdr:rowOff>
    </xdr:to>
    <xdr:sp macro="" textlink="">
      <xdr:nvSpPr>
        <xdr:cNvPr id="934" name="Line 1834">
          <a:extLst>
            <a:ext uri="{FF2B5EF4-FFF2-40B4-BE49-F238E27FC236}">
              <a16:creationId xmlns:a16="http://schemas.microsoft.com/office/drawing/2014/main" id="{00000000-0008-0000-0000-0000A6030000}"/>
            </a:ext>
          </a:extLst>
        </xdr:cNvPr>
        <xdr:cNvSpPr>
          <a:spLocks noChangeShapeType="1"/>
        </xdr:cNvSpPr>
      </xdr:nvSpPr>
      <xdr:spPr bwMode="auto">
        <a:xfrm>
          <a:off x="17021175" y="3705225"/>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24</xdr:col>
      <xdr:colOff>57150</xdr:colOff>
      <xdr:row>20</xdr:row>
      <xdr:rowOff>85725</xdr:rowOff>
    </xdr:from>
    <xdr:to>
      <xdr:col>24</xdr:col>
      <xdr:colOff>57150</xdr:colOff>
      <xdr:row>21</xdr:row>
      <xdr:rowOff>142875</xdr:rowOff>
    </xdr:to>
    <xdr:sp macro="" textlink="">
      <xdr:nvSpPr>
        <xdr:cNvPr id="935" name="Line 1835">
          <a:extLst>
            <a:ext uri="{FF2B5EF4-FFF2-40B4-BE49-F238E27FC236}">
              <a16:creationId xmlns:a16="http://schemas.microsoft.com/office/drawing/2014/main" id="{00000000-0008-0000-0000-0000A7030000}"/>
            </a:ext>
          </a:extLst>
        </xdr:cNvPr>
        <xdr:cNvSpPr>
          <a:spLocks noChangeShapeType="1"/>
        </xdr:cNvSpPr>
      </xdr:nvSpPr>
      <xdr:spPr bwMode="auto">
        <a:xfrm flipV="1">
          <a:off x="17345025" y="3676650"/>
          <a:ext cx="0" cy="257175"/>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24</xdr:col>
      <xdr:colOff>0</xdr:colOff>
      <xdr:row>20</xdr:row>
      <xdr:rowOff>123825</xdr:rowOff>
    </xdr:from>
    <xdr:to>
      <xdr:col>24</xdr:col>
      <xdr:colOff>104775</xdr:colOff>
      <xdr:row>21</xdr:row>
      <xdr:rowOff>38100</xdr:rowOff>
    </xdr:to>
    <xdr:sp macro="" textlink="">
      <xdr:nvSpPr>
        <xdr:cNvPr id="936" name="Line 1836">
          <a:extLst>
            <a:ext uri="{FF2B5EF4-FFF2-40B4-BE49-F238E27FC236}">
              <a16:creationId xmlns:a16="http://schemas.microsoft.com/office/drawing/2014/main" id="{00000000-0008-0000-0000-0000A8030000}"/>
            </a:ext>
          </a:extLst>
        </xdr:cNvPr>
        <xdr:cNvSpPr>
          <a:spLocks noChangeShapeType="1"/>
        </xdr:cNvSpPr>
      </xdr:nvSpPr>
      <xdr:spPr bwMode="auto">
        <a:xfrm flipH="1">
          <a:off x="17287875" y="3714750"/>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23</xdr:col>
      <xdr:colOff>742950</xdr:colOff>
      <xdr:row>21</xdr:row>
      <xdr:rowOff>47625</xdr:rowOff>
    </xdr:from>
    <xdr:to>
      <xdr:col>24</xdr:col>
      <xdr:colOff>133350</xdr:colOff>
      <xdr:row>21</xdr:row>
      <xdr:rowOff>171450</xdr:rowOff>
    </xdr:to>
    <xdr:sp macro="" textlink="">
      <xdr:nvSpPr>
        <xdr:cNvPr id="937" name="Line 1837">
          <a:extLst>
            <a:ext uri="{FF2B5EF4-FFF2-40B4-BE49-F238E27FC236}">
              <a16:creationId xmlns:a16="http://schemas.microsoft.com/office/drawing/2014/main" id="{00000000-0008-0000-0000-0000A9030000}"/>
            </a:ext>
          </a:extLst>
        </xdr:cNvPr>
        <xdr:cNvSpPr>
          <a:spLocks noChangeShapeType="1"/>
        </xdr:cNvSpPr>
      </xdr:nvSpPr>
      <xdr:spPr bwMode="auto">
        <a:xfrm flipH="1">
          <a:off x="17278350" y="383857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24</xdr:col>
      <xdr:colOff>276225</xdr:colOff>
      <xdr:row>20</xdr:row>
      <xdr:rowOff>104775</xdr:rowOff>
    </xdr:from>
    <xdr:to>
      <xdr:col>24</xdr:col>
      <xdr:colOff>276225</xdr:colOff>
      <xdr:row>23</xdr:row>
      <xdr:rowOff>123825</xdr:rowOff>
    </xdr:to>
    <xdr:sp macro="" textlink="">
      <xdr:nvSpPr>
        <xdr:cNvPr id="938" name="Line 1838">
          <a:extLst>
            <a:ext uri="{FF2B5EF4-FFF2-40B4-BE49-F238E27FC236}">
              <a16:creationId xmlns:a16="http://schemas.microsoft.com/office/drawing/2014/main" id="{00000000-0008-0000-0000-0000AA030000}"/>
            </a:ext>
          </a:extLst>
        </xdr:cNvPr>
        <xdr:cNvSpPr>
          <a:spLocks noChangeShapeType="1"/>
        </xdr:cNvSpPr>
      </xdr:nvSpPr>
      <xdr:spPr bwMode="auto">
        <a:xfrm flipV="1">
          <a:off x="17564100" y="3695700"/>
          <a:ext cx="0" cy="60960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24</xdr:col>
      <xdr:colOff>57150</xdr:colOff>
      <xdr:row>20</xdr:row>
      <xdr:rowOff>95250</xdr:rowOff>
    </xdr:from>
    <xdr:to>
      <xdr:col>24</xdr:col>
      <xdr:colOff>276225</xdr:colOff>
      <xdr:row>20</xdr:row>
      <xdr:rowOff>95250</xdr:rowOff>
    </xdr:to>
    <xdr:sp macro="" textlink="">
      <xdr:nvSpPr>
        <xdr:cNvPr id="939" name="Line 1839">
          <a:extLst>
            <a:ext uri="{FF2B5EF4-FFF2-40B4-BE49-F238E27FC236}">
              <a16:creationId xmlns:a16="http://schemas.microsoft.com/office/drawing/2014/main" id="{00000000-0008-0000-0000-0000AB030000}"/>
            </a:ext>
          </a:extLst>
        </xdr:cNvPr>
        <xdr:cNvSpPr>
          <a:spLocks noChangeShapeType="1"/>
        </xdr:cNvSpPr>
      </xdr:nvSpPr>
      <xdr:spPr bwMode="auto">
        <a:xfrm flipH="1">
          <a:off x="17345025" y="3686175"/>
          <a:ext cx="219075" cy="0"/>
        </a:xfrm>
        <a:prstGeom prst="line">
          <a:avLst/>
        </a:prstGeom>
        <a:noFill/>
        <a:ln w="6350">
          <a:solidFill>
            <a:srgbClr xmlns:mc="http://schemas.openxmlformats.org/markup-compatibility/2006" xmlns:a14="http://schemas.microsoft.com/office/drawing/2010/main" val="000000" mc:Ignorable="a14" a14:legacySpreadsheetColorIndex="8"/>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30</xdr:col>
      <xdr:colOff>638175</xdr:colOff>
      <xdr:row>0</xdr:row>
      <xdr:rowOff>57150</xdr:rowOff>
    </xdr:from>
    <xdr:to>
      <xdr:col>31</xdr:col>
      <xdr:colOff>495300</xdr:colOff>
      <xdr:row>3</xdr:row>
      <xdr:rowOff>57150</xdr:rowOff>
    </xdr:to>
    <xdr:pic>
      <xdr:nvPicPr>
        <xdr:cNvPr id="940" name="Picture 197" descr="CRH_office_pantone">
          <a:extLst>
            <a:ext uri="{FF2B5EF4-FFF2-40B4-BE49-F238E27FC236}">
              <a16:creationId xmlns:a16="http://schemas.microsoft.com/office/drawing/2014/main" id="{00000000-0008-0000-0000-0000AC03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440900" y="57150"/>
          <a:ext cx="60960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41</xdr:col>
      <xdr:colOff>409575</xdr:colOff>
      <xdr:row>24</xdr:row>
      <xdr:rowOff>0</xdr:rowOff>
    </xdr:from>
    <xdr:to>
      <xdr:col>41</xdr:col>
      <xdr:colOff>409575</xdr:colOff>
      <xdr:row>26</xdr:row>
      <xdr:rowOff>95250</xdr:rowOff>
    </xdr:to>
    <xdr:sp macro="" textlink="">
      <xdr:nvSpPr>
        <xdr:cNvPr id="941" name="Line 430">
          <a:extLst>
            <a:ext uri="{FF2B5EF4-FFF2-40B4-BE49-F238E27FC236}">
              <a16:creationId xmlns:a16="http://schemas.microsoft.com/office/drawing/2014/main" id="{00000000-0008-0000-0000-0000AD030000}"/>
            </a:ext>
          </a:extLst>
        </xdr:cNvPr>
        <xdr:cNvSpPr>
          <a:spLocks noChangeShapeType="1"/>
        </xdr:cNvSpPr>
      </xdr:nvSpPr>
      <xdr:spPr bwMode="auto">
        <a:xfrm>
          <a:off x="30489525" y="437197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41</xdr:col>
      <xdr:colOff>285750</xdr:colOff>
      <xdr:row>22</xdr:row>
      <xdr:rowOff>161925</xdr:rowOff>
    </xdr:from>
    <xdr:to>
      <xdr:col>41</xdr:col>
      <xdr:colOff>285750</xdr:colOff>
      <xdr:row>25</xdr:row>
      <xdr:rowOff>57150</xdr:rowOff>
    </xdr:to>
    <xdr:sp macro="" textlink="">
      <xdr:nvSpPr>
        <xdr:cNvPr id="942" name="Line 1853">
          <a:extLst>
            <a:ext uri="{FF2B5EF4-FFF2-40B4-BE49-F238E27FC236}">
              <a16:creationId xmlns:a16="http://schemas.microsoft.com/office/drawing/2014/main" id="{00000000-0008-0000-0000-0000AE030000}"/>
            </a:ext>
          </a:extLst>
        </xdr:cNvPr>
        <xdr:cNvSpPr>
          <a:spLocks noChangeShapeType="1"/>
        </xdr:cNvSpPr>
      </xdr:nvSpPr>
      <xdr:spPr bwMode="auto">
        <a:xfrm flipV="1">
          <a:off x="30365700" y="41529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504825</xdr:colOff>
      <xdr:row>22</xdr:row>
      <xdr:rowOff>161925</xdr:rowOff>
    </xdr:from>
    <xdr:to>
      <xdr:col>41</xdr:col>
      <xdr:colOff>504825</xdr:colOff>
      <xdr:row>26</xdr:row>
      <xdr:rowOff>76200</xdr:rowOff>
    </xdr:to>
    <xdr:sp macro="" textlink="">
      <xdr:nvSpPr>
        <xdr:cNvPr id="943" name="Line 1854">
          <a:extLst>
            <a:ext uri="{FF2B5EF4-FFF2-40B4-BE49-F238E27FC236}">
              <a16:creationId xmlns:a16="http://schemas.microsoft.com/office/drawing/2014/main" id="{00000000-0008-0000-0000-0000AF030000}"/>
            </a:ext>
          </a:extLst>
        </xdr:cNvPr>
        <xdr:cNvSpPr>
          <a:spLocks noChangeShapeType="1"/>
        </xdr:cNvSpPr>
      </xdr:nvSpPr>
      <xdr:spPr bwMode="auto">
        <a:xfrm flipV="1">
          <a:off x="30584775" y="4152900"/>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228600</xdr:colOff>
      <xdr:row>23</xdr:row>
      <xdr:rowOff>66675</xdr:rowOff>
    </xdr:from>
    <xdr:to>
      <xdr:col>41</xdr:col>
      <xdr:colOff>581025</xdr:colOff>
      <xdr:row>23</xdr:row>
      <xdr:rowOff>66675</xdr:rowOff>
    </xdr:to>
    <xdr:sp macro="" textlink="">
      <xdr:nvSpPr>
        <xdr:cNvPr id="944" name="Line 1855">
          <a:extLst>
            <a:ext uri="{FF2B5EF4-FFF2-40B4-BE49-F238E27FC236}">
              <a16:creationId xmlns:a16="http://schemas.microsoft.com/office/drawing/2014/main" id="{00000000-0008-0000-0000-0000B0030000}"/>
            </a:ext>
          </a:extLst>
        </xdr:cNvPr>
        <xdr:cNvSpPr>
          <a:spLocks noChangeShapeType="1"/>
        </xdr:cNvSpPr>
      </xdr:nvSpPr>
      <xdr:spPr bwMode="auto">
        <a:xfrm>
          <a:off x="30308550" y="4248150"/>
          <a:ext cx="352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209550</xdr:colOff>
      <xdr:row>23</xdr:row>
      <xdr:rowOff>9525</xdr:rowOff>
    </xdr:from>
    <xdr:to>
      <xdr:col>41</xdr:col>
      <xdr:colOff>323850</xdr:colOff>
      <xdr:row>23</xdr:row>
      <xdr:rowOff>123825</xdr:rowOff>
    </xdr:to>
    <xdr:sp macro="" textlink="">
      <xdr:nvSpPr>
        <xdr:cNvPr id="945" name="Line 1856">
          <a:extLst>
            <a:ext uri="{FF2B5EF4-FFF2-40B4-BE49-F238E27FC236}">
              <a16:creationId xmlns:a16="http://schemas.microsoft.com/office/drawing/2014/main" id="{00000000-0008-0000-0000-0000B1030000}"/>
            </a:ext>
          </a:extLst>
        </xdr:cNvPr>
        <xdr:cNvSpPr>
          <a:spLocks noChangeShapeType="1"/>
        </xdr:cNvSpPr>
      </xdr:nvSpPr>
      <xdr:spPr bwMode="auto">
        <a:xfrm flipH="1">
          <a:off x="30289500" y="41910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457200</xdr:colOff>
      <xdr:row>23</xdr:row>
      <xdr:rowOff>9525</xdr:rowOff>
    </xdr:from>
    <xdr:to>
      <xdr:col>41</xdr:col>
      <xdr:colOff>571500</xdr:colOff>
      <xdr:row>23</xdr:row>
      <xdr:rowOff>123825</xdr:rowOff>
    </xdr:to>
    <xdr:sp macro="" textlink="">
      <xdr:nvSpPr>
        <xdr:cNvPr id="946" name="Line 1857">
          <a:extLst>
            <a:ext uri="{FF2B5EF4-FFF2-40B4-BE49-F238E27FC236}">
              <a16:creationId xmlns:a16="http://schemas.microsoft.com/office/drawing/2014/main" id="{00000000-0008-0000-0000-0000B2030000}"/>
            </a:ext>
          </a:extLst>
        </xdr:cNvPr>
        <xdr:cNvSpPr>
          <a:spLocks noChangeShapeType="1"/>
        </xdr:cNvSpPr>
      </xdr:nvSpPr>
      <xdr:spPr bwMode="auto">
        <a:xfrm flipH="1">
          <a:off x="30537150" y="41910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704850</xdr:colOff>
      <xdr:row>31</xdr:row>
      <xdr:rowOff>142875</xdr:rowOff>
    </xdr:from>
    <xdr:to>
      <xdr:col>36</xdr:col>
      <xdr:colOff>57150</xdr:colOff>
      <xdr:row>32</xdr:row>
      <xdr:rowOff>57150</xdr:rowOff>
    </xdr:to>
    <xdr:sp macro="" textlink="">
      <xdr:nvSpPr>
        <xdr:cNvPr id="947" name="Line 1858">
          <a:extLst>
            <a:ext uri="{FF2B5EF4-FFF2-40B4-BE49-F238E27FC236}">
              <a16:creationId xmlns:a16="http://schemas.microsoft.com/office/drawing/2014/main" id="{00000000-0008-0000-0000-0000B3030000}"/>
            </a:ext>
          </a:extLst>
        </xdr:cNvPr>
        <xdr:cNvSpPr>
          <a:spLocks noChangeShapeType="1"/>
        </xdr:cNvSpPr>
      </xdr:nvSpPr>
      <xdr:spPr bwMode="auto">
        <a:xfrm flipH="1">
          <a:off x="26269950" y="586740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714375</xdr:colOff>
      <xdr:row>11</xdr:row>
      <xdr:rowOff>161925</xdr:rowOff>
    </xdr:from>
    <xdr:to>
      <xdr:col>33</xdr:col>
      <xdr:colOff>38100</xdr:colOff>
      <xdr:row>12</xdr:row>
      <xdr:rowOff>47625</xdr:rowOff>
    </xdr:to>
    <xdr:sp macro="" textlink="">
      <xdr:nvSpPr>
        <xdr:cNvPr id="948" name="Line 1860">
          <a:extLst>
            <a:ext uri="{FF2B5EF4-FFF2-40B4-BE49-F238E27FC236}">
              <a16:creationId xmlns:a16="http://schemas.microsoft.com/office/drawing/2014/main" id="{00000000-0008-0000-0000-0000B4030000}"/>
            </a:ext>
          </a:extLst>
        </xdr:cNvPr>
        <xdr:cNvSpPr>
          <a:spLocks noChangeShapeType="1"/>
        </xdr:cNvSpPr>
      </xdr:nvSpPr>
      <xdr:spPr bwMode="auto">
        <a:xfrm flipH="1">
          <a:off x="24022050" y="199072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0</xdr:colOff>
      <xdr:row>11</xdr:row>
      <xdr:rowOff>171450</xdr:rowOff>
    </xdr:from>
    <xdr:to>
      <xdr:col>33</xdr:col>
      <xdr:colOff>0</xdr:colOff>
      <xdr:row>12</xdr:row>
      <xdr:rowOff>152400</xdr:rowOff>
    </xdr:to>
    <xdr:sp macro="" textlink="">
      <xdr:nvSpPr>
        <xdr:cNvPr id="949" name="Line 1862">
          <a:extLst>
            <a:ext uri="{FF2B5EF4-FFF2-40B4-BE49-F238E27FC236}">
              <a16:creationId xmlns:a16="http://schemas.microsoft.com/office/drawing/2014/main" id="{00000000-0008-0000-0000-0000B5030000}"/>
            </a:ext>
          </a:extLst>
        </xdr:cNvPr>
        <xdr:cNvSpPr>
          <a:spLocks noChangeShapeType="1"/>
        </xdr:cNvSpPr>
      </xdr:nvSpPr>
      <xdr:spPr bwMode="auto">
        <a:xfrm>
          <a:off x="24060150" y="20002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704850</xdr:colOff>
      <xdr:row>11</xdr:row>
      <xdr:rowOff>152400</xdr:rowOff>
    </xdr:from>
    <xdr:to>
      <xdr:col>34</xdr:col>
      <xdr:colOff>38100</xdr:colOff>
      <xdr:row>12</xdr:row>
      <xdr:rowOff>57150</xdr:rowOff>
    </xdr:to>
    <xdr:sp macro="" textlink="">
      <xdr:nvSpPr>
        <xdr:cNvPr id="950" name="Line 1864">
          <a:extLst>
            <a:ext uri="{FF2B5EF4-FFF2-40B4-BE49-F238E27FC236}">
              <a16:creationId xmlns:a16="http://schemas.microsoft.com/office/drawing/2014/main" id="{00000000-0008-0000-0000-0000B6030000}"/>
            </a:ext>
          </a:extLst>
        </xdr:cNvPr>
        <xdr:cNvSpPr>
          <a:spLocks noChangeShapeType="1"/>
        </xdr:cNvSpPr>
      </xdr:nvSpPr>
      <xdr:spPr bwMode="auto">
        <a:xfrm flipH="1">
          <a:off x="24765000" y="1981200"/>
          <a:ext cx="8572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695325</xdr:colOff>
      <xdr:row>15</xdr:row>
      <xdr:rowOff>142875</xdr:rowOff>
    </xdr:from>
    <xdr:to>
      <xdr:col>38</xdr:col>
      <xdr:colOff>57150</xdr:colOff>
      <xdr:row>16</xdr:row>
      <xdr:rowOff>66675</xdr:rowOff>
    </xdr:to>
    <xdr:sp macro="" textlink="">
      <xdr:nvSpPr>
        <xdr:cNvPr id="951" name="Line 1869">
          <a:extLst>
            <a:ext uri="{FF2B5EF4-FFF2-40B4-BE49-F238E27FC236}">
              <a16:creationId xmlns:a16="http://schemas.microsoft.com/office/drawing/2014/main" id="{00000000-0008-0000-0000-0000B7030000}"/>
            </a:ext>
          </a:extLst>
        </xdr:cNvPr>
        <xdr:cNvSpPr>
          <a:spLocks noChangeShapeType="1"/>
        </xdr:cNvSpPr>
      </xdr:nvSpPr>
      <xdr:spPr bwMode="auto">
        <a:xfrm flipH="1">
          <a:off x="27765375" y="27432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15</xdr:row>
      <xdr:rowOff>142875</xdr:rowOff>
    </xdr:from>
    <xdr:to>
      <xdr:col>39</xdr:col>
      <xdr:colOff>85725</xdr:colOff>
      <xdr:row>16</xdr:row>
      <xdr:rowOff>38100</xdr:rowOff>
    </xdr:to>
    <xdr:sp macro="" textlink="">
      <xdr:nvSpPr>
        <xdr:cNvPr id="952" name="Line 1870">
          <a:extLst>
            <a:ext uri="{FF2B5EF4-FFF2-40B4-BE49-F238E27FC236}">
              <a16:creationId xmlns:a16="http://schemas.microsoft.com/office/drawing/2014/main" id="{00000000-0008-0000-0000-0000B8030000}"/>
            </a:ext>
          </a:extLst>
        </xdr:cNvPr>
        <xdr:cNvSpPr>
          <a:spLocks noChangeShapeType="1"/>
        </xdr:cNvSpPr>
      </xdr:nvSpPr>
      <xdr:spPr bwMode="auto">
        <a:xfrm flipH="1">
          <a:off x="28575000" y="274320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742950</xdr:colOff>
      <xdr:row>31</xdr:row>
      <xdr:rowOff>28575</xdr:rowOff>
    </xdr:from>
    <xdr:to>
      <xdr:col>34</xdr:col>
      <xdr:colOff>742950</xdr:colOff>
      <xdr:row>32</xdr:row>
      <xdr:rowOff>66675</xdr:rowOff>
    </xdr:to>
    <xdr:sp macro="" textlink="">
      <xdr:nvSpPr>
        <xdr:cNvPr id="953" name="Line 1871">
          <a:extLst>
            <a:ext uri="{FF2B5EF4-FFF2-40B4-BE49-F238E27FC236}">
              <a16:creationId xmlns:a16="http://schemas.microsoft.com/office/drawing/2014/main" id="{00000000-0008-0000-0000-0000B9030000}"/>
            </a:ext>
          </a:extLst>
        </xdr:cNvPr>
        <xdr:cNvSpPr>
          <a:spLocks noChangeShapeType="1"/>
        </xdr:cNvSpPr>
      </xdr:nvSpPr>
      <xdr:spPr bwMode="auto">
        <a:xfrm>
          <a:off x="25555575" y="57531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476250</xdr:colOff>
      <xdr:row>31</xdr:row>
      <xdr:rowOff>133350</xdr:rowOff>
    </xdr:from>
    <xdr:to>
      <xdr:col>36</xdr:col>
      <xdr:colOff>476250</xdr:colOff>
      <xdr:row>32</xdr:row>
      <xdr:rowOff>85725</xdr:rowOff>
    </xdr:to>
    <xdr:sp macro="" textlink="">
      <xdr:nvSpPr>
        <xdr:cNvPr id="954" name="Line 1872">
          <a:extLst>
            <a:ext uri="{FF2B5EF4-FFF2-40B4-BE49-F238E27FC236}">
              <a16:creationId xmlns:a16="http://schemas.microsoft.com/office/drawing/2014/main" id="{00000000-0008-0000-0000-0000BA030000}"/>
            </a:ext>
          </a:extLst>
        </xdr:cNvPr>
        <xdr:cNvSpPr>
          <a:spLocks noChangeShapeType="1"/>
        </xdr:cNvSpPr>
      </xdr:nvSpPr>
      <xdr:spPr bwMode="auto">
        <a:xfrm>
          <a:off x="26793825" y="5857875"/>
          <a:ext cx="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26</xdr:col>
          <xdr:colOff>704850</xdr:colOff>
          <xdr:row>0</xdr:row>
          <xdr:rowOff>66675</xdr:rowOff>
        </xdr:from>
        <xdr:to>
          <xdr:col>29</xdr:col>
          <xdr:colOff>676275</xdr:colOff>
          <xdr:row>1</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statik og reaktioner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30</xdr:col>
          <xdr:colOff>57150</xdr:colOff>
          <xdr:row>1</xdr:row>
          <xdr:rowOff>19050</xdr:rowOff>
        </xdr:from>
        <xdr:to>
          <xdr:col>30</xdr:col>
          <xdr:colOff>571500</xdr:colOff>
          <xdr:row>3</xdr:row>
          <xdr:rowOff>66675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26</xdr:col>
          <xdr:colOff>561975</xdr:colOff>
          <xdr:row>2</xdr:row>
          <xdr:rowOff>47625</xdr:rowOff>
        </xdr:from>
        <xdr:to>
          <xdr:col>29</xdr:col>
          <xdr:colOff>666750</xdr:colOff>
          <xdr:row>3</xdr:row>
          <xdr:rowOff>133350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Forkantpladestrimmel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9525</xdr:rowOff>
        </xdr:from>
        <xdr:to>
          <xdr:col>29</xdr:col>
          <xdr:colOff>657225</xdr:colOff>
          <xdr:row>5</xdr:row>
          <xdr:rowOff>85725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pladestrimler v.reposeende</a:t>
              </a:r>
            </a:p>
          </xdr:txBody>
        </xdr:sp>
        <xdr:clientData fLocksWithSheet="0" fPrintsWithSheet="0"/>
      </xdr:twoCellAnchor>
    </mc:Choice>
    <mc:Fallback/>
  </mc:AlternateContent>
  <xdr:twoCellAnchor>
    <xdr:from>
      <xdr:col>36</xdr:col>
      <xdr:colOff>514350</xdr:colOff>
      <xdr:row>31</xdr:row>
      <xdr:rowOff>28575</xdr:rowOff>
    </xdr:from>
    <xdr:to>
      <xdr:col>36</xdr:col>
      <xdr:colOff>714375</xdr:colOff>
      <xdr:row>32</xdr:row>
      <xdr:rowOff>57150</xdr:rowOff>
    </xdr:to>
    <xdr:sp macro="" textlink="">
      <xdr:nvSpPr>
        <xdr:cNvPr id="959" name="Line 2813">
          <a:extLst>
            <a:ext uri="{FF2B5EF4-FFF2-40B4-BE49-F238E27FC236}">
              <a16:creationId xmlns:a16="http://schemas.microsoft.com/office/drawing/2014/main" id="{00000000-0008-0000-0000-0000BF030000}"/>
            </a:ext>
          </a:extLst>
        </xdr:cNvPr>
        <xdr:cNvSpPr>
          <a:spLocks noChangeShapeType="1"/>
        </xdr:cNvSpPr>
      </xdr:nvSpPr>
      <xdr:spPr bwMode="auto">
        <a:xfrm flipH="1" flipV="1">
          <a:off x="26831925" y="5753100"/>
          <a:ext cx="200025"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0</xdr:colOff>
      <xdr:row>10</xdr:row>
      <xdr:rowOff>0</xdr:rowOff>
    </xdr:from>
    <xdr:to>
      <xdr:col>34</xdr:col>
      <xdr:colOff>0</xdr:colOff>
      <xdr:row>11</xdr:row>
      <xdr:rowOff>0</xdr:rowOff>
    </xdr:to>
    <xdr:sp macro="" textlink="">
      <xdr:nvSpPr>
        <xdr:cNvPr id="960" name="Freeform 2814">
          <a:extLst>
            <a:ext uri="{FF2B5EF4-FFF2-40B4-BE49-F238E27FC236}">
              <a16:creationId xmlns:a16="http://schemas.microsoft.com/office/drawing/2014/main" id="{00000000-0008-0000-0000-0000C0030000}"/>
            </a:ext>
          </a:extLst>
        </xdr:cNvPr>
        <xdr:cNvSpPr>
          <a:spLocks/>
        </xdr:cNvSpPr>
      </xdr:nvSpPr>
      <xdr:spPr bwMode="auto">
        <a:xfrm>
          <a:off x="24060150" y="1628775"/>
          <a:ext cx="752475" cy="200025"/>
        </a:xfrm>
        <a:custGeom>
          <a:avLst/>
          <a:gdLst>
            <a:gd name="T0" fmla="*/ 0 w 79"/>
            <a:gd name="T1" fmla="*/ 0 h 21"/>
            <a:gd name="T2" fmla="*/ 2147483646 w 79"/>
            <a:gd name="T3" fmla="*/ 0 h 21"/>
            <a:gd name="T4" fmla="*/ 2147483646 w 79"/>
            <a:gd name="T5" fmla="*/ 2147483646 h 21"/>
            <a:gd name="T6" fmla="*/ 2147483646 w 79"/>
            <a:gd name="T7" fmla="*/ 2147483646 h 2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9" h="21">
              <a:moveTo>
                <a:pt x="0" y="0"/>
              </a:moveTo>
              <a:lnTo>
                <a:pt x="24" y="0"/>
              </a:lnTo>
              <a:lnTo>
                <a:pt x="59" y="21"/>
              </a:lnTo>
              <a:lnTo>
                <a:pt x="79" y="21"/>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28575</xdr:colOff>
      <xdr:row>7</xdr:row>
      <xdr:rowOff>133350</xdr:rowOff>
    </xdr:from>
    <xdr:to>
      <xdr:col>33</xdr:col>
      <xdr:colOff>114300</xdr:colOff>
      <xdr:row>8</xdr:row>
      <xdr:rowOff>47625</xdr:rowOff>
    </xdr:to>
    <xdr:sp macro="" textlink="">
      <xdr:nvSpPr>
        <xdr:cNvPr id="961" name="Line 2815">
          <a:extLst>
            <a:ext uri="{FF2B5EF4-FFF2-40B4-BE49-F238E27FC236}">
              <a16:creationId xmlns:a16="http://schemas.microsoft.com/office/drawing/2014/main" id="{00000000-0008-0000-0000-0000C1030000}"/>
            </a:ext>
          </a:extLst>
        </xdr:cNvPr>
        <xdr:cNvSpPr>
          <a:spLocks noChangeShapeType="1"/>
        </xdr:cNvSpPr>
      </xdr:nvSpPr>
      <xdr:spPr bwMode="auto">
        <a:xfrm flipH="1">
          <a:off x="24088725" y="12096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619125</xdr:colOff>
      <xdr:row>7</xdr:row>
      <xdr:rowOff>123825</xdr:rowOff>
    </xdr:from>
    <xdr:to>
      <xdr:col>33</xdr:col>
      <xdr:colOff>704850</xdr:colOff>
      <xdr:row>8</xdr:row>
      <xdr:rowOff>38100</xdr:rowOff>
    </xdr:to>
    <xdr:sp macro="" textlink="">
      <xdr:nvSpPr>
        <xdr:cNvPr id="962" name="Line 2816">
          <a:extLst>
            <a:ext uri="{FF2B5EF4-FFF2-40B4-BE49-F238E27FC236}">
              <a16:creationId xmlns:a16="http://schemas.microsoft.com/office/drawing/2014/main" id="{00000000-0008-0000-0000-0000C2030000}"/>
            </a:ext>
          </a:extLst>
        </xdr:cNvPr>
        <xdr:cNvSpPr>
          <a:spLocks noChangeShapeType="1"/>
        </xdr:cNvSpPr>
      </xdr:nvSpPr>
      <xdr:spPr bwMode="auto">
        <a:xfrm flipH="1">
          <a:off x="24679275" y="12001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9525</xdr:colOff>
      <xdr:row>13</xdr:row>
      <xdr:rowOff>47625</xdr:rowOff>
    </xdr:from>
    <xdr:to>
      <xdr:col>39</xdr:col>
      <xdr:colOff>38100</xdr:colOff>
      <xdr:row>14</xdr:row>
      <xdr:rowOff>57150</xdr:rowOff>
    </xdr:to>
    <xdr:sp macro="" textlink="">
      <xdr:nvSpPr>
        <xdr:cNvPr id="963" name="Freeform 2817">
          <a:extLst>
            <a:ext uri="{FF2B5EF4-FFF2-40B4-BE49-F238E27FC236}">
              <a16:creationId xmlns:a16="http://schemas.microsoft.com/office/drawing/2014/main" id="{00000000-0008-0000-0000-0000C3030000}"/>
            </a:ext>
          </a:extLst>
        </xdr:cNvPr>
        <xdr:cNvSpPr>
          <a:spLocks/>
        </xdr:cNvSpPr>
      </xdr:nvSpPr>
      <xdr:spPr bwMode="auto">
        <a:xfrm>
          <a:off x="27832050" y="2266950"/>
          <a:ext cx="781050" cy="200025"/>
        </a:xfrm>
        <a:custGeom>
          <a:avLst/>
          <a:gdLst>
            <a:gd name="T0" fmla="*/ 0 w 79"/>
            <a:gd name="T1" fmla="*/ 0 h 21"/>
            <a:gd name="T2" fmla="*/ 2147483646 w 79"/>
            <a:gd name="T3" fmla="*/ 0 h 21"/>
            <a:gd name="T4" fmla="*/ 2147483646 w 79"/>
            <a:gd name="T5" fmla="*/ 2147483646 h 21"/>
            <a:gd name="T6" fmla="*/ 2147483646 w 79"/>
            <a:gd name="T7" fmla="*/ 2147483646 h 2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9" h="21">
              <a:moveTo>
                <a:pt x="0" y="0"/>
              </a:moveTo>
              <a:lnTo>
                <a:pt x="24" y="0"/>
              </a:lnTo>
              <a:lnTo>
                <a:pt x="59" y="21"/>
              </a:lnTo>
              <a:lnTo>
                <a:pt x="79" y="21"/>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32</xdr:col>
      <xdr:colOff>742950</xdr:colOff>
      <xdr:row>13</xdr:row>
      <xdr:rowOff>9525</xdr:rowOff>
    </xdr:from>
    <xdr:to>
      <xdr:col>34</xdr:col>
      <xdr:colOff>0</xdr:colOff>
      <xdr:row>13</xdr:row>
      <xdr:rowOff>9525</xdr:rowOff>
    </xdr:to>
    <xdr:sp macro="" textlink="">
      <xdr:nvSpPr>
        <xdr:cNvPr id="964" name="Line 2818">
          <a:extLst>
            <a:ext uri="{FF2B5EF4-FFF2-40B4-BE49-F238E27FC236}">
              <a16:creationId xmlns:a16="http://schemas.microsoft.com/office/drawing/2014/main" id="{00000000-0008-0000-0000-0000C4030000}"/>
            </a:ext>
          </a:extLst>
        </xdr:cNvPr>
        <xdr:cNvSpPr>
          <a:spLocks noChangeShapeType="1"/>
        </xdr:cNvSpPr>
      </xdr:nvSpPr>
      <xdr:spPr bwMode="auto">
        <a:xfrm>
          <a:off x="24050625" y="2228850"/>
          <a:ext cx="762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0</xdr:colOff>
      <xdr:row>13</xdr:row>
      <xdr:rowOff>9525</xdr:rowOff>
    </xdr:from>
    <xdr:to>
      <xdr:col>33</xdr:col>
      <xdr:colOff>47625</xdr:colOff>
      <xdr:row>13</xdr:row>
      <xdr:rowOff>104775</xdr:rowOff>
    </xdr:to>
    <xdr:sp macro="" textlink="">
      <xdr:nvSpPr>
        <xdr:cNvPr id="965" name="Line 2819">
          <a:extLst>
            <a:ext uri="{FF2B5EF4-FFF2-40B4-BE49-F238E27FC236}">
              <a16:creationId xmlns:a16="http://schemas.microsoft.com/office/drawing/2014/main" id="{00000000-0008-0000-0000-0000C5030000}"/>
            </a:ext>
          </a:extLst>
        </xdr:cNvPr>
        <xdr:cNvSpPr>
          <a:spLocks noChangeShapeType="1"/>
        </xdr:cNvSpPr>
      </xdr:nvSpPr>
      <xdr:spPr bwMode="auto">
        <a:xfrm>
          <a:off x="24060150" y="2228850"/>
          <a:ext cx="47625" cy="952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695325</xdr:colOff>
      <xdr:row>13</xdr:row>
      <xdr:rowOff>0</xdr:rowOff>
    </xdr:from>
    <xdr:to>
      <xdr:col>34</xdr:col>
      <xdr:colOff>9525</xdr:colOff>
      <xdr:row>13</xdr:row>
      <xdr:rowOff>123825</xdr:rowOff>
    </xdr:to>
    <xdr:sp macro="" textlink="">
      <xdr:nvSpPr>
        <xdr:cNvPr id="966" name="Line 2820">
          <a:extLst>
            <a:ext uri="{FF2B5EF4-FFF2-40B4-BE49-F238E27FC236}">
              <a16:creationId xmlns:a16="http://schemas.microsoft.com/office/drawing/2014/main" id="{00000000-0008-0000-0000-0000C6030000}"/>
            </a:ext>
          </a:extLst>
        </xdr:cNvPr>
        <xdr:cNvSpPr>
          <a:spLocks noChangeShapeType="1"/>
        </xdr:cNvSpPr>
      </xdr:nvSpPr>
      <xdr:spPr bwMode="auto">
        <a:xfrm flipH="1">
          <a:off x="24755475" y="2219325"/>
          <a:ext cx="66675" cy="12382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38100</xdr:colOff>
      <xdr:row>13</xdr:row>
      <xdr:rowOff>76200</xdr:rowOff>
    </xdr:from>
    <xdr:to>
      <xdr:col>33</xdr:col>
      <xdr:colOff>714375</xdr:colOff>
      <xdr:row>14</xdr:row>
      <xdr:rowOff>0</xdr:rowOff>
    </xdr:to>
    <xdr:sp macro="" textlink="">
      <xdr:nvSpPr>
        <xdr:cNvPr id="967" name="Arc 2821">
          <a:extLst>
            <a:ext uri="{FF2B5EF4-FFF2-40B4-BE49-F238E27FC236}">
              <a16:creationId xmlns:a16="http://schemas.microsoft.com/office/drawing/2014/main" id="{00000000-0008-0000-0000-0000C7030000}"/>
            </a:ext>
          </a:extLst>
        </xdr:cNvPr>
        <xdr:cNvSpPr>
          <a:spLocks/>
        </xdr:cNvSpPr>
      </xdr:nvSpPr>
      <xdr:spPr bwMode="auto">
        <a:xfrm flipV="1">
          <a:off x="24098250" y="2295525"/>
          <a:ext cx="676275" cy="114300"/>
        </a:xfrm>
        <a:custGeom>
          <a:avLst/>
          <a:gdLst>
            <a:gd name="T0" fmla="*/ 0 w 42825"/>
            <a:gd name="T1" fmla="*/ 2147483646 h 21600"/>
            <a:gd name="T2" fmla="*/ 2147483646 w 42825"/>
            <a:gd name="T3" fmla="*/ 2147483646 h 21600"/>
            <a:gd name="T4" fmla="*/ 2147483646 w 42825"/>
            <a:gd name="T5" fmla="*/ 2147483646 h 21600"/>
            <a:gd name="T6" fmla="*/ 0 60000 65536"/>
            <a:gd name="T7" fmla="*/ 0 60000 65536"/>
            <a:gd name="T8" fmla="*/ 0 60000 65536"/>
          </a:gdLst>
          <a:ahLst/>
          <a:cxnLst>
            <a:cxn ang="T6">
              <a:pos x="T0" y="T1"/>
            </a:cxn>
            <a:cxn ang="T7">
              <a:pos x="T2" y="T3"/>
            </a:cxn>
            <a:cxn ang="T8">
              <a:pos x="T4" y="T5"/>
            </a:cxn>
          </a:cxnLst>
          <a:rect l="0" t="0" r="r" b="b"/>
          <a:pathLst>
            <a:path w="42825" h="21600" fill="none" extrusionOk="0">
              <a:moveTo>
                <a:pt x="0" y="19810"/>
              </a:moveTo>
              <a:cubicBezTo>
                <a:pt x="931" y="8613"/>
                <a:pt x="10290" y="-1"/>
                <a:pt x="21526" y="0"/>
              </a:cubicBezTo>
              <a:cubicBezTo>
                <a:pt x="32068" y="0"/>
                <a:pt x="41070" y="7609"/>
                <a:pt x="42824" y="18005"/>
              </a:cubicBezTo>
            </a:path>
            <a:path w="42825" h="21600" stroke="0" extrusionOk="0">
              <a:moveTo>
                <a:pt x="0" y="19810"/>
              </a:moveTo>
              <a:cubicBezTo>
                <a:pt x="931" y="8613"/>
                <a:pt x="10290" y="-1"/>
                <a:pt x="21526" y="0"/>
              </a:cubicBezTo>
              <a:cubicBezTo>
                <a:pt x="32068" y="0"/>
                <a:pt x="41070" y="7609"/>
                <a:pt x="42824" y="18005"/>
              </a:cubicBezTo>
              <a:lnTo>
                <a:pt x="21526" y="21600"/>
              </a:lnTo>
              <a:lnTo>
                <a:pt x="0" y="19810"/>
              </a:lnTo>
              <a:close/>
            </a:path>
          </a:pathLst>
        </a:cu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32</xdr:col>
      <xdr:colOff>590550</xdr:colOff>
      <xdr:row>13</xdr:row>
      <xdr:rowOff>0</xdr:rowOff>
    </xdr:from>
    <xdr:to>
      <xdr:col>32</xdr:col>
      <xdr:colOff>704850</xdr:colOff>
      <xdr:row>13</xdr:row>
      <xdr:rowOff>0</xdr:rowOff>
    </xdr:to>
    <xdr:sp macro="" textlink="">
      <xdr:nvSpPr>
        <xdr:cNvPr id="968" name="Line 2822">
          <a:extLst>
            <a:ext uri="{FF2B5EF4-FFF2-40B4-BE49-F238E27FC236}">
              <a16:creationId xmlns:a16="http://schemas.microsoft.com/office/drawing/2014/main" id="{00000000-0008-0000-0000-0000C8030000}"/>
            </a:ext>
          </a:extLst>
        </xdr:cNvPr>
        <xdr:cNvSpPr>
          <a:spLocks noChangeShapeType="1"/>
        </xdr:cNvSpPr>
      </xdr:nvSpPr>
      <xdr:spPr bwMode="auto">
        <a:xfrm flipH="1">
          <a:off x="23898225" y="2219325"/>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600075</xdr:colOff>
      <xdr:row>14</xdr:row>
      <xdr:rowOff>0</xdr:rowOff>
    </xdr:from>
    <xdr:to>
      <xdr:col>33</xdr:col>
      <xdr:colOff>133350</xdr:colOff>
      <xdr:row>14</xdr:row>
      <xdr:rowOff>0</xdr:rowOff>
    </xdr:to>
    <xdr:sp macro="" textlink="">
      <xdr:nvSpPr>
        <xdr:cNvPr id="969" name="Line 2823">
          <a:extLst>
            <a:ext uri="{FF2B5EF4-FFF2-40B4-BE49-F238E27FC236}">
              <a16:creationId xmlns:a16="http://schemas.microsoft.com/office/drawing/2014/main" id="{00000000-0008-0000-0000-0000C9030000}"/>
            </a:ext>
          </a:extLst>
        </xdr:cNvPr>
        <xdr:cNvSpPr>
          <a:spLocks noChangeShapeType="1"/>
        </xdr:cNvSpPr>
      </xdr:nvSpPr>
      <xdr:spPr bwMode="auto">
        <a:xfrm flipH="1">
          <a:off x="23907750" y="2409825"/>
          <a:ext cx="285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647700</xdr:colOff>
      <xdr:row>12</xdr:row>
      <xdr:rowOff>161925</xdr:rowOff>
    </xdr:from>
    <xdr:to>
      <xdr:col>32</xdr:col>
      <xdr:colOff>647700</xdr:colOff>
      <xdr:row>14</xdr:row>
      <xdr:rowOff>28575</xdr:rowOff>
    </xdr:to>
    <xdr:sp macro="" textlink="">
      <xdr:nvSpPr>
        <xdr:cNvPr id="970" name="Line 2824">
          <a:extLst>
            <a:ext uri="{FF2B5EF4-FFF2-40B4-BE49-F238E27FC236}">
              <a16:creationId xmlns:a16="http://schemas.microsoft.com/office/drawing/2014/main" id="{00000000-0008-0000-0000-0000CA030000}"/>
            </a:ext>
          </a:extLst>
        </xdr:cNvPr>
        <xdr:cNvSpPr>
          <a:spLocks noChangeShapeType="1"/>
        </xdr:cNvSpPr>
      </xdr:nvSpPr>
      <xdr:spPr bwMode="auto">
        <a:xfrm>
          <a:off x="23955375" y="2190750"/>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609600</xdr:colOff>
      <xdr:row>12</xdr:row>
      <xdr:rowOff>152400</xdr:rowOff>
    </xdr:from>
    <xdr:to>
      <xdr:col>32</xdr:col>
      <xdr:colOff>685800</xdr:colOff>
      <xdr:row>13</xdr:row>
      <xdr:rowOff>38100</xdr:rowOff>
    </xdr:to>
    <xdr:sp macro="" textlink="">
      <xdr:nvSpPr>
        <xdr:cNvPr id="971" name="Line 2825">
          <a:extLst>
            <a:ext uri="{FF2B5EF4-FFF2-40B4-BE49-F238E27FC236}">
              <a16:creationId xmlns:a16="http://schemas.microsoft.com/office/drawing/2014/main" id="{00000000-0008-0000-0000-0000CB030000}"/>
            </a:ext>
          </a:extLst>
        </xdr:cNvPr>
        <xdr:cNvSpPr>
          <a:spLocks noChangeShapeType="1"/>
        </xdr:cNvSpPr>
      </xdr:nvSpPr>
      <xdr:spPr bwMode="auto">
        <a:xfrm flipH="1">
          <a:off x="23917275" y="21812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600075</xdr:colOff>
      <xdr:row>13</xdr:row>
      <xdr:rowOff>152400</xdr:rowOff>
    </xdr:from>
    <xdr:to>
      <xdr:col>32</xdr:col>
      <xdr:colOff>676275</xdr:colOff>
      <xdr:row>14</xdr:row>
      <xdr:rowOff>38100</xdr:rowOff>
    </xdr:to>
    <xdr:sp macro="" textlink="">
      <xdr:nvSpPr>
        <xdr:cNvPr id="972" name="Line 2826">
          <a:extLst>
            <a:ext uri="{FF2B5EF4-FFF2-40B4-BE49-F238E27FC236}">
              <a16:creationId xmlns:a16="http://schemas.microsoft.com/office/drawing/2014/main" id="{00000000-0008-0000-0000-0000CC030000}"/>
            </a:ext>
          </a:extLst>
        </xdr:cNvPr>
        <xdr:cNvSpPr>
          <a:spLocks noChangeShapeType="1"/>
        </xdr:cNvSpPr>
      </xdr:nvSpPr>
      <xdr:spPr bwMode="auto">
        <a:xfrm flipH="1">
          <a:off x="23907750" y="2371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0</xdr:colOff>
      <xdr:row>11</xdr:row>
      <xdr:rowOff>85725</xdr:rowOff>
    </xdr:from>
    <xdr:to>
      <xdr:col>38</xdr:col>
      <xdr:colOff>0</xdr:colOff>
      <xdr:row>12</xdr:row>
      <xdr:rowOff>180975</xdr:rowOff>
    </xdr:to>
    <xdr:sp macro="" textlink="">
      <xdr:nvSpPr>
        <xdr:cNvPr id="973" name="Line 2827">
          <a:extLst>
            <a:ext uri="{FF2B5EF4-FFF2-40B4-BE49-F238E27FC236}">
              <a16:creationId xmlns:a16="http://schemas.microsoft.com/office/drawing/2014/main" id="{00000000-0008-0000-0000-0000CD030000}"/>
            </a:ext>
          </a:extLst>
        </xdr:cNvPr>
        <xdr:cNvSpPr>
          <a:spLocks noChangeShapeType="1"/>
        </xdr:cNvSpPr>
      </xdr:nvSpPr>
      <xdr:spPr bwMode="auto">
        <a:xfrm flipV="1">
          <a:off x="27822525" y="191452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47625</xdr:colOff>
      <xdr:row>11</xdr:row>
      <xdr:rowOff>57150</xdr:rowOff>
    </xdr:from>
    <xdr:to>
      <xdr:col>39</xdr:col>
      <xdr:colOff>47625</xdr:colOff>
      <xdr:row>14</xdr:row>
      <xdr:rowOff>0</xdr:rowOff>
    </xdr:to>
    <xdr:sp macro="" textlink="">
      <xdr:nvSpPr>
        <xdr:cNvPr id="974" name="Line 2828">
          <a:extLst>
            <a:ext uri="{FF2B5EF4-FFF2-40B4-BE49-F238E27FC236}">
              <a16:creationId xmlns:a16="http://schemas.microsoft.com/office/drawing/2014/main" id="{00000000-0008-0000-0000-0000CE030000}"/>
            </a:ext>
          </a:extLst>
        </xdr:cNvPr>
        <xdr:cNvSpPr>
          <a:spLocks noChangeShapeType="1"/>
        </xdr:cNvSpPr>
      </xdr:nvSpPr>
      <xdr:spPr bwMode="auto">
        <a:xfrm flipV="1">
          <a:off x="28622625" y="1885950"/>
          <a:ext cx="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704850</xdr:colOff>
      <xdr:row>11</xdr:row>
      <xdr:rowOff>123825</xdr:rowOff>
    </xdr:from>
    <xdr:to>
      <xdr:col>39</xdr:col>
      <xdr:colOff>104775</xdr:colOff>
      <xdr:row>11</xdr:row>
      <xdr:rowOff>123825</xdr:rowOff>
    </xdr:to>
    <xdr:sp macro="" textlink="">
      <xdr:nvSpPr>
        <xdr:cNvPr id="975" name="Line 2829">
          <a:extLst>
            <a:ext uri="{FF2B5EF4-FFF2-40B4-BE49-F238E27FC236}">
              <a16:creationId xmlns:a16="http://schemas.microsoft.com/office/drawing/2014/main" id="{00000000-0008-0000-0000-0000CF030000}"/>
            </a:ext>
          </a:extLst>
        </xdr:cNvPr>
        <xdr:cNvSpPr>
          <a:spLocks noChangeShapeType="1"/>
        </xdr:cNvSpPr>
      </xdr:nvSpPr>
      <xdr:spPr bwMode="auto">
        <a:xfrm>
          <a:off x="27774900" y="1952625"/>
          <a:ext cx="904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685800</xdr:colOff>
      <xdr:row>11</xdr:row>
      <xdr:rowOff>66675</xdr:rowOff>
    </xdr:from>
    <xdr:to>
      <xdr:col>38</xdr:col>
      <xdr:colOff>47625</xdr:colOff>
      <xdr:row>11</xdr:row>
      <xdr:rowOff>180975</xdr:rowOff>
    </xdr:to>
    <xdr:sp macro="" textlink="">
      <xdr:nvSpPr>
        <xdr:cNvPr id="976" name="Line 2830">
          <a:extLst>
            <a:ext uri="{FF2B5EF4-FFF2-40B4-BE49-F238E27FC236}">
              <a16:creationId xmlns:a16="http://schemas.microsoft.com/office/drawing/2014/main" id="{00000000-0008-0000-0000-0000D0030000}"/>
            </a:ext>
          </a:extLst>
        </xdr:cNvPr>
        <xdr:cNvSpPr>
          <a:spLocks noChangeShapeType="1"/>
        </xdr:cNvSpPr>
      </xdr:nvSpPr>
      <xdr:spPr bwMode="auto">
        <a:xfrm flipH="1">
          <a:off x="27755850" y="1895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123825</xdr:colOff>
      <xdr:row>11</xdr:row>
      <xdr:rowOff>76200</xdr:rowOff>
    </xdr:from>
    <xdr:to>
      <xdr:col>38</xdr:col>
      <xdr:colOff>247650</xdr:colOff>
      <xdr:row>12</xdr:row>
      <xdr:rowOff>9525</xdr:rowOff>
    </xdr:to>
    <xdr:sp macro="" textlink="">
      <xdr:nvSpPr>
        <xdr:cNvPr id="977" name="Line 2831">
          <a:extLst>
            <a:ext uri="{FF2B5EF4-FFF2-40B4-BE49-F238E27FC236}">
              <a16:creationId xmlns:a16="http://schemas.microsoft.com/office/drawing/2014/main" id="{00000000-0008-0000-0000-0000D1030000}"/>
            </a:ext>
          </a:extLst>
        </xdr:cNvPr>
        <xdr:cNvSpPr>
          <a:spLocks noChangeShapeType="1"/>
        </xdr:cNvSpPr>
      </xdr:nvSpPr>
      <xdr:spPr bwMode="auto">
        <a:xfrm flipH="1">
          <a:off x="27946350" y="1905000"/>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11</xdr:row>
      <xdr:rowOff>66675</xdr:rowOff>
    </xdr:from>
    <xdr:to>
      <xdr:col>39</xdr:col>
      <xdr:colOff>104775</xdr:colOff>
      <xdr:row>11</xdr:row>
      <xdr:rowOff>171450</xdr:rowOff>
    </xdr:to>
    <xdr:sp macro="" textlink="">
      <xdr:nvSpPr>
        <xdr:cNvPr id="978" name="Line 2832">
          <a:extLst>
            <a:ext uri="{FF2B5EF4-FFF2-40B4-BE49-F238E27FC236}">
              <a16:creationId xmlns:a16="http://schemas.microsoft.com/office/drawing/2014/main" id="{00000000-0008-0000-0000-0000D2030000}"/>
            </a:ext>
          </a:extLst>
        </xdr:cNvPr>
        <xdr:cNvSpPr>
          <a:spLocks noChangeShapeType="1"/>
        </xdr:cNvSpPr>
      </xdr:nvSpPr>
      <xdr:spPr bwMode="auto">
        <a:xfrm flipH="1">
          <a:off x="28575000" y="189547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0</xdr:colOff>
      <xdr:row>15</xdr:row>
      <xdr:rowOff>66675</xdr:rowOff>
    </xdr:from>
    <xdr:to>
      <xdr:col>38</xdr:col>
      <xdr:colOff>0</xdr:colOff>
      <xdr:row>16</xdr:row>
      <xdr:rowOff>47625</xdr:rowOff>
    </xdr:to>
    <xdr:sp macro="" textlink="">
      <xdr:nvSpPr>
        <xdr:cNvPr id="979" name="Line 2833">
          <a:extLst>
            <a:ext uri="{FF2B5EF4-FFF2-40B4-BE49-F238E27FC236}">
              <a16:creationId xmlns:a16="http://schemas.microsoft.com/office/drawing/2014/main" id="{00000000-0008-0000-0000-0000D3030000}"/>
            </a:ext>
          </a:extLst>
        </xdr:cNvPr>
        <xdr:cNvSpPr>
          <a:spLocks noChangeShapeType="1"/>
        </xdr:cNvSpPr>
      </xdr:nvSpPr>
      <xdr:spPr bwMode="auto">
        <a:xfrm flipV="1">
          <a:off x="27822525" y="26670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0</xdr:colOff>
      <xdr:row>19</xdr:row>
      <xdr:rowOff>38100</xdr:rowOff>
    </xdr:from>
    <xdr:to>
      <xdr:col>38</xdr:col>
      <xdr:colOff>0</xdr:colOff>
      <xdr:row>21</xdr:row>
      <xdr:rowOff>28575</xdr:rowOff>
    </xdr:to>
    <xdr:sp macro="" textlink="">
      <xdr:nvSpPr>
        <xdr:cNvPr id="980" name="Line 232">
          <a:extLst>
            <a:ext uri="{FF2B5EF4-FFF2-40B4-BE49-F238E27FC236}">
              <a16:creationId xmlns:a16="http://schemas.microsoft.com/office/drawing/2014/main" id="{00000000-0008-0000-0000-0000D4030000}"/>
            </a:ext>
          </a:extLst>
        </xdr:cNvPr>
        <xdr:cNvSpPr>
          <a:spLocks noChangeShapeType="1"/>
        </xdr:cNvSpPr>
      </xdr:nvSpPr>
      <xdr:spPr bwMode="auto">
        <a:xfrm flipV="1">
          <a:off x="27822525" y="3438525"/>
          <a:ext cx="0" cy="3810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38100</xdr:colOff>
      <xdr:row>20</xdr:row>
      <xdr:rowOff>66675</xdr:rowOff>
    </xdr:from>
    <xdr:to>
      <xdr:col>39</xdr:col>
      <xdr:colOff>38100</xdr:colOff>
      <xdr:row>22</xdr:row>
      <xdr:rowOff>66675</xdr:rowOff>
    </xdr:to>
    <xdr:sp macro="" textlink="">
      <xdr:nvSpPr>
        <xdr:cNvPr id="981" name="Line 233">
          <a:extLst>
            <a:ext uri="{FF2B5EF4-FFF2-40B4-BE49-F238E27FC236}">
              <a16:creationId xmlns:a16="http://schemas.microsoft.com/office/drawing/2014/main" id="{00000000-0008-0000-0000-0000D5030000}"/>
            </a:ext>
          </a:extLst>
        </xdr:cNvPr>
        <xdr:cNvSpPr>
          <a:spLocks noChangeShapeType="1"/>
        </xdr:cNvSpPr>
      </xdr:nvSpPr>
      <xdr:spPr bwMode="auto">
        <a:xfrm flipV="1">
          <a:off x="28613100" y="3657600"/>
          <a:ext cx="0" cy="40005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38</xdr:col>
      <xdr:colOff>638175</xdr:colOff>
      <xdr:row>18</xdr:row>
      <xdr:rowOff>28575</xdr:rowOff>
    </xdr:from>
    <xdr:to>
      <xdr:col>38</xdr:col>
      <xdr:colOff>638175</xdr:colOff>
      <xdr:row>20</xdr:row>
      <xdr:rowOff>38100</xdr:rowOff>
    </xdr:to>
    <xdr:sp macro="" textlink="">
      <xdr:nvSpPr>
        <xdr:cNvPr id="982" name="Line 234">
          <a:extLst>
            <a:ext uri="{FF2B5EF4-FFF2-40B4-BE49-F238E27FC236}">
              <a16:creationId xmlns:a16="http://schemas.microsoft.com/office/drawing/2014/main" id="{00000000-0008-0000-0000-0000D6030000}"/>
            </a:ext>
          </a:extLst>
        </xdr:cNvPr>
        <xdr:cNvSpPr>
          <a:spLocks noChangeShapeType="1"/>
        </xdr:cNvSpPr>
      </xdr:nvSpPr>
      <xdr:spPr bwMode="auto">
        <a:xfrm>
          <a:off x="28460700" y="3238500"/>
          <a:ext cx="0" cy="39052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37</xdr:col>
      <xdr:colOff>723900</xdr:colOff>
      <xdr:row>21</xdr:row>
      <xdr:rowOff>180975</xdr:rowOff>
    </xdr:from>
    <xdr:to>
      <xdr:col>39</xdr:col>
      <xdr:colOff>133350</xdr:colOff>
      <xdr:row>21</xdr:row>
      <xdr:rowOff>180975</xdr:rowOff>
    </xdr:to>
    <xdr:sp macro="" textlink="">
      <xdr:nvSpPr>
        <xdr:cNvPr id="983" name="Line 445">
          <a:extLst>
            <a:ext uri="{FF2B5EF4-FFF2-40B4-BE49-F238E27FC236}">
              <a16:creationId xmlns:a16="http://schemas.microsoft.com/office/drawing/2014/main" id="{00000000-0008-0000-0000-0000D7030000}"/>
            </a:ext>
          </a:extLst>
        </xdr:cNvPr>
        <xdr:cNvSpPr>
          <a:spLocks noChangeShapeType="1"/>
        </xdr:cNvSpPr>
      </xdr:nvSpPr>
      <xdr:spPr bwMode="auto">
        <a:xfrm>
          <a:off x="27793950" y="3971925"/>
          <a:ext cx="914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37</xdr:col>
      <xdr:colOff>704850</xdr:colOff>
      <xdr:row>21</xdr:row>
      <xdr:rowOff>133350</xdr:rowOff>
    </xdr:from>
    <xdr:to>
      <xdr:col>38</xdr:col>
      <xdr:colOff>38100</xdr:colOff>
      <xdr:row>22</xdr:row>
      <xdr:rowOff>28575</xdr:rowOff>
    </xdr:to>
    <xdr:sp macro="" textlink="">
      <xdr:nvSpPr>
        <xdr:cNvPr id="984" name="Line 1869">
          <a:extLst>
            <a:ext uri="{FF2B5EF4-FFF2-40B4-BE49-F238E27FC236}">
              <a16:creationId xmlns:a16="http://schemas.microsoft.com/office/drawing/2014/main" id="{00000000-0008-0000-0000-0000D8030000}"/>
            </a:ext>
          </a:extLst>
        </xdr:cNvPr>
        <xdr:cNvSpPr>
          <a:spLocks noChangeShapeType="1"/>
        </xdr:cNvSpPr>
      </xdr:nvSpPr>
      <xdr:spPr bwMode="auto">
        <a:xfrm flipH="1">
          <a:off x="27774900" y="392430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21</xdr:row>
      <xdr:rowOff>133350</xdr:rowOff>
    </xdr:from>
    <xdr:to>
      <xdr:col>39</xdr:col>
      <xdr:colOff>85725</xdr:colOff>
      <xdr:row>22</xdr:row>
      <xdr:rowOff>28575</xdr:rowOff>
    </xdr:to>
    <xdr:sp macro="" textlink="">
      <xdr:nvSpPr>
        <xdr:cNvPr id="985" name="Line 1870">
          <a:extLst>
            <a:ext uri="{FF2B5EF4-FFF2-40B4-BE49-F238E27FC236}">
              <a16:creationId xmlns:a16="http://schemas.microsoft.com/office/drawing/2014/main" id="{00000000-0008-0000-0000-0000D9030000}"/>
            </a:ext>
          </a:extLst>
        </xdr:cNvPr>
        <xdr:cNvSpPr>
          <a:spLocks noChangeShapeType="1"/>
        </xdr:cNvSpPr>
      </xdr:nvSpPr>
      <xdr:spPr bwMode="auto">
        <a:xfrm flipH="1">
          <a:off x="28575000" y="392430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9525</xdr:colOff>
      <xdr:row>19</xdr:row>
      <xdr:rowOff>47625</xdr:rowOff>
    </xdr:from>
    <xdr:to>
      <xdr:col>39</xdr:col>
      <xdr:colOff>38100</xdr:colOff>
      <xdr:row>20</xdr:row>
      <xdr:rowOff>57150</xdr:rowOff>
    </xdr:to>
    <xdr:sp macro="" textlink="">
      <xdr:nvSpPr>
        <xdr:cNvPr id="986" name="Freeform 2840">
          <a:extLst>
            <a:ext uri="{FF2B5EF4-FFF2-40B4-BE49-F238E27FC236}">
              <a16:creationId xmlns:a16="http://schemas.microsoft.com/office/drawing/2014/main" id="{00000000-0008-0000-0000-0000DA030000}"/>
            </a:ext>
          </a:extLst>
        </xdr:cNvPr>
        <xdr:cNvSpPr>
          <a:spLocks/>
        </xdr:cNvSpPr>
      </xdr:nvSpPr>
      <xdr:spPr bwMode="auto">
        <a:xfrm>
          <a:off x="27832050" y="3448050"/>
          <a:ext cx="781050" cy="200025"/>
        </a:xfrm>
        <a:custGeom>
          <a:avLst/>
          <a:gdLst>
            <a:gd name="T0" fmla="*/ 0 w 79"/>
            <a:gd name="T1" fmla="*/ 0 h 21"/>
            <a:gd name="T2" fmla="*/ 2147483646 w 79"/>
            <a:gd name="T3" fmla="*/ 0 h 21"/>
            <a:gd name="T4" fmla="*/ 2147483646 w 79"/>
            <a:gd name="T5" fmla="*/ 2147483646 h 21"/>
            <a:gd name="T6" fmla="*/ 2147483646 w 79"/>
            <a:gd name="T7" fmla="*/ 2147483646 h 2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9" h="21">
              <a:moveTo>
                <a:pt x="0" y="0"/>
              </a:moveTo>
              <a:lnTo>
                <a:pt x="24" y="0"/>
              </a:lnTo>
              <a:lnTo>
                <a:pt x="59" y="21"/>
              </a:lnTo>
              <a:lnTo>
                <a:pt x="79" y="21"/>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0</xdr:colOff>
      <xdr:row>18</xdr:row>
      <xdr:rowOff>85725</xdr:rowOff>
    </xdr:from>
    <xdr:to>
      <xdr:col>38</xdr:col>
      <xdr:colOff>0</xdr:colOff>
      <xdr:row>19</xdr:row>
      <xdr:rowOff>9525</xdr:rowOff>
    </xdr:to>
    <xdr:sp macro="" textlink="">
      <xdr:nvSpPr>
        <xdr:cNvPr id="987" name="Line 2841">
          <a:extLst>
            <a:ext uri="{FF2B5EF4-FFF2-40B4-BE49-F238E27FC236}">
              <a16:creationId xmlns:a16="http://schemas.microsoft.com/office/drawing/2014/main" id="{00000000-0008-0000-0000-0000DB030000}"/>
            </a:ext>
          </a:extLst>
        </xdr:cNvPr>
        <xdr:cNvSpPr>
          <a:spLocks noChangeShapeType="1"/>
        </xdr:cNvSpPr>
      </xdr:nvSpPr>
      <xdr:spPr bwMode="auto">
        <a:xfrm flipV="1">
          <a:off x="27822525" y="329565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47625</xdr:colOff>
      <xdr:row>18</xdr:row>
      <xdr:rowOff>76200</xdr:rowOff>
    </xdr:from>
    <xdr:to>
      <xdr:col>39</xdr:col>
      <xdr:colOff>47625</xdr:colOff>
      <xdr:row>19</xdr:row>
      <xdr:rowOff>190500</xdr:rowOff>
    </xdr:to>
    <xdr:sp macro="" textlink="">
      <xdr:nvSpPr>
        <xdr:cNvPr id="988" name="Line 2842">
          <a:extLst>
            <a:ext uri="{FF2B5EF4-FFF2-40B4-BE49-F238E27FC236}">
              <a16:creationId xmlns:a16="http://schemas.microsoft.com/office/drawing/2014/main" id="{00000000-0008-0000-0000-0000DC030000}"/>
            </a:ext>
          </a:extLst>
        </xdr:cNvPr>
        <xdr:cNvSpPr>
          <a:spLocks noChangeShapeType="1"/>
        </xdr:cNvSpPr>
      </xdr:nvSpPr>
      <xdr:spPr bwMode="auto">
        <a:xfrm flipV="1">
          <a:off x="28622625" y="32861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704850</xdr:colOff>
      <xdr:row>18</xdr:row>
      <xdr:rowOff>123825</xdr:rowOff>
    </xdr:from>
    <xdr:to>
      <xdr:col>39</xdr:col>
      <xdr:colOff>104775</xdr:colOff>
      <xdr:row>18</xdr:row>
      <xdr:rowOff>123825</xdr:rowOff>
    </xdr:to>
    <xdr:sp macro="" textlink="">
      <xdr:nvSpPr>
        <xdr:cNvPr id="989" name="Line 2843">
          <a:extLst>
            <a:ext uri="{FF2B5EF4-FFF2-40B4-BE49-F238E27FC236}">
              <a16:creationId xmlns:a16="http://schemas.microsoft.com/office/drawing/2014/main" id="{00000000-0008-0000-0000-0000DD030000}"/>
            </a:ext>
          </a:extLst>
        </xdr:cNvPr>
        <xdr:cNvSpPr>
          <a:spLocks noChangeShapeType="1"/>
        </xdr:cNvSpPr>
      </xdr:nvSpPr>
      <xdr:spPr bwMode="auto">
        <a:xfrm>
          <a:off x="27774900" y="3333750"/>
          <a:ext cx="904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685800</xdr:colOff>
      <xdr:row>18</xdr:row>
      <xdr:rowOff>66675</xdr:rowOff>
    </xdr:from>
    <xdr:to>
      <xdr:col>38</xdr:col>
      <xdr:colOff>47625</xdr:colOff>
      <xdr:row>18</xdr:row>
      <xdr:rowOff>180975</xdr:rowOff>
    </xdr:to>
    <xdr:sp macro="" textlink="">
      <xdr:nvSpPr>
        <xdr:cNvPr id="990" name="Line 2844">
          <a:extLst>
            <a:ext uri="{FF2B5EF4-FFF2-40B4-BE49-F238E27FC236}">
              <a16:creationId xmlns:a16="http://schemas.microsoft.com/office/drawing/2014/main" id="{00000000-0008-0000-0000-0000DE030000}"/>
            </a:ext>
          </a:extLst>
        </xdr:cNvPr>
        <xdr:cNvSpPr>
          <a:spLocks noChangeShapeType="1"/>
        </xdr:cNvSpPr>
      </xdr:nvSpPr>
      <xdr:spPr bwMode="auto">
        <a:xfrm flipH="1">
          <a:off x="27755850" y="32766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581025</xdr:colOff>
      <xdr:row>18</xdr:row>
      <xdr:rowOff>57150</xdr:rowOff>
    </xdr:from>
    <xdr:to>
      <xdr:col>38</xdr:col>
      <xdr:colOff>704850</xdr:colOff>
      <xdr:row>18</xdr:row>
      <xdr:rowOff>180975</xdr:rowOff>
    </xdr:to>
    <xdr:sp macro="" textlink="">
      <xdr:nvSpPr>
        <xdr:cNvPr id="991" name="Line 2845">
          <a:extLst>
            <a:ext uri="{FF2B5EF4-FFF2-40B4-BE49-F238E27FC236}">
              <a16:creationId xmlns:a16="http://schemas.microsoft.com/office/drawing/2014/main" id="{00000000-0008-0000-0000-0000DF030000}"/>
            </a:ext>
          </a:extLst>
        </xdr:cNvPr>
        <xdr:cNvSpPr>
          <a:spLocks noChangeShapeType="1"/>
        </xdr:cNvSpPr>
      </xdr:nvSpPr>
      <xdr:spPr bwMode="auto">
        <a:xfrm flipH="1">
          <a:off x="28403550" y="3267075"/>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18</xdr:row>
      <xdr:rowOff>66675</xdr:rowOff>
    </xdr:from>
    <xdr:to>
      <xdr:col>39</xdr:col>
      <xdr:colOff>104775</xdr:colOff>
      <xdr:row>18</xdr:row>
      <xdr:rowOff>171450</xdr:rowOff>
    </xdr:to>
    <xdr:sp macro="" textlink="">
      <xdr:nvSpPr>
        <xdr:cNvPr id="992" name="Line 2846">
          <a:extLst>
            <a:ext uri="{FF2B5EF4-FFF2-40B4-BE49-F238E27FC236}">
              <a16:creationId xmlns:a16="http://schemas.microsoft.com/office/drawing/2014/main" id="{00000000-0008-0000-0000-0000E0030000}"/>
            </a:ext>
          </a:extLst>
        </xdr:cNvPr>
        <xdr:cNvSpPr>
          <a:spLocks noChangeShapeType="1"/>
        </xdr:cNvSpPr>
      </xdr:nvSpPr>
      <xdr:spPr bwMode="auto">
        <a:xfrm flipH="1">
          <a:off x="28575000" y="327660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0</xdr:colOff>
      <xdr:row>21</xdr:row>
      <xdr:rowOff>66675</xdr:rowOff>
    </xdr:from>
    <xdr:to>
      <xdr:col>38</xdr:col>
      <xdr:colOff>0</xdr:colOff>
      <xdr:row>22</xdr:row>
      <xdr:rowOff>47625</xdr:rowOff>
    </xdr:to>
    <xdr:sp macro="" textlink="">
      <xdr:nvSpPr>
        <xdr:cNvPr id="993" name="Line 2847">
          <a:extLst>
            <a:ext uri="{FF2B5EF4-FFF2-40B4-BE49-F238E27FC236}">
              <a16:creationId xmlns:a16="http://schemas.microsoft.com/office/drawing/2014/main" id="{00000000-0008-0000-0000-0000E1030000}"/>
            </a:ext>
          </a:extLst>
        </xdr:cNvPr>
        <xdr:cNvSpPr>
          <a:spLocks noChangeShapeType="1"/>
        </xdr:cNvSpPr>
      </xdr:nvSpPr>
      <xdr:spPr bwMode="auto">
        <a:xfrm flipV="1">
          <a:off x="27822525" y="385762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638175</xdr:colOff>
      <xdr:row>18</xdr:row>
      <xdr:rowOff>47625</xdr:rowOff>
    </xdr:from>
    <xdr:to>
      <xdr:col>38</xdr:col>
      <xdr:colOff>638175</xdr:colOff>
      <xdr:row>18</xdr:row>
      <xdr:rowOff>180975</xdr:rowOff>
    </xdr:to>
    <xdr:sp macro="" textlink="">
      <xdr:nvSpPr>
        <xdr:cNvPr id="994" name="Line 2848">
          <a:extLst>
            <a:ext uri="{FF2B5EF4-FFF2-40B4-BE49-F238E27FC236}">
              <a16:creationId xmlns:a16="http://schemas.microsoft.com/office/drawing/2014/main" id="{00000000-0008-0000-0000-0000E2030000}"/>
            </a:ext>
          </a:extLst>
        </xdr:cNvPr>
        <xdr:cNvSpPr>
          <a:spLocks noChangeShapeType="1"/>
        </xdr:cNvSpPr>
      </xdr:nvSpPr>
      <xdr:spPr bwMode="auto">
        <a:xfrm flipV="1">
          <a:off x="28460700" y="325755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409575</xdr:colOff>
      <xdr:row>15</xdr:row>
      <xdr:rowOff>28575</xdr:rowOff>
    </xdr:from>
    <xdr:to>
      <xdr:col>40</xdr:col>
      <xdr:colOff>685800</xdr:colOff>
      <xdr:row>32</xdr:row>
      <xdr:rowOff>95250</xdr:rowOff>
    </xdr:to>
    <xdr:sp macro="" textlink="">
      <xdr:nvSpPr>
        <xdr:cNvPr id="995" name="Freeform 2849">
          <a:extLst>
            <a:ext uri="{FF2B5EF4-FFF2-40B4-BE49-F238E27FC236}">
              <a16:creationId xmlns:a16="http://schemas.microsoft.com/office/drawing/2014/main" id="{00000000-0008-0000-0000-0000E3030000}"/>
            </a:ext>
          </a:extLst>
        </xdr:cNvPr>
        <xdr:cNvSpPr>
          <a:spLocks/>
        </xdr:cNvSpPr>
      </xdr:nvSpPr>
      <xdr:spPr bwMode="auto">
        <a:xfrm>
          <a:off x="29737050" y="2628900"/>
          <a:ext cx="276225" cy="3381375"/>
        </a:xfrm>
        <a:custGeom>
          <a:avLst/>
          <a:gdLst>
            <a:gd name="T0" fmla="*/ 2147483646 w 29"/>
            <a:gd name="T1" fmla="*/ 0 h 301"/>
            <a:gd name="T2" fmla="*/ 2147483646 w 29"/>
            <a:gd name="T3" fmla="*/ 2147483646 h 301"/>
            <a:gd name="T4" fmla="*/ 2147483646 w 29"/>
            <a:gd name="T5" fmla="*/ 2147483646 h 301"/>
            <a:gd name="T6" fmla="*/ 2147483646 w 29"/>
            <a:gd name="T7" fmla="*/ 2147483646 h 301"/>
            <a:gd name="T8" fmla="*/ 2147483646 w 29"/>
            <a:gd name="T9" fmla="*/ 2147483646 h 301"/>
            <a:gd name="T10" fmla="*/ 2147483646 w 29"/>
            <a:gd name="T11" fmla="*/ 2147483646 h 301"/>
            <a:gd name="T12" fmla="*/ 0 w 29"/>
            <a:gd name="T13" fmla="*/ 2147483646 h 301"/>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9" h="301">
              <a:moveTo>
                <a:pt x="2" y="0"/>
              </a:moveTo>
              <a:lnTo>
                <a:pt x="12" y="7"/>
              </a:lnTo>
              <a:lnTo>
                <a:pt x="12" y="195"/>
              </a:lnTo>
              <a:lnTo>
                <a:pt x="29" y="198"/>
              </a:lnTo>
              <a:lnTo>
                <a:pt x="12" y="201"/>
              </a:lnTo>
              <a:lnTo>
                <a:pt x="12" y="298"/>
              </a:lnTo>
              <a:lnTo>
                <a:pt x="0" y="30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685800</xdr:colOff>
      <xdr:row>25</xdr:row>
      <xdr:rowOff>104775</xdr:rowOff>
    </xdr:from>
    <xdr:to>
      <xdr:col>41</xdr:col>
      <xdr:colOff>504825</xdr:colOff>
      <xdr:row>27</xdr:row>
      <xdr:rowOff>123825</xdr:rowOff>
    </xdr:to>
    <xdr:sp macro="" textlink="">
      <xdr:nvSpPr>
        <xdr:cNvPr id="996" name="Freeform 2850">
          <a:extLst>
            <a:ext uri="{FF2B5EF4-FFF2-40B4-BE49-F238E27FC236}">
              <a16:creationId xmlns:a16="http://schemas.microsoft.com/office/drawing/2014/main" id="{00000000-0008-0000-0000-0000E4030000}"/>
            </a:ext>
          </a:extLst>
        </xdr:cNvPr>
        <xdr:cNvSpPr>
          <a:spLocks/>
        </xdr:cNvSpPr>
      </xdr:nvSpPr>
      <xdr:spPr bwMode="auto">
        <a:xfrm>
          <a:off x="30013275" y="4676775"/>
          <a:ext cx="571500" cy="409575"/>
        </a:xfrm>
        <a:custGeom>
          <a:avLst/>
          <a:gdLst>
            <a:gd name="T0" fmla="*/ 0 w 60"/>
            <a:gd name="T1" fmla="*/ 0 h 42"/>
            <a:gd name="T2" fmla="*/ 2147483646 w 60"/>
            <a:gd name="T3" fmla="*/ 0 h 42"/>
            <a:gd name="T4" fmla="*/ 2147483646 w 60"/>
            <a:gd name="T5" fmla="*/ 2147483646 h 42"/>
            <a:gd name="T6" fmla="*/ 2147483646 w 60"/>
            <a:gd name="T7" fmla="*/ 2147483646 h 42"/>
            <a:gd name="T8" fmla="*/ 2147483646 w 60"/>
            <a:gd name="T9" fmla="*/ 2147483646 h 42"/>
            <a:gd name="T10" fmla="*/ 2147483646 w 60"/>
            <a:gd name="T11" fmla="*/ 2147483646 h 42"/>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60" h="42">
              <a:moveTo>
                <a:pt x="0" y="0"/>
              </a:moveTo>
              <a:lnTo>
                <a:pt x="37" y="0"/>
              </a:lnTo>
              <a:lnTo>
                <a:pt x="37" y="20"/>
              </a:lnTo>
              <a:lnTo>
                <a:pt x="60" y="20"/>
              </a:lnTo>
              <a:lnTo>
                <a:pt x="60" y="42"/>
              </a:lnTo>
              <a:lnTo>
                <a:pt x="1" y="4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742950</xdr:colOff>
      <xdr:row>29</xdr:row>
      <xdr:rowOff>0</xdr:rowOff>
    </xdr:from>
    <xdr:to>
      <xdr:col>36</xdr:col>
      <xdr:colOff>476250</xdr:colOff>
      <xdr:row>30</xdr:row>
      <xdr:rowOff>9525</xdr:rowOff>
    </xdr:to>
    <xdr:sp macro="" textlink="">
      <xdr:nvSpPr>
        <xdr:cNvPr id="997" name="Freeform 2852">
          <a:extLst>
            <a:ext uri="{FF2B5EF4-FFF2-40B4-BE49-F238E27FC236}">
              <a16:creationId xmlns:a16="http://schemas.microsoft.com/office/drawing/2014/main" id="{00000000-0008-0000-0000-0000E5030000}"/>
            </a:ext>
          </a:extLst>
        </xdr:cNvPr>
        <xdr:cNvSpPr>
          <a:spLocks/>
        </xdr:cNvSpPr>
      </xdr:nvSpPr>
      <xdr:spPr bwMode="auto">
        <a:xfrm>
          <a:off x="25555575" y="5343525"/>
          <a:ext cx="1238250" cy="200025"/>
        </a:xfrm>
        <a:custGeom>
          <a:avLst/>
          <a:gdLst>
            <a:gd name="T0" fmla="*/ 0 w 130"/>
            <a:gd name="T1" fmla="*/ 0 h 21"/>
            <a:gd name="T2" fmla="*/ 2147483646 w 130"/>
            <a:gd name="T3" fmla="*/ 0 h 21"/>
            <a:gd name="T4" fmla="*/ 2147483646 w 130"/>
            <a:gd name="T5" fmla="*/ 2147483646 h 21"/>
            <a:gd name="T6" fmla="*/ 2147483646 w 130"/>
            <a:gd name="T7" fmla="*/ 2147483646 h 2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0" h="21">
              <a:moveTo>
                <a:pt x="0" y="0"/>
              </a:moveTo>
              <a:lnTo>
                <a:pt x="48" y="0"/>
              </a:lnTo>
              <a:lnTo>
                <a:pt x="80" y="21"/>
              </a:lnTo>
              <a:lnTo>
                <a:pt x="130" y="21"/>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542925</xdr:colOff>
      <xdr:row>30</xdr:row>
      <xdr:rowOff>76200</xdr:rowOff>
    </xdr:from>
    <xdr:to>
      <xdr:col>35</xdr:col>
      <xdr:colOff>0</xdr:colOff>
      <xdr:row>31</xdr:row>
      <xdr:rowOff>19050</xdr:rowOff>
    </xdr:to>
    <xdr:sp macro="" textlink="">
      <xdr:nvSpPr>
        <xdr:cNvPr id="998" name="Line 2853">
          <a:extLst>
            <a:ext uri="{FF2B5EF4-FFF2-40B4-BE49-F238E27FC236}">
              <a16:creationId xmlns:a16="http://schemas.microsoft.com/office/drawing/2014/main" id="{00000000-0008-0000-0000-0000E6030000}"/>
            </a:ext>
          </a:extLst>
        </xdr:cNvPr>
        <xdr:cNvSpPr>
          <a:spLocks noChangeShapeType="1"/>
        </xdr:cNvSpPr>
      </xdr:nvSpPr>
      <xdr:spPr bwMode="auto">
        <a:xfrm flipV="1">
          <a:off x="25355550" y="5610225"/>
          <a:ext cx="2095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21</xdr:row>
      <xdr:rowOff>28575</xdr:rowOff>
    </xdr:from>
    <xdr:to>
      <xdr:col>5</xdr:col>
      <xdr:colOff>428625</xdr:colOff>
      <xdr:row>21</xdr:row>
      <xdr:rowOff>85725</xdr:rowOff>
    </xdr:to>
    <xdr:sp macro="" textlink="">
      <xdr:nvSpPr>
        <xdr:cNvPr id="999" name="Line 2857">
          <a:extLst>
            <a:ext uri="{FF2B5EF4-FFF2-40B4-BE49-F238E27FC236}">
              <a16:creationId xmlns:a16="http://schemas.microsoft.com/office/drawing/2014/main" id="{00000000-0008-0000-0000-0000E7030000}"/>
            </a:ext>
          </a:extLst>
        </xdr:cNvPr>
        <xdr:cNvSpPr>
          <a:spLocks noChangeShapeType="1"/>
        </xdr:cNvSpPr>
      </xdr:nvSpPr>
      <xdr:spPr bwMode="auto">
        <a:xfrm flipH="1" flipV="1">
          <a:off x="2962275" y="3819525"/>
          <a:ext cx="12382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35</xdr:row>
      <xdr:rowOff>0</xdr:rowOff>
    </xdr:from>
    <xdr:to>
      <xdr:col>5</xdr:col>
      <xdr:colOff>180975</xdr:colOff>
      <xdr:row>35</xdr:row>
      <xdr:rowOff>0</xdr:rowOff>
    </xdr:to>
    <xdr:sp macro="" textlink="">
      <xdr:nvSpPr>
        <xdr:cNvPr id="1000" name="Line 2860">
          <a:extLst>
            <a:ext uri="{FF2B5EF4-FFF2-40B4-BE49-F238E27FC236}">
              <a16:creationId xmlns:a16="http://schemas.microsoft.com/office/drawing/2014/main" id="{00000000-0008-0000-0000-0000E8030000}"/>
            </a:ext>
          </a:extLst>
        </xdr:cNvPr>
        <xdr:cNvSpPr>
          <a:spLocks noChangeShapeType="1"/>
        </xdr:cNvSpPr>
      </xdr:nvSpPr>
      <xdr:spPr bwMode="auto">
        <a:xfrm>
          <a:off x="1724025" y="6505575"/>
          <a:ext cx="1114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34</xdr:row>
      <xdr:rowOff>152400</xdr:rowOff>
    </xdr:from>
    <xdr:to>
      <xdr:col>2</xdr:col>
      <xdr:colOff>409575</xdr:colOff>
      <xdr:row>35</xdr:row>
      <xdr:rowOff>38100</xdr:rowOff>
    </xdr:to>
    <xdr:sp macro="" textlink="">
      <xdr:nvSpPr>
        <xdr:cNvPr id="1001" name="Line 2861">
          <a:extLst>
            <a:ext uri="{FF2B5EF4-FFF2-40B4-BE49-F238E27FC236}">
              <a16:creationId xmlns:a16="http://schemas.microsoft.com/office/drawing/2014/main" id="{00000000-0008-0000-0000-0000E9030000}"/>
            </a:ext>
          </a:extLst>
        </xdr:cNvPr>
        <xdr:cNvSpPr>
          <a:spLocks noChangeShapeType="1"/>
        </xdr:cNvSpPr>
      </xdr:nvSpPr>
      <xdr:spPr bwMode="auto">
        <a:xfrm flipH="1">
          <a:off x="1704975" y="64579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34</xdr:row>
      <xdr:rowOff>161925</xdr:rowOff>
    </xdr:from>
    <xdr:to>
      <xdr:col>5</xdr:col>
      <xdr:colOff>180975</xdr:colOff>
      <xdr:row>35</xdr:row>
      <xdr:rowOff>38100</xdr:rowOff>
    </xdr:to>
    <xdr:sp macro="" textlink="">
      <xdr:nvSpPr>
        <xdr:cNvPr id="1002" name="Line 2862">
          <a:extLst>
            <a:ext uri="{FF2B5EF4-FFF2-40B4-BE49-F238E27FC236}">
              <a16:creationId xmlns:a16="http://schemas.microsoft.com/office/drawing/2014/main" id="{00000000-0008-0000-0000-0000EA030000}"/>
            </a:ext>
          </a:extLst>
        </xdr:cNvPr>
        <xdr:cNvSpPr>
          <a:spLocks noChangeShapeType="1"/>
        </xdr:cNvSpPr>
      </xdr:nvSpPr>
      <xdr:spPr bwMode="auto">
        <a:xfrm flipH="1">
          <a:off x="2762250" y="64674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238125</xdr:colOff>
      <xdr:row>58</xdr:row>
      <xdr:rowOff>28575</xdr:rowOff>
    </xdr:from>
    <xdr:to>
      <xdr:col>23</xdr:col>
      <xdr:colOff>238125</xdr:colOff>
      <xdr:row>60</xdr:row>
      <xdr:rowOff>19050</xdr:rowOff>
    </xdr:to>
    <xdr:sp macro="" textlink="">
      <xdr:nvSpPr>
        <xdr:cNvPr id="1003" name="Line 2864">
          <a:extLst>
            <a:ext uri="{FF2B5EF4-FFF2-40B4-BE49-F238E27FC236}">
              <a16:creationId xmlns:a16="http://schemas.microsoft.com/office/drawing/2014/main" id="{00000000-0008-0000-0000-0000EB030000}"/>
            </a:ext>
          </a:extLst>
        </xdr:cNvPr>
        <xdr:cNvSpPr>
          <a:spLocks noChangeShapeType="1"/>
        </xdr:cNvSpPr>
      </xdr:nvSpPr>
      <xdr:spPr bwMode="auto">
        <a:xfrm>
          <a:off x="16773525" y="11029950"/>
          <a:ext cx="0" cy="390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21</xdr:col>
      <xdr:colOff>514350</xdr:colOff>
      <xdr:row>59</xdr:row>
      <xdr:rowOff>104775</xdr:rowOff>
    </xdr:from>
    <xdr:to>
      <xdr:col>23</xdr:col>
      <xdr:colOff>276225</xdr:colOff>
      <xdr:row>60</xdr:row>
      <xdr:rowOff>161925</xdr:rowOff>
    </xdr:to>
    <xdr:sp macro="" textlink="">
      <xdr:nvSpPr>
        <xdr:cNvPr id="1004" name="Freeform 2865">
          <a:extLst>
            <a:ext uri="{FF2B5EF4-FFF2-40B4-BE49-F238E27FC236}">
              <a16:creationId xmlns:a16="http://schemas.microsoft.com/office/drawing/2014/main" id="{00000000-0008-0000-0000-0000EC030000}"/>
            </a:ext>
          </a:extLst>
        </xdr:cNvPr>
        <xdr:cNvSpPr>
          <a:spLocks/>
        </xdr:cNvSpPr>
      </xdr:nvSpPr>
      <xdr:spPr bwMode="auto">
        <a:xfrm>
          <a:off x="15544800" y="11306175"/>
          <a:ext cx="1266825" cy="257175"/>
        </a:xfrm>
        <a:custGeom>
          <a:avLst/>
          <a:gdLst>
            <a:gd name="T0" fmla="*/ 0 w 209"/>
            <a:gd name="T1" fmla="*/ 0 h 29"/>
            <a:gd name="T2" fmla="*/ 0 w 209"/>
            <a:gd name="T3" fmla="*/ 2147483646 h 29"/>
            <a:gd name="T4" fmla="*/ 2147483646 w 209"/>
            <a:gd name="T5" fmla="*/ 2147483646 h 29"/>
            <a:gd name="T6" fmla="*/ 2147483646 w 209"/>
            <a:gd name="T7" fmla="*/ 2147483646 h 29"/>
            <a:gd name="T8" fmla="*/ 2147483646 w 209"/>
            <a:gd name="T9" fmla="*/ 2147483646 h 29"/>
            <a:gd name="T10" fmla="*/ 2147483646 w 209"/>
            <a:gd name="T11" fmla="*/ 0 h 29"/>
            <a:gd name="T12" fmla="*/ 0 w 209"/>
            <a:gd name="T13" fmla="*/ 0 h 2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9" h="29">
              <a:moveTo>
                <a:pt x="0" y="0"/>
              </a:moveTo>
              <a:lnTo>
                <a:pt x="0" y="29"/>
              </a:lnTo>
              <a:lnTo>
                <a:pt x="209" y="29"/>
              </a:lnTo>
              <a:lnTo>
                <a:pt x="209" y="13"/>
              </a:lnTo>
              <a:lnTo>
                <a:pt x="190" y="13"/>
              </a:lnTo>
              <a:lnTo>
                <a:pt x="190" y="0"/>
              </a:lnTo>
              <a:lnTo>
                <a:pt x="0" y="0"/>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22</xdr:col>
      <xdr:colOff>447675</xdr:colOff>
      <xdr:row>59</xdr:row>
      <xdr:rowOff>95250</xdr:rowOff>
    </xdr:from>
    <xdr:to>
      <xdr:col>22</xdr:col>
      <xdr:colOff>600075</xdr:colOff>
      <xdr:row>60</xdr:row>
      <xdr:rowOff>180975</xdr:rowOff>
    </xdr:to>
    <xdr:sp macro="" textlink="">
      <xdr:nvSpPr>
        <xdr:cNvPr id="1005" name="Freeform 2866">
          <a:extLst>
            <a:ext uri="{FF2B5EF4-FFF2-40B4-BE49-F238E27FC236}">
              <a16:creationId xmlns:a16="http://schemas.microsoft.com/office/drawing/2014/main" id="{00000000-0008-0000-0000-0000ED030000}"/>
            </a:ext>
          </a:extLst>
        </xdr:cNvPr>
        <xdr:cNvSpPr>
          <a:spLocks/>
        </xdr:cNvSpPr>
      </xdr:nvSpPr>
      <xdr:spPr bwMode="auto">
        <a:xfrm>
          <a:off x="16230600" y="11296650"/>
          <a:ext cx="152400" cy="285750"/>
        </a:xfrm>
        <a:custGeom>
          <a:avLst/>
          <a:gdLst>
            <a:gd name="T0" fmla="*/ 2147483646 w 16"/>
            <a:gd name="T1" fmla="*/ 0 h 31"/>
            <a:gd name="T2" fmla="*/ 2147483646 w 16"/>
            <a:gd name="T3" fmla="*/ 2147483646 h 31"/>
            <a:gd name="T4" fmla="*/ 0 w 16"/>
            <a:gd name="T5" fmla="*/ 2147483646 h 31"/>
            <a:gd name="T6" fmla="*/ 0 w 16"/>
            <a:gd name="T7" fmla="*/ 2147483646 h 3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 h="31">
              <a:moveTo>
                <a:pt x="16" y="0"/>
              </a:moveTo>
              <a:lnTo>
                <a:pt x="16" y="14"/>
              </a:lnTo>
              <a:lnTo>
                <a:pt x="0" y="14"/>
              </a:lnTo>
              <a:lnTo>
                <a:pt x="0" y="31"/>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23</xdr:col>
      <xdr:colOff>0</xdr:colOff>
      <xdr:row>58</xdr:row>
      <xdr:rowOff>85725</xdr:rowOff>
    </xdr:from>
    <xdr:to>
      <xdr:col>23</xdr:col>
      <xdr:colOff>0</xdr:colOff>
      <xdr:row>66</xdr:row>
      <xdr:rowOff>19050</xdr:rowOff>
    </xdr:to>
    <xdr:sp macro="" textlink="">
      <xdr:nvSpPr>
        <xdr:cNvPr id="1006" name="Line 2867">
          <a:extLst>
            <a:ext uri="{FF2B5EF4-FFF2-40B4-BE49-F238E27FC236}">
              <a16:creationId xmlns:a16="http://schemas.microsoft.com/office/drawing/2014/main" id="{00000000-0008-0000-0000-0000EE030000}"/>
            </a:ext>
          </a:extLst>
        </xdr:cNvPr>
        <xdr:cNvSpPr>
          <a:spLocks noChangeShapeType="1"/>
        </xdr:cNvSpPr>
      </xdr:nvSpPr>
      <xdr:spPr bwMode="auto">
        <a:xfrm>
          <a:off x="16535400" y="11087100"/>
          <a:ext cx="0" cy="1504950"/>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22</xdr:col>
      <xdr:colOff>714375</xdr:colOff>
      <xdr:row>61</xdr:row>
      <xdr:rowOff>76200</xdr:rowOff>
    </xdr:from>
    <xdr:to>
      <xdr:col>23</xdr:col>
      <xdr:colOff>28575</xdr:colOff>
      <xdr:row>61</xdr:row>
      <xdr:rowOff>161925</xdr:rowOff>
    </xdr:to>
    <xdr:sp macro="" textlink="">
      <xdr:nvSpPr>
        <xdr:cNvPr id="1007" name="Line 2868">
          <a:extLst>
            <a:ext uri="{FF2B5EF4-FFF2-40B4-BE49-F238E27FC236}">
              <a16:creationId xmlns:a16="http://schemas.microsoft.com/office/drawing/2014/main" id="{00000000-0008-0000-0000-0000EF030000}"/>
            </a:ext>
          </a:extLst>
        </xdr:cNvPr>
        <xdr:cNvSpPr>
          <a:spLocks noChangeShapeType="1"/>
        </xdr:cNvSpPr>
      </xdr:nvSpPr>
      <xdr:spPr bwMode="auto">
        <a:xfrm flipH="1">
          <a:off x="16497300" y="11668125"/>
          <a:ext cx="6667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238125</xdr:colOff>
      <xdr:row>62</xdr:row>
      <xdr:rowOff>28575</xdr:rowOff>
    </xdr:from>
    <xdr:to>
      <xdr:col>23</xdr:col>
      <xdr:colOff>238125</xdr:colOff>
      <xdr:row>66</xdr:row>
      <xdr:rowOff>9525</xdr:rowOff>
    </xdr:to>
    <xdr:sp macro="" textlink="">
      <xdr:nvSpPr>
        <xdr:cNvPr id="1008" name="Line 2869">
          <a:extLst>
            <a:ext uri="{FF2B5EF4-FFF2-40B4-BE49-F238E27FC236}">
              <a16:creationId xmlns:a16="http://schemas.microsoft.com/office/drawing/2014/main" id="{00000000-0008-0000-0000-0000F0030000}"/>
            </a:ext>
          </a:extLst>
        </xdr:cNvPr>
        <xdr:cNvSpPr>
          <a:spLocks noChangeShapeType="1"/>
        </xdr:cNvSpPr>
      </xdr:nvSpPr>
      <xdr:spPr bwMode="auto">
        <a:xfrm>
          <a:off x="16773525" y="1181100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0</xdr:colOff>
      <xdr:row>58</xdr:row>
      <xdr:rowOff>133350</xdr:rowOff>
    </xdr:from>
    <xdr:to>
      <xdr:col>23</xdr:col>
      <xdr:colOff>238125</xdr:colOff>
      <xdr:row>59</xdr:row>
      <xdr:rowOff>38100</xdr:rowOff>
    </xdr:to>
    <xdr:sp macro="" textlink="">
      <xdr:nvSpPr>
        <xdr:cNvPr id="1009" name="Rectangle 2870">
          <a:extLst>
            <a:ext uri="{FF2B5EF4-FFF2-40B4-BE49-F238E27FC236}">
              <a16:creationId xmlns:a16="http://schemas.microsoft.com/office/drawing/2014/main" id="{00000000-0008-0000-0000-0000F1030000}"/>
            </a:ext>
          </a:extLst>
        </xdr:cNvPr>
        <xdr:cNvSpPr>
          <a:spLocks noChangeArrowheads="1"/>
        </xdr:cNvSpPr>
      </xdr:nvSpPr>
      <xdr:spPr bwMode="auto">
        <a:xfrm>
          <a:off x="16535400" y="11134725"/>
          <a:ext cx="238125" cy="104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23</xdr:col>
      <xdr:colOff>123825</xdr:colOff>
      <xdr:row>58</xdr:row>
      <xdr:rowOff>47625</xdr:rowOff>
    </xdr:from>
    <xdr:to>
      <xdr:col>23</xdr:col>
      <xdr:colOff>123825</xdr:colOff>
      <xdr:row>65</xdr:row>
      <xdr:rowOff>85725</xdr:rowOff>
    </xdr:to>
    <xdr:sp macro="" textlink="">
      <xdr:nvSpPr>
        <xdr:cNvPr id="1010" name="Line 2871">
          <a:extLst>
            <a:ext uri="{FF2B5EF4-FFF2-40B4-BE49-F238E27FC236}">
              <a16:creationId xmlns:a16="http://schemas.microsoft.com/office/drawing/2014/main" id="{00000000-0008-0000-0000-0000F2030000}"/>
            </a:ext>
          </a:extLst>
        </xdr:cNvPr>
        <xdr:cNvSpPr>
          <a:spLocks noChangeShapeType="1"/>
        </xdr:cNvSpPr>
      </xdr:nvSpPr>
      <xdr:spPr bwMode="auto">
        <a:xfrm>
          <a:off x="16659225" y="11049000"/>
          <a:ext cx="0" cy="14097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21</xdr:col>
      <xdr:colOff>590550</xdr:colOff>
      <xdr:row>63</xdr:row>
      <xdr:rowOff>9525</xdr:rowOff>
    </xdr:from>
    <xdr:to>
      <xdr:col>23</xdr:col>
      <xdr:colOff>28575</xdr:colOff>
      <xdr:row>63</xdr:row>
      <xdr:rowOff>9525</xdr:rowOff>
    </xdr:to>
    <xdr:sp macro="" textlink="">
      <xdr:nvSpPr>
        <xdr:cNvPr id="1011" name="Line 2872">
          <a:extLst>
            <a:ext uri="{FF2B5EF4-FFF2-40B4-BE49-F238E27FC236}">
              <a16:creationId xmlns:a16="http://schemas.microsoft.com/office/drawing/2014/main" id="{00000000-0008-0000-0000-0000F3030000}"/>
            </a:ext>
          </a:extLst>
        </xdr:cNvPr>
        <xdr:cNvSpPr>
          <a:spLocks noChangeShapeType="1"/>
        </xdr:cNvSpPr>
      </xdr:nvSpPr>
      <xdr:spPr bwMode="auto">
        <a:xfrm>
          <a:off x="15621000" y="11991975"/>
          <a:ext cx="942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723900</xdr:colOff>
      <xdr:row>62</xdr:row>
      <xdr:rowOff>161925</xdr:rowOff>
    </xdr:from>
    <xdr:to>
      <xdr:col>23</xdr:col>
      <xdr:colOff>38100</xdr:colOff>
      <xdr:row>63</xdr:row>
      <xdr:rowOff>57150</xdr:rowOff>
    </xdr:to>
    <xdr:sp macro="" textlink="">
      <xdr:nvSpPr>
        <xdr:cNvPr id="1012" name="Line 2873">
          <a:extLst>
            <a:ext uri="{FF2B5EF4-FFF2-40B4-BE49-F238E27FC236}">
              <a16:creationId xmlns:a16="http://schemas.microsoft.com/office/drawing/2014/main" id="{00000000-0008-0000-0000-0000F4030000}"/>
            </a:ext>
          </a:extLst>
        </xdr:cNvPr>
        <xdr:cNvSpPr>
          <a:spLocks noChangeShapeType="1"/>
        </xdr:cNvSpPr>
      </xdr:nvSpPr>
      <xdr:spPr bwMode="auto">
        <a:xfrm flipH="1">
          <a:off x="16506825" y="11944350"/>
          <a:ext cx="666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600075</xdr:colOff>
      <xdr:row>64</xdr:row>
      <xdr:rowOff>0</xdr:rowOff>
    </xdr:from>
    <xdr:to>
      <xdr:col>23</xdr:col>
      <xdr:colOff>276225</xdr:colOff>
      <xdr:row>64</xdr:row>
      <xdr:rowOff>0</xdr:rowOff>
    </xdr:to>
    <xdr:sp macro="" textlink="">
      <xdr:nvSpPr>
        <xdr:cNvPr id="1013" name="Line 2874">
          <a:extLst>
            <a:ext uri="{FF2B5EF4-FFF2-40B4-BE49-F238E27FC236}">
              <a16:creationId xmlns:a16="http://schemas.microsoft.com/office/drawing/2014/main" id="{00000000-0008-0000-0000-0000F5030000}"/>
            </a:ext>
          </a:extLst>
        </xdr:cNvPr>
        <xdr:cNvSpPr>
          <a:spLocks noChangeShapeType="1"/>
        </xdr:cNvSpPr>
      </xdr:nvSpPr>
      <xdr:spPr bwMode="auto">
        <a:xfrm>
          <a:off x="15630525" y="12172950"/>
          <a:ext cx="1181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209550</xdr:colOff>
      <xdr:row>63</xdr:row>
      <xdr:rowOff>152400</xdr:rowOff>
    </xdr:from>
    <xdr:to>
      <xdr:col>23</xdr:col>
      <xdr:colOff>295275</xdr:colOff>
      <xdr:row>64</xdr:row>
      <xdr:rowOff>47625</xdr:rowOff>
    </xdr:to>
    <xdr:sp macro="" textlink="">
      <xdr:nvSpPr>
        <xdr:cNvPr id="1014" name="Line 2875">
          <a:extLst>
            <a:ext uri="{FF2B5EF4-FFF2-40B4-BE49-F238E27FC236}">
              <a16:creationId xmlns:a16="http://schemas.microsoft.com/office/drawing/2014/main" id="{00000000-0008-0000-0000-0000F6030000}"/>
            </a:ext>
          </a:extLst>
        </xdr:cNvPr>
        <xdr:cNvSpPr>
          <a:spLocks noChangeShapeType="1"/>
        </xdr:cNvSpPr>
      </xdr:nvSpPr>
      <xdr:spPr bwMode="auto">
        <a:xfrm flipH="1">
          <a:off x="16744950" y="121348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600075</xdr:colOff>
      <xdr:row>65</xdr:row>
      <xdr:rowOff>9525</xdr:rowOff>
    </xdr:from>
    <xdr:to>
      <xdr:col>23</xdr:col>
      <xdr:colOff>152400</xdr:colOff>
      <xdr:row>65</xdr:row>
      <xdr:rowOff>9525</xdr:rowOff>
    </xdr:to>
    <xdr:sp macro="" textlink="">
      <xdr:nvSpPr>
        <xdr:cNvPr id="1015" name="Line 2876">
          <a:extLst>
            <a:ext uri="{FF2B5EF4-FFF2-40B4-BE49-F238E27FC236}">
              <a16:creationId xmlns:a16="http://schemas.microsoft.com/office/drawing/2014/main" id="{00000000-0008-0000-0000-0000F7030000}"/>
            </a:ext>
          </a:extLst>
        </xdr:cNvPr>
        <xdr:cNvSpPr>
          <a:spLocks noChangeShapeType="1"/>
        </xdr:cNvSpPr>
      </xdr:nvSpPr>
      <xdr:spPr bwMode="auto">
        <a:xfrm>
          <a:off x="15630525" y="12382500"/>
          <a:ext cx="1057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76200</xdr:colOff>
      <xdr:row>64</xdr:row>
      <xdr:rowOff>152400</xdr:rowOff>
    </xdr:from>
    <xdr:to>
      <xdr:col>23</xdr:col>
      <xdr:colOff>171450</xdr:colOff>
      <xdr:row>65</xdr:row>
      <xdr:rowOff>57150</xdr:rowOff>
    </xdr:to>
    <xdr:sp macro="" textlink="">
      <xdr:nvSpPr>
        <xdr:cNvPr id="1016" name="Line 2877">
          <a:extLst>
            <a:ext uri="{FF2B5EF4-FFF2-40B4-BE49-F238E27FC236}">
              <a16:creationId xmlns:a16="http://schemas.microsoft.com/office/drawing/2014/main" id="{00000000-0008-0000-0000-0000F8030000}"/>
            </a:ext>
          </a:extLst>
        </xdr:cNvPr>
        <xdr:cNvSpPr>
          <a:spLocks noChangeShapeType="1"/>
        </xdr:cNvSpPr>
      </xdr:nvSpPr>
      <xdr:spPr bwMode="auto">
        <a:xfrm flipH="1">
          <a:off x="16611600" y="12325350"/>
          <a:ext cx="9525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19050</xdr:colOff>
      <xdr:row>58</xdr:row>
      <xdr:rowOff>123825</xdr:rowOff>
    </xdr:from>
    <xdr:to>
      <xdr:col>23</xdr:col>
      <xdr:colOff>19050</xdr:colOff>
      <xdr:row>59</xdr:row>
      <xdr:rowOff>38100</xdr:rowOff>
    </xdr:to>
    <xdr:sp macro="" textlink="">
      <xdr:nvSpPr>
        <xdr:cNvPr id="1017" name="Line 2878">
          <a:extLst>
            <a:ext uri="{FF2B5EF4-FFF2-40B4-BE49-F238E27FC236}">
              <a16:creationId xmlns:a16="http://schemas.microsoft.com/office/drawing/2014/main" id="{00000000-0008-0000-0000-0000F9030000}"/>
            </a:ext>
          </a:extLst>
        </xdr:cNvPr>
        <xdr:cNvSpPr>
          <a:spLocks noChangeShapeType="1"/>
        </xdr:cNvSpPr>
      </xdr:nvSpPr>
      <xdr:spPr bwMode="auto">
        <a:xfrm>
          <a:off x="16554450" y="111252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47625</xdr:colOff>
      <xdr:row>58</xdr:row>
      <xdr:rowOff>133350</xdr:rowOff>
    </xdr:from>
    <xdr:to>
      <xdr:col>23</xdr:col>
      <xdr:colOff>47625</xdr:colOff>
      <xdr:row>59</xdr:row>
      <xdr:rowOff>28575</xdr:rowOff>
    </xdr:to>
    <xdr:sp macro="" textlink="">
      <xdr:nvSpPr>
        <xdr:cNvPr id="1018" name="Line 2879">
          <a:extLst>
            <a:ext uri="{FF2B5EF4-FFF2-40B4-BE49-F238E27FC236}">
              <a16:creationId xmlns:a16="http://schemas.microsoft.com/office/drawing/2014/main" id="{00000000-0008-0000-0000-0000FA030000}"/>
            </a:ext>
          </a:extLst>
        </xdr:cNvPr>
        <xdr:cNvSpPr>
          <a:spLocks noChangeShapeType="1"/>
        </xdr:cNvSpPr>
      </xdr:nvSpPr>
      <xdr:spPr bwMode="auto">
        <a:xfrm>
          <a:off x="16583025" y="111347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76200</xdr:colOff>
      <xdr:row>58</xdr:row>
      <xdr:rowOff>133350</xdr:rowOff>
    </xdr:from>
    <xdr:to>
      <xdr:col>23</xdr:col>
      <xdr:colOff>76200</xdr:colOff>
      <xdr:row>59</xdr:row>
      <xdr:rowOff>28575</xdr:rowOff>
    </xdr:to>
    <xdr:sp macro="" textlink="">
      <xdr:nvSpPr>
        <xdr:cNvPr id="1019" name="Line 2880">
          <a:extLst>
            <a:ext uri="{FF2B5EF4-FFF2-40B4-BE49-F238E27FC236}">
              <a16:creationId xmlns:a16="http://schemas.microsoft.com/office/drawing/2014/main" id="{00000000-0008-0000-0000-0000FB030000}"/>
            </a:ext>
          </a:extLst>
        </xdr:cNvPr>
        <xdr:cNvSpPr>
          <a:spLocks noChangeShapeType="1"/>
        </xdr:cNvSpPr>
      </xdr:nvSpPr>
      <xdr:spPr bwMode="auto">
        <a:xfrm>
          <a:off x="16611600" y="111347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104775</xdr:colOff>
      <xdr:row>58</xdr:row>
      <xdr:rowOff>133350</xdr:rowOff>
    </xdr:from>
    <xdr:to>
      <xdr:col>23</xdr:col>
      <xdr:colOff>104775</xdr:colOff>
      <xdr:row>59</xdr:row>
      <xdr:rowOff>38100</xdr:rowOff>
    </xdr:to>
    <xdr:sp macro="" textlink="">
      <xdr:nvSpPr>
        <xdr:cNvPr id="1020" name="Line 2881">
          <a:extLst>
            <a:ext uri="{FF2B5EF4-FFF2-40B4-BE49-F238E27FC236}">
              <a16:creationId xmlns:a16="http://schemas.microsoft.com/office/drawing/2014/main" id="{00000000-0008-0000-0000-0000FC030000}"/>
            </a:ext>
          </a:extLst>
        </xdr:cNvPr>
        <xdr:cNvSpPr>
          <a:spLocks noChangeShapeType="1"/>
        </xdr:cNvSpPr>
      </xdr:nvSpPr>
      <xdr:spPr bwMode="auto">
        <a:xfrm>
          <a:off x="16640175" y="111347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133350</xdr:colOff>
      <xdr:row>58</xdr:row>
      <xdr:rowOff>133350</xdr:rowOff>
    </xdr:from>
    <xdr:to>
      <xdr:col>23</xdr:col>
      <xdr:colOff>133350</xdr:colOff>
      <xdr:row>59</xdr:row>
      <xdr:rowOff>38100</xdr:rowOff>
    </xdr:to>
    <xdr:sp macro="" textlink="">
      <xdr:nvSpPr>
        <xdr:cNvPr id="1021" name="Line 2882">
          <a:extLst>
            <a:ext uri="{FF2B5EF4-FFF2-40B4-BE49-F238E27FC236}">
              <a16:creationId xmlns:a16="http://schemas.microsoft.com/office/drawing/2014/main" id="{00000000-0008-0000-0000-0000FD030000}"/>
            </a:ext>
          </a:extLst>
        </xdr:cNvPr>
        <xdr:cNvSpPr>
          <a:spLocks noChangeShapeType="1"/>
        </xdr:cNvSpPr>
      </xdr:nvSpPr>
      <xdr:spPr bwMode="auto">
        <a:xfrm>
          <a:off x="16668750" y="111347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161925</xdr:colOff>
      <xdr:row>58</xdr:row>
      <xdr:rowOff>133350</xdr:rowOff>
    </xdr:from>
    <xdr:to>
      <xdr:col>23</xdr:col>
      <xdr:colOff>161925</xdr:colOff>
      <xdr:row>59</xdr:row>
      <xdr:rowOff>28575</xdr:rowOff>
    </xdr:to>
    <xdr:sp macro="" textlink="">
      <xdr:nvSpPr>
        <xdr:cNvPr id="1022" name="Line 2883">
          <a:extLst>
            <a:ext uri="{FF2B5EF4-FFF2-40B4-BE49-F238E27FC236}">
              <a16:creationId xmlns:a16="http://schemas.microsoft.com/office/drawing/2014/main" id="{00000000-0008-0000-0000-0000FE030000}"/>
            </a:ext>
          </a:extLst>
        </xdr:cNvPr>
        <xdr:cNvSpPr>
          <a:spLocks noChangeShapeType="1"/>
        </xdr:cNvSpPr>
      </xdr:nvSpPr>
      <xdr:spPr bwMode="auto">
        <a:xfrm>
          <a:off x="16697325" y="111347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190500</xdr:colOff>
      <xdr:row>58</xdr:row>
      <xdr:rowOff>123825</xdr:rowOff>
    </xdr:from>
    <xdr:to>
      <xdr:col>23</xdr:col>
      <xdr:colOff>190500</xdr:colOff>
      <xdr:row>59</xdr:row>
      <xdr:rowOff>38100</xdr:rowOff>
    </xdr:to>
    <xdr:sp macro="" textlink="">
      <xdr:nvSpPr>
        <xdr:cNvPr id="1023" name="Line 2884">
          <a:extLst>
            <a:ext uri="{FF2B5EF4-FFF2-40B4-BE49-F238E27FC236}">
              <a16:creationId xmlns:a16="http://schemas.microsoft.com/office/drawing/2014/main" id="{00000000-0008-0000-0000-0000FF030000}"/>
            </a:ext>
          </a:extLst>
        </xdr:cNvPr>
        <xdr:cNvSpPr>
          <a:spLocks noChangeShapeType="1"/>
        </xdr:cNvSpPr>
      </xdr:nvSpPr>
      <xdr:spPr bwMode="auto">
        <a:xfrm>
          <a:off x="16725900" y="111252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219075</xdr:colOff>
      <xdr:row>58</xdr:row>
      <xdr:rowOff>133350</xdr:rowOff>
    </xdr:from>
    <xdr:to>
      <xdr:col>23</xdr:col>
      <xdr:colOff>219075</xdr:colOff>
      <xdr:row>59</xdr:row>
      <xdr:rowOff>38100</xdr:rowOff>
    </xdr:to>
    <xdr:sp macro="" textlink="">
      <xdr:nvSpPr>
        <xdr:cNvPr id="1024" name="Line 2885">
          <a:extLst>
            <a:ext uri="{FF2B5EF4-FFF2-40B4-BE49-F238E27FC236}">
              <a16:creationId xmlns:a16="http://schemas.microsoft.com/office/drawing/2014/main" id="{00000000-0008-0000-0000-000000040000}"/>
            </a:ext>
          </a:extLst>
        </xdr:cNvPr>
        <xdr:cNvSpPr>
          <a:spLocks noChangeShapeType="1"/>
        </xdr:cNvSpPr>
      </xdr:nvSpPr>
      <xdr:spPr bwMode="auto">
        <a:xfrm>
          <a:off x="16754475" y="111347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523875</xdr:colOff>
      <xdr:row>61</xdr:row>
      <xdr:rowOff>123825</xdr:rowOff>
    </xdr:from>
    <xdr:to>
      <xdr:col>23</xdr:col>
      <xdr:colOff>38100</xdr:colOff>
      <xdr:row>61</xdr:row>
      <xdr:rowOff>123825</xdr:rowOff>
    </xdr:to>
    <xdr:sp macro="" textlink="">
      <xdr:nvSpPr>
        <xdr:cNvPr id="1065" name="Line 2886">
          <a:extLst>
            <a:ext uri="{FF2B5EF4-FFF2-40B4-BE49-F238E27FC236}">
              <a16:creationId xmlns:a16="http://schemas.microsoft.com/office/drawing/2014/main" id="{00000000-0008-0000-0000-000029040000}"/>
            </a:ext>
          </a:extLst>
        </xdr:cNvPr>
        <xdr:cNvSpPr>
          <a:spLocks noChangeShapeType="1"/>
        </xdr:cNvSpPr>
      </xdr:nvSpPr>
      <xdr:spPr bwMode="auto">
        <a:xfrm>
          <a:off x="16306800" y="1171575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742950</xdr:colOff>
      <xdr:row>57</xdr:row>
      <xdr:rowOff>114300</xdr:rowOff>
    </xdr:from>
    <xdr:to>
      <xdr:col>25</xdr:col>
      <xdr:colOff>742950</xdr:colOff>
      <xdr:row>59</xdr:row>
      <xdr:rowOff>114300</xdr:rowOff>
    </xdr:to>
    <xdr:sp macro="" textlink="">
      <xdr:nvSpPr>
        <xdr:cNvPr id="1066" name="Line 2887">
          <a:extLst>
            <a:ext uri="{FF2B5EF4-FFF2-40B4-BE49-F238E27FC236}">
              <a16:creationId xmlns:a16="http://schemas.microsoft.com/office/drawing/2014/main" id="{00000000-0008-0000-0000-00002A040000}"/>
            </a:ext>
          </a:extLst>
        </xdr:cNvPr>
        <xdr:cNvSpPr>
          <a:spLocks noChangeShapeType="1"/>
        </xdr:cNvSpPr>
      </xdr:nvSpPr>
      <xdr:spPr bwMode="auto">
        <a:xfrm>
          <a:off x="18783300" y="10925175"/>
          <a:ext cx="0" cy="390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25</xdr:col>
      <xdr:colOff>457200</xdr:colOff>
      <xdr:row>59</xdr:row>
      <xdr:rowOff>114300</xdr:rowOff>
    </xdr:from>
    <xdr:to>
      <xdr:col>26</xdr:col>
      <xdr:colOff>285750</xdr:colOff>
      <xdr:row>60</xdr:row>
      <xdr:rowOff>171450</xdr:rowOff>
    </xdr:to>
    <xdr:sp macro="" textlink="">
      <xdr:nvSpPr>
        <xdr:cNvPr id="1067" name="Freeform 2888">
          <a:extLst>
            <a:ext uri="{FF2B5EF4-FFF2-40B4-BE49-F238E27FC236}">
              <a16:creationId xmlns:a16="http://schemas.microsoft.com/office/drawing/2014/main" id="{00000000-0008-0000-0000-00002B040000}"/>
            </a:ext>
          </a:extLst>
        </xdr:cNvPr>
        <xdr:cNvSpPr>
          <a:spLocks/>
        </xdr:cNvSpPr>
      </xdr:nvSpPr>
      <xdr:spPr bwMode="auto">
        <a:xfrm>
          <a:off x="18497550" y="11315700"/>
          <a:ext cx="581025" cy="257175"/>
        </a:xfrm>
        <a:custGeom>
          <a:avLst/>
          <a:gdLst>
            <a:gd name="T0" fmla="*/ 0 w 61"/>
            <a:gd name="T1" fmla="*/ 2147483646 h 27"/>
            <a:gd name="T2" fmla="*/ 0 w 61"/>
            <a:gd name="T3" fmla="*/ 2147483646 h 27"/>
            <a:gd name="T4" fmla="*/ 2147483646 w 61"/>
            <a:gd name="T5" fmla="*/ 2147483646 h 27"/>
            <a:gd name="T6" fmla="*/ 2147483646 w 61"/>
            <a:gd name="T7" fmla="*/ 0 h 27"/>
            <a:gd name="T8" fmla="*/ 2147483646 w 61"/>
            <a:gd name="T9" fmla="*/ 0 h 27"/>
            <a:gd name="T10" fmla="*/ 2147483646 w 61"/>
            <a:gd name="T11" fmla="*/ 2147483646 h 27"/>
            <a:gd name="T12" fmla="*/ 2147483646 w 61"/>
            <a:gd name="T13" fmla="*/ 2147483646 h 27"/>
            <a:gd name="T14" fmla="*/ 2147483646 w 61"/>
            <a:gd name="T15" fmla="*/ 2147483646 h 27"/>
            <a:gd name="T16" fmla="*/ 0 w 61"/>
            <a:gd name="T17" fmla="*/ 2147483646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61" h="27">
              <a:moveTo>
                <a:pt x="0" y="27"/>
              </a:moveTo>
              <a:lnTo>
                <a:pt x="0" y="13"/>
              </a:lnTo>
              <a:lnTo>
                <a:pt x="16" y="13"/>
              </a:lnTo>
              <a:lnTo>
                <a:pt x="16" y="0"/>
              </a:lnTo>
              <a:lnTo>
                <a:pt x="45" y="0"/>
              </a:lnTo>
              <a:lnTo>
                <a:pt x="45" y="12"/>
              </a:lnTo>
              <a:lnTo>
                <a:pt x="61" y="12"/>
              </a:lnTo>
              <a:lnTo>
                <a:pt x="61" y="27"/>
              </a:lnTo>
              <a:lnTo>
                <a:pt x="0" y="27"/>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25</xdr:col>
      <xdr:colOff>742950</xdr:colOff>
      <xdr:row>58</xdr:row>
      <xdr:rowOff>104775</xdr:rowOff>
    </xdr:from>
    <xdr:to>
      <xdr:col>25</xdr:col>
      <xdr:colOff>742950</xdr:colOff>
      <xdr:row>61</xdr:row>
      <xdr:rowOff>28575</xdr:rowOff>
    </xdr:to>
    <xdr:sp macro="" textlink="">
      <xdr:nvSpPr>
        <xdr:cNvPr id="1068" name="Line 2889">
          <a:extLst>
            <a:ext uri="{FF2B5EF4-FFF2-40B4-BE49-F238E27FC236}">
              <a16:creationId xmlns:a16="http://schemas.microsoft.com/office/drawing/2014/main" id="{00000000-0008-0000-0000-00002C040000}"/>
            </a:ext>
          </a:extLst>
        </xdr:cNvPr>
        <xdr:cNvSpPr>
          <a:spLocks noChangeShapeType="1"/>
        </xdr:cNvSpPr>
      </xdr:nvSpPr>
      <xdr:spPr bwMode="auto">
        <a:xfrm>
          <a:off x="18783300" y="11106150"/>
          <a:ext cx="0" cy="514350"/>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21</xdr:col>
      <xdr:colOff>619125</xdr:colOff>
      <xdr:row>59</xdr:row>
      <xdr:rowOff>190500</xdr:rowOff>
    </xdr:from>
    <xdr:to>
      <xdr:col>21</xdr:col>
      <xdr:colOff>695325</xdr:colOff>
      <xdr:row>60</xdr:row>
      <xdr:rowOff>66675</xdr:rowOff>
    </xdr:to>
    <xdr:sp macro="" textlink="">
      <xdr:nvSpPr>
        <xdr:cNvPr id="1069" name="Oval 2890">
          <a:extLst>
            <a:ext uri="{FF2B5EF4-FFF2-40B4-BE49-F238E27FC236}">
              <a16:creationId xmlns:a16="http://schemas.microsoft.com/office/drawing/2014/main" id="{00000000-0008-0000-0000-00002D040000}"/>
            </a:ext>
          </a:extLst>
        </xdr:cNvPr>
        <xdr:cNvSpPr>
          <a:spLocks noChangeArrowheads="1"/>
        </xdr:cNvSpPr>
      </xdr:nvSpPr>
      <xdr:spPr bwMode="auto">
        <a:xfrm>
          <a:off x="15649575" y="1139190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21</xdr:col>
      <xdr:colOff>647700</xdr:colOff>
      <xdr:row>60</xdr:row>
      <xdr:rowOff>142875</xdr:rowOff>
    </xdr:from>
    <xdr:to>
      <xdr:col>21</xdr:col>
      <xdr:colOff>647700</xdr:colOff>
      <xdr:row>65</xdr:row>
      <xdr:rowOff>28575</xdr:rowOff>
    </xdr:to>
    <xdr:sp macro="" textlink="">
      <xdr:nvSpPr>
        <xdr:cNvPr id="1070" name="Line 2891">
          <a:extLst>
            <a:ext uri="{FF2B5EF4-FFF2-40B4-BE49-F238E27FC236}">
              <a16:creationId xmlns:a16="http://schemas.microsoft.com/office/drawing/2014/main" id="{00000000-0008-0000-0000-00002E040000}"/>
            </a:ext>
          </a:extLst>
        </xdr:cNvPr>
        <xdr:cNvSpPr>
          <a:spLocks noChangeShapeType="1"/>
        </xdr:cNvSpPr>
      </xdr:nvSpPr>
      <xdr:spPr bwMode="auto">
        <a:xfrm>
          <a:off x="15678150" y="11544300"/>
          <a:ext cx="0" cy="8572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21</xdr:col>
      <xdr:colOff>609600</xdr:colOff>
      <xdr:row>62</xdr:row>
      <xdr:rowOff>161925</xdr:rowOff>
    </xdr:from>
    <xdr:to>
      <xdr:col>21</xdr:col>
      <xdr:colOff>685800</xdr:colOff>
      <xdr:row>63</xdr:row>
      <xdr:rowOff>47625</xdr:rowOff>
    </xdr:to>
    <xdr:sp macro="" textlink="">
      <xdr:nvSpPr>
        <xdr:cNvPr id="1071" name="Line 2892">
          <a:extLst>
            <a:ext uri="{FF2B5EF4-FFF2-40B4-BE49-F238E27FC236}">
              <a16:creationId xmlns:a16="http://schemas.microsoft.com/office/drawing/2014/main" id="{00000000-0008-0000-0000-00002F040000}"/>
            </a:ext>
          </a:extLst>
        </xdr:cNvPr>
        <xdr:cNvSpPr>
          <a:spLocks noChangeShapeType="1"/>
        </xdr:cNvSpPr>
      </xdr:nvSpPr>
      <xdr:spPr bwMode="auto">
        <a:xfrm flipH="1">
          <a:off x="15640050" y="1194435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609600</xdr:colOff>
      <xdr:row>63</xdr:row>
      <xdr:rowOff>152400</xdr:rowOff>
    </xdr:from>
    <xdr:to>
      <xdr:col>21</xdr:col>
      <xdr:colOff>685800</xdr:colOff>
      <xdr:row>64</xdr:row>
      <xdr:rowOff>38100</xdr:rowOff>
    </xdr:to>
    <xdr:sp macro="" textlink="">
      <xdr:nvSpPr>
        <xdr:cNvPr id="1072" name="Line 2893">
          <a:extLst>
            <a:ext uri="{FF2B5EF4-FFF2-40B4-BE49-F238E27FC236}">
              <a16:creationId xmlns:a16="http://schemas.microsoft.com/office/drawing/2014/main" id="{00000000-0008-0000-0000-000030040000}"/>
            </a:ext>
          </a:extLst>
        </xdr:cNvPr>
        <xdr:cNvSpPr>
          <a:spLocks noChangeShapeType="1"/>
        </xdr:cNvSpPr>
      </xdr:nvSpPr>
      <xdr:spPr bwMode="auto">
        <a:xfrm flipH="1">
          <a:off x="15640050" y="121348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21</xdr:col>
      <xdr:colOff>600075</xdr:colOff>
      <xdr:row>64</xdr:row>
      <xdr:rowOff>171450</xdr:rowOff>
    </xdr:from>
    <xdr:to>
      <xdr:col>21</xdr:col>
      <xdr:colOff>676275</xdr:colOff>
      <xdr:row>65</xdr:row>
      <xdr:rowOff>57150</xdr:rowOff>
    </xdr:to>
    <xdr:sp macro="" textlink="">
      <xdr:nvSpPr>
        <xdr:cNvPr id="1073" name="Line 2894">
          <a:extLst>
            <a:ext uri="{FF2B5EF4-FFF2-40B4-BE49-F238E27FC236}">
              <a16:creationId xmlns:a16="http://schemas.microsoft.com/office/drawing/2014/main" id="{00000000-0008-0000-0000-000031040000}"/>
            </a:ext>
          </a:extLst>
        </xdr:cNvPr>
        <xdr:cNvSpPr>
          <a:spLocks noChangeShapeType="1"/>
        </xdr:cNvSpPr>
      </xdr:nvSpPr>
      <xdr:spPr bwMode="auto">
        <a:xfrm flipH="1">
          <a:off x="15630525" y="1234440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9525</xdr:colOff>
      <xdr:row>59</xdr:row>
      <xdr:rowOff>95250</xdr:rowOff>
    </xdr:from>
    <xdr:to>
      <xdr:col>24</xdr:col>
      <xdr:colOff>742950</xdr:colOff>
      <xdr:row>59</xdr:row>
      <xdr:rowOff>95250</xdr:rowOff>
    </xdr:to>
    <xdr:sp macro="" textlink="">
      <xdr:nvSpPr>
        <xdr:cNvPr id="1074" name="Line 2895">
          <a:extLst>
            <a:ext uri="{FF2B5EF4-FFF2-40B4-BE49-F238E27FC236}">
              <a16:creationId xmlns:a16="http://schemas.microsoft.com/office/drawing/2014/main" id="{00000000-0008-0000-0000-000032040000}"/>
            </a:ext>
          </a:extLst>
        </xdr:cNvPr>
        <xdr:cNvSpPr>
          <a:spLocks noChangeShapeType="1"/>
        </xdr:cNvSpPr>
      </xdr:nvSpPr>
      <xdr:spPr bwMode="auto">
        <a:xfrm>
          <a:off x="17297400" y="11296650"/>
          <a:ext cx="733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arrow" w="med" len="lg"/>
        </a:ln>
        <a:extLst>
          <a:ext uri="{909E8E84-426E-40DD-AFC4-6F175D3DCCD1}">
            <a14:hiddenFill xmlns:a14="http://schemas.microsoft.com/office/drawing/2010/main">
              <a:noFill/>
            </a14:hiddenFill>
          </a:ext>
        </a:extLst>
      </xdr:spPr>
    </xdr:sp>
    <xdr:clientData/>
  </xdr:twoCellAnchor>
  <xdr:twoCellAnchor>
    <xdr:from>
      <xdr:col>22</xdr:col>
      <xdr:colOff>714375</xdr:colOff>
      <xdr:row>65</xdr:row>
      <xdr:rowOff>180975</xdr:rowOff>
    </xdr:from>
    <xdr:to>
      <xdr:col>23</xdr:col>
      <xdr:colOff>266700</xdr:colOff>
      <xdr:row>65</xdr:row>
      <xdr:rowOff>180975</xdr:rowOff>
    </xdr:to>
    <xdr:sp macro="" textlink="">
      <xdr:nvSpPr>
        <xdr:cNvPr id="1075" name="Line 2896">
          <a:extLst>
            <a:ext uri="{FF2B5EF4-FFF2-40B4-BE49-F238E27FC236}">
              <a16:creationId xmlns:a16="http://schemas.microsoft.com/office/drawing/2014/main" id="{00000000-0008-0000-0000-000033040000}"/>
            </a:ext>
          </a:extLst>
        </xdr:cNvPr>
        <xdr:cNvSpPr>
          <a:spLocks noChangeShapeType="1"/>
        </xdr:cNvSpPr>
      </xdr:nvSpPr>
      <xdr:spPr bwMode="auto">
        <a:xfrm>
          <a:off x="16497300" y="12553950"/>
          <a:ext cx="304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704850</xdr:colOff>
      <xdr:row>65</xdr:row>
      <xdr:rowOff>142875</xdr:rowOff>
    </xdr:from>
    <xdr:to>
      <xdr:col>23</xdr:col>
      <xdr:colOff>38100</xdr:colOff>
      <xdr:row>66</xdr:row>
      <xdr:rowOff>38100</xdr:rowOff>
    </xdr:to>
    <xdr:sp macro="" textlink="">
      <xdr:nvSpPr>
        <xdr:cNvPr id="1076" name="Line 2897">
          <a:extLst>
            <a:ext uri="{FF2B5EF4-FFF2-40B4-BE49-F238E27FC236}">
              <a16:creationId xmlns:a16="http://schemas.microsoft.com/office/drawing/2014/main" id="{00000000-0008-0000-0000-000034040000}"/>
            </a:ext>
          </a:extLst>
        </xdr:cNvPr>
        <xdr:cNvSpPr>
          <a:spLocks noChangeShapeType="1"/>
        </xdr:cNvSpPr>
      </xdr:nvSpPr>
      <xdr:spPr bwMode="auto">
        <a:xfrm flipH="1">
          <a:off x="16487775" y="1251585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190500</xdr:colOff>
      <xdr:row>65</xdr:row>
      <xdr:rowOff>133350</xdr:rowOff>
    </xdr:from>
    <xdr:to>
      <xdr:col>23</xdr:col>
      <xdr:colOff>276225</xdr:colOff>
      <xdr:row>66</xdr:row>
      <xdr:rowOff>28575</xdr:rowOff>
    </xdr:to>
    <xdr:sp macro="" textlink="">
      <xdr:nvSpPr>
        <xdr:cNvPr id="1077" name="Line 2898">
          <a:extLst>
            <a:ext uri="{FF2B5EF4-FFF2-40B4-BE49-F238E27FC236}">
              <a16:creationId xmlns:a16="http://schemas.microsoft.com/office/drawing/2014/main" id="{00000000-0008-0000-0000-000035040000}"/>
            </a:ext>
          </a:extLst>
        </xdr:cNvPr>
        <xdr:cNvSpPr>
          <a:spLocks noChangeShapeType="1"/>
        </xdr:cNvSpPr>
      </xdr:nvSpPr>
      <xdr:spPr bwMode="auto">
        <a:xfrm flipH="1">
          <a:off x="16725900" y="125063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342900</xdr:colOff>
      <xdr:row>59</xdr:row>
      <xdr:rowOff>161925</xdr:rowOff>
    </xdr:from>
    <xdr:to>
      <xdr:col>30</xdr:col>
      <xdr:colOff>228600</xdr:colOff>
      <xdr:row>60</xdr:row>
      <xdr:rowOff>114300</xdr:rowOff>
    </xdr:to>
    <xdr:sp macro="" textlink="">
      <xdr:nvSpPr>
        <xdr:cNvPr id="1078" name="Rectangle 2899">
          <a:extLst>
            <a:ext uri="{FF2B5EF4-FFF2-40B4-BE49-F238E27FC236}">
              <a16:creationId xmlns:a16="http://schemas.microsoft.com/office/drawing/2014/main" id="{00000000-0008-0000-0000-000036040000}"/>
            </a:ext>
          </a:extLst>
        </xdr:cNvPr>
        <xdr:cNvSpPr>
          <a:spLocks noChangeArrowheads="1"/>
        </xdr:cNvSpPr>
      </xdr:nvSpPr>
      <xdr:spPr bwMode="auto">
        <a:xfrm>
          <a:off x="21393150" y="11363325"/>
          <a:ext cx="638175" cy="15240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31</xdr:col>
      <xdr:colOff>161925</xdr:colOff>
      <xdr:row>59</xdr:row>
      <xdr:rowOff>171450</xdr:rowOff>
    </xdr:from>
    <xdr:to>
      <xdr:col>32</xdr:col>
      <xdr:colOff>76200</xdr:colOff>
      <xdr:row>60</xdr:row>
      <xdr:rowOff>114300</xdr:rowOff>
    </xdr:to>
    <xdr:sp macro="" textlink="">
      <xdr:nvSpPr>
        <xdr:cNvPr id="1079" name="Rectangle 2900">
          <a:extLst>
            <a:ext uri="{FF2B5EF4-FFF2-40B4-BE49-F238E27FC236}">
              <a16:creationId xmlns:a16="http://schemas.microsoft.com/office/drawing/2014/main" id="{00000000-0008-0000-0000-000037040000}"/>
            </a:ext>
          </a:extLst>
        </xdr:cNvPr>
        <xdr:cNvSpPr>
          <a:spLocks noChangeArrowheads="1"/>
        </xdr:cNvSpPr>
      </xdr:nvSpPr>
      <xdr:spPr bwMode="auto">
        <a:xfrm>
          <a:off x="22717125" y="11372850"/>
          <a:ext cx="666750" cy="142875"/>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29</xdr:col>
      <xdr:colOff>342900</xdr:colOff>
      <xdr:row>60</xdr:row>
      <xdr:rowOff>152400</xdr:rowOff>
    </xdr:from>
    <xdr:to>
      <xdr:col>32</xdr:col>
      <xdr:colOff>76200</xdr:colOff>
      <xdr:row>61</xdr:row>
      <xdr:rowOff>0</xdr:rowOff>
    </xdr:to>
    <xdr:sp macro="" textlink="">
      <xdr:nvSpPr>
        <xdr:cNvPr id="1080" name="Rectangle 2901">
          <a:extLst>
            <a:ext uri="{FF2B5EF4-FFF2-40B4-BE49-F238E27FC236}">
              <a16:creationId xmlns:a16="http://schemas.microsoft.com/office/drawing/2014/main" id="{00000000-0008-0000-0000-000038040000}"/>
            </a:ext>
          </a:extLst>
        </xdr:cNvPr>
        <xdr:cNvSpPr>
          <a:spLocks noChangeArrowheads="1"/>
        </xdr:cNvSpPr>
      </xdr:nvSpPr>
      <xdr:spPr bwMode="auto">
        <a:xfrm>
          <a:off x="21393150" y="11553825"/>
          <a:ext cx="1990725" cy="3810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29</xdr:col>
      <xdr:colOff>257175</xdr:colOff>
      <xdr:row>61</xdr:row>
      <xdr:rowOff>28575</xdr:rowOff>
    </xdr:from>
    <xdr:to>
      <xdr:col>29</xdr:col>
      <xdr:colOff>257175</xdr:colOff>
      <xdr:row>63</xdr:row>
      <xdr:rowOff>76200</xdr:rowOff>
    </xdr:to>
    <xdr:sp macro="" textlink="">
      <xdr:nvSpPr>
        <xdr:cNvPr id="1081" name="Line 2902">
          <a:extLst>
            <a:ext uri="{FF2B5EF4-FFF2-40B4-BE49-F238E27FC236}">
              <a16:creationId xmlns:a16="http://schemas.microsoft.com/office/drawing/2014/main" id="{00000000-0008-0000-0000-000039040000}"/>
            </a:ext>
          </a:extLst>
        </xdr:cNvPr>
        <xdr:cNvSpPr>
          <a:spLocks noChangeShapeType="1"/>
        </xdr:cNvSpPr>
      </xdr:nvSpPr>
      <xdr:spPr bwMode="auto">
        <a:xfrm flipV="1">
          <a:off x="21307425" y="11620500"/>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32</xdr:col>
      <xdr:colOff>161925</xdr:colOff>
      <xdr:row>64</xdr:row>
      <xdr:rowOff>9525</xdr:rowOff>
    </xdr:from>
    <xdr:to>
      <xdr:col>32</xdr:col>
      <xdr:colOff>161925</xdr:colOff>
      <xdr:row>65</xdr:row>
      <xdr:rowOff>133350</xdr:rowOff>
    </xdr:to>
    <xdr:sp macro="" textlink="">
      <xdr:nvSpPr>
        <xdr:cNvPr id="1082" name="Line 2903">
          <a:extLst>
            <a:ext uri="{FF2B5EF4-FFF2-40B4-BE49-F238E27FC236}">
              <a16:creationId xmlns:a16="http://schemas.microsoft.com/office/drawing/2014/main" id="{00000000-0008-0000-0000-00003A040000}"/>
            </a:ext>
          </a:extLst>
        </xdr:cNvPr>
        <xdr:cNvSpPr>
          <a:spLocks noChangeShapeType="1"/>
        </xdr:cNvSpPr>
      </xdr:nvSpPr>
      <xdr:spPr bwMode="auto">
        <a:xfrm flipV="1">
          <a:off x="23469600" y="1218247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29</xdr:col>
      <xdr:colOff>342900</xdr:colOff>
      <xdr:row>61</xdr:row>
      <xdr:rowOff>57150</xdr:rowOff>
    </xdr:from>
    <xdr:to>
      <xdr:col>29</xdr:col>
      <xdr:colOff>342900</xdr:colOff>
      <xdr:row>66</xdr:row>
      <xdr:rowOff>28575</xdr:rowOff>
    </xdr:to>
    <xdr:sp macro="" textlink="">
      <xdr:nvSpPr>
        <xdr:cNvPr id="1083" name="Line 2905">
          <a:extLst>
            <a:ext uri="{FF2B5EF4-FFF2-40B4-BE49-F238E27FC236}">
              <a16:creationId xmlns:a16="http://schemas.microsoft.com/office/drawing/2014/main" id="{00000000-0008-0000-0000-00003B040000}"/>
            </a:ext>
          </a:extLst>
        </xdr:cNvPr>
        <xdr:cNvSpPr>
          <a:spLocks noChangeShapeType="1"/>
        </xdr:cNvSpPr>
      </xdr:nvSpPr>
      <xdr:spPr bwMode="auto">
        <a:xfrm>
          <a:off x="21393150" y="11649075"/>
          <a:ext cx="0" cy="952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76200</xdr:colOff>
      <xdr:row>61</xdr:row>
      <xdr:rowOff>76200</xdr:rowOff>
    </xdr:from>
    <xdr:to>
      <xdr:col>32</xdr:col>
      <xdr:colOff>76200</xdr:colOff>
      <xdr:row>63</xdr:row>
      <xdr:rowOff>57150</xdr:rowOff>
    </xdr:to>
    <xdr:sp macro="" textlink="">
      <xdr:nvSpPr>
        <xdr:cNvPr id="1084" name="Line 2916">
          <a:extLst>
            <a:ext uri="{FF2B5EF4-FFF2-40B4-BE49-F238E27FC236}">
              <a16:creationId xmlns:a16="http://schemas.microsoft.com/office/drawing/2014/main" id="{00000000-0008-0000-0000-00003C040000}"/>
            </a:ext>
          </a:extLst>
        </xdr:cNvPr>
        <xdr:cNvSpPr>
          <a:spLocks noChangeShapeType="1"/>
        </xdr:cNvSpPr>
      </xdr:nvSpPr>
      <xdr:spPr bwMode="auto">
        <a:xfrm>
          <a:off x="23383875" y="1166812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152400</xdr:colOff>
      <xdr:row>63</xdr:row>
      <xdr:rowOff>0</xdr:rowOff>
    </xdr:from>
    <xdr:to>
      <xdr:col>29</xdr:col>
      <xdr:colOff>381000</xdr:colOff>
      <xdr:row>63</xdr:row>
      <xdr:rowOff>0</xdr:rowOff>
    </xdr:to>
    <xdr:sp macro="" textlink="">
      <xdr:nvSpPr>
        <xdr:cNvPr id="1085" name="Line 2917">
          <a:extLst>
            <a:ext uri="{FF2B5EF4-FFF2-40B4-BE49-F238E27FC236}">
              <a16:creationId xmlns:a16="http://schemas.microsoft.com/office/drawing/2014/main" id="{00000000-0008-0000-0000-00003D040000}"/>
            </a:ext>
          </a:extLst>
        </xdr:cNvPr>
        <xdr:cNvSpPr>
          <a:spLocks noChangeShapeType="1"/>
        </xdr:cNvSpPr>
      </xdr:nvSpPr>
      <xdr:spPr bwMode="auto">
        <a:xfrm>
          <a:off x="21202650" y="11982450"/>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209550</xdr:colOff>
      <xdr:row>62</xdr:row>
      <xdr:rowOff>152400</xdr:rowOff>
    </xdr:from>
    <xdr:to>
      <xdr:col>29</xdr:col>
      <xdr:colOff>285750</xdr:colOff>
      <xdr:row>63</xdr:row>
      <xdr:rowOff>28575</xdr:rowOff>
    </xdr:to>
    <xdr:sp macro="" textlink="">
      <xdr:nvSpPr>
        <xdr:cNvPr id="1086" name="Line 2918">
          <a:extLst>
            <a:ext uri="{FF2B5EF4-FFF2-40B4-BE49-F238E27FC236}">
              <a16:creationId xmlns:a16="http://schemas.microsoft.com/office/drawing/2014/main" id="{00000000-0008-0000-0000-00003E040000}"/>
            </a:ext>
          </a:extLst>
        </xdr:cNvPr>
        <xdr:cNvSpPr>
          <a:spLocks noChangeShapeType="1"/>
        </xdr:cNvSpPr>
      </xdr:nvSpPr>
      <xdr:spPr bwMode="auto">
        <a:xfrm flipH="1">
          <a:off x="21259800" y="119348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314325</xdr:colOff>
      <xdr:row>62</xdr:row>
      <xdr:rowOff>161925</xdr:rowOff>
    </xdr:from>
    <xdr:to>
      <xdr:col>29</xdr:col>
      <xdr:colOff>381000</xdr:colOff>
      <xdr:row>63</xdr:row>
      <xdr:rowOff>28575</xdr:rowOff>
    </xdr:to>
    <xdr:sp macro="" textlink="">
      <xdr:nvSpPr>
        <xdr:cNvPr id="1087" name="Line 2919">
          <a:extLst>
            <a:ext uri="{FF2B5EF4-FFF2-40B4-BE49-F238E27FC236}">
              <a16:creationId xmlns:a16="http://schemas.microsoft.com/office/drawing/2014/main" id="{00000000-0008-0000-0000-00003F040000}"/>
            </a:ext>
          </a:extLst>
        </xdr:cNvPr>
        <xdr:cNvSpPr>
          <a:spLocks noChangeShapeType="1"/>
        </xdr:cNvSpPr>
      </xdr:nvSpPr>
      <xdr:spPr bwMode="auto">
        <a:xfrm flipH="1">
          <a:off x="21364575" y="119443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600075</xdr:colOff>
      <xdr:row>59</xdr:row>
      <xdr:rowOff>9525</xdr:rowOff>
    </xdr:from>
    <xdr:to>
      <xdr:col>29</xdr:col>
      <xdr:colOff>600075</xdr:colOff>
      <xdr:row>60</xdr:row>
      <xdr:rowOff>133350</xdr:rowOff>
    </xdr:to>
    <xdr:sp macro="" textlink="">
      <xdr:nvSpPr>
        <xdr:cNvPr id="1088" name="Line 2925">
          <a:extLst>
            <a:ext uri="{FF2B5EF4-FFF2-40B4-BE49-F238E27FC236}">
              <a16:creationId xmlns:a16="http://schemas.microsoft.com/office/drawing/2014/main" id="{00000000-0008-0000-0000-000040040000}"/>
            </a:ext>
          </a:extLst>
        </xdr:cNvPr>
        <xdr:cNvSpPr>
          <a:spLocks noChangeShapeType="1"/>
        </xdr:cNvSpPr>
      </xdr:nvSpPr>
      <xdr:spPr bwMode="auto">
        <a:xfrm>
          <a:off x="21650325" y="112109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561975</xdr:colOff>
      <xdr:row>59</xdr:row>
      <xdr:rowOff>123825</xdr:rowOff>
    </xdr:from>
    <xdr:to>
      <xdr:col>29</xdr:col>
      <xdr:colOff>638175</xdr:colOff>
      <xdr:row>60</xdr:row>
      <xdr:rowOff>0</xdr:rowOff>
    </xdr:to>
    <xdr:sp macro="" textlink="">
      <xdr:nvSpPr>
        <xdr:cNvPr id="1089" name="Line 2926">
          <a:extLst>
            <a:ext uri="{FF2B5EF4-FFF2-40B4-BE49-F238E27FC236}">
              <a16:creationId xmlns:a16="http://schemas.microsoft.com/office/drawing/2014/main" id="{00000000-0008-0000-0000-000041040000}"/>
            </a:ext>
          </a:extLst>
        </xdr:cNvPr>
        <xdr:cNvSpPr>
          <a:spLocks noChangeShapeType="1"/>
        </xdr:cNvSpPr>
      </xdr:nvSpPr>
      <xdr:spPr bwMode="auto">
        <a:xfrm flipH="1">
          <a:off x="21612225" y="113252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571500</xdr:colOff>
      <xdr:row>60</xdr:row>
      <xdr:rowOff>76200</xdr:rowOff>
    </xdr:from>
    <xdr:to>
      <xdr:col>29</xdr:col>
      <xdr:colOff>638175</xdr:colOff>
      <xdr:row>60</xdr:row>
      <xdr:rowOff>142875</xdr:rowOff>
    </xdr:to>
    <xdr:sp macro="" textlink="">
      <xdr:nvSpPr>
        <xdr:cNvPr id="1090" name="Line 2927">
          <a:extLst>
            <a:ext uri="{FF2B5EF4-FFF2-40B4-BE49-F238E27FC236}">
              <a16:creationId xmlns:a16="http://schemas.microsoft.com/office/drawing/2014/main" id="{00000000-0008-0000-0000-000042040000}"/>
            </a:ext>
          </a:extLst>
        </xdr:cNvPr>
        <xdr:cNvSpPr>
          <a:spLocks noChangeShapeType="1"/>
        </xdr:cNvSpPr>
      </xdr:nvSpPr>
      <xdr:spPr bwMode="auto">
        <a:xfrm flipH="1">
          <a:off x="21621750" y="114776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514350</xdr:colOff>
      <xdr:row>59</xdr:row>
      <xdr:rowOff>190500</xdr:rowOff>
    </xdr:from>
    <xdr:to>
      <xdr:col>30</xdr:col>
      <xdr:colOff>514350</xdr:colOff>
      <xdr:row>61</xdr:row>
      <xdr:rowOff>0</xdr:rowOff>
    </xdr:to>
    <xdr:sp macro="" textlink="">
      <xdr:nvSpPr>
        <xdr:cNvPr id="1091" name="Line 2928">
          <a:extLst>
            <a:ext uri="{FF2B5EF4-FFF2-40B4-BE49-F238E27FC236}">
              <a16:creationId xmlns:a16="http://schemas.microsoft.com/office/drawing/2014/main" id="{00000000-0008-0000-0000-000043040000}"/>
            </a:ext>
          </a:extLst>
        </xdr:cNvPr>
        <xdr:cNvSpPr>
          <a:spLocks noChangeShapeType="1"/>
        </xdr:cNvSpPr>
      </xdr:nvSpPr>
      <xdr:spPr bwMode="auto">
        <a:xfrm>
          <a:off x="22317075" y="1139190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476250</xdr:colOff>
      <xdr:row>60</xdr:row>
      <xdr:rowOff>114300</xdr:rowOff>
    </xdr:from>
    <xdr:to>
      <xdr:col>30</xdr:col>
      <xdr:colOff>552450</xdr:colOff>
      <xdr:row>60</xdr:row>
      <xdr:rowOff>190500</xdr:rowOff>
    </xdr:to>
    <xdr:sp macro="" textlink="">
      <xdr:nvSpPr>
        <xdr:cNvPr id="1092" name="Line 2929">
          <a:extLst>
            <a:ext uri="{FF2B5EF4-FFF2-40B4-BE49-F238E27FC236}">
              <a16:creationId xmlns:a16="http://schemas.microsoft.com/office/drawing/2014/main" id="{00000000-0008-0000-0000-000044040000}"/>
            </a:ext>
          </a:extLst>
        </xdr:cNvPr>
        <xdr:cNvSpPr>
          <a:spLocks noChangeShapeType="1"/>
        </xdr:cNvSpPr>
      </xdr:nvSpPr>
      <xdr:spPr bwMode="auto">
        <a:xfrm flipH="1">
          <a:off x="22278975" y="11515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466725</xdr:colOff>
      <xdr:row>60</xdr:row>
      <xdr:rowOff>171450</xdr:rowOff>
    </xdr:from>
    <xdr:to>
      <xdr:col>30</xdr:col>
      <xdr:colOff>552450</xdr:colOff>
      <xdr:row>61</xdr:row>
      <xdr:rowOff>57150</xdr:rowOff>
    </xdr:to>
    <xdr:sp macro="" textlink="">
      <xdr:nvSpPr>
        <xdr:cNvPr id="1093" name="Line 2930">
          <a:extLst>
            <a:ext uri="{FF2B5EF4-FFF2-40B4-BE49-F238E27FC236}">
              <a16:creationId xmlns:a16="http://schemas.microsoft.com/office/drawing/2014/main" id="{00000000-0008-0000-0000-000045040000}"/>
            </a:ext>
          </a:extLst>
        </xdr:cNvPr>
        <xdr:cNvSpPr>
          <a:spLocks noChangeShapeType="1"/>
        </xdr:cNvSpPr>
      </xdr:nvSpPr>
      <xdr:spPr bwMode="auto">
        <a:xfrm flipH="1">
          <a:off x="22269450" y="1157287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371475</xdr:colOff>
      <xdr:row>59</xdr:row>
      <xdr:rowOff>9525</xdr:rowOff>
    </xdr:from>
    <xdr:to>
      <xdr:col>31</xdr:col>
      <xdr:colOff>371475</xdr:colOff>
      <xdr:row>60</xdr:row>
      <xdr:rowOff>133350</xdr:rowOff>
    </xdr:to>
    <xdr:sp macro="" textlink="">
      <xdr:nvSpPr>
        <xdr:cNvPr id="1094" name="Line 2931">
          <a:extLst>
            <a:ext uri="{FF2B5EF4-FFF2-40B4-BE49-F238E27FC236}">
              <a16:creationId xmlns:a16="http://schemas.microsoft.com/office/drawing/2014/main" id="{00000000-0008-0000-0000-000046040000}"/>
            </a:ext>
          </a:extLst>
        </xdr:cNvPr>
        <xdr:cNvSpPr>
          <a:spLocks noChangeShapeType="1"/>
        </xdr:cNvSpPr>
      </xdr:nvSpPr>
      <xdr:spPr bwMode="auto">
        <a:xfrm>
          <a:off x="22926675" y="112109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333375</xdr:colOff>
      <xdr:row>59</xdr:row>
      <xdr:rowOff>104775</xdr:rowOff>
    </xdr:from>
    <xdr:to>
      <xdr:col>31</xdr:col>
      <xdr:colOff>400050</xdr:colOff>
      <xdr:row>59</xdr:row>
      <xdr:rowOff>171450</xdr:rowOff>
    </xdr:to>
    <xdr:sp macro="" textlink="">
      <xdr:nvSpPr>
        <xdr:cNvPr id="1095" name="Line 2932">
          <a:extLst>
            <a:ext uri="{FF2B5EF4-FFF2-40B4-BE49-F238E27FC236}">
              <a16:creationId xmlns:a16="http://schemas.microsoft.com/office/drawing/2014/main" id="{00000000-0008-0000-0000-000047040000}"/>
            </a:ext>
          </a:extLst>
        </xdr:cNvPr>
        <xdr:cNvSpPr>
          <a:spLocks noChangeShapeType="1"/>
        </xdr:cNvSpPr>
      </xdr:nvSpPr>
      <xdr:spPr bwMode="auto">
        <a:xfrm flipH="1">
          <a:off x="22888575" y="113061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333375</xdr:colOff>
      <xdr:row>60</xdr:row>
      <xdr:rowOff>76200</xdr:rowOff>
    </xdr:from>
    <xdr:to>
      <xdr:col>31</xdr:col>
      <xdr:colOff>390525</xdr:colOff>
      <xdr:row>60</xdr:row>
      <xdr:rowOff>133350</xdr:rowOff>
    </xdr:to>
    <xdr:sp macro="" textlink="">
      <xdr:nvSpPr>
        <xdr:cNvPr id="1096" name="Line 2933">
          <a:extLst>
            <a:ext uri="{FF2B5EF4-FFF2-40B4-BE49-F238E27FC236}">
              <a16:creationId xmlns:a16="http://schemas.microsoft.com/office/drawing/2014/main" id="{00000000-0008-0000-0000-000048040000}"/>
            </a:ext>
          </a:extLst>
        </xdr:cNvPr>
        <xdr:cNvSpPr>
          <a:spLocks noChangeShapeType="1"/>
        </xdr:cNvSpPr>
      </xdr:nvSpPr>
      <xdr:spPr bwMode="auto">
        <a:xfrm flipH="1">
          <a:off x="22888575" y="114776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247650</xdr:colOff>
      <xdr:row>61</xdr:row>
      <xdr:rowOff>28575</xdr:rowOff>
    </xdr:from>
    <xdr:to>
      <xdr:col>32</xdr:col>
      <xdr:colOff>161925</xdr:colOff>
      <xdr:row>64</xdr:row>
      <xdr:rowOff>9525</xdr:rowOff>
    </xdr:to>
    <xdr:sp macro="" textlink="">
      <xdr:nvSpPr>
        <xdr:cNvPr id="1097" name="Freeform 2934">
          <a:extLst>
            <a:ext uri="{FF2B5EF4-FFF2-40B4-BE49-F238E27FC236}">
              <a16:creationId xmlns:a16="http://schemas.microsoft.com/office/drawing/2014/main" id="{00000000-0008-0000-0000-000049040000}"/>
            </a:ext>
          </a:extLst>
        </xdr:cNvPr>
        <xdr:cNvSpPr>
          <a:spLocks/>
        </xdr:cNvSpPr>
      </xdr:nvSpPr>
      <xdr:spPr bwMode="auto">
        <a:xfrm>
          <a:off x="21297900" y="11620500"/>
          <a:ext cx="2171700" cy="561975"/>
        </a:xfrm>
        <a:custGeom>
          <a:avLst/>
          <a:gdLst>
            <a:gd name="T0" fmla="*/ 0 w 228"/>
            <a:gd name="T1" fmla="*/ 0 h 59"/>
            <a:gd name="T2" fmla="*/ 2147483646 w 228"/>
            <a:gd name="T3" fmla="*/ 0 h 59"/>
            <a:gd name="T4" fmla="*/ 2147483646 w 228"/>
            <a:gd name="T5" fmla="*/ 2147483646 h 59"/>
            <a:gd name="T6" fmla="*/ 2147483646 w 228"/>
            <a:gd name="T7" fmla="*/ 2147483646 h 5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28" h="59">
              <a:moveTo>
                <a:pt x="0" y="0"/>
              </a:moveTo>
              <a:lnTo>
                <a:pt x="77" y="0"/>
              </a:lnTo>
              <a:lnTo>
                <a:pt x="149" y="59"/>
              </a:lnTo>
              <a:lnTo>
                <a:pt x="228" y="5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31</xdr:col>
      <xdr:colOff>161925</xdr:colOff>
      <xdr:row>64</xdr:row>
      <xdr:rowOff>133350</xdr:rowOff>
    </xdr:from>
    <xdr:to>
      <xdr:col>31</xdr:col>
      <xdr:colOff>161925</xdr:colOff>
      <xdr:row>66</xdr:row>
      <xdr:rowOff>19050</xdr:rowOff>
    </xdr:to>
    <xdr:sp macro="" textlink="">
      <xdr:nvSpPr>
        <xdr:cNvPr id="1098" name="Line 2935">
          <a:extLst>
            <a:ext uri="{FF2B5EF4-FFF2-40B4-BE49-F238E27FC236}">
              <a16:creationId xmlns:a16="http://schemas.microsoft.com/office/drawing/2014/main" id="{00000000-0008-0000-0000-00004A040000}"/>
            </a:ext>
          </a:extLst>
        </xdr:cNvPr>
        <xdr:cNvSpPr>
          <a:spLocks noChangeShapeType="1"/>
        </xdr:cNvSpPr>
      </xdr:nvSpPr>
      <xdr:spPr bwMode="auto">
        <a:xfrm>
          <a:off x="22717125" y="1230630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228600</xdr:colOff>
      <xdr:row>61</xdr:row>
      <xdr:rowOff>95250</xdr:rowOff>
    </xdr:from>
    <xdr:to>
      <xdr:col>30</xdr:col>
      <xdr:colOff>228600</xdr:colOff>
      <xdr:row>66</xdr:row>
      <xdr:rowOff>38100</xdr:rowOff>
    </xdr:to>
    <xdr:sp macro="" textlink="">
      <xdr:nvSpPr>
        <xdr:cNvPr id="1099" name="Line 2936">
          <a:extLst>
            <a:ext uri="{FF2B5EF4-FFF2-40B4-BE49-F238E27FC236}">
              <a16:creationId xmlns:a16="http://schemas.microsoft.com/office/drawing/2014/main" id="{00000000-0008-0000-0000-00004B040000}"/>
            </a:ext>
          </a:extLst>
        </xdr:cNvPr>
        <xdr:cNvSpPr>
          <a:spLocks noChangeShapeType="1"/>
        </xdr:cNvSpPr>
      </xdr:nvSpPr>
      <xdr:spPr bwMode="auto">
        <a:xfrm>
          <a:off x="22031325" y="11687175"/>
          <a:ext cx="0" cy="923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76200</xdr:colOff>
      <xdr:row>64</xdr:row>
      <xdr:rowOff>95250</xdr:rowOff>
    </xdr:from>
    <xdr:to>
      <xdr:col>32</xdr:col>
      <xdr:colOff>76200</xdr:colOff>
      <xdr:row>66</xdr:row>
      <xdr:rowOff>9525</xdr:rowOff>
    </xdr:to>
    <xdr:sp macro="" textlink="">
      <xdr:nvSpPr>
        <xdr:cNvPr id="1100" name="Line 2937">
          <a:extLst>
            <a:ext uri="{FF2B5EF4-FFF2-40B4-BE49-F238E27FC236}">
              <a16:creationId xmlns:a16="http://schemas.microsoft.com/office/drawing/2014/main" id="{00000000-0008-0000-0000-00004C040000}"/>
            </a:ext>
          </a:extLst>
        </xdr:cNvPr>
        <xdr:cNvSpPr>
          <a:spLocks noChangeShapeType="1"/>
        </xdr:cNvSpPr>
      </xdr:nvSpPr>
      <xdr:spPr bwMode="auto">
        <a:xfrm>
          <a:off x="23383875" y="12268200"/>
          <a:ext cx="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304800</xdr:colOff>
      <xdr:row>65</xdr:row>
      <xdr:rowOff>190500</xdr:rowOff>
    </xdr:from>
    <xdr:to>
      <xdr:col>32</xdr:col>
      <xdr:colOff>114300</xdr:colOff>
      <xdr:row>65</xdr:row>
      <xdr:rowOff>190500</xdr:rowOff>
    </xdr:to>
    <xdr:sp macro="" textlink="">
      <xdr:nvSpPr>
        <xdr:cNvPr id="1101" name="Line 2938">
          <a:extLst>
            <a:ext uri="{FF2B5EF4-FFF2-40B4-BE49-F238E27FC236}">
              <a16:creationId xmlns:a16="http://schemas.microsoft.com/office/drawing/2014/main" id="{00000000-0008-0000-0000-00004D040000}"/>
            </a:ext>
          </a:extLst>
        </xdr:cNvPr>
        <xdr:cNvSpPr>
          <a:spLocks noChangeShapeType="1"/>
        </xdr:cNvSpPr>
      </xdr:nvSpPr>
      <xdr:spPr bwMode="auto">
        <a:xfrm>
          <a:off x="21355050" y="12563475"/>
          <a:ext cx="2066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295275</xdr:colOff>
      <xdr:row>65</xdr:row>
      <xdr:rowOff>152400</xdr:rowOff>
    </xdr:from>
    <xdr:to>
      <xdr:col>29</xdr:col>
      <xdr:colOff>381000</xdr:colOff>
      <xdr:row>66</xdr:row>
      <xdr:rowOff>38100</xdr:rowOff>
    </xdr:to>
    <xdr:sp macro="" textlink="">
      <xdr:nvSpPr>
        <xdr:cNvPr id="1102" name="Line 2939">
          <a:extLst>
            <a:ext uri="{FF2B5EF4-FFF2-40B4-BE49-F238E27FC236}">
              <a16:creationId xmlns:a16="http://schemas.microsoft.com/office/drawing/2014/main" id="{00000000-0008-0000-0000-00004E040000}"/>
            </a:ext>
          </a:extLst>
        </xdr:cNvPr>
        <xdr:cNvSpPr>
          <a:spLocks noChangeShapeType="1"/>
        </xdr:cNvSpPr>
      </xdr:nvSpPr>
      <xdr:spPr bwMode="auto">
        <a:xfrm flipH="1">
          <a:off x="21345525" y="125253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190500</xdr:colOff>
      <xdr:row>65</xdr:row>
      <xdr:rowOff>142875</xdr:rowOff>
    </xdr:from>
    <xdr:to>
      <xdr:col>30</xdr:col>
      <xdr:colOff>266700</xdr:colOff>
      <xdr:row>66</xdr:row>
      <xdr:rowOff>19050</xdr:rowOff>
    </xdr:to>
    <xdr:sp macro="" textlink="">
      <xdr:nvSpPr>
        <xdr:cNvPr id="1103" name="Line 2940">
          <a:extLst>
            <a:ext uri="{FF2B5EF4-FFF2-40B4-BE49-F238E27FC236}">
              <a16:creationId xmlns:a16="http://schemas.microsoft.com/office/drawing/2014/main" id="{00000000-0008-0000-0000-00004F040000}"/>
            </a:ext>
          </a:extLst>
        </xdr:cNvPr>
        <xdr:cNvSpPr>
          <a:spLocks noChangeShapeType="1"/>
        </xdr:cNvSpPr>
      </xdr:nvSpPr>
      <xdr:spPr bwMode="auto">
        <a:xfrm flipH="1">
          <a:off x="21993225" y="125158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104775</xdr:colOff>
      <xdr:row>65</xdr:row>
      <xdr:rowOff>152400</xdr:rowOff>
    </xdr:from>
    <xdr:to>
      <xdr:col>31</xdr:col>
      <xdr:colOff>190500</xdr:colOff>
      <xdr:row>66</xdr:row>
      <xdr:rowOff>38100</xdr:rowOff>
    </xdr:to>
    <xdr:sp macro="" textlink="">
      <xdr:nvSpPr>
        <xdr:cNvPr id="1104" name="Line 2941">
          <a:extLst>
            <a:ext uri="{FF2B5EF4-FFF2-40B4-BE49-F238E27FC236}">
              <a16:creationId xmlns:a16="http://schemas.microsoft.com/office/drawing/2014/main" id="{00000000-0008-0000-0000-000050040000}"/>
            </a:ext>
          </a:extLst>
        </xdr:cNvPr>
        <xdr:cNvSpPr>
          <a:spLocks noChangeShapeType="1"/>
        </xdr:cNvSpPr>
      </xdr:nvSpPr>
      <xdr:spPr bwMode="auto">
        <a:xfrm flipH="1">
          <a:off x="22659975" y="125253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28575</xdr:colOff>
      <xdr:row>65</xdr:row>
      <xdr:rowOff>152400</xdr:rowOff>
    </xdr:from>
    <xdr:to>
      <xdr:col>32</xdr:col>
      <xdr:colOff>104775</xdr:colOff>
      <xdr:row>66</xdr:row>
      <xdr:rowOff>28575</xdr:rowOff>
    </xdr:to>
    <xdr:sp macro="" textlink="">
      <xdr:nvSpPr>
        <xdr:cNvPr id="1105" name="Line 2942">
          <a:extLst>
            <a:ext uri="{FF2B5EF4-FFF2-40B4-BE49-F238E27FC236}">
              <a16:creationId xmlns:a16="http://schemas.microsoft.com/office/drawing/2014/main" id="{00000000-0008-0000-0000-000051040000}"/>
            </a:ext>
          </a:extLst>
        </xdr:cNvPr>
        <xdr:cNvSpPr>
          <a:spLocks noChangeShapeType="1"/>
        </xdr:cNvSpPr>
      </xdr:nvSpPr>
      <xdr:spPr bwMode="auto">
        <a:xfrm flipH="1">
          <a:off x="23336250" y="125253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28575</xdr:colOff>
      <xdr:row>63</xdr:row>
      <xdr:rowOff>9525</xdr:rowOff>
    </xdr:from>
    <xdr:to>
      <xdr:col>32</xdr:col>
      <xdr:colOff>419100</xdr:colOff>
      <xdr:row>63</xdr:row>
      <xdr:rowOff>9525</xdr:rowOff>
    </xdr:to>
    <xdr:sp macro="" textlink="">
      <xdr:nvSpPr>
        <xdr:cNvPr id="1106" name="Line 2943">
          <a:extLst>
            <a:ext uri="{FF2B5EF4-FFF2-40B4-BE49-F238E27FC236}">
              <a16:creationId xmlns:a16="http://schemas.microsoft.com/office/drawing/2014/main" id="{00000000-0008-0000-0000-000052040000}"/>
            </a:ext>
          </a:extLst>
        </xdr:cNvPr>
        <xdr:cNvSpPr>
          <a:spLocks noChangeShapeType="1"/>
        </xdr:cNvSpPr>
      </xdr:nvSpPr>
      <xdr:spPr bwMode="auto">
        <a:xfrm>
          <a:off x="23336250" y="11991975"/>
          <a:ext cx="390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152400</xdr:colOff>
      <xdr:row>62</xdr:row>
      <xdr:rowOff>142875</xdr:rowOff>
    </xdr:from>
    <xdr:to>
      <xdr:col>32</xdr:col>
      <xdr:colOff>152400</xdr:colOff>
      <xdr:row>63</xdr:row>
      <xdr:rowOff>161925</xdr:rowOff>
    </xdr:to>
    <xdr:sp macro="" textlink="">
      <xdr:nvSpPr>
        <xdr:cNvPr id="1107" name="Line 2944">
          <a:extLst>
            <a:ext uri="{FF2B5EF4-FFF2-40B4-BE49-F238E27FC236}">
              <a16:creationId xmlns:a16="http://schemas.microsoft.com/office/drawing/2014/main" id="{00000000-0008-0000-0000-000053040000}"/>
            </a:ext>
          </a:extLst>
        </xdr:cNvPr>
        <xdr:cNvSpPr>
          <a:spLocks noChangeShapeType="1"/>
        </xdr:cNvSpPr>
      </xdr:nvSpPr>
      <xdr:spPr bwMode="auto">
        <a:xfrm flipV="1">
          <a:off x="23460075" y="119253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28575</xdr:colOff>
      <xdr:row>62</xdr:row>
      <xdr:rowOff>161925</xdr:rowOff>
    </xdr:from>
    <xdr:to>
      <xdr:col>32</xdr:col>
      <xdr:colOff>114300</xdr:colOff>
      <xdr:row>63</xdr:row>
      <xdr:rowOff>47625</xdr:rowOff>
    </xdr:to>
    <xdr:sp macro="" textlink="">
      <xdr:nvSpPr>
        <xdr:cNvPr id="1108" name="Line 2945">
          <a:extLst>
            <a:ext uri="{FF2B5EF4-FFF2-40B4-BE49-F238E27FC236}">
              <a16:creationId xmlns:a16="http://schemas.microsoft.com/office/drawing/2014/main" id="{00000000-0008-0000-0000-000054040000}"/>
            </a:ext>
          </a:extLst>
        </xdr:cNvPr>
        <xdr:cNvSpPr>
          <a:spLocks noChangeShapeType="1"/>
        </xdr:cNvSpPr>
      </xdr:nvSpPr>
      <xdr:spPr bwMode="auto">
        <a:xfrm flipH="1">
          <a:off x="23336250" y="119443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114300</xdr:colOff>
      <xdr:row>62</xdr:row>
      <xdr:rowOff>180975</xdr:rowOff>
    </xdr:from>
    <xdr:to>
      <xdr:col>32</xdr:col>
      <xdr:colOff>190500</xdr:colOff>
      <xdr:row>63</xdr:row>
      <xdr:rowOff>57150</xdr:rowOff>
    </xdr:to>
    <xdr:sp macro="" textlink="">
      <xdr:nvSpPr>
        <xdr:cNvPr id="1109" name="Line 2946">
          <a:extLst>
            <a:ext uri="{FF2B5EF4-FFF2-40B4-BE49-F238E27FC236}">
              <a16:creationId xmlns:a16="http://schemas.microsoft.com/office/drawing/2014/main" id="{00000000-0008-0000-0000-000055040000}"/>
            </a:ext>
          </a:extLst>
        </xdr:cNvPr>
        <xdr:cNvSpPr>
          <a:spLocks noChangeShapeType="1"/>
        </xdr:cNvSpPr>
      </xdr:nvSpPr>
      <xdr:spPr bwMode="auto">
        <a:xfrm flipH="1">
          <a:off x="23421975" y="119634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161925</xdr:colOff>
      <xdr:row>61</xdr:row>
      <xdr:rowOff>57150</xdr:rowOff>
    </xdr:from>
    <xdr:to>
      <xdr:col>31</xdr:col>
      <xdr:colOff>161925</xdr:colOff>
      <xdr:row>63</xdr:row>
      <xdr:rowOff>28575</xdr:rowOff>
    </xdr:to>
    <xdr:sp macro="" textlink="">
      <xdr:nvSpPr>
        <xdr:cNvPr id="1110" name="Line 2947">
          <a:extLst>
            <a:ext uri="{FF2B5EF4-FFF2-40B4-BE49-F238E27FC236}">
              <a16:creationId xmlns:a16="http://schemas.microsoft.com/office/drawing/2014/main" id="{00000000-0008-0000-0000-000056040000}"/>
            </a:ext>
          </a:extLst>
        </xdr:cNvPr>
        <xdr:cNvSpPr>
          <a:spLocks noChangeShapeType="1"/>
        </xdr:cNvSpPr>
      </xdr:nvSpPr>
      <xdr:spPr bwMode="auto">
        <a:xfrm flipV="1">
          <a:off x="22717125" y="11649075"/>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73</xdr:row>
      <xdr:rowOff>152400</xdr:rowOff>
    </xdr:from>
    <xdr:to>
      <xdr:col>27</xdr:col>
      <xdr:colOff>742950</xdr:colOff>
      <xdr:row>76</xdr:row>
      <xdr:rowOff>0</xdr:rowOff>
    </xdr:to>
    <xdr:sp macro="" textlink="">
      <xdr:nvSpPr>
        <xdr:cNvPr id="1111" name="Freeform 2948">
          <a:extLst>
            <a:ext uri="{FF2B5EF4-FFF2-40B4-BE49-F238E27FC236}">
              <a16:creationId xmlns:a16="http://schemas.microsoft.com/office/drawing/2014/main" id="{00000000-0008-0000-0000-000057040000}"/>
            </a:ext>
          </a:extLst>
        </xdr:cNvPr>
        <xdr:cNvSpPr>
          <a:spLocks/>
        </xdr:cNvSpPr>
      </xdr:nvSpPr>
      <xdr:spPr bwMode="auto">
        <a:xfrm>
          <a:off x="18792825" y="14097000"/>
          <a:ext cx="1495425" cy="447675"/>
        </a:xfrm>
        <a:custGeom>
          <a:avLst/>
          <a:gdLst>
            <a:gd name="T0" fmla="*/ 2147483646 w 101"/>
            <a:gd name="T1" fmla="*/ 0 h 27"/>
            <a:gd name="T2" fmla="*/ 0 w 101"/>
            <a:gd name="T3" fmla="*/ 0 h 27"/>
            <a:gd name="T4" fmla="*/ 0 w 101"/>
            <a:gd name="T5" fmla="*/ 2147483646 h 27"/>
            <a:gd name="T6" fmla="*/ 2147483646 w 101"/>
            <a:gd name="T7" fmla="*/ 2147483646 h 27"/>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1" h="27">
              <a:moveTo>
                <a:pt x="101" y="0"/>
              </a:moveTo>
              <a:lnTo>
                <a:pt x="0" y="0"/>
              </a:lnTo>
              <a:lnTo>
                <a:pt x="0" y="27"/>
              </a:lnTo>
              <a:lnTo>
                <a:pt x="101" y="27"/>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26</xdr:col>
      <xdr:colOff>47625</xdr:colOff>
      <xdr:row>74</xdr:row>
      <xdr:rowOff>66675</xdr:rowOff>
    </xdr:from>
    <xdr:to>
      <xdr:col>27</xdr:col>
      <xdr:colOff>285750</xdr:colOff>
      <xdr:row>75</xdr:row>
      <xdr:rowOff>85725</xdr:rowOff>
    </xdr:to>
    <xdr:sp macro="" textlink="">
      <xdr:nvSpPr>
        <xdr:cNvPr id="1112" name="Freeform 2949">
          <a:extLst>
            <a:ext uri="{FF2B5EF4-FFF2-40B4-BE49-F238E27FC236}">
              <a16:creationId xmlns:a16="http://schemas.microsoft.com/office/drawing/2014/main" id="{00000000-0008-0000-0000-000058040000}"/>
            </a:ext>
          </a:extLst>
        </xdr:cNvPr>
        <xdr:cNvSpPr>
          <a:spLocks/>
        </xdr:cNvSpPr>
      </xdr:nvSpPr>
      <xdr:spPr bwMode="auto">
        <a:xfrm>
          <a:off x="18840450" y="14211300"/>
          <a:ext cx="990600" cy="219075"/>
        </a:xfrm>
        <a:custGeom>
          <a:avLst/>
          <a:gdLst>
            <a:gd name="T0" fmla="*/ 0 w 63"/>
            <a:gd name="T1" fmla="*/ 0 h 12"/>
            <a:gd name="T2" fmla="*/ 0 w 63"/>
            <a:gd name="T3" fmla="*/ 2147483646 h 12"/>
            <a:gd name="T4" fmla="*/ 0 w 63"/>
            <a:gd name="T5" fmla="*/ 2147483646 h 12"/>
            <a:gd name="T6" fmla="*/ 2147483646 w 63"/>
            <a:gd name="T7" fmla="*/ 2147483646 h 12"/>
            <a:gd name="T8" fmla="*/ 2147483646 w 63"/>
            <a:gd name="T9" fmla="*/ 2147483646 h 1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3" h="12">
              <a:moveTo>
                <a:pt x="0" y="0"/>
              </a:moveTo>
              <a:lnTo>
                <a:pt x="0" y="8"/>
              </a:lnTo>
              <a:lnTo>
                <a:pt x="0" y="10"/>
              </a:lnTo>
              <a:lnTo>
                <a:pt x="2" y="12"/>
              </a:lnTo>
              <a:lnTo>
                <a:pt x="63" y="12"/>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26</xdr:col>
      <xdr:colOff>57150</xdr:colOff>
      <xdr:row>75</xdr:row>
      <xdr:rowOff>19050</xdr:rowOff>
    </xdr:from>
    <xdr:to>
      <xdr:col>26</xdr:col>
      <xdr:colOff>114300</xdr:colOff>
      <xdr:row>75</xdr:row>
      <xdr:rowOff>66675</xdr:rowOff>
    </xdr:to>
    <xdr:sp macro="" textlink="">
      <xdr:nvSpPr>
        <xdr:cNvPr id="1113" name="Oval 2950">
          <a:extLst>
            <a:ext uri="{FF2B5EF4-FFF2-40B4-BE49-F238E27FC236}">
              <a16:creationId xmlns:a16="http://schemas.microsoft.com/office/drawing/2014/main" id="{00000000-0008-0000-0000-000059040000}"/>
            </a:ext>
          </a:extLst>
        </xdr:cNvPr>
        <xdr:cNvSpPr>
          <a:spLocks noChangeArrowheads="1"/>
        </xdr:cNvSpPr>
      </xdr:nvSpPr>
      <xdr:spPr bwMode="auto">
        <a:xfrm>
          <a:off x="18849975" y="14363700"/>
          <a:ext cx="57150" cy="47625"/>
        </a:xfrm>
        <a:prstGeom prst="ellipse">
          <a:avLst/>
        </a:prstGeom>
        <a:solidFill>
          <a:srgbClr xmlns:mc="http://schemas.openxmlformats.org/markup-compatibility/2006" xmlns:a14="http://schemas.microsoft.com/office/drawing/2010/main" val="FFFFFF" mc:Ignorable="a14" a14:legacySpreadsheetColorIndex="65"/>
        </a:solidFill>
        <a:ln w="15875">
          <a:solidFill>
            <a:srgbClr xmlns:mc="http://schemas.openxmlformats.org/markup-compatibility/2006" xmlns:a14="http://schemas.microsoft.com/office/drawing/2010/main" val="000000" mc:Ignorable="a14" a14:legacySpreadsheetColorIndex="64"/>
          </a:solidFill>
          <a:prstDash val="sysDot"/>
          <a:round/>
          <a:headEnd/>
          <a:tailEnd/>
        </a:ln>
      </xdr:spPr>
    </xdr:sp>
    <xdr:clientData/>
  </xdr:twoCellAnchor>
  <xdr:twoCellAnchor>
    <xdr:from>
      <xdr:col>25</xdr:col>
      <xdr:colOff>676275</xdr:colOff>
      <xdr:row>73</xdr:row>
      <xdr:rowOff>95250</xdr:rowOff>
    </xdr:from>
    <xdr:to>
      <xdr:col>26</xdr:col>
      <xdr:colOff>409575</xdr:colOff>
      <xdr:row>76</xdr:row>
      <xdr:rowOff>0</xdr:rowOff>
    </xdr:to>
    <xdr:sp macro="" textlink="">
      <xdr:nvSpPr>
        <xdr:cNvPr id="1114" name="Line 2951">
          <a:extLst>
            <a:ext uri="{FF2B5EF4-FFF2-40B4-BE49-F238E27FC236}">
              <a16:creationId xmlns:a16="http://schemas.microsoft.com/office/drawing/2014/main" id="{00000000-0008-0000-0000-00005A040000}"/>
            </a:ext>
          </a:extLst>
        </xdr:cNvPr>
        <xdr:cNvSpPr>
          <a:spLocks noChangeShapeType="1"/>
        </xdr:cNvSpPr>
      </xdr:nvSpPr>
      <xdr:spPr bwMode="auto">
        <a:xfrm flipV="1">
          <a:off x="18716625" y="14039850"/>
          <a:ext cx="485775" cy="5048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76</xdr:row>
      <xdr:rowOff>47625</xdr:rowOff>
    </xdr:from>
    <xdr:to>
      <xdr:col>26</xdr:col>
      <xdr:colOff>0</xdr:colOff>
      <xdr:row>77</xdr:row>
      <xdr:rowOff>38100</xdr:rowOff>
    </xdr:to>
    <xdr:sp macro="" textlink="">
      <xdr:nvSpPr>
        <xdr:cNvPr id="1115" name="Line 2952">
          <a:extLst>
            <a:ext uri="{FF2B5EF4-FFF2-40B4-BE49-F238E27FC236}">
              <a16:creationId xmlns:a16="http://schemas.microsoft.com/office/drawing/2014/main" id="{00000000-0008-0000-0000-00005B040000}"/>
            </a:ext>
          </a:extLst>
        </xdr:cNvPr>
        <xdr:cNvSpPr>
          <a:spLocks noChangeShapeType="1"/>
        </xdr:cNvSpPr>
      </xdr:nvSpPr>
      <xdr:spPr bwMode="auto">
        <a:xfrm flipV="1">
          <a:off x="18792825" y="145923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361950</xdr:colOff>
      <xdr:row>74</xdr:row>
      <xdr:rowOff>9525</xdr:rowOff>
    </xdr:from>
    <xdr:to>
      <xdr:col>26</xdr:col>
      <xdr:colOff>361950</xdr:colOff>
      <xdr:row>77</xdr:row>
      <xdr:rowOff>66675</xdr:rowOff>
    </xdr:to>
    <xdr:sp macro="" textlink="">
      <xdr:nvSpPr>
        <xdr:cNvPr id="1116" name="Line 2953">
          <a:extLst>
            <a:ext uri="{FF2B5EF4-FFF2-40B4-BE49-F238E27FC236}">
              <a16:creationId xmlns:a16="http://schemas.microsoft.com/office/drawing/2014/main" id="{00000000-0008-0000-0000-00005C040000}"/>
            </a:ext>
          </a:extLst>
        </xdr:cNvPr>
        <xdr:cNvSpPr>
          <a:spLocks noChangeShapeType="1"/>
        </xdr:cNvSpPr>
      </xdr:nvSpPr>
      <xdr:spPr bwMode="auto">
        <a:xfrm flipV="1">
          <a:off x="19154775" y="1415415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438150</xdr:colOff>
      <xdr:row>77</xdr:row>
      <xdr:rowOff>0</xdr:rowOff>
    </xdr:from>
    <xdr:to>
      <xdr:col>26</xdr:col>
      <xdr:colOff>400050</xdr:colOff>
      <xdr:row>77</xdr:row>
      <xdr:rowOff>0</xdr:rowOff>
    </xdr:to>
    <xdr:sp macro="" textlink="">
      <xdr:nvSpPr>
        <xdr:cNvPr id="1117" name="Line 2954">
          <a:extLst>
            <a:ext uri="{FF2B5EF4-FFF2-40B4-BE49-F238E27FC236}">
              <a16:creationId xmlns:a16="http://schemas.microsoft.com/office/drawing/2014/main" id="{00000000-0008-0000-0000-00005D040000}"/>
            </a:ext>
          </a:extLst>
        </xdr:cNvPr>
        <xdr:cNvSpPr>
          <a:spLocks noChangeShapeType="1"/>
        </xdr:cNvSpPr>
      </xdr:nvSpPr>
      <xdr:spPr bwMode="auto">
        <a:xfrm>
          <a:off x="18478500" y="14735175"/>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323850</xdr:colOff>
      <xdr:row>76</xdr:row>
      <xdr:rowOff>161925</xdr:rowOff>
    </xdr:from>
    <xdr:to>
      <xdr:col>26</xdr:col>
      <xdr:colOff>400050</xdr:colOff>
      <xdr:row>77</xdr:row>
      <xdr:rowOff>28575</xdr:rowOff>
    </xdr:to>
    <xdr:sp macro="" textlink="">
      <xdr:nvSpPr>
        <xdr:cNvPr id="1118" name="Line 2955">
          <a:extLst>
            <a:ext uri="{FF2B5EF4-FFF2-40B4-BE49-F238E27FC236}">
              <a16:creationId xmlns:a16="http://schemas.microsoft.com/office/drawing/2014/main" id="{00000000-0008-0000-0000-00005E040000}"/>
            </a:ext>
          </a:extLst>
        </xdr:cNvPr>
        <xdr:cNvSpPr>
          <a:spLocks noChangeShapeType="1"/>
        </xdr:cNvSpPr>
      </xdr:nvSpPr>
      <xdr:spPr bwMode="auto">
        <a:xfrm flipH="1">
          <a:off x="19116675" y="14706600"/>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609600</xdr:colOff>
      <xdr:row>74</xdr:row>
      <xdr:rowOff>180975</xdr:rowOff>
    </xdr:from>
    <xdr:to>
      <xdr:col>25</xdr:col>
      <xdr:colOff>609600</xdr:colOff>
      <xdr:row>76</xdr:row>
      <xdr:rowOff>66675</xdr:rowOff>
    </xdr:to>
    <xdr:sp macro="" textlink="">
      <xdr:nvSpPr>
        <xdr:cNvPr id="1119" name="Line 2956">
          <a:extLst>
            <a:ext uri="{FF2B5EF4-FFF2-40B4-BE49-F238E27FC236}">
              <a16:creationId xmlns:a16="http://schemas.microsoft.com/office/drawing/2014/main" id="{00000000-0008-0000-0000-00005F040000}"/>
            </a:ext>
          </a:extLst>
        </xdr:cNvPr>
        <xdr:cNvSpPr>
          <a:spLocks noChangeShapeType="1"/>
        </xdr:cNvSpPr>
      </xdr:nvSpPr>
      <xdr:spPr bwMode="auto">
        <a:xfrm flipV="1">
          <a:off x="18649950" y="1432560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26</xdr:col>
      <xdr:colOff>0</xdr:colOff>
      <xdr:row>72</xdr:row>
      <xdr:rowOff>76200</xdr:rowOff>
    </xdr:from>
    <xdr:to>
      <xdr:col>28</xdr:col>
      <xdr:colOff>9525</xdr:colOff>
      <xdr:row>72</xdr:row>
      <xdr:rowOff>190500</xdr:rowOff>
    </xdr:to>
    <xdr:sp macro="" textlink="">
      <xdr:nvSpPr>
        <xdr:cNvPr id="1120" name="Freeform 2957">
          <a:extLst>
            <a:ext uri="{FF2B5EF4-FFF2-40B4-BE49-F238E27FC236}">
              <a16:creationId xmlns:a16="http://schemas.microsoft.com/office/drawing/2014/main" id="{00000000-0008-0000-0000-000060040000}"/>
            </a:ext>
          </a:extLst>
        </xdr:cNvPr>
        <xdr:cNvSpPr>
          <a:spLocks/>
        </xdr:cNvSpPr>
      </xdr:nvSpPr>
      <xdr:spPr bwMode="auto">
        <a:xfrm>
          <a:off x="18792825" y="13820775"/>
          <a:ext cx="1514475" cy="114300"/>
        </a:xfrm>
        <a:custGeom>
          <a:avLst/>
          <a:gdLst>
            <a:gd name="T0" fmla="*/ 2147483646 w 159"/>
            <a:gd name="T1" fmla="*/ 2147483646 h 11"/>
            <a:gd name="T2" fmla="*/ 0 w 159"/>
            <a:gd name="T3" fmla="*/ 2147483646 h 11"/>
            <a:gd name="T4" fmla="*/ 0 w 159"/>
            <a:gd name="T5" fmla="*/ 0 h 11"/>
            <a:gd name="T6" fmla="*/ 2147483646 w 159"/>
            <a:gd name="T7" fmla="*/ 0 h 1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9" h="11">
              <a:moveTo>
                <a:pt x="158" y="11"/>
              </a:moveTo>
              <a:lnTo>
                <a:pt x="0" y="11"/>
              </a:lnTo>
              <a:lnTo>
                <a:pt x="0" y="0"/>
              </a:lnTo>
              <a:lnTo>
                <a:pt x="159"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25</xdr:col>
      <xdr:colOff>609600</xdr:colOff>
      <xdr:row>76</xdr:row>
      <xdr:rowOff>95250</xdr:rowOff>
    </xdr:from>
    <xdr:to>
      <xdr:col>25</xdr:col>
      <xdr:colOff>609600</xdr:colOff>
      <xdr:row>77</xdr:row>
      <xdr:rowOff>47625</xdr:rowOff>
    </xdr:to>
    <xdr:sp macro="" textlink="">
      <xdr:nvSpPr>
        <xdr:cNvPr id="1121" name="Line 2958">
          <a:extLst>
            <a:ext uri="{FF2B5EF4-FFF2-40B4-BE49-F238E27FC236}">
              <a16:creationId xmlns:a16="http://schemas.microsoft.com/office/drawing/2014/main" id="{00000000-0008-0000-0000-000061040000}"/>
            </a:ext>
          </a:extLst>
        </xdr:cNvPr>
        <xdr:cNvSpPr>
          <a:spLocks noChangeShapeType="1"/>
        </xdr:cNvSpPr>
      </xdr:nvSpPr>
      <xdr:spPr bwMode="auto">
        <a:xfrm>
          <a:off x="18649950" y="14639925"/>
          <a:ext cx="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561975</xdr:colOff>
      <xdr:row>76</xdr:row>
      <xdr:rowOff>161925</xdr:rowOff>
    </xdr:from>
    <xdr:to>
      <xdr:col>25</xdr:col>
      <xdr:colOff>638175</xdr:colOff>
      <xdr:row>77</xdr:row>
      <xdr:rowOff>38100</xdr:rowOff>
    </xdr:to>
    <xdr:sp macro="" textlink="">
      <xdr:nvSpPr>
        <xdr:cNvPr id="1122" name="Line 2959">
          <a:extLst>
            <a:ext uri="{FF2B5EF4-FFF2-40B4-BE49-F238E27FC236}">
              <a16:creationId xmlns:a16="http://schemas.microsoft.com/office/drawing/2014/main" id="{00000000-0008-0000-0000-000062040000}"/>
            </a:ext>
          </a:extLst>
        </xdr:cNvPr>
        <xdr:cNvSpPr>
          <a:spLocks noChangeShapeType="1"/>
        </xdr:cNvSpPr>
      </xdr:nvSpPr>
      <xdr:spPr bwMode="auto">
        <a:xfrm flipH="1">
          <a:off x="18602325" y="147066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704850</xdr:colOff>
      <xdr:row>76</xdr:row>
      <xdr:rowOff>152400</xdr:rowOff>
    </xdr:from>
    <xdr:to>
      <xdr:col>26</xdr:col>
      <xdr:colOff>38100</xdr:colOff>
      <xdr:row>77</xdr:row>
      <xdr:rowOff>38100</xdr:rowOff>
    </xdr:to>
    <xdr:sp macro="" textlink="">
      <xdr:nvSpPr>
        <xdr:cNvPr id="1123" name="Line 2960">
          <a:extLst>
            <a:ext uri="{FF2B5EF4-FFF2-40B4-BE49-F238E27FC236}">
              <a16:creationId xmlns:a16="http://schemas.microsoft.com/office/drawing/2014/main" id="{00000000-0008-0000-0000-000063040000}"/>
            </a:ext>
          </a:extLst>
        </xdr:cNvPr>
        <xdr:cNvSpPr>
          <a:spLocks noChangeShapeType="1"/>
        </xdr:cNvSpPr>
      </xdr:nvSpPr>
      <xdr:spPr bwMode="auto">
        <a:xfrm flipH="1">
          <a:off x="18745200" y="1469707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514350</xdr:colOff>
      <xdr:row>74</xdr:row>
      <xdr:rowOff>104775</xdr:rowOff>
    </xdr:from>
    <xdr:to>
      <xdr:col>25</xdr:col>
      <xdr:colOff>742950</xdr:colOff>
      <xdr:row>74</xdr:row>
      <xdr:rowOff>190500</xdr:rowOff>
    </xdr:to>
    <xdr:sp macro="" textlink="">
      <xdr:nvSpPr>
        <xdr:cNvPr id="1124" name="Freeform 2961">
          <a:extLst>
            <a:ext uri="{FF2B5EF4-FFF2-40B4-BE49-F238E27FC236}">
              <a16:creationId xmlns:a16="http://schemas.microsoft.com/office/drawing/2014/main" id="{00000000-0008-0000-0000-000064040000}"/>
            </a:ext>
          </a:extLst>
        </xdr:cNvPr>
        <xdr:cNvSpPr>
          <a:spLocks/>
        </xdr:cNvSpPr>
      </xdr:nvSpPr>
      <xdr:spPr bwMode="auto">
        <a:xfrm>
          <a:off x="18554700" y="14249400"/>
          <a:ext cx="228600" cy="85725"/>
        </a:xfrm>
        <a:custGeom>
          <a:avLst/>
          <a:gdLst>
            <a:gd name="T0" fmla="*/ 2147483646 w 24"/>
            <a:gd name="T1" fmla="*/ 0 h 9"/>
            <a:gd name="T2" fmla="*/ 0 w 24"/>
            <a:gd name="T3" fmla="*/ 0 h 9"/>
            <a:gd name="T4" fmla="*/ 0 w 24"/>
            <a:gd name="T5" fmla="*/ 2147483646 h 9"/>
            <a:gd name="T6" fmla="*/ 2147483646 w 24"/>
            <a:gd name="T7" fmla="*/ 2147483646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4" h="9">
              <a:moveTo>
                <a:pt x="24" y="0"/>
              </a:moveTo>
              <a:lnTo>
                <a:pt x="0" y="0"/>
              </a:lnTo>
              <a:lnTo>
                <a:pt x="0" y="9"/>
              </a:lnTo>
              <a:lnTo>
                <a:pt x="24" y="9"/>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26</xdr:col>
      <xdr:colOff>0</xdr:colOff>
      <xdr:row>74</xdr:row>
      <xdr:rowOff>104775</xdr:rowOff>
    </xdr:from>
    <xdr:to>
      <xdr:col>26</xdr:col>
      <xdr:colOff>447675</xdr:colOff>
      <xdr:row>74</xdr:row>
      <xdr:rowOff>190500</xdr:rowOff>
    </xdr:to>
    <xdr:sp macro="" textlink="">
      <xdr:nvSpPr>
        <xdr:cNvPr id="1125" name="Freeform 2962">
          <a:extLst>
            <a:ext uri="{FF2B5EF4-FFF2-40B4-BE49-F238E27FC236}">
              <a16:creationId xmlns:a16="http://schemas.microsoft.com/office/drawing/2014/main" id="{00000000-0008-0000-0000-000065040000}"/>
            </a:ext>
          </a:extLst>
        </xdr:cNvPr>
        <xdr:cNvSpPr>
          <a:spLocks/>
        </xdr:cNvSpPr>
      </xdr:nvSpPr>
      <xdr:spPr bwMode="auto">
        <a:xfrm>
          <a:off x="18792825" y="14249400"/>
          <a:ext cx="447675" cy="85725"/>
        </a:xfrm>
        <a:custGeom>
          <a:avLst/>
          <a:gdLst>
            <a:gd name="T0" fmla="*/ 0 w 47"/>
            <a:gd name="T1" fmla="*/ 0 h 9"/>
            <a:gd name="T2" fmla="*/ 2147483646 w 47"/>
            <a:gd name="T3" fmla="*/ 0 h 9"/>
            <a:gd name="T4" fmla="*/ 2147483646 w 47"/>
            <a:gd name="T5" fmla="*/ 2147483646 h 9"/>
            <a:gd name="T6" fmla="*/ 0 w 47"/>
            <a:gd name="T7" fmla="*/ 2147483646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47" h="9">
              <a:moveTo>
                <a:pt x="0" y="0"/>
              </a:moveTo>
              <a:lnTo>
                <a:pt x="47" y="0"/>
              </a:lnTo>
              <a:lnTo>
                <a:pt x="47" y="9"/>
              </a:lnTo>
              <a:lnTo>
                <a:pt x="0" y="9"/>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26</xdr:col>
      <xdr:colOff>0</xdr:colOff>
      <xdr:row>70</xdr:row>
      <xdr:rowOff>76200</xdr:rowOff>
    </xdr:from>
    <xdr:to>
      <xdr:col>28</xdr:col>
      <xdr:colOff>0</xdr:colOff>
      <xdr:row>71</xdr:row>
      <xdr:rowOff>152400</xdr:rowOff>
    </xdr:to>
    <xdr:sp macro="" textlink="">
      <xdr:nvSpPr>
        <xdr:cNvPr id="1126" name="Freeform 2963">
          <a:extLst>
            <a:ext uri="{FF2B5EF4-FFF2-40B4-BE49-F238E27FC236}">
              <a16:creationId xmlns:a16="http://schemas.microsoft.com/office/drawing/2014/main" id="{00000000-0008-0000-0000-000066040000}"/>
            </a:ext>
          </a:extLst>
        </xdr:cNvPr>
        <xdr:cNvSpPr>
          <a:spLocks/>
        </xdr:cNvSpPr>
      </xdr:nvSpPr>
      <xdr:spPr bwMode="auto">
        <a:xfrm>
          <a:off x="18792825" y="13430250"/>
          <a:ext cx="1504950" cy="266700"/>
        </a:xfrm>
        <a:custGeom>
          <a:avLst/>
          <a:gdLst>
            <a:gd name="T0" fmla="*/ 2147483646 w 92"/>
            <a:gd name="T1" fmla="*/ 2147483646 h 20"/>
            <a:gd name="T2" fmla="*/ 0 w 92"/>
            <a:gd name="T3" fmla="*/ 2147483646 h 20"/>
            <a:gd name="T4" fmla="*/ 0 w 92"/>
            <a:gd name="T5" fmla="*/ 0 h 20"/>
            <a:gd name="T6" fmla="*/ 2147483646 w 92"/>
            <a:gd name="T7" fmla="*/ 0 h 20"/>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92" h="20">
              <a:moveTo>
                <a:pt x="92" y="20"/>
              </a:moveTo>
              <a:lnTo>
                <a:pt x="0" y="20"/>
              </a:lnTo>
              <a:lnTo>
                <a:pt x="0" y="0"/>
              </a:lnTo>
              <a:lnTo>
                <a:pt x="92"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38100</xdr:colOff>
      <xdr:row>72</xdr:row>
      <xdr:rowOff>76200</xdr:rowOff>
    </xdr:from>
    <xdr:to>
      <xdr:col>28</xdr:col>
      <xdr:colOff>200025</xdr:colOff>
      <xdr:row>72</xdr:row>
      <xdr:rowOff>76200</xdr:rowOff>
    </xdr:to>
    <xdr:sp macro="" textlink="">
      <xdr:nvSpPr>
        <xdr:cNvPr id="1127" name="Line 2967">
          <a:extLst>
            <a:ext uri="{FF2B5EF4-FFF2-40B4-BE49-F238E27FC236}">
              <a16:creationId xmlns:a16="http://schemas.microsoft.com/office/drawing/2014/main" id="{00000000-0008-0000-0000-000067040000}"/>
            </a:ext>
          </a:extLst>
        </xdr:cNvPr>
        <xdr:cNvSpPr>
          <a:spLocks noChangeShapeType="1"/>
        </xdr:cNvSpPr>
      </xdr:nvSpPr>
      <xdr:spPr bwMode="auto">
        <a:xfrm flipH="1">
          <a:off x="20335875" y="13820775"/>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47625</xdr:colOff>
      <xdr:row>73</xdr:row>
      <xdr:rowOff>0</xdr:rowOff>
    </xdr:from>
    <xdr:to>
      <xdr:col>28</xdr:col>
      <xdr:colOff>180975</xdr:colOff>
      <xdr:row>73</xdr:row>
      <xdr:rowOff>0</xdr:rowOff>
    </xdr:to>
    <xdr:sp macro="" textlink="">
      <xdr:nvSpPr>
        <xdr:cNvPr id="1128" name="Line 2968">
          <a:extLst>
            <a:ext uri="{FF2B5EF4-FFF2-40B4-BE49-F238E27FC236}">
              <a16:creationId xmlns:a16="http://schemas.microsoft.com/office/drawing/2014/main" id="{00000000-0008-0000-0000-000068040000}"/>
            </a:ext>
          </a:extLst>
        </xdr:cNvPr>
        <xdr:cNvSpPr>
          <a:spLocks noChangeShapeType="1"/>
        </xdr:cNvSpPr>
      </xdr:nvSpPr>
      <xdr:spPr bwMode="auto">
        <a:xfrm flipH="1">
          <a:off x="20345400" y="1394460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142875</xdr:colOff>
      <xdr:row>72</xdr:row>
      <xdr:rowOff>38100</xdr:rowOff>
    </xdr:from>
    <xdr:to>
      <xdr:col>28</xdr:col>
      <xdr:colOff>142875</xdr:colOff>
      <xdr:row>73</xdr:row>
      <xdr:rowOff>28575</xdr:rowOff>
    </xdr:to>
    <xdr:sp macro="" textlink="">
      <xdr:nvSpPr>
        <xdr:cNvPr id="1129" name="Line 2969">
          <a:extLst>
            <a:ext uri="{FF2B5EF4-FFF2-40B4-BE49-F238E27FC236}">
              <a16:creationId xmlns:a16="http://schemas.microsoft.com/office/drawing/2014/main" id="{00000000-0008-0000-0000-000069040000}"/>
            </a:ext>
          </a:extLst>
        </xdr:cNvPr>
        <xdr:cNvSpPr>
          <a:spLocks noChangeShapeType="1"/>
        </xdr:cNvSpPr>
      </xdr:nvSpPr>
      <xdr:spPr bwMode="auto">
        <a:xfrm>
          <a:off x="20440650" y="1378267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47625</xdr:colOff>
      <xdr:row>70</xdr:row>
      <xdr:rowOff>76200</xdr:rowOff>
    </xdr:from>
    <xdr:to>
      <xdr:col>28</xdr:col>
      <xdr:colOff>180975</xdr:colOff>
      <xdr:row>70</xdr:row>
      <xdr:rowOff>76200</xdr:rowOff>
    </xdr:to>
    <xdr:sp macro="" textlink="">
      <xdr:nvSpPr>
        <xdr:cNvPr id="1130" name="Line 2971">
          <a:extLst>
            <a:ext uri="{FF2B5EF4-FFF2-40B4-BE49-F238E27FC236}">
              <a16:creationId xmlns:a16="http://schemas.microsoft.com/office/drawing/2014/main" id="{00000000-0008-0000-0000-00006A040000}"/>
            </a:ext>
          </a:extLst>
        </xdr:cNvPr>
        <xdr:cNvSpPr>
          <a:spLocks noChangeShapeType="1"/>
        </xdr:cNvSpPr>
      </xdr:nvSpPr>
      <xdr:spPr bwMode="auto">
        <a:xfrm>
          <a:off x="20345400" y="13430250"/>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142875</xdr:colOff>
      <xdr:row>70</xdr:row>
      <xdr:rowOff>28575</xdr:rowOff>
    </xdr:from>
    <xdr:to>
      <xdr:col>28</xdr:col>
      <xdr:colOff>142875</xdr:colOff>
      <xdr:row>71</xdr:row>
      <xdr:rowOff>190500</xdr:rowOff>
    </xdr:to>
    <xdr:sp macro="" textlink="">
      <xdr:nvSpPr>
        <xdr:cNvPr id="1131" name="Line 2972">
          <a:extLst>
            <a:ext uri="{FF2B5EF4-FFF2-40B4-BE49-F238E27FC236}">
              <a16:creationId xmlns:a16="http://schemas.microsoft.com/office/drawing/2014/main" id="{00000000-0008-0000-0000-00006B040000}"/>
            </a:ext>
          </a:extLst>
        </xdr:cNvPr>
        <xdr:cNvSpPr>
          <a:spLocks noChangeShapeType="1"/>
        </xdr:cNvSpPr>
      </xdr:nvSpPr>
      <xdr:spPr bwMode="auto">
        <a:xfrm flipV="1">
          <a:off x="20440650" y="13382625"/>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57150</xdr:colOff>
      <xdr:row>71</xdr:row>
      <xdr:rowOff>152400</xdr:rowOff>
    </xdr:from>
    <xdr:to>
      <xdr:col>28</xdr:col>
      <xdr:colOff>200025</xdr:colOff>
      <xdr:row>71</xdr:row>
      <xdr:rowOff>152400</xdr:rowOff>
    </xdr:to>
    <xdr:sp macro="" textlink="">
      <xdr:nvSpPr>
        <xdr:cNvPr id="1132" name="Line 2973">
          <a:extLst>
            <a:ext uri="{FF2B5EF4-FFF2-40B4-BE49-F238E27FC236}">
              <a16:creationId xmlns:a16="http://schemas.microsoft.com/office/drawing/2014/main" id="{00000000-0008-0000-0000-00006C040000}"/>
            </a:ext>
          </a:extLst>
        </xdr:cNvPr>
        <xdr:cNvSpPr>
          <a:spLocks noChangeShapeType="1"/>
        </xdr:cNvSpPr>
      </xdr:nvSpPr>
      <xdr:spPr bwMode="auto">
        <a:xfrm>
          <a:off x="20354925" y="1369695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104775</xdr:colOff>
      <xdr:row>70</xdr:row>
      <xdr:rowOff>38100</xdr:rowOff>
    </xdr:from>
    <xdr:to>
      <xdr:col>28</xdr:col>
      <xdr:colOff>180975</xdr:colOff>
      <xdr:row>70</xdr:row>
      <xdr:rowOff>114300</xdr:rowOff>
    </xdr:to>
    <xdr:sp macro="" textlink="">
      <xdr:nvSpPr>
        <xdr:cNvPr id="1133" name="Line 2974">
          <a:extLst>
            <a:ext uri="{FF2B5EF4-FFF2-40B4-BE49-F238E27FC236}">
              <a16:creationId xmlns:a16="http://schemas.microsoft.com/office/drawing/2014/main" id="{00000000-0008-0000-0000-00006D040000}"/>
            </a:ext>
          </a:extLst>
        </xdr:cNvPr>
        <xdr:cNvSpPr>
          <a:spLocks noChangeShapeType="1"/>
        </xdr:cNvSpPr>
      </xdr:nvSpPr>
      <xdr:spPr bwMode="auto">
        <a:xfrm flipH="1">
          <a:off x="20402550" y="133921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114300</xdr:colOff>
      <xdr:row>71</xdr:row>
      <xdr:rowOff>123825</xdr:rowOff>
    </xdr:from>
    <xdr:to>
      <xdr:col>28</xdr:col>
      <xdr:colOff>180975</xdr:colOff>
      <xdr:row>71</xdr:row>
      <xdr:rowOff>190500</xdr:rowOff>
    </xdr:to>
    <xdr:sp macro="" textlink="">
      <xdr:nvSpPr>
        <xdr:cNvPr id="1134" name="Line 2975">
          <a:extLst>
            <a:ext uri="{FF2B5EF4-FFF2-40B4-BE49-F238E27FC236}">
              <a16:creationId xmlns:a16="http://schemas.microsoft.com/office/drawing/2014/main" id="{00000000-0008-0000-0000-00006E040000}"/>
            </a:ext>
          </a:extLst>
        </xdr:cNvPr>
        <xdr:cNvSpPr>
          <a:spLocks noChangeShapeType="1"/>
        </xdr:cNvSpPr>
      </xdr:nvSpPr>
      <xdr:spPr bwMode="auto">
        <a:xfrm flipH="1">
          <a:off x="20412075" y="136683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104775</xdr:colOff>
      <xdr:row>72</xdr:row>
      <xdr:rowOff>38100</xdr:rowOff>
    </xdr:from>
    <xdr:to>
      <xdr:col>28</xdr:col>
      <xdr:colOff>180975</xdr:colOff>
      <xdr:row>72</xdr:row>
      <xdr:rowOff>114300</xdr:rowOff>
    </xdr:to>
    <xdr:sp macro="" textlink="">
      <xdr:nvSpPr>
        <xdr:cNvPr id="1135" name="Line 2976">
          <a:extLst>
            <a:ext uri="{FF2B5EF4-FFF2-40B4-BE49-F238E27FC236}">
              <a16:creationId xmlns:a16="http://schemas.microsoft.com/office/drawing/2014/main" id="{00000000-0008-0000-0000-00006F040000}"/>
            </a:ext>
          </a:extLst>
        </xdr:cNvPr>
        <xdr:cNvSpPr>
          <a:spLocks noChangeShapeType="1"/>
        </xdr:cNvSpPr>
      </xdr:nvSpPr>
      <xdr:spPr bwMode="auto">
        <a:xfrm flipH="1">
          <a:off x="20402550" y="137826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95250</xdr:colOff>
      <xdr:row>72</xdr:row>
      <xdr:rowOff>152400</xdr:rowOff>
    </xdr:from>
    <xdr:to>
      <xdr:col>28</xdr:col>
      <xdr:colOff>180975</xdr:colOff>
      <xdr:row>73</xdr:row>
      <xdr:rowOff>38100</xdr:rowOff>
    </xdr:to>
    <xdr:sp macro="" textlink="">
      <xdr:nvSpPr>
        <xdr:cNvPr id="1136" name="Line 2977">
          <a:extLst>
            <a:ext uri="{FF2B5EF4-FFF2-40B4-BE49-F238E27FC236}">
              <a16:creationId xmlns:a16="http://schemas.microsoft.com/office/drawing/2014/main" id="{00000000-0008-0000-0000-000070040000}"/>
            </a:ext>
          </a:extLst>
        </xdr:cNvPr>
        <xdr:cNvSpPr>
          <a:spLocks noChangeShapeType="1"/>
        </xdr:cNvSpPr>
      </xdr:nvSpPr>
      <xdr:spPr bwMode="auto">
        <a:xfrm flipH="1">
          <a:off x="20393025" y="138969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47625</xdr:colOff>
      <xdr:row>72</xdr:row>
      <xdr:rowOff>76200</xdr:rowOff>
    </xdr:from>
    <xdr:to>
      <xdr:col>26</xdr:col>
      <xdr:colOff>47625</xdr:colOff>
      <xdr:row>72</xdr:row>
      <xdr:rowOff>190500</xdr:rowOff>
    </xdr:to>
    <xdr:sp macro="" textlink="">
      <xdr:nvSpPr>
        <xdr:cNvPr id="1137" name="Line 2978">
          <a:extLst>
            <a:ext uri="{FF2B5EF4-FFF2-40B4-BE49-F238E27FC236}">
              <a16:creationId xmlns:a16="http://schemas.microsoft.com/office/drawing/2014/main" id="{00000000-0008-0000-0000-000071040000}"/>
            </a:ext>
          </a:extLst>
        </xdr:cNvPr>
        <xdr:cNvSpPr>
          <a:spLocks noChangeShapeType="1"/>
        </xdr:cNvSpPr>
      </xdr:nvSpPr>
      <xdr:spPr bwMode="auto">
        <a:xfrm>
          <a:off x="188404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85725</xdr:colOff>
      <xdr:row>72</xdr:row>
      <xdr:rowOff>76200</xdr:rowOff>
    </xdr:from>
    <xdr:to>
      <xdr:col>26</xdr:col>
      <xdr:colOff>85725</xdr:colOff>
      <xdr:row>72</xdr:row>
      <xdr:rowOff>190500</xdr:rowOff>
    </xdr:to>
    <xdr:sp macro="" textlink="">
      <xdr:nvSpPr>
        <xdr:cNvPr id="1138" name="Line 2979">
          <a:extLst>
            <a:ext uri="{FF2B5EF4-FFF2-40B4-BE49-F238E27FC236}">
              <a16:creationId xmlns:a16="http://schemas.microsoft.com/office/drawing/2014/main" id="{00000000-0008-0000-0000-000072040000}"/>
            </a:ext>
          </a:extLst>
        </xdr:cNvPr>
        <xdr:cNvSpPr>
          <a:spLocks noChangeShapeType="1"/>
        </xdr:cNvSpPr>
      </xdr:nvSpPr>
      <xdr:spPr bwMode="auto">
        <a:xfrm>
          <a:off x="188785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123825</xdr:colOff>
      <xdr:row>72</xdr:row>
      <xdr:rowOff>76200</xdr:rowOff>
    </xdr:from>
    <xdr:to>
      <xdr:col>26</xdr:col>
      <xdr:colOff>123825</xdr:colOff>
      <xdr:row>72</xdr:row>
      <xdr:rowOff>190500</xdr:rowOff>
    </xdr:to>
    <xdr:sp macro="" textlink="">
      <xdr:nvSpPr>
        <xdr:cNvPr id="1139" name="Line 2980">
          <a:extLst>
            <a:ext uri="{FF2B5EF4-FFF2-40B4-BE49-F238E27FC236}">
              <a16:creationId xmlns:a16="http://schemas.microsoft.com/office/drawing/2014/main" id="{00000000-0008-0000-0000-000073040000}"/>
            </a:ext>
          </a:extLst>
        </xdr:cNvPr>
        <xdr:cNvSpPr>
          <a:spLocks noChangeShapeType="1"/>
        </xdr:cNvSpPr>
      </xdr:nvSpPr>
      <xdr:spPr bwMode="auto">
        <a:xfrm>
          <a:off x="189166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161925</xdr:colOff>
      <xdr:row>72</xdr:row>
      <xdr:rowOff>76200</xdr:rowOff>
    </xdr:from>
    <xdr:to>
      <xdr:col>26</xdr:col>
      <xdr:colOff>161925</xdr:colOff>
      <xdr:row>72</xdr:row>
      <xdr:rowOff>190500</xdr:rowOff>
    </xdr:to>
    <xdr:sp macro="" textlink="">
      <xdr:nvSpPr>
        <xdr:cNvPr id="1140" name="Line 2981">
          <a:extLst>
            <a:ext uri="{FF2B5EF4-FFF2-40B4-BE49-F238E27FC236}">
              <a16:creationId xmlns:a16="http://schemas.microsoft.com/office/drawing/2014/main" id="{00000000-0008-0000-0000-000074040000}"/>
            </a:ext>
          </a:extLst>
        </xdr:cNvPr>
        <xdr:cNvSpPr>
          <a:spLocks noChangeShapeType="1"/>
        </xdr:cNvSpPr>
      </xdr:nvSpPr>
      <xdr:spPr bwMode="auto">
        <a:xfrm>
          <a:off x="189547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200025</xdr:colOff>
      <xdr:row>72</xdr:row>
      <xdr:rowOff>76200</xdr:rowOff>
    </xdr:from>
    <xdr:to>
      <xdr:col>26</xdr:col>
      <xdr:colOff>200025</xdr:colOff>
      <xdr:row>72</xdr:row>
      <xdr:rowOff>180975</xdr:rowOff>
    </xdr:to>
    <xdr:sp macro="" textlink="">
      <xdr:nvSpPr>
        <xdr:cNvPr id="1141" name="Line 2982">
          <a:extLst>
            <a:ext uri="{FF2B5EF4-FFF2-40B4-BE49-F238E27FC236}">
              <a16:creationId xmlns:a16="http://schemas.microsoft.com/office/drawing/2014/main" id="{00000000-0008-0000-0000-000075040000}"/>
            </a:ext>
          </a:extLst>
        </xdr:cNvPr>
        <xdr:cNvSpPr>
          <a:spLocks noChangeShapeType="1"/>
        </xdr:cNvSpPr>
      </xdr:nvSpPr>
      <xdr:spPr bwMode="auto">
        <a:xfrm>
          <a:off x="18992850"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238125</xdr:colOff>
      <xdr:row>72</xdr:row>
      <xdr:rowOff>76200</xdr:rowOff>
    </xdr:from>
    <xdr:to>
      <xdr:col>26</xdr:col>
      <xdr:colOff>238125</xdr:colOff>
      <xdr:row>72</xdr:row>
      <xdr:rowOff>190500</xdr:rowOff>
    </xdr:to>
    <xdr:sp macro="" textlink="">
      <xdr:nvSpPr>
        <xdr:cNvPr id="1142" name="Line 2983">
          <a:extLst>
            <a:ext uri="{FF2B5EF4-FFF2-40B4-BE49-F238E27FC236}">
              <a16:creationId xmlns:a16="http://schemas.microsoft.com/office/drawing/2014/main" id="{00000000-0008-0000-0000-000076040000}"/>
            </a:ext>
          </a:extLst>
        </xdr:cNvPr>
        <xdr:cNvSpPr>
          <a:spLocks noChangeShapeType="1"/>
        </xdr:cNvSpPr>
      </xdr:nvSpPr>
      <xdr:spPr bwMode="auto">
        <a:xfrm>
          <a:off x="190309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276225</xdr:colOff>
      <xdr:row>72</xdr:row>
      <xdr:rowOff>76200</xdr:rowOff>
    </xdr:from>
    <xdr:to>
      <xdr:col>26</xdr:col>
      <xdr:colOff>276225</xdr:colOff>
      <xdr:row>72</xdr:row>
      <xdr:rowOff>190500</xdr:rowOff>
    </xdr:to>
    <xdr:sp macro="" textlink="">
      <xdr:nvSpPr>
        <xdr:cNvPr id="1143" name="Line 2984">
          <a:extLst>
            <a:ext uri="{FF2B5EF4-FFF2-40B4-BE49-F238E27FC236}">
              <a16:creationId xmlns:a16="http://schemas.microsoft.com/office/drawing/2014/main" id="{00000000-0008-0000-0000-000077040000}"/>
            </a:ext>
          </a:extLst>
        </xdr:cNvPr>
        <xdr:cNvSpPr>
          <a:spLocks noChangeShapeType="1"/>
        </xdr:cNvSpPr>
      </xdr:nvSpPr>
      <xdr:spPr bwMode="auto">
        <a:xfrm>
          <a:off x="190690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314325</xdr:colOff>
      <xdr:row>72</xdr:row>
      <xdr:rowOff>76200</xdr:rowOff>
    </xdr:from>
    <xdr:to>
      <xdr:col>26</xdr:col>
      <xdr:colOff>314325</xdr:colOff>
      <xdr:row>72</xdr:row>
      <xdr:rowOff>190500</xdr:rowOff>
    </xdr:to>
    <xdr:sp macro="" textlink="">
      <xdr:nvSpPr>
        <xdr:cNvPr id="1144" name="Line 2985">
          <a:extLst>
            <a:ext uri="{FF2B5EF4-FFF2-40B4-BE49-F238E27FC236}">
              <a16:creationId xmlns:a16="http://schemas.microsoft.com/office/drawing/2014/main" id="{00000000-0008-0000-0000-000078040000}"/>
            </a:ext>
          </a:extLst>
        </xdr:cNvPr>
        <xdr:cNvSpPr>
          <a:spLocks noChangeShapeType="1"/>
        </xdr:cNvSpPr>
      </xdr:nvSpPr>
      <xdr:spPr bwMode="auto">
        <a:xfrm>
          <a:off x="191071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352425</xdr:colOff>
      <xdr:row>72</xdr:row>
      <xdr:rowOff>76200</xdr:rowOff>
    </xdr:from>
    <xdr:to>
      <xdr:col>26</xdr:col>
      <xdr:colOff>352425</xdr:colOff>
      <xdr:row>72</xdr:row>
      <xdr:rowOff>190500</xdr:rowOff>
    </xdr:to>
    <xdr:sp macro="" textlink="">
      <xdr:nvSpPr>
        <xdr:cNvPr id="1145" name="Line 2986">
          <a:extLst>
            <a:ext uri="{FF2B5EF4-FFF2-40B4-BE49-F238E27FC236}">
              <a16:creationId xmlns:a16="http://schemas.microsoft.com/office/drawing/2014/main" id="{00000000-0008-0000-0000-000079040000}"/>
            </a:ext>
          </a:extLst>
        </xdr:cNvPr>
        <xdr:cNvSpPr>
          <a:spLocks noChangeShapeType="1"/>
        </xdr:cNvSpPr>
      </xdr:nvSpPr>
      <xdr:spPr bwMode="auto">
        <a:xfrm>
          <a:off x="191452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390525</xdr:colOff>
      <xdr:row>72</xdr:row>
      <xdr:rowOff>76200</xdr:rowOff>
    </xdr:from>
    <xdr:to>
      <xdr:col>26</xdr:col>
      <xdr:colOff>390525</xdr:colOff>
      <xdr:row>72</xdr:row>
      <xdr:rowOff>190500</xdr:rowOff>
    </xdr:to>
    <xdr:sp macro="" textlink="">
      <xdr:nvSpPr>
        <xdr:cNvPr id="1146" name="Line 2987">
          <a:extLst>
            <a:ext uri="{FF2B5EF4-FFF2-40B4-BE49-F238E27FC236}">
              <a16:creationId xmlns:a16="http://schemas.microsoft.com/office/drawing/2014/main" id="{00000000-0008-0000-0000-00007A040000}"/>
            </a:ext>
          </a:extLst>
        </xdr:cNvPr>
        <xdr:cNvSpPr>
          <a:spLocks noChangeShapeType="1"/>
        </xdr:cNvSpPr>
      </xdr:nvSpPr>
      <xdr:spPr bwMode="auto">
        <a:xfrm>
          <a:off x="191833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428625</xdr:colOff>
      <xdr:row>72</xdr:row>
      <xdr:rowOff>76200</xdr:rowOff>
    </xdr:from>
    <xdr:to>
      <xdr:col>26</xdr:col>
      <xdr:colOff>428625</xdr:colOff>
      <xdr:row>72</xdr:row>
      <xdr:rowOff>190500</xdr:rowOff>
    </xdr:to>
    <xdr:sp macro="" textlink="">
      <xdr:nvSpPr>
        <xdr:cNvPr id="1147" name="Line 2988">
          <a:extLst>
            <a:ext uri="{FF2B5EF4-FFF2-40B4-BE49-F238E27FC236}">
              <a16:creationId xmlns:a16="http://schemas.microsoft.com/office/drawing/2014/main" id="{00000000-0008-0000-0000-00007B040000}"/>
            </a:ext>
          </a:extLst>
        </xdr:cNvPr>
        <xdr:cNvSpPr>
          <a:spLocks noChangeShapeType="1"/>
        </xdr:cNvSpPr>
      </xdr:nvSpPr>
      <xdr:spPr bwMode="auto">
        <a:xfrm>
          <a:off x="192214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466725</xdr:colOff>
      <xdr:row>72</xdr:row>
      <xdr:rowOff>76200</xdr:rowOff>
    </xdr:from>
    <xdr:to>
      <xdr:col>26</xdr:col>
      <xdr:colOff>466725</xdr:colOff>
      <xdr:row>72</xdr:row>
      <xdr:rowOff>190500</xdr:rowOff>
    </xdr:to>
    <xdr:sp macro="" textlink="">
      <xdr:nvSpPr>
        <xdr:cNvPr id="1148" name="Line 2989">
          <a:extLst>
            <a:ext uri="{FF2B5EF4-FFF2-40B4-BE49-F238E27FC236}">
              <a16:creationId xmlns:a16="http://schemas.microsoft.com/office/drawing/2014/main" id="{00000000-0008-0000-0000-00007C040000}"/>
            </a:ext>
          </a:extLst>
        </xdr:cNvPr>
        <xdr:cNvSpPr>
          <a:spLocks noChangeShapeType="1"/>
        </xdr:cNvSpPr>
      </xdr:nvSpPr>
      <xdr:spPr bwMode="auto">
        <a:xfrm>
          <a:off x="192595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504825</xdr:colOff>
      <xdr:row>72</xdr:row>
      <xdr:rowOff>76200</xdr:rowOff>
    </xdr:from>
    <xdr:to>
      <xdr:col>26</xdr:col>
      <xdr:colOff>504825</xdr:colOff>
      <xdr:row>72</xdr:row>
      <xdr:rowOff>190500</xdr:rowOff>
    </xdr:to>
    <xdr:sp macro="" textlink="">
      <xdr:nvSpPr>
        <xdr:cNvPr id="1149" name="Line 2990">
          <a:extLst>
            <a:ext uri="{FF2B5EF4-FFF2-40B4-BE49-F238E27FC236}">
              <a16:creationId xmlns:a16="http://schemas.microsoft.com/office/drawing/2014/main" id="{00000000-0008-0000-0000-00007D040000}"/>
            </a:ext>
          </a:extLst>
        </xdr:cNvPr>
        <xdr:cNvSpPr>
          <a:spLocks noChangeShapeType="1"/>
        </xdr:cNvSpPr>
      </xdr:nvSpPr>
      <xdr:spPr bwMode="auto">
        <a:xfrm>
          <a:off x="192976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542925</xdr:colOff>
      <xdr:row>72</xdr:row>
      <xdr:rowOff>76200</xdr:rowOff>
    </xdr:from>
    <xdr:to>
      <xdr:col>26</xdr:col>
      <xdr:colOff>542925</xdr:colOff>
      <xdr:row>72</xdr:row>
      <xdr:rowOff>180975</xdr:rowOff>
    </xdr:to>
    <xdr:sp macro="" textlink="">
      <xdr:nvSpPr>
        <xdr:cNvPr id="1150" name="Line 2991">
          <a:extLst>
            <a:ext uri="{FF2B5EF4-FFF2-40B4-BE49-F238E27FC236}">
              <a16:creationId xmlns:a16="http://schemas.microsoft.com/office/drawing/2014/main" id="{00000000-0008-0000-0000-00007E040000}"/>
            </a:ext>
          </a:extLst>
        </xdr:cNvPr>
        <xdr:cNvSpPr>
          <a:spLocks noChangeShapeType="1"/>
        </xdr:cNvSpPr>
      </xdr:nvSpPr>
      <xdr:spPr bwMode="auto">
        <a:xfrm>
          <a:off x="19335750"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581025</xdr:colOff>
      <xdr:row>72</xdr:row>
      <xdr:rowOff>76200</xdr:rowOff>
    </xdr:from>
    <xdr:to>
      <xdr:col>26</xdr:col>
      <xdr:colOff>581025</xdr:colOff>
      <xdr:row>72</xdr:row>
      <xdr:rowOff>190500</xdr:rowOff>
    </xdr:to>
    <xdr:sp macro="" textlink="">
      <xdr:nvSpPr>
        <xdr:cNvPr id="1151" name="Line 2992">
          <a:extLst>
            <a:ext uri="{FF2B5EF4-FFF2-40B4-BE49-F238E27FC236}">
              <a16:creationId xmlns:a16="http://schemas.microsoft.com/office/drawing/2014/main" id="{00000000-0008-0000-0000-00007F040000}"/>
            </a:ext>
          </a:extLst>
        </xdr:cNvPr>
        <xdr:cNvSpPr>
          <a:spLocks noChangeShapeType="1"/>
        </xdr:cNvSpPr>
      </xdr:nvSpPr>
      <xdr:spPr bwMode="auto">
        <a:xfrm>
          <a:off x="193738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619125</xdr:colOff>
      <xdr:row>72</xdr:row>
      <xdr:rowOff>76200</xdr:rowOff>
    </xdr:from>
    <xdr:to>
      <xdr:col>26</xdr:col>
      <xdr:colOff>619125</xdr:colOff>
      <xdr:row>72</xdr:row>
      <xdr:rowOff>190500</xdr:rowOff>
    </xdr:to>
    <xdr:sp macro="" textlink="">
      <xdr:nvSpPr>
        <xdr:cNvPr id="1152" name="Line 2993">
          <a:extLst>
            <a:ext uri="{FF2B5EF4-FFF2-40B4-BE49-F238E27FC236}">
              <a16:creationId xmlns:a16="http://schemas.microsoft.com/office/drawing/2014/main" id="{00000000-0008-0000-0000-000080040000}"/>
            </a:ext>
          </a:extLst>
        </xdr:cNvPr>
        <xdr:cNvSpPr>
          <a:spLocks noChangeShapeType="1"/>
        </xdr:cNvSpPr>
      </xdr:nvSpPr>
      <xdr:spPr bwMode="auto">
        <a:xfrm>
          <a:off x="194119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657225</xdr:colOff>
      <xdr:row>72</xdr:row>
      <xdr:rowOff>76200</xdr:rowOff>
    </xdr:from>
    <xdr:to>
      <xdr:col>26</xdr:col>
      <xdr:colOff>657225</xdr:colOff>
      <xdr:row>72</xdr:row>
      <xdr:rowOff>190500</xdr:rowOff>
    </xdr:to>
    <xdr:sp macro="" textlink="">
      <xdr:nvSpPr>
        <xdr:cNvPr id="1153" name="Line 2994">
          <a:extLst>
            <a:ext uri="{FF2B5EF4-FFF2-40B4-BE49-F238E27FC236}">
              <a16:creationId xmlns:a16="http://schemas.microsoft.com/office/drawing/2014/main" id="{00000000-0008-0000-0000-000081040000}"/>
            </a:ext>
          </a:extLst>
        </xdr:cNvPr>
        <xdr:cNvSpPr>
          <a:spLocks noChangeShapeType="1"/>
        </xdr:cNvSpPr>
      </xdr:nvSpPr>
      <xdr:spPr bwMode="auto">
        <a:xfrm>
          <a:off x="194500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695325</xdr:colOff>
      <xdr:row>72</xdr:row>
      <xdr:rowOff>76200</xdr:rowOff>
    </xdr:from>
    <xdr:to>
      <xdr:col>26</xdr:col>
      <xdr:colOff>695325</xdr:colOff>
      <xdr:row>72</xdr:row>
      <xdr:rowOff>190500</xdr:rowOff>
    </xdr:to>
    <xdr:sp macro="" textlink="">
      <xdr:nvSpPr>
        <xdr:cNvPr id="1154" name="Line 2995">
          <a:extLst>
            <a:ext uri="{FF2B5EF4-FFF2-40B4-BE49-F238E27FC236}">
              <a16:creationId xmlns:a16="http://schemas.microsoft.com/office/drawing/2014/main" id="{00000000-0008-0000-0000-000082040000}"/>
            </a:ext>
          </a:extLst>
        </xdr:cNvPr>
        <xdr:cNvSpPr>
          <a:spLocks noChangeShapeType="1"/>
        </xdr:cNvSpPr>
      </xdr:nvSpPr>
      <xdr:spPr bwMode="auto">
        <a:xfrm>
          <a:off x="194881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733425</xdr:colOff>
      <xdr:row>72</xdr:row>
      <xdr:rowOff>76200</xdr:rowOff>
    </xdr:from>
    <xdr:to>
      <xdr:col>26</xdr:col>
      <xdr:colOff>733425</xdr:colOff>
      <xdr:row>72</xdr:row>
      <xdr:rowOff>190500</xdr:rowOff>
    </xdr:to>
    <xdr:sp macro="" textlink="">
      <xdr:nvSpPr>
        <xdr:cNvPr id="1155" name="Line 2996">
          <a:extLst>
            <a:ext uri="{FF2B5EF4-FFF2-40B4-BE49-F238E27FC236}">
              <a16:creationId xmlns:a16="http://schemas.microsoft.com/office/drawing/2014/main" id="{00000000-0008-0000-0000-000083040000}"/>
            </a:ext>
          </a:extLst>
        </xdr:cNvPr>
        <xdr:cNvSpPr>
          <a:spLocks noChangeShapeType="1"/>
        </xdr:cNvSpPr>
      </xdr:nvSpPr>
      <xdr:spPr bwMode="auto">
        <a:xfrm>
          <a:off x="195262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19050</xdr:colOff>
      <xdr:row>72</xdr:row>
      <xdr:rowOff>76200</xdr:rowOff>
    </xdr:from>
    <xdr:to>
      <xdr:col>27</xdr:col>
      <xdr:colOff>19050</xdr:colOff>
      <xdr:row>72</xdr:row>
      <xdr:rowOff>190500</xdr:rowOff>
    </xdr:to>
    <xdr:sp macro="" textlink="">
      <xdr:nvSpPr>
        <xdr:cNvPr id="1156" name="Line 2997">
          <a:extLst>
            <a:ext uri="{FF2B5EF4-FFF2-40B4-BE49-F238E27FC236}">
              <a16:creationId xmlns:a16="http://schemas.microsoft.com/office/drawing/2014/main" id="{00000000-0008-0000-0000-000084040000}"/>
            </a:ext>
          </a:extLst>
        </xdr:cNvPr>
        <xdr:cNvSpPr>
          <a:spLocks noChangeShapeType="1"/>
        </xdr:cNvSpPr>
      </xdr:nvSpPr>
      <xdr:spPr bwMode="auto">
        <a:xfrm>
          <a:off x="195643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57150</xdr:colOff>
      <xdr:row>72</xdr:row>
      <xdr:rowOff>76200</xdr:rowOff>
    </xdr:from>
    <xdr:to>
      <xdr:col>27</xdr:col>
      <xdr:colOff>57150</xdr:colOff>
      <xdr:row>72</xdr:row>
      <xdr:rowOff>190500</xdr:rowOff>
    </xdr:to>
    <xdr:sp macro="" textlink="">
      <xdr:nvSpPr>
        <xdr:cNvPr id="1157" name="Line 2998">
          <a:extLst>
            <a:ext uri="{FF2B5EF4-FFF2-40B4-BE49-F238E27FC236}">
              <a16:creationId xmlns:a16="http://schemas.microsoft.com/office/drawing/2014/main" id="{00000000-0008-0000-0000-000085040000}"/>
            </a:ext>
          </a:extLst>
        </xdr:cNvPr>
        <xdr:cNvSpPr>
          <a:spLocks noChangeShapeType="1"/>
        </xdr:cNvSpPr>
      </xdr:nvSpPr>
      <xdr:spPr bwMode="auto">
        <a:xfrm>
          <a:off x="196024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95250</xdr:colOff>
      <xdr:row>72</xdr:row>
      <xdr:rowOff>76200</xdr:rowOff>
    </xdr:from>
    <xdr:to>
      <xdr:col>27</xdr:col>
      <xdr:colOff>95250</xdr:colOff>
      <xdr:row>72</xdr:row>
      <xdr:rowOff>190500</xdr:rowOff>
    </xdr:to>
    <xdr:sp macro="" textlink="">
      <xdr:nvSpPr>
        <xdr:cNvPr id="1158" name="Line 2999">
          <a:extLst>
            <a:ext uri="{FF2B5EF4-FFF2-40B4-BE49-F238E27FC236}">
              <a16:creationId xmlns:a16="http://schemas.microsoft.com/office/drawing/2014/main" id="{00000000-0008-0000-0000-000086040000}"/>
            </a:ext>
          </a:extLst>
        </xdr:cNvPr>
        <xdr:cNvSpPr>
          <a:spLocks noChangeShapeType="1"/>
        </xdr:cNvSpPr>
      </xdr:nvSpPr>
      <xdr:spPr bwMode="auto">
        <a:xfrm>
          <a:off x="196405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133350</xdr:colOff>
      <xdr:row>72</xdr:row>
      <xdr:rowOff>76200</xdr:rowOff>
    </xdr:from>
    <xdr:to>
      <xdr:col>27</xdr:col>
      <xdr:colOff>133350</xdr:colOff>
      <xdr:row>72</xdr:row>
      <xdr:rowOff>180975</xdr:rowOff>
    </xdr:to>
    <xdr:sp macro="" textlink="">
      <xdr:nvSpPr>
        <xdr:cNvPr id="1159" name="Line 3000">
          <a:extLst>
            <a:ext uri="{FF2B5EF4-FFF2-40B4-BE49-F238E27FC236}">
              <a16:creationId xmlns:a16="http://schemas.microsoft.com/office/drawing/2014/main" id="{00000000-0008-0000-0000-000087040000}"/>
            </a:ext>
          </a:extLst>
        </xdr:cNvPr>
        <xdr:cNvSpPr>
          <a:spLocks noChangeShapeType="1"/>
        </xdr:cNvSpPr>
      </xdr:nvSpPr>
      <xdr:spPr bwMode="auto">
        <a:xfrm>
          <a:off x="19678650"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171450</xdr:colOff>
      <xdr:row>72</xdr:row>
      <xdr:rowOff>76200</xdr:rowOff>
    </xdr:from>
    <xdr:to>
      <xdr:col>27</xdr:col>
      <xdr:colOff>171450</xdr:colOff>
      <xdr:row>72</xdr:row>
      <xdr:rowOff>190500</xdr:rowOff>
    </xdr:to>
    <xdr:sp macro="" textlink="">
      <xdr:nvSpPr>
        <xdr:cNvPr id="1160" name="Line 3001">
          <a:extLst>
            <a:ext uri="{FF2B5EF4-FFF2-40B4-BE49-F238E27FC236}">
              <a16:creationId xmlns:a16="http://schemas.microsoft.com/office/drawing/2014/main" id="{00000000-0008-0000-0000-000088040000}"/>
            </a:ext>
          </a:extLst>
        </xdr:cNvPr>
        <xdr:cNvSpPr>
          <a:spLocks noChangeShapeType="1"/>
        </xdr:cNvSpPr>
      </xdr:nvSpPr>
      <xdr:spPr bwMode="auto">
        <a:xfrm>
          <a:off x="197167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209550</xdr:colOff>
      <xdr:row>72</xdr:row>
      <xdr:rowOff>76200</xdr:rowOff>
    </xdr:from>
    <xdr:to>
      <xdr:col>27</xdr:col>
      <xdr:colOff>209550</xdr:colOff>
      <xdr:row>72</xdr:row>
      <xdr:rowOff>190500</xdr:rowOff>
    </xdr:to>
    <xdr:sp macro="" textlink="">
      <xdr:nvSpPr>
        <xdr:cNvPr id="1161" name="Line 3002">
          <a:extLst>
            <a:ext uri="{FF2B5EF4-FFF2-40B4-BE49-F238E27FC236}">
              <a16:creationId xmlns:a16="http://schemas.microsoft.com/office/drawing/2014/main" id="{00000000-0008-0000-0000-000089040000}"/>
            </a:ext>
          </a:extLst>
        </xdr:cNvPr>
        <xdr:cNvSpPr>
          <a:spLocks noChangeShapeType="1"/>
        </xdr:cNvSpPr>
      </xdr:nvSpPr>
      <xdr:spPr bwMode="auto">
        <a:xfrm>
          <a:off x="197548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247650</xdr:colOff>
      <xdr:row>72</xdr:row>
      <xdr:rowOff>76200</xdr:rowOff>
    </xdr:from>
    <xdr:to>
      <xdr:col>27</xdr:col>
      <xdr:colOff>247650</xdr:colOff>
      <xdr:row>72</xdr:row>
      <xdr:rowOff>190500</xdr:rowOff>
    </xdr:to>
    <xdr:sp macro="" textlink="">
      <xdr:nvSpPr>
        <xdr:cNvPr id="1162" name="Line 3003">
          <a:extLst>
            <a:ext uri="{FF2B5EF4-FFF2-40B4-BE49-F238E27FC236}">
              <a16:creationId xmlns:a16="http://schemas.microsoft.com/office/drawing/2014/main" id="{00000000-0008-0000-0000-00008A040000}"/>
            </a:ext>
          </a:extLst>
        </xdr:cNvPr>
        <xdr:cNvSpPr>
          <a:spLocks noChangeShapeType="1"/>
        </xdr:cNvSpPr>
      </xdr:nvSpPr>
      <xdr:spPr bwMode="auto">
        <a:xfrm>
          <a:off x="197929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285750</xdr:colOff>
      <xdr:row>72</xdr:row>
      <xdr:rowOff>76200</xdr:rowOff>
    </xdr:from>
    <xdr:to>
      <xdr:col>27</xdr:col>
      <xdr:colOff>285750</xdr:colOff>
      <xdr:row>72</xdr:row>
      <xdr:rowOff>190500</xdr:rowOff>
    </xdr:to>
    <xdr:sp macro="" textlink="">
      <xdr:nvSpPr>
        <xdr:cNvPr id="1163" name="Line 3004">
          <a:extLst>
            <a:ext uri="{FF2B5EF4-FFF2-40B4-BE49-F238E27FC236}">
              <a16:creationId xmlns:a16="http://schemas.microsoft.com/office/drawing/2014/main" id="{00000000-0008-0000-0000-00008B040000}"/>
            </a:ext>
          </a:extLst>
        </xdr:cNvPr>
        <xdr:cNvSpPr>
          <a:spLocks noChangeShapeType="1"/>
        </xdr:cNvSpPr>
      </xdr:nvSpPr>
      <xdr:spPr bwMode="auto">
        <a:xfrm>
          <a:off x="198310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323850</xdr:colOff>
      <xdr:row>72</xdr:row>
      <xdr:rowOff>76200</xdr:rowOff>
    </xdr:from>
    <xdr:to>
      <xdr:col>27</xdr:col>
      <xdr:colOff>323850</xdr:colOff>
      <xdr:row>72</xdr:row>
      <xdr:rowOff>190500</xdr:rowOff>
    </xdr:to>
    <xdr:sp macro="" textlink="">
      <xdr:nvSpPr>
        <xdr:cNvPr id="1164" name="Line 3005">
          <a:extLst>
            <a:ext uri="{FF2B5EF4-FFF2-40B4-BE49-F238E27FC236}">
              <a16:creationId xmlns:a16="http://schemas.microsoft.com/office/drawing/2014/main" id="{00000000-0008-0000-0000-00008C040000}"/>
            </a:ext>
          </a:extLst>
        </xdr:cNvPr>
        <xdr:cNvSpPr>
          <a:spLocks noChangeShapeType="1"/>
        </xdr:cNvSpPr>
      </xdr:nvSpPr>
      <xdr:spPr bwMode="auto">
        <a:xfrm>
          <a:off x="198691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361950</xdr:colOff>
      <xdr:row>72</xdr:row>
      <xdr:rowOff>76200</xdr:rowOff>
    </xdr:from>
    <xdr:to>
      <xdr:col>27</xdr:col>
      <xdr:colOff>361950</xdr:colOff>
      <xdr:row>72</xdr:row>
      <xdr:rowOff>190500</xdr:rowOff>
    </xdr:to>
    <xdr:sp macro="" textlink="">
      <xdr:nvSpPr>
        <xdr:cNvPr id="1165" name="Line 3006">
          <a:extLst>
            <a:ext uri="{FF2B5EF4-FFF2-40B4-BE49-F238E27FC236}">
              <a16:creationId xmlns:a16="http://schemas.microsoft.com/office/drawing/2014/main" id="{00000000-0008-0000-0000-00008D040000}"/>
            </a:ext>
          </a:extLst>
        </xdr:cNvPr>
        <xdr:cNvSpPr>
          <a:spLocks noChangeShapeType="1"/>
        </xdr:cNvSpPr>
      </xdr:nvSpPr>
      <xdr:spPr bwMode="auto">
        <a:xfrm>
          <a:off x="199072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400050</xdr:colOff>
      <xdr:row>72</xdr:row>
      <xdr:rowOff>76200</xdr:rowOff>
    </xdr:from>
    <xdr:to>
      <xdr:col>27</xdr:col>
      <xdr:colOff>400050</xdr:colOff>
      <xdr:row>72</xdr:row>
      <xdr:rowOff>190500</xdr:rowOff>
    </xdr:to>
    <xdr:sp macro="" textlink="">
      <xdr:nvSpPr>
        <xdr:cNvPr id="1166" name="Line 3007">
          <a:extLst>
            <a:ext uri="{FF2B5EF4-FFF2-40B4-BE49-F238E27FC236}">
              <a16:creationId xmlns:a16="http://schemas.microsoft.com/office/drawing/2014/main" id="{00000000-0008-0000-0000-00008E040000}"/>
            </a:ext>
          </a:extLst>
        </xdr:cNvPr>
        <xdr:cNvSpPr>
          <a:spLocks noChangeShapeType="1"/>
        </xdr:cNvSpPr>
      </xdr:nvSpPr>
      <xdr:spPr bwMode="auto">
        <a:xfrm>
          <a:off x="199453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438150</xdr:colOff>
      <xdr:row>72</xdr:row>
      <xdr:rowOff>76200</xdr:rowOff>
    </xdr:from>
    <xdr:to>
      <xdr:col>27</xdr:col>
      <xdr:colOff>438150</xdr:colOff>
      <xdr:row>72</xdr:row>
      <xdr:rowOff>190500</xdr:rowOff>
    </xdr:to>
    <xdr:sp macro="" textlink="">
      <xdr:nvSpPr>
        <xdr:cNvPr id="1167" name="Line 3008">
          <a:extLst>
            <a:ext uri="{FF2B5EF4-FFF2-40B4-BE49-F238E27FC236}">
              <a16:creationId xmlns:a16="http://schemas.microsoft.com/office/drawing/2014/main" id="{00000000-0008-0000-0000-00008F040000}"/>
            </a:ext>
          </a:extLst>
        </xdr:cNvPr>
        <xdr:cNvSpPr>
          <a:spLocks noChangeShapeType="1"/>
        </xdr:cNvSpPr>
      </xdr:nvSpPr>
      <xdr:spPr bwMode="auto">
        <a:xfrm>
          <a:off x="199834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476250</xdr:colOff>
      <xdr:row>72</xdr:row>
      <xdr:rowOff>76200</xdr:rowOff>
    </xdr:from>
    <xdr:to>
      <xdr:col>27</xdr:col>
      <xdr:colOff>476250</xdr:colOff>
      <xdr:row>72</xdr:row>
      <xdr:rowOff>180975</xdr:rowOff>
    </xdr:to>
    <xdr:sp macro="" textlink="">
      <xdr:nvSpPr>
        <xdr:cNvPr id="1168" name="Line 3009">
          <a:extLst>
            <a:ext uri="{FF2B5EF4-FFF2-40B4-BE49-F238E27FC236}">
              <a16:creationId xmlns:a16="http://schemas.microsoft.com/office/drawing/2014/main" id="{00000000-0008-0000-0000-000090040000}"/>
            </a:ext>
          </a:extLst>
        </xdr:cNvPr>
        <xdr:cNvSpPr>
          <a:spLocks noChangeShapeType="1"/>
        </xdr:cNvSpPr>
      </xdr:nvSpPr>
      <xdr:spPr bwMode="auto">
        <a:xfrm>
          <a:off x="20021550"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514350</xdr:colOff>
      <xdr:row>72</xdr:row>
      <xdr:rowOff>76200</xdr:rowOff>
    </xdr:from>
    <xdr:to>
      <xdr:col>27</xdr:col>
      <xdr:colOff>514350</xdr:colOff>
      <xdr:row>72</xdr:row>
      <xdr:rowOff>190500</xdr:rowOff>
    </xdr:to>
    <xdr:sp macro="" textlink="">
      <xdr:nvSpPr>
        <xdr:cNvPr id="1169" name="Line 3010">
          <a:extLst>
            <a:ext uri="{FF2B5EF4-FFF2-40B4-BE49-F238E27FC236}">
              <a16:creationId xmlns:a16="http://schemas.microsoft.com/office/drawing/2014/main" id="{00000000-0008-0000-0000-000091040000}"/>
            </a:ext>
          </a:extLst>
        </xdr:cNvPr>
        <xdr:cNvSpPr>
          <a:spLocks noChangeShapeType="1"/>
        </xdr:cNvSpPr>
      </xdr:nvSpPr>
      <xdr:spPr bwMode="auto">
        <a:xfrm>
          <a:off x="200596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552450</xdr:colOff>
      <xdr:row>72</xdr:row>
      <xdr:rowOff>76200</xdr:rowOff>
    </xdr:from>
    <xdr:to>
      <xdr:col>27</xdr:col>
      <xdr:colOff>552450</xdr:colOff>
      <xdr:row>72</xdr:row>
      <xdr:rowOff>190500</xdr:rowOff>
    </xdr:to>
    <xdr:sp macro="" textlink="">
      <xdr:nvSpPr>
        <xdr:cNvPr id="1170" name="Line 3011">
          <a:extLst>
            <a:ext uri="{FF2B5EF4-FFF2-40B4-BE49-F238E27FC236}">
              <a16:creationId xmlns:a16="http://schemas.microsoft.com/office/drawing/2014/main" id="{00000000-0008-0000-0000-000092040000}"/>
            </a:ext>
          </a:extLst>
        </xdr:cNvPr>
        <xdr:cNvSpPr>
          <a:spLocks noChangeShapeType="1"/>
        </xdr:cNvSpPr>
      </xdr:nvSpPr>
      <xdr:spPr bwMode="auto">
        <a:xfrm>
          <a:off x="200977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590550</xdr:colOff>
      <xdr:row>72</xdr:row>
      <xdr:rowOff>76200</xdr:rowOff>
    </xdr:from>
    <xdr:to>
      <xdr:col>27</xdr:col>
      <xdr:colOff>590550</xdr:colOff>
      <xdr:row>72</xdr:row>
      <xdr:rowOff>190500</xdr:rowOff>
    </xdr:to>
    <xdr:sp macro="" textlink="">
      <xdr:nvSpPr>
        <xdr:cNvPr id="1171" name="Line 3012">
          <a:extLst>
            <a:ext uri="{FF2B5EF4-FFF2-40B4-BE49-F238E27FC236}">
              <a16:creationId xmlns:a16="http://schemas.microsoft.com/office/drawing/2014/main" id="{00000000-0008-0000-0000-000093040000}"/>
            </a:ext>
          </a:extLst>
        </xdr:cNvPr>
        <xdr:cNvSpPr>
          <a:spLocks noChangeShapeType="1"/>
        </xdr:cNvSpPr>
      </xdr:nvSpPr>
      <xdr:spPr bwMode="auto">
        <a:xfrm>
          <a:off x="201358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628650</xdr:colOff>
      <xdr:row>72</xdr:row>
      <xdr:rowOff>76200</xdr:rowOff>
    </xdr:from>
    <xdr:to>
      <xdr:col>27</xdr:col>
      <xdr:colOff>628650</xdr:colOff>
      <xdr:row>72</xdr:row>
      <xdr:rowOff>190500</xdr:rowOff>
    </xdr:to>
    <xdr:sp macro="" textlink="">
      <xdr:nvSpPr>
        <xdr:cNvPr id="1172" name="Line 3013">
          <a:extLst>
            <a:ext uri="{FF2B5EF4-FFF2-40B4-BE49-F238E27FC236}">
              <a16:creationId xmlns:a16="http://schemas.microsoft.com/office/drawing/2014/main" id="{00000000-0008-0000-0000-000094040000}"/>
            </a:ext>
          </a:extLst>
        </xdr:cNvPr>
        <xdr:cNvSpPr>
          <a:spLocks noChangeShapeType="1"/>
        </xdr:cNvSpPr>
      </xdr:nvSpPr>
      <xdr:spPr bwMode="auto">
        <a:xfrm>
          <a:off x="201739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666750</xdr:colOff>
      <xdr:row>72</xdr:row>
      <xdr:rowOff>76200</xdr:rowOff>
    </xdr:from>
    <xdr:to>
      <xdr:col>27</xdr:col>
      <xdr:colOff>666750</xdr:colOff>
      <xdr:row>72</xdr:row>
      <xdr:rowOff>190500</xdr:rowOff>
    </xdr:to>
    <xdr:sp macro="" textlink="">
      <xdr:nvSpPr>
        <xdr:cNvPr id="1173" name="Line 3014">
          <a:extLst>
            <a:ext uri="{FF2B5EF4-FFF2-40B4-BE49-F238E27FC236}">
              <a16:creationId xmlns:a16="http://schemas.microsoft.com/office/drawing/2014/main" id="{00000000-0008-0000-0000-000095040000}"/>
            </a:ext>
          </a:extLst>
        </xdr:cNvPr>
        <xdr:cNvSpPr>
          <a:spLocks noChangeShapeType="1"/>
        </xdr:cNvSpPr>
      </xdr:nvSpPr>
      <xdr:spPr bwMode="auto">
        <a:xfrm>
          <a:off x="20212050"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695325</xdr:colOff>
      <xdr:row>72</xdr:row>
      <xdr:rowOff>76200</xdr:rowOff>
    </xdr:from>
    <xdr:to>
      <xdr:col>27</xdr:col>
      <xdr:colOff>695325</xdr:colOff>
      <xdr:row>72</xdr:row>
      <xdr:rowOff>180975</xdr:rowOff>
    </xdr:to>
    <xdr:sp macro="" textlink="">
      <xdr:nvSpPr>
        <xdr:cNvPr id="1174" name="Line 3015">
          <a:extLst>
            <a:ext uri="{FF2B5EF4-FFF2-40B4-BE49-F238E27FC236}">
              <a16:creationId xmlns:a16="http://schemas.microsoft.com/office/drawing/2014/main" id="{00000000-0008-0000-0000-000096040000}"/>
            </a:ext>
          </a:extLst>
        </xdr:cNvPr>
        <xdr:cNvSpPr>
          <a:spLocks noChangeShapeType="1"/>
        </xdr:cNvSpPr>
      </xdr:nvSpPr>
      <xdr:spPr bwMode="auto">
        <a:xfrm>
          <a:off x="20240625"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733425</xdr:colOff>
      <xdr:row>72</xdr:row>
      <xdr:rowOff>76200</xdr:rowOff>
    </xdr:from>
    <xdr:to>
      <xdr:col>27</xdr:col>
      <xdr:colOff>733425</xdr:colOff>
      <xdr:row>72</xdr:row>
      <xdr:rowOff>180975</xdr:rowOff>
    </xdr:to>
    <xdr:sp macro="" textlink="">
      <xdr:nvSpPr>
        <xdr:cNvPr id="1175" name="Line 3016">
          <a:extLst>
            <a:ext uri="{FF2B5EF4-FFF2-40B4-BE49-F238E27FC236}">
              <a16:creationId xmlns:a16="http://schemas.microsoft.com/office/drawing/2014/main" id="{00000000-0008-0000-0000-000097040000}"/>
            </a:ext>
          </a:extLst>
        </xdr:cNvPr>
        <xdr:cNvSpPr>
          <a:spLocks noChangeShapeType="1"/>
        </xdr:cNvSpPr>
      </xdr:nvSpPr>
      <xdr:spPr bwMode="auto">
        <a:xfrm>
          <a:off x="20278725"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285750</xdr:colOff>
      <xdr:row>70</xdr:row>
      <xdr:rowOff>76200</xdr:rowOff>
    </xdr:from>
    <xdr:to>
      <xdr:col>26</xdr:col>
      <xdr:colOff>285750</xdr:colOff>
      <xdr:row>71</xdr:row>
      <xdr:rowOff>152400</xdr:rowOff>
    </xdr:to>
    <xdr:sp macro="" textlink="">
      <xdr:nvSpPr>
        <xdr:cNvPr id="1176" name="Line 3017">
          <a:extLst>
            <a:ext uri="{FF2B5EF4-FFF2-40B4-BE49-F238E27FC236}">
              <a16:creationId xmlns:a16="http://schemas.microsoft.com/office/drawing/2014/main" id="{00000000-0008-0000-0000-000098040000}"/>
            </a:ext>
          </a:extLst>
        </xdr:cNvPr>
        <xdr:cNvSpPr>
          <a:spLocks noChangeShapeType="1"/>
        </xdr:cNvSpPr>
      </xdr:nvSpPr>
      <xdr:spPr bwMode="auto">
        <a:xfrm>
          <a:off x="190785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323850</xdr:colOff>
      <xdr:row>70</xdr:row>
      <xdr:rowOff>76200</xdr:rowOff>
    </xdr:from>
    <xdr:to>
      <xdr:col>26</xdr:col>
      <xdr:colOff>323850</xdr:colOff>
      <xdr:row>71</xdr:row>
      <xdr:rowOff>152400</xdr:rowOff>
    </xdr:to>
    <xdr:sp macro="" textlink="">
      <xdr:nvSpPr>
        <xdr:cNvPr id="1177" name="Line 3018">
          <a:extLst>
            <a:ext uri="{FF2B5EF4-FFF2-40B4-BE49-F238E27FC236}">
              <a16:creationId xmlns:a16="http://schemas.microsoft.com/office/drawing/2014/main" id="{00000000-0008-0000-0000-000099040000}"/>
            </a:ext>
          </a:extLst>
        </xdr:cNvPr>
        <xdr:cNvSpPr>
          <a:spLocks noChangeShapeType="1"/>
        </xdr:cNvSpPr>
      </xdr:nvSpPr>
      <xdr:spPr bwMode="auto">
        <a:xfrm>
          <a:off x="191166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361950</xdr:colOff>
      <xdr:row>70</xdr:row>
      <xdr:rowOff>76200</xdr:rowOff>
    </xdr:from>
    <xdr:to>
      <xdr:col>26</xdr:col>
      <xdr:colOff>361950</xdr:colOff>
      <xdr:row>71</xdr:row>
      <xdr:rowOff>142875</xdr:rowOff>
    </xdr:to>
    <xdr:sp macro="" textlink="">
      <xdr:nvSpPr>
        <xdr:cNvPr id="1178" name="Line 3019">
          <a:extLst>
            <a:ext uri="{FF2B5EF4-FFF2-40B4-BE49-F238E27FC236}">
              <a16:creationId xmlns:a16="http://schemas.microsoft.com/office/drawing/2014/main" id="{00000000-0008-0000-0000-00009A040000}"/>
            </a:ext>
          </a:extLst>
        </xdr:cNvPr>
        <xdr:cNvSpPr>
          <a:spLocks noChangeShapeType="1"/>
        </xdr:cNvSpPr>
      </xdr:nvSpPr>
      <xdr:spPr bwMode="auto">
        <a:xfrm>
          <a:off x="191547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400050</xdr:colOff>
      <xdr:row>70</xdr:row>
      <xdr:rowOff>76200</xdr:rowOff>
    </xdr:from>
    <xdr:to>
      <xdr:col>26</xdr:col>
      <xdr:colOff>400050</xdr:colOff>
      <xdr:row>71</xdr:row>
      <xdr:rowOff>142875</xdr:rowOff>
    </xdr:to>
    <xdr:sp macro="" textlink="">
      <xdr:nvSpPr>
        <xdr:cNvPr id="1179" name="Line 3020">
          <a:extLst>
            <a:ext uri="{FF2B5EF4-FFF2-40B4-BE49-F238E27FC236}">
              <a16:creationId xmlns:a16="http://schemas.microsoft.com/office/drawing/2014/main" id="{00000000-0008-0000-0000-00009B040000}"/>
            </a:ext>
          </a:extLst>
        </xdr:cNvPr>
        <xdr:cNvSpPr>
          <a:spLocks noChangeShapeType="1"/>
        </xdr:cNvSpPr>
      </xdr:nvSpPr>
      <xdr:spPr bwMode="auto">
        <a:xfrm>
          <a:off x="191928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438150</xdr:colOff>
      <xdr:row>70</xdr:row>
      <xdr:rowOff>76200</xdr:rowOff>
    </xdr:from>
    <xdr:to>
      <xdr:col>26</xdr:col>
      <xdr:colOff>438150</xdr:colOff>
      <xdr:row>71</xdr:row>
      <xdr:rowOff>152400</xdr:rowOff>
    </xdr:to>
    <xdr:sp macro="" textlink="">
      <xdr:nvSpPr>
        <xdr:cNvPr id="1180" name="Line 3021">
          <a:extLst>
            <a:ext uri="{FF2B5EF4-FFF2-40B4-BE49-F238E27FC236}">
              <a16:creationId xmlns:a16="http://schemas.microsoft.com/office/drawing/2014/main" id="{00000000-0008-0000-0000-00009C040000}"/>
            </a:ext>
          </a:extLst>
        </xdr:cNvPr>
        <xdr:cNvSpPr>
          <a:spLocks noChangeShapeType="1"/>
        </xdr:cNvSpPr>
      </xdr:nvSpPr>
      <xdr:spPr bwMode="auto">
        <a:xfrm>
          <a:off x="192309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476250</xdr:colOff>
      <xdr:row>70</xdr:row>
      <xdr:rowOff>76200</xdr:rowOff>
    </xdr:from>
    <xdr:to>
      <xdr:col>26</xdr:col>
      <xdr:colOff>476250</xdr:colOff>
      <xdr:row>71</xdr:row>
      <xdr:rowOff>152400</xdr:rowOff>
    </xdr:to>
    <xdr:sp macro="" textlink="">
      <xdr:nvSpPr>
        <xdr:cNvPr id="1181" name="Line 3022">
          <a:extLst>
            <a:ext uri="{FF2B5EF4-FFF2-40B4-BE49-F238E27FC236}">
              <a16:creationId xmlns:a16="http://schemas.microsoft.com/office/drawing/2014/main" id="{00000000-0008-0000-0000-00009D040000}"/>
            </a:ext>
          </a:extLst>
        </xdr:cNvPr>
        <xdr:cNvSpPr>
          <a:spLocks noChangeShapeType="1"/>
        </xdr:cNvSpPr>
      </xdr:nvSpPr>
      <xdr:spPr bwMode="auto">
        <a:xfrm>
          <a:off x="192690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514350</xdr:colOff>
      <xdr:row>70</xdr:row>
      <xdr:rowOff>76200</xdr:rowOff>
    </xdr:from>
    <xdr:to>
      <xdr:col>26</xdr:col>
      <xdr:colOff>514350</xdr:colOff>
      <xdr:row>71</xdr:row>
      <xdr:rowOff>152400</xdr:rowOff>
    </xdr:to>
    <xdr:sp macro="" textlink="">
      <xdr:nvSpPr>
        <xdr:cNvPr id="1182" name="Line 3023">
          <a:extLst>
            <a:ext uri="{FF2B5EF4-FFF2-40B4-BE49-F238E27FC236}">
              <a16:creationId xmlns:a16="http://schemas.microsoft.com/office/drawing/2014/main" id="{00000000-0008-0000-0000-00009E040000}"/>
            </a:ext>
          </a:extLst>
        </xdr:cNvPr>
        <xdr:cNvSpPr>
          <a:spLocks noChangeShapeType="1"/>
        </xdr:cNvSpPr>
      </xdr:nvSpPr>
      <xdr:spPr bwMode="auto">
        <a:xfrm>
          <a:off x="193071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552450</xdr:colOff>
      <xdr:row>70</xdr:row>
      <xdr:rowOff>76200</xdr:rowOff>
    </xdr:from>
    <xdr:to>
      <xdr:col>26</xdr:col>
      <xdr:colOff>552450</xdr:colOff>
      <xdr:row>71</xdr:row>
      <xdr:rowOff>142875</xdr:rowOff>
    </xdr:to>
    <xdr:sp macro="" textlink="">
      <xdr:nvSpPr>
        <xdr:cNvPr id="1183" name="Line 3024">
          <a:extLst>
            <a:ext uri="{FF2B5EF4-FFF2-40B4-BE49-F238E27FC236}">
              <a16:creationId xmlns:a16="http://schemas.microsoft.com/office/drawing/2014/main" id="{00000000-0008-0000-0000-00009F040000}"/>
            </a:ext>
          </a:extLst>
        </xdr:cNvPr>
        <xdr:cNvSpPr>
          <a:spLocks noChangeShapeType="1"/>
        </xdr:cNvSpPr>
      </xdr:nvSpPr>
      <xdr:spPr bwMode="auto">
        <a:xfrm>
          <a:off x="193452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590550</xdr:colOff>
      <xdr:row>70</xdr:row>
      <xdr:rowOff>76200</xdr:rowOff>
    </xdr:from>
    <xdr:to>
      <xdr:col>26</xdr:col>
      <xdr:colOff>590550</xdr:colOff>
      <xdr:row>71</xdr:row>
      <xdr:rowOff>152400</xdr:rowOff>
    </xdr:to>
    <xdr:sp macro="" textlink="">
      <xdr:nvSpPr>
        <xdr:cNvPr id="1184" name="Line 3025">
          <a:extLst>
            <a:ext uri="{FF2B5EF4-FFF2-40B4-BE49-F238E27FC236}">
              <a16:creationId xmlns:a16="http://schemas.microsoft.com/office/drawing/2014/main" id="{00000000-0008-0000-0000-0000A0040000}"/>
            </a:ext>
          </a:extLst>
        </xdr:cNvPr>
        <xdr:cNvSpPr>
          <a:spLocks noChangeShapeType="1"/>
        </xdr:cNvSpPr>
      </xdr:nvSpPr>
      <xdr:spPr bwMode="auto">
        <a:xfrm>
          <a:off x="193833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628650</xdr:colOff>
      <xdr:row>70</xdr:row>
      <xdr:rowOff>76200</xdr:rowOff>
    </xdr:from>
    <xdr:to>
      <xdr:col>26</xdr:col>
      <xdr:colOff>628650</xdr:colOff>
      <xdr:row>71</xdr:row>
      <xdr:rowOff>152400</xdr:rowOff>
    </xdr:to>
    <xdr:sp macro="" textlink="">
      <xdr:nvSpPr>
        <xdr:cNvPr id="1185" name="Line 3026">
          <a:extLst>
            <a:ext uri="{FF2B5EF4-FFF2-40B4-BE49-F238E27FC236}">
              <a16:creationId xmlns:a16="http://schemas.microsoft.com/office/drawing/2014/main" id="{00000000-0008-0000-0000-0000A1040000}"/>
            </a:ext>
          </a:extLst>
        </xdr:cNvPr>
        <xdr:cNvSpPr>
          <a:spLocks noChangeShapeType="1"/>
        </xdr:cNvSpPr>
      </xdr:nvSpPr>
      <xdr:spPr bwMode="auto">
        <a:xfrm>
          <a:off x="194214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666750</xdr:colOff>
      <xdr:row>70</xdr:row>
      <xdr:rowOff>76200</xdr:rowOff>
    </xdr:from>
    <xdr:to>
      <xdr:col>26</xdr:col>
      <xdr:colOff>666750</xdr:colOff>
      <xdr:row>71</xdr:row>
      <xdr:rowOff>152400</xdr:rowOff>
    </xdr:to>
    <xdr:sp macro="" textlink="">
      <xdr:nvSpPr>
        <xdr:cNvPr id="1186" name="Line 3027">
          <a:extLst>
            <a:ext uri="{FF2B5EF4-FFF2-40B4-BE49-F238E27FC236}">
              <a16:creationId xmlns:a16="http://schemas.microsoft.com/office/drawing/2014/main" id="{00000000-0008-0000-0000-0000A2040000}"/>
            </a:ext>
          </a:extLst>
        </xdr:cNvPr>
        <xdr:cNvSpPr>
          <a:spLocks noChangeShapeType="1"/>
        </xdr:cNvSpPr>
      </xdr:nvSpPr>
      <xdr:spPr bwMode="auto">
        <a:xfrm>
          <a:off x="194595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704850</xdr:colOff>
      <xdr:row>70</xdr:row>
      <xdr:rowOff>76200</xdr:rowOff>
    </xdr:from>
    <xdr:to>
      <xdr:col>26</xdr:col>
      <xdr:colOff>704850</xdr:colOff>
      <xdr:row>71</xdr:row>
      <xdr:rowOff>142875</xdr:rowOff>
    </xdr:to>
    <xdr:sp macro="" textlink="">
      <xdr:nvSpPr>
        <xdr:cNvPr id="1187" name="Line 3028">
          <a:extLst>
            <a:ext uri="{FF2B5EF4-FFF2-40B4-BE49-F238E27FC236}">
              <a16:creationId xmlns:a16="http://schemas.microsoft.com/office/drawing/2014/main" id="{00000000-0008-0000-0000-0000A3040000}"/>
            </a:ext>
          </a:extLst>
        </xdr:cNvPr>
        <xdr:cNvSpPr>
          <a:spLocks noChangeShapeType="1"/>
        </xdr:cNvSpPr>
      </xdr:nvSpPr>
      <xdr:spPr bwMode="auto">
        <a:xfrm>
          <a:off x="194976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742950</xdr:colOff>
      <xdr:row>70</xdr:row>
      <xdr:rowOff>76200</xdr:rowOff>
    </xdr:from>
    <xdr:to>
      <xdr:col>26</xdr:col>
      <xdr:colOff>742950</xdr:colOff>
      <xdr:row>71</xdr:row>
      <xdr:rowOff>142875</xdr:rowOff>
    </xdr:to>
    <xdr:sp macro="" textlink="">
      <xdr:nvSpPr>
        <xdr:cNvPr id="1188" name="Line 3029">
          <a:extLst>
            <a:ext uri="{FF2B5EF4-FFF2-40B4-BE49-F238E27FC236}">
              <a16:creationId xmlns:a16="http://schemas.microsoft.com/office/drawing/2014/main" id="{00000000-0008-0000-0000-0000A4040000}"/>
            </a:ext>
          </a:extLst>
        </xdr:cNvPr>
        <xdr:cNvSpPr>
          <a:spLocks noChangeShapeType="1"/>
        </xdr:cNvSpPr>
      </xdr:nvSpPr>
      <xdr:spPr bwMode="auto">
        <a:xfrm>
          <a:off x="195357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28575</xdr:colOff>
      <xdr:row>70</xdr:row>
      <xdr:rowOff>76200</xdr:rowOff>
    </xdr:from>
    <xdr:to>
      <xdr:col>27</xdr:col>
      <xdr:colOff>28575</xdr:colOff>
      <xdr:row>71</xdr:row>
      <xdr:rowOff>152400</xdr:rowOff>
    </xdr:to>
    <xdr:sp macro="" textlink="">
      <xdr:nvSpPr>
        <xdr:cNvPr id="1189" name="Line 3030">
          <a:extLst>
            <a:ext uri="{FF2B5EF4-FFF2-40B4-BE49-F238E27FC236}">
              <a16:creationId xmlns:a16="http://schemas.microsoft.com/office/drawing/2014/main" id="{00000000-0008-0000-0000-0000A5040000}"/>
            </a:ext>
          </a:extLst>
        </xdr:cNvPr>
        <xdr:cNvSpPr>
          <a:spLocks noChangeShapeType="1"/>
        </xdr:cNvSpPr>
      </xdr:nvSpPr>
      <xdr:spPr bwMode="auto">
        <a:xfrm>
          <a:off x="195738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66675</xdr:colOff>
      <xdr:row>70</xdr:row>
      <xdr:rowOff>76200</xdr:rowOff>
    </xdr:from>
    <xdr:to>
      <xdr:col>27</xdr:col>
      <xdr:colOff>66675</xdr:colOff>
      <xdr:row>71</xdr:row>
      <xdr:rowOff>152400</xdr:rowOff>
    </xdr:to>
    <xdr:sp macro="" textlink="">
      <xdr:nvSpPr>
        <xdr:cNvPr id="1190" name="Line 3031">
          <a:extLst>
            <a:ext uri="{FF2B5EF4-FFF2-40B4-BE49-F238E27FC236}">
              <a16:creationId xmlns:a16="http://schemas.microsoft.com/office/drawing/2014/main" id="{00000000-0008-0000-0000-0000A6040000}"/>
            </a:ext>
          </a:extLst>
        </xdr:cNvPr>
        <xdr:cNvSpPr>
          <a:spLocks noChangeShapeType="1"/>
        </xdr:cNvSpPr>
      </xdr:nvSpPr>
      <xdr:spPr bwMode="auto">
        <a:xfrm>
          <a:off x="196119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104775</xdr:colOff>
      <xdr:row>70</xdr:row>
      <xdr:rowOff>76200</xdr:rowOff>
    </xdr:from>
    <xdr:to>
      <xdr:col>27</xdr:col>
      <xdr:colOff>104775</xdr:colOff>
      <xdr:row>71</xdr:row>
      <xdr:rowOff>152400</xdr:rowOff>
    </xdr:to>
    <xdr:sp macro="" textlink="">
      <xdr:nvSpPr>
        <xdr:cNvPr id="1191" name="Line 3032">
          <a:extLst>
            <a:ext uri="{FF2B5EF4-FFF2-40B4-BE49-F238E27FC236}">
              <a16:creationId xmlns:a16="http://schemas.microsoft.com/office/drawing/2014/main" id="{00000000-0008-0000-0000-0000A7040000}"/>
            </a:ext>
          </a:extLst>
        </xdr:cNvPr>
        <xdr:cNvSpPr>
          <a:spLocks noChangeShapeType="1"/>
        </xdr:cNvSpPr>
      </xdr:nvSpPr>
      <xdr:spPr bwMode="auto">
        <a:xfrm>
          <a:off x="196500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142875</xdr:colOff>
      <xdr:row>70</xdr:row>
      <xdr:rowOff>76200</xdr:rowOff>
    </xdr:from>
    <xdr:to>
      <xdr:col>27</xdr:col>
      <xdr:colOff>142875</xdr:colOff>
      <xdr:row>71</xdr:row>
      <xdr:rowOff>142875</xdr:rowOff>
    </xdr:to>
    <xdr:sp macro="" textlink="">
      <xdr:nvSpPr>
        <xdr:cNvPr id="1192" name="Line 3033">
          <a:extLst>
            <a:ext uri="{FF2B5EF4-FFF2-40B4-BE49-F238E27FC236}">
              <a16:creationId xmlns:a16="http://schemas.microsoft.com/office/drawing/2014/main" id="{00000000-0008-0000-0000-0000A8040000}"/>
            </a:ext>
          </a:extLst>
        </xdr:cNvPr>
        <xdr:cNvSpPr>
          <a:spLocks noChangeShapeType="1"/>
        </xdr:cNvSpPr>
      </xdr:nvSpPr>
      <xdr:spPr bwMode="auto">
        <a:xfrm>
          <a:off x="196881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180975</xdr:colOff>
      <xdr:row>70</xdr:row>
      <xdr:rowOff>76200</xdr:rowOff>
    </xdr:from>
    <xdr:to>
      <xdr:col>27</xdr:col>
      <xdr:colOff>180975</xdr:colOff>
      <xdr:row>71</xdr:row>
      <xdr:rowOff>152400</xdr:rowOff>
    </xdr:to>
    <xdr:sp macro="" textlink="">
      <xdr:nvSpPr>
        <xdr:cNvPr id="1193" name="Line 3034">
          <a:extLst>
            <a:ext uri="{FF2B5EF4-FFF2-40B4-BE49-F238E27FC236}">
              <a16:creationId xmlns:a16="http://schemas.microsoft.com/office/drawing/2014/main" id="{00000000-0008-0000-0000-0000A9040000}"/>
            </a:ext>
          </a:extLst>
        </xdr:cNvPr>
        <xdr:cNvSpPr>
          <a:spLocks noChangeShapeType="1"/>
        </xdr:cNvSpPr>
      </xdr:nvSpPr>
      <xdr:spPr bwMode="auto">
        <a:xfrm>
          <a:off x="197262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219075</xdr:colOff>
      <xdr:row>70</xdr:row>
      <xdr:rowOff>76200</xdr:rowOff>
    </xdr:from>
    <xdr:to>
      <xdr:col>27</xdr:col>
      <xdr:colOff>219075</xdr:colOff>
      <xdr:row>71</xdr:row>
      <xdr:rowOff>152400</xdr:rowOff>
    </xdr:to>
    <xdr:sp macro="" textlink="">
      <xdr:nvSpPr>
        <xdr:cNvPr id="1194" name="Line 3035">
          <a:extLst>
            <a:ext uri="{FF2B5EF4-FFF2-40B4-BE49-F238E27FC236}">
              <a16:creationId xmlns:a16="http://schemas.microsoft.com/office/drawing/2014/main" id="{00000000-0008-0000-0000-0000AA040000}"/>
            </a:ext>
          </a:extLst>
        </xdr:cNvPr>
        <xdr:cNvSpPr>
          <a:spLocks noChangeShapeType="1"/>
        </xdr:cNvSpPr>
      </xdr:nvSpPr>
      <xdr:spPr bwMode="auto">
        <a:xfrm>
          <a:off x="197643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257175</xdr:colOff>
      <xdr:row>70</xdr:row>
      <xdr:rowOff>76200</xdr:rowOff>
    </xdr:from>
    <xdr:to>
      <xdr:col>27</xdr:col>
      <xdr:colOff>257175</xdr:colOff>
      <xdr:row>71</xdr:row>
      <xdr:rowOff>152400</xdr:rowOff>
    </xdr:to>
    <xdr:sp macro="" textlink="">
      <xdr:nvSpPr>
        <xdr:cNvPr id="1195" name="Line 3036">
          <a:extLst>
            <a:ext uri="{FF2B5EF4-FFF2-40B4-BE49-F238E27FC236}">
              <a16:creationId xmlns:a16="http://schemas.microsoft.com/office/drawing/2014/main" id="{00000000-0008-0000-0000-0000AB040000}"/>
            </a:ext>
          </a:extLst>
        </xdr:cNvPr>
        <xdr:cNvSpPr>
          <a:spLocks noChangeShapeType="1"/>
        </xdr:cNvSpPr>
      </xdr:nvSpPr>
      <xdr:spPr bwMode="auto">
        <a:xfrm>
          <a:off x="198024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295275</xdr:colOff>
      <xdr:row>70</xdr:row>
      <xdr:rowOff>76200</xdr:rowOff>
    </xdr:from>
    <xdr:to>
      <xdr:col>27</xdr:col>
      <xdr:colOff>295275</xdr:colOff>
      <xdr:row>71</xdr:row>
      <xdr:rowOff>142875</xdr:rowOff>
    </xdr:to>
    <xdr:sp macro="" textlink="">
      <xdr:nvSpPr>
        <xdr:cNvPr id="1196" name="Line 3037">
          <a:extLst>
            <a:ext uri="{FF2B5EF4-FFF2-40B4-BE49-F238E27FC236}">
              <a16:creationId xmlns:a16="http://schemas.microsoft.com/office/drawing/2014/main" id="{00000000-0008-0000-0000-0000AC040000}"/>
            </a:ext>
          </a:extLst>
        </xdr:cNvPr>
        <xdr:cNvSpPr>
          <a:spLocks noChangeShapeType="1"/>
        </xdr:cNvSpPr>
      </xdr:nvSpPr>
      <xdr:spPr bwMode="auto">
        <a:xfrm>
          <a:off x="198405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333375</xdr:colOff>
      <xdr:row>70</xdr:row>
      <xdr:rowOff>76200</xdr:rowOff>
    </xdr:from>
    <xdr:to>
      <xdr:col>27</xdr:col>
      <xdr:colOff>333375</xdr:colOff>
      <xdr:row>71</xdr:row>
      <xdr:rowOff>142875</xdr:rowOff>
    </xdr:to>
    <xdr:sp macro="" textlink="">
      <xdr:nvSpPr>
        <xdr:cNvPr id="1197" name="Line 3038">
          <a:extLst>
            <a:ext uri="{FF2B5EF4-FFF2-40B4-BE49-F238E27FC236}">
              <a16:creationId xmlns:a16="http://schemas.microsoft.com/office/drawing/2014/main" id="{00000000-0008-0000-0000-0000AD040000}"/>
            </a:ext>
          </a:extLst>
        </xdr:cNvPr>
        <xdr:cNvSpPr>
          <a:spLocks noChangeShapeType="1"/>
        </xdr:cNvSpPr>
      </xdr:nvSpPr>
      <xdr:spPr bwMode="auto">
        <a:xfrm>
          <a:off x="198786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371475</xdr:colOff>
      <xdr:row>70</xdr:row>
      <xdr:rowOff>76200</xdr:rowOff>
    </xdr:from>
    <xdr:to>
      <xdr:col>27</xdr:col>
      <xdr:colOff>371475</xdr:colOff>
      <xdr:row>71</xdr:row>
      <xdr:rowOff>152400</xdr:rowOff>
    </xdr:to>
    <xdr:sp macro="" textlink="">
      <xdr:nvSpPr>
        <xdr:cNvPr id="1198" name="Line 3039">
          <a:extLst>
            <a:ext uri="{FF2B5EF4-FFF2-40B4-BE49-F238E27FC236}">
              <a16:creationId xmlns:a16="http://schemas.microsoft.com/office/drawing/2014/main" id="{00000000-0008-0000-0000-0000AE040000}"/>
            </a:ext>
          </a:extLst>
        </xdr:cNvPr>
        <xdr:cNvSpPr>
          <a:spLocks noChangeShapeType="1"/>
        </xdr:cNvSpPr>
      </xdr:nvSpPr>
      <xdr:spPr bwMode="auto">
        <a:xfrm>
          <a:off x="199167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409575</xdr:colOff>
      <xdr:row>70</xdr:row>
      <xdr:rowOff>76200</xdr:rowOff>
    </xdr:from>
    <xdr:to>
      <xdr:col>27</xdr:col>
      <xdr:colOff>409575</xdr:colOff>
      <xdr:row>71</xdr:row>
      <xdr:rowOff>152400</xdr:rowOff>
    </xdr:to>
    <xdr:sp macro="" textlink="">
      <xdr:nvSpPr>
        <xdr:cNvPr id="1199" name="Line 3040">
          <a:extLst>
            <a:ext uri="{FF2B5EF4-FFF2-40B4-BE49-F238E27FC236}">
              <a16:creationId xmlns:a16="http://schemas.microsoft.com/office/drawing/2014/main" id="{00000000-0008-0000-0000-0000AF040000}"/>
            </a:ext>
          </a:extLst>
        </xdr:cNvPr>
        <xdr:cNvSpPr>
          <a:spLocks noChangeShapeType="1"/>
        </xdr:cNvSpPr>
      </xdr:nvSpPr>
      <xdr:spPr bwMode="auto">
        <a:xfrm>
          <a:off x="199548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447675</xdr:colOff>
      <xdr:row>70</xdr:row>
      <xdr:rowOff>76200</xdr:rowOff>
    </xdr:from>
    <xdr:to>
      <xdr:col>27</xdr:col>
      <xdr:colOff>447675</xdr:colOff>
      <xdr:row>71</xdr:row>
      <xdr:rowOff>152400</xdr:rowOff>
    </xdr:to>
    <xdr:sp macro="" textlink="">
      <xdr:nvSpPr>
        <xdr:cNvPr id="1200" name="Line 3041">
          <a:extLst>
            <a:ext uri="{FF2B5EF4-FFF2-40B4-BE49-F238E27FC236}">
              <a16:creationId xmlns:a16="http://schemas.microsoft.com/office/drawing/2014/main" id="{00000000-0008-0000-0000-0000B0040000}"/>
            </a:ext>
          </a:extLst>
        </xdr:cNvPr>
        <xdr:cNvSpPr>
          <a:spLocks noChangeShapeType="1"/>
        </xdr:cNvSpPr>
      </xdr:nvSpPr>
      <xdr:spPr bwMode="auto">
        <a:xfrm>
          <a:off x="199929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485775</xdr:colOff>
      <xdr:row>70</xdr:row>
      <xdr:rowOff>76200</xdr:rowOff>
    </xdr:from>
    <xdr:to>
      <xdr:col>27</xdr:col>
      <xdr:colOff>485775</xdr:colOff>
      <xdr:row>71</xdr:row>
      <xdr:rowOff>142875</xdr:rowOff>
    </xdr:to>
    <xdr:sp macro="" textlink="">
      <xdr:nvSpPr>
        <xdr:cNvPr id="1201" name="Line 3042">
          <a:extLst>
            <a:ext uri="{FF2B5EF4-FFF2-40B4-BE49-F238E27FC236}">
              <a16:creationId xmlns:a16="http://schemas.microsoft.com/office/drawing/2014/main" id="{00000000-0008-0000-0000-0000B1040000}"/>
            </a:ext>
          </a:extLst>
        </xdr:cNvPr>
        <xdr:cNvSpPr>
          <a:spLocks noChangeShapeType="1"/>
        </xdr:cNvSpPr>
      </xdr:nvSpPr>
      <xdr:spPr bwMode="auto">
        <a:xfrm>
          <a:off x="200310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523875</xdr:colOff>
      <xdr:row>70</xdr:row>
      <xdr:rowOff>76200</xdr:rowOff>
    </xdr:from>
    <xdr:to>
      <xdr:col>27</xdr:col>
      <xdr:colOff>523875</xdr:colOff>
      <xdr:row>71</xdr:row>
      <xdr:rowOff>152400</xdr:rowOff>
    </xdr:to>
    <xdr:sp macro="" textlink="">
      <xdr:nvSpPr>
        <xdr:cNvPr id="1202" name="Line 3043">
          <a:extLst>
            <a:ext uri="{FF2B5EF4-FFF2-40B4-BE49-F238E27FC236}">
              <a16:creationId xmlns:a16="http://schemas.microsoft.com/office/drawing/2014/main" id="{00000000-0008-0000-0000-0000B2040000}"/>
            </a:ext>
          </a:extLst>
        </xdr:cNvPr>
        <xdr:cNvSpPr>
          <a:spLocks noChangeShapeType="1"/>
        </xdr:cNvSpPr>
      </xdr:nvSpPr>
      <xdr:spPr bwMode="auto">
        <a:xfrm>
          <a:off x="200691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561975</xdr:colOff>
      <xdr:row>70</xdr:row>
      <xdr:rowOff>76200</xdr:rowOff>
    </xdr:from>
    <xdr:to>
      <xdr:col>27</xdr:col>
      <xdr:colOff>561975</xdr:colOff>
      <xdr:row>71</xdr:row>
      <xdr:rowOff>152400</xdr:rowOff>
    </xdr:to>
    <xdr:sp macro="" textlink="">
      <xdr:nvSpPr>
        <xdr:cNvPr id="1203" name="Line 3044">
          <a:extLst>
            <a:ext uri="{FF2B5EF4-FFF2-40B4-BE49-F238E27FC236}">
              <a16:creationId xmlns:a16="http://schemas.microsoft.com/office/drawing/2014/main" id="{00000000-0008-0000-0000-0000B3040000}"/>
            </a:ext>
          </a:extLst>
        </xdr:cNvPr>
        <xdr:cNvSpPr>
          <a:spLocks noChangeShapeType="1"/>
        </xdr:cNvSpPr>
      </xdr:nvSpPr>
      <xdr:spPr bwMode="auto">
        <a:xfrm>
          <a:off x="201072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600075</xdr:colOff>
      <xdr:row>70</xdr:row>
      <xdr:rowOff>76200</xdr:rowOff>
    </xdr:from>
    <xdr:to>
      <xdr:col>27</xdr:col>
      <xdr:colOff>600075</xdr:colOff>
      <xdr:row>71</xdr:row>
      <xdr:rowOff>152400</xdr:rowOff>
    </xdr:to>
    <xdr:sp macro="" textlink="">
      <xdr:nvSpPr>
        <xdr:cNvPr id="1204" name="Line 3045">
          <a:extLst>
            <a:ext uri="{FF2B5EF4-FFF2-40B4-BE49-F238E27FC236}">
              <a16:creationId xmlns:a16="http://schemas.microsoft.com/office/drawing/2014/main" id="{00000000-0008-0000-0000-0000B4040000}"/>
            </a:ext>
          </a:extLst>
        </xdr:cNvPr>
        <xdr:cNvSpPr>
          <a:spLocks noChangeShapeType="1"/>
        </xdr:cNvSpPr>
      </xdr:nvSpPr>
      <xdr:spPr bwMode="auto">
        <a:xfrm>
          <a:off x="201453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638175</xdr:colOff>
      <xdr:row>70</xdr:row>
      <xdr:rowOff>76200</xdr:rowOff>
    </xdr:from>
    <xdr:to>
      <xdr:col>27</xdr:col>
      <xdr:colOff>638175</xdr:colOff>
      <xdr:row>71</xdr:row>
      <xdr:rowOff>142875</xdr:rowOff>
    </xdr:to>
    <xdr:sp macro="" textlink="">
      <xdr:nvSpPr>
        <xdr:cNvPr id="1205" name="Line 3046">
          <a:extLst>
            <a:ext uri="{FF2B5EF4-FFF2-40B4-BE49-F238E27FC236}">
              <a16:creationId xmlns:a16="http://schemas.microsoft.com/office/drawing/2014/main" id="{00000000-0008-0000-0000-0000B5040000}"/>
            </a:ext>
          </a:extLst>
        </xdr:cNvPr>
        <xdr:cNvSpPr>
          <a:spLocks noChangeShapeType="1"/>
        </xdr:cNvSpPr>
      </xdr:nvSpPr>
      <xdr:spPr bwMode="auto">
        <a:xfrm>
          <a:off x="201834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676275</xdr:colOff>
      <xdr:row>70</xdr:row>
      <xdr:rowOff>76200</xdr:rowOff>
    </xdr:from>
    <xdr:to>
      <xdr:col>27</xdr:col>
      <xdr:colOff>676275</xdr:colOff>
      <xdr:row>71</xdr:row>
      <xdr:rowOff>142875</xdr:rowOff>
    </xdr:to>
    <xdr:sp macro="" textlink="">
      <xdr:nvSpPr>
        <xdr:cNvPr id="1206" name="Line 3047">
          <a:extLst>
            <a:ext uri="{FF2B5EF4-FFF2-40B4-BE49-F238E27FC236}">
              <a16:creationId xmlns:a16="http://schemas.microsoft.com/office/drawing/2014/main" id="{00000000-0008-0000-0000-0000B6040000}"/>
            </a:ext>
          </a:extLst>
        </xdr:cNvPr>
        <xdr:cNvSpPr>
          <a:spLocks noChangeShapeType="1"/>
        </xdr:cNvSpPr>
      </xdr:nvSpPr>
      <xdr:spPr bwMode="auto">
        <a:xfrm>
          <a:off x="2022157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714375</xdr:colOff>
      <xdr:row>70</xdr:row>
      <xdr:rowOff>76200</xdr:rowOff>
    </xdr:from>
    <xdr:to>
      <xdr:col>27</xdr:col>
      <xdr:colOff>714375</xdr:colOff>
      <xdr:row>71</xdr:row>
      <xdr:rowOff>152400</xdr:rowOff>
    </xdr:to>
    <xdr:sp macro="" textlink="">
      <xdr:nvSpPr>
        <xdr:cNvPr id="1207" name="Line 3048">
          <a:extLst>
            <a:ext uri="{FF2B5EF4-FFF2-40B4-BE49-F238E27FC236}">
              <a16:creationId xmlns:a16="http://schemas.microsoft.com/office/drawing/2014/main" id="{00000000-0008-0000-0000-0000B7040000}"/>
            </a:ext>
          </a:extLst>
        </xdr:cNvPr>
        <xdr:cNvSpPr>
          <a:spLocks noChangeShapeType="1"/>
        </xdr:cNvSpPr>
      </xdr:nvSpPr>
      <xdr:spPr bwMode="auto">
        <a:xfrm>
          <a:off x="202596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247650</xdr:colOff>
      <xdr:row>70</xdr:row>
      <xdr:rowOff>76200</xdr:rowOff>
    </xdr:from>
    <xdr:to>
      <xdr:col>26</xdr:col>
      <xdr:colOff>247650</xdr:colOff>
      <xdr:row>71</xdr:row>
      <xdr:rowOff>152400</xdr:rowOff>
    </xdr:to>
    <xdr:sp macro="" textlink="">
      <xdr:nvSpPr>
        <xdr:cNvPr id="1208" name="Line 3049">
          <a:extLst>
            <a:ext uri="{FF2B5EF4-FFF2-40B4-BE49-F238E27FC236}">
              <a16:creationId xmlns:a16="http://schemas.microsoft.com/office/drawing/2014/main" id="{00000000-0008-0000-0000-0000B8040000}"/>
            </a:ext>
          </a:extLst>
        </xdr:cNvPr>
        <xdr:cNvSpPr>
          <a:spLocks noChangeShapeType="1"/>
        </xdr:cNvSpPr>
      </xdr:nvSpPr>
      <xdr:spPr bwMode="auto">
        <a:xfrm>
          <a:off x="1904047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209550</xdr:colOff>
      <xdr:row>70</xdr:row>
      <xdr:rowOff>85725</xdr:rowOff>
    </xdr:from>
    <xdr:to>
      <xdr:col>26</xdr:col>
      <xdr:colOff>209550</xdr:colOff>
      <xdr:row>71</xdr:row>
      <xdr:rowOff>161925</xdr:rowOff>
    </xdr:to>
    <xdr:sp macro="" textlink="">
      <xdr:nvSpPr>
        <xdr:cNvPr id="1209" name="Line 3050">
          <a:extLst>
            <a:ext uri="{FF2B5EF4-FFF2-40B4-BE49-F238E27FC236}">
              <a16:creationId xmlns:a16="http://schemas.microsoft.com/office/drawing/2014/main" id="{00000000-0008-0000-0000-0000B9040000}"/>
            </a:ext>
          </a:extLst>
        </xdr:cNvPr>
        <xdr:cNvSpPr>
          <a:spLocks noChangeShapeType="1"/>
        </xdr:cNvSpPr>
      </xdr:nvSpPr>
      <xdr:spPr bwMode="auto">
        <a:xfrm>
          <a:off x="19002375" y="134397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161925</xdr:colOff>
      <xdr:row>70</xdr:row>
      <xdr:rowOff>76200</xdr:rowOff>
    </xdr:from>
    <xdr:to>
      <xdr:col>26</xdr:col>
      <xdr:colOff>161925</xdr:colOff>
      <xdr:row>71</xdr:row>
      <xdr:rowOff>161925</xdr:rowOff>
    </xdr:to>
    <xdr:sp macro="" textlink="">
      <xdr:nvSpPr>
        <xdr:cNvPr id="1210" name="Line 3051">
          <a:extLst>
            <a:ext uri="{FF2B5EF4-FFF2-40B4-BE49-F238E27FC236}">
              <a16:creationId xmlns:a16="http://schemas.microsoft.com/office/drawing/2014/main" id="{00000000-0008-0000-0000-0000BA040000}"/>
            </a:ext>
          </a:extLst>
        </xdr:cNvPr>
        <xdr:cNvSpPr>
          <a:spLocks noChangeShapeType="1"/>
        </xdr:cNvSpPr>
      </xdr:nvSpPr>
      <xdr:spPr bwMode="auto">
        <a:xfrm>
          <a:off x="18954750" y="134302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85725</xdr:colOff>
      <xdr:row>70</xdr:row>
      <xdr:rowOff>85725</xdr:rowOff>
    </xdr:from>
    <xdr:to>
      <xdr:col>26</xdr:col>
      <xdr:colOff>85725</xdr:colOff>
      <xdr:row>71</xdr:row>
      <xdr:rowOff>142875</xdr:rowOff>
    </xdr:to>
    <xdr:sp macro="" textlink="">
      <xdr:nvSpPr>
        <xdr:cNvPr id="1211" name="Line 3052">
          <a:extLst>
            <a:ext uri="{FF2B5EF4-FFF2-40B4-BE49-F238E27FC236}">
              <a16:creationId xmlns:a16="http://schemas.microsoft.com/office/drawing/2014/main" id="{00000000-0008-0000-0000-0000BB040000}"/>
            </a:ext>
          </a:extLst>
        </xdr:cNvPr>
        <xdr:cNvSpPr>
          <a:spLocks noChangeShapeType="1"/>
        </xdr:cNvSpPr>
      </xdr:nvSpPr>
      <xdr:spPr bwMode="auto">
        <a:xfrm>
          <a:off x="18878550" y="13439775"/>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47625</xdr:colOff>
      <xdr:row>70</xdr:row>
      <xdr:rowOff>76200</xdr:rowOff>
    </xdr:from>
    <xdr:to>
      <xdr:col>26</xdr:col>
      <xdr:colOff>47625</xdr:colOff>
      <xdr:row>71</xdr:row>
      <xdr:rowOff>142875</xdr:rowOff>
    </xdr:to>
    <xdr:sp macro="" textlink="">
      <xdr:nvSpPr>
        <xdr:cNvPr id="1212" name="Line 3053">
          <a:extLst>
            <a:ext uri="{FF2B5EF4-FFF2-40B4-BE49-F238E27FC236}">
              <a16:creationId xmlns:a16="http://schemas.microsoft.com/office/drawing/2014/main" id="{00000000-0008-0000-0000-0000BC040000}"/>
            </a:ext>
          </a:extLst>
        </xdr:cNvPr>
        <xdr:cNvSpPr>
          <a:spLocks noChangeShapeType="1"/>
        </xdr:cNvSpPr>
      </xdr:nvSpPr>
      <xdr:spPr bwMode="auto">
        <a:xfrm>
          <a:off x="188404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123825</xdr:colOff>
      <xdr:row>70</xdr:row>
      <xdr:rowOff>76200</xdr:rowOff>
    </xdr:from>
    <xdr:to>
      <xdr:col>26</xdr:col>
      <xdr:colOff>123825</xdr:colOff>
      <xdr:row>71</xdr:row>
      <xdr:rowOff>152400</xdr:rowOff>
    </xdr:to>
    <xdr:sp macro="" textlink="">
      <xdr:nvSpPr>
        <xdr:cNvPr id="1213" name="Line 3054">
          <a:extLst>
            <a:ext uri="{FF2B5EF4-FFF2-40B4-BE49-F238E27FC236}">
              <a16:creationId xmlns:a16="http://schemas.microsoft.com/office/drawing/2014/main" id="{00000000-0008-0000-0000-0000BD040000}"/>
            </a:ext>
          </a:extLst>
        </xdr:cNvPr>
        <xdr:cNvSpPr>
          <a:spLocks noChangeShapeType="1"/>
        </xdr:cNvSpPr>
      </xdr:nvSpPr>
      <xdr:spPr bwMode="auto">
        <a:xfrm>
          <a:off x="189166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85725</xdr:colOff>
      <xdr:row>74</xdr:row>
      <xdr:rowOff>114300</xdr:rowOff>
    </xdr:from>
    <xdr:to>
      <xdr:col>23</xdr:col>
      <xdr:colOff>85725</xdr:colOff>
      <xdr:row>76</xdr:row>
      <xdr:rowOff>152400</xdr:rowOff>
    </xdr:to>
    <xdr:sp macro="" textlink="">
      <xdr:nvSpPr>
        <xdr:cNvPr id="1214" name="Line 3058">
          <a:extLst>
            <a:ext uri="{FF2B5EF4-FFF2-40B4-BE49-F238E27FC236}">
              <a16:creationId xmlns:a16="http://schemas.microsoft.com/office/drawing/2014/main" id="{00000000-0008-0000-0000-0000BE040000}"/>
            </a:ext>
          </a:extLst>
        </xdr:cNvPr>
        <xdr:cNvSpPr>
          <a:spLocks noChangeShapeType="1"/>
        </xdr:cNvSpPr>
      </xdr:nvSpPr>
      <xdr:spPr bwMode="auto">
        <a:xfrm flipV="1">
          <a:off x="16621125" y="1425892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23</xdr:col>
      <xdr:colOff>9525</xdr:colOff>
      <xdr:row>73</xdr:row>
      <xdr:rowOff>152400</xdr:rowOff>
    </xdr:from>
    <xdr:to>
      <xdr:col>24</xdr:col>
      <xdr:colOff>161925</xdr:colOff>
      <xdr:row>76</xdr:row>
      <xdr:rowOff>133350</xdr:rowOff>
    </xdr:to>
    <xdr:sp macro="" textlink="">
      <xdr:nvSpPr>
        <xdr:cNvPr id="1215" name="Freeform 3062">
          <a:extLst>
            <a:ext uri="{FF2B5EF4-FFF2-40B4-BE49-F238E27FC236}">
              <a16:creationId xmlns:a16="http://schemas.microsoft.com/office/drawing/2014/main" id="{00000000-0008-0000-0000-0000BF040000}"/>
            </a:ext>
          </a:extLst>
        </xdr:cNvPr>
        <xdr:cNvSpPr>
          <a:spLocks/>
        </xdr:cNvSpPr>
      </xdr:nvSpPr>
      <xdr:spPr bwMode="auto">
        <a:xfrm>
          <a:off x="16544925" y="14097000"/>
          <a:ext cx="904875" cy="581025"/>
        </a:xfrm>
        <a:custGeom>
          <a:avLst/>
          <a:gdLst>
            <a:gd name="T0" fmla="*/ 2147483646 w 95"/>
            <a:gd name="T1" fmla="*/ 2147483646 h 61"/>
            <a:gd name="T2" fmla="*/ 2147483646 w 95"/>
            <a:gd name="T3" fmla="*/ 2147483646 h 61"/>
            <a:gd name="T4" fmla="*/ 2147483646 w 95"/>
            <a:gd name="T5" fmla="*/ 2147483646 h 61"/>
            <a:gd name="T6" fmla="*/ 0 w 95"/>
            <a:gd name="T7" fmla="*/ 2147483646 h 61"/>
            <a:gd name="T8" fmla="*/ 0 w 95"/>
            <a:gd name="T9" fmla="*/ 0 h 61"/>
            <a:gd name="T10" fmla="*/ 2147483646 w 95"/>
            <a:gd name="T11" fmla="*/ 0 h 61"/>
            <a:gd name="T12" fmla="*/ 2147483646 w 95"/>
            <a:gd name="T13" fmla="*/ 2147483646 h 61"/>
            <a:gd name="T14" fmla="*/ 2147483646 w 95"/>
            <a:gd name="T15" fmla="*/ 2147483646 h 61"/>
            <a:gd name="T16" fmla="*/ 2147483646 w 95"/>
            <a:gd name="T17" fmla="*/ 2147483646 h 6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95" h="61">
              <a:moveTo>
                <a:pt x="54" y="61"/>
              </a:moveTo>
              <a:lnTo>
                <a:pt x="25" y="43"/>
              </a:lnTo>
              <a:lnTo>
                <a:pt x="25" y="18"/>
              </a:lnTo>
              <a:lnTo>
                <a:pt x="0" y="18"/>
              </a:lnTo>
              <a:lnTo>
                <a:pt x="0" y="0"/>
              </a:lnTo>
              <a:lnTo>
                <a:pt x="52" y="0"/>
              </a:lnTo>
              <a:lnTo>
                <a:pt x="52" y="30"/>
              </a:lnTo>
              <a:lnTo>
                <a:pt x="95" y="30"/>
              </a:lnTo>
              <a:lnTo>
                <a:pt x="95" y="5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23</xdr:col>
      <xdr:colOff>0</xdr:colOff>
      <xdr:row>72</xdr:row>
      <xdr:rowOff>76200</xdr:rowOff>
    </xdr:from>
    <xdr:to>
      <xdr:col>24</xdr:col>
      <xdr:colOff>457200</xdr:colOff>
      <xdr:row>72</xdr:row>
      <xdr:rowOff>190500</xdr:rowOff>
    </xdr:to>
    <xdr:sp macro="" textlink="">
      <xdr:nvSpPr>
        <xdr:cNvPr id="1216" name="Freeform 3065">
          <a:extLst>
            <a:ext uri="{FF2B5EF4-FFF2-40B4-BE49-F238E27FC236}">
              <a16:creationId xmlns:a16="http://schemas.microsoft.com/office/drawing/2014/main" id="{00000000-0008-0000-0000-0000C0040000}"/>
            </a:ext>
          </a:extLst>
        </xdr:cNvPr>
        <xdr:cNvSpPr>
          <a:spLocks/>
        </xdr:cNvSpPr>
      </xdr:nvSpPr>
      <xdr:spPr bwMode="auto">
        <a:xfrm>
          <a:off x="16535400" y="13820775"/>
          <a:ext cx="1209675" cy="114300"/>
        </a:xfrm>
        <a:custGeom>
          <a:avLst/>
          <a:gdLst>
            <a:gd name="T0" fmla="*/ 2147483646 w 159"/>
            <a:gd name="T1" fmla="*/ 2147483646 h 11"/>
            <a:gd name="T2" fmla="*/ 0 w 159"/>
            <a:gd name="T3" fmla="*/ 2147483646 h 11"/>
            <a:gd name="T4" fmla="*/ 0 w 159"/>
            <a:gd name="T5" fmla="*/ 0 h 11"/>
            <a:gd name="T6" fmla="*/ 2147483646 w 159"/>
            <a:gd name="T7" fmla="*/ 0 h 1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9" h="11">
              <a:moveTo>
                <a:pt x="158" y="11"/>
              </a:moveTo>
              <a:lnTo>
                <a:pt x="0" y="11"/>
              </a:lnTo>
              <a:lnTo>
                <a:pt x="0" y="0"/>
              </a:lnTo>
              <a:lnTo>
                <a:pt x="159"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23</xdr:col>
      <xdr:colOff>0</xdr:colOff>
      <xdr:row>70</xdr:row>
      <xdr:rowOff>76200</xdr:rowOff>
    </xdr:from>
    <xdr:to>
      <xdr:col>24</xdr:col>
      <xdr:colOff>447675</xdr:colOff>
      <xdr:row>71</xdr:row>
      <xdr:rowOff>142875</xdr:rowOff>
    </xdr:to>
    <xdr:sp macro="" textlink="">
      <xdr:nvSpPr>
        <xdr:cNvPr id="1217" name="Freeform 3066">
          <a:extLst>
            <a:ext uri="{FF2B5EF4-FFF2-40B4-BE49-F238E27FC236}">
              <a16:creationId xmlns:a16="http://schemas.microsoft.com/office/drawing/2014/main" id="{00000000-0008-0000-0000-0000C1040000}"/>
            </a:ext>
          </a:extLst>
        </xdr:cNvPr>
        <xdr:cNvSpPr>
          <a:spLocks/>
        </xdr:cNvSpPr>
      </xdr:nvSpPr>
      <xdr:spPr bwMode="auto">
        <a:xfrm>
          <a:off x="16535400" y="13430250"/>
          <a:ext cx="1200150" cy="257175"/>
        </a:xfrm>
        <a:custGeom>
          <a:avLst/>
          <a:gdLst>
            <a:gd name="T0" fmla="*/ 2147483646 w 92"/>
            <a:gd name="T1" fmla="*/ 2147483646 h 20"/>
            <a:gd name="T2" fmla="*/ 0 w 92"/>
            <a:gd name="T3" fmla="*/ 2147483646 h 20"/>
            <a:gd name="T4" fmla="*/ 0 w 92"/>
            <a:gd name="T5" fmla="*/ 0 h 20"/>
            <a:gd name="T6" fmla="*/ 2147483646 w 92"/>
            <a:gd name="T7" fmla="*/ 0 h 20"/>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92" h="20">
              <a:moveTo>
                <a:pt x="92" y="20"/>
              </a:moveTo>
              <a:lnTo>
                <a:pt x="0" y="20"/>
              </a:lnTo>
              <a:lnTo>
                <a:pt x="0" y="0"/>
              </a:lnTo>
              <a:lnTo>
                <a:pt x="92"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23</xdr:col>
      <xdr:colOff>47625</xdr:colOff>
      <xdr:row>72</xdr:row>
      <xdr:rowOff>76200</xdr:rowOff>
    </xdr:from>
    <xdr:to>
      <xdr:col>23</xdr:col>
      <xdr:colOff>47625</xdr:colOff>
      <xdr:row>72</xdr:row>
      <xdr:rowOff>190500</xdr:rowOff>
    </xdr:to>
    <xdr:sp macro="" textlink="">
      <xdr:nvSpPr>
        <xdr:cNvPr id="1218" name="Line 3067">
          <a:extLst>
            <a:ext uri="{FF2B5EF4-FFF2-40B4-BE49-F238E27FC236}">
              <a16:creationId xmlns:a16="http://schemas.microsoft.com/office/drawing/2014/main" id="{00000000-0008-0000-0000-0000C2040000}"/>
            </a:ext>
          </a:extLst>
        </xdr:cNvPr>
        <xdr:cNvSpPr>
          <a:spLocks noChangeShapeType="1"/>
        </xdr:cNvSpPr>
      </xdr:nvSpPr>
      <xdr:spPr bwMode="auto">
        <a:xfrm>
          <a:off x="165830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85725</xdr:colOff>
      <xdr:row>72</xdr:row>
      <xdr:rowOff>76200</xdr:rowOff>
    </xdr:from>
    <xdr:to>
      <xdr:col>23</xdr:col>
      <xdr:colOff>85725</xdr:colOff>
      <xdr:row>72</xdr:row>
      <xdr:rowOff>190500</xdr:rowOff>
    </xdr:to>
    <xdr:sp macro="" textlink="">
      <xdr:nvSpPr>
        <xdr:cNvPr id="1219" name="Line 3068">
          <a:extLst>
            <a:ext uri="{FF2B5EF4-FFF2-40B4-BE49-F238E27FC236}">
              <a16:creationId xmlns:a16="http://schemas.microsoft.com/office/drawing/2014/main" id="{00000000-0008-0000-0000-0000C3040000}"/>
            </a:ext>
          </a:extLst>
        </xdr:cNvPr>
        <xdr:cNvSpPr>
          <a:spLocks noChangeShapeType="1"/>
        </xdr:cNvSpPr>
      </xdr:nvSpPr>
      <xdr:spPr bwMode="auto">
        <a:xfrm>
          <a:off x="166211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123825</xdr:colOff>
      <xdr:row>72</xdr:row>
      <xdr:rowOff>76200</xdr:rowOff>
    </xdr:from>
    <xdr:to>
      <xdr:col>23</xdr:col>
      <xdr:colOff>123825</xdr:colOff>
      <xdr:row>72</xdr:row>
      <xdr:rowOff>190500</xdr:rowOff>
    </xdr:to>
    <xdr:sp macro="" textlink="">
      <xdr:nvSpPr>
        <xdr:cNvPr id="1220" name="Line 3069">
          <a:extLst>
            <a:ext uri="{FF2B5EF4-FFF2-40B4-BE49-F238E27FC236}">
              <a16:creationId xmlns:a16="http://schemas.microsoft.com/office/drawing/2014/main" id="{00000000-0008-0000-0000-0000C4040000}"/>
            </a:ext>
          </a:extLst>
        </xdr:cNvPr>
        <xdr:cNvSpPr>
          <a:spLocks noChangeShapeType="1"/>
        </xdr:cNvSpPr>
      </xdr:nvSpPr>
      <xdr:spPr bwMode="auto">
        <a:xfrm>
          <a:off x="166592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161925</xdr:colOff>
      <xdr:row>72</xdr:row>
      <xdr:rowOff>76200</xdr:rowOff>
    </xdr:from>
    <xdr:to>
      <xdr:col>23</xdr:col>
      <xdr:colOff>161925</xdr:colOff>
      <xdr:row>72</xdr:row>
      <xdr:rowOff>190500</xdr:rowOff>
    </xdr:to>
    <xdr:sp macro="" textlink="">
      <xdr:nvSpPr>
        <xdr:cNvPr id="1221" name="Line 3070">
          <a:extLst>
            <a:ext uri="{FF2B5EF4-FFF2-40B4-BE49-F238E27FC236}">
              <a16:creationId xmlns:a16="http://schemas.microsoft.com/office/drawing/2014/main" id="{00000000-0008-0000-0000-0000C5040000}"/>
            </a:ext>
          </a:extLst>
        </xdr:cNvPr>
        <xdr:cNvSpPr>
          <a:spLocks noChangeShapeType="1"/>
        </xdr:cNvSpPr>
      </xdr:nvSpPr>
      <xdr:spPr bwMode="auto">
        <a:xfrm>
          <a:off x="166973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200025</xdr:colOff>
      <xdr:row>72</xdr:row>
      <xdr:rowOff>76200</xdr:rowOff>
    </xdr:from>
    <xdr:to>
      <xdr:col>23</xdr:col>
      <xdr:colOff>200025</xdr:colOff>
      <xdr:row>72</xdr:row>
      <xdr:rowOff>180975</xdr:rowOff>
    </xdr:to>
    <xdr:sp macro="" textlink="">
      <xdr:nvSpPr>
        <xdr:cNvPr id="1222" name="Line 3071">
          <a:extLst>
            <a:ext uri="{FF2B5EF4-FFF2-40B4-BE49-F238E27FC236}">
              <a16:creationId xmlns:a16="http://schemas.microsoft.com/office/drawing/2014/main" id="{00000000-0008-0000-0000-0000C6040000}"/>
            </a:ext>
          </a:extLst>
        </xdr:cNvPr>
        <xdr:cNvSpPr>
          <a:spLocks noChangeShapeType="1"/>
        </xdr:cNvSpPr>
      </xdr:nvSpPr>
      <xdr:spPr bwMode="auto">
        <a:xfrm>
          <a:off x="16735425"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238125</xdr:colOff>
      <xdr:row>72</xdr:row>
      <xdr:rowOff>76200</xdr:rowOff>
    </xdr:from>
    <xdr:to>
      <xdr:col>23</xdr:col>
      <xdr:colOff>238125</xdr:colOff>
      <xdr:row>72</xdr:row>
      <xdr:rowOff>190500</xdr:rowOff>
    </xdr:to>
    <xdr:sp macro="" textlink="">
      <xdr:nvSpPr>
        <xdr:cNvPr id="1223" name="Line 3072">
          <a:extLst>
            <a:ext uri="{FF2B5EF4-FFF2-40B4-BE49-F238E27FC236}">
              <a16:creationId xmlns:a16="http://schemas.microsoft.com/office/drawing/2014/main" id="{00000000-0008-0000-0000-0000C7040000}"/>
            </a:ext>
          </a:extLst>
        </xdr:cNvPr>
        <xdr:cNvSpPr>
          <a:spLocks noChangeShapeType="1"/>
        </xdr:cNvSpPr>
      </xdr:nvSpPr>
      <xdr:spPr bwMode="auto">
        <a:xfrm>
          <a:off x="167735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276225</xdr:colOff>
      <xdr:row>72</xdr:row>
      <xdr:rowOff>76200</xdr:rowOff>
    </xdr:from>
    <xdr:to>
      <xdr:col>23</xdr:col>
      <xdr:colOff>276225</xdr:colOff>
      <xdr:row>72</xdr:row>
      <xdr:rowOff>190500</xdr:rowOff>
    </xdr:to>
    <xdr:sp macro="" textlink="">
      <xdr:nvSpPr>
        <xdr:cNvPr id="1224" name="Line 3073">
          <a:extLst>
            <a:ext uri="{FF2B5EF4-FFF2-40B4-BE49-F238E27FC236}">
              <a16:creationId xmlns:a16="http://schemas.microsoft.com/office/drawing/2014/main" id="{00000000-0008-0000-0000-0000C8040000}"/>
            </a:ext>
          </a:extLst>
        </xdr:cNvPr>
        <xdr:cNvSpPr>
          <a:spLocks noChangeShapeType="1"/>
        </xdr:cNvSpPr>
      </xdr:nvSpPr>
      <xdr:spPr bwMode="auto">
        <a:xfrm>
          <a:off x="168116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314325</xdr:colOff>
      <xdr:row>72</xdr:row>
      <xdr:rowOff>76200</xdr:rowOff>
    </xdr:from>
    <xdr:to>
      <xdr:col>23</xdr:col>
      <xdr:colOff>314325</xdr:colOff>
      <xdr:row>72</xdr:row>
      <xdr:rowOff>190500</xdr:rowOff>
    </xdr:to>
    <xdr:sp macro="" textlink="">
      <xdr:nvSpPr>
        <xdr:cNvPr id="1225" name="Line 3074">
          <a:extLst>
            <a:ext uri="{FF2B5EF4-FFF2-40B4-BE49-F238E27FC236}">
              <a16:creationId xmlns:a16="http://schemas.microsoft.com/office/drawing/2014/main" id="{00000000-0008-0000-0000-0000C9040000}"/>
            </a:ext>
          </a:extLst>
        </xdr:cNvPr>
        <xdr:cNvSpPr>
          <a:spLocks noChangeShapeType="1"/>
        </xdr:cNvSpPr>
      </xdr:nvSpPr>
      <xdr:spPr bwMode="auto">
        <a:xfrm>
          <a:off x="168497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352425</xdr:colOff>
      <xdr:row>72</xdr:row>
      <xdr:rowOff>76200</xdr:rowOff>
    </xdr:from>
    <xdr:to>
      <xdr:col>23</xdr:col>
      <xdr:colOff>352425</xdr:colOff>
      <xdr:row>72</xdr:row>
      <xdr:rowOff>190500</xdr:rowOff>
    </xdr:to>
    <xdr:sp macro="" textlink="">
      <xdr:nvSpPr>
        <xdr:cNvPr id="1226" name="Line 3075">
          <a:extLst>
            <a:ext uri="{FF2B5EF4-FFF2-40B4-BE49-F238E27FC236}">
              <a16:creationId xmlns:a16="http://schemas.microsoft.com/office/drawing/2014/main" id="{00000000-0008-0000-0000-0000CA040000}"/>
            </a:ext>
          </a:extLst>
        </xdr:cNvPr>
        <xdr:cNvSpPr>
          <a:spLocks noChangeShapeType="1"/>
        </xdr:cNvSpPr>
      </xdr:nvSpPr>
      <xdr:spPr bwMode="auto">
        <a:xfrm>
          <a:off x="168878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390525</xdr:colOff>
      <xdr:row>72</xdr:row>
      <xdr:rowOff>76200</xdr:rowOff>
    </xdr:from>
    <xdr:to>
      <xdr:col>23</xdr:col>
      <xdr:colOff>390525</xdr:colOff>
      <xdr:row>72</xdr:row>
      <xdr:rowOff>190500</xdr:rowOff>
    </xdr:to>
    <xdr:sp macro="" textlink="">
      <xdr:nvSpPr>
        <xdr:cNvPr id="1227" name="Line 3076">
          <a:extLst>
            <a:ext uri="{FF2B5EF4-FFF2-40B4-BE49-F238E27FC236}">
              <a16:creationId xmlns:a16="http://schemas.microsoft.com/office/drawing/2014/main" id="{00000000-0008-0000-0000-0000CB040000}"/>
            </a:ext>
          </a:extLst>
        </xdr:cNvPr>
        <xdr:cNvSpPr>
          <a:spLocks noChangeShapeType="1"/>
        </xdr:cNvSpPr>
      </xdr:nvSpPr>
      <xdr:spPr bwMode="auto">
        <a:xfrm>
          <a:off x="169259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428625</xdr:colOff>
      <xdr:row>72</xdr:row>
      <xdr:rowOff>76200</xdr:rowOff>
    </xdr:from>
    <xdr:to>
      <xdr:col>23</xdr:col>
      <xdr:colOff>428625</xdr:colOff>
      <xdr:row>72</xdr:row>
      <xdr:rowOff>190500</xdr:rowOff>
    </xdr:to>
    <xdr:sp macro="" textlink="">
      <xdr:nvSpPr>
        <xdr:cNvPr id="1228" name="Line 3077">
          <a:extLst>
            <a:ext uri="{FF2B5EF4-FFF2-40B4-BE49-F238E27FC236}">
              <a16:creationId xmlns:a16="http://schemas.microsoft.com/office/drawing/2014/main" id="{00000000-0008-0000-0000-0000CC040000}"/>
            </a:ext>
          </a:extLst>
        </xdr:cNvPr>
        <xdr:cNvSpPr>
          <a:spLocks noChangeShapeType="1"/>
        </xdr:cNvSpPr>
      </xdr:nvSpPr>
      <xdr:spPr bwMode="auto">
        <a:xfrm>
          <a:off x="169640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466725</xdr:colOff>
      <xdr:row>72</xdr:row>
      <xdr:rowOff>76200</xdr:rowOff>
    </xdr:from>
    <xdr:to>
      <xdr:col>23</xdr:col>
      <xdr:colOff>466725</xdr:colOff>
      <xdr:row>72</xdr:row>
      <xdr:rowOff>190500</xdr:rowOff>
    </xdr:to>
    <xdr:sp macro="" textlink="">
      <xdr:nvSpPr>
        <xdr:cNvPr id="1229" name="Line 3078">
          <a:extLst>
            <a:ext uri="{FF2B5EF4-FFF2-40B4-BE49-F238E27FC236}">
              <a16:creationId xmlns:a16="http://schemas.microsoft.com/office/drawing/2014/main" id="{00000000-0008-0000-0000-0000CD040000}"/>
            </a:ext>
          </a:extLst>
        </xdr:cNvPr>
        <xdr:cNvSpPr>
          <a:spLocks noChangeShapeType="1"/>
        </xdr:cNvSpPr>
      </xdr:nvSpPr>
      <xdr:spPr bwMode="auto">
        <a:xfrm>
          <a:off x="170021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504825</xdr:colOff>
      <xdr:row>72</xdr:row>
      <xdr:rowOff>76200</xdr:rowOff>
    </xdr:from>
    <xdr:to>
      <xdr:col>23</xdr:col>
      <xdr:colOff>504825</xdr:colOff>
      <xdr:row>72</xdr:row>
      <xdr:rowOff>190500</xdr:rowOff>
    </xdr:to>
    <xdr:sp macro="" textlink="">
      <xdr:nvSpPr>
        <xdr:cNvPr id="1230" name="Line 3079">
          <a:extLst>
            <a:ext uri="{FF2B5EF4-FFF2-40B4-BE49-F238E27FC236}">
              <a16:creationId xmlns:a16="http://schemas.microsoft.com/office/drawing/2014/main" id="{00000000-0008-0000-0000-0000CE040000}"/>
            </a:ext>
          </a:extLst>
        </xdr:cNvPr>
        <xdr:cNvSpPr>
          <a:spLocks noChangeShapeType="1"/>
        </xdr:cNvSpPr>
      </xdr:nvSpPr>
      <xdr:spPr bwMode="auto">
        <a:xfrm>
          <a:off x="170402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542925</xdr:colOff>
      <xdr:row>72</xdr:row>
      <xdr:rowOff>76200</xdr:rowOff>
    </xdr:from>
    <xdr:to>
      <xdr:col>23</xdr:col>
      <xdr:colOff>542925</xdr:colOff>
      <xdr:row>72</xdr:row>
      <xdr:rowOff>180975</xdr:rowOff>
    </xdr:to>
    <xdr:sp macro="" textlink="">
      <xdr:nvSpPr>
        <xdr:cNvPr id="1231" name="Line 3080">
          <a:extLst>
            <a:ext uri="{FF2B5EF4-FFF2-40B4-BE49-F238E27FC236}">
              <a16:creationId xmlns:a16="http://schemas.microsoft.com/office/drawing/2014/main" id="{00000000-0008-0000-0000-0000CF040000}"/>
            </a:ext>
          </a:extLst>
        </xdr:cNvPr>
        <xdr:cNvSpPr>
          <a:spLocks noChangeShapeType="1"/>
        </xdr:cNvSpPr>
      </xdr:nvSpPr>
      <xdr:spPr bwMode="auto">
        <a:xfrm>
          <a:off x="17078325"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581025</xdr:colOff>
      <xdr:row>72</xdr:row>
      <xdr:rowOff>76200</xdr:rowOff>
    </xdr:from>
    <xdr:to>
      <xdr:col>23</xdr:col>
      <xdr:colOff>581025</xdr:colOff>
      <xdr:row>72</xdr:row>
      <xdr:rowOff>190500</xdr:rowOff>
    </xdr:to>
    <xdr:sp macro="" textlink="">
      <xdr:nvSpPr>
        <xdr:cNvPr id="1232" name="Line 3081">
          <a:extLst>
            <a:ext uri="{FF2B5EF4-FFF2-40B4-BE49-F238E27FC236}">
              <a16:creationId xmlns:a16="http://schemas.microsoft.com/office/drawing/2014/main" id="{00000000-0008-0000-0000-0000D0040000}"/>
            </a:ext>
          </a:extLst>
        </xdr:cNvPr>
        <xdr:cNvSpPr>
          <a:spLocks noChangeShapeType="1"/>
        </xdr:cNvSpPr>
      </xdr:nvSpPr>
      <xdr:spPr bwMode="auto">
        <a:xfrm>
          <a:off x="171164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619125</xdr:colOff>
      <xdr:row>72</xdr:row>
      <xdr:rowOff>76200</xdr:rowOff>
    </xdr:from>
    <xdr:to>
      <xdr:col>23</xdr:col>
      <xdr:colOff>619125</xdr:colOff>
      <xdr:row>72</xdr:row>
      <xdr:rowOff>190500</xdr:rowOff>
    </xdr:to>
    <xdr:sp macro="" textlink="">
      <xdr:nvSpPr>
        <xdr:cNvPr id="1233" name="Line 3082">
          <a:extLst>
            <a:ext uri="{FF2B5EF4-FFF2-40B4-BE49-F238E27FC236}">
              <a16:creationId xmlns:a16="http://schemas.microsoft.com/office/drawing/2014/main" id="{00000000-0008-0000-0000-0000D1040000}"/>
            </a:ext>
          </a:extLst>
        </xdr:cNvPr>
        <xdr:cNvSpPr>
          <a:spLocks noChangeShapeType="1"/>
        </xdr:cNvSpPr>
      </xdr:nvSpPr>
      <xdr:spPr bwMode="auto">
        <a:xfrm>
          <a:off x="171545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657225</xdr:colOff>
      <xdr:row>72</xdr:row>
      <xdr:rowOff>76200</xdr:rowOff>
    </xdr:from>
    <xdr:to>
      <xdr:col>23</xdr:col>
      <xdr:colOff>657225</xdr:colOff>
      <xdr:row>72</xdr:row>
      <xdr:rowOff>190500</xdr:rowOff>
    </xdr:to>
    <xdr:sp macro="" textlink="">
      <xdr:nvSpPr>
        <xdr:cNvPr id="1234" name="Line 3083">
          <a:extLst>
            <a:ext uri="{FF2B5EF4-FFF2-40B4-BE49-F238E27FC236}">
              <a16:creationId xmlns:a16="http://schemas.microsoft.com/office/drawing/2014/main" id="{00000000-0008-0000-0000-0000D2040000}"/>
            </a:ext>
          </a:extLst>
        </xdr:cNvPr>
        <xdr:cNvSpPr>
          <a:spLocks noChangeShapeType="1"/>
        </xdr:cNvSpPr>
      </xdr:nvSpPr>
      <xdr:spPr bwMode="auto">
        <a:xfrm>
          <a:off x="171926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695325</xdr:colOff>
      <xdr:row>72</xdr:row>
      <xdr:rowOff>76200</xdr:rowOff>
    </xdr:from>
    <xdr:to>
      <xdr:col>23</xdr:col>
      <xdr:colOff>695325</xdr:colOff>
      <xdr:row>72</xdr:row>
      <xdr:rowOff>190500</xdr:rowOff>
    </xdr:to>
    <xdr:sp macro="" textlink="">
      <xdr:nvSpPr>
        <xdr:cNvPr id="1235" name="Line 3084">
          <a:extLst>
            <a:ext uri="{FF2B5EF4-FFF2-40B4-BE49-F238E27FC236}">
              <a16:creationId xmlns:a16="http://schemas.microsoft.com/office/drawing/2014/main" id="{00000000-0008-0000-0000-0000D3040000}"/>
            </a:ext>
          </a:extLst>
        </xdr:cNvPr>
        <xdr:cNvSpPr>
          <a:spLocks noChangeShapeType="1"/>
        </xdr:cNvSpPr>
      </xdr:nvSpPr>
      <xdr:spPr bwMode="auto">
        <a:xfrm>
          <a:off x="172307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733425</xdr:colOff>
      <xdr:row>72</xdr:row>
      <xdr:rowOff>76200</xdr:rowOff>
    </xdr:from>
    <xdr:to>
      <xdr:col>23</xdr:col>
      <xdr:colOff>733425</xdr:colOff>
      <xdr:row>72</xdr:row>
      <xdr:rowOff>190500</xdr:rowOff>
    </xdr:to>
    <xdr:sp macro="" textlink="">
      <xdr:nvSpPr>
        <xdr:cNvPr id="1236" name="Line 3085">
          <a:extLst>
            <a:ext uri="{FF2B5EF4-FFF2-40B4-BE49-F238E27FC236}">
              <a16:creationId xmlns:a16="http://schemas.microsoft.com/office/drawing/2014/main" id="{00000000-0008-0000-0000-0000D4040000}"/>
            </a:ext>
          </a:extLst>
        </xdr:cNvPr>
        <xdr:cNvSpPr>
          <a:spLocks noChangeShapeType="1"/>
        </xdr:cNvSpPr>
      </xdr:nvSpPr>
      <xdr:spPr bwMode="auto">
        <a:xfrm>
          <a:off x="172688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19050</xdr:colOff>
      <xdr:row>72</xdr:row>
      <xdr:rowOff>76200</xdr:rowOff>
    </xdr:from>
    <xdr:to>
      <xdr:col>24</xdr:col>
      <xdr:colOff>19050</xdr:colOff>
      <xdr:row>72</xdr:row>
      <xdr:rowOff>190500</xdr:rowOff>
    </xdr:to>
    <xdr:sp macro="" textlink="">
      <xdr:nvSpPr>
        <xdr:cNvPr id="1237" name="Line 3086">
          <a:extLst>
            <a:ext uri="{FF2B5EF4-FFF2-40B4-BE49-F238E27FC236}">
              <a16:creationId xmlns:a16="http://schemas.microsoft.com/office/drawing/2014/main" id="{00000000-0008-0000-0000-0000D5040000}"/>
            </a:ext>
          </a:extLst>
        </xdr:cNvPr>
        <xdr:cNvSpPr>
          <a:spLocks noChangeShapeType="1"/>
        </xdr:cNvSpPr>
      </xdr:nvSpPr>
      <xdr:spPr bwMode="auto">
        <a:xfrm>
          <a:off x="173069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57150</xdr:colOff>
      <xdr:row>72</xdr:row>
      <xdr:rowOff>76200</xdr:rowOff>
    </xdr:from>
    <xdr:to>
      <xdr:col>24</xdr:col>
      <xdr:colOff>57150</xdr:colOff>
      <xdr:row>72</xdr:row>
      <xdr:rowOff>190500</xdr:rowOff>
    </xdr:to>
    <xdr:sp macro="" textlink="">
      <xdr:nvSpPr>
        <xdr:cNvPr id="1238" name="Line 3087">
          <a:extLst>
            <a:ext uri="{FF2B5EF4-FFF2-40B4-BE49-F238E27FC236}">
              <a16:creationId xmlns:a16="http://schemas.microsoft.com/office/drawing/2014/main" id="{00000000-0008-0000-0000-0000D6040000}"/>
            </a:ext>
          </a:extLst>
        </xdr:cNvPr>
        <xdr:cNvSpPr>
          <a:spLocks noChangeShapeType="1"/>
        </xdr:cNvSpPr>
      </xdr:nvSpPr>
      <xdr:spPr bwMode="auto">
        <a:xfrm>
          <a:off x="173450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95250</xdr:colOff>
      <xdr:row>72</xdr:row>
      <xdr:rowOff>76200</xdr:rowOff>
    </xdr:from>
    <xdr:to>
      <xdr:col>24</xdr:col>
      <xdr:colOff>95250</xdr:colOff>
      <xdr:row>72</xdr:row>
      <xdr:rowOff>190500</xdr:rowOff>
    </xdr:to>
    <xdr:sp macro="" textlink="">
      <xdr:nvSpPr>
        <xdr:cNvPr id="1239" name="Line 3088">
          <a:extLst>
            <a:ext uri="{FF2B5EF4-FFF2-40B4-BE49-F238E27FC236}">
              <a16:creationId xmlns:a16="http://schemas.microsoft.com/office/drawing/2014/main" id="{00000000-0008-0000-0000-0000D7040000}"/>
            </a:ext>
          </a:extLst>
        </xdr:cNvPr>
        <xdr:cNvSpPr>
          <a:spLocks noChangeShapeType="1"/>
        </xdr:cNvSpPr>
      </xdr:nvSpPr>
      <xdr:spPr bwMode="auto">
        <a:xfrm>
          <a:off x="173831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133350</xdr:colOff>
      <xdr:row>72</xdr:row>
      <xdr:rowOff>76200</xdr:rowOff>
    </xdr:from>
    <xdr:to>
      <xdr:col>24</xdr:col>
      <xdr:colOff>133350</xdr:colOff>
      <xdr:row>72</xdr:row>
      <xdr:rowOff>180975</xdr:rowOff>
    </xdr:to>
    <xdr:sp macro="" textlink="">
      <xdr:nvSpPr>
        <xdr:cNvPr id="1240" name="Line 3089">
          <a:extLst>
            <a:ext uri="{FF2B5EF4-FFF2-40B4-BE49-F238E27FC236}">
              <a16:creationId xmlns:a16="http://schemas.microsoft.com/office/drawing/2014/main" id="{00000000-0008-0000-0000-0000D8040000}"/>
            </a:ext>
          </a:extLst>
        </xdr:cNvPr>
        <xdr:cNvSpPr>
          <a:spLocks noChangeShapeType="1"/>
        </xdr:cNvSpPr>
      </xdr:nvSpPr>
      <xdr:spPr bwMode="auto">
        <a:xfrm>
          <a:off x="17421225" y="1382077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171450</xdr:colOff>
      <xdr:row>72</xdr:row>
      <xdr:rowOff>76200</xdr:rowOff>
    </xdr:from>
    <xdr:to>
      <xdr:col>24</xdr:col>
      <xdr:colOff>171450</xdr:colOff>
      <xdr:row>72</xdr:row>
      <xdr:rowOff>190500</xdr:rowOff>
    </xdr:to>
    <xdr:sp macro="" textlink="">
      <xdr:nvSpPr>
        <xdr:cNvPr id="1241" name="Line 3090">
          <a:extLst>
            <a:ext uri="{FF2B5EF4-FFF2-40B4-BE49-F238E27FC236}">
              <a16:creationId xmlns:a16="http://schemas.microsoft.com/office/drawing/2014/main" id="{00000000-0008-0000-0000-0000D9040000}"/>
            </a:ext>
          </a:extLst>
        </xdr:cNvPr>
        <xdr:cNvSpPr>
          <a:spLocks noChangeShapeType="1"/>
        </xdr:cNvSpPr>
      </xdr:nvSpPr>
      <xdr:spPr bwMode="auto">
        <a:xfrm>
          <a:off x="174593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209550</xdr:colOff>
      <xdr:row>72</xdr:row>
      <xdr:rowOff>76200</xdr:rowOff>
    </xdr:from>
    <xdr:to>
      <xdr:col>24</xdr:col>
      <xdr:colOff>209550</xdr:colOff>
      <xdr:row>72</xdr:row>
      <xdr:rowOff>190500</xdr:rowOff>
    </xdr:to>
    <xdr:sp macro="" textlink="">
      <xdr:nvSpPr>
        <xdr:cNvPr id="1242" name="Line 3091">
          <a:extLst>
            <a:ext uri="{FF2B5EF4-FFF2-40B4-BE49-F238E27FC236}">
              <a16:creationId xmlns:a16="http://schemas.microsoft.com/office/drawing/2014/main" id="{00000000-0008-0000-0000-0000DA040000}"/>
            </a:ext>
          </a:extLst>
        </xdr:cNvPr>
        <xdr:cNvSpPr>
          <a:spLocks noChangeShapeType="1"/>
        </xdr:cNvSpPr>
      </xdr:nvSpPr>
      <xdr:spPr bwMode="auto">
        <a:xfrm>
          <a:off x="174974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247650</xdr:colOff>
      <xdr:row>72</xdr:row>
      <xdr:rowOff>76200</xdr:rowOff>
    </xdr:from>
    <xdr:to>
      <xdr:col>24</xdr:col>
      <xdr:colOff>247650</xdr:colOff>
      <xdr:row>72</xdr:row>
      <xdr:rowOff>190500</xdr:rowOff>
    </xdr:to>
    <xdr:sp macro="" textlink="">
      <xdr:nvSpPr>
        <xdr:cNvPr id="1243" name="Line 3092">
          <a:extLst>
            <a:ext uri="{FF2B5EF4-FFF2-40B4-BE49-F238E27FC236}">
              <a16:creationId xmlns:a16="http://schemas.microsoft.com/office/drawing/2014/main" id="{00000000-0008-0000-0000-0000DB040000}"/>
            </a:ext>
          </a:extLst>
        </xdr:cNvPr>
        <xdr:cNvSpPr>
          <a:spLocks noChangeShapeType="1"/>
        </xdr:cNvSpPr>
      </xdr:nvSpPr>
      <xdr:spPr bwMode="auto">
        <a:xfrm>
          <a:off x="175355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285750</xdr:colOff>
      <xdr:row>72</xdr:row>
      <xdr:rowOff>76200</xdr:rowOff>
    </xdr:from>
    <xdr:to>
      <xdr:col>24</xdr:col>
      <xdr:colOff>285750</xdr:colOff>
      <xdr:row>72</xdr:row>
      <xdr:rowOff>190500</xdr:rowOff>
    </xdr:to>
    <xdr:sp macro="" textlink="">
      <xdr:nvSpPr>
        <xdr:cNvPr id="1244" name="Line 3093">
          <a:extLst>
            <a:ext uri="{FF2B5EF4-FFF2-40B4-BE49-F238E27FC236}">
              <a16:creationId xmlns:a16="http://schemas.microsoft.com/office/drawing/2014/main" id="{00000000-0008-0000-0000-0000DC040000}"/>
            </a:ext>
          </a:extLst>
        </xdr:cNvPr>
        <xdr:cNvSpPr>
          <a:spLocks noChangeShapeType="1"/>
        </xdr:cNvSpPr>
      </xdr:nvSpPr>
      <xdr:spPr bwMode="auto">
        <a:xfrm>
          <a:off x="175736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323850</xdr:colOff>
      <xdr:row>72</xdr:row>
      <xdr:rowOff>76200</xdr:rowOff>
    </xdr:from>
    <xdr:to>
      <xdr:col>24</xdr:col>
      <xdr:colOff>323850</xdr:colOff>
      <xdr:row>72</xdr:row>
      <xdr:rowOff>190500</xdr:rowOff>
    </xdr:to>
    <xdr:sp macro="" textlink="">
      <xdr:nvSpPr>
        <xdr:cNvPr id="1245" name="Line 3094">
          <a:extLst>
            <a:ext uri="{FF2B5EF4-FFF2-40B4-BE49-F238E27FC236}">
              <a16:creationId xmlns:a16="http://schemas.microsoft.com/office/drawing/2014/main" id="{00000000-0008-0000-0000-0000DD040000}"/>
            </a:ext>
          </a:extLst>
        </xdr:cNvPr>
        <xdr:cNvSpPr>
          <a:spLocks noChangeShapeType="1"/>
        </xdr:cNvSpPr>
      </xdr:nvSpPr>
      <xdr:spPr bwMode="auto">
        <a:xfrm>
          <a:off x="176117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361950</xdr:colOff>
      <xdr:row>72</xdr:row>
      <xdr:rowOff>76200</xdr:rowOff>
    </xdr:from>
    <xdr:to>
      <xdr:col>24</xdr:col>
      <xdr:colOff>361950</xdr:colOff>
      <xdr:row>72</xdr:row>
      <xdr:rowOff>190500</xdr:rowOff>
    </xdr:to>
    <xdr:sp macro="" textlink="">
      <xdr:nvSpPr>
        <xdr:cNvPr id="1246" name="Line 3095">
          <a:extLst>
            <a:ext uri="{FF2B5EF4-FFF2-40B4-BE49-F238E27FC236}">
              <a16:creationId xmlns:a16="http://schemas.microsoft.com/office/drawing/2014/main" id="{00000000-0008-0000-0000-0000DE040000}"/>
            </a:ext>
          </a:extLst>
        </xdr:cNvPr>
        <xdr:cNvSpPr>
          <a:spLocks noChangeShapeType="1"/>
        </xdr:cNvSpPr>
      </xdr:nvSpPr>
      <xdr:spPr bwMode="auto">
        <a:xfrm>
          <a:off x="176498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400050</xdr:colOff>
      <xdr:row>72</xdr:row>
      <xdr:rowOff>76200</xdr:rowOff>
    </xdr:from>
    <xdr:to>
      <xdr:col>24</xdr:col>
      <xdr:colOff>400050</xdr:colOff>
      <xdr:row>72</xdr:row>
      <xdr:rowOff>190500</xdr:rowOff>
    </xdr:to>
    <xdr:sp macro="" textlink="">
      <xdr:nvSpPr>
        <xdr:cNvPr id="1247" name="Line 3096">
          <a:extLst>
            <a:ext uri="{FF2B5EF4-FFF2-40B4-BE49-F238E27FC236}">
              <a16:creationId xmlns:a16="http://schemas.microsoft.com/office/drawing/2014/main" id="{00000000-0008-0000-0000-0000DF040000}"/>
            </a:ext>
          </a:extLst>
        </xdr:cNvPr>
        <xdr:cNvSpPr>
          <a:spLocks noChangeShapeType="1"/>
        </xdr:cNvSpPr>
      </xdr:nvSpPr>
      <xdr:spPr bwMode="auto">
        <a:xfrm>
          <a:off x="176879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438150</xdr:colOff>
      <xdr:row>72</xdr:row>
      <xdr:rowOff>76200</xdr:rowOff>
    </xdr:from>
    <xdr:to>
      <xdr:col>24</xdr:col>
      <xdr:colOff>438150</xdr:colOff>
      <xdr:row>72</xdr:row>
      <xdr:rowOff>190500</xdr:rowOff>
    </xdr:to>
    <xdr:sp macro="" textlink="">
      <xdr:nvSpPr>
        <xdr:cNvPr id="1248" name="Line 3097">
          <a:extLst>
            <a:ext uri="{FF2B5EF4-FFF2-40B4-BE49-F238E27FC236}">
              <a16:creationId xmlns:a16="http://schemas.microsoft.com/office/drawing/2014/main" id="{00000000-0008-0000-0000-0000E0040000}"/>
            </a:ext>
          </a:extLst>
        </xdr:cNvPr>
        <xdr:cNvSpPr>
          <a:spLocks noChangeShapeType="1"/>
        </xdr:cNvSpPr>
      </xdr:nvSpPr>
      <xdr:spPr bwMode="auto">
        <a:xfrm>
          <a:off x="17726025" y="1382077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285750</xdr:colOff>
      <xdr:row>70</xdr:row>
      <xdr:rowOff>76200</xdr:rowOff>
    </xdr:from>
    <xdr:to>
      <xdr:col>23</xdr:col>
      <xdr:colOff>285750</xdr:colOff>
      <xdr:row>71</xdr:row>
      <xdr:rowOff>152400</xdr:rowOff>
    </xdr:to>
    <xdr:sp macro="" textlink="">
      <xdr:nvSpPr>
        <xdr:cNvPr id="1249" name="Line 3106">
          <a:extLst>
            <a:ext uri="{FF2B5EF4-FFF2-40B4-BE49-F238E27FC236}">
              <a16:creationId xmlns:a16="http://schemas.microsoft.com/office/drawing/2014/main" id="{00000000-0008-0000-0000-0000E1040000}"/>
            </a:ext>
          </a:extLst>
        </xdr:cNvPr>
        <xdr:cNvSpPr>
          <a:spLocks noChangeShapeType="1"/>
        </xdr:cNvSpPr>
      </xdr:nvSpPr>
      <xdr:spPr bwMode="auto">
        <a:xfrm>
          <a:off x="168211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323850</xdr:colOff>
      <xdr:row>70</xdr:row>
      <xdr:rowOff>76200</xdr:rowOff>
    </xdr:from>
    <xdr:to>
      <xdr:col>23</xdr:col>
      <xdr:colOff>323850</xdr:colOff>
      <xdr:row>71</xdr:row>
      <xdr:rowOff>152400</xdr:rowOff>
    </xdr:to>
    <xdr:sp macro="" textlink="">
      <xdr:nvSpPr>
        <xdr:cNvPr id="1250" name="Line 3107">
          <a:extLst>
            <a:ext uri="{FF2B5EF4-FFF2-40B4-BE49-F238E27FC236}">
              <a16:creationId xmlns:a16="http://schemas.microsoft.com/office/drawing/2014/main" id="{00000000-0008-0000-0000-0000E2040000}"/>
            </a:ext>
          </a:extLst>
        </xdr:cNvPr>
        <xdr:cNvSpPr>
          <a:spLocks noChangeShapeType="1"/>
        </xdr:cNvSpPr>
      </xdr:nvSpPr>
      <xdr:spPr bwMode="auto">
        <a:xfrm>
          <a:off x="168592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361950</xdr:colOff>
      <xdr:row>70</xdr:row>
      <xdr:rowOff>76200</xdr:rowOff>
    </xdr:from>
    <xdr:to>
      <xdr:col>23</xdr:col>
      <xdr:colOff>361950</xdr:colOff>
      <xdr:row>71</xdr:row>
      <xdr:rowOff>142875</xdr:rowOff>
    </xdr:to>
    <xdr:sp macro="" textlink="">
      <xdr:nvSpPr>
        <xdr:cNvPr id="1251" name="Line 3108">
          <a:extLst>
            <a:ext uri="{FF2B5EF4-FFF2-40B4-BE49-F238E27FC236}">
              <a16:creationId xmlns:a16="http://schemas.microsoft.com/office/drawing/2014/main" id="{00000000-0008-0000-0000-0000E3040000}"/>
            </a:ext>
          </a:extLst>
        </xdr:cNvPr>
        <xdr:cNvSpPr>
          <a:spLocks noChangeShapeType="1"/>
        </xdr:cNvSpPr>
      </xdr:nvSpPr>
      <xdr:spPr bwMode="auto">
        <a:xfrm>
          <a:off x="168973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400050</xdr:colOff>
      <xdr:row>70</xdr:row>
      <xdr:rowOff>76200</xdr:rowOff>
    </xdr:from>
    <xdr:to>
      <xdr:col>23</xdr:col>
      <xdr:colOff>400050</xdr:colOff>
      <xdr:row>71</xdr:row>
      <xdr:rowOff>142875</xdr:rowOff>
    </xdr:to>
    <xdr:sp macro="" textlink="">
      <xdr:nvSpPr>
        <xdr:cNvPr id="1252" name="Line 3109">
          <a:extLst>
            <a:ext uri="{FF2B5EF4-FFF2-40B4-BE49-F238E27FC236}">
              <a16:creationId xmlns:a16="http://schemas.microsoft.com/office/drawing/2014/main" id="{00000000-0008-0000-0000-0000E4040000}"/>
            </a:ext>
          </a:extLst>
        </xdr:cNvPr>
        <xdr:cNvSpPr>
          <a:spLocks noChangeShapeType="1"/>
        </xdr:cNvSpPr>
      </xdr:nvSpPr>
      <xdr:spPr bwMode="auto">
        <a:xfrm>
          <a:off x="169354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438150</xdr:colOff>
      <xdr:row>70</xdr:row>
      <xdr:rowOff>76200</xdr:rowOff>
    </xdr:from>
    <xdr:to>
      <xdr:col>23</xdr:col>
      <xdr:colOff>438150</xdr:colOff>
      <xdr:row>71</xdr:row>
      <xdr:rowOff>152400</xdr:rowOff>
    </xdr:to>
    <xdr:sp macro="" textlink="">
      <xdr:nvSpPr>
        <xdr:cNvPr id="1253" name="Line 3110">
          <a:extLst>
            <a:ext uri="{FF2B5EF4-FFF2-40B4-BE49-F238E27FC236}">
              <a16:creationId xmlns:a16="http://schemas.microsoft.com/office/drawing/2014/main" id="{00000000-0008-0000-0000-0000E5040000}"/>
            </a:ext>
          </a:extLst>
        </xdr:cNvPr>
        <xdr:cNvSpPr>
          <a:spLocks noChangeShapeType="1"/>
        </xdr:cNvSpPr>
      </xdr:nvSpPr>
      <xdr:spPr bwMode="auto">
        <a:xfrm>
          <a:off x="169735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476250</xdr:colOff>
      <xdr:row>70</xdr:row>
      <xdr:rowOff>76200</xdr:rowOff>
    </xdr:from>
    <xdr:to>
      <xdr:col>23</xdr:col>
      <xdr:colOff>476250</xdr:colOff>
      <xdr:row>71</xdr:row>
      <xdr:rowOff>152400</xdr:rowOff>
    </xdr:to>
    <xdr:sp macro="" textlink="">
      <xdr:nvSpPr>
        <xdr:cNvPr id="1254" name="Line 3111">
          <a:extLst>
            <a:ext uri="{FF2B5EF4-FFF2-40B4-BE49-F238E27FC236}">
              <a16:creationId xmlns:a16="http://schemas.microsoft.com/office/drawing/2014/main" id="{00000000-0008-0000-0000-0000E6040000}"/>
            </a:ext>
          </a:extLst>
        </xdr:cNvPr>
        <xdr:cNvSpPr>
          <a:spLocks noChangeShapeType="1"/>
        </xdr:cNvSpPr>
      </xdr:nvSpPr>
      <xdr:spPr bwMode="auto">
        <a:xfrm>
          <a:off x="170116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514350</xdr:colOff>
      <xdr:row>70</xdr:row>
      <xdr:rowOff>76200</xdr:rowOff>
    </xdr:from>
    <xdr:to>
      <xdr:col>23</xdr:col>
      <xdr:colOff>514350</xdr:colOff>
      <xdr:row>71</xdr:row>
      <xdr:rowOff>152400</xdr:rowOff>
    </xdr:to>
    <xdr:sp macro="" textlink="">
      <xdr:nvSpPr>
        <xdr:cNvPr id="1255" name="Line 3112">
          <a:extLst>
            <a:ext uri="{FF2B5EF4-FFF2-40B4-BE49-F238E27FC236}">
              <a16:creationId xmlns:a16="http://schemas.microsoft.com/office/drawing/2014/main" id="{00000000-0008-0000-0000-0000E7040000}"/>
            </a:ext>
          </a:extLst>
        </xdr:cNvPr>
        <xdr:cNvSpPr>
          <a:spLocks noChangeShapeType="1"/>
        </xdr:cNvSpPr>
      </xdr:nvSpPr>
      <xdr:spPr bwMode="auto">
        <a:xfrm>
          <a:off x="170497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552450</xdr:colOff>
      <xdr:row>70</xdr:row>
      <xdr:rowOff>76200</xdr:rowOff>
    </xdr:from>
    <xdr:to>
      <xdr:col>23</xdr:col>
      <xdr:colOff>552450</xdr:colOff>
      <xdr:row>71</xdr:row>
      <xdr:rowOff>142875</xdr:rowOff>
    </xdr:to>
    <xdr:sp macro="" textlink="">
      <xdr:nvSpPr>
        <xdr:cNvPr id="1256" name="Line 3113">
          <a:extLst>
            <a:ext uri="{FF2B5EF4-FFF2-40B4-BE49-F238E27FC236}">
              <a16:creationId xmlns:a16="http://schemas.microsoft.com/office/drawing/2014/main" id="{00000000-0008-0000-0000-0000E8040000}"/>
            </a:ext>
          </a:extLst>
        </xdr:cNvPr>
        <xdr:cNvSpPr>
          <a:spLocks noChangeShapeType="1"/>
        </xdr:cNvSpPr>
      </xdr:nvSpPr>
      <xdr:spPr bwMode="auto">
        <a:xfrm>
          <a:off x="170878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590550</xdr:colOff>
      <xdr:row>70</xdr:row>
      <xdr:rowOff>76200</xdr:rowOff>
    </xdr:from>
    <xdr:to>
      <xdr:col>23</xdr:col>
      <xdr:colOff>590550</xdr:colOff>
      <xdr:row>71</xdr:row>
      <xdr:rowOff>152400</xdr:rowOff>
    </xdr:to>
    <xdr:sp macro="" textlink="">
      <xdr:nvSpPr>
        <xdr:cNvPr id="1257" name="Line 3114">
          <a:extLst>
            <a:ext uri="{FF2B5EF4-FFF2-40B4-BE49-F238E27FC236}">
              <a16:creationId xmlns:a16="http://schemas.microsoft.com/office/drawing/2014/main" id="{00000000-0008-0000-0000-0000E9040000}"/>
            </a:ext>
          </a:extLst>
        </xdr:cNvPr>
        <xdr:cNvSpPr>
          <a:spLocks noChangeShapeType="1"/>
        </xdr:cNvSpPr>
      </xdr:nvSpPr>
      <xdr:spPr bwMode="auto">
        <a:xfrm>
          <a:off x="171259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628650</xdr:colOff>
      <xdr:row>70</xdr:row>
      <xdr:rowOff>76200</xdr:rowOff>
    </xdr:from>
    <xdr:to>
      <xdr:col>23</xdr:col>
      <xdr:colOff>628650</xdr:colOff>
      <xdr:row>71</xdr:row>
      <xdr:rowOff>152400</xdr:rowOff>
    </xdr:to>
    <xdr:sp macro="" textlink="">
      <xdr:nvSpPr>
        <xdr:cNvPr id="1258" name="Line 3115">
          <a:extLst>
            <a:ext uri="{FF2B5EF4-FFF2-40B4-BE49-F238E27FC236}">
              <a16:creationId xmlns:a16="http://schemas.microsoft.com/office/drawing/2014/main" id="{00000000-0008-0000-0000-0000EA040000}"/>
            </a:ext>
          </a:extLst>
        </xdr:cNvPr>
        <xdr:cNvSpPr>
          <a:spLocks noChangeShapeType="1"/>
        </xdr:cNvSpPr>
      </xdr:nvSpPr>
      <xdr:spPr bwMode="auto">
        <a:xfrm>
          <a:off x="171640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666750</xdr:colOff>
      <xdr:row>70</xdr:row>
      <xdr:rowOff>76200</xdr:rowOff>
    </xdr:from>
    <xdr:to>
      <xdr:col>23</xdr:col>
      <xdr:colOff>666750</xdr:colOff>
      <xdr:row>71</xdr:row>
      <xdr:rowOff>152400</xdr:rowOff>
    </xdr:to>
    <xdr:sp macro="" textlink="">
      <xdr:nvSpPr>
        <xdr:cNvPr id="1259" name="Line 3116">
          <a:extLst>
            <a:ext uri="{FF2B5EF4-FFF2-40B4-BE49-F238E27FC236}">
              <a16:creationId xmlns:a16="http://schemas.microsoft.com/office/drawing/2014/main" id="{00000000-0008-0000-0000-0000EB040000}"/>
            </a:ext>
          </a:extLst>
        </xdr:cNvPr>
        <xdr:cNvSpPr>
          <a:spLocks noChangeShapeType="1"/>
        </xdr:cNvSpPr>
      </xdr:nvSpPr>
      <xdr:spPr bwMode="auto">
        <a:xfrm>
          <a:off x="172021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704850</xdr:colOff>
      <xdr:row>70</xdr:row>
      <xdr:rowOff>76200</xdr:rowOff>
    </xdr:from>
    <xdr:to>
      <xdr:col>23</xdr:col>
      <xdr:colOff>704850</xdr:colOff>
      <xdr:row>71</xdr:row>
      <xdr:rowOff>142875</xdr:rowOff>
    </xdr:to>
    <xdr:sp macro="" textlink="">
      <xdr:nvSpPr>
        <xdr:cNvPr id="1260" name="Line 3117">
          <a:extLst>
            <a:ext uri="{FF2B5EF4-FFF2-40B4-BE49-F238E27FC236}">
              <a16:creationId xmlns:a16="http://schemas.microsoft.com/office/drawing/2014/main" id="{00000000-0008-0000-0000-0000EC040000}"/>
            </a:ext>
          </a:extLst>
        </xdr:cNvPr>
        <xdr:cNvSpPr>
          <a:spLocks noChangeShapeType="1"/>
        </xdr:cNvSpPr>
      </xdr:nvSpPr>
      <xdr:spPr bwMode="auto">
        <a:xfrm>
          <a:off x="172402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742950</xdr:colOff>
      <xdr:row>70</xdr:row>
      <xdr:rowOff>76200</xdr:rowOff>
    </xdr:from>
    <xdr:to>
      <xdr:col>23</xdr:col>
      <xdr:colOff>742950</xdr:colOff>
      <xdr:row>71</xdr:row>
      <xdr:rowOff>142875</xdr:rowOff>
    </xdr:to>
    <xdr:sp macro="" textlink="">
      <xdr:nvSpPr>
        <xdr:cNvPr id="1261" name="Line 3118">
          <a:extLst>
            <a:ext uri="{FF2B5EF4-FFF2-40B4-BE49-F238E27FC236}">
              <a16:creationId xmlns:a16="http://schemas.microsoft.com/office/drawing/2014/main" id="{00000000-0008-0000-0000-0000ED040000}"/>
            </a:ext>
          </a:extLst>
        </xdr:cNvPr>
        <xdr:cNvSpPr>
          <a:spLocks noChangeShapeType="1"/>
        </xdr:cNvSpPr>
      </xdr:nvSpPr>
      <xdr:spPr bwMode="auto">
        <a:xfrm>
          <a:off x="172783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28575</xdr:colOff>
      <xdr:row>70</xdr:row>
      <xdr:rowOff>76200</xdr:rowOff>
    </xdr:from>
    <xdr:to>
      <xdr:col>24</xdr:col>
      <xdr:colOff>28575</xdr:colOff>
      <xdr:row>71</xdr:row>
      <xdr:rowOff>152400</xdr:rowOff>
    </xdr:to>
    <xdr:sp macro="" textlink="">
      <xdr:nvSpPr>
        <xdr:cNvPr id="1262" name="Line 3119">
          <a:extLst>
            <a:ext uri="{FF2B5EF4-FFF2-40B4-BE49-F238E27FC236}">
              <a16:creationId xmlns:a16="http://schemas.microsoft.com/office/drawing/2014/main" id="{00000000-0008-0000-0000-0000EE040000}"/>
            </a:ext>
          </a:extLst>
        </xdr:cNvPr>
        <xdr:cNvSpPr>
          <a:spLocks noChangeShapeType="1"/>
        </xdr:cNvSpPr>
      </xdr:nvSpPr>
      <xdr:spPr bwMode="auto">
        <a:xfrm>
          <a:off x="173164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66675</xdr:colOff>
      <xdr:row>70</xdr:row>
      <xdr:rowOff>76200</xdr:rowOff>
    </xdr:from>
    <xdr:to>
      <xdr:col>24</xdr:col>
      <xdr:colOff>66675</xdr:colOff>
      <xdr:row>71</xdr:row>
      <xdr:rowOff>152400</xdr:rowOff>
    </xdr:to>
    <xdr:sp macro="" textlink="">
      <xdr:nvSpPr>
        <xdr:cNvPr id="1263" name="Line 3120">
          <a:extLst>
            <a:ext uri="{FF2B5EF4-FFF2-40B4-BE49-F238E27FC236}">
              <a16:creationId xmlns:a16="http://schemas.microsoft.com/office/drawing/2014/main" id="{00000000-0008-0000-0000-0000EF040000}"/>
            </a:ext>
          </a:extLst>
        </xdr:cNvPr>
        <xdr:cNvSpPr>
          <a:spLocks noChangeShapeType="1"/>
        </xdr:cNvSpPr>
      </xdr:nvSpPr>
      <xdr:spPr bwMode="auto">
        <a:xfrm>
          <a:off x="173545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104775</xdr:colOff>
      <xdr:row>70</xdr:row>
      <xdr:rowOff>76200</xdr:rowOff>
    </xdr:from>
    <xdr:to>
      <xdr:col>24</xdr:col>
      <xdr:colOff>104775</xdr:colOff>
      <xdr:row>71</xdr:row>
      <xdr:rowOff>152400</xdr:rowOff>
    </xdr:to>
    <xdr:sp macro="" textlink="">
      <xdr:nvSpPr>
        <xdr:cNvPr id="1264" name="Line 3121">
          <a:extLst>
            <a:ext uri="{FF2B5EF4-FFF2-40B4-BE49-F238E27FC236}">
              <a16:creationId xmlns:a16="http://schemas.microsoft.com/office/drawing/2014/main" id="{00000000-0008-0000-0000-0000F0040000}"/>
            </a:ext>
          </a:extLst>
        </xdr:cNvPr>
        <xdr:cNvSpPr>
          <a:spLocks noChangeShapeType="1"/>
        </xdr:cNvSpPr>
      </xdr:nvSpPr>
      <xdr:spPr bwMode="auto">
        <a:xfrm>
          <a:off x="173926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142875</xdr:colOff>
      <xdr:row>70</xdr:row>
      <xdr:rowOff>76200</xdr:rowOff>
    </xdr:from>
    <xdr:to>
      <xdr:col>24</xdr:col>
      <xdr:colOff>142875</xdr:colOff>
      <xdr:row>71</xdr:row>
      <xdr:rowOff>142875</xdr:rowOff>
    </xdr:to>
    <xdr:sp macro="" textlink="">
      <xdr:nvSpPr>
        <xdr:cNvPr id="1265" name="Line 3122">
          <a:extLst>
            <a:ext uri="{FF2B5EF4-FFF2-40B4-BE49-F238E27FC236}">
              <a16:creationId xmlns:a16="http://schemas.microsoft.com/office/drawing/2014/main" id="{00000000-0008-0000-0000-0000F1040000}"/>
            </a:ext>
          </a:extLst>
        </xdr:cNvPr>
        <xdr:cNvSpPr>
          <a:spLocks noChangeShapeType="1"/>
        </xdr:cNvSpPr>
      </xdr:nvSpPr>
      <xdr:spPr bwMode="auto">
        <a:xfrm>
          <a:off x="174307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180975</xdr:colOff>
      <xdr:row>70</xdr:row>
      <xdr:rowOff>76200</xdr:rowOff>
    </xdr:from>
    <xdr:to>
      <xdr:col>24</xdr:col>
      <xdr:colOff>180975</xdr:colOff>
      <xdr:row>71</xdr:row>
      <xdr:rowOff>152400</xdr:rowOff>
    </xdr:to>
    <xdr:sp macro="" textlink="">
      <xdr:nvSpPr>
        <xdr:cNvPr id="1266" name="Line 3123">
          <a:extLst>
            <a:ext uri="{FF2B5EF4-FFF2-40B4-BE49-F238E27FC236}">
              <a16:creationId xmlns:a16="http://schemas.microsoft.com/office/drawing/2014/main" id="{00000000-0008-0000-0000-0000F2040000}"/>
            </a:ext>
          </a:extLst>
        </xdr:cNvPr>
        <xdr:cNvSpPr>
          <a:spLocks noChangeShapeType="1"/>
        </xdr:cNvSpPr>
      </xdr:nvSpPr>
      <xdr:spPr bwMode="auto">
        <a:xfrm>
          <a:off x="174688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219075</xdr:colOff>
      <xdr:row>70</xdr:row>
      <xdr:rowOff>76200</xdr:rowOff>
    </xdr:from>
    <xdr:to>
      <xdr:col>24</xdr:col>
      <xdr:colOff>219075</xdr:colOff>
      <xdr:row>71</xdr:row>
      <xdr:rowOff>152400</xdr:rowOff>
    </xdr:to>
    <xdr:sp macro="" textlink="">
      <xdr:nvSpPr>
        <xdr:cNvPr id="1267" name="Line 3124">
          <a:extLst>
            <a:ext uri="{FF2B5EF4-FFF2-40B4-BE49-F238E27FC236}">
              <a16:creationId xmlns:a16="http://schemas.microsoft.com/office/drawing/2014/main" id="{00000000-0008-0000-0000-0000F3040000}"/>
            </a:ext>
          </a:extLst>
        </xdr:cNvPr>
        <xdr:cNvSpPr>
          <a:spLocks noChangeShapeType="1"/>
        </xdr:cNvSpPr>
      </xdr:nvSpPr>
      <xdr:spPr bwMode="auto">
        <a:xfrm>
          <a:off x="175069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257175</xdr:colOff>
      <xdr:row>70</xdr:row>
      <xdr:rowOff>76200</xdr:rowOff>
    </xdr:from>
    <xdr:to>
      <xdr:col>24</xdr:col>
      <xdr:colOff>257175</xdr:colOff>
      <xdr:row>71</xdr:row>
      <xdr:rowOff>152400</xdr:rowOff>
    </xdr:to>
    <xdr:sp macro="" textlink="">
      <xdr:nvSpPr>
        <xdr:cNvPr id="1268" name="Line 3125">
          <a:extLst>
            <a:ext uri="{FF2B5EF4-FFF2-40B4-BE49-F238E27FC236}">
              <a16:creationId xmlns:a16="http://schemas.microsoft.com/office/drawing/2014/main" id="{00000000-0008-0000-0000-0000F4040000}"/>
            </a:ext>
          </a:extLst>
        </xdr:cNvPr>
        <xdr:cNvSpPr>
          <a:spLocks noChangeShapeType="1"/>
        </xdr:cNvSpPr>
      </xdr:nvSpPr>
      <xdr:spPr bwMode="auto">
        <a:xfrm>
          <a:off x="175450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295275</xdr:colOff>
      <xdr:row>70</xdr:row>
      <xdr:rowOff>76200</xdr:rowOff>
    </xdr:from>
    <xdr:to>
      <xdr:col>24</xdr:col>
      <xdr:colOff>295275</xdr:colOff>
      <xdr:row>71</xdr:row>
      <xdr:rowOff>142875</xdr:rowOff>
    </xdr:to>
    <xdr:sp macro="" textlink="">
      <xdr:nvSpPr>
        <xdr:cNvPr id="1269" name="Line 3126">
          <a:extLst>
            <a:ext uri="{FF2B5EF4-FFF2-40B4-BE49-F238E27FC236}">
              <a16:creationId xmlns:a16="http://schemas.microsoft.com/office/drawing/2014/main" id="{00000000-0008-0000-0000-0000F5040000}"/>
            </a:ext>
          </a:extLst>
        </xdr:cNvPr>
        <xdr:cNvSpPr>
          <a:spLocks noChangeShapeType="1"/>
        </xdr:cNvSpPr>
      </xdr:nvSpPr>
      <xdr:spPr bwMode="auto">
        <a:xfrm>
          <a:off x="175831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333375</xdr:colOff>
      <xdr:row>70</xdr:row>
      <xdr:rowOff>76200</xdr:rowOff>
    </xdr:from>
    <xdr:to>
      <xdr:col>24</xdr:col>
      <xdr:colOff>333375</xdr:colOff>
      <xdr:row>71</xdr:row>
      <xdr:rowOff>142875</xdr:rowOff>
    </xdr:to>
    <xdr:sp macro="" textlink="">
      <xdr:nvSpPr>
        <xdr:cNvPr id="1270" name="Line 3127">
          <a:extLst>
            <a:ext uri="{FF2B5EF4-FFF2-40B4-BE49-F238E27FC236}">
              <a16:creationId xmlns:a16="http://schemas.microsoft.com/office/drawing/2014/main" id="{00000000-0008-0000-0000-0000F6040000}"/>
            </a:ext>
          </a:extLst>
        </xdr:cNvPr>
        <xdr:cNvSpPr>
          <a:spLocks noChangeShapeType="1"/>
        </xdr:cNvSpPr>
      </xdr:nvSpPr>
      <xdr:spPr bwMode="auto">
        <a:xfrm>
          <a:off x="17621250"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371475</xdr:colOff>
      <xdr:row>70</xdr:row>
      <xdr:rowOff>76200</xdr:rowOff>
    </xdr:from>
    <xdr:to>
      <xdr:col>24</xdr:col>
      <xdr:colOff>371475</xdr:colOff>
      <xdr:row>71</xdr:row>
      <xdr:rowOff>152400</xdr:rowOff>
    </xdr:to>
    <xdr:sp macro="" textlink="">
      <xdr:nvSpPr>
        <xdr:cNvPr id="1271" name="Line 3128">
          <a:extLst>
            <a:ext uri="{FF2B5EF4-FFF2-40B4-BE49-F238E27FC236}">
              <a16:creationId xmlns:a16="http://schemas.microsoft.com/office/drawing/2014/main" id="{00000000-0008-0000-0000-0000F7040000}"/>
            </a:ext>
          </a:extLst>
        </xdr:cNvPr>
        <xdr:cNvSpPr>
          <a:spLocks noChangeShapeType="1"/>
        </xdr:cNvSpPr>
      </xdr:nvSpPr>
      <xdr:spPr bwMode="auto">
        <a:xfrm>
          <a:off x="176593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409575</xdr:colOff>
      <xdr:row>70</xdr:row>
      <xdr:rowOff>76200</xdr:rowOff>
    </xdr:from>
    <xdr:to>
      <xdr:col>24</xdr:col>
      <xdr:colOff>409575</xdr:colOff>
      <xdr:row>71</xdr:row>
      <xdr:rowOff>152400</xdr:rowOff>
    </xdr:to>
    <xdr:sp macro="" textlink="">
      <xdr:nvSpPr>
        <xdr:cNvPr id="1272" name="Line 3129">
          <a:extLst>
            <a:ext uri="{FF2B5EF4-FFF2-40B4-BE49-F238E27FC236}">
              <a16:creationId xmlns:a16="http://schemas.microsoft.com/office/drawing/2014/main" id="{00000000-0008-0000-0000-0000F8040000}"/>
            </a:ext>
          </a:extLst>
        </xdr:cNvPr>
        <xdr:cNvSpPr>
          <a:spLocks noChangeShapeType="1"/>
        </xdr:cNvSpPr>
      </xdr:nvSpPr>
      <xdr:spPr bwMode="auto">
        <a:xfrm>
          <a:off x="176974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447675</xdr:colOff>
      <xdr:row>70</xdr:row>
      <xdr:rowOff>76200</xdr:rowOff>
    </xdr:from>
    <xdr:to>
      <xdr:col>24</xdr:col>
      <xdr:colOff>447675</xdr:colOff>
      <xdr:row>71</xdr:row>
      <xdr:rowOff>152400</xdr:rowOff>
    </xdr:to>
    <xdr:sp macro="" textlink="">
      <xdr:nvSpPr>
        <xdr:cNvPr id="1273" name="Line 3130">
          <a:extLst>
            <a:ext uri="{FF2B5EF4-FFF2-40B4-BE49-F238E27FC236}">
              <a16:creationId xmlns:a16="http://schemas.microsoft.com/office/drawing/2014/main" id="{00000000-0008-0000-0000-0000F9040000}"/>
            </a:ext>
          </a:extLst>
        </xdr:cNvPr>
        <xdr:cNvSpPr>
          <a:spLocks noChangeShapeType="1"/>
        </xdr:cNvSpPr>
      </xdr:nvSpPr>
      <xdr:spPr bwMode="auto">
        <a:xfrm>
          <a:off x="177355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247650</xdr:colOff>
      <xdr:row>70</xdr:row>
      <xdr:rowOff>76200</xdr:rowOff>
    </xdr:from>
    <xdr:to>
      <xdr:col>23</xdr:col>
      <xdr:colOff>247650</xdr:colOff>
      <xdr:row>71</xdr:row>
      <xdr:rowOff>152400</xdr:rowOff>
    </xdr:to>
    <xdr:sp macro="" textlink="">
      <xdr:nvSpPr>
        <xdr:cNvPr id="1274" name="Line 3138">
          <a:extLst>
            <a:ext uri="{FF2B5EF4-FFF2-40B4-BE49-F238E27FC236}">
              <a16:creationId xmlns:a16="http://schemas.microsoft.com/office/drawing/2014/main" id="{00000000-0008-0000-0000-0000FA040000}"/>
            </a:ext>
          </a:extLst>
        </xdr:cNvPr>
        <xdr:cNvSpPr>
          <a:spLocks noChangeShapeType="1"/>
        </xdr:cNvSpPr>
      </xdr:nvSpPr>
      <xdr:spPr bwMode="auto">
        <a:xfrm>
          <a:off x="16783050"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209550</xdr:colOff>
      <xdr:row>70</xdr:row>
      <xdr:rowOff>85725</xdr:rowOff>
    </xdr:from>
    <xdr:to>
      <xdr:col>23</xdr:col>
      <xdr:colOff>209550</xdr:colOff>
      <xdr:row>71</xdr:row>
      <xdr:rowOff>161925</xdr:rowOff>
    </xdr:to>
    <xdr:sp macro="" textlink="">
      <xdr:nvSpPr>
        <xdr:cNvPr id="1275" name="Line 3139">
          <a:extLst>
            <a:ext uri="{FF2B5EF4-FFF2-40B4-BE49-F238E27FC236}">
              <a16:creationId xmlns:a16="http://schemas.microsoft.com/office/drawing/2014/main" id="{00000000-0008-0000-0000-0000FB040000}"/>
            </a:ext>
          </a:extLst>
        </xdr:cNvPr>
        <xdr:cNvSpPr>
          <a:spLocks noChangeShapeType="1"/>
        </xdr:cNvSpPr>
      </xdr:nvSpPr>
      <xdr:spPr bwMode="auto">
        <a:xfrm>
          <a:off x="16744950" y="134397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161925</xdr:colOff>
      <xdr:row>70</xdr:row>
      <xdr:rowOff>76200</xdr:rowOff>
    </xdr:from>
    <xdr:to>
      <xdr:col>23</xdr:col>
      <xdr:colOff>161925</xdr:colOff>
      <xdr:row>71</xdr:row>
      <xdr:rowOff>161925</xdr:rowOff>
    </xdr:to>
    <xdr:sp macro="" textlink="">
      <xdr:nvSpPr>
        <xdr:cNvPr id="1276" name="Line 3140">
          <a:extLst>
            <a:ext uri="{FF2B5EF4-FFF2-40B4-BE49-F238E27FC236}">
              <a16:creationId xmlns:a16="http://schemas.microsoft.com/office/drawing/2014/main" id="{00000000-0008-0000-0000-0000FC040000}"/>
            </a:ext>
          </a:extLst>
        </xdr:cNvPr>
        <xdr:cNvSpPr>
          <a:spLocks noChangeShapeType="1"/>
        </xdr:cNvSpPr>
      </xdr:nvSpPr>
      <xdr:spPr bwMode="auto">
        <a:xfrm>
          <a:off x="16697325" y="134302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85725</xdr:colOff>
      <xdr:row>70</xdr:row>
      <xdr:rowOff>85725</xdr:rowOff>
    </xdr:from>
    <xdr:to>
      <xdr:col>23</xdr:col>
      <xdr:colOff>85725</xdr:colOff>
      <xdr:row>71</xdr:row>
      <xdr:rowOff>142875</xdr:rowOff>
    </xdr:to>
    <xdr:sp macro="" textlink="">
      <xdr:nvSpPr>
        <xdr:cNvPr id="1277" name="Line 3141">
          <a:extLst>
            <a:ext uri="{FF2B5EF4-FFF2-40B4-BE49-F238E27FC236}">
              <a16:creationId xmlns:a16="http://schemas.microsoft.com/office/drawing/2014/main" id="{00000000-0008-0000-0000-0000FD040000}"/>
            </a:ext>
          </a:extLst>
        </xdr:cNvPr>
        <xdr:cNvSpPr>
          <a:spLocks noChangeShapeType="1"/>
        </xdr:cNvSpPr>
      </xdr:nvSpPr>
      <xdr:spPr bwMode="auto">
        <a:xfrm>
          <a:off x="16621125" y="13439775"/>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47625</xdr:colOff>
      <xdr:row>70</xdr:row>
      <xdr:rowOff>76200</xdr:rowOff>
    </xdr:from>
    <xdr:to>
      <xdr:col>23</xdr:col>
      <xdr:colOff>47625</xdr:colOff>
      <xdr:row>71</xdr:row>
      <xdr:rowOff>142875</xdr:rowOff>
    </xdr:to>
    <xdr:sp macro="" textlink="">
      <xdr:nvSpPr>
        <xdr:cNvPr id="1278" name="Line 3142">
          <a:extLst>
            <a:ext uri="{FF2B5EF4-FFF2-40B4-BE49-F238E27FC236}">
              <a16:creationId xmlns:a16="http://schemas.microsoft.com/office/drawing/2014/main" id="{00000000-0008-0000-0000-0000FE040000}"/>
            </a:ext>
          </a:extLst>
        </xdr:cNvPr>
        <xdr:cNvSpPr>
          <a:spLocks noChangeShapeType="1"/>
        </xdr:cNvSpPr>
      </xdr:nvSpPr>
      <xdr:spPr bwMode="auto">
        <a:xfrm>
          <a:off x="16583025" y="13430250"/>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123825</xdr:colOff>
      <xdr:row>70</xdr:row>
      <xdr:rowOff>76200</xdr:rowOff>
    </xdr:from>
    <xdr:to>
      <xdr:col>23</xdr:col>
      <xdr:colOff>123825</xdr:colOff>
      <xdr:row>71</xdr:row>
      <xdr:rowOff>152400</xdr:rowOff>
    </xdr:to>
    <xdr:sp macro="" textlink="">
      <xdr:nvSpPr>
        <xdr:cNvPr id="1279" name="Line 3143">
          <a:extLst>
            <a:ext uri="{FF2B5EF4-FFF2-40B4-BE49-F238E27FC236}">
              <a16:creationId xmlns:a16="http://schemas.microsoft.com/office/drawing/2014/main" id="{00000000-0008-0000-0000-0000FF040000}"/>
            </a:ext>
          </a:extLst>
        </xdr:cNvPr>
        <xdr:cNvSpPr>
          <a:spLocks noChangeShapeType="1"/>
        </xdr:cNvSpPr>
      </xdr:nvSpPr>
      <xdr:spPr bwMode="auto">
        <a:xfrm>
          <a:off x="16659225" y="1343025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152400</xdr:colOff>
      <xdr:row>76</xdr:row>
      <xdr:rowOff>104775</xdr:rowOff>
    </xdr:from>
    <xdr:to>
      <xdr:col>24</xdr:col>
      <xdr:colOff>447675</xdr:colOff>
      <xdr:row>76</xdr:row>
      <xdr:rowOff>104775</xdr:rowOff>
    </xdr:to>
    <xdr:sp macro="" textlink="">
      <xdr:nvSpPr>
        <xdr:cNvPr id="1280" name="Line 3144">
          <a:extLst>
            <a:ext uri="{FF2B5EF4-FFF2-40B4-BE49-F238E27FC236}">
              <a16:creationId xmlns:a16="http://schemas.microsoft.com/office/drawing/2014/main" id="{00000000-0008-0000-0000-000000050000}"/>
            </a:ext>
          </a:extLst>
        </xdr:cNvPr>
        <xdr:cNvSpPr>
          <a:spLocks noChangeShapeType="1"/>
        </xdr:cNvSpPr>
      </xdr:nvSpPr>
      <xdr:spPr bwMode="auto">
        <a:xfrm>
          <a:off x="17440275" y="14649450"/>
          <a:ext cx="295275"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638175</xdr:colOff>
      <xdr:row>74</xdr:row>
      <xdr:rowOff>38100</xdr:rowOff>
    </xdr:from>
    <xdr:to>
      <xdr:col>24</xdr:col>
      <xdr:colOff>323850</xdr:colOff>
      <xdr:row>75</xdr:row>
      <xdr:rowOff>133350</xdr:rowOff>
    </xdr:to>
    <xdr:sp macro="" textlink="">
      <xdr:nvSpPr>
        <xdr:cNvPr id="1281" name="Line 3145">
          <a:extLst>
            <a:ext uri="{FF2B5EF4-FFF2-40B4-BE49-F238E27FC236}">
              <a16:creationId xmlns:a16="http://schemas.microsoft.com/office/drawing/2014/main" id="{00000000-0008-0000-0000-000001050000}"/>
            </a:ext>
          </a:extLst>
        </xdr:cNvPr>
        <xdr:cNvSpPr>
          <a:spLocks noChangeShapeType="1"/>
        </xdr:cNvSpPr>
      </xdr:nvSpPr>
      <xdr:spPr bwMode="auto">
        <a:xfrm>
          <a:off x="17173575" y="14182725"/>
          <a:ext cx="43815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619125</xdr:colOff>
      <xdr:row>74</xdr:row>
      <xdr:rowOff>47625</xdr:rowOff>
    </xdr:from>
    <xdr:to>
      <xdr:col>24</xdr:col>
      <xdr:colOff>371475</xdr:colOff>
      <xdr:row>74</xdr:row>
      <xdr:rowOff>47625</xdr:rowOff>
    </xdr:to>
    <xdr:sp macro="" textlink="">
      <xdr:nvSpPr>
        <xdr:cNvPr id="1282" name="Line 3146">
          <a:extLst>
            <a:ext uri="{FF2B5EF4-FFF2-40B4-BE49-F238E27FC236}">
              <a16:creationId xmlns:a16="http://schemas.microsoft.com/office/drawing/2014/main" id="{00000000-0008-0000-0000-000002050000}"/>
            </a:ext>
          </a:extLst>
        </xdr:cNvPr>
        <xdr:cNvSpPr>
          <a:spLocks noChangeShapeType="1"/>
        </xdr:cNvSpPr>
      </xdr:nvSpPr>
      <xdr:spPr bwMode="auto">
        <a:xfrm>
          <a:off x="17154525" y="14192250"/>
          <a:ext cx="504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47625</xdr:colOff>
      <xdr:row>48</xdr:row>
      <xdr:rowOff>142875</xdr:rowOff>
    </xdr:from>
    <xdr:to>
      <xdr:col>13</xdr:col>
      <xdr:colOff>314325</xdr:colOff>
      <xdr:row>49</xdr:row>
      <xdr:rowOff>57150</xdr:rowOff>
    </xdr:to>
    <xdr:sp macro="" textlink="">
      <xdr:nvSpPr>
        <xdr:cNvPr id="1283" name="Line 4379">
          <a:extLst>
            <a:ext uri="{FF2B5EF4-FFF2-40B4-BE49-F238E27FC236}">
              <a16:creationId xmlns:a16="http://schemas.microsoft.com/office/drawing/2014/main" id="{00000000-0008-0000-0000-000003050000}"/>
            </a:ext>
          </a:extLst>
        </xdr:cNvPr>
        <xdr:cNvSpPr>
          <a:spLocks noChangeShapeType="1"/>
        </xdr:cNvSpPr>
      </xdr:nvSpPr>
      <xdr:spPr bwMode="auto">
        <a:xfrm flipV="1">
          <a:off x="8201025" y="9210675"/>
          <a:ext cx="2667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123825</xdr:colOff>
      <xdr:row>48</xdr:row>
      <xdr:rowOff>161925</xdr:rowOff>
    </xdr:from>
    <xdr:to>
      <xdr:col>14</xdr:col>
      <xdr:colOff>247650</xdr:colOff>
      <xdr:row>49</xdr:row>
      <xdr:rowOff>104775</xdr:rowOff>
    </xdr:to>
    <xdr:sp macro="" textlink="">
      <xdr:nvSpPr>
        <xdr:cNvPr id="1284" name="Line 4381">
          <a:extLst>
            <a:ext uri="{FF2B5EF4-FFF2-40B4-BE49-F238E27FC236}">
              <a16:creationId xmlns:a16="http://schemas.microsoft.com/office/drawing/2014/main" id="{00000000-0008-0000-0000-000004050000}"/>
            </a:ext>
          </a:extLst>
        </xdr:cNvPr>
        <xdr:cNvSpPr>
          <a:spLocks noChangeShapeType="1"/>
        </xdr:cNvSpPr>
      </xdr:nvSpPr>
      <xdr:spPr bwMode="auto">
        <a:xfrm flipV="1">
          <a:off x="9286875" y="922972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523875</xdr:colOff>
      <xdr:row>17</xdr:row>
      <xdr:rowOff>0</xdr:rowOff>
    </xdr:from>
    <xdr:to>
      <xdr:col>34</xdr:col>
      <xdr:colOff>228600</xdr:colOff>
      <xdr:row>17</xdr:row>
      <xdr:rowOff>0</xdr:rowOff>
    </xdr:to>
    <xdr:sp macro="" textlink="">
      <xdr:nvSpPr>
        <xdr:cNvPr id="1285" name="Line 4386">
          <a:extLst>
            <a:ext uri="{FF2B5EF4-FFF2-40B4-BE49-F238E27FC236}">
              <a16:creationId xmlns:a16="http://schemas.microsoft.com/office/drawing/2014/main" id="{00000000-0008-0000-0000-000005050000}"/>
            </a:ext>
          </a:extLst>
        </xdr:cNvPr>
        <xdr:cNvSpPr>
          <a:spLocks noChangeShapeType="1"/>
        </xdr:cNvSpPr>
      </xdr:nvSpPr>
      <xdr:spPr bwMode="auto">
        <a:xfrm>
          <a:off x="23831550" y="3000375"/>
          <a:ext cx="120967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9525</xdr:colOff>
      <xdr:row>17</xdr:row>
      <xdr:rowOff>0</xdr:rowOff>
    </xdr:from>
    <xdr:to>
      <xdr:col>33</xdr:col>
      <xdr:colOff>9525</xdr:colOff>
      <xdr:row>18</xdr:row>
      <xdr:rowOff>152400</xdr:rowOff>
    </xdr:to>
    <xdr:sp macro="" textlink="">
      <xdr:nvSpPr>
        <xdr:cNvPr id="1286" name="Line 4387">
          <a:extLst>
            <a:ext uri="{FF2B5EF4-FFF2-40B4-BE49-F238E27FC236}">
              <a16:creationId xmlns:a16="http://schemas.microsoft.com/office/drawing/2014/main" id="{00000000-0008-0000-0000-000006050000}"/>
            </a:ext>
          </a:extLst>
        </xdr:cNvPr>
        <xdr:cNvSpPr>
          <a:spLocks noChangeShapeType="1"/>
        </xdr:cNvSpPr>
      </xdr:nvSpPr>
      <xdr:spPr bwMode="auto">
        <a:xfrm flipV="1">
          <a:off x="24069675" y="3000375"/>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34</xdr:col>
      <xdr:colOff>0</xdr:colOff>
      <xdr:row>17</xdr:row>
      <xdr:rowOff>0</xdr:rowOff>
    </xdr:from>
    <xdr:to>
      <xdr:col>34</xdr:col>
      <xdr:colOff>0</xdr:colOff>
      <xdr:row>18</xdr:row>
      <xdr:rowOff>152400</xdr:rowOff>
    </xdr:to>
    <xdr:sp macro="" textlink="">
      <xdr:nvSpPr>
        <xdr:cNvPr id="1287" name="Line 4388">
          <a:extLst>
            <a:ext uri="{FF2B5EF4-FFF2-40B4-BE49-F238E27FC236}">
              <a16:creationId xmlns:a16="http://schemas.microsoft.com/office/drawing/2014/main" id="{00000000-0008-0000-0000-000007050000}"/>
            </a:ext>
          </a:extLst>
        </xdr:cNvPr>
        <xdr:cNvSpPr>
          <a:spLocks noChangeShapeType="1"/>
        </xdr:cNvSpPr>
      </xdr:nvSpPr>
      <xdr:spPr bwMode="auto">
        <a:xfrm flipV="1">
          <a:off x="24812625" y="3000375"/>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32</xdr:col>
      <xdr:colOff>533400</xdr:colOff>
      <xdr:row>16</xdr:row>
      <xdr:rowOff>66675</xdr:rowOff>
    </xdr:from>
    <xdr:to>
      <xdr:col>32</xdr:col>
      <xdr:colOff>742950</xdr:colOff>
      <xdr:row>16</xdr:row>
      <xdr:rowOff>161925</xdr:rowOff>
    </xdr:to>
    <xdr:sp macro="" textlink="">
      <xdr:nvSpPr>
        <xdr:cNvPr id="1288" name="Rectangle 4389">
          <a:extLst>
            <a:ext uri="{FF2B5EF4-FFF2-40B4-BE49-F238E27FC236}">
              <a16:creationId xmlns:a16="http://schemas.microsoft.com/office/drawing/2014/main" id="{00000000-0008-0000-0000-000008050000}"/>
            </a:ext>
          </a:extLst>
        </xdr:cNvPr>
        <xdr:cNvSpPr>
          <a:spLocks noChangeArrowheads="1"/>
        </xdr:cNvSpPr>
      </xdr:nvSpPr>
      <xdr:spPr bwMode="auto">
        <a:xfrm>
          <a:off x="23841075" y="2867025"/>
          <a:ext cx="209550" cy="95250"/>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33</xdr:col>
      <xdr:colOff>9525</xdr:colOff>
      <xdr:row>15</xdr:row>
      <xdr:rowOff>95250</xdr:rowOff>
    </xdr:from>
    <xdr:to>
      <xdr:col>33</xdr:col>
      <xdr:colOff>733425</xdr:colOff>
      <xdr:row>16</xdr:row>
      <xdr:rowOff>19050</xdr:rowOff>
    </xdr:to>
    <xdr:sp macro="" textlink="">
      <xdr:nvSpPr>
        <xdr:cNvPr id="1289" name="Rectangle 4390">
          <a:extLst>
            <a:ext uri="{FF2B5EF4-FFF2-40B4-BE49-F238E27FC236}">
              <a16:creationId xmlns:a16="http://schemas.microsoft.com/office/drawing/2014/main" id="{00000000-0008-0000-0000-000009050000}"/>
            </a:ext>
          </a:extLst>
        </xdr:cNvPr>
        <xdr:cNvSpPr>
          <a:spLocks noChangeArrowheads="1"/>
        </xdr:cNvSpPr>
      </xdr:nvSpPr>
      <xdr:spPr bwMode="auto">
        <a:xfrm>
          <a:off x="24069675" y="2695575"/>
          <a:ext cx="723900"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0</xdr:colOff>
      <xdr:row>16</xdr:row>
      <xdr:rowOff>57150</xdr:rowOff>
    </xdr:from>
    <xdr:to>
      <xdr:col>34</xdr:col>
      <xdr:colOff>228600</xdr:colOff>
      <xdr:row>16</xdr:row>
      <xdr:rowOff>161925</xdr:rowOff>
    </xdr:to>
    <xdr:sp macro="" textlink="">
      <xdr:nvSpPr>
        <xdr:cNvPr id="1290" name="Rectangle 4391">
          <a:extLst>
            <a:ext uri="{FF2B5EF4-FFF2-40B4-BE49-F238E27FC236}">
              <a16:creationId xmlns:a16="http://schemas.microsoft.com/office/drawing/2014/main" id="{00000000-0008-0000-0000-00000A050000}"/>
            </a:ext>
          </a:extLst>
        </xdr:cNvPr>
        <xdr:cNvSpPr>
          <a:spLocks noChangeArrowheads="1"/>
        </xdr:cNvSpPr>
      </xdr:nvSpPr>
      <xdr:spPr bwMode="auto">
        <a:xfrm>
          <a:off x="24812625" y="2857500"/>
          <a:ext cx="228600" cy="104775"/>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32</xdr:col>
      <xdr:colOff>523875</xdr:colOff>
      <xdr:row>17</xdr:row>
      <xdr:rowOff>85725</xdr:rowOff>
    </xdr:from>
    <xdr:to>
      <xdr:col>32</xdr:col>
      <xdr:colOff>523875</xdr:colOff>
      <xdr:row>18</xdr:row>
      <xdr:rowOff>85725</xdr:rowOff>
    </xdr:to>
    <xdr:sp macro="" textlink="">
      <xdr:nvSpPr>
        <xdr:cNvPr id="1291" name="Line 4392">
          <a:extLst>
            <a:ext uri="{FF2B5EF4-FFF2-40B4-BE49-F238E27FC236}">
              <a16:creationId xmlns:a16="http://schemas.microsoft.com/office/drawing/2014/main" id="{00000000-0008-0000-0000-00000B050000}"/>
            </a:ext>
          </a:extLst>
        </xdr:cNvPr>
        <xdr:cNvSpPr>
          <a:spLocks noChangeShapeType="1"/>
        </xdr:cNvSpPr>
      </xdr:nvSpPr>
      <xdr:spPr bwMode="auto">
        <a:xfrm>
          <a:off x="23831550" y="308610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219075</xdr:colOff>
      <xdr:row>17</xdr:row>
      <xdr:rowOff>57150</xdr:rowOff>
    </xdr:from>
    <xdr:to>
      <xdr:col>34</xdr:col>
      <xdr:colOff>219075</xdr:colOff>
      <xdr:row>18</xdr:row>
      <xdr:rowOff>66675</xdr:rowOff>
    </xdr:to>
    <xdr:sp macro="" textlink="">
      <xdr:nvSpPr>
        <xdr:cNvPr id="1292" name="Line 4393">
          <a:extLst>
            <a:ext uri="{FF2B5EF4-FFF2-40B4-BE49-F238E27FC236}">
              <a16:creationId xmlns:a16="http://schemas.microsoft.com/office/drawing/2014/main" id="{00000000-0008-0000-0000-00000C050000}"/>
            </a:ext>
          </a:extLst>
        </xdr:cNvPr>
        <xdr:cNvSpPr>
          <a:spLocks noChangeShapeType="1"/>
        </xdr:cNvSpPr>
      </xdr:nvSpPr>
      <xdr:spPr bwMode="auto">
        <a:xfrm>
          <a:off x="25031700" y="3057525"/>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476250</xdr:colOff>
      <xdr:row>18</xdr:row>
      <xdr:rowOff>9525</xdr:rowOff>
    </xdr:from>
    <xdr:to>
      <xdr:col>34</xdr:col>
      <xdr:colOff>304800</xdr:colOff>
      <xdr:row>18</xdr:row>
      <xdr:rowOff>9525</xdr:rowOff>
    </xdr:to>
    <xdr:sp macro="" textlink="">
      <xdr:nvSpPr>
        <xdr:cNvPr id="1293" name="Line 4394">
          <a:extLst>
            <a:ext uri="{FF2B5EF4-FFF2-40B4-BE49-F238E27FC236}">
              <a16:creationId xmlns:a16="http://schemas.microsoft.com/office/drawing/2014/main" id="{00000000-0008-0000-0000-00000D050000}"/>
            </a:ext>
          </a:extLst>
        </xdr:cNvPr>
        <xdr:cNvSpPr>
          <a:spLocks noChangeShapeType="1"/>
        </xdr:cNvSpPr>
      </xdr:nvSpPr>
      <xdr:spPr bwMode="auto">
        <a:xfrm>
          <a:off x="23783925" y="3219450"/>
          <a:ext cx="1333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476250</xdr:colOff>
      <xdr:row>17</xdr:row>
      <xdr:rowOff>180975</xdr:rowOff>
    </xdr:from>
    <xdr:to>
      <xdr:col>32</xdr:col>
      <xdr:colOff>571500</xdr:colOff>
      <xdr:row>18</xdr:row>
      <xdr:rowOff>76200</xdr:rowOff>
    </xdr:to>
    <xdr:sp macro="" textlink="">
      <xdr:nvSpPr>
        <xdr:cNvPr id="1294" name="Line 4395">
          <a:extLst>
            <a:ext uri="{FF2B5EF4-FFF2-40B4-BE49-F238E27FC236}">
              <a16:creationId xmlns:a16="http://schemas.microsoft.com/office/drawing/2014/main" id="{00000000-0008-0000-0000-00000E050000}"/>
            </a:ext>
          </a:extLst>
        </xdr:cNvPr>
        <xdr:cNvSpPr>
          <a:spLocks noChangeShapeType="1"/>
        </xdr:cNvSpPr>
      </xdr:nvSpPr>
      <xdr:spPr bwMode="auto">
        <a:xfrm flipH="1">
          <a:off x="23783925" y="3181350"/>
          <a:ext cx="9525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714375</xdr:colOff>
      <xdr:row>17</xdr:row>
      <xdr:rowOff>161925</xdr:rowOff>
    </xdr:from>
    <xdr:to>
      <xdr:col>33</xdr:col>
      <xdr:colOff>66675</xdr:colOff>
      <xdr:row>18</xdr:row>
      <xdr:rowOff>66675</xdr:rowOff>
    </xdr:to>
    <xdr:sp macro="" textlink="">
      <xdr:nvSpPr>
        <xdr:cNvPr id="1295" name="Line 4396">
          <a:extLst>
            <a:ext uri="{FF2B5EF4-FFF2-40B4-BE49-F238E27FC236}">
              <a16:creationId xmlns:a16="http://schemas.microsoft.com/office/drawing/2014/main" id="{00000000-0008-0000-0000-00000F050000}"/>
            </a:ext>
          </a:extLst>
        </xdr:cNvPr>
        <xdr:cNvSpPr>
          <a:spLocks noChangeShapeType="1"/>
        </xdr:cNvSpPr>
      </xdr:nvSpPr>
      <xdr:spPr bwMode="auto">
        <a:xfrm flipH="1">
          <a:off x="24022050" y="3162300"/>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704850</xdr:colOff>
      <xdr:row>17</xdr:row>
      <xdr:rowOff>171450</xdr:rowOff>
    </xdr:from>
    <xdr:to>
      <xdr:col>34</xdr:col>
      <xdr:colOff>57150</xdr:colOff>
      <xdr:row>18</xdr:row>
      <xdr:rowOff>57150</xdr:rowOff>
    </xdr:to>
    <xdr:sp macro="" textlink="">
      <xdr:nvSpPr>
        <xdr:cNvPr id="1296" name="Line 4397">
          <a:extLst>
            <a:ext uri="{FF2B5EF4-FFF2-40B4-BE49-F238E27FC236}">
              <a16:creationId xmlns:a16="http://schemas.microsoft.com/office/drawing/2014/main" id="{00000000-0008-0000-0000-000010050000}"/>
            </a:ext>
          </a:extLst>
        </xdr:cNvPr>
        <xdr:cNvSpPr>
          <a:spLocks noChangeShapeType="1"/>
        </xdr:cNvSpPr>
      </xdr:nvSpPr>
      <xdr:spPr bwMode="auto">
        <a:xfrm flipH="1">
          <a:off x="24765000" y="3171825"/>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180975</xdr:colOff>
      <xdr:row>17</xdr:row>
      <xdr:rowOff>171450</xdr:rowOff>
    </xdr:from>
    <xdr:to>
      <xdr:col>34</xdr:col>
      <xdr:colOff>266700</xdr:colOff>
      <xdr:row>18</xdr:row>
      <xdr:rowOff>57150</xdr:rowOff>
    </xdr:to>
    <xdr:sp macro="" textlink="">
      <xdr:nvSpPr>
        <xdr:cNvPr id="1297" name="Line 4398">
          <a:extLst>
            <a:ext uri="{FF2B5EF4-FFF2-40B4-BE49-F238E27FC236}">
              <a16:creationId xmlns:a16="http://schemas.microsoft.com/office/drawing/2014/main" id="{00000000-0008-0000-0000-000011050000}"/>
            </a:ext>
          </a:extLst>
        </xdr:cNvPr>
        <xdr:cNvSpPr>
          <a:spLocks noChangeShapeType="1"/>
        </xdr:cNvSpPr>
      </xdr:nvSpPr>
      <xdr:spPr bwMode="auto">
        <a:xfrm flipH="1">
          <a:off x="24993600" y="31718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257175</xdr:colOff>
      <xdr:row>15</xdr:row>
      <xdr:rowOff>161925</xdr:rowOff>
    </xdr:from>
    <xdr:to>
      <xdr:col>33</xdr:col>
      <xdr:colOff>295275</xdr:colOff>
      <xdr:row>16</xdr:row>
      <xdr:rowOff>47625</xdr:rowOff>
    </xdr:to>
    <xdr:sp macro="" textlink="">
      <xdr:nvSpPr>
        <xdr:cNvPr id="1298" name="Line 4399">
          <a:extLst>
            <a:ext uri="{FF2B5EF4-FFF2-40B4-BE49-F238E27FC236}">
              <a16:creationId xmlns:a16="http://schemas.microsoft.com/office/drawing/2014/main" id="{00000000-0008-0000-0000-000012050000}"/>
            </a:ext>
          </a:extLst>
        </xdr:cNvPr>
        <xdr:cNvSpPr>
          <a:spLocks noChangeShapeType="1"/>
        </xdr:cNvSpPr>
      </xdr:nvSpPr>
      <xdr:spPr bwMode="auto">
        <a:xfrm flipH="1" flipV="1">
          <a:off x="24317325" y="2762250"/>
          <a:ext cx="381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466725</xdr:colOff>
      <xdr:row>17</xdr:row>
      <xdr:rowOff>114300</xdr:rowOff>
    </xdr:from>
    <xdr:to>
      <xdr:col>33</xdr:col>
      <xdr:colOff>9525</xdr:colOff>
      <xdr:row>17</xdr:row>
      <xdr:rowOff>171450</xdr:rowOff>
    </xdr:to>
    <xdr:sp macro="" textlink="">
      <xdr:nvSpPr>
        <xdr:cNvPr id="1299" name="Line 4400">
          <a:extLst>
            <a:ext uri="{FF2B5EF4-FFF2-40B4-BE49-F238E27FC236}">
              <a16:creationId xmlns:a16="http://schemas.microsoft.com/office/drawing/2014/main" id="{00000000-0008-0000-0000-000013050000}"/>
            </a:ext>
          </a:extLst>
        </xdr:cNvPr>
        <xdr:cNvSpPr>
          <a:spLocks noChangeShapeType="1"/>
        </xdr:cNvSpPr>
      </xdr:nvSpPr>
      <xdr:spPr bwMode="auto">
        <a:xfrm>
          <a:off x="23774400" y="3114675"/>
          <a:ext cx="2952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1300" name="AutoShape 59">
          <a:extLst>
            <a:ext uri="{FF2B5EF4-FFF2-40B4-BE49-F238E27FC236}">
              <a16:creationId xmlns:a16="http://schemas.microsoft.com/office/drawing/2014/main" id="{00000000-0008-0000-0000-000014050000}"/>
            </a:ext>
          </a:extLst>
        </xdr:cNvPr>
        <xdr:cNvSpPr>
          <a:spLocks noChangeArrowheads="1"/>
        </xdr:cNvSpPr>
      </xdr:nvSpPr>
      <xdr:spPr bwMode="auto">
        <a:xfrm flipH="1" flipV="1">
          <a:off x="3286125" y="34585275"/>
          <a:ext cx="609600" cy="342900"/>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1301" name="Line 60">
          <a:extLst>
            <a:ext uri="{FF2B5EF4-FFF2-40B4-BE49-F238E27FC236}">
              <a16:creationId xmlns:a16="http://schemas.microsoft.com/office/drawing/2014/main" id="{00000000-0008-0000-0000-000015050000}"/>
            </a:ext>
          </a:extLst>
        </xdr:cNvPr>
        <xdr:cNvSpPr>
          <a:spLocks noChangeShapeType="1"/>
        </xdr:cNvSpPr>
      </xdr:nvSpPr>
      <xdr:spPr bwMode="auto">
        <a:xfrm>
          <a:off x="3619500" y="342900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1302" name="Line 61">
          <a:extLst>
            <a:ext uri="{FF2B5EF4-FFF2-40B4-BE49-F238E27FC236}">
              <a16:creationId xmlns:a16="http://schemas.microsoft.com/office/drawing/2014/main" id="{00000000-0008-0000-0000-000016050000}"/>
            </a:ext>
          </a:extLst>
        </xdr:cNvPr>
        <xdr:cNvSpPr>
          <a:spLocks noChangeShapeType="1"/>
        </xdr:cNvSpPr>
      </xdr:nvSpPr>
      <xdr:spPr bwMode="auto">
        <a:xfrm flipH="1">
          <a:off x="3905250" y="34747200"/>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1303" name="Line 62">
          <a:extLst>
            <a:ext uri="{FF2B5EF4-FFF2-40B4-BE49-F238E27FC236}">
              <a16:creationId xmlns:a16="http://schemas.microsoft.com/office/drawing/2014/main" id="{00000000-0008-0000-0000-000017050000}"/>
            </a:ext>
          </a:extLst>
        </xdr:cNvPr>
        <xdr:cNvSpPr>
          <a:spLocks noChangeShapeType="1"/>
        </xdr:cNvSpPr>
      </xdr:nvSpPr>
      <xdr:spPr bwMode="auto">
        <a:xfrm flipV="1">
          <a:off x="3400425" y="34747200"/>
          <a:ext cx="17145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1305" name="Line 74">
          <a:extLst>
            <a:ext uri="{FF2B5EF4-FFF2-40B4-BE49-F238E27FC236}">
              <a16:creationId xmlns:a16="http://schemas.microsoft.com/office/drawing/2014/main" id="{00000000-0008-0000-0000-000019050000}"/>
            </a:ext>
          </a:extLst>
        </xdr:cNvPr>
        <xdr:cNvSpPr>
          <a:spLocks noChangeShapeType="1"/>
        </xdr:cNvSpPr>
      </xdr:nvSpPr>
      <xdr:spPr bwMode="auto">
        <a:xfrm flipV="1">
          <a:off x="3276600" y="341280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1306" name="Line 75">
          <a:extLst>
            <a:ext uri="{FF2B5EF4-FFF2-40B4-BE49-F238E27FC236}">
              <a16:creationId xmlns:a16="http://schemas.microsoft.com/office/drawing/2014/main" id="{00000000-0008-0000-0000-00001A050000}"/>
            </a:ext>
          </a:extLst>
        </xdr:cNvPr>
        <xdr:cNvSpPr>
          <a:spLocks noChangeShapeType="1"/>
        </xdr:cNvSpPr>
      </xdr:nvSpPr>
      <xdr:spPr bwMode="auto">
        <a:xfrm flipV="1">
          <a:off x="3905250" y="341280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1307" name="Line 76">
          <a:extLst>
            <a:ext uri="{FF2B5EF4-FFF2-40B4-BE49-F238E27FC236}">
              <a16:creationId xmlns:a16="http://schemas.microsoft.com/office/drawing/2014/main" id="{00000000-0008-0000-0000-00001B050000}"/>
            </a:ext>
          </a:extLst>
        </xdr:cNvPr>
        <xdr:cNvSpPr>
          <a:spLocks noChangeShapeType="1"/>
        </xdr:cNvSpPr>
      </xdr:nvSpPr>
      <xdr:spPr bwMode="auto">
        <a:xfrm>
          <a:off x="3257550" y="34175700"/>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1308" name="Line 77">
          <a:extLst>
            <a:ext uri="{FF2B5EF4-FFF2-40B4-BE49-F238E27FC236}">
              <a16:creationId xmlns:a16="http://schemas.microsoft.com/office/drawing/2014/main" id="{00000000-0008-0000-0000-00001C050000}"/>
            </a:ext>
          </a:extLst>
        </xdr:cNvPr>
        <xdr:cNvSpPr>
          <a:spLocks noChangeShapeType="1"/>
        </xdr:cNvSpPr>
      </xdr:nvSpPr>
      <xdr:spPr bwMode="auto">
        <a:xfrm>
          <a:off x="3962400" y="345852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1309" name="Line 78">
          <a:extLst>
            <a:ext uri="{FF2B5EF4-FFF2-40B4-BE49-F238E27FC236}">
              <a16:creationId xmlns:a16="http://schemas.microsoft.com/office/drawing/2014/main" id="{00000000-0008-0000-0000-00001D050000}"/>
            </a:ext>
          </a:extLst>
        </xdr:cNvPr>
        <xdr:cNvSpPr>
          <a:spLocks noChangeShapeType="1"/>
        </xdr:cNvSpPr>
      </xdr:nvSpPr>
      <xdr:spPr bwMode="auto">
        <a:xfrm>
          <a:off x="3943350" y="3499485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1310" name="Line 79">
          <a:extLst>
            <a:ext uri="{FF2B5EF4-FFF2-40B4-BE49-F238E27FC236}">
              <a16:creationId xmlns:a16="http://schemas.microsoft.com/office/drawing/2014/main" id="{00000000-0008-0000-0000-00001E050000}"/>
            </a:ext>
          </a:extLst>
        </xdr:cNvPr>
        <xdr:cNvSpPr>
          <a:spLocks noChangeShapeType="1"/>
        </xdr:cNvSpPr>
      </xdr:nvSpPr>
      <xdr:spPr bwMode="auto">
        <a:xfrm>
          <a:off x="4371975" y="34528125"/>
          <a:ext cx="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1311" name="Line 81">
          <a:extLst>
            <a:ext uri="{FF2B5EF4-FFF2-40B4-BE49-F238E27FC236}">
              <a16:creationId xmlns:a16="http://schemas.microsoft.com/office/drawing/2014/main" id="{00000000-0008-0000-0000-00001F050000}"/>
            </a:ext>
          </a:extLst>
        </xdr:cNvPr>
        <xdr:cNvSpPr>
          <a:spLocks noChangeShapeType="1"/>
        </xdr:cNvSpPr>
      </xdr:nvSpPr>
      <xdr:spPr bwMode="auto">
        <a:xfrm flipH="1">
          <a:off x="4324350" y="345376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1312" name="Line 82">
          <a:extLst>
            <a:ext uri="{FF2B5EF4-FFF2-40B4-BE49-F238E27FC236}">
              <a16:creationId xmlns:a16="http://schemas.microsoft.com/office/drawing/2014/main" id="{00000000-0008-0000-0000-000020050000}"/>
            </a:ext>
          </a:extLst>
        </xdr:cNvPr>
        <xdr:cNvSpPr>
          <a:spLocks noChangeShapeType="1"/>
        </xdr:cNvSpPr>
      </xdr:nvSpPr>
      <xdr:spPr bwMode="auto">
        <a:xfrm flipH="1">
          <a:off x="4305300" y="34909125"/>
          <a:ext cx="104775"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1313" name="Line 83">
          <a:extLst>
            <a:ext uri="{FF2B5EF4-FFF2-40B4-BE49-F238E27FC236}">
              <a16:creationId xmlns:a16="http://schemas.microsoft.com/office/drawing/2014/main" id="{00000000-0008-0000-0000-000021050000}"/>
            </a:ext>
          </a:extLst>
        </xdr:cNvPr>
        <xdr:cNvSpPr>
          <a:spLocks noChangeShapeType="1"/>
        </xdr:cNvSpPr>
      </xdr:nvSpPr>
      <xdr:spPr bwMode="auto">
        <a:xfrm flipH="1">
          <a:off x="3228975" y="341185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1314" name="Line 84">
          <a:extLst>
            <a:ext uri="{FF2B5EF4-FFF2-40B4-BE49-F238E27FC236}">
              <a16:creationId xmlns:a16="http://schemas.microsoft.com/office/drawing/2014/main" id="{00000000-0008-0000-0000-000022050000}"/>
            </a:ext>
          </a:extLst>
        </xdr:cNvPr>
        <xdr:cNvSpPr>
          <a:spLocks noChangeShapeType="1"/>
        </xdr:cNvSpPr>
      </xdr:nvSpPr>
      <xdr:spPr bwMode="auto">
        <a:xfrm flipH="1">
          <a:off x="3848100" y="341185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1315" name="Line 85">
          <a:extLst>
            <a:ext uri="{FF2B5EF4-FFF2-40B4-BE49-F238E27FC236}">
              <a16:creationId xmlns:a16="http://schemas.microsoft.com/office/drawing/2014/main" id="{00000000-0008-0000-0000-000023050000}"/>
            </a:ext>
          </a:extLst>
        </xdr:cNvPr>
        <xdr:cNvSpPr>
          <a:spLocks noChangeShapeType="1"/>
        </xdr:cNvSpPr>
      </xdr:nvSpPr>
      <xdr:spPr bwMode="auto">
        <a:xfrm flipH="1">
          <a:off x="3038475" y="34613850"/>
          <a:ext cx="219075" cy="400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1316" name="Line 86">
          <a:extLst>
            <a:ext uri="{FF2B5EF4-FFF2-40B4-BE49-F238E27FC236}">
              <a16:creationId xmlns:a16="http://schemas.microsoft.com/office/drawing/2014/main" id="{00000000-0008-0000-0000-000024050000}"/>
            </a:ext>
          </a:extLst>
        </xdr:cNvPr>
        <xdr:cNvSpPr>
          <a:spLocks noChangeShapeType="1"/>
        </xdr:cNvSpPr>
      </xdr:nvSpPr>
      <xdr:spPr bwMode="auto">
        <a:xfrm flipH="1">
          <a:off x="3648075" y="35013900"/>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1317" name="Line 87">
          <a:extLst>
            <a:ext uri="{FF2B5EF4-FFF2-40B4-BE49-F238E27FC236}">
              <a16:creationId xmlns:a16="http://schemas.microsoft.com/office/drawing/2014/main" id="{00000000-0008-0000-0000-000025050000}"/>
            </a:ext>
          </a:extLst>
        </xdr:cNvPr>
        <xdr:cNvSpPr>
          <a:spLocks noChangeShapeType="1"/>
        </xdr:cNvSpPr>
      </xdr:nvSpPr>
      <xdr:spPr bwMode="auto">
        <a:xfrm flipH="1" flipV="1">
          <a:off x="3028950" y="34909125"/>
          <a:ext cx="6953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269546</xdr:colOff>
      <xdr:row>175</xdr:row>
      <xdr:rowOff>104776</xdr:rowOff>
    </xdr:from>
    <xdr:to>
      <xdr:col>6</xdr:col>
      <xdr:colOff>1269671</xdr:colOff>
      <xdr:row>183</xdr:row>
      <xdr:rowOff>180976</xdr:rowOff>
    </xdr:to>
    <xdr:sp macro="" textlink="">
      <xdr:nvSpPr>
        <xdr:cNvPr id="1318" name="Oval 88">
          <a:extLst>
            <a:ext uri="{FF2B5EF4-FFF2-40B4-BE49-F238E27FC236}">
              <a16:creationId xmlns:a16="http://schemas.microsoft.com/office/drawing/2014/main" id="{00000000-0008-0000-0000-000026050000}"/>
            </a:ext>
          </a:extLst>
        </xdr:cNvPr>
        <xdr:cNvSpPr>
          <a:spLocks noChangeArrowheads="1"/>
        </xdr:cNvSpPr>
      </xdr:nvSpPr>
      <xdr:spPr bwMode="auto">
        <a:xfrm>
          <a:off x="2929977" y="32500724"/>
          <a:ext cx="1755556" cy="1565166"/>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1319" name="Line 89">
          <a:extLst>
            <a:ext uri="{FF2B5EF4-FFF2-40B4-BE49-F238E27FC236}">
              <a16:creationId xmlns:a16="http://schemas.microsoft.com/office/drawing/2014/main" id="{00000000-0008-0000-0000-000027050000}"/>
            </a:ext>
          </a:extLst>
        </xdr:cNvPr>
        <xdr:cNvSpPr>
          <a:spLocks noChangeShapeType="1"/>
        </xdr:cNvSpPr>
      </xdr:nvSpPr>
      <xdr:spPr bwMode="auto">
        <a:xfrm flipV="1">
          <a:off x="2181225" y="34461450"/>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1320" name="Tegning 312">
          <a:extLst>
            <a:ext uri="{FF2B5EF4-FFF2-40B4-BE49-F238E27FC236}">
              <a16:creationId xmlns:a16="http://schemas.microsoft.com/office/drawing/2014/main" id="{00000000-0008-0000-0000-000028050000}"/>
            </a:ext>
          </a:extLst>
        </xdr:cNvPr>
        <xdr:cNvSpPr>
          <a:spLocks/>
        </xdr:cNvSpPr>
      </xdr:nvSpPr>
      <xdr:spPr bwMode="auto">
        <a:xfrm>
          <a:off x="1543050" y="336613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581024</xdr:colOff>
      <xdr:row>179</xdr:row>
      <xdr:rowOff>180974</xdr:rowOff>
    </xdr:from>
    <xdr:to>
      <xdr:col>3</xdr:col>
      <xdr:colOff>85724</xdr:colOff>
      <xdr:row>180</xdr:row>
      <xdr:rowOff>52387</xdr:rowOff>
    </xdr:to>
    <xdr:sp macro="" textlink="">
      <xdr:nvSpPr>
        <xdr:cNvPr id="1321" name="AutoShape 130">
          <a:extLst>
            <a:ext uri="{FF2B5EF4-FFF2-40B4-BE49-F238E27FC236}">
              <a16:creationId xmlns:a16="http://schemas.microsoft.com/office/drawing/2014/main" id="{00000000-0008-0000-0000-000029050000}"/>
            </a:ext>
          </a:extLst>
        </xdr:cNvPr>
        <xdr:cNvSpPr>
          <a:spLocks noChangeArrowheads="1"/>
        </xdr:cNvSpPr>
      </xdr:nvSpPr>
      <xdr:spPr bwMode="auto">
        <a:xfrm flipH="1" flipV="1">
          <a:off x="1962149" y="34051874"/>
          <a:ext cx="85725" cy="61913"/>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238125</xdr:colOff>
      <xdr:row>182</xdr:row>
      <xdr:rowOff>85725</xdr:rowOff>
    </xdr:from>
    <xdr:to>
      <xdr:col>2</xdr:col>
      <xdr:colOff>333375</xdr:colOff>
      <xdr:row>182</xdr:row>
      <xdr:rowOff>152400</xdr:rowOff>
    </xdr:to>
    <xdr:sp macro="" textlink="">
      <xdr:nvSpPr>
        <xdr:cNvPr id="1322" name="AutoShape 131">
          <a:extLst>
            <a:ext uri="{FF2B5EF4-FFF2-40B4-BE49-F238E27FC236}">
              <a16:creationId xmlns:a16="http://schemas.microsoft.com/office/drawing/2014/main" id="{00000000-0008-0000-0000-00002A050000}"/>
            </a:ext>
          </a:extLst>
        </xdr:cNvPr>
        <xdr:cNvSpPr>
          <a:spLocks noChangeArrowheads="1"/>
        </xdr:cNvSpPr>
      </xdr:nvSpPr>
      <xdr:spPr bwMode="auto">
        <a:xfrm>
          <a:off x="1619250" y="34528125"/>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11</xdr:col>
          <xdr:colOff>28575</xdr:colOff>
          <xdr:row>175</xdr:row>
          <xdr:rowOff>28575</xdr:rowOff>
        </xdr:from>
        <xdr:to>
          <xdr:col>12</xdr:col>
          <xdr:colOff>257175</xdr:colOff>
          <xdr:row>176</xdr:row>
          <xdr:rowOff>57150</xdr:rowOff>
        </xdr:to>
        <xdr:sp macro="" textlink="">
          <xdr:nvSpPr>
            <xdr:cNvPr id="747" name="Button 41" hidden="1">
              <a:extLst>
                <a:ext uri="{63B3BB69-23CF-44E3-9099-C40C66FF867C}">
                  <a14:compatExt spid="_x0000_s1065"/>
                </a:ext>
                <a:ext uri="{FF2B5EF4-FFF2-40B4-BE49-F238E27FC236}">
                  <a16:creationId xmlns:a16="http://schemas.microsoft.com/office/drawing/2014/main" id="{00000000-0008-0000-0000-0000EB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Optimer</a:t>
              </a:r>
            </a:p>
          </xdr:txBody>
        </xdr:sp>
        <xdr:clientData fLocksWithSheet="0" fPrintsWithSheet="0"/>
      </xdr:twoCellAnchor>
    </mc:Choice>
    <mc:Fallback/>
  </mc:AlternateContent>
  <xdr:twoCellAnchor>
    <xdr:from>
      <xdr:col>1</xdr:col>
      <xdr:colOff>247650</xdr:colOff>
      <xdr:row>174</xdr:row>
      <xdr:rowOff>76200</xdr:rowOff>
    </xdr:from>
    <xdr:to>
      <xdr:col>2</xdr:col>
      <xdr:colOff>457200</xdr:colOff>
      <xdr:row>177</xdr:row>
      <xdr:rowOff>76200</xdr:rowOff>
    </xdr:to>
    <xdr:sp macro="" textlink="">
      <xdr:nvSpPr>
        <xdr:cNvPr id="1323" name="Freeform 19045">
          <a:extLst>
            <a:ext uri="{FF2B5EF4-FFF2-40B4-BE49-F238E27FC236}">
              <a16:creationId xmlns:a16="http://schemas.microsoft.com/office/drawing/2014/main" id="{00000000-0008-0000-0000-00002B050000}"/>
            </a:ext>
          </a:extLst>
        </xdr:cNvPr>
        <xdr:cNvSpPr>
          <a:spLocks/>
        </xdr:cNvSpPr>
      </xdr:nvSpPr>
      <xdr:spPr bwMode="auto">
        <a:xfrm>
          <a:off x="1381125" y="33670875"/>
          <a:ext cx="457200" cy="57150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1324" name="Line 19046">
          <a:extLst>
            <a:ext uri="{FF2B5EF4-FFF2-40B4-BE49-F238E27FC236}">
              <a16:creationId xmlns:a16="http://schemas.microsoft.com/office/drawing/2014/main" id="{00000000-0008-0000-0000-00002C050000}"/>
            </a:ext>
          </a:extLst>
        </xdr:cNvPr>
        <xdr:cNvSpPr>
          <a:spLocks noChangeShapeType="1"/>
        </xdr:cNvSpPr>
      </xdr:nvSpPr>
      <xdr:spPr bwMode="auto">
        <a:xfrm>
          <a:off x="1790700" y="337185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1325" name="Line 19047">
          <a:extLst>
            <a:ext uri="{FF2B5EF4-FFF2-40B4-BE49-F238E27FC236}">
              <a16:creationId xmlns:a16="http://schemas.microsoft.com/office/drawing/2014/main" id="{00000000-0008-0000-0000-00002D050000}"/>
            </a:ext>
          </a:extLst>
        </xdr:cNvPr>
        <xdr:cNvSpPr>
          <a:spLocks noChangeShapeType="1"/>
        </xdr:cNvSpPr>
      </xdr:nvSpPr>
      <xdr:spPr bwMode="auto">
        <a:xfrm>
          <a:off x="1562100" y="336994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1326" name="Line 19048">
          <a:extLst>
            <a:ext uri="{FF2B5EF4-FFF2-40B4-BE49-F238E27FC236}">
              <a16:creationId xmlns:a16="http://schemas.microsoft.com/office/drawing/2014/main" id="{00000000-0008-0000-0000-00002E050000}"/>
            </a:ext>
          </a:extLst>
        </xdr:cNvPr>
        <xdr:cNvSpPr>
          <a:spLocks noChangeShapeType="1"/>
        </xdr:cNvSpPr>
      </xdr:nvSpPr>
      <xdr:spPr bwMode="auto">
        <a:xfrm>
          <a:off x="1924050" y="340042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1327" name="Line 19049">
          <a:extLst>
            <a:ext uri="{FF2B5EF4-FFF2-40B4-BE49-F238E27FC236}">
              <a16:creationId xmlns:a16="http://schemas.microsoft.com/office/drawing/2014/main" id="{00000000-0008-0000-0000-00002F050000}"/>
            </a:ext>
          </a:extLst>
        </xdr:cNvPr>
        <xdr:cNvSpPr>
          <a:spLocks noChangeShapeType="1"/>
        </xdr:cNvSpPr>
      </xdr:nvSpPr>
      <xdr:spPr bwMode="auto">
        <a:xfrm flipH="1">
          <a:off x="1143000" y="33975675"/>
          <a:ext cx="1019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1328" name="Line 19050">
          <a:extLst>
            <a:ext uri="{FF2B5EF4-FFF2-40B4-BE49-F238E27FC236}">
              <a16:creationId xmlns:a16="http://schemas.microsoft.com/office/drawing/2014/main" id="{00000000-0008-0000-0000-000030050000}"/>
            </a:ext>
          </a:extLst>
        </xdr:cNvPr>
        <xdr:cNvSpPr>
          <a:spLocks noChangeShapeType="1"/>
        </xdr:cNvSpPr>
      </xdr:nvSpPr>
      <xdr:spPr bwMode="auto">
        <a:xfrm flipH="1">
          <a:off x="1533525" y="339375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1329" name="Line 19051">
          <a:extLst>
            <a:ext uri="{FF2B5EF4-FFF2-40B4-BE49-F238E27FC236}">
              <a16:creationId xmlns:a16="http://schemas.microsoft.com/office/drawing/2014/main" id="{00000000-0008-0000-0000-000031050000}"/>
            </a:ext>
          </a:extLst>
        </xdr:cNvPr>
        <xdr:cNvSpPr>
          <a:spLocks noChangeShapeType="1"/>
        </xdr:cNvSpPr>
      </xdr:nvSpPr>
      <xdr:spPr bwMode="auto">
        <a:xfrm flipH="1">
          <a:off x="1752600" y="339375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1330" name="Line 19052">
          <a:extLst>
            <a:ext uri="{FF2B5EF4-FFF2-40B4-BE49-F238E27FC236}">
              <a16:creationId xmlns:a16="http://schemas.microsoft.com/office/drawing/2014/main" id="{00000000-0008-0000-0000-000032050000}"/>
            </a:ext>
          </a:extLst>
        </xdr:cNvPr>
        <xdr:cNvSpPr>
          <a:spLocks noChangeShapeType="1"/>
        </xdr:cNvSpPr>
      </xdr:nvSpPr>
      <xdr:spPr bwMode="auto">
        <a:xfrm flipH="1">
          <a:off x="1800225" y="339375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1331" name="Line 19053">
          <a:extLst>
            <a:ext uri="{FF2B5EF4-FFF2-40B4-BE49-F238E27FC236}">
              <a16:creationId xmlns:a16="http://schemas.microsoft.com/office/drawing/2014/main" id="{00000000-0008-0000-0000-000033050000}"/>
            </a:ext>
          </a:extLst>
        </xdr:cNvPr>
        <xdr:cNvSpPr>
          <a:spLocks noChangeShapeType="1"/>
        </xdr:cNvSpPr>
      </xdr:nvSpPr>
      <xdr:spPr bwMode="auto">
        <a:xfrm flipH="1">
          <a:off x="1895475" y="34128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1332" name="Line 19054">
          <a:extLst>
            <a:ext uri="{FF2B5EF4-FFF2-40B4-BE49-F238E27FC236}">
              <a16:creationId xmlns:a16="http://schemas.microsoft.com/office/drawing/2014/main" id="{00000000-0008-0000-0000-000034050000}"/>
            </a:ext>
          </a:extLst>
        </xdr:cNvPr>
        <xdr:cNvSpPr>
          <a:spLocks noChangeShapeType="1"/>
        </xdr:cNvSpPr>
      </xdr:nvSpPr>
      <xdr:spPr bwMode="auto">
        <a:xfrm>
          <a:off x="1838325" y="341661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1333" name="Line 19055">
          <a:extLst>
            <a:ext uri="{FF2B5EF4-FFF2-40B4-BE49-F238E27FC236}">
              <a16:creationId xmlns:a16="http://schemas.microsoft.com/office/drawing/2014/main" id="{00000000-0008-0000-0000-000035050000}"/>
            </a:ext>
          </a:extLst>
        </xdr:cNvPr>
        <xdr:cNvSpPr>
          <a:spLocks noChangeShapeType="1"/>
        </xdr:cNvSpPr>
      </xdr:nvSpPr>
      <xdr:spPr bwMode="auto">
        <a:xfrm flipH="1">
          <a:off x="1800225" y="34128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1334" name="Tegning 344">
          <a:extLst>
            <a:ext uri="{FF2B5EF4-FFF2-40B4-BE49-F238E27FC236}">
              <a16:creationId xmlns:a16="http://schemas.microsoft.com/office/drawing/2014/main" id="{00000000-0008-0000-0000-000036050000}"/>
            </a:ext>
          </a:extLst>
        </xdr:cNvPr>
        <xdr:cNvSpPr>
          <a:spLocks/>
        </xdr:cNvSpPr>
      </xdr:nvSpPr>
      <xdr:spPr bwMode="auto">
        <a:xfrm>
          <a:off x="1990725" y="33270825"/>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133350</xdr:rowOff>
    </xdr:from>
    <xdr:to>
      <xdr:col>5</xdr:col>
      <xdr:colOff>523875</xdr:colOff>
      <xdr:row>172</xdr:row>
      <xdr:rowOff>76200</xdr:rowOff>
    </xdr:to>
    <xdr:sp macro="" textlink="">
      <xdr:nvSpPr>
        <xdr:cNvPr id="1335" name="Tegning 344">
          <a:extLst>
            <a:ext uri="{FF2B5EF4-FFF2-40B4-BE49-F238E27FC236}">
              <a16:creationId xmlns:a16="http://schemas.microsoft.com/office/drawing/2014/main" id="{00000000-0008-0000-0000-000037050000}"/>
            </a:ext>
          </a:extLst>
        </xdr:cNvPr>
        <xdr:cNvSpPr>
          <a:spLocks/>
        </xdr:cNvSpPr>
      </xdr:nvSpPr>
      <xdr:spPr bwMode="auto">
        <a:xfrm flipV="1">
          <a:off x="1990725" y="33004125"/>
          <a:ext cx="1190625" cy="2857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133350</xdr:rowOff>
    </xdr:from>
    <xdr:to>
      <xdr:col>5</xdr:col>
      <xdr:colOff>200025</xdr:colOff>
      <xdr:row>172</xdr:row>
      <xdr:rowOff>152400</xdr:rowOff>
    </xdr:to>
    <xdr:sp macro="" textlink="">
      <xdr:nvSpPr>
        <xdr:cNvPr id="1336" name="Tegning 344">
          <a:extLst>
            <a:ext uri="{FF2B5EF4-FFF2-40B4-BE49-F238E27FC236}">
              <a16:creationId xmlns:a16="http://schemas.microsoft.com/office/drawing/2014/main" id="{00000000-0008-0000-0000-000038050000}"/>
            </a:ext>
          </a:extLst>
        </xdr:cNvPr>
        <xdr:cNvSpPr>
          <a:spLocks/>
        </xdr:cNvSpPr>
      </xdr:nvSpPr>
      <xdr:spPr bwMode="auto">
        <a:xfrm flipV="1">
          <a:off x="1581150" y="33004125"/>
          <a:ext cx="1276350" cy="3619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1337" name="Tegning 344">
          <a:extLst>
            <a:ext uri="{FF2B5EF4-FFF2-40B4-BE49-F238E27FC236}">
              <a16:creationId xmlns:a16="http://schemas.microsoft.com/office/drawing/2014/main" id="{00000000-0008-0000-0000-000039050000}"/>
            </a:ext>
          </a:extLst>
        </xdr:cNvPr>
        <xdr:cNvSpPr>
          <a:spLocks/>
        </xdr:cNvSpPr>
      </xdr:nvSpPr>
      <xdr:spPr bwMode="auto">
        <a:xfrm>
          <a:off x="1581150" y="33166050"/>
          <a:ext cx="1266825"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1338" name="Oval 19060">
          <a:extLst>
            <a:ext uri="{FF2B5EF4-FFF2-40B4-BE49-F238E27FC236}">
              <a16:creationId xmlns:a16="http://schemas.microsoft.com/office/drawing/2014/main" id="{00000000-0008-0000-0000-00003A050000}"/>
            </a:ext>
          </a:extLst>
        </xdr:cNvPr>
        <xdr:cNvSpPr>
          <a:spLocks noChangeArrowheads="1"/>
        </xdr:cNvSpPr>
      </xdr:nvSpPr>
      <xdr:spPr bwMode="auto">
        <a:xfrm>
          <a:off x="1609725" y="335089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228600</xdr:colOff>
      <xdr:row>170</xdr:row>
      <xdr:rowOff>161925</xdr:rowOff>
    </xdr:from>
    <xdr:to>
      <xdr:col>2</xdr:col>
      <xdr:colOff>266700</xdr:colOff>
      <xdr:row>171</xdr:row>
      <xdr:rowOff>28575</xdr:rowOff>
    </xdr:to>
    <xdr:sp macro="" textlink="">
      <xdr:nvSpPr>
        <xdr:cNvPr id="1339" name="Oval 19061">
          <a:extLst>
            <a:ext uri="{FF2B5EF4-FFF2-40B4-BE49-F238E27FC236}">
              <a16:creationId xmlns:a16="http://schemas.microsoft.com/office/drawing/2014/main" id="{00000000-0008-0000-0000-00003B050000}"/>
            </a:ext>
          </a:extLst>
        </xdr:cNvPr>
        <xdr:cNvSpPr>
          <a:spLocks noChangeArrowheads="1"/>
        </xdr:cNvSpPr>
      </xdr:nvSpPr>
      <xdr:spPr bwMode="auto">
        <a:xfrm>
          <a:off x="1609725" y="3303270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161925</xdr:rowOff>
    </xdr:from>
    <xdr:to>
      <xdr:col>3</xdr:col>
      <xdr:colOff>95250</xdr:colOff>
      <xdr:row>171</xdr:row>
      <xdr:rowOff>19050</xdr:rowOff>
    </xdr:to>
    <xdr:sp macro="" textlink="">
      <xdr:nvSpPr>
        <xdr:cNvPr id="1340" name="Oval 19062">
          <a:extLst>
            <a:ext uri="{FF2B5EF4-FFF2-40B4-BE49-F238E27FC236}">
              <a16:creationId xmlns:a16="http://schemas.microsoft.com/office/drawing/2014/main" id="{00000000-0008-0000-0000-00003C050000}"/>
            </a:ext>
          </a:extLst>
        </xdr:cNvPr>
        <xdr:cNvSpPr>
          <a:spLocks noChangeArrowheads="1"/>
        </xdr:cNvSpPr>
      </xdr:nvSpPr>
      <xdr:spPr bwMode="auto">
        <a:xfrm>
          <a:off x="2019300" y="33032700"/>
          <a:ext cx="38100" cy="28575"/>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1341" name="Oval 19063">
          <a:extLst>
            <a:ext uri="{FF2B5EF4-FFF2-40B4-BE49-F238E27FC236}">
              <a16:creationId xmlns:a16="http://schemas.microsoft.com/office/drawing/2014/main" id="{00000000-0008-0000-0000-00003D050000}"/>
            </a:ext>
          </a:extLst>
        </xdr:cNvPr>
        <xdr:cNvSpPr>
          <a:spLocks noChangeArrowheads="1"/>
        </xdr:cNvSpPr>
      </xdr:nvSpPr>
      <xdr:spPr bwMode="auto">
        <a:xfrm>
          <a:off x="2019300" y="336327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185737</xdr:colOff>
      <xdr:row>183</xdr:row>
      <xdr:rowOff>42863</xdr:rowOff>
    </xdr:from>
    <xdr:to>
      <xdr:col>2</xdr:col>
      <xdr:colOff>376237</xdr:colOff>
      <xdr:row>184</xdr:row>
      <xdr:rowOff>119063</xdr:rowOff>
    </xdr:to>
    <xdr:sp macro="" textlink="">
      <xdr:nvSpPr>
        <xdr:cNvPr id="1342" name="Tegning 312">
          <a:extLst>
            <a:ext uri="{FF2B5EF4-FFF2-40B4-BE49-F238E27FC236}">
              <a16:creationId xmlns:a16="http://schemas.microsoft.com/office/drawing/2014/main" id="{00000000-0008-0000-0000-00003E050000}"/>
            </a:ext>
          </a:extLst>
        </xdr:cNvPr>
        <xdr:cNvSpPr>
          <a:spLocks/>
        </xdr:cNvSpPr>
      </xdr:nvSpPr>
      <xdr:spPr bwMode="auto">
        <a:xfrm>
          <a:off x="1566862" y="34675763"/>
          <a:ext cx="190500" cy="2667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1343" name="Line 19065">
          <a:extLst>
            <a:ext uri="{FF2B5EF4-FFF2-40B4-BE49-F238E27FC236}">
              <a16:creationId xmlns:a16="http://schemas.microsoft.com/office/drawing/2014/main" id="{00000000-0008-0000-0000-00003F050000}"/>
            </a:ext>
          </a:extLst>
        </xdr:cNvPr>
        <xdr:cNvSpPr>
          <a:spLocks noChangeShapeType="1"/>
        </xdr:cNvSpPr>
      </xdr:nvSpPr>
      <xdr:spPr bwMode="auto">
        <a:xfrm flipH="1">
          <a:off x="2057400" y="3477577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1344" name="Line 19066">
          <a:extLst>
            <a:ext uri="{FF2B5EF4-FFF2-40B4-BE49-F238E27FC236}">
              <a16:creationId xmlns:a16="http://schemas.microsoft.com/office/drawing/2014/main" id="{00000000-0008-0000-0000-000040050000}"/>
            </a:ext>
          </a:extLst>
        </xdr:cNvPr>
        <xdr:cNvSpPr>
          <a:spLocks noChangeShapeType="1"/>
        </xdr:cNvSpPr>
      </xdr:nvSpPr>
      <xdr:spPr bwMode="auto">
        <a:xfrm>
          <a:off x="2019300" y="345186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476250</xdr:colOff>
      <xdr:row>180</xdr:row>
      <xdr:rowOff>38100</xdr:rowOff>
    </xdr:from>
    <xdr:to>
      <xdr:col>3</xdr:col>
      <xdr:colOff>38100</xdr:colOff>
      <xdr:row>181</xdr:row>
      <xdr:rowOff>57150</xdr:rowOff>
    </xdr:to>
    <xdr:sp macro="" textlink="">
      <xdr:nvSpPr>
        <xdr:cNvPr id="1345" name="Line 19067">
          <a:extLst>
            <a:ext uri="{FF2B5EF4-FFF2-40B4-BE49-F238E27FC236}">
              <a16:creationId xmlns:a16="http://schemas.microsoft.com/office/drawing/2014/main" id="{00000000-0008-0000-0000-000041050000}"/>
            </a:ext>
          </a:extLst>
        </xdr:cNvPr>
        <xdr:cNvSpPr>
          <a:spLocks noChangeShapeType="1"/>
        </xdr:cNvSpPr>
      </xdr:nvSpPr>
      <xdr:spPr bwMode="auto">
        <a:xfrm flipV="1">
          <a:off x="1857375" y="34785300"/>
          <a:ext cx="142875"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1346" name="Line 19068">
          <a:extLst>
            <a:ext uri="{FF2B5EF4-FFF2-40B4-BE49-F238E27FC236}">
              <a16:creationId xmlns:a16="http://schemas.microsoft.com/office/drawing/2014/main" id="{00000000-0008-0000-0000-000042050000}"/>
            </a:ext>
          </a:extLst>
        </xdr:cNvPr>
        <xdr:cNvSpPr>
          <a:spLocks noChangeShapeType="1"/>
        </xdr:cNvSpPr>
      </xdr:nvSpPr>
      <xdr:spPr bwMode="auto">
        <a:xfrm flipH="1">
          <a:off x="2990850" y="34909125"/>
          <a:ext cx="1428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1347" name="Line 19069">
          <a:extLst>
            <a:ext uri="{FF2B5EF4-FFF2-40B4-BE49-F238E27FC236}">
              <a16:creationId xmlns:a16="http://schemas.microsoft.com/office/drawing/2014/main" id="{00000000-0008-0000-0000-000043050000}"/>
            </a:ext>
          </a:extLst>
        </xdr:cNvPr>
        <xdr:cNvSpPr>
          <a:spLocks noChangeShapeType="1"/>
        </xdr:cNvSpPr>
      </xdr:nvSpPr>
      <xdr:spPr bwMode="auto">
        <a:xfrm flipH="1">
          <a:off x="3609975" y="35328225"/>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1348" name="Line 19070">
          <a:extLst>
            <a:ext uri="{FF2B5EF4-FFF2-40B4-BE49-F238E27FC236}">
              <a16:creationId xmlns:a16="http://schemas.microsoft.com/office/drawing/2014/main" id="{00000000-0008-0000-0000-000044050000}"/>
            </a:ext>
          </a:extLst>
        </xdr:cNvPr>
        <xdr:cNvSpPr>
          <a:spLocks noChangeShapeType="1"/>
        </xdr:cNvSpPr>
      </xdr:nvSpPr>
      <xdr:spPr bwMode="auto">
        <a:xfrm>
          <a:off x="2019300" y="34909125"/>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1349" name="Line 19071">
          <a:extLst>
            <a:ext uri="{FF2B5EF4-FFF2-40B4-BE49-F238E27FC236}">
              <a16:creationId xmlns:a16="http://schemas.microsoft.com/office/drawing/2014/main" id="{00000000-0008-0000-0000-000045050000}"/>
            </a:ext>
          </a:extLst>
        </xdr:cNvPr>
        <xdr:cNvSpPr>
          <a:spLocks noChangeShapeType="1"/>
        </xdr:cNvSpPr>
      </xdr:nvSpPr>
      <xdr:spPr bwMode="auto">
        <a:xfrm flipH="1">
          <a:off x="1590675" y="35128200"/>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1350" name="Line 19072">
          <a:extLst>
            <a:ext uri="{FF2B5EF4-FFF2-40B4-BE49-F238E27FC236}">
              <a16:creationId xmlns:a16="http://schemas.microsoft.com/office/drawing/2014/main" id="{00000000-0008-0000-0000-000046050000}"/>
            </a:ext>
          </a:extLst>
        </xdr:cNvPr>
        <xdr:cNvSpPr>
          <a:spLocks noChangeShapeType="1"/>
        </xdr:cNvSpPr>
      </xdr:nvSpPr>
      <xdr:spPr bwMode="auto">
        <a:xfrm flipV="1">
          <a:off x="1990725" y="325278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0</xdr:rowOff>
    </xdr:to>
    <xdr:sp macro="" textlink="">
      <xdr:nvSpPr>
        <xdr:cNvPr id="1351" name="Line 19073">
          <a:extLst>
            <a:ext uri="{FF2B5EF4-FFF2-40B4-BE49-F238E27FC236}">
              <a16:creationId xmlns:a16="http://schemas.microsoft.com/office/drawing/2014/main" id="{00000000-0008-0000-0000-000047050000}"/>
            </a:ext>
          </a:extLst>
        </xdr:cNvPr>
        <xdr:cNvSpPr>
          <a:spLocks noChangeShapeType="1"/>
        </xdr:cNvSpPr>
      </xdr:nvSpPr>
      <xdr:spPr bwMode="auto">
        <a:xfrm flipV="1">
          <a:off x="1924050" y="32708850"/>
          <a:ext cx="0"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571500</xdr:colOff>
      <xdr:row>168</xdr:row>
      <xdr:rowOff>85725</xdr:rowOff>
    </xdr:from>
    <xdr:to>
      <xdr:col>3</xdr:col>
      <xdr:colOff>295275</xdr:colOff>
      <xdr:row>168</xdr:row>
      <xdr:rowOff>85725</xdr:rowOff>
    </xdr:to>
    <xdr:sp macro="" textlink="">
      <xdr:nvSpPr>
        <xdr:cNvPr id="1352" name="Line 19074">
          <a:extLst>
            <a:ext uri="{FF2B5EF4-FFF2-40B4-BE49-F238E27FC236}">
              <a16:creationId xmlns:a16="http://schemas.microsoft.com/office/drawing/2014/main" id="{00000000-0008-0000-0000-000048050000}"/>
            </a:ext>
          </a:extLst>
        </xdr:cNvPr>
        <xdr:cNvSpPr>
          <a:spLocks noChangeShapeType="1"/>
        </xdr:cNvSpPr>
      </xdr:nvSpPr>
      <xdr:spPr bwMode="auto">
        <a:xfrm flipH="1">
          <a:off x="1952625" y="32575500"/>
          <a:ext cx="304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1353" name="Line 19075">
          <a:extLst>
            <a:ext uri="{FF2B5EF4-FFF2-40B4-BE49-F238E27FC236}">
              <a16:creationId xmlns:a16="http://schemas.microsoft.com/office/drawing/2014/main" id="{00000000-0008-0000-0000-000049050000}"/>
            </a:ext>
          </a:extLst>
        </xdr:cNvPr>
        <xdr:cNvSpPr>
          <a:spLocks noChangeShapeType="1"/>
        </xdr:cNvSpPr>
      </xdr:nvSpPr>
      <xdr:spPr bwMode="auto">
        <a:xfrm flipH="1">
          <a:off x="1876425" y="32775525"/>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1354" name="Line 19076">
          <a:extLst>
            <a:ext uri="{FF2B5EF4-FFF2-40B4-BE49-F238E27FC236}">
              <a16:creationId xmlns:a16="http://schemas.microsoft.com/office/drawing/2014/main" id="{00000000-0008-0000-0000-00004A050000}"/>
            </a:ext>
          </a:extLst>
        </xdr:cNvPr>
        <xdr:cNvSpPr>
          <a:spLocks noChangeShapeType="1"/>
        </xdr:cNvSpPr>
      </xdr:nvSpPr>
      <xdr:spPr bwMode="auto">
        <a:xfrm flipH="1">
          <a:off x="1962150" y="327469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1355" name="Line 19077">
          <a:extLst>
            <a:ext uri="{FF2B5EF4-FFF2-40B4-BE49-F238E27FC236}">
              <a16:creationId xmlns:a16="http://schemas.microsoft.com/office/drawing/2014/main" id="{00000000-0008-0000-0000-00004B050000}"/>
            </a:ext>
          </a:extLst>
        </xdr:cNvPr>
        <xdr:cNvSpPr>
          <a:spLocks noChangeShapeType="1"/>
        </xdr:cNvSpPr>
      </xdr:nvSpPr>
      <xdr:spPr bwMode="auto">
        <a:xfrm flipH="1">
          <a:off x="1895475" y="327469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1356" name="Line 19078">
          <a:extLst>
            <a:ext uri="{FF2B5EF4-FFF2-40B4-BE49-F238E27FC236}">
              <a16:creationId xmlns:a16="http://schemas.microsoft.com/office/drawing/2014/main" id="{00000000-0008-0000-0000-00004C050000}"/>
            </a:ext>
          </a:extLst>
        </xdr:cNvPr>
        <xdr:cNvSpPr>
          <a:spLocks noChangeShapeType="1"/>
        </xdr:cNvSpPr>
      </xdr:nvSpPr>
      <xdr:spPr bwMode="auto">
        <a:xfrm flipH="1">
          <a:off x="1981200" y="3513772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1357" name="Line 19079">
          <a:extLst>
            <a:ext uri="{FF2B5EF4-FFF2-40B4-BE49-F238E27FC236}">
              <a16:creationId xmlns:a16="http://schemas.microsoft.com/office/drawing/2014/main" id="{00000000-0008-0000-0000-00004D050000}"/>
            </a:ext>
          </a:extLst>
        </xdr:cNvPr>
        <xdr:cNvSpPr>
          <a:spLocks noChangeShapeType="1"/>
        </xdr:cNvSpPr>
      </xdr:nvSpPr>
      <xdr:spPr bwMode="auto">
        <a:xfrm flipH="1">
          <a:off x="1981200" y="33327975"/>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1358" name="Line 19080">
          <a:extLst>
            <a:ext uri="{FF2B5EF4-FFF2-40B4-BE49-F238E27FC236}">
              <a16:creationId xmlns:a16="http://schemas.microsoft.com/office/drawing/2014/main" id="{00000000-0008-0000-0000-00004E050000}"/>
            </a:ext>
          </a:extLst>
        </xdr:cNvPr>
        <xdr:cNvSpPr>
          <a:spLocks noChangeShapeType="1"/>
        </xdr:cNvSpPr>
      </xdr:nvSpPr>
      <xdr:spPr bwMode="auto">
        <a:xfrm flipH="1">
          <a:off x="2390775" y="333946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314325</xdr:colOff>
      <xdr:row>171</xdr:row>
      <xdr:rowOff>0</xdr:rowOff>
    </xdr:from>
    <xdr:to>
      <xdr:col>5</xdr:col>
      <xdr:colOff>695325</xdr:colOff>
      <xdr:row>171</xdr:row>
      <xdr:rowOff>0</xdr:rowOff>
    </xdr:to>
    <xdr:sp macro="" textlink="">
      <xdr:nvSpPr>
        <xdr:cNvPr id="1359" name="Line 19081">
          <a:extLst>
            <a:ext uri="{FF2B5EF4-FFF2-40B4-BE49-F238E27FC236}">
              <a16:creationId xmlns:a16="http://schemas.microsoft.com/office/drawing/2014/main" id="{00000000-0008-0000-0000-00004F050000}"/>
            </a:ext>
          </a:extLst>
        </xdr:cNvPr>
        <xdr:cNvSpPr>
          <a:spLocks noChangeShapeType="1"/>
        </xdr:cNvSpPr>
      </xdr:nvSpPr>
      <xdr:spPr bwMode="auto">
        <a:xfrm>
          <a:off x="2276475" y="33042225"/>
          <a:ext cx="10763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95250</xdr:rowOff>
    </xdr:to>
    <xdr:sp macro="" textlink="">
      <xdr:nvSpPr>
        <xdr:cNvPr id="1360" name="Line 19082">
          <a:extLst>
            <a:ext uri="{FF2B5EF4-FFF2-40B4-BE49-F238E27FC236}">
              <a16:creationId xmlns:a16="http://schemas.microsoft.com/office/drawing/2014/main" id="{00000000-0008-0000-0000-000050050000}"/>
            </a:ext>
          </a:extLst>
        </xdr:cNvPr>
        <xdr:cNvSpPr>
          <a:spLocks noChangeShapeType="1"/>
        </xdr:cNvSpPr>
      </xdr:nvSpPr>
      <xdr:spPr bwMode="auto">
        <a:xfrm>
          <a:off x="3009900" y="328612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1361" name="Line 19083">
          <a:extLst>
            <a:ext uri="{FF2B5EF4-FFF2-40B4-BE49-F238E27FC236}">
              <a16:creationId xmlns:a16="http://schemas.microsoft.com/office/drawing/2014/main" id="{00000000-0008-0000-0000-000051050000}"/>
            </a:ext>
          </a:extLst>
        </xdr:cNvPr>
        <xdr:cNvSpPr>
          <a:spLocks noChangeShapeType="1"/>
        </xdr:cNvSpPr>
      </xdr:nvSpPr>
      <xdr:spPr bwMode="auto">
        <a:xfrm flipH="1">
          <a:off x="2962275" y="32880300"/>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170</xdr:row>
      <xdr:rowOff>152400</xdr:rowOff>
    </xdr:from>
    <xdr:to>
      <xdr:col>5</xdr:col>
      <xdr:colOff>390525</xdr:colOff>
      <xdr:row>171</xdr:row>
      <xdr:rowOff>38100</xdr:rowOff>
    </xdr:to>
    <xdr:sp macro="" textlink="">
      <xdr:nvSpPr>
        <xdr:cNvPr id="1362" name="Line 19084">
          <a:extLst>
            <a:ext uri="{FF2B5EF4-FFF2-40B4-BE49-F238E27FC236}">
              <a16:creationId xmlns:a16="http://schemas.microsoft.com/office/drawing/2014/main" id="{00000000-0008-0000-0000-000052050000}"/>
            </a:ext>
          </a:extLst>
        </xdr:cNvPr>
        <xdr:cNvSpPr>
          <a:spLocks noChangeShapeType="1"/>
        </xdr:cNvSpPr>
      </xdr:nvSpPr>
      <xdr:spPr bwMode="auto">
        <a:xfrm flipH="1">
          <a:off x="2971800" y="3302317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169</xdr:row>
      <xdr:rowOff>171450</xdr:rowOff>
    </xdr:from>
    <xdr:to>
      <xdr:col>3</xdr:col>
      <xdr:colOff>57150</xdr:colOff>
      <xdr:row>170</xdr:row>
      <xdr:rowOff>142875</xdr:rowOff>
    </xdr:to>
    <xdr:sp macro="" textlink="">
      <xdr:nvSpPr>
        <xdr:cNvPr id="1363" name="Line 19085">
          <a:extLst>
            <a:ext uri="{FF2B5EF4-FFF2-40B4-BE49-F238E27FC236}">
              <a16:creationId xmlns:a16="http://schemas.microsoft.com/office/drawing/2014/main" id="{00000000-0008-0000-0000-000053050000}"/>
            </a:ext>
          </a:extLst>
        </xdr:cNvPr>
        <xdr:cNvSpPr>
          <a:spLocks noChangeShapeType="1"/>
        </xdr:cNvSpPr>
      </xdr:nvSpPr>
      <xdr:spPr bwMode="auto">
        <a:xfrm>
          <a:off x="1771650" y="32851725"/>
          <a:ext cx="24765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168</xdr:row>
      <xdr:rowOff>57150</xdr:rowOff>
    </xdr:from>
    <xdr:to>
      <xdr:col>5</xdr:col>
      <xdr:colOff>647700</xdr:colOff>
      <xdr:row>171</xdr:row>
      <xdr:rowOff>28575</xdr:rowOff>
    </xdr:to>
    <xdr:sp macro="" textlink="">
      <xdr:nvSpPr>
        <xdr:cNvPr id="1364" name="Line 19086">
          <a:extLst>
            <a:ext uri="{FF2B5EF4-FFF2-40B4-BE49-F238E27FC236}">
              <a16:creationId xmlns:a16="http://schemas.microsoft.com/office/drawing/2014/main" id="{00000000-0008-0000-0000-000054050000}"/>
            </a:ext>
          </a:extLst>
        </xdr:cNvPr>
        <xdr:cNvSpPr>
          <a:spLocks noChangeShapeType="1"/>
        </xdr:cNvSpPr>
      </xdr:nvSpPr>
      <xdr:spPr bwMode="auto">
        <a:xfrm flipV="1">
          <a:off x="3305175" y="32546925"/>
          <a:ext cx="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433388</xdr:colOff>
      <xdr:row>179</xdr:row>
      <xdr:rowOff>23812</xdr:rowOff>
    </xdr:from>
    <xdr:to>
      <xdr:col>3</xdr:col>
      <xdr:colOff>280988</xdr:colOff>
      <xdr:row>181</xdr:row>
      <xdr:rowOff>33337</xdr:rowOff>
    </xdr:to>
    <xdr:sp macro="" textlink="">
      <xdr:nvSpPr>
        <xdr:cNvPr id="1365" name="Oval 19088">
          <a:extLst>
            <a:ext uri="{FF2B5EF4-FFF2-40B4-BE49-F238E27FC236}">
              <a16:creationId xmlns:a16="http://schemas.microsoft.com/office/drawing/2014/main" id="{00000000-0008-0000-0000-000055050000}"/>
            </a:ext>
          </a:extLst>
        </xdr:cNvPr>
        <xdr:cNvSpPr>
          <a:spLocks noChangeArrowheads="1"/>
        </xdr:cNvSpPr>
      </xdr:nvSpPr>
      <xdr:spPr bwMode="auto">
        <a:xfrm>
          <a:off x="1814513" y="33894712"/>
          <a:ext cx="428625" cy="390525"/>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1366" name="Line 19089">
          <a:extLst>
            <a:ext uri="{FF2B5EF4-FFF2-40B4-BE49-F238E27FC236}">
              <a16:creationId xmlns:a16="http://schemas.microsoft.com/office/drawing/2014/main" id="{00000000-0008-0000-0000-000056050000}"/>
            </a:ext>
          </a:extLst>
        </xdr:cNvPr>
        <xdr:cNvSpPr>
          <a:spLocks noChangeShapeType="1"/>
        </xdr:cNvSpPr>
      </xdr:nvSpPr>
      <xdr:spPr bwMode="auto">
        <a:xfrm>
          <a:off x="1562100" y="336518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152400</xdr:rowOff>
    </xdr:from>
    <xdr:to>
      <xdr:col>5</xdr:col>
      <xdr:colOff>676275</xdr:colOff>
      <xdr:row>171</xdr:row>
      <xdr:rowOff>28575</xdr:rowOff>
    </xdr:to>
    <xdr:sp macro="" textlink="">
      <xdr:nvSpPr>
        <xdr:cNvPr id="1367" name="Oval 19090">
          <a:extLst>
            <a:ext uri="{FF2B5EF4-FFF2-40B4-BE49-F238E27FC236}">
              <a16:creationId xmlns:a16="http://schemas.microsoft.com/office/drawing/2014/main" id="{00000000-0008-0000-0000-000057050000}"/>
            </a:ext>
          </a:extLst>
        </xdr:cNvPr>
        <xdr:cNvSpPr>
          <a:spLocks noChangeArrowheads="1"/>
        </xdr:cNvSpPr>
      </xdr:nvSpPr>
      <xdr:spPr bwMode="auto">
        <a:xfrm>
          <a:off x="3267075" y="33023175"/>
          <a:ext cx="66675" cy="476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57150</xdr:rowOff>
    </xdr:from>
    <xdr:to>
      <xdr:col>3</xdr:col>
      <xdr:colOff>66675</xdr:colOff>
      <xdr:row>168</xdr:row>
      <xdr:rowOff>123825</xdr:rowOff>
    </xdr:to>
    <xdr:sp macro="" textlink="">
      <xdr:nvSpPr>
        <xdr:cNvPr id="1368" name="Oval 19091">
          <a:extLst>
            <a:ext uri="{FF2B5EF4-FFF2-40B4-BE49-F238E27FC236}">
              <a16:creationId xmlns:a16="http://schemas.microsoft.com/office/drawing/2014/main" id="{00000000-0008-0000-0000-000058050000}"/>
            </a:ext>
          </a:extLst>
        </xdr:cNvPr>
        <xdr:cNvSpPr>
          <a:spLocks noChangeArrowheads="1"/>
        </xdr:cNvSpPr>
      </xdr:nvSpPr>
      <xdr:spPr bwMode="auto">
        <a:xfrm>
          <a:off x="1962150" y="325469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1369" name="Line 19092">
          <a:extLst>
            <a:ext uri="{FF2B5EF4-FFF2-40B4-BE49-F238E27FC236}">
              <a16:creationId xmlns:a16="http://schemas.microsoft.com/office/drawing/2014/main" id="{00000000-0008-0000-0000-000059050000}"/>
            </a:ext>
          </a:extLst>
        </xdr:cNvPr>
        <xdr:cNvSpPr>
          <a:spLocks noChangeShapeType="1"/>
        </xdr:cNvSpPr>
      </xdr:nvSpPr>
      <xdr:spPr bwMode="auto">
        <a:xfrm flipH="1">
          <a:off x="1171575" y="35404425"/>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1370" name="Line 19093">
          <a:extLst>
            <a:ext uri="{FF2B5EF4-FFF2-40B4-BE49-F238E27FC236}">
              <a16:creationId xmlns:a16="http://schemas.microsoft.com/office/drawing/2014/main" id="{00000000-0008-0000-0000-00005A050000}"/>
            </a:ext>
          </a:extLst>
        </xdr:cNvPr>
        <xdr:cNvSpPr>
          <a:spLocks noChangeShapeType="1"/>
        </xdr:cNvSpPr>
      </xdr:nvSpPr>
      <xdr:spPr bwMode="auto">
        <a:xfrm flipV="1">
          <a:off x="1219200" y="353377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1371" name="Line 19094">
          <a:extLst>
            <a:ext uri="{FF2B5EF4-FFF2-40B4-BE49-F238E27FC236}">
              <a16:creationId xmlns:a16="http://schemas.microsoft.com/office/drawing/2014/main" id="{00000000-0008-0000-0000-00005B050000}"/>
            </a:ext>
          </a:extLst>
        </xdr:cNvPr>
        <xdr:cNvSpPr>
          <a:spLocks noChangeShapeType="1"/>
        </xdr:cNvSpPr>
      </xdr:nvSpPr>
      <xdr:spPr bwMode="auto">
        <a:xfrm flipH="1">
          <a:off x="1171575" y="3536632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1372" name="Line 19095">
          <a:extLst>
            <a:ext uri="{FF2B5EF4-FFF2-40B4-BE49-F238E27FC236}">
              <a16:creationId xmlns:a16="http://schemas.microsoft.com/office/drawing/2014/main" id="{00000000-0008-0000-0000-00005C050000}"/>
            </a:ext>
          </a:extLst>
        </xdr:cNvPr>
        <xdr:cNvSpPr>
          <a:spLocks noChangeShapeType="1"/>
        </xdr:cNvSpPr>
      </xdr:nvSpPr>
      <xdr:spPr bwMode="auto">
        <a:xfrm>
          <a:off x="2009775" y="33737550"/>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1373" name="Line 19097">
          <a:extLst>
            <a:ext uri="{FF2B5EF4-FFF2-40B4-BE49-F238E27FC236}">
              <a16:creationId xmlns:a16="http://schemas.microsoft.com/office/drawing/2014/main" id="{00000000-0008-0000-0000-00005D050000}"/>
            </a:ext>
          </a:extLst>
        </xdr:cNvPr>
        <xdr:cNvSpPr>
          <a:spLocks noChangeShapeType="1"/>
        </xdr:cNvSpPr>
      </xdr:nvSpPr>
      <xdr:spPr bwMode="auto">
        <a:xfrm>
          <a:off x="2028825" y="32966025"/>
          <a:ext cx="13811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1374" name="Line 19099">
          <a:extLst>
            <a:ext uri="{FF2B5EF4-FFF2-40B4-BE49-F238E27FC236}">
              <a16:creationId xmlns:a16="http://schemas.microsoft.com/office/drawing/2014/main" id="{00000000-0008-0000-0000-00005E050000}"/>
            </a:ext>
          </a:extLst>
        </xdr:cNvPr>
        <xdr:cNvSpPr>
          <a:spLocks noChangeShapeType="1"/>
        </xdr:cNvSpPr>
      </xdr:nvSpPr>
      <xdr:spPr bwMode="auto">
        <a:xfrm flipH="1">
          <a:off x="1181100" y="35594925"/>
          <a:ext cx="619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1375" name="Line 19100">
          <a:extLst>
            <a:ext uri="{FF2B5EF4-FFF2-40B4-BE49-F238E27FC236}">
              <a16:creationId xmlns:a16="http://schemas.microsoft.com/office/drawing/2014/main" id="{00000000-0008-0000-0000-00005F050000}"/>
            </a:ext>
          </a:extLst>
        </xdr:cNvPr>
        <xdr:cNvSpPr>
          <a:spLocks noChangeShapeType="1"/>
        </xdr:cNvSpPr>
      </xdr:nvSpPr>
      <xdr:spPr bwMode="auto">
        <a:xfrm>
          <a:off x="2724150" y="34604325"/>
          <a:ext cx="0" cy="1057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19050</xdr:rowOff>
    </xdr:from>
    <xdr:to>
      <xdr:col>5</xdr:col>
      <xdr:colOff>123825</xdr:colOff>
      <xdr:row>179</xdr:row>
      <xdr:rowOff>133350</xdr:rowOff>
    </xdr:to>
    <xdr:sp macro="" textlink="">
      <xdr:nvSpPr>
        <xdr:cNvPr id="1376" name="Line 19101">
          <a:extLst>
            <a:ext uri="{FF2B5EF4-FFF2-40B4-BE49-F238E27FC236}">
              <a16:creationId xmlns:a16="http://schemas.microsoft.com/office/drawing/2014/main" id="{00000000-0008-0000-0000-000060050000}"/>
            </a:ext>
          </a:extLst>
        </xdr:cNvPr>
        <xdr:cNvSpPr>
          <a:spLocks noChangeShapeType="1"/>
        </xdr:cNvSpPr>
      </xdr:nvSpPr>
      <xdr:spPr bwMode="auto">
        <a:xfrm flipH="1">
          <a:off x="2667000" y="345662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1377" name="Line 19102">
          <a:extLst>
            <a:ext uri="{FF2B5EF4-FFF2-40B4-BE49-F238E27FC236}">
              <a16:creationId xmlns:a16="http://schemas.microsoft.com/office/drawing/2014/main" id="{00000000-0008-0000-0000-000061050000}"/>
            </a:ext>
          </a:extLst>
        </xdr:cNvPr>
        <xdr:cNvSpPr>
          <a:spLocks noChangeShapeType="1"/>
        </xdr:cNvSpPr>
      </xdr:nvSpPr>
      <xdr:spPr bwMode="auto">
        <a:xfrm flipH="1">
          <a:off x="2667000" y="3554730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1378" name="Line 19103">
          <a:extLst>
            <a:ext uri="{FF2B5EF4-FFF2-40B4-BE49-F238E27FC236}">
              <a16:creationId xmlns:a16="http://schemas.microsoft.com/office/drawing/2014/main" id="{00000000-0008-0000-0000-000062050000}"/>
            </a:ext>
          </a:extLst>
        </xdr:cNvPr>
        <xdr:cNvSpPr>
          <a:spLocks noChangeShapeType="1"/>
        </xdr:cNvSpPr>
      </xdr:nvSpPr>
      <xdr:spPr bwMode="auto">
        <a:xfrm flipH="1">
          <a:off x="1181100" y="355663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1379" name="Freeform 19104">
          <a:extLst>
            <a:ext uri="{FF2B5EF4-FFF2-40B4-BE49-F238E27FC236}">
              <a16:creationId xmlns:a16="http://schemas.microsoft.com/office/drawing/2014/main" id="{00000000-0008-0000-0000-000063050000}"/>
            </a:ext>
          </a:extLst>
        </xdr:cNvPr>
        <xdr:cNvSpPr>
          <a:spLocks/>
        </xdr:cNvSpPr>
      </xdr:nvSpPr>
      <xdr:spPr bwMode="auto">
        <a:xfrm>
          <a:off x="3305175" y="33508950"/>
          <a:ext cx="76200" cy="247650"/>
        </a:xfrm>
        <a:custGeom>
          <a:avLst/>
          <a:gdLst>
            <a:gd name="T0" fmla="*/ 2147483646 w 8"/>
            <a:gd name="T1" fmla="*/ 0 h 26"/>
            <a:gd name="T2" fmla="*/ 0 w 8"/>
            <a:gd name="T3" fmla="*/ 0 h 26"/>
            <a:gd name="T4" fmla="*/ 0 w 8"/>
            <a:gd name="T5" fmla="*/ 2147483646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1380" name="Oval 19105">
          <a:extLst>
            <a:ext uri="{FF2B5EF4-FFF2-40B4-BE49-F238E27FC236}">
              <a16:creationId xmlns:a16="http://schemas.microsoft.com/office/drawing/2014/main" id="{00000000-0008-0000-0000-000064050000}"/>
            </a:ext>
          </a:extLst>
        </xdr:cNvPr>
        <xdr:cNvSpPr>
          <a:spLocks noChangeArrowheads="1"/>
        </xdr:cNvSpPr>
      </xdr:nvSpPr>
      <xdr:spPr bwMode="auto">
        <a:xfrm>
          <a:off x="3267075" y="336899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1381" name="Tegning 344">
          <a:extLst>
            <a:ext uri="{FF2B5EF4-FFF2-40B4-BE49-F238E27FC236}">
              <a16:creationId xmlns:a16="http://schemas.microsoft.com/office/drawing/2014/main" id="{00000000-0008-0000-0000-000065050000}"/>
            </a:ext>
          </a:extLst>
        </xdr:cNvPr>
        <xdr:cNvSpPr>
          <a:spLocks/>
        </xdr:cNvSpPr>
      </xdr:nvSpPr>
      <xdr:spPr bwMode="auto">
        <a:xfrm flipV="1">
          <a:off x="1581150" y="36175950"/>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1382" name="Tegning 344">
          <a:extLst>
            <a:ext uri="{FF2B5EF4-FFF2-40B4-BE49-F238E27FC236}">
              <a16:creationId xmlns:a16="http://schemas.microsoft.com/office/drawing/2014/main" id="{00000000-0008-0000-0000-000066050000}"/>
            </a:ext>
          </a:extLst>
        </xdr:cNvPr>
        <xdr:cNvSpPr>
          <a:spLocks/>
        </xdr:cNvSpPr>
      </xdr:nvSpPr>
      <xdr:spPr bwMode="auto">
        <a:xfrm>
          <a:off x="1581150" y="36261675"/>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1383" name="Line 19108">
          <a:extLst>
            <a:ext uri="{FF2B5EF4-FFF2-40B4-BE49-F238E27FC236}">
              <a16:creationId xmlns:a16="http://schemas.microsoft.com/office/drawing/2014/main" id="{00000000-0008-0000-0000-000067050000}"/>
            </a:ext>
          </a:extLst>
        </xdr:cNvPr>
        <xdr:cNvSpPr>
          <a:spLocks noChangeShapeType="1"/>
        </xdr:cNvSpPr>
      </xdr:nvSpPr>
      <xdr:spPr bwMode="auto">
        <a:xfrm flipH="1">
          <a:off x="2390775" y="36509325"/>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1384" name="Line 19109">
          <a:extLst>
            <a:ext uri="{FF2B5EF4-FFF2-40B4-BE49-F238E27FC236}">
              <a16:creationId xmlns:a16="http://schemas.microsoft.com/office/drawing/2014/main" id="{00000000-0008-0000-0000-000068050000}"/>
            </a:ext>
          </a:extLst>
        </xdr:cNvPr>
        <xdr:cNvSpPr>
          <a:spLocks noChangeShapeType="1"/>
        </xdr:cNvSpPr>
      </xdr:nvSpPr>
      <xdr:spPr bwMode="auto">
        <a:xfrm>
          <a:off x="2828925" y="3673792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1385" name="Line 19110">
          <a:extLst>
            <a:ext uri="{FF2B5EF4-FFF2-40B4-BE49-F238E27FC236}">
              <a16:creationId xmlns:a16="http://schemas.microsoft.com/office/drawing/2014/main" id="{00000000-0008-0000-0000-000069050000}"/>
            </a:ext>
          </a:extLst>
        </xdr:cNvPr>
        <xdr:cNvSpPr>
          <a:spLocks noChangeShapeType="1"/>
        </xdr:cNvSpPr>
      </xdr:nvSpPr>
      <xdr:spPr bwMode="auto">
        <a:xfrm>
          <a:off x="1571625" y="3671887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1386" name="Line 19111">
          <a:extLst>
            <a:ext uri="{FF2B5EF4-FFF2-40B4-BE49-F238E27FC236}">
              <a16:creationId xmlns:a16="http://schemas.microsoft.com/office/drawing/2014/main" id="{00000000-0008-0000-0000-00006A050000}"/>
            </a:ext>
          </a:extLst>
        </xdr:cNvPr>
        <xdr:cNvSpPr>
          <a:spLocks noChangeShapeType="1"/>
        </xdr:cNvSpPr>
      </xdr:nvSpPr>
      <xdr:spPr bwMode="auto">
        <a:xfrm>
          <a:off x="1514475" y="36814125"/>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1387" name="Oval 19112">
          <a:extLst>
            <a:ext uri="{FF2B5EF4-FFF2-40B4-BE49-F238E27FC236}">
              <a16:creationId xmlns:a16="http://schemas.microsoft.com/office/drawing/2014/main" id="{00000000-0008-0000-0000-00006B050000}"/>
            </a:ext>
          </a:extLst>
        </xdr:cNvPr>
        <xdr:cNvSpPr>
          <a:spLocks noChangeArrowheads="1"/>
        </xdr:cNvSpPr>
      </xdr:nvSpPr>
      <xdr:spPr bwMode="auto">
        <a:xfrm>
          <a:off x="2371725" y="3664267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38100</xdr:rowOff>
    </xdr:to>
    <xdr:sp macro="" textlink="">
      <xdr:nvSpPr>
        <xdr:cNvPr id="1388" name="Line 19113">
          <a:extLst>
            <a:ext uri="{FF2B5EF4-FFF2-40B4-BE49-F238E27FC236}">
              <a16:creationId xmlns:a16="http://schemas.microsoft.com/office/drawing/2014/main" id="{00000000-0008-0000-0000-00006C050000}"/>
            </a:ext>
          </a:extLst>
        </xdr:cNvPr>
        <xdr:cNvSpPr>
          <a:spLocks noChangeShapeType="1"/>
        </xdr:cNvSpPr>
      </xdr:nvSpPr>
      <xdr:spPr bwMode="auto">
        <a:xfrm>
          <a:off x="1485900" y="3550920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66675</xdr:rowOff>
    </xdr:from>
    <xdr:to>
      <xdr:col>2</xdr:col>
      <xdr:colOff>533400</xdr:colOff>
      <xdr:row>185</xdr:row>
      <xdr:rowOff>47625</xdr:rowOff>
    </xdr:to>
    <xdr:sp macro="" textlink="">
      <xdr:nvSpPr>
        <xdr:cNvPr id="1389" name="Line 19114">
          <a:extLst>
            <a:ext uri="{FF2B5EF4-FFF2-40B4-BE49-F238E27FC236}">
              <a16:creationId xmlns:a16="http://schemas.microsoft.com/office/drawing/2014/main" id="{00000000-0008-0000-0000-00006D050000}"/>
            </a:ext>
          </a:extLst>
        </xdr:cNvPr>
        <xdr:cNvSpPr>
          <a:spLocks noChangeShapeType="1"/>
        </xdr:cNvSpPr>
      </xdr:nvSpPr>
      <xdr:spPr bwMode="auto">
        <a:xfrm>
          <a:off x="1914525" y="3563302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280987</xdr:colOff>
      <xdr:row>181</xdr:row>
      <xdr:rowOff>128588</xdr:rowOff>
    </xdr:from>
    <xdr:to>
      <xdr:col>2</xdr:col>
      <xdr:colOff>280987</xdr:colOff>
      <xdr:row>184</xdr:row>
      <xdr:rowOff>4763</xdr:rowOff>
    </xdr:to>
    <xdr:sp macro="" textlink="">
      <xdr:nvSpPr>
        <xdr:cNvPr id="1390" name="Line 19115">
          <a:extLst>
            <a:ext uri="{FF2B5EF4-FFF2-40B4-BE49-F238E27FC236}">
              <a16:creationId xmlns:a16="http://schemas.microsoft.com/office/drawing/2014/main" id="{00000000-0008-0000-0000-00006E050000}"/>
            </a:ext>
          </a:extLst>
        </xdr:cNvPr>
        <xdr:cNvSpPr>
          <a:spLocks noChangeShapeType="1"/>
        </xdr:cNvSpPr>
      </xdr:nvSpPr>
      <xdr:spPr bwMode="auto">
        <a:xfrm flipV="1">
          <a:off x="1662112" y="34380488"/>
          <a:ext cx="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1391" name="Line 19116">
          <a:extLst>
            <a:ext uri="{FF2B5EF4-FFF2-40B4-BE49-F238E27FC236}">
              <a16:creationId xmlns:a16="http://schemas.microsoft.com/office/drawing/2014/main" id="{00000000-0008-0000-0000-00006F050000}"/>
            </a:ext>
          </a:extLst>
        </xdr:cNvPr>
        <xdr:cNvSpPr>
          <a:spLocks noChangeShapeType="1"/>
        </xdr:cNvSpPr>
      </xdr:nvSpPr>
      <xdr:spPr bwMode="auto">
        <a:xfrm>
          <a:off x="1609725" y="35175825"/>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180975</xdr:rowOff>
    </xdr:from>
    <xdr:to>
      <xdr:col>2</xdr:col>
      <xdr:colOff>542925</xdr:colOff>
      <xdr:row>184</xdr:row>
      <xdr:rowOff>180975</xdr:rowOff>
    </xdr:to>
    <xdr:sp macro="" textlink="">
      <xdr:nvSpPr>
        <xdr:cNvPr id="1392" name="Line 19117">
          <a:extLst>
            <a:ext uri="{FF2B5EF4-FFF2-40B4-BE49-F238E27FC236}">
              <a16:creationId xmlns:a16="http://schemas.microsoft.com/office/drawing/2014/main" id="{00000000-0008-0000-0000-000070050000}"/>
            </a:ext>
          </a:extLst>
        </xdr:cNvPr>
        <xdr:cNvSpPr>
          <a:spLocks noChangeShapeType="1"/>
        </xdr:cNvSpPr>
      </xdr:nvSpPr>
      <xdr:spPr bwMode="auto">
        <a:xfrm flipH="1">
          <a:off x="1447800" y="35747325"/>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1393" name="Line 19118">
          <a:extLst>
            <a:ext uri="{FF2B5EF4-FFF2-40B4-BE49-F238E27FC236}">
              <a16:creationId xmlns:a16="http://schemas.microsoft.com/office/drawing/2014/main" id="{00000000-0008-0000-0000-000071050000}"/>
            </a:ext>
          </a:extLst>
        </xdr:cNvPr>
        <xdr:cNvSpPr>
          <a:spLocks noChangeShapeType="1"/>
        </xdr:cNvSpPr>
      </xdr:nvSpPr>
      <xdr:spPr bwMode="auto">
        <a:xfrm flipH="1">
          <a:off x="1447800" y="3572827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1394" name="Line 19119">
          <a:extLst>
            <a:ext uri="{FF2B5EF4-FFF2-40B4-BE49-F238E27FC236}">
              <a16:creationId xmlns:a16="http://schemas.microsoft.com/office/drawing/2014/main" id="{00000000-0008-0000-0000-000072050000}"/>
            </a:ext>
          </a:extLst>
        </xdr:cNvPr>
        <xdr:cNvSpPr>
          <a:spLocks noChangeShapeType="1"/>
        </xdr:cNvSpPr>
      </xdr:nvSpPr>
      <xdr:spPr bwMode="auto">
        <a:xfrm flipH="1">
          <a:off x="1866900" y="357187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1395" name="Line 19120">
          <a:extLst>
            <a:ext uri="{FF2B5EF4-FFF2-40B4-BE49-F238E27FC236}">
              <a16:creationId xmlns:a16="http://schemas.microsoft.com/office/drawing/2014/main" id="{00000000-0008-0000-0000-000073050000}"/>
            </a:ext>
          </a:extLst>
        </xdr:cNvPr>
        <xdr:cNvSpPr>
          <a:spLocks noChangeShapeType="1"/>
        </xdr:cNvSpPr>
      </xdr:nvSpPr>
      <xdr:spPr bwMode="auto">
        <a:xfrm>
          <a:off x="2085975" y="34728150"/>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xdr:colOff>
      <xdr:row>182</xdr:row>
      <xdr:rowOff>165735</xdr:rowOff>
    </xdr:from>
    <xdr:to>
      <xdr:col>4</xdr:col>
      <xdr:colOff>190500</xdr:colOff>
      <xdr:row>182</xdr:row>
      <xdr:rowOff>165735</xdr:rowOff>
    </xdr:to>
    <xdr:sp macro="" textlink="">
      <xdr:nvSpPr>
        <xdr:cNvPr id="1396" name="Line 19121">
          <a:extLst>
            <a:ext uri="{FF2B5EF4-FFF2-40B4-BE49-F238E27FC236}">
              <a16:creationId xmlns:a16="http://schemas.microsoft.com/office/drawing/2014/main" id="{00000000-0008-0000-0000-000074050000}"/>
            </a:ext>
          </a:extLst>
        </xdr:cNvPr>
        <xdr:cNvSpPr>
          <a:spLocks noChangeShapeType="1"/>
        </xdr:cNvSpPr>
      </xdr:nvSpPr>
      <xdr:spPr bwMode="auto">
        <a:xfrm>
          <a:off x="1975485" y="34627185"/>
          <a:ext cx="5543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1397" name="Line 19122">
          <a:extLst>
            <a:ext uri="{FF2B5EF4-FFF2-40B4-BE49-F238E27FC236}">
              <a16:creationId xmlns:a16="http://schemas.microsoft.com/office/drawing/2014/main" id="{00000000-0008-0000-0000-000075050000}"/>
            </a:ext>
          </a:extLst>
        </xdr:cNvPr>
        <xdr:cNvSpPr>
          <a:spLocks noChangeShapeType="1"/>
        </xdr:cNvSpPr>
      </xdr:nvSpPr>
      <xdr:spPr bwMode="auto">
        <a:xfrm>
          <a:off x="2466975" y="34718625"/>
          <a:ext cx="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19050</xdr:rowOff>
    </xdr:to>
    <xdr:sp macro="" textlink="">
      <xdr:nvSpPr>
        <xdr:cNvPr id="1398" name="Line 19123">
          <a:extLst>
            <a:ext uri="{FF2B5EF4-FFF2-40B4-BE49-F238E27FC236}">
              <a16:creationId xmlns:a16="http://schemas.microsoft.com/office/drawing/2014/main" id="{00000000-0008-0000-0000-000076050000}"/>
            </a:ext>
          </a:extLst>
        </xdr:cNvPr>
        <xdr:cNvSpPr>
          <a:spLocks noChangeShapeType="1"/>
        </xdr:cNvSpPr>
      </xdr:nvSpPr>
      <xdr:spPr bwMode="auto">
        <a:xfrm>
          <a:off x="2472690" y="34451925"/>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89535</xdr:colOff>
      <xdr:row>182</xdr:row>
      <xdr:rowOff>116205</xdr:rowOff>
    </xdr:from>
    <xdr:to>
      <xdr:col>4</xdr:col>
      <xdr:colOff>175260</xdr:colOff>
      <xdr:row>183</xdr:row>
      <xdr:rowOff>11430</xdr:rowOff>
    </xdr:to>
    <xdr:sp macro="" textlink="">
      <xdr:nvSpPr>
        <xdr:cNvPr id="1399" name="Line 19124">
          <a:extLst>
            <a:ext uri="{FF2B5EF4-FFF2-40B4-BE49-F238E27FC236}">
              <a16:creationId xmlns:a16="http://schemas.microsoft.com/office/drawing/2014/main" id="{00000000-0008-0000-0000-000077050000}"/>
            </a:ext>
          </a:extLst>
        </xdr:cNvPr>
        <xdr:cNvSpPr>
          <a:spLocks noChangeShapeType="1"/>
        </xdr:cNvSpPr>
      </xdr:nvSpPr>
      <xdr:spPr bwMode="auto">
        <a:xfrm flipH="1">
          <a:off x="2428875" y="3457765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1400" name="Line 19125">
          <a:extLst>
            <a:ext uri="{FF2B5EF4-FFF2-40B4-BE49-F238E27FC236}">
              <a16:creationId xmlns:a16="http://schemas.microsoft.com/office/drawing/2014/main" id="{00000000-0008-0000-0000-000078050000}"/>
            </a:ext>
          </a:extLst>
        </xdr:cNvPr>
        <xdr:cNvSpPr>
          <a:spLocks noChangeShapeType="1"/>
        </xdr:cNvSpPr>
      </xdr:nvSpPr>
      <xdr:spPr bwMode="auto">
        <a:xfrm flipH="1">
          <a:off x="2428875" y="346900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1401" name="Line 19126">
          <a:extLst>
            <a:ext uri="{FF2B5EF4-FFF2-40B4-BE49-F238E27FC236}">
              <a16:creationId xmlns:a16="http://schemas.microsoft.com/office/drawing/2014/main" id="{00000000-0008-0000-0000-000079050000}"/>
            </a:ext>
          </a:extLst>
        </xdr:cNvPr>
        <xdr:cNvSpPr>
          <a:spLocks noChangeShapeType="1"/>
        </xdr:cNvSpPr>
      </xdr:nvSpPr>
      <xdr:spPr bwMode="auto">
        <a:xfrm flipH="1">
          <a:off x="1504950" y="3677602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1402" name="Line 19127">
          <a:extLst>
            <a:ext uri="{FF2B5EF4-FFF2-40B4-BE49-F238E27FC236}">
              <a16:creationId xmlns:a16="http://schemas.microsoft.com/office/drawing/2014/main" id="{00000000-0008-0000-0000-00007A050000}"/>
            </a:ext>
          </a:extLst>
        </xdr:cNvPr>
        <xdr:cNvSpPr>
          <a:spLocks noChangeShapeType="1"/>
        </xdr:cNvSpPr>
      </xdr:nvSpPr>
      <xdr:spPr bwMode="auto">
        <a:xfrm flipH="1">
          <a:off x="2762250" y="36766500"/>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1403" name="Tegning 344">
          <a:extLst>
            <a:ext uri="{FF2B5EF4-FFF2-40B4-BE49-F238E27FC236}">
              <a16:creationId xmlns:a16="http://schemas.microsoft.com/office/drawing/2014/main" id="{00000000-0008-0000-0000-00007B050000}"/>
            </a:ext>
          </a:extLst>
        </xdr:cNvPr>
        <xdr:cNvSpPr>
          <a:spLocks/>
        </xdr:cNvSpPr>
      </xdr:nvSpPr>
      <xdr:spPr bwMode="auto">
        <a:xfrm>
          <a:off x="1990725" y="39824025"/>
          <a:ext cx="120967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1404" name="Tegning 344">
          <a:extLst>
            <a:ext uri="{FF2B5EF4-FFF2-40B4-BE49-F238E27FC236}">
              <a16:creationId xmlns:a16="http://schemas.microsoft.com/office/drawing/2014/main" id="{00000000-0008-0000-0000-00007C050000}"/>
            </a:ext>
          </a:extLst>
        </xdr:cNvPr>
        <xdr:cNvSpPr>
          <a:spLocks/>
        </xdr:cNvSpPr>
      </xdr:nvSpPr>
      <xdr:spPr bwMode="auto">
        <a:xfrm flipV="1">
          <a:off x="1990725" y="39509700"/>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1405" name="Line 19130">
          <a:extLst>
            <a:ext uri="{FF2B5EF4-FFF2-40B4-BE49-F238E27FC236}">
              <a16:creationId xmlns:a16="http://schemas.microsoft.com/office/drawing/2014/main" id="{00000000-0008-0000-0000-00007D050000}"/>
            </a:ext>
          </a:extLst>
        </xdr:cNvPr>
        <xdr:cNvSpPr>
          <a:spLocks noChangeShapeType="1"/>
        </xdr:cNvSpPr>
      </xdr:nvSpPr>
      <xdr:spPr bwMode="auto">
        <a:xfrm>
          <a:off x="1990725" y="4031932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1406" name="Line 19131">
          <a:extLst>
            <a:ext uri="{FF2B5EF4-FFF2-40B4-BE49-F238E27FC236}">
              <a16:creationId xmlns:a16="http://schemas.microsoft.com/office/drawing/2014/main" id="{00000000-0008-0000-0000-00007E050000}"/>
            </a:ext>
          </a:extLst>
        </xdr:cNvPr>
        <xdr:cNvSpPr>
          <a:spLocks noChangeShapeType="1"/>
        </xdr:cNvSpPr>
      </xdr:nvSpPr>
      <xdr:spPr bwMode="auto">
        <a:xfrm>
          <a:off x="3190875" y="4031932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1407" name="Line 19132">
          <a:extLst>
            <a:ext uri="{FF2B5EF4-FFF2-40B4-BE49-F238E27FC236}">
              <a16:creationId xmlns:a16="http://schemas.microsoft.com/office/drawing/2014/main" id="{00000000-0008-0000-0000-00007F050000}"/>
            </a:ext>
          </a:extLst>
        </xdr:cNvPr>
        <xdr:cNvSpPr>
          <a:spLocks noChangeShapeType="1"/>
        </xdr:cNvSpPr>
      </xdr:nvSpPr>
      <xdr:spPr bwMode="auto">
        <a:xfrm flipH="1">
          <a:off x="1924050" y="40357425"/>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1408" name="Line 19133">
          <a:extLst>
            <a:ext uri="{FF2B5EF4-FFF2-40B4-BE49-F238E27FC236}">
              <a16:creationId xmlns:a16="http://schemas.microsoft.com/office/drawing/2014/main" id="{00000000-0008-0000-0000-000080050000}"/>
            </a:ext>
          </a:extLst>
        </xdr:cNvPr>
        <xdr:cNvSpPr>
          <a:spLocks noChangeShapeType="1"/>
        </xdr:cNvSpPr>
      </xdr:nvSpPr>
      <xdr:spPr bwMode="auto">
        <a:xfrm flipH="1">
          <a:off x="3124200" y="40376475"/>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1409" name="Line 19134">
          <a:extLst>
            <a:ext uri="{FF2B5EF4-FFF2-40B4-BE49-F238E27FC236}">
              <a16:creationId xmlns:a16="http://schemas.microsoft.com/office/drawing/2014/main" id="{00000000-0008-0000-0000-000081050000}"/>
            </a:ext>
          </a:extLst>
        </xdr:cNvPr>
        <xdr:cNvSpPr>
          <a:spLocks noChangeShapeType="1"/>
        </xdr:cNvSpPr>
      </xdr:nvSpPr>
      <xdr:spPr bwMode="auto">
        <a:xfrm flipH="1">
          <a:off x="2571750" y="39976425"/>
          <a:ext cx="142875" cy="238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1410" name="Oval 19135">
          <a:extLst>
            <a:ext uri="{FF2B5EF4-FFF2-40B4-BE49-F238E27FC236}">
              <a16:creationId xmlns:a16="http://schemas.microsoft.com/office/drawing/2014/main" id="{00000000-0008-0000-0000-000082050000}"/>
            </a:ext>
          </a:extLst>
        </xdr:cNvPr>
        <xdr:cNvSpPr>
          <a:spLocks noChangeArrowheads="1"/>
        </xdr:cNvSpPr>
      </xdr:nvSpPr>
      <xdr:spPr bwMode="auto">
        <a:xfrm>
          <a:off x="2524125" y="402145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1411" name="Line 19136">
          <a:extLst>
            <a:ext uri="{FF2B5EF4-FFF2-40B4-BE49-F238E27FC236}">
              <a16:creationId xmlns:a16="http://schemas.microsoft.com/office/drawing/2014/main" id="{00000000-0008-0000-0000-000083050000}"/>
            </a:ext>
          </a:extLst>
        </xdr:cNvPr>
        <xdr:cNvSpPr>
          <a:spLocks noChangeShapeType="1"/>
        </xdr:cNvSpPr>
      </xdr:nvSpPr>
      <xdr:spPr bwMode="auto">
        <a:xfrm>
          <a:off x="2019300" y="38338125"/>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1412" name="Freeform 19137">
          <a:extLst>
            <a:ext uri="{FF2B5EF4-FFF2-40B4-BE49-F238E27FC236}">
              <a16:creationId xmlns:a16="http://schemas.microsoft.com/office/drawing/2014/main" id="{00000000-0008-0000-0000-000084050000}"/>
            </a:ext>
          </a:extLst>
        </xdr:cNvPr>
        <xdr:cNvSpPr>
          <a:spLocks/>
        </xdr:cNvSpPr>
      </xdr:nvSpPr>
      <xdr:spPr bwMode="auto">
        <a:xfrm>
          <a:off x="2038350" y="37490400"/>
          <a:ext cx="704850" cy="933450"/>
        </a:xfrm>
        <a:custGeom>
          <a:avLst/>
          <a:gdLst>
            <a:gd name="T0" fmla="*/ 0 w 69"/>
            <a:gd name="T1" fmla="*/ 2147483646 h 99"/>
            <a:gd name="T2" fmla="*/ 0 w 69"/>
            <a:gd name="T3" fmla="*/ 2147483646 h 99"/>
            <a:gd name="T4" fmla="*/ 2147483646 w 69"/>
            <a:gd name="T5" fmla="*/ 2147483646 h 99"/>
            <a:gd name="T6" fmla="*/ 2147483646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1413" name="Line 19138">
          <a:extLst>
            <a:ext uri="{FF2B5EF4-FFF2-40B4-BE49-F238E27FC236}">
              <a16:creationId xmlns:a16="http://schemas.microsoft.com/office/drawing/2014/main" id="{00000000-0008-0000-0000-000085050000}"/>
            </a:ext>
          </a:extLst>
        </xdr:cNvPr>
        <xdr:cNvSpPr>
          <a:spLocks noChangeShapeType="1"/>
        </xdr:cNvSpPr>
      </xdr:nvSpPr>
      <xdr:spPr bwMode="auto">
        <a:xfrm flipH="1">
          <a:off x="2752725" y="37585650"/>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1414" name="Line 19139">
          <a:extLst>
            <a:ext uri="{FF2B5EF4-FFF2-40B4-BE49-F238E27FC236}">
              <a16:creationId xmlns:a16="http://schemas.microsoft.com/office/drawing/2014/main" id="{00000000-0008-0000-0000-000086050000}"/>
            </a:ext>
          </a:extLst>
        </xdr:cNvPr>
        <xdr:cNvSpPr>
          <a:spLocks noChangeShapeType="1"/>
        </xdr:cNvSpPr>
      </xdr:nvSpPr>
      <xdr:spPr bwMode="auto">
        <a:xfrm>
          <a:off x="2571750" y="3833812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1415" name="Rectangle 19140">
          <a:extLst>
            <a:ext uri="{FF2B5EF4-FFF2-40B4-BE49-F238E27FC236}">
              <a16:creationId xmlns:a16="http://schemas.microsoft.com/office/drawing/2014/main" id="{00000000-0008-0000-0000-000087050000}"/>
            </a:ext>
          </a:extLst>
        </xdr:cNvPr>
        <xdr:cNvSpPr>
          <a:spLocks noChangeArrowheads="1"/>
        </xdr:cNvSpPr>
      </xdr:nvSpPr>
      <xdr:spPr bwMode="auto">
        <a:xfrm>
          <a:off x="1914525" y="37318950"/>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1416" name="Tegning 312">
          <a:extLst>
            <a:ext uri="{FF2B5EF4-FFF2-40B4-BE49-F238E27FC236}">
              <a16:creationId xmlns:a16="http://schemas.microsoft.com/office/drawing/2014/main" id="{00000000-0008-0000-0000-000088050000}"/>
            </a:ext>
          </a:extLst>
        </xdr:cNvPr>
        <xdr:cNvSpPr>
          <a:spLocks/>
        </xdr:cNvSpPr>
      </xdr:nvSpPr>
      <xdr:spPr bwMode="auto">
        <a:xfrm>
          <a:off x="1543050" y="383095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466725</xdr:colOff>
      <xdr:row>200</xdr:row>
      <xdr:rowOff>57150</xdr:rowOff>
    </xdr:to>
    <xdr:sp macro="" textlink="">
      <xdr:nvSpPr>
        <xdr:cNvPr id="1417" name="Freeform 19142">
          <a:extLst>
            <a:ext uri="{FF2B5EF4-FFF2-40B4-BE49-F238E27FC236}">
              <a16:creationId xmlns:a16="http://schemas.microsoft.com/office/drawing/2014/main" id="{00000000-0008-0000-0000-000089050000}"/>
            </a:ext>
          </a:extLst>
        </xdr:cNvPr>
        <xdr:cNvSpPr>
          <a:spLocks/>
        </xdr:cNvSpPr>
      </xdr:nvSpPr>
      <xdr:spPr bwMode="auto">
        <a:xfrm>
          <a:off x="1381125" y="38319075"/>
          <a:ext cx="466725" cy="36195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1418" name="Tegning 344">
          <a:extLst>
            <a:ext uri="{FF2B5EF4-FFF2-40B4-BE49-F238E27FC236}">
              <a16:creationId xmlns:a16="http://schemas.microsoft.com/office/drawing/2014/main" id="{00000000-0008-0000-0000-00008A050000}"/>
            </a:ext>
          </a:extLst>
        </xdr:cNvPr>
        <xdr:cNvSpPr>
          <a:spLocks/>
        </xdr:cNvSpPr>
      </xdr:nvSpPr>
      <xdr:spPr bwMode="auto">
        <a:xfrm>
          <a:off x="1990725" y="37919025"/>
          <a:ext cx="28575" cy="428625"/>
        </a:xfrm>
        <a:custGeom>
          <a:avLst/>
          <a:gdLst>
            <a:gd name="T0" fmla="*/ 0 w 16384"/>
            <a:gd name="T1" fmla="*/ 0 h 16384"/>
            <a:gd name="T2" fmla="*/ 0 w 16384"/>
            <a:gd name="T3" fmla="*/ 2147483646 h 16384"/>
            <a:gd name="T4" fmla="*/ 232244650 w 16384"/>
            <a:gd name="T5" fmla="*/ 2147483646 h 16384"/>
            <a:gd name="T6" fmla="*/ 1164685722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1419" name="Tegning 344">
          <a:extLst>
            <a:ext uri="{FF2B5EF4-FFF2-40B4-BE49-F238E27FC236}">
              <a16:creationId xmlns:a16="http://schemas.microsoft.com/office/drawing/2014/main" id="{00000000-0008-0000-0000-00008B050000}"/>
            </a:ext>
          </a:extLst>
        </xdr:cNvPr>
        <xdr:cNvSpPr>
          <a:spLocks/>
        </xdr:cNvSpPr>
      </xdr:nvSpPr>
      <xdr:spPr bwMode="auto">
        <a:xfrm flipV="1">
          <a:off x="1990725" y="37604700"/>
          <a:ext cx="76200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123825</xdr:rowOff>
    </xdr:from>
    <xdr:to>
      <xdr:col>5</xdr:col>
      <xdr:colOff>9525</xdr:colOff>
      <xdr:row>196</xdr:row>
      <xdr:rowOff>76200</xdr:rowOff>
    </xdr:to>
    <xdr:sp macro="" textlink="">
      <xdr:nvSpPr>
        <xdr:cNvPr id="1420" name="Tegning 344">
          <a:extLst>
            <a:ext uri="{FF2B5EF4-FFF2-40B4-BE49-F238E27FC236}">
              <a16:creationId xmlns:a16="http://schemas.microsoft.com/office/drawing/2014/main" id="{00000000-0008-0000-0000-00008C050000}"/>
            </a:ext>
          </a:extLst>
        </xdr:cNvPr>
        <xdr:cNvSpPr>
          <a:spLocks/>
        </xdr:cNvSpPr>
      </xdr:nvSpPr>
      <xdr:spPr bwMode="auto">
        <a:xfrm flipV="1">
          <a:off x="1581150" y="37604700"/>
          <a:ext cx="108585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1421" name="Tegning 344">
          <a:extLst>
            <a:ext uri="{FF2B5EF4-FFF2-40B4-BE49-F238E27FC236}">
              <a16:creationId xmlns:a16="http://schemas.microsoft.com/office/drawing/2014/main" id="{00000000-0008-0000-0000-00008D050000}"/>
            </a:ext>
          </a:extLst>
        </xdr:cNvPr>
        <xdr:cNvSpPr>
          <a:spLocks/>
        </xdr:cNvSpPr>
      </xdr:nvSpPr>
      <xdr:spPr bwMode="auto">
        <a:xfrm>
          <a:off x="1581150" y="37795200"/>
          <a:ext cx="571500"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1422" name="Oval 19147">
          <a:extLst>
            <a:ext uri="{FF2B5EF4-FFF2-40B4-BE49-F238E27FC236}">
              <a16:creationId xmlns:a16="http://schemas.microsoft.com/office/drawing/2014/main" id="{00000000-0008-0000-0000-00008E050000}"/>
            </a:ext>
          </a:extLst>
        </xdr:cNvPr>
        <xdr:cNvSpPr>
          <a:spLocks noChangeArrowheads="1"/>
        </xdr:cNvSpPr>
      </xdr:nvSpPr>
      <xdr:spPr bwMode="auto">
        <a:xfrm>
          <a:off x="1609725" y="381571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194</xdr:row>
      <xdr:rowOff>142875</xdr:rowOff>
    </xdr:from>
    <xdr:to>
      <xdr:col>2</xdr:col>
      <xdr:colOff>257175</xdr:colOff>
      <xdr:row>194</xdr:row>
      <xdr:rowOff>180975</xdr:rowOff>
    </xdr:to>
    <xdr:sp macro="" textlink="">
      <xdr:nvSpPr>
        <xdr:cNvPr id="1423" name="Oval 19148">
          <a:extLst>
            <a:ext uri="{FF2B5EF4-FFF2-40B4-BE49-F238E27FC236}">
              <a16:creationId xmlns:a16="http://schemas.microsoft.com/office/drawing/2014/main" id="{00000000-0008-0000-0000-00008F050000}"/>
            </a:ext>
          </a:extLst>
        </xdr:cNvPr>
        <xdr:cNvSpPr>
          <a:spLocks noChangeArrowheads="1"/>
        </xdr:cNvSpPr>
      </xdr:nvSpPr>
      <xdr:spPr bwMode="auto">
        <a:xfrm>
          <a:off x="1600200" y="376237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1424" name="Oval 19149">
          <a:extLst>
            <a:ext uri="{FF2B5EF4-FFF2-40B4-BE49-F238E27FC236}">
              <a16:creationId xmlns:a16="http://schemas.microsoft.com/office/drawing/2014/main" id="{00000000-0008-0000-0000-000090050000}"/>
            </a:ext>
          </a:extLst>
        </xdr:cNvPr>
        <xdr:cNvSpPr>
          <a:spLocks noChangeArrowheads="1"/>
        </xdr:cNvSpPr>
      </xdr:nvSpPr>
      <xdr:spPr bwMode="auto">
        <a:xfrm>
          <a:off x="2019300" y="376237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1425" name="Oval 19150">
          <a:extLst>
            <a:ext uri="{FF2B5EF4-FFF2-40B4-BE49-F238E27FC236}">
              <a16:creationId xmlns:a16="http://schemas.microsoft.com/office/drawing/2014/main" id="{00000000-0008-0000-0000-000091050000}"/>
            </a:ext>
          </a:extLst>
        </xdr:cNvPr>
        <xdr:cNvSpPr>
          <a:spLocks noChangeArrowheads="1"/>
        </xdr:cNvSpPr>
      </xdr:nvSpPr>
      <xdr:spPr bwMode="auto">
        <a:xfrm>
          <a:off x="2019300" y="382809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1426" name="Line 19151">
          <a:extLst>
            <a:ext uri="{FF2B5EF4-FFF2-40B4-BE49-F238E27FC236}">
              <a16:creationId xmlns:a16="http://schemas.microsoft.com/office/drawing/2014/main" id="{00000000-0008-0000-0000-000092050000}"/>
            </a:ext>
          </a:extLst>
        </xdr:cNvPr>
        <xdr:cNvSpPr>
          <a:spLocks noChangeShapeType="1"/>
        </xdr:cNvSpPr>
      </xdr:nvSpPr>
      <xdr:spPr bwMode="auto">
        <a:xfrm>
          <a:off x="1562100" y="383000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1427" name="Line 19152">
          <a:extLst>
            <a:ext uri="{FF2B5EF4-FFF2-40B4-BE49-F238E27FC236}">
              <a16:creationId xmlns:a16="http://schemas.microsoft.com/office/drawing/2014/main" id="{00000000-0008-0000-0000-000093050000}"/>
            </a:ext>
          </a:extLst>
        </xdr:cNvPr>
        <xdr:cNvSpPr>
          <a:spLocks noChangeShapeType="1"/>
        </xdr:cNvSpPr>
      </xdr:nvSpPr>
      <xdr:spPr bwMode="auto">
        <a:xfrm>
          <a:off x="1647825" y="3872865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1428" name="Line 19153">
          <a:extLst>
            <a:ext uri="{FF2B5EF4-FFF2-40B4-BE49-F238E27FC236}">
              <a16:creationId xmlns:a16="http://schemas.microsoft.com/office/drawing/2014/main" id="{00000000-0008-0000-0000-000094050000}"/>
            </a:ext>
          </a:extLst>
        </xdr:cNvPr>
        <xdr:cNvSpPr>
          <a:spLocks noChangeShapeType="1"/>
        </xdr:cNvSpPr>
      </xdr:nvSpPr>
      <xdr:spPr bwMode="auto">
        <a:xfrm>
          <a:off x="2038350" y="38461950"/>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66675</xdr:rowOff>
    </xdr:to>
    <xdr:sp macro="" textlink="">
      <xdr:nvSpPr>
        <xdr:cNvPr id="1429" name="Line 19155">
          <a:extLst>
            <a:ext uri="{FF2B5EF4-FFF2-40B4-BE49-F238E27FC236}">
              <a16:creationId xmlns:a16="http://schemas.microsoft.com/office/drawing/2014/main" id="{00000000-0008-0000-0000-000095050000}"/>
            </a:ext>
          </a:extLst>
        </xdr:cNvPr>
        <xdr:cNvSpPr>
          <a:spLocks noChangeShapeType="1"/>
        </xdr:cNvSpPr>
      </xdr:nvSpPr>
      <xdr:spPr bwMode="auto">
        <a:xfrm>
          <a:off x="3019425" y="38080950"/>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142875</xdr:rowOff>
    </xdr:from>
    <xdr:to>
      <xdr:col>5</xdr:col>
      <xdr:colOff>419100</xdr:colOff>
      <xdr:row>199</xdr:row>
      <xdr:rowOff>57150</xdr:rowOff>
    </xdr:to>
    <xdr:sp macro="" textlink="">
      <xdr:nvSpPr>
        <xdr:cNvPr id="1430" name="Line 19156">
          <a:extLst>
            <a:ext uri="{FF2B5EF4-FFF2-40B4-BE49-F238E27FC236}">
              <a16:creationId xmlns:a16="http://schemas.microsoft.com/office/drawing/2014/main" id="{00000000-0008-0000-0000-000096050000}"/>
            </a:ext>
          </a:extLst>
        </xdr:cNvPr>
        <xdr:cNvSpPr>
          <a:spLocks noChangeShapeType="1"/>
        </xdr:cNvSpPr>
      </xdr:nvSpPr>
      <xdr:spPr bwMode="auto">
        <a:xfrm flipH="1">
          <a:off x="2952750" y="38385750"/>
          <a:ext cx="12382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1431" name="Line 19157">
          <a:extLst>
            <a:ext uri="{FF2B5EF4-FFF2-40B4-BE49-F238E27FC236}">
              <a16:creationId xmlns:a16="http://schemas.microsoft.com/office/drawing/2014/main" id="{00000000-0008-0000-0000-000097050000}"/>
            </a:ext>
          </a:extLst>
        </xdr:cNvPr>
        <xdr:cNvSpPr>
          <a:spLocks noChangeShapeType="1"/>
        </xdr:cNvSpPr>
      </xdr:nvSpPr>
      <xdr:spPr bwMode="auto">
        <a:xfrm flipH="1">
          <a:off x="2971800" y="375380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1432" name="Line 19158">
          <a:extLst>
            <a:ext uri="{FF2B5EF4-FFF2-40B4-BE49-F238E27FC236}">
              <a16:creationId xmlns:a16="http://schemas.microsoft.com/office/drawing/2014/main" id="{00000000-0008-0000-0000-000098050000}"/>
            </a:ext>
          </a:extLst>
        </xdr:cNvPr>
        <xdr:cNvSpPr>
          <a:spLocks noChangeShapeType="1"/>
        </xdr:cNvSpPr>
      </xdr:nvSpPr>
      <xdr:spPr bwMode="auto">
        <a:xfrm flipV="1">
          <a:off x="2743200" y="37728525"/>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1433" name="Line 19159">
          <a:extLst>
            <a:ext uri="{FF2B5EF4-FFF2-40B4-BE49-F238E27FC236}">
              <a16:creationId xmlns:a16="http://schemas.microsoft.com/office/drawing/2014/main" id="{00000000-0008-0000-0000-000099050000}"/>
            </a:ext>
          </a:extLst>
        </xdr:cNvPr>
        <xdr:cNvSpPr>
          <a:spLocks noChangeShapeType="1"/>
        </xdr:cNvSpPr>
      </xdr:nvSpPr>
      <xdr:spPr bwMode="auto">
        <a:xfrm>
          <a:off x="2162175" y="38442900"/>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38100</xdr:rowOff>
    </xdr:from>
    <xdr:to>
      <xdr:col>5</xdr:col>
      <xdr:colOff>419100</xdr:colOff>
      <xdr:row>198</xdr:row>
      <xdr:rowOff>152400</xdr:rowOff>
    </xdr:to>
    <xdr:sp macro="" textlink="">
      <xdr:nvSpPr>
        <xdr:cNvPr id="1434" name="Line 19160">
          <a:extLst>
            <a:ext uri="{FF2B5EF4-FFF2-40B4-BE49-F238E27FC236}">
              <a16:creationId xmlns:a16="http://schemas.microsoft.com/office/drawing/2014/main" id="{00000000-0008-0000-0000-00009A050000}"/>
            </a:ext>
          </a:extLst>
        </xdr:cNvPr>
        <xdr:cNvSpPr>
          <a:spLocks noChangeShapeType="1"/>
        </xdr:cNvSpPr>
      </xdr:nvSpPr>
      <xdr:spPr bwMode="auto">
        <a:xfrm flipH="1">
          <a:off x="2952750" y="38280975"/>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1435" name="Line 19161">
          <a:extLst>
            <a:ext uri="{FF2B5EF4-FFF2-40B4-BE49-F238E27FC236}">
              <a16:creationId xmlns:a16="http://schemas.microsoft.com/office/drawing/2014/main" id="{00000000-0008-0000-0000-00009B050000}"/>
            </a:ext>
          </a:extLst>
        </xdr:cNvPr>
        <xdr:cNvSpPr>
          <a:spLocks noChangeShapeType="1"/>
        </xdr:cNvSpPr>
      </xdr:nvSpPr>
      <xdr:spPr bwMode="auto">
        <a:xfrm flipV="1">
          <a:off x="3019425" y="375666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628650</xdr:colOff>
      <xdr:row>196</xdr:row>
      <xdr:rowOff>9525</xdr:rowOff>
    </xdr:from>
    <xdr:to>
      <xdr:col>16</xdr:col>
      <xdr:colOff>76200</xdr:colOff>
      <xdr:row>196</xdr:row>
      <xdr:rowOff>9525</xdr:rowOff>
    </xdr:to>
    <xdr:sp macro="" textlink="">
      <xdr:nvSpPr>
        <xdr:cNvPr id="1436" name="Line 19162">
          <a:extLst>
            <a:ext uri="{FF2B5EF4-FFF2-40B4-BE49-F238E27FC236}">
              <a16:creationId xmlns:a16="http://schemas.microsoft.com/office/drawing/2014/main" id="{00000000-0008-0000-0000-00009C050000}"/>
            </a:ext>
          </a:extLst>
        </xdr:cNvPr>
        <xdr:cNvSpPr>
          <a:spLocks noChangeShapeType="1"/>
        </xdr:cNvSpPr>
      </xdr:nvSpPr>
      <xdr:spPr bwMode="auto">
        <a:xfrm>
          <a:off x="9791700" y="37871400"/>
          <a:ext cx="11239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195</xdr:row>
      <xdr:rowOff>76200</xdr:rowOff>
    </xdr:from>
    <xdr:to>
      <xdr:col>15</xdr:col>
      <xdr:colOff>752475</xdr:colOff>
      <xdr:row>196</xdr:row>
      <xdr:rowOff>9525</xdr:rowOff>
    </xdr:to>
    <xdr:sp macro="" textlink="">
      <xdr:nvSpPr>
        <xdr:cNvPr id="1437" name="Rectangle 19163">
          <a:extLst>
            <a:ext uri="{FF2B5EF4-FFF2-40B4-BE49-F238E27FC236}">
              <a16:creationId xmlns:a16="http://schemas.microsoft.com/office/drawing/2014/main" id="{00000000-0008-0000-0000-00009D050000}"/>
            </a:ext>
          </a:extLst>
        </xdr:cNvPr>
        <xdr:cNvSpPr>
          <a:spLocks noChangeArrowheads="1"/>
        </xdr:cNvSpPr>
      </xdr:nvSpPr>
      <xdr:spPr bwMode="auto">
        <a:xfrm>
          <a:off x="10010775" y="37747575"/>
          <a:ext cx="742950"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14</xdr:col>
      <xdr:colOff>638175</xdr:colOff>
      <xdr:row>196</xdr:row>
      <xdr:rowOff>9525</xdr:rowOff>
    </xdr:from>
    <xdr:to>
      <xdr:col>14</xdr:col>
      <xdr:colOff>638175</xdr:colOff>
      <xdr:row>198</xdr:row>
      <xdr:rowOff>95250</xdr:rowOff>
    </xdr:to>
    <xdr:sp macro="" textlink="">
      <xdr:nvSpPr>
        <xdr:cNvPr id="1438" name="Line 19164">
          <a:extLst>
            <a:ext uri="{FF2B5EF4-FFF2-40B4-BE49-F238E27FC236}">
              <a16:creationId xmlns:a16="http://schemas.microsoft.com/office/drawing/2014/main" id="{00000000-0008-0000-0000-00009E050000}"/>
            </a:ext>
          </a:extLst>
        </xdr:cNvPr>
        <xdr:cNvSpPr>
          <a:spLocks noChangeShapeType="1"/>
        </xdr:cNvSpPr>
      </xdr:nvSpPr>
      <xdr:spPr bwMode="auto">
        <a:xfrm flipV="1">
          <a:off x="9801225" y="37871400"/>
          <a:ext cx="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85725</xdr:colOff>
      <xdr:row>196</xdr:row>
      <xdr:rowOff>0</xdr:rowOff>
    </xdr:from>
    <xdr:to>
      <xdr:col>16</xdr:col>
      <xdr:colOff>85725</xdr:colOff>
      <xdr:row>198</xdr:row>
      <xdr:rowOff>104775</xdr:rowOff>
    </xdr:to>
    <xdr:sp macro="" textlink="">
      <xdr:nvSpPr>
        <xdr:cNvPr id="1439" name="Line 19165">
          <a:extLst>
            <a:ext uri="{FF2B5EF4-FFF2-40B4-BE49-F238E27FC236}">
              <a16:creationId xmlns:a16="http://schemas.microsoft.com/office/drawing/2014/main" id="{00000000-0008-0000-0000-00009F050000}"/>
            </a:ext>
          </a:extLst>
        </xdr:cNvPr>
        <xdr:cNvSpPr>
          <a:spLocks noChangeShapeType="1"/>
        </xdr:cNvSpPr>
      </xdr:nvSpPr>
      <xdr:spPr bwMode="auto">
        <a:xfrm flipV="1">
          <a:off x="10925175" y="37861875"/>
          <a:ext cx="0" cy="485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14</xdr:col>
      <xdr:colOff>428625</xdr:colOff>
      <xdr:row>197</xdr:row>
      <xdr:rowOff>0</xdr:rowOff>
    </xdr:from>
    <xdr:to>
      <xdr:col>16</xdr:col>
      <xdr:colOff>419100</xdr:colOff>
      <xdr:row>197</xdr:row>
      <xdr:rowOff>0</xdr:rowOff>
    </xdr:to>
    <xdr:sp macro="" textlink="">
      <xdr:nvSpPr>
        <xdr:cNvPr id="1440" name="Line 19166">
          <a:extLst>
            <a:ext uri="{FF2B5EF4-FFF2-40B4-BE49-F238E27FC236}">
              <a16:creationId xmlns:a16="http://schemas.microsoft.com/office/drawing/2014/main" id="{00000000-0008-0000-0000-0000A0050000}"/>
            </a:ext>
          </a:extLst>
        </xdr:cNvPr>
        <xdr:cNvSpPr>
          <a:spLocks noChangeShapeType="1"/>
        </xdr:cNvSpPr>
      </xdr:nvSpPr>
      <xdr:spPr bwMode="auto">
        <a:xfrm>
          <a:off x="9591675" y="38052375"/>
          <a:ext cx="1666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542925</xdr:colOff>
      <xdr:row>198</xdr:row>
      <xdr:rowOff>19050</xdr:rowOff>
    </xdr:from>
    <xdr:to>
      <xdr:col>16</xdr:col>
      <xdr:colOff>104775</xdr:colOff>
      <xdr:row>198</xdr:row>
      <xdr:rowOff>19050</xdr:rowOff>
    </xdr:to>
    <xdr:sp macro="" textlink="">
      <xdr:nvSpPr>
        <xdr:cNvPr id="1441" name="Line 19167">
          <a:extLst>
            <a:ext uri="{FF2B5EF4-FFF2-40B4-BE49-F238E27FC236}">
              <a16:creationId xmlns:a16="http://schemas.microsoft.com/office/drawing/2014/main" id="{00000000-0008-0000-0000-0000A1050000}"/>
            </a:ext>
          </a:extLst>
        </xdr:cNvPr>
        <xdr:cNvSpPr>
          <a:spLocks noChangeShapeType="1"/>
        </xdr:cNvSpPr>
      </xdr:nvSpPr>
      <xdr:spPr bwMode="auto">
        <a:xfrm>
          <a:off x="9705975" y="38261925"/>
          <a:ext cx="1238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196</xdr:row>
      <xdr:rowOff>85725</xdr:rowOff>
    </xdr:from>
    <xdr:to>
      <xdr:col>15</xdr:col>
      <xdr:colOff>9525</xdr:colOff>
      <xdr:row>197</xdr:row>
      <xdr:rowOff>104775</xdr:rowOff>
    </xdr:to>
    <xdr:sp macro="" textlink="">
      <xdr:nvSpPr>
        <xdr:cNvPr id="1442" name="Line 19168">
          <a:extLst>
            <a:ext uri="{FF2B5EF4-FFF2-40B4-BE49-F238E27FC236}">
              <a16:creationId xmlns:a16="http://schemas.microsoft.com/office/drawing/2014/main" id="{00000000-0008-0000-0000-0000A2050000}"/>
            </a:ext>
          </a:extLst>
        </xdr:cNvPr>
        <xdr:cNvSpPr>
          <a:spLocks noChangeShapeType="1"/>
        </xdr:cNvSpPr>
      </xdr:nvSpPr>
      <xdr:spPr bwMode="auto">
        <a:xfrm>
          <a:off x="10010775" y="3794760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752475</xdr:colOff>
      <xdr:row>196</xdr:row>
      <xdr:rowOff>66675</xdr:rowOff>
    </xdr:from>
    <xdr:to>
      <xdr:col>15</xdr:col>
      <xdr:colOff>752475</xdr:colOff>
      <xdr:row>197</xdr:row>
      <xdr:rowOff>85725</xdr:rowOff>
    </xdr:to>
    <xdr:sp macro="" textlink="">
      <xdr:nvSpPr>
        <xdr:cNvPr id="1443" name="Line 19169">
          <a:extLst>
            <a:ext uri="{FF2B5EF4-FFF2-40B4-BE49-F238E27FC236}">
              <a16:creationId xmlns:a16="http://schemas.microsoft.com/office/drawing/2014/main" id="{00000000-0008-0000-0000-0000A3050000}"/>
            </a:ext>
          </a:extLst>
        </xdr:cNvPr>
        <xdr:cNvSpPr>
          <a:spLocks noChangeShapeType="1"/>
        </xdr:cNvSpPr>
      </xdr:nvSpPr>
      <xdr:spPr bwMode="auto">
        <a:xfrm>
          <a:off x="10753725" y="379285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571500</xdr:colOff>
      <xdr:row>196</xdr:row>
      <xdr:rowOff>123825</xdr:rowOff>
    </xdr:from>
    <xdr:to>
      <xdr:col>14</xdr:col>
      <xdr:colOff>733425</xdr:colOff>
      <xdr:row>197</xdr:row>
      <xdr:rowOff>76200</xdr:rowOff>
    </xdr:to>
    <xdr:sp macro="" textlink="">
      <xdr:nvSpPr>
        <xdr:cNvPr id="1444" name="Line 19170">
          <a:extLst>
            <a:ext uri="{FF2B5EF4-FFF2-40B4-BE49-F238E27FC236}">
              <a16:creationId xmlns:a16="http://schemas.microsoft.com/office/drawing/2014/main" id="{00000000-0008-0000-0000-0000A4050000}"/>
            </a:ext>
          </a:extLst>
        </xdr:cNvPr>
        <xdr:cNvSpPr>
          <a:spLocks noChangeShapeType="1"/>
        </xdr:cNvSpPr>
      </xdr:nvSpPr>
      <xdr:spPr bwMode="auto">
        <a:xfrm flipH="1">
          <a:off x="9734550" y="37985700"/>
          <a:ext cx="1619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762000</xdr:colOff>
      <xdr:row>196</xdr:row>
      <xdr:rowOff>123825</xdr:rowOff>
    </xdr:from>
    <xdr:to>
      <xdr:col>15</xdr:col>
      <xdr:colOff>76200</xdr:colOff>
      <xdr:row>197</xdr:row>
      <xdr:rowOff>66675</xdr:rowOff>
    </xdr:to>
    <xdr:sp macro="" textlink="">
      <xdr:nvSpPr>
        <xdr:cNvPr id="1445" name="Line 19171">
          <a:extLst>
            <a:ext uri="{FF2B5EF4-FFF2-40B4-BE49-F238E27FC236}">
              <a16:creationId xmlns:a16="http://schemas.microsoft.com/office/drawing/2014/main" id="{00000000-0008-0000-0000-0000A5050000}"/>
            </a:ext>
          </a:extLst>
        </xdr:cNvPr>
        <xdr:cNvSpPr>
          <a:spLocks noChangeShapeType="1"/>
        </xdr:cNvSpPr>
      </xdr:nvSpPr>
      <xdr:spPr bwMode="auto">
        <a:xfrm flipH="1">
          <a:off x="9925050" y="37985700"/>
          <a:ext cx="1524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704850</xdr:colOff>
      <xdr:row>196</xdr:row>
      <xdr:rowOff>104775</xdr:rowOff>
    </xdr:from>
    <xdr:to>
      <xdr:col>16</xdr:col>
      <xdr:colOff>0</xdr:colOff>
      <xdr:row>197</xdr:row>
      <xdr:rowOff>57150</xdr:rowOff>
    </xdr:to>
    <xdr:sp macro="" textlink="">
      <xdr:nvSpPr>
        <xdr:cNvPr id="1446" name="Line 19172">
          <a:extLst>
            <a:ext uri="{FF2B5EF4-FFF2-40B4-BE49-F238E27FC236}">
              <a16:creationId xmlns:a16="http://schemas.microsoft.com/office/drawing/2014/main" id="{00000000-0008-0000-0000-0000A6050000}"/>
            </a:ext>
          </a:extLst>
        </xdr:cNvPr>
        <xdr:cNvSpPr>
          <a:spLocks noChangeShapeType="1"/>
        </xdr:cNvSpPr>
      </xdr:nvSpPr>
      <xdr:spPr bwMode="auto">
        <a:xfrm flipH="1">
          <a:off x="10706100" y="37966650"/>
          <a:ext cx="13335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196</xdr:row>
      <xdr:rowOff>142875</xdr:rowOff>
    </xdr:from>
    <xdr:to>
      <xdr:col>16</xdr:col>
      <xdr:colOff>142875</xdr:colOff>
      <xdr:row>197</xdr:row>
      <xdr:rowOff>66675</xdr:rowOff>
    </xdr:to>
    <xdr:sp macro="" textlink="">
      <xdr:nvSpPr>
        <xdr:cNvPr id="1447" name="Line 19173">
          <a:extLst>
            <a:ext uri="{FF2B5EF4-FFF2-40B4-BE49-F238E27FC236}">
              <a16:creationId xmlns:a16="http://schemas.microsoft.com/office/drawing/2014/main" id="{00000000-0008-0000-0000-0000A7050000}"/>
            </a:ext>
          </a:extLst>
        </xdr:cNvPr>
        <xdr:cNvSpPr>
          <a:spLocks noChangeShapeType="1"/>
        </xdr:cNvSpPr>
      </xdr:nvSpPr>
      <xdr:spPr bwMode="auto">
        <a:xfrm flipH="1">
          <a:off x="10868025" y="380047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197</xdr:row>
      <xdr:rowOff>133350</xdr:rowOff>
    </xdr:from>
    <xdr:to>
      <xdr:col>16</xdr:col>
      <xdr:colOff>142875</xdr:colOff>
      <xdr:row>198</xdr:row>
      <xdr:rowOff>76200</xdr:rowOff>
    </xdr:to>
    <xdr:sp macro="" textlink="">
      <xdr:nvSpPr>
        <xdr:cNvPr id="1448" name="Line 19174">
          <a:extLst>
            <a:ext uri="{FF2B5EF4-FFF2-40B4-BE49-F238E27FC236}">
              <a16:creationId xmlns:a16="http://schemas.microsoft.com/office/drawing/2014/main" id="{00000000-0008-0000-0000-0000A8050000}"/>
            </a:ext>
          </a:extLst>
        </xdr:cNvPr>
        <xdr:cNvSpPr>
          <a:spLocks noChangeShapeType="1"/>
        </xdr:cNvSpPr>
      </xdr:nvSpPr>
      <xdr:spPr bwMode="auto">
        <a:xfrm flipH="1">
          <a:off x="10868025" y="38185725"/>
          <a:ext cx="1143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199</xdr:row>
      <xdr:rowOff>0</xdr:rowOff>
    </xdr:from>
    <xdr:to>
      <xdr:col>16</xdr:col>
      <xdr:colOff>114300</xdr:colOff>
      <xdr:row>200</xdr:row>
      <xdr:rowOff>171450</xdr:rowOff>
    </xdr:to>
    <xdr:sp macro="" textlink="">
      <xdr:nvSpPr>
        <xdr:cNvPr id="1449" name="Freeform 19175">
          <a:extLst>
            <a:ext uri="{FF2B5EF4-FFF2-40B4-BE49-F238E27FC236}">
              <a16:creationId xmlns:a16="http://schemas.microsoft.com/office/drawing/2014/main" id="{00000000-0008-0000-0000-0000A9050000}"/>
            </a:ext>
          </a:extLst>
        </xdr:cNvPr>
        <xdr:cNvSpPr>
          <a:spLocks/>
        </xdr:cNvSpPr>
      </xdr:nvSpPr>
      <xdr:spPr bwMode="auto">
        <a:xfrm>
          <a:off x="9810750" y="38433375"/>
          <a:ext cx="1143000" cy="361950"/>
        </a:xfrm>
        <a:custGeom>
          <a:avLst/>
          <a:gdLst>
            <a:gd name="T0" fmla="*/ 0 w 102"/>
            <a:gd name="T1" fmla="*/ 0 h 38"/>
            <a:gd name="T2" fmla="*/ 2147483646 w 102"/>
            <a:gd name="T3" fmla="*/ 0 h 38"/>
            <a:gd name="T4" fmla="*/ 2147483646 w 102"/>
            <a:gd name="T5" fmla="*/ 2147483646 h 38"/>
            <a:gd name="T6" fmla="*/ 2147483646 w 102"/>
            <a:gd name="T7" fmla="*/ 2147483646 h 3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2" h="38">
              <a:moveTo>
                <a:pt x="0" y="0"/>
              </a:moveTo>
              <a:lnTo>
                <a:pt x="26" y="0"/>
              </a:lnTo>
              <a:lnTo>
                <a:pt x="78" y="38"/>
              </a:lnTo>
              <a:lnTo>
                <a:pt x="102" y="3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14</xdr:col>
      <xdr:colOff>647700</xdr:colOff>
      <xdr:row>198</xdr:row>
      <xdr:rowOff>171450</xdr:rowOff>
    </xdr:from>
    <xdr:to>
      <xdr:col>14</xdr:col>
      <xdr:colOff>647700</xdr:colOff>
      <xdr:row>200</xdr:row>
      <xdr:rowOff>57150</xdr:rowOff>
    </xdr:to>
    <xdr:sp macro="" textlink="">
      <xdr:nvSpPr>
        <xdr:cNvPr id="1450" name="Line 19176">
          <a:extLst>
            <a:ext uri="{FF2B5EF4-FFF2-40B4-BE49-F238E27FC236}">
              <a16:creationId xmlns:a16="http://schemas.microsoft.com/office/drawing/2014/main" id="{00000000-0008-0000-0000-0000AA050000}"/>
            </a:ext>
          </a:extLst>
        </xdr:cNvPr>
        <xdr:cNvSpPr>
          <a:spLocks noChangeShapeType="1"/>
        </xdr:cNvSpPr>
      </xdr:nvSpPr>
      <xdr:spPr bwMode="auto">
        <a:xfrm flipV="1">
          <a:off x="9810750" y="3841432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104775</xdr:colOff>
      <xdr:row>200</xdr:row>
      <xdr:rowOff>161925</xdr:rowOff>
    </xdr:from>
    <xdr:to>
      <xdr:col>16</xdr:col>
      <xdr:colOff>104775</xdr:colOff>
      <xdr:row>202</xdr:row>
      <xdr:rowOff>76200</xdr:rowOff>
    </xdr:to>
    <xdr:sp macro="" textlink="">
      <xdr:nvSpPr>
        <xdr:cNvPr id="1451" name="Line 19177">
          <a:extLst>
            <a:ext uri="{FF2B5EF4-FFF2-40B4-BE49-F238E27FC236}">
              <a16:creationId xmlns:a16="http://schemas.microsoft.com/office/drawing/2014/main" id="{00000000-0008-0000-0000-0000AB050000}"/>
            </a:ext>
          </a:extLst>
        </xdr:cNvPr>
        <xdr:cNvSpPr>
          <a:spLocks noChangeShapeType="1"/>
        </xdr:cNvSpPr>
      </xdr:nvSpPr>
      <xdr:spPr bwMode="auto">
        <a:xfrm flipV="1">
          <a:off x="10944225" y="387858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1452" name="Freeform 19178">
          <a:extLst>
            <a:ext uri="{FF2B5EF4-FFF2-40B4-BE49-F238E27FC236}">
              <a16:creationId xmlns:a16="http://schemas.microsoft.com/office/drawing/2014/main" id="{00000000-0008-0000-0000-0000AC050000}"/>
            </a:ext>
          </a:extLst>
        </xdr:cNvPr>
        <xdr:cNvSpPr>
          <a:spLocks/>
        </xdr:cNvSpPr>
      </xdr:nvSpPr>
      <xdr:spPr bwMode="auto">
        <a:xfrm>
          <a:off x="2457450" y="37195125"/>
          <a:ext cx="123825" cy="295275"/>
        </a:xfrm>
        <a:custGeom>
          <a:avLst/>
          <a:gdLst>
            <a:gd name="T0" fmla="*/ 0 w 13"/>
            <a:gd name="T1" fmla="*/ 0 h 31"/>
            <a:gd name="T2" fmla="*/ 2147483646 w 13"/>
            <a:gd name="T3" fmla="*/ 0 h 31"/>
            <a:gd name="T4" fmla="*/ 2147483646 w 13"/>
            <a:gd name="T5" fmla="*/ 2147483646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1453" name="Line 19179">
          <a:extLst>
            <a:ext uri="{FF2B5EF4-FFF2-40B4-BE49-F238E27FC236}">
              <a16:creationId xmlns:a16="http://schemas.microsoft.com/office/drawing/2014/main" id="{00000000-0008-0000-0000-0000AD050000}"/>
            </a:ext>
          </a:extLst>
        </xdr:cNvPr>
        <xdr:cNvSpPr>
          <a:spLocks noChangeShapeType="1"/>
        </xdr:cNvSpPr>
      </xdr:nvSpPr>
      <xdr:spPr bwMode="auto">
        <a:xfrm flipH="1">
          <a:off x="2524125" y="372618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1454" name="Line 19180">
          <a:extLst>
            <a:ext uri="{FF2B5EF4-FFF2-40B4-BE49-F238E27FC236}">
              <a16:creationId xmlns:a16="http://schemas.microsoft.com/office/drawing/2014/main" id="{00000000-0008-0000-0000-0000AE050000}"/>
            </a:ext>
          </a:extLst>
        </xdr:cNvPr>
        <xdr:cNvSpPr>
          <a:spLocks noChangeShapeType="1"/>
        </xdr:cNvSpPr>
      </xdr:nvSpPr>
      <xdr:spPr bwMode="auto">
        <a:xfrm flipH="1">
          <a:off x="2543175" y="373856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66675</xdr:rowOff>
    </xdr:from>
    <xdr:to>
      <xdr:col>2</xdr:col>
      <xdr:colOff>533400</xdr:colOff>
      <xdr:row>200</xdr:row>
      <xdr:rowOff>152400</xdr:rowOff>
    </xdr:to>
    <xdr:sp macro="" textlink="">
      <xdr:nvSpPr>
        <xdr:cNvPr id="1455" name="Line 19181">
          <a:extLst>
            <a:ext uri="{FF2B5EF4-FFF2-40B4-BE49-F238E27FC236}">
              <a16:creationId xmlns:a16="http://schemas.microsoft.com/office/drawing/2014/main" id="{00000000-0008-0000-0000-0000AF050000}"/>
            </a:ext>
          </a:extLst>
        </xdr:cNvPr>
        <xdr:cNvSpPr>
          <a:spLocks noChangeShapeType="1"/>
        </xdr:cNvSpPr>
      </xdr:nvSpPr>
      <xdr:spPr bwMode="auto">
        <a:xfrm>
          <a:off x="1914525" y="3850005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1456" name="Line 19182">
          <a:extLst>
            <a:ext uri="{FF2B5EF4-FFF2-40B4-BE49-F238E27FC236}">
              <a16:creationId xmlns:a16="http://schemas.microsoft.com/office/drawing/2014/main" id="{00000000-0008-0000-0000-0000B0050000}"/>
            </a:ext>
          </a:extLst>
        </xdr:cNvPr>
        <xdr:cNvSpPr>
          <a:spLocks noChangeShapeType="1"/>
        </xdr:cNvSpPr>
      </xdr:nvSpPr>
      <xdr:spPr bwMode="auto">
        <a:xfrm>
          <a:off x="1857375" y="38728650"/>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1457" name="Line 19183">
          <a:extLst>
            <a:ext uri="{FF2B5EF4-FFF2-40B4-BE49-F238E27FC236}">
              <a16:creationId xmlns:a16="http://schemas.microsoft.com/office/drawing/2014/main" id="{00000000-0008-0000-0000-0000B1050000}"/>
            </a:ext>
          </a:extLst>
        </xdr:cNvPr>
        <xdr:cNvSpPr>
          <a:spLocks noChangeShapeType="1"/>
        </xdr:cNvSpPr>
      </xdr:nvSpPr>
      <xdr:spPr bwMode="auto">
        <a:xfrm flipH="1">
          <a:off x="2676525" y="386715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1458" name="Line 19184">
          <a:extLst>
            <a:ext uri="{FF2B5EF4-FFF2-40B4-BE49-F238E27FC236}">
              <a16:creationId xmlns:a16="http://schemas.microsoft.com/office/drawing/2014/main" id="{00000000-0008-0000-0000-0000B2050000}"/>
            </a:ext>
          </a:extLst>
        </xdr:cNvPr>
        <xdr:cNvSpPr>
          <a:spLocks noChangeShapeType="1"/>
        </xdr:cNvSpPr>
      </xdr:nvSpPr>
      <xdr:spPr bwMode="auto">
        <a:xfrm flipH="1">
          <a:off x="1847850" y="38671500"/>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1459" name="Line 19185">
          <a:extLst>
            <a:ext uri="{FF2B5EF4-FFF2-40B4-BE49-F238E27FC236}">
              <a16:creationId xmlns:a16="http://schemas.microsoft.com/office/drawing/2014/main" id="{00000000-0008-0000-0000-0000B3050000}"/>
            </a:ext>
          </a:extLst>
        </xdr:cNvPr>
        <xdr:cNvSpPr>
          <a:spLocks noChangeShapeType="1"/>
        </xdr:cNvSpPr>
      </xdr:nvSpPr>
      <xdr:spPr bwMode="auto">
        <a:xfrm>
          <a:off x="1943100" y="40433625"/>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1460" name="Line 19186">
          <a:extLst>
            <a:ext uri="{FF2B5EF4-FFF2-40B4-BE49-F238E27FC236}">
              <a16:creationId xmlns:a16="http://schemas.microsoft.com/office/drawing/2014/main" id="{00000000-0008-0000-0000-0000B4050000}"/>
            </a:ext>
          </a:extLst>
        </xdr:cNvPr>
        <xdr:cNvSpPr>
          <a:spLocks noChangeShapeType="1"/>
        </xdr:cNvSpPr>
      </xdr:nvSpPr>
      <xdr:spPr bwMode="auto">
        <a:xfrm>
          <a:off x="3067050" y="40433625"/>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561975</xdr:colOff>
      <xdr:row>197</xdr:row>
      <xdr:rowOff>133350</xdr:rowOff>
    </xdr:from>
    <xdr:to>
      <xdr:col>14</xdr:col>
      <xdr:colOff>723900</xdr:colOff>
      <xdr:row>198</xdr:row>
      <xdr:rowOff>95250</xdr:rowOff>
    </xdr:to>
    <xdr:sp macro="" textlink="">
      <xdr:nvSpPr>
        <xdr:cNvPr id="1461" name="Line 19187">
          <a:extLst>
            <a:ext uri="{FF2B5EF4-FFF2-40B4-BE49-F238E27FC236}">
              <a16:creationId xmlns:a16="http://schemas.microsoft.com/office/drawing/2014/main" id="{00000000-0008-0000-0000-0000B5050000}"/>
            </a:ext>
          </a:extLst>
        </xdr:cNvPr>
        <xdr:cNvSpPr>
          <a:spLocks noChangeShapeType="1"/>
        </xdr:cNvSpPr>
      </xdr:nvSpPr>
      <xdr:spPr bwMode="auto">
        <a:xfrm flipV="1">
          <a:off x="9725025" y="38185725"/>
          <a:ext cx="16192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1462" name="Tegning 344">
          <a:extLst>
            <a:ext uri="{FF2B5EF4-FFF2-40B4-BE49-F238E27FC236}">
              <a16:creationId xmlns:a16="http://schemas.microsoft.com/office/drawing/2014/main" id="{00000000-0008-0000-0000-0000B6050000}"/>
            </a:ext>
          </a:extLst>
        </xdr:cNvPr>
        <xdr:cNvSpPr>
          <a:spLocks/>
        </xdr:cNvSpPr>
      </xdr:nvSpPr>
      <xdr:spPr bwMode="auto">
        <a:xfrm flipV="1">
          <a:off x="1590675" y="42919650"/>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1463" name="Tegning 344">
          <a:extLst>
            <a:ext uri="{FF2B5EF4-FFF2-40B4-BE49-F238E27FC236}">
              <a16:creationId xmlns:a16="http://schemas.microsoft.com/office/drawing/2014/main" id="{00000000-0008-0000-0000-0000B7050000}"/>
            </a:ext>
          </a:extLst>
        </xdr:cNvPr>
        <xdr:cNvSpPr>
          <a:spLocks/>
        </xdr:cNvSpPr>
      </xdr:nvSpPr>
      <xdr:spPr bwMode="auto">
        <a:xfrm>
          <a:off x="1590675" y="42995850"/>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1464" name="Line 19190">
          <a:extLst>
            <a:ext uri="{FF2B5EF4-FFF2-40B4-BE49-F238E27FC236}">
              <a16:creationId xmlns:a16="http://schemas.microsoft.com/office/drawing/2014/main" id="{00000000-0008-0000-0000-0000B8050000}"/>
            </a:ext>
          </a:extLst>
        </xdr:cNvPr>
        <xdr:cNvSpPr>
          <a:spLocks noChangeShapeType="1"/>
        </xdr:cNvSpPr>
      </xdr:nvSpPr>
      <xdr:spPr bwMode="auto">
        <a:xfrm>
          <a:off x="2857500" y="435673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1465" name="Line 19191">
          <a:extLst>
            <a:ext uri="{FF2B5EF4-FFF2-40B4-BE49-F238E27FC236}">
              <a16:creationId xmlns:a16="http://schemas.microsoft.com/office/drawing/2014/main" id="{00000000-0008-0000-0000-0000B9050000}"/>
            </a:ext>
          </a:extLst>
        </xdr:cNvPr>
        <xdr:cNvSpPr>
          <a:spLocks noChangeShapeType="1"/>
        </xdr:cNvSpPr>
      </xdr:nvSpPr>
      <xdr:spPr bwMode="auto">
        <a:xfrm>
          <a:off x="1581150" y="435673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1466" name="Line 19192">
          <a:extLst>
            <a:ext uri="{FF2B5EF4-FFF2-40B4-BE49-F238E27FC236}">
              <a16:creationId xmlns:a16="http://schemas.microsoft.com/office/drawing/2014/main" id="{00000000-0008-0000-0000-0000BA050000}"/>
            </a:ext>
          </a:extLst>
        </xdr:cNvPr>
        <xdr:cNvSpPr>
          <a:spLocks noChangeShapeType="1"/>
        </xdr:cNvSpPr>
      </xdr:nvSpPr>
      <xdr:spPr bwMode="auto">
        <a:xfrm>
          <a:off x="1552575" y="436435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1467" name="Line 19193">
          <a:extLst>
            <a:ext uri="{FF2B5EF4-FFF2-40B4-BE49-F238E27FC236}">
              <a16:creationId xmlns:a16="http://schemas.microsoft.com/office/drawing/2014/main" id="{00000000-0008-0000-0000-0000BB050000}"/>
            </a:ext>
          </a:extLst>
        </xdr:cNvPr>
        <xdr:cNvSpPr>
          <a:spLocks noChangeShapeType="1"/>
        </xdr:cNvSpPr>
      </xdr:nvSpPr>
      <xdr:spPr bwMode="auto">
        <a:xfrm flipH="1">
          <a:off x="1514475" y="436149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1468" name="Line 19194">
          <a:extLst>
            <a:ext uri="{FF2B5EF4-FFF2-40B4-BE49-F238E27FC236}">
              <a16:creationId xmlns:a16="http://schemas.microsoft.com/office/drawing/2014/main" id="{00000000-0008-0000-0000-0000BC050000}"/>
            </a:ext>
          </a:extLst>
        </xdr:cNvPr>
        <xdr:cNvSpPr>
          <a:spLocks noChangeShapeType="1"/>
        </xdr:cNvSpPr>
      </xdr:nvSpPr>
      <xdr:spPr bwMode="auto">
        <a:xfrm flipH="1">
          <a:off x="2790825" y="436149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152400</xdr:colOff>
      <xdr:row>186</xdr:row>
      <xdr:rowOff>0</xdr:rowOff>
    </xdr:from>
    <xdr:to>
      <xdr:col>13</xdr:col>
      <xdr:colOff>152400</xdr:colOff>
      <xdr:row>217</xdr:row>
      <xdr:rowOff>0</xdr:rowOff>
    </xdr:to>
    <xdr:sp macro="" textlink="">
      <xdr:nvSpPr>
        <xdr:cNvPr id="1469" name="Line 19195">
          <a:extLst>
            <a:ext uri="{FF2B5EF4-FFF2-40B4-BE49-F238E27FC236}">
              <a16:creationId xmlns:a16="http://schemas.microsoft.com/office/drawing/2014/main" id="{00000000-0008-0000-0000-0000BD050000}"/>
            </a:ext>
          </a:extLst>
        </xdr:cNvPr>
        <xdr:cNvSpPr>
          <a:spLocks noChangeShapeType="1"/>
        </xdr:cNvSpPr>
      </xdr:nvSpPr>
      <xdr:spPr bwMode="auto">
        <a:xfrm>
          <a:off x="8305800" y="35947350"/>
          <a:ext cx="0" cy="595312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13</xdr:col>
      <xdr:colOff>95250</xdr:colOff>
      <xdr:row>188</xdr:row>
      <xdr:rowOff>123825</xdr:rowOff>
    </xdr:from>
    <xdr:to>
      <xdr:col>13</xdr:col>
      <xdr:colOff>704850</xdr:colOff>
      <xdr:row>188</xdr:row>
      <xdr:rowOff>123825</xdr:rowOff>
    </xdr:to>
    <xdr:sp macro="" textlink="">
      <xdr:nvSpPr>
        <xdr:cNvPr id="1470" name="Line 19196">
          <a:extLst>
            <a:ext uri="{FF2B5EF4-FFF2-40B4-BE49-F238E27FC236}">
              <a16:creationId xmlns:a16="http://schemas.microsoft.com/office/drawing/2014/main" id="{00000000-0008-0000-0000-0000BE050000}"/>
            </a:ext>
          </a:extLst>
        </xdr:cNvPr>
        <xdr:cNvSpPr>
          <a:spLocks noChangeShapeType="1"/>
        </xdr:cNvSpPr>
      </xdr:nvSpPr>
      <xdr:spPr bwMode="auto">
        <a:xfrm flipH="1">
          <a:off x="8248650" y="36452175"/>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104775</xdr:colOff>
      <xdr:row>188</xdr:row>
      <xdr:rowOff>76200</xdr:rowOff>
    </xdr:from>
    <xdr:to>
      <xdr:col>13</xdr:col>
      <xdr:colOff>180975</xdr:colOff>
      <xdr:row>188</xdr:row>
      <xdr:rowOff>152400</xdr:rowOff>
    </xdr:to>
    <xdr:sp macro="" textlink="">
      <xdr:nvSpPr>
        <xdr:cNvPr id="1471" name="Oval 19197">
          <a:extLst>
            <a:ext uri="{FF2B5EF4-FFF2-40B4-BE49-F238E27FC236}">
              <a16:creationId xmlns:a16="http://schemas.microsoft.com/office/drawing/2014/main" id="{00000000-0008-0000-0000-0000BF050000}"/>
            </a:ext>
          </a:extLst>
        </xdr:cNvPr>
        <xdr:cNvSpPr>
          <a:spLocks noChangeArrowheads="1"/>
        </xdr:cNvSpPr>
      </xdr:nvSpPr>
      <xdr:spPr bwMode="auto">
        <a:xfrm>
          <a:off x="8258175" y="3640455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152400</xdr:colOff>
      <xdr:row>221</xdr:row>
      <xdr:rowOff>28575</xdr:rowOff>
    </xdr:from>
    <xdr:to>
      <xdr:col>13</xdr:col>
      <xdr:colOff>152400</xdr:colOff>
      <xdr:row>229</xdr:row>
      <xdr:rowOff>0</xdr:rowOff>
    </xdr:to>
    <xdr:sp macro="" textlink="">
      <xdr:nvSpPr>
        <xdr:cNvPr id="1472" name="Line 19198">
          <a:extLst>
            <a:ext uri="{FF2B5EF4-FFF2-40B4-BE49-F238E27FC236}">
              <a16:creationId xmlns:a16="http://schemas.microsoft.com/office/drawing/2014/main" id="{00000000-0008-0000-0000-0000C0050000}"/>
            </a:ext>
          </a:extLst>
        </xdr:cNvPr>
        <xdr:cNvSpPr>
          <a:spLocks noChangeShapeType="1"/>
        </xdr:cNvSpPr>
      </xdr:nvSpPr>
      <xdr:spPr bwMode="auto">
        <a:xfrm>
          <a:off x="8305800" y="42691050"/>
          <a:ext cx="0" cy="149542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1473" name="Line 19199">
          <a:extLst>
            <a:ext uri="{FF2B5EF4-FFF2-40B4-BE49-F238E27FC236}">
              <a16:creationId xmlns:a16="http://schemas.microsoft.com/office/drawing/2014/main" id="{00000000-0008-0000-0000-0000C1050000}"/>
            </a:ext>
          </a:extLst>
        </xdr:cNvPr>
        <xdr:cNvSpPr>
          <a:spLocks noChangeShapeType="1"/>
        </xdr:cNvSpPr>
      </xdr:nvSpPr>
      <xdr:spPr bwMode="auto">
        <a:xfrm flipH="1">
          <a:off x="1581150" y="38957250"/>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1474" name="Line 19200">
          <a:extLst>
            <a:ext uri="{FF2B5EF4-FFF2-40B4-BE49-F238E27FC236}">
              <a16:creationId xmlns:a16="http://schemas.microsoft.com/office/drawing/2014/main" id="{00000000-0008-0000-0000-0000C2050000}"/>
            </a:ext>
          </a:extLst>
        </xdr:cNvPr>
        <xdr:cNvSpPr>
          <a:spLocks noChangeShapeType="1"/>
        </xdr:cNvSpPr>
      </xdr:nvSpPr>
      <xdr:spPr bwMode="auto">
        <a:xfrm flipH="1">
          <a:off x="2686050" y="389382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1475" name="Line 19201">
          <a:extLst>
            <a:ext uri="{FF2B5EF4-FFF2-40B4-BE49-F238E27FC236}">
              <a16:creationId xmlns:a16="http://schemas.microsoft.com/office/drawing/2014/main" id="{00000000-0008-0000-0000-0000C3050000}"/>
            </a:ext>
          </a:extLst>
        </xdr:cNvPr>
        <xdr:cNvSpPr>
          <a:spLocks noChangeShapeType="1"/>
        </xdr:cNvSpPr>
      </xdr:nvSpPr>
      <xdr:spPr bwMode="auto">
        <a:xfrm>
          <a:off x="1581150" y="390048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1476" name="Line 19202">
          <a:extLst>
            <a:ext uri="{FF2B5EF4-FFF2-40B4-BE49-F238E27FC236}">
              <a16:creationId xmlns:a16="http://schemas.microsoft.com/office/drawing/2014/main" id="{00000000-0008-0000-0000-0000C4050000}"/>
            </a:ext>
          </a:extLst>
        </xdr:cNvPr>
        <xdr:cNvSpPr>
          <a:spLocks noChangeShapeType="1"/>
        </xdr:cNvSpPr>
      </xdr:nvSpPr>
      <xdr:spPr bwMode="auto">
        <a:xfrm flipH="1">
          <a:off x="1990725" y="38957250"/>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28575</xdr:colOff>
          <xdr:row>163</xdr:row>
          <xdr:rowOff>85725</xdr:rowOff>
        </xdr:from>
        <xdr:to>
          <xdr:col>14</xdr:col>
          <xdr:colOff>466725</xdr:colOff>
          <xdr:row>165</xdr:row>
          <xdr:rowOff>123825</xdr:rowOff>
        </xdr:to>
        <xdr:sp macro="" textlink="">
          <xdr:nvSpPr>
            <xdr:cNvPr id="748" name="Button 42" hidden="1">
              <a:extLst>
                <a:ext uri="{63B3BB69-23CF-44E3-9099-C40C66FF867C}">
                  <a14:compatExt spid="_x0000_s1066"/>
                </a:ext>
                <a:ext uri="{FF2B5EF4-FFF2-40B4-BE49-F238E27FC236}">
                  <a16:creationId xmlns:a16="http://schemas.microsoft.com/office/drawing/2014/main" id="{00000000-0008-0000-0000-0000EC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Gå til andre typer fast vederlag</a:t>
              </a:r>
            </a:p>
          </xdr:txBody>
        </xdr:sp>
        <xdr:clientData fLocksWithSheet="0" fPrintsWithSheet="0"/>
      </xdr:twoCellAnchor>
    </mc:Choice>
    <mc:Fallback/>
  </mc:AlternateContent>
  <xdr:twoCellAnchor>
    <xdr:from>
      <xdr:col>13</xdr:col>
      <xdr:colOff>708025</xdr:colOff>
      <xdr:row>168</xdr:row>
      <xdr:rowOff>28575</xdr:rowOff>
    </xdr:from>
    <xdr:to>
      <xdr:col>14</xdr:col>
      <xdr:colOff>752475</xdr:colOff>
      <xdr:row>168</xdr:row>
      <xdr:rowOff>28575</xdr:rowOff>
    </xdr:to>
    <xdr:sp macro="" textlink="">
      <xdr:nvSpPr>
        <xdr:cNvPr id="1477" name="Line 23412">
          <a:extLst>
            <a:ext uri="{FF2B5EF4-FFF2-40B4-BE49-F238E27FC236}">
              <a16:creationId xmlns:a16="http://schemas.microsoft.com/office/drawing/2014/main" id="{00000000-0008-0000-0000-0000C5050000}"/>
            </a:ext>
          </a:extLst>
        </xdr:cNvPr>
        <xdr:cNvSpPr>
          <a:spLocks noChangeShapeType="1"/>
        </xdr:cNvSpPr>
      </xdr:nvSpPr>
      <xdr:spPr bwMode="auto">
        <a:xfrm>
          <a:off x="8861425" y="31813500"/>
          <a:ext cx="12255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990600</xdr:colOff>
      <xdr:row>168</xdr:row>
      <xdr:rowOff>66675</xdr:rowOff>
    </xdr:from>
    <xdr:to>
      <xdr:col>13</xdr:col>
      <xdr:colOff>1028700</xdr:colOff>
      <xdr:row>168</xdr:row>
      <xdr:rowOff>104775</xdr:rowOff>
    </xdr:to>
    <xdr:sp macro="" textlink="">
      <xdr:nvSpPr>
        <xdr:cNvPr id="1478" name="Oval 97100">
          <a:extLst>
            <a:ext uri="{FF2B5EF4-FFF2-40B4-BE49-F238E27FC236}">
              <a16:creationId xmlns:a16="http://schemas.microsoft.com/office/drawing/2014/main" id="{00000000-0008-0000-0000-0000C6050000}"/>
            </a:ext>
          </a:extLst>
        </xdr:cNvPr>
        <xdr:cNvSpPr>
          <a:spLocks noChangeArrowheads="1"/>
        </xdr:cNvSpPr>
      </xdr:nvSpPr>
      <xdr:spPr bwMode="auto">
        <a:xfrm>
          <a:off x="9144000" y="31851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428625</xdr:colOff>
      <xdr:row>168</xdr:row>
      <xdr:rowOff>66675</xdr:rowOff>
    </xdr:from>
    <xdr:to>
      <xdr:col>14</xdr:col>
      <xdr:colOff>466725</xdr:colOff>
      <xdr:row>168</xdr:row>
      <xdr:rowOff>104775</xdr:rowOff>
    </xdr:to>
    <xdr:sp macro="" textlink="">
      <xdr:nvSpPr>
        <xdr:cNvPr id="1479" name="Oval 97100">
          <a:extLst>
            <a:ext uri="{FF2B5EF4-FFF2-40B4-BE49-F238E27FC236}">
              <a16:creationId xmlns:a16="http://schemas.microsoft.com/office/drawing/2014/main" id="{00000000-0008-0000-0000-0000C7050000}"/>
            </a:ext>
          </a:extLst>
        </xdr:cNvPr>
        <xdr:cNvSpPr>
          <a:spLocks noChangeArrowheads="1"/>
        </xdr:cNvSpPr>
      </xdr:nvSpPr>
      <xdr:spPr bwMode="auto">
        <a:xfrm>
          <a:off x="9591675" y="325564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628650</xdr:colOff>
      <xdr:row>168</xdr:row>
      <xdr:rowOff>171450</xdr:rowOff>
    </xdr:from>
    <xdr:to>
      <xdr:col>14</xdr:col>
      <xdr:colOff>546101</xdr:colOff>
      <xdr:row>171</xdr:row>
      <xdr:rowOff>50800</xdr:rowOff>
    </xdr:to>
    <xdr:sp macro="" textlink="">
      <xdr:nvSpPr>
        <xdr:cNvPr id="1480" name="Freeform 23415">
          <a:extLst>
            <a:ext uri="{FF2B5EF4-FFF2-40B4-BE49-F238E27FC236}">
              <a16:creationId xmlns:a16="http://schemas.microsoft.com/office/drawing/2014/main" id="{00000000-0008-0000-0000-0000C8050000}"/>
            </a:ext>
          </a:extLst>
        </xdr:cNvPr>
        <xdr:cNvSpPr>
          <a:spLocks/>
        </xdr:cNvSpPr>
      </xdr:nvSpPr>
      <xdr:spPr bwMode="auto">
        <a:xfrm>
          <a:off x="8782050" y="31956375"/>
          <a:ext cx="1098551" cy="450850"/>
        </a:xfrm>
        <a:custGeom>
          <a:avLst/>
          <a:gdLst>
            <a:gd name="T0" fmla="*/ 1171575 w 134"/>
            <a:gd name="T1" fmla="*/ 0 h 76"/>
            <a:gd name="T2" fmla="*/ 34972 w 134"/>
            <a:gd name="T3" fmla="*/ 0 h 76"/>
            <a:gd name="T4" fmla="*/ 0 w 134"/>
            <a:gd name="T5" fmla="*/ 20053 h 76"/>
            <a:gd name="T6" fmla="*/ 0 w 134"/>
            <a:gd name="T7" fmla="*/ 381000 h 7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669925</xdr:colOff>
      <xdr:row>169</xdr:row>
      <xdr:rowOff>9525</xdr:rowOff>
    </xdr:from>
    <xdr:to>
      <xdr:col>13</xdr:col>
      <xdr:colOff>727075</xdr:colOff>
      <xdr:row>169</xdr:row>
      <xdr:rowOff>66675</xdr:rowOff>
    </xdr:to>
    <xdr:sp macro="" textlink="">
      <xdr:nvSpPr>
        <xdr:cNvPr id="1481" name="Oval 23416">
          <a:extLst>
            <a:ext uri="{FF2B5EF4-FFF2-40B4-BE49-F238E27FC236}">
              <a16:creationId xmlns:a16="http://schemas.microsoft.com/office/drawing/2014/main" id="{00000000-0008-0000-0000-0000C9050000}"/>
            </a:ext>
          </a:extLst>
        </xdr:cNvPr>
        <xdr:cNvSpPr>
          <a:spLocks noChangeArrowheads="1"/>
        </xdr:cNvSpPr>
      </xdr:nvSpPr>
      <xdr:spPr bwMode="auto">
        <a:xfrm>
          <a:off x="8823325" y="319849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814387</xdr:colOff>
      <xdr:row>167</xdr:row>
      <xdr:rowOff>120650</xdr:rowOff>
    </xdr:from>
    <xdr:to>
      <xdr:col>14</xdr:col>
      <xdr:colOff>749298</xdr:colOff>
      <xdr:row>167</xdr:row>
      <xdr:rowOff>120650</xdr:rowOff>
    </xdr:to>
    <xdr:sp macro="" textlink="">
      <xdr:nvSpPr>
        <xdr:cNvPr id="1482" name="Line 23417">
          <a:extLst>
            <a:ext uri="{FF2B5EF4-FFF2-40B4-BE49-F238E27FC236}">
              <a16:creationId xmlns:a16="http://schemas.microsoft.com/office/drawing/2014/main" id="{00000000-0008-0000-0000-0000CA050000}"/>
            </a:ext>
          </a:extLst>
        </xdr:cNvPr>
        <xdr:cNvSpPr>
          <a:spLocks noChangeShapeType="1"/>
        </xdr:cNvSpPr>
      </xdr:nvSpPr>
      <xdr:spPr bwMode="auto">
        <a:xfrm flipH="1">
          <a:off x="8967787" y="31715075"/>
          <a:ext cx="1116011"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546100</xdr:colOff>
      <xdr:row>168</xdr:row>
      <xdr:rowOff>114300</xdr:rowOff>
    </xdr:from>
    <xdr:to>
      <xdr:col>13</xdr:col>
      <xdr:colOff>666750</xdr:colOff>
      <xdr:row>169</xdr:row>
      <xdr:rowOff>22226</xdr:rowOff>
    </xdr:to>
    <xdr:sp macro="" textlink="">
      <xdr:nvSpPr>
        <xdr:cNvPr id="1483" name="Line 23418">
          <a:extLst>
            <a:ext uri="{FF2B5EF4-FFF2-40B4-BE49-F238E27FC236}">
              <a16:creationId xmlns:a16="http://schemas.microsoft.com/office/drawing/2014/main" id="{00000000-0008-0000-0000-0000CB050000}"/>
            </a:ext>
          </a:extLst>
        </xdr:cNvPr>
        <xdr:cNvSpPr>
          <a:spLocks noChangeShapeType="1"/>
        </xdr:cNvSpPr>
      </xdr:nvSpPr>
      <xdr:spPr bwMode="auto">
        <a:xfrm>
          <a:off x="8699500" y="31899225"/>
          <a:ext cx="120650" cy="984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104775</xdr:colOff>
      <xdr:row>167</xdr:row>
      <xdr:rowOff>76201</xdr:rowOff>
    </xdr:from>
    <xdr:to>
      <xdr:col>15</xdr:col>
      <xdr:colOff>104775</xdr:colOff>
      <xdr:row>168</xdr:row>
      <xdr:rowOff>171451</xdr:rowOff>
    </xdr:to>
    <xdr:sp macro="" textlink="">
      <xdr:nvSpPr>
        <xdr:cNvPr id="1484" name="Line 23419">
          <a:extLst>
            <a:ext uri="{FF2B5EF4-FFF2-40B4-BE49-F238E27FC236}">
              <a16:creationId xmlns:a16="http://schemas.microsoft.com/office/drawing/2014/main" id="{00000000-0008-0000-0000-0000CC050000}"/>
            </a:ext>
          </a:extLst>
        </xdr:cNvPr>
        <xdr:cNvSpPr>
          <a:spLocks noChangeShapeType="1"/>
        </xdr:cNvSpPr>
      </xdr:nvSpPr>
      <xdr:spPr bwMode="auto">
        <a:xfrm>
          <a:off x="10277475" y="31670626"/>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167</xdr:row>
      <xdr:rowOff>123825</xdr:rowOff>
    </xdr:from>
    <xdr:to>
      <xdr:col>15</xdr:col>
      <xdr:colOff>142875</xdr:colOff>
      <xdr:row>167</xdr:row>
      <xdr:rowOff>123825</xdr:rowOff>
    </xdr:to>
    <xdr:sp macro="" textlink="">
      <xdr:nvSpPr>
        <xdr:cNvPr id="1485" name="Line 23420">
          <a:extLst>
            <a:ext uri="{FF2B5EF4-FFF2-40B4-BE49-F238E27FC236}">
              <a16:creationId xmlns:a16="http://schemas.microsoft.com/office/drawing/2014/main" id="{00000000-0008-0000-0000-0000CD050000}"/>
            </a:ext>
          </a:extLst>
        </xdr:cNvPr>
        <xdr:cNvSpPr>
          <a:spLocks noChangeShapeType="1"/>
        </xdr:cNvSpPr>
      </xdr:nvSpPr>
      <xdr:spPr bwMode="auto">
        <a:xfrm>
          <a:off x="9944100" y="3242310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47625</xdr:rowOff>
    </xdr:from>
    <xdr:to>
      <xdr:col>15</xdr:col>
      <xdr:colOff>123825</xdr:colOff>
      <xdr:row>168</xdr:row>
      <xdr:rowOff>47625</xdr:rowOff>
    </xdr:to>
    <xdr:sp macro="" textlink="">
      <xdr:nvSpPr>
        <xdr:cNvPr id="1486" name="Line 23421">
          <a:extLst>
            <a:ext uri="{FF2B5EF4-FFF2-40B4-BE49-F238E27FC236}">
              <a16:creationId xmlns:a16="http://schemas.microsoft.com/office/drawing/2014/main" id="{00000000-0008-0000-0000-0000CE050000}"/>
            </a:ext>
          </a:extLst>
        </xdr:cNvPr>
        <xdr:cNvSpPr>
          <a:spLocks noChangeShapeType="1"/>
        </xdr:cNvSpPr>
      </xdr:nvSpPr>
      <xdr:spPr bwMode="auto">
        <a:xfrm>
          <a:off x="9944100" y="3253740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9525</xdr:rowOff>
    </xdr:from>
    <xdr:to>
      <xdr:col>15</xdr:col>
      <xdr:colOff>133350</xdr:colOff>
      <xdr:row>168</xdr:row>
      <xdr:rowOff>9525</xdr:rowOff>
    </xdr:to>
    <xdr:sp macro="" textlink="">
      <xdr:nvSpPr>
        <xdr:cNvPr id="1487" name="Line 23422">
          <a:extLst>
            <a:ext uri="{FF2B5EF4-FFF2-40B4-BE49-F238E27FC236}">
              <a16:creationId xmlns:a16="http://schemas.microsoft.com/office/drawing/2014/main" id="{00000000-0008-0000-0000-0000CF050000}"/>
            </a:ext>
          </a:extLst>
        </xdr:cNvPr>
        <xdr:cNvSpPr>
          <a:spLocks noChangeShapeType="1"/>
        </xdr:cNvSpPr>
      </xdr:nvSpPr>
      <xdr:spPr bwMode="auto">
        <a:xfrm>
          <a:off x="9944100" y="3249930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523875</xdr:colOff>
      <xdr:row>168</xdr:row>
      <xdr:rowOff>114300</xdr:rowOff>
    </xdr:from>
    <xdr:to>
      <xdr:col>15</xdr:col>
      <xdr:colOff>142875</xdr:colOff>
      <xdr:row>168</xdr:row>
      <xdr:rowOff>114300</xdr:rowOff>
    </xdr:to>
    <xdr:sp macro="" textlink="">
      <xdr:nvSpPr>
        <xdr:cNvPr id="1488" name="Line 23423">
          <a:extLst>
            <a:ext uri="{FF2B5EF4-FFF2-40B4-BE49-F238E27FC236}">
              <a16:creationId xmlns:a16="http://schemas.microsoft.com/office/drawing/2014/main" id="{00000000-0008-0000-0000-0000D0050000}"/>
            </a:ext>
          </a:extLst>
        </xdr:cNvPr>
        <xdr:cNvSpPr>
          <a:spLocks noChangeShapeType="1"/>
        </xdr:cNvSpPr>
      </xdr:nvSpPr>
      <xdr:spPr bwMode="auto">
        <a:xfrm>
          <a:off x="9686925" y="32604075"/>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676275</xdr:colOff>
      <xdr:row>168</xdr:row>
      <xdr:rowOff>76201</xdr:rowOff>
    </xdr:from>
    <xdr:to>
      <xdr:col>14</xdr:col>
      <xdr:colOff>676275</xdr:colOff>
      <xdr:row>169</xdr:row>
      <xdr:rowOff>31751</xdr:rowOff>
    </xdr:to>
    <xdr:sp macro="" textlink="">
      <xdr:nvSpPr>
        <xdr:cNvPr id="1489" name="Line 23424">
          <a:extLst>
            <a:ext uri="{FF2B5EF4-FFF2-40B4-BE49-F238E27FC236}">
              <a16:creationId xmlns:a16="http://schemas.microsoft.com/office/drawing/2014/main" id="{00000000-0008-0000-0000-0000D1050000}"/>
            </a:ext>
          </a:extLst>
        </xdr:cNvPr>
        <xdr:cNvSpPr>
          <a:spLocks noChangeShapeType="1"/>
        </xdr:cNvSpPr>
      </xdr:nvSpPr>
      <xdr:spPr bwMode="auto">
        <a:xfrm>
          <a:off x="10010775" y="31861126"/>
          <a:ext cx="0" cy="146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638175</xdr:colOff>
      <xdr:row>168</xdr:row>
      <xdr:rowOff>76200</xdr:rowOff>
    </xdr:from>
    <xdr:to>
      <xdr:col>14</xdr:col>
      <xdr:colOff>704850</xdr:colOff>
      <xdr:row>168</xdr:row>
      <xdr:rowOff>133350</xdr:rowOff>
    </xdr:to>
    <xdr:sp macro="" textlink="">
      <xdr:nvSpPr>
        <xdr:cNvPr id="1490" name="Line 23425">
          <a:extLst>
            <a:ext uri="{FF2B5EF4-FFF2-40B4-BE49-F238E27FC236}">
              <a16:creationId xmlns:a16="http://schemas.microsoft.com/office/drawing/2014/main" id="{00000000-0008-0000-0000-0000D2050000}"/>
            </a:ext>
          </a:extLst>
        </xdr:cNvPr>
        <xdr:cNvSpPr>
          <a:spLocks noChangeShapeType="1"/>
        </xdr:cNvSpPr>
      </xdr:nvSpPr>
      <xdr:spPr bwMode="auto">
        <a:xfrm flipH="1">
          <a:off x="9801225" y="3256597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168</xdr:row>
      <xdr:rowOff>123825</xdr:rowOff>
    </xdr:from>
    <xdr:to>
      <xdr:col>14</xdr:col>
      <xdr:colOff>714375</xdr:colOff>
      <xdr:row>168</xdr:row>
      <xdr:rowOff>180975</xdr:rowOff>
    </xdr:to>
    <xdr:sp macro="" textlink="">
      <xdr:nvSpPr>
        <xdr:cNvPr id="1491" name="Line 23426">
          <a:extLst>
            <a:ext uri="{FF2B5EF4-FFF2-40B4-BE49-F238E27FC236}">
              <a16:creationId xmlns:a16="http://schemas.microsoft.com/office/drawing/2014/main" id="{00000000-0008-0000-0000-0000D3050000}"/>
            </a:ext>
          </a:extLst>
        </xdr:cNvPr>
        <xdr:cNvSpPr>
          <a:spLocks noChangeShapeType="1"/>
        </xdr:cNvSpPr>
      </xdr:nvSpPr>
      <xdr:spPr bwMode="auto">
        <a:xfrm flipH="1">
          <a:off x="9810750" y="32613600"/>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95250</xdr:rowOff>
    </xdr:from>
    <xdr:to>
      <xdr:col>15</xdr:col>
      <xdr:colOff>133350</xdr:colOff>
      <xdr:row>167</xdr:row>
      <xdr:rowOff>152400</xdr:rowOff>
    </xdr:to>
    <xdr:sp macro="" textlink="">
      <xdr:nvSpPr>
        <xdr:cNvPr id="1492" name="Line 23427">
          <a:extLst>
            <a:ext uri="{FF2B5EF4-FFF2-40B4-BE49-F238E27FC236}">
              <a16:creationId xmlns:a16="http://schemas.microsoft.com/office/drawing/2014/main" id="{00000000-0008-0000-0000-0000D4050000}"/>
            </a:ext>
          </a:extLst>
        </xdr:cNvPr>
        <xdr:cNvSpPr>
          <a:spLocks noChangeShapeType="1"/>
        </xdr:cNvSpPr>
      </xdr:nvSpPr>
      <xdr:spPr bwMode="auto">
        <a:xfrm flipH="1">
          <a:off x="10077450" y="323945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19050</xdr:rowOff>
    </xdr:from>
    <xdr:to>
      <xdr:col>15</xdr:col>
      <xdr:colOff>133350</xdr:colOff>
      <xdr:row>168</xdr:row>
      <xdr:rowOff>76200</xdr:rowOff>
    </xdr:to>
    <xdr:sp macro="" textlink="">
      <xdr:nvSpPr>
        <xdr:cNvPr id="1493" name="Line 23428">
          <a:extLst>
            <a:ext uri="{FF2B5EF4-FFF2-40B4-BE49-F238E27FC236}">
              <a16:creationId xmlns:a16="http://schemas.microsoft.com/office/drawing/2014/main" id="{00000000-0008-0000-0000-0000D5050000}"/>
            </a:ext>
          </a:extLst>
        </xdr:cNvPr>
        <xdr:cNvSpPr>
          <a:spLocks noChangeShapeType="1"/>
        </xdr:cNvSpPr>
      </xdr:nvSpPr>
      <xdr:spPr bwMode="auto">
        <a:xfrm flipH="1">
          <a:off x="10077450" y="325088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85725</xdr:rowOff>
    </xdr:from>
    <xdr:to>
      <xdr:col>15</xdr:col>
      <xdr:colOff>133350</xdr:colOff>
      <xdr:row>168</xdr:row>
      <xdr:rowOff>142875</xdr:rowOff>
    </xdr:to>
    <xdr:sp macro="" textlink="">
      <xdr:nvSpPr>
        <xdr:cNvPr id="1494" name="Line 23429">
          <a:extLst>
            <a:ext uri="{FF2B5EF4-FFF2-40B4-BE49-F238E27FC236}">
              <a16:creationId xmlns:a16="http://schemas.microsoft.com/office/drawing/2014/main" id="{00000000-0008-0000-0000-0000D6050000}"/>
            </a:ext>
          </a:extLst>
        </xdr:cNvPr>
        <xdr:cNvSpPr>
          <a:spLocks noChangeShapeType="1"/>
        </xdr:cNvSpPr>
      </xdr:nvSpPr>
      <xdr:spPr bwMode="auto">
        <a:xfrm flipH="1">
          <a:off x="10077450" y="325755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161925</xdr:rowOff>
    </xdr:from>
    <xdr:to>
      <xdr:col>15</xdr:col>
      <xdr:colOff>133350</xdr:colOff>
      <xdr:row>168</xdr:row>
      <xdr:rowOff>28575</xdr:rowOff>
    </xdr:to>
    <xdr:sp macro="" textlink="">
      <xdr:nvSpPr>
        <xdr:cNvPr id="1495" name="Line 23430">
          <a:extLst>
            <a:ext uri="{FF2B5EF4-FFF2-40B4-BE49-F238E27FC236}">
              <a16:creationId xmlns:a16="http://schemas.microsoft.com/office/drawing/2014/main" id="{00000000-0008-0000-0000-0000D7050000}"/>
            </a:ext>
          </a:extLst>
        </xdr:cNvPr>
        <xdr:cNvSpPr>
          <a:spLocks noChangeShapeType="1"/>
        </xdr:cNvSpPr>
      </xdr:nvSpPr>
      <xdr:spPr bwMode="auto">
        <a:xfrm flipH="1">
          <a:off x="10077450" y="324612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166</xdr:row>
      <xdr:rowOff>171450</xdr:rowOff>
    </xdr:from>
    <xdr:to>
      <xdr:col>15</xdr:col>
      <xdr:colOff>333375</xdr:colOff>
      <xdr:row>167</xdr:row>
      <xdr:rowOff>142875</xdr:rowOff>
    </xdr:to>
    <xdr:sp macro="" textlink="">
      <xdr:nvSpPr>
        <xdr:cNvPr id="1496" name="Line 23431">
          <a:extLst>
            <a:ext uri="{FF2B5EF4-FFF2-40B4-BE49-F238E27FC236}">
              <a16:creationId xmlns:a16="http://schemas.microsoft.com/office/drawing/2014/main" id="{00000000-0008-0000-0000-0000D8050000}"/>
            </a:ext>
          </a:extLst>
        </xdr:cNvPr>
        <xdr:cNvSpPr>
          <a:spLocks noChangeShapeType="1"/>
        </xdr:cNvSpPr>
      </xdr:nvSpPr>
      <xdr:spPr bwMode="auto">
        <a:xfrm flipH="1">
          <a:off x="10134600" y="32270700"/>
          <a:ext cx="200025"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152400</xdr:colOff>
      <xdr:row>168</xdr:row>
      <xdr:rowOff>76200</xdr:rowOff>
    </xdr:from>
    <xdr:to>
      <xdr:col>15</xdr:col>
      <xdr:colOff>333375</xdr:colOff>
      <xdr:row>168</xdr:row>
      <xdr:rowOff>114300</xdr:rowOff>
    </xdr:to>
    <xdr:sp macro="" textlink="">
      <xdr:nvSpPr>
        <xdr:cNvPr id="1497" name="Line 23432">
          <a:extLst>
            <a:ext uri="{FF2B5EF4-FFF2-40B4-BE49-F238E27FC236}">
              <a16:creationId xmlns:a16="http://schemas.microsoft.com/office/drawing/2014/main" id="{00000000-0008-0000-0000-0000D9050000}"/>
            </a:ext>
          </a:extLst>
        </xdr:cNvPr>
        <xdr:cNvSpPr>
          <a:spLocks noChangeShapeType="1"/>
        </xdr:cNvSpPr>
      </xdr:nvSpPr>
      <xdr:spPr bwMode="auto">
        <a:xfrm flipH="1" flipV="1">
          <a:off x="10153650" y="32565975"/>
          <a:ext cx="1809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167</xdr:row>
      <xdr:rowOff>161925</xdr:rowOff>
    </xdr:from>
    <xdr:to>
      <xdr:col>15</xdr:col>
      <xdr:colOff>266700</xdr:colOff>
      <xdr:row>168</xdr:row>
      <xdr:rowOff>28575</xdr:rowOff>
    </xdr:to>
    <xdr:sp macro="" textlink="">
      <xdr:nvSpPr>
        <xdr:cNvPr id="1498" name="Line 23433">
          <a:extLst>
            <a:ext uri="{FF2B5EF4-FFF2-40B4-BE49-F238E27FC236}">
              <a16:creationId xmlns:a16="http://schemas.microsoft.com/office/drawing/2014/main" id="{00000000-0008-0000-0000-0000DA050000}"/>
            </a:ext>
          </a:extLst>
        </xdr:cNvPr>
        <xdr:cNvSpPr>
          <a:spLocks noChangeShapeType="1"/>
        </xdr:cNvSpPr>
      </xdr:nvSpPr>
      <xdr:spPr bwMode="auto">
        <a:xfrm flipH="1">
          <a:off x="10134600" y="32461200"/>
          <a:ext cx="1333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749300</xdr:colOff>
      <xdr:row>169</xdr:row>
      <xdr:rowOff>85725</xdr:rowOff>
    </xdr:from>
    <xdr:to>
      <xdr:col>13</xdr:col>
      <xdr:colOff>1009650</xdr:colOff>
      <xdr:row>169</xdr:row>
      <xdr:rowOff>85725</xdr:rowOff>
    </xdr:to>
    <xdr:sp macro="" textlink="">
      <xdr:nvSpPr>
        <xdr:cNvPr id="1499" name="Line 23434">
          <a:extLst>
            <a:ext uri="{FF2B5EF4-FFF2-40B4-BE49-F238E27FC236}">
              <a16:creationId xmlns:a16="http://schemas.microsoft.com/office/drawing/2014/main" id="{00000000-0008-0000-0000-0000DB050000}"/>
            </a:ext>
          </a:extLst>
        </xdr:cNvPr>
        <xdr:cNvSpPr>
          <a:spLocks noChangeShapeType="1"/>
        </xdr:cNvSpPr>
      </xdr:nvSpPr>
      <xdr:spPr bwMode="auto">
        <a:xfrm>
          <a:off x="8902700" y="32061150"/>
          <a:ext cx="260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914400</xdr:colOff>
      <xdr:row>167</xdr:row>
      <xdr:rowOff>28575</xdr:rowOff>
    </xdr:from>
    <xdr:to>
      <xdr:col>13</xdr:col>
      <xdr:colOff>914400</xdr:colOff>
      <xdr:row>169</xdr:row>
      <xdr:rowOff>123825</xdr:rowOff>
    </xdr:to>
    <xdr:sp macro="" textlink="">
      <xdr:nvSpPr>
        <xdr:cNvPr id="1500" name="Line 23435">
          <a:extLst>
            <a:ext uri="{FF2B5EF4-FFF2-40B4-BE49-F238E27FC236}">
              <a16:creationId xmlns:a16="http://schemas.microsoft.com/office/drawing/2014/main" id="{00000000-0008-0000-0000-0000DC050000}"/>
            </a:ext>
          </a:extLst>
        </xdr:cNvPr>
        <xdr:cNvSpPr>
          <a:spLocks noChangeShapeType="1"/>
        </xdr:cNvSpPr>
      </xdr:nvSpPr>
      <xdr:spPr bwMode="auto">
        <a:xfrm>
          <a:off x="9067800" y="323278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857250</xdr:colOff>
      <xdr:row>167</xdr:row>
      <xdr:rowOff>76200</xdr:rowOff>
    </xdr:from>
    <xdr:to>
      <xdr:col>13</xdr:col>
      <xdr:colOff>952500</xdr:colOff>
      <xdr:row>167</xdr:row>
      <xdr:rowOff>161925</xdr:rowOff>
    </xdr:to>
    <xdr:sp macro="" textlink="">
      <xdr:nvSpPr>
        <xdr:cNvPr id="1501" name="Line 23436">
          <a:extLst>
            <a:ext uri="{FF2B5EF4-FFF2-40B4-BE49-F238E27FC236}">
              <a16:creationId xmlns:a16="http://schemas.microsoft.com/office/drawing/2014/main" id="{00000000-0008-0000-0000-0000DD050000}"/>
            </a:ext>
          </a:extLst>
        </xdr:cNvPr>
        <xdr:cNvSpPr>
          <a:spLocks noChangeShapeType="1"/>
        </xdr:cNvSpPr>
      </xdr:nvSpPr>
      <xdr:spPr bwMode="auto">
        <a:xfrm flipH="1">
          <a:off x="9010650" y="3237547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876300</xdr:colOff>
      <xdr:row>169</xdr:row>
      <xdr:rowOff>47625</xdr:rowOff>
    </xdr:from>
    <xdr:to>
      <xdr:col>13</xdr:col>
      <xdr:colOff>962025</xdr:colOff>
      <xdr:row>169</xdr:row>
      <xdr:rowOff>133350</xdr:rowOff>
    </xdr:to>
    <xdr:sp macro="" textlink="">
      <xdr:nvSpPr>
        <xdr:cNvPr id="1502" name="Line 23437">
          <a:extLst>
            <a:ext uri="{FF2B5EF4-FFF2-40B4-BE49-F238E27FC236}">
              <a16:creationId xmlns:a16="http://schemas.microsoft.com/office/drawing/2014/main" id="{00000000-0008-0000-0000-0000DE050000}"/>
            </a:ext>
          </a:extLst>
        </xdr:cNvPr>
        <xdr:cNvSpPr>
          <a:spLocks noChangeShapeType="1"/>
        </xdr:cNvSpPr>
      </xdr:nvSpPr>
      <xdr:spPr bwMode="auto">
        <a:xfrm flipH="1">
          <a:off x="9029700" y="327279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527050</xdr:colOff>
      <xdr:row>173</xdr:row>
      <xdr:rowOff>66675</xdr:rowOff>
    </xdr:from>
    <xdr:to>
      <xdr:col>14</xdr:col>
      <xdr:colOff>742950</xdr:colOff>
      <xdr:row>173</xdr:row>
      <xdr:rowOff>66675</xdr:rowOff>
    </xdr:to>
    <xdr:sp macro="" textlink="">
      <xdr:nvSpPr>
        <xdr:cNvPr id="1503" name="Line 23438">
          <a:extLst>
            <a:ext uri="{FF2B5EF4-FFF2-40B4-BE49-F238E27FC236}">
              <a16:creationId xmlns:a16="http://schemas.microsoft.com/office/drawing/2014/main" id="{00000000-0008-0000-0000-0000DF050000}"/>
            </a:ext>
          </a:extLst>
        </xdr:cNvPr>
        <xdr:cNvSpPr>
          <a:spLocks noChangeShapeType="1"/>
        </xdr:cNvSpPr>
      </xdr:nvSpPr>
      <xdr:spPr bwMode="auto">
        <a:xfrm>
          <a:off x="8680450" y="32804100"/>
          <a:ext cx="1397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746124</xdr:colOff>
      <xdr:row>172</xdr:row>
      <xdr:rowOff>161925</xdr:rowOff>
    </xdr:from>
    <xdr:to>
      <xdr:col>14</xdr:col>
      <xdr:colOff>742949</xdr:colOff>
      <xdr:row>172</xdr:row>
      <xdr:rowOff>161925</xdr:rowOff>
    </xdr:to>
    <xdr:sp macro="" textlink="">
      <xdr:nvSpPr>
        <xdr:cNvPr id="1504" name="Line 23439">
          <a:extLst>
            <a:ext uri="{FF2B5EF4-FFF2-40B4-BE49-F238E27FC236}">
              <a16:creationId xmlns:a16="http://schemas.microsoft.com/office/drawing/2014/main" id="{00000000-0008-0000-0000-0000E0050000}"/>
            </a:ext>
          </a:extLst>
        </xdr:cNvPr>
        <xdr:cNvSpPr>
          <a:spLocks noChangeShapeType="1"/>
        </xdr:cNvSpPr>
      </xdr:nvSpPr>
      <xdr:spPr bwMode="auto">
        <a:xfrm>
          <a:off x="8899524" y="32708850"/>
          <a:ext cx="117792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968375</xdr:colOff>
      <xdr:row>172</xdr:row>
      <xdr:rowOff>82550</xdr:rowOff>
    </xdr:from>
    <xdr:to>
      <xdr:col>13</xdr:col>
      <xdr:colOff>1006475</xdr:colOff>
      <xdr:row>172</xdr:row>
      <xdr:rowOff>120650</xdr:rowOff>
    </xdr:to>
    <xdr:sp macro="" textlink="">
      <xdr:nvSpPr>
        <xdr:cNvPr id="1505" name="Oval 97100">
          <a:extLst>
            <a:ext uri="{FF2B5EF4-FFF2-40B4-BE49-F238E27FC236}">
              <a16:creationId xmlns:a16="http://schemas.microsoft.com/office/drawing/2014/main" id="{00000000-0008-0000-0000-0000E1050000}"/>
            </a:ext>
          </a:extLst>
        </xdr:cNvPr>
        <xdr:cNvSpPr>
          <a:spLocks noChangeArrowheads="1"/>
        </xdr:cNvSpPr>
      </xdr:nvSpPr>
      <xdr:spPr bwMode="auto">
        <a:xfrm>
          <a:off x="9121775" y="32629475"/>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438150</xdr:colOff>
      <xdr:row>172</xdr:row>
      <xdr:rowOff>85725</xdr:rowOff>
    </xdr:from>
    <xdr:to>
      <xdr:col>14</xdr:col>
      <xdr:colOff>476250</xdr:colOff>
      <xdr:row>172</xdr:row>
      <xdr:rowOff>123825</xdr:rowOff>
    </xdr:to>
    <xdr:sp macro="" textlink="">
      <xdr:nvSpPr>
        <xdr:cNvPr id="1506" name="Oval 97100">
          <a:extLst>
            <a:ext uri="{FF2B5EF4-FFF2-40B4-BE49-F238E27FC236}">
              <a16:creationId xmlns:a16="http://schemas.microsoft.com/office/drawing/2014/main" id="{00000000-0008-0000-0000-0000E2050000}"/>
            </a:ext>
          </a:extLst>
        </xdr:cNvPr>
        <xdr:cNvSpPr>
          <a:spLocks noChangeArrowheads="1"/>
        </xdr:cNvSpPr>
      </xdr:nvSpPr>
      <xdr:spPr bwMode="auto">
        <a:xfrm>
          <a:off x="9601200" y="332994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625475</xdr:colOff>
      <xdr:row>171</xdr:row>
      <xdr:rowOff>171450</xdr:rowOff>
    </xdr:from>
    <xdr:to>
      <xdr:col>14</xdr:col>
      <xdr:colOff>552450</xdr:colOff>
      <xdr:row>172</xdr:row>
      <xdr:rowOff>152400</xdr:rowOff>
    </xdr:to>
    <xdr:sp macro="" textlink="">
      <xdr:nvSpPr>
        <xdr:cNvPr id="1507" name="Freeform 23442">
          <a:extLst>
            <a:ext uri="{FF2B5EF4-FFF2-40B4-BE49-F238E27FC236}">
              <a16:creationId xmlns:a16="http://schemas.microsoft.com/office/drawing/2014/main" id="{00000000-0008-0000-0000-0000E3050000}"/>
            </a:ext>
          </a:extLst>
        </xdr:cNvPr>
        <xdr:cNvSpPr>
          <a:spLocks/>
        </xdr:cNvSpPr>
      </xdr:nvSpPr>
      <xdr:spPr bwMode="auto">
        <a:xfrm>
          <a:off x="8778875" y="32527875"/>
          <a:ext cx="1108075" cy="171450"/>
        </a:xfrm>
        <a:custGeom>
          <a:avLst/>
          <a:gdLst>
            <a:gd name="T0" fmla="*/ 0 w 133"/>
            <a:gd name="T1" fmla="*/ 0 h 18"/>
            <a:gd name="T2" fmla="*/ 0 w 133"/>
            <a:gd name="T3" fmla="*/ 127000 h 18"/>
            <a:gd name="T4" fmla="*/ 17761 w 133"/>
            <a:gd name="T5" fmla="*/ 152400 h 18"/>
            <a:gd name="T6" fmla="*/ 1181100 w 133"/>
            <a:gd name="T7" fmla="*/ 152400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663575</xdr:colOff>
      <xdr:row>172</xdr:row>
      <xdr:rowOff>85725</xdr:rowOff>
    </xdr:from>
    <xdr:to>
      <xdr:col>13</xdr:col>
      <xdr:colOff>701675</xdr:colOff>
      <xdr:row>172</xdr:row>
      <xdr:rowOff>123825</xdr:rowOff>
    </xdr:to>
    <xdr:sp macro="" textlink="">
      <xdr:nvSpPr>
        <xdr:cNvPr id="1508" name="Oval 97100">
          <a:extLst>
            <a:ext uri="{FF2B5EF4-FFF2-40B4-BE49-F238E27FC236}">
              <a16:creationId xmlns:a16="http://schemas.microsoft.com/office/drawing/2014/main" id="{00000000-0008-0000-0000-0000E4050000}"/>
            </a:ext>
          </a:extLst>
        </xdr:cNvPr>
        <xdr:cNvSpPr>
          <a:spLocks noChangeArrowheads="1"/>
        </xdr:cNvSpPr>
      </xdr:nvSpPr>
      <xdr:spPr bwMode="auto">
        <a:xfrm>
          <a:off x="8816975" y="326326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771525</xdr:colOff>
      <xdr:row>173</xdr:row>
      <xdr:rowOff>66675</xdr:rowOff>
    </xdr:from>
    <xdr:to>
      <xdr:col>15</xdr:col>
      <xdr:colOff>142875</xdr:colOff>
      <xdr:row>173</xdr:row>
      <xdr:rowOff>66675</xdr:rowOff>
    </xdr:to>
    <xdr:sp macro="" textlink="">
      <xdr:nvSpPr>
        <xdr:cNvPr id="1509" name="Line 23444">
          <a:extLst>
            <a:ext uri="{FF2B5EF4-FFF2-40B4-BE49-F238E27FC236}">
              <a16:creationId xmlns:a16="http://schemas.microsoft.com/office/drawing/2014/main" id="{00000000-0008-0000-0000-0000E5050000}"/>
            </a:ext>
          </a:extLst>
        </xdr:cNvPr>
        <xdr:cNvSpPr>
          <a:spLocks noChangeShapeType="1"/>
        </xdr:cNvSpPr>
      </xdr:nvSpPr>
      <xdr:spPr bwMode="auto">
        <a:xfrm>
          <a:off x="9934575" y="33470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180975</xdr:rowOff>
    </xdr:from>
    <xdr:to>
      <xdr:col>15</xdr:col>
      <xdr:colOff>133350</xdr:colOff>
      <xdr:row>172</xdr:row>
      <xdr:rowOff>180975</xdr:rowOff>
    </xdr:to>
    <xdr:sp macro="" textlink="">
      <xdr:nvSpPr>
        <xdr:cNvPr id="1510" name="Line 23445">
          <a:extLst>
            <a:ext uri="{FF2B5EF4-FFF2-40B4-BE49-F238E27FC236}">
              <a16:creationId xmlns:a16="http://schemas.microsoft.com/office/drawing/2014/main" id="{00000000-0008-0000-0000-0000E6050000}"/>
            </a:ext>
          </a:extLst>
        </xdr:cNvPr>
        <xdr:cNvSpPr>
          <a:spLocks noChangeShapeType="1"/>
        </xdr:cNvSpPr>
      </xdr:nvSpPr>
      <xdr:spPr bwMode="auto">
        <a:xfrm>
          <a:off x="9934575" y="3339465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142875</xdr:rowOff>
    </xdr:from>
    <xdr:to>
      <xdr:col>15</xdr:col>
      <xdr:colOff>142875</xdr:colOff>
      <xdr:row>172</xdr:row>
      <xdr:rowOff>142875</xdr:rowOff>
    </xdr:to>
    <xdr:sp macro="" textlink="">
      <xdr:nvSpPr>
        <xdr:cNvPr id="1511" name="Line 23446">
          <a:extLst>
            <a:ext uri="{FF2B5EF4-FFF2-40B4-BE49-F238E27FC236}">
              <a16:creationId xmlns:a16="http://schemas.microsoft.com/office/drawing/2014/main" id="{00000000-0008-0000-0000-0000E7050000}"/>
            </a:ext>
          </a:extLst>
        </xdr:cNvPr>
        <xdr:cNvSpPr>
          <a:spLocks noChangeShapeType="1"/>
        </xdr:cNvSpPr>
      </xdr:nvSpPr>
      <xdr:spPr bwMode="auto">
        <a:xfrm>
          <a:off x="9934575" y="333565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114300</xdr:rowOff>
    </xdr:from>
    <xdr:to>
      <xdr:col>15</xdr:col>
      <xdr:colOff>123825</xdr:colOff>
      <xdr:row>172</xdr:row>
      <xdr:rowOff>161925</xdr:rowOff>
    </xdr:to>
    <xdr:sp macro="" textlink="">
      <xdr:nvSpPr>
        <xdr:cNvPr id="1514" name="Line 23449">
          <a:extLst>
            <a:ext uri="{FF2B5EF4-FFF2-40B4-BE49-F238E27FC236}">
              <a16:creationId xmlns:a16="http://schemas.microsoft.com/office/drawing/2014/main" id="{00000000-0008-0000-0000-0000EA050000}"/>
            </a:ext>
          </a:extLst>
        </xdr:cNvPr>
        <xdr:cNvSpPr>
          <a:spLocks noChangeShapeType="1"/>
        </xdr:cNvSpPr>
      </xdr:nvSpPr>
      <xdr:spPr bwMode="auto">
        <a:xfrm flipH="1">
          <a:off x="10077450" y="333279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152400</xdr:rowOff>
    </xdr:from>
    <xdr:to>
      <xdr:col>15</xdr:col>
      <xdr:colOff>123825</xdr:colOff>
      <xdr:row>173</xdr:row>
      <xdr:rowOff>9525</xdr:rowOff>
    </xdr:to>
    <xdr:sp macro="" textlink="">
      <xdr:nvSpPr>
        <xdr:cNvPr id="1515" name="Line 23450">
          <a:extLst>
            <a:ext uri="{FF2B5EF4-FFF2-40B4-BE49-F238E27FC236}">
              <a16:creationId xmlns:a16="http://schemas.microsoft.com/office/drawing/2014/main" id="{00000000-0008-0000-0000-0000EB050000}"/>
            </a:ext>
          </a:extLst>
        </xdr:cNvPr>
        <xdr:cNvSpPr>
          <a:spLocks noChangeShapeType="1"/>
        </xdr:cNvSpPr>
      </xdr:nvSpPr>
      <xdr:spPr bwMode="auto">
        <a:xfrm flipH="1">
          <a:off x="10077450" y="333660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85725</xdr:colOff>
      <xdr:row>173</xdr:row>
      <xdr:rowOff>38100</xdr:rowOff>
    </xdr:from>
    <xdr:to>
      <xdr:col>15</xdr:col>
      <xdr:colOff>133350</xdr:colOff>
      <xdr:row>173</xdr:row>
      <xdr:rowOff>85725</xdr:rowOff>
    </xdr:to>
    <xdr:sp macro="" textlink="">
      <xdr:nvSpPr>
        <xdr:cNvPr id="1516" name="Line 23451">
          <a:extLst>
            <a:ext uri="{FF2B5EF4-FFF2-40B4-BE49-F238E27FC236}">
              <a16:creationId xmlns:a16="http://schemas.microsoft.com/office/drawing/2014/main" id="{00000000-0008-0000-0000-0000EC050000}"/>
            </a:ext>
          </a:extLst>
        </xdr:cNvPr>
        <xdr:cNvSpPr>
          <a:spLocks noChangeShapeType="1"/>
        </xdr:cNvSpPr>
      </xdr:nvSpPr>
      <xdr:spPr bwMode="auto">
        <a:xfrm flipH="1">
          <a:off x="10086975" y="334422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781051</xdr:colOff>
      <xdr:row>169</xdr:row>
      <xdr:rowOff>38100</xdr:rowOff>
    </xdr:from>
    <xdr:to>
      <xdr:col>13</xdr:col>
      <xdr:colOff>990601</xdr:colOff>
      <xdr:row>170</xdr:row>
      <xdr:rowOff>15875</xdr:rowOff>
    </xdr:to>
    <xdr:sp macro="" textlink="">
      <xdr:nvSpPr>
        <xdr:cNvPr id="1518" name="Line 23453">
          <a:extLst>
            <a:ext uri="{FF2B5EF4-FFF2-40B4-BE49-F238E27FC236}">
              <a16:creationId xmlns:a16="http://schemas.microsoft.com/office/drawing/2014/main" id="{00000000-0008-0000-0000-0000EE050000}"/>
            </a:ext>
          </a:extLst>
        </xdr:cNvPr>
        <xdr:cNvSpPr>
          <a:spLocks noChangeShapeType="1"/>
        </xdr:cNvSpPr>
      </xdr:nvSpPr>
      <xdr:spPr bwMode="auto">
        <a:xfrm>
          <a:off x="8934451" y="32013525"/>
          <a:ext cx="209550" cy="168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708024</xdr:colOff>
      <xdr:row>169</xdr:row>
      <xdr:rowOff>114299</xdr:rowOff>
    </xdr:from>
    <xdr:to>
      <xdr:col>13</xdr:col>
      <xdr:colOff>914400</xdr:colOff>
      <xdr:row>170</xdr:row>
      <xdr:rowOff>101600</xdr:rowOff>
    </xdr:to>
    <xdr:sp macro="" textlink="">
      <xdr:nvSpPr>
        <xdr:cNvPr id="1519" name="Line 23454">
          <a:extLst>
            <a:ext uri="{FF2B5EF4-FFF2-40B4-BE49-F238E27FC236}">
              <a16:creationId xmlns:a16="http://schemas.microsoft.com/office/drawing/2014/main" id="{00000000-0008-0000-0000-0000EF050000}"/>
            </a:ext>
          </a:extLst>
        </xdr:cNvPr>
        <xdr:cNvSpPr>
          <a:spLocks noChangeShapeType="1"/>
        </xdr:cNvSpPr>
      </xdr:nvSpPr>
      <xdr:spPr bwMode="auto">
        <a:xfrm>
          <a:off x="8861424" y="32089724"/>
          <a:ext cx="206376" cy="1778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866772</xdr:colOff>
      <xdr:row>169</xdr:row>
      <xdr:rowOff>161925</xdr:rowOff>
    </xdr:from>
    <xdr:to>
      <xdr:col>13</xdr:col>
      <xdr:colOff>990599</xdr:colOff>
      <xdr:row>170</xdr:row>
      <xdr:rowOff>101600</xdr:rowOff>
    </xdr:to>
    <xdr:sp macro="" textlink="">
      <xdr:nvSpPr>
        <xdr:cNvPr id="1520" name="Line 23455">
          <a:extLst>
            <a:ext uri="{FF2B5EF4-FFF2-40B4-BE49-F238E27FC236}">
              <a16:creationId xmlns:a16="http://schemas.microsoft.com/office/drawing/2014/main" id="{00000000-0008-0000-0000-0000F0050000}"/>
            </a:ext>
          </a:extLst>
        </xdr:cNvPr>
        <xdr:cNvSpPr>
          <a:spLocks noChangeShapeType="1"/>
        </xdr:cNvSpPr>
      </xdr:nvSpPr>
      <xdr:spPr bwMode="auto">
        <a:xfrm flipH="1">
          <a:off x="9020172" y="32137350"/>
          <a:ext cx="123827" cy="130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927098</xdr:colOff>
      <xdr:row>169</xdr:row>
      <xdr:rowOff>180975</xdr:rowOff>
    </xdr:from>
    <xdr:to>
      <xdr:col>13</xdr:col>
      <xdr:colOff>1000124</xdr:colOff>
      <xdr:row>170</xdr:row>
      <xdr:rowOff>6350</xdr:rowOff>
    </xdr:to>
    <xdr:sp macro="" textlink="">
      <xdr:nvSpPr>
        <xdr:cNvPr id="1522" name="Line 23457">
          <a:extLst>
            <a:ext uri="{FF2B5EF4-FFF2-40B4-BE49-F238E27FC236}">
              <a16:creationId xmlns:a16="http://schemas.microsoft.com/office/drawing/2014/main" id="{00000000-0008-0000-0000-0000F2050000}"/>
            </a:ext>
          </a:extLst>
        </xdr:cNvPr>
        <xdr:cNvSpPr>
          <a:spLocks noChangeShapeType="1"/>
        </xdr:cNvSpPr>
      </xdr:nvSpPr>
      <xdr:spPr bwMode="auto">
        <a:xfrm flipH="1">
          <a:off x="9080498" y="32156400"/>
          <a:ext cx="73026" cy="15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841372</xdr:colOff>
      <xdr:row>170</xdr:row>
      <xdr:rowOff>73025</xdr:rowOff>
    </xdr:from>
    <xdr:to>
      <xdr:col>13</xdr:col>
      <xdr:colOff>936624</xdr:colOff>
      <xdr:row>170</xdr:row>
      <xdr:rowOff>92074</xdr:rowOff>
    </xdr:to>
    <xdr:sp macro="" textlink="">
      <xdr:nvSpPr>
        <xdr:cNvPr id="1523" name="Line 23458">
          <a:extLst>
            <a:ext uri="{FF2B5EF4-FFF2-40B4-BE49-F238E27FC236}">
              <a16:creationId xmlns:a16="http://schemas.microsoft.com/office/drawing/2014/main" id="{00000000-0008-0000-0000-0000F3050000}"/>
            </a:ext>
          </a:extLst>
        </xdr:cNvPr>
        <xdr:cNvSpPr>
          <a:spLocks noChangeShapeType="1"/>
        </xdr:cNvSpPr>
      </xdr:nvSpPr>
      <xdr:spPr bwMode="auto">
        <a:xfrm flipH="1">
          <a:off x="8994772" y="32238950"/>
          <a:ext cx="95252" cy="1904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123825</xdr:colOff>
      <xdr:row>173</xdr:row>
      <xdr:rowOff>28575</xdr:rowOff>
    </xdr:from>
    <xdr:to>
      <xdr:col>15</xdr:col>
      <xdr:colOff>266700</xdr:colOff>
      <xdr:row>173</xdr:row>
      <xdr:rowOff>104775</xdr:rowOff>
    </xdr:to>
    <xdr:sp macro="" textlink="">
      <xdr:nvSpPr>
        <xdr:cNvPr id="1524" name="Line 23459">
          <a:extLst>
            <a:ext uri="{FF2B5EF4-FFF2-40B4-BE49-F238E27FC236}">
              <a16:creationId xmlns:a16="http://schemas.microsoft.com/office/drawing/2014/main" id="{00000000-0008-0000-0000-0000F4050000}"/>
            </a:ext>
          </a:extLst>
        </xdr:cNvPr>
        <xdr:cNvSpPr>
          <a:spLocks noChangeShapeType="1"/>
        </xdr:cNvSpPr>
      </xdr:nvSpPr>
      <xdr:spPr bwMode="auto">
        <a:xfrm flipH="1" flipV="1">
          <a:off x="10125075" y="33432750"/>
          <a:ext cx="1428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142875</xdr:colOff>
      <xdr:row>172</xdr:row>
      <xdr:rowOff>114300</xdr:rowOff>
    </xdr:from>
    <xdr:to>
      <xdr:col>15</xdr:col>
      <xdr:colOff>266700</xdr:colOff>
      <xdr:row>172</xdr:row>
      <xdr:rowOff>161925</xdr:rowOff>
    </xdr:to>
    <xdr:sp macro="" textlink="">
      <xdr:nvSpPr>
        <xdr:cNvPr id="1525" name="Line 23460">
          <a:extLst>
            <a:ext uri="{FF2B5EF4-FFF2-40B4-BE49-F238E27FC236}">
              <a16:creationId xmlns:a16="http://schemas.microsoft.com/office/drawing/2014/main" id="{00000000-0008-0000-0000-0000F5050000}"/>
            </a:ext>
          </a:extLst>
        </xdr:cNvPr>
        <xdr:cNvSpPr>
          <a:spLocks noChangeShapeType="1"/>
        </xdr:cNvSpPr>
      </xdr:nvSpPr>
      <xdr:spPr bwMode="auto">
        <a:xfrm flipH="1">
          <a:off x="10144125" y="33327975"/>
          <a:ext cx="1238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612775</xdr:colOff>
      <xdr:row>171</xdr:row>
      <xdr:rowOff>79375</xdr:rowOff>
    </xdr:from>
    <xdr:to>
      <xdr:col>13</xdr:col>
      <xdr:colOff>612775</xdr:colOff>
      <xdr:row>171</xdr:row>
      <xdr:rowOff>155575</xdr:rowOff>
    </xdr:to>
    <xdr:sp macro="" textlink="">
      <xdr:nvSpPr>
        <xdr:cNvPr id="1527" name="Line 23462">
          <a:extLst>
            <a:ext uri="{FF2B5EF4-FFF2-40B4-BE49-F238E27FC236}">
              <a16:creationId xmlns:a16="http://schemas.microsoft.com/office/drawing/2014/main" id="{00000000-0008-0000-0000-0000F7050000}"/>
            </a:ext>
          </a:extLst>
        </xdr:cNvPr>
        <xdr:cNvSpPr>
          <a:spLocks noChangeShapeType="1"/>
        </xdr:cNvSpPr>
      </xdr:nvSpPr>
      <xdr:spPr bwMode="auto">
        <a:xfrm>
          <a:off x="8766175" y="3243580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635000</xdr:colOff>
      <xdr:row>171</xdr:row>
      <xdr:rowOff>73025</xdr:rowOff>
    </xdr:from>
    <xdr:to>
      <xdr:col>13</xdr:col>
      <xdr:colOff>635000</xdr:colOff>
      <xdr:row>171</xdr:row>
      <xdr:rowOff>149225</xdr:rowOff>
    </xdr:to>
    <xdr:sp macro="" textlink="">
      <xdr:nvSpPr>
        <xdr:cNvPr id="1528" name="Line 23463">
          <a:extLst>
            <a:ext uri="{FF2B5EF4-FFF2-40B4-BE49-F238E27FC236}">
              <a16:creationId xmlns:a16="http://schemas.microsoft.com/office/drawing/2014/main" id="{00000000-0008-0000-0000-0000F8050000}"/>
            </a:ext>
          </a:extLst>
        </xdr:cNvPr>
        <xdr:cNvSpPr>
          <a:spLocks noChangeShapeType="1"/>
        </xdr:cNvSpPr>
      </xdr:nvSpPr>
      <xdr:spPr bwMode="auto">
        <a:xfrm>
          <a:off x="8788400" y="324294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590550</xdr:colOff>
      <xdr:row>171</xdr:row>
      <xdr:rowOff>107950</xdr:rowOff>
    </xdr:from>
    <xdr:to>
      <xdr:col>13</xdr:col>
      <xdr:colOff>879475</xdr:colOff>
      <xdr:row>171</xdr:row>
      <xdr:rowOff>107950</xdr:rowOff>
    </xdr:to>
    <xdr:sp macro="" textlink="">
      <xdr:nvSpPr>
        <xdr:cNvPr id="1529" name="Line 23464">
          <a:extLst>
            <a:ext uri="{FF2B5EF4-FFF2-40B4-BE49-F238E27FC236}">
              <a16:creationId xmlns:a16="http://schemas.microsoft.com/office/drawing/2014/main" id="{00000000-0008-0000-0000-0000F9050000}"/>
            </a:ext>
          </a:extLst>
        </xdr:cNvPr>
        <xdr:cNvSpPr>
          <a:spLocks noChangeShapeType="1"/>
        </xdr:cNvSpPr>
      </xdr:nvSpPr>
      <xdr:spPr bwMode="auto">
        <a:xfrm>
          <a:off x="8743950" y="32464375"/>
          <a:ext cx="288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609600</xdr:colOff>
      <xdr:row>171</xdr:row>
      <xdr:rowOff>85725</xdr:rowOff>
    </xdr:from>
    <xdr:to>
      <xdr:col>13</xdr:col>
      <xdr:colOff>666750</xdr:colOff>
      <xdr:row>171</xdr:row>
      <xdr:rowOff>142875</xdr:rowOff>
    </xdr:to>
    <xdr:sp macro="" textlink="">
      <xdr:nvSpPr>
        <xdr:cNvPr id="1530" name="Line 23465">
          <a:extLst>
            <a:ext uri="{FF2B5EF4-FFF2-40B4-BE49-F238E27FC236}">
              <a16:creationId xmlns:a16="http://schemas.microsoft.com/office/drawing/2014/main" id="{00000000-0008-0000-0000-0000FA050000}"/>
            </a:ext>
          </a:extLst>
        </xdr:cNvPr>
        <xdr:cNvSpPr>
          <a:spLocks noChangeShapeType="1"/>
        </xdr:cNvSpPr>
      </xdr:nvSpPr>
      <xdr:spPr bwMode="auto">
        <a:xfrm flipH="1">
          <a:off x="8763000"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581025</xdr:colOff>
      <xdr:row>171</xdr:row>
      <xdr:rowOff>85725</xdr:rowOff>
    </xdr:from>
    <xdr:to>
      <xdr:col>13</xdr:col>
      <xdr:colOff>638175</xdr:colOff>
      <xdr:row>171</xdr:row>
      <xdr:rowOff>142875</xdr:rowOff>
    </xdr:to>
    <xdr:sp macro="" textlink="">
      <xdr:nvSpPr>
        <xdr:cNvPr id="1531" name="Line 23466">
          <a:extLst>
            <a:ext uri="{FF2B5EF4-FFF2-40B4-BE49-F238E27FC236}">
              <a16:creationId xmlns:a16="http://schemas.microsoft.com/office/drawing/2014/main" id="{00000000-0008-0000-0000-0000FB050000}"/>
            </a:ext>
          </a:extLst>
        </xdr:cNvPr>
        <xdr:cNvSpPr>
          <a:spLocks noChangeShapeType="1"/>
        </xdr:cNvSpPr>
      </xdr:nvSpPr>
      <xdr:spPr bwMode="auto">
        <a:xfrm flipH="1">
          <a:off x="8734425"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590550</xdr:colOff>
      <xdr:row>168</xdr:row>
      <xdr:rowOff>152400</xdr:rowOff>
    </xdr:from>
    <xdr:to>
      <xdr:col>14</xdr:col>
      <xdr:colOff>714375</xdr:colOff>
      <xdr:row>168</xdr:row>
      <xdr:rowOff>152400</xdr:rowOff>
    </xdr:to>
    <xdr:sp macro="" textlink="">
      <xdr:nvSpPr>
        <xdr:cNvPr id="1534" name="Line 23469">
          <a:extLst>
            <a:ext uri="{FF2B5EF4-FFF2-40B4-BE49-F238E27FC236}">
              <a16:creationId xmlns:a16="http://schemas.microsoft.com/office/drawing/2014/main" id="{00000000-0008-0000-0000-0000FE050000}"/>
            </a:ext>
          </a:extLst>
        </xdr:cNvPr>
        <xdr:cNvSpPr>
          <a:spLocks noChangeShapeType="1"/>
        </xdr:cNvSpPr>
      </xdr:nvSpPr>
      <xdr:spPr bwMode="auto">
        <a:xfrm>
          <a:off x="9753600" y="32642175"/>
          <a:ext cx="123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728661</xdr:colOff>
      <xdr:row>168</xdr:row>
      <xdr:rowOff>152399</xdr:rowOff>
    </xdr:from>
    <xdr:to>
      <xdr:col>15</xdr:col>
      <xdr:colOff>238124</xdr:colOff>
      <xdr:row>169</xdr:row>
      <xdr:rowOff>61913</xdr:rowOff>
    </xdr:to>
    <xdr:sp macro="" textlink="">
      <xdr:nvSpPr>
        <xdr:cNvPr id="1535" name="Line 23470">
          <a:extLst>
            <a:ext uri="{FF2B5EF4-FFF2-40B4-BE49-F238E27FC236}">
              <a16:creationId xmlns:a16="http://schemas.microsoft.com/office/drawing/2014/main" id="{00000000-0008-0000-0000-0000FF050000}"/>
            </a:ext>
          </a:extLst>
        </xdr:cNvPr>
        <xdr:cNvSpPr>
          <a:spLocks noChangeShapeType="1"/>
        </xdr:cNvSpPr>
      </xdr:nvSpPr>
      <xdr:spPr bwMode="auto">
        <a:xfrm flipH="1" flipV="1">
          <a:off x="10063161" y="31937324"/>
          <a:ext cx="347663" cy="10001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457200</xdr:colOff>
      <xdr:row>168</xdr:row>
      <xdr:rowOff>85725</xdr:rowOff>
    </xdr:from>
    <xdr:to>
      <xdr:col>17</xdr:col>
      <xdr:colOff>742950</xdr:colOff>
      <xdr:row>168</xdr:row>
      <xdr:rowOff>85725</xdr:rowOff>
    </xdr:to>
    <xdr:sp macro="" textlink="">
      <xdr:nvSpPr>
        <xdr:cNvPr id="1537" name="Line 23472">
          <a:extLst>
            <a:ext uri="{FF2B5EF4-FFF2-40B4-BE49-F238E27FC236}">
              <a16:creationId xmlns:a16="http://schemas.microsoft.com/office/drawing/2014/main" id="{00000000-0008-0000-0000-000001060000}"/>
            </a:ext>
          </a:extLst>
        </xdr:cNvPr>
        <xdr:cNvSpPr>
          <a:spLocks noChangeShapeType="1"/>
        </xdr:cNvSpPr>
      </xdr:nvSpPr>
      <xdr:spPr bwMode="auto">
        <a:xfrm>
          <a:off x="11296650" y="32575500"/>
          <a:ext cx="11239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666750</xdr:colOff>
      <xdr:row>168</xdr:row>
      <xdr:rowOff>9525</xdr:rowOff>
    </xdr:from>
    <xdr:to>
      <xdr:col>16</xdr:col>
      <xdr:colOff>704850</xdr:colOff>
      <xdr:row>168</xdr:row>
      <xdr:rowOff>47625</xdr:rowOff>
    </xdr:to>
    <xdr:sp macro="" textlink="">
      <xdr:nvSpPr>
        <xdr:cNvPr id="1538" name="Oval 97100">
          <a:extLst>
            <a:ext uri="{FF2B5EF4-FFF2-40B4-BE49-F238E27FC236}">
              <a16:creationId xmlns:a16="http://schemas.microsoft.com/office/drawing/2014/main" id="{00000000-0008-0000-0000-000002060000}"/>
            </a:ext>
          </a:extLst>
        </xdr:cNvPr>
        <xdr:cNvSpPr>
          <a:spLocks noChangeArrowheads="1"/>
        </xdr:cNvSpPr>
      </xdr:nvSpPr>
      <xdr:spPr bwMode="auto">
        <a:xfrm>
          <a:off x="11506200" y="324993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428625</xdr:colOff>
      <xdr:row>168</xdr:row>
      <xdr:rowOff>9525</xdr:rowOff>
    </xdr:from>
    <xdr:to>
      <xdr:col>17</xdr:col>
      <xdr:colOff>466725</xdr:colOff>
      <xdr:row>168</xdr:row>
      <xdr:rowOff>47625</xdr:rowOff>
    </xdr:to>
    <xdr:sp macro="" textlink="">
      <xdr:nvSpPr>
        <xdr:cNvPr id="1539" name="Oval 97100">
          <a:extLst>
            <a:ext uri="{FF2B5EF4-FFF2-40B4-BE49-F238E27FC236}">
              <a16:creationId xmlns:a16="http://schemas.microsoft.com/office/drawing/2014/main" id="{00000000-0008-0000-0000-000003060000}"/>
            </a:ext>
          </a:extLst>
        </xdr:cNvPr>
        <xdr:cNvSpPr>
          <a:spLocks noChangeArrowheads="1"/>
        </xdr:cNvSpPr>
      </xdr:nvSpPr>
      <xdr:spPr bwMode="auto">
        <a:xfrm>
          <a:off x="12106275" y="324993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390525</xdr:colOff>
      <xdr:row>168</xdr:row>
      <xdr:rowOff>152400</xdr:rowOff>
    </xdr:from>
    <xdr:to>
      <xdr:col>17</xdr:col>
      <xdr:colOff>552450</xdr:colOff>
      <xdr:row>170</xdr:row>
      <xdr:rowOff>133350</xdr:rowOff>
    </xdr:to>
    <xdr:sp macro="" textlink="">
      <xdr:nvSpPr>
        <xdr:cNvPr id="1540" name="Freeform 23475">
          <a:extLst>
            <a:ext uri="{FF2B5EF4-FFF2-40B4-BE49-F238E27FC236}">
              <a16:creationId xmlns:a16="http://schemas.microsoft.com/office/drawing/2014/main" id="{00000000-0008-0000-0000-000004060000}"/>
            </a:ext>
          </a:extLst>
        </xdr:cNvPr>
        <xdr:cNvSpPr>
          <a:spLocks/>
        </xdr:cNvSpPr>
      </xdr:nvSpPr>
      <xdr:spPr bwMode="auto">
        <a:xfrm>
          <a:off x="11229975" y="32642175"/>
          <a:ext cx="1000125" cy="361950"/>
        </a:xfrm>
        <a:custGeom>
          <a:avLst/>
          <a:gdLst>
            <a:gd name="T0" fmla="*/ 1000125 w 134"/>
            <a:gd name="T1" fmla="*/ 0 h 76"/>
            <a:gd name="T2" fmla="*/ 29854 w 134"/>
            <a:gd name="T3" fmla="*/ 0 h 76"/>
            <a:gd name="T4" fmla="*/ 0 w 134"/>
            <a:gd name="T5" fmla="*/ 19050 h 76"/>
            <a:gd name="T6" fmla="*/ 0 w 134"/>
            <a:gd name="T7" fmla="*/ 361950 h 7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409575</xdr:colOff>
      <xdr:row>168</xdr:row>
      <xdr:rowOff>180975</xdr:rowOff>
    </xdr:from>
    <xdr:to>
      <xdr:col>16</xdr:col>
      <xdr:colOff>466725</xdr:colOff>
      <xdr:row>169</xdr:row>
      <xdr:rowOff>47625</xdr:rowOff>
    </xdr:to>
    <xdr:sp macro="" textlink="">
      <xdr:nvSpPr>
        <xdr:cNvPr id="1541" name="Oval 23476">
          <a:extLst>
            <a:ext uri="{FF2B5EF4-FFF2-40B4-BE49-F238E27FC236}">
              <a16:creationId xmlns:a16="http://schemas.microsoft.com/office/drawing/2014/main" id="{00000000-0008-0000-0000-000005060000}"/>
            </a:ext>
          </a:extLst>
        </xdr:cNvPr>
        <xdr:cNvSpPr>
          <a:spLocks noChangeArrowheads="1"/>
        </xdr:cNvSpPr>
      </xdr:nvSpPr>
      <xdr:spPr bwMode="auto">
        <a:xfrm>
          <a:off x="11249025" y="326707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771523</xdr:colOff>
      <xdr:row>167</xdr:row>
      <xdr:rowOff>128587</xdr:rowOff>
    </xdr:from>
    <xdr:to>
      <xdr:col>18</xdr:col>
      <xdr:colOff>104774</xdr:colOff>
      <xdr:row>167</xdr:row>
      <xdr:rowOff>128587</xdr:rowOff>
    </xdr:to>
    <xdr:sp macro="" textlink="">
      <xdr:nvSpPr>
        <xdr:cNvPr id="1542" name="Line 23477">
          <a:extLst>
            <a:ext uri="{FF2B5EF4-FFF2-40B4-BE49-F238E27FC236}">
              <a16:creationId xmlns:a16="http://schemas.microsoft.com/office/drawing/2014/main" id="{00000000-0008-0000-0000-000006060000}"/>
            </a:ext>
          </a:extLst>
        </xdr:cNvPr>
        <xdr:cNvSpPr>
          <a:spLocks noChangeShapeType="1"/>
        </xdr:cNvSpPr>
      </xdr:nvSpPr>
      <xdr:spPr bwMode="auto">
        <a:xfrm flipH="1">
          <a:off x="11782423" y="31723012"/>
          <a:ext cx="1009651"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168</xdr:row>
      <xdr:rowOff>152400</xdr:rowOff>
    </xdr:from>
    <xdr:to>
      <xdr:col>16</xdr:col>
      <xdr:colOff>438150</xdr:colOff>
      <xdr:row>169</xdr:row>
      <xdr:rowOff>28575</xdr:rowOff>
    </xdr:to>
    <xdr:sp macro="" textlink="">
      <xdr:nvSpPr>
        <xdr:cNvPr id="1543" name="Line 23478">
          <a:extLst>
            <a:ext uri="{FF2B5EF4-FFF2-40B4-BE49-F238E27FC236}">
              <a16:creationId xmlns:a16="http://schemas.microsoft.com/office/drawing/2014/main" id="{00000000-0008-0000-0000-000007060000}"/>
            </a:ext>
          </a:extLst>
        </xdr:cNvPr>
        <xdr:cNvSpPr>
          <a:spLocks noChangeShapeType="1"/>
        </xdr:cNvSpPr>
      </xdr:nvSpPr>
      <xdr:spPr bwMode="auto">
        <a:xfrm>
          <a:off x="11106150" y="32642175"/>
          <a:ext cx="17145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57150</xdr:rowOff>
    </xdr:from>
    <xdr:to>
      <xdr:col>18</xdr:col>
      <xdr:colOff>123825</xdr:colOff>
      <xdr:row>168</xdr:row>
      <xdr:rowOff>57150</xdr:rowOff>
    </xdr:to>
    <xdr:sp macro="" textlink="">
      <xdr:nvSpPr>
        <xdr:cNvPr id="1545" name="Line 23480">
          <a:extLst>
            <a:ext uri="{FF2B5EF4-FFF2-40B4-BE49-F238E27FC236}">
              <a16:creationId xmlns:a16="http://schemas.microsoft.com/office/drawing/2014/main" id="{00000000-0008-0000-0000-000009060000}"/>
            </a:ext>
          </a:extLst>
        </xdr:cNvPr>
        <xdr:cNvSpPr>
          <a:spLocks noChangeShapeType="1"/>
        </xdr:cNvSpPr>
      </xdr:nvSpPr>
      <xdr:spPr bwMode="auto">
        <a:xfrm>
          <a:off x="12458700" y="32546925"/>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9525</xdr:rowOff>
    </xdr:from>
    <xdr:to>
      <xdr:col>18</xdr:col>
      <xdr:colOff>133350</xdr:colOff>
      <xdr:row>168</xdr:row>
      <xdr:rowOff>9525</xdr:rowOff>
    </xdr:to>
    <xdr:sp macro="" textlink="">
      <xdr:nvSpPr>
        <xdr:cNvPr id="1546" name="Line 23481">
          <a:extLst>
            <a:ext uri="{FF2B5EF4-FFF2-40B4-BE49-F238E27FC236}">
              <a16:creationId xmlns:a16="http://schemas.microsoft.com/office/drawing/2014/main" id="{00000000-0008-0000-0000-00000A060000}"/>
            </a:ext>
          </a:extLst>
        </xdr:cNvPr>
        <xdr:cNvSpPr>
          <a:spLocks noChangeShapeType="1"/>
        </xdr:cNvSpPr>
      </xdr:nvSpPr>
      <xdr:spPr bwMode="auto">
        <a:xfrm>
          <a:off x="12458700" y="3249930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819150</xdr:colOff>
      <xdr:row>168</xdr:row>
      <xdr:rowOff>28575</xdr:rowOff>
    </xdr:from>
    <xdr:to>
      <xdr:col>17</xdr:col>
      <xdr:colOff>819150</xdr:colOff>
      <xdr:row>172</xdr:row>
      <xdr:rowOff>133350</xdr:rowOff>
    </xdr:to>
    <xdr:sp macro="" textlink="">
      <xdr:nvSpPr>
        <xdr:cNvPr id="1547" name="Line 23482">
          <a:extLst>
            <a:ext uri="{FF2B5EF4-FFF2-40B4-BE49-F238E27FC236}">
              <a16:creationId xmlns:a16="http://schemas.microsoft.com/office/drawing/2014/main" id="{00000000-0008-0000-0000-00000B060000}"/>
            </a:ext>
          </a:extLst>
        </xdr:cNvPr>
        <xdr:cNvSpPr>
          <a:spLocks noChangeShapeType="1"/>
        </xdr:cNvSpPr>
      </xdr:nvSpPr>
      <xdr:spPr bwMode="auto">
        <a:xfrm>
          <a:off x="12496800" y="3251835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114300</xdr:rowOff>
    </xdr:from>
    <xdr:to>
      <xdr:col>18</xdr:col>
      <xdr:colOff>9525</xdr:colOff>
      <xdr:row>168</xdr:row>
      <xdr:rowOff>171450</xdr:rowOff>
    </xdr:to>
    <xdr:sp macro="" textlink="">
      <xdr:nvSpPr>
        <xdr:cNvPr id="1548" name="Line 23483">
          <a:extLst>
            <a:ext uri="{FF2B5EF4-FFF2-40B4-BE49-F238E27FC236}">
              <a16:creationId xmlns:a16="http://schemas.microsoft.com/office/drawing/2014/main" id="{00000000-0008-0000-0000-00000C060000}"/>
            </a:ext>
          </a:extLst>
        </xdr:cNvPr>
        <xdr:cNvSpPr>
          <a:spLocks noChangeShapeType="1"/>
        </xdr:cNvSpPr>
      </xdr:nvSpPr>
      <xdr:spPr bwMode="auto">
        <a:xfrm flipH="1">
          <a:off x="12458700" y="3260407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76200</xdr:rowOff>
    </xdr:from>
    <xdr:to>
      <xdr:col>17</xdr:col>
      <xdr:colOff>28575</xdr:colOff>
      <xdr:row>169</xdr:row>
      <xdr:rowOff>76200</xdr:rowOff>
    </xdr:to>
    <xdr:sp macro="" textlink="">
      <xdr:nvSpPr>
        <xdr:cNvPr id="1549" name="Line 23484">
          <a:extLst>
            <a:ext uri="{FF2B5EF4-FFF2-40B4-BE49-F238E27FC236}">
              <a16:creationId xmlns:a16="http://schemas.microsoft.com/office/drawing/2014/main" id="{00000000-0008-0000-0000-00000D060000}"/>
            </a:ext>
          </a:extLst>
        </xdr:cNvPr>
        <xdr:cNvSpPr>
          <a:spLocks noChangeShapeType="1"/>
        </xdr:cNvSpPr>
      </xdr:nvSpPr>
      <xdr:spPr bwMode="auto">
        <a:xfrm>
          <a:off x="11363325" y="32756475"/>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804862</xdr:colOff>
      <xdr:row>166</xdr:row>
      <xdr:rowOff>171451</xdr:rowOff>
    </xdr:from>
    <xdr:to>
      <xdr:col>16</xdr:col>
      <xdr:colOff>804862</xdr:colOff>
      <xdr:row>169</xdr:row>
      <xdr:rowOff>119063</xdr:rowOff>
    </xdr:to>
    <xdr:sp macro="" textlink="">
      <xdr:nvSpPr>
        <xdr:cNvPr id="1550" name="Line 23485">
          <a:extLst>
            <a:ext uri="{FF2B5EF4-FFF2-40B4-BE49-F238E27FC236}">
              <a16:creationId xmlns:a16="http://schemas.microsoft.com/office/drawing/2014/main" id="{00000000-0008-0000-0000-00000E060000}"/>
            </a:ext>
          </a:extLst>
        </xdr:cNvPr>
        <xdr:cNvSpPr>
          <a:spLocks noChangeShapeType="1"/>
        </xdr:cNvSpPr>
      </xdr:nvSpPr>
      <xdr:spPr bwMode="auto">
        <a:xfrm>
          <a:off x="11815762" y="31575376"/>
          <a:ext cx="0" cy="51911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173</xdr:row>
      <xdr:rowOff>66675</xdr:rowOff>
    </xdr:from>
    <xdr:to>
      <xdr:col>17</xdr:col>
      <xdr:colOff>742950</xdr:colOff>
      <xdr:row>173</xdr:row>
      <xdr:rowOff>66675</xdr:rowOff>
    </xdr:to>
    <xdr:sp macro="" textlink="">
      <xdr:nvSpPr>
        <xdr:cNvPr id="1553" name="Line 23488">
          <a:extLst>
            <a:ext uri="{FF2B5EF4-FFF2-40B4-BE49-F238E27FC236}">
              <a16:creationId xmlns:a16="http://schemas.microsoft.com/office/drawing/2014/main" id="{00000000-0008-0000-0000-000011060000}"/>
            </a:ext>
          </a:extLst>
        </xdr:cNvPr>
        <xdr:cNvSpPr>
          <a:spLocks noChangeShapeType="1"/>
        </xdr:cNvSpPr>
      </xdr:nvSpPr>
      <xdr:spPr bwMode="auto">
        <a:xfrm>
          <a:off x="11106150" y="33470850"/>
          <a:ext cx="1314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476250</xdr:colOff>
      <xdr:row>172</xdr:row>
      <xdr:rowOff>114300</xdr:rowOff>
    </xdr:from>
    <xdr:to>
      <xdr:col>17</xdr:col>
      <xdr:colOff>733425</xdr:colOff>
      <xdr:row>172</xdr:row>
      <xdr:rowOff>114300</xdr:rowOff>
    </xdr:to>
    <xdr:sp macro="" textlink="">
      <xdr:nvSpPr>
        <xdr:cNvPr id="1554" name="Line 23489">
          <a:extLst>
            <a:ext uri="{FF2B5EF4-FFF2-40B4-BE49-F238E27FC236}">
              <a16:creationId xmlns:a16="http://schemas.microsoft.com/office/drawing/2014/main" id="{00000000-0008-0000-0000-000012060000}"/>
            </a:ext>
          </a:extLst>
        </xdr:cNvPr>
        <xdr:cNvSpPr>
          <a:spLocks noChangeShapeType="1"/>
        </xdr:cNvSpPr>
      </xdr:nvSpPr>
      <xdr:spPr bwMode="auto">
        <a:xfrm>
          <a:off x="11315700" y="33327975"/>
          <a:ext cx="109537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676275</xdr:colOff>
      <xdr:row>172</xdr:row>
      <xdr:rowOff>142875</xdr:rowOff>
    </xdr:from>
    <xdr:to>
      <xdr:col>16</xdr:col>
      <xdr:colOff>714375</xdr:colOff>
      <xdr:row>172</xdr:row>
      <xdr:rowOff>180975</xdr:rowOff>
    </xdr:to>
    <xdr:sp macro="" textlink="">
      <xdr:nvSpPr>
        <xdr:cNvPr id="1555" name="Oval 97100">
          <a:extLst>
            <a:ext uri="{FF2B5EF4-FFF2-40B4-BE49-F238E27FC236}">
              <a16:creationId xmlns:a16="http://schemas.microsoft.com/office/drawing/2014/main" id="{00000000-0008-0000-0000-000013060000}"/>
            </a:ext>
          </a:extLst>
        </xdr:cNvPr>
        <xdr:cNvSpPr>
          <a:spLocks noChangeArrowheads="1"/>
        </xdr:cNvSpPr>
      </xdr:nvSpPr>
      <xdr:spPr bwMode="auto">
        <a:xfrm>
          <a:off x="11515725" y="333565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419100</xdr:colOff>
      <xdr:row>172</xdr:row>
      <xdr:rowOff>142875</xdr:rowOff>
    </xdr:from>
    <xdr:to>
      <xdr:col>17</xdr:col>
      <xdr:colOff>457200</xdr:colOff>
      <xdr:row>172</xdr:row>
      <xdr:rowOff>180975</xdr:rowOff>
    </xdr:to>
    <xdr:sp macro="" textlink="">
      <xdr:nvSpPr>
        <xdr:cNvPr id="1556" name="Oval 97100">
          <a:extLst>
            <a:ext uri="{FF2B5EF4-FFF2-40B4-BE49-F238E27FC236}">
              <a16:creationId xmlns:a16="http://schemas.microsoft.com/office/drawing/2014/main" id="{00000000-0008-0000-0000-000014060000}"/>
            </a:ext>
          </a:extLst>
        </xdr:cNvPr>
        <xdr:cNvSpPr>
          <a:spLocks noChangeArrowheads="1"/>
        </xdr:cNvSpPr>
      </xdr:nvSpPr>
      <xdr:spPr bwMode="auto">
        <a:xfrm>
          <a:off x="12096750" y="333565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400050</xdr:colOff>
      <xdr:row>171</xdr:row>
      <xdr:rowOff>85725</xdr:rowOff>
    </xdr:from>
    <xdr:to>
      <xdr:col>17</xdr:col>
      <xdr:colOff>571500</xdr:colOff>
      <xdr:row>172</xdr:row>
      <xdr:rowOff>114300</xdr:rowOff>
    </xdr:to>
    <xdr:sp macro="" textlink="">
      <xdr:nvSpPr>
        <xdr:cNvPr id="1557" name="Freeform 23492">
          <a:extLst>
            <a:ext uri="{FF2B5EF4-FFF2-40B4-BE49-F238E27FC236}">
              <a16:creationId xmlns:a16="http://schemas.microsoft.com/office/drawing/2014/main" id="{00000000-0008-0000-0000-000015060000}"/>
            </a:ext>
          </a:extLst>
        </xdr:cNvPr>
        <xdr:cNvSpPr>
          <a:spLocks/>
        </xdr:cNvSpPr>
      </xdr:nvSpPr>
      <xdr:spPr bwMode="auto">
        <a:xfrm>
          <a:off x="11239500" y="33127950"/>
          <a:ext cx="1009650" cy="200025"/>
        </a:xfrm>
        <a:custGeom>
          <a:avLst/>
          <a:gdLst>
            <a:gd name="T0" fmla="*/ 0 w 133"/>
            <a:gd name="T1" fmla="*/ 0 h 18"/>
            <a:gd name="T2" fmla="*/ 0 w 133"/>
            <a:gd name="T3" fmla="*/ 166688 h 18"/>
            <a:gd name="T4" fmla="*/ 15183 w 133"/>
            <a:gd name="T5" fmla="*/ 200025 h 18"/>
            <a:gd name="T6" fmla="*/ 1009650 w 133"/>
            <a:gd name="T7" fmla="*/ 200025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428625</xdr:colOff>
      <xdr:row>172</xdr:row>
      <xdr:rowOff>47625</xdr:rowOff>
    </xdr:from>
    <xdr:to>
      <xdr:col>16</xdr:col>
      <xdr:colOff>466725</xdr:colOff>
      <xdr:row>172</xdr:row>
      <xdr:rowOff>85725</xdr:rowOff>
    </xdr:to>
    <xdr:sp macro="" textlink="">
      <xdr:nvSpPr>
        <xdr:cNvPr id="1558" name="Oval 97100">
          <a:extLst>
            <a:ext uri="{FF2B5EF4-FFF2-40B4-BE49-F238E27FC236}">
              <a16:creationId xmlns:a16="http://schemas.microsoft.com/office/drawing/2014/main" id="{00000000-0008-0000-0000-000016060000}"/>
            </a:ext>
          </a:extLst>
        </xdr:cNvPr>
        <xdr:cNvSpPr>
          <a:spLocks noChangeArrowheads="1"/>
        </xdr:cNvSpPr>
      </xdr:nvSpPr>
      <xdr:spPr bwMode="auto">
        <a:xfrm>
          <a:off x="11268075" y="332613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771525</xdr:colOff>
      <xdr:row>173</xdr:row>
      <xdr:rowOff>66675</xdr:rowOff>
    </xdr:from>
    <xdr:to>
      <xdr:col>18</xdr:col>
      <xdr:colOff>142875</xdr:colOff>
      <xdr:row>173</xdr:row>
      <xdr:rowOff>66675</xdr:rowOff>
    </xdr:to>
    <xdr:sp macro="" textlink="">
      <xdr:nvSpPr>
        <xdr:cNvPr id="1559" name="Line 23494">
          <a:extLst>
            <a:ext uri="{FF2B5EF4-FFF2-40B4-BE49-F238E27FC236}">
              <a16:creationId xmlns:a16="http://schemas.microsoft.com/office/drawing/2014/main" id="{00000000-0008-0000-0000-000017060000}"/>
            </a:ext>
          </a:extLst>
        </xdr:cNvPr>
        <xdr:cNvSpPr>
          <a:spLocks noChangeShapeType="1"/>
        </xdr:cNvSpPr>
      </xdr:nvSpPr>
      <xdr:spPr bwMode="auto">
        <a:xfrm>
          <a:off x="12449175" y="33470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172</xdr:row>
      <xdr:rowOff>180975</xdr:rowOff>
    </xdr:from>
    <xdr:to>
      <xdr:col>18</xdr:col>
      <xdr:colOff>142875</xdr:colOff>
      <xdr:row>172</xdr:row>
      <xdr:rowOff>180975</xdr:rowOff>
    </xdr:to>
    <xdr:sp macro="" textlink="">
      <xdr:nvSpPr>
        <xdr:cNvPr id="1560" name="Line 23495">
          <a:extLst>
            <a:ext uri="{FF2B5EF4-FFF2-40B4-BE49-F238E27FC236}">
              <a16:creationId xmlns:a16="http://schemas.microsoft.com/office/drawing/2014/main" id="{00000000-0008-0000-0000-000018060000}"/>
            </a:ext>
          </a:extLst>
        </xdr:cNvPr>
        <xdr:cNvSpPr>
          <a:spLocks noChangeShapeType="1"/>
        </xdr:cNvSpPr>
      </xdr:nvSpPr>
      <xdr:spPr bwMode="auto">
        <a:xfrm>
          <a:off x="12277725" y="3339465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752475</xdr:colOff>
      <xdr:row>172</xdr:row>
      <xdr:rowOff>123825</xdr:rowOff>
    </xdr:from>
    <xdr:to>
      <xdr:col>18</xdr:col>
      <xdr:colOff>133350</xdr:colOff>
      <xdr:row>172</xdr:row>
      <xdr:rowOff>123825</xdr:rowOff>
    </xdr:to>
    <xdr:sp macro="" textlink="">
      <xdr:nvSpPr>
        <xdr:cNvPr id="1561" name="Line 23496">
          <a:extLst>
            <a:ext uri="{FF2B5EF4-FFF2-40B4-BE49-F238E27FC236}">
              <a16:creationId xmlns:a16="http://schemas.microsoft.com/office/drawing/2014/main" id="{00000000-0008-0000-0000-000019060000}"/>
            </a:ext>
          </a:extLst>
        </xdr:cNvPr>
        <xdr:cNvSpPr>
          <a:spLocks noChangeShapeType="1"/>
        </xdr:cNvSpPr>
      </xdr:nvSpPr>
      <xdr:spPr bwMode="auto">
        <a:xfrm>
          <a:off x="12430125" y="3333750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209550</xdr:colOff>
      <xdr:row>169</xdr:row>
      <xdr:rowOff>133350</xdr:rowOff>
    </xdr:from>
    <xdr:to>
      <xdr:col>16</xdr:col>
      <xdr:colOff>409575</xdr:colOff>
      <xdr:row>169</xdr:row>
      <xdr:rowOff>152400</xdr:rowOff>
    </xdr:to>
    <xdr:sp macro="" textlink="">
      <xdr:nvSpPr>
        <xdr:cNvPr id="1562" name="Line 23497">
          <a:extLst>
            <a:ext uri="{FF2B5EF4-FFF2-40B4-BE49-F238E27FC236}">
              <a16:creationId xmlns:a16="http://schemas.microsoft.com/office/drawing/2014/main" id="{00000000-0008-0000-0000-00001A060000}"/>
            </a:ext>
          </a:extLst>
        </xdr:cNvPr>
        <xdr:cNvSpPr>
          <a:spLocks noChangeShapeType="1"/>
        </xdr:cNvSpPr>
      </xdr:nvSpPr>
      <xdr:spPr bwMode="auto">
        <a:xfrm>
          <a:off x="11049000" y="32813625"/>
          <a:ext cx="2000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19050</xdr:rowOff>
    </xdr:from>
    <xdr:to>
      <xdr:col>16</xdr:col>
      <xdr:colOff>657225</xdr:colOff>
      <xdr:row>169</xdr:row>
      <xdr:rowOff>152400</xdr:rowOff>
    </xdr:to>
    <xdr:sp macro="" textlink="">
      <xdr:nvSpPr>
        <xdr:cNvPr id="1563" name="Line 23498">
          <a:extLst>
            <a:ext uri="{FF2B5EF4-FFF2-40B4-BE49-F238E27FC236}">
              <a16:creationId xmlns:a16="http://schemas.microsoft.com/office/drawing/2014/main" id="{00000000-0008-0000-0000-00001B060000}"/>
            </a:ext>
          </a:extLst>
        </xdr:cNvPr>
        <xdr:cNvSpPr>
          <a:spLocks noChangeShapeType="1"/>
        </xdr:cNvSpPr>
      </xdr:nvSpPr>
      <xdr:spPr bwMode="auto">
        <a:xfrm>
          <a:off x="11363325" y="32699325"/>
          <a:ext cx="1333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447675</xdr:colOff>
      <xdr:row>169</xdr:row>
      <xdr:rowOff>104775</xdr:rowOff>
    </xdr:from>
    <xdr:to>
      <xdr:col>16</xdr:col>
      <xdr:colOff>561975</xdr:colOff>
      <xdr:row>170</xdr:row>
      <xdr:rowOff>28575</xdr:rowOff>
    </xdr:to>
    <xdr:sp macro="" textlink="">
      <xdr:nvSpPr>
        <xdr:cNvPr id="1564" name="Line 23499">
          <a:extLst>
            <a:ext uri="{FF2B5EF4-FFF2-40B4-BE49-F238E27FC236}">
              <a16:creationId xmlns:a16="http://schemas.microsoft.com/office/drawing/2014/main" id="{00000000-0008-0000-0000-00001C060000}"/>
            </a:ext>
          </a:extLst>
        </xdr:cNvPr>
        <xdr:cNvSpPr>
          <a:spLocks noChangeShapeType="1"/>
        </xdr:cNvSpPr>
      </xdr:nvSpPr>
      <xdr:spPr bwMode="auto">
        <a:xfrm>
          <a:off x="11287125" y="327850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466725</xdr:colOff>
      <xdr:row>169</xdr:row>
      <xdr:rowOff>104775</xdr:rowOff>
    </xdr:from>
    <xdr:to>
      <xdr:col>16</xdr:col>
      <xdr:colOff>647700</xdr:colOff>
      <xdr:row>170</xdr:row>
      <xdr:rowOff>95250</xdr:rowOff>
    </xdr:to>
    <xdr:sp macro="" textlink="">
      <xdr:nvSpPr>
        <xdr:cNvPr id="1565" name="Line 23500">
          <a:extLst>
            <a:ext uri="{FF2B5EF4-FFF2-40B4-BE49-F238E27FC236}">
              <a16:creationId xmlns:a16="http://schemas.microsoft.com/office/drawing/2014/main" id="{00000000-0008-0000-0000-00001D060000}"/>
            </a:ext>
          </a:extLst>
        </xdr:cNvPr>
        <xdr:cNvSpPr>
          <a:spLocks noChangeShapeType="1"/>
        </xdr:cNvSpPr>
      </xdr:nvSpPr>
      <xdr:spPr bwMode="auto">
        <a:xfrm flipH="1">
          <a:off x="11306175" y="32785050"/>
          <a:ext cx="180975"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333375</xdr:colOff>
      <xdr:row>170</xdr:row>
      <xdr:rowOff>95250</xdr:rowOff>
    </xdr:from>
    <xdr:to>
      <xdr:col>16</xdr:col>
      <xdr:colOff>466725</xdr:colOff>
      <xdr:row>170</xdr:row>
      <xdr:rowOff>95250</xdr:rowOff>
    </xdr:to>
    <xdr:sp macro="" textlink="">
      <xdr:nvSpPr>
        <xdr:cNvPr id="1566" name="Line 23501">
          <a:extLst>
            <a:ext uri="{FF2B5EF4-FFF2-40B4-BE49-F238E27FC236}">
              <a16:creationId xmlns:a16="http://schemas.microsoft.com/office/drawing/2014/main" id="{00000000-0008-0000-0000-00001E060000}"/>
            </a:ext>
          </a:extLst>
        </xdr:cNvPr>
        <xdr:cNvSpPr>
          <a:spLocks noChangeShapeType="1"/>
        </xdr:cNvSpPr>
      </xdr:nvSpPr>
      <xdr:spPr bwMode="auto">
        <a:xfrm flipH="1">
          <a:off x="11172825" y="3296602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600075</xdr:colOff>
      <xdr:row>169</xdr:row>
      <xdr:rowOff>123825</xdr:rowOff>
    </xdr:from>
    <xdr:to>
      <xdr:col>16</xdr:col>
      <xdr:colOff>657225</xdr:colOff>
      <xdr:row>169</xdr:row>
      <xdr:rowOff>123825</xdr:rowOff>
    </xdr:to>
    <xdr:sp macro="" textlink="">
      <xdr:nvSpPr>
        <xdr:cNvPr id="1567" name="Line 23502">
          <a:extLst>
            <a:ext uri="{FF2B5EF4-FFF2-40B4-BE49-F238E27FC236}">
              <a16:creationId xmlns:a16="http://schemas.microsoft.com/office/drawing/2014/main" id="{00000000-0008-0000-0000-00001F060000}"/>
            </a:ext>
          </a:extLst>
        </xdr:cNvPr>
        <xdr:cNvSpPr>
          <a:spLocks noChangeShapeType="1"/>
        </xdr:cNvSpPr>
      </xdr:nvSpPr>
      <xdr:spPr bwMode="auto">
        <a:xfrm flipH="1">
          <a:off x="11439525" y="32804100"/>
          <a:ext cx="57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170</xdr:row>
      <xdr:rowOff>9525</xdr:rowOff>
    </xdr:from>
    <xdr:to>
      <xdr:col>16</xdr:col>
      <xdr:colOff>581025</xdr:colOff>
      <xdr:row>170</xdr:row>
      <xdr:rowOff>19050</xdr:rowOff>
    </xdr:to>
    <xdr:sp macro="" textlink="">
      <xdr:nvSpPr>
        <xdr:cNvPr id="1568" name="Line 23503">
          <a:extLst>
            <a:ext uri="{FF2B5EF4-FFF2-40B4-BE49-F238E27FC236}">
              <a16:creationId xmlns:a16="http://schemas.microsoft.com/office/drawing/2014/main" id="{00000000-0008-0000-0000-000020060000}"/>
            </a:ext>
          </a:extLst>
        </xdr:cNvPr>
        <xdr:cNvSpPr>
          <a:spLocks noChangeShapeType="1"/>
        </xdr:cNvSpPr>
      </xdr:nvSpPr>
      <xdr:spPr bwMode="auto">
        <a:xfrm flipH="1" flipV="1">
          <a:off x="11344275" y="32880300"/>
          <a:ext cx="76200" cy="9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170</xdr:row>
      <xdr:rowOff>180975</xdr:rowOff>
    </xdr:from>
    <xdr:to>
      <xdr:col>16</xdr:col>
      <xdr:colOff>381000</xdr:colOff>
      <xdr:row>171</xdr:row>
      <xdr:rowOff>66675</xdr:rowOff>
    </xdr:to>
    <xdr:sp macro="" textlink="">
      <xdr:nvSpPr>
        <xdr:cNvPr id="1569" name="Line 23504">
          <a:extLst>
            <a:ext uri="{FF2B5EF4-FFF2-40B4-BE49-F238E27FC236}">
              <a16:creationId xmlns:a16="http://schemas.microsoft.com/office/drawing/2014/main" id="{00000000-0008-0000-0000-000021060000}"/>
            </a:ext>
          </a:extLst>
        </xdr:cNvPr>
        <xdr:cNvSpPr>
          <a:spLocks noChangeShapeType="1"/>
        </xdr:cNvSpPr>
      </xdr:nvSpPr>
      <xdr:spPr bwMode="auto">
        <a:xfrm>
          <a:off x="11220450" y="33042225"/>
          <a:ext cx="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409575</xdr:colOff>
      <xdr:row>170</xdr:row>
      <xdr:rowOff>180975</xdr:rowOff>
    </xdr:from>
    <xdr:to>
      <xdr:col>16</xdr:col>
      <xdr:colOff>409575</xdr:colOff>
      <xdr:row>171</xdr:row>
      <xdr:rowOff>66675</xdr:rowOff>
    </xdr:to>
    <xdr:sp macro="" textlink="">
      <xdr:nvSpPr>
        <xdr:cNvPr id="1570" name="Line 23505">
          <a:extLst>
            <a:ext uri="{FF2B5EF4-FFF2-40B4-BE49-F238E27FC236}">
              <a16:creationId xmlns:a16="http://schemas.microsoft.com/office/drawing/2014/main" id="{00000000-0008-0000-0000-000022060000}"/>
            </a:ext>
          </a:extLst>
        </xdr:cNvPr>
        <xdr:cNvSpPr>
          <a:spLocks noChangeShapeType="1"/>
        </xdr:cNvSpPr>
      </xdr:nvSpPr>
      <xdr:spPr bwMode="auto">
        <a:xfrm>
          <a:off x="11249025" y="33042225"/>
          <a:ext cx="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361950</xdr:colOff>
      <xdr:row>171</xdr:row>
      <xdr:rowOff>28575</xdr:rowOff>
    </xdr:from>
    <xdr:to>
      <xdr:col>16</xdr:col>
      <xdr:colOff>504825</xdr:colOff>
      <xdr:row>171</xdr:row>
      <xdr:rowOff>28575</xdr:rowOff>
    </xdr:to>
    <xdr:sp macro="" textlink="">
      <xdr:nvSpPr>
        <xdr:cNvPr id="1571" name="Line 23506">
          <a:extLst>
            <a:ext uri="{FF2B5EF4-FFF2-40B4-BE49-F238E27FC236}">
              <a16:creationId xmlns:a16="http://schemas.microsoft.com/office/drawing/2014/main" id="{00000000-0008-0000-0000-000023060000}"/>
            </a:ext>
          </a:extLst>
        </xdr:cNvPr>
        <xdr:cNvSpPr>
          <a:spLocks noChangeShapeType="1"/>
        </xdr:cNvSpPr>
      </xdr:nvSpPr>
      <xdr:spPr bwMode="auto">
        <a:xfrm>
          <a:off x="11201400" y="3307080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171</xdr:row>
      <xdr:rowOff>0</xdr:rowOff>
    </xdr:from>
    <xdr:to>
      <xdr:col>16</xdr:col>
      <xdr:colOff>438150</xdr:colOff>
      <xdr:row>171</xdr:row>
      <xdr:rowOff>57150</xdr:rowOff>
    </xdr:to>
    <xdr:sp macro="" textlink="">
      <xdr:nvSpPr>
        <xdr:cNvPr id="1572" name="Line 23507">
          <a:extLst>
            <a:ext uri="{FF2B5EF4-FFF2-40B4-BE49-F238E27FC236}">
              <a16:creationId xmlns:a16="http://schemas.microsoft.com/office/drawing/2014/main" id="{00000000-0008-0000-0000-000024060000}"/>
            </a:ext>
          </a:extLst>
        </xdr:cNvPr>
        <xdr:cNvSpPr>
          <a:spLocks noChangeShapeType="1"/>
        </xdr:cNvSpPr>
      </xdr:nvSpPr>
      <xdr:spPr bwMode="auto">
        <a:xfrm flipH="1">
          <a:off x="11220450" y="330422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352425</xdr:colOff>
      <xdr:row>171</xdr:row>
      <xdr:rowOff>0</xdr:rowOff>
    </xdr:from>
    <xdr:to>
      <xdr:col>16</xdr:col>
      <xdr:colOff>409575</xdr:colOff>
      <xdr:row>171</xdr:row>
      <xdr:rowOff>57150</xdr:rowOff>
    </xdr:to>
    <xdr:sp macro="" textlink="">
      <xdr:nvSpPr>
        <xdr:cNvPr id="1573" name="Line 23508">
          <a:extLst>
            <a:ext uri="{FF2B5EF4-FFF2-40B4-BE49-F238E27FC236}">
              <a16:creationId xmlns:a16="http://schemas.microsoft.com/office/drawing/2014/main" id="{00000000-0008-0000-0000-000025060000}"/>
            </a:ext>
          </a:extLst>
        </xdr:cNvPr>
        <xdr:cNvSpPr>
          <a:spLocks noChangeShapeType="1"/>
        </xdr:cNvSpPr>
      </xdr:nvSpPr>
      <xdr:spPr bwMode="auto">
        <a:xfrm flipH="1">
          <a:off x="11191875" y="330422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85725</xdr:colOff>
      <xdr:row>167</xdr:row>
      <xdr:rowOff>76201</xdr:rowOff>
    </xdr:from>
    <xdr:to>
      <xdr:col>18</xdr:col>
      <xdr:colOff>85725</xdr:colOff>
      <xdr:row>168</xdr:row>
      <xdr:rowOff>95251</xdr:rowOff>
    </xdr:to>
    <xdr:sp macro="" textlink="">
      <xdr:nvSpPr>
        <xdr:cNvPr id="1574" name="Line 23509">
          <a:extLst>
            <a:ext uri="{FF2B5EF4-FFF2-40B4-BE49-F238E27FC236}">
              <a16:creationId xmlns:a16="http://schemas.microsoft.com/office/drawing/2014/main" id="{00000000-0008-0000-0000-000026060000}"/>
            </a:ext>
          </a:extLst>
        </xdr:cNvPr>
        <xdr:cNvSpPr>
          <a:spLocks noChangeShapeType="1"/>
        </xdr:cNvSpPr>
      </xdr:nvSpPr>
      <xdr:spPr bwMode="auto">
        <a:xfrm>
          <a:off x="12773025" y="31670626"/>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95250</xdr:rowOff>
    </xdr:from>
    <xdr:to>
      <xdr:col>18</xdr:col>
      <xdr:colOff>114300</xdr:colOff>
      <xdr:row>167</xdr:row>
      <xdr:rowOff>152400</xdr:rowOff>
    </xdr:to>
    <xdr:sp macro="" textlink="">
      <xdr:nvSpPr>
        <xdr:cNvPr id="1575" name="Line 23510">
          <a:extLst>
            <a:ext uri="{FF2B5EF4-FFF2-40B4-BE49-F238E27FC236}">
              <a16:creationId xmlns:a16="http://schemas.microsoft.com/office/drawing/2014/main" id="{00000000-0008-0000-0000-000027060000}"/>
            </a:ext>
          </a:extLst>
        </xdr:cNvPr>
        <xdr:cNvSpPr>
          <a:spLocks noChangeShapeType="1"/>
        </xdr:cNvSpPr>
      </xdr:nvSpPr>
      <xdr:spPr bwMode="auto">
        <a:xfrm flipH="1">
          <a:off x="12573000" y="323945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47625</xdr:colOff>
      <xdr:row>168</xdr:row>
      <xdr:rowOff>38100</xdr:rowOff>
    </xdr:from>
    <xdr:to>
      <xdr:col>18</xdr:col>
      <xdr:colOff>104775</xdr:colOff>
      <xdr:row>168</xdr:row>
      <xdr:rowOff>95250</xdr:rowOff>
    </xdr:to>
    <xdr:sp macro="" textlink="">
      <xdr:nvSpPr>
        <xdr:cNvPr id="1576" name="Line 23511">
          <a:extLst>
            <a:ext uri="{FF2B5EF4-FFF2-40B4-BE49-F238E27FC236}">
              <a16:creationId xmlns:a16="http://schemas.microsoft.com/office/drawing/2014/main" id="{00000000-0008-0000-0000-000028060000}"/>
            </a:ext>
          </a:extLst>
        </xdr:cNvPr>
        <xdr:cNvSpPr>
          <a:spLocks noChangeShapeType="1"/>
        </xdr:cNvSpPr>
      </xdr:nvSpPr>
      <xdr:spPr bwMode="auto">
        <a:xfrm flipH="1">
          <a:off x="12563475" y="325278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161925</xdr:rowOff>
    </xdr:from>
    <xdr:to>
      <xdr:col>18</xdr:col>
      <xdr:colOff>114300</xdr:colOff>
      <xdr:row>168</xdr:row>
      <xdr:rowOff>28575</xdr:rowOff>
    </xdr:to>
    <xdr:sp macro="" textlink="">
      <xdr:nvSpPr>
        <xdr:cNvPr id="1577" name="Line 23512">
          <a:extLst>
            <a:ext uri="{FF2B5EF4-FFF2-40B4-BE49-F238E27FC236}">
              <a16:creationId xmlns:a16="http://schemas.microsoft.com/office/drawing/2014/main" id="{00000000-0008-0000-0000-000029060000}"/>
            </a:ext>
          </a:extLst>
        </xdr:cNvPr>
        <xdr:cNvSpPr>
          <a:spLocks noChangeShapeType="1"/>
        </xdr:cNvSpPr>
      </xdr:nvSpPr>
      <xdr:spPr bwMode="auto">
        <a:xfrm flipH="1">
          <a:off x="12573000" y="324612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95250</xdr:rowOff>
    </xdr:from>
    <xdr:to>
      <xdr:col>18</xdr:col>
      <xdr:colOff>104775</xdr:colOff>
      <xdr:row>172</xdr:row>
      <xdr:rowOff>142875</xdr:rowOff>
    </xdr:to>
    <xdr:sp macro="" textlink="">
      <xdr:nvSpPr>
        <xdr:cNvPr id="1578" name="Line 23513">
          <a:extLst>
            <a:ext uri="{FF2B5EF4-FFF2-40B4-BE49-F238E27FC236}">
              <a16:creationId xmlns:a16="http://schemas.microsoft.com/office/drawing/2014/main" id="{00000000-0008-0000-0000-00002A060000}"/>
            </a:ext>
          </a:extLst>
        </xdr:cNvPr>
        <xdr:cNvSpPr>
          <a:spLocks noChangeShapeType="1"/>
        </xdr:cNvSpPr>
      </xdr:nvSpPr>
      <xdr:spPr bwMode="auto">
        <a:xfrm flipH="1">
          <a:off x="12573000" y="333089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152400</xdr:rowOff>
    </xdr:from>
    <xdr:to>
      <xdr:col>18</xdr:col>
      <xdr:colOff>104775</xdr:colOff>
      <xdr:row>173</xdr:row>
      <xdr:rowOff>9525</xdr:rowOff>
    </xdr:to>
    <xdr:sp macro="" textlink="">
      <xdr:nvSpPr>
        <xdr:cNvPr id="1579" name="Line 23514">
          <a:extLst>
            <a:ext uri="{FF2B5EF4-FFF2-40B4-BE49-F238E27FC236}">
              <a16:creationId xmlns:a16="http://schemas.microsoft.com/office/drawing/2014/main" id="{00000000-0008-0000-0000-00002B060000}"/>
            </a:ext>
          </a:extLst>
        </xdr:cNvPr>
        <xdr:cNvSpPr>
          <a:spLocks noChangeShapeType="1"/>
        </xdr:cNvSpPr>
      </xdr:nvSpPr>
      <xdr:spPr bwMode="auto">
        <a:xfrm flipH="1">
          <a:off x="12573000" y="333660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66675</xdr:colOff>
      <xdr:row>173</xdr:row>
      <xdr:rowOff>38100</xdr:rowOff>
    </xdr:from>
    <xdr:to>
      <xdr:col>18</xdr:col>
      <xdr:colOff>114300</xdr:colOff>
      <xdr:row>173</xdr:row>
      <xdr:rowOff>85725</xdr:rowOff>
    </xdr:to>
    <xdr:sp macro="" textlink="">
      <xdr:nvSpPr>
        <xdr:cNvPr id="1580" name="Line 23515">
          <a:extLst>
            <a:ext uri="{FF2B5EF4-FFF2-40B4-BE49-F238E27FC236}">
              <a16:creationId xmlns:a16="http://schemas.microsoft.com/office/drawing/2014/main" id="{00000000-0008-0000-0000-00002C060000}"/>
            </a:ext>
          </a:extLst>
        </xdr:cNvPr>
        <xdr:cNvSpPr>
          <a:spLocks noChangeShapeType="1"/>
        </xdr:cNvSpPr>
      </xdr:nvSpPr>
      <xdr:spPr bwMode="auto">
        <a:xfrm flipH="1">
          <a:off x="12582525" y="334422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173</xdr:row>
      <xdr:rowOff>28575</xdr:rowOff>
    </xdr:from>
    <xdr:to>
      <xdr:col>18</xdr:col>
      <xdr:colOff>247650</xdr:colOff>
      <xdr:row>173</xdr:row>
      <xdr:rowOff>114300</xdr:rowOff>
    </xdr:to>
    <xdr:sp macro="" textlink="">
      <xdr:nvSpPr>
        <xdr:cNvPr id="1581" name="Line 23516">
          <a:extLst>
            <a:ext uri="{FF2B5EF4-FFF2-40B4-BE49-F238E27FC236}">
              <a16:creationId xmlns:a16="http://schemas.microsoft.com/office/drawing/2014/main" id="{00000000-0008-0000-0000-00002D060000}"/>
            </a:ext>
          </a:extLst>
        </xdr:cNvPr>
        <xdr:cNvSpPr>
          <a:spLocks noChangeShapeType="1"/>
        </xdr:cNvSpPr>
      </xdr:nvSpPr>
      <xdr:spPr bwMode="auto">
        <a:xfrm flipH="1" flipV="1">
          <a:off x="12639675" y="33432750"/>
          <a:ext cx="1238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172</xdr:row>
      <xdr:rowOff>123825</xdr:rowOff>
    </xdr:from>
    <xdr:to>
      <xdr:col>18</xdr:col>
      <xdr:colOff>247650</xdr:colOff>
      <xdr:row>172</xdr:row>
      <xdr:rowOff>161925</xdr:rowOff>
    </xdr:to>
    <xdr:sp macro="" textlink="">
      <xdr:nvSpPr>
        <xdr:cNvPr id="1582" name="Line 23517">
          <a:extLst>
            <a:ext uri="{FF2B5EF4-FFF2-40B4-BE49-F238E27FC236}">
              <a16:creationId xmlns:a16="http://schemas.microsoft.com/office/drawing/2014/main" id="{00000000-0008-0000-0000-00002E060000}"/>
            </a:ext>
          </a:extLst>
        </xdr:cNvPr>
        <xdr:cNvSpPr>
          <a:spLocks noChangeShapeType="1"/>
        </xdr:cNvSpPr>
      </xdr:nvSpPr>
      <xdr:spPr bwMode="auto">
        <a:xfrm flipH="1">
          <a:off x="12639675" y="33337500"/>
          <a:ext cx="12382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766762</xdr:colOff>
      <xdr:row>167</xdr:row>
      <xdr:rowOff>80963</xdr:rowOff>
    </xdr:from>
    <xdr:to>
      <xdr:col>17</xdr:col>
      <xdr:colOff>14287</xdr:colOff>
      <xdr:row>167</xdr:row>
      <xdr:rowOff>166688</xdr:rowOff>
    </xdr:to>
    <xdr:sp macro="" textlink="">
      <xdr:nvSpPr>
        <xdr:cNvPr id="1583" name="Line 23518">
          <a:extLst>
            <a:ext uri="{FF2B5EF4-FFF2-40B4-BE49-F238E27FC236}">
              <a16:creationId xmlns:a16="http://schemas.microsoft.com/office/drawing/2014/main" id="{00000000-0008-0000-0000-00002F060000}"/>
            </a:ext>
          </a:extLst>
        </xdr:cNvPr>
        <xdr:cNvSpPr>
          <a:spLocks noChangeShapeType="1"/>
        </xdr:cNvSpPr>
      </xdr:nvSpPr>
      <xdr:spPr bwMode="auto">
        <a:xfrm flipH="1">
          <a:off x="11777662" y="31675388"/>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757237</xdr:colOff>
      <xdr:row>169</xdr:row>
      <xdr:rowOff>23813</xdr:rowOff>
    </xdr:from>
    <xdr:to>
      <xdr:col>17</xdr:col>
      <xdr:colOff>14287</xdr:colOff>
      <xdr:row>169</xdr:row>
      <xdr:rowOff>119063</xdr:rowOff>
    </xdr:to>
    <xdr:sp macro="" textlink="">
      <xdr:nvSpPr>
        <xdr:cNvPr id="1584" name="Line 23519">
          <a:extLst>
            <a:ext uri="{FF2B5EF4-FFF2-40B4-BE49-F238E27FC236}">
              <a16:creationId xmlns:a16="http://schemas.microsoft.com/office/drawing/2014/main" id="{00000000-0008-0000-0000-000030060000}"/>
            </a:ext>
          </a:extLst>
        </xdr:cNvPr>
        <xdr:cNvSpPr>
          <a:spLocks noChangeShapeType="1"/>
        </xdr:cNvSpPr>
      </xdr:nvSpPr>
      <xdr:spPr bwMode="auto">
        <a:xfrm flipH="1">
          <a:off x="11768137" y="31999238"/>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172</xdr:row>
      <xdr:rowOff>95250</xdr:rowOff>
    </xdr:from>
    <xdr:to>
      <xdr:col>18</xdr:col>
      <xdr:colOff>9525</xdr:colOff>
      <xdr:row>172</xdr:row>
      <xdr:rowOff>161925</xdr:rowOff>
    </xdr:to>
    <xdr:sp macro="" textlink="">
      <xdr:nvSpPr>
        <xdr:cNvPr id="1585" name="Line 23520">
          <a:extLst>
            <a:ext uri="{FF2B5EF4-FFF2-40B4-BE49-F238E27FC236}">
              <a16:creationId xmlns:a16="http://schemas.microsoft.com/office/drawing/2014/main" id="{00000000-0008-0000-0000-000031060000}"/>
            </a:ext>
          </a:extLst>
        </xdr:cNvPr>
        <xdr:cNvSpPr>
          <a:spLocks noChangeShapeType="1"/>
        </xdr:cNvSpPr>
      </xdr:nvSpPr>
      <xdr:spPr bwMode="auto">
        <a:xfrm flipH="1">
          <a:off x="12458700" y="333089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168</xdr:row>
      <xdr:rowOff>142875</xdr:rowOff>
    </xdr:from>
    <xdr:to>
      <xdr:col>18</xdr:col>
      <xdr:colOff>28575</xdr:colOff>
      <xdr:row>168</xdr:row>
      <xdr:rowOff>142875</xdr:rowOff>
    </xdr:to>
    <xdr:sp macro="" textlink="">
      <xdr:nvSpPr>
        <xdr:cNvPr id="1586" name="Line 23521">
          <a:extLst>
            <a:ext uri="{FF2B5EF4-FFF2-40B4-BE49-F238E27FC236}">
              <a16:creationId xmlns:a16="http://schemas.microsoft.com/office/drawing/2014/main" id="{00000000-0008-0000-0000-000032060000}"/>
            </a:ext>
          </a:extLst>
        </xdr:cNvPr>
        <xdr:cNvSpPr>
          <a:spLocks noChangeShapeType="1"/>
        </xdr:cNvSpPr>
      </xdr:nvSpPr>
      <xdr:spPr bwMode="auto">
        <a:xfrm>
          <a:off x="12277725" y="3263265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104775</xdr:colOff>
      <xdr:row>166</xdr:row>
      <xdr:rowOff>142875</xdr:rowOff>
    </xdr:from>
    <xdr:to>
      <xdr:col>18</xdr:col>
      <xdr:colOff>257175</xdr:colOff>
      <xdr:row>167</xdr:row>
      <xdr:rowOff>142875</xdr:rowOff>
    </xdr:to>
    <xdr:sp macro="" textlink="">
      <xdr:nvSpPr>
        <xdr:cNvPr id="1589" name="Line 23524">
          <a:extLst>
            <a:ext uri="{FF2B5EF4-FFF2-40B4-BE49-F238E27FC236}">
              <a16:creationId xmlns:a16="http://schemas.microsoft.com/office/drawing/2014/main" id="{00000000-0008-0000-0000-000035060000}"/>
            </a:ext>
          </a:extLst>
        </xdr:cNvPr>
        <xdr:cNvSpPr>
          <a:spLocks noChangeShapeType="1"/>
        </xdr:cNvSpPr>
      </xdr:nvSpPr>
      <xdr:spPr bwMode="auto">
        <a:xfrm flipH="1">
          <a:off x="12620625" y="32242125"/>
          <a:ext cx="1524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114300</xdr:colOff>
      <xdr:row>167</xdr:row>
      <xdr:rowOff>133350</xdr:rowOff>
    </xdr:from>
    <xdr:to>
      <xdr:col>18</xdr:col>
      <xdr:colOff>304800</xdr:colOff>
      <xdr:row>168</xdr:row>
      <xdr:rowOff>38100</xdr:rowOff>
    </xdr:to>
    <xdr:sp macro="" textlink="">
      <xdr:nvSpPr>
        <xdr:cNvPr id="1590" name="Line 23525">
          <a:extLst>
            <a:ext uri="{FF2B5EF4-FFF2-40B4-BE49-F238E27FC236}">
              <a16:creationId xmlns:a16="http://schemas.microsoft.com/office/drawing/2014/main" id="{00000000-0008-0000-0000-000036060000}"/>
            </a:ext>
          </a:extLst>
        </xdr:cNvPr>
        <xdr:cNvSpPr>
          <a:spLocks noChangeShapeType="1"/>
        </xdr:cNvSpPr>
      </xdr:nvSpPr>
      <xdr:spPr bwMode="auto">
        <a:xfrm flipH="1">
          <a:off x="12630150" y="32432625"/>
          <a:ext cx="1905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171</xdr:row>
      <xdr:rowOff>28575</xdr:rowOff>
    </xdr:from>
    <xdr:to>
      <xdr:col>16</xdr:col>
      <xdr:colOff>561975</xdr:colOff>
      <xdr:row>171</xdr:row>
      <xdr:rowOff>57150</xdr:rowOff>
    </xdr:to>
    <xdr:sp macro="" textlink="">
      <xdr:nvSpPr>
        <xdr:cNvPr id="1591" name="Line 23526">
          <a:extLst>
            <a:ext uri="{FF2B5EF4-FFF2-40B4-BE49-F238E27FC236}">
              <a16:creationId xmlns:a16="http://schemas.microsoft.com/office/drawing/2014/main" id="{00000000-0008-0000-0000-000037060000}"/>
            </a:ext>
          </a:extLst>
        </xdr:cNvPr>
        <xdr:cNvSpPr>
          <a:spLocks noChangeShapeType="1"/>
        </xdr:cNvSpPr>
      </xdr:nvSpPr>
      <xdr:spPr bwMode="auto">
        <a:xfrm>
          <a:off x="11344275" y="33070800"/>
          <a:ext cx="57150"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352425</xdr:colOff>
      <xdr:row>165</xdr:row>
      <xdr:rowOff>0</xdr:rowOff>
    </xdr:from>
    <xdr:to>
      <xdr:col>17</xdr:col>
      <xdr:colOff>466725</xdr:colOff>
      <xdr:row>166</xdr:row>
      <xdr:rowOff>19050</xdr:rowOff>
    </xdr:to>
    <xdr:sp macro="" textlink="">
      <xdr:nvSpPr>
        <xdr:cNvPr id="1592" name="Line 23527">
          <a:extLst>
            <a:ext uri="{FF2B5EF4-FFF2-40B4-BE49-F238E27FC236}">
              <a16:creationId xmlns:a16="http://schemas.microsoft.com/office/drawing/2014/main" id="{00000000-0008-0000-0000-000038060000}"/>
            </a:ext>
          </a:extLst>
        </xdr:cNvPr>
        <xdr:cNvSpPr>
          <a:spLocks noChangeShapeType="1"/>
        </xdr:cNvSpPr>
      </xdr:nvSpPr>
      <xdr:spPr bwMode="auto">
        <a:xfrm>
          <a:off x="10353675" y="31899225"/>
          <a:ext cx="179070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19050</xdr:rowOff>
    </xdr:from>
    <xdr:to>
      <xdr:col>18</xdr:col>
      <xdr:colOff>9525</xdr:colOff>
      <xdr:row>168</xdr:row>
      <xdr:rowOff>85725</xdr:rowOff>
    </xdr:to>
    <xdr:sp macro="" textlink="">
      <xdr:nvSpPr>
        <xdr:cNvPr id="1594" name="Line 23529">
          <a:extLst>
            <a:ext uri="{FF2B5EF4-FFF2-40B4-BE49-F238E27FC236}">
              <a16:creationId xmlns:a16="http://schemas.microsoft.com/office/drawing/2014/main" id="{00000000-0008-0000-0000-00003A060000}"/>
            </a:ext>
          </a:extLst>
        </xdr:cNvPr>
        <xdr:cNvSpPr>
          <a:spLocks noChangeShapeType="1"/>
        </xdr:cNvSpPr>
      </xdr:nvSpPr>
      <xdr:spPr bwMode="auto">
        <a:xfrm flipH="1">
          <a:off x="12458700" y="325088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0</xdr:colOff>
      <xdr:row>168</xdr:row>
      <xdr:rowOff>95250</xdr:rowOff>
    </xdr:from>
    <xdr:to>
      <xdr:col>18</xdr:col>
      <xdr:colOff>266700</xdr:colOff>
      <xdr:row>169</xdr:row>
      <xdr:rowOff>57150</xdr:rowOff>
    </xdr:to>
    <xdr:sp macro="" textlink="">
      <xdr:nvSpPr>
        <xdr:cNvPr id="1595" name="Line 23530">
          <a:extLst>
            <a:ext uri="{FF2B5EF4-FFF2-40B4-BE49-F238E27FC236}">
              <a16:creationId xmlns:a16="http://schemas.microsoft.com/office/drawing/2014/main" id="{00000000-0008-0000-0000-00003B060000}"/>
            </a:ext>
          </a:extLst>
        </xdr:cNvPr>
        <xdr:cNvSpPr>
          <a:spLocks noChangeShapeType="1"/>
        </xdr:cNvSpPr>
      </xdr:nvSpPr>
      <xdr:spPr bwMode="auto">
        <a:xfrm flipH="1" flipV="1">
          <a:off x="12515850" y="32585025"/>
          <a:ext cx="26670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47625</xdr:colOff>
      <xdr:row>165</xdr:row>
      <xdr:rowOff>0</xdr:rowOff>
    </xdr:from>
    <xdr:to>
      <xdr:col>15</xdr:col>
      <xdr:colOff>323850</xdr:colOff>
      <xdr:row>165</xdr:row>
      <xdr:rowOff>171450</xdr:rowOff>
    </xdr:to>
    <xdr:sp macro="" textlink="">
      <xdr:nvSpPr>
        <xdr:cNvPr id="1596" name="Line 23532">
          <a:extLst>
            <a:ext uri="{FF2B5EF4-FFF2-40B4-BE49-F238E27FC236}">
              <a16:creationId xmlns:a16="http://schemas.microsoft.com/office/drawing/2014/main" id="{00000000-0008-0000-0000-00003C060000}"/>
            </a:ext>
          </a:extLst>
        </xdr:cNvPr>
        <xdr:cNvSpPr>
          <a:spLocks noChangeShapeType="1"/>
        </xdr:cNvSpPr>
      </xdr:nvSpPr>
      <xdr:spPr bwMode="auto">
        <a:xfrm flipH="1">
          <a:off x="10048875" y="31899225"/>
          <a:ext cx="276225"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208</xdr:row>
      <xdr:rowOff>104775</xdr:rowOff>
    </xdr:from>
    <xdr:to>
      <xdr:col>2</xdr:col>
      <xdr:colOff>523875</xdr:colOff>
      <xdr:row>208</xdr:row>
      <xdr:rowOff>104775</xdr:rowOff>
    </xdr:to>
    <xdr:sp macro="" textlink="">
      <xdr:nvSpPr>
        <xdr:cNvPr id="1597" name="Line 23534">
          <a:extLst>
            <a:ext uri="{FF2B5EF4-FFF2-40B4-BE49-F238E27FC236}">
              <a16:creationId xmlns:a16="http://schemas.microsoft.com/office/drawing/2014/main" id="{00000000-0008-0000-0000-00003D060000}"/>
            </a:ext>
          </a:extLst>
        </xdr:cNvPr>
        <xdr:cNvSpPr>
          <a:spLocks noChangeShapeType="1"/>
        </xdr:cNvSpPr>
      </xdr:nvSpPr>
      <xdr:spPr bwMode="auto">
        <a:xfrm flipH="1">
          <a:off x="1695450" y="4026217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104775</xdr:rowOff>
    </xdr:from>
    <xdr:to>
      <xdr:col>2</xdr:col>
      <xdr:colOff>533400</xdr:colOff>
      <xdr:row>204</xdr:row>
      <xdr:rowOff>104775</xdr:rowOff>
    </xdr:to>
    <xdr:sp macro="" textlink="">
      <xdr:nvSpPr>
        <xdr:cNvPr id="1598" name="Line 23535">
          <a:extLst>
            <a:ext uri="{FF2B5EF4-FFF2-40B4-BE49-F238E27FC236}">
              <a16:creationId xmlns:a16="http://schemas.microsoft.com/office/drawing/2014/main" id="{00000000-0008-0000-0000-00003E060000}"/>
            </a:ext>
          </a:extLst>
        </xdr:cNvPr>
        <xdr:cNvSpPr>
          <a:spLocks noChangeShapeType="1"/>
        </xdr:cNvSpPr>
      </xdr:nvSpPr>
      <xdr:spPr bwMode="auto">
        <a:xfrm flipH="1">
          <a:off x="1704975" y="394906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204</xdr:row>
      <xdr:rowOff>76200</xdr:rowOff>
    </xdr:from>
    <xdr:to>
      <xdr:col>2</xdr:col>
      <xdr:colOff>371475</xdr:colOff>
      <xdr:row>208</xdr:row>
      <xdr:rowOff>152400</xdr:rowOff>
    </xdr:to>
    <xdr:sp macro="" textlink="">
      <xdr:nvSpPr>
        <xdr:cNvPr id="1599" name="Line 23536">
          <a:extLst>
            <a:ext uri="{FF2B5EF4-FFF2-40B4-BE49-F238E27FC236}">
              <a16:creationId xmlns:a16="http://schemas.microsoft.com/office/drawing/2014/main" id="{00000000-0008-0000-0000-00003F060000}"/>
            </a:ext>
          </a:extLst>
        </xdr:cNvPr>
        <xdr:cNvSpPr>
          <a:spLocks noChangeShapeType="1"/>
        </xdr:cNvSpPr>
      </xdr:nvSpPr>
      <xdr:spPr bwMode="auto">
        <a:xfrm>
          <a:off x="1752600" y="39462075"/>
          <a:ext cx="0" cy="847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76200</xdr:rowOff>
    </xdr:from>
    <xdr:to>
      <xdr:col>2</xdr:col>
      <xdr:colOff>409575</xdr:colOff>
      <xdr:row>204</xdr:row>
      <xdr:rowOff>161925</xdr:rowOff>
    </xdr:to>
    <xdr:sp macro="" textlink="">
      <xdr:nvSpPr>
        <xdr:cNvPr id="1600" name="Line 23537">
          <a:extLst>
            <a:ext uri="{FF2B5EF4-FFF2-40B4-BE49-F238E27FC236}">
              <a16:creationId xmlns:a16="http://schemas.microsoft.com/office/drawing/2014/main" id="{00000000-0008-0000-0000-000040060000}"/>
            </a:ext>
          </a:extLst>
        </xdr:cNvPr>
        <xdr:cNvSpPr>
          <a:spLocks noChangeShapeType="1"/>
        </xdr:cNvSpPr>
      </xdr:nvSpPr>
      <xdr:spPr bwMode="auto">
        <a:xfrm flipH="1">
          <a:off x="1704975" y="394620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208</xdr:row>
      <xdr:rowOff>76200</xdr:rowOff>
    </xdr:from>
    <xdr:to>
      <xdr:col>2</xdr:col>
      <xdr:colOff>409575</xdr:colOff>
      <xdr:row>208</xdr:row>
      <xdr:rowOff>142875</xdr:rowOff>
    </xdr:to>
    <xdr:sp macro="" textlink="">
      <xdr:nvSpPr>
        <xdr:cNvPr id="1601" name="Line 23538">
          <a:extLst>
            <a:ext uri="{FF2B5EF4-FFF2-40B4-BE49-F238E27FC236}">
              <a16:creationId xmlns:a16="http://schemas.microsoft.com/office/drawing/2014/main" id="{00000000-0008-0000-0000-000041060000}"/>
            </a:ext>
          </a:extLst>
        </xdr:cNvPr>
        <xdr:cNvSpPr>
          <a:spLocks noChangeShapeType="1"/>
        </xdr:cNvSpPr>
      </xdr:nvSpPr>
      <xdr:spPr bwMode="auto">
        <a:xfrm flipH="1">
          <a:off x="1724025" y="402336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66675</xdr:rowOff>
    </xdr:from>
    <xdr:to>
      <xdr:col>3</xdr:col>
      <xdr:colOff>114300</xdr:colOff>
      <xdr:row>171</xdr:row>
      <xdr:rowOff>114300</xdr:rowOff>
    </xdr:to>
    <xdr:sp macro="" textlink="">
      <xdr:nvSpPr>
        <xdr:cNvPr id="1602" name="Line 23539">
          <a:extLst>
            <a:ext uri="{FF2B5EF4-FFF2-40B4-BE49-F238E27FC236}">
              <a16:creationId xmlns:a16="http://schemas.microsoft.com/office/drawing/2014/main" id="{00000000-0008-0000-0000-000042060000}"/>
            </a:ext>
          </a:extLst>
        </xdr:cNvPr>
        <xdr:cNvSpPr>
          <a:spLocks noChangeShapeType="1"/>
        </xdr:cNvSpPr>
      </xdr:nvSpPr>
      <xdr:spPr bwMode="auto">
        <a:xfrm>
          <a:off x="2038350" y="33108900"/>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171</xdr:row>
      <xdr:rowOff>9525</xdr:rowOff>
    </xdr:from>
    <xdr:to>
      <xdr:col>3</xdr:col>
      <xdr:colOff>171450</xdr:colOff>
      <xdr:row>171</xdr:row>
      <xdr:rowOff>57150</xdr:rowOff>
    </xdr:to>
    <xdr:sp macro="" textlink="">
      <xdr:nvSpPr>
        <xdr:cNvPr id="1603" name="Line 23540">
          <a:extLst>
            <a:ext uri="{FF2B5EF4-FFF2-40B4-BE49-F238E27FC236}">
              <a16:creationId xmlns:a16="http://schemas.microsoft.com/office/drawing/2014/main" id="{00000000-0008-0000-0000-000043060000}"/>
            </a:ext>
          </a:extLst>
        </xdr:cNvPr>
        <xdr:cNvSpPr>
          <a:spLocks noChangeShapeType="1"/>
        </xdr:cNvSpPr>
      </xdr:nvSpPr>
      <xdr:spPr bwMode="auto">
        <a:xfrm>
          <a:off x="2095500" y="33051750"/>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171</xdr:row>
      <xdr:rowOff>19050</xdr:rowOff>
    </xdr:from>
    <xdr:to>
      <xdr:col>3</xdr:col>
      <xdr:colOff>190500</xdr:colOff>
      <xdr:row>171</xdr:row>
      <xdr:rowOff>142875</xdr:rowOff>
    </xdr:to>
    <xdr:sp macro="" textlink="">
      <xdr:nvSpPr>
        <xdr:cNvPr id="1604" name="Line 23541">
          <a:extLst>
            <a:ext uri="{FF2B5EF4-FFF2-40B4-BE49-F238E27FC236}">
              <a16:creationId xmlns:a16="http://schemas.microsoft.com/office/drawing/2014/main" id="{00000000-0008-0000-0000-000044060000}"/>
            </a:ext>
          </a:extLst>
        </xdr:cNvPr>
        <xdr:cNvSpPr>
          <a:spLocks noChangeShapeType="1"/>
        </xdr:cNvSpPr>
      </xdr:nvSpPr>
      <xdr:spPr bwMode="auto">
        <a:xfrm flipH="1">
          <a:off x="2028825" y="33061275"/>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161925</xdr:colOff>
      <xdr:row>171</xdr:row>
      <xdr:rowOff>9525</xdr:rowOff>
    </xdr:from>
    <xdr:to>
      <xdr:col>3</xdr:col>
      <xdr:colOff>161925</xdr:colOff>
      <xdr:row>171</xdr:row>
      <xdr:rowOff>85725</xdr:rowOff>
    </xdr:to>
    <xdr:sp macro="" textlink="">
      <xdr:nvSpPr>
        <xdr:cNvPr id="1605" name="Line 23542">
          <a:extLst>
            <a:ext uri="{FF2B5EF4-FFF2-40B4-BE49-F238E27FC236}">
              <a16:creationId xmlns:a16="http://schemas.microsoft.com/office/drawing/2014/main" id="{00000000-0008-0000-0000-000045060000}"/>
            </a:ext>
          </a:extLst>
        </xdr:cNvPr>
        <xdr:cNvSpPr>
          <a:spLocks noChangeShapeType="1"/>
        </xdr:cNvSpPr>
      </xdr:nvSpPr>
      <xdr:spPr bwMode="auto">
        <a:xfrm>
          <a:off x="2124075" y="330517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104775</xdr:colOff>
      <xdr:row>171</xdr:row>
      <xdr:rowOff>66675</xdr:rowOff>
    </xdr:from>
    <xdr:to>
      <xdr:col>3</xdr:col>
      <xdr:colOff>104775</xdr:colOff>
      <xdr:row>171</xdr:row>
      <xdr:rowOff>152400</xdr:rowOff>
    </xdr:to>
    <xdr:sp macro="" textlink="">
      <xdr:nvSpPr>
        <xdr:cNvPr id="1606" name="Line 23543">
          <a:extLst>
            <a:ext uri="{FF2B5EF4-FFF2-40B4-BE49-F238E27FC236}">
              <a16:creationId xmlns:a16="http://schemas.microsoft.com/office/drawing/2014/main" id="{00000000-0008-0000-0000-000046060000}"/>
            </a:ext>
          </a:extLst>
        </xdr:cNvPr>
        <xdr:cNvSpPr>
          <a:spLocks noChangeShapeType="1"/>
        </xdr:cNvSpPr>
      </xdr:nvSpPr>
      <xdr:spPr bwMode="auto">
        <a:xfrm>
          <a:off x="2066925" y="33108900"/>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170</xdr:row>
      <xdr:rowOff>57150</xdr:rowOff>
    </xdr:from>
    <xdr:to>
      <xdr:col>5</xdr:col>
      <xdr:colOff>742950</xdr:colOff>
      <xdr:row>175</xdr:row>
      <xdr:rowOff>19050</xdr:rowOff>
    </xdr:to>
    <xdr:sp macro="" textlink="">
      <xdr:nvSpPr>
        <xdr:cNvPr id="1607" name="Freeform 23544">
          <a:extLst>
            <a:ext uri="{FF2B5EF4-FFF2-40B4-BE49-F238E27FC236}">
              <a16:creationId xmlns:a16="http://schemas.microsoft.com/office/drawing/2014/main" id="{00000000-0008-0000-0000-000047060000}"/>
            </a:ext>
          </a:extLst>
        </xdr:cNvPr>
        <xdr:cNvSpPr>
          <a:spLocks/>
        </xdr:cNvSpPr>
      </xdr:nvSpPr>
      <xdr:spPr bwMode="auto">
        <a:xfrm>
          <a:off x="1504950" y="32927925"/>
          <a:ext cx="1895475" cy="876300"/>
        </a:xfrm>
        <a:custGeom>
          <a:avLst/>
          <a:gdLst>
            <a:gd name="T0" fmla="*/ 1895475 w 199"/>
            <a:gd name="T1" fmla="*/ 0 h 96"/>
            <a:gd name="T2" fmla="*/ 0 w 199"/>
            <a:gd name="T3" fmla="*/ 0 h 96"/>
            <a:gd name="T4" fmla="*/ 0 w 199"/>
            <a:gd name="T5" fmla="*/ 702866 h 96"/>
            <a:gd name="T6" fmla="*/ 428625 w 199"/>
            <a:gd name="T7" fmla="*/ 702866 h 96"/>
            <a:gd name="T8" fmla="*/ 428625 w 199"/>
            <a:gd name="T9" fmla="*/ 876300 h 96"/>
            <a:gd name="T10" fmla="*/ 1895475 w 199"/>
            <a:gd name="T11" fmla="*/ 8763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104775</xdr:colOff>
      <xdr:row>179</xdr:row>
      <xdr:rowOff>104775</xdr:rowOff>
    </xdr:from>
    <xdr:to>
      <xdr:col>5</xdr:col>
      <xdr:colOff>457200</xdr:colOff>
      <xdr:row>184</xdr:row>
      <xdr:rowOff>28575</xdr:rowOff>
    </xdr:to>
    <xdr:sp macro="" textlink="">
      <xdr:nvSpPr>
        <xdr:cNvPr id="1608" name="Freeform 23546">
          <a:extLst>
            <a:ext uri="{FF2B5EF4-FFF2-40B4-BE49-F238E27FC236}">
              <a16:creationId xmlns:a16="http://schemas.microsoft.com/office/drawing/2014/main" id="{00000000-0008-0000-0000-000048060000}"/>
            </a:ext>
          </a:extLst>
        </xdr:cNvPr>
        <xdr:cNvSpPr>
          <a:spLocks/>
        </xdr:cNvSpPr>
      </xdr:nvSpPr>
      <xdr:spPr bwMode="auto">
        <a:xfrm>
          <a:off x="1485900" y="34651950"/>
          <a:ext cx="1628775" cy="942975"/>
        </a:xfrm>
        <a:custGeom>
          <a:avLst/>
          <a:gdLst>
            <a:gd name="T0" fmla="*/ 1628775 w 171"/>
            <a:gd name="T1" fmla="*/ 0 h 99"/>
            <a:gd name="T2" fmla="*/ 0 w 171"/>
            <a:gd name="T3" fmla="*/ 0 h 99"/>
            <a:gd name="T4" fmla="*/ 0 w 171"/>
            <a:gd name="T5" fmla="*/ 752475 h 99"/>
            <a:gd name="T6" fmla="*/ 428625 w 171"/>
            <a:gd name="T7" fmla="*/ 752475 h 99"/>
            <a:gd name="T8" fmla="*/ 428625 w 171"/>
            <a:gd name="T9" fmla="*/ 942975 h 99"/>
            <a:gd name="T10" fmla="*/ 1609725 w 171"/>
            <a:gd name="T11" fmla="*/ 942975 h 9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123825</xdr:colOff>
      <xdr:row>194</xdr:row>
      <xdr:rowOff>47625</xdr:rowOff>
    </xdr:from>
    <xdr:to>
      <xdr:col>5</xdr:col>
      <xdr:colOff>95250</xdr:colOff>
      <xdr:row>199</xdr:row>
      <xdr:rowOff>9525</xdr:rowOff>
    </xdr:to>
    <xdr:sp macro="" textlink="">
      <xdr:nvSpPr>
        <xdr:cNvPr id="1609" name="Freeform 23547">
          <a:extLst>
            <a:ext uri="{FF2B5EF4-FFF2-40B4-BE49-F238E27FC236}">
              <a16:creationId xmlns:a16="http://schemas.microsoft.com/office/drawing/2014/main" id="{00000000-0008-0000-0000-000049060000}"/>
            </a:ext>
          </a:extLst>
        </xdr:cNvPr>
        <xdr:cNvSpPr>
          <a:spLocks/>
        </xdr:cNvSpPr>
      </xdr:nvSpPr>
      <xdr:spPr bwMode="auto">
        <a:xfrm>
          <a:off x="1504950" y="37528500"/>
          <a:ext cx="1247775" cy="914400"/>
        </a:xfrm>
        <a:custGeom>
          <a:avLst/>
          <a:gdLst>
            <a:gd name="T0" fmla="*/ 1247775 w 131"/>
            <a:gd name="T1" fmla="*/ 0 h 96"/>
            <a:gd name="T2" fmla="*/ 0 w 131"/>
            <a:gd name="T3" fmla="*/ 0 h 96"/>
            <a:gd name="T4" fmla="*/ 0 w 131"/>
            <a:gd name="T5" fmla="*/ 752475 h 96"/>
            <a:gd name="T6" fmla="*/ 419100 w 131"/>
            <a:gd name="T7" fmla="*/ 752475 h 96"/>
            <a:gd name="T8" fmla="*/ 419100 w 131"/>
            <a:gd name="T9" fmla="*/ 914400 h 96"/>
            <a:gd name="T10" fmla="*/ 542925 w 131"/>
            <a:gd name="T11" fmla="*/ 9144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600075</xdr:colOff>
      <xdr:row>120</xdr:row>
      <xdr:rowOff>47625</xdr:rowOff>
    </xdr:from>
    <xdr:to>
      <xdr:col>6</xdr:col>
      <xdr:colOff>133350</xdr:colOff>
      <xdr:row>121</xdr:row>
      <xdr:rowOff>57150</xdr:rowOff>
    </xdr:to>
    <xdr:sp macro="" textlink="">
      <xdr:nvSpPr>
        <xdr:cNvPr id="1610" name="Line 25077">
          <a:extLst>
            <a:ext uri="{FF2B5EF4-FFF2-40B4-BE49-F238E27FC236}">
              <a16:creationId xmlns:a16="http://schemas.microsoft.com/office/drawing/2014/main" id="{00000000-0008-0000-0000-00004A060000}"/>
            </a:ext>
          </a:extLst>
        </xdr:cNvPr>
        <xdr:cNvSpPr>
          <a:spLocks noChangeShapeType="1"/>
        </xdr:cNvSpPr>
      </xdr:nvSpPr>
      <xdr:spPr bwMode="auto">
        <a:xfrm flipH="1">
          <a:off x="3257550" y="23155275"/>
          <a:ext cx="28575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304800</xdr:colOff>
      <xdr:row>121</xdr:row>
      <xdr:rowOff>28575</xdr:rowOff>
    </xdr:from>
    <xdr:to>
      <xdr:col>5</xdr:col>
      <xdr:colOff>733425</xdr:colOff>
      <xdr:row>122</xdr:row>
      <xdr:rowOff>171450</xdr:rowOff>
    </xdr:to>
    <xdr:sp macro="" textlink="">
      <xdr:nvSpPr>
        <xdr:cNvPr id="1611" name="Freeform 93446">
          <a:extLst>
            <a:ext uri="{FF2B5EF4-FFF2-40B4-BE49-F238E27FC236}">
              <a16:creationId xmlns:a16="http://schemas.microsoft.com/office/drawing/2014/main" id="{00000000-0008-0000-0000-00004B060000}"/>
            </a:ext>
          </a:extLst>
        </xdr:cNvPr>
        <xdr:cNvSpPr>
          <a:spLocks/>
        </xdr:cNvSpPr>
      </xdr:nvSpPr>
      <xdr:spPr bwMode="auto">
        <a:xfrm>
          <a:off x="2638425" y="23326725"/>
          <a:ext cx="752475" cy="333375"/>
        </a:xfrm>
        <a:custGeom>
          <a:avLst/>
          <a:gdLst>
            <a:gd name="T0" fmla="*/ 0 w 72"/>
            <a:gd name="T1" fmla="*/ 2147483647 h 30"/>
            <a:gd name="T2" fmla="*/ 2147483647 w 72"/>
            <a:gd name="T3" fmla="*/ 2147483647 h 30"/>
            <a:gd name="T4" fmla="*/ 2147483647 w 72"/>
            <a:gd name="T5" fmla="*/ 0 h 30"/>
            <a:gd name="T6" fmla="*/ 2147483647 w 72"/>
            <a:gd name="T7" fmla="*/ 0 h 30"/>
            <a:gd name="T8" fmla="*/ 2147483647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304800</xdr:colOff>
      <xdr:row>119</xdr:row>
      <xdr:rowOff>66675</xdr:rowOff>
    </xdr:from>
    <xdr:to>
      <xdr:col>4</xdr:col>
      <xdr:colOff>304800</xdr:colOff>
      <xdr:row>122</xdr:row>
      <xdr:rowOff>76200</xdr:rowOff>
    </xdr:to>
    <xdr:sp macro="" textlink="">
      <xdr:nvSpPr>
        <xdr:cNvPr id="1612" name="Line 25080">
          <a:extLst>
            <a:ext uri="{FF2B5EF4-FFF2-40B4-BE49-F238E27FC236}">
              <a16:creationId xmlns:a16="http://schemas.microsoft.com/office/drawing/2014/main" id="{00000000-0008-0000-0000-00004C060000}"/>
            </a:ext>
          </a:extLst>
        </xdr:cNvPr>
        <xdr:cNvSpPr>
          <a:spLocks noChangeShapeType="1"/>
        </xdr:cNvSpPr>
      </xdr:nvSpPr>
      <xdr:spPr bwMode="auto">
        <a:xfrm flipV="1">
          <a:off x="2638425" y="22983825"/>
          <a:ext cx="0" cy="581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285750</xdr:colOff>
      <xdr:row>119</xdr:row>
      <xdr:rowOff>104775</xdr:rowOff>
    </xdr:from>
    <xdr:to>
      <xdr:col>5</xdr:col>
      <xdr:colOff>228600</xdr:colOff>
      <xdr:row>119</xdr:row>
      <xdr:rowOff>104775</xdr:rowOff>
    </xdr:to>
    <xdr:sp macro="" textlink="">
      <xdr:nvSpPr>
        <xdr:cNvPr id="1613" name="Line 25081">
          <a:extLst>
            <a:ext uri="{FF2B5EF4-FFF2-40B4-BE49-F238E27FC236}">
              <a16:creationId xmlns:a16="http://schemas.microsoft.com/office/drawing/2014/main" id="{00000000-0008-0000-0000-00004D060000}"/>
            </a:ext>
          </a:extLst>
        </xdr:cNvPr>
        <xdr:cNvSpPr>
          <a:spLocks noChangeShapeType="1"/>
        </xdr:cNvSpPr>
      </xdr:nvSpPr>
      <xdr:spPr bwMode="auto">
        <a:xfrm>
          <a:off x="2619375" y="23021925"/>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266700</xdr:colOff>
      <xdr:row>119</xdr:row>
      <xdr:rowOff>66675</xdr:rowOff>
    </xdr:from>
    <xdr:to>
      <xdr:col>5</xdr:col>
      <xdr:colOff>9525</xdr:colOff>
      <xdr:row>119</xdr:row>
      <xdr:rowOff>133350</xdr:rowOff>
    </xdr:to>
    <xdr:sp macro="" textlink="">
      <xdr:nvSpPr>
        <xdr:cNvPr id="1614" name="Line 25082">
          <a:extLst>
            <a:ext uri="{FF2B5EF4-FFF2-40B4-BE49-F238E27FC236}">
              <a16:creationId xmlns:a16="http://schemas.microsoft.com/office/drawing/2014/main" id="{00000000-0008-0000-0000-00004E060000}"/>
            </a:ext>
          </a:extLst>
        </xdr:cNvPr>
        <xdr:cNvSpPr>
          <a:spLocks noChangeShapeType="1"/>
        </xdr:cNvSpPr>
      </xdr:nvSpPr>
      <xdr:spPr bwMode="auto">
        <a:xfrm flipH="1">
          <a:off x="2600325" y="229838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119</xdr:row>
      <xdr:rowOff>66675</xdr:rowOff>
    </xdr:from>
    <xdr:to>
      <xdr:col>5</xdr:col>
      <xdr:colOff>238125</xdr:colOff>
      <xdr:row>119</xdr:row>
      <xdr:rowOff>133350</xdr:rowOff>
    </xdr:to>
    <xdr:sp macro="" textlink="">
      <xdr:nvSpPr>
        <xdr:cNvPr id="1615" name="Line 25084">
          <a:extLst>
            <a:ext uri="{FF2B5EF4-FFF2-40B4-BE49-F238E27FC236}">
              <a16:creationId xmlns:a16="http://schemas.microsoft.com/office/drawing/2014/main" id="{00000000-0008-0000-0000-00004F060000}"/>
            </a:ext>
          </a:extLst>
        </xdr:cNvPr>
        <xdr:cNvSpPr>
          <a:spLocks noChangeShapeType="1"/>
        </xdr:cNvSpPr>
      </xdr:nvSpPr>
      <xdr:spPr bwMode="auto">
        <a:xfrm flipH="1">
          <a:off x="2828925" y="229838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88900</xdr:colOff>
      <xdr:row>172</xdr:row>
      <xdr:rowOff>165100</xdr:rowOff>
    </xdr:from>
    <xdr:to>
      <xdr:col>13</xdr:col>
      <xdr:colOff>590550</xdr:colOff>
      <xdr:row>172</xdr:row>
      <xdr:rowOff>165100</xdr:rowOff>
    </xdr:to>
    <xdr:cxnSp macro="">
      <xdr:nvCxnSpPr>
        <xdr:cNvPr id="752" name="Lige forbindelse 751">
          <a:extLst>
            <a:ext uri="{FF2B5EF4-FFF2-40B4-BE49-F238E27FC236}">
              <a16:creationId xmlns:a16="http://schemas.microsoft.com/office/drawing/2014/main" id="{00000000-0008-0000-0000-0000F0020000}"/>
            </a:ext>
          </a:extLst>
        </xdr:cNvPr>
        <xdr:cNvCxnSpPr/>
      </xdr:nvCxnSpPr>
      <xdr:spPr>
        <a:xfrm flipH="1">
          <a:off x="8242300" y="32712025"/>
          <a:ext cx="50165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98425</xdr:colOff>
      <xdr:row>168</xdr:row>
      <xdr:rowOff>168275</xdr:rowOff>
    </xdr:from>
    <xdr:to>
      <xdr:col>13</xdr:col>
      <xdr:colOff>600075</xdr:colOff>
      <xdr:row>168</xdr:row>
      <xdr:rowOff>168275</xdr:rowOff>
    </xdr:to>
    <xdr:cxnSp macro="">
      <xdr:nvCxnSpPr>
        <xdr:cNvPr id="1616" name="Lige forbindelse 1615">
          <a:extLst>
            <a:ext uri="{FF2B5EF4-FFF2-40B4-BE49-F238E27FC236}">
              <a16:creationId xmlns:a16="http://schemas.microsoft.com/office/drawing/2014/main" id="{00000000-0008-0000-0000-000050060000}"/>
            </a:ext>
          </a:extLst>
        </xdr:cNvPr>
        <xdr:cNvCxnSpPr/>
      </xdr:nvCxnSpPr>
      <xdr:spPr>
        <a:xfrm flipH="1">
          <a:off x="8251825" y="31953200"/>
          <a:ext cx="50165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152400</xdr:colOff>
      <xdr:row>170</xdr:row>
      <xdr:rowOff>187325</xdr:rowOff>
    </xdr:from>
    <xdr:to>
      <xdr:col>13</xdr:col>
      <xdr:colOff>152400</xdr:colOff>
      <xdr:row>172</xdr:row>
      <xdr:rowOff>180976</xdr:rowOff>
    </xdr:to>
    <xdr:cxnSp macro="">
      <xdr:nvCxnSpPr>
        <xdr:cNvPr id="754" name="Lige forbindelse 753">
          <a:extLst>
            <a:ext uri="{FF2B5EF4-FFF2-40B4-BE49-F238E27FC236}">
              <a16:creationId xmlns:a16="http://schemas.microsoft.com/office/drawing/2014/main" id="{00000000-0008-0000-0000-0000F2020000}"/>
            </a:ext>
          </a:extLst>
        </xdr:cNvPr>
        <xdr:cNvCxnSpPr/>
      </xdr:nvCxnSpPr>
      <xdr:spPr>
        <a:xfrm flipV="1">
          <a:off x="8305800" y="32353250"/>
          <a:ext cx="0" cy="374651"/>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168</xdr:row>
      <xdr:rowOff>117475</xdr:rowOff>
    </xdr:from>
    <xdr:to>
      <xdr:col>13</xdr:col>
      <xdr:colOff>187325</xdr:colOff>
      <xdr:row>169</xdr:row>
      <xdr:rowOff>0</xdr:rowOff>
    </xdr:to>
    <xdr:cxnSp macro="">
      <xdr:nvCxnSpPr>
        <xdr:cNvPr id="756" name="Lige forbindelse 755">
          <a:extLst>
            <a:ext uri="{FF2B5EF4-FFF2-40B4-BE49-F238E27FC236}">
              <a16:creationId xmlns:a16="http://schemas.microsoft.com/office/drawing/2014/main" id="{00000000-0008-0000-0000-0000F4020000}"/>
            </a:ext>
          </a:extLst>
        </xdr:cNvPr>
        <xdr:cNvCxnSpPr/>
      </xdr:nvCxnSpPr>
      <xdr:spPr>
        <a:xfrm flipH="1">
          <a:off x="8267700" y="3190240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107950</xdr:colOff>
      <xdr:row>172</xdr:row>
      <xdr:rowOff>136525</xdr:rowOff>
    </xdr:from>
    <xdr:to>
      <xdr:col>13</xdr:col>
      <xdr:colOff>180975</xdr:colOff>
      <xdr:row>173</xdr:row>
      <xdr:rowOff>19050</xdr:rowOff>
    </xdr:to>
    <xdr:cxnSp macro="">
      <xdr:nvCxnSpPr>
        <xdr:cNvPr id="1617" name="Lige forbindelse 1616">
          <a:extLst>
            <a:ext uri="{FF2B5EF4-FFF2-40B4-BE49-F238E27FC236}">
              <a16:creationId xmlns:a16="http://schemas.microsoft.com/office/drawing/2014/main" id="{00000000-0008-0000-0000-000051060000}"/>
            </a:ext>
          </a:extLst>
        </xdr:cNvPr>
        <xdr:cNvCxnSpPr/>
      </xdr:nvCxnSpPr>
      <xdr:spPr>
        <a:xfrm flipH="1">
          <a:off x="8261350" y="3268345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149225</xdr:colOff>
      <xdr:row>168</xdr:row>
      <xdr:rowOff>111126</xdr:rowOff>
    </xdr:from>
    <xdr:to>
      <xdr:col>13</xdr:col>
      <xdr:colOff>149225</xdr:colOff>
      <xdr:row>170</xdr:row>
      <xdr:rowOff>31750</xdr:rowOff>
    </xdr:to>
    <xdr:cxnSp macro="">
      <xdr:nvCxnSpPr>
        <xdr:cNvPr id="759" name="Lige forbindelse 758">
          <a:extLst>
            <a:ext uri="{FF2B5EF4-FFF2-40B4-BE49-F238E27FC236}">
              <a16:creationId xmlns:a16="http://schemas.microsoft.com/office/drawing/2014/main" id="{00000000-0008-0000-0000-0000F7020000}"/>
            </a:ext>
          </a:extLst>
        </xdr:cNvPr>
        <xdr:cNvCxnSpPr/>
      </xdr:nvCxnSpPr>
      <xdr:spPr>
        <a:xfrm flipV="1">
          <a:off x="8302625" y="31896051"/>
          <a:ext cx="0" cy="301624"/>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431800</xdr:colOff>
      <xdr:row>169</xdr:row>
      <xdr:rowOff>130175</xdr:rowOff>
    </xdr:from>
    <xdr:to>
      <xdr:col>13</xdr:col>
      <xdr:colOff>628650</xdr:colOff>
      <xdr:row>170</xdr:row>
      <xdr:rowOff>41275</xdr:rowOff>
    </xdr:to>
    <xdr:cxnSp macro="">
      <xdr:nvCxnSpPr>
        <xdr:cNvPr id="763" name="Lige forbindelse 762">
          <a:extLst>
            <a:ext uri="{FF2B5EF4-FFF2-40B4-BE49-F238E27FC236}">
              <a16:creationId xmlns:a16="http://schemas.microsoft.com/office/drawing/2014/main" id="{00000000-0008-0000-0000-0000FB020000}"/>
            </a:ext>
          </a:extLst>
        </xdr:cNvPr>
        <xdr:cNvCxnSpPr/>
      </xdr:nvCxnSpPr>
      <xdr:spPr>
        <a:xfrm>
          <a:off x="8585200" y="32105600"/>
          <a:ext cx="196850" cy="1016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936625</xdr:colOff>
      <xdr:row>170</xdr:row>
      <xdr:rowOff>44450</xdr:rowOff>
    </xdr:from>
    <xdr:to>
      <xdr:col>14</xdr:col>
      <xdr:colOff>1</xdr:colOff>
      <xdr:row>170</xdr:row>
      <xdr:rowOff>104776</xdr:rowOff>
    </xdr:to>
    <xdr:cxnSp macro="">
      <xdr:nvCxnSpPr>
        <xdr:cNvPr id="765" name="Lige forbindelse 764">
          <a:extLst>
            <a:ext uri="{FF2B5EF4-FFF2-40B4-BE49-F238E27FC236}">
              <a16:creationId xmlns:a16="http://schemas.microsoft.com/office/drawing/2014/main" id="{00000000-0008-0000-0000-0000FD020000}"/>
            </a:ext>
          </a:extLst>
        </xdr:cNvPr>
        <xdr:cNvCxnSpPr/>
      </xdr:nvCxnSpPr>
      <xdr:spPr>
        <a:xfrm flipH="1" flipV="1">
          <a:off x="9090025" y="32210375"/>
          <a:ext cx="244476" cy="6032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100012</xdr:colOff>
      <xdr:row>172</xdr:row>
      <xdr:rowOff>76200</xdr:rowOff>
    </xdr:from>
    <xdr:to>
      <xdr:col>15</xdr:col>
      <xdr:colOff>103622</xdr:colOff>
      <xdr:row>173</xdr:row>
      <xdr:rowOff>109538</xdr:rowOff>
    </xdr:to>
    <xdr:cxnSp macro="">
      <xdr:nvCxnSpPr>
        <xdr:cNvPr id="768" name="Lige forbindelse 767">
          <a:extLst>
            <a:ext uri="{FF2B5EF4-FFF2-40B4-BE49-F238E27FC236}">
              <a16:creationId xmlns:a16="http://schemas.microsoft.com/office/drawing/2014/main" id="{00000000-0008-0000-0000-000000030000}"/>
            </a:ext>
          </a:extLst>
        </xdr:cNvPr>
        <xdr:cNvCxnSpPr/>
      </xdr:nvCxnSpPr>
      <xdr:spPr>
        <a:xfrm flipH="1">
          <a:off x="10272712" y="32623125"/>
          <a:ext cx="3610" cy="22383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80963</xdr:colOff>
      <xdr:row>172</xdr:row>
      <xdr:rowOff>66675</xdr:rowOff>
    </xdr:from>
    <xdr:to>
      <xdr:col>18</xdr:col>
      <xdr:colOff>80963</xdr:colOff>
      <xdr:row>173</xdr:row>
      <xdr:rowOff>133350</xdr:rowOff>
    </xdr:to>
    <xdr:cxnSp macro="">
      <xdr:nvCxnSpPr>
        <xdr:cNvPr id="751" name="Lige forbindelse 750">
          <a:extLst>
            <a:ext uri="{FF2B5EF4-FFF2-40B4-BE49-F238E27FC236}">
              <a16:creationId xmlns:a16="http://schemas.microsoft.com/office/drawing/2014/main" id="{00000000-0008-0000-0000-0000EF020000}"/>
            </a:ext>
          </a:extLst>
        </xdr:cNvPr>
        <xdr:cNvCxnSpPr/>
      </xdr:nvCxnSpPr>
      <xdr:spPr>
        <a:xfrm>
          <a:off x="12768263" y="32613600"/>
          <a:ext cx="0" cy="25717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828675</xdr:colOff>
          <xdr:row>4</xdr:row>
          <xdr:rowOff>76200</xdr:rowOff>
        </xdr:from>
        <xdr:to>
          <xdr:col>18</xdr:col>
          <xdr:colOff>676275</xdr:colOff>
          <xdr:row>6</xdr:row>
          <xdr:rowOff>47625</xdr:rowOff>
        </xdr:to>
        <xdr:sp macro="" textlink="">
          <xdr:nvSpPr>
            <xdr:cNvPr id="749" name="Button 43" hidden="1">
              <a:extLst>
                <a:ext uri="{63B3BB69-23CF-44E3-9099-C40C66FF867C}">
                  <a14:compatExt spid="_x0000_s1067"/>
                </a:ext>
                <a:ext uri="{FF2B5EF4-FFF2-40B4-BE49-F238E27FC236}">
                  <a16:creationId xmlns:a16="http://schemas.microsoft.com/office/drawing/2014/main" id="{00000000-0008-0000-0000-0000ED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15</xdr:col>
          <xdr:colOff>466725</xdr:colOff>
          <xdr:row>4</xdr:row>
          <xdr:rowOff>85725</xdr:rowOff>
        </xdr:from>
        <xdr:to>
          <xdr:col>16</xdr:col>
          <xdr:colOff>657225</xdr:colOff>
          <xdr:row>6</xdr:row>
          <xdr:rowOff>66675</xdr:rowOff>
        </xdr:to>
        <xdr:sp macro="" textlink="">
          <xdr:nvSpPr>
            <xdr:cNvPr id="750" name="Button 44" hidden="1">
              <a:extLst>
                <a:ext uri="{63B3BB69-23CF-44E3-9099-C40C66FF867C}">
                  <a14:compatExt spid="_x0000_s1068"/>
                </a:ext>
                <a:ext uri="{FF2B5EF4-FFF2-40B4-BE49-F238E27FC236}">
                  <a16:creationId xmlns:a16="http://schemas.microsoft.com/office/drawing/2014/main" id="{00000000-0008-0000-0000-0000EE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 Brand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xdr:colOff>
          <xdr:row>474</xdr:row>
          <xdr:rowOff>123825</xdr:rowOff>
        </xdr:from>
        <xdr:to>
          <xdr:col>5</xdr:col>
          <xdr:colOff>495300</xdr:colOff>
          <xdr:row>477</xdr:row>
          <xdr:rowOff>19050</xdr:rowOff>
        </xdr:to>
        <xdr:sp macro="" textlink="">
          <xdr:nvSpPr>
            <xdr:cNvPr id="753" name="Button 45" hidden="1">
              <a:extLst>
                <a:ext uri="{63B3BB69-23CF-44E3-9099-C40C66FF867C}">
                  <a14:compatExt spid="_x0000_s1069"/>
                </a:ext>
                <a:ext uri="{FF2B5EF4-FFF2-40B4-BE49-F238E27FC236}">
                  <a16:creationId xmlns:a16="http://schemas.microsoft.com/office/drawing/2014/main" id="{00000000-0008-0000-0000-0000F1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retur til top af ark 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18</xdr:col>
          <xdr:colOff>523875</xdr:colOff>
          <xdr:row>7</xdr:row>
          <xdr:rowOff>66675</xdr:rowOff>
        </xdr:from>
        <xdr:to>
          <xdr:col>18</xdr:col>
          <xdr:colOff>742950</xdr:colOff>
          <xdr:row>7</xdr:row>
          <xdr:rowOff>171450</xdr:rowOff>
        </xdr:to>
        <xdr:sp macro="" textlink="">
          <xdr:nvSpPr>
            <xdr:cNvPr id="755" name="Button 46" hidden="1">
              <a:extLst>
                <a:ext uri="{63B3BB69-23CF-44E3-9099-C40C66FF867C}">
                  <a14:compatExt spid="_x0000_s1070"/>
                </a:ext>
                <a:ext uri="{FF2B5EF4-FFF2-40B4-BE49-F238E27FC236}">
                  <a16:creationId xmlns:a16="http://schemas.microsoft.com/office/drawing/2014/main" id="{00000000-0008-0000-0000-0000F3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49</xdr:row>
          <xdr:rowOff>28575</xdr:rowOff>
        </xdr:from>
        <xdr:to>
          <xdr:col>1</xdr:col>
          <xdr:colOff>190500</xdr:colOff>
          <xdr:row>50</xdr:row>
          <xdr:rowOff>0</xdr:rowOff>
        </xdr:to>
        <xdr:sp macro="" textlink="">
          <xdr:nvSpPr>
            <xdr:cNvPr id="757" name="Button 47" hidden="1">
              <a:extLst>
                <a:ext uri="{63B3BB69-23CF-44E3-9099-C40C66FF867C}">
                  <a14:compatExt spid="_x0000_s1071"/>
                </a:ext>
                <a:ext uri="{FF2B5EF4-FFF2-40B4-BE49-F238E27FC236}">
                  <a16:creationId xmlns:a16="http://schemas.microsoft.com/office/drawing/2014/main" id="{00000000-0008-0000-0000-0000F5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47</xdr:row>
          <xdr:rowOff>180975</xdr:rowOff>
        </xdr:from>
        <xdr:to>
          <xdr:col>17</xdr:col>
          <xdr:colOff>514350</xdr:colOff>
          <xdr:row>49</xdr:row>
          <xdr:rowOff>19050</xdr:rowOff>
        </xdr:to>
        <xdr:sp macro="" textlink="">
          <xdr:nvSpPr>
            <xdr:cNvPr id="758" name="Button 48" hidden="1">
              <a:extLst>
                <a:ext uri="{63B3BB69-23CF-44E3-9099-C40C66FF867C}">
                  <a14:compatExt spid="_x0000_s1072"/>
                </a:ext>
                <a:ext uri="{FF2B5EF4-FFF2-40B4-BE49-F238E27FC236}">
                  <a16:creationId xmlns:a16="http://schemas.microsoft.com/office/drawing/2014/main" id="{00000000-0008-0000-0000-0000F60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Genindsæt </a:t>
              </a:r>
              <a:r>
                <a:rPr lang="da-DK" sz="1200" b="1" i="0" u="none" strike="noStrike" baseline="0">
                  <a:solidFill>
                    <a:srgbClr val="000000"/>
                  </a:solidFill>
                  <a:latin typeface="Arial"/>
                  <a:cs typeface="Arial"/>
                </a:rPr>
                <a:t>formel</a:t>
              </a:r>
            </a:p>
          </xdr:txBody>
        </xdr:sp>
        <xdr:clientData fLocksWithSheet="0" fPrintsWithSheet="0"/>
      </xdr:twoCellAnchor>
    </mc:Choice>
    <mc:Fallback/>
  </mc:AlternateContent>
  <xdr:twoCellAnchor>
    <xdr:from>
      <xdr:col>1</xdr:col>
      <xdr:colOff>52388</xdr:colOff>
      <xdr:row>174</xdr:row>
      <xdr:rowOff>23813</xdr:rowOff>
    </xdr:from>
    <xdr:to>
      <xdr:col>2</xdr:col>
      <xdr:colOff>47625</xdr:colOff>
      <xdr:row>174</xdr:row>
      <xdr:rowOff>23813</xdr:rowOff>
    </xdr:to>
    <xdr:cxnSp macro="">
      <xdr:nvCxnSpPr>
        <xdr:cNvPr id="761" name="Lige forbindelse 760">
          <a:extLst>
            <a:ext uri="{FF2B5EF4-FFF2-40B4-BE49-F238E27FC236}">
              <a16:creationId xmlns:a16="http://schemas.microsoft.com/office/drawing/2014/main" id="{00000000-0008-0000-0000-0000F9020000}"/>
            </a:ext>
          </a:extLst>
        </xdr:cNvPr>
        <xdr:cNvCxnSpPr/>
      </xdr:nvCxnSpPr>
      <xdr:spPr>
        <a:xfrm flipH="1">
          <a:off x="1195388" y="32942213"/>
          <a:ext cx="23336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52388</xdr:colOff>
      <xdr:row>173</xdr:row>
      <xdr:rowOff>95250</xdr:rowOff>
    </xdr:from>
    <xdr:to>
      <xdr:col>2</xdr:col>
      <xdr:colOff>171450</xdr:colOff>
      <xdr:row>173</xdr:row>
      <xdr:rowOff>95250</xdr:rowOff>
    </xdr:to>
    <xdr:cxnSp macro="">
      <xdr:nvCxnSpPr>
        <xdr:cNvPr id="1587" name="Lige forbindelse 1586">
          <a:extLst>
            <a:ext uri="{FF2B5EF4-FFF2-40B4-BE49-F238E27FC236}">
              <a16:creationId xmlns:a16="http://schemas.microsoft.com/office/drawing/2014/main" id="{00000000-0008-0000-0000-000033060000}"/>
            </a:ext>
          </a:extLst>
        </xdr:cNvPr>
        <xdr:cNvCxnSpPr/>
      </xdr:nvCxnSpPr>
      <xdr:spPr>
        <a:xfrm flipH="1">
          <a:off x="1195388" y="32823150"/>
          <a:ext cx="3571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71438</xdr:colOff>
      <xdr:row>173</xdr:row>
      <xdr:rowOff>57150</xdr:rowOff>
    </xdr:from>
    <xdr:to>
      <xdr:col>1</xdr:col>
      <xdr:colOff>71438</xdr:colOff>
      <xdr:row>174</xdr:row>
      <xdr:rowOff>76200</xdr:rowOff>
    </xdr:to>
    <xdr:cxnSp macro="">
      <xdr:nvCxnSpPr>
        <xdr:cNvPr id="766" name="Lige forbindelse 765">
          <a:extLst>
            <a:ext uri="{FF2B5EF4-FFF2-40B4-BE49-F238E27FC236}">
              <a16:creationId xmlns:a16="http://schemas.microsoft.com/office/drawing/2014/main" id="{00000000-0008-0000-0000-0000FE020000}"/>
            </a:ext>
          </a:extLst>
        </xdr:cNvPr>
        <xdr:cNvCxnSpPr/>
      </xdr:nvCxnSpPr>
      <xdr:spPr>
        <a:xfrm>
          <a:off x="1214438" y="32785050"/>
          <a:ext cx="0" cy="2095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38100</xdr:colOff>
      <xdr:row>173</xdr:row>
      <xdr:rowOff>61913</xdr:rowOff>
    </xdr:from>
    <xdr:to>
      <xdr:col>1</xdr:col>
      <xdr:colOff>104775</xdr:colOff>
      <xdr:row>173</xdr:row>
      <xdr:rowOff>128588</xdr:rowOff>
    </xdr:to>
    <xdr:sp macro="" textlink="">
      <xdr:nvSpPr>
        <xdr:cNvPr id="1588" name="Line 19076">
          <a:extLst>
            <a:ext uri="{FF2B5EF4-FFF2-40B4-BE49-F238E27FC236}">
              <a16:creationId xmlns:a16="http://schemas.microsoft.com/office/drawing/2014/main" id="{00000000-0008-0000-0000-000034060000}"/>
            </a:ext>
          </a:extLst>
        </xdr:cNvPr>
        <xdr:cNvSpPr>
          <a:spLocks noChangeShapeType="1"/>
        </xdr:cNvSpPr>
      </xdr:nvSpPr>
      <xdr:spPr bwMode="auto">
        <a:xfrm flipH="1">
          <a:off x="1181100" y="32789813"/>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33337</xdr:colOff>
      <xdr:row>173</xdr:row>
      <xdr:rowOff>180975</xdr:rowOff>
    </xdr:from>
    <xdr:to>
      <xdr:col>1</xdr:col>
      <xdr:colOff>100012</xdr:colOff>
      <xdr:row>174</xdr:row>
      <xdr:rowOff>57150</xdr:rowOff>
    </xdr:to>
    <xdr:sp macro="" textlink="">
      <xdr:nvSpPr>
        <xdr:cNvPr id="1593" name="Line 19076">
          <a:extLst>
            <a:ext uri="{FF2B5EF4-FFF2-40B4-BE49-F238E27FC236}">
              <a16:creationId xmlns:a16="http://schemas.microsoft.com/office/drawing/2014/main" id="{00000000-0008-0000-0000-000039060000}"/>
            </a:ext>
          </a:extLst>
        </xdr:cNvPr>
        <xdr:cNvSpPr>
          <a:spLocks noChangeShapeType="1"/>
        </xdr:cNvSpPr>
      </xdr:nvSpPr>
      <xdr:spPr bwMode="auto">
        <a:xfrm flipH="1">
          <a:off x="1176337" y="32908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238126</xdr:colOff>
      <xdr:row>179</xdr:row>
      <xdr:rowOff>176213</xdr:rowOff>
    </xdr:from>
    <xdr:to>
      <xdr:col>3</xdr:col>
      <xdr:colOff>4763</xdr:colOff>
      <xdr:row>182</xdr:row>
      <xdr:rowOff>100013</xdr:rowOff>
    </xdr:to>
    <xdr:cxnSp macro="">
      <xdr:nvCxnSpPr>
        <xdr:cNvPr id="770" name="Lige forbindelse 769">
          <a:extLst>
            <a:ext uri="{FF2B5EF4-FFF2-40B4-BE49-F238E27FC236}">
              <a16:creationId xmlns:a16="http://schemas.microsoft.com/office/drawing/2014/main" id="{00000000-0008-0000-0000-000002030000}"/>
            </a:ext>
          </a:extLst>
        </xdr:cNvPr>
        <xdr:cNvCxnSpPr/>
      </xdr:nvCxnSpPr>
      <xdr:spPr>
        <a:xfrm flipH="1">
          <a:off x="1619251" y="34047113"/>
          <a:ext cx="347662" cy="49530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333375</xdr:colOff>
      <xdr:row>180</xdr:row>
      <xdr:rowOff>52388</xdr:rowOff>
    </xdr:from>
    <xdr:to>
      <xdr:col>3</xdr:col>
      <xdr:colOff>85725</xdr:colOff>
      <xdr:row>182</xdr:row>
      <xdr:rowOff>157163</xdr:rowOff>
    </xdr:to>
    <xdr:cxnSp macro="">
      <xdr:nvCxnSpPr>
        <xdr:cNvPr id="1618" name="Lige forbindelse 1617">
          <a:extLst>
            <a:ext uri="{FF2B5EF4-FFF2-40B4-BE49-F238E27FC236}">
              <a16:creationId xmlns:a16="http://schemas.microsoft.com/office/drawing/2014/main" id="{00000000-0008-0000-0000-000052060000}"/>
            </a:ext>
          </a:extLst>
        </xdr:cNvPr>
        <xdr:cNvCxnSpPr/>
      </xdr:nvCxnSpPr>
      <xdr:spPr>
        <a:xfrm flipH="1">
          <a:off x="1714500" y="34113788"/>
          <a:ext cx="333375" cy="48577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238125</xdr:colOff>
      <xdr:row>182</xdr:row>
      <xdr:rowOff>152400</xdr:rowOff>
    </xdr:from>
    <xdr:to>
      <xdr:col>2</xdr:col>
      <xdr:colOff>238125</xdr:colOff>
      <xdr:row>183</xdr:row>
      <xdr:rowOff>42863</xdr:rowOff>
    </xdr:to>
    <xdr:cxnSp macro="">
      <xdr:nvCxnSpPr>
        <xdr:cNvPr id="773" name="Lige forbindelse 772">
          <a:extLst>
            <a:ext uri="{FF2B5EF4-FFF2-40B4-BE49-F238E27FC236}">
              <a16:creationId xmlns:a16="http://schemas.microsoft.com/office/drawing/2014/main" id="{00000000-0008-0000-0000-000005030000}"/>
            </a:ext>
          </a:extLst>
        </xdr:cNvPr>
        <xdr:cNvCxnSpPr>
          <a:endCxn id="1322" idx="2"/>
        </xdr:cNvCxnSpPr>
      </xdr:nvCxnSpPr>
      <xdr:spPr>
        <a:xfrm flipV="1">
          <a:off x="1619250" y="34594800"/>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338137</xdr:colOff>
      <xdr:row>182</xdr:row>
      <xdr:rowOff>157162</xdr:rowOff>
    </xdr:from>
    <xdr:to>
      <xdr:col>2</xdr:col>
      <xdr:colOff>338137</xdr:colOff>
      <xdr:row>183</xdr:row>
      <xdr:rowOff>47625</xdr:rowOff>
    </xdr:to>
    <xdr:cxnSp macro="">
      <xdr:nvCxnSpPr>
        <xdr:cNvPr id="1619" name="Lige forbindelse 1618">
          <a:extLst>
            <a:ext uri="{FF2B5EF4-FFF2-40B4-BE49-F238E27FC236}">
              <a16:creationId xmlns:a16="http://schemas.microsoft.com/office/drawing/2014/main" id="{00000000-0008-0000-0000-000053060000}"/>
            </a:ext>
          </a:extLst>
        </xdr:cNvPr>
        <xdr:cNvCxnSpPr/>
      </xdr:nvCxnSpPr>
      <xdr:spPr>
        <a:xfrm flipV="1">
          <a:off x="1719262" y="34599562"/>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190500</xdr:colOff>
      <xdr:row>0</xdr:row>
      <xdr:rowOff>0</xdr:rowOff>
    </xdr:from>
    <xdr:to>
      <xdr:col>11</xdr:col>
      <xdr:colOff>190500</xdr:colOff>
      <xdr:row>6</xdr:row>
      <xdr:rowOff>0</xdr:rowOff>
    </xdr:to>
    <xdr:sp macro="" textlink="">
      <xdr:nvSpPr>
        <xdr:cNvPr id="2" name="Line 830">
          <a:extLst>
            <a:ext uri="{FF2B5EF4-FFF2-40B4-BE49-F238E27FC236}">
              <a16:creationId xmlns:a16="http://schemas.microsoft.com/office/drawing/2014/main" id="{00000000-0008-0000-0100-000002000000}"/>
            </a:ext>
          </a:extLst>
        </xdr:cNvPr>
        <xdr:cNvSpPr>
          <a:spLocks noChangeShapeType="1"/>
        </xdr:cNvSpPr>
      </xdr:nvSpPr>
      <xdr:spPr bwMode="auto">
        <a:xfrm>
          <a:off x="6753225" y="0"/>
          <a:ext cx="0" cy="942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22</xdr:row>
      <xdr:rowOff>142875</xdr:rowOff>
    </xdr:from>
    <xdr:to>
      <xdr:col>6</xdr:col>
      <xdr:colOff>352425</xdr:colOff>
      <xdr:row>27</xdr:row>
      <xdr:rowOff>47625</xdr:rowOff>
    </xdr:to>
    <xdr:sp macro="" textlink="">
      <xdr:nvSpPr>
        <xdr:cNvPr id="3" name="Tegning 831">
          <a:extLst>
            <a:ext uri="{FF2B5EF4-FFF2-40B4-BE49-F238E27FC236}">
              <a16:creationId xmlns:a16="http://schemas.microsoft.com/office/drawing/2014/main" id="{00000000-0008-0000-0100-000003000000}"/>
            </a:ext>
          </a:extLst>
        </xdr:cNvPr>
        <xdr:cNvSpPr>
          <a:spLocks/>
        </xdr:cNvSpPr>
      </xdr:nvSpPr>
      <xdr:spPr bwMode="auto">
        <a:xfrm>
          <a:off x="1990725" y="4133850"/>
          <a:ext cx="1762125" cy="857250"/>
        </a:xfrm>
        <a:custGeom>
          <a:avLst/>
          <a:gdLst>
            <a:gd name="T0" fmla="*/ 2147483646 w 16384"/>
            <a:gd name="T1" fmla="*/ 2147483646 h 16384"/>
            <a:gd name="T2" fmla="*/ 2147483646 w 16384"/>
            <a:gd name="T3" fmla="*/ 2147483646 h 16384"/>
            <a:gd name="T4" fmla="*/ 0 w 16384"/>
            <a:gd name="T5" fmla="*/ 2147483646 h 16384"/>
            <a:gd name="T6" fmla="*/ 0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2147483646 w 16384"/>
            <a:gd name="T27" fmla="*/ 2147483646 h 16384"/>
            <a:gd name="T28" fmla="*/ 2147483646 w 16384"/>
            <a:gd name="T29" fmla="*/ 2147483646 h 16384"/>
            <a:gd name="T30" fmla="*/ 2147483646 w 16384"/>
            <a:gd name="T31" fmla="*/ 2147483646 h 16384"/>
            <a:gd name="T32" fmla="*/ 2147483646 w 16384"/>
            <a:gd name="T33" fmla="*/ 2147483646 h 16384"/>
            <a:gd name="T34" fmla="*/ 2147483646 w 16384"/>
            <a:gd name="T35" fmla="*/ 0 h 16384"/>
            <a:gd name="T36" fmla="*/ 2147483646 w 16384"/>
            <a:gd name="T37" fmla="*/ 0 h 16384"/>
            <a:gd name="T38" fmla="*/ 2147483646 w 16384"/>
            <a:gd name="T39" fmla="*/ 2147483646 h 16384"/>
            <a:gd name="T40" fmla="*/ 2147483646 w 16384"/>
            <a:gd name="T41" fmla="*/ 2147483646 h 16384"/>
            <a:gd name="T42" fmla="*/ 2147483646 w 16384"/>
            <a:gd name="T43" fmla="*/ 2147483646 h 16384"/>
            <a:gd name="T44" fmla="*/ 2147483646 w 16384"/>
            <a:gd name="T45" fmla="*/ 2147483646 h 16384"/>
            <a:gd name="T46" fmla="*/ 2147483646 w 16384"/>
            <a:gd name="T47" fmla="*/ 2147483646 h 1638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6384"/>
            <a:gd name="T73" fmla="*/ 0 h 16384"/>
            <a:gd name="T74" fmla="*/ 16384 w 16384"/>
            <a:gd name="T75" fmla="*/ 16384 h 1638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6384" h="16384">
              <a:moveTo>
                <a:pt x="609" y="16261"/>
              </a:moveTo>
              <a:lnTo>
                <a:pt x="609" y="14659"/>
              </a:lnTo>
              <a:lnTo>
                <a:pt x="0" y="14659"/>
              </a:lnTo>
              <a:lnTo>
                <a:pt x="0" y="12935"/>
              </a:lnTo>
              <a:lnTo>
                <a:pt x="1523" y="12935"/>
              </a:lnTo>
              <a:lnTo>
                <a:pt x="1523" y="11456"/>
              </a:lnTo>
              <a:lnTo>
                <a:pt x="2984" y="11456"/>
              </a:lnTo>
              <a:lnTo>
                <a:pt x="2984" y="9609"/>
              </a:lnTo>
              <a:lnTo>
                <a:pt x="4507" y="9609"/>
              </a:lnTo>
              <a:lnTo>
                <a:pt x="4507" y="7761"/>
              </a:lnTo>
              <a:lnTo>
                <a:pt x="6030" y="7761"/>
              </a:lnTo>
              <a:lnTo>
                <a:pt x="6030" y="5790"/>
              </a:lnTo>
              <a:lnTo>
                <a:pt x="7674" y="5790"/>
              </a:lnTo>
              <a:lnTo>
                <a:pt x="7674" y="3819"/>
              </a:lnTo>
              <a:lnTo>
                <a:pt x="9380" y="3819"/>
              </a:lnTo>
              <a:lnTo>
                <a:pt x="9380" y="1848"/>
              </a:lnTo>
              <a:lnTo>
                <a:pt x="10841" y="1848"/>
              </a:lnTo>
              <a:lnTo>
                <a:pt x="10841" y="0"/>
              </a:lnTo>
              <a:lnTo>
                <a:pt x="16384" y="0"/>
              </a:lnTo>
              <a:lnTo>
                <a:pt x="16384" y="1109"/>
              </a:lnTo>
              <a:lnTo>
                <a:pt x="15592" y="2094"/>
              </a:lnTo>
              <a:lnTo>
                <a:pt x="12121" y="2094"/>
              </a:lnTo>
              <a:lnTo>
                <a:pt x="609" y="16384"/>
              </a:lnTo>
              <a:lnTo>
                <a:pt x="609" y="15645"/>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295275</xdr:colOff>
      <xdr:row>19</xdr:row>
      <xdr:rowOff>9525</xdr:rowOff>
    </xdr:from>
    <xdr:to>
      <xdr:col>7</xdr:col>
      <xdr:colOff>190500</xdr:colOff>
      <xdr:row>23</xdr:row>
      <xdr:rowOff>9525</xdr:rowOff>
    </xdr:to>
    <xdr:sp macro="" textlink="">
      <xdr:nvSpPr>
        <xdr:cNvPr id="4" name="Tegning 832">
          <a:extLst>
            <a:ext uri="{FF2B5EF4-FFF2-40B4-BE49-F238E27FC236}">
              <a16:creationId xmlns:a16="http://schemas.microsoft.com/office/drawing/2014/main" id="{00000000-0008-0000-0100-000004000000}"/>
            </a:ext>
          </a:extLst>
        </xdr:cNvPr>
        <xdr:cNvSpPr>
          <a:spLocks/>
        </xdr:cNvSpPr>
      </xdr:nvSpPr>
      <xdr:spPr bwMode="auto">
        <a:xfrm>
          <a:off x="3695700" y="3429000"/>
          <a:ext cx="1247775" cy="762000"/>
        </a:xfrm>
        <a:custGeom>
          <a:avLst/>
          <a:gdLst>
            <a:gd name="T0" fmla="*/ 2147483646 w 16384"/>
            <a:gd name="T1" fmla="*/ 2147483646 h 16384"/>
            <a:gd name="T2" fmla="*/ 2147483646 w 16384"/>
            <a:gd name="T3" fmla="*/ 2147483646 h 16384"/>
            <a:gd name="T4" fmla="*/ 0 w 16384"/>
            <a:gd name="T5" fmla="*/ 2147483646 h 16384"/>
            <a:gd name="T6" fmla="*/ 0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2147483646 w 16384"/>
            <a:gd name="T27" fmla="*/ 2147483646 h 16384"/>
            <a:gd name="T28" fmla="*/ 2147483646 w 16384"/>
            <a:gd name="T29" fmla="*/ 2147483646 h 16384"/>
            <a:gd name="T30" fmla="*/ 2147483646 w 16384"/>
            <a:gd name="T31" fmla="*/ 2147483646 h 16384"/>
            <a:gd name="T32" fmla="*/ 2147483646 w 16384"/>
            <a:gd name="T33" fmla="*/ 2147483646 h 16384"/>
            <a:gd name="T34" fmla="*/ 2147483646 w 16384"/>
            <a:gd name="T35" fmla="*/ 0 h 16384"/>
            <a:gd name="T36" fmla="*/ 2147483646 w 16384"/>
            <a:gd name="T37" fmla="*/ 0 h 16384"/>
            <a:gd name="T38" fmla="*/ 2147483646 w 16384"/>
            <a:gd name="T39" fmla="*/ 2147483646 h 16384"/>
            <a:gd name="T40" fmla="*/ 2147483646 w 16384"/>
            <a:gd name="T41" fmla="*/ 2147483646 h 16384"/>
            <a:gd name="T42" fmla="*/ 2147483646 w 16384"/>
            <a:gd name="T43" fmla="*/ 2147483646 h 16384"/>
            <a:gd name="T44" fmla="*/ 2147483646 w 16384"/>
            <a:gd name="T45" fmla="*/ 2147483646 h 16384"/>
            <a:gd name="T46" fmla="*/ 2147483646 w 16384"/>
            <a:gd name="T47" fmla="*/ 2147483646 h 16384"/>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16384"/>
            <a:gd name="T73" fmla="*/ 0 h 16384"/>
            <a:gd name="T74" fmla="*/ 16384 w 16384"/>
            <a:gd name="T75" fmla="*/ 16384 h 16384"/>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16384" h="16384">
              <a:moveTo>
                <a:pt x="795" y="16384"/>
              </a:moveTo>
              <a:lnTo>
                <a:pt x="795" y="14803"/>
              </a:lnTo>
              <a:lnTo>
                <a:pt x="0" y="14803"/>
              </a:lnTo>
              <a:lnTo>
                <a:pt x="0" y="13222"/>
              </a:lnTo>
              <a:lnTo>
                <a:pt x="1909" y="13222"/>
              </a:lnTo>
              <a:lnTo>
                <a:pt x="1909" y="11354"/>
              </a:lnTo>
              <a:lnTo>
                <a:pt x="3897" y="11354"/>
              </a:lnTo>
              <a:lnTo>
                <a:pt x="3897" y="9485"/>
              </a:lnTo>
              <a:lnTo>
                <a:pt x="5886" y="9485"/>
              </a:lnTo>
              <a:lnTo>
                <a:pt x="5886" y="7905"/>
              </a:lnTo>
              <a:lnTo>
                <a:pt x="8033" y="7905"/>
              </a:lnTo>
              <a:lnTo>
                <a:pt x="8033" y="5892"/>
              </a:lnTo>
              <a:lnTo>
                <a:pt x="10021" y="5892"/>
              </a:lnTo>
              <a:lnTo>
                <a:pt x="10021" y="3737"/>
              </a:lnTo>
              <a:lnTo>
                <a:pt x="12328" y="3737"/>
              </a:lnTo>
              <a:lnTo>
                <a:pt x="12328" y="1868"/>
              </a:lnTo>
              <a:lnTo>
                <a:pt x="14237" y="1868"/>
              </a:lnTo>
              <a:lnTo>
                <a:pt x="14237" y="0"/>
              </a:lnTo>
              <a:lnTo>
                <a:pt x="16384" y="0"/>
              </a:lnTo>
              <a:lnTo>
                <a:pt x="16384" y="1006"/>
              </a:lnTo>
              <a:lnTo>
                <a:pt x="15509" y="1006"/>
              </a:lnTo>
              <a:lnTo>
                <a:pt x="15509" y="2874"/>
              </a:lnTo>
              <a:lnTo>
                <a:pt x="716" y="16384"/>
              </a:lnTo>
              <a:lnTo>
                <a:pt x="716" y="1552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9525</xdr:colOff>
      <xdr:row>26</xdr:row>
      <xdr:rowOff>190500</xdr:rowOff>
    </xdr:from>
    <xdr:to>
      <xdr:col>3</xdr:col>
      <xdr:colOff>9525</xdr:colOff>
      <xdr:row>30</xdr:row>
      <xdr:rowOff>47625</xdr:rowOff>
    </xdr:to>
    <xdr:sp macro="" textlink="">
      <xdr:nvSpPr>
        <xdr:cNvPr id="5" name="Line 833">
          <a:extLst>
            <a:ext uri="{FF2B5EF4-FFF2-40B4-BE49-F238E27FC236}">
              <a16:creationId xmlns:a16="http://schemas.microsoft.com/office/drawing/2014/main" id="{00000000-0008-0000-0100-000005000000}"/>
            </a:ext>
          </a:extLst>
        </xdr:cNvPr>
        <xdr:cNvSpPr>
          <a:spLocks noChangeShapeType="1"/>
        </xdr:cNvSpPr>
      </xdr:nvSpPr>
      <xdr:spPr bwMode="auto">
        <a:xfrm>
          <a:off x="2009775" y="4943475"/>
          <a:ext cx="0" cy="619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7</xdr:col>
      <xdr:colOff>171450</xdr:colOff>
      <xdr:row>19</xdr:row>
      <xdr:rowOff>76200</xdr:rowOff>
    </xdr:from>
    <xdr:to>
      <xdr:col>7</xdr:col>
      <xdr:colOff>171450</xdr:colOff>
      <xdr:row>30</xdr:row>
      <xdr:rowOff>0</xdr:rowOff>
    </xdr:to>
    <xdr:sp macro="" textlink="">
      <xdr:nvSpPr>
        <xdr:cNvPr id="6" name="Line 834">
          <a:extLst>
            <a:ext uri="{FF2B5EF4-FFF2-40B4-BE49-F238E27FC236}">
              <a16:creationId xmlns:a16="http://schemas.microsoft.com/office/drawing/2014/main" id="{00000000-0008-0000-0100-000006000000}"/>
            </a:ext>
          </a:extLst>
        </xdr:cNvPr>
        <xdr:cNvSpPr>
          <a:spLocks noChangeShapeType="1"/>
        </xdr:cNvSpPr>
      </xdr:nvSpPr>
      <xdr:spPr bwMode="auto">
        <a:xfrm>
          <a:off x="4924425" y="3495675"/>
          <a:ext cx="0" cy="2019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323850</xdr:colOff>
      <xdr:row>22</xdr:row>
      <xdr:rowOff>171450</xdr:rowOff>
    </xdr:from>
    <xdr:to>
      <xdr:col>6</xdr:col>
      <xdr:colOff>323850</xdr:colOff>
      <xdr:row>30</xdr:row>
      <xdr:rowOff>133350</xdr:rowOff>
    </xdr:to>
    <xdr:sp macro="" textlink="">
      <xdr:nvSpPr>
        <xdr:cNvPr id="7" name="Line 835">
          <a:extLst>
            <a:ext uri="{FF2B5EF4-FFF2-40B4-BE49-F238E27FC236}">
              <a16:creationId xmlns:a16="http://schemas.microsoft.com/office/drawing/2014/main" id="{00000000-0008-0000-0100-000007000000}"/>
            </a:ext>
          </a:extLst>
        </xdr:cNvPr>
        <xdr:cNvSpPr>
          <a:spLocks noChangeShapeType="1"/>
        </xdr:cNvSpPr>
      </xdr:nvSpPr>
      <xdr:spPr bwMode="auto">
        <a:xfrm>
          <a:off x="3724275" y="4162425"/>
          <a:ext cx="0" cy="148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10</xdr:row>
      <xdr:rowOff>0</xdr:rowOff>
    </xdr:from>
    <xdr:to>
      <xdr:col>7</xdr:col>
      <xdr:colOff>190500</xdr:colOff>
      <xdr:row>14</xdr:row>
      <xdr:rowOff>19050</xdr:rowOff>
    </xdr:to>
    <xdr:sp macro="" textlink="">
      <xdr:nvSpPr>
        <xdr:cNvPr id="8" name="Tegning 836">
          <a:extLst>
            <a:ext uri="{FF2B5EF4-FFF2-40B4-BE49-F238E27FC236}">
              <a16:creationId xmlns:a16="http://schemas.microsoft.com/office/drawing/2014/main" id="{00000000-0008-0000-0100-000008000000}"/>
            </a:ext>
          </a:extLst>
        </xdr:cNvPr>
        <xdr:cNvSpPr>
          <a:spLocks/>
        </xdr:cNvSpPr>
      </xdr:nvSpPr>
      <xdr:spPr bwMode="auto">
        <a:xfrm>
          <a:off x="1990725" y="1704975"/>
          <a:ext cx="2952750" cy="781050"/>
        </a:xfrm>
        <a:custGeom>
          <a:avLst/>
          <a:gdLst>
            <a:gd name="T0" fmla="*/ 0 w 16384"/>
            <a:gd name="T1" fmla="*/ 0 h 16384"/>
            <a:gd name="T2" fmla="*/ 0 w 16384"/>
            <a:gd name="T3" fmla="*/ 2147483646 h 16384"/>
            <a:gd name="T4" fmla="*/ 2147483646 w 16384"/>
            <a:gd name="T5" fmla="*/ 2147483646 h 16384"/>
            <a:gd name="T6" fmla="*/ 2147483646 w 16384"/>
            <a:gd name="T7" fmla="*/ 0 h 16384"/>
            <a:gd name="T8" fmla="*/ 0 w 16384"/>
            <a:gd name="T9" fmla="*/ 0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0" y="16384"/>
              </a:lnTo>
              <a:lnTo>
                <a:pt x="16384" y="16384"/>
              </a:lnTo>
              <a:lnTo>
                <a:pt x="16384" y="0"/>
              </a:lnTo>
              <a:lnTo>
                <a:pt x="0" y="0"/>
              </a:lnTo>
              <a:lnTo>
                <a:pt x="0" y="151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161925</xdr:colOff>
      <xdr:row>10</xdr:row>
      <xdr:rowOff>0</xdr:rowOff>
    </xdr:from>
    <xdr:to>
      <xdr:col>3</xdr:col>
      <xdr:colOff>161925</xdr:colOff>
      <xdr:row>14</xdr:row>
      <xdr:rowOff>19050</xdr:rowOff>
    </xdr:to>
    <xdr:sp macro="" textlink="">
      <xdr:nvSpPr>
        <xdr:cNvPr id="9" name="Line 837">
          <a:extLst>
            <a:ext uri="{FF2B5EF4-FFF2-40B4-BE49-F238E27FC236}">
              <a16:creationId xmlns:a16="http://schemas.microsoft.com/office/drawing/2014/main" id="{00000000-0008-0000-0100-000009000000}"/>
            </a:ext>
          </a:extLst>
        </xdr:cNvPr>
        <xdr:cNvSpPr>
          <a:spLocks noChangeShapeType="1"/>
        </xdr:cNvSpPr>
      </xdr:nvSpPr>
      <xdr:spPr bwMode="auto">
        <a:xfrm flipV="1">
          <a:off x="216217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10</xdr:row>
      <xdr:rowOff>0</xdr:rowOff>
    </xdr:from>
    <xdr:to>
      <xdr:col>4</xdr:col>
      <xdr:colOff>28575</xdr:colOff>
      <xdr:row>14</xdr:row>
      <xdr:rowOff>19050</xdr:rowOff>
    </xdr:to>
    <xdr:sp macro="" textlink="">
      <xdr:nvSpPr>
        <xdr:cNvPr id="10" name="Line 838">
          <a:extLst>
            <a:ext uri="{FF2B5EF4-FFF2-40B4-BE49-F238E27FC236}">
              <a16:creationId xmlns:a16="http://schemas.microsoft.com/office/drawing/2014/main" id="{00000000-0008-0000-0100-00000A000000}"/>
            </a:ext>
          </a:extLst>
        </xdr:cNvPr>
        <xdr:cNvSpPr>
          <a:spLocks noChangeShapeType="1"/>
        </xdr:cNvSpPr>
      </xdr:nvSpPr>
      <xdr:spPr bwMode="auto">
        <a:xfrm flipV="1">
          <a:off x="235267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10</xdr:row>
      <xdr:rowOff>0</xdr:rowOff>
    </xdr:from>
    <xdr:to>
      <xdr:col>4</xdr:col>
      <xdr:colOff>190500</xdr:colOff>
      <xdr:row>14</xdr:row>
      <xdr:rowOff>19050</xdr:rowOff>
    </xdr:to>
    <xdr:sp macro="" textlink="">
      <xdr:nvSpPr>
        <xdr:cNvPr id="11" name="Line 839">
          <a:extLst>
            <a:ext uri="{FF2B5EF4-FFF2-40B4-BE49-F238E27FC236}">
              <a16:creationId xmlns:a16="http://schemas.microsoft.com/office/drawing/2014/main" id="{00000000-0008-0000-0100-00000B000000}"/>
            </a:ext>
          </a:extLst>
        </xdr:cNvPr>
        <xdr:cNvSpPr>
          <a:spLocks noChangeShapeType="1"/>
        </xdr:cNvSpPr>
      </xdr:nvSpPr>
      <xdr:spPr bwMode="auto">
        <a:xfrm flipV="1">
          <a:off x="2514600"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10</xdr:row>
      <xdr:rowOff>0</xdr:rowOff>
    </xdr:from>
    <xdr:to>
      <xdr:col>5</xdr:col>
      <xdr:colOff>47625</xdr:colOff>
      <xdr:row>14</xdr:row>
      <xdr:rowOff>0</xdr:rowOff>
    </xdr:to>
    <xdr:sp macro="" textlink="">
      <xdr:nvSpPr>
        <xdr:cNvPr id="12" name="Line 840">
          <a:extLst>
            <a:ext uri="{FF2B5EF4-FFF2-40B4-BE49-F238E27FC236}">
              <a16:creationId xmlns:a16="http://schemas.microsoft.com/office/drawing/2014/main" id="{00000000-0008-0000-0100-00000C000000}"/>
            </a:ext>
          </a:extLst>
        </xdr:cNvPr>
        <xdr:cNvSpPr>
          <a:spLocks noChangeShapeType="1"/>
        </xdr:cNvSpPr>
      </xdr:nvSpPr>
      <xdr:spPr bwMode="auto">
        <a:xfrm flipV="1">
          <a:off x="2695575" y="1704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10</xdr:row>
      <xdr:rowOff>0</xdr:rowOff>
    </xdr:from>
    <xdr:to>
      <xdr:col>5</xdr:col>
      <xdr:colOff>209550</xdr:colOff>
      <xdr:row>14</xdr:row>
      <xdr:rowOff>0</xdr:rowOff>
    </xdr:to>
    <xdr:sp macro="" textlink="">
      <xdr:nvSpPr>
        <xdr:cNvPr id="13" name="Line 841">
          <a:extLst>
            <a:ext uri="{FF2B5EF4-FFF2-40B4-BE49-F238E27FC236}">
              <a16:creationId xmlns:a16="http://schemas.microsoft.com/office/drawing/2014/main" id="{00000000-0008-0000-0100-00000D000000}"/>
            </a:ext>
          </a:extLst>
        </xdr:cNvPr>
        <xdr:cNvSpPr>
          <a:spLocks noChangeShapeType="1"/>
        </xdr:cNvSpPr>
      </xdr:nvSpPr>
      <xdr:spPr bwMode="auto">
        <a:xfrm flipV="1">
          <a:off x="2857500" y="1704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9</xdr:row>
      <xdr:rowOff>209550</xdr:rowOff>
    </xdr:from>
    <xdr:to>
      <xdr:col>5</xdr:col>
      <xdr:colOff>390525</xdr:colOff>
      <xdr:row>14</xdr:row>
      <xdr:rowOff>19050</xdr:rowOff>
    </xdr:to>
    <xdr:sp macro="" textlink="">
      <xdr:nvSpPr>
        <xdr:cNvPr id="14" name="Line 842">
          <a:extLst>
            <a:ext uri="{FF2B5EF4-FFF2-40B4-BE49-F238E27FC236}">
              <a16:creationId xmlns:a16="http://schemas.microsoft.com/office/drawing/2014/main" id="{00000000-0008-0000-0100-00000E000000}"/>
            </a:ext>
          </a:extLst>
        </xdr:cNvPr>
        <xdr:cNvSpPr>
          <a:spLocks noChangeShapeType="1"/>
        </xdr:cNvSpPr>
      </xdr:nvSpPr>
      <xdr:spPr bwMode="auto">
        <a:xfrm flipV="1">
          <a:off x="303847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10</xdr:row>
      <xdr:rowOff>0</xdr:rowOff>
    </xdr:from>
    <xdr:to>
      <xdr:col>5</xdr:col>
      <xdr:colOff>552450</xdr:colOff>
      <xdr:row>14</xdr:row>
      <xdr:rowOff>28575</xdr:rowOff>
    </xdr:to>
    <xdr:sp macro="" textlink="">
      <xdr:nvSpPr>
        <xdr:cNvPr id="15" name="Line 843">
          <a:extLst>
            <a:ext uri="{FF2B5EF4-FFF2-40B4-BE49-F238E27FC236}">
              <a16:creationId xmlns:a16="http://schemas.microsoft.com/office/drawing/2014/main" id="{00000000-0008-0000-0100-00000F000000}"/>
            </a:ext>
          </a:extLst>
        </xdr:cNvPr>
        <xdr:cNvSpPr>
          <a:spLocks noChangeShapeType="1"/>
        </xdr:cNvSpPr>
      </xdr:nvSpPr>
      <xdr:spPr bwMode="auto">
        <a:xfrm flipV="1">
          <a:off x="3200400" y="170497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295275</xdr:colOff>
      <xdr:row>10</xdr:row>
      <xdr:rowOff>0</xdr:rowOff>
    </xdr:from>
    <xdr:to>
      <xdr:col>6</xdr:col>
      <xdr:colOff>295275</xdr:colOff>
      <xdr:row>14</xdr:row>
      <xdr:rowOff>0</xdr:rowOff>
    </xdr:to>
    <xdr:sp macro="" textlink="">
      <xdr:nvSpPr>
        <xdr:cNvPr id="16" name="Line 844">
          <a:extLst>
            <a:ext uri="{FF2B5EF4-FFF2-40B4-BE49-F238E27FC236}">
              <a16:creationId xmlns:a16="http://schemas.microsoft.com/office/drawing/2014/main" id="{00000000-0008-0000-0100-000010000000}"/>
            </a:ext>
          </a:extLst>
        </xdr:cNvPr>
        <xdr:cNvSpPr>
          <a:spLocks noChangeShapeType="1"/>
        </xdr:cNvSpPr>
      </xdr:nvSpPr>
      <xdr:spPr bwMode="auto">
        <a:xfrm flipV="1">
          <a:off x="3695700" y="1704975"/>
          <a:ext cx="0" cy="76200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438150</xdr:colOff>
      <xdr:row>10</xdr:row>
      <xdr:rowOff>0</xdr:rowOff>
    </xdr:from>
    <xdr:to>
      <xdr:col>6</xdr:col>
      <xdr:colOff>438150</xdr:colOff>
      <xdr:row>14</xdr:row>
      <xdr:rowOff>19050</xdr:rowOff>
    </xdr:to>
    <xdr:sp macro="" textlink="">
      <xdr:nvSpPr>
        <xdr:cNvPr id="17" name="Line 845">
          <a:extLst>
            <a:ext uri="{FF2B5EF4-FFF2-40B4-BE49-F238E27FC236}">
              <a16:creationId xmlns:a16="http://schemas.microsoft.com/office/drawing/2014/main" id="{00000000-0008-0000-0100-000011000000}"/>
            </a:ext>
          </a:extLst>
        </xdr:cNvPr>
        <xdr:cNvSpPr>
          <a:spLocks noChangeShapeType="1"/>
        </xdr:cNvSpPr>
      </xdr:nvSpPr>
      <xdr:spPr bwMode="auto">
        <a:xfrm flipV="1">
          <a:off x="383857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581025</xdr:colOff>
      <xdr:row>10</xdr:row>
      <xdr:rowOff>0</xdr:rowOff>
    </xdr:from>
    <xdr:to>
      <xdr:col>6</xdr:col>
      <xdr:colOff>581025</xdr:colOff>
      <xdr:row>14</xdr:row>
      <xdr:rowOff>28575</xdr:rowOff>
    </xdr:to>
    <xdr:sp macro="" textlink="">
      <xdr:nvSpPr>
        <xdr:cNvPr id="18" name="Line 846">
          <a:extLst>
            <a:ext uri="{FF2B5EF4-FFF2-40B4-BE49-F238E27FC236}">
              <a16:creationId xmlns:a16="http://schemas.microsoft.com/office/drawing/2014/main" id="{00000000-0008-0000-0100-000012000000}"/>
            </a:ext>
          </a:extLst>
        </xdr:cNvPr>
        <xdr:cNvSpPr>
          <a:spLocks noChangeShapeType="1"/>
        </xdr:cNvSpPr>
      </xdr:nvSpPr>
      <xdr:spPr bwMode="auto">
        <a:xfrm flipV="1">
          <a:off x="3981450" y="1704975"/>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742950</xdr:colOff>
      <xdr:row>10</xdr:row>
      <xdr:rowOff>0</xdr:rowOff>
    </xdr:from>
    <xdr:to>
      <xdr:col>6</xdr:col>
      <xdr:colOff>742950</xdr:colOff>
      <xdr:row>14</xdr:row>
      <xdr:rowOff>19050</xdr:rowOff>
    </xdr:to>
    <xdr:sp macro="" textlink="">
      <xdr:nvSpPr>
        <xdr:cNvPr id="19" name="Line 847">
          <a:extLst>
            <a:ext uri="{FF2B5EF4-FFF2-40B4-BE49-F238E27FC236}">
              <a16:creationId xmlns:a16="http://schemas.microsoft.com/office/drawing/2014/main" id="{00000000-0008-0000-0100-000013000000}"/>
            </a:ext>
          </a:extLst>
        </xdr:cNvPr>
        <xdr:cNvSpPr>
          <a:spLocks noChangeShapeType="1"/>
        </xdr:cNvSpPr>
      </xdr:nvSpPr>
      <xdr:spPr bwMode="auto">
        <a:xfrm flipV="1">
          <a:off x="414337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914400</xdr:colOff>
      <xdr:row>10</xdr:row>
      <xdr:rowOff>0</xdr:rowOff>
    </xdr:from>
    <xdr:to>
      <xdr:col>6</xdr:col>
      <xdr:colOff>914400</xdr:colOff>
      <xdr:row>14</xdr:row>
      <xdr:rowOff>19050</xdr:rowOff>
    </xdr:to>
    <xdr:sp macro="" textlink="">
      <xdr:nvSpPr>
        <xdr:cNvPr id="20" name="Line 848">
          <a:extLst>
            <a:ext uri="{FF2B5EF4-FFF2-40B4-BE49-F238E27FC236}">
              <a16:creationId xmlns:a16="http://schemas.microsoft.com/office/drawing/2014/main" id="{00000000-0008-0000-0100-000014000000}"/>
            </a:ext>
          </a:extLst>
        </xdr:cNvPr>
        <xdr:cNvSpPr>
          <a:spLocks noChangeShapeType="1"/>
        </xdr:cNvSpPr>
      </xdr:nvSpPr>
      <xdr:spPr bwMode="auto">
        <a:xfrm flipV="1">
          <a:off x="431482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1057275</xdr:colOff>
      <xdr:row>10</xdr:row>
      <xdr:rowOff>9525</xdr:rowOff>
    </xdr:from>
    <xdr:to>
      <xdr:col>6</xdr:col>
      <xdr:colOff>1057275</xdr:colOff>
      <xdr:row>14</xdr:row>
      <xdr:rowOff>0</xdr:rowOff>
    </xdr:to>
    <xdr:sp macro="" textlink="">
      <xdr:nvSpPr>
        <xdr:cNvPr id="21" name="Line 849">
          <a:extLst>
            <a:ext uri="{FF2B5EF4-FFF2-40B4-BE49-F238E27FC236}">
              <a16:creationId xmlns:a16="http://schemas.microsoft.com/office/drawing/2014/main" id="{00000000-0008-0000-0100-000015000000}"/>
            </a:ext>
          </a:extLst>
        </xdr:cNvPr>
        <xdr:cNvSpPr>
          <a:spLocks noChangeShapeType="1"/>
        </xdr:cNvSpPr>
      </xdr:nvSpPr>
      <xdr:spPr bwMode="auto">
        <a:xfrm flipV="1">
          <a:off x="4457700" y="1714500"/>
          <a:ext cx="0" cy="752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1219200</xdr:colOff>
      <xdr:row>10</xdr:row>
      <xdr:rowOff>0</xdr:rowOff>
    </xdr:from>
    <xdr:to>
      <xdr:col>6</xdr:col>
      <xdr:colOff>1219200</xdr:colOff>
      <xdr:row>14</xdr:row>
      <xdr:rowOff>0</xdr:rowOff>
    </xdr:to>
    <xdr:sp macro="" textlink="">
      <xdr:nvSpPr>
        <xdr:cNvPr id="22" name="Line 850">
          <a:extLst>
            <a:ext uri="{FF2B5EF4-FFF2-40B4-BE49-F238E27FC236}">
              <a16:creationId xmlns:a16="http://schemas.microsoft.com/office/drawing/2014/main" id="{00000000-0008-0000-0100-000016000000}"/>
            </a:ext>
          </a:extLst>
        </xdr:cNvPr>
        <xdr:cNvSpPr>
          <a:spLocks noChangeShapeType="1"/>
        </xdr:cNvSpPr>
      </xdr:nvSpPr>
      <xdr:spPr bwMode="auto">
        <a:xfrm flipV="1">
          <a:off x="4619625" y="1704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7</xdr:col>
      <xdr:colOff>19050</xdr:colOff>
      <xdr:row>10</xdr:row>
      <xdr:rowOff>0</xdr:rowOff>
    </xdr:from>
    <xdr:to>
      <xdr:col>7</xdr:col>
      <xdr:colOff>19050</xdr:colOff>
      <xdr:row>14</xdr:row>
      <xdr:rowOff>19050</xdr:rowOff>
    </xdr:to>
    <xdr:sp macro="" textlink="">
      <xdr:nvSpPr>
        <xdr:cNvPr id="23" name="Line 851">
          <a:extLst>
            <a:ext uri="{FF2B5EF4-FFF2-40B4-BE49-F238E27FC236}">
              <a16:creationId xmlns:a16="http://schemas.microsoft.com/office/drawing/2014/main" id="{00000000-0008-0000-0100-000017000000}"/>
            </a:ext>
          </a:extLst>
        </xdr:cNvPr>
        <xdr:cNvSpPr>
          <a:spLocks noChangeShapeType="1"/>
        </xdr:cNvSpPr>
      </xdr:nvSpPr>
      <xdr:spPr bwMode="auto">
        <a:xfrm flipV="1">
          <a:off x="4772025" y="1704975"/>
          <a:ext cx="0" cy="781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257175</xdr:colOff>
      <xdr:row>22</xdr:row>
      <xdr:rowOff>171450</xdr:rowOff>
    </xdr:from>
    <xdr:to>
      <xdr:col>6</xdr:col>
      <xdr:colOff>295275</xdr:colOff>
      <xdr:row>23</xdr:row>
      <xdr:rowOff>19050</xdr:rowOff>
    </xdr:to>
    <xdr:sp macro="" textlink="" fLocksText="0">
      <xdr:nvSpPr>
        <xdr:cNvPr id="24" name="Oval 852">
          <a:extLst>
            <a:ext uri="{FF2B5EF4-FFF2-40B4-BE49-F238E27FC236}">
              <a16:creationId xmlns:a16="http://schemas.microsoft.com/office/drawing/2014/main" id="{00000000-0008-0000-0100-000018000000}"/>
            </a:ext>
          </a:extLst>
        </xdr:cNvPr>
        <xdr:cNvSpPr>
          <a:spLocks noChangeArrowheads="1"/>
        </xdr:cNvSpPr>
      </xdr:nvSpPr>
      <xdr:spPr bwMode="auto">
        <a:xfrm>
          <a:off x="3657600" y="4162425"/>
          <a:ext cx="38100" cy="381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238125</xdr:colOff>
      <xdr:row>14</xdr:row>
      <xdr:rowOff>19050</xdr:rowOff>
    </xdr:from>
    <xdr:to>
      <xdr:col>6</xdr:col>
      <xdr:colOff>276225</xdr:colOff>
      <xdr:row>14</xdr:row>
      <xdr:rowOff>85725</xdr:rowOff>
    </xdr:to>
    <xdr:sp macro="" textlink="">
      <xdr:nvSpPr>
        <xdr:cNvPr id="25" name="Tegning 853">
          <a:extLst>
            <a:ext uri="{FF2B5EF4-FFF2-40B4-BE49-F238E27FC236}">
              <a16:creationId xmlns:a16="http://schemas.microsoft.com/office/drawing/2014/main" id="{00000000-0008-0000-0100-000019000000}"/>
            </a:ext>
          </a:extLst>
        </xdr:cNvPr>
        <xdr:cNvSpPr>
          <a:spLocks/>
        </xdr:cNvSpPr>
      </xdr:nvSpPr>
      <xdr:spPr bwMode="auto">
        <a:xfrm>
          <a:off x="3638550" y="2486025"/>
          <a:ext cx="38100" cy="66675"/>
        </a:xfrm>
        <a:custGeom>
          <a:avLst/>
          <a:gdLst>
            <a:gd name="T0" fmla="*/ 0 w 16384"/>
            <a:gd name="T1" fmla="*/ 0 h 16384"/>
            <a:gd name="T2" fmla="*/ 0 w 16384"/>
            <a:gd name="T3" fmla="*/ 2147483646 h 16384"/>
            <a:gd name="T4" fmla="*/ 2147483646 w 16384"/>
            <a:gd name="T5" fmla="*/ 2147483646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0" y="16384"/>
              </a:lnTo>
              <a:lnTo>
                <a:pt x="16384" y="16384"/>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247650</xdr:colOff>
      <xdr:row>9</xdr:row>
      <xdr:rowOff>142875</xdr:rowOff>
    </xdr:from>
    <xdr:to>
      <xdr:col>6</xdr:col>
      <xdr:colOff>276225</xdr:colOff>
      <xdr:row>10</xdr:row>
      <xdr:rowOff>0</xdr:rowOff>
    </xdr:to>
    <xdr:sp macro="" textlink="">
      <xdr:nvSpPr>
        <xdr:cNvPr id="26" name="Tegning 854">
          <a:extLst>
            <a:ext uri="{FF2B5EF4-FFF2-40B4-BE49-F238E27FC236}">
              <a16:creationId xmlns:a16="http://schemas.microsoft.com/office/drawing/2014/main" id="{00000000-0008-0000-0100-00001A000000}"/>
            </a:ext>
          </a:extLst>
        </xdr:cNvPr>
        <xdr:cNvSpPr>
          <a:spLocks/>
        </xdr:cNvSpPr>
      </xdr:nvSpPr>
      <xdr:spPr bwMode="auto">
        <a:xfrm>
          <a:off x="3648075" y="1657350"/>
          <a:ext cx="28575" cy="47625"/>
        </a:xfrm>
        <a:custGeom>
          <a:avLst/>
          <a:gdLst>
            <a:gd name="T0" fmla="*/ 0 w 16384"/>
            <a:gd name="T1" fmla="*/ 2147483646 h 16384"/>
            <a:gd name="T2" fmla="*/ 0 w 16384"/>
            <a:gd name="T3" fmla="*/ 0 h 16384"/>
            <a:gd name="T4" fmla="*/ 68851630 w 16384"/>
            <a:gd name="T5" fmla="*/ 0 h 16384"/>
            <a:gd name="T6" fmla="*/ 6885163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7</xdr:col>
      <xdr:colOff>504825</xdr:colOff>
      <xdr:row>22</xdr:row>
      <xdr:rowOff>161925</xdr:rowOff>
    </xdr:from>
    <xdr:to>
      <xdr:col>11</xdr:col>
      <xdr:colOff>209550</xdr:colOff>
      <xdr:row>25</xdr:row>
      <xdr:rowOff>95250</xdr:rowOff>
    </xdr:to>
    <xdr:sp macro="" textlink="">
      <xdr:nvSpPr>
        <xdr:cNvPr id="27" name="Tegning 855">
          <a:extLst>
            <a:ext uri="{FF2B5EF4-FFF2-40B4-BE49-F238E27FC236}">
              <a16:creationId xmlns:a16="http://schemas.microsoft.com/office/drawing/2014/main" id="{00000000-0008-0000-0100-00001B000000}"/>
            </a:ext>
          </a:extLst>
        </xdr:cNvPr>
        <xdr:cNvSpPr>
          <a:spLocks/>
        </xdr:cNvSpPr>
      </xdr:nvSpPr>
      <xdr:spPr bwMode="auto">
        <a:xfrm>
          <a:off x="5257800" y="4152900"/>
          <a:ext cx="1514475" cy="504825"/>
        </a:xfrm>
        <a:custGeom>
          <a:avLst/>
          <a:gdLst>
            <a:gd name="T0" fmla="*/ 2147483646 w 16384"/>
            <a:gd name="T1" fmla="*/ 2147483646 h 16384"/>
            <a:gd name="T2" fmla="*/ 2147483646 w 16384"/>
            <a:gd name="T3" fmla="*/ 2147483646 h 16384"/>
            <a:gd name="T4" fmla="*/ 2147483646 w 16384"/>
            <a:gd name="T5" fmla="*/ 0 h 16384"/>
            <a:gd name="T6" fmla="*/ 2147483646 w 16384"/>
            <a:gd name="T7" fmla="*/ 0 h 16384"/>
            <a:gd name="T8" fmla="*/ 2147483646 w 16384"/>
            <a:gd name="T9" fmla="*/ 2147483646 h 16384"/>
            <a:gd name="T10" fmla="*/ 2147483646 w 16384"/>
            <a:gd name="T11" fmla="*/ 2147483646 h 16384"/>
            <a:gd name="T12" fmla="*/ 2147483646 w 16384"/>
            <a:gd name="T13" fmla="*/ 2147483646 h 16384"/>
            <a:gd name="T14" fmla="*/ 0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683" y="6096"/>
              </a:moveTo>
              <a:lnTo>
                <a:pt x="3823" y="6096"/>
              </a:lnTo>
              <a:lnTo>
                <a:pt x="3823" y="0"/>
              </a:lnTo>
              <a:lnTo>
                <a:pt x="16384" y="0"/>
              </a:lnTo>
              <a:lnTo>
                <a:pt x="16384" y="3048"/>
              </a:lnTo>
              <a:lnTo>
                <a:pt x="13790" y="7620"/>
              </a:lnTo>
              <a:lnTo>
                <a:pt x="5871" y="7620"/>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38100</xdr:colOff>
      <xdr:row>22</xdr:row>
      <xdr:rowOff>209550</xdr:rowOff>
    </xdr:from>
    <xdr:to>
      <xdr:col>11</xdr:col>
      <xdr:colOff>104775</xdr:colOff>
      <xdr:row>23</xdr:row>
      <xdr:rowOff>66675</xdr:rowOff>
    </xdr:to>
    <xdr:sp macro="" textlink="" fLocksText="0">
      <xdr:nvSpPr>
        <xdr:cNvPr id="28" name="Oval 856">
          <a:extLst>
            <a:ext uri="{FF2B5EF4-FFF2-40B4-BE49-F238E27FC236}">
              <a16:creationId xmlns:a16="http://schemas.microsoft.com/office/drawing/2014/main" id="{00000000-0008-0000-0100-00001C000000}"/>
            </a:ext>
          </a:extLst>
        </xdr:cNvPr>
        <xdr:cNvSpPr>
          <a:spLocks noChangeArrowheads="1"/>
        </xdr:cNvSpPr>
      </xdr:nvSpPr>
      <xdr:spPr bwMode="auto">
        <a:xfrm>
          <a:off x="6600825" y="4181475"/>
          <a:ext cx="6667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238125</xdr:colOff>
      <xdr:row>22</xdr:row>
      <xdr:rowOff>161925</xdr:rowOff>
    </xdr:from>
    <xdr:to>
      <xdr:col>9</xdr:col>
      <xdr:colOff>438150</xdr:colOff>
      <xdr:row>23</xdr:row>
      <xdr:rowOff>209550</xdr:rowOff>
    </xdr:to>
    <xdr:sp macro="" textlink="">
      <xdr:nvSpPr>
        <xdr:cNvPr id="29" name="Tegning 857">
          <a:extLst>
            <a:ext uri="{FF2B5EF4-FFF2-40B4-BE49-F238E27FC236}">
              <a16:creationId xmlns:a16="http://schemas.microsoft.com/office/drawing/2014/main" id="{00000000-0008-0000-0100-00001D000000}"/>
            </a:ext>
          </a:extLst>
        </xdr:cNvPr>
        <xdr:cNvSpPr>
          <a:spLocks/>
        </xdr:cNvSpPr>
      </xdr:nvSpPr>
      <xdr:spPr bwMode="auto">
        <a:xfrm>
          <a:off x="5895975" y="4152900"/>
          <a:ext cx="200025" cy="219075"/>
        </a:xfrm>
        <a:custGeom>
          <a:avLst/>
          <a:gdLst>
            <a:gd name="T0" fmla="*/ 0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0" y="6242"/>
              </a:lnTo>
              <a:lnTo>
                <a:pt x="16384" y="16384"/>
              </a:lnTo>
            </a:path>
          </a:pathLst>
        </a:custGeom>
        <a:noFill/>
        <a:ln w="9525">
          <a:pattFill prst="pct75">
            <a:fgClr>
              <a:srgbClr val="000000"/>
            </a:fgClr>
            <a:bgClr>
              <a:srgbClr val="FFFFFF"/>
            </a:bgClr>
          </a:patt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638175</xdr:colOff>
      <xdr:row>21</xdr:row>
      <xdr:rowOff>161925</xdr:rowOff>
    </xdr:from>
    <xdr:to>
      <xdr:col>9</xdr:col>
      <xdr:colOff>638175</xdr:colOff>
      <xdr:row>28</xdr:row>
      <xdr:rowOff>19050</xdr:rowOff>
    </xdr:to>
    <xdr:sp macro="" textlink="">
      <xdr:nvSpPr>
        <xdr:cNvPr id="30" name="Line 858">
          <a:extLst>
            <a:ext uri="{FF2B5EF4-FFF2-40B4-BE49-F238E27FC236}">
              <a16:creationId xmlns:a16="http://schemas.microsoft.com/office/drawing/2014/main" id="{00000000-0008-0000-0100-00001E000000}"/>
            </a:ext>
          </a:extLst>
        </xdr:cNvPr>
        <xdr:cNvSpPr>
          <a:spLocks noChangeShapeType="1"/>
        </xdr:cNvSpPr>
      </xdr:nvSpPr>
      <xdr:spPr bwMode="auto">
        <a:xfrm>
          <a:off x="6296025" y="3962400"/>
          <a:ext cx="0" cy="1190625"/>
        </a:xfrm>
        <a:prstGeom prst="line">
          <a:avLst/>
        </a:prstGeom>
        <a:noFill/>
        <a:ln w="9525">
          <a:solidFill>
            <a:srgbClr val="000000"/>
          </a:solidFill>
          <a:prstDash val="lgDashDot"/>
          <a:round/>
          <a:headEnd/>
          <a:tailEnd/>
        </a:ln>
        <a:extLst>
          <a:ext uri="{909E8E84-426E-40DD-AFC4-6F175D3DCCD1}">
            <a14:hiddenFill xmlns:a14="http://schemas.microsoft.com/office/drawing/2010/main">
              <a:noFill/>
            </a14:hiddenFill>
          </a:ext>
        </a:extLst>
      </xdr:spPr>
    </xdr:sp>
    <xdr:clientData fLocksWithSheet="0"/>
  </xdr:twoCellAnchor>
  <xdr:twoCellAnchor>
    <xdr:from>
      <xdr:col>7</xdr:col>
      <xdr:colOff>571500</xdr:colOff>
      <xdr:row>23</xdr:row>
      <xdr:rowOff>161925</xdr:rowOff>
    </xdr:from>
    <xdr:to>
      <xdr:col>7</xdr:col>
      <xdr:colOff>571500</xdr:colOff>
      <xdr:row>24</xdr:row>
      <xdr:rowOff>95250</xdr:rowOff>
    </xdr:to>
    <xdr:sp macro="" textlink="">
      <xdr:nvSpPr>
        <xdr:cNvPr id="31" name="Line 859">
          <a:extLst>
            <a:ext uri="{FF2B5EF4-FFF2-40B4-BE49-F238E27FC236}">
              <a16:creationId xmlns:a16="http://schemas.microsoft.com/office/drawing/2014/main" id="{00000000-0008-0000-0100-00001F000000}"/>
            </a:ext>
          </a:extLst>
        </xdr:cNvPr>
        <xdr:cNvSpPr>
          <a:spLocks noChangeShapeType="1"/>
        </xdr:cNvSpPr>
      </xdr:nvSpPr>
      <xdr:spPr bwMode="auto">
        <a:xfrm>
          <a:off x="5324475" y="4343400"/>
          <a:ext cx="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7</xdr:col>
      <xdr:colOff>485775</xdr:colOff>
      <xdr:row>24</xdr:row>
      <xdr:rowOff>76200</xdr:rowOff>
    </xdr:from>
    <xdr:to>
      <xdr:col>7</xdr:col>
      <xdr:colOff>571500</xdr:colOff>
      <xdr:row>24</xdr:row>
      <xdr:rowOff>76200</xdr:rowOff>
    </xdr:to>
    <xdr:sp macro="" textlink="">
      <xdr:nvSpPr>
        <xdr:cNvPr id="32" name="Line 860">
          <a:extLst>
            <a:ext uri="{FF2B5EF4-FFF2-40B4-BE49-F238E27FC236}">
              <a16:creationId xmlns:a16="http://schemas.microsoft.com/office/drawing/2014/main" id="{00000000-0008-0000-0100-000020000000}"/>
            </a:ext>
          </a:extLst>
        </xdr:cNvPr>
        <xdr:cNvSpPr>
          <a:spLocks noChangeShapeType="1"/>
        </xdr:cNvSpPr>
      </xdr:nvSpPr>
      <xdr:spPr bwMode="auto">
        <a:xfrm flipH="1">
          <a:off x="5238750" y="4448175"/>
          <a:ext cx="85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247650</xdr:colOff>
      <xdr:row>21</xdr:row>
      <xdr:rowOff>209550</xdr:rowOff>
    </xdr:from>
    <xdr:to>
      <xdr:col>11</xdr:col>
      <xdr:colOff>657225</xdr:colOff>
      <xdr:row>23</xdr:row>
      <xdr:rowOff>28575</xdr:rowOff>
    </xdr:to>
    <xdr:sp macro="" textlink="">
      <xdr:nvSpPr>
        <xdr:cNvPr id="33" name="Line 861">
          <a:extLst>
            <a:ext uri="{FF2B5EF4-FFF2-40B4-BE49-F238E27FC236}">
              <a16:creationId xmlns:a16="http://schemas.microsoft.com/office/drawing/2014/main" id="{00000000-0008-0000-0100-000021000000}"/>
            </a:ext>
          </a:extLst>
        </xdr:cNvPr>
        <xdr:cNvSpPr>
          <a:spLocks noChangeShapeType="1"/>
        </xdr:cNvSpPr>
      </xdr:nvSpPr>
      <xdr:spPr bwMode="auto">
        <a:xfrm flipV="1">
          <a:off x="6810375" y="3990975"/>
          <a:ext cx="409575" cy="219075"/>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85725</xdr:colOff>
      <xdr:row>21</xdr:row>
      <xdr:rowOff>47625</xdr:rowOff>
    </xdr:from>
    <xdr:to>
      <xdr:col>12</xdr:col>
      <xdr:colOff>0</xdr:colOff>
      <xdr:row>23</xdr:row>
      <xdr:rowOff>47625</xdr:rowOff>
    </xdr:to>
    <xdr:sp macro="" textlink="">
      <xdr:nvSpPr>
        <xdr:cNvPr id="34" name="Tegning 862">
          <a:extLst>
            <a:ext uri="{FF2B5EF4-FFF2-40B4-BE49-F238E27FC236}">
              <a16:creationId xmlns:a16="http://schemas.microsoft.com/office/drawing/2014/main" id="{00000000-0008-0000-0100-000022000000}"/>
            </a:ext>
          </a:extLst>
        </xdr:cNvPr>
        <xdr:cNvSpPr>
          <a:spLocks/>
        </xdr:cNvSpPr>
      </xdr:nvSpPr>
      <xdr:spPr bwMode="auto">
        <a:xfrm>
          <a:off x="6648450" y="3848100"/>
          <a:ext cx="581025" cy="381000"/>
        </a:xfrm>
        <a:custGeom>
          <a:avLst/>
          <a:gdLst>
            <a:gd name="T0" fmla="*/ 2147483646 w 16384"/>
            <a:gd name="T1" fmla="*/ 2147483646 h 16384"/>
            <a:gd name="T2" fmla="*/ 2147483646 w 16384"/>
            <a:gd name="T3" fmla="*/ 2147483646 h 16384"/>
            <a:gd name="T4" fmla="*/ 0 w 16384"/>
            <a:gd name="T5" fmla="*/ 2147483646 h 16384"/>
            <a:gd name="T6" fmla="*/ 0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0 h 16384"/>
            <a:gd name="T16" fmla="*/ 2147483646 w 16384"/>
            <a:gd name="T17" fmla="*/ 0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4489" y="16384"/>
              </a:moveTo>
              <a:lnTo>
                <a:pt x="4489" y="12201"/>
              </a:lnTo>
              <a:lnTo>
                <a:pt x="0" y="12201"/>
              </a:lnTo>
              <a:lnTo>
                <a:pt x="0" y="8715"/>
              </a:lnTo>
              <a:lnTo>
                <a:pt x="6284" y="8715"/>
              </a:lnTo>
              <a:lnTo>
                <a:pt x="6284" y="4183"/>
              </a:lnTo>
              <a:lnTo>
                <a:pt x="11446" y="4183"/>
              </a:lnTo>
              <a:lnTo>
                <a:pt x="11446"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171450</xdr:colOff>
      <xdr:row>20</xdr:row>
      <xdr:rowOff>95250</xdr:rowOff>
    </xdr:from>
    <xdr:to>
      <xdr:col>11</xdr:col>
      <xdr:colOff>171450</xdr:colOff>
      <xdr:row>22</xdr:row>
      <xdr:rowOff>47625</xdr:rowOff>
    </xdr:to>
    <xdr:sp macro="" textlink="">
      <xdr:nvSpPr>
        <xdr:cNvPr id="35" name="Line 863">
          <a:extLst>
            <a:ext uri="{FF2B5EF4-FFF2-40B4-BE49-F238E27FC236}">
              <a16:creationId xmlns:a16="http://schemas.microsoft.com/office/drawing/2014/main" id="{00000000-0008-0000-0100-000023000000}"/>
            </a:ext>
          </a:extLst>
        </xdr:cNvPr>
        <xdr:cNvSpPr>
          <a:spLocks noChangeShapeType="1"/>
        </xdr:cNvSpPr>
      </xdr:nvSpPr>
      <xdr:spPr bwMode="auto">
        <a:xfrm>
          <a:off x="6734175" y="3705225"/>
          <a:ext cx="0" cy="3333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17</xdr:row>
      <xdr:rowOff>0</xdr:rowOff>
    </xdr:from>
    <xdr:to>
      <xdr:col>7</xdr:col>
      <xdr:colOff>171450</xdr:colOff>
      <xdr:row>18</xdr:row>
      <xdr:rowOff>0</xdr:rowOff>
    </xdr:to>
    <xdr:sp macro="" textlink="">
      <xdr:nvSpPr>
        <xdr:cNvPr id="36" name="Tegning 864">
          <a:extLst>
            <a:ext uri="{FF2B5EF4-FFF2-40B4-BE49-F238E27FC236}">
              <a16:creationId xmlns:a16="http://schemas.microsoft.com/office/drawing/2014/main" id="{00000000-0008-0000-0100-000024000000}"/>
            </a:ext>
          </a:extLst>
        </xdr:cNvPr>
        <xdr:cNvSpPr>
          <a:spLocks/>
        </xdr:cNvSpPr>
      </xdr:nvSpPr>
      <xdr:spPr bwMode="auto">
        <a:xfrm>
          <a:off x="2000250" y="3038475"/>
          <a:ext cx="2924175" cy="190500"/>
        </a:xfrm>
        <a:custGeom>
          <a:avLst/>
          <a:gdLst>
            <a:gd name="T0" fmla="*/ 0 w 16384"/>
            <a:gd name="T1" fmla="*/ 0 h 16384"/>
            <a:gd name="T2" fmla="*/ 0 w 16384"/>
            <a:gd name="T3" fmla="*/ 2147483646 h 16384"/>
            <a:gd name="T4" fmla="*/ 2147483646 w 16384"/>
            <a:gd name="T5" fmla="*/ 2147483646 h 16384"/>
            <a:gd name="T6" fmla="*/ 2147483646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0" y="16384"/>
              </a:lnTo>
              <a:lnTo>
                <a:pt x="16384" y="16384"/>
              </a:lnTo>
              <a:lnTo>
                <a:pt x="16384" y="0"/>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323850</xdr:colOff>
      <xdr:row>31</xdr:row>
      <xdr:rowOff>180975</xdr:rowOff>
    </xdr:from>
    <xdr:to>
      <xdr:col>6</xdr:col>
      <xdr:colOff>323850</xdr:colOff>
      <xdr:row>32</xdr:row>
      <xdr:rowOff>142875</xdr:rowOff>
    </xdr:to>
    <xdr:sp macro="" textlink="">
      <xdr:nvSpPr>
        <xdr:cNvPr id="37" name="Line 865">
          <a:extLst>
            <a:ext uri="{FF2B5EF4-FFF2-40B4-BE49-F238E27FC236}">
              <a16:creationId xmlns:a16="http://schemas.microsoft.com/office/drawing/2014/main" id="{00000000-0008-0000-0100-000025000000}"/>
            </a:ext>
          </a:extLst>
        </xdr:cNvPr>
        <xdr:cNvSpPr>
          <a:spLocks noChangeShapeType="1"/>
        </xdr:cNvSpPr>
      </xdr:nvSpPr>
      <xdr:spPr bwMode="auto">
        <a:xfrm>
          <a:off x="3724275" y="5886450"/>
          <a:ext cx="0" cy="15240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16</xdr:row>
      <xdr:rowOff>180975</xdr:rowOff>
    </xdr:from>
    <xdr:to>
      <xdr:col>2</xdr:col>
      <xdr:colOff>276225</xdr:colOff>
      <xdr:row>18</xdr:row>
      <xdr:rowOff>180975</xdr:rowOff>
    </xdr:to>
    <xdr:sp macro="" textlink="">
      <xdr:nvSpPr>
        <xdr:cNvPr id="38" name="Line 866">
          <a:extLst>
            <a:ext uri="{FF2B5EF4-FFF2-40B4-BE49-F238E27FC236}">
              <a16:creationId xmlns:a16="http://schemas.microsoft.com/office/drawing/2014/main" id="{00000000-0008-0000-0100-000026000000}"/>
            </a:ext>
          </a:extLst>
        </xdr:cNvPr>
        <xdr:cNvSpPr>
          <a:spLocks noChangeShapeType="1"/>
        </xdr:cNvSpPr>
      </xdr:nvSpPr>
      <xdr:spPr bwMode="auto">
        <a:xfrm>
          <a:off x="1695450" y="3028950"/>
          <a:ext cx="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180975</xdr:colOff>
      <xdr:row>17</xdr:row>
      <xdr:rowOff>9525</xdr:rowOff>
    </xdr:from>
    <xdr:to>
      <xdr:col>2</xdr:col>
      <xdr:colOff>542925</xdr:colOff>
      <xdr:row>17</xdr:row>
      <xdr:rowOff>9525</xdr:rowOff>
    </xdr:to>
    <xdr:sp macro="" textlink="">
      <xdr:nvSpPr>
        <xdr:cNvPr id="39" name="Line 867">
          <a:extLst>
            <a:ext uri="{FF2B5EF4-FFF2-40B4-BE49-F238E27FC236}">
              <a16:creationId xmlns:a16="http://schemas.microsoft.com/office/drawing/2014/main" id="{00000000-0008-0000-0100-000027000000}"/>
            </a:ext>
          </a:extLst>
        </xdr:cNvPr>
        <xdr:cNvSpPr>
          <a:spLocks noChangeShapeType="1"/>
        </xdr:cNvSpPr>
      </xdr:nvSpPr>
      <xdr:spPr bwMode="auto">
        <a:xfrm flipH="1">
          <a:off x="1600200" y="3048000"/>
          <a:ext cx="361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18</xdr:row>
      <xdr:rowOff>0</xdr:rowOff>
    </xdr:from>
    <xdr:to>
      <xdr:col>2</xdr:col>
      <xdr:colOff>533400</xdr:colOff>
      <xdr:row>18</xdr:row>
      <xdr:rowOff>9525</xdr:rowOff>
    </xdr:to>
    <xdr:sp macro="" textlink="">
      <xdr:nvSpPr>
        <xdr:cNvPr id="40" name="Line 868">
          <a:extLst>
            <a:ext uri="{FF2B5EF4-FFF2-40B4-BE49-F238E27FC236}">
              <a16:creationId xmlns:a16="http://schemas.microsoft.com/office/drawing/2014/main" id="{00000000-0008-0000-0100-000028000000}"/>
            </a:ext>
          </a:extLst>
        </xdr:cNvPr>
        <xdr:cNvSpPr>
          <a:spLocks noChangeShapeType="1"/>
        </xdr:cNvSpPr>
      </xdr:nvSpPr>
      <xdr:spPr bwMode="auto">
        <a:xfrm flipH="1">
          <a:off x="1647825" y="3228975"/>
          <a:ext cx="304800"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16</xdr:row>
      <xdr:rowOff>152400</xdr:rowOff>
    </xdr:from>
    <xdr:to>
      <xdr:col>2</xdr:col>
      <xdr:colOff>342900</xdr:colOff>
      <xdr:row>17</xdr:row>
      <xdr:rowOff>47625</xdr:rowOff>
    </xdr:to>
    <xdr:sp macro="" textlink="">
      <xdr:nvSpPr>
        <xdr:cNvPr id="41" name="Line 869">
          <a:extLst>
            <a:ext uri="{FF2B5EF4-FFF2-40B4-BE49-F238E27FC236}">
              <a16:creationId xmlns:a16="http://schemas.microsoft.com/office/drawing/2014/main" id="{00000000-0008-0000-0100-000029000000}"/>
            </a:ext>
          </a:extLst>
        </xdr:cNvPr>
        <xdr:cNvSpPr>
          <a:spLocks noChangeShapeType="1"/>
        </xdr:cNvSpPr>
      </xdr:nvSpPr>
      <xdr:spPr bwMode="auto">
        <a:xfrm flipH="1">
          <a:off x="1657350" y="3000375"/>
          <a:ext cx="1047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17</xdr:row>
      <xdr:rowOff>152400</xdr:rowOff>
    </xdr:from>
    <xdr:to>
      <xdr:col>2</xdr:col>
      <xdr:colOff>342900</xdr:colOff>
      <xdr:row>18</xdr:row>
      <xdr:rowOff>85725</xdr:rowOff>
    </xdr:to>
    <xdr:sp macro="" textlink="">
      <xdr:nvSpPr>
        <xdr:cNvPr id="42" name="Line 870">
          <a:extLst>
            <a:ext uri="{FF2B5EF4-FFF2-40B4-BE49-F238E27FC236}">
              <a16:creationId xmlns:a16="http://schemas.microsoft.com/office/drawing/2014/main" id="{00000000-0008-0000-0100-00002A000000}"/>
            </a:ext>
          </a:extLst>
        </xdr:cNvPr>
        <xdr:cNvSpPr>
          <a:spLocks noChangeShapeType="1"/>
        </xdr:cNvSpPr>
      </xdr:nvSpPr>
      <xdr:spPr bwMode="auto">
        <a:xfrm flipH="1">
          <a:off x="1638300" y="319087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171450</xdr:colOff>
      <xdr:row>20</xdr:row>
      <xdr:rowOff>76200</xdr:rowOff>
    </xdr:from>
    <xdr:to>
      <xdr:col>6</xdr:col>
      <xdr:colOff>171450</xdr:colOff>
      <xdr:row>32</xdr:row>
      <xdr:rowOff>133350</xdr:rowOff>
    </xdr:to>
    <xdr:sp macro="" textlink="">
      <xdr:nvSpPr>
        <xdr:cNvPr id="43" name="Line 871">
          <a:extLst>
            <a:ext uri="{FF2B5EF4-FFF2-40B4-BE49-F238E27FC236}">
              <a16:creationId xmlns:a16="http://schemas.microsoft.com/office/drawing/2014/main" id="{00000000-0008-0000-0100-00002B000000}"/>
            </a:ext>
          </a:extLst>
        </xdr:cNvPr>
        <xdr:cNvSpPr>
          <a:spLocks noChangeShapeType="1"/>
        </xdr:cNvSpPr>
      </xdr:nvSpPr>
      <xdr:spPr bwMode="auto">
        <a:xfrm>
          <a:off x="3571875" y="3686175"/>
          <a:ext cx="0" cy="2343150"/>
        </a:xfrm>
        <a:prstGeom prst="line">
          <a:avLst/>
        </a:prstGeom>
        <a:noFill/>
        <a:ln w="9525">
          <a:solidFill>
            <a:srgbClr val="000000"/>
          </a:solidFill>
          <a:prstDash val="lgDashDot"/>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12</xdr:row>
      <xdr:rowOff>0</xdr:rowOff>
    </xdr:from>
    <xdr:to>
      <xdr:col>6</xdr:col>
      <xdr:colOff>76200</xdr:colOff>
      <xdr:row>12</xdr:row>
      <xdr:rowOff>0</xdr:rowOff>
    </xdr:to>
    <xdr:sp macro="" textlink="">
      <xdr:nvSpPr>
        <xdr:cNvPr id="44" name="Line 872">
          <a:extLst>
            <a:ext uri="{FF2B5EF4-FFF2-40B4-BE49-F238E27FC236}">
              <a16:creationId xmlns:a16="http://schemas.microsoft.com/office/drawing/2014/main" id="{00000000-0008-0000-0100-00002C000000}"/>
            </a:ext>
          </a:extLst>
        </xdr:cNvPr>
        <xdr:cNvSpPr>
          <a:spLocks noChangeShapeType="1"/>
        </xdr:cNvSpPr>
      </xdr:nvSpPr>
      <xdr:spPr bwMode="auto">
        <a:xfrm>
          <a:off x="2028825" y="2085975"/>
          <a:ext cx="1447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11</xdr:row>
      <xdr:rowOff>95250</xdr:rowOff>
    </xdr:from>
    <xdr:to>
      <xdr:col>3</xdr:col>
      <xdr:colOff>123825</xdr:colOff>
      <xdr:row>12</xdr:row>
      <xdr:rowOff>95250</xdr:rowOff>
    </xdr:to>
    <xdr:sp macro="" textlink="">
      <xdr:nvSpPr>
        <xdr:cNvPr id="45" name="Tegning 873">
          <a:extLst>
            <a:ext uri="{FF2B5EF4-FFF2-40B4-BE49-F238E27FC236}">
              <a16:creationId xmlns:a16="http://schemas.microsoft.com/office/drawing/2014/main" id="{00000000-0008-0000-0100-00002D000000}"/>
            </a:ext>
          </a:extLst>
        </xdr:cNvPr>
        <xdr:cNvSpPr>
          <a:spLocks/>
        </xdr:cNvSpPr>
      </xdr:nvSpPr>
      <xdr:spPr bwMode="auto">
        <a:xfrm>
          <a:off x="2019300" y="1990725"/>
          <a:ext cx="104775"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0</xdr:colOff>
      <xdr:row>11</xdr:row>
      <xdr:rowOff>114300</xdr:rowOff>
    </xdr:from>
    <xdr:to>
      <xdr:col>6</xdr:col>
      <xdr:colOff>104775</xdr:colOff>
      <xdr:row>12</xdr:row>
      <xdr:rowOff>123825</xdr:rowOff>
    </xdr:to>
    <xdr:sp macro="" textlink="">
      <xdr:nvSpPr>
        <xdr:cNvPr id="46" name="Tegning 874">
          <a:extLst>
            <a:ext uri="{FF2B5EF4-FFF2-40B4-BE49-F238E27FC236}">
              <a16:creationId xmlns:a16="http://schemas.microsoft.com/office/drawing/2014/main" id="{00000000-0008-0000-0100-00002E000000}"/>
            </a:ext>
          </a:extLst>
        </xdr:cNvPr>
        <xdr:cNvSpPr>
          <a:spLocks/>
        </xdr:cNvSpPr>
      </xdr:nvSpPr>
      <xdr:spPr bwMode="auto">
        <a:xfrm>
          <a:off x="3400425" y="2009775"/>
          <a:ext cx="104775" cy="2000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820" y="0"/>
              </a:moveTo>
              <a:lnTo>
                <a:pt x="16384" y="771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28575</xdr:colOff>
      <xdr:row>33</xdr:row>
      <xdr:rowOff>0</xdr:rowOff>
    </xdr:from>
    <xdr:to>
      <xdr:col>6</xdr:col>
      <xdr:colOff>323850</xdr:colOff>
      <xdr:row>37</xdr:row>
      <xdr:rowOff>95250</xdr:rowOff>
    </xdr:to>
    <xdr:sp macro="" textlink="">
      <xdr:nvSpPr>
        <xdr:cNvPr id="47" name="Tegning 875">
          <a:extLst>
            <a:ext uri="{FF2B5EF4-FFF2-40B4-BE49-F238E27FC236}">
              <a16:creationId xmlns:a16="http://schemas.microsoft.com/office/drawing/2014/main" id="{00000000-0008-0000-0100-00002F000000}"/>
            </a:ext>
          </a:extLst>
        </xdr:cNvPr>
        <xdr:cNvSpPr>
          <a:spLocks/>
        </xdr:cNvSpPr>
      </xdr:nvSpPr>
      <xdr:spPr bwMode="auto">
        <a:xfrm>
          <a:off x="2028825" y="6086475"/>
          <a:ext cx="1695450" cy="857250"/>
        </a:xfrm>
        <a:custGeom>
          <a:avLst/>
          <a:gdLst>
            <a:gd name="T0" fmla="*/ 2147483646 w 16384"/>
            <a:gd name="T1" fmla="*/ 0 h 16384"/>
            <a:gd name="T2" fmla="*/ 2147483646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11198" y="0"/>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314325</xdr:colOff>
      <xdr:row>31</xdr:row>
      <xdr:rowOff>19050</xdr:rowOff>
    </xdr:from>
    <xdr:to>
      <xdr:col>6</xdr:col>
      <xdr:colOff>314325</xdr:colOff>
      <xdr:row>33</xdr:row>
      <xdr:rowOff>9525</xdr:rowOff>
    </xdr:to>
    <xdr:sp macro="" textlink="">
      <xdr:nvSpPr>
        <xdr:cNvPr id="48" name="Line 876">
          <a:extLst>
            <a:ext uri="{FF2B5EF4-FFF2-40B4-BE49-F238E27FC236}">
              <a16:creationId xmlns:a16="http://schemas.microsoft.com/office/drawing/2014/main" id="{00000000-0008-0000-0100-000030000000}"/>
            </a:ext>
          </a:extLst>
        </xdr:cNvPr>
        <xdr:cNvSpPr>
          <a:spLocks noChangeShapeType="1"/>
        </xdr:cNvSpPr>
      </xdr:nvSpPr>
      <xdr:spPr bwMode="auto">
        <a:xfrm>
          <a:off x="3714750" y="5724525"/>
          <a:ext cx="0" cy="3714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30</xdr:row>
      <xdr:rowOff>0</xdr:rowOff>
    </xdr:from>
    <xdr:to>
      <xdr:col>7</xdr:col>
      <xdr:colOff>238125</xdr:colOff>
      <xdr:row>30</xdr:row>
      <xdr:rowOff>0</xdr:rowOff>
    </xdr:to>
    <xdr:sp macro="" textlink="">
      <xdr:nvSpPr>
        <xdr:cNvPr id="49" name="Line 877">
          <a:extLst>
            <a:ext uri="{FF2B5EF4-FFF2-40B4-BE49-F238E27FC236}">
              <a16:creationId xmlns:a16="http://schemas.microsoft.com/office/drawing/2014/main" id="{00000000-0008-0000-0100-000031000000}"/>
            </a:ext>
          </a:extLst>
        </xdr:cNvPr>
        <xdr:cNvSpPr>
          <a:spLocks noChangeShapeType="1"/>
        </xdr:cNvSpPr>
      </xdr:nvSpPr>
      <xdr:spPr bwMode="auto">
        <a:xfrm>
          <a:off x="1971675" y="5514975"/>
          <a:ext cx="3019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29</xdr:row>
      <xdr:rowOff>142875</xdr:rowOff>
    </xdr:from>
    <xdr:to>
      <xdr:col>3</xdr:col>
      <xdr:colOff>85725</xdr:colOff>
      <xdr:row>30</xdr:row>
      <xdr:rowOff>47625</xdr:rowOff>
    </xdr:to>
    <xdr:sp macro="" textlink="">
      <xdr:nvSpPr>
        <xdr:cNvPr id="50" name="Line 878">
          <a:extLst>
            <a:ext uri="{FF2B5EF4-FFF2-40B4-BE49-F238E27FC236}">
              <a16:creationId xmlns:a16="http://schemas.microsoft.com/office/drawing/2014/main" id="{00000000-0008-0000-0100-000032000000}"/>
            </a:ext>
          </a:extLst>
        </xdr:cNvPr>
        <xdr:cNvSpPr>
          <a:spLocks noChangeShapeType="1"/>
        </xdr:cNvSpPr>
      </xdr:nvSpPr>
      <xdr:spPr bwMode="auto">
        <a:xfrm flipH="1">
          <a:off x="1952625" y="5467350"/>
          <a:ext cx="1333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276225</xdr:colOff>
      <xdr:row>29</xdr:row>
      <xdr:rowOff>142875</xdr:rowOff>
    </xdr:from>
    <xdr:to>
      <xdr:col>6</xdr:col>
      <xdr:colOff>361950</xdr:colOff>
      <xdr:row>30</xdr:row>
      <xdr:rowOff>28575</xdr:rowOff>
    </xdr:to>
    <xdr:sp macro="" textlink="">
      <xdr:nvSpPr>
        <xdr:cNvPr id="51" name="Line 879">
          <a:extLst>
            <a:ext uri="{FF2B5EF4-FFF2-40B4-BE49-F238E27FC236}">
              <a16:creationId xmlns:a16="http://schemas.microsoft.com/office/drawing/2014/main" id="{00000000-0008-0000-0100-000033000000}"/>
            </a:ext>
          </a:extLst>
        </xdr:cNvPr>
        <xdr:cNvSpPr>
          <a:spLocks noChangeShapeType="1"/>
        </xdr:cNvSpPr>
      </xdr:nvSpPr>
      <xdr:spPr bwMode="auto">
        <a:xfrm flipH="1">
          <a:off x="3676650" y="5467350"/>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7</xdr:col>
      <xdr:colOff>104775</xdr:colOff>
      <xdr:row>29</xdr:row>
      <xdr:rowOff>123825</xdr:rowOff>
    </xdr:from>
    <xdr:to>
      <xdr:col>7</xdr:col>
      <xdr:colOff>238125</xdr:colOff>
      <xdr:row>30</xdr:row>
      <xdr:rowOff>47625</xdr:rowOff>
    </xdr:to>
    <xdr:sp macro="" textlink="">
      <xdr:nvSpPr>
        <xdr:cNvPr id="52" name="Line 880">
          <a:extLst>
            <a:ext uri="{FF2B5EF4-FFF2-40B4-BE49-F238E27FC236}">
              <a16:creationId xmlns:a16="http://schemas.microsoft.com/office/drawing/2014/main" id="{00000000-0008-0000-0100-000034000000}"/>
            </a:ext>
          </a:extLst>
        </xdr:cNvPr>
        <xdr:cNvSpPr>
          <a:spLocks noChangeShapeType="1"/>
        </xdr:cNvSpPr>
      </xdr:nvSpPr>
      <xdr:spPr bwMode="auto">
        <a:xfrm flipH="1">
          <a:off x="4857750" y="5448300"/>
          <a:ext cx="1333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180975</xdr:colOff>
      <xdr:row>33</xdr:row>
      <xdr:rowOff>0</xdr:rowOff>
    </xdr:from>
    <xdr:to>
      <xdr:col>6</xdr:col>
      <xdr:colOff>180975</xdr:colOff>
      <xdr:row>35</xdr:row>
      <xdr:rowOff>0</xdr:rowOff>
    </xdr:to>
    <xdr:sp macro="" textlink="">
      <xdr:nvSpPr>
        <xdr:cNvPr id="53" name="Line 881">
          <a:extLst>
            <a:ext uri="{FF2B5EF4-FFF2-40B4-BE49-F238E27FC236}">
              <a16:creationId xmlns:a16="http://schemas.microsoft.com/office/drawing/2014/main" id="{00000000-0008-0000-0100-000035000000}"/>
            </a:ext>
          </a:extLst>
        </xdr:cNvPr>
        <xdr:cNvSpPr>
          <a:spLocks noChangeShapeType="1"/>
        </xdr:cNvSpPr>
      </xdr:nvSpPr>
      <xdr:spPr bwMode="auto">
        <a:xfrm flipV="1">
          <a:off x="3581400" y="6086475"/>
          <a:ext cx="0" cy="381000"/>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37</xdr:row>
      <xdr:rowOff>95250</xdr:rowOff>
    </xdr:from>
    <xdr:to>
      <xdr:col>3</xdr:col>
      <xdr:colOff>28575</xdr:colOff>
      <xdr:row>39</xdr:row>
      <xdr:rowOff>47625</xdr:rowOff>
    </xdr:to>
    <xdr:sp macro="" textlink="">
      <xdr:nvSpPr>
        <xdr:cNvPr id="54" name="Line 882">
          <a:extLst>
            <a:ext uri="{FF2B5EF4-FFF2-40B4-BE49-F238E27FC236}">
              <a16:creationId xmlns:a16="http://schemas.microsoft.com/office/drawing/2014/main" id="{00000000-0008-0000-0100-000036000000}"/>
            </a:ext>
          </a:extLst>
        </xdr:cNvPr>
        <xdr:cNvSpPr>
          <a:spLocks noChangeShapeType="1"/>
        </xdr:cNvSpPr>
      </xdr:nvSpPr>
      <xdr:spPr bwMode="auto">
        <a:xfrm flipV="1">
          <a:off x="2028825" y="6943725"/>
          <a:ext cx="0" cy="333375"/>
        </a:xfrm>
        <a:prstGeom prst="line">
          <a:avLst/>
        </a:prstGeom>
        <a:noFill/>
        <a:ln w="15875">
          <a:solidFill>
            <a:srgbClr val="000000"/>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6</xdr:col>
      <xdr:colOff>171450</xdr:colOff>
      <xdr:row>12</xdr:row>
      <xdr:rowOff>28575</xdr:rowOff>
    </xdr:from>
    <xdr:to>
      <xdr:col>6</xdr:col>
      <xdr:colOff>171450</xdr:colOff>
      <xdr:row>13</xdr:row>
      <xdr:rowOff>142875</xdr:rowOff>
    </xdr:to>
    <xdr:sp macro="" textlink="">
      <xdr:nvSpPr>
        <xdr:cNvPr id="55" name="Line 883">
          <a:extLst>
            <a:ext uri="{FF2B5EF4-FFF2-40B4-BE49-F238E27FC236}">
              <a16:creationId xmlns:a16="http://schemas.microsoft.com/office/drawing/2014/main" id="{00000000-0008-0000-0100-000037000000}"/>
            </a:ext>
          </a:extLst>
        </xdr:cNvPr>
        <xdr:cNvSpPr>
          <a:spLocks noChangeShapeType="1"/>
        </xdr:cNvSpPr>
      </xdr:nvSpPr>
      <xdr:spPr bwMode="auto">
        <a:xfrm flipV="1">
          <a:off x="3571875" y="2114550"/>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85725</xdr:colOff>
      <xdr:row>10</xdr:row>
      <xdr:rowOff>57150</xdr:rowOff>
    </xdr:from>
    <xdr:to>
      <xdr:col>6</xdr:col>
      <xdr:colOff>247650</xdr:colOff>
      <xdr:row>10</xdr:row>
      <xdr:rowOff>152400</xdr:rowOff>
    </xdr:to>
    <xdr:sp macro="" textlink="">
      <xdr:nvSpPr>
        <xdr:cNvPr id="56" name="Tegning 884">
          <a:extLst>
            <a:ext uri="{FF2B5EF4-FFF2-40B4-BE49-F238E27FC236}">
              <a16:creationId xmlns:a16="http://schemas.microsoft.com/office/drawing/2014/main" id="{00000000-0008-0000-0100-000038000000}"/>
            </a:ext>
          </a:extLst>
        </xdr:cNvPr>
        <xdr:cNvSpPr>
          <a:spLocks/>
        </xdr:cNvSpPr>
      </xdr:nvSpPr>
      <xdr:spPr bwMode="auto">
        <a:xfrm>
          <a:off x="3486150" y="1762125"/>
          <a:ext cx="161925" cy="95250"/>
        </a:xfrm>
        <a:custGeom>
          <a:avLst/>
          <a:gdLst>
            <a:gd name="T0" fmla="*/ 2147483646 w 16384"/>
            <a:gd name="T1" fmla="*/ 2147483646 h 16384"/>
            <a:gd name="T2" fmla="*/ 2147483646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16384"/>
              </a:moveTo>
              <a:lnTo>
                <a:pt x="8192"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85725</xdr:colOff>
      <xdr:row>13</xdr:row>
      <xdr:rowOff>47625</xdr:rowOff>
    </xdr:from>
    <xdr:to>
      <xdr:col>6</xdr:col>
      <xdr:colOff>247650</xdr:colOff>
      <xdr:row>13</xdr:row>
      <xdr:rowOff>142875</xdr:rowOff>
    </xdr:to>
    <xdr:sp macro="" textlink="">
      <xdr:nvSpPr>
        <xdr:cNvPr id="57" name="Tegning 885">
          <a:extLst>
            <a:ext uri="{FF2B5EF4-FFF2-40B4-BE49-F238E27FC236}">
              <a16:creationId xmlns:a16="http://schemas.microsoft.com/office/drawing/2014/main" id="{00000000-0008-0000-0100-000039000000}"/>
            </a:ext>
          </a:extLst>
        </xdr:cNvPr>
        <xdr:cNvSpPr>
          <a:spLocks/>
        </xdr:cNvSpPr>
      </xdr:nvSpPr>
      <xdr:spPr bwMode="auto">
        <a:xfrm>
          <a:off x="3486150" y="2324100"/>
          <a:ext cx="161925" cy="95250"/>
        </a:xfrm>
        <a:custGeom>
          <a:avLst/>
          <a:gdLst>
            <a:gd name="T0" fmla="*/ 2147483646 w 16384"/>
            <a:gd name="T1" fmla="*/ 0 h 16384"/>
            <a:gd name="T2" fmla="*/ 2147483646 w 16384"/>
            <a:gd name="T3" fmla="*/ 2147483646 h 16384"/>
            <a:gd name="T4" fmla="*/ 0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8192" y="16384"/>
              </a:lnTo>
              <a:lnTo>
                <a:pt x="0"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333375</xdr:colOff>
      <xdr:row>11</xdr:row>
      <xdr:rowOff>104775</xdr:rowOff>
    </xdr:from>
    <xdr:to>
      <xdr:col>6</xdr:col>
      <xdr:colOff>419100</xdr:colOff>
      <xdr:row>12</xdr:row>
      <xdr:rowOff>104775</xdr:rowOff>
    </xdr:to>
    <xdr:sp macro="" textlink="">
      <xdr:nvSpPr>
        <xdr:cNvPr id="58" name="Tegning 886">
          <a:extLst>
            <a:ext uri="{FF2B5EF4-FFF2-40B4-BE49-F238E27FC236}">
              <a16:creationId xmlns:a16="http://schemas.microsoft.com/office/drawing/2014/main" id="{00000000-0008-0000-0100-00003A000000}"/>
            </a:ext>
          </a:extLst>
        </xdr:cNvPr>
        <xdr:cNvSpPr>
          <a:spLocks/>
        </xdr:cNvSpPr>
      </xdr:nvSpPr>
      <xdr:spPr bwMode="auto">
        <a:xfrm>
          <a:off x="3733800" y="2000250"/>
          <a:ext cx="85725"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7</xdr:col>
      <xdr:colOff>47625</xdr:colOff>
      <xdr:row>11</xdr:row>
      <xdr:rowOff>114300</xdr:rowOff>
    </xdr:from>
    <xdr:to>
      <xdr:col>7</xdr:col>
      <xdr:colOff>152400</xdr:colOff>
      <xdr:row>12</xdr:row>
      <xdr:rowOff>123825</xdr:rowOff>
    </xdr:to>
    <xdr:sp macro="" textlink="">
      <xdr:nvSpPr>
        <xdr:cNvPr id="59" name="Tegning 887">
          <a:extLst>
            <a:ext uri="{FF2B5EF4-FFF2-40B4-BE49-F238E27FC236}">
              <a16:creationId xmlns:a16="http://schemas.microsoft.com/office/drawing/2014/main" id="{00000000-0008-0000-0100-00003B000000}"/>
            </a:ext>
          </a:extLst>
        </xdr:cNvPr>
        <xdr:cNvSpPr>
          <a:spLocks/>
        </xdr:cNvSpPr>
      </xdr:nvSpPr>
      <xdr:spPr bwMode="auto">
        <a:xfrm>
          <a:off x="4800600" y="2009775"/>
          <a:ext cx="104775" cy="2000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820" y="0"/>
              </a:moveTo>
              <a:lnTo>
                <a:pt x="16384" y="771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333375</xdr:colOff>
      <xdr:row>12</xdr:row>
      <xdr:rowOff>0</xdr:rowOff>
    </xdr:from>
    <xdr:to>
      <xdr:col>7</xdr:col>
      <xdr:colOff>133350</xdr:colOff>
      <xdr:row>12</xdr:row>
      <xdr:rowOff>0</xdr:rowOff>
    </xdr:to>
    <xdr:sp macro="" textlink="">
      <xdr:nvSpPr>
        <xdr:cNvPr id="60" name="Line 888">
          <a:extLst>
            <a:ext uri="{FF2B5EF4-FFF2-40B4-BE49-F238E27FC236}">
              <a16:creationId xmlns:a16="http://schemas.microsoft.com/office/drawing/2014/main" id="{00000000-0008-0000-0100-00003C000000}"/>
            </a:ext>
          </a:extLst>
        </xdr:cNvPr>
        <xdr:cNvSpPr>
          <a:spLocks noChangeShapeType="1"/>
        </xdr:cNvSpPr>
      </xdr:nvSpPr>
      <xdr:spPr bwMode="auto">
        <a:xfrm flipH="1">
          <a:off x="3733800" y="2085975"/>
          <a:ext cx="1152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9</xdr:row>
      <xdr:rowOff>190500</xdr:rowOff>
    </xdr:from>
    <xdr:to>
      <xdr:col>3</xdr:col>
      <xdr:colOff>133350</xdr:colOff>
      <xdr:row>10</xdr:row>
      <xdr:rowOff>190500</xdr:rowOff>
    </xdr:to>
    <xdr:sp macro="" textlink="">
      <xdr:nvSpPr>
        <xdr:cNvPr id="61" name="Tegning 889">
          <a:extLst>
            <a:ext uri="{FF2B5EF4-FFF2-40B4-BE49-F238E27FC236}">
              <a16:creationId xmlns:a16="http://schemas.microsoft.com/office/drawing/2014/main" id="{00000000-0008-0000-0100-00003D000000}"/>
            </a:ext>
          </a:extLst>
        </xdr:cNvPr>
        <xdr:cNvSpPr>
          <a:spLocks/>
        </xdr:cNvSpPr>
      </xdr:nvSpPr>
      <xdr:spPr bwMode="auto">
        <a:xfrm>
          <a:off x="2028825" y="1704975"/>
          <a:ext cx="104775"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38100</xdr:colOff>
      <xdr:row>13</xdr:row>
      <xdr:rowOff>47625</xdr:rowOff>
    </xdr:from>
    <xdr:to>
      <xdr:col>3</xdr:col>
      <xdr:colOff>152400</xdr:colOff>
      <xdr:row>14</xdr:row>
      <xdr:rowOff>47625</xdr:rowOff>
    </xdr:to>
    <xdr:sp macro="" textlink="">
      <xdr:nvSpPr>
        <xdr:cNvPr id="62" name="Tegning 890">
          <a:extLst>
            <a:ext uri="{FF2B5EF4-FFF2-40B4-BE49-F238E27FC236}">
              <a16:creationId xmlns:a16="http://schemas.microsoft.com/office/drawing/2014/main" id="{00000000-0008-0000-0100-00003E000000}"/>
            </a:ext>
          </a:extLst>
        </xdr:cNvPr>
        <xdr:cNvSpPr>
          <a:spLocks/>
        </xdr:cNvSpPr>
      </xdr:nvSpPr>
      <xdr:spPr bwMode="auto">
        <a:xfrm>
          <a:off x="2038350" y="2324100"/>
          <a:ext cx="114300"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0</xdr:colOff>
      <xdr:row>9</xdr:row>
      <xdr:rowOff>171450</xdr:rowOff>
    </xdr:from>
    <xdr:to>
      <xdr:col>6</xdr:col>
      <xdr:colOff>104775</xdr:colOff>
      <xdr:row>10</xdr:row>
      <xdr:rowOff>190500</xdr:rowOff>
    </xdr:to>
    <xdr:sp macro="" textlink="">
      <xdr:nvSpPr>
        <xdr:cNvPr id="63" name="Tegning 891">
          <a:extLst>
            <a:ext uri="{FF2B5EF4-FFF2-40B4-BE49-F238E27FC236}">
              <a16:creationId xmlns:a16="http://schemas.microsoft.com/office/drawing/2014/main" id="{00000000-0008-0000-0100-00003F000000}"/>
            </a:ext>
          </a:extLst>
        </xdr:cNvPr>
        <xdr:cNvSpPr>
          <a:spLocks/>
        </xdr:cNvSpPr>
      </xdr:nvSpPr>
      <xdr:spPr bwMode="auto">
        <a:xfrm>
          <a:off x="3400425" y="1685925"/>
          <a:ext cx="104775" cy="20955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820" y="0"/>
              </a:moveTo>
              <a:lnTo>
                <a:pt x="16384" y="771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19050</xdr:colOff>
      <xdr:row>13</xdr:row>
      <xdr:rowOff>47625</xdr:rowOff>
    </xdr:from>
    <xdr:to>
      <xdr:col>6</xdr:col>
      <xdr:colOff>123825</xdr:colOff>
      <xdr:row>14</xdr:row>
      <xdr:rowOff>47625</xdr:rowOff>
    </xdr:to>
    <xdr:sp macro="" textlink="">
      <xdr:nvSpPr>
        <xdr:cNvPr id="64" name="Tegning 892">
          <a:extLst>
            <a:ext uri="{FF2B5EF4-FFF2-40B4-BE49-F238E27FC236}">
              <a16:creationId xmlns:a16="http://schemas.microsoft.com/office/drawing/2014/main" id="{00000000-0008-0000-0100-000040000000}"/>
            </a:ext>
          </a:extLst>
        </xdr:cNvPr>
        <xdr:cNvSpPr>
          <a:spLocks/>
        </xdr:cNvSpPr>
      </xdr:nvSpPr>
      <xdr:spPr bwMode="auto">
        <a:xfrm>
          <a:off x="3419475" y="2324100"/>
          <a:ext cx="104775" cy="1905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820" y="0"/>
              </a:moveTo>
              <a:lnTo>
                <a:pt x="16384" y="771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28575</xdr:colOff>
      <xdr:row>10</xdr:row>
      <xdr:rowOff>85725</xdr:rowOff>
    </xdr:from>
    <xdr:to>
      <xdr:col>6</xdr:col>
      <xdr:colOff>104775</xdr:colOff>
      <xdr:row>10</xdr:row>
      <xdr:rowOff>85725</xdr:rowOff>
    </xdr:to>
    <xdr:sp macro="" textlink="">
      <xdr:nvSpPr>
        <xdr:cNvPr id="65" name="Line 893">
          <a:extLst>
            <a:ext uri="{FF2B5EF4-FFF2-40B4-BE49-F238E27FC236}">
              <a16:creationId xmlns:a16="http://schemas.microsoft.com/office/drawing/2014/main" id="{00000000-0008-0000-0100-000041000000}"/>
            </a:ext>
          </a:extLst>
        </xdr:cNvPr>
        <xdr:cNvSpPr>
          <a:spLocks noChangeShapeType="1"/>
        </xdr:cNvSpPr>
      </xdr:nvSpPr>
      <xdr:spPr bwMode="auto">
        <a:xfrm>
          <a:off x="2028825" y="1790700"/>
          <a:ext cx="1476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13</xdr:row>
      <xdr:rowOff>142875</xdr:rowOff>
    </xdr:from>
    <xdr:to>
      <xdr:col>6</xdr:col>
      <xdr:colOff>114300</xdr:colOff>
      <xdr:row>13</xdr:row>
      <xdr:rowOff>142875</xdr:rowOff>
    </xdr:to>
    <xdr:sp macro="" textlink="">
      <xdr:nvSpPr>
        <xdr:cNvPr id="66" name="Line 894">
          <a:extLst>
            <a:ext uri="{FF2B5EF4-FFF2-40B4-BE49-F238E27FC236}">
              <a16:creationId xmlns:a16="http://schemas.microsoft.com/office/drawing/2014/main" id="{00000000-0008-0000-0100-000042000000}"/>
            </a:ext>
          </a:extLst>
        </xdr:cNvPr>
        <xdr:cNvSpPr>
          <a:spLocks noChangeShapeType="1"/>
        </xdr:cNvSpPr>
      </xdr:nvSpPr>
      <xdr:spPr bwMode="auto">
        <a:xfrm>
          <a:off x="2038350" y="2419350"/>
          <a:ext cx="1476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171450</xdr:colOff>
      <xdr:row>10</xdr:row>
      <xdr:rowOff>57150</xdr:rowOff>
    </xdr:from>
    <xdr:to>
      <xdr:col>6</xdr:col>
      <xdr:colOff>171450</xdr:colOff>
      <xdr:row>11</xdr:row>
      <xdr:rowOff>0</xdr:rowOff>
    </xdr:to>
    <xdr:sp macro="" textlink="">
      <xdr:nvSpPr>
        <xdr:cNvPr id="67" name="Line 895">
          <a:extLst>
            <a:ext uri="{FF2B5EF4-FFF2-40B4-BE49-F238E27FC236}">
              <a16:creationId xmlns:a16="http://schemas.microsoft.com/office/drawing/2014/main" id="{00000000-0008-0000-0100-000043000000}"/>
            </a:ext>
          </a:extLst>
        </xdr:cNvPr>
        <xdr:cNvSpPr>
          <a:spLocks noChangeShapeType="1"/>
        </xdr:cNvSpPr>
      </xdr:nvSpPr>
      <xdr:spPr bwMode="auto">
        <a:xfrm>
          <a:off x="3571875" y="1762125"/>
          <a:ext cx="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304799</xdr:colOff>
      <xdr:row>31</xdr:row>
      <xdr:rowOff>95250</xdr:rowOff>
    </xdr:from>
    <xdr:to>
      <xdr:col>6</xdr:col>
      <xdr:colOff>580258</xdr:colOff>
      <xdr:row>31</xdr:row>
      <xdr:rowOff>95250</xdr:rowOff>
    </xdr:to>
    <xdr:sp macro="" textlink="">
      <xdr:nvSpPr>
        <xdr:cNvPr id="68" name="Line 896">
          <a:extLst>
            <a:ext uri="{FF2B5EF4-FFF2-40B4-BE49-F238E27FC236}">
              <a16:creationId xmlns:a16="http://schemas.microsoft.com/office/drawing/2014/main" id="{00000000-0008-0000-0100-000044000000}"/>
            </a:ext>
          </a:extLst>
        </xdr:cNvPr>
        <xdr:cNvSpPr>
          <a:spLocks noChangeShapeType="1"/>
        </xdr:cNvSpPr>
      </xdr:nvSpPr>
      <xdr:spPr bwMode="auto">
        <a:xfrm flipH="1">
          <a:off x="3720661" y="5667922"/>
          <a:ext cx="27545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276225</xdr:colOff>
      <xdr:row>31</xdr:row>
      <xdr:rowOff>28575</xdr:rowOff>
    </xdr:from>
    <xdr:to>
      <xdr:col>6</xdr:col>
      <xdr:colOff>371475</xdr:colOff>
      <xdr:row>31</xdr:row>
      <xdr:rowOff>142875</xdr:rowOff>
    </xdr:to>
    <xdr:sp macro="" textlink="">
      <xdr:nvSpPr>
        <xdr:cNvPr id="69" name="Line 897">
          <a:extLst>
            <a:ext uri="{FF2B5EF4-FFF2-40B4-BE49-F238E27FC236}">
              <a16:creationId xmlns:a16="http://schemas.microsoft.com/office/drawing/2014/main" id="{00000000-0008-0000-0100-000045000000}"/>
            </a:ext>
          </a:extLst>
        </xdr:cNvPr>
        <xdr:cNvSpPr>
          <a:spLocks noChangeShapeType="1"/>
        </xdr:cNvSpPr>
      </xdr:nvSpPr>
      <xdr:spPr bwMode="auto">
        <a:xfrm flipH="1">
          <a:off x="3676650" y="573405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29</xdr:row>
      <xdr:rowOff>0</xdr:rowOff>
    </xdr:from>
    <xdr:to>
      <xdr:col>6</xdr:col>
      <xdr:colOff>600075</xdr:colOff>
      <xdr:row>29</xdr:row>
      <xdr:rowOff>0</xdr:rowOff>
    </xdr:to>
    <xdr:sp macro="" textlink="">
      <xdr:nvSpPr>
        <xdr:cNvPr id="70" name="Line 898">
          <a:extLst>
            <a:ext uri="{FF2B5EF4-FFF2-40B4-BE49-F238E27FC236}">
              <a16:creationId xmlns:a16="http://schemas.microsoft.com/office/drawing/2014/main" id="{00000000-0008-0000-0100-000046000000}"/>
            </a:ext>
          </a:extLst>
        </xdr:cNvPr>
        <xdr:cNvSpPr>
          <a:spLocks noChangeShapeType="1"/>
        </xdr:cNvSpPr>
      </xdr:nvSpPr>
      <xdr:spPr bwMode="auto">
        <a:xfrm>
          <a:off x="1962150" y="5324475"/>
          <a:ext cx="2038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123825</xdr:colOff>
      <xdr:row>28</xdr:row>
      <xdr:rowOff>133350</xdr:rowOff>
    </xdr:from>
    <xdr:to>
      <xdr:col>6</xdr:col>
      <xdr:colOff>219075</xdr:colOff>
      <xdr:row>29</xdr:row>
      <xdr:rowOff>38100</xdr:rowOff>
    </xdr:to>
    <xdr:sp macro="" textlink="">
      <xdr:nvSpPr>
        <xdr:cNvPr id="71" name="Line 899">
          <a:extLst>
            <a:ext uri="{FF2B5EF4-FFF2-40B4-BE49-F238E27FC236}">
              <a16:creationId xmlns:a16="http://schemas.microsoft.com/office/drawing/2014/main" id="{00000000-0008-0000-0100-000047000000}"/>
            </a:ext>
          </a:extLst>
        </xdr:cNvPr>
        <xdr:cNvSpPr>
          <a:spLocks noChangeShapeType="1"/>
        </xdr:cNvSpPr>
      </xdr:nvSpPr>
      <xdr:spPr bwMode="auto">
        <a:xfrm flipH="1">
          <a:off x="3524250" y="52673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266700</xdr:colOff>
      <xdr:row>28</xdr:row>
      <xdr:rowOff>142875</xdr:rowOff>
    </xdr:from>
    <xdr:to>
      <xdr:col>6</xdr:col>
      <xdr:colOff>361950</xdr:colOff>
      <xdr:row>29</xdr:row>
      <xdr:rowOff>47625</xdr:rowOff>
    </xdr:to>
    <xdr:sp macro="" textlink="">
      <xdr:nvSpPr>
        <xdr:cNvPr id="72" name="Line 900">
          <a:extLst>
            <a:ext uri="{FF2B5EF4-FFF2-40B4-BE49-F238E27FC236}">
              <a16:creationId xmlns:a16="http://schemas.microsoft.com/office/drawing/2014/main" id="{00000000-0008-0000-0100-000048000000}"/>
            </a:ext>
          </a:extLst>
        </xdr:cNvPr>
        <xdr:cNvSpPr>
          <a:spLocks noChangeShapeType="1"/>
        </xdr:cNvSpPr>
      </xdr:nvSpPr>
      <xdr:spPr bwMode="auto">
        <a:xfrm flipH="1">
          <a:off x="3667125" y="527685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209550</xdr:colOff>
      <xdr:row>23</xdr:row>
      <xdr:rowOff>142875</xdr:rowOff>
    </xdr:from>
    <xdr:to>
      <xdr:col>11</xdr:col>
      <xdr:colOff>209550</xdr:colOff>
      <xdr:row>26</xdr:row>
      <xdr:rowOff>76200</xdr:rowOff>
    </xdr:to>
    <xdr:sp macro="" textlink="">
      <xdr:nvSpPr>
        <xdr:cNvPr id="73" name="Line 901">
          <a:extLst>
            <a:ext uri="{FF2B5EF4-FFF2-40B4-BE49-F238E27FC236}">
              <a16:creationId xmlns:a16="http://schemas.microsoft.com/office/drawing/2014/main" id="{00000000-0008-0000-0100-000049000000}"/>
            </a:ext>
          </a:extLst>
        </xdr:cNvPr>
        <xdr:cNvSpPr>
          <a:spLocks noChangeShapeType="1"/>
        </xdr:cNvSpPr>
      </xdr:nvSpPr>
      <xdr:spPr bwMode="auto">
        <a:xfrm>
          <a:off x="6772275" y="4324350"/>
          <a:ext cx="0" cy="504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228600</xdr:colOff>
      <xdr:row>19</xdr:row>
      <xdr:rowOff>123825</xdr:rowOff>
    </xdr:from>
    <xdr:to>
      <xdr:col>11</xdr:col>
      <xdr:colOff>228600</xdr:colOff>
      <xdr:row>22</xdr:row>
      <xdr:rowOff>95250</xdr:rowOff>
    </xdr:to>
    <xdr:sp macro="" textlink="">
      <xdr:nvSpPr>
        <xdr:cNvPr id="74" name="Line 902">
          <a:extLst>
            <a:ext uri="{FF2B5EF4-FFF2-40B4-BE49-F238E27FC236}">
              <a16:creationId xmlns:a16="http://schemas.microsoft.com/office/drawing/2014/main" id="{00000000-0008-0000-0100-00004A000000}"/>
            </a:ext>
          </a:extLst>
        </xdr:cNvPr>
        <xdr:cNvSpPr>
          <a:spLocks noChangeShapeType="1"/>
        </xdr:cNvSpPr>
      </xdr:nvSpPr>
      <xdr:spPr bwMode="auto">
        <a:xfrm flipV="1">
          <a:off x="6791325" y="3543300"/>
          <a:ext cx="0" cy="542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114300</xdr:colOff>
      <xdr:row>20</xdr:row>
      <xdr:rowOff>142875</xdr:rowOff>
    </xdr:from>
    <xdr:to>
      <xdr:col>11</xdr:col>
      <xdr:colOff>647700</xdr:colOff>
      <xdr:row>20</xdr:row>
      <xdr:rowOff>142875</xdr:rowOff>
    </xdr:to>
    <xdr:sp macro="" textlink="">
      <xdr:nvSpPr>
        <xdr:cNvPr id="75" name="Line 903">
          <a:extLst>
            <a:ext uri="{FF2B5EF4-FFF2-40B4-BE49-F238E27FC236}">
              <a16:creationId xmlns:a16="http://schemas.microsoft.com/office/drawing/2014/main" id="{00000000-0008-0000-0100-00004B000000}"/>
            </a:ext>
          </a:extLst>
        </xdr:cNvPr>
        <xdr:cNvSpPr>
          <a:spLocks noChangeShapeType="1"/>
        </xdr:cNvSpPr>
      </xdr:nvSpPr>
      <xdr:spPr bwMode="auto">
        <a:xfrm>
          <a:off x="6677025" y="3752850"/>
          <a:ext cx="533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66675</xdr:colOff>
      <xdr:row>23</xdr:row>
      <xdr:rowOff>114300</xdr:rowOff>
    </xdr:from>
    <xdr:to>
      <xdr:col>11</xdr:col>
      <xdr:colOff>66675</xdr:colOff>
      <xdr:row>24</xdr:row>
      <xdr:rowOff>209550</xdr:rowOff>
    </xdr:to>
    <xdr:sp macro="" textlink="">
      <xdr:nvSpPr>
        <xdr:cNvPr id="76" name="Line 904">
          <a:extLst>
            <a:ext uri="{FF2B5EF4-FFF2-40B4-BE49-F238E27FC236}">
              <a16:creationId xmlns:a16="http://schemas.microsoft.com/office/drawing/2014/main" id="{00000000-0008-0000-0100-00004C000000}"/>
            </a:ext>
          </a:extLst>
        </xdr:cNvPr>
        <xdr:cNvSpPr>
          <a:spLocks noChangeShapeType="1"/>
        </xdr:cNvSpPr>
      </xdr:nvSpPr>
      <xdr:spPr bwMode="auto">
        <a:xfrm>
          <a:off x="6629400" y="429577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38100</xdr:colOff>
      <xdr:row>24</xdr:row>
      <xdr:rowOff>142875</xdr:rowOff>
    </xdr:from>
    <xdr:to>
      <xdr:col>11</xdr:col>
      <xdr:colOff>628650</xdr:colOff>
      <xdr:row>24</xdr:row>
      <xdr:rowOff>142875</xdr:rowOff>
    </xdr:to>
    <xdr:sp macro="" textlink="">
      <xdr:nvSpPr>
        <xdr:cNvPr id="77" name="Line 905">
          <a:extLst>
            <a:ext uri="{FF2B5EF4-FFF2-40B4-BE49-F238E27FC236}">
              <a16:creationId xmlns:a16="http://schemas.microsoft.com/office/drawing/2014/main" id="{00000000-0008-0000-0100-00004D000000}"/>
            </a:ext>
          </a:extLst>
        </xdr:cNvPr>
        <xdr:cNvSpPr>
          <a:spLocks noChangeShapeType="1"/>
        </xdr:cNvSpPr>
      </xdr:nvSpPr>
      <xdr:spPr bwMode="auto">
        <a:xfrm>
          <a:off x="6600825" y="4514850"/>
          <a:ext cx="5905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0</xdr:colOff>
      <xdr:row>24</xdr:row>
      <xdr:rowOff>66675</xdr:rowOff>
    </xdr:from>
    <xdr:to>
      <xdr:col>11</xdr:col>
      <xdr:colOff>0</xdr:colOff>
      <xdr:row>26</xdr:row>
      <xdr:rowOff>104775</xdr:rowOff>
    </xdr:to>
    <xdr:sp macro="" textlink="">
      <xdr:nvSpPr>
        <xdr:cNvPr id="78" name="Line 906">
          <a:extLst>
            <a:ext uri="{FF2B5EF4-FFF2-40B4-BE49-F238E27FC236}">
              <a16:creationId xmlns:a16="http://schemas.microsoft.com/office/drawing/2014/main" id="{00000000-0008-0000-0100-00004E000000}"/>
            </a:ext>
          </a:extLst>
        </xdr:cNvPr>
        <xdr:cNvSpPr>
          <a:spLocks noChangeShapeType="1"/>
        </xdr:cNvSpPr>
      </xdr:nvSpPr>
      <xdr:spPr bwMode="auto">
        <a:xfrm>
          <a:off x="6562725" y="4438650"/>
          <a:ext cx="0" cy="419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390525</xdr:colOff>
      <xdr:row>25</xdr:row>
      <xdr:rowOff>161925</xdr:rowOff>
    </xdr:from>
    <xdr:to>
      <xdr:col>11</xdr:col>
      <xdr:colOff>628650</xdr:colOff>
      <xdr:row>25</xdr:row>
      <xdr:rowOff>161925</xdr:rowOff>
    </xdr:to>
    <xdr:sp macro="" textlink="">
      <xdr:nvSpPr>
        <xdr:cNvPr id="79" name="Line 907">
          <a:extLst>
            <a:ext uri="{FF2B5EF4-FFF2-40B4-BE49-F238E27FC236}">
              <a16:creationId xmlns:a16="http://schemas.microsoft.com/office/drawing/2014/main" id="{00000000-0008-0000-0100-00004F000000}"/>
            </a:ext>
          </a:extLst>
        </xdr:cNvPr>
        <xdr:cNvSpPr>
          <a:spLocks noChangeShapeType="1"/>
        </xdr:cNvSpPr>
      </xdr:nvSpPr>
      <xdr:spPr bwMode="auto">
        <a:xfrm>
          <a:off x="6048375" y="4724400"/>
          <a:ext cx="1143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428625</xdr:colOff>
      <xdr:row>24</xdr:row>
      <xdr:rowOff>47625</xdr:rowOff>
    </xdr:from>
    <xdr:to>
      <xdr:col>9</xdr:col>
      <xdr:colOff>428625</xdr:colOff>
      <xdr:row>26</xdr:row>
      <xdr:rowOff>95250</xdr:rowOff>
    </xdr:to>
    <xdr:sp macro="" textlink="">
      <xdr:nvSpPr>
        <xdr:cNvPr id="80" name="Line 908">
          <a:extLst>
            <a:ext uri="{FF2B5EF4-FFF2-40B4-BE49-F238E27FC236}">
              <a16:creationId xmlns:a16="http://schemas.microsoft.com/office/drawing/2014/main" id="{00000000-0008-0000-0100-000050000000}"/>
            </a:ext>
          </a:extLst>
        </xdr:cNvPr>
        <xdr:cNvSpPr>
          <a:spLocks noChangeShapeType="1"/>
        </xdr:cNvSpPr>
      </xdr:nvSpPr>
      <xdr:spPr bwMode="auto">
        <a:xfrm>
          <a:off x="6086475" y="4419600"/>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19050</xdr:colOff>
      <xdr:row>24</xdr:row>
      <xdr:rowOff>76200</xdr:rowOff>
    </xdr:from>
    <xdr:to>
      <xdr:col>11</xdr:col>
      <xdr:colOff>114300</xdr:colOff>
      <xdr:row>24</xdr:row>
      <xdr:rowOff>190500</xdr:rowOff>
    </xdr:to>
    <xdr:sp macro="" textlink="">
      <xdr:nvSpPr>
        <xdr:cNvPr id="81" name="Line 909">
          <a:extLst>
            <a:ext uri="{FF2B5EF4-FFF2-40B4-BE49-F238E27FC236}">
              <a16:creationId xmlns:a16="http://schemas.microsoft.com/office/drawing/2014/main" id="{00000000-0008-0000-0100-000051000000}"/>
            </a:ext>
          </a:extLst>
        </xdr:cNvPr>
        <xdr:cNvSpPr>
          <a:spLocks noChangeShapeType="1"/>
        </xdr:cNvSpPr>
      </xdr:nvSpPr>
      <xdr:spPr bwMode="auto">
        <a:xfrm flipH="1">
          <a:off x="6581775" y="444817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180975</xdr:colOff>
      <xdr:row>24</xdr:row>
      <xdr:rowOff>66675</xdr:rowOff>
    </xdr:from>
    <xdr:to>
      <xdr:col>11</xdr:col>
      <xdr:colOff>285750</xdr:colOff>
      <xdr:row>24</xdr:row>
      <xdr:rowOff>190500</xdr:rowOff>
    </xdr:to>
    <xdr:sp macro="" textlink="">
      <xdr:nvSpPr>
        <xdr:cNvPr id="82" name="Line 910">
          <a:extLst>
            <a:ext uri="{FF2B5EF4-FFF2-40B4-BE49-F238E27FC236}">
              <a16:creationId xmlns:a16="http://schemas.microsoft.com/office/drawing/2014/main" id="{00000000-0008-0000-0100-000052000000}"/>
            </a:ext>
          </a:extLst>
        </xdr:cNvPr>
        <xdr:cNvSpPr>
          <a:spLocks noChangeShapeType="1"/>
        </xdr:cNvSpPr>
      </xdr:nvSpPr>
      <xdr:spPr bwMode="auto">
        <a:xfrm flipH="1">
          <a:off x="6743700" y="4438650"/>
          <a:ext cx="1047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133350</xdr:colOff>
      <xdr:row>25</xdr:row>
      <xdr:rowOff>95250</xdr:rowOff>
    </xdr:from>
    <xdr:to>
      <xdr:col>11</xdr:col>
      <xdr:colOff>257175</xdr:colOff>
      <xdr:row>26</xdr:row>
      <xdr:rowOff>28575</xdr:rowOff>
    </xdr:to>
    <xdr:sp macro="" textlink="">
      <xdr:nvSpPr>
        <xdr:cNvPr id="83" name="Line 911">
          <a:extLst>
            <a:ext uri="{FF2B5EF4-FFF2-40B4-BE49-F238E27FC236}">
              <a16:creationId xmlns:a16="http://schemas.microsoft.com/office/drawing/2014/main" id="{00000000-0008-0000-0100-000053000000}"/>
            </a:ext>
          </a:extLst>
        </xdr:cNvPr>
        <xdr:cNvSpPr>
          <a:spLocks noChangeShapeType="1"/>
        </xdr:cNvSpPr>
      </xdr:nvSpPr>
      <xdr:spPr bwMode="auto">
        <a:xfrm flipH="1">
          <a:off x="6696075" y="465772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133350</xdr:colOff>
      <xdr:row>25</xdr:row>
      <xdr:rowOff>104775</xdr:rowOff>
    </xdr:from>
    <xdr:to>
      <xdr:col>11</xdr:col>
      <xdr:colOff>57150</xdr:colOff>
      <xdr:row>26</xdr:row>
      <xdr:rowOff>57150</xdr:rowOff>
    </xdr:to>
    <xdr:sp macro="" textlink="">
      <xdr:nvSpPr>
        <xdr:cNvPr id="84" name="Line 912">
          <a:extLst>
            <a:ext uri="{FF2B5EF4-FFF2-40B4-BE49-F238E27FC236}">
              <a16:creationId xmlns:a16="http://schemas.microsoft.com/office/drawing/2014/main" id="{00000000-0008-0000-0100-000054000000}"/>
            </a:ext>
          </a:extLst>
        </xdr:cNvPr>
        <xdr:cNvSpPr>
          <a:spLocks noChangeShapeType="1"/>
        </xdr:cNvSpPr>
      </xdr:nvSpPr>
      <xdr:spPr bwMode="auto">
        <a:xfrm flipH="1">
          <a:off x="6457950" y="4667250"/>
          <a:ext cx="1619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342900</xdr:colOff>
      <xdr:row>25</xdr:row>
      <xdr:rowOff>76200</xdr:rowOff>
    </xdr:from>
    <xdr:to>
      <xdr:col>9</xdr:col>
      <xdr:colOff>504825</xdr:colOff>
      <xdr:row>26</xdr:row>
      <xdr:rowOff>47625</xdr:rowOff>
    </xdr:to>
    <xdr:sp macro="" textlink="">
      <xdr:nvSpPr>
        <xdr:cNvPr id="85" name="Line 913">
          <a:extLst>
            <a:ext uri="{FF2B5EF4-FFF2-40B4-BE49-F238E27FC236}">
              <a16:creationId xmlns:a16="http://schemas.microsoft.com/office/drawing/2014/main" id="{00000000-0008-0000-0100-000055000000}"/>
            </a:ext>
          </a:extLst>
        </xdr:cNvPr>
        <xdr:cNvSpPr>
          <a:spLocks noChangeShapeType="1"/>
        </xdr:cNvSpPr>
      </xdr:nvSpPr>
      <xdr:spPr bwMode="auto">
        <a:xfrm flipH="1">
          <a:off x="6000750" y="4638675"/>
          <a:ext cx="16192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190500</xdr:colOff>
      <xdr:row>20</xdr:row>
      <xdr:rowOff>76200</xdr:rowOff>
    </xdr:from>
    <xdr:to>
      <xdr:col>11</xdr:col>
      <xdr:colOff>285750</xdr:colOff>
      <xdr:row>20</xdr:row>
      <xdr:rowOff>190500</xdr:rowOff>
    </xdr:to>
    <xdr:sp macro="" textlink="">
      <xdr:nvSpPr>
        <xdr:cNvPr id="86" name="Line 914">
          <a:extLst>
            <a:ext uri="{FF2B5EF4-FFF2-40B4-BE49-F238E27FC236}">
              <a16:creationId xmlns:a16="http://schemas.microsoft.com/office/drawing/2014/main" id="{00000000-0008-0000-0100-000056000000}"/>
            </a:ext>
          </a:extLst>
        </xdr:cNvPr>
        <xdr:cNvSpPr>
          <a:spLocks noChangeShapeType="1"/>
        </xdr:cNvSpPr>
      </xdr:nvSpPr>
      <xdr:spPr bwMode="auto">
        <a:xfrm flipH="1">
          <a:off x="6753225" y="368617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114300</xdr:colOff>
      <xdr:row>20</xdr:row>
      <xdr:rowOff>76200</xdr:rowOff>
    </xdr:from>
    <xdr:to>
      <xdr:col>11</xdr:col>
      <xdr:colOff>200025</xdr:colOff>
      <xdr:row>20</xdr:row>
      <xdr:rowOff>171450</xdr:rowOff>
    </xdr:to>
    <xdr:sp macro="" textlink="">
      <xdr:nvSpPr>
        <xdr:cNvPr id="87" name="Line 915">
          <a:extLst>
            <a:ext uri="{FF2B5EF4-FFF2-40B4-BE49-F238E27FC236}">
              <a16:creationId xmlns:a16="http://schemas.microsoft.com/office/drawing/2014/main" id="{00000000-0008-0000-0100-000057000000}"/>
            </a:ext>
          </a:extLst>
        </xdr:cNvPr>
        <xdr:cNvSpPr>
          <a:spLocks noChangeShapeType="1"/>
        </xdr:cNvSpPr>
      </xdr:nvSpPr>
      <xdr:spPr bwMode="auto">
        <a:xfrm flipH="1">
          <a:off x="6677025" y="3686175"/>
          <a:ext cx="8572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28</xdr:row>
      <xdr:rowOff>152400</xdr:rowOff>
    </xdr:from>
    <xdr:to>
      <xdr:col>3</xdr:col>
      <xdr:colOff>57150</xdr:colOff>
      <xdr:row>29</xdr:row>
      <xdr:rowOff>28575</xdr:rowOff>
    </xdr:to>
    <xdr:sp macro="" textlink="">
      <xdr:nvSpPr>
        <xdr:cNvPr id="88" name="Line 916">
          <a:extLst>
            <a:ext uri="{FF2B5EF4-FFF2-40B4-BE49-F238E27FC236}">
              <a16:creationId xmlns:a16="http://schemas.microsoft.com/office/drawing/2014/main" id="{00000000-0008-0000-0100-000058000000}"/>
            </a:ext>
          </a:extLst>
        </xdr:cNvPr>
        <xdr:cNvSpPr>
          <a:spLocks noChangeShapeType="1"/>
        </xdr:cNvSpPr>
      </xdr:nvSpPr>
      <xdr:spPr bwMode="auto">
        <a:xfrm flipH="1">
          <a:off x="1952625" y="5286375"/>
          <a:ext cx="1047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0</xdr:colOff>
      <xdr:row>48</xdr:row>
      <xdr:rowOff>0</xdr:rowOff>
    </xdr:from>
    <xdr:to>
      <xdr:col>12</xdr:col>
      <xdr:colOff>142875</xdr:colOff>
      <xdr:row>48</xdr:row>
      <xdr:rowOff>0</xdr:rowOff>
    </xdr:to>
    <xdr:sp macro="" textlink="">
      <xdr:nvSpPr>
        <xdr:cNvPr id="89" name="Line 917">
          <a:extLst>
            <a:ext uri="{FF2B5EF4-FFF2-40B4-BE49-F238E27FC236}">
              <a16:creationId xmlns:a16="http://schemas.microsoft.com/office/drawing/2014/main" id="{00000000-0008-0000-0100-000059000000}"/>
            </a:ext>
          </a:extLst>
        </xdr:cNvPr>
        <xdr:cNvSpPr>
          <a:spLocks noChangeShapeType="1"/>
        </xdr:cNvSpPr>
      </xdr:nvSpPr>
      <xdr:spPr bwMode="auto">
        <a:xfrm>
          <a:off x="6324600" y="8943975"/>
          <a:ext cx="1047750"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41</xdr:row>
      <xdr:rowOff>142875</xdr:rowOff>
    </xdr:from>
    <xdr:to>
      <xdr:col>10</xdr:col>
      <xdr:colOff>57150</xdr:colOff>
      <xdr:row>41</xdr:row>
      <xdr:rowOff>142875</xdr:rowOff>
    </xdr:to>
    <xdr:sp macro="" textlink="">
      <xdr:nvSpPr>
        <xdr:cNvPr id="90" name="Line 918">
          <a:extLst>
            <a:ext uri="{FF2B5EF4-FFF2-40B4-BE49-F238E27FC236}">
              <a16:creationId xmlns:a16="http://schemas.microsoft.com/office/drawing/2014/main" id="{00000000-0008-0000-0100-00005A000000}"/>
            </a:ext>
          </a:extLst>
        </xdr:cNvPr>
        <xdr:cNvSpPr>
          <a:spLocks noChangeShapeType="1"/>
        </xdr:cNvSpPr>
      </xdr:nvSpPr>
      <xdr:spPr bwMode="auto">
        <a:xfrm flipH="1">
          <a:off x="6229350" y="7753350"/>
          <a:ext cx="152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41</xdr:row>
      <xdr:rowOff>142875</xdr:rowOff>
    </xdr:from>
    <xdr:to>
      <xdr:col>12</xdr:col>
      <xdr:colOff>238125</xdr:colOff>
      <xdr:row>41</xdr:row>
      <xdr:rowOff>142875</xdr:rowOff>
    </xdr:to>
    <xdr:sp macro="" textlink="">
      <xdr:nvSpPr>
        <xdr:cNvPr id="91" name="Line 919">
          <a:extLst>
            <a:ext uri="{FF2B5EF4-FFF2-40B4-BE49-F238E27FC236}">
              <a16:creationId xmlns:a16="http://schemas.microsoft.com/office/drawing/2014/main" id="{00000000-0008-0000-0100-00005B000000}"/>
            </a:ext>
          </a:extLst>
        </xdr:cNvPr>
        <xdr:cNvSpPr>
          <a:spLocks noChangeShapeType="1"/>
        </xdr:cNvSpPr>
      </xdr:nvSpPr>
      <xdr:spPr bwMode="auto">
        <a:xfrm>
          <a:off x="7324725" y="7753350"/>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40</xdr:row>
      <xdr:rowOff>200025</xdr:rowOff>
    </xdr:from>
    <xdr:to>
      <xdr:col>12</xdr:col>
      <xdr:colOff>238125</xdr:colOff>
      <xdr:row>40</xdr:row>
      <xdr:rowOff>200025</xdr:rowOff>
    </xdr:to>
    <xdr:sp macro="" textlink="">
      <xdr:nvSpPr>
        <xdr:cNvPr id="92" name="Line 920">
          <a:extLst>
            <a:ext uri="{FF2B5EF4-FFF2-40B4-BE49-F238E27FC236}">
              <a16:creationId xmlns:a16="http://schemas.microsoft.com/office/drawing/2014/main" id="{00000000-0008-0000-0100-00005C000000}"/>
            </a:ext>
          </a:extLst>
        </xdr:cNvPr>
        <xdr:cNvSpPr>
          <a:spLocks noChangeShapeType="1"/>
        </xdr:cNvSpPr>
      </xdr:nvSpPr>
      <xdr:spPr bwMode="auto">
        <a:xfrm>
          <a:off x="7324725" y="7610475"/>
          <a:ext cx="142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40</xdr:row>
      <xdr:rowOff>200025</xdr:rowOff>
    </xdr:from>
    <xdr:to>
      <xdr:col>10</xdr:col>
      <xdr:colOff>57150</xdr:colOff>
      <xdr:row>40</xdr:row>
      <xdr:rowOff>200025</xdr:rowOff>
    </xdr:to>
    <xdr:sp macro="" textlink="">
      <xdr:nvSpPr>
        <xdr:cNvPr id="93" name="Line 921">
          <a:extLst>
            <a:ext uri="{FF2B5EF4-FFF2-40B4-BE49-F238E27FC236}">
              <a16:creationId xmlns:a16="http://schemas.microsoft.com/office/drawing/2014/main" id="{00000000-0008-0000-0100-00005D000000}"/>
            </a:ext>
          </a:extLst>
        </xdr:cNvPr>
        <xdr:cNvSpPr>
          <a:spLocks noChangeShapeType="1"/>
        </xdr:cNvSpPr>
      </xdr:nvSpPr>
      <xdr:spPr bwMode="auto">
        <a:xfrm>
          <a:off x="6229350" y="7610475"/>
          <a:ext cx="152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647700</xdr:colOff>
      <xdr:row>41</xdr:row>
      <xdr:rowOff>123825</xdr:rowOff>
    </xdr:from>
    <xdr:to>
      <xdr:col>10</xdr:col>
      <xdr:colOff>28575</xdr:colOff>
      <xdr:row>41</xdr:row>
      <xdr:rowOff>123825</xdr:rowOff>
    </xdr:to>
    <xdr:sp macro="" textlink="">
      <xdr:nvSpPr>
        <xdr:cNvPr id="94" name="Line 922">
          <a:extLst>
            <a:ext uri="{FF2B5EF4-FFF2-40B4-BE49-F238E27FC236}">
              <a16:creationId xmlns:a16="http://schemas.microsoft.com/office/drawing/2014/main" id="{00000000-0008-0000-0100-00005E000000}"/>
            </a:ext>
          </a:extLst>
        </xdr:cNvPr>
        <xdr:cNvSpPr>
          <a:spLocks noChangeShapeType="1"/>
        </xdr:cNvSpPr>
      </xdr:nvSpPr>
      <xdr:spPr bwMode="auto">
        <a:xfrm>
          <a:off x="6305550" y="7734300"/>
          <a:ext cx="47625" cy="0"/>
        </a:xfrm>
        <a:prstGeom prst="line">
          <a:avLst/>
        </a:prstGeom>
        <a:noFill/>
        <a:ln w="247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114300</xdr:colOff>
      <xdr:row>41</xdr:row>
      <xdr:rowOff>123825</xdr:rowOff>
    </xdr:from>
    <xdr:to>
      <xdr:col>12</xdr:col>
      <xdr:colOff>161925</xdr:colOff>
      <xdr:row>41</xdr:row>
      <xdr:rowOff>123825</xdr:rowOff>
    </xdr:to>
    <xdr:sp macro="" textlink="">
      <xdr:nvSpPr>
        <xdr:cNvPr id="95" name="Line 923">
          <a:extLst>
            <a:ext uri="{FF2B5EF4-FFF2-40B4-BE49-F238E27FC236}">
              <a16:creationId xmlns:a16="http://schemas.microsoft.com/office/drawing/2014/main" id="{00000000-0008-0000-0100-00005F000000}"/>
            </a:ext>
          </a:extLst>
        </xdr:cNvPr>
        <xdr:cNvSpPr>
          <a:spLocks noChangeShapeType="1"/>
        </xdr:cNvSpPr>
      </xdr:nvSpPr>
      <xdr:spPr bwMode="auto">
        <a:xfrm>
          <a:off x="7343775" y="7734300"/>
          <a:ext cx="47625" cy="0"/>
        </a:xfrm>
        <a:prstGeom prst="line">
          <a:avLst/>
        </a:prstGeom>
        <a:noFill/>
        <a:ln w="247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85725</xdr:colOff>
      <xdr:row>47</xdr:row>
      <xdr:rowOff>85725</xdr:rowOff>
    </xdr:from>
    <xdr:to>
      <xdr:col>12</xdr:col>
      <xdr:colOff>66675</xdr:colOff>
      <xdr:row>47</xdr:row>
      <xdr:rowOff>190500</xdr:rowOff>
    </xdr:to>
    <xdr:sp macro="" textlink="">
      <xdr:nvSpPr>
        <xdr:cNvPr id="96" name="Tegning 924">
          <a:extLst>
            <a:ext uri="{FF2B5EF4-FFF2-40B4-BE49-F238E27FC236}">
              <a16:creationId xmlns:a16="http://schemas.microsoft.com/office/drawing/2014/main" id="{00000000-0008-0000-0100-000060000000}"/>
            </a:ext>
          </a:extLst>
        </xdr:cNvPr>
        <xdr:cNvSpPr>
          <a:spLocks/>
        </xdr:cNvSpPr>
      </xdr:nvSpPr>
      <xdr:spPr bwMode="auto">
        <a:xfrm>
          <a:off x="6410325" y="8839200"/>
          <a:ext cx="885825" cy="104775"/>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2" y="630"/>
              </a:moveTo>
              <a:lnTo>
                <a:pt x="82" y="16384"/>
              </a:lnTo>
              <a:lnTo>
                <a:pt x="16384" y="16384"/>
              </a:lnTo>
              <a:lnTo>
                <a:pt x="16384" y="0"/>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590550</xdr:colOff>
      <xdr:row>48</xdr:row>
      <xdr:rowOff>0</xdr:rowOff>
    </xdr:from>
    <xdr:to>
      <xdr:col>10</xdr:col>
      <xdr:colOff>85725</xdr:colOff>
      <xdr:row>48</xdr:row>
      <xdr:rowOff>95250</xdr:rowOff>
    </xdr:to>
    <xdr:sp macro="" textlink="">
      <xdr:nvSpPr>
        <xdr:cNvPr id="97" name="Tegning 925">
          <a:extLst>
            <a:ext uri="{FF2B5EF4-FFF2-40B4-BE49-F238E27FC236}">
              <a16:creationId xmlns:a16="http://schemas.microsoft.com/office/drawing/2014/main" id="{00000000-0008-0000-0100-000061000000}"/>
            </a:ext>
          </a:extLst>
        </xdr:cNvPr>
        <xdr:cNvSpPr>
          <a:spLocks/>
        </xdr:cNvSpPr>
      </xdr:nvSpPr>
      <xdr:spPr bwMode="auto">
        <a:xfrm>
          <a:off x="6248400" y="8943975"/>
          <a:ext cx="161925" cy="95250"/>
        </a:xfrm>
        <a:custGeom>
          <a:avLst/>
          <a:gdLst>
            <a:gd name="T0" fmla="*/ 2147483646 w 16384"/>
            <a:gd name="T1" fmla="*/ 2147483646 h 16384"/>
            <a:gd name="T2" fmla="*/ 0 w 16384"/>
            <a:gd name="T3" fmla="*/ 2147483646 h 16384"/>
            <a:gd name="T4" fmla="*/ 2147483646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7680" y="1024"/>
              </a:moveTo>
              <a:lnTo>
                <a:pt x="0" y="16384"/>
              </a:lnTo>
              <a:lnTo>
                <a:pt x="16384" y="16384"/>
              </a:lnTo>
              <a:lnTo>
                <a:pt x="8192" y="0"/>
              </a:lnTo>
              <a:lnTo>
                <a:pt x="5632" y="512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12</xdr:col>
      <xdr:colOff>66675</xdr:colOff>
      <xdr:row>48</xdr:row>
      <xdr:rowOff>0</xdr:rowOff>
    </xdr:from>
    <xdr:to>
      <xdr:col>12</xdr:col>
      <xdr:colOff>209550</xdr:colOff>
      <xdr:row>48</xdr:row>
      <xdr:rowOff>95250</xdr:rowOff>
    </xdr:to>
    <xdr:sp macro="" textlink="">
      <xdr:nvSpPr>
        <xdr:cNvPr id="98" name="Tegning 926">
          <a:extLst>
            <a:ext uri="{FF2B5EF4-FFF2-40B4-BE49-F238E27FC236}">
              <a16:creationId xmlns:a16="http://schemas.microsoft.com/office/drawing/2014/main" id="{00000000-0008-0000-0100-000062000000}"/>
            </a:ext>
          </a:extLst>
        </xdr:cNvPr>
        <xdr:cNvSpPr>
          <a:spLocks/>
        </xdr:cNvSpPr>
      </xdr:nvSpPr>
      <xdr:spPr bwMode="auto">
        <a:xfrm>
          <a:off x="7296150" y="8943975"/>
          <a:ext cx="142875" cy="95250"/>
        </a:xfrm>
        <a:custGeom>
          <a:avLst/>
          <a:gdLst>
            <a:gd name="T0" fmla="*/ 2147483646 w 16384"/>
            <a:gd name="T1" fmla="*/ 2147483646 h 16384"/>
            <a:gd name="T2" fmla="*/ 0 w 16384"/>
            <a:gd name="T3" fmla="*/ 2147483646 h 16384"/>
            <a:gd name="T4" fmla="*/ 2147483646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7680" y="1024"/>
              </a:moveTo>
              <a:lnTo>
                <a:pt x="0" y="16384"/>
              </a:lnTo>
              <a:lnTo>
                <a:pt x="16384" y="16384"/>
              </a:lnTo>
              <a:lnTo>
                <a:pt x="8192" y="0"/>
              </a:lnTo>
              <a:lnTo>
                <a:pt x="5632" y="512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12</xdr:col>
      <xdr:colOff>47625</xdr:colOff>
      <xdr:row>48</xdr:row>
      <xdr:rowOff>142875</xdr:rowOff>
    </xdr:from>
    <xdr:to>
      <xdr:col>12</xdr:col>
      <xdr:colOff>257175</xdr:colOff>
      <xdr:row>48</xdr:row>
      <xdr:rowOff>142875</xdr:rowOff>
    </xdr:to>
    <xdr:sp macro="" textlink="">
      <xdr:nvSpPr>
        <xdr:cNvPr id="99" name="Line 927">
          <a:extLst>
            <a:ext uri="{FF2B5EF4-FFF2-40B4-BE49-F238E27FC236}">
              <a16:creationId xmlns:a16="http://schemas.microsoft.com/office/drawing/2014/main" id="{00000000-0008-0000-0100-000063000000}"/>
            </a:ext>
          </a:extLst>
        </xdr:cNvPr>
        <xdr:cNvSpPr>
          <a:spLocks noChangeShapeType="1"/>
        </xdr:cNvSpPr>
      </xdr:nvSpPr>
      <xdr:spPr bwMode="auto">
        <a:xfrm>
          <a:off x="7277100" y="9086850"/>
          <a:ext cx="2095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123825</xdr:colOff>
      <xdr:row>47</xdr:row>
      <xdr:rowOff>85725</xdr:rowOff>
    </xdr:from>
    <xdr:to>
      <xdr:col>12</xdr:col>
      <xdr:colOff>66675</xdr:colOff>
      <xdr:row>47</xdr:row>
      <xdr:rowOff>85725</xdr:rowOff>
    </xdr:to>
    <xdr:sp macro="" textlink="">
      <xdr:nvSpPr>
        <xdr:cNvPr id="100" name="Line 928">
          <a:extLst>
            <a:ext uri="{FF2B5EF4-FFF2-40B4-BE49-F238E27FC236}">
              <a16:creationId xmlns:a16="http://schemas.microsoft.com/office/drawing/2014/main" id="{00000000-0008-0000-0100-000064000000}"/>
            </a:ext>
          </a:extLst>
        </xdr:cNvPr>
        <xdr:cNvSpPr>
          <a:spLocks noChangeShapeType="1"/>
        </xdr:cNvSpPr>
      </xdr:nvSpPr>
      <xdr:spPr bwMode="auto">
        <a:xfrm>
          <a:off x="6448425" y="8839200"/>
          <a:ext cx="8477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0</xdr:colOff>
      <xdr:row>50</xdr:row>
      <xdr:rowOff>19050</xdr:rowOff>
    </xdr:from>
    <xdr:to>
      <xdr:col>12</xdr:col>
      <xdr:colOff>228600</xdr:colOff>
      <xdr:row>50</xdr:row>
      <xdr:rowOff>19050</xdr:rowOff>
    </xdr:to>
    <xdr:sp macro="" textlink="">
      <xdr:nvSpPr>
        <xdr:cNvPr id="101" name="Line 929">
          <a:extLst>
            <a:ext uri="{FF2B5EF4-FFF2-40B4-BE49-F238E27FC236}">
              <a16:creationId xmlns:a16="http://schemas.microsoft.com/office/drawing/2014/main" id="{00000000-0008-0000-0100-000065000000}"/>
            </a:ext>
          </a:extLst>
        </xdr:cNvPr>
        <xdr:cNvSpPr>
          <a:spLocks noChangeShapeType="1"/>
        </xdr:cNvSpPr>
      </xdr:nvSpPr>
      <xdr:spPr bwMode="auto">
        <a:xfrm>
          <a:off x="6324600" y="9344025"/>
          <a:ext cx="1133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28575</xdr:colOff>
      <xdr:row>48</xdr:row>
      <xdr:rowOff>190500</xdr:rowOff>
    </xdr:from>
    <xdr:to>
      <xdr:col>10</xdr:col>
      <xdr:colOff>28575</xdr:colOff>
      <xdr:row>51</xdr:row>
      <xdr:rowOff>114300</xdr:rowOff>
    </xdr:to>
    <xdr:sp macro="" textlink="">
      <xdr:nvSpPr>
        <xdr:cNvPr id="102" name="Line 930">
          <a:extLst>
            <a:ext uri="{FF2B5EF4-FFF2-40B4-BE49-F238E27FC236}">
              <a16:creationId xmlns:a16="http://schemas.microsoft.com/office/drawing/2014/main" id="{00000000-0008-0000-0100-000066000000}"/>
            </a:ext>
          </a:extLst>
        </xdr:cNvPr>
        <xdr:cNvSpPr>
          <a:spLocks noChangeShapeType="1"/>
        </xdr:cNvSpPr>
      </xdr:nvSpPr>
      <xdr:spPr bwMode="auto">
        <a:xfrm>
          <a:off x="6353175" y="9134475"/>
          <a:ext cx="0" cy="495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161925</xdr:colOff>
      <xdr:row>49</xdr:row>
      <xdr:rowOff>28575</xdr:rowOff>
    </xdr:from>
    <xdr:to>
      <xdr:col>12</xdr:col>
      <xdr:colOff>161925</xdr:colOff>
      <xdr:row>51</xdr:row>
      <xdr:rowOff>114300</xdr:rowOff>
    </xdr:to>
    <xdr:sp macro="" textlink="">
      <xdr:nvSpPr>
        <xdr:cNvPr id="103" name="Line 931">
          <a:extLst>
            <a:ext uri="{FF2B5EF4-FFF2-40B4-BE49-F238E27FC236}">
              <a16:creationId xmlns:a16="http://schemas.microsoft.com/office/drawing/2014/main" id="{00000000-0008-0000-0100-000067000000}"/>
            </a:ext>
          </a:extLst>
        </xdr:cNvPr>
        <xdr:cNvSpPr>
          <a:spLocks noChangeShapeType="1"/>
        </xdr:cNvSpPr>
      </xdr:nvSpPr>
      <xdr:spPr bwMode="auto">
        <a:xfrm>
          <a:off x="7391400" y="9163050"/>
          <a:ext cx="0" cy="466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0</xdr:colOff>
      <xdr:row>51</xdr:row>
      <xdr:rowOff>28575</xdr:rowOff>
    </xdr:from>
    <xdr:to>
      <xdr:col>12</xdr:col>
      <xdr:colOff>209550</xdr:colOff>
      <xdr:row>51</xdr:row>
      <xdr:rowOff>28575</xdr:rowOff>
    </xdr:to>
    <xdr:sp macro="" textlink="">
      <xdr:nvSpPr>
        <xdr:cNvPr id="104" name="Line 932">
          <a:extLst>
            <a:ext uri="{FF2B5EF4-FFF2-40B4-BE49-F238E27FC236}">
              <a16:creationId xmlns:a16="http://schemas.microsoft.com/office/drawing/2014/main" id="{00000000-0008-0000-0100-000068000000}"/>
            </a:ext>
          </a:extLst>
        </xdr:cNvPr>
        <xdr:cNvSpPr>
          <a:spLocks noChangeShapeType="1"/>
        </xdr:cNvSpPr>
      </xdr:nvSpPr>
      <xdr:spPr bwMode="auto">
        <a:xfrm>
          <a:off x="6324600" y="9544050"/>
          <a:ext cx="1114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123825</xdr:colOff>
      <xdr:row>49</xdr:row>
      <xdr:rowOff>0</xdr:rowOff>
    </xdr:from>
    <xdr:to>
      <xdr:col>10</xdr:col>
      <xdr:colOff>123825</xdr:colOff>
      <xdr:row>50</xdr:row>
      <xdr:rowOff>76200</xdr:rowOff>
    </xdr:to>
    <xdr:sp macro="" textlink="">
      <xdr:nvSpPr>
        <xdr:cNvPr id="105" name="Line 933">
          <a:extLst>
            <a:ext uri="{FF2B5EF4-FFF2-40B4-BE49-F238E27FC236}">
              <a16:creationId xmlns:a16="http://schemas.microsoft.com/office/drawing/2014/main" id="{00000000-0008-0000-0100-000069000000}"/>
            </a:ext>
          </a:extLst>
        </xdr:cNvPr>
        <xdr:cNvSpPr>
          <a:spLocks noChangeShapeType="1"/>
        </xdr:cNvSpPr>
      </xdr:nvSpPr>
      <xdr:spPr bwMode="auto">
        <a:xfrm>
          <a:off x="6448425" y="913447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76200</xdr:colOff>
      <xdr:row>49</xdr:row>
      <xdr:rowOff>66675</xdr:rowOff>
    </xdr:from>
    <xdr:to>
      <xdr:col>12</xdr:col>
      <xdr:colOff>76200</xdr:colOff>
      <xdr:row>50</xdr:row>
      <xdr:rowOff>95250</xdr:rowOff>
    </xdr:to>
    <xdr:sp macro="" textlink="">
      <xdr:nvSpPr>
        <xdr:cNvPr id="106" name="Line 934">
          <a:extLst>
            <a:ext uri="{FF2B5EF4-FFF2-40B4-BE49-F238E27FC236}">
              <a16:creationId xmlns:a16="http://schemas.microsoft.com/office/drawing/2014/main" id="{00000000-0008-0000-0100-00006A000000}"/>
            </a:ext>
          </a:extLst>
        </xdr:cNvPr>
        <xdr:cNvSpPr>
          <a:spLocks noChangeShapeType="1"/>
        </xdr:cNvSpPr>
      </xdr:nvSpPr>
      <xdr:spPr bwMode="auto">
        <a:xfrm>
          <a:off x="7305675" y="9201150"/>
          <a:ext cx="0"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619125</xdr:colOff>
      <xdr:row>49</xdr:row>
      <xdr:rowOff>171450</xdr:rowOff>
    </xdr:from>
    <xdr:to>
      <xdr:col>10</xdr:col>
      <xdr:colOff>57150</xdr:colOff>
      <xdr:row>50</xdr:row>
      <xdr:rowOff>76200</xdr:rowOff>
    </xdr:to>
    <xdr:sp macro="" textlink="">
      <xdr:nvSpPr>
        <xdr:cNvPr id="107" name="Line 935">
          <a:extLst>
            <a:ext uri="{FF2B5EF4-FFF2-40B4-BE49-F238E27FC236}">
              <a16:creationId xmlns:a16="http://schemas.microsoft.com/office/drawing/2014/main" id="{00000000-0008-0000-0100-00006B000000}"/>
            </a:ext>
          </a:extLst>
        </xdr:cNvPr>
        <xdr:cNvSpPr>
          <a:spLocks noChangeShapeType="1"/>
        </xdr:cNvSpPr>
      </xdr:nvSpPr>
      <xdr:spPr bwMode="auto">
        <a:xfrm flipH="1">
          <a:off x="6276975" y="930592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57150</xdr:colOff>
      <xdr:row>49</xdr:row>
      <xdr:rowOff>142875</xdr:rowOff>
    </xdr:from>
    <xdr:to>
      <xdr:col>10</xdr:col>
      <xdr:colOff>209550</xdr:colOff>
      <xdr:row>50</xdr:row>
      <xdr:rowOff>76200</xdr:rowOff>
    </xdr:to>
    <xdr:sp macro="" textlink="">
      <xdr:nvSpPr>
        <xdr:cNvPr id="108" name="Line 936">
          <a:extLst>
            <a:ext uri="{FF2B5EF4-FFF2-40B4-BE49-F238E27FC236}">
              <a16:creationId xmlns:a16="http://schemas.microsoft.com/office/drawing/2014/main" id="{00000000-0008-0000-0100-00006C000000}"/>
            </a:ext>
          </a:extLst>
        </xdr:cNvPr>
        <xdr:cNvSpPr>
          <a:spLocks noChangeShapeType="1"/>
        </xdr:cNvSpPr>
      </xdr:nvSpPr>
      <xdr:spPr bwMode="auto">
        <a:xfrm flipH="1">
          <a:off x="6381750" y="9277350"/>
          <a:ext cx="1524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xdr:colOff>
      <xdr:row>49</xdr:row>
      <xdr:rowOff>152400</xdr:rowOff>
    </xdr:from>
    <xdr:to>
      <xdr:col>12</xdr:col>
      <xdr:colOff>123825</xdr:colOff>
      <xdr:row>50</xdr:row>
      <xdr:rowOff>95250</xdr:rowOff>
    </xdr:to>
    <xdr:sp macro="" textlink="">
      <xdr:nvSpPr>
        <xdr:cNvPr id="109" name="Line 937">
          <a:extLst>
            <a:ext uri="{FF2B5EF4-FFF2-40B4-BE49-F238E27FC236}">
              <a16:creationId xmlns:a16="http://schemas.microsoft.com/office/drawing/2014/main" id="{00000000-0008-0000-0100-00006D000000}"/>
            </a:ext>
          </a:extLst>
        </xdr:cNvPr>
        <xdr:cNvSpPr>
          <a:spLocks noChangeShapeType="1"/>
        </xdr:cNvSpPr>
      </xdr:nvSpPr>
      <xdr:spPr bwMode="auto">
        <a:xfrm flipH="1">
          <a:off x="7239000" y="9286875"/>
          <a:ext cx="11430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49</xdr:row>
      <xdr:rowOff>142875</xdr:rowOff>
    </xdr:from>
    <xdr:to>
      <xdr:col>12</xdr:col>
      <xdr:colOff>209550</xdr:colOff>
      <xdr:row>50</xdr:row>
      <xdr:rowOff>95250</xdr:rowOff>
    </xdr:to>
    <xdr:sp macro="" textlink="">
      <xdr:nvSpPr>
        <xdr:cNvPr id="110" name="Line 938">
          <a:extLst>
            <a:ext uri="{FF2B5EF4-FFF2-40B4-BE49-F238E27FC236}">
              <a16:creationId xmlns:a16="http://schemas.microsoft.com/office/drawing/2014/main" id="{00000000-0008-0000-0100-00006E000000}"/>
            </a:ext>
          </a:extLst>
        </xdr:cNvPr>
        <xdr:cNvSpPr>
          <a:spLocks noChangeShapeType="1"/>
        </xdr:cNvSpPr>
      </xdr:nvSpPr>
      <xdr:spPr bwMode="auto">
        <a:xfrm flipH="1">
          <a:off x="7324725" y="9277350"/>
          <a:ext cx="1143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600075</xdr:colOff>
      <xdr:row>50</xdr:row>
      <xdr:rowOff>152400</xdr:rowOff>
    </xdr:from>
    <xdr:to>
      <xdr:col>10</xdr:col>
      <xdr:colOff>104775</xdr:colOff>
      <xdr:row>51</xdr:row>
      <xdr:rowOff>104775</xdr:rowOff>
    </xdr:to>
    <xdr:sp macro="" textlink="">
      <xdr:nvSpPr>
        <xdr:cNvPr id="111" name="Line 939">
          <a:extLst>
            <a:ext uri="{FF2B5EF4-FFF2-40B4-BE49-F238E27FC236}">
              <a16:creationId xmlns:a16="http://schemas.microsoft.com/office/drawing/2014/main" id="{00000000-0008-0000-0100-00006F000000}"/>
            </a:ext>
          </a:extLst>
        </xdr:cNvPr>
        <xdr:cNvSpPr>
          <a:spLocks noChangeShapeType="1"/>
        </xdr:cNvSpPr>
      </xdr:nvSpPr>
      <xdr:spPr bwMode="auto">
        <a:xfrm flipH="1">
          <a:off x="6257925" y="9477375"/>
          <a:ext cx="17145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50</xdr:row>
      <xdr:rowOff>142875</xdr:rowOff>
    </xdr:from>
    <xdr:to>
      <xdr:col>12</xdr:col>
      <xdr:colOff>228600</xdr:colOff>
      <xdr:row>51</xdr:row>
      <xdr:rowOff>114300</xdr:rowOff>
    </xdr:to>
    <xdr:sp macro="" textlink="">
      <xdr:nvSpPr>
        <xdr:cNvPr id="112" name="Line 940">
          <a:extLst>
            <a:ext uri="{FF2B5EF4-FFF2-40B4-BE49-F238E27FC236}">
              <a16:creationId xmlns:a16="http://schemas.microsoft.com/office/drawing/2014/main" id="{00000000-0008-0000-0100-000070000000}"/>
            </a:ext>
          </a:extLst>
        </xdr:cNvPr>
        <xdr:cNvSpPr>
          <a:spLocks noChangeShapeType="1"/>
        </xdr:cNvSpPr>
      </xdr:nvSpPr>
      <xdr:spPr bwMode="auto">
        <a:xfrm flipH="1">
          <a:off x="7324725" y="9467850"/>
          <a:ext cx="13335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76200</xdr:colOff>
      <xdr:row>40</xdr:row>
      <xdr:rowOff>200025</xdr:rowOff>
    </xdr:from>
    <xdr:to>
      <xdr:col>12</xdr:col>
      <xdr:colOff>57150</xdr:colOff>
      <xdr:row>41</xdr:row>
      <xdr:rowOff>142875</xdr:rowOff>
    </xdr:to>
    <xdr:sp macro="" textlink="">
      <xdr:nvSpPr>
        <xdr:cNvPr id="113" name="Tegning 941">
          <a:extLst>
            <a:ext uri="{FF2B5EF4-FFF2-40B4-BE49-F238E27FC236}">
              <a16:creationId xmlns:a16="http://schemas.microsoft.com/office/drawing/2014/main" id="{00000000-0008-0000-0100-000071000000}"/>
            </a:ext>
          </a:extLst>
        </xdr:cNvPr>
        <xdr:cNvSpPr>
          <a:spLocks/>
        </xdr:cNvSpPr>
      </xdr:nvSpPr>
      <xdr:spPr bwMode="auto">
        <a:xfrm>
          <a:off x="6400800" y="7610475"/>
          <a:ext cx="885825" cy="14287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128" y="16384"/>
              </a:lnTo>
              <a:lnTo>
                <a:pt x="128"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619125</xdr:colOff>
      <xdr:row>41</xdr:row>
      <xdr:rowOff>28575</xdr:rowOff>
    </xdr:from>
    <xdr:to>
      <xdr:col>10</xdr:col>
      <xdr:colOff>85725</xdr:colOff>
      <xdr:row>41</xdr:row>
      <xdr:rowOff>114300</xdr:rowOff>
    </xdr:to>
    <xdr:sp macro="" textlink="">
      <xdr:nvSpPr>
        <xdr:cNvPr id="114" name="Tegning 942">
          <a:extLst>
            <a:ext uri="{FF2B5EF4-FFF2-40B4-BE49-F238E27FC236}">
              <a16:creationId xmlns:a16="http://schemas.microsoft.com/office/drawing/2014/main" id="{00000000-0008-0000-0100-000072000000}"/>
            </a:ext>
          </a:extLst>
        </xdr:cNvPr>
        <xdr:cNvSpPr>
          <a:spLocks/>
        </xdr:cNvSpPr>
      </xdr:nvSpPr>
      <xdr:spPr bwMode="auto">
        <a:xfrm>
          <a:off x="6276975" y="7639050"/>
          <a:ext cx="133350" cy="8572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5420"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0</xdr:colOff>
      <xdr:row>41</xdr:row>
      <xdr:rowOff>142875</xdr:rowOff>
    </xdr:from>
    <xdr:to>
      <xdr:col>10</xdr:col>
      <xdr:colOff>0</xdr:colOff>
      <xdr:row>45</xdr:row>
      <xdr:rowOff>0</xdr:rowOff>
    </xdr:to>
    <xdr:sp macro="" textlink="">
      <xdr:nvSpPr>
        <xdr:cNvPr id="115" name="Line 943">
          <a:extLst>
            <a:ext uri="{FF2B5EF4-FFF2-40B4-BE49-F238E27FC236}">
              <a16:creationId xmlns:a16="http://schemas.microsoft.com/office/drawing/2014/main" id="{00000000-0008-0000-0100-000073000000}"/>
            </a:ext>
          </a:extLst>
        </xdr:cNvPr>
        <xdr:cNvSpPr>
          <a:spLocks noChangeShapeType="1"/>
        </xdr:cNvSpPr>
      </xdr:nvSpPr>
      <xdr:spPr bwMode="auto">
        <a:xfrm flipH="1">
          <a:off x="6324600" y="7753350"/>
          <a:ext cx="0" cy="61912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142875</xdr:colOff>
      <xdr:row>41</xdr:row>
      <xdr:rowOff>171450</xdr:rowOff>
    </xdr:from>
    <xdr:to>
      <xdr:col>12</xdr:col>
      <xdr:colOff>142875</xdr:colOff>
      <xdr:row>44</xdr:row>
      <xdr:rowOff>171450</xdr:rowOff>
    </xdr:to>
    <xdr:sp macro="" textlink="">
      <xdr:nvSpPr>
        <xdr:cNvPr id="116" name="Line 944">
          <a:extLst>
            <a:ext uri="{FF2B5EF4-FFF2-40B4-BE49-F238E27FC236}">
              <a16:creationId xmlns:a16="http://schemas.microsoft.com/office/drawing/2014/main" id="{00000000-0008-0000-0100-000074000000}"/>
            </a:ext>
          </a:extLst>
        </xdr:cNvPr>
        <xdr:cNvSpPr>
          <a:spLocks noChangeShapeType="1"/>
        </xdr:cNvSpPr>
      </xdr:nvSpPr>
      <xdr:spPr bwMode="auto">
        <a:xfrm>
          <a:off x="7372350" y="7781925"/>
          <a:ext cx="0" cy="5715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28575</xdr:colOff>
      <xdr:row>39</xdr:row>
      <xdr:rowOff>209550</xdr:rowOff>
    </xdr:from>
    <xdr:to>
      <xdr:col>10</xdr:col>
      <xdr:colOff>28575</xdr:colOff>
      <xdr:row>43</xdr:row>
      <xdr:rowOff>209550</xdr:rowOff>
    </xdr:to>
    <xdr:sp macro="" textlink="">
      <xdr:nvSpPr>
        <xdr:cNvPr id="117" name="Line 945">
          <a:extLst>
            <a:ext uri="{FF2B5EF4-FFF2-40B4-BE49-F238E27FC236}">
              <a16:creationId xmlns:a16="http://schemas.microsoft.com/office/drawing/2014/main" id="{00000000-0008-0000-0100-000075000000}"/>
            </a:ext>
          </a:extLst>
        </xdr:cNvPr>
        <xdr:cNvSpPr>
          <a:spLocks noChangeShapeType="1"/>
        </xdr:cNvSpPr>
      </xdr:nvSpPr>
      <xdr:spPr bwMode="auto">
        <a:xfrm>
          <a:off x="6353175" y="7419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39</xdr:row>
      <xdr:rowOff>190500</xdr:rowOff>
    </xdr:from>
    <xdr:to>
      <xdr:col>12</xdr:col>
      <xdr:colOff>104775</xdr:colOff>
      <xdr:row>43</xdr:row>
      <xdr:rowOff>190500</xdr:rowOff>
    </xdr:to>
    <xdr:sp macro="" textlink="">
      <xdr:nvSpPr>
        <xdr:cNvPr id="118" name="Line 946">
          <a:extLst>
            <a:ext uri="{FF2B5EF4-FFF2-40B4-BE49-F238E27FC236}">
              <a16:creationId xmlns:a16="http://schemas.microsoft.com/office/drawing/2014/main" id="{00000000-0008-0000-0100-000076000000}"/>
            </a:ext>
          </a:extLst>
        </xdr:cNvPr>
        <xdr:cNvSpPr>
          <a:spLocks noChangeShapeType="1"/>
        </xdr:cNvSpPr>
      </xdr:nvSpPr>
      <xdr:spPr bwMode="auto">
        <a:xfrm>
          <a:off x="7334250" y="7419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39</xdr:row>
      <xdr:rowOff>190500</xdr:rowOff>
    </xdr:from>
    <xdr:to>
      <xdr:col>9</xdr:col>
      <xdr:colOff>571500</xdr:colOff>
      <xdr:row>43</xdr:row>
      <xdr:rowOff>209550</xdr:rowOff>
    </xdr:to>
    <xdr:sp macro="" textlink="">
      <xdr:nvSpPr>
        <xdr:cNvPr id="119" name="Line 947">
          <a:extLst>
            <a:ext uri="{FF2B5EF4-FFF2-40B4-BE49-F238E27FC236}">
              <a16:creationId xmlns:a16="http://schemas.microsoft.com/office/drawing/2014/main" id="{00000000-0008-0000-0100-000077000000}"/>
            </a:ext>
          </a:extLst>
        </xdr:cNvPr>
        <xdr:cNvSpPr>
          <a:spLocks noChangeShapeType="1"/>
        </xdr:cNvSpPr>
      </xdr:nvSpPr>
      <xdr:spPr bwMode="auto">
        <a:xfrm>
          <a:off x="6229350" y="74199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228600</xdr:colOff>
      <xdr:row>39</xdr:row>
      <xdr:rowOff>190500</xdr:rowOff>
    </xdr:from>
    <xdr:to>
      <xdr:col>12</xdr:col>
      <xdr:colOff>228600</xdr:colOff>
      <xdr:row>43</xdr:row>
      <xdr:rowOff>171450</xdr:rowOff>
    </xdr:to>
    <xdr:sp macro="" textlink="">
      <xdr:nvSpPr>
        <xdr:cNvPr id="120" name="Line 948">
          <a:extLst>
            <a:ext uri="{FF2B5EF4-FFF2-40B4-BE49-F238E27FC236}">
              <a16:creationId xmlns:a16="http://schemas.microsoft.com/office/drawing/2014/main" id="{00000000-0008-0000-0100-000078000000}"/>
            </a:ext>
          </a:extLst>
        </xdr:cNvPr>
        <xdr:cNvSpPr>
          <a:spLocks noChangeShapeType="1"/>
        </xdr:cNvSpPr>
      </xdr:nvSpPr>
      <xdr:spPr bwMode="auto">
        <a:xfrm>
          <a:off x="7458075" y="7419975"/>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38100</xdr:colOff>
      <xdr:row>41</xdr:row>
      <xdr:rowOff>28575</xdr:rowOff>
    </xdr:from>
    <xdr:to>
      <xdr:col>12</xdr:col>
      <xdr:colOff>152400</xdr:colOff>
      <xdr:row>41</xdr:row>
      <xdr:rowOff>104775</xdr:rowOff>
    </xdr:to>
    <xdr:sp macro="" textlink="">
      <xdr:nvSpPr>
        <xdr:cNvPr id="121" name="Tegning 949">
          <a:extLst>
            <a:ext uri="{FF2B5EF4-FFF2-40B4-BE49-F238E27FC236}">
              <a16:creationId xmlns:a16="http://schemas.microsoft.com/office/drawing/2014/main" id="{00000000-0008-0000-0100-000079000000}"/>
            </a:ext>
          </a:extLst>
        </xdr:cNvPr>
        <xdr:cNvSpPr>
          <a:spLocks/>
        </xdr:cNvSpPr>
      </xdr:nvSpPr>
      <xdr:spPr bwMode="auto">
        <a:xfrm>
          <a:off x="7267575" y="7639050"/>
          <a:ext cx="114300" cy="76200"/>
        </a:xfrm>
        <a:custGeom>
          <a:avLst/>
          <a:gdLst>
            <a:gd name="T0" fmla="*/ 0 w 16384"/>
            <a:gd name="T1" fmla="*/ 2147483646 h 16384"/>
            <a:gd name="T2" fmla="*/ 2147483646 w 16384"/>
            <a:gd name="T3" fmla="*/ 2147483646 h 16384"/>
            <a:gd name="T4" fmla="*/ 2147483646 w 16384"/>
            <a:gd name="T5" fmla="*/ 0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16384" y="16384"/>
              </a:lnTo>
              <a:lnTo>
                <a:pt x="16384" y="0"/>
              </a:lnTo>
              <a:lnTo>
                <a:pt x="1425"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12</xdr:col>
      <xdr:colOff>123825</xdr:colOff>
      <xdr:row>47</xdr:row>
      <xdr:rowOff>190500</xdr:rowOff>
    </xdr:from>
    <xdr:to>
      <xdr:col>12</xdr:col>
      <xdr:colOff>152400</xdr:colOff>
      <xdr:row>48</xdr:row>
      <xdr:rowOff>9525</xdr:rowOff>
    </xdr:to>
    <xdr:sp macro="" textlink="" fLocksText="0">
      <xdr:nvSpPr>
        <xdr:cNvPr id="122" name="Oval 950">
          <a:extLst>
            <a:ext uri="{FF2B5EF4-FFF2-40B4-BE49-F238E27FC236}">
              <a16:creationId xmlns:a16="http://schemas.microsoft.com/office/drawing/2014/main" id="{00000000-0008-0000-0100-00007A000000}"/>
            </a:ext>
          </a:extLst>
        </xdr:cNvPr>
        <xdr:cNvSpPr>
          <a:spLocks noChangeArrowheads="1"/>
        </xdr:cNvSpPr>
      </xdr:nvSpPr>
      <xdr:spPr bwMode="auto">
        <a:xfrm>
          <a:off x="7353300" y="8943975"/>
          <a:ext cx="28575" cy="9525"/>
        </a:xfrm>
        <a:prstGeom prst="ellipse">
          <a:avLst/>
        </a:prstGeom>
        <a:noFill/>
        <a:ln w="158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657225</xdr:colOff>
      <xdr:row>47</xdr:row>
      <xdr:rowOff>190500</xdr:rowOff>
    </xdr:from>
    <xdr:to>
      <xdr:col>10</xdr:col>
      <xdr:colOff>9525</xdr:colOff>
      <xdr:row>48</xdr:row>
      <xdr:rowOff>0</xdr:rowOff>
    </xdr:to>
    <xdr:sp macro="" textlink="" fLocksText="0">
      <xdr:nvSpPr>
        <xdr:cNvPr id="123" name="Oval 951">
          <a:extLst>
            <a:ext uri="{FF2B5EF4-FFF2-40B4-BE49-F238E27FC236}">
              <a16:creationId xmlns:a16="http://schemas.microsoft.com/office/drawing/2014/main" id="{00000000-0008-0000-0100-00007B000000}"/>
            </a:ext>
          </a:extLst>
        </xdr:cNvPr>
        <xdr:cNvSpPr>
          <a:spLocks noChangeArrowheads="1"/>
        </xdr:cNvSpPr>
      </xdr:nvSpPr>
      <xdr:spPr bwMode="auto">
        <a:xfrm>
          <a:off x="6315075" y="8943975"/>
          <a:ext cx="1905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542925</xdr:colOff>
      <xdr:row>48</xdr:row>
      <xdr:rowOff>85725</xdr:rowOff>
    </xdr:from>
    <xdr:to>
      <xdr:col>10</xdr:col>
      <xdr:colOff>152400</xdr:colOff>
      <xdr:row>48</xdr:row>
      <xdr:rowOff>95250</xdr:rowOff>
    </xdr:to>
    <xdr:sp macro="" textlink="">
      <xdr:nvSpPr>
        <xdr:cNvPr id="124" name="Line 952">
          <a:extLst>
            <a:ext uri="{FF2B5EF4-FFF2-40B4-BE49-F238E27FC236}">
              <a16:creationId xmlns:a16="http://schemas.microsoft.com/office/drawing/2014/main" id="{00000000-0008-0000-0100-00007C000000}"/>
            </a:ext>
          </a:extLst>
        </xdr:cNvPr>
        <xdr:cNvSpPr>
          <a:spLocks noChangeShapeType="1"/>
        </xdr:cNvSpPr>
      </xdr:nvSpPr>
      <xdr:spPr bwMode="auto">
        <a:xfrm flipV="1">
          <a:off x="6200775" y="9029700"/>
          <a:ext cx="27622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48</xdr:row>
      <xdr:rowOff>104775</xdr:rowOff>
    </xdr:from>
    <xdr:to>
      <xdr:col>12</xdr:col>
      <xdr:colOff>133350</xdr:colOff>
      <xdr:row>48</xdr:row>
      <xdr:rowOff>142875</xdr:rowOff>
    </xdr:to>
    <xdr:sp macro="" textlink="" fLocksText="0">
      <xdr:nvSpPr>
        <xdr:cNvPr id="125" name="Oval 953">
          <a:extLst>
            <a:ext uri="{FF2B5EF4-FFF2-40B4-BE49-F238E27FC236}">
              <a16:creationId xmlns:a16="http://schemas.microsoft.com/office/drawing/2014/main" id="{00000000-0008-0000-0100-00007D000000}"/>
            </a:ext>
          </a:extLst>
        </xdr:cNvPr>
        <xdr:cNvSpPr>
          <a:spLocks noChangeArrowheads="1"/>
        </xdr:cNvSpPr>
      </xdr:nvSpPr>
      <xdr:spPr bwMode="auto">
        <a:xfrm>
          <a:off x="7334250" y="9048750"/>
          <a:ext cx="28575" cy="381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12</xdr:col>
      <xdr:colOff>171450</xdr:colOff>
      <xdr:row>48</xdr:row>
      <xdr:rowOff>104775</xdr:rowOff>
    </xdr:from>
    <xdr:to>
      <xdr:col>12</xdr:col>
      <xdr:colOff>190500</xdr:colOff>
      <xdr:row>48</xdr:row>
      <xdr:rowOff>142875</xdr:rowOff>
    </xdr:to>
    <xdr:sp macro="" textlink="" fLocksText="0">
      <xdr:nvSpPr>
        <xdr:cNvPr id="126" name="Oval 954">
          <a:extLst>
            <a:ext uri="{FF2B5EF4-FFF2-40B4-BE49-F238E27FC236}">
              <a16:creationId xmlns:a16="http://schemas.microsoft.com/office/drawing/2014/main" id="{00000000-0008-0000-0100-00007E000000}"/>
            </a:ext>
          </a:extLst>
        </xdr:cNvPr>
        <xdr:cNvSpPr>
          <a:spLocks noChangeArrowheads="1"/>
        </xdr:cNvSpPr>
      </xdr:nvSpPr>
      <xdr:spPr bwMode="auto">
        <a:xfrm>
          <a:off x="7400925" y="9048750"/>
          <a:ext cx="19050" cy="381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12</xdr:col>
      <xdr:colOff>219075</xdr:colOff>
      <xdr:row>48</xdr:row>
      <xdr:rowOff>190500</xdr:rowOff>
    </xdr:from>
    <xdr:to>
      <xdr:col>12</xdr:col>
      <xdr:colOff>247650</xdr:colOff>
      <xdr:row>48</xdr:row>
      <xdr:rowOff>228600</xdr:rowOff>
    </xdr:to>
    <xdr:sp macro="" textlink="">
      <xdr:nvSpPr>
        <xdr:cNvPr id="127" name="Line 955">
          <a:extLst>
            <a:ext uri="{FF2B5EF4-FFF2-40B4-BE49-F238E27FC236}">
              <a16:creationId xmlns:a16="http://schemas.microsoft.com/office/drawing/2014/main" id="{00000000-0008-0000-0100-00007F000000}"/>
            </a:ext>
          </a:extLst>
        </xdr:cNvPr>
        <xdr:cNvSpPr>
          <a:spLocks noChangeShapeType="1"/>
        </xdr:cNvSpPr>
      </xdr:nvSpPr>
      <xdr:spPr bwMode="auto">
        <a:xfrm flipH="1">
          <a:off x="7448550" y="9134475"/>
          <a:ext cx="28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180975</xdr:colOff>
      <xdr:row>48</xdr:row>
      <xdr:rowOff>142875</xdr:rowOff>
    </xdr:from>
    <xdr:to>
      <xdr:col>12</xdr:col>
      <xdr:colOff>247650</xdr:colOff>
      <xdr:row>49</xdr:row>
      <xdr:rowOff>0</xdr:rowOff>
    </xdr:to>
    <xdr:sp macro="" textlink="">
      <xdr:nvSpPr>
        <xdr:cNvPr id="128" name="Line 956">
          <a:extLst>
            <a:ext uri="{FF2B5EF4-FFF2-40B4-BE49-F238E27FC236}">
              <a16:creationId xmlns:a16="http://schemas.microsoft.com/office/drawing/2014/main" id="{00000000-0008-0000-0100-000080000000}"/>
            </a:ext>
          </a:extLst>
        </xdr:cNvPr>
        <xdr:cNvSpPr>
          <a:spLocks noChangeShapeType="1"/>
        </xdr:cNvSpPr>
      </xdr:nvSpPr>
      <xdr:spPr bwMode="auto">
        <a:xfrm flipH="1">
          <a:off x="7410450" y="9086850"/>
          <a:ext cx="6667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142875</xdr:colOff>
      <xdr:row>48</xdr:row>
      <xdr:rowOff>142875</xdr:rowOff>
    </xdr:from>
    <xdr:to>
      <xdr:col>12</xdr:col>
      <xdr:colOff>219075</xdr:colOff>
      <xdr:row>49</xdr:row>
      <xdr:rowOff>0</xdr:rowOff>
    </xdr:to>
    <xdr:sp macro="" textlink="">
      <xdr:nvSpPr>
        <xdr:cNvPr id="129" name="Line 957">
          <a:extLst>
            <a:ext uri="{FF2B5EF4-FFF2-40B4-BE49-F238E27FC236}">
              <a16:creationId xmlns:a16="http://schemas.microsoft.com/office/drawing/2014/main" id="{00000000-0008-0000-0100-000081000000}"/>
            </a:ext>
          </a:extLst>
        </xdr:cNvPr>
        <xdr:cNvSpPr>
          <a:spLocks noChangeShapeType="1"/>
        </xdr:cNvSpPr>
      </xdr:nvSpPr>
      <xdr:spPr bwMode="auto">
        <a:xfrm flipH="1">
          <a:off x="7372350" y="9086850"/>
          <a:ext cx="7620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48</xdr:row>
      <xdr:rowOff>142875</xdr:rowOff>
    </xdr:from>
    <xdr:to>
      <xdr:col>12</xdr:col>
      <xdr:colOff>161925</xdr:colOff>
      <xdr:row>48</xdr:row>
      <xdr:rowOff>228600</xdr:rowOff>
    </xdr:to>
    <xdr:sp macro="" textlink="">
      <xdr:nvSpPr>
        <xdr:cNvPr id="130" name="Line 958">
          <a:extLst>
            <a:ext uri="{FF2B5EF4-FFF2-40B4-BE49-F238E27FC236}">
              <a16:creationId xmlns:a16="http://schemas.microsoft.com/office/drawing/2014/main" id="{00000000-0008-0000-0100-000082000000}"/>
            </a:ext>
          </a:extLst>
        </xdr:cNvPr>
        <xdr:cNvSpPr>
          <a:spLocks noChangeShapeType="1"/>
        </xdr:cNvSpPr>
      </xdr:nvSpPr>
      <xdr:spPr bwMode="auto">
        <a:xfrm flipH="1">
          <a:off x="7334250" y="9086850"/>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66675</xdr:colOff>
      <xdr:row>48</xdr:row>
      <xdr:rowOff>142875</xdr:rowOff>
    </xdr:from>
    <xdr:to>
      <xdr:col>12</xdr:col>
      <xdr:colOff>133350</xdr:colOff>
      <xdr:row>48</xdr:row>
      <xdr:rowOff>200025</xdr:rowOff>
    </xdr:to>
    <xdr:sp macro="" textlink="">
      <xdr:nvSpPr>
        <xdr:cNvPr id="131" name="Line 959">
          <a:extLst>
            <a:ext uri="{FF2B5EF4-FFF2-40B4-BE49-F238E27FC236}">
              <a16:creationId xmlns:a16="http://schemas.microsoft.com/office/drawing/2014/main" id="{00000000-0008-0000-0100-000083000000}"/>
            </a:ext>
          </a:extLst>
        </xdr:cNvPr>
        <xdr:cNvSpPr>
          <a:spLocks noChangeShapeType="1"/>
        </xdr:cNvSpPr>
      </xdr:nvSpPr>
      <xdr:spPr bwMode="auto">
        <a:xfrm flipH="1">
          <a:off x="7296150" y="9086850"/>
          <a:ext cx="6667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57150</xdr:colOff>
      <xdr:row>48</xdr:row>
      <xdr:rowOff>142875</xdr:rowOff>
    </xdr:from>
    <xdr:to>
      <xdr:col>12</xdr:col>
      <xdr:colOff>76200</xdr:colOff>
      <xdr:row>48</xdr:row>
      <xdr:rowOff>180975</xdr:rowOff>
    </xdr:to>
    <xdr:sp macro="" textlink="">
      <xdr:nvSpPr>
        <xdr:cNvPr id="132" name="Line 960">
          <a:extLst>
            <a:ext uri="{FF2B5EF4-FFF2-40B4-BE49-F238E27FC236}">
              <a16:creationId xmlns:a16="http://schemas.microsoft.com/office/drawing/2014/main" id="{00000000-0008-0000-0100-000084000000}"/>
            </a:ext>
          </a:extLst>
        </xdr:cNvPr>
        <xdr:cNvSpPr>
          <a:spLocks noChangeShapeType="1"/>
        </xdr:cNvSpPr>
      </xdr:nvSpPr>
      <xdr:spPr bwMode="auto">
        <a:xfrm flipH="1">
          <a:off x="7286625" y="9086850"/>
          <a:ext cx="19050"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85725</xdr:colOff>
      <xdr:row>48</xdr:row>
      <xdr:rowOff>133350</xdr:rowOff>
    </xdr:from>
    <xdr:to>
      <xdr:col>10</xdr:col>
      <xdr:colOff>123825</xdr:colOff>
      <xdr:row>48</xdr:row>
      <xdr:rowOff>171450</xdr:rowOff>
    </xdr:to>
    <xdr:sp macro="" textlink="">
      <xdr:nvSpPr>
        <xdr:cNvPr id="133" name="Line 961">
          <a:extLst>
            <a:ext uri="{FF2B5EF4-FFF2-40B4-BE49-F238E27FC236}">
              <a16:creationId xmlns:a16="http://schemas.microsoft.com/office/drawing/2014/main" id="{00000000-0008-0000-0100-000085000000}"/>
            </a:ext>
          </a:extLst>
        </xdr:cNvPr>
        <xdr:cNvSpPr>
          <a:spLocks noChangeShapeType="1"/>
        </xdr:cNvSpPr>
      </xdr:nvSpPr>
      <xdr:spPr bwMode="auto">
        <a:xfrm flipH="1">
          <a:off x="6410325" y="9077325"/>
          <a:ext cx="38100"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38100</xdr:colOff>
      <xdr:row>48</xdr:row>
      <xdr:rowOff>95250</xdr:rowOff>
    </xdr:from>
    <xdr:to>
      <xdr:col>10</xdr:col>
      <xdr:colOff>104775</xdr:colOff>
      <xdr:row>48</xdr:row>
      <xdr:rowOff>152400</xdr:rowOff>
    </xdr:to>
    <xdr:sp macro="" textlink="">
      <xdr:nvSpPr>
        <xdr:cNvPr id="134" name="Line 962">
          <a:extLst>
            <a:ext uri="{FF2B5EF4-FFF2-40B4-BE49-F238E27FC236}">
              <a16:creationId xmlns:a16="http://schemas.microsoft.com/office/drawing/2014/main" id="{00000000-0008-0000-0100-000086000000}"/>
            </a:ext>
          </a:extLst>
        </xdr:cNvPr>
        <xdr:cNvSpPr>
          <a:spLocks noChangeShapeType="1"/>
        </xdr:cNvSpPr>
      </xdr:nvSpPr>
      <xdr:spPr bwMode="auto">
        <a:xfrm flipH="1">
          <a:off x="6362700" y="9039225"/>
          <a:ext cx="6667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657225</xdr:colOff>
      <xdr:row>48</xdr:row>
      <xdr:rowOff>104775</xdr:rowOff>
    </xdr:from>
    <xdr:to>
      <xdr:col>10</xdr:col>
      <xdr:colOff>47625</xdr:colOff>
      <xdr:row>48</xdr:row>
      <xdr:rowOff>152400</xdr:rowOff>
    </xdr:to>
    <xdr:sp macro="" textlink="">
      <xdr:nvSpPr>
        <xdr:cNvPr id="135" name="Line 963">
          <a:extLst>
            <a:ext uri="{FF2B5EF4-FFF2-40B4-BE49-F238E27FC236}">
              <a16:creationId xmlns:a16="http://schemas.microsoft.com/office/drawing/2014/main" id="{00000000-0008-0000-0100-000087000000}"/>
            </a:ext>
          </a:extLst>
        </xdr:cNvPr>
        <xdr:cNvSpPr>
          <a:spLocks noChangeShapeType="1"/>
        </xdr:cNvSpPr>
      </xdr:nvSpPr>
      <xdr:spPr bwMode="auto">
        <a:xfrm flipH="1">
          <a:off x="6315075" y="9048750"/>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609600</xdr:colOff>
      <xdr:row>48</xdr:row>
      <xdr:rowOff>95250</xdr:rowOff>
    </xdr:from>
    <xdr:to>
      <xdr:col>10</xdr:col>
      <xdr:colOff>0</xdr:colOff>
      <xdr:row>48</xdr:row>
      <xdr:rowOff>152400</xdr:rowOff>
    </xdr:to>
    <xdr:sp macro="" textlink="">
      <xdr:nvSpPr>
        <xdr:cNvPr id="136" name="Line 964">
          <a:extLst>
            <a:ext uri="{FF2B5EF4-FFF2-40B4-BE49-F238E27FC236}">
              <a16:creationId xmlns:a16="http://schemas.microsoft.com/office/drawing/2014/main" id="{00000000-0008-0000-0100-000088000000}"/>
            </a:ext>
          </a:extLst>
        </xdr:cNvPr>
        <xdr:cNvSpPr>
          <a:spLocks noChangeShapeType="1"/>
        </xdr:cNvSpPr>
      </xdr:nvSpPr>
      <xdr:spPr bwMode="auto">
        <a:xfrm flipH="1">
          <a:off x="6267450" y="9039225"/>
          <a:ext cx="57150"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581025</xdr:colOff>
      <xdr:row>48</xdr:row>
      <xdr:rowOff>104775</xdr:rowOff>
    </xdr:from>
    <xdr:to>
      <xdr:col>9</xdr:col>
      <xdr:colOff>628650</xdr:colOff>
      <xdr:row>48</xdr:row>
      <xdr:rowOff>161925</xdr:rowOff>
    </xdr:to>
    <xdr:sp macro="" textlink="">
      <xdr:nvSpPr>
        <xdr:cNvPr id="137" name="Line 965">
          <a:extLst>
            <a:ext uri="{FF2B5EF4-FFF2-40B4-BE49-F238E27FC236}">
              <a16:creationId xmlns:a16="http://schemas.microsoft.com/office/drawing/2014/main" id="{00000000-0008-0000-0100-000089000000}"/>
            </a:ext>
          </a:extLst>
        </xdr:cNvPr>
        <xdr:cNvSpPr>
          <a:spLocks noChangeShapeType="1"/>
        </xdr:cNvSpPr>
      </xdr:nvSpPr>
      <xdr:spPr bwMode="auto">
        <a:xfrm flipH="1">
          <a:off x="6238875" y="9048750"/>
          <a:ext cx="4762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542925</xdr:colOff>
      <xdr:row>48</xdr:row>
      <xdr:rowOff>95250</xdr:rowOff>
    </xdr:from>
    <xdr:to>
      <xdr:col>9</xdr:col>
      <xdr:colOff>581025</xdr:colOff>
      <xdr:row>48</xdr:row>
      <xdr:rowOff>142875</xdr:rowOff>
    </xdr:to>
    <xdr:sp macro="" textlink="">
      <xdr:nvSpPr>
        <xdr:cNvPr id="138" name="Line 966">
          <a:extLst>
            <a:ext uri="{FF2B5EF4-FFF2-40B4-BE49-F238E27FC236}">
              <a16:creationId xmlns:a16="http://schemas.microsoft.com/office/drawing/2014/main" id="{00000000-0008-0000-0100-00008A000000}"/>
            </a:ext>
          </a:extLst>
        </xdr:cNvPr>
        <xdr:cNvSpPr>
          <a:spLocks noChangeShapeType="1"/>
        </xdr:cNvSpPr>
      </xdr:nvSpPr>
      <xdr:spPr bwMode="auto">
        <a:xfrm flipH="1">
          <a:off x="6200775" y="9039225"/>
          <a:ext cx="3810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561975</xdr:colOff>
      <xdr:row>48</xdr:row>
      <xdr:rowOff>104775</xdr:rowOff>
    </xdr:from>
    <xdr:to>
      <xdr:col>9</xdr:col>
      <xdr:colOff>609600</xdr:colOff>
      <xdr:row>48</xdr:row>
      <xdr:rowOff>152400</xdr:rowOff>
    </xdr:to>
    <xdr:sp macro="" textlink="">
      <xdr:nvSpPr>
        <xdr:cNvPr id="139" name="Line 967">
          <a:extLst>
            <a:ext uri="{FF2B5EF4-FFF2-40B4-BE49-F238E27FC236}">
              <a16:creationId xmlns:a16="http://schemas.microsoft.com/office/drawing/2014/main" id="{00000000-0008-0000-0100-00008B000000}"/>
            </a:ext>
          </a:extLst>
        </xdr:cNvPr>
        <xdr:cNvSpPr>
          <a:spLocks noChangeShapeType="1"/>
        </xdr:cNvSpPr>
      </xdr:nvSpPr>
      <xdr:spPr bwMode="auto">
        <a:xfrm flipH="1">
          <a:off x="6219825" y="9048750"/>
          <a:ext cx="4762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40</xdr:row>
      <xdr:rowOff>0</xdr:rowOff>
    </xdr:from>
    <xdr:to>
      <xdr:col>9</xdr:col>
      <xdr:colOff>600075</xdr:colOff>
      <xdr:row>40</xdr:row>
      <xdr:rowOff>38100</xdr:rowOff>
    </xdr:to>
    <xdr:sp macro="" textlink="">
      <xdr:nvSpPr>
        <xdr:cNvPr id="140" name="Line 968">
          <a:extLst>
            <a:ext uri="{FF2B5EF4-FFF2-40B4-BE49-F238E27FC236}">
              <a16:creationId xmlns:a16="http://schemas.microsoft.com/office/drawing/2014/main" id="{00000000-0008-0000-0100-00008C000000}"/>
            </a:ext>
          </a:extLst>
        </xdr:cNvPr>
        <xdr:cNvSpPr>
          <a:spLocks noChangeShapeType="1"/>
        </xdr:cNvSpPr>
      </xdr:nvSpPr>
      <xdr:spPr bwMode="auto">
        <a:xfrm flipH="1">
          <a:off x="6229350" y="7419975"/>
          <a:ext cx="2857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561975</xdr:colOff>
      <xdr:row>40</xdr:row>
      <xdr:rowOff>0</xdr:rowOff>
    </xdr:from>
    <xdr:to>
      <xdr:col>9</xdr:col>
      <xdr:colOff>628650</xdr:colOff>
      <xdr:row>40</xdr:row>
      <xdr:rowOff>85725</xdr:rowOff>
    </xdr:to>
    <xdr:sp macro="" textlink="">
      <xdr:nvSpPr>
        <xdr:cNvPr id="141" name="Line 969">
          <a:extLst>
            <a:ext uri="{FF2B5EF4-FFF2-40B4-BE49-F238E27FC236}">
              <a16:creationId xmlns:a16="http://schemas.microsoft.com/office/drawing/2014/main" id="{00000000-0008-0000-0100-00008D000000}"/>
            </a:ext>
          </a:extLst>
        </xdr:cNvPr>
        <xdr:cNvSpPr>
          <a:spLocks noChangeShapeType="1"/>
        </xdr:cNvSpPr>
      </xdr:nvSpPr>
      <xdr:spPr bwMode="auto">
        <a:xfrm flipH="1">
          <a:off x="6219825" y="741997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590550</xdr:colOff>
      <xdr:row>40</xdr:row>
      <xdr:rowOff>0</xdr:rowOff>
    </xdr:from>
    <xdr:to>
      <xdr:col>10</xdr:col>
      <xdr:colOff>9525</xdr:colOff>
      <xdr:row>40</xdr:row>
      <xdr:rowOff>104775</xdr:rowOff>
    </xdr:to>
    <xdr:sp macro="" textlink="">
      <xdr:nvSpPr>
        <xdr:cNvPr id="142" name="Line 970">
          <a:extLst>
            <a:ext uri="{FF2B5EF4-FFF2-40B4-BE49-F238E27FC236}">
              <a16:creationId xmlns:a16="http://schemas.microsoft.com/office/drawing/2014/main" id="{00000000-0008-0000-0100-00008E000000}"/>
            </a:ext>
          </a:extLst>
        </xdr:cNvPr>
        <xdr:cNvSpPr>
          <a:spLocks noChangeShapeType="1"/>
        </xdr:cNvSpPr>
      </xdr:nvSpPr>
      <xdr:spPr bwMode="auto">
        <a:xfrm flipH="1">
          <a:off x="6248400" y="7419975"/>
          <a:ext cx="857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40</xdr:row>
      <xdr:rowOff>38100</xdr:rowOff>
    </xdr:from>
    <xdr:to>
      <xdr:col>10</xdr:col>
      <xdr:colOff>19050</xdr:colOff>
      <xdr:row>40</xdr:row>
      <xdr:rowOff>180975</xdr:rowOff>
    </xdr:to>
    <xdr:sp macro="" textlink="">
      <xdr:nvSpPr>
        <xdr:cNvPr id="143" name="Line 971">
          <a:extLst>
            <a:ext uri="{FF2B5EF4-FFF2-40B4-BE49-F238E27FC236}">
              <a16:creationId xmlns:a16="http://schemas.microsoft.com/office/drawing/2014/main" id="{00000000-0008-0000-0100-00008F000000}"/>
            </a:ext>
          </a:extLst>
        </xdr:cNvPr>
        <xdr:cNvSpPr>
          <a:spLocks noChangeShapeType="1"/>
        </xdr:cNvSpPr>
      </xdr:nvSpPr>
      <xdr:spPr bwMode="auto">
        <a:xfrm flipH="1">
          <a:off x="6229350" y="7458075"/>
          <a:ext cx="1143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600075</xdr:colOff>
      <xdr:row>40</xdr:row>
      <xdr:rowOff>85725</xdr:rowOff>
    </xdr:from>
    <xdr:to>
      <xdr:col>10</xdr:col>
      <xdr:colOff>28575</xdr:colOff>
      <xdr:row>40</xdr:row>
      <xdr:rowOff>190500</xdr:rowOff>
    </xdr:to>
    <xdr:sp macro="" textlink="">
      <xdr:nvSpPr>
        <xdr:cNvPr id="144" name="Line 972">
          <a:extLst>
            <a:ext uri="{FF2B5EF4-FFF2-40B4-BE49-F238E27FC236}">
              <a16:creationId xmlns:a16="http://schemas.microsoft.com/office/drawing/2014/main" id="{00000000-0008-0000-0100-000090000000}"/>
            </a:ext>
          </a:extLst>
        </xdr:cNvPr>
        <xdr:cNvSpPr>
          <a:spLocks noChangeShapeType="1"/>
        </xdr:cNvSpPr>
      </xdr:nvSpPr>
      <xdr:spPr bwMode="auto">
        <a:xfrm flipH="1">
          <a:off x="6257925" y="7505700"/>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638175</xdr:colOff>
      <xdr:row>40</xdr:row>
      <xdr:rowOff>142875</xdr:rowOff>
    </xdr:from>
    <xdr:to>
      <xdr:col>10</xdr:col>
      <xdr:colOff>28575</xdr:colOff>
      <xdr:row>40</xdr:row>
      <xdr:rowOff>200025</xdr:rowOff>
    </xdr:to>
    <xdr:sp macro="" textlink="">
      <xdr:nvSpPr>
        <xdr:cNvPr id="145" name="Line 973">
          <a:extLst>
            <a:ext uri="{FF2B5EF4-FFF2-40B4-BE49-F238E27FC236}">
              <a16:creationId xmlns:a16="http://schemas.microsoft.com/office/drawing/2014/main" id="{00000000-0008-0000-0100-000091000000}"/>
            </a:ext>
          </a:extLst>
        </xdr:cNvPr>
        <xdr:cNvSpPr>
          <a:spLocks noChangeShapeType="1"/>
        </xdr:cNvSpPr>
      </xdr:nvSpPr>
      <xdr:spPr bwMode="auto">
        <a:xfrm flipH="1">
          <a:off x="6296025" y="7562850"/>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561975</xdr:colOff>
      <xdr:row>41</xdr:row>
      <xdr:rowOff>142875</xdr:rowOff>
    </xdr:from>
    <xdr:to>
      <xdr:col>9</xdr:col>
      <xdr:colOff>590550</xdr:colOff>
      <xdr:row>41</xdr:row>
      <xdr:rowOff>190500</xdr:rowOff>
    </xdr:to>
    <xdr:sp macro="" textlink="">
      <xdr:nvSpPr>
        <xdr:cNvPr id="146" name="Line 974">
          <a:extLst>
            <a:ext uri="{FF2B5EF4-FFF2-40B4-BE49-F238E27FC236}">
              <a16:creationId xmlns:a16="http://schemas.microsoft.com/office/drawing/2014/main" id="{00000000-0008-0000-0100-000092000000}"/>
            </a:ext>
          </a:extLst>
        </xdr:cNvPr>
        <xdr:cNvSpPr>
          <a:spLocks noChangeShapeType="1"/>
        </xdr:cNvSpPr>
      </xdr:nvSpPr>
      <xdr:spPr bwMode="auto">
        <a:xfrm flipH="1">
          <a:off x="6219825" y="7753350"/>
          <a:ext cx="2857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581025</xdr:colOff>
      <xdr:row>41</xdr:row>
      <xdr:rowOff>161925</xdr:rowOff>
    </xdr:from>
    <xdr:to>
      <xdr:col>9</xdr:col>
      <xdr:colOff>628650</xdr:colOff>
      <xdr:row>42</xdr:row>
      <xdr:rowOff>0</xdr:rowOff>
    </xdr:to>
    <xdr:sp macro="" textlink="">
      <xdr:nvSpPr>
        <xdr:cNvPr id="147" name="Line 975">
          <a:extLst>
            <a:ext uri="{FF2B5EF4-FFF2-40B4-BE49-F238E27FC236}">
              <a16:creationId xmlns:a16="http://schemas.microsoft.com/office/drawing/2014/main" id="{00000000-0008-0000-0100-000093000000}"/>
            </a:ext>
          </a:extLst>
        </xdr:cNvPr>
        <xdr:cNvSpPr>
          <a:spLocks noChangeShapeType="1"/>
        </xdr:cNvSpPr>
      </xdr:nvSpPr>
      <xdr:spPr bwMode="auto">
        <a:xfrm flipH="1">
          <a:off x="6238875" y="7772400"/>
          <a:ext cx="47625" cy="28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590550</xdr:colOff>
      <xdr:row>41</xdr:row>
      <xdr:rowOff>142875</xdr:rowOff>
    </xdr:from>
    <xdr:to>
      <xdr:col>10</xdr:col>
      <xdr:colOff>9525</xdr:colOff>
      <xdr:row>42</xdr:row>
      <xdr:rowOff>28575</xdr:rowOff>
    </xdr:to>
    <xdr:sp macro="" textlink="">
      <xdr:nvSpPr>
        <xdr:cNvPr id="148" name="Line 976">
          <a:extLst>
            <a:ext uri="{FF2B5EF4-FFF2-40B4-BE49-F238E27FC236}">
              <a16:creationId xmlns:a16="http://schemas.microsoft.com/office/drawing/2014/main" id="{00000000-0008-0000-0100-000094000000}"/>
            </a:ext>
          </a:extLst>
        </xdr:cNvPr>
        <xdr:cNvSpPr>
          <a:spLocks noChangeShapeType="1"/>
        </xdr:cNvSpPr>
      </xdr:nvSpPr>
      <xdr:spPr bwMode="auto">
        <a:xfrm flipH="1">
          <a:off x="6248400" y="7753350"/>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41</xdr:row>
      <xdr:rowOff>190500</xdr:rowOff>
    </xdr:from>
    <xdr:to>
      <xdr:col>10</xdr:col>
      <xdr:colOff>28575</xdr:colOff>
      <xdr:row>42</xdr:row>
      <xdr:rowOff>114300</xdr:rowOff>
    </xdr:to>
    <xdr:sp macro="" textlink="">
      <xdr:nvSpPr>
        <xdr:cNvPr id="149" name="Line 977">
          <a:extLst>
            <a:ext uri="{FF2B5EF4-FFF2-40B4-BE49-F238E27FC236}">
              <a16:creationId xmlns:a16="http://schemas.microsoft.com/office/drawing/2014/main" id="{00000000-0008-0000-0100-000095000000}"/>
            </a:ext>
          </a:extLst>
        </xdr:cNvPr>
        <xdr:cNvSpPr>
          <a:spLocks noChangeShapeType="1"/>
        </xdr:cNvSpPr>
      </xdr:nvSpPr>
      <xdr:spPr bwMode="auto">
        <a:xfrm flipH="1">
          <a:off x="6229350" y="7800975"/>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571500</xdr:colOff>
      <xdr:row>42</xdr:row>
      <xdr:rowOff>28575</xdr:rowOff>
    </xdr:from>
    <xdr:to>
      <xdr:col>10</xdr:col>
      <xdr:colOff>38100</xdr:colOff>
      <xdr:row>42</xdr:row>
      <xdr:rowOff>171450</xdr:rowOff>
    </xdr:to>
    <xdr:sp macro="" textlink="">
      <xdr:nvSpPr>
        <xdr:cNvPr id="150" name="Line 978">
          <a:extLst>
            <a:ext uri="{FF2B5EF4-FFF2-40B4-BE49-F238E27FC236}">
              <a16:creationId xmlns:a16="http://schemas.microsoft.com/office/drawing/2014/main" id="{00000000-0008-0000-0100-000096000000}"/>
            </a:ext>
          </a:extLst>
        </xdr:cNvPr>
        <xdr:cNvSpPr>
          <a:spLocks noChangeShapeType="1"/>
        </xdr:cNvSpPr>
      </xdr:nvSpPr>
      <xdr:spPr bwMode="auto">
        <a:xfrm flipH="1">
          <a:off x="6229350" y="7829550"/>
          <a:ext cx="13335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561975</xdr:colOff>
      <xdr:row>42</xdr:row>
      <xdr:rowOff>114300</xdr:rowOff>
    </xdr:from>
    <xdr:to>
      <xdr:col>10</xdr:col>
      <xdr:colOff>19050</xdr:colOff>
      <xdr:row>43</xdr:row>
      <xdr:rowOff>28575</xdr:rowOff>
    </xdr:to>
    <xdr:sp macro="" textlink="">
      <xdr:nvSpPr>
        <xdr:cNvPr id="151" name="Line 979">
          <a:extLst>
            <a:ext uri="{FF2B5EF4-FFF2-40B4-BE49-F238E27FC236}">
              <a16:creationId xmlns:a16="http://schemas.microsoft.com/office/drawing/2014/main" id="{00000000-0008-0000-0100-000097000000}"/>
            </a:ext>
          </a:extLst>
        </xdr:cNvPr>
        <xdr:cNvSpPr>
          <a:spLocks noChangeShapeType="1"/>
        </xdr:cNvSpPr>
      </xdr:nvSpPr>
      <xdr:spPr bwMode="auto">
        <a:xfrm flipH="1">
          <a:off x="6219825" y="7915275"/>
          <a:ext cx="1238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590550</xdr:colOff>
      <xdr:row>42</xdr:row>
      <xdr:rowOff>171450</xdr:rowOff>
    </xdr:from>
    <xdr:to>
      <xdr:col>10</xdr:col>
      <xdr:colOff>28575</xdr:colOff>
      <xdr:row>43</xdr:row>
      <xdr:rowOff>76200</xdr:rowOff>
    </xdr:to>
    <xdr:sp macro="" textlink="">
      <xdr:nvSpPr>
        <xdr:cNvPr id="152" name="Line 980">
          <a:extLst>
            <a:ext uri="{FF2B5EF4-FFF2-40B4-BE49-F238E27FC236}">
              <a16:creationId xmlns:a16="http://schemas.microsoft.com/office/drawing/2014/main" id="{00000000-0008-0000-0100-000098000000}"/>
            </a:ext>
          </a:extLst>
        </xdr:cNvPr>
        <xdr:cNvSpPr>
          <a:spLocks noChangeShapeType="1"/>
        </xdr:cNvSpPr>
      </xdr:nvSpPr>
      <xdr:spPr bwMode="auto">
        <a:xfrm flipH="1">
          <a:off x="6248400" y="797242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581025</xdr:colOff>
      <xdr:row>43</xdr:row>
      <xdr:rowOff>19050</xdr:rowOff>
    </xdr:from>
    <xdr:to>
      <xdr:col>10</xdr:col>
      <xdr:colOff>38100</xdr:colOff>
      <xdr:row>43</xdr:row>
      <xdr:rowOff>142875</xdr:rowOff>
    </xdr:to>
    <xdr:sp macro="" textlink="">
      <xdr:nvSpPr>
        <xdr:cNvPr id="153" name="Line 981">
          <a:extLst>
            <a:ext uri="{FF2B5EF4-FFF2-40B4-BE49-F238E27FC236}">
              <a16:creationId xmlns:a16="http://schemas.microsoft.com/office/drawing/2014/main" id="{00000000-0008-0000-0100-000099000000}"/>
            </a:ext>
          </a:extLst>
        </xdr:cNvPr>
        <xdr:cNvSpPr>
          <a:spLocks noChangeShapeType="1"/>
        </xdr:cNvSpPr>
      </xdr:nvSpPr>
      <xdr:spPr bwMode="auto">
        <a:xfrm flipH="1">
          <a:off x="6238875" y="801052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600075</xdr:colOff>
      <xdr:row>43</xdr:row>
      <xdr:rowOff>76200</xdr:rowOff>
    </xdr:from>
    <xdr:to>
      <xdr:col>10</xdr:col>
      <xdr:colOff>19050</xdr:colOff>
      <xdr:row>43</xdr:row>
      <xdr:rowOff>190500</xdr:rowOff>
    </xdr:to>
    <xdr:sp macro="" textlink="">
      <xdr:nvSpPr>
        <xdr:cNvPr id="154" name="Line 982">
          <a:extLst>
            <a:ext uri="{FF2B5EF4-FFF2-40B4-BE49-F238E27FC236}">
              <a16:creationId xmlns:a16="http://schemas.microsoft.com/office/drawing/2014/main" id="{00000000-0008-0000-0100-00009A000000}"/>
            </a:ext>
          </a:extLst>
        </xdr:cNvPr>
        <xdr:cNvSpPr>
          <a:spLocks noChangeShapeType="1"/>
        </xdr:cNvSpPr>
      </xdr:nvSpPr>
      <xdr:spPr bwMode="auto">
        <a:xfrm flipH="1">
          <a:off x="6257925" y="8067675"/>
          <a:ext cx="857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647700</xdr:colOff>
      <xdr:row>43</xdr:row>
      <xdr:rowOff>123825</xdr:rowOff>
    </xdr:from>
    <xdr:to>
      <xdr:col>10</xdr:col>
      <xdr:colOff>28575</xdr:colOff>
      <xdr:row>43</xdr:row>
      <xdr:rowOff>190500</xdr:rowOff>
    </xdr:to>
    <xdr:sp macro="" textlink="">
      <xdr:nvSpPr>
        <xdr:cNvPr id="155" name="Line 983">
          <a:extLst>
            <a:ext uri="{FF2B5EF4-FFF2-40B4-BE49-F238E27FC236}">
              <a16:creationId xmlns:a16="http://schemas.microsoft.com/office/drawing/2014/main" id="{00000000-0008-0000-0100-00009B000000}"/>
            </a:ext>
          </a:extLst>
        </xdr:cNvPr>
        <xdr:cNvSpPr>
          <a:spLocks noChangeShapeType="1"/>
        </xdr:cNvSpPr>
      </xdr:nvSpPr>
      <xdr:spPr bwMode="auto">
        <a:xfrm flipH="1">
          <a:off x="6305550" y="8115300"/>
          <a:ext cx="4762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39</xdr:row>
      <xdr:rowOff>190500</xdr:rowOff>
    </xdr:from>
    <xdr:to>
      <xdr:col>12</xdr:col>
      <xdr:colOff>133350</xdr:colOff>
      <xdr:row>40</xdr:row>
      <xdr:rowOff>9525</xdr:rowOff>
    </xdr:to>
    <xdr:sp macro="" textlink="">
      <xdr:nvSpPr>
        <xdr:cNvPr id="156" name="Line 984">
          <a:extLst>
            <a:ext uri="{FF2B5EF4-FFF2-40B4-BE49-F238E27FC236}">
              <a16:creationId xmlns:a16="http://schemas.microsoft.com/office/drawing/2014/main" id="{00000000-0008-0000-0100-00009C000000}"/>
            </a:ext>
          </a:extLst>
        </xdr:cNvPr>
        <xdr:cNvSpPr>
          <a:spLocks noChangeShapeType="1"/>
        </xdr:cNvSpPr>
      </xdr:nvSpPr>
      <xdr:spPr bwMode="auto">
        <a:xfrm flipH="1">
          <a:off x="7334250" y="7419975"/>
          <a:ext cx="28575"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39</xdr:row>
      <xdr:rowOff>190500</xdr:rowOff>
    </xdr:from>
    <xdr:to>
      <xdr:col>12</xdr:col>
      <xdr:colOff>190500</xdr:colOff>
      <xdr:row>40</xdr:row>
      <xdr:rowOff>85725</xdr:rowOff>
    </xdr:to>
    <xdr:sp macro="" textlink="">
      <xdr:nvSpPr>
        <xdr:cNvPr id="157" name="Line 985">
          <a:extLst>
            <a:ext uri="{FF2B5EF4-FFF2-40B4-BE49-F238E27FC236}">
              <a16:creationId xmlns:a16="http://schemas.microsoft.com/office/drawing/2014/main" id="{00000000-0008-0000-0100-00009D000000}"/>
            </a:ext>
          </a:extLst>
        </xdr:cNvPr>
        <xdr:cNvSpPr>
          <a:spLocks noChangeShapeType="1"/>
        </xdr:cNvSpPr>
      </xdr:nvSpPr>
      <xdr:spPr bwMode="auto">
        <a:xfrm flipH="1">
          <a:off x="7334250" y="741997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123825</xdr:colOff>
      <xdr:row>39</xdr:row>
      <xdr:rowOff>209550</xdr:rowOff>
    </xdr:from>
    <xdr:to>
      <xdr:col>12</xdr:col>
      <xdr:colOff>228600</xdr:colOff>
      <xdr:row>40</xdr:row>
      <xdr:rowOff>133350</xdr:rowOff>
    </xdr:to>
    <xdr:sp macro="" textlink="">
      <xdr:nvSpPr>
        <xdr:cNvPr id="158" name="Line 986">
          <a:extLst>
            <a:ext uri="{FF2B5EF4-FFF2-40B4-BE49-F238E27FC236}">
              <a16:creationId xmlns:a16="http://schemas.microsoft.com/office/drawing/2014/main" id="{00000000-0008-0000-0100-00009E000000}"/>
            </a:ext>
          </a:extLst>
        </xdr:cNvPr>
        <xdr:cNvSpPr>
          <a:spLocks noChangeShapeType="1"/>
        </xdr:cNvSpPr>
      </xdr:nvSpPr>
      <xdr:spPr bwMode="auto">
        <a:xfrm flipH="1">
          <a:off x="7353300" y="7419975"/>
          <a:ext cx="104775"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114300</xdr:colOff>
      <xdr:row>40</xdr:row>
      <xdr:rowOff>47625</xdr:rowOff>
    </xdr:from>
    <xdr:to>
      <xdr:col>12</xdr:col>
      <xdr:colOff>238125</xdr:colOff>
      <xdr:row>40</xdr:row>
      <xdr:rowOff>190500</xdr:rowOff>
    </xdr:to>
    <xdr:sp macro="" textlink="">
      <xdr:nvSpPr>
        <xdr:cNvPr id="159" name="Line 987">
          <a:extLst>
            <a:ext uri="{FF2B5EF4-FFF2-40B4-BE49-F238E27FC236}">
              <a16:creationId xmlns:a16="http://schemas.microsoft.com/office/drawing/2014/main" id="{00000000-0008-0000-0100-00009F000000}"/>
            </a:ext>
          </a:extLst>
        </xdr:cNvPr>
        <xdr:cNvSpPr>
          <a:spLocks noChangeShapeType="1"/>
        </xdr:cNvSpPr>
      </xdr:nvSpPr>
      <xdr:spPr bwMode="auto">
        <a:xfrm flipH="1">
          <a:off x="7343775" y="7467600"/>
          <a:ext cx="1238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161925</xdr:colOff>
      <xdr:row>40</xdr:row>
      <xdr:rowOff>104775</xdr:rowOff>
    </xdr:from>
    <xdr:to>
      <xdr:col>12</xdr:col>
      <xdr:colOff>238125</xdr:colOff>
      <xdr:row>40</xdr:row>
      <xdr:rowOff>200025</xdr:rowOff>
    </xdr:to>
    <xdr:sp macro="" textlink="">
      <xdr:nvSpPr>
        <xdr:cNvPr id="160" name="Line 988">
          <a:extLst>
            <a:ext uri="{FF2B5EF4-FFF2-40B4-BE49-F238E27FC236}">
              <a16:creationId xmlns:a16="http://schemas.microsoft.com/office/drawing/2014/main" id="{00000000-0008-0000-0100-0000A0000000}"/>
            </a:ext>
          </a:extLst>
        </xdr:cNvPr>
        <xdr:cNvSpPr>
          <a:spLocks noChangeShapeType="1"/>
        </xdr:cNvSpPr>
      </xdr:nvSpPr>
      <xdr:spPr bwMode="auto">
        <a:xfrm flipH="1">
          <a:off x="7391400" y="7524750"/>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200025</xdr:colOff>
      <xdr:row>40</xdr:row>
      <xdr:rowOff>152400</xdr:rowOff>
    </xdr:from>
    <xdr:to>
      <xdr:col>12</xdr:col>
      <xdr:colOff>228600</xdr:colOff>
      <xdr:row>40</xdr:row>
      <xdr:rowOff>200025</xdr:rowOff>
    </xdr:to>
    <xdr:sp macro="" textlink="">
      <xdr:nvSpPr>
        <xdr:cNvPr id="161" name="Line 989">
          <a:extLst>
            <a:ext uri="{FF2B5EF4-FFF2-40B4-BE49-F238E27FC236}">
              <a16:creationId xmlns:a16="http://schemas.microsoft.com/office/drawing/2014/main" id="{00000000-0008-0000-0100-0000A1000000}"/>
            </a:ext>
          </a:extLst>
        </xdr:cNvPr>
        <xdr:cNvSpPr>
          <a:spLocks noChangeShapeType="1"/>
        </xdr:cNvSpPr>
      </xdr:nvSpPr>
      <xdr:spPr bwMode="auto">
        <a:xfrm flipH="1">
          <a:off x="7429500" y="7572375"/>
          <a:ext cx="2857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41</xdr:row>
      <xdr:rowOff>161925</xdr:rowOff>
    </xdr:from>
    <xdr:to>
      <xdr:col>12</xdr:col>
      <xdr:colOff>142875</xdr:colOff>
      <xdr:row>41</xdr:row>
      <xdr:rowOff>209550</xdr:rowOff>
    </xdr:to>
    <xdr:sp macro="" textlink="">
      <xdr:nvSpPr>
        <xdr:cNvPr id="162" name="Line 990">
          <a:extLst>
            <a:ext uri="{FF2B5EF4-FFF2-40B4-BE49-F238E27FC236}">
              <a16:creationId xmlns:a16="http://schemas.microsoft.com/office/drawing/2014/main" id="{00000000-0008-0000-0100-0000A2000000}"/>
            </a:ext>
          </a:extLst>
        </xdr:cNvPr>
        <xdr:cNvSpPr>
          <a:spLocks noChangeShapeType="1"/>
        </xdr:cNvSpPr>
      </xdr:nvSpPr>
      <xdr:spPr bwMode="auto">
        <a:xfrm flipH="1">
          <a:off x="7334250" y="7772400"/>
          <a:ext cx="38100" cy="28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41</xdr:row>
      <xdr:rowOff>142875</xdr:rowOff>
    </xdr:from>
    <xdr:to>
      <xdr:col>12</xdr:col>
      <xdr:colOff>190500</xdr:colOff>
      <xdr:row>42</xdr:row>
      <xdr:rowOff>28575</xdr:rowOff>
    </xdr:to>
    <xdr:sp macro="" textlink="">
      <xdr:nvSpPr>
        <xdr:cNvPr id="163" name="Line 991">
          <a:extLst>
            <a:ext uri="{FF2B5EF4-FFF2-40B4-BE49-F238E27FC236}">
              <a16:creationId xmlns:a16="http://schemas.microsoft.com/office/drawing/2014/main" id="{00000000-0008-0000-0100-0000A3000000}"/>
            </a:ext>
          </a:extLst>
        </xdr:cNvPr>
        <xdr:cNvSpPr>
          <a:spLocks noChangeShapeType="1"/>
        </xdr:cNvSpPr>
      </xdr:nvSpPr>
      <xdr:spPr bwMode="auto">
        <a:xfrm flipH="1">
          <a:off x="7334250" y="7753350"/>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41</xdr:row>
      <xdr:rowOff>161925</xdr:rowOff>
    </xdr:from>
    <xdr:to>
      <xdr:col>12</xdr:col>
      <xdr:colOff>219075</xdr:colOff>
      <xdr:row>42</xdr:row>
      <xdr:rowOff>76200</xdr:rowOff>
    </xdr:to>
    <xdr:sp macro="" textlink="">
      <xdr:nvSpPr>
        <xdr:cNvPr id="164" name="Line 992">
          <a:extLst>
            <a:ext uri="{FF2B5EF4-FFF2-40B4-BE49-F238E27FC236}">
              <a16:creationId xmlns:a16="http://schemas.microsoft.com/office/drawing/2014/main" id="{00000000-0008-0000-0100-0000A4000000}"/>
            </a:ext>
          </a:extLst>
        </xdr:cNvPr>
        <xdr:cNvSpPr>
          <a:spLocks noChangeShapeType="1"/>
        </xdr:cNvSpPr>
      </xdr:nvSpPr>
      <xdr:spPr bwMode="auto">
        <a:xfrm flipH="1">
          <a:off x="7324725" y="7772400"/>
          <a:ext cx="1238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41</xdr:row>
      <xdr:rowOff>209550</xdr:rowOff>
    </xdr:from>
    <xdr:to>
      <xdr:col>12</xdr:col>
      <xdr:colOff>228600</xdr:colOff>
      <xdr:row>42</xdr:row>
      <xdr:rowOff>142875</xdr:rowOff>
    </xdr:to>
    <xdr:sp macro="" textlink="">
      <xdr:nvSpPr>
        <xdr:cNvPr id="165" name="Line 993">
          <a:extLst>
            <a:ext uri="{FF2B5EF4-FFF2-40B4-BE49-F238E27FC236}">
              <a16:creationId xmlns:a16="http://schemas.microsoft.com/office/drawing/2014/main" id="{00000000-0008-0000-0100-0000A5000000}"/>
            </a:ext>
          </a:extLst>
        </xdr:cNvPr>
        <xdr:cNvSpPr>
          <a:spLocks noChangeShapeType="1"/>
        </xdr:cNvSpPr>
      </xdr:nvSpPr>
      <xdr:spPr bwMode="auto">
        <a:xfrm flipH="1">
          <a:off x="7334250" y="7800975"/>
          <a:ext cx="1238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42</xdr:row>
      <xdr:rowOff>28575</xdr:rowOff>
    </xdr:from>
    <xdr:to>
      <xdr:col>12</xdr:col>
      <xdr:colOff>228600</xdr:colOff>
      <xdr:row>42</xdr:row>
      <xdr:rowOff>190500</xdr:rowOff>
    </xdr:to>
    <xdr:sp macro="" textlink="">
      <xdr:nvSpPr>
        <xdr:cNvPr id="166" name="Line 994">
          <a:extLst>
            <a:ext uri="{FF2B5EF4-FFF2-40B4-BE49-F238E27FC236}">
              <a16:creationId xmlns:a16="http://schemas.microsoft.com/office/drawing/2014/main" id="{00000000-0008-0000-0100-0000A6000000}"/>
            </a:ext>
          </a:extLst>
        </xdr:cNvPr>
        <xdr:cNvSpPr>
          <a:spLocks noChangeShapeType="1"/>
        </xdr:cNvSpPr>
      </xdr:nvSpPr>
      <xdr:spPr bwMode="auto">
        <a:xfrm flipH="1">
          <a:off x="7334250" y="7829550"/>
          <a:ext cx="12382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95250</xdr:colOff>
      <xdr:row>42</xdr:row>
      <xdr:rowOff>114300</xdr:rowOff>
    </xdr:from>
    <xdr:to>
      <xdr:col>12</xdr:col>
      <xdr:colOff>228600</xdr:colOff>
      <xdr:row>43</xdr:row>
      <xdr:rowOff>47625</xdr:rowOff>
    </xdr:to>
    <xdr:sp macro="" textlink="">
      <xdr:nvSpPr>
        <xdr:cNvPr id="167" name="Line 995">
          <a:extLst>
            <a:ext uri="{FF2B5EF4-FFF2-40B4-BE49-F238E27FC236}">
              <a16:creationId xmlns:a16="http://schemas.microsoft.com/office/drawing/2014/main" id="{00000000-0008-0000-0100-0000A7000000}"/>
            </a:ext>
          </a:extLst>
        </xdr:cNvPr>
        <xdr:cNvSpPr>
          <a:spLocks noChangeShapeType="1"/>
        </xdr:cNvSpPr>
      </xdr:nvSpPr>
      <xdr:spPr bwMode="auto">
        <a:xfrm flipH="1">
          <a:off x="7324725" y="7915275"/>
          <a:ext cx="1333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104775</xdr:colOff>
      <xdr:row>42</xdr:row>
      <xdr:rowOff>171450</xdr:rowOff>
    </xdr:from>
    <xdr:to>
      <xdr:col>12</xdr:col>
      <xdr:colOff>228600</xdr:colOff>
      <xdr:row>43</xdr:row>
      <xdr:rowOff>95250</xdr:rowOff>
    </xdr:to>
    <xdr:sp macro="" textlink="">
      <xdr:nvSpPr>
        <xdr:cNvPr id="168" name="Line 996">
          <a:extLst>
            <a:ext uri="{FF2B5EF4-FFF2-40B4-BE49-F238E27FC236}">
              <a16:creationId xmlns:a16="http://schemas.microsoft.com/office/drawing/2014/main" id="{00000000-0008-0000-0100-0000A8000000}"/>
            </a:ext>
          </a:extLst>
        </xdr:cNvPr>
        <xdr:cNvSpPr>
          <a:spLocks noChangeShapeType="1"/>
        </xdr:cNvSpPr>
      </xdr:nvSpPr>
      <xdr:spPr bwMode="auto">
        <a:xfrm flipH="1">
          <a:off x="7334250" y="7972425"/>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114300</xdr:colOff>
      <xdr:row>43</xdr:row>
      <xdr:rowOff>19050</xdr:rowOff>
    </xdr:from>
    <xdr:to>
      <xdr:col>12</xdr:col>
      <xdr:colOff>228600</xdr:colOff>
      <xdr:row>43</xdr:row>
      <xdr:rowOff>161925</xdr:rowOff>
    </xdr:to>
    <xdr:sp macro="" textlink="">
      <xdr:nvSpPr>
        <xdr:cNvPr id="169" name="Line 997">
          <a:extLst>
            <a:ext uri="{FF2B5EF4-FFF2-40B4-BE49-F238E27FC236}">
              <a16:creationId xmlns:a16="http://schemas.microsoft.com/office/drawing/2014/main" id="{00000000-0008-0000-0100-0000A9000000}"/>
            </a:ext>
          </a:extLst>
        </xdr:cNvPr>
        <xdr:cNvSpPr>
          <a:spLocks noChangeShapeType="1"/>
        </xdr:cNvSpPr>
      </xdr:nvSpPr>
      <xdr:spPr bwMode="auto">
        <a:xfrm flipH="1">
          <a:off x="7343775" y="8010525"/>
          <a:ext cx="1143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12</xdr:col>
      <xdr:colOff>171450</xdr:colOff>
      <xdr:row>43</xdr:row>
      <xdr:rowOff>76200</xdr:rowOff>
    </xdr:from>
    <xdr:to>
      <xdr:col>12</xdr:col>
      <xdr:colOff>238125</xdr:colOff>
      <xdr:row>43</xdr:row>
      <xdr:rowOff>171450</xdr:rowOff>
    </xdr:to>
    <xdr:sp macro="" textlink="">
      <xdr:nvSpPr>
        <xdr:cNvPr id="170" name="Line 998">
          <a:extLst>
            <a:ext uri="{FF2B5EF4-FFF2-40B4-BE49-F238E27FC236}">
              <a16:creationId xmlns:a16="http://schemas.microsoft.com/office/drawing/2014/main" id="{00000000-0008-0000-0100-0000AA000000}"/>
            </a:ext>
          </a:extLst>
        </xdr:cNvPr>
        <xdr:cNvSpPr>
          <a:spLocks noChangeShapeType="1"/>
        </xdr:cNvSpPr>
      </xdr:nvSpPr>
      <xdr:spPr bwMode="auto">
        <a:xfrm flipH="1">
          <a:off x="7400925" y="8067675"/>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xdr:col>
      <xdr:colOff>85725</xdr:colOff>
      <xdr:row>40</xdr:row>
      <xdr:rowOff>200025</xdr:rowOff>
    </xdr:from>
    <xdr:to>
      <xdr:col>10</xdr:col>
      <xdr:colOff>85725</xdr:colOff>
      <xdr:row>41</xdr:row>
      <xdr:rowOff>142875</xdr:rowOff>
    </xdr:to>
    <xdr:sp macro="" textlink="">
      <xdr:nvSpPr>
        <xdr:cNvPr id="171" name="Line 999">
          <a:extLst>
            <a:ext uri="{FF2B5EF4-FFF2-40B4-BE49-F238E27FC236}">
              <a16:creationId xmlns:a16="http://schemas.microsoft.com/office/drawing/2014/main" id="{00000000-0008-0000-0100-0000AB000000}"/>
            </a:ext>
          </a:extLst>
        </xdr:cNvPr>
        <xdr:cNvSpPr>
          <a:spLocks noChangeShapeType="1"/>
        </xdr:cNvSpPr>
      </xdr:nvSpPr>
      <xdr:spPr bwMode="auto">
        <a:xfrm>
          <a:off x="6410325" y="761047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590550</xdr:colOff>
      <xdr:row>27</xdr:row>
      <xdr:rowOff>95250</xdr:rowOff>
    </xdr:from>
    <xdr:to>
      <xdr:col>10</xdr:col>
      <xdr:colOff>180975</xdr:colOff>
      <xdr:row>27</xdr:row>
      <xdr:rowOff>95250</xdr:rowOff>
    </xdr:to>
    <xdr:sp macro="" textlink="">
      <xdr:nvSpPr>
        <xdr:cNvPr id="172" name="Line 1000">
          <a:extLst>
            <a:ext uri="{FF2B5EF4-FFF2-40B4-BE49-F238E27FC236}">
              <a16:creationId xmlns:a16="http://schemas.microsoft.com/office/drawing/2014/main" id="{00000000-0008-0000-0100-0000AC000000}"/>
            </a:ext>
          </a:extLst>
        </xdr:cNvPr>
        <xdr:cNvSpPr>
          <a:spLocks noChangeShapeType="1"/>
        </xdr:cNvSpPr>
      </xdr:nvSpPr>
      <xdr:spPr bwMode="auto">
        <a:xfrm flipH="1">
          <a:off x="6248400" y="5038725"/>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581025</xdr:colOff>
      <xdr:row>27</xdr:row>
      <xdr:rowOff>28575</xdr:rowOff>
    </xdr:from>
    <xdr:to>
      <xdr:col>10</xdr:col>
      <xdr:colOff>47625</xdr:colOff>
      <xdr:row>27</xdr:row>
      <xdr:rowOff>161925</xdr:rowOff>
    </xdr:to>
    <xdr:sp macro="" textlink="">
      <xdr:nvSpPr>
        <xdr:cNvPr id="173" name="Line 1001">
          <a:extLst>
            <a:ext uri="{FF2B5EF4-FFF2-40B4-BE49-F238E27FC236}">
              <a16:creationId xmlns:a16="http://schemas.microsoft.com/office/drawing/2014/main" id="{00000000-0008-0000-0100-0000AD000000}"/>
            </a:ext>
          </a:extLst>
        </xdr:cNvPr>
        <xdr:cNvSpPr>
          <a:spLocks noChangeShapeType="1"/>
        </xdr:cNvSpPr>
      </xdr:nvSpPr>
      <xdr:spPr bwMode="auto">
        <a:xfrm flipH="1">
          <a:off x="6238875" y="4972050"/>
          <a:ext cx="13335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28575</xdr:colOff>
      <xdr:row>25</xdr:row>
      <xdr:rowOff>114300</xdr:rowOff>
    </xdr:from>
    <xdr:to>
      <xdr:col>6</xdr:col>
      <xdr:colOff>228600</xdr:colOff>
      <xdr:row>25</xdr:row>
      <xdr:rowOff>114300</xdr:rowOff>
    </xdr:to>
    <xdr:sp macro="" textlink="">
      <xdr:nvSpPr>
        <xdr:cNvPr id="174" name="Line 1002">
          <a:extLst>
            <a:ext uri="{FF2B5EF4-FFF2-40B4-BE49-F238E27FC236}">
              <a16:creationId xmlns:a16="http://schemas.microsoft.com/office/drawing/2014/main" id="{00000000-0008-0000-0100-0000AE000000}"/>
            </a:ext>
          </a:extLst>
        </xdr:cNvPr>
        <xdr:cNvSpPr>
          <a:spLocks noChangeShapeType="1"/>
        </xdr:cNvSpPr>
      </xdr:nvSpPr>
      <xdr:spPr bwMode="auto">
        <a:xfrm>
          <a:off x="3429000" y="4676775"/>
          <a:ext cx="200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133350</xdr:colOff>
      <xdr:row>25</xdr:row>
      <xdr:rowOff>47625</xdr:rowOff>
    </xdr:from>
    <xdr:to>
      <xdr:col>6</xdr:col>
      <xdr:colOff>238125</xdr:colOff>
      <xdr:row>25</xdr:row>
      <xdr:rowOff>161925</xdr:rowOff>
    </xdr:to>
    <xdr:sp macro="" textlink="">
      <xdr:nvSpPr>
        <xdr:cNvPr id="175" name="Line 1003">
          <a:extLst>
            <a:ext uri="{FF2B5EF4-FFF2-40B4-BE49-F238E27FC236}">
              <a16:creationId xmlns:a16="http://schemas.microsoft.com/office/drawing/2014/main" id="{00000000-0008-0000-0100-0000AF000000}"/>
            </a:ext>
          </a:extLst>
        </xdr:cNvPr>
        <xdr:cNvSpPr>
          <a:spLocks noChangeShapeType="1"/>
        </xdr:cNvSpPr>
      </xdr:nvSpPr>
      <xdr:spPr bwMode="auto">
        <a:xfrm flipH="1">
          <a:off x="3533775" y="4610100"/>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247650</xdr:colOff>
      <xdr:row>19</xdr:row>
      <xdr:rowOff>142875</xdr:rowOff>
    </xdr:from>
    <xdr:to>
      <xdr:col>9</xdr:col>
      <xdr:colOff>247650</xdr:colOff>
      <xdr:row>22</xdr:row>
      <xdr:rowOff>66675</xdr:rowOff>
    </xdr:to>
    <xdr:sp macro="" textlink="">
      <xdr:nvSpPr>
        <xdr:cNvPr id="176" name="Line 1004">
          <a:extLst>
            <a:ext uri="{FF2B5EF4-FFF2-40B4-BE49-F238E27FC236}">
              <a16:creationId xmlns:a16="http://schemas.microsoft.com/office/drawing/2014/main" id="{00000000-0008-0000-0100-0000B0000000}"/>
            </a:ext>
          </a:extLst>
        </xdr:cNvPr>
        <xdr:cNvSpPr>
          <a:spLocks noChangeShapeType="1"/>
        </xdr:cNvSpPr>
      </xdr:nvSpPr>
      <xdr:spPr bwMode="auto">
        <a:xfrm flipV="1">
          <a:off x="5905500" y="3562350"/>
          <a:ext cx="0" cy="495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200025</xdr:colOff>
      <xdr:row>20</xdr:row>
      <xdr:rowOff>0</xdr:rowOff>
    </xdr:from>
    <xdr:to>
      <xdr:col>11</xdr:col>
      <xdr:colOff>257175</xdr:colOff>
      <xdr:row>20</xdr:row>
      <xdr:rowOff>0</xdr:rowOff>
    </xdr:to>
    <xdr:sp macro="" textlink="">
      <xdr:nvSpPr>
        <xdr:cNvPr id="177" name="Line 1005">
          <a:extLst>
            <a:ext uri="{FF2B5EF4-FFF2-40B4-BE49-F238E27FC236}">
              <a16:creationId xmlns:a16="http://schemas.microsoft.com/office/drawing/2014/main" id="{00000000-0008-0000-0100-0000B1000000}"/>
            </a:ext>
          </a:extLst>
        </xdr:cNvPr>
        <xdr:cNvSpPr>
          <a:spLocks noChangeShapeType="1"/>
        </xdr:cNvSpPr>
      </xdr:nvSpPr>
      <xdr:spPr bwMode="auto">
        <a:xfrm>
          <a:off x="5857875" y="3609975"/>
          <a:ext cx="962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180975</xdr:colOff>
      <xdr:row>19</xdr:row>
      <xdr:rowOff>142875</xdr:rowOff>
    </xdr:from>
    <xdr:to>
      <xdr:col>11</xdr:col>
      <xdr:colOff>285750</xdr:colOff>
      <xdr:row>20</xdr:row>
      <xdr:rowOff>47625</xdr:rowOff>
    </xdr:to>
    <xdr:sp macro="" textlink="">
      <xdr:nvSpPr>
        <xdr:cNvPr id="178" name="Line 1006">
          <a:extLst>
            <a:ext uri="{FF2B5EF4-FFF2-40B4-BE49-F238E27FC236}">
              <a16:creationId xmlns:a16="http://schemas.microsoft.com/office/drawing/2014/main" id="{00000000-0008-0000-0100-0000B2000000}"/>
            </a:ext>
          </a:extLst>
        </xdr:cNvPr>
        <xdr:cNvSpPr>
          <a:spLocks noChangeShapeType="1"/>
        </xdr:cNvSpPr>
      </xdr:nvSpPr>
      <xdr:spPr bwMode="auto">
        <a:xfrm flipH="1">
          <a:off x="6743700" y="3562350"/>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xdr:col>
      <xdr:colOff>209550</xdr:colOff>
      <xdr:row>19</xdr:row>
      <xdr:rowOff>161925</xdr:rowOff>
    </xdr:from>
    <xdr:to>
      <xdr:col>9</xdr:col>
      <xdr:colOff>304800</xdr:colOff>
      <xdr:row>20</xdr:row>
      <xdr:rowOff>47625</xdr:rowOff>
    </xdr:to>
    <xdr:sp macro="" textlink="">
      <xdr:nvSpPr>
        <xdr:cNvPr id="179" name="Line 1007">
          <a:extLst>
            <a:ext uri="{FF2B5EF4-FFF2-40B4-BE49-F238E27FC236}">
              <a16:creationId xmlns:a16="http://schemas.microsoft.com/office/drawing/2014/main" id="{00000000-0008-0000-0100-0000B3000000}"/>
            </a:ext>
          </a:extLst>
        </xdr:cNvPr>
        <xdr:cNvSpPr>
          <a:spLocks noChangeShapeType="1"/>
        </xdr:cNvSpPr>
      </xdr:nvSpPr>
      <xdr:spPr bwMode="auto">
        <a:xfrm flipH="1">
          <a:off x="5867400" y="3581400"/>
          <a:ext cx="952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57150</xdr:colOff>
      <xdr:row>46</xdr:row>
      <xdr:rowOff>95250</xdr:rowOff>
    </xdr:from>
    <xdr:to>
      <xdr:col>11</xdr:col>
      <xdr:colOff>200025</xdr:colOff>
      <xdr:row>48</xdr:row>
      <xdr:rowOff>47625</xdr:rowOff>
    </xdr:to>
    <xdr:sp macro="" textlink="">
      <xdr:nvSpPr>
        <xdr:cNvPr id="180" name="Tegning 1008">
          <a:extLst>
            <a:ext uri="{FF2B5EF4-FFF2-40B4-BE49-F238E27FC236}">
              <a16:creationId xmlns:a16="http://schemas.microsoft.com/office/drawing/2014/main" id="{00000000-0008-0000-0100-0000B4000000}"/>
            </a:ext>
          </a:extLst>
        </xdr:cNvPr>
        <xdr:cNvSpPr>
          <a:spLocks/>
        </xdr:cNvSpPr>
      </xdr:nvSpPr>
      <xdr:spPr bwMode="auto">
        <a:xfrm>
          <a:off x="6619875" y="8658225"/>
          <a:ext cx="142875" cy="333375"/>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9525</xdr:colOff>
      <xdr:row>47</xdr:row>
      <xdr:rowOff>142875</xdr:rowOff>
    </xdr:from>
    <xdr:to>
      <xdr:col>11</xdr:col>
      <xdr:colOff>104775</xdr:colOff>
      <xdr:row>48</xdr:row>
      <xdr:rowOff>38100</xdr:rowOff>
    </xdr:to>
    <xdr:sp macro="" textlink="">
      <xdr:nvSpPr>
        <xdr:cNvPr id="181" name="Line 1009">
          <a:extLst>
            <a:ext uri="{FF2B5EF4-FFF2-40B4-BE49-F238E27FC236}">
              <a16:creationId xmlns:a16="http://schemas.microsoft.com/office/drawing/2014/main" id="{00000000-0008-0000-0100-0000B5000000}"/>
            </a:ext>
          </a:extLst>
        </xdr:cNvPr>
        <xdr:cNvSpPr>
          <a:spLocks noChangeShapeType="1"/>
        </xdr:cNvSpPr>
      </xdr:nvSpPr>
      <xdr:spPr bwMode="auto">
        <a:xfrm flipH="1">
          <a:off x="6572250" y="889635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9525</xdr:colOff>
      <xdr:row>47</xdr:row>
      <xdr:rowOff>38100</xdr:rowOff>
    </xdr:from>
    <xdr:to>
      <xdr:col>11</xdr:col>
      <xdr:colOff>104775</xdr:colOff>
      <xdr:row>47</xdr:row>
      <xdr:rowOff>142875</xdr:rowOff>
    </xdr:to>
    <xdr:sp macro="" textlink="">
      <xdr:nvSpPr>
        <xdr:cNvPr id="182" name="Line 1010">
          <a:extLst>
            <a:ext uri="{FF2B5EF4-FFF2-40B4-BE49-F238E27FC236}">
              <a16:creationId xmlns:a16="http://schemas.microsoft.com/office/drawing/2014/main" id="{00000000-0008-0000-0100-0000B6000000}"/>
            </a:ext>
          </a:extLst>
        </xdr:cNvPr>
        <xdr:cNvSpPr>
          <a:spLocks noChangeShapeType="1"/>
        </xdr:cNvSpPr>
      </xdr:nvSpPr>
      <xdr:spPr bwMode="auto">
        <a:xfrm flipH="1">
          <a:off x="6572250" y="8791575"/>
          <a:ext cx="952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575989</xdr:colOff>
      <xdr:row>45</xdr:row>
      <xdr:rowOff>182836</xdr:rowOff>
    </xdr:from>
    <xdr:to>
      <xdr:col>6</xdr:col>
      <xdr:colOff>243381</xdr:colOff>
      <xdr:row>50</xdr:row>
      <xdr:rowOff>91965</xdr:rowOff>
    </xdr:to>
    <xdr:sp macro="" textlink="">
      <xdr:nvSpPr>
        <xdr:cNvPr id="183" name="Tegning 1011">
          <a:extLst>
            <a:ext uri="{FF2B5EF4-FFF2-40B4-BE49-F238E27FC236}">
              <a16:creationId xmlns:a16="http://schemas.microsoft.com/office/drawing/2014/main" id="{00000000-0008-0000-0100-0000B7000000}"/>
            </a:ext>
          </a:extLst>
        </xdr:cNvPr>
        <xdr:cNvSpPr>
          <a:spLocks/>
        </xdr:cNvSpPr>
      </xdr:nvSpPr>
      <xdr:spPr bwMode="auto">
        <a:xfrm>
          <a:off x="1999265" y="8361198"/>
          <a:ext cx="1659978" cy="839733"/>
        </a:xfrm>
        <a:custGeom>
          <a:avLst/>
          <a:gdLst>
            <a:gd name="T0" fmla="*/ 0 w 16384"/>
            <a:gd name="T1" fmla="*/ 2147483646 h 16384"/>
            <a:gd name="T2" fmla="*/ 2147483646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11529"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276225</xdr:colOff>
      <xdr:row>45</xdr:row>
      <xdr:rowOff>190500</xdr:rowOff>
    </xdr:from>
    <xdr:to>
      <xdr:col>6</xdr:col>
      <xdr:colOff>276225</xdr:colOff>
      <xdr:row>47</xdr:row>
      <xdr:rowOff>133350</xdr:rowOff>
    </xdr:to>
    <xdr:sp macro="" textlink="">
      <xdr:nvSpPr>
        <xdr:cNvPr id="184" name="Line 1012">
          <a:extLst>
            <a:ext uri="{FF2B5EF4-FFF2-40B4-BE49-F238E27FC236}">
              <a16:creationId xmlns:a16="http://schemas.microsoft.com/office/drawing/2014/main" id="{00000000-0008-0000-0100-0000B8000000}"/>
            </a:ext>
          </a:extLst>
        </xdr:cNvPr>
        <xdr:cNvSpPr>
          <a:spLocks noChangeShapeType="1"/>
        </xdr:cNvSpPr>
      </xdr:nvSpPr>
      <xdr:spPr bwMode="auto">
        <a:xfrm flipV="1">
          <a:off x="3676650" y="8562975"/>
          <a:ext cx="0"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50</xdr:row>
      <xdr:rowOff>76200</xdr:rowOff>
    </xdr:from>
    <xdr:to>
      <xdr:col>3</xdr:col>
      <xdr:colOff>9525</xdr:colOff>
      <xdr:row>51</xdr:row>
      <xdr:rowOff>161925</xdr:rowOff>
    </xdr:to>
    <xdr:sp macro="" textlink="">
      <xdr:nvSpPr>
        <xdr:cNvPr id="185" name="Line 1013">
          <a:extLst>
            <a:ext uri="{FF2B5EF4-FFF2-40B4-BE49-F238E27FC236}">
              <a16:creationId xmlns:a16="http://schemas.microsoft.com/office/drawing/2014/main" id="{00000000-0008-0000-0100-0000B9000000}"/>
            </a:ext>
          </a:extLst>
        </xdr:cNvPr>
        <xdr:cNvSpPr>
          <a:spLocks noChangeShapeType="1"/>
        </xdr:cNvSpPr>
      </xdr:nvSpPr>
      <xdr:spPr bwMode="auto">
        <a:xfrm flipV="1">
          <a:off x="2009775" y="9401175"/>
          <a:ext cx="0" cy="2762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53</xdr:row>
      <xdr:rowOff>19050</xdr:rowOff>
    </xdr:from>
    <xdr:to>
      <xdr:col>6</xdr:col>
      <xdr:colOff>323850</xdr:colOff>
      <xdr:row>53</xdr:row>
      <xdr:rowOff>19050</xdr:rowOff>
    </xdr:to>
    <xdr:sp macro="" textlink="">
      <xdr:nvSpPr>
        <xdr:cNvPr id="186" name="Line 1014">
          <a:extLst>
            <a:ext uri="{FF2B5EF4-FFF2-40B4-BE49-F238E27FC236}">
              <a16:creationId xmlns:a16="http://schemas.microsoft.com/office/drawing/2014/main" id="{00000000-0008-0000-0100-0000BA000000}"/>
            </a:ext>
          </a:extLst>
        </xdr:cNvPr>
        <xdr:cNvSpPr>
          <a:spLocks noChangeShapeType="1"/>
        </xdr:cNvSpPr>
      </xdr:nvSpPr>
      <xdr:spPr bwMode="auto">
        <a:xfrm>
          <a:off x="1971675" y="9915525"/>
          <a:ext cx="1752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276225</xdr:colOff>
      <xdr:row>48</xdr:row>
      <xdr:rowOff>38100</xdr:rowOff>
    </xdr:from>
    <xdr:to>
      <xdr:col>6</xdr:col>
      <xdr:colOff>276225</xdr:colOff>
      <xdr:row>53</xdr:row>
      <xdr:rowOff>123825</xdr:rowOff>
    </xdr:to>
    <xdr:sp macro="" textlink="">
      <xdr:nvSpPr>
        <xdr:cNvPr id="187" name="Line 1015">
          <a:extLst>
            <a:ext uri="{FF2B5EF4-FFF2-40B4-BE49-F238E27FC236}">
              <a16:creationId xmlns:a16="http://schemas.microsoft.com/office/drawing/2014/main" id="{00000000-0008-0000-0100-0000BB000000}"/>
            </a:ext>
          </a:extLst>
        </xdr:cNvPr>
        <xdr:cNvSpPr>
          <a:spLocks noChangeShapeType="1"/>
        </xdr:cNvSpPr>
      </xdr:nvSpPr>
      <xdr:spPr bwMode="auto">
        <a:xfrm>
          <a:off x="3676650" y="8982075"/>
          <a:ext cx="0" cy="1038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52</xdr:row>
      <xdr:rowOff>19050</xdr:rowOff>
    </xdr:from>
    <xdr:to>
      <xdr:col>3</xdr:col>
      <xdr:colOff>9525</xdr:colOff>
      <xdr:row>55</xdr:row>
      <xdr:rowOff>47625</xdr:rowOff>
    </xdr:to>
    <xdr:sp macro="" textlink="">
      <xdr:nvSpPr>
        <xdr:cNvPr id="188" name="Line 1016">
          <a:extLst>
            <a:ext uri="{FF2B5EF4-FFF2-40B4-BE49-F238E27FC236}">
              <a16:creationId xmlns:a16="http://schemas.microsoft.com/office/drawing/2014/main" id="{00000000-0008-0000-0100-0000BC000000}"/>
            </a:ext>
          </a:extLst>
        </xdr:cNvPr>
        <xdr:cNvSpPr>
          <a:spLocks noChangeShapeType="1"/>
        </xdr:cNvSpPr>
      </xdr:nvSpPr>
      <xdr:spPr bwMode="auto">
        <a:xfrm>
          <a:off x="2009775" y="9725025"/>
          <a:ext cx="0" cy="600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52</xdr:row>
      <xdr:rowOff>171450</xdr:rowOff>
    </xdr:from>
    <xdr:to>
      <xdr:col>3</xdr:col>
      <xdr:colOff>66675</xdr:colOff>
      <xdr:row>53</xdr:row>
      <xdr:rowOff>66675</xdr:rowOff>
    </xdr:to>
    <xdr:sp macro="" textlink="">
      <xdr:nvSpPr>
        <xdr:cNvPr id="189" name="Line 1017">
          <a:extLst>
            <a:ext uri="{FF2B5EF4-FFF2-40B4-BE49-F238E27FC236}">
              <a16:creationId xmlns:a16="http://schemas.microsoft.com/office/drawing/2014/main" id="{00000000-0008-0000-0100-0000BD000000}"/>
            </a:ext>
          </a:extLst>
        </xdr:cNvPr>
        <xdr:cNvSpPr>
          <a:spLocks noChangeShapeType="1"/>
        </xdr:cNvSpPr>
      </xdr:nvSpPr>
      <xdr:spPr bwMode="auto">
        <a:xfrm flipH="1">
          <a:off x="1962150" y="9877425"/>
          <a:ext cx="1047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209550</xdr:colOff>
      <xdr:row>52</xdr:row>
      <xdr:rowOff>152400</xdr:rowOff>
    </xdr:from>
    <xdr:to>
      <xdr:col>6</xdr:col>
      <xdr:colOff>342900</xdr:colOff>
      <xdr:row>53</xdr:row>
      <xdr:rowOff>95250</xdr:rowOff>
    </xdr:to>
    <xdr:sp macro="" textlink="">
      <xdr:nvSpPr>
        <xdr:cNvPr id="190" name="Line 1018">
          <a:extLst>
            <a:ext uri="{FF2B5EF4-FFF2-40B4-BE49-F238E27FC236}">
              <a16:creationId xmlns:a16="http://schemas.microsoft.com/office/drawing/2014/main" id="{00000000-0008-0000-0100-0000BE000000}"/>
            </a:ext>
          </a:extLst>
        </xdr:cNvPr>
        <xdr:cNvSpPr>
          <a:spLocks noChangeShapeType="1"/>
        </xdr:cNvSpPr>
      </xdr:nvSpPr>
      <xdr:spPr bwMode="auto">
        <a:xfrm flipH="1">
          <a:off x="3609975" y="9858375"/>
          <a:ext cx="13335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44</xdr:row>
      <xdr:rowOff>0</xdr:rowOff>
    </xdr:from>
    <xdr:to>
      <xdr:col>6</xdr:col>
      <xdr:colOff>171450</xdr:colOff>
      <xdr:row>45</xdr:row>
      <xdr:rowOff>0</xdr:rowOff>
    </xdr:to>
    <xdr:sp macro="" textlink="">
      <xdr:nvSpPr>
        <xdr:cNvPr id="191" name="Tegning 1019">
          <a:extLst>
            <a:ext uri="{FF2B5EF4-FFF2-40B4-BE49-F238E27FC236}">
              <a16:creationId xmlns:a16="http://schemas.microsoft.com/office/drawing/2014/main" id="{00000000-0008-0000-0100-0000BF000000}"/>
            </a:ext>
          </a:extLst>
        </xdr:cNvPr>
        <xdr:cNvSpPr>
          <a:spLocks/>
        </xdr:cNvSpPr>
      </xdr:nvSpPr>
      <xdr:spPr bwMode="auto">
        <a:xfrm>
          <a:off x="3314700" y="8181975"/>
          <a:ext cx="257175" cy="19050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5360"/>
              </a:moveTo>
              <a:lnTo>
                <a:pt x="0" y="0"/>
              </a:lnTo>
              <a:lnTo>
                <a:pt x="16384" y="0"/>
              </a:lnTo>
              <a:lnTo>
                <a:pt x="16384" y="16384"/>
              </a:lnTo>
              <a:lnTo>
                <a:pt x="0" y="16384"/>
              </a:lnTo>
              <a:lnTo>
                <a:pt x="0" y="1024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171450</xdr:colOff>
      <xdr:row>46</xdr:row>
      <xdr:rowOff>76638</xdr:rowOff>
    </xdr:from>
    <xdr:to>
      <xdr:col>6</xdr:col>
      <xdr:colOff>171450</xdr:colOff>
      <xdr:row>52</xdr:row>
      <xdr:rowOff>76200</xdr:rowOff>
    </xdr:to>
    <xdr:sp macro="" textlink="">
      <xdr:nvSpPr>
        <xdr:cNvPr id="192" name="Line 1020">
          <a:extLst>
            <a:ext uri="{FF2B5EF4-FFF2-40B4-BE49-F238E27FC236}">
              <a16:creationId xmlns:a16="http://schemas.microsoft.com/office/drawing/2014/main" id="{00000000-0008-0000-0100-0000C0000000}"/>
            </a:ext>
          </a:extLst>
        </xdr:cNvPr>
        <xdr:cNvSpPr>
          <a:spLocks noChangeShapeType="1"/>
        </xdr:cNvSpPr>
      </xdr:nvSpPr>
      <xdr:spPr bwMode="auto">
        <a:xfrm>
          <a:off x="3587312" y="8441121"/>
          <a:ext cx="0" cy="111628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46</xdr:row>
      <xdr:rowOff>98534</xdr:rowOff>
    </xdr:from>
    <xdr:to>
      <xdr:col>5</xdr:col>
      <xdr:colOff>666750</xdr:colOff>
      <xdr:row>52</xdr:row>
      <xdr:rowOff>76200</xdr:rowOff>
    </xdr:to>
    <xdr:sp macro="" textlink="">
      <xdr:nvSpPr>
        <xdr:cNvPr id="193" name="Line 1021">
          <a:extLst>
            <a:ext uri="{FF2B5EF4-FFF2-40B4-BE49-F238E27FC236}">
              <a16:creationId xmlns:a16="http://schemas.microsoft.com/office/drawing/2014/main" id="{00000000-0008-0000-0100-0000C1000000}"/>
            </a:ext>
          </a:extLst>
        </xdr:cNvPr>
        <xdr:cNvSpPr>
          <a:spLocks noChangeShapeType="1"/>
        </xdr:cNvSpPr>
      </xdr:nvSpPr>
      <xdr:spPr bwMode="auto">
        <a:xfrm>
          <a:off x="3327181" y="8463017"/>
          <a:ext cx="0" cy="109439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52</xdr:row>
      <xdr:rowOff>0</xdr:rowOff>
    </xdr:from>
    <xdr:to>
      <xdr:col>6</xdr:col>
      <xdr:colOff>381000</xdr:colOff>
      <xdr:row>52</xdr:row>
      <xdr:rowOff>0</xdr:rowOff>
    </xdr:to>
    <xdr:sp macro="" textlink="">
      <xdr:nvSpPr>
        <xdr:cNvPr id="194" name="Line 1022">
          <a:extLst>
            <a:ext uri="{FF2B5EF4-FFF2-40B4-BE49-F238E27FC236}">
              <a16:creationId xmlns:a16="http://schemas.microsoft.com/office/drawing/2014/main" id="{00000000-0008-0000-0100-0000C2000000}"/>
            </a:ext>
          </a:extLst>
        </xdr:cNvPr>
        <xdr:cNvSpPr>
          <a:spLocks noChangeShapeType="1"/>
        </xdr:cNvSpPr>
      </xdr:nvSpPr>
      <xdr:spPr bwMode="auto">
        <a:xfrm>
          <a:off x="1971675" y="9705975"/>
          <a:ext cx="1809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523875</xdr:colOff>
      <xdr:row>50</xdr:row>
      <xdr:rowOff>114300</xdr:rowOff>
    </xdr:from>
    <xdr:to>
      <xdr:col>6</xdr:col>
      <xdr:colOff>66675</xdr:colOff>
      <xdr:row>51</xdr:row>
      <xdr:rowOff>161925</xdr:rowOff>
    </xdr:to>
    <xdr:sp macro="" textlink="">
      <xdr:nvSpPr>
        <xdr:cNvPr id="195" name="Line 1023">
          <a:extLst>
            <a:ext uri="{FF2B5EF4-FFF2-40B4-BE49-F238E27FC236}">
              <a16:creationId xmlns:a16="http://schemas.microsoft.com/office/drawing/2014/main" id="{00000000-0008-0000-0100-0000C3000000}"/>
            </a:ext>
          </a:extLst>
        </xdr:cNvPr>
        <xdr:cNvSpPr>
          <a:spLocks noChangeShapeType="1"/>
        </xdr:cNvSpPr>
      </xdr:nvSpPr>
      <xdr:spPr bwMode="auto">
        <a:xfrm flipH="1" flipV="1">
          <a:off x="3171825" y="9439275"/>
          <a:ext cx="295275"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51</xdr:row>
      <xdr:rowOff>142875</xdr:rowOff>
    </xdr:from>
    <xdr:to>
      <xdr:col>3</xdr:col>
      <xdr:colOff>57150</xdr:colOff>
      <xdr:row>52</xdr:row>
      <xdr:rowOff>47625</xdr:rowOff>
    </xdr:to>
    <xdr:sp macro="" textlink="">
      <xdr:nvSpPr>
        <xdr:cNvPr id="196" name="Line 1024">
          <a:extLst>
            <a:ext uri="{FF2B5EF4-FFF2-40B4-BE49-F238E27FC236}">
              <a16:creationId xmlns:a16="http://schemas.microsoft.com/office/drawing/2014/main" id="{00000000-0008-0000-0100-0000C4000000}"/>
            </a:ext>
          </a:extLst>
        </xdr:cNvPr>
        <xdr:cNvSpPr>
          <a:spLocks noChangeShapeType="1"/>
        </xdr:cNvSpPr>
      </xdr:nvSpPr>
      <xdr:spPr bwMode="auto">
        <a:xfrm flipH="1">
          <a:off x="1962150" y="965835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51</xdr:row>
      <xdr:rowOff>161925</xdr:rowOff>
    </xdr:from>
    <xdr:to>
      <xdr:col>5</xdr:col>
      <xdr:colOff>714375</xdr:colOff>
      <xdr:row>52</xdr:row>
      <xdr:rowOff>28575</xdr:rowOff>
    </xdr:to>
    <xdr:sp macro="" textlink="">
      <xdr:nvSpPr>
        <xdr:cNvPr id="197" name="Line 1025">
          <a:extLst>
            <a:ext uri="{FF2B5EF4-FFF2-40B4-BE49-F238E27FC236}">
              <a16:creationId xmlns:a16="http://schemas.microsoft.com/office/drawing/2014/main" id="{00000000-0008-0000-0100-0000C5000000}"/>
            </a:ext>
          </a:extLst>
        </xdr:cNvPr>
        <xdr:cNvSpPr>
          <a:spLocks noChangeShapeType="1"/>
        </xdr:cNvSpPr>
      </xdr:nvSpPr>
      <xdr:spPr bwMode="auto">
        <a:xfrm flipH="1">
          <a:off x="3295650" y="9677400"/>
          <a:ext cx="6667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133350</xdr:colOff>
      <xdr:row>51</xdr:row>
      <xdr:rowOff>161925</xdr:rowOff>
    </xdr:from>
    <xdr:to>
      <xdr:col>6</xdr:col>
      <xdr:colOff>228600</xdr:colOff>
      <xdr:row>52</xdr:row>
      <xdr:rowOff>47625</xdr:rowOff>
    </xdr:to>
    <xdr:sp macro="" textlink="">
      <xdr:nvSpPr>
        <xdr:cNvPr id="198" name="Line 1026">
          <a:extLst>
            <a:ext uri="{FF2B5EF4-FFF2-40B4-BE49-F238E27FC236}">
              <a16:creationId xmlns:a16="http://schemas.microsoft.com/office/drawing/2014/main" id="{00000000-0008-0000-0100-0000C6000000}"/>
            </a:ext>
          </a:extLst>
        </xdr:cNvPr>
        <xdr:cNvSpPr>
          <a:spLocks noChangeShapeType="1"/>
        </xdr:cNvSpPr>
      </xdr:nvSpPr>
      <xdr:spPr bwMode="auto">
        <a:xfrm flipH="1">
          <a:off x="3533775" y="9677400"/>
          <a:ext cx="952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238125</xdr:colOff>
      <xdr:row>51</xdr:row>
      <xdr:rowOff>161925</xdr:rowOff>
    </xdr:from>
    <xdr:to>
      <xdr:col>6</xdr:col>
      <xdr:colOff>323850</xdr:colOff>
      <xdr:row>52</xdr:row>
      <xdr:rowOff>47625</xdr:rowOff>
    </xdr:to>
    <xdr:sp macro="" textlink="">
      <xdr:nvSpPr>
        <xdr:cNvPr id="199" name="Line 1027">
          <a:extLst>
            <a:ext uri="{FF2B5EF4-FFF2-40B4-BE49-F238E27FC236}">
              <a16:creationId xmlns:a16="http://schemas.microsoft.com/office/drawing/2014/main" id="{00000000-0008-0000-0100-0000C7000000}"/>
            </a:ext>
          </a:extLst>
        </xdr:cNvPr>
        <xdr:cNvSpPr>
          <a:spLocks noChangeShapeType="1"/>
        </xdr:cNvSpPr>
      </xdr:nvSpPr>
      <xdr:spPr bwMode="auto">
        <a:xfrm flipH="1">
          <a:off x="3638550" y="9677400"/>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55</xdr:row>
      <xdr:rowOff>200025</xdr:rowOff>
    </xdr:from>
    <xdr:to>
      <xdr:col>6</xdr:col>
      <xdr:colOff>295275</xdr:colOff>
      <xdr:row>55</xdr:row>
      <xdr:rowOff>200025</xdr:rowOff>
    </xdr:to>
    <xdr:sp macro="" textlink="">
      <xdr:nvSpPr>
        <xdr:cNvPr id="200" name="Line 1029">
          <a:extLst>
            <a:ext uri="{FF2B5EF4-FFF2-40B4-BE49-F238E27FC236}">
              <a16:creationId xmlns:a16="http://schemas.microsoft.com/office/drawing/2014/main" id="{00000000-0008-0000-0100-0000C8000000}"/>
            </a:ext>
          </a:extLst>
        </xdr:cNvPr>
        <xdr:cNvSpPr>
          <a:spLocks noChangeShapeType="1"/>
        </xdr:cNvSpPr>
      </xdr:nvSpPr>
      <xdr:spPr bwMode="auto">
        <a:xfrm>
          <a:off x="1990725" y="10467975"/>
          <a:ext cx="1704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276225</xdr:colOff>
      <xdr:row>60</xdr:row>
      <xdr:rowOff>0</xdr:rowOff>
    </xdr:from>
    <xdr:to>
      <xdr:col>6</xdr:col>
      <xdr:colOff>276225</xdr:colOff>
      <xdr:row>61</xdr:row>
      <xdr:rowOff>209550</xdr:rowOff>
    </xdr:to>
    <xdr:sp macro="" textlink="">
      <xdr:nvSpPr>
        <xdr:cNvPr id="201" name="Line 1030">
          <a:extLst>
            <a:ext uri="{FF2B5EF4-FFF2-40B4-BE49-F238E27FC236}">
              <a16:creationId xmlns:a16="http://schemas.microsoft.com/office/drawing/2014/main" id="{00000000-0008-0000-0100-0000C9000000}"/>
            </a:ext>
          </a:extLst>
        </xdr:cNvPr>
        <xdr:cNvSpPr>
          <a:spLocks noChangeShapeType="1"/>
        </xdr:cNvSpPr>
      </xdr:nvSpPr>
      <xdr:spPr bwMode="auto">
        <a:xfrm>
          <a:off x="3676650" y="11229975"/>
          <a:ext cx="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55</xdr:row>
      <xdr:rowOff>200025</xdr:rowOff>
    </xdr:from>
    <xdr:to>
      <xdr:col>6</xdr:col>
      <xdr:colOff>276225</xdr:colOff>
      <xdr:row>57</xdr:row>
      <xdr:rowOff>114300</xdr:rowOff>
    </xdr:to>
    <xdr:sp macro="" textlink="">
      <xdr:nvSpPr>
        <xdr:cNvPr id="202" name="Tegning 1031">
          <a:extLst>
            <a:ext uri="{FF2B5EF4-FFF2-40B4-BE49-F238E27FC236}">
              <a16:creationId xmlns:a16="http://schemas.microsoft.com/office/drawing/2014/main" id="{00000000-0008-0000-0100-0000CA000000}"/>
            </a:ext>
          </a:extLst>
        </xdr:cNvPr>
        <xdr:cNvSpPr>
          <a:spLocks/>
        </xdr:cNvSpPr>
      </xdr:nvSpPr>
      <xdr:spPr bwMode="auto">
        <a:xfrm>
          <a:off x="2009775" y="10467975"/>
          <a:ext cx="1666875" cy="304800"/>
        </a:xfrm>
        <a:custGeom>
          <a:avLst/>
          <a:gdLst>
            <a:gd name="T0" fmla="*/ 0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0"/>
              </a:moveTo>
              <a:lnTo>
                <a:pt x="12529" y="15073"/>
              </a:lnTo>
              <a:lnTo>
                <a:pt x="13252" y="16384"/>
              </a:lnTo>
              <a:lnTo>
                <a:pt x="13975" y="15729"/>
              </a:lnTo>
              <a:lnTo>
                <a:pt x="14818" y="15073"/>
              </a:lnTo>
              <a:lnTo>
                <a:pt x="15179" y="13107"/>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0</xdr:colOff>
      <xdr:row>59</xdr:row>
      <xdr:rowOff>200025</xdr:rowOff>
    </xdr:from>
    <xdr:to>
      <xdr:col>6</xdr:col>
      <xdr:colOff>304800</xdr:colOff>
      <xdr:row>59</xdr:row>
      <xdr:rowOff>200025</xdr:rowOff>
    </xdr:to>
    <xdr:sp macro="" textlink="">
      <xdr:nvSpPr>
        <xdr:cNvPr id="203" name="Line 1032">
          <a:extLst>
            <a:ext uri="{FF2B5EF4-FFF2-40B4-BE49-F238E27FC236}">
              <a16:creationId xmlns:a16="http://schemas.microsoft.com/office/drawing/2014/main" id="{00000000-0008-0000-0100-0000CB000000}"/>
            </a:ext>
          </a:extLst>
        </xdr:cNvPr>
        <xdr:cNvSpPr>
          <a:spLocks noChangeShapeType="1"/>
        </xdr:cNvSpPr>
      </xdr:nvSpPr>
      <xdr:spPr bwMode="auto">
        <a:xfrm>
          <a:off x="2000250" y="11229975"/>
          <a:ext cx="1704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59</xdr:row>
      <xdr:rowOff>0</xdr:rowOff>
    </xdr:from>
    <xdr:to>
      <xdr:col>6</xdr:col>
      <xdr:colOff>276225</xdr:colOff>
      <xdr:row>62</xdr:row>
      <xdr:rowOff>0</xdr:rowOff>
    </xdr:to>
    <xdr:sp macro="" textlink="">
      <xdr:nvSpPr>
        <xdr:cNvPr id="204" name="Tegning 1033">
          <a:extLst>
            <a:ext uri="{FF2B5EF4-FFF2-40B4-BE49-F238E27FC236}">
              <a16:creationId xmlns:a16="http://schemas.microsoft.com/office/drawing/2014/main" id="{00000000-0008-0000-0100-0000CC000000}"/>
            </a:ext>
          </a:extLst>
        </xdr:cNvPr>
        <xdr:cNvSpPr>
          <a:spLocks/>
        </xdr:cNvSpPr>
      </xdr:nvSpPr>
      <xdr:spPr bwMode="auto">
        <a:xfrm>
          <a:off x="2000250" y="11039475"/>
          <a:ext cx="1676400" cy="571500"/>
        </a:xfrm>
        <a:custGeom>
          <a:avLst/>
          <a:gdLst>
            <a:gd name="T0" fmla="*/ 0 w 16384"/>
            <a:gd name="T1" fmla="*/ 2147483646 h 16384"/>
            <a:gd name="T2" fmla="*/ 2147483646 w 16384"/>
            <a:gd name="T3" fmla="*/ 0 h 16384"/>
            <a:gd name="T4" fmla="*/ 2147483646 w 16384"/>
            <a:gd name="T5" fmla="*/ 0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120"/>
              </a:moveTo>
              <a:lnTo>
                <a:pt x="120" y="0"/>
              </a:lnTo>
              <a:lnTo>
                <a:pt x="12557" y="0"/>
              </a:lnTo>
              <a:lnTo>
                <a:pt x="15427" y="16384"/>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6</xdr:col>
      <xdr:colOff>304800</xdr:colOff>
      <xdr:row>8</xdr:row>
      <xdr:rowOff>142875</xdr:rowOff>
    </xdr:from>
    <xdr:to>
      <xdr:col>6</xdr:col>
      <xdr:colOff>495300</xdr:colOff>
      <xdr:row>9</xdr:row>
      <xdr:rowOff>123825</xdr:rowOff>
    </xdr:to>
    <xdr:sp macro="" textlink="">
      <xdr:nvSpPr>
        <xdr:cNvPr id="205" name="Line 1034">
          <a:extLst>
            <a:ext uri="{FF2B5EF4-FFF2-40B4-BE49-F238E27FC236}">
              <a16:creationId xmlns:a16="http://schemas.microsoft.com/office/drawing/2014/main" id="{00000000-0008-0000-0100-0000CD000000}"/>
            </a:ext>
          </a:extLst>
        </xdr:cNvPr>
        <xdr:cNvSpPr>
          <a:spLocks noChangeShapeType="1"/>
        </xdr:cNvSpPr>
      </xdr:nvSpPr>
      <xdr:spPr bwMode="auto">
        <a:xfrm flipH="1">
          <a:off x="3705225" y="1466850"/>
          <a:ext cx="19050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276225</xdr:colOff>
      <xdr:row>14</xdr:row>
      <xdr:rowOff>123825</xdr:rowOff>
    </xdr:from>
    <xdr:to>
      <xdr:col>6</xdr:col>
      <xdr:colOff>476250</xdr:colOff>
      <xdr:row>15</xdr:row>
      <xdr:rowOff>114300</xdr:rowOff>
    </xdr:to>
    <xdr:sp macro="" textlink="">
      <xdr:nvSpPr>
        <xdr:cNvPr id="206" name="Line 1035">
          <a:extLst>
            <a:ext uri="{FF2B5EF4-FFF2-40B4-BE49-F238E27FC236}">
              <a16:creationId xmlns:a16="http://schemas.microsoft.com/office/drawing/2014/main" id="{00000000-0008-0000-0100-0000CE000000}"/>
            </a:ext>
          </a:extLst>
        </xdr:cNvPr>
        <xdr:cNvSpPr>
          <a:spLocks noChangeShapeType="1"/>
        </xdr:cNvSpPr>
      </xdr:nvSpPr>
      <xdr:spPr bwMode="auto">
        <a:xfrm flipH="1" flipV="1">
          <a:off x="3676650" y="2590800"/>
          <a:ext cx="200025"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31</xdr:row>
      <xdr:rowOff>142875</xdr:rowOff>
    </xdr:from>
    <xdr:to>
      <xdr:col>2</xdr:col>
      <xdr:colOff>361950</xdr:colOff>
      <xdr:row>32</xdr:row>
      <xdr:rowOff>180975</xdr:rowOff>
    </xdr:to>
    <xdr:sp macro="" textlink="">
      <xdr:nvSpPr>
        <xdr:cNvPr id="207" name="Line 1038">
          <a:extLst>
            <a:ext uri="{FF2B5EF4-FFF2-40B4-BE49-F238E27FC236}">
              <a16:creationId xmlns:a16="http://schemas.microsoft.com/office/drawing/2014/main" id="{00000000-0008-0000-0100-0000CF000000}"/>
            </a:ext>
          </a:extLst>
        </xdr:cNvPr>
        <xdr:cNvSpPr>
          <a:spLocks noChangeShapeType="1"/>
        </xdr:cNvSpPr>
      </xdr:nvSpPr>
      <xdr:spPr bwMode="auto">
        <a:xfrm flipV="1">
          <a:off x="1781175" y="5848350"/>
          <a:ext cx="0" cy="2286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323850</xdr:colOff>
      <xdr:row>31</xdr:row>
      <xdr:rowOff>171450</xdr:rowOff>
    </xdr:from>
    <xdr:to>
      <xdr:col>2</xdr:col>
      <xdr:colOff>542925</xdr:colOff>
      <xdr:row>31</xdr:row>
      <xdr:rowOff>171450</xdr:rowOff>
    </xdr:to>
    <xdr:sp macro="" textlink="">
      <xdr:nvSpPr>
        <xdr:cNvPr id="208" name="Line 1039">
          <a:extLst>
            <a:ext uri="{FF2B5EF4-FFF2-40B4-BE49-F238E27FC236}">
              <a16:creationId xmlns:a16="http://schemas.microsoft.com/office/drawing/2014/main" id="{00000000-0008-0000-0100-0000D0000000}"/>
            </a:ext>
          </a:extLst>
        </xdr:cNvPr>
        <xdr:cNvSpPr>
          <a:spLocks noChangeShapeType="1"/>
        </xdr:cNvSpPr>
      </xdr:nvSpPr>
      <xdr:spPr bwMode="auto">
        <a:xfrm flipH="1">
          <a:off x="1743075" y="5876925"/>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31</xdr:row>
      <xdr:rowOff>114300</xdr:rowOff>
    </xdr:from>
    <xdr:to>
      <xdr:col>2</xdr:col>
      <xdr:colOff>419100</xdr:colOff>
      <xdr:row>32</xdr:row>
      <xdr:rowOff>9525</xdr:rowOff>
    </xdr:to>
    <xdr:sp macro="" textlink="">
      <xdr:nvSpPr>
        <xdr:cNvPr id="209" name="Line 1040">
          <a:extLst>
            <a:ext uri="{FF2B5EF4-FFF2-40B4-BE49-F238E27FC236}">
              <a16:creationId xmlns:a16="http://schemas.microsoft.com/office/drawing/2014/main" id="{00000000-0008-0000-0100-0000D1000000}"/>
            </a:ext>
          </a:extLst>
        </xdr:cNvPr>
        <xdr:cNvSpPr>
          <a:spLocks noChangeShapeType="1"/>
        </xdr:cNvSpPr>
      </xdr:nvSpPr>
      <xdr:spPr bwMode="auto">
        <a:xfrm flipH="1">
          <a:off x="1733550" y="5819775"/>
          <a:ext cx="1047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32</xdr:row>
      <xdr:rowOff>133350</xdr:rowOff>
    </xdr:from>
    <xdr:to>
      <xdr:col>2</xdr:col>
      <xdr:colOff>533400</xdr:colOff>
      <xdr:row>32</xdr:row>
      <xdr:rowOff>133350</xdr:rowOff>
    </xdr:to>
    <xdr:sp macro="" textlink="">
      <xdr:nvSpPr>
        <xdr:cNvPr id="210" name="Line 1041">
          <a:extLst>
            <a:ext uri="{FF2B5EF4-FFF2-40B4-BE49-F238E27FC236}">
              <a16:creationId xmlns:a16="http://schemas.microsoft.com/office/drawing/2014/main" id="{00000000-0008-0000-0100-0000D2000000}"/>
            </a:ext>
          </a:extLst>
        </xdr:cNvPr>
        <xdr:cNvSpPr>
          <a:spLocks noChangeShapeType="1"/>
        </xdr:cNvSpPr>
      </xdr:nvSpPr>
      <xdr:spPr bwMode="auto">
        <a:xfrm flipH="1">
          <a:off x="1771650" y="6029325"/>
          <a:ext cx="180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323850</xdr:colOff>
      <xdr:row>32</xdr:row>
      <xdr:rowOff>57150</xdr:rowOff>
    </xdr:from>
    <xdr:to>
      <xdr:col>2</xdr:col>
      <xdr:colOff>409575</xdr:colOff>
      <xdr:row>32</xdr:row>
      <xdr:rowOff>152400</xdr:rowOff>
    </xdr:to>
    <xdr:sp macro="" textlink="">
      <xdr:nvSpPr>
        <xdr:cNvPr id="211" name="Line 1042">
          <a:extLst>
            <a:ext uri="{FF2B5EF4-FFF2-40B4-BE49-F238E27FC236}">
              <a16:creationId xmlns:a16="http://schemas.microsoft.com/office/drawing/2014/main" id="{00000000-0008-0000-0100-0000D3000000}"/>
            </a:ext>
          </a:extLst>
        </xdr:cNvPr>
        <xdr:cNvSpPr>
          <a:spLocks noChangeShapeType="1"/>
        </xdr:cNvSpPr>
      </xdr:nvSpPr>
      <xdr:spPr bwMode="auto">
        <a:xfrm flipH="1">
          <a:off x="1743075" y="5953125"/>
          <a:ext cx="8572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31</xdr:row>
      <xdr:rowOff>171450</xdr:rowOff>
    </xdr:from>
    <xdr:to>
      <xdr:col>6</xdr:col>
      <xdr:colOff>342900</xdr:colOff>
      <xdr:row>32</xdr:row>
      <xdr:rowOff>133350</xdr:rowOff>
    </xdr:to>
    <xdr:sp macro="" textlink="">
      <xdr:nvSpPr>
        <xdr:cNvPr id="212" name="Tegning 1043">
          <a:extLst>
            <a:ext uri="{FF2B5EF4-FFF2-40B4-BE49-F238E27FC236}">
              <a16:creationId xmlns:a16="http://schemas.microsoft.com/office/drawing/2014/main" id="{00000000-0008-0000-0100-0000D4000000}"/>
            </a:ext>
          </a:extLst>
        </xdr:cNvPr>
        <xdr:cNvSpPr>
          <a:spLocks/>
        </xdr:cNvSpPr>
      </xdr:nvSpPr>
      <xdr:spPr bwMode="auto">
        <a:xfrm>
          <a:off x="2019300" y="5876925"/>
          <a:ext cx="1724025" cy="1524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12"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657225</xdr:colOff>
      <xdr:row>56</xdr:row>
      <xdr:rowOff>0</xdr:rowOff>
    </xdr:from>
    <xdr:to>
      <xdr:col>12</xdr:col>
      <xdr:colOff>152400</xdr:colOff>
      <xdr:row>56</xdr:row>
      <xdr:rowOff>171450</xdr:rowOff>
    </xdr:to>
    <xdr:sp macro="" textlink="">
      <xdr:nvSpPr>
        <xdr:cNvPr id="213" name="Tegning 1044">
          <a:extLst>
            <a:ext uri="{FF2B5EF4-FFF2-40B4-BE49-F238E27FC236}">
              <a16:creationId xmlns:a16="http://schemas.microsoft.com/office/drawing/2014/main" id="{00000000-0008-0000-0100-0000D5000000}"/>
            </a:ext>
          </a:extLst>
        </xdr:cNvPr>
        <xdr:cNvSpPr>
          <a:spLocks/>
        </xdr:cNvSpPr>
      </xdr:nvSpPr>
      <xdr:spPr bwMode="auto">
        <a:xfrm>
          <a:off x="6315075" y="10467975"/>
          <a:ext cx="1066800" cy="1714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0 h 16384"/>
            <a:gd name="T18" fmla="*/ 0 w 16384"/>
            <a:gd name="T19" fmla="*/ 0 h 16384"/>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6384"/>
            <a:gd name="T31" fmla="*/ 0 h 16384"/>
            <a:gd name="T32" fmla="*/ 16384 w 16384"/>
            <a:gd name="T33" fmla="*/ 16384 h 16384"/>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6384" h="16384">
              <a:moveTo>
                <a:pt x="132" y="0"/>
              </a:moveTo>
              <a:lnTo>
                <a:pt x="1982" y="8937"/>
              </a:lnTo>
              <a:lnTo>
                <a:pt x="4228" y="14150"/>
              </a:lnTo>
              <a:lnTo>
                <a:pt x="6739" y="15639"/>
              </a:lnTo>
              <a:lnTo>
                <a:pt x="8324" y="16384"/>
              </a:lnTo>
              <a:lnTo>
                <a:pt x="10438" y="14895"/>
              </a:lnTo>
              <a:lnTo>
                <a:pt x="12684" y="12660"/>
              </a:lnTo>
              <a:lnTo>
                <a:pt x="14798" y="8192"/>
              </a:lnTo>
              <a:lnTo>
                <a:pt x="16384" y="0"/>
              </a:lnTo>
              <a:lnTo>
                <a:pt x="0"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28575</xdr:colOff>
      <xdr:row>58</xdr:row>
      <xdr:rowOff>0</xdr:rowOff>
    </xdr:from>
    <xdr:to>
      <xdr:col>12</xdr:col>
      <xdr:colOff>171450</xdr:colOff>
      <xdr:row>60</xdr:row>
      <xdr:rowOff>0</xdr:rowOff>
    </xdr:to>
    <xdr:sp macro="" textlink="">
      <xdr:nvSpPr>
        <xdr:cNvPr id="214" name="Tegning 1045">
          <a:extLst>
            <a:ext uri="{FF2B5EF4-FFF2-40B4-BE49-F238E27FC236}">
              <a16:creationId xmlns:a16="http://schemas.microsoft.com/office/drawing/2014/main" id="{00000000-0008-0000-0100-0000D6000000}"/>
            </a:ext>
          </a:extLst>
        </xdr:cNvPr>
        <xdr:cNvSpPr>
          <a:spLocks/>
        </xdr:cNvSpPr>
      </xdr:nvSpPr>
      <xdr:spPr bwMode="auto">
        <a:xfrm>
          <a:off x="6353175" y="10848975"/>
          <a:ext cx="1047750" cy="381000"/>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8192"/>
              </a:moveTo>
              <a:lnTo>
                <a:pt x="0" y="0"/>
              </a:lnTo>
              <a:lnTo>
                <a:pt x="1210" y="0"/>
              </a:lnTo>
              <a:lnTo>
                <a:pt x="15064" y="16384"/>
              </a:lnTo>
              <a:lnTo>
                <a:pt x="16384" y="16384"/>
              </a:lnTo>
              <a:lnTo>
                <a:pt x="16384" y="7889"/>
              </a:lnTo>
              <a:lnTo>
                <a:pt x="0" y="7889"/>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57150</xdr:colOff>
          <xdr:row>0</xdr:row>
          <xdr:rowOff>38100</xdr:rowOff>
        </xdr:from>
        <xdr:to>
          <xdr:col>0</xdr:col>
          <xdr:colOff>219075</xdr:colOff>
          <xdr:row>1</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editAs="oneCell">
    <xdr:from>
      <xdr:col>0</xdr:col>
      <xdr:colOff>466725</xdr:colOff>
      <xdr:row>0</xdr:row>
      <xdr:rowOff>104775</xdr:rowOff>
    </xdr:from>
    <xdr:to>
      <xdr:col>0</xdr:col>
      <xdr:colOff>1076325</xdr:colOff>
      <xdr:row>3</xdr:row>
      <xdr:rowOff>114300</xdr:rowOff>
    </xdr:to>
    <xdr:pic>
      <xdr:nvPicPr>
        <xdr:cNvPr id="216" name="Picture 197" descr="CRH_office_pantone">
          <a:extLst>
            <a:ext uri="{FF2B5EF4-FFF2-40B4-BE49-F238E27FC236}">
              <a16:creationId xmlns:a16="http://schemas.microsoft.com/office/drawing/2014/main" id="{00000000-0008-0000-0100-0000D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514350</xdr:colOff>
          <xdr:row>7</xdr:row>
          <xdr:rowOff>0</xdr:rowOff>
        </xdr:from>
        <xdr:to>
          <xdr:col>12</xdr:col>
          <xdr:colOff>781050</xdr:colOff>
          <xdr:row>8</xdr:row>
          <xdr:rowOff>38100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523875</xdr:colOff>
          <xdr:row>8</xdr:row>
          <xdr:rowOff>123825</xdr:rowOff>
        </xdr:from>
        <xdr:to>
          <xdr:col>12</xdr:col>
          <xdr:colOff>790575</xdr:colOff>
          <xdr:row>9</xdr:row>
          <xdr:rowOff>161925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219075</xdr:colOff>
      <xdr:row>0</xdr:row>
      <xdr:rowOff>0</xdr:rowOff>
    </xdr:from>
    <xdr:to>
      <xdr:col>11</xdr:col>
      <xdr:colOff>219075</xdr:colOff>
      <xdr:row>6</xdr:row>
      <xdr:rowOff>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6791325" y="0"/>
          <a:ext cx="0" cy="942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31</xdr:row>
      <xdr:rowOff>190500</xdr:rowOff>
    </xdr:from>
    <xdr:to>
      <xdr:col>5</xdr:col>
      <xdr:colOff>161925</xdr:colOff>
      <xdr:row>34</xdr:row>
      <xdr:rowOff>38100</xdr:rowOff>
    </xdr:to>
    <xdr:sp macro="" textlink="">
      <xdr:nvSpPr>
        <xdr:cNvPr id="3" name="Tegning 47">
          <a:extLst>
            <a:ext uri="{FF2B5EF4-FFF2-40B4-BE49-F238E27FC236}">
              <a16:creationId xmlns:a16="http://schemas.microsoft.com/office/drawing/2014/main" id="{00000000-0008-0000-0200-000003000000}"/>
            </a:ext>
          </a:extLst>
        </xdr:cNvPr>
        <xdr:cNvSpPr>
          <a:spLocks/>
        </xdr:cNvSpPr>
      </xdr:nvSpPr>
      <xdr:spPr bwMode="auto">
        <a:xfrm>
          <a:off x="1743075" y="5934075"/>
          <a:ext cx="1076325" cy="42862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2147483646 w 16384"/>
            <a:gd name="T27" fmla="*/ 2147483646 h 16384"/>
            <a:gd name="T28" fmla="*/ 2147483646 w 16384"/>
            <a:gd name="T29" fmla="*/ 2147483646 h 16384"/>
            <a:gd name="T30" fmla="*/ 0 w 16384"/>
            <a:gd name="T31" fmla="*/ 2147483646 h 16384"/>
            <a:gd name="T32" fmla="*/ 0 w 16384"/>
            <a:gd name="T33" fmla="*/ 0 h 1638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6384"/>
            <a:gd name="T52" fmla="*/ 0 h 16384"/>
            <a:gd name="T53" fmla="*/ 16384 w 16384"/>
            <a:gd name="T54" fmla="*/ 16384 h 16384"/>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6384" h="16384">
              <a:moveTo>
                <a:pt x="0" y="0"/>
              </a:moveTo>
              <a:lnTo>
                <a:pt x="4915" y="0"/>
              </a:lnTo>
              <a:lnTo>
                <a:pt x="4915" y="3132"/>
              </a:lnTo>
              <a:lnTo>
                <a:pt x="6772" y="3132"/>
              </a:lnTo>
              <a:lnTo>
                <a:pt x="6772" y="6024"/>
              </a:lnTo>
              <a:lnTo>
                <a:pt x="8520" y="6024"/>
              </a:lnTo>
              <a:lnTo>
                <a:pt x="8520" y="8674"/>
              </a:lnTo>
              <a:lnTo>
                <a:pt x="10267" y="8674"/>
              </a:lnTo>
              <a:lnTo>
                <a:pt x="10267" y="11324"/>
              </a:lnTo>
              <a:lnTo>
                <a:pt x="12015" y="11324"/>
              </a:lnTo>
              <a:lnTo>
                <a:pt x="12015" y="13252"/>
              </a:lnTo>
              <a:lnTo>
                <a:pt x="16384" y="13252"/>
              </a:lnTo>
              <a:lnTo>
                <a:pt x="16384" y="16384"/>
              </a:lnTo>
              <a:lnTo>
                <a:pt x="11796" y="16384"/>
              </a:lnTo>
              <a:lnTo>
                <a:pt x="3168" y="3614"/>
              </a:lnTo>
              <a:lnTo>
                <a:pt x="0" y="3614"/>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276225</xdr:colOff>
      <xdr:row>32</xdr:row>
      <xdr:rowOff>28575</xdr:rowOff>
    </xdr:from>
    <xdr:to>
      <xdr:col>2</xdr:col>
      <xdr:colOff>361950</xdr:colOff>
      <xdr:row>32</xdr:row>
      <xdr:rowOff>28575</xdr:rowOff>
    </xdr:to>
    <xdr:sp macro="" textlink="">
      <xdr:nvSpPr>
        <xdr:cNvPr id="4" name="Line 5">
          <a:extLst>
            <a:ext uri="{FF2B5EF4-FFF2-40B4-BE49-F238E27FC236}">
              <a16:creationId xmlns:a16="http://schemas.microsoft.com/office/drawing/2014/main" id="{00000000-0008-0000-0200-000004000000}"/>
            </a:ext>
          </a:extLst>
        </xdr:cNvPr>
        <xdr:cNvSpPr>
          <a:spLocks noChangeShapeType="1"/>
        </xdr:cNvSpPr>
      </xdr:nvSpPr>
      <xdr:spPr bwMode="auto">
        <a:xfrm flipH="1">
          <a:off x="1657350" y="5962650"/>
          <a:ext cx="85725"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33</xdr:row>
      <xdr:rowOff>190500</xdr:rowOff>
    </xdr:from>
    <xdr:to>
      <xdr:col>5</xdr:col>
      <xdr:colOff>276225</xdr:colOff>
      <xdr:row>33</xdr:row>
      <xdr:rowOff>190500</xdr:rowOff>
    </xdr:to>
    <xdr:sp macro="" textlink="">
      <xdr:nvSpPr>
        <xdr:cNvPr id="5" name="Line 6">
          <a:extLst>
            <a:ext uri="{FF2B5EF4-FFF2-40B4-BE49-F238E27FC236}">
              <a16:creationId xmlns:a16="http://schemas.microsoft.com/office/drawing/2014/main" id="{00000000-0008-0000-0200-000005000000}"/>
            </a:ext>
          </a:extLst>
        </xdr:cNvPr>
        <xdr:cNvSpPr>
          <a:spLocks noChangeShapeType="1"/>
        </xdr:cNvSpPr>
      </xdr:nvSpPr>
      <xdr:spPr bwMode="auto">
        <a:xfrm>
          <a:off x="2819400" y="6315075"/>
          <a:ext cx="1143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33</xdr:row>
      <xdr:rowOff>85725</xdr:rowOff>
    </xdr:from>
    <xdr:to>
      <xdr:col>2</xdr:col>
      <xdr:colOff>361950</xdr:colOff>
      <xdr:row>36</xdr:row>
      <xdr:rowOff>142875</xdr:rowOff>
    </xdr:to>
    <xdr:sp macro="" textlink="">
      <xdr:nvSpPr>
        <xdr:cNvPr id="6" name="Line 7">
          <a:extLst>
            <a:ext uri="{FF2B5EF4-FFF2-40B4-BE49-F238E27FC236}">
              <a16:creationId xmlns:a16="http://schemas.microsoft.com/office/drawing/2014/main" id="{00000000-0008-0000-0200-000006000000}"/>
            </a:ext>
          </a:extLst>
        </xdr:cNvPr>
        <xdr:cNvSpPr>
          <a:spLocks noChangeShapeType="1"/>
        </xdr:cNvSpPr>
      </xdr:nvSpPr>
      <xdr:spPr bwMode="auto">
        <a:xfrm>
          <a:off x="1743075" y="6210300"/>
          <a:ext cx="0" cy="647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36</xdr:row>
      <xdr:rowOff>19050</xdr:rowOff>
    </xdr:from>
    <xdr:to>
      <xdr:col>5</xdr:col>
      <xdr:colOff>342900</xdr:colOff>
      <xdr:row>36</xdr:row>
      <xdr:rowOff>19050</xdr:rowOff>
    </xdr:to>
    <xdr:sp macro="" textlink="">
      <xdr:nvSpPr>
        <xdr:cNvPr id="7" name="Line 8">
          <a:extLst>
            <a:ext uri="{FF2B5EF4-FFF2-40B4-BE49-F238E27FC236}">
              <a16:creationId xmlns:a16="http://schemas.microsoft.com/office/drawing/2014/main" id="{00000000-0008-0000-0200-000007000000}"/>
            </a:ext>
          </a:extLst>
        </xdr:cNvPr>
        <xdr:cNvSpPr>
          <a:spLocks noChangeShapeType="1"/>
        </xdr:cNvSpPr>
      </xdr:nvSpPr>
      <xdr:spPr bwMode="auto">
        <a:xfrm>
          <a:off x="1581150" y="6734175"/>
          <a:ext cx="1419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33</xdr:row>
      <xdr:rowOff>38100</xdr:rowOff>
    </xdr:from>
    <xdr:to>
      <xdr:col>3</xdr:col>
      <xdr:colOff>38100</xdr:colOff>
      <xdr:row>36</xdr:row>
      <xdr:rowOff>123825</xdr:rowOff>
    </xdr:to>
    <xdr:sp macro="" textlink="">
      <xdr:nvSpPr>
        <xdr:cNvPr id="8" name="Line 9">
          <a:extLst>
            <a:ext uri="{FF2B5EF4-FFF2-40B4-BE49-F238E27FC236}">
              <a16:creationId xmlns:a16="http://schemas.microsoft.com/office/drawing/2014/main" id="{00000000-0008-0000-0200-000008000000}"/>
            </a:ext>
          </a:extLst>
        </xdr:cNvPr>
        <xdr:cNvSpPr>
          <a:spLocks noChangeShapeType="1"/>
        </xdr:cNvSpPr>
      </xdr:nvSpPr>
      <xdr:spPr bwMode="auto">
        <a:xfrm>
          <a:off x="2000250" y="6162675"/>
          <a:ext cx="0" cy="676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34</xdr:row>
      <xdr:rowOff>123825</xdr:rowOff>
    </xdr:from>
    <xdr:to>
      <xdr:col>4</xdr:col>
      <xdr:colOff>219075</xdr:colOff>
      <xdr:row>36</xdr:row>
      <xdr:rowOff>123825</xdr:rowOff>
    </xdr:to>
    <xdr:sp macro="" textlink="">
      <xdr:nvSpPr>
        <xdr:cNvPr id="9" name="Line 10">
          <a:extLst>
            <a:ext uri="{FF2B5EF4-FFF2-40B4-BE49-F238E27FC236}">
              <a16:creationId xmlns:a16="http://schemas.microsoft.com/office/drawing/2014/main" id="{00000000-0008-0000-0200-000009000000}"/>
            </a:ext>
          </a:extLst>
        </xdr:cNvPr>
        <xdr:cNvSpPr>
          <a:spLocks noChangeShapeType="1"/>
        </xdr:cNvSpPr>
      </xdr:nvSpPr>
      <xdr:spPr bwMode="auto">
        <a:xfrm>
          <a:off x="2552700" y="6448425"/>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34</xdr:row>
      <xdr:rowOff>85725</xdr:rowOff>
    </xdr:from>
    <xdr:to>
      <xdr:col>5</xdr:col>
      <xdr:colOff>152400</xdr:colOff>
      <xdr:row>36</xdr:row>
      <xdr:rowOff>123825</xdr:rowOff>
    </xdr:to>
    <xdr:sp macro="" textlink="">
      <xdr:nvSpPr>
        <xdr:cNvPr id="10" name="Line 11">
          <a:extLst>
            <a:ext uri="{FF2B5EF4-FFF2-40B4-BE49-F238E27FC236}">
              <a16:creationId xmlns:a16="http://schemas.microsoft.com/office/drawing/2014/main" id="{00000000-0008-0000-0200-00000A000000}"/>
            </a:ext>
          </a:extLst>
        </xdr:cNvPr>
        <xdr:cNvSpPr>
          <a:spLocks noChangeShapeType="1"/>
        </xdr:cNvSpPr>
      </xdr:nvSpPr>
      <xdr:spPr bwMode="auto">
        <a:xfrm>
          <a:off x="2809875" y="6410325"/>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32</xdr:row>
      <xdr:rowOff>95250</xdr:rowOff>
    </xdr:from>
    <xdr:to>
      <xdr:col>2</xdr:col>
      <xdr:colOff>381000</xdr:colOff>
      <xdr:row>32</xdr:row>
      <xdr:rowOff>180975</xdr:rowOff>
    </xdr:to>
    <xdr:sp macro="" textlink="">
      <xdr:nvSpPr>
        <xdr:cNvPr id="11" name="Tegning 55">
          <a:extLst>
            <a:ext uri="{FF2B5EF4-FFF2-40B4-BE49-F238E27FC236}">
              <a16:creationId xmlns:a16="http://schemas.microsoft.com/office/drawing/2014/main" id="{00000000-0008-0000-0200-00000B000000}"/>
            </a:ext>
          </a:extLst>
        </xdr:cNvPr>
        <xdr:cNvSpPr>
          <a:spLocks/>
        </xdr:cNvSpPr>
      </xdr:nvSpPr>
      <xdr:spPr bwMode="auto">
        <a:xfrm>
          <a:off x="1571625" y="6029325"/>
          <a:ext cx="190500" cy="85725"/>
        </a:xfrm>
        <a:custGeom>
          <a:avLst/>
          <a:gdLst>
            <a:gd name="T0" fmla="*/ 2147483646 w 16384"/>
            <a:gd name="T1" fmla="*/ 0 h 16384"/>
            <a:gd name="T2" fmla="*/ 0 w 16384"/>
            <a:gd name="T3" fmla="*/ 2147483646 h 16384"/>
            <a:gd name="T4" fmla="*/ 2147483646 w 16384"/>
            <a:gd name="T5" fmla="*/ 2147483646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7910" y="0"/>
              </a:moveTo>
              <a:lnTo>
                <a:pt x="0" y="16384"/>
              </a:lnTo>
              <a:lnTo>
                <a:pt x="16384" y="16384"/>
              </a:lnTo>
              <a:lnTo>
                <a:pt x="847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171450</xdr:colOff>
      <xdr:row>34</xdr:row>
      <xdr:rowOff>47625</xdr:rowOff>
    </xdr:from>
    <xdr:to>
      <xdr:col>5</xdr:col>
      <xdr:colOff>352425</xdr:colOff>
      <xdr:row>34</xdr:row>
      <xdr:rowOff>123825</xdr:rowOff>
    </xdr:to>
    <xdr:sp macro="" textlink="">
      <xdr:nvSpPr>
        <xdr:cNvPr id="12" name="Tegning 56">
          <a:extLst>
            <a:ext uri="{FF2B5EF4-FFF2-40B4-BE49-F238E27FC236}">
              <a16:creationId xmlns:a16="http://schemas.microsoft.com/office/drawing/2014/main" id="{00000000-0008-0000-0200-00000C000000}"/>
            </a:ext>
          </a:extLst>
        </xdr:cNvPr>
        <xdr:cNvSpPr>
          <a:spLocks/>
        </xdr:cNvSpPr>
      </xdr:nvSpPr>
      <xdr:spPr bwMode="auto">
        <a:xfrm>
          <a:off x="2828925" y="6372225"/>
          <a:ext cx="180975" cy="76200"/>
        </a:xfrm>
        <a:custGeom>
          <a:avLst/>
          <a:gdLst>
            <a:gd name="T0" fmla="*/ 2147483646 w 16384"/>
            <a:gd name="T1" fmla="*/ 0 h 16384"/>
            <a:gd name="T2" fmla="*/ 0 w 16384"/>
            <a:gd name="T3" fmla="*/ 2147483646 h 16384"/>
            <a:gd name="T4" fmla="*/ 2147483646 w 16384"/>
            <a:gd name="T5" fmla="*/ 2147483646 h 16384"/>
            <a:gd name="T6" fmla="*/ 2147483646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7910" y="0"/>
              </a:moveTo>
              <a:lnTo>
                <a:pt x="0" y="16384"/>
              </a:lnTo>
              <a:lnTo>
                <a:pt x="16384" y="16384"/>
              </a:lnTo>
              <a:lnTo>
                <a:pt x="847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257175</xdr:colOff>
      <xdr:row>37</xdr:row>
      <xdr:rowOff>19050</xdr:rowOff>
    </xdr:from>
    <xdr:to>
      <xdr:col>5</xdr:col>
      <xdr:colOff>285750</xdr:colOff>
      <xdr:row>37</xdr:row>
      <xdr:rowOff>19050</xdr:rowOff>
    </xdr:to>
    <xdr:sp macro="" textlink="">
      <xdr:nvSpPr>
        <xdr:cNvPr id="13" name="Line 14">
          <a:extLst>
            <a:ext uri="{FF2B5EF4-FFF2-40B4-BE49-F238E27FC236}">
              <a16:creationId xmlns:a16="http://schemas.microsoft.com/office/drawing/2014/main" id="{00000000-0008-0000-0200-00000D000000}"/>
            </a:ext>
          </a:extLst>
        </xdr:cNvPr>
        <xdr:cNvSpPr>
          <a:spLocks noChangeShapeType="1"/>
        </xdr:cNvSpPr>
      </xdr:nvSpPr>
      <xdr:spPr bwMode="auto">
        <a:xfrm>
          <a:off x="1638300" y="6924675"/>
          <a:ext cx="1304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33</xdr:row>
      <xdr:rowOff>66675</xdr:rowOff>
    </xdr:from>
    <xdr:to>
      <xdr:col>2</xdr:col>
      <xdr:colOff>276225</xdr:colOff>
      <xdr:row>37</xdr:row>
      <xdr:rowOff>76200</xdr:rowOff>
    </xdr:to>
    <xdr:sp macro="" textlink="">
      <xdr:nvSpPr>
        <xdr:cNvPr id="14" name="Line 15">
          <a:extLst>
            <a:ext uri="{FF2B5EF4-FFF2-40B4-BE49-F238E27FC236}">
              <a16:creationId xmlns:a16="http://schemas.microsoft.com/office/drawing/2014/main" id="{00000000-0008-0000-0200-00000E000000}"/>
            </a:ext>
          </a:extLst>
        </xdr:cNvPr>
        <xdr:cNvSpPr>
          <a:spLocks noChangeShapeType="1"/>
        </xdr:cNvSpPr>
      </xdr:nvSpPr>
      <xdr:spPr bwMode="auto">
        <a:xfrm>
          <a:off x="1657350" y="6191250"/>
          <a:ext cx="0" cy="7905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34</xdr:row>
      <xdr:rowOff>76200</xdr:rowOff>
    </xdr:from>
    <xdr:to>
      <xdr:col>5</xdr:col>
      <xdr:colOff>266700</xdr:colOff>
      <xdr:row>37</xdr:row>
      <xdr:rowOff>66675</xdr:rowOff>
    </xdr:to>
    <xdr:sp macro="" textlink="">
      <xdr:nvSpPr>
        <xdr:cNvPr id="15" name="Line 16">
          <a:extLst>
            <a:ext uri="{FF2B5EF4-FFF2-40B4-BE49-F238E27FC236}">
              <a16:creationId xmlns:a16="http://schemas.microsoft.com/office/drawing/2014/main" id="{00000000-0008-0000-0200-00000F000000}"/>
            </a:ext>
          </a:extLst>
        </xdr:cNvPr>
        <xdr:cNvSpPr>
          <a:spLocks noChangeShapeType="1"/>
        </xdr:cNvSpPr>
      </xdr:nvSpPr>
      <xdr:spPr bwMode="auto">
        <a:xfrm>
          <a:off x="2924175" y="6400800"/>
          <a:ext cx="0" cy="571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28</xdr:row>
      <xdr:rowOff>104775</xdr:rowOff>
    </xdr:from>
    <xdr:to>
      <xdr:col>5</xdr:col>
      <xdr:colOff>171450</xdr:colOff>
      <xdr:row>28</xdr:row>
      <xdr:rowOff>104775</xdr:rowOff>
    </xdr:to>
    <xdr:sp macro="" textlink="">
      <xdr:nvSpPr>
        <xdr:cNvPr id="16" name="Line 17">
          <a:extLst>
            <a:ext uri="{FF2B5EF4-FFF2-40B4-BE49-F238E27FC236}">
              <a16:creationId xmlns:a16="http://schemas.microsoft.com/office/drawing/2014/main" id="{00000000-0008-0000-0200-000010000000}"/>
            </a:ext>
          </a:extLst>
        </xdr:cNvPr>
        <xdr:cNvSpPr>
          <a:spLocks noChangeShapeType="1"/>
        </xdr:cNvSpPr>
      </xdr:nvSpPr>
      <xdr:spPr bwMode="auto">
        <a:xfrm>
          <a:off x="1733550" y="52768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29</xdr:row>
      <xdr:rowOff>57150</xdr:rowOff>
    </xdr:from>
    <xdr:to>
      <xdr:col>5</xdr:col>
      <xdr:colOff>171450</xdr:colOff>
      <xdr:row>29</xdr:row>
      <xdr:rowOff>57150</xdr:rowOff>
    </xdr:to>
    <xdr:sp macro="" textlink="">
      <xdr:nvSpPr>
        <xdr:cNvPr id="17" name="Line 18">
          <a:extLst>
            <a:ext uri="{FF2B5EF4-FFF2-40B4-BE49-F238E27FC236}">
              <a16:creationId xmlns:a16="http://schemas.microsoft.com/office/drawing/2014/main" id="{00000000-0008-0000-0200-000011000000}"/>
            </a:ext>
          </a:extLst>
        </xdr:cNvPr>
        <xdr:cNvSpPr>
          <a:spLocks noChangeShapeType="1"/>
        </xdr:cNvSpPr>
      </xdr:nvSpPr>
      <xdr:spPr bwMode="auto">
        <a:xfrm>
          <a:off x="1733550" y="5419725"/>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25</xdr:row>
      <xdr:rowOff>76200</xdr:rowOff>
    </xdr:from>
    <xdr:to>
      <xdr:col>5</xdr:col>
      <xdr:colOff>171450</xdr:colOff>
      <xdr:row>26</xdr:row>
      <xdr:rowOff>161925</xdr:rowOff>
    </xdr:to>
    <xdr:sp macro="" textlink="">
      <xdr:nvSpPr>
        <xdr:cNvPr id="18" name="Line 19">
          <a:extLst>
            <a:ext uri="{FF2B5EF4-FFF2-40B4-BE49-F238E27FC236}">
              <a16:creationId xmlns:a16="http://schemas.microsoft.com/office/drawing/2014/main" id="{00000000-0008-0000-0200-000012000000}"/>
            </a:ext>
          </a:extLst>
        </xdr:cNvPr>
        <xdr:cNvSpPr>
          <a:spLocks noChangeShapeType="1"/>
        </xdr:cNvSpPr>
      </xdr:nvSpPr>
      <xdr:spPr bwMode="auto">
        <a:xfrm flipV="1">
          <a:off x="2828925"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20</xdr:row>
      <xdr:rowOff>47625</xdr:rowOff>
    </xdr:from>
    <xdr:to>
      <xdr:col>5</xdr:col>
      <xdr:colOff>171450</xdr:colOff>
      <xdr:row>24</xdr:row>
      <xdr:rowOff>0</xdr:rowOff>
    </xdr:to>
    <xdr:sp macro="" textlink="">
      <xdr:nvSpPr>
        <xdr:cNvPr id="19" name="Tegning 63">
          <a:extLst>
            <a:ext uri="{FF2B5EF4-FFF2-40B4-BE49-F238E27FC236}">
              <a16:creationId xmlns:a16="http://schemas.microsoft.com/office/drawing/2014/main" id="{00000000-0008-0000-0200-000013000000}"/>
            </a:ext>
          </a:extLst>
        </xdr:cNvPr>
        <xdr:cNvSpPr>
          <a:spLocks/>
        </xdr:cNvSpPr>
      </xdr:nvSpPr>
      <xdr:spPr bwMode="auto">
        <a:xfrm>
          <a:off x="1752600" y="3676650"/>
          <a:ext cx="1076325" cy="73342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5937"/>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57150</xdr:colOff>
      <xdr:row>20</xdr:row>
      <xdr:rowOff>47625</xdr:rowOff>
    </xdr:from>
    <xdr:to>
      <xdr:col>3</xdr:col>
      <xdr:colOff>57150</xdr:colOff>
      <xdr:row>22</xdr:row>
      <xdr:rowOff>0</xdr:rowOff>
    </xdr:to>
    <xdr:sp macro="" textlink="">
      <xdr:nvSpPr>
        <xdr:cNvPr id="20" name="Line 21">
          <a:extLst>
            <a:ext uri="{FF2B5EF4-FFF2-40B4-BE49-F238E27FC236}">
              <a16:creationId xmlns:a16="http://schemas.microsoft.com/office/drawing/2014/main" id="{00000000-0008-0000-0200-000014000000}"/>
            </a:ext>
          </a:extLst>
        </xdr:cNvPr>
        <xdr:cNvSpPr>
          <a:spLocks noChangeShapeType="1"/>
        </xdr:cNvSpPr>
      </xdr:nvSpPr>
      <xdr:spPr bwMode="auto">
        <a:xfrm flipV="1">
          <a:off x="2019300" y="36766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20</xdr:row>
      <xdr:rowOff>57150</xdr:rowOff>
    </xdr:from>
    <xdr:to>
      <xdr:col>3</xdr:col>
      <xdr:colOff>171450</xdr:colOff>
      <xdr:row>21</xdr:row>
      <xdr:rowOff>190500</xdr:rowOff>
    </xdr:to>
    <xdr:sp macro="" textlink="">
      <xdr:nvSpPr>
        <xdr:cNvPr id="21" name="Line 22">
          <a:extLst>
            <a:ext uri="{FF2B5EF4-FFF2-40B4-BE49-F238E27FC236}">
              <a16:creationId xmlns:a16="http://schemas.microsoft.com/office/drawing/2014/main" id="{00000000-0008-0000-0200-000015000000}"/>
            </a:ext>
          </a:extLst>
        </xdr:cNvPr>
        <xdr:cNvSpPr>
          <a:spLocks noChangeShapeType="1"/>
        </xdr:cNvSpPr>
      </xdr:nvSpPr>
      <xdr:spPr bwMode="auto">
        <a:xfrm flipV="1">
          <a:off x="2133600" y="368617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20</xdr:row>
      <xdr:rowOff>47625</xdr:rowOff>
    </xdr:from>
    <xdr:to>
      <xdr:col>4</xdr:col>
      <xdr:colOff>66675</xdr:colOff>
      <xdr:row>22</xdr:row>
      <xdr:rowOff>0</xdr:rowOff>
    </xdr:to>
    <xdr:sp macro="" textlink="">
      <xdr:nvSpPr>
        <xdr:cNvPr id="22" name="Line 23">
          <a:extLst>
            <a:ext uri="{FF2B5EF4-FFF2-40B4-BE49-F238E27FC236}">
              <a16:creationId xmlns:a16="http://schemas.microsoft.com/office/drawing/2014/main" id="{00000000-0008-0000-0200-000016000000}"/>
            </a:ext>
          </a:extLst>
        </xdr:cNvPr>
        <xdr:cNvSpPr>
          <a:spLocks noChangeShapeType="1"/>
        </xdr:cNvSpPr>
      </xdr:nvSpPr>
      <xdr:spPr bwMode="auto">
        <a:xfrm flipV="1">
          <a:off x="2400300" y="36766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20</xdr:row>
      <xdr:rowOff>57150</xdr:rowOff>
    </xdr:from>
    <xdr:to>
      <xdr:col>4</xdr:col>
      <xdr:colOff>180975</xdr:colOff>
      <xdr:row>21</xdr:row>
      <xdr:rowOff>190500</xdr:rowOff>
    </xdr:to>
    <xdr:sp macro="" textlink="">
      <xdr:nvSpPr>
        <xdr:cNvPr id="23" name="Line 24">
          <a:extLst>
            <a:ext uri="{FF2B5EF4-FFF2-40B4-BE49-F238E27FC236}">
              <a16:creationId xmlns:a16="http://schemas.microsoft.com/office/drawing/2014/main" id="{00000000-0008-0000-0200-000017000000}"/>
            </a:ext>
          </a:extLst>
        </xdr:cNvPr>
        <xdr:cNvSpPr>
          <a:spLocks noChangeShapeType="1"/>
        </xdr:cNvSpPr>
      </xdr:nvSpPr>
      <xdr:spPr bwMode="auto">
        <a:xfrm flipV="1">
          <a:off x="2514600" y="368617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21</xdr:row>
      <xdr:rowOff>152400</xdr:rowOff>
    </xdr:from>
    <xdr:to>
      <xdr:col>3</xdr:col>
      <xdr:colOff>28575</xdr:colOff>
      <xdr:row>22</xdr:row>
      <xdr:rowOff>0</xdr:rowOff>
    </xdr:to>
    <xdr:sp macro="" textlink="">
      <xdr:nvSpPr>
        <xdr:cNvPr id="24" name="Tegning 68">
          <a:extLst>
            <a:ext uri="{FF2B5EF4-FFF2-40B4-BE49-F238E27FC236}">
              <a16:creationId xmlns:a16="http://schemas.microsoft.com/office/drawing/2014/main" id="{00000000-0008-0000-0200-000018000000}"/>
            </a:ext>
          </a:extLst>
        </xdr:cNvPr>
        <xdr:cNvSpPr>
          <a:spLocks/>
        </xdr:cNvSpPr>
      </xdr:nvSpPr>
      <xdr:spPr bwMode="auto">
        <a:xfrm>
          <a:off x="1743075" y="3981450"/>
          <a:ext cx="247650" cy="47625"/>
        </a:xfrm>
        <a:custGeom>
          <a:avLst/>
          <a:gdLst>
            <a:gd name="T0" fmla="*/ 2147483646 w 16384"/>
            <a:gd name="T1" fmla="*/ 2147483646 h 16384"/>
            <a:gd name="T2" fmla="*/ 2147483646 w 16384"/>
            <a:gd name="T3" fmla="*/ 0 h 16384"/>
            <a:gd name="T4" fmla="*/ 0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16384"/>
              </a:moveTo>
              <a:lnTo>
                <a:pt x="16384" y="0"/>
              </a:lnTo>
              <a:lnTo>
                <a:pt x="0"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200025</xdr:colOff>
      <xdr:row>21</xdr:row>
      <xdr:rowOff>152400</xdr:rowOff>
    </xdr:from>
    <xdr:to>
      <xdr:col>5</xdr:col>
      <xdr:colOff>180975</xdr:colOff>
      <xdr:row>21</xdr:row>
      <xdr:rowOff>200025</xdr:rowOff>
    </xdr:to>
    <xdr:sp macro="" textlink="">
      <xdr:nvSpPr>
        <xdr:cNvPr id="25" name="Tegning 69">
          <a:extLst>
            <a:ext uri="{FF2B5EF4-FFF2-40B4-BE49-F238E27FC236}">
              <a16:creationId xmlns:a16="http://schemas.microsoft.com/office/drawing/2014/main" id="{00000000-0008-0000-0200-000019000000}"/>
            </a:ext>
          </a:extLst>
        </xdr:cNvPr>
        <xdr:cNvSpPr>
          <a:spLocks/>
        </xdr:cNvSpPr>
      </xdr:nvSpPr>
      <xdr:spPr bwMode="auto">
        <a:xfrm>
          <a:off x="2533650" y="3981450"/>
          <a:ext cx="304800" cy="476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22</xdr:row>
      <xdr:rowOff>47625</xdr:rowOff>
    </xdr:from>
    <xdr:to>
      <xdr:col>3</xdr:col>
      <xdr:colOff>28575</xdr:colOff>
      <xdr:row>22</xdr:row>
      <xdr:rowOff>47625</xdr:rowOff>
    </xdr:to>
    <xdr:sp macro="" textlink="">
      <xdr:nvSpPr>
        <xdr:cNvPr id="26" name="Line 27">
          <a:extLst>
            <a:ext uri="{FF2B5EF4-FFF2-40B4-BE49-F238E27FC236}">
              <a16:creationId xmlns:a16="http://schemas.microsoft.com/office/drawing/2014/main" id="{00000000-0008-0000-0200-00001A000000}"/>
            </a:ext>
          </a:extLst>
        </xdr:cNvPr>
        <xdr:cNvSpPr>
          <a:spLocks noChangeShapeType="1"/>
        </xdr:cNvSpPr>
      </xdr:nvSpPr>
      <xdr:spPr bwMode="auto">
        <a:xfrm>
          <a:off x="1743075" y="4076700"/>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22</xdr:row>
      <xdr:rowOff>152400</xdr:rowOff>
    </xdr:from>
    <xdr:to>
      <xdr:col>3</xdr:col>
      <xdr:colOff>28575</xdr:colOff>
      <xdr:row>22</xdr:row>
      <xdr:rowOff>152400</xdr:rowOff>
    </xdr:to>
    <xdr:sp macro="" textlink="">
      <xdr:nvSpPr>
        <xdr:cNvPr id="27" name="Line 28">
          <a:extLst>
            <a:ext uri="{FF2B5EF4-FFF2-40B4-BE49-F238E27FC236}">
              <a16:creationId xmlns:a16="http://schemas.microsoft.com/office/drawing/2014/main" id="{00000000-0008-0000-0200-00001B000000}"/>
            </a:ext>
          </a:extLst>
        </xdr:cNvPr>
        <xdr:cNvSpPr>
          <a:spLocks noChangeShapeType="1"/>
        </xdr:cNvSpPr>
      </xdr:nvSpPr>
      <xdr:spPr bwMode="auto">
        <a:xfrm>
          <a:off x="1743075" y="4181475"/>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23</xdr:row>
      <xdr:rowOff>47625</xdr:rowOff>
    </xdr:from>
    <xdr:to>
      <xdr:col>3</xdr:col>
      <xdr:colOff>28575</xdr:colOff>
      <xdr:row>23</xdr:row>
      <xdr:rowOff>47625</xdr:rowOff>
    </xdr:to>
    <xdr:sp macro="" textlink="">
      <xdr:nvSpPr>
        <xdr:cNvPr id="28" name="Line 29">
          <a:extLst>
            <a:ext uri="{FF2B5EF4-FFF2-40B4-BE49-F238E27FC236}">
              <a16:creationId xmlns:a16="http://schemas.microsoft.com/office/drawing/2014/main" id="{00000000-0008-0000-0200-00001C000000}"/>
            </a:ext>
          </a:extLst>
        </xdr:cNvPr>
        <xdr:cNvSpPr>
          <a:spLocks noChangeShapeType="1"/>
        </xdr:cNvSpPr>
      </xdr:nvSpPr>
      <xdr:spPr bwMode="auto">
        <a:xfrm>
          <a:off x="1752600" y="4267200"/>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23</xdr:row>
      <xdr:rowOff>152400</xdr:rowOff>
    </xdr:from>
    <xdr:to>
      <xdr:col>3</xdr:col>
      <xdr:colOff>28575</xdr:colOff>
      <xdr:row>23</xdr:row>
      <xdr:rowOff>152400</xdr:rowOff>
    </xdr:to>
    <xdr:sp macro="" textlink="">
      <xdr:nvSpPr>
        <xdr:cNvPr id="29" name="Line 30">
          <a:extLst>
            <a:ext uri="{FF2B5EF4-FFF2-40B4-BE49-F238E27FC236}">
              <a16:creationId xmlns:a16="http://schemas.microsoft.com/office/drawing/2014/main" id="{00000000-0008-0000-0200-00001D000000}"/>
            </a:ext>
          </a:extLst>
        </xdr:cNvPr>
        <xdr:cNvSpPr>
          <a:spLocks noChangeShapeType="1"/>
        </xdr:cNvSpPr>
      </xdr:nvSpPr>
      <xdr:spPr bwMode="auto">
        <a:xfrm>
          <a:off x="1743075" y="4371975"/>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22</xdr:row>
      <xdr:rowOff>47625</xdr:rowOff>
    </xdr:from>
    <xdr:to>
      <xdr:col>5</xdr:col>
      <xdr:colOff>161925</xdr:colOff>
      <xdr:row>22</xdr:row>
      <xdr:rowOff>47625</xdr:rowOff>
    </xdr:to>
    <xdr:sp macro="" textlink="">
      <xdr:nvSpPr>
        <xdr:cNvPr id="30" name="Line 31">
          <a:extLst>
            <a:ext uri="{FF2B5EF4-FFF2-40B4-BE49-F238E27FC236}">
              <a16:creationId xmlns:a16="http://schemas.microsoft.com/office/drawing/2014/main" id="{00000000-0008-0000-0200-00001E000000}"/>
            </a:ext>
          </a:extLst>
        </xdr:cNvPr>
        <xdr:cNvSpPr>
          <a:spLocks noChangeShapeType="1"/>
        </xdr:cNvSpPr>
      </xdr:nvSpPr>
      <xdr:spPr bwMode="auto">
        <a:xfrm>
          <a:off x="2552700" y="4076700"/>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22</xdr:row>
      <xdr:rowOff>152400</xdr:rowOff>
    </xdr:from>
    <xdr:to>
      <xdr:col>5</xdr:col>
      <xdr:colOff>171450</xdr:colOff>
      <xdr:row>22</xdr:row>
      <xdr:rowOff>152400</xdr:rowOff>
    </xdr:to>
    <xdr:sp macro="" textlink="">
      <xdr:nvSpPr>
        <xdr:cNvPr id="31" name="Line 32">
          <a:extLst>
            <a:ext uri="{FF2B5EF4-FFF2-40B4-BE49-F238E27FC236}">
              <a16:creationId xmlns:a16="http://schemas.microsoft.com/office/drawing/2014/main" id="{00000000-0008-0000-0200-00001F000000}"/>
            </a:ext>
          </a:extLst>
        </xdr:cNvPr>
        <xdr:cNvSpPr>
          <a:spLocks noChangeShapeType="1"/>
        </xdr:cNvSpPr>
      </xdr:nvSpPr>
      <xdr:spPr bwMode="auto">
        <a:xfrm>
          <a:off x="2543175" y="4181475"/>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23</xdr:row>
      <xdr:rowOff>47625</xdr:rowOff>
    </xdr:from>
    <xdr:to>
      <xdr:col>5</xdr:col>
      <xdr:colOff>171450</xdr:colOff>
      <xdr:row>23</xdr:row>
      <xdr:rowOff>47625</xdr:rowOff>
    </xdr:to>
    <xdr:sp macro="" textlink="">
      <xdr:nvSpPr>
        <xdr:cNvPr id="32" name="Line 33">
          <a:extLst>
            <a:ext uri="{FF2B5EF4-FFF2-40B4-BE49-F238E27FC236}">
              <a16:creationId xmlns:a16="http://schemas.microsoft.com/office/drawing/2014/main" id="{00000000-0008-0000-0200-000020000000}"/>
            </a:ext>
          </a:extLst>
        </xdr:cNvPr>
        <xdr:cNvSpPr>
          <a:spLocks noChangeShapeType="1"/>
        </xdr:cNvSpPr>
      </xdr:nvSpPr>
      <xdr:spPr bwMode="auto">
        <a:xfrm>
          <a:off x="2533650" y="4267200"/>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23</xdr:row>
      <xdr:rowOff>152400</xdr:rowOff>
    </xdr:from>
    <xdr:to>
      <xdr:col>5</xdr:col>
      <xdr:colOff>161925</xdr:colOff>
      <xdr:row>23</xdr:row>
      <xdr:rowOff>152400</xdr:rowOff>
    </xdr:to>
    <xdr:sp macro="" textlink="">
      <xdr:nvSpPr>
        <xdr:cNvPr id="33" name="Line 34">
          <a:extLst>
            <a:ext uri="{FF2B5EF4-FFF2-40B4-BE49-F238E27FC236}">
              <a16:creationId xmlns:a16="http://schemas.microsoft.com/office/drawing/2014/main" id="{00000000-0008-0000-0200-000021000000}"/>
            </a:ext>
          </a:extLst>
        </xdr:cNvPr>
        <xdr:cNvSpPr>
          <a:spLocks noChangeShapeType="1"/>
        </xdr:cNvSpPr>
      </xdr:nvSpPr>
      <xdr:spPr bwMode="auto">
        <a:xfrm>
          <a:off x="2533650" y="4371975"/>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21</xdr:row>
      <xdr:rowOff>200025</xdr:rowOff>
    </xdr:from>
    <xdr:to>
      <xdr:col>4</xdr:col>
      <xdr:colOff>200025</xdr:colOff>
      <xdr:row>23</xdr:row>
      <xdr:rowOff>180975</xdr:rowOff>
    </xdr:to>
    <xdr:sp macro="" textlink="">
      <xdr:nvSpPr>
        <xdr:cNvPr id="34" name="Tegning 78">
          <a:extLst>
            <a:ext uri="{FF2B5EF4-FFF2-40B4-BE49-F238E27FC236}">
              <a16:creationId xmlns:a16="http://schemas.microsoft.com/office/drawing/2014/main" id="{00000000-0008-0000-0200-000022000000}"/>
            </a:ext>
          </a:extLst>
        </xdr:cNvPr>
        <xdr:cNvSpPr>
          <a:spLocks/>
        </xdr:cNvSpPr>
      </xdr:nvSpPr>
      <xdr:spPr bwMode="auto">
        <a:xfrm>
          <a:off x="1990725" y="4029075"/>
          <a:ext cx="542925" cy="371475"/>
        </a:xfrm>
        <a:custGeom>
          <a:avLst/>
          <a:gdLst>
            <a:gd name="T0" fmla="*/ 0 w 16384"/>
            <a:gd name="T1" fmla="*/ 2147483646 h 16384"/>
            <a:gd name="T2" fmla="*/ 0 w 16384"/>
            <a:gd name="T3" fmla="*/ 0 h 16384"/>
            <a:gd name="T4" fmla="*/ 2147483646 w 16384"/>
            <a:gd name="T5" fmla="*/ 0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6384"/>
              </a:moveTo>
              <a:lnTo>
                <a:pt x="0" y="0"/>
              </a:lnTo>
              <a:lnTo>
                <a:pt x="16384" y="0"/>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31</xdr:row>
      <xdr:rowOff>190500</xdr:rowOff>
    </xdr:from>
    <xdr:to>
      <xdr:col>2</xdr:col>
      <xdr:colOff>361950</xdr:colOff>
      <xdr:row>32</xdr:row>
      <xdr:rowOff>76200</xdr:rowOff>
    </xdr:to>
    <xdr:sp macro="" textlink="">
      <xdr:nvSpPr>
        <xdr:cNvPr id="35" name="Line 36">
          <a:extLst>
            <a:ext uri="{FF2B5EF4-FFF2-40B4-BE49-F238E27FC236}">
              <a16:creationId xmlns:a16="http://schemas.microsoft.com/office/drawing/2014/main" id="{00000000-0008-0000-0200-000023000000}"/>
            </a:ext>
          </a:extLst>
        </xdr:cNvPr>
        <xdr:cNvSpPr>
          <a:spLocks noChangeShapeType="1"/>
        </xdr:cNvSpPr>
      </xdr:nvSpPr>
      <xdr:spPr bwMode="auto">
        <a:xfrm flipV="1">
          <a:off x="1743075" y="5934075"/>
          <a:ext cx="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32</xdr:row>
      <xdr:rowOff>47625</xdr:rowOff>
    </xdr:from>
    <xdr:to>
      <xdr:col>2</xdr:col>
      <xdr:colOff>304800</xdr:colOff>
      <xdr:row>32</xdr:row>
      <xdr:rowOff>95250</xdr:rowOff>
    </xdr:to>
    <xdr:sp macro="" textlink="" fLocksText="0">
      <xdr:nvSpPr>
        <xdr:cNvPr id="36" name="Oval 37">
          <a:extLst>
            <a:ext uri="{FF2B5EF4-FFF2-40B4-BE49-F238E27FC236}">
              <a16:creationId xmlns:a16="http://schemas.microsoft.com/office/drawing/2014/main" id="{00000000-0008-0000-0200-000024000000}"/>
            </a:ext>
          </a:extLst>
        </xdr:cNvPr>
        <xdr:cNvSpPr>
          <a:spLocks noChangeArrowheads="1"/>
        </xdr:cNvSpPr>
      </xdr:nvSpPr>
      <xdr:spPr bwMode="auto">
        <a:xfrm>
          <a:off x="1638300" y="5981700"/>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238125</xdr:colOff>
      <xdr:row>34</xdr:row>
      <xdr:rowOff>0</xdr:rowOff>
    </xdr:from>
    <xdr:to>
      <xdr:col>5</xdr:col>
      <xdr:colOff>285750</xdr:colOff>
      <xdr:row>34</xdr:row>
      <xdr:rowOff>47625</xdr:rowOff>
    </xdr:to>
    <xdr:sp macro="" textlink="" fLocksText="0">
      <xdr:nvSpPr>
        <xdr:cNvPr id="37" name="Oval 38">
          <a:extLst>
            <a:ext uri="{FF2B5EF4-FFF2-40B4-BE49-F238E27FC236}">
              <a16:creationId xmlns:a16="http://schemas.microsoft.com/office/drawing/2014/main" id="{00000000-0008-0000-0200-000025000000}"/>
            </a:ext>
          </a:extLst>
        </xdr:cNvPr>
        <xdr:cNvSpPr>
          <a:spLocks noChangeArrowheads="1"/>
        </xdr:cNvSpPr>
      </xdr:nvSpPr>
      <xdr:spPr bwMode="auto">
        <a:xfrm>
          <a:off x="2895600" y="6324600"/>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209550</xdr:colOff>
      <xdr:row>33</xdr:row>
      <xdr:rowOff>0</xdr:rowOff>
    </xdr:from>
    <xdr:to>
      <xdr:col>2</xdr:col>
      <xdr:colOff>257175</xdr:colOff>
      <xdr:row>33</xdr:row>
      <xdr:rowOff>47625</xdr:rowOff>
    </xdr:to>
    <xdr:sp macro="" textlink="" fLocksText="0">
      <xdr:nvSpPr>
        <xdr:cNvPr id="38" name="Oval 39">
          <a:extLst>
            <a:ext uri="{FF2B5EF4-FFF2-40B4-BE49-F238E27FC236}">
              <a16:creationId xmlns:a16="http://schemas.microsoft.com/office/drawing/2014/main" id="{00000000-0008-0000-0200-000026000000}"/>
            </a:ext>
          </a:extLst>
        </xdr:cNvPr>
        <xdr:cNvSpPr>
          <a:spLocks noChangeArrowheads="1"/>
        </xdr:cNvSpPr>
      </xdr:nvSpPr>
      <xdr:spPr bwMode="auto">
        <a:xfrm>
          <a:off x="1590675" y="6124575"/>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304800</xdr:colOff>
      <xdr:row>33</xdr:row>
      <xdr:rowOff>0</xdr:rowOff>
    </xdr:from>
    <xdr:to>
      <xdr:col>2</xdr:col>
      <xdr:colOff>352425</xdr:colOff>
      <xdr:row>33</xdr:row>
      <xdr:rowOff>47625</xdr:rowOff>
    </xdr:to>
    <xdr:sp macro="" textlink="" fLocksText="0">
      <xdr:nvSpPr>
        <xdr:cNvPr id="39" name="Oval 40">
          <a:extLst>
            <a:ext uri="{FF2B5EF4-FFF2-40B4-BE49-F238E27FC236}">
              <a16:creationId xmlns:a16="http://schemas.microsoft.com/office/drawing/2014/main" id="{00000000-0008-0000-0200-000027000000}"/>
            </a:ext>
          </a:extLst>
        </xdr:cNvPr>
        <xdr:cNvSpPr>
          <a:spLocks noChangeArrowheads="1"/>
        </xdr:cNvSpPr>
      </xdr:nvSpPr>
      <xdr:spPr bwMode="auto">
        <a:xfrm>
          <a:off x="1685925" y="6124575"/>
          <a:ext cx="47625" cy="476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33</xdr:row>
      <xdr:rowOff>47625</xdr:rowOff>
    </xdr:from>
    <xdr:to>
      <xdr:col>2</xdr:col>
      <xdr:colOff>438150</xdr:colOff>
      <xdr:row>33</xdr:row>
      <xdr:rowOff>47625</xdr:rowOff>
    </xdr:to>
    <xdr:sp macro="" textlink="">
      <xdr:nvSpPr>
        <xdr:cNvPr id="40" name="Line 41">
          <a:extLst>
            <a:ext uri="{FF2B5EF4-FFF2-40B4-BE49-F238E27FC236}">
              <a16:creationId xmlns:a16="http://schemas.microsoft.com/office/drawing/2014/main" id="{00000000-0008-0000-0200-000028000000}"/>
            </a:ext>
          </a:extLst>
        </xdr:cNvPr>
        <xdr:cNvSpPr>
          <a:spLocks noChangeShapeType="1"/>
        </xdr:cNvSpPr>
      </xdr:nvSpPr>
      <xdr:spPr bwMode="auto">
        <a:xfrm>
          <a:off x="1524000" y="6172200"/>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34</xdr:row>
      <xdr:rowOff>123825</xdr:rowOff>
    </xdr:from>
    <xdr:to>
      <xdr:col>5</xdr:col>
      <xdr:colOff>419100</xdr:colOff>
      <xdr:row>34</xdr:row>
      <xdr:rowOff>123825</xdr:rowOff>
    </xdr:to>
    <xdr:sp macro="" textlink="">
      <xdr:nvSpPr>
        <xdr:cNvPr id="41" name="Line 42">
          <a:extLst>
            <a:ext uri="{FF2B5EF4-FFF2-40B4-BE49-F238E27FC236}">
              <a16:creationId xmlns:a16="http://schemas.microsoft.com/office/drawing/2014/main" id="{00000000-0008-0000-0200-000029000000}"/>
            </a:ext>
          </a:extLst>
        </xdr:cNvPr>
        <xdr:cNvSpPr>
          <a:spLocks noChangeShapeType="1"/>
        </xdr:cNvSpPr>
      </xdr:nvSpPr>
      <xdr:spPr bwMode="auto">
        <a:xfrm>
          <a:off x="2762250" y="6448425"/>
          <a:ext cx="314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19</xdr:row>
      <xdr:rowOff>152400</xdr:rowOff>
    </xdr:from>
    <xdr:to>
      <xdr:col>5</xdr:col>
      <xdr:colOff>304800</xdr:colOff>
      <xdr:row>22</xdr:row>
      <xdr:rowOff>133350</xdr:rowOff>
    </xdr:to>
    <xdr:sp macro="" textlink="">
      <xdr:nvSpPr>
        <xdr:cNvPr id="42" name="Line 43">
          <a:extLst>
            <a:ext uri="{FF2B5EF4-FFF2-40B4-BE49-F238E27FC236}">
              <a16:creationId xmlns:a16="http://schemas.microsoft.com/office/drawing/2014/main" id="{00000000-0008-0000-0200-00002A000000}"/>
            </a:ext>
          </a:extLst>
        </xdr:cNvPr>
        <xdr:cNvSpPr>
          <a:spLocks noChangeShapeType="1"/>
        </xdr:cNvSpPr>
      </xdr:nvSpPr>
      <xdr:spPr bwMode="auto">
        <a:xfrm>
          <a:off x="2962275" y="3590925"/>
          <a:ext cx="0" cy="571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20</xdr:row>
      <xdr:rowOff>104775</xdr:rowOff>
    </xdr:from>
    <xdr:to>
      <xdr:col>2</xdr:col>
      <xdr:colOff>381000</xdr:colOff>
      <xdr:row>20</xdr:row>
      <xdr:rowOff>104775</xdr:rowOff>
    </xdr:to>
    <xdr:sp macro="" textlink="">
      <xdr:nvSpPr>
        <xdr:cNvPr id="43" name="Line 44">
          <a:extLst>
            <a:ext uri="{FF2B5EF4-FFF2-40B4-BE49-F238E27FC236}">
              <a16:creationId xmlns:a16="http://schemas.microsoft.com/office/drawing/2014/main" id="{00000000-0008-0000-0200-00002B000000}"/>
            </a:ext>
          </a:extLst>
        </xdr:cNvPr>
        <xdr:cNvSpPr>
          <a:spLocks noChangeShapeType="1"/>
        </xdr:cNvSpPr>
      </xdr:nvSpPr>
      <xdr:spPr bwMode="auto">
        <a:xfrm>
          <a:off x="1666875" y="3733800"/>
          <a:ext cx="9525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21</xdr:row>
      <xdr:rowOff>104775</xdr:rowOff>
    </xdr:from>
    <xdr:to>
      <xdr:col>2</xdr:col>
      <xdr:colOff>381000</xdr:colOff>
      <xdr:row>21</xdr:row>
      <xdr:rowOff>104775</xdr:rowOff>
    </xdr:to>
    <xdr:sp macro="" textlink="">
      <xdr:nvSpPr>
        <xdr:cNvPr id="44" name="Line 45">
          <a:extLst>
            <a:ext uri="{FF2B5EF4-FFF2-40B4-BE49-F238E27FC236}">
              <a16:creationId xmlns:a16="http://schemas.microsoft.com/office/drawing/2014/main" id="{00000000-0008-0000-0200-00002C000000}"/>
            </a:ext>
          </a:extLst>
        </xdr:cNvPr>
        <xdr:cNvSpPr>
          <a:spLocks noChangeShapeType="1"/>
        </xdr:cNvSpPr>
      </xdr:nvSpPr>
      <xdr:spPr bwMode="auto">
        <a:xfrm>
          <a:off x="1666875" y="3933825"/>
          <a:ext cx="9525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20</xdr:row>
      <xdr:rowOff>114300</xdr:rowOff>
    </xdr:from>
    <xdr:to>
      <xdr:col>5</xdr:col>
      <xdr:colOff>247650</xdr:colOff>
      <xdr:row>20</xdr:row>
      <xdr:rowOff>114300</xdr:rowOff>
    </xdr:to>
    <xdr:sp macro="" textlink="">
      <xdr:nvSpPr>
        <xdr:cNvPr id="45" name="Line 46">
          <a:extLst>
            <a:ext uri="{FF2B5EF4-FFF2-40B4-BE49-F238E27FC236}">
              <a16:creationId xmlns:a16="http://schemas.microsoft.com/office/drawing/2014/main" id="{00000000-0008-0000-0200-00002D000000}"/>
            </a:ext>
          </a:extLst>
        </xdr:cNvPr>
        <xdr:cNvSpPr>
          <a:spLocks noChangeShapeType="1"/>
        </xdr:cNvSpPr>
      </xdr:nvSpPr>
      <xdr:spPr bwMode="auto">
        <a:xfrm>
          <a:off x="2828925" y="3743325"/>
          <a:ext cx="762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21</xdr:row>
      <xdr:rowOff>114300</xdr:rowOff>
    </xdr:from>
    <xdr:to>
      <xdr:col>5</xdr:col>
      <xdr:colOff>247650</xdr:colOff>
      <xdr:row>21</xdr:row>
      <xdr:rowOff>114300</xdr:rowOff>
    </xdr:to>
    <xdr:sp macro="" textlink="">
      <xdr:nvSpPr>
        <xdr:cNvPr id="46" name="Line 47">
          <a:extLst>
            <a:ext uri="{FF2B5EF4-FFF2-40B4-BE49-F238E27FC236}">
              <a16:creationId xmlns:a16="http://schemas.microsoft.com/office/drawing/2014/main" id="{00000000-0008-0000-0200-00002E000000}"/>
            </a:ext>
          </a:extLst>
        </xdr:cNvPr>
        <xdr:cNvSpPr>
          <a:spLocks noChangeShapeType="1"/>
        </xdr:cNvSpPr>
      </xdr:nvSpPr>
      <xdr:spPr bwMode="auto">
        <a:xfrm>
          <a:off x="2828925" y="3943350"/>
          <a:ext cx="76200" cy="0"/>
        </a:xfrm>
        <a:prstGeom prst="line">
          <a:avLst/>
        </a:prstGeom>
        <a:noFill/>
        <a:ln w="3302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20</xdr:row>
      <xdr:rowOff>47625</xdr:rowOff>
    </xdr:from>
    <xdr:to>
      <xdr:col>5</xdr:col>
      <xdr:colOff>352425</xdr:colOff>
      <xdr:row>20</xdr:row>
      <xdr:rowOff>47625</xdr:rowOff>
    </xdr:to>
    <xdr:sp macro="" textlink="">
      <xdr:nvSpPr>
        <xdr:cNvPr id="47" name="Line 48">
          <a:extLst>
            <a:ext uri="{FF2B5EF4-FFF2-40B4-BE49-F238E27FC236}">
              <a16:creationId xmlns:a16="http://schemas.microsoft.com/office/drawing/2014/main" id="{00000000-0008-0000-0200-00002F000000}"/>
            </a:ext>
          </a:extLst>
        </xdr:cNvPr>
        <xdr:cNvSpPr>
          <a:spLocks noChangeShapeType="1"/>
        </xdr:cNvSpPr>
      </xdr:nvSpPr>
      <xdr:spPr bwMode="auto">
        <a:xfrm>
          <a:off x="2876550" y="3676650"/>
          <a:ext cx="1333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276225</xdr:colOff>
      <xdr:row>20</xdr:row>
      <xdr:rowOff>123825</xdr:rowOff>
    </xdr:from>
    <xdr:to>
      <xdr:col>5</xdr:col>
      <xdr:colOff>342900</xdr:colOff>
      <xdr:row>20</xdr:row>
      <xdr:rowOff>123825</xdr:rowOff>
    </xdr:to>
    <xdr:sp macro="" textlink="">
      <xdr:nvSpPr>
        <xdr:cNvPr id="48" name="Line 49">
          <a:extLst>
            <a:ext uri="{FF2B5EF4-FFF2-40B4-BE49-F238E27FC236}">
              <a16:creationId xmlns:a16="http://schemas.microsoft.com/office/drawing/2014/main" id="{00000000-0008-0000-0200-000030000000}"/>
            </a:ext>
          </a:extLst>
        </xdr:cNvPr>
        <xdr:cNvSpPr>
          <a:spLocks noChangeShapeType="1"/>
        </xdr:cNvSpPr>
      </xdr:nvSpPr>
      <xdr:spPr bwMode="auto">
        <a:xfrm>
          <a:off x="2933700" y="3752850"/>
          <a:ext cx="66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21</xdr:row>
      <xdr:rowOff>123825</xdr:rowOff>
    </xdr:from>
    <xdr:to>
      <xdr:col>5</xdr:col>
      <xdr:colOff>333375</xdr:colOff>
      <xdr:row>21</xdr:row>
      <xdr:rowOff>123825</xdr:rowOff>
    </xdr:to>
    <xdr:sp macro="" textlink="">
      <xdr:nvSpPr>
        <xdr:cNvPr id="49" name="Line 50">
          <a:extLst>
            <a:ext uri="{FF2B5EF4-FFF2-40B4-BE49-F238E27FC236}">
              <a16:creationId xmlns:a16="http://schemas.microsoft.com/office/drawing/2014/main" id="{00000000-0008-0000-0200-000031000000}"/>
            </a:ext>
          </a:extLst>
        </xdr:cNvPr>
        <xdr:cNvSpPr>
          <a:spLocks noChangeShapeType="1"/>
        </xdr:cNvSpPr>
      </xdr:nvSpPr>
      <xdr:spPr bwMode="auto">
        <a:xfrm>
          <a:off x="2924175" y="3952875"/>
          <a:ext cx="66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21</xdr:row>
      <xdr:rowOff>200025</xdr:rowOff>
    </xdr:from>
    <xdr:to>
      <xdr:col>5</xdr:col>
      <xdr:colOff>342900</xdr:colOff>
      <xdr:row>21</xdr:row>
      <xdr:rowOff>200025</xdr:rowOff>
    </xdr:to>
    <xdr:sp macro="" textlink="">
      <xdr:nvSpPr>
        <xdr:cNvPr id="50" name="Line 51">
          <a:extLst>
            <a:ext uri="{FF2B5EF4-FFF2-40B4-BE49-F238E27FC236}">
              <a16:creationId xmlns:a16="http://schemas.microsoft.com/office/drawing/2014/main" id="{00000000-0008-0000-0200-000032000000}"/>
            </a:ext>
          </a:extLst>
        </xdr:cNvPr>
        <xdr:cNvSpPr>
          <a:spLocks noChangeShapeType="1"/>
        </xdr:cNvSpPr>
      </xdr:nvSpPr>
      <xdr:spPr bwMode="auto">
        <a:xfrm>
          <a:off x="2581275" y="4029075"/>
          <a:ext cx="419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20</xdr:row>
      <xdr:rowOff>9525</xdr:rowOff>
    </xdr:from>
    <xdr:to>
      <xdr:col>5</xdr:col>
      <xdr:colOff>333375</xdr:colOff>
      <xdr:row>20</xdr:row>
      <xdr:rowOff>85725</xdr:rowOff>
    </xdr:to>
    <xdr:sp macro="" textlink="">
      <xdr:nvSpPr>
        <xdr:cNvPr id="51" name="Line 52">
          <a:extLst>
            <a:ext uri="{FF2B5EF4-FFF2-40B4-BE49-F238E27FC236}">
              <a16:creationId xmlns:a16="http://schemas.microsoft.com/office/drawing/2014/main" id="{00000000-0008-0000-0200-000033000000}"/>
            </a:ext>
          </a:extLst>
        </xdr:cNvPr>
        <xdr:cNvSpPr>
          <a:spLocks noChangeShapeType="1"/>
        </xdr:cNvSpPr>
      </xdr:nvSpPr>
      <xdr:spPr bwMode="auto">
        <a:xfrm flipH="1">
          <a:off x="2924175" y="36385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20</xdr:row>
      <xdr:rowOff>85725</xdr:rowOff>
    </xdr:from>
    <xdr:to>
      <xdr:col>5</xdr:col>
      <xdr:colOff>333375</xdr:colOff>
      <xdr:row>20</xdr:row>
      <xdr:rowOff>161925</xdr:rowOff>
    </xdr:to>
    <xdr:sp macro="" textlink="">
      <xdr:nvSpPr>
        <xdr:cNvPr id="52" name="Line 53">
          <a:extLst>
            <a:ext uri="{FF2B5EF4-FFF2-40B4-BE49-F238E27FC236}">
              <a16:creationId xmlns:a16="http://schemas.microsoft.com/office/drawing/2014/main" id="{00000000-0008-0000-0200-000034000000}"/>
            </a:ext>
          </a:extLst>
        </xdr:cNvPr>
        <xdr:cNvSpPr>
          <a:spLocks noChangeShapeType="1"/>
        </xdr:cNvSpPr>
      </xdr:nvSpPr>
      <xdr:spPr bwMode="auto">
        <a:xfrm flipH="1">
          <a:off x="2924175" y="37147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21</xdr:row>
      <xdr:rowOff>95250</xdr:rowOff>
    </xdr:from>
    <xdr:to>
      <xdr:col>5</xdr:col>
      <xdr:colOff>333375</xdr:colOff>
      <xdr:row>21</xdr:row>
      <xdr:rowOff>171450</xdr:rowOff>
    </xdr:to>
    <xdr:sp macro="" textlink="">
      <xdr:nvSpPr>
        <xdr:cNvPr id="53" name="Line 54">
          <a:extLst>
            <a:ext uri="{FF2B5EF4-FFF2-40B4-BE49-F238E27FC236}">
              <a16:creationId xmlns:a16="http://schemas.microsoft.com/office/drawing/2014/main" id="{00000000-0008-0000-0200-000035000000}"/>
            </a:ext>
          </a:extLst>
        </xdr:cNvPr>
        <xdr:cNvSpPr>
          <a:spLocks noChangeShapeType="1"/>
        </xdr:cNvSpPr>
      </xdr:nvSpPr>
      <xdr:spPr bwMode="auto">
        <a:xfrm flipH="1">
          <a:off x="2924175" y="392430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276225</xdr:colOff>
      <xdr:row>21</xdr:row>
      <xdr:rowOff>152400</xdr:rowOff>
    </xdr:from>
    <xdr:to>
      <xdr:col>5</xdr:col>
      <xdr:colOff>342900</xdr:colOff>
      <xdr:row>22</xdr:row>
      <xdr:rowOff>28575</xdr:rowOff>
    </xdr:to>
    <xdr:sp macro="" textlink="">
      <xdr:nvSpPr>
        <xdr:cNvPr id="54" name="Line 55">
          <a:extLst>
            <a:ext uri="{FF2B5EF4-FFF2-40B4-BE49-F238E27FC236}">
              <a16:creationId xmlns:a16="http://schemas.microsoft.com/office/drawing/2014/main" id="{00000000-0008-0000-0200-000036000000}"/>
            </a:ext>
          </a:extLst>
        </xdr:cNvPr>
        <xdr:cNvSpPr>
          <a:spLocks noChangeShapeType="1"/>
        </xdr:cNvSpPr>
      </xdr:nvSpPr>
      <xdr:spPr bwMode="auto">
        <a:xfrm flipH="1">
          <a:off x="2933700" y="39814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25</xdr:row>
      <xdr:rowOff>76200</xdr:rowOff>
    </xdr:from>
    <xdr:to>
      <xdr:col>4</xdr:col>
      <xdr:colOff>209550</xdr:colOff>
      <xdr:row>26</xdr:row>
      <xdr:rowOff>161925</xdr:rowOff>
    </xdr:to>
    <xdr:sp macro="" textlink="">
      <xdr:nvSpPr>
        <xdr:cNvPr id="55" name="Line 56">
          <a:extLst>
            <a:ext uri="{FF2B5EF4-FFF2-40B4-BE49-F238E27FC236}">
              <a16:creationId xmlns:a16="http://schemas.microsoft.com/office/drawing/2014/main" id="{00000000-0008-0000-0200-000037000000}"/>
            </a:ext>
          </a:extLst>
        </xdr:cNvPr>
        <xdr:cNvSpPr>
          <a:spLocks noChangeShapeType="1"/>
        </xdr:cNvSpPr>
      </xdr:nvSpPr>
      <xdr:spPr bwMode="auto">
        <a:xfrm flipV="1">
          <a:off x="2543175"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26</xdr:row>
      <xdr:rowOff>57150</xdr:rowOff>
    </xdr:from>
    <xdr:to>
      <xdr:col>3</xdr:col>
      <xdr:colOff>38100</xdr:colOff>
      <xdr:row>27</xdr:row>
      <xdr:rowOff>161925</xdr:rowOff>
    </xdr:to>
    <xdr:sp macro="" textlink="">
      <xdr:nvSpPr>
        <xdr:cNvPr id="56" name="Line 57">
          <a:extLst>
            <a:ext uri="{FF2B5EF4-FFF2-40B4-BE49-F238E27FC236}">
              <a16:creationId xmlns:a16="http://schemas.microsoft.com/office/drawing/2014/main" id="{00000000-0008-0000-0200-000038000000}"/>
            </a:ext>
          </a:extLst>
        </xdr:cNvPr>
        <xdr:cNvSpPr>
          <a:spLocks noChangeShapeType="1"/>
        </xdr:cNvSpPr>
      </xdr:nvSpPr>
      <xdr:spPr bwMode="auto">
        <a:xfrm flipV="1">
          <a:off x="2000250"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xdr:row>
      <xdr:rowOff>57150</xdr:rowOff>
    </xdr:from>
    <xdr:to>
      <xdr:col>2</xdr:col>
      <xdr:colOff>361950</xdr:colOff>
      <xdr:row>27</xdr:row>
      <xdr:rowOff>161925</xdr:rowOff>
    </xdr:to>
    <xdr:sp macro="" textlink="">
      <xdr:nvSpPr>
        <xdr:cNvPr id="57" name="Line 58">
          <a:extLst>
            <a:ext uri="{FF2B5EF4-FFF2-40B4-BE49-F238E27FC236}">
              <a16:creationId xmlns:a16="http://schemas.microsoft.com/office/drawing/2014/main" id="{00000000-0008-0000-0200-000039000000}"/>
            </a:ext>
          </a:extLst>
        </xdr:cNvPr>
        <xdr:cNvSpPr>
          <a:spLocks noChangeShapeType="1"/>
        </xdr:cNvSpPr>
      </xdr:nvSpPr>
      <xdr:spPr bwMode="auto">
        <a:xfrm>
          <a:off x="1743075"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25</xdr:row>
      <xdr:rowOff>76200</xdr:rowOff>
    </xdr:from>
    <xdr:to>
      <xdr:col>5</xdr:col>
      <xdr:colOff>171450</xdr:colOff>
      <xdr:row>25</xdr:row>
      <xdr:rowOff>76200</xdr:rowOff>
    </xdr:to>
    <xdr:sp macro="" textlink="">
      <xdr:nvSpPr>
        <xdr:cNvPr id="58" name="Line 59">
          <a:extLst>
            <a:ext uri="{FF2B5EF4-FFF2-40B4-BE49-F238E27FC236}">
              <a16:creationId xmlns:a16="http://schemas.microsoft.com/office/drawing/2014/main" id="{00000000-0008-0000-0200-00003A000000}"/>
            </a:ext>
          </a:extLst>
        </xdr:cNvPr>
        <xdr:cNvSpPr>
          <a:spLocks noChangeShapeType="1"/>
        </xdr:cNvSpPr>
      </xdr:nvSpPr>
      <xdr:spPr bwMode="auto">
        <a:xfrm flipH="1">
          <a:off x="2552700" y="4676775"/>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26</xdr:row>
      <xdr:rowOff>19050</xdr:rowOff>
    </xdr:from>
    <xdr:to>
      <xdr:col>5</xdr:col>
      <xdr:colOff>161925</xdr:colOff>
      <xdr:row>26</xdr:row>
      <xdr:rowOff>19050</xdr:rowOff>
    </xdr:to>
    <xdr:sp macro="" textlink="">
      <xdr:nvSpPr>
        <xdr:cNvPr id="59" name="Line 60">
          <a:extLst>
            <a:ext uri="{FF2B5EF4-FFF2-40B4-BE49-F238E27FC236}">
              <a16:creationId xmlns:a16="http://schemas.microsoft.com/office/drawing/2014/main" id="{00000000-0008-0000-0200-00003B000000}"/>
            </a:ext>
          </a:extLst>
        </xdr:cNvPr>
        <xdr:cNvSpPr>
          <a:spLocks noChangeShapeType="1"/>
        </xdr:cNvSpPr>
      </xdr:nvSpPr>
      <xdr:spPr bwMode="auto">
        <a:xfrm flipH="1">
          <a:off x="2552700" y="4810125"/>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26</xdr:row>
      <xdr:rowOff>161925</xdr:rowOff>
    </xdr:from>
    <xdr:to>
      <xdr:col>5</xdr:col>
      <xdr:colOff>171450</xdr:colOff>
      <xdr:row>26</xdr:row>
      <xdr:rowOff>161925</xdr:rowOff>
    </xdr:to>
    <xdr:sp macro="" textlink="">
      <xdr:nvSpPr>
        <xdr:cNvPr id="60" name="Line 61">
          <a:extLst>
            <a:ext uri="{FF2B5EF4-FFF2-40B4-BE49-F238E27FC236}">
              <a16:creationId xmlns:a16="http://schemas.microsoft.com/office/drawing/2014/main" id="{00000000-0008-0000-0200-00003C000000}"/>
            </a:ext>
          </a:extLst>
        </xdr:cNvPr>
        <xdr:cNvSpPr>
          <a:spLocks noChangeShapeType="1"/>
        </xdr:cNvSpPr>
      </xdr:nvSpPr>
      <xdr:spPr bwMode="auto">
        <a:xfrm flipH="1">
          <a:off x="2552700" y="4953000"/>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xdr:row>
      <xdr:rowOff>57150</xdr:rowOff>
    </xdr:from>
    <xdr:to>
      <xdr:col>3</xdr:col>
      <xdr:colOff>38100</xdr:colOff>
      <xdr:row>26</xdr:row>
      <xdr:rowOff>57150</xdr:rowOff>
    </xdr:to>
    <xdr:sp macro="" textlink="">
      <xdr:nvSpPr>
        <xdr:cNvPr id="61" name="Line 62">
          <a:extLst>
            <a:ext uri="{FF2B5EF4-FFF2-40B4-BE49-F238E27FC236}">
              <a16:creationId xmlns:a16="http://schemas.microsoft.com/office/drawing/2014/main" id="{00000000-0008-0000-0200-00003D000000}"/>
            </a:ext>
          </a:extLst>
        </xdr:cNvPr>
        <xdr:cNvSpPr>
          <a:spLocks noChangeShapeType="1"/>
        </xdr:cNvSpPr>
      </xdr:nvSpPr>
      <xdr:spPr bwMode="auto">
        <a:xfrm>
          <a:off x="1743075" y="4848225"/>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27</xdr:row>
      <xdr:rowOff>0</xdr:rowOff>
    </xdr:from>
    <xdr:to>
      <xdr:col>3</xdr:col>
      <xdr:colOff>47625</xdr:colOff>
      <xdr:row>27</xdr:row>
      <xdr:rowOff>0</xdr:rowOff>
    </xdr:to>
    <xdr:sp macro="" textlink="">
      <xdr:nvSpPr>
        <xdr:cNvPr id="62" name="Line 63">
          <a:extLst>
            <a:ext uri="{FF2B5EF4-FFF2-40B4-BE49-F238E27FC236}">
              <a16:creationId xmlns:a16="http://schemas.microsoft.com/office/drawing/2014/main" id="{00000000-0008-0000-0200-00003E000000}"/>
            </a:ext>
          </a:extLst>
        </xdr:cNvPr>
        <xdr:cNvSpPr>
          <a:spLocks noChangeShapeType="1"/>
        </xdr:cNvSpPr>
      </xdr:nvSpPr>
      <xdr:spPr bwMode="auto">
        <a:xfrm>
          <a:off x="1743075" y="4981575"/>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27</xdr:row>
      <xdr:rowOff>161925</xdr:rowOff>
    </xdr:from>
    <xdr:to>
      <xdr:col>3</xdr:col>
      <xdr:colOff>38100</xdr:colOff>
      <xdr:row>27</xdr:row>
      <xdr:rowOff>161925</xdr:rowOff>
    </xdr:to>
    <xdr:sp macro="" textlink="">
      <xdr:nvSpPr>
        <xdr:cNvPr id="63" name="Line 64">
          <a:extLst>
            <a:ext uri="{FF2B5EF4-FFF2-40B4-BE49-F238E27FC236}">
              <a16:creationId xmlns:a16="http://schemas.microsoft.com/office/drawing/2014/main" id="{00000000-0008-0000-0200-00003F000000}"/>
            </a:ext>
          </a:extLst>
        </xdr:cNvPr>
        <xdr:cNvSpPr>
          <a:spLocks noChangeShapeType="1"/>
        </xdr:cNvSpPr>
      </xdr:nvSpPr>
      <xdr:spPr bwMode="auto">
        <a:xfrm>
          <a:off x="1743075" y="5143500"/>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28</xdr:row>
      <xdr:rowOff>104775</xdr:rowOff>
    </xdr:from>
    <xdr:to>
      <xdr:col>2</xdr:col>
      <xdr:colOff>352425</xdr:colOff>
      <xdr:row>30</xdr:row>
      <xdr:rowOff>19050</xdr:rowOff>
    </xdr:to>
    <xdr:sp macro="" textlink="">
      <xdr:nvSpPr>
        <xdr:cNvPr id="64" name="Line 65">
          <a:extLst>
            <a:ext uri="{FF2B5EF4-FFF2-40B4-BE49-F238E27FC236}">
              <a16:creationId xmlns:a16="http://schemas.microsoft.com/office/drawing/2014/main" id="{00000000-0008-0000-0200-000040000000}"/>
            </a:ext>
          </a:extLst>
        </xdr:cNvPr>
        <xdr:cNvSpPr>
          <a:spLocks noChangeShapeType="1"/>
        </xdr:cNvSpPr>
      </xdr:nvSpPr>
      <xdr:spPr bwMode="auto">
        <a:xfrm>
          <a:off x="1733550" y="527685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28</xdr:row>
      <xdr:rowOff>104775</xdr:rowOff>
    </xdr:from>
    <xdr:to>
      <xdr:col>5</xdr:col>
      <xdr:colOff>171450</xdr:colOff>
      <xdr:row>30</xdr:row>
      <xdr:rowOff>19050</xdr:rowOff>
    </xdr:to>
    <xdr:sp macro="" textlink="">
      <xdr:nvSpPr>
        <xdr:cNvPr id="65" name="Line 66">
          <a:extLst>
            <a:ext uri="{FF2B5EF4-FFF2-40B4-BE49-F238E27FC236}">
              <a16:creationId xmlns:a16="http://schemas.microsoft.com/office/drawing/2014/main" id="{00000000-0008-0000-0200-000041000000}"/>
            </a:ext>
          </a:extLst>
        </xdr:cNvPr>
        <xdr:cNvSpPr>
          <a:spLocks noChangeShapeType="1"/>
        </xdr:cNvSpPr>
      </xdr:nvSpPr>
      <xdr:spPr bwMode="auto">
        <a:xfrm flipV="1">
          <a:off x="2828925" y="527685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32</xdr:row>
      <xdr:rowOff>95250</xdr:rowOff>
    </xdr:from>
    <xdr:to>
      <xdr:col>2</xdr:col>
      <xdr:colOff>381000</xdr:colOff>
      <xdr:row>32</xdr:row>
      <xdr:rowOff>180975</xdr:rowOff>
    </xdr:to>
    <xdr:sp macro="" textlink="">
      <xdr:nvSpPr>
        <xdr:cNvPr id="66" name="Line 67">
          <a:extLst>
            <a:ext uri="{FF2B5EF4-FFF2-40B4-BE49-F238E27FC236}">
              <a16:creationId xmlns:a16="http://schemas.microsoft.com/office/drawing/2014/main" id="{00000000-0008-0000-0200-000042000000}"/>
            </a:ext>
          </a:extLst>
        </xdr:cNvPr>
        <xdr:cNvSpPr>
          <a:spLocks noChangeShapeType="1"/>
        </xdr:cNvSpPr>
      </xdr:nvSpPr>
      <xdr:spPr bwMode="auto">
        <a:xfrm>
          <a:off x="1666875" y="6029325"/>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36</xdr:row>
      <xdr:rowOff>180975</xdr:rowOff>
    </xdr:from>
    <xdr:to>
      <xdr:col>2</xdr:col>
      <xdr:colOff>304800</xdr:colOff>
      <xdr:row>37</xdr:row>
      <xdr:rowOff>47625</xdr:rowOff>
    </xdr:to>
    <xdr:sp macro="" textlink="">
      <xdr:nvSpPr>
        <xdr:cNvPr id="67" name="Line 68">
          <a:extLst>
            <a:ext uri="{FF2B5EF4-FFF2-40B4-BE49-F238E27FC236}">
              <a16:creationId xmlns:a16="http://schemas.microsoft.com/office/drawing/2014/main" id="{00000000-0008-0000-0200-000043000000}"/>
            </a:ext>
          </a:extLst>
        </xdr:cNvPr>
        <xdr:cNvSpPr>
          <a:spLocks noChangeShapeType="1"/>
        </xdr:cNvSpPr>
      </xdr:nvSpPr>
      <xdr:spPr bwMode="auto">
        <a:xfrm flipH="1">
          <a:off x="1619250" y="6896100"/>
          <a:ext cx="6667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35</xdr:row>
      <xdr:rowOff>171450</xdr:rowOff>
    </xdr:from>
    <xdr:to>
      <xdr:col>2</xdr:col>
      <xdr:colOff>304800</xdr:colOff>
      <xdr:row>36</xdr:row>
      <xdr:rowOff>57150</xdr:rowOff>
    </xdr:to>
    <xdr:sp macro="" textlink="">
      <xdr:nvSpPr>
        <xdr:cNvPr id="68" name="Line 69">
          <a:extLst>
            <a:ext uri="{FF2B5EF4-FFF2-40B4-BE49-F238E27FC236}">
              <a16:creationId xmlns:a16="http://schemas.microsoft.com/office/drawing/2014/main" id="{00000000-0008-0000-0200-000044000000}"/>
            </a:ext>
          </a:extLst>
        </xdr:cNvPr>
        <xdr:cNvSpPr>
          <a:spLocks noChangeShapeType="1"/>
        </xdr:cNvSpPr>
      </xdr:nvSpPr>
      <xdr:spPr bwMode="auto">
        <a:xfrm flipH="1">
          <a:off x="1609725" y="6686550"/>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35</xdr:row>
      <xdr:rowOff>161925</xdr:rowOff>
    </xdr:from>
    <xdr:to>
      <xdr:col>2</xdr:col>
      <xdr:colOff>400050</xdr:colOff>
      <xdr:row>36</xdr:row>
      <xdr:rowOff>47625</xdr:rowOff>
    </xdr:to>
    <xdr:sp macro="" textlink="">
      <xdr:nvSpPr>
        <xdr:cNvPr id="69" name="Line 70">
          <a:extLst>
            <a:ext uri="{FF2B5EF4-FFF2-40B4-BE49-F238E27FC236}">
              <a16:creationId xmlns:a16="http://schemas.microsoft.com/office/drawing/2014/main" id="{00000000-0008-0000-0200-000045000000}"/>
            </a:ext>
          </a:extLst>
        </xdr:cNvPr>
        <xdr:cNvSpPr>
          <a:spLocks noChangeShapeType="1"/>
        </xdr:cNvSpPr>
      </xdr:nvSpPr>
      <xdr:spPr bwMode="auto">
        <a:xfrm flipH="1">
          <a:off x="1714500" y="667702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35</xdr:row>
      <xdr:rowOff>161925</xdr:rowOff>
    </xdr:from>
    <xdr:to>
      <xdr:col>3</xdr:col>
      <xdr:colOff>76200</xdr:colOff>
      <xdr:row>36</xdr:row>
      <xdr:rowOff>47625</xdr:rowOff>
    </xdr:to>
    <xdr:sp macro="" textlink="">
      <xdr:nvSpPr>
        <xdr:cNvPr id="70" name="Line 71">
          <a:extLst>
            <a:ext uri="{FF2B5EF4-FFF2-40B4-BE49-F238E27FC236}">
              <a16:creationId xmlns:a16="http://schemas.microsoft.com/office/drawing/2014/main" id="{00000000-0008-0000-0200-000046000000}"/>
            </a:ext>
          </a:extLst>
        </xdr:cNvPr>
        <xdr:cNvSpPr>
          <a:spLocks noChangeShapeType="1"/>
        </xdr:cNvSpPr>
      </xdr:nvSpPr>
      <xdr:spPr bwMode="auto">
        <a:xfrm flipH="1">
          <a:off x="1971675" y="667702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35</xdr:row>
      <xdr:rowOff>161925</xdr:rowOff>
    </xdr:from>
    <xdr:to>
      <xdr:col>4</xdr:col>
      <xdr:colOff>247650</xdr:colOff>
      <xdr:row>36</xdr:row>
      <xdr:rowOff>47625</xdr:rowOff>
    </xdr:to>
    <xdr:sp macro="" textlink="">
      <xdr:nvSpPr>
        <xdr:cNvPr id="71" name="Line 72">
          <a:extLst>
            <a:ext uri="{FF2B5EF4-FFF2-40B4-BE49-F238E27FC236}">
              <a16:creationId xmlns:a16="http://schemas.microsoft.com/office/drawing/2014/main" id="{00000000-0008-0000-0200-000047000000}"/>
            </a:ext>
          </a:extLst>
        </xdr:cNvPr>
        <xdr:cNvSpPr>
          <a:spLocks noChangeShapeType="1"/>
        </xdr:cNvSpPr>
      </xdr:nvSpPr>
      <xdr:spPr bwMode="auto">
        <a:xfrm flipH="1">
          <a:off x="2514600" y="667702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35</xdr:row>
      <xdr:rowOff>161925</xdr:rowOff>
    </xdr:from>
    <xdr:to>
      <xdr:col>5</xdr:col>
      <xdr:colOff>190500</xdr:colOff>
      <xdr:row>36</xdr:row>
      <xdr:rowOff>47625</xdr:rowOff>
    </xdr:to>
    <xdr:sp macro="" textlink="">
      <xdr:nvSpPr>
        <xdr:cNvPr id="72" name="Line 73">
          <a:extLst>
            <a:ext uri="{FF2B5EF4-FFF2-40B4-BE49-F238E27FC236}">
              <a16:creationId xmlns:a16="http://schemas.microsoft.com/office/drawing/2014/main" id="{00000000-0008-0000-0200-000048000000}"/>
            </a:ext>
          </a:extLst>
        </xdr:cNvPr>
        <xdr:cNvSpPr>
          <a:spLocks noChangeShapeType="1"/>
        </xdr:cNvSpPr>
      </xdr:nvSpPr>
      <xdr:spPr bwMode="auto">
        <a:xfrm flipH="1">
          <a:off x="2781300" y="6677025"/>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35</xdr:row>
      <xdr:rowOff>161925</xdr:rowOff>
    </xdr:from>
    <xdr:to>
      <xdr:col>5</xdr:col>
      <xdr:colOff>295275</xdr:colOff>
      <xdr:row>36</xdr:row>
      <xdr:rowOff>47625</xdr:rowOff>
    </xdr:to>
    <xdr:sp macro="" textlink="">
      <xdr:nvSpPr>
        <xdr:cNvPr id="73" name="Line 74">
          <a:extLst>
            <a:ext uri="{FF2B5EF4-FFF2-40B4-BE49-F238E27FC236}">
              <a16:creationId xmlns:a16="http://schemas.microsoft.com/office/drawing/2014/main" id="{00000000-0008-0000-0200-000049000000}"/>
            </a:ext>
          </a:extLst>
        </xdr:cNvPr>
        <xdr:cNvSpPr>
          <a:spLocks noChangeShapeType="1"/>
        </xdr:cNvSpPr>
      </xdr:nvSpPr>
      <xdr:spPr bwMode="auto">
        <a:xfrm flipH="1">
          <a:off x="2895600" y="6677025"/>
          <a:ext cx="571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36</xdr:row>
      <xdr:rowOff>209550</xdr:rowOff>
    </xdr:from>
    <xdr:to>
      <xdr:col>5</xdr:col>
      <xdr:colOff>295275</xdr:colOff>
      <xdr:row>37</xdr:row>
      <xdr:rowOff>47625</xdr:rowOff>
    </xdr:to>
    <xdr:sp macro="" textlink="">
      <xdr:nvSpPr>
        <xdr:cNvPr id="74" name="Line 75">
          <a:extLst>
            <a:ext uri="{FF2B5EF4-FFF2-40B4-BE49-F238E27FC236}">
              <a16:creationId xmlns:a16="http://schemas.microsoft.com/office/drawing/2014/main" id="{00000000-0008-0000-0200-00004A000000}"/>
            </a:ext>
          </a:extLst>
        </xdr:cNvPr>
        <xdr:cNvSpPr>
          <a:spLocks noChangeShapeType="1"/>
        </xdr:cNvSpPr>
      </xdr:nvSpPr>
      <xdr:spPr bwMode="auto">
        <a:xfrm flipH="1">
          <a:off x="2895600" y="6905625"/>
          <a:ext cx="57150"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25</xdr:row>
      <xdr:rowOff>76200</xdr:rowOff>
    </xdr:from>
    <xdr:to>
      <xdr:col>4</xdr:col>
      <xdr:colOff>247650</xdr:colOff>
      <xdr:row>26</xdr:row>
      <xdr:rowOff>161925</xdr:rowOff>
    </xdr:to>
    <xdr:sp macro="" textlink="">
      <xdr:nvSpPr>
        <xdr:cNvPr id="75" name="Line 76">
          <a:extLst>
            <a:ext uri="{FF2B5EF4-FFF2-40B4-BE49-F238E27FC236}">
              <a16:creationId xmlns:a16="http://schemas.microsoft.com/office/drawing/2014/main" id="{00000000-0008-0000-0200-00004B000000}"/>
            </a:ext>
          </a:extLst>
        </xdr:cNvPr>
        <xdr:cNvSpPr>
          <a:spLocks noChangeShapeType="1"/>
        </xdr:cNvSpPr>
      </xdr:nvSpPr>
      <xdr:spPr bwMode="auto">
        <a:xfrm>
          <a:off x="2581275"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25</xdr:row>
      <xdr:rowOff>76200</xdr:rowOff>
    </xdr:from>
    <xdr:to>
      <xdr:col>4</xdr:col>
      <xdr:colOff>276225</xdr:colOff>
      <xdr:row>26</xdr:row>
      <xdr:rowOff>161925</xdr:rowOff>
    </xdr:to>
    <xdr:sp macro="" textlink="">
      <xdr:nvSpPr>
        <xdr:cNvPr id="76" name="Line 77">
          <a:extLst>
            <a:ext uri="{FF2B5EF4-FFF2-40B4-BE49-F238E27FC236}">
              <a16:creationId xmlns:a16="http://schemas.microsoft.com/office/drawing/2014/main" id="{00000000-0008-0000-0200-00004C000000}"/>
            </a:ext>
          </a:extLst>
        </xdr:cNvPr>
        <xdr:cNvSpPr>
          <a:spLocks noChangeShapeType="1"/>
        </xdr:cNvSpPr>
      </xdr:nvSpPr>
      <xdr:spPr bwMode="auto">
        <a:xfrm>
          <a:off x="2609850"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25</xdr:row>
      <xdr:rowOff>76200</xdr:rowOff>
    </xdr:from>
    <xdr:to>
      <xdr:col>4</xdr:col>
      <xdr:colOff>314325</xdr:colOff>
      <xdr:row>26</xdr:row>
      <xdr:rowOff>161925</xdr:rowOff>
    </xdr:to>
    <xdr:sp macro="" textlink="">
      <xdr:nvSpPr>
        <xdr:cNvPr id="77" name="Line 78">
          <a:extLst>
            <a:ext uri="{FF2B5EF4-FFF2-40B4-BE49-F238E27FC236}">
              <a16:creationId xmlns:a16="http://schemas.microsoft.com/office/drawing/2014/main" id="{00000000-0008-0000-0200-00004D000000}"/>
            </a:ext>
          </a:extLst>
        </xdr:cNvPr>
        <xdr:cNvSpPr>
          <a:spLocks noChangeShapeType="1"/>
        </xdr:cNvSpPr>
      </xdr:nvSpPr>
      <xdr:spPr bwMode="auto">
        <a:xfrm>
          <a:off x="2647950"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25</xdr:row>
      <xdr:rowOff>76200</xdr:rowOff>
    </xdr:from>
    <xdr:to>
      <xdr:col>5</xdr:col>
      <xdr:colOff>28575</xdr:colOff>
      <xdr:row>26</xdr:row>
      <xdr:rowOff>161925</xdr:rowOff>
    </xdr:to>
    <xdr:sp macro="" textlink="">
      <xdr:nvSpPr>
        <xdr:cNvPr id="78" name="Line 79">
          <a:extLst>
            <a:ext uri="{FF2B5EF4-FFF2-40B4-BE49-F238E27FC236}">
              <a16:creationId xmlns:a16="http://schemas.microsoft.com/office/drawing/2014/main" id="{00000000-0008-0000-0200-00004E000000}"/>
            </a:ext>
          </a:extLst>
        </xdr:cNvPr>
        <xdr:cNvSpPr>
          <a:spLocks noChangeShapeType="1"/>
        </xdr:cNvSpPr>
      </xdr:nvSpPr>
      <xdr:spPr bwMode="auto">
        <a:xfrm>
          <a:off x="2686050"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xdr:colOff>
      <xdr:row>25</xdr:row>
      <xdr:rowOff>76200</xdr:rowOff>
    </xdr:from>
    <xdr:to>
      <xdr:col>5</xdr:col>
      <xdr:colOff>57150</xdr:colOff>
      <xdr:row>26</xdr:row>
      <xdr:rowOff>161925</xdr:rowOff>
    </xdr:to>
    <xdr:sp macro="" textlink="">
      <xdr:nvSpPr>
        <xdr:cNvPr id="79" name="Line 80">
          <a:extLst>
            <a:ext uri="{FF2B5EF4-FFF2-40B4-BE49-F238E27FC236}">
              <a16:creationId xmlns:a16="http://schemas.microsoft.com/office/drawing/2014/main" id="{00000000-0008-0000-0200-00004F000000}"/>
            </a:ext>
          </a:extLst>
        </xdr:cNvPr>
        <xdr:cNvSpPr>
          <a:spLocks noChangeShapeType="1"/>
        </xdr:cNvSpPr>
      </xdr:nvSpPr>
      <xdr:spPr bwMode="auto">
        <a:xfrm>
          <a:off x="2714625"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25</xdr:row>
      <xdr:rowOff>76200</xdr:rowOff>
    </xdr:from>
    <xdr:to>
      <xdr:col>5</xdr:col>
      <xdr:colOff>85725</xdr:colOff>
      <xdr:row>26</xdr:row>
      <xdr:rowOff>161925</xdr:rowOff>
    </xdr:to>
    <xdr:sp macro="" textlink="">
      <xdr:nvSpPr>
        <xdr:cNvPr id="80" name="Line 81">
          <a:extLst>
            <a:ext uri="{FF2B5EF4-FFF2-40B4-BE49-F238E27FC236}">
              <a16:creationId xmlns:a16="http://schemas.microsoft.com/office/drawing/2014/main" id="{00000000-0008-0000-0200-000050000000}"/>
            </a:ext>
          </a:extLst>
        </xdr:cNvPr>
        <xdr:cNvSpPr>
          <a:spLocks noChangeShapeType="1"/>
        </xdr:cNvSpPr>
      </xdr:nvSpPr>
      <xdr:spPr bwMode="auto">
        <a:xfrm>
          <a:off x="2743200"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25</xdr:row>
      <xdr:rowOff>76200</xdr:rowOff>
    </xdr:from>
    <xdr:to>
      <xdr:col>5</xdr:col>
      <xdr:colOff>114300</xdr:colOff>
      <xdr:row>26</xdr:row>
      <xdr:rowOff>161925</xdr:rowOff>
    </xdr:to>
    <xdr:sp macro="" textlink="">
      <xdr:nvSpPr>
        <xdr:cNvPr id="81" name="Line 82">
          <a:extLst>
            <a:ext uri="{FF2B5EF4-FFF2-40B4-BE49-F238E27FC236}">
              <a16:creationId xmlns:a16="http://schemas.microsoft.com/office/drawing/2014/main" id="{00000000-0008-0000-0200-000051000000}"/>
            </a:ext>
          </a:extLst>
        </xdr:cNvPr>
        <xdr:cNvSpPr>
          <a:spLocks noChangeShapeType="1"/>
        </xdr:cNvSpPr>
      </xdr:nvSpPr>
      <xdr:spPr bwMode="auto">
        <a:xfrm>
          <a:off x="2771775"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25</xdr:row>
      <xdr:rowOff>76200</xdr:rowOff>
    </xdr:from>
    <xdr:to>
      <xdr:col>5</xdr:col>
      <xdr:colOff>142875</xdr:colOff>
      <xdr:row>26</xdr:row>
      <xdr:rowOff>161925</xdr:rowOff>
    </xdr:to>
    <xdr:sp macro="" textlink="">
      <xdr:nvSpPr>
        <xdr:cNvPr id="82" name="Line 83">
          <a:extLst>
            <a:ext uri="{FF2B5EF4-FFF2-40B4-BE49-F238E27FC236}">
              <a16:creationId xmlns:a16="http://schemas.microsoft.com/office/drawing/2014/main" id="{00000000-0008-0000-0200-000052000000}"/>
            </a:ext>
          </a:extLst>
        </xdr:cNvPr>
        <xdr:cNvSpPr>
          <a:spLocks noChangeShapeType="1"/>
        </xdr:cNvSpPr>
      </xdr:nvSpPr>
      <xdr:spPr bwMode="auto">
        <a:xfrm>
          <a:off x="2800350" y="467677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26</xdr:row>
      <xdr:rowOff>57150</xdr:rowOff>
    </xdr:from>
    <xdr:to>
      <xdr:col>2</xdr:col>
      <xdr:colOff>390525</xdr:colOff>
      <xdr:row>27</xdr:row>
      <xdr:rowOff>161925</xdr:rowOff>
    </xdr:to>
    <xdr:sp macro="" textlink="">
      <xdr:nvSpPr>
        <xdr:cNvPr id="83" name="Line 84">
          <a:extLst>
            <a:ext uri="{FF2B5EF4-FFF2-40B4-BE49-F238E27FC236}">
              <a16:creationId xmlns:a16="http://schemas.microsoft.com/office/drawing/2014/main" id="{00000000-0008-0000-0200-000053000000}"/>
            </a:ext>
          </a:extLst>
        </xdr:cNvPr>
        <xdr:cNvSpPr>
          <a:spLocks noChangeShapeType="1"/>
        </xdr:cNvSpPr>
      </xdr:nvSpPr>
      <xdr:spPr bwMode="auto">
        <a:xfrm>
          <a:off x="1771650"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26</xdr:row>
      <xdr:rowOff>57150</xdr:rowOff>
    </xdr:from>
    <xdr:to>
      <xdr:col>2</xdr:col>
      <xdr:colOff>419100</xdr:colOff>
      <xdr:row>27</xdr:row>
      <xdr:rowOff>161925</xdr:rowOff>
    </xdr:to>
    <xdr:sp macro="" textlink="">
      <xdr:nvSpPr>
        <xdr:cNvPr id="84" name="Line 85">
          <a:extLst>
            <a:ext uri="{FF2B5EF4-FFF2-40B4-BE49-F238E27FC236}">
              <a16:creationId xmlns:a16="http://schemas.microsoft.com/office/drawing/2014/main" id="{00000000-0008-0000-0200-000054000000}"/>
            </a:ext>
          </a:extLst>
        </xdr:cNvPr>
        <xdr:cNvSpPr>
          <a:spLocks noChangeShapeType="1"/>
        </xdr:cNvSpPr>
      </xdr:nvSpPr>
      <xdr:spPr bwMode="auto">
        <a:xfrm>
          <a:off x="1800225"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26</xdr:row>
      <xdr:rowOff>57150</xdr:rowOff>
    </xdr:from>
    <xdr:to>
      <xdr:col>2</xdr:col>
      <xdr:colOff>447675</xdr:colOff>
      <xdr:row>27</xdr:row>
      <xdr:rowOff>161925</xdr:rowOff>
    </xdr:to>
    <xdr:sp macro="" textlink="">
      <xdr:nvSpPr>
        <xdr:cNvPr id="85" name="Line 86">
          <a:extLst>
            <a:ext uri="{FF2B5EF4-FFF2-40B4-BE49-F238E27FC236}">
              <a16:creationId xmlns:a16="http://schemas.microsoft.com/office/drawing/2014/main" id="{00000000-0008-0000-0200-000055000000}"/>
            </a:ext>
          </a:extLst>
        </xdr:cNvPr>
        <xdr:cNvSpPr>
          <a:spLocks noChangeShapeType="1"/>
        </xdr:cNvSpPr>
      </xdr:nvSpPr>
      <xdr:spPr bwMode="auto">
        <a:xfrm>
          <a:off x="1828800"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476250</xdr:colOff>
      <xdr:row>26</xdr:row>
      <xdr:rowOff>57150</xdr:rowOff>
    </xdr:from>
    <xdr:to>
      <xdr:col>2</xdr:col>
      <xdr:colOff>476250</xdr:colOff>
      <xdr:row>27</xdr:row>
      <xdr:rowOff>161925</xdr:rowOff>
    </xdr:to>
    <xdr:sp macro="" textlink="">
      <xdr:nvSpPr>
        <xdr:cNvPr id="86" name="Line 87">
          <a:extLst>
            <a:ext uri="{FF2B5EF4-FFF2-40B4-BE49-F238E27FC236}">
              <a16:creationId xmlns:a16="http://schemas.microsoft.com/office/drawing/2014/main" id="{00000000-0008-0000-0200-000056000000}"/>
            </a:ext>
          </a:extLst>
        </xdr:cNvPr>
        <xdr:cNvSpPr>
          <a:spLocks noChangeShapeType="1"/>
        </xdr:cNvSpPr>
      </xdr:nvSpPr>
      <xdr:spPr bwMode="auto">
        <a:xfrm>
          <a:off x="1857375"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26</xdr:row>
      <xdr:rowOff>57150</xdr:rowOff>
    </xdr:from>
    <xdr:to>
      <xdr:col>2</xdr:col>
      <xdr:colOff>542925</xdr:colOff>
      <xdr:row>27</xdr:row>
      <xdr:rowOff>161925</xdr:rowOff>
    </xdr:to>
    <xdr:sp macro="" textlink="">
      <xdr:nvSpPr>
        <xdr:cNvPr id="87" name="Line 88">
          <a:extLst>
            <a:ext uri="{FF2B5EF4-FFF2-40B4-BE49-F238E27FC236}">
              <a16:creationId xmlns:a16="http://schemas.microsoft.com/office/drawing/2014/main" id="{00000000-0008-0000-0200-000057000000}"/>
            </a:ext>
          </a:extLst>
        </xdr:cNvPr>
        <xdr:cNvSpPr>
          <a:spLocks noChangeShapeType="1"/>
        </xdr:cNvSpPr>
      </xdr:nvSpPr>
      <xdr:spPr bwMode="auto">
        <a:xfrm>
          <a:off x="1924050"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26</xdr:row>
      <xdr:rowOff>57150</xdr:rowOff>
    </xdr:from>
    <xdr:to>
      <xdr:col>3</xdr:col>
      <xdr:colOff>0</xdr:colOff>
      <xdr:row>27</xdr:row>
      <xdr:rowOff>152400</xdr:rowOff>
    </xdr:to>
    <xdr:sp macro="" textlink="">
      <xdr:nvSpPr>
        <xdr:cNvPr id="88" name="Line 89">
          <a:extLst>
            <a:ext uri="{FF2B5EF4-FFF2-40B4-BE49-F238E27FC236}">
              <a16:creationId xmlns:a16="http://schemas.microsoft.com/office/drawing/2014/main" id="{00000000-0008-0000-0200-000058000000}"/>
            </a:ext>
          </a:extLst>
        </xdr:cNvPr>
        <xdr:cNvSpPr>
          <a:spLocks noChangeShapeType="1"/>
        </xdr:cNvSpPr>
      </xdr:nvSpPr>
      <xdr:spPr bwMode="auto">
        <a:xfrm>
          <a:off x="1962150" y="484822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30</xdr:row>
      <xdr:rowOff>0</xdr:rowOff>
    </xdr:from>
    <xdr:to>
      <xdr:col>5</xdr:col>
      <xdr:colOff>180975</xdr:colOff>
      <xdr:row>30</xdr:row>
      <xdr:rowOff>0</xdr:rowOff>
    </xdr:to>
    <xdr:sp macro="" textlink="">
      <xdr:nvSpPr>
        <xdr:cNvPr id="89" name="Line 90">
          <a:extLst>
            <a:ext uri="{FF2B5EF4-FFF2-40B4-BE49-F238E27FC236}">
              <a16:creationId xmlns:a16="http://schemas.microsoft.com/office/drawing/2014/main" id="{00000000-0008-0000-0200-000059000000}"/>
            </a:ext>
          </a:extLst>
        </xdr:cNvPr>
        <xdr:cNvSpPr>
          <a:spLocks noChangeShapeType="1"/>
        </xdr:cNvSpPr>
      </xdr:nvSpPr>
      <xdr:spPr bwMode="auto">
        <a:xfrm>
          <a:off x="1724025" y="5553075"/>
          <a:ext cx="1114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28</xdr:row>
      <xdr:rowOff>104775</xdr:rowOff>
    </xdr:from>
    <xdr:to>
      <xdr:col>2</xdr:col>
      <xdr:colOff>390525</xdr:colOff>
      <xdr:row>30</xdr:row>
      <xdr:rowOff>0</xdr:rowOff>
    </xdr:to>
    <xdr:sp macro="" textlink="">
      <xdr:nvSpPr>
        <xdr:cNvPr id="90" name="Line 91">
          <a:extLst>
            <a:ext uri="{FF2B5EF4-FFF2-40B4-BE49-F238E27FC236}">
              <a16:creationId xmlns:a16="http://schemas.microsoft.com/office/drawing/2014/main" id="{00000000-0008-0000-0200-00005A000000}"/>
            </a:ext>
          </a:extLst>
        </xdr:cNvPr>
        <xdr:cNvSpPr>
          <a:spLocks noChangeShapeType="1"/>
        </xdr:cNvSpPr>
      </xdr:nvSpPr>
      <xdr:spPr bwMode="auto">
        <a:xfrm>
          <a:off x="17716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28</xdr:row>
      <xdr:rowOff>104775</xdr:rowOff>
    </xdr:from>
    <xdr:to>
      <xdr:col>2</xdr:col>
      <xdr:colOff>419100</xdr:colOff>
      <xdr:row>29</xdr:row>
      <xdr:rowOff>190500</xdr:rowOff>
    </xdr:to>
    <xdr:sp macro="" textlink="">
      <xdr:nvSpPr>
        <xdr:cNvPr id="91" name="Line 92">
          <a:extLst>
            <a:ext uri="{FF2B5EF4-FFF2-40B4-BE49-F238E27FC236}">
              <a16:creationId xmlns:a16="http://schemas.microsoft.com/office/drawing/2014/main" id="{00000000-0008-0000-0200-00005B000000}"/>
            </a:ext>
          </a:extLst>
        </xdr:cNvPr>
        <xdr:cNvSpPr>
          <a:spLocks noChangeShapeType="1"/>
        </xdr:cNvSpPr>
      </xdr:nvSpPr>
      <xdr:spPr bwMode="auto">
        <a:xfrm>
          <a:off x="18002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28</xdr:row>
      <xdr:rowOff>104775</xdr:rowOff>
    </xdr:from>
    <xdr:to>
      <xdr:col>2</xdr:col>
      <xdr:colOff>457200</xdr:colOff>
      <xdr:row>30</xdr:row>
      <xdr:rowOff>0</xdr:rowOff>
    </xdr:to>
    <xdr:sp macro="" textlink="">
      <xdr:nvSpPr>
        <xdr:cNvPr id="92" name="Line 93">
          <a:extLst>
            <a:ext uri="{FF2B5EF4-FFF2-40B4-BE49-F238E27FC236}">
              <a16:creationId xmlns:a16="http://schemas.microsoft.com/office/drawing/2014/main" id="{00000000-0008-0000-0200-00005C000000}"/>
            </a:ext>
          </a:extLst>
        </xdr:cNvPr>
        <xdr:cNvSpPr>
          <a:spLocks noChangeShapeType="1"/>
        </xdr:cNvSpPr>
      </xdr:nvSpPr>
      <xdr:spPr bwMode="auto">
        <a:xfrm>
          <a:off x="18383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28</xdr:row>
      <xdr:rowOff>123825</xdr:rowOff>
    </xdr:from>
    <xdr:to>
      <xdr:col>2</xdr:col>
      <xdr:colOff>495300</xdr:colOff>
      <xdr:row>30</xdr:row>
      <xdr:rowOff>0</xdr:rowOff>
    </xdr:to>
    <xdr:sp macro="" textlink="">
      <xdr:nvSpPr>
        <xdr:cNvPr id="93" name="Line 94">
          <a:extLst>
            <a:ext uri="{FF2B5EF4-FFF2-40B4-BE49-F238E27FC236}">
              <a16:creationId xmlns:a16="http://schemas.microsoft.com/office/drawing/2014/main" id="{00000000-0008-0000-0200-00005D000000}"/>
            </a:ext>
          </a:extLst>
        </xdr:cNvPr>
        <xdr:cNvSpPr>
          <a:spLocks noChangeShapeType="1"/>
        </xdr:cNvSpPr>
      </xdr:nvSpPr>
      <xdr:spPr bwMode="auto">
        <a:xfrm>
          <a:off x="1876425" y="529590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28</xdr:row>
      <xdr:rowOff>104775</xdr:rowOff>
    </xdr:from>
    <xdr:to>
      <xdr:col>2</xdr:col>
      <xdr:colOff>533400</xdr:colOff>
      <xdr:row>30</xdr:row>
      <xdr:rowOff>0</xdr:rowOff>
    </xdr:to>
    <xdr:sp macro="" textlink="">
      <xdr:nvSpPr>
        <xdr:cNvPr id="94" name="Line 95">
          <a:extLst>
            <a:ext uri="{FF2B5EF4-FFF2-40B4-BE49-F238E27FC236}">
              <a16:creationId xmlns:a16="http://schemas.microsoft.com/office/drawing/2014/main" id="{00000000-0008-0000-0200-00005E000000}"/>
            </a:ext>
          </a:extLst>
        </xdr:cNvPr>
        <xdr:cNvSpPr>
          <a:spLocks noChangeShapeType="1"/>
        </xdr:cNvSpPr>
      </xdr:nvSpPr>
      <xdr:spPr bwMode="auto">
        <a:xfrm>
          <a:off x="19145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28</xdr:row>
      <xdr:rowOff>104775</xdr:rowOff>
    </xdr:from>
    <xdr:to>
      <xdr:col>2</xdr:col>
      <xdr:colOff>552450</xdr:colOff>
      <xdr:row>30</xdr:row>
      <xdr:rowOff>0</xdr:rowOff>
    </xdr:to>
    <xdr:sp macro="" textlink="">
      <xdr:nvSpPr>
        <xdr:cNvPr id="95" name="Line 96">
          <a:extLst>
            <a:ext uri="{FF2B5EF4-FFF2-40B4-BE49-F238E27FC236}">
              <a16:creationId xmlns:a16="http://schemas.microsoft.com/office/drawing/2014/main" id="{00000000-0008-0000-0200-00005F000000}"/>
            </a:ext>
          </a:extLst>
        </xdr:cNvPr>
        <xdr:cNvSpPr>
          <a:spLocks noChangeShapeType="1"/>
        </xdr:cNvSpPr>
      </xdr:nvSpPr>
      <xdr:spPr bwMode="auto">
        <a:xfrm>
          <a:off x="193357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28</xdr:row>
      <xdr:rowOff>123825</xdr:rowOff>
    </xdr:from>
    <xdr:to>
      <xdr:col>3</xdr:col>
      <xdr:colOff>9525</xdr:colOff>
      <xdr:row>30</xdr:row>
      <xdr:rowOff>0</xdr:rowOff>
    </xdr:to>
    <xdr:sp macro="" textlink="">
      <xdr:nvSpPr>
        <xdr:cNvPr id="96" name="Line 97">
          <a:extLst>
            <a:ext uri="{FF2B5EF4-FFF2-40B4-BE49-F238E27FC236}">
              <a16:creationId xmlns:a16="http://schemas.microsoft.com/office/drawing/2014/main" id="{00000000-0008-0000-0200-000060000000}"/>
            </a:ext>
          </a:extLst>
        </xdr:cNvPr>
        <xdr:cNvSpPr>
          <a:spLocks noChangeShapeType="1"/>
        </xdr:cNvSpPr>
      </xdr:nvSpPr>
      <xdr:spPr bwMode="auto">
        <a:xfrm>
          <a:off x="1971675" y="529590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28</xdr:row>
      <xdr:rowOff>123825</xdr:rowOff>
    </xdr:from>
    <xdr:to>
      <xdr:col>3</xdr:col>
      <xdr:colOff>57150</xdr:colOff>
      <xdr:row>30</xdr:row>
      <xdr:rowOff>0</xdr:rowOff>
    </xdr:to>
    <xdr:sp macro="" textlink="">
      <xdr:nvSpPr>
        <xdr:cNvPr id="97" name="Line 98">
          <a:extLst>
            <a:ext uri="{FF2B5EF4-FFF2-40B4-BE49-F238E27FC236}">
              <a16:creationId xmlns:a16="http://schemas.microsoft.com/office/drawing/2014/main" id="{00000000-0008-0000-0200-000061000000}"/>
            </a:ext>
          </a:extLst>
        </xdr:cNvPr>
        <xdr:cNvSpPr>
          <a:spLocks noChangeShapeType="1"/>
        </xdr:cNvSpPr>
      </xdr:nvSpPr>
      <xdr:spPr bwMode="auto">
        <a:xfrm>
          <a:off x="2019300" y="529590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28</xdr:row>
      <xdr:rowOff>104775</xdr:rowOff>
    </xdr:from>
    <xdr:to>
      <xdr:col>3</xdr:col>
      <xdr:colOff>104775</xdr:colOff>
      <xdr:row>30</xdr:row>
      <xdr:rowOff>0</xdr:rowOff>
    </xdr:to>
    <xdr:sp macro="" textlink="">
      <xdr:nvSpPr>
        <xdr:cNvPr id="98" name="Line 99">
          <a:extLst>
            <a:ext uri="{FF2B5EF4-FFF2-40B4-BE49-F238E27FC236}">
              <a16:creationId xmlns:a16="http://schemas.microsoft.com/office/drawing/2014/main" id="{00000000-0008-0000-0200-000062000000}"/>
            </a:ext>
          </a:extLst>
        </xdr:cNvPr>
        <xdr:cNvSpPr>
          <a:spLocks noChangeShapeType="1"/>
        </xdr:cNvSpPr>
      </xdr:nvSpPr>
      <xdr:spPr bwMode="auto">
        <a:xfrm>
          <a:off x="20669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152400</xdr:colOff>
      <xdr:row>28</xdr:row>
      <xdr:rowOff>104775</xdr:rowOff>
    </xdr:from>
    <xdr:to>
      <xdr:col>3</xdr:col>
      <xdr:colOff>152400</xdr:colOff>
      <xdr:row>29</xdr:row>
      <xdr:rowOff>190500</xdr:rowOff>
    </xdr:to>
    <xdr:sp macro="" textlink="">
      <xdr:nvSpPr>
        <xdr:cNvPr id="99" name="Line 100">
          <a:extLst>
            <a:ext uri="{FF2B5EF4-FFF2-40B4-BE49-F238E27FC236}">
              <a16:creationId xmlns:a16="http://schemas.microsoft.com/office/drawing/2014/main" id="{00000000-0008-0000-0200-000063000000}"/>
            </a:ext>
          </a:extLst>
        </xdr:cNvPr>
        <xdr:cNvSpPr>
          <a:spLocks noChangeShapeType="1"/>
        </xdr:cNvSpPr>
      </xdr:nvSpPr>
      <xdr:spPr bwMode="auto">
        <a:xfrm>
          <a:off x="21145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28</xdr:row>
      <xdr:rowOff>104775</xdr:rowOff>
    </xdr:from>
    <xdr:to>
      <xdr:col>3</xdr:col>
      <xdr:colOff>190500</xdr:colOff>
      <xdr:row>30</xdr:row>
      <xdr:rowOff>0</xdr:rowOff>
    </xdr:to>
    <xdr:sp macro="" textlink="">
      <xdr:nvSpPr>
        <xdr:cNvPr id="100" name="Line 101">
          <a:extLst>
            <a:ext uri="{FF2B5EF4-FFF2-40B4-BE49-F238E27FC236}">
              <a16:creationId xmlns:a16="http://schemas.microsoft.com/office/drawing/2014/main" id="{00000000-0008-0000-0200-000064000000}"/>
            </a:ext>
          </a:extLst>
        </xdr:cNvPr>
        <xdr:cNvSpPr>
          <a:spLocks noChangeShapeType="1"/>
        </xdr:cNvSpPr>
      </xdr:nvSpPr>
      <xdr:spPr bwMode="auto">
        <a:xfrm>
          <a:off x="21526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228600</xdr:colOff>
      <xdr:row>28</xdr:row>
      <xdr:rowOff>104775</xdr:rowOff>
    </xdr:from>
    <xdr:to>
      <xdr:col>3</xdr:col>
      <xdr:colOff>228600</xdr:colOff>
      <xdr:row>30</xdr:row>
      <xdr:rowOff>0</xdr:rowOff>
    </xdr:to>
    <xdr:sp macro="" textlink="">
      <xdr:nvSpPr>
        <xdr:cNvPr id="101" name="Line 102">
          <a:extLst>
            <a:ext uri="{FF2B5EF4-FFF2-40B4-BE49-F238E27FC236}">
              <a16:creationId xmlns:a16="http://schemas.microsoft.com/office/drawing/2014/main" id="{00000000-0008-0000-0200-000065000000}"/>
            </a:ext>
          </a:extLst>
        </xdr:cNvPr>
        <xdr:cNvSpPr>
          <a:spLocks noChangeShapeType="1"/>
        </xdr:cNvSpPr>
      </xdr:nvSpPr>
      <xdr:spPr bwMode="auto">
        <a:xfrm>
          <a:off x="21907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266700</xdr:colOff>
      <xdr:row>28</xdr:row>
      <xdr:rowOff>123825</xdr:rowOff>
    </xdr:from>
    <xdr:to>
      <xdr:col>3</xdr:col>
      <xdr:colOff>266700</xdr:colOff>
      <xdr:row>30</xdr:row>
      <xdr:rowOff>0</xdr:rowOff>
    </xdr:to>
    <xdr:sp macro="" textlink="">
      <xdr:nvSpPr>
        <xdr:cNvPr id="102" name="Line 103">
          <a:extLst>
            <a:ext uri="{FF2B5EF4-FFF2-40B4-BE49-F238E27FC236}">
              <a16:creationId xmlns:a16="http://schemas.microsoft.com/office/drawing/2014/main" id="{00000000-0008-0000-0200-000066000000}"/>
            </a:ext>
          </a:extLst>
        </xdr:cNvPr>
        <xdr:cNvSpPr>
          <a:spLocks noChangeShapeType="1"/>
        </xdr:cNvSpPr>
      </xdr:nvSpPr>
      <xdr:spPr bwMode="auto">
        <a:xfrm>
          <a:off x="2228850" y="5295900"/>
          <a:ext cx="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314325</xdr:colOff>
      <xdr:row>28</xdr:row>
      <xdr:rowOff>104775</xdr:rowOff>
    </xdr:from>
    <xdr:to>
      <xdr:col>3</xdr:col>
      <xdr:colOff>314325</xdr:colOff>
      <xdr:row>30</xdr:row>
      <xdr:rowOff>0</xdr:rowOff>
    </xdr:to>
    <xdr:sp macro="" textlink="">
      <xdr:nvSpPr>
        <xdr:cNvPr id="103" name="Line 104">
          <a:extLst>
            <a:ext uri="{FF2B5EF4-FFF2-40B4-BE49-F238E27FC236}">
              <a16:creationId xmlns:a16="http://schemas.microsoft.com/office/drawing/2014/main" id="{00000000-0008-0000-0200-000067000000}"/>
            </a:ext>
          </a:extLst>
        </xdr:cNvPr>
        <xdr:cNvSpPr>
          <a:spLocks noChangeShapeType="1"/>
        </xdr:cNvSpPr>
      </xdr:nvSpPr>
      <xdr:spPr bwMode="auto">
        <a:xfrm>
          <a:off x="227647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38100</xdr:colOff>
      <xdr:row>28</xdr:row>
      <xdr:rowOff>104775</xdr:rowOff>
    </xdr:from>
    <xdr:to>
      <xdr:col>4</xdr:col>
      <xdr:colOff>38100</xdr:colOff>
      <xdr:row>30</xdr:row>
      <xdr:rowOff>0</xdr:rowOff>
    </xdr:to>
    <xdr:sp macro="" textlink="">
      <xdr:nvSpPr>
        <xdr:cNvPr id="104" name="Line 105">
          <a:extLst>
            <a:ext uri="{FF2B5EF4-FFF2-40B4-BE49-F238E27FC236}">
              <a16:creationId xmlns:a16="http://schemas.microsoft.com/office/drawing/2014/main" id="{00000000-0008-0000-0200-000068000000}"/>
            </a:ext>
          </a:extLst>
        </xdr:cNvPr>
        <xdr:cNvSpPr>
          <a:spLocks noChangeShapeType="1"/>
        </xdr:cNvSpPr>
      </xdr:nvSpPr>
      <xdr:spPr bwMode="auto">
        <a:xfrm>
          <a:off x="23717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28</xdr:row>
      <xdr:rowOff>104775</xdr:rowOff>
    </xdr:from>
    <xdr:to>
      <xdr:col>4</xdr:col>
      <xdr:colOff>85725</xdr:colOff>
      <xdr:row>30</xdr:row>
      <xdr:rowOff>0</xdr:rowOff>
    </xdr:to>
    <xdr:sp macro="" textlink="">
      <xdr:nvSpPr>
        <xdr:cNvPr id="105" name="Line 106">
          <a:extLst>
            <a:ext uri="{FF2B5EF4-FFF2-40B4-BE49-F238E27FC236}">
              <a16:creationId xmlns:a16="http://schemas.microsoft.com/office/drawing/2014/main" id="{00000000-0008-0000-0200-000069000000}"/>
            </a:ext>
          </a:extLst>
        </xdr:cNvPr>
        <xdr:cNvSpPr>
          <a:spLocks noChangeShapeType="1"/>
        </xdr:cNvSpPr>
      </xdr:nvSpPr>
      <xdr:spPr bwMode="auto">
        <a:xfrm>
          <a:off x="24193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28</xdr:row>
      <xdr:rowOff>114300</xdr:rowOff>
    </xdr:from>
    <xdr:to>
      <xdr:col>4</xdr:col>
      <xdr:colOff>123825</xdr:colOff>
      <xdr:row>30</xdr:row>
      <xdr:rowOff>0</xdr:rowOff>
    </xdr:to>
    <xdr:sp macro="" textlink="">
      <xdr:nvSpPr>
        <xdr:cNvPr id="106" name="Line 107">
          <a:extLst>
            <a:ext uri="{FF2B5EF4-FFF2-40B4-BE49-F238E27FC236}">
              <a16:creationId xmlns:a16="http://schemas.microsoft.com/office/drawing/2014/main" id="{00000000-0008-0000-0200-00006A000000}"/>
            </a:ext>
          </a:extLst>
        </xdr:cNvPr>
        <xdr:cNvSpPr>
          <a:spLocks noChangeShapeType="1"/>
        </xdr:cNvSpPr>
      </xdr:nvSpPr>
      <xdr:spPr bwMode="auto">
        <a:xfrm>
          <a:off x="2457450" y="528637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28</xdr:row>
      <xdr:rowOff>104775</xdr:rowOff>
    </xdr:from>
    <xdr:to>
      <xdr:col>4</xdr:col>
      <xdr:colOff>171450</xdr:colOff>
      <xdr:row>30</xdr:row>
      <xdr:rowOff>0</xdr:rowOff>
    </xdr:to>
    <xdr:sp macro="" textlink="">
      <xdr:nvSpPr>
        <xdr:cNvPr id="107" name="Line 108">
          <a:extLst>
            <a:ext uri="{FF2B5EF4-FFF2-40B4-BE49-F238E27FC236}">
              <a16:creationId xmlns:a16="http://schemas.microsoft.com/office/drawing/2014/main" id="{00000000-0008-0000-0200-00006B000000}"/>
            </a:ext>
          </a:extLst>
        </xdr:cNvPr>
        <xdr:cNvSpPr>
          <a:spLocks noChangeShapeType="1"/>
        </xdr:cNvSpPr>
      </xdr:nvSpPr>
      <xdr:spPr bwMode="auto">
        <a:xfrm>
          <a:off x="250507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28</xdr:row>
      <xdr:rowOff>104775</xdr:rowOff>
    </xdr:from>
    <xdr:to>
      <xdr:col>4</xdr:col>
      <xdr:colOff>219075</xdr:colOff>
      <xdr:row>30</xdr:row>
      <xdr:rowOff>0</xdr:rowOff>
    </xdr:to>
    <xdr:sp macro="" textlink="">
      <xdr:nvSpPr>
        <xdr:cNvPr id="108" name="Line 109">
          <a:extLst>
            <a:ext uri="{FF2B5EF4-FFF2-40B4-BE49-F238E27FC236}">
              <a16:creationId xmlns:a16="http://schemas.microsoft.com/office/drawing/2014/main" id="{00000000-0008-0000-0200-00006C000000}"/>
            </a:ext>
          </a:extLst>
        </xdr:cNvPr>
        <xdr:cNvSpPr>
          <a:spLocks noChangeShapeType="1"/>
        </xdr:cNvSpPr>
      </xdr:nvSpPr>
      <xdr:spPr bwMode="auto">
        <a:xfrm>
          <a:off x="255270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28</xdr:row>
      <xdr:rowOff>104775</xdr:rowOff>
    </xdr:from>
    <xdr:to>
      <xdr:col>4</xdr:col>
      <xdr:colOff>266700</xdr:colOff>
      <xdr:row>30</xdr:row>
      <xdr:rowOff>0</xdr:rowOff>
    </xdr:to>
    <xdr:sp macro="" textlink="">
      <xdr:nvSpPr>
        <xdr:cNvPr id="109" name="Line 110">
          <a:extLst>
            <a:ext uri="{FF2B5EF4-FFF2-40B4-BE49-F238E27FC236}">
              <a16:creationId xmlns:a16="http://schemas.microsoft.com/office/drawing/2014/main" id="{00000000-0008-0000-0200-00006D000000}"/>
            </a:ext>
          </a:extLst>
        </xdr:cNvPr>
        <xdr:cNvSpPr>
          <a:spLocks noChangeShapeType="1"/>
        </xdr:cNvSpPr>
      </xdr:nvSpPr>
      <xdr:spPr bwMode="auto">
        <a:xfrm>
          <a:off x="26003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28</xdr:row>
      <xdr:rowOff>104775</xdr:rowOff>
    </xdr:from>
    <xdr:to>
      <xdr:col>4</xdr:col>
      <xdr:colOff>314325</xdr:colOff>
      <xdr:row>30</xdr:row>
      <xdr:rowOff>0</xdr:rowOff>
    </xdr:to>
    <xdr:sp macro="" textlink="">
      <xdr:nvSpPr>
        <xdr:cNvPr id="110" name="Line 111">
          <a:extLst>
            <a:ext uri="{FF2B5EF4-FFF2-40B4-BE49-F238E27FC236}">
              <a16:creationId xmlns:a16="http://schemas.microsoft.com/office/drawing/2014/main" id="{00000000-0008-0000-0200-00006E000000}"/>
            </a:ext>
          </a:extLst>
        </xdr:cNvPr>
        <xdr:cNvSpPr>
          <a:spLocks noChangeShapeType="1"/>
        </xdr:cNvSpPr>
      </xdr:nvSpPr>
      <xdr:spPr bwMode="auto">
        <a:xfrm>
          <a:off x="26479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xdr:colOff>
      <xdr:row>28</xdr:row>
      <xdr:rowOff>104775</xdr:rowOff>
    </xdr:from>
    <xdr:to>
      <xdr:col>5</xdr:col>
      <xdr:colOff>19050</xdr:colOff>
      <xdr:row>29</xdr:row>
      <xdr:rowOff>190500</xdr:rowOff>
    </xdr:to>
    <xdr:sp macro="" textlink="">
      <xdr:nvSpPr>
        <xdr:cNvPr id="111" name="Line 112">
          <a:extLst>
            <a:ext uri="{FF2B5EF4-FFF2-40B4-BE49-F238E27FC236}">
              <a16:creationId xmlns:a16="http://schemas.microsoft.com/office/drawing/2014/main" id="{00000000-0008-0000-0200-00006F000000}"/>
            </a:ext>
          </a:extLst>
        </xdr:cNvPr>
        <xdr:cNvSpPr>
          <a:spLocks noChangeShapeType="1"/>
        </xdr:cNvSpPr>
      </xdr:nvSpPr>
      <xdr:spPr bwMode="auto">
        <a:xfrm>
          <a:off x="26765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28</xdr:row>
      <xdr:rowOff>104775</xdr:rowOff>
    </xdr:from>
    <xdr:to>
      <xdr:col>5</xdr:col>
      <xdr:colOff>66675</xdr:colOff>
      <xdr:row>29</xdr:row>
      <xdr:rowOff>190500</xdr:rowOff>
    </xdr:to>
    <xdr:sp macro="" textlink="">
      <xdr:nvSpPr>
        <xdr:cNvPr id="112" name="Line 113">
          <a:extLst>
            <a:ext uri="{FF2B5EF4-FFF2-40B4-BE49-F238E27FC236}">
              <a16:creationId xmlns:a16="http://schemas.microsoft.com/office/drawing/2014/main" id="{00000000-0008-0000-0200-000070000000}"/>
            </a:ext>
          </a:extLst>
        </xdr:cNvPr>
        <xdr:cNvSpPr>
          <a:spLocks noChangeShapeType="1"/>
        </xdr:cNvSpPr>
      </xdr:nvSpPr>
      <xdr:spPr bwMode="auto">
        <a:xfrm>
          <a:off x="2724150"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28</xdr:row>
      <xdr:rowOff>104775</xdr:rowOff>
    </xdr:from>
    <xdr:to>
      <xdr:col>5</xdr:col>
      <xdr:colOff>95250</xdr:colOff>
      <xdr:row>30</xdr:row>
      <xdr:rowOff>0</xdr:rowOff>
    </xdr:to>
    <xdr:sp macro="" textlink="">
      <xdr:nvSpPr>
        <xdr:cNvPr id="113" name="Line 114">
          <a:extLst>
            <a:ext uri="{FF2B5EF4-FFF2-40B4-BE49-F238E27FC236}">
              <a16:creationId xmlns:a16="http://schemas.microsoft.com/office/drawing/2014/main" id="{00000000-0008-0000-0200-000071000000}"/>
            </a:ext>
          </a:extLst>
        </xdr:cNvPr>
        <xdr:cNvSpPr>
          <a:spLocks noChangeShapeType="1"/>
        </xdr:cNvSpPr>
      </xdr:nvSpPr>
      <xdr:spPr bwMode="auto">
        <a:xfrm>
          <a:off x="27527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28</xdr:row>
      <xdr:rowOff>104775</xdr:rowOff>
    </xdr:from>
    <xdr:to>
      <xdr:col>5</xdr:col>
      <xdr:colOff>133350</xdr:colOff>
      <xdr:row>30</xdr:row>
      <xdr:rowOff>0</xdr:rowOff>
    </xdr:to>
    <xdr:sp macro="" textlink="">
      <xdr:nvSpPr>
        <xdr:cNvPr id="114" name="Line 115">
          <a:extLst>
            <a:ext uri="{FF2B5EF4-FFF2-40B4-BE49-F238E27FC236}">
              <a16:creationId xmlns:a16="http://schemas.microsoft.com/office/drawing/2014/main" id="{00000000-0008-0000-0200-000072000000}"/>
            </a:ext>
          </a:extLst>
        </xdr:cNvPr>
        <xdr:cNvSpPr>
          <a:spLocks noChangeShapeType="1"/>
        </xdr:cNvSpPr>
      </xdr:nvSpPr>
      <xdr:spPr bwMode="auto">
        <a:xfrm>
          <a:off x="2790825" y="5276850"/>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514350</xdr:colOff>
      <xdr:row>26</xdr:row>
      <xdr:rowOff>57150</xdr:rowOff>
    </xdr:from>
    <xdr:to>
      <xdr:col>2</xdr:col>
      <xdr:colOff>514350</xdr:colOff>
      <xdr:row>27</xdr:row>
      <xdr:rowOff>161925</xdr:rowOff>
    </xdr:to>
    <xdr:sp macro="" textlink="">
      <xdr:nvSpPr>
        <xdr:cNvPr id="115" name="Line 116">
          <a:extLst>
            <a:ext uri="{FF2B5EF4-FFF2-40B4-BE49-F238E27FC236}">
              <a16:creationId xmlns:a16="http://schemas.microsoft.com/office/drawing/2014/main" id="{00000000-0008-0000-0200-000073000000}"/>
            </a:ext>
          </a:extLst>
        </xdr:cNvPr>
        <xdr:cNvSpPr>
          <a:spLocks noChangeShapeType="1"/>
        </xdr:cNvSpPr>
      </xdr:nvSpPr>
      <xdr:spPr bwMode="auto">
        <a:xfrm>
          <a:off x="1895475" y="484822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3</xdr:col>
      <xdr:colOff>247650</xdr:colOff>
      <xdr:row>18</xdr:row>
      <xdr:rowOff>85725</xdr:rowOff>
    </xdr:to>
    <xdr:sp macro="" textlink="">
      <xdr:nvSpPr>
        <xdr:cNvPr id="116" name="Line 117">
          <a:extLst>
            <a:ext uri="{FF2B5EF4-FFF2-40B4-BE49-F238E27FC236}">
              <a16:creationId xmlns:a16="http://schemas.microsoft.com/office/drawing/2014/main" id="{00000000-0008-0000-0200-000074000000}"/>
            </a:ext>
          </a:extLst>
        </xdr:cNvPr>
        <xdr:cNvSpPr>
          <a:spLocks noChangeShapeType="1"/>
        </xdr:cNvSpPr>
      </xdr:nvSpPr>
      <xdr:spPr bwMode="auto">
        <a:xfrm flipH="1">
          <a:off x="1590675" y="2914650"/>
          <a:ext cx="619125" cy="41910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1133475</xdr:colOff>
      <xdr:row>17</xdr:row>
      <xdr:rowOff>0</xdr:rowOff>
    </xdr:from>
    <xdr:to>
      <xdr:col>2</xdr:col>
      <xdr:colOff>371475</xdr:colOff>
      <xdr:row>17</xdr:row>
      <xdr:rowOff>0</xdr:rowOff>
    </xdr:to>
    <xdr:sp macro="" textlink="">
      <xdr:nvSpPr>
        <xdr:cNvPr id="117" name="Line 118">
          <a:extLst>
            <a:ext uri="{FF2B5EF4-FFF2-40B4-BE49-F238E27FC236}">
              <a16:creationId xmlns:a16="http://schemas.microsoft.com/office/drawing/2014/main" id="{00000000-0008-0000-0200-000075000000}"/>
            </a:ext>
          </a:extLst>
        </xdr:cNvPr>
        <xdr:cNvSpPr>
          <a:spLocks noChangeShapeType="1"/>
        </xdr:cNvSpPr>
      </xdr:nvSpPr>
      <xdr:spPr bwMode="auto">
        <a:xfrm>
          <a:off x="1133475" y="3048000"/>
          <a:ext cx="619125"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xdr:colOff>
      <xdr:row>16</xdr:row>
      <xdr:rowOff>0</xdr:rowOff>
    </xdr:from>
    <xdr:to>
      <xdr:col>3</xdr:col>
      <xdr:colOff>19050</xdr:colOff>
      <xdr:row>16</xdr:row>
      <xdr:rowOff>0</xdr:rowOff>
    </xdr:to>
    <xdr:sp macro="" textlink="">
      <xdr:nvSpPr>
        <xdr:cNvPr id="118" name="Line 119">
          <a:extLst>
            <a:ext uri="{FF2B5EF4-FFF2-40B4-BE49-F238E27FC236}">
              <a16:creationId xmlns:a16="http://schemas.microsoft.com/office/drawing/2014/main" id="{00000000-0008-0000-0200-000076000000}"/>
            </a:ext>
          </a:extLst>
        </xdr:cNvPr>
        <xdr:cNvSpPr>
          <a:spLocks noChangeShapeType="1"/>
        </xdr:cNvSpPr>
      </xdr:nvSpPr>
      <xdr:spPr bwMode="auto">
        <a:xfrm>
          <a:off x="1400175" y="2857500"/>
          <a:ext cx="581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15</xdr:row>
      <xdr:rowOff>161925</xdr:rowOff>
    </xdr:from>
    <xdr:to>
      <xdr:col>3</xdr:col>
      <xdr:colOff>0</xdr:colOff>
      <xdr:row>17</xdr:row>
      <xdr:rowOff>114300</xdr:rowOff>
    </xdr:to>
    <xdr:sp macro="" textlink="">
      <xdr:nvSpPr>
        <xdr:cNvPr id="119" name="Line 120">
          <a:extLst>
            <a:ext uri="{FF2B5EF4-FFF2-40B4-BE49-F238E27FC236}">
              <a16:creationId xmlns:a16="http://schemas.microsoft.com/office/drawing/2014/main" id="{00000000-0008-0000-0200-000077000000}"/>
            </a:ext>
          </a:extLst>
        </xdr:cNvPr>
        <xdr:cNvSpPr>
          <a:spLocks noChangeShapeType="1"/>
        </xdr:cNvSpPr>
      </xdr:nvSpPr>
      <xdr:spPr bwMode="auto">
        <a:xfrm flipV="1">
          <a:off x="1524000" y="2828925"/>
          <a:ext cx="438150" cy="3333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66675</xdr:colOff>
      <xdr:row>15</xdr:row>
      <xdr:rowOff>57150</xdr:rowOff>
    </xdr:from>
    <xdr:to>
      <xdr:col>3</xdr:col>
      <xdr:colOff>95250</xdr:colOff>
      <xdr:row>17</xdr:row>
      <xdr:rowOff>142875</xdr:rowOff>
    </xdr:to>
    <xdr:sp macro="" textlink="">
      <xdr:nvSpPr>
        <xdr:cNvPr id="120" name="Line 121">
          <a:extLst>
            <a:ext uri="{FF2B5EF4-FFF2-40B4-BE49-F238E27FC236}">
              <a16:creationId xmlns:a16="http://schemas.microsoft.com/office/drawing/2014/main" id="{00000000-0008-0000-0200-000078000000}"/>
            </a:ext>
          </a:extLst>
        </xdr:cNvPr>
        <xdr:cNvSpPr>
          <a:spLocks noChangeShapeType="1"/>
        </xdr:cNvSpPr>
      </xdr:nvSpPr>
      <xdr:spPr bwMode="auto">
        <a:xfrm flipV="1">
          <a:off x="1447800" y="2724150"/>
          <a:ext cx="609600" cy="46672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15</xdr:row>
      <xdr:rowOff>161925</xdr:rowOff>
    </xdr:from>
    <xdr:to>
      <xdr:col>2</xdr:col>
      <xdr:colOff>276225</xdr:colOff>
      <xdr:row>17</xdr:row>
      <xdr:rowOff>0</xdr:rowOff>
    </xdr:to>
    <xdr:sp macro="" textlink="">
      <xdr:nvSpPr>
        <xdr:cNvPr id="121" name="Line 122">
          <a:extLst>
            <a:ext uri="{FF2B5EF4-FFF2-40B4-BE49-F238E27FC236}">
              <a16:creationId xmlns:a16="http://schemas.microsoft.com/office/drawing/2014/main" id="{00000000-0008-0000-0200-000079000000}"/>
            </a:ext>
          </a:extLst>
        </xdr:cNvPr>
        <xdr:cNvSpPr>
          <a:spLocks noChangeShapeType="1"/>
        </xdr:cNvSpPr>
      </xdr:nvSpPr>
      <xdr:spPr bwMode="auto">
        <a:xfrm flipH="1" flipV="1">
          <a:off x="1590675" y="2828925"/>
          <a:ext cx="66675" cy="2190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14</xdr:row>
      <xdr:rowOff>180975</xdr:rowOff>
    </xdr:from>
    <xdr:to>
      <xdr:col>2</xdr:col>
      <xdr:colOff>533400</xdr:colOff>
      <xdr:row>16</xdr:row>
      <xdr:rowOff>0</xdr:rowOff>
    </xdr:to>
    <xdr:sp macro="" textlink="">
      <xdr:nvSpPr>
        <xdr:cNvPr id="122" name="Line 123">
          <a:extLst>
            <a:ext uri="{FF2B5EF4-FFF2-40B4-BE49-F238E27FC236}">
              <a16:creationId xmlns:a16="http://schemas.microsoft.com/office/drawing/2014/main" id="{00000000-0008-0000-0200-00007A000000}"/>
            </a:ext>
          </a:extLst>
        </xdr:cNvPr>
        <xdr:cNvSpPr>
          <a:spLocks noChangeShapeType="1"/>
        </xdr:cNvSpPr>
      </xdr:nvSpPr>
      <xdr:spPr bwMode="auto">
        <a:xfrm flipH="1" flipV="1">
          <a:off x="1847850" y="2657475"/>
          <a:ext cx="66675" cy="20002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15</xdr:row>
      <xdr:rowOff>28575</xdr:rowOff>
    </xdr:from>
    <xdr:to>
      <xdr:col>2</xdr:col>
      <xdr:colOff>514350</xdr:colOff>
      <xdr:row>17</xdr:row>
      <xdr:rowOff>0</xdr:rowOff>
    </xdr:to>
    <xdr:sp macro="" textlink="">
      <xdr:nvSpPr>
        <xdr:cNvPr id="123" name="Tegning 167">
          <a:extLst>
            <a:ext uri="{FF2B5EF4-FFF2-40B4-BE49-F238E27FC236}">
              <a16:creationId xmlns:a16="http://schemas.microsoft.com/office/drawing/2014/main" id="{00000000-0008-0000-0200-00007B000000}"/>
            </a:ext>
          </a:extLst>
        </xdr:cNvPr>
        <xdr:cNvSpPr>
          <a:spLocks/>
        </xdr:cNvSpPr>
      </xdr:nvSpPr>
      <xdr:spPr bwMode="auto">
        <a:xfrm>
          <a:off x="1409700" y="2695575"/>
          <a:ext cx="485775" cy="35242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0 h 16384"/>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6384"/>
            <a:gd name="T31" fmla="*/ 0 h 16384"/>
            <a:gd name="T32" fmla="*/ 16384 w 16384"/>
            <a:gd name="T33" fmla="*/ 16384 h 16384"/>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6384" h="16384">
              <a:moveTo>
                <a:pt x="0" y="16384"/>
              </a:moveTo>
              <a:lnTo>
                <a:pt x="5461" y="16384"/>
              </a:lnTo>
              <a:lnTo>
                <a:pt x="7168" y="15909"/>
              </a:lnTo>
              <a:lnTo>
                <a:pt x="7851" y="14010"/>
              </a:lnTo>
              <a:lnTo>
                <a:pt x="6827" y="8548"/>
              </a:lnTo>
              <a:lnTo>
                <a:pt x="7509" y="7361"/>
              </a:lnTo>
              <a:lnTo>
                <a:pt x="14507" y="7361"/>
              </a:lnTo>
              <a:lnTo>
                <a:pt x="15701" y="7123"/>
              </a:lnTo>
              <a:lnTo>
                <a:pt x="16384" y="5224"/>
              </a:lnTo>
              <a:lnTo>
                <a:pt x="15189"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57150</xdr:colOff>
      <xdr:row>15</xdr:row>
      <xdr:rowOff>190500</xdr:rowOff>
    </xdr:from>
    <xdr:to>
      <xdr:col>2</xdr:col>
      <xdr:colOff>57150</xdr:colOff>
      <xdr:row>17</xdr:row>
      <xdr:rowOff>28575</xdr:rowOff>
    </xdr:to>
    <xdr:sp macro="" textlink="">
      <xdr:nvSpPr>
        <xdr:cNvPr id="124" name="Line 125">
          <a:extLst>
            <a:ext uri="{FF2B5EF4-FFF2-40B4-BE49-F238E27FC236}">
              <a16:creationId xmlns:a16="http://schemas.microsoft.com/office/drawing/2014/main" id="{00000000-0008-0000-0200-00007C000000}"/>
            </a:ext>
          </a:extLst>
        </xdr:cNvPr>
        <xdr:cNvSpPr>
          <a:spLocks noChangeShapeType="1"/>
        </xdr:cNvSpPr>
      </xdr:nvSpPr>
      <xdr:spPr bwMode="auto">
        <a:xfrm>
          <a:off x="1438275" y="2857500"/>
          <a:ext cx="0"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15</xdr:row>
      <xdr:rowOff>171450</xdr:rowOff>
    </xdr:from>
    <xdr:to>
      <xdr:col>2</xdr:col>
      <xdr:colOff>85725</xdr:colOff>
      <xdr:row>16</xdr:row>
      <xdr:rowOff>19050</xdr:rowOff>
    </xdr:to>
    <xdr:sp macro="" textlink="">
      <xdr:nvSpPr>
        <xdr:cNvPr id="125" name="Line 126">
          <a:extLst>
            <a:ext uri="{FF2B5EF4-FFF2-40B4-BE49-F238E27FC236}">
              <a16:creationId xmlns:a16="http://schemas.microsoft.com/office/drawing/2014/main" id="{00000000-0008-0000-0200-00007D000000}"/>
            </a:ext>
          </a:extLst>
        </xdr:cNvPr>
        <xdr:cNvSpPr>
          <a:spLocks noChangeShapeType="1"/>
        </xdr:cNvSpPr>
      </xdr:nvSpPr>
      <xdr:spPr bwMode="auto">
        <a:xfrm flipH="1">
          <a:off x="1409700" y="2838450"/>
          <a:ext cx="57150"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16</xdr:row>
      <xdr:rowOff>171450</xdr:rowOff>
    </xdr:from>
    <xdr:to>
      <xdr:col>2</xdr:col>
      <xdr:colOff>85725</xdr:colOff>
      <xdr:row>17</xdr:row>
      <xdr:rowOff>19050</xdr:rowOff>
    </xdr:to>
    <xdr:sp macro="" textlink="">
      <xdr:nvSpPr>
        <xdr:cNvPr id="126" name="Line 127">
          <a:extLst>
            <a:ext uri="{FF2B5EF4-FFF2-40B4-BE49-F238E27FC236}">
              <a16:creationId xmlns:a16="http://schemas.microsoft.com/office/drawing/2014/main" id="{00000000-0008-0000-0200-00007E000000}"/>
            </a:ext>
          </a:extLst>
        </xdr:cNvPr>
        <xdr:cNvSpPr>
          <a:spLocks noChangeShapeType="1"/>
        </xdr:cNvSpPr>
      </xdr:nvSpPr>
      <xdr:spPr bwMode="auto">
        <a:xfrm flipH="1">
          <a:off x="1409700" y="3028950"/>
          <a:ext cx="57150"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xdr:colOff>
      <xdr:row>15</xdr:row>
      <xdr:rowOff>0</xdr:rowOff>
    </xdr:from>
    <xdr:to>
      <xdr:col>2</xdr:col>
      <xdr:colOff>561975</xdr:colOff>
      <xdr:row>15</xdr:row>
      <xdr:rowOff>0</xdr:rowOff>
    </xdr:to>
    <xdr:sp macro="" textlink="">
      <xdr:nvSpPr>
        <xdr:cNvPr id="127" name="Line 128">
          <a:extLst>
            <a:ext uri="{FF2B5EF4-FFF2-40B4-BE49-F238E27FC236}">
              <a16:creationId xmlns:a16="http://schemas.microsoft.com/office/drawing/2014/main" id="{00000000-0008-0000-0200-00007F000000}"/>
            </a:ext>
          </a:extLst>
        </xdr:cNvPr>
        <xdr:cNvSpPr>
          <a:spLocks noChangeShapeType="1"/>
        </xdr:cNvSpPr>
      </xdr:nvSpPr>
      <xdr:spPr bwMode="auto">
        <a:xfrm>
          <a:off x="1400175" y="2667000"/>
          <a:ext cx="542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14</xdr:row>
      <xdr:rowOff>190500</xdr:rowOff>
    </xdr:from>
    <xdr:to>
      <xdr:col>2</xdr:col>
      <xdr:colOff>542925</xdr:colOff>
      <xdr:row>15</xdr:row>
      <xdr:rowOff>190500</xdr:rowOff>
    </xdr:to>
    <xdr:sp macro="" textlink="">
      <xdr:nvSpPr>
        <xdr:cNvPr id="128" name="Line 129">
          <a:extLst>
            <a:ext uri="{FF2B5EF4-FFF2-40B4-BE49-F238E27FC236}">
              <a16:creationId xmlns:a16="http://schemas.microsoft.com/office/drawing/2014/main" id="{00000000-0008-0000-0200-000080000000}"/>
            </a:ext>
          </a:extLst>
        </xdr:cNvPr>
        <xdr:cNvSpPr>
          <a:spLocks noChangeShapeType="1"/>
        </xdr:cNvSpPr>
      </xdr:nvSpPr>
      <xdr:spPr bwMode="auto">
        <a:xfrm flipV="1">
          <a:off x="1924050" y="2667000"/>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14</xdr:row>
      <xdr:rowOff>190500</xdr:rowOff>
    </xdr:from>
    <xdr:to>
      <xdr:col>2</xdr:col>
      <xdr:colOff>209550</xdr:colOff>
      <xdr:row>15</xdr:row>
      <xdr:rowOff>161925</xdr:rowOff>
    </xdr:to>
    <xdr:sp macro="" textlink="">
      <xdr:nvSpPr>
        <xdr:cNvPr id="129" name="Line 130">
          <a:extLst>
            <a:ext uri="{FF2B5EF4-FFF2-40B4-BE49-F238E27FC236}">
              <a16:creationId xmlns:a16="http://schemas.microsoft.com/office/drawing/2014/main" id="{00000000-0008-0000-0200-000081000000}"/>
            </a:ext>
          </a:extLst>
        </xdr:cNvPr>
        <xdr:cNvSpPr>
          <a:spLocks noChangeShapeType="1"/>
        </xdr:cNvSpPr>
      </xdr:nvSpPr>
      <xdr:spPr bwMode="auto">
        <a:xfrm flipV="1">
          <a:off x="1590675" y="2667000"/>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xdr:row>
      <xdr:rowOff>190500</xdr:rowOff>
    </xdr:from>
    <xdr:to>
      <xdr:col>2</xdr:col>
      <xdr:colOff>276225</xdr:colOff>
      <xdr:row>17</xdr:row>
      <xdr:rowOff>47625</xdr:rowOff>
    </xdr:to>
    <xdr:sp macro="" textlink="">
      <xdr:nvSpPr>
        <xdr:cNvPr id="130" name="Line 131">
          <a:extLst>
            <a:ext uri="{FF2B5EF4-FFF2-40B4-BE49-F238E27FC236}">
              <a16:creationId xmlns:a16="http://schemas.microsoft.com/office/drawing/2014/main" id="{00000000-0008-0000-0200-000082000000}"/>
            </a:ext>
          </a:extLst>
        </xdr:cNvPr>
        <xdr:cNvSpPr>
          <a:spLocks noChangeShapeType="1"/>
        </xdr:cNvSpPr>
      </xdr:nvSpPr>
      <xdr:spPr bwMode="auto">
        <a:xfrm flipV="1">
          <a:off x="1657350" y="2667000"/>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14</xdr:row>
      <xdr:rowOff>171450</xdr:rowOff>
    </xdr:from>
    <xdr:to>
      <xdr:col>2</xdr:col>
      <xdr:colOff>238125</xdr:colOff>
      <xdr:row>15</xdr:row>
      <xdr:rowOff>19050</xdr:rowOff>
    </xdr:to>
    <xdr:sp macro="" textlink="">
      <xdr:nvSpPr>
        <xdr:cNvPr id="131" name="Line 132">
          <a:extLst>
            <a:ext uri="{FF2B5EF4-FFF2-40B4-BE49-F238E27FC236}">
              <a16:creationId xmlns:a16="http://schemas.microsoft.com/office/drawing/2014/main" id="{00000000-0008-0000-0200-000083000000}"/>
            </a:ext>
          </a:extLst>
        </xdr:cNvPr>
        <xdr:cNvSpPr>
          <a:spLocks noChangeShapeType="1"/>
        </xdr:cNvSpPr>
      </xdr:nvSpPr>
      <xdr:spPr bwMode="auto">
        <a:xfrm flipH="1">
          <a:off x="1571625" y="2647950"/>
          <a:ext cx="4762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14</xdr:row>
      <xdr:rowOff>171450</xdr:rowOff>
    </xdr:from>
    <xdr:to>
      <xdr:col>2</xdr:col>
      <xdr:colOff>304800</xdr:colOff>
      <xdr:row>15</xdr:row>
      <xdr:rowOff>19050</xdr:rowOff>
    </xdr:to>
    <xdr:sp macro="" textlink="">
      <xdr:nvSpPr>
        <xdr:cNvPr id="132" name="Line 133">
          <a:extLst>
            <a:ext uri="{FF2B5EF4-FFF2-40B4-BE49-F238E27FC236}">
              <a16:creationId xmlns:a16="http://schemas.microsoft.com/office/drawing/2014/main" id="{00000000-0008-0000-0200-000084000000}"/>
            </a:ext>
          </a:extLst>
        </xdr:cNvPr>
        <xdr:cNvSpPr>
          <a:spLocks noChangeShapeType="1"/>
        </xdr:cNvSpPr>
      </xdr:nvSpPr>
      <xdr:spPr bwMode="auto">
        <a:xfrm flipH="1">
          <a:off x="1638300" y="2647950"/>
          <a:ext cx="47625" cy="38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514350</xdr:colOff>
      <xdr:row>14</xdr:row>
      <xdr:rowOff>171450</xdr:rowOff>
    </xdr:from>
    <xdr:to>
      <xdr:col>2</xdr:col>
      <xdr:colOff>561975</xdr:colOff>
      <xdr:row>15</xdr:row>
      <xdr:rowOff>28575</xdr:rowOff>
    </xdr:to>
    <xdr:sp macro="" textlink="">
      <xdr:nvSpPr>
        <xdr:cNvPr id="133" name="Line 134">
          <a:extLst>
            <a:ext uri="{FF2B5EF4-FFF2-40B4-BE49-F238E27FC236}">
              <a16:creationId xmlns:a16="http://schemas.microsoft.com/office/drawing/2014/main" id="{00000000-0008-0000-0200-000085000000}"/>
            </a:ext>
          </a:extLst>
        </xdr:cNvPr>
        <xdr:cNvSpPr>
          <a:spLocks noChangeShapeType="1"/>
        </xdr:cNvSpPr>
      </xdr:nvSpPr>
      <xdr:spPr bwMode="auto">
        <a:xfrm flipH="1">
          <a:off x="1895475" y="2647950"/>
          <a:ext cx="4762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16</xdr:row>
      <xdr:rowOff>104775</xdr:rowOff>
    </xdr:from>
    <xdr:to>
      <xdr:col>2</xdr:col>
      <xdr:colOff>533400</xdr:colOff>
      <xdr:row>17</xdr:row>
      <xdr:rowOff>114300</xdr:rowOff>
    </xdr:to>
    <xdr:sp macro="" textlink="">
      <xdr:nvSpPr>
        <xdr:cNvPr id="134" name="Line 135">
          <a:extLst>
            <a:ext uri="{FF2B5EF4-FFF2-40B4-BE49-F238E27FC236}">
              <a16:creationId xmlns:a16="http://schemas.microsoft.com/office/drawing/2014/main" id="{00000000-0008-0000-0200-000086000000}"/>
            </a:ext>
          </a:extLst>
        </xdr:cNvPr>
        <xdr:cNvSpPr>
          <a:spLocks noChangeShapeType="1"/>
        </xdr:cNvSpPr>
      </xdr:nvSpPr>
      <xdr:spPr bwMode="auto">
        <a:xfrm>
          <a:off x="1771650" y="2962275"/>
          <a:ext cx="142875"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16</xdr:row>
      <xdr:rowOff>76200</xdr:rowOff>
    </xdr:from>
    <xdr:to>
      <xdr:col>2</xdr:col>
      <xdr:colOff>400050</xdr:colOff>
      <xdr:row>16</xdr:row>
      <xdr:rowOff>152400</xdr:rowOff>
    </xdr:to>
    <xdr:sp macro="" textlink="">
      <xdr:nvSpPr>
        <xdr:cNvPr id="135" name="Line 136">
          <a:extLst>
            <a:ext uri="{FF2B5EF4-FFF2-40B4-BE49-F238E27FC236}">
              <a16:creationId xmlns:a16="http://schemas.microsoft.com/office/drawing/2014/main" id="{00000000-0008-0000-0200-000087000000}"/>
            </a:ext>
          </a:extLst>
        </xdr:cNvPr>
        <xdr:cNvSpPr>
          <a:spLocks noChangeShapeType="1"/>
        </xdr:cNvSpPr>
      </xdr:nvSpPr>
      <xdr:spPr bwMode="auto">
        <a:xfrm flipH="1">
          <a:off x="1762125" y="2933700"/>
          <a:ext cx="190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17</xdr:row>
      <xdr:rowOff>28575</xdr:rowOff>
    </xdr:from>
    <xdr:to>
      <xdr:col>2</xdr:col>
      <xdr:colOff>523875</xdr:colOff>
      <xdr:row>17</xdr:row>
      <xdr:rowOff>114300</xdr:rowOff>
    </xdr:to>
    <xdr:sp macro="" textlink="">
      <xdr:nvSpPr>
        <xdr:cNvPr id="136" name="Line 137">
          <a:extLst>
            <a:ext uri="{FF2B5EF4-FFF2-40B4-BE49-F238E27FC236}">
              <a16:creationId xmlns:a16="http://schemas.microsoft.com/office/drawing/2014/main" id="{00000000-0008-0000-0200-000088000000}"/>
            </a:ext>
          </a:extLst>
        </xdr:cNvPr>
        <xdr:cNvSpPr>
          <a:spLocks noChangeShapeType="1"/>
        </xdr:cNvSpPr>
      </xdr:nvSpPr>
      <xdr:spPr bwMode="auto">
        <a:xfrm flipH="1">
          <a:off x="1885950" y="3076575"/>
          <a:ext cx="190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15</xdr:row>
      <xdr:rowOff>85725</xdr:rowOff>
    </xdr:from>
    <xdr:to>
      <xdr:col>3</xdr:col>
      <xdr:colOff>200025</xdr:colOff>
      <xdr:row>16</xdr:row>
      <xdr:rowOff>123825</xdr:rowOff>
    </xdr:to>
    <xdr:sp macro="" textlink="">
      <xdr:nvSpPr>
        <xdr:cNvPr id="137" name="Line 138">
          <a:extLst>
            <a:ext uri="{FF2B5EF4-FFF2-40B4-BE49-F238E27FC236}">
              <a16:creationId xmlns:a16="http://schemas.microsoft.com/office/drawing/2014/main" id="{00000000-0008-0000-0200-000089000000}"/>
            </a:ext>
          </a:extLst>
        </xdr:cNvPr>
        <xdr:cNvSpPr>
          <a:spLocks noChangeShapeType="1"/>
        </xdr:cNvSpPr>
      </xdr:nvSpPr>
      <xdr:spPr bwMode="auto">
        <a:xfrm>
          <a:off x="1981200" y="2752725"/>
          <a:ext cx="180975" cy="2286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15</xdr:row>
      <xdr:rowOff>76200</xdr:rowOff>
    </xdr:from>
    <xdr:to>
      <xdr:col>3</xdr:col>
      <xdr:colOff>38100</xdr:colOff>
      <xdr:row>15</xdr:row>
      <xdr:rowOff>152400</xdr:rowOff>
    </xdr:to>
    <xdr:sp macro="" textlink="">
      <xdr:nvSpPr>
        <xdr:cNvPr id="138" name="Line 139">
          <a:extLst>
            <a:ext uri="{FF2B5EF4-FFF2-40B4-BE49-F238E27FC236}">
              <a16:creationId xmlns:a16="http://schemas.microsoft.com/office/drawing/2014/main" id="{00000000-0008-0000-0200-00008A000000}"/>
            </a:ext>
          </a:extLst>
        </xdr:cNvPr>
        <xdr:cNvSpPr>
          <a:spLocks noChangeShapeType="1"/>
        </xdr:cNvSpPr>
      </xdr:nvSpPr>
      <xdr:spPr bwMode="auto">
        <a:xfrm flipH="1">
          <a:off x="1990725" y="2743200"/>
          <a:ext cx="95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16</xdr:row>
      <xdr:rowOff>57150</xdr:rowOff>
    </xdr:from>
    <xdr:to>
      <xdr:col>3</xdr:col>
      <xdr:colOff>190500</xdr:colOff>
      <xdr:row>16</xdr:row>
      <xdr:rowOff>161925</xdr:rowOff>
    </xdr:to>
    <xdr:sp macro="" textlink="">
      <xdr:nvSpPr>
        <xdr:cNvPr id="139" name="Line 140">
          <a:extLst>
            <a:ext uri="{FF2B5EF4-FFF2-40B4-BE49-F238E27FC236}">
              <a16:creationId xmlns:a16="http://schemas.microsoft.com/office/drawing/2014/main" id="{00000000-0008-0000-0200-00008B000000}"/>
            </a:ext>
          </a:extLst>
        </xdr:cNvPr>
        <xdr:cNvSpPr>
          <a:spLocks noChangeShapeType="1"/>
        </xdr:cNvSpPr>
      </xdr:nvSpPr>
      <xdr:spPr bwMode="auto">
        <a:xfrm flipH="1">
          <a:off x="2133600" y="2914650"/>
          <a:ext cx="1905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16</xdr:row>
      <xdr:rowOff>190500</xdr:rowOff>
    </xdr:from>
    <xdr:to>
      <xdr:col>2</xdr:col>
      <xdr:colOff>285750</xdr:colOff>
      <xdr:row>17</xdr:row>
      <xdr:rowOff>19050</xdr:rowOff>
    </xdr:to>
    <xdr:sp macro="" textlink="" fLocksText="0">
      <xdr:nvSpPr>
        <xdr:cNvPr id="140" name="Oval 141">
          <a:extLst>
            <a:ext uri="{FF2B5EF4-FFF2-40B4-BE49-F238E27FC236}">
              <a16:creationId xmlns:a16="http://schemas.microsoft.com/office/drawing/2014/main" id="{00000000-0008-0000-0200-00008C000000}"/>
            </a:ext>
          </a:extLst>
        </xdr:cNvPr>
        <xdr:cNvSpPr>
          <a:spLocks noChangeArrowheads="1"/>
        </xdr:cNvSpPr>
      </xdr:nvSpPr>
      <xdr:spPr bwMode="auto">
        <a:xfrm>
          <a:off x="1647825" y="3048000"/>
          <a:ext cx="19050" cy="190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533400</xdr:colOff>
      <xdr:row>15</xdr:row>
      <xdr:rowOff>190500</xdr:rowOff>
    </xdr:from>
    <xdr:to>
      <xdr:col>2</xdr:col>
      <xdr:colOff>552450</xdr:colOff>
      <xdr:row>16</xdr:row>
      <xdr:rowOff>19050</xdr:rowOff>
    </xdr:to>
    <xdr:sp macro="" textlink="" fLocksText="0">
      <xdr:nvSpPr>
        <xdr:cNvPr id="141" name="Oval 142">
          <a:extLst>
            <a:ext uri="{FF2B5EF4-FFF2-40B4-BE49-F238E27FC236}">
              <a16:creationId xmlns:a16="http://schemas.microsoft.com/office/drawing/2014/main" id="{00000000-0008-0000-0200-00008D000000}"/>
            </a:ext>
          </a:extLst>
        </xdr:cNvPr>
        <xdr:cNvSpPr>
          <a:spLocks noChangeArrowheads="1"/>
        </xdr:cNvSpPr>
      </xdr:nvSpPr>
      <xdr:spPr bwMode="auto">
        <a:xfrm>
          <a:off x="1914525" y="2857500"/>
          <a:ext cx="19050" cy="190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209550</xdr:colOff>
      <xdr:row>15</xdr:row>
      <xdr:rowOff>190500</xdr:rowOff>
    </xdr:from>
    <xdr:to>
      <xdr:col>2</xdr:col>
      <xdr:colOff>228600</xdr:colOff>
      <xdr:row>16</xdr:row>
      <xdr:rowOff>19050</xdr:rowOff>
    </xdr:to>
    <xdr:sp macro="" textlink="" fLocksText="0">
      <xdr:nvSpPr>
        <xdr:cNvPr id="142" name="Oval 143">
          <a:extLst>
            <a:ext uri="{FF2B5EF4-FFF2-40B4-BE49-F238E27FC236}">
              <a16:creationId xmlns:a16="http://schemas.microsoft.com/office/drawing/2014/main" id="{00000000-0008-0000-0200-00008E000000}"/>
            </a:ext>
          </a:extLst>
        </xdr:cNvPr>
        <xdr:cNvSpPr>
          <a:spLocks noChangeArrowheads="1"/>
        </xdr:cNvSpPr>
      </xdr:nvSpPr>
      <xdr:spPr bwMode="auto">
        <a:xfrm>
          <a:off x="1590675" y="2857500"/>
          <a:ext cx="19050" cy="190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47625</xdr:colOff>
      <xdr:row>40</xdr:row>
      <xdr:rowOff>114300</xdr:rowOff>
    </xdr:from>
    <xdr:to>
      <xdr:col>5</xdr:col>
      <xdr:colOff>152400</xdr:colOff>
      <xdr:row>41</xdr:row>
      <xdr:rowOff>8953</xdr:rowOff>
    </xdr:to>
    <xdr:sp macro="" textlink="" fLocksText="0">
      <xdr:nvSpPr>
        <xdr:cNvPr id="143" name="Oval 144">
          <a:extLst>
            <a:ext uri="{FF2B5EF4-FFF2-40B4-BE49-F238E27FC236}">
              <a16:creationId xmlns:a16="http://schemas.microsoft.com/office/drawing/2014/main" id="{00000000-0008-0000-0200-00008F000000}"/>
            </a:ext>
          </a:extLst>
        </xdr:cNvPr>
        <xdr:cNvSpPr>
          <a:spLocks noChangeArrowheads="1"/>
        </xdr:cNvSpPr>
      </xdr:nvSpPr>
      <xdr:spPr bwMode="auto">
        <a:xfrm>
          <a:off x="2705100" y="7600950"/>
          <a:ext cx="104775" cy="85153"/>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209550</xdr:colOff>
      <xdr:row>39</xdr:row>
      <xdr:rowOff>114300</xdr:rowOff>
    </xdr:from>
    <xdr:to>
      <xdr:col>5</xdr:col>
      <xdr:colOff>438150</xdr:colOff>
      <xdr:row>39</xdr:row>
      <xdr:rowOff>114300</xdr:rowOff>
    </xdr:to>
    <xdr:sp macro="" textlink="">
      <xdr:nvSpPr>
        <xdr:cNvPr id="144" name="Line 145">
          <a:extLst>
            <a:ext uri="{FF2B5EF4-FFF2-40B4-BE49-F238E27FC236}">
              <a16:creationId xmlns:a16="http://schemas.microsoft.com/office/drawing/2014/main" id="{00000000-0008-0000-0200-000090000000}"/>
            </a:ext>
          </a:extLst>
        </xdr:cNvPr>
        <xdr:cNvSpPr>
          <a:spLocks noChangeShapeType="1"/>
        </xdr:cNvSpPr>
      </xdr:nvSpPr>
      <xdr:spPr bwMode="auto">
        <a:xfrm>
          <a:off x="2867025" y="7400925"/>
          <a:ext cx="228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361950</xdr:colOff>
      <xdr:row>39</xdr:row>
      <xdr:rowOff>85725</xdr:rowOff>
    </xdr:from>
    <xdr:to>
      <xdr:col>5</xdr:col>
      <xdr:colOff>438150</xdr:colOff>
      <xdr:row>39</xdr:row>
      <xdr:rowOff>152400</xdr:rowOff>
    </xdr:to>
    <xdr:sp macro="" textlink="">
      <xdr:nvSpPr>
        <xdr:cNvPr id="145" name="Line 146">
          <a:extLst>
            <a:ext uri="{FF2B5EF4-FFF2-40B4-BE49-F238E27FC236}">
              <a16:creationId xmlns:a16="http://schemas.microsoft.com/office/drawing/2014/main" id="{00000000-0008-0000-0200-000091000000}"/>
            </a:ext>
          </a:extLst>
        </xdr:cNvPr>
        <xdr:cNvSpPr>
          <a:spLocks noChangeShapeType="1"/>
        </xdr:cNvSpPr>
      </xdr:nvSpPr>
      <xdr:spPr bwMode="auto">
        <a:xfrm flipH="1">
          <a:off x="3019425" y="73723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40</xdr:row>
      <xdr:rowOff>38100</xdr:rowOff>
    </xdr:from>
    <xdr:to>
      <xdr:col>4</xdr:col>
      <xdr:colOff>266700</xdr:colOff>
      <xdr:row>41</xdr:row>
      <xdr:rowOff>123825</xdr:rowOff>
    </xdr:to>
    <xdr:sp macro="" textlink="">
      <xdr:nvSpPr>
        <xdr:cNvPr id="146" name="Tegning 190">
          <a:extLst>
            <a:ext uri="{FF2B5EF4-FFF2-40B4-BE49-F238E27FC236}">
              <a16:creationId xmlns:a16="http://schemas.microsoft.com/office/drawing/2014/main" id="{00000000-0008-0000-0200-000092000000}"/>
            </a:ext>
          </a:extLst>
        </xdr:cNvPr>
        <xdr:cNvSpPr>
          <a:spLocks/>
        </xdr:cNvSpPr>
      </xdr:nvSpPr>
      <xdr:spPr bwMode="auto">
        <a:xfrm>
          <a:off x="2419350" y="7524750"/>
          <a:ext cx="180975" cy="276225"/>
        </a:xfrm>
        <a:custGeom>
          <a:avLst/>
          <a:gdLst>
            <a:gd name="T0" fmla="*/ 2147483646 w 16384"/>
            <a:gd name="T1" fmla="*/ 0 h 16384"/>
            <a:gd name="T2" fmla="*/ 2147483646 w 16384"/>
            <a:gd name="T3" fmla="*/ 2147483646 h 16384"/>
            <a:gd name="T4" fmla="*/ 0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8192"/>
              </a:lnTo>
              <a:lnTo>
                <a:pt x="0" y="8192"/>
              </a:lnTo>
              <a:lnTo>
                <a:pt x="0"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219075</xdr:colOff>
      <xdr:row>39</xdr:row>
      <xdr:rowOff>28575</xdr:rowOff>
    </xdr:from>
    <xdr:to>
      <xdr:col>5</xdr:col>
      <xdr:colOff>247650</xdr:colOff>
      <xdr:row>39</xdr:row>
      <xdr:rowOff>28575</xdr:rowOff>
    </xdr:to>
    <xdr:sp macro="" textlink="">
      <xdr:nvSpPr>
        <xdr:cNvPr id="147" name="Line 148">
          <a:extLst>
            <a:ext uri="{FF2B5EF4-FFF2-40B4-BE49-F238E27FC236}">
              <a16:creationId xmlns:a16="http://schemas.microsoft.com/office/drawing/2014/main" id="{00000000-0008-0000-0200-000093000000}"/>
            </a:ext>
          </a:extLst>
        </xdr:cNvPr>
        <xdr:cNvSpPr>
          <a:spLocks noChangeShapeType="1"/>
        </xdr:cNvSpPr>
      </xdr:nvSpPr>
      <xdr:spPr bwMode="auto">
        <a:xfrm>
          <a:off x="2552700" y="7315200"/>
          <a:ext cx="352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39</xdr:row>
      <xdr:rowOff>0</xdr:rowOff>
    </xdr:from>
    <xdr:to>
      <xdr:col>4</xdr:col>
      <xdr:colOff>266700</xdr:colOff>
      <xdr:row>40</xdr:row>
      <xdr:rowOff>0</xdr:rowOff>
    </xdr:to>
    <xdr:sp macro="" textlink="">
      <xdr:nvSpPr>
        <xdr:cNvPr id="148" name="Line 149">
          <a:extLst>
            <a:ext uri="{FF2B5EF4-FFF2-40B4-BE49-F238E27FC236}">
              <a16:creationId xmlns:a16="http://schemas.microsoft.com/office/drawing/2014/main" id="{00000000-0008-0000-0200-000094000000}"/>
            </a:ext>
          </a:extLst>
        </xdr:cNvPr>
        <xdr:cNvSpPr>
          <a:spLocks noChangeShapeType="1"/>
        </xdr:cNvSpPr>
      </xdr:nvSpPr>
      <xdr:spPr bwMode="auto">
        <a:xfrm>
          <a:off x="2600325" y="7286625"/>
          <a:ext cx="0"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38</xdr:row>
      <xdr:rowOff>190500</xdr:rowOff>
    </xdr:from>
    <xdr:to>
      <xdr:col>5</xdr:col>
      <xdr:colOff>209550</xdr:colOff>
      <xdr:row>40</xdr:row>
      <xdr:rowOff>9525</xdr:rowOff>
    </xdr:to>
    <xdr:sp macro="" textlink="">
      <xdr:nvSpPr>
        <xdr:cNvPr id="149" name="Line 150">
          <a:extLst>
            <a:ext uri="{FF2B5EF4-FFF2-40B4-BE49-F238E27FC236}">
              <a16:creationId xmlns:a16="http://schemas.microsoft.com/office/drawing/2014/main" id="{00000000-0008-0000-0200-000095000000}"/>
            </a:ext>
          </a:extLst>
        </xdr:cNvPr>
        <xdr:cNvSpPr>
          <a:spLocks noChangeShapeType="1"/>
        </xdr:cNvSpPr>
      </xdr:nvSpPr>
      <xdr:spPr bwMode="auto">
        <a:xfrm>
          <a:off x="2867025" y="7286625"/>
          <a:ext cx="0"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42</xdr:row>
      <xdr:rowOff>19050</xdr:rowOff>
    </xdr:from>
    <xdr:to>
      <xdr:col>5</xdr:col>
      <xdr:colOff>657225</xdr:colOff>
      <xdr:row>42</xdr:row>
      <xdr:rowOff>19050</xdr:rowOff>
    </xdr:to>
    <xdr:sp macro="" textlink="">
      <xdr:nvSpPr>
        <xdr:cNvPr id="150" name="Line 151">
          <a:extLst>
            <a:ext uri="{FF2B5EF4-FFF2-40B4-BE49-F238E27FC236}">
              <a16:creationId xmlns:a16="http://schemas.microsoft.com/office/drawing/2014/main" id="{00000000-0008-0000-0200-000096000000}"/>
            </a:ext>
          </a:extLst>
        </xdr:cNvPr>
        <xdr:cNvSpPr>
          <a:spLocks noChangeShapeType="1"/>
        </xdr:cNvSpPr>
      </xdr:nvSpPr>
      <xdr:spPr bwMode="auto">
        <a:xfrm>
          <a:off x="2752725" y="7886700"/>
          <a:ext cx="561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41</xdr:row>
      <xdr:rowOff>47625</xdr:rowOff>
    </xdr:from>
    <xdr:to>
      <xdr:col>5</xdr:col>
      <xdr:colOff>95250</xdr:colOff>
      <xdr:row>42</xdr:row>
      <xdr:rowOff>47625</xdr:rowOff>
    </xdr:to>
    <xdr:sp macro="" textlink="">
      <xdr:nvSpPr>
        <xdr:cNvPr id="151" name="Line 152">
          <a:extLst>
            <a:ext uri="{FF2B5EF4-FFF2-40B4-BE49-F238E27FC236}">
              <a16:creationId xmlns:a16="http://schemas.microsoft.com/office/drawing/2014/main" id="{00000000-0008-0000-0200-000097000000}"/>
            </a:ext>
          </a:extLst>
        </xdr:cNvPr>
        <xdr:cNvSpPr>
          <a:spLocks noChangeShapeType="1"/>
        </xdr:cNvSpPr>
      </xdr:nvSpPr>
      <xdr:spPr bwMode="auto">
        <a:xfrm>
          <a:off x="2752725" y="772477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39</xdr:row>
      <xdr:rowOff>66675</xdr:rowOff>
    </xdr:from>
    <xdr:to>
      <xdr:col>5</xdr:col>
      <xdr:colOff>409575</xdr:colOff>
      <xdr:row>39</xdr:row>
      <xdr:rowOff>171450</xdr:rowOff>
    </xdr:to>
    <xdr:sp macro="" textlink="">
      <xdr:nvSpPr>
        <xdr:cNvPr id="152" name="Line 153">
          <a:extLst>
            <a:ext uri="{FF2B5EF4-FFF2-40B4-BE49-F238E27FC236}">
              <a16:creationId xmlns:a16="http://schemas.microsoft.com/office/drawing/2014/main" id="{00000000-0008-0000-0200-000098000000}"/>
            </a:ext>
          </a:extLst>
        </xdr:cNvPr>
        <xdr:cNvSpPr>
          <a:spLocks noChangeShapeType="1"/>
        </xdr:cNvSpPr>
      </xdr:nvSpPr>
      <xdr:spPr bwMode="auto">
        <a:xfrm flipV="1">
          <a:off x="3067050" y="7353300"/>
          <a:ext cx="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41</xdr:row>
      <xdr:rowOff>161925</xdr:rowOff>
    </xdr:from>
    <xdr:to>
      <xdr:col>4</xdr:col>
      <xdr:colOff>85725</xdr:colOff>
      <xdr:row>43</xdr:row>
      <xdr:rowOff>47625</xdr:rowOff>
    </xdr:to>
    <xdr:sp macro="" textlink="">
      <xdr:nvSpPr>
        <xdr:cNvPr id="153" name="Line 154">
          <a:extLst>
            <a:ext uri="{FF2B5EF4-FFF2-40B4-BE49-F238E27FC236}">
              <a16:creationId xmlns:a16="http://schemas.microsoft.com/office/drawing/2014/main" id="{00000000-0008-0000-0200-000099000000}"/>
            </a:ext>
          </a:extLst>
        </xdr:cNvPr>
        <xdr:cNvSpPr>
          <a:spLocks noChangeShapeType="1"/>
        </xdr:cNvSpPr>
      </xdr:nvSpPr>
      <xdr:spPr bwMode="auto">
        <a:xfrm>
          <a:off x="2419350" y="783907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41</xdr:row>
      <xdr:rowOff>161925</xdr:rowOff>
    </xdr:from>
    <xdr:to>
      <xdr:col>5</xdr:col>
      <xdr:colOff>400050</xdr:colOff>
      <xdr:row>43</xdr:row>
      <xdr:rowOff>47625</xdr:rowOff>
    </xdr:to>
    <xdr:sp macro="" textlink="">
      <xdr:nvSpPr>
        <xdr:cNvPr id="154" name="Line 155">
          <a:extLst>
            <a:ext uri="{FF2B5EF4-FFF2-40B4-BE49-F238E27FC236}">
              <a16:creationId xmlns:a16="http://schemas.microsoft.com/office/drawing/2014/main" id="{00000000-0008-0000-0200-00009A000000}"/>
            </a:ext>
          </a:extLst>
        </xdr:cNvPr>
        <xdr:cNvSpPr>
          <a:spLocks noChangeShapeType="1"/>
        </xdr:cNvSpPr>
      </xdr:nvSpPr>
      <xdr:spPr bwMode="auto">
        <a:xfrm>
          <a:off x="3057525" y="7839075"/>
          <a:ext cx="0" cy="2667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43</xdr:row>
      <xdr:rowOff>28575</xdr:rowOff>
    </xdr:from>
    <xdr:to>
      <xdr:col>5</xdr:col>
      <xdr:colOff>447675</xdr:colOff>
      <xdr:row>43</xdr:row>
      <xdr:rowOff>28575</xdr:rowOff>
    </xdr:to>
    <xdr:sp macro="" textlink="">
      <xdr:nvSpPr>
        <xdr:cNvPr id="155" name="Line 156">
          <a:extLst>
            <a:ext uri="{FF2B5EF4-FFF2-40B4-BE49-F238E27FC236}">
              <a16:creationId xmlns:a16="http://schemas.microsoft.com/office/drawing/2014/main" id="{00000000-0008-0000-0200-00009B000000}"/>
            </a:ext>
          </a:extLst>
        </xdr:cNvPr>
        <xdr:cNvSpPr>
          <a:spLocks noChangeShapeType="1"/>
        </xdr:cNvSpPr>
      </xdr:nvSpPr>
      <xdr:spPr bwMode="auto">
        <a:xfrm>
          <a:off x="2362200" y="8086725"/>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43</xdr:row>
      <xdr:rowOff>0</xdr:rowOff>
    </xdr:from>
    <xdr:to>
      <xdr:col>4</xdr:col>
      <xdr:colOff>123825</xdr:colOff>
      <xdr:row>43</xdr:row>
      <xdr:rowOff>66675</xdr:rowOff>
    </xdr:to>
    <xdr:sp macro="" textlink="">
      <xdr:nvSpPr>
        <xdr:cNvPr id="156" name="Line 157">
          <a:extLst>
            <a:ext uri="{FF2B5EF4-FFF2-40B4-BE49-F238E27FC236}">
              <a16:creationId xmlns:a16="http://schemas.microsoft.com/office/drawing/2014/main" id="{00000000-0008-0000-0200-00009C000000}"/>
            </a:ext>
          </a:extLst>
        </xdr:cNvPr>
        <xdr:cNvSpPr>
          <a:spLocks noChangeShapeType="1"/>
        </xdr:cNvSpPr>
      </xdr:nvSpPr>
      <xdr:spPr bwMode="auto">
        <a:xfrm flipH="1">
          <a:off x="2381250" y="80581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361950</xdr:colOff>
      <xdr:row>43</xdr:row>
      <xdr:rowOff>0</xdr:rowOff>
    </xdr:from>
    <xdr:to>
      <xdr:col>5</xdr:col>
      <xdr:colOff>428625</xdr:colOff>
      <xdr:row>43</xdr:row>
      <xdr:rowOff>66675</xdr:rowOff>
    </xdr:to>
    <xdr:sp macro="" textlink="">
      <xdr:nvSpPr>
        <xdr:cNvPr id="157" name="Line 158">
          <a:extLst>
            <a:ext uri="{FF2B5EF4-FFF2-40B4-BE49-F238E27FC236}">
              <a16:creationId xmlns:a16="http://schemas.microsoft.com/office/drawing/2014/main" id="{00000000-0008-0000-0200-00009D000000}"/>
            </a:ext>
          </a:extLst>
        </xdr:cNvPr>
        <xdr:cNvSpPr>
          <a:spLocks noChangeShapeType="1"/>
        </xdr:cNvSpPr>
      </xdr:nvSpPr>
      <xdr:spPr bwMode="auto">
        <a:xfrm flipH="1">
          <a:off x="3019425" y="8058150"/>
          <a:ext cx="666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41</xdr:row>
      <xdr:rowOff>161925</xdr:rowOff>
    </xdr:from>
    <xdr:to>
      <xdr:col>5</xdr:col>
      <xdr:colOff>142875</xdr:colOff>
      <xdr:row>42</xdr:row>
      <xdr:rowOff>47625</xdr:rowOff>
    </xdr:to>
    <xdr:sp macro="" textlink="">
      <xdr:nvSpPr>
        <xdr:cNvPr id="158" name="Line 159">
          <a:extLst>
            <a:ext uri="{FF2B5EF4-FFF2-40B4-BE49-F238E27FC236}">
              <a16:creationId xmlns:a16="http://schemas.microsoft.com/office/drawing/2014/main" id="{00000000-0008-0000-0200-00009E000000}"/>
            </a:ext>
          </a:extLst>
        </xdr:cNvPr>
        <xdr:cNvSpPr>
          <a:spLocks noChangeShapeType="1"/>
        </xdr:cNvSpPr>
      </xdr:nvSpPr>
      <xdr:spPr bwMode="auto">
        <a:xfrm flipH="1">
          <a:off x="2724150" y="783907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39</xdr:row>
      <xdr:rowOff>0</xdr:rowOff>
    </xdr:from>
    <xdr:to>
      <xdr:col>4</xdr:col>
      <xdr:colOff>295275</xdr:colOff>
      <xdr:row>39</xdr:row>
      <xdr:rowOff>66675</xdr:rowOff>
    </xdr:to>
    <xdr:sp macro="" textlink="">
      <xdr:nvSpPr>
        <xdr:cNvPr id="159" name="Line 160">
          <a:extLst>
            <a:ext uri="{FF2B5EF4-FFF2-40B4-BE49-F238E27FC236}">
              <a16:creationId xmlns:a16="http://schemas.microsoft.com/office/drawing/2014/main" id="{00000000-0008-0000-0200-00009F000000}"/>
            </a:ext>
          </a:extLst>
        </xdr:cNvPr>
        <xdr:cNvSpPr>
          <a:spLocks noChangeShapeType="1"/>
        </xdr:cNvSpPr>
      </xdr:nvSpPr>
      <xdr:spPr bwMode="auto">
        <a:xfrm flipH="1">
          <a:off x="2552700" y="728662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39</xdr:row>
      <xdr:rowOff>0</xdr:rowOff>
    </xdr:from>
    <xdr:to>
      <xdr:col>5</xdr:col>
      <xdr:colOff>238125</xdr:colOff>
      <xdr:row>39</xdr:row>
      <xdr:rowOff>76200</xdr:rowOff>
    </xdr:to>
    <xdr:sp macro="" textlink="">
      <xdr:nvSpPr>
        <xdr:cNvPr id="160" name="Line 161">
          <a:extLst>
            <a:ext uri="{FF2B5EF4-FFF2-40B4-BE49-F238E27FC236}">
              <a16:creationId xmlns:a16="http://schemas.microsoft.com/office/drawing/2014/main" id="{00000000-0008-0000-0200-0000A0000000}"/>
            </a:ext>
          </a:extLst>
        </xdr:cNvPr>
        <xdr:cNvSpPr>
          <a:spLocks noChangeShapeType="1"/>
        </xdr:cNvSpPr>
      </xdr:nvSpPr>
      <xdr:spPr bwMode="auto">
        <a:xfrm flipH="1">
          <a:off x="2828925" y="7286625"/>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39</xdr:row>
      <xdr:rowOff>85725</xdr:rowOff>
    </xdr:from>
    <xdr:to>
      <xdr:col>5</xdr:col>
      <xdr:colOff>238125</xdr:colOff>
      <xdr:row>39</xdr:row>
      <xdr:rowOff>152400</xdr:rowOff>
    </xdr:to>
    <xdr:sp macro="" textlink="">
      <xdr:nvSpPr>
        <xdr:cNvPr id="161" name="Line 162">
          <a:extLst>
            <a:ext uri="{FF2B5EF4-FFF2-40B4-BE49-F238E27FC236}">
              <a16:creationId xmlns:a16="http://schemas.microsoft.com/office/drawing/2014/main" id="{00000000-0008-0000-0200-0000A1000000}"/>
            </a:ext>
          </a:extLst>
        </xdr:cNvPr>
        <xdr:cNvSpPr>
          <a:spLocks noChangeShapeType="1"/>
        </xdr:cNvSpPr>
      </xdr:nvSpPr>
      <xdr:spPr bwMode="auto">
        <a:xfrm flipH="1">
          <a:off x="2828925" y="7372350"/>
          <a:ext cx="66675"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40</xdr:row>
      <xdr:rowOff>28575</xdr:rowOff>
    </xdr:from>
    <xdr:to>
      <xdr:col>5</xdr:col>
      <xdr:colOff>409575</xdr:colOff>
      <xdr:row>41</xdr:row>
      <xdr:rowOff>133350</xdr:rowOff>
    </xdr:to>
    <xdr:sp macro="" textlink="">
      <xdr:nvSpPr>
        <xdr:cNvPr id="162" name="Tegning 206">
          <a:extLst>
            <a:ext uri="{FF2B5EF4-FFF2-40B4-BE49-F238E27FC236}">
              <a16:creationId xmlns:a16="http://schemas.microsoft.com/office/drawing/2014/main" id="{00000000-0008-0000-0200-0000A2000000}"/>
            </a:ext>
          </a:extLst>
        </xdr:cNvPr>
        <xdr:cNvSpPr>
          <a:spLocks/>
        </xdr:cNvSpPr>
      </xdr:nvSpPr>
      <xdr:spPr bwMode="auto">
        <a:xfrm>
          <a:off x="2257425" y="7515225"/>
          <a:ext cx="809625" cy="2952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16384" y="0"/>
              </a:lnTo>
              <a:lnTo>
                <a:pt x="16384" y="16384"/>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209550</xdr:colOff>
      <xdr:row>40</xdr:row>
      <xdr:rowOff>38100</xdr:rowOff>
    </xdr:from>
    <xdr:to>
      <xdr:col>5</xdr:col>
      <xdr:colOff>400050</xdr:colOff>
      <xdr:row>41</xdr:row>
      <xdr:rowOff>0</xdr:rowOff>
    </xdr:to>
    <xdr:sp macro="" textlink="">
      <xdr:nvSpPr>
        <xdr:cNvPr id="163" name="Tegning 207">
          <a:extLst>
            <a:ext uri="{FF2B5EF4-FFF2-40B4-BE49-F238E27FC236}">
              <a16:creationId xmlns:a16="http://schemas.microsoft.com/office/drawing/2014/main" id="{00000000-0008-0000-0200-0000A3000000}"/>
            </a:ext>
          </a:extLst>
        </xdr:cNvPr>
        <xdr:cNvSpPr>
          <a:spLocks/>
        </xdr:cNvSpPr>
      </xdr:nvSpPr>
      <xdr:spPr bwMode="auto">
        <a:xfrm>
          <a:off x="2867025" y="7524750"/>
          <a:ext cx="190500" cy="152400"/>
        </a:xfrm>
        <a:custGeom>
          <a:avLst/>
          <a:gdLst>
            <a:gd name="T0" fmla="*/ 0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0" y="16384"/>
              </a:lnTo>
              <a:lnTo>
                <a:pt x="16384"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38</xdr:row>
      <xdr:rowOff>123825</xdr:rowOff>
    </xdr:from>
    <xdr:to>
      <xdr:col>5</xdr:col>
      <xdr:colOff>742950</xdr:colOff>
      <xdr:row>38</xdr:row>
      <xdr:rowOff>123825</xdr:rowOff>
    </xdr:to>
    <xdr:sp macro="" textlink="">
      <xdr:nvSpPr>
        <xdr:cNvPr id="164" name="Line 165">
          <a:extLst>
            <a:ext uri="{FF2B5EF4-FFF2-40B4-BE49-F238E27FC236}">
              <a16:creationId xmlns:a16="http://schemas.microsoft.com/office/drawing/2014/main" id="{00000000-0008-0000-0200-0000A4000000}"/>
            </a:ext>
          </a:extLst>
        </xdr:cNvPr>
        <xdr:cNvSpPr>
          <a:spLocks noChangeShapeType="1"/>
        </xdr:cNvSpPr>
      </xdr:nvSpPr>
      <xdr:spPr bwMode="auto">
        <a:xfrm>
          <a:off x="2914650" y="7219950"/>
          <a:ext cx="485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42</xdr:row>
      <xdr:rowOff>114300</xdr:rowOff>
    </xdr:from>
    <xdr:to>
      <xdr:col>5</xdr:col>
      <xdr:colOff>733425</xdr:colOff>
      <xdr:row>42</xdr:row>
      <xdr:rowOff>114300</xdr:rowOff>
    </xdr:to>
    <xdr:sp macro="" textlink="">
      <xdr:nvSpPr>
        <xdr:cNvPr id="165" name="Line 166">
          <a:extLst>
            <a:ext uri="{FF2B5EF4-FFF2-40B4-BE49-F238E27FC236}">
              <a16:creationId xmlns:a16="http://schemas.microsoft.com/office/drawing/2014/main" id="{00000000-0008-0000-0200-0000A5000000}"/>
            </a:ext>
          </a:extLst>
        </xdr:cNvPr>
        <xdr:cNvSpPr>
          <a:spLocks noChangeShapeType="1"/>
        </xdr:cNvSpPr>
      </xdr:nvSpPr>
      <xdr:spPr bwMode="auto">
        <a:xfrm flipH="1">
          <a:off x="2924175" y="7981950"/>
          <a:ext cx="466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18</xdr:row>
      <xdr:rowOff>85725</xdr:rowOff>
    </xdr:from>
    <xdr:to>
      <xdr:col>2</xdr:col>
      <xdr:colOff>209550</xdr:colOff>
      <xdr:row>18</xdr:row>
      <xdr:rowOff>85725</xdr:rowOff>
    </xdr:to>
    <xdr:sp macro="" textlink="">
      <xdr:nvSpPr>
        <xdr:cNvPr id="166" name="Line 167">
          <a:extLst>
            <a:ext uri="{FF2B5EF4-FFF2-40B4-BE49-F238E27FC236}">
              <a16:creationId xmlns:a16="http://schemas.microsoft.com/office/drawing/2014/main" id="{00000000-0008-0000-0200-0000A6000000}"/>
            </a:ext>
          </a:extLst>
        </xdr:cNvPr>
        <xdr:cNvSpPr>
          <a:spLocks noChangeShapeType="1"/>
        </xdr:cNvSpPr>
      </xdr:nvSpPr>
      <xdr:spPr bwMode="auto">
        <a:xfrm flipH="1">
          <a:off x="971550" y="3333750"/>
          <a:ext cx="6191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17</xdr:row>
      <xdr:rowOff>0</xdr:rowOff>
    </xdr:from>
    <xdr:to>
      <xdr:col>2</xdr:col>
      <xdr:colOff>38100</xdr:colOff>
      <xdr:row>17</xdr:row>
      <xdr:rowOff>0</xdr:rowOff>
    </xdr:to>
    <xdr:sp macro="" textlink="">
      <xdr:nvSpPr>
        <xdr:cNvPr id="167" name="Line 168">
          <a:extLst>
            <a:ext uri="{FF2B5EF4-FFF2-40B4-BE49-F238E27FC236}">
              <a16:creationId xmlns:a16="http://schemas.microsoft.com/office/drawing/2014/main" id="{00000000-0008-0000-0200-0000A7000000}"/>
            </a:ext>
          </a:extLst>
        </xdr:cNvPr>
        <xdr:cNvSpPr>
          <a:spLocks noChangeShapeType="1"/>
        </xdr:cNvSpPr>
      </xdr:nvSpPr>
      <xdr:spPr bwMode="auto">
        <a:xfrm flipH="1">
          <a:off x="952500" y="3048000"/>
          <a:ext cx="4667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1123950</xdr:colOff>
      <xdr:row>16</xdr:row>
      <xdr:rowOff>180975</xdr:rowOff>
    </xdr:from>
    <xdr:to>
      <xdr:col>0</xdr:col>
      <xdr:colOff>1123950</xdr:colOff>
      <xdr:row>18</xdr:row>
      <xdr:rowOff>123825</xdr:rowOff>
    </xdr:to>
    <xdr:sp macro="" textlink="">
      <xdr:nvSpPr>
        <xdr:cNvPr id="168" name="Line 169">
          <a:extLst>
            <a:ext uri="{FF2B5EF4-FFF2-40B4-BE49-F238E27FC236}">
              <a16:creationId xmlns:a16="http://schemas.microsoft.com/office/drawing/2014/main" id="{00000000-0008-0000-0200-0000A8000000}"/>
            </a:ext>
          </a:extLst>
        </xdr:cNvPr>
        <xdr:cNvSpPr>
          <a:spLocks noChangeShapeType="1"/>
        </xdr:cNvSpPr>
      </xdr:nvSpPr>
      <xdr:spPr bwMode="auto">
        <a:xfrm>
          <a:off x="1123950" y="3038475"/>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1095375</xdr:colOff>
      <xdr:row>16</xdr:row>
      <xdr:rowOff>161925</xdr:rowOff>
    </xdr:from>
    <xdr:to>
      <xdr:col>0</xdr:col>
      <xdr:colOff>1152525</xdr:colOff>
      <xdr:row>17</xdr:row>
      <xdr:rowOff>19050</xdr:rowOff>
    </xdr:to>
    <xdr:sp macro="" textlink="">
      <xdr:nvSpPr>
        <xdr:cNvPr id="169" name="Line 170">
          <a:extLst>
            <a:ext uri="{FF2B5EF4-FFF2-40B4-BE49-F238E27FC236}">
              <a16:creationId xmlns:a16="http://schemas.microsoft.com/office/drawing/2014/main" id="{00000000-0008-0000-0200-0000A9000000}"/>
            </a:ext>
          </a:extLst>
        </xdr:cNvPr>
        <xdr:cNvSpPr>
          <a:spLocks noChangeShapeType="1"/>
        </xdr:cNvSpPr>
      </xdr:nvSpPr>
      <xdr:spPr bwMode="auto">
        <a:xfrm flipH="1">
          <a:off x="1095375" y="3019425"/>
          <a:ext cx="47625" cy="47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1095375</xdr:colOff>
      <xdr:row>18</xdr:row>
      <xdr:rowOff>57150</xdr:rowOff>
    </xdr:from>
    <xdr:to>
      <xdr:col>0</xdr:col>
      <xdr:colOff>1143000</xdr:colOff>
      <xdr:row>18</xdr:row>
      <xdr:rowOff>114300</xdr:rowOff>
    </xdr:to>
    <xdr:sp macro="" textlink="">
      <xdr:nvSpPr>
        <xdr:cNvPr id="170" name="Line 171">
          <a:extLst>
            <a:ext uri="{FF2B5EF4-FFF2-40B4-BE49-F238E27FC236}">
              <a16:creationId xmlns:a16="http://schemas.microsoft.com/office/drawing/2014/main" id="{00000000-0008-0000-0200-0000AA000000}"/>
            </a:ext>
          </a:extLst>
        </xdr:cNvPr>
        <xdr:cNvSpPr>
          <a:spLocks noChangeShapeType="1"/>
        </xdr:cNvSpPr>
      </xdr:nvSpPr>
      <xdr:spPr bwMode="auto">
        <a:xfrm flipH="1">
          <a:off x="1095375" y="3305175"/>
          <a:ext cx="47625"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485775</xdr:colOff>
      <xdr:row>40</xdr:row>
      <xdr:rowOff>38100</xdr:rowOff>
    </xdr:from>
    <xdr:to>
      <xdr:col>6</xdr:col>
      <xdr:colOff>390525</xdr:colOff>
      <xdr:row>40</xdr:row>
      <xdr:rowOff>38100</xdr:rowOff>
    </xdr:to>
    <xdr:sp macro="" textlink="">
      <xdr:nvSpPr>
        <xdr:cNvPr id="171" name="Line 172">
          <a:extLst>
            <a:ext uri="{FF2B5EF4-FFF2-40B4-BE49-F238E27FC236}">
              <a16:creationId xmlns:a16="http://schemas.microsoft.com/office/drawing/2014/main" id="{00000000-0008-0000-0200-0000AB000000}"/>
            </a:ext>
          </a:extLst>
        </xdr:cNvPr>
        <xdr:cNvSpPr>
          <a:spLocks noChangeShapeType="1"/>
        </xdr:cNvSpPr>
      </xdr:nvSpPr>
      <xdr:spPr bwMode="auto">
        <a:xfrm>
          <a:off x="3143250" y="7524750"/>
          <a:ext cx="657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142875</xdr:colOff>
      <xdr:row>41</xdr:row>
      <xdr:rowOff>133350</xdr:rowOff>
    </xdr:from>
    <xdr:to>
      <xdr:col>6</xdr:col>
      <xdr:colOff>371475</xdr:colOff>
      <xdr:row>41</xdr:row>
      <xdr:rowOff>133350</xdr:rowOff>
    </xdr:to>
    <xdr:sp macro="" textlink="">
      <xdr:nvSpPr>
        <xdr:cNvPr id="172" name="Line 173">
          <a:extLst>
            <a:ext uri="{FF2B5EF4-FFF2-40B4-BE49-F238E27FC236}">
              <a16:creationId xmlns:a16="http://schemas.microsoft.com/office/drawing/2014/main" id="{00000000-0008-0000-0200-0000AC000000}"/>
            </a:ext>
          </a:extLst>
        </xdr:cNvPr>
        <xdr:cNvSpPr>
          <a:spLocks noChangeShapeType="1"/>
        </xdr:cNvSpPr>
      </xdr:nvSpPr>
      <xdr:spPr bwMode="auto">
        <a:xfrm>
          <a:off x="3552825" y="7810500"/>
          <a:ext cx="2286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342900</xdr:colOff>
      <xdr:row>40</xdr:row>
      <xdr:rowOff>9525</xdr:rowOff>
    </xdr:from>
    <xdr:to>
      <xdr:col>6</xdr:col>
      <xdr:colOff>342900</xdr:colOff>
      <xdr:row>41</xdr:row>
      <xdr:rowOff>161925</xdr:rowOff>
    </xdr:to>
    <xdr:sp macro="" textlink="">
      <xdr:nvSpPr>
        <xdr:cNvPr id="173" name="Line 174">
          <a:extLst>
            <a:ext uri="{FF2B5EF4-FFF2-40B4-BE49-F238E27FC236}">
              <a16:creationId xmlns:a16="http://schemas.microsoft.com/office/drawing/2014/main" id="{00000000-0008-0000-0200-0000AD000000}"/>
            </a:ext>
          </a:extLst>
        </xdr:cNvPr>
        <xdr:cNvSpPr>
          <a:spLocks noChangeShapeType="1"/>
        </xdr:cNvSpPr>
      </xdr:nvSpPr>
      <xdr:spPr bwMode="auto">
        <a:xfrm>
          <a:off x="3752850" y="7496175"/>
          <a:ext cx="0" cy="342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314325</xdr:colOff>
      <xdr:row>40</xdr:row>
      <xdr:rowOff>0</xdr:rowOff>
    </xdr:from>
    <xdr:to>
      <xdr:col>6</xdr:col>
      <xdr:colOff>390525</xdr:colOff>
      <xdr:row>40</xdr:row>
      <xdr:rowOff>66675</xdr:rowOff>
    </xdr:to>
    <xdr:sp macro="" textlink="">
      <xdr:nvSpPr>
        <xdr:cNvPr id="174" name="Line 175">
          <a:extLst>
            <a:ext uri="{FF2B5EF4-FFF2-40B4-BE49-F238E27FC236}">
              <a16:creationId xmlns:a16="http://schemas.microsoft.com/office/drawing/2014/main" id="{00000000-0008-0000-0200-0000AE000000}"/>
            </a:ext>
          </a:extLst>
        </xdr:cNvPr>
        <xdr:cNvSpPr>
          <a:spLocks noChangeShapeType="1"/>
        </xdr:cNvSpPr>
      </xdr:nvSpPr>
      <xdr:spPr bwMode="auto">
        <a:xfrm flipH="1">
          <a:off x="3724275" y="74866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304800</xdr:colOff>
      <xdr:row>41</xdr:row>
      <xdr:rowOff>85725</xdr:rowOff>
    </xdr:from>
    <xdr:to>
      <xdr:col>6</xdr:col>
      <xdr:colOff>381000</xdr:colOff>
      <xdr:row>41</xdr:row>
      <xdr:rowOff>161925</xdr:rowOff>
    </xdr:to>
    <xdr:sp macro="" textlink="">
      <xdr:nvSpPr>
        <xdr:cNvPr id="175" name="Line 176">
          <a:extLst>
            <a:ext uri="{FF2B5EF4-FFF2-40B4-BE49-F238E27FC236}">
              <a16:creationId xmlns:a16="http://schemas.microsoft.com/office/drawing/2014/main" id="{00000000-0008-0000-0200-0000AF000000}"/>
            </a:ext>
          </a:extLst>
        </xdr:cNvPr>
        <xdr:cNvSpPr>
          <a:spLocks noChangeShapeType="1"/>
        </xdr:cNvSpPr>
      </xdr:nvSpPr>
      <xdr:spPr bwMode="auto">
        <a:xfrm flipH="1">
          <a:off x="3714750" y="776287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41</xdr:row>
      <xdr:rowOff>171450</xdr:rowOff>
    </xdr:from>
    <xdr:to>
      <xdr:col>5</xdr:col>
      <xdr:colOff>447675</xdr:colOff>
      <xdr:row>42</xdr:row>
      <xdr:rowOff>66675</xdr:rowOff>
    </xdr:to>
    <xdr:sp macro="" textlink="">
      <xdr:nvSpPr>
        <xdr:cNvPr id="176" name="Line 177">
          <a:extLst>
            <a:ext uri="{FF2B5EF4-FFF2-40B4-BE49-F238E27FC236}">
              <a16:creationId xmlns:a16="http://schemas.microsoft.com/office/drawing/2014/main" id="{00000000-0008-0000-0200-0000B0000000}"/>
            </a:ext>
          </a:extLst>
        </xdr:cNvPr>
        <xdr:cNvSpPr>
          <a:spLocks noChangeShapeType="1"/>
        </xdr:cNvSpPr>
      </xdr:nvSpPr>
      <xdr:spPr bwMode="auto">
        <a:xfrm flipH="1">
          <a:off x="3038475" y="7848600"/>
          <a:ext cx="666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21</xdr:row>
      <xdr:rowOff>19050</xdr:rowOff>
    </xdr:from>
    <xdr:to>
      <xdr:col>5</xdr:col>
      <xdr:colOff>409575</xdr:colOff>
      <xdr:row>21</xdr:row>
      <xdr:rowOff>114300</xdr:rowOff>
    </xdr:to>
    <xdr:sp macro="" textlink="">
      <xdr:nvSpPr>
        <xdr:cNvPr id="177" name="Line 178">
          <a:extLst>
            <a:ext uri="{FF2B5EF4-FFF2-40B4-BE49-F238E27FC236}">
              <a16:creationId xmlns:a16="http://schemas.microsoft.com/office/drawing/2014/main" id="{00000000-0008-0000-0200-0000B1000000}"/>
            </a:ext>
          </a:extLst>
        </xdr:cNvPr>
        <xdr:cNvSpPr>
          <a:spLocks noChangeShapeType="1"/>
        </xdr:cNvSpPr>
      </xdr:nvSpPr>
      <xdr:spPr bwMode="auto">
        <a:xfrm flipH="1" flipV="1">
          <a:off x="2962275" y="3848100"/>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20</xdr:row>
      <xdr:rowOff>142875</xdr:rowOff>
    </xdr:from>
    <xdr:to>
      <xdr:col>5</xdr:col>
      <xdr:colOff>38100</xdr:colOff>
      <xdr:row>21</xdr:row>
      <xdr:rowOff>47625</xdr:rowOff>
    </xdr:to>
    <xdr:sp macro="" textlink="">
      <xdr:nvSpPr>
        <xdr:cNvPr id="178" name="Tegning 222">
          <a:extLst>
            <a:ext uri="{FF2B5EF4-FFF2-40B4-BE49-F238E27FC236}">
              <a16:creationId xmlns:a16="http://schemas.microsoft.com/office/drawing/2014/main" id="{00000000-0008-0000-0200-0000B2000000}"/>
            </a:ext>
          </a:extLst>
        </xdr:cNvPr>
        <xdr:cNvSpPr>
          <a:spLocks/>
        </xdr:cNvSpPr>
      </xdr:nvSpPr>
      <xdr:spPr bwMode="auto">
        <a:xfrm>
          <a:off x="1847850" y="3771900"/>
          <a:ext cx="847725" cy="104775"/>
        </a:xfrm>
        <a:custGeom>
          <a:avLst/>
          <a:gdLst>
            <a:gd name="T0" fmla="*/ 2147483646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762" y="2891"/>
              </a:moveTo>
              <a:lnTo>
                <a:pt x="0" y="8674"/>
              </a:lnTo>
              <a:lnTo>
                <a:pt x="1016" y="16384"/>
              </a:lnTo>
              <a:lnTo>
                <a:pt x="0" y="8674"/>
              </a:lnTo>
              <a:lnTo>
                <a:pt x="16384" y="8674"/>
              </a:lnTo>
              <a:lnTo>
                <a:pt x="15241" y="0"/>
              </a:lnTo>
              <a:lnTo>
                <a:pt x="16257" y="7710"/>
              </a:lnTo>
              <a:lnTo>
                <a:pt x="15368" y="14456"/>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400050</xdr:colOff>
      <xdr:row>20</xdr:row>
      <xdr:rowOff>95250</xdr:rowOff>
    </xdr:from>
    <xdr:to>
      <xdr:col>2</xdr:col>
      <xdr:colOff>476250</xdr:colOff>
      <xdr:row>21</xdr:row>
      <xdr:rowOff>95250</xdr:rowOff>
    </xdr:to>
    <xdr:sp macro="" textlink="">
      <xdr:nvSpPr>
        <xdr:cNvPr id="179" name="Tegning 223">
          <a:extLst>
            <a:ext uri="{FF2B5EF4-FFF2-40B4-BE49-F238E27FC236}">
              <a16:creationId xmlns:a16="http://schemas.microsoft.com/office/drawing/2014/main" id="{00000000-0008-0000-0200-0000B3000000}"/>
            </a:ext>
          </a:extLst>
        </xdr:cNvPr>
        <xdr:cNvSpPr>
          <a:spLocks/>
        </xdr:cNvSpPr>
      </xdr:nvSpPr>
      <xdr:spPr bwMode="auto">
        <a:xfrm>
          <a:off x="1781175" y="3724275"/>
          <a:ext cx="76200" cy="200025"/>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2493"/>
              </a:moveTo>
              <a:lnTo>
                <a:pt x="6746" y="0"/>
              </a:lnTo>
              <a:lnTo>
                <a:pt x="14456" y="2849"/>
              </a:lnTo>
              <a:lnTo>
                <a:pt x="7710" y="356"/>
              </a:lnTo>
              <a:lnTo>
                <a:pt x="7710" y="16384"/>
              </a:lnTo>
              <a:lnTo>
                <a:pt x="0" y="13535"/>
              </a:lnTo>
              <a:lnTo>
                <a:pt x="7710" y="16384"/>
              </a:lnTo>
              <a:lnTo>
                <a:pt x="16384" y="13178"/>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76200</xdr:colOff>
      <xdr:row>20</xdr:row>
      <xdr:rowOff>95250</xdr:rowOff>
    </xdr:from>
    <xdr:to>
      <xdr:col>5</xdr:col>
      <xdr:colOff>152400</xdr:colOff>
      <xdr:row>21</xdr:row>
      <xdr:rowOff>95250</xdr:rowOff>
    </xdr:to>
    <xdr:sp macro="" textlink="">
      <xdr:nvSpPr>
        <xdr:cNvPr id="180" name="Tegning 224">
          <a:extLst>
            <a:ext uri="{FF2B5EF4-FFF2-40B4-BE49-F238E27FC236}">
              <a16:creationId xmlns:a16="http://schemas.microsoft.com/office/drawing/2014/main" id="{00000000-0008-0000-0200-0000B4000000}"/>
            </a:ext>
          </a:extLst>
        </xdr:cNvPr>
        <xdr:cNvSpPr>
          <a:spLocks/>
        </xdr:cNvSpPr>
      </xdr:nvSpPr>
      <xdr:spPr bwMode="auto">
        <a:xfrm>
          <a:off x="2733675" y="3724275"/>
          <a:ext cx="76200" cy="200025"/>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2493"/>
              </a:moveTo>
              <a:lnTo>
                <a:pt x="6746" y="0"/>
              </a:lnTo>
              <a:lnTo>
                <a:pt x="14456" y="2849"/>
              </a:lnTo>
              <a:lnTo>
                <a:pt x="7710" y="356"/>
              </a:lnTo>
              <a:lnTo>
                <a:pt x="7710" y="16384"/>
              </a:lnTo>
              <a:lnTo>
                <a:pt x="0" y="13535"/>
              </a:lnTo>
              <a:lnTo>
                <a:pt x="7710" y="16384"/>
              </a:lnTo>
              <a:lnTo>
                <a:pt x="16384" y="13178"/>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447675</xdr:colOff>
      <xdr:row>21</xdr:row>
      <xdr:rowOff>76200</xdr:rowOff>
    </xdr:from>
    <xdr:to>
      <xdr:col>5</xdr:col>
      <xdr:colOff>104775</xdr:colOff>
      <xdr:row>21</xdr:row>
      <xdr:rowOff>152400</xdr:rowOff>
    </xdr:to>
    <xdr:sp macro="" textlink="">
      <xdr:nvSpPr>
        <xdr:cNvPr id="181" name="Tegning 225">
          <a:extLst>
            <a:ext uri="{FF2B5EF4-FFF2-40B4-BE49-F238E27FC236}">
              <a16:creationId xmlns:a16="http://schemas.microsoft.com/office/drawing/2014/main" id="{00000000-0008-0000-0200-0000B5000000}"/>
            </a:ext>
          </a:extLst>
        </xdr:cNvPr>
        <xdr:cNvSpPr>
          <a:spLocks/>
        </xdr:cNvSpPr>
      </xdr:nvSpPr>
      <xdr:spPr bwMode="auto">
        <a:xfrm>
          <a:off x="1828800" y="3905250"/>
          <a:ext cx="933450" cy="76200"/>
        </a:xfrm>
        <a:custGeom>
          <a:avLst/>
          <a:gdLst>
            <a:gd name="T0" fmla="*/ 2147483646 w 16384"/>
            <a:gd name="T1" fmla="*/ 0 h 16384"/>
            <a:gd name="T2" fmla="*/ 0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701" y="0"/>
              </a:moveTo>
              <a:lnTo>
                <a:pt x="0" y="8192"/>
              </a:lnTo>
              <a:lnTo>
                <a:pt x="701" y="16384"/>
              </a:lnTo>
              <a:lnTo>
                <a:pt x="0" y="8192"/>
              </a:lnTo>
              <a:lnTo>
                <a:pt x="16384" y="8192"/>
              </a:lnTo>
              <a:lnTo>
                <a:pt x="15683" y="0"/>
              </a:lnTo>
              <a:lnTo>
                <a:pt x="16296" y="7168"/>
              </a:lnTo>
              <a:lnTo>
                <a:pt x="15508"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228600</xdr:colOff>
      <xdr:row>19</xdr:row>
      <xdr:rowOff>190500</xdr:rowOff>
    </xdr:from>
    <xdr:to>
      <xdr:col>3</xdr:col>
      <xdr:colOff>238125</xdr:colOff>
      <xdr:row>20</xdr:row>
      <xdr:rowOff>200025</xdr:rowOff>
    </xdr:to>
    <xdr:sp macro="" textlink="">
      <xdr:nvSpPr>
        <xdr:cNvPr id="182" name="Line 183">
          <a:extLst>
            <a:ext uri="{FF2B5EF4-FFF2-40B4-BE49-F238E27FC236}">
              <a16:creationId xmlns:a16="http://schemas.microsoft.com/office/drawing/2014/main" id="{00000000-0008-0000-0200-0000B6000000}"/>
            </a:ext>
          </a:extLst>
        </xdr:cNvPr>
        <xdr:cNvSpPr>
          <a:spLocks noChangeShapeType="1"/>
        </xdr:cNvSpPr>
      </xdr:nvSpPr>
      <xdr:spPr bwMode="auto">
        <a:xfrm>
          <a:off x="2190750" y="3629025"/>
          <a:ext cx="9525"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428625</xdr:colOff>
      <xdr:row>19</xdr:row>
      <xdr:rowOff>180975</xdr:rowOff>
    </xdr:from>
    <xdr:to>
      <xdr:col>2</xdr:col>
      <xdr:colOff>476250</xdr:colOff>
      <xdr:row>20</xdr:row>
      <xdr:rowOff>95250</xdr:rowOff>
    </xdr:to>
    <xdr:sp macro="" textlink="">
      <xdr:nvSpPr>
        <xdr:cNvPr id="183" name="Line 184">
          <a:extLst>
            <a:ext uri="{FF2B5EF4-FFF2-40B4-BE49-F238E27FC236}">
              <a16:creationId xmlns:a16="http://schemas.microsoft.com/office/drawing/2014/main" id="{00000000-0008-0000-0200-0000B7000000}"/>
            </a:ext>
          </a:extLst>
        </xdr:cNvPr>
        <xdr:cNvSpPr>
          <a:spLocks noChangeShapeType="1"/>
        </xdr:cNvSpPr>
      </xdr:nvSpPr>
      <xdr:spPr bwMode="auto">
        <a:xfrm flipH="1">
          <a:off x="1809750" y="3619500"/>
          <a:ext cx="476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19</xdr:row>
      <xdr:rowOff>180975</xdr:rowOff>
    </xdr:from>
    <xdr:to>
      <xdr:col>5</xdr:col>
      <xdr:colOff>123825</xdr:colOff>
      <xdr:row>20</xdr:row>
      <xdr:rowOff>104775</xdr:rowOff>
    </xdr:to>
    <xdr:sp macro="" textlink="">
      <xdr:nvSpPr>
        <xdr:cNvPr id="184" name="Line 185">
          <a:extLst>
            <a:ext uri="{FF2B5EF4-FFF2-40B4-BE49-F238E27FC236}">
              <a16:creationId xmlns:a16="http://schemas.microsoft.com/office/drawing/2014/main" id="{00000000-0008-0000-0200-0000B8000000}"/>
            </a:ext>
          </a:extLst>
        </xdr:cNvPr>
        <xdr:cNvSpPr>
          <a:spLocks noChangeShapeType="1"/>
        </xdr:cNvSpPr>
      </xdr:nvSpPr>
      <xdr:spPr bwMode="auto">
        <a:xfrm>
          <a:off x="2743200" y="3619500"/>
          <a:ext cx="381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24</xdr:row>
      <xdr:rowOff>180975</xdr:rowOff>
    </xdr:from>
    <xdr:to>
      <xdr:col>3</xdr:col>
      <xdr:colOff>57150</xdr:colOff>
      <xdr:row>26</xdr:row>
      <xdr:rowOff>28575</xdr:rowOff>
    </xdr:to>
    <xdr:sp macro="" textlink="">
      <xdr:nvSpPr>
        <xdr:cNvPr id="185" name="Tegning 229">
          <a:extLst>
            <a:ext uri="{FF2B5EF4-FFF2-40B4-BE49-F238E27FC236}">
              <a16:creationId xmlns:a16="http://schemas.microsoft.com/office/drawing/2014/main" id="{00000000-0008-0000-0200-0000B9000000}"/>
            </a:ext>
          </a:extLst>
        </xdr:cNvPr>
        <xdr:cNvSpPr>
          <a:spLocks/>
        </xdr:cNvSpPr>
      </xdr:nvSpPr>
      <xdr:spPr bwMode="auto">
        <a:xfrm>
          <a:off x="1885950" y="4591050"/>
          <a:ext cx="133350" cy="228600"/>
        </a:xfrm>
        <a:custGeom>
          <a:avLst/>
          <a:gdLst>
            <a:gd name="T0" fmla="*/ 2147483646 w 16384"/>
            <a:gd name="T1" fmla="*/ 0 h 16384"/>
            <a:gd name="T2" fmla="*/ 2147483646 w 16384"/>
            <a:gd name="T3" fmla="*/ 2147483646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0" y="12047"/>
              </a:lnTo>
              <a:lnTo>
                <a:pt x="8192" y="16384"/>
              </a:lnTo>
              <a:lnTo>
                <a:pt x="16384" y="12047"/>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171450</xdr:colOff>
      <xdr:row>23</xdr:row>
      <xdr:rowOff>209550</xdr:rowOff>
    </xdr:from>
    <xdr:to>
      <xdr:col>5</xdr:col>
      <xdr:colOff>0</xdr:colOff>
      <xdr:row>25</xdr:row>
      <xdr:rowOff>28575</xdr:rowOff>
    </xdr:to>
    <xdr:sp macro="" textlink="">
      <xdr:nvSpPr>
        <xdr:cNvPr id="186" name="Tegning 230">
          <a:extLst>
            <a:ext uri="{FF2B5EF4-FFF2-40B4-BE49-F238E27FC236}">
              <a16:creationId xmlns:a16="http://schemas.microsoft.com/office/drawing/2014/main" id="{00000000-0008-0000-0200-0000BA000000}"/>
            </a:ext>
          </a:extLst>
        </xdr:cNvPr>
        <xdr:cNvSpPr>
          <a:spLocks/>
        </xdr:cNvSpPr>
      </xdr:nvSpPr>
      <xdr:spPr bwMode="auto">
        <a:xfrm>
          <a:off x="2505075" y="4410075"/>
          <a:ext cx="152400" cy="219075"/>
        </a:xfrm>
        <a:custGeom>
          <a:avLst/>
          <a:gdLst>
            <a:gd name="T0" fmla="*/ 2147483646 w 16384"/>
            <a:gd name="T1" fmla="*/ 0 h 16384"/>
            <a:gd name="T2" fmla="*/ 2147483646 w 16384"/>
            <a:gd name="T3" fmla="*/ 2147483646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0" y="12047"/>
              </a:lnTo>
              <a:lnTo>
                <a:pt x="8192" y="16384"/>
              </a:lnTo>
              <a:lnTo>
                <a:pt x="16384" y="12047"/>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285750</xdr:colOff>
      <xdr:row>20</xdr:row>
      <xdr:rowOff>47625</xdr:rowOff>
    </xdr:from>
    <xdr:to>
      <xdr:col>3</xdr:col>
      <xdr:colOff>285750</xdr:colOff>
      <xdr:row>21</xdr:row>
      <xdr:rowOff>200025</xdr:rowOff>
    </xdr:to>
    <xdr:sp macro="" textlink="">
      <xdr:nvSpPr>
        <xdr:cNvPr id="187" name="Line 189">
          <a:extLst>
            <a:ext uri="{FF2B5EF4-FFF2-40B4-BE49-F238E27FC236}">
              <a16:creationId xmlns:a16="http://schemas.microsoft.com/office/drawing/2014/main" id="{00000000-0008-0000-0200-0000BB000000}"/>
            </a:ext>
          </a:extLst>
        </xdr:cNvPr>
        <xdr:cNvSpPr>
          <a:spLocks noChangeShapeType="1"/>
        </xdr:cNvSpPr>
      </xdr:nvSpPr>
      <xdr:spPr bwMode="auto">
        <a:xfrm flipV="1">
          <a:off x="2247900" y="3676650"/>
          <a:ext cx="0" cy="3524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219075</xdr:colOff>
      <xdr:row>21</xdr:row>
      <xdr:rowOff>114300</xdr:rowOff>
    </xdr:from>
    <xdr:to>
      <xdr:col>3</xdr:col>
      <xdr:colOff>257175</xdr:colOff>
      <xdr:row>22</xdr:row>
      <xdr:rowOff>28575</xdr:rowOff>
    </xdr:to>
    <xdr:sp macro="" textlink="">
      <xdr:nvSpPr>
        <xdr:cNvPr id="188" name="Line 190">
          <a:extLst>
            <a:ext uri="{FF2B5EF4-FFF2-40B4-BE49-F238E27FC236}">
              <a16:creationId xmlns:a16="http://schemas.microsoft.com/office/drawing/2014/main" id="{00000000-0008-0000-0200-0000BC000000}"/>
            </a:ext>
          </a:extLst>
        </xdr:cNvPr>
        <xdr:cNvSpPr>
          <a:spLocks noChangeShapeType="1"/>
        </xdr:cNvSpPr>
      </xdr:nvSpPr>
      <xdr:spPr bwMode="auto">
        <a:xfrm flipV="1">
          <a:off x="2181225" y="3943350"/>
          <a:ext cx="381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89</xdr:row>
      <xdr:rowOff>114300</xdr:rowOff>
    </xdr:from>
    <xdr:to>
      <xdr:col>2</xdr:col>
      <xdr:colOff>361950</xdr:colOff>
      <xdr:row>104</xdr:row>
      <xdr:rowOff>38100</xdr:rowOff>
    </xdr:to>
    <xdr:sp macro="" textlink="">
      <xdr:nvSpPr>
        <xdr:cNvPr id="189" name="Line 192">
          <a:extLst>
            <a:ext uri="{FF2B5EF4-FFF2-40B4-BE49-F238E27FC236}">
              <a16:creationId xmlns:a16="http://schemas.microsoft.com/office/drawing/2014/main" id="{00000000-0008-0000-0200-0000BD000000}"/>
            </a:ext>
          </a:extLst>
        </xdr:cNvPr>
        <xdr:cNvSpPr>
          <a:spLocks noChangeShapeType="1"/>
        </xdr:cNvSpPr>
      </xdr:nvSpPr>
      <xdr:spPr bwMode="auto">
        <a:xfrm flipV="1">
          <a:off x="1743075" y="16935450"/>
          <a:ext cx="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89</xdr:row>
      <xdr:rowOff>142875</xdr:rowOff>
    </xdr:from>
    <xdr:to>
      <xdr:col>5</xdr:col>
      <xdr:colOff>142875</xdr:colOff>
      <xdr:row>93</xdr:row>
      <xdr:rowOff>19050</xdr:rowOff>
    </xdr:to>
    <xdr:sp macro="" textlink="">
      <xdr:nvSpPr>
        <xdr:cNvPr id="190" name="Line 193">
          <a:extLst>
            <a:ext uri="{FF2B5EF4-FFF2-40B4-BE49-F238E27FC236}">
              <a16:creationId xmlns:a16="http://schemas.microsoft.com/office/drawing/2014/main" id="{00000000-0008-0000-0200-0000BE000000}"/>
            </a:ext>
          </a:extLst>
        </xdr:cNvPr>
        <xdr:cNvSpPr>
          <a:spLocks noChangeShapeType="1"/>
        </xdr:cNvSpPr>
      </xdr:nvSpPr>
      <xdr:spPr bwMode="auto">
        <a:xfrm flipV="1">
          <a:off x="2800350" y="16964025"/>
          <a:ext cx="0" cy="638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89</xdr:row>
      <xdr:rowOff>104775</xdr:rowOff>
    </xdr:from>
    <xdr:to>
      <xdr:col>2</xdr:col>
      <xdr:colOff>28575</xdr:colOff>
      <xdr:row>90</xdr:row>
      <xdr:rowOff>85725</xdr:rowOff>
    </xdr:to>
    <xdr:sp macro="" textlink="">
      <xdr:nvSpPr>
        <xdr:cNvPr id="191" name="Line 194">
          <a:extLst>
            <a:ext uri="{FF2B5EF4-FFF2-40B4-BE49-F238E27FC236}">
              <a16:creationId xmlns:a16="http://schemas.microsoft.com/office/drawing/2014/main" id="{00000000-0008-0000-0200-0000BF000000}"/>
            </a:ext>
          </a:extLst>
        </xdr:cNvPr>
        <xdr:cNvSpPr>
          <a:spLocks noChangeShapeType="1"/>
        </xdr:cNvSpPr>
      </xdr:nvSpPr>
      <xdr:spPr bwMode="auto">
        <a:xfrm flipV="1">
          <a:off x="1409700" y="16925925"/>
          <a:ext cx="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90</xdr:row>
      <xdr:rowOff>0</xdr:rowOff>
    </xdr:from>
    <xdr:to>
      <xdr:col>6</xdr:col>
      <xdr:colOff>0</xdr:colOff>
      <xdr:row>90</xdr:row>
      <xdr:rowOff>0</xdr:rowOff>
    </xdr:to>
    <xdr:sp macro="" textlink="">
      <xdr:nvSpPr>
        <xdr:cNvPr id="192" name="Line 195">
          <a:extLst>
            <a:ext uri="{FF2B5EF4-FFF2-40B4-BE49-F238E27FC236}">
              <a16:creationId xmlns:a16="http://schemas.microsoft.com/office/drawing/2014/main" id="{00000000-0008-0000-0200-0000C0000000}"/>
            </a:ext>
          </a:extLst>
        </xdr:cNvPr>
        <xdr:cNvSpPr>
          <a:spLocks noChangeShapeType="1"/>
        </xdr:cNvSpPr>
      </xdr:nvSpPr>
      <xdr:spPr bwMode="auto">
        <a:xfrm>
          <a:off x="1143000" y="17011650"/>
          <a:ext cx="2266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89</xdr:row>
      <xdr:rowOff>142875</xdr:rowOff>
    </xdr:from>
    <xdr:to>
      <xdr:col>2</xdr:col>
      <xdr:colOff>76200</xdr:colOff>
      <xdr:row>90</xdr:row>
      <xdr:rowOff>66675</xdr:rowOff>
    </xdr:to>
    <xdr:sp macro="" textlink="">
      <xdr:nvSpPr>
        <xdr:cNvPr id="193" name="Line 196">
          <a:extLst>
            <a:ext uri="{FF2B5EF4-FFF2-40B4-BE49-F238E27FC236}">
              <a16:creationId xmlns:a16="http://schemas.microsoft.com/office/drawing/2014/main" id="{00000000-0008-0000-0200-0000C1000000}"/>
            </a:ext>
          </a:extLst>
        </xdr:cNvPr>
        <xdr:cNvSpPr>
          <a:spLocks noChangeShapeType="1"/>
        </xdr:cNvSpPr>
      </xdr:nvSpPr>
      <xdr:spPr bwMode="auto">
        <a:xfrm flipH="1">
          <a:off x="1352550" y="16964025"/>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89</xdr:row>
      <xdr:rowOff>152400</xdr:rowOff>
    </xdr:from>
    <xdr:to>
      <xdr:col>5</xdr:col>
      <xdr:colOff>190500</xdr:colOff>
      <xdr:row>90</xdr:row>
      <xdr:rowOff>47625</xdr:rowOff>
    </xdr:to>
    <xdr:sp macro="" textlink="">
      <xdr:nvSpPr>
        <xdr:cNvPr id="194" name="Line 197">
          <a:extLst>
            <a:ext uri="{FF2B5EF4-FFF2-40B4-BE49-F238E27FC236}">
              <a16:creationId xmlns:a16="http://schemas.microsoft.com/office/drawing/2014/main" id="{00000000-0008-0000-0200-0000C2000000}"/>
            </a:ext>
          </a:extLst>
        </xdr:cNvPr>
        <xdr:cNvSpPr>
          <a:spLocks noChangeShapeType="1"/>
        </xdr:cNvSpPr>
      </xdr:nvSpPr>
      <xdr:spPr bwMode="auto">
        <a:xfrm flipH="1">
          <a:off x="2771775" y="16973550"/>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89</xdr:row>
      <xdr:rowOff>104775</xdr:rowOff>
    </xdr:from>
    <xdr:to>
      <xdr:col>5</xdr:col>
      <xdr:colOff>571500</xdr:colOff>
      <xdr:row>91</xdr:row>
      <xdr:rowOff>66675</xdr:rowOff>
    </xdr:to>
    <xdr:sp macro="" textlink="">
      <xdr:nvSpPr>
        <xdr:cNvPr id="195" name="Line 198">
          <a:extLst>
            <a:ext uri="{FF2B5EF4-FFF2-40B4-BE49-F238E27FC236}">
              <a16:creationId xmlns:a16="http://schemas.microsoft.com/office/drawing/2014/main" id="{00000000-0008-0000-0200-0000C3000000}"/>
            </a:ext>
          </a:extLst>
        </xdr:cNvPr>
        <xdr:cNvSpPr>
          <a:spLocks noChangeShapeType="1"/>
        </xdr:cNvSpPr>
      </xdr:nvSpPr>
      <xdr:spPr bwMode="auto">
        <a:xfrm flipV="1">
          <a:off x="3228975" y="16925925"/>
          <a:ext cx="0" cy="342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514350</xdr:colOff>
      <xdr:row>89</xdr:row>
      <xdr:rowOff>142875</xdr:rowOff>
    </xdr:from>
    <xdr:to>
      <xdr:col>5</xdr:col>
      <xdr:colOff>609600</xdr:colOff>
      <xdr:row>90</xdr:row>
      <xdr:rowOff>47625</xdr:rowOff>
    </xdr:to>
    <xdr:sp macro="" textlink="">
      <xdr:nvSpPr>
        <xdr:cNvPr id="196" name="Line 199">
          <a:extLst>
            <a:ext uri="{FF2B5EF4-FFF2-40B4-BE49-F238E27FC236}">
              <a16:creationId xmlns:a16="http://schemas.microsoft.com/office/drawing/2014/main" id="{00000000-0008-0000-0200-0000C4000000}"/>
            </a:ext>
          </a:extLst>
        </xdr:cNvPr>
        <xdr:cNvSpPr>
          <a:spLocks noChangeShapeType="1"/>
        </xdr:cNvSpPr>
      </xdr:nvSpPr>
      <xdr:spPr bwMode="auto">
        <a:xfrm flipH="1">
          <a:off x="3171825" y="169640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90</xdr:row>
      <xdr:rowOff>142875</xdr:rowOff>
    </xdr:from>
    <xdr:to>
      <xdr:col>5</xdr:col>
      <xdr:colOff>581025</xdr:colOff>
      <xdr:row>92</xdr:row>
      <xdr:rowOff>123825</xdr:rowOff>
    </xdr:to>
    <xdr:sp macro="" textlink="">
      <xdr:nvSpPr>
        <xdr:cNvPr id="197" name="Tegning 586">
          <a:extLst>
            <a:ext uri="{FF2B5EF4-FFF2-40B4-BE49-F238E27FC236}">
              <a16:creationId xmlns:a16="http://schemas.microsoft.com/office/drawing/2014/main" id="{00000000-0008-0000-0200-0000C5000000}"/>
            </a:ext>
          </a:extLst>
        </xdr:cNvPr>
        <xdr:cNvSpPr>
          <a:spLocks/>
        </xdr:cNvSpPr>
      </xdr:nvSpPr>
      <xdr:spPr bwMode="auto">
        <a:xfrm>
          <a:off x="1419225" y="17154525"/>
          <a:ext cx="1819275" cy="3619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19050</xdr:colOff>
      <xdr:row>91</xdr:row>
      <xdr:rowOff>19050</xdr:rowOff>
    </xdr:from>
    <xdr:to>
      <xdr:col>5</xdr:col>
      <xdr:colOff>542925</xdr:colOff>
      <xdr:row>92</xdr:row>
      <xdr:rowOff>47625</xdr:rowOff>
    </xdr:to>
    <xdr:sp macro="" textlink="">
      <xdr:nvSpPr>
        <xdr:cNvPr id="198" name="Tegning 587">
          <a:extLst>
            <a:ext uri="{FF2B5EF4-FFF2-40B4-BE49-F238E27FC236}">
              <a16:creationId xmlns:a16="http://schemas.microsoft.com/office/drawing/2014/main" id="{00000000-0008-0000-0200-0000C6000000}"/>
            </a:ext>
          </a:extLst>
        </xdr:cNvPr>
        <xdr:cNvSpPr>
          <a:spLocks/>
        </xdr:cNvSpPr>
      </xdr:nvSpPr>
      <xdr:spPr bwMode="auto">
        <a:xfrm>
          <a:off x="2676525" y="17221200"/>
          <a:ext cx="523875" cy="21907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9362" y="0"/>
              </a:lnTo>
              <a:lnTo>
                <a:pt x="9362" y="16384"/>
              </a:lnTo>
              <a:lnTo>
                <a:pt x="16384" y="16384"/>
              </a:lnTo>
              <a:lnTo>
                <a:pt x="16384" y="11812"/>
              </a:lnTo>
              <a:lnTo>
                <a:pt x="468" y="1181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76200</xdr:colOff>
      <xdr:row>90</xdr:row>
      <xdr:rowOff>171450</xdr:rowOff>
    </xdr:from>
    <xdr:to>
      <xdr:col>5</xdr:col>
      <xdr:colOff>333375</xdr:colOff>
      <xdr:row>90</xdr:row>
      <xdr:rowOff>171450</xdr:rowOff>
    </xdr:to>
    <xdr:sp macro="" textlink="">
      <xdr:nvSpPr>
        <xdr:cNvPr id="199" name="Line 202">
          <a:extLst>
            <a:ext uri="{FF2B5EF4-FFF2-40B4-BE49-F238E27FC236}">
              <a16:creationId xmlns:a16="http://schemas.microsoft.com/office/drawing/2014/main" id="{00000000-0008-0000-0200-0000C7000000}"/>
            </a:ext>
          </a:extLst>
        </xdr:cNvPr>
        <xdr:cNvSpPr>
          <a:spLocks noChangeShapeType="1"/>
        </xdr:cNvSpPr>
      </xdr:nvSpPr>
      <xdr:spPr bwMode="auto">
        <a:xfrm flipH="1">
          <a:off x="1457325" y="17183100"/>
          <a:ext cx="15335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91</xdr:row>
      <xdr:rowOff>19050</xdr:rowOff>
    </xdr:from>
    <xdr:to>
      <xdr:col>2</xdr:col>
      <xdr:colOff>390525</xdr:colOff>
      <xdr:row>92</xdr:row>
      <xdr:rowOff>47625</xdr:rowOff>
    </xdr:to>
    <xdr:sp macro="" textlink="">
      <xdr:nvSpPr>
        <xdr:cNvPr id="200" name="Tegning 589">
          <a:extLst>
            <a:ext uri="{FF2B5EF4-FFF2-40B4-BE49-F238E27FC236}">
              <a16:creationId xmlns:a16="http://schemas.microsoft.com/office/drawing/2014/main" id="{00000000-0008-0000-0200-0000C8000000}"/>
            </a:ext>
          </a:extLst>
        </xdr:cNvPr>
        <xdr:cNvSpPr>
          <a:spLocks/>
        </xdr:cNvSpPr>
      </xdr:nvSpPr>
      <xdr:spPr bwMode="auto">
        <a:xfrm>
          <a:off x="1457325" y="17221200"/>
          <a:ext cx="314325" cy="2190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5864"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76200</xdr:colOff>
      <xdr:row>92</xdr:row>
      <xdr:rowOff>76200</xdr:rowOff>
    </xdr:from>
    <xdr:to>
      <xdr:col>5</xdr:col>
      <xdr:colOff>533400</xdr:colOff>
      <xdr:row>92</xdr:row>
      <xdr:rowOff>76200</xdr:rowOff>
    </xdr:to>
    <xdr:sp macro="" textlink="">
      <xdr:nvSpPr>
        <xdr:cNvPr id="201" name="Line 204">
          <a:extLst>
            <a:ext uri="{FF2B5EF4-FFF2-40B4-BE49-F238E27FC236}">
              <a16:creationId xmlns:a16="http://schemas.microsoft.com/office/drawing/2014/main" id="{00000000-0008-0000-0200-0000C9000000}"/>
            </a:ext>
          </a:extLst>
        </xdr:cNvPr>
        <xdr:cNvSpPr>
          <a:spLocks noChangeShapeType="1"/>
        </xdr:cNvSpPr>
      </xdr:nvSpPr>
      <xdr:spPr bwMode="auto">
        <a:xfrm flipH="1">
          <a:off x="1457325" y="17468850"/>
          <a:ext cx="1733550"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91</xdr:row>
      <xdr:rowOff>66675</xdr:rowOff>
    </xdr:from>
    <xdr:to>
      <xdr:col>2</xdr:col>
      <xdr:colOff>409575</xdr:colOff>
      <xdr:row>91</xdr:row>
      <xdr:rowOff>161925</xdr:rowOff>
    </xdr:to>
    <xdr:sp macro="" textlink="" fLocksText="0">
      <xdr:nvSpPr>
        <xdr:cNvPr id="202" name="Oval 205">
          <a:extLst>
            <a:ext uri="{FF2B5EF4-FFF2-40B4-BE49-F238E27FC236}">
              <a16:creationId xmlns:a16="http://schemas.microsoft.com/office/drawing/2014/main" id="{00000000-0008-0000-0200-0000CA000000}"/>
            </a:ext>
          </a:extLst>
        </xdr:cNvPr>
        <xdr:cNvSpPr>
          <a:spLocks noChangeArrowheads="1"/>
        </xdr:cNvSpPr>
      </xdr:nvSpPr>
      <xdr:spPr bwMode="auto">
        <a:xfrm>
          <a:off x="1695450" y="17268825"/>
          <a:ext cx="95250" cy="95250"/>
        </a:xfrm>
        <a:prstGeom prst="ellipse">
          <a:avLst/>
        </a:prstGeom>
        <a:noFill/>
        <a:ln w="158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91</xdr:row>
      <xdr:rowOff>66675</xdr:rowOff>
    </xdr:from>
    <xdr:to>
      <xdr:col>5</xdr:col>
      <xdr:colOff>190500</xdr:colOff>
      <xdr:row>91</xdr:row>
      <xdr:rowOff>152400</xdr:rowOff>
    </xdr:to>
    <xdr:sp macro="" textlink="" fLocksText="0">
      <xdr:nvSpPr>
        <xdr:cNvPr id="203" name="Oval 206">
          <a:extLst>
            <a:ext uri="{FF2B5EF4-FFF2-40B4-BE49-F238E27FC236}">
              <a16:creationId xmlns:a16="http://schemas.microsoft.com/office/drawing/2014/main" id="{00000000-0008-0000-0200-0000CB000000}"/>
            </a:ext>
          </a:extLst>
        </xdr:cNvPr>
        <xdr:cNvSpPr>
          <a:spLocks noChangeArrowheads="1"/>
        </xdr:cNvSpPr>
      </xdr:nvSpPr>
      <xdr:spPr bwMode="auto">
        <a:xfrm>
          <a:off x="2752725" y="17268825"/>
          <a:ext cx="95250" cy="85725"/>
        </a:xfrm>
        <a:prstGeom prst="ellipse">
          <a:avLst/>
        </a:prstGeom>
        <a:noFill/>
        <a:ln w="158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0</xdr:colOff>
      <xdr:row>90</xdr:row>
      <xdr:rowOff>161925</xdr:rowOff>
    </xdr:from>
    <xdr:to>
      <xdr:col>4</xdr:col>
      <xdr:colOff>0</xdr:colOff>
      <xdr:row>92</xdr:row>
      <xdr:rowOff>85725</xdr:rowOff>
    </xdr:to>
    <xdr:sp macro="" textlink="">
      <xdr:nvSpPr>
        <xdr:cNvPr id="204" name="Line 207">
          <a:extLst>
            <a:ext uri="{FF2B5EF4-FFF2-40B4-BE49-F238E27FC236}">
              <a16:creationId xmlns:a16="http://schemas.microsoft.com/office/drawing/2014/main" id="{00000000-0008-0000-0200-0000CC000000}"/>
            </a:ext>
          </a:extLst>
        </xdr:cNvPr>
        <xdr:cNvSpPr>
          <a:spLocks noChangeShapeType="1"/>
        </xdr:cNvSpPr>
      </xdr:nvSpPr>
      <xdr:spPr bwMode="auto">
        <a:xfrm flipV="1">
          <a:off x="2333625" y="171735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342900</xdr:colOff>
      <xdr:row>90</xdr:row>
      <xdr:rowOff>152400</xdr:rowOff>
    </xdr:from>
    <xdr:to>
      <xdr:col>4</xdr:col>
      <xdr:colOff>38100</xdr:colOff>
      <xdr:row>91</xdr:row>
      <xdr:rowOff>28575</xdr:rowOff>
    </xdr:to>
    <xdr:sp macro="" textlink="" fLocksText="0">
      <xdr:nvSpPr>
        <xdr:cNvPr id="205" name="Oval 208">
          <a:extLst>
            <a:ext uri="{FF2B5EF4-FFF2-40B4-BE49-F238E27FC236}">
              <a16:creationId xmlns:a16="http://schemas.microsoft.com/office/drawing/2014/main" id="{00000000-0008-0000-0200-0000CD000000}"/>
            </a:ext>
          </a:extLst>
        </xdr:cNvPr>
        <xdr:cNvSpPr>
          <a:spLocks noChangeArrowheads="1"/>
        </xdr:cNvSpPr>
      </xdr:nvSpPr>
      <xdr:spPr bwMode="auto">
        <a:xfrm>
          <a:off x="2305050" y="17164050"/>
          <a:ext cx="66675" cy="666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342900</xdr:colOff>
      <xdr:row>92</xdr:row>
      <xdr:rowOff>47625</xdr:rowOff>
    </xdr:from>
    <xdr:to>
      <xdr:col>4</xdr:col>
      <xdr:colOff>28575</xdr:colOff>
      <xdr:row>92</xdr:row>
      <xdr:rowOff>104775</xdr:rowOff>
    </xdr:to>
    <xdr:sp macro="" textlink="" fLocksText="0">
      <xdr:nvSpPr>
        <xdr:cNvPr id="206" name="Oval 209">
          <a:extLst>
            <a:ext uri="{FF2B5EF4-FFF2-40B4-BE49-F238E27FC236}">
              <a16:creationId xmlns:a16="http://schemas.microsoft.com/office/drawing/2014/main" id="{00000000-0008-0000-0200-0000CE000000}"/>
            </a:ext>
          </a:extLst>
        </xdr:cNvPr>
        <xdr:cNvSpPr>
          <a:spLocks noChangeArrowheads="1"/>
        </xdr:cNvSpPr>
      </xdr:nvSpPr>
      <xdr:spPr bwMode="auto">
        <a:xfrm>
          <a:off x="2305050" y="17440275"/>
          <a:ext cx="57150" cy="571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266700</xdr:colOff>
      <xdr:row>91</xdr:row>
      <xdr:rowOff>142875</xdr:rowOff>
    </xdr:from>
    <xdr:to>
      <xdr:col>4</xdr:col>
      <xdr:colOff>0</xdr:colOff>
      <xdr:row>91</xdr:row>
      <xdr:rowOff>161925</xdr:rowOff>
    </xdr:to>
    <xdr:sp macro="" textlink="">
      <xdr:nvSpPr>
        <xdr:cNvPr id="207" name="Line 210">
          <a:extLst>
            <a:ext uri="{FF2B5EF4-FFF2-40B4-BE49-F238E27FC236}">
              <a16:creationId xmlns:a16="http://schemas.microsoft.com/office/drawing/2014/main" id="{00000000-0008-0000-0200-0000CF000000}"/>
            </a:ext>
          </a:extLst>
        </xdr:cNvPr>
        <xdr:cNvSpPr>
          <a:spLocks noChangeShapeType="1"/>
        </xdr:cNvSpPr>
      </xdr:nvSpPr>
      <xdr:spPr bwMode="auto">
        <a:xfrm>
          <a:off x="2228850" y="17345025"/>
          <a:ext cx="104775" cy="190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96</xdr:row>
      <xdr:rowOff>85725</xdr:rowOff>
    </xdr:from>
    <xdr:to>
      <xdr:col>5</xdr:col>
      <xdr:colOff>609600</xdr:colOff>
      <xdr:row>96</xdr:row>
      <xdr:rowOff>85725</xdr:rowOff>
    </xdr:to>
    <xdr:sp macro="" textlink="">
      <xdr:nvSpPr>
        <xdr:cNvPr id="208" name="Line 211">
          <a:extLst>
            <a:ext uri="{FF2B5EF4-FFF2-40B4-BE49-F238E27FC236}">
              <a16:creationId xmlns:a16="http://schemas.microsoft.com/office/drawing/2014/main" id="{00000000-0008-0000-0200-0000D0000000}"/>
            </a:ext>
          </a:extLst>
        </xdr:cNvPr>
        <xdr:cNvSpPr>
          <a:spLocks noChangeShapeType="1"/>
        </xdr:cNvSpPr>
      </xdr:nvSpPr>
      <xdr:spPr bwMode="auto">
        <a:xfrm flipH="1">
          <a:off x="1733550" y="18240375"/>
          <a:ext cx="1533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95</xdr:row>
      <xdr:rowOff>161925</xdr:rowOff>
    </xdr:from>
    <xdr:to>
      <xdr:col>4</xdr:col>
      <xdr:colOff>190500</xdr:colOff>
      <xdr:row>107</xdr:row>
      <xdr:rowOff>38100</xdr:rowOff>
    </xdr:to>
    <xdr:sp macro="" textlink="">
      <xdr:nvSpPr>
        <xdr:cNvPr id="209" name="Line 212">
          <a:extLst>
            <a:ext uri="{FF2B5EF4-FFF2-40B4-BE49-F238E27FC236}">
              <a16:creationId xmlns:a16="http://schemas.microsoft.com/office/drawing/2014/main" id="{00000000-0008-0000-0200-0000D1000000}"/>
            </a:ext>
          </a:extLst>
        </xdr:cNvPr>
        <xdr:cNvSpPr>
          <a:spLocks noChangeShapeType="1"/>
        </xdr:cNvSpPr>
      </xdr:nvSpPr>
      <xdr:spPr bwMode="auto">
        <a:xfrm>
          <a:off x="2524125" y="18126075"/>
          <a:ext cx="0" cy="2162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92</xdr:row>
      <xdr:rowOff>190500</xdr:rowOff>
    </xdr:from>
    <xdr:to>
      <xdr:col>5</xdr:col>
      <xdr:colOff>142875</xdr:colOff>
      <xdr:row>110</xdr:row>
      <xdr:rowOff>47625</xdr:rowOff>
    </xdr:to>
    <xdr:sp macro="" textlink="">
      <xdr:nvSpPr>
        <xdr:cNvPr id="210" name="Line 213">
          <a:extLst>
            <a:ext uri="{FF2B5EF4-FFF2-40B4-BE49-F238E27FC236}">
              <a16:creationId xmlns:a16="http://schemas.microsoft.com/office/drawing/2014/main" id="{00000000-0008-0000-0200-0000D2000000}"/>
            </a:ext>
          </a:extLst>
        </xdr:cNvPr>
        <xdr:cNvSpPr>
          <a:spLocks noChangeShapeType="1"/>
        </xdr:cNvSpPr>
      </xdr:nvSpPr>
      <xdr:spPr bwMode="auto">
        <a:xfrm flipV="1">
          <a:off x="2800350" y="17583150"/>
          <a:ext cx="0" cy="3286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92</xdr:row>
      <xdr:rowOff>171450</xdr:rowOff>
    </xdr:from>
    <xdr:to>
      <xdr:col>5</xdr:col>
      <xdr:colOff>352425</xdr:colOff>
      <xdr:row>98</xdr:row>
      <xdr:rowOff>161925</xdr:rowOff>
    </xdr:to>
    <xdr:sp macro="" textlink="">
      <xdr:nvSpPr>
        <xdr:cNvPr id="211" name="Line 214">
          <a:extLst>
            <a:ext uri="{FF2B5EF4-FFF2-40B4-BE49-F238E27FC236}">
              <a16:creationId xmlns:a16="http://schemas.microsoft.com/office/drawing/2014/main" id="{00000000-0008-0000-0200-0000D3000000}"/>
            </a:ext>
          </a:extLst>
        </xdr:cNvPr>
        <xdr:cNvSpPr>
          <a:spLocks noChangeShapeType="1"/>
        </xdr:cNvSpPr>
      </xdr:nvSpPr>
      <xdr:spPr bwMode="auto">
        <a:xfrm>
          <a:off x="3009900" y="17564100"/>
          <a:ext cx="0" cy="11334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97</xdr:row>
      <xdr:rowOff>85725</xdr:rowOff>
    </xdr:from>
    <xdr:to>
      <xdr:col>5</xdr:col>
      <xdr:colOff>609600</xdr:colOff>
      <xdr:row>97</xdr:row>
      <xdr:rowOff>85725</xdr:rowOff>
    </xdr:to>
    <xdr:sp macro="" textlink="">
      <xdr:nvSpPr>
        <xdr:cNvPr id="212" name="Line 215">
          <a:extLst>
            <a:ext uri="{FF2B5EF4-FFF2-40B4-BE49-F238E27FC236}">
              <a16:creationId xmlns:a16="http://schemas.microsoft.com/office/drawing/2014/main" id="{00000000-0008-0000-0200-0000D4000000}"/>
            </a:ext>
          </a:extLst>
        </xdr:cNvPr>
        <xdr:cNvSpPr>
          <a:spLocks noChangeShapeType="1"/>
        </xdr:cNvSpPr>
      </xdr:nvSpPr>
      <xdr:spPr bwMode="auto">
        <a:xfrm>
          <a:off x="2524125" y="18430875"/>
          <a:ext cx="7429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98</xdr:row>
      <xdr:rowOff>104775</xdr:rowOff>
    </xdr:from>
    <xdr:to>
      <xdr:col>5</xdr:col>
      <xdr:colOff>609600</xdr:colOff>
      <xdr:row>98</xdr:row>
      <xdr:rowOff>104775</xdr:rowOff>
    </xdr:to>
    <xdr:sp macro="" textlink="">
      <xdr:nvSpPr>
        <xdr:cNvPr id="213" name="Line 216">
          <a:extLst>
            <a:ext uri="{FF2B5EF4-FFF2-40B4-BE49-F238E27FC236}">
              <a16:creationId xmlns:a16="http://schemas.microsoft.com/office/drawing/2014/main" id="{00000000-0008-0000-0200-0000D5000000}"/>
            </a:ext>
          </a:extLst>
        </xdr:cNvPr>
        <xdr:cNvSpPr>
          <a:spLocks noChangeShapeType="1"/>
        </xdr:cNvSpPr>
      </xdr:nvSpPr>
      <xdr:spPr bwMode="auto">
        <a:xfrm flipH="1">
          <a:off x="2800350" y="18640425"/>
          <a:ext cx="466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638175</xdr:colOff>
      <xdr:row>96</xdr:row>
      <xdr:rowOff>9525</xdr:rowOff>
    </xdr:from>
    <xdr:to>
      <xdr:col>5</xdr:col>
      <xdr:colOff>733425</xdr:colOff>
      <xdr:row>98</xdr:row>
      <xdr:rowOff>142875</xdr:rowOff>
    </xdr:to>
    <xdr:sp macro="" textlink="">
      <xdr:nvSpPr>
        <xdr:cNvPr id="214" name="Tegning 604">
          <a:extLst>
            <a:ext uri="{FF2B5EF4-FFF2-40B4-BE49-F238E27FC236}">
              <a16:creationId xmlns:a16="http://schemas.microsoft.com/office/drawing/2014/main" id="{00000000-0008-0000-0200-0000D6000000}"/>
            </a:ext>
          </a:extLst>
        </xdr:cNvPr>
        <xdr:cNvSpPr>
          <a:spLocks/>
        </xdr:cNvSpPr>
      </xdr:nvSpPr>
      <xdr:spPr bwMode="auto">
        <a:xfrm>
          <a:off x="3295650" y="18164175"/>
          <a:ext cx="95250" cy="5143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104775</xdr:colOff>
      <xdr:row>96</xdr:row>
      <xdr:rowOff>47625</xdr:rowOff>
    </xdr:from>
    <xdr:to>
      <xdr:col>4</xdr:col>
      <xdr:colOff>190500</xdr:colOff>
      <xdr:row>96</xdr:row>
      <xdr:rowOff>123825</xdr:rowOff>
    </xdr:to>
    <xdr:sp macro="" textlink="">
      <xdr:nvSpPr>
        <xdr:cNvPr id="215" name="Tegning 605">
          <a:extLst>
            <a:ext uri="{FF2B5EF4-FFF2-40B4-BE49-F238E27FC236}">
              <a16:creationId xmlns:a16="http://schemas.microsoft.com/office/drawing/2014/main" id="{00000000-0008-0000-0200-0000D7000000}"/>
            </a:ext>
          </a:extLst>
        </xdr:cNvPr>
        <xdr:cNvSpPr>
          <a:spLocks/>
        </xdr:cNvSpPr>
      </xdr:nvSpPr>
      <xdr:spPr bwMode="auto">
        <a:xfrm>
          <a:off x="2438400" y="18202275"/>
          <a:ext cx="8572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76200</xdr:colOff>
      <xdr:row>97</xdr:row>
      <xdr:rowOff>57150</xdr:rowOff>
    </xdr:from>
    <xdr:to>
      <xdr:col>5</xdr:col>
      <xdr:colOff>142875</xdr:colOff>
      <xdr:row>97</xdr:row>
      <xdr:rowOff>123825</xdr:rowOff>
    </xdr:to>
    <xdr:sp macro="" textlink="">
      <xdr:nvSpPr>
        <xdr:cNvPr id="216" name="Tegning 606">
          <a:extLst>
            <a:ext uri="{FF2B5EF4-FFF2-40B4-BE49-F238E27FC236}">
              <a16:creationId xmlns:a16="http://schemas.microsoft.com/office/drawing/2014/main" id="{00000000-0008-0000-0200-0000D8000000}"/>
            </a:ext>
          </a:extLst>
        </xdr:cNvPr>
        <xdr:cNvSpPr>
          <a:spLocks/>
        </xdr:cNvSpPr>
      </xdr:nvSpPr>
      <xdr:spPr bwMode="auto">
        <a:xfrm>
          <a:off x="2733675" y="18402300"/>
          <a:ext cx="66675" cy="6667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285750</xdr:colOff>
      <xdr:row>98</xdr:row>
      <xdr:rowOff>66675</xdr:rowOff>
    </xdr:from>
    <xdr:to>
      <xdr:col>5</xdr:col>
      <xdr:colOff>352425</xdr:colOff>
      <xdr:row>98</xdr:row>
      <xdr:rowOff>142875</xdr:rowOff>
    </xdr:to>
    <xdr:sp macro="" textlink="">
      <xdr:nvSpPr>
        <xdr:cNvPr id="217" name="Tegning 607">
          <a:extLst>
            <a:ext uri="{FF2B5EF4-FFF2-40B4-BE49-F238E27FC236}">
              <a16:creationId xmlns:a16="http://schemas.microsoft.com/office/drawing/2014/main" id="{00000000-0008-0000-0200-0000D9000000}"/>
            </a:ext>
          </a:extLst>
        </xdr:cNvPr>
        <xdr:cNvSpPr>
          <a:spLocks/>
        </xdr:cNvSpPr>
      </xdr:nvSpPr>
      <xdr:spPr bwMode="auto">
        <a:xfrm>
          <a:off x="2943225" y="18602325"/>
          <a:ext cx="6667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96</xdr:row>
      <xdr:rowOff>47625</xdr:rowOff>
    </xdr:from>
    <xdr:to>
      <xdr:col>2</xdr:col>
      <xdr:colOff>438150</xdr:colOff>
      <xdr:row>96</xdr:row>
      <xdr:rowOff>123825</xdr:rowOff>
    </xdr:to>
    <xdr:sp macro="" textlink="">
      <xdr:nvSpPr>
        <xdr:cNvPr id="218" name="Tegning 608">
          <a:extLst>
            <a:ext uri="{FF2B5EF4-FFF2-40B4-BE49-F238E27FC236}">
              <a16:creationId xmlns:a16="http://schemas.microsoft.com/office/drawing/2014/main" id="{00000000-0008-0000-0200-0000DA000000}"/>
            </a:ext>
          </a:extLst>
        </xdr:cNvPr>
        <xdr:cNvSpPr>
          <a:spLocks/>
        </xdr:cNvSpPr>
      </xdr:nvSpPr>
      <xdr:spPr bwMode="auto">
        <a:xfrm>
          <a:off x="1743075" y="18202275"/>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190500</xdr:colOff>
      <xdr:row>97</xdr:row>
      <xdr:rowOff>47625</xdr:rowOff>
    </xdr:from>
    <xdr:to>
      <xdr:col>4</xdr:col>
      <xdr:colOff>257175</xdr:colOff>
      <xdr:row>97</xdr:row>
      <xdr:rowOff>123825</xdr:rowOff>
    </xdr:to>
    <xdr:sp macro="" textlink="">
      <xdr:nvSpPr>
        <xdr:cNvPr id="219" name="Tegning 609">
          <a:extLst>
            <a:ext uri="{FF2B5EF4-FFF2-40B4-BE49-F238E27FC236}">
              <a16:creationId xmlns:a16="http://schemas.microsoft.com/office/drawing/2014/main" id="{00000000-0008-0000-0200-0000DB000000}"/>
            </a:ext>
          </a:extLst>
        </xdr:cNvPr>
        <xdr:cNvSpPr>
          <a:spLocks/>
        </xdr:cNvSpPr>
      </xdr:nvSpPr>
      <xdr:spPr bwMode="auto">
        <a:xfrm>
          <a:off x="2524125" y="18392775"/>
          <a:ext cx="6667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133350</xdr:colOff>
      <xdr:row>98</xdr:row>
      <xdr:rowOff>66675</xdr:rowOff>
    </xdr:from>
    <xdr:to>
      <xdr:col>5</xdr:col>
      <xdr:colOff>200025</xdr:colOff>
      <xdr:row>98</xdr:row>
      <xdr:rowOff>142875</xdr:rowOff>
    </xdr:to>
    <xdr:sp macro="" textlink="">
      <xdr:nvSpPr>
        <xdr:cNvPr id="220" name="Tegning 610">
          <a:extLst>
            <a:ext uri="{FF2B5EF4-FFF2-40B4-BE49-F238E27FC236}">
              <a16:creationId xmlns:a16="http://schemas.microsoft.com/office/drawing/2014/main" id="{00000000-0008-0000-0200-0000DC000000}"/>
            </a:ext>
          </a:extLst>
        </xdr:cNvPr>
        <xdr:cNvSpPr>
          <a:spLocks/>
        </xdr:cNvSpPr>
      </xdr:nvSpPr>
      <xdr:spPr bwMode="auto">
        <a:xfrm>
          <a:off x="2790825" y="18602325"/>
          <a:ext cx="6667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103</xdr:row>
      <xdr:rowOff>114300</xdr:rowOff>
    </xdr:from>
    <xdr:to>
      <xdr:col>6</xdr:col>
      <xdr:colOff>0</xdr:colOff>
      <xdr:row>103</xdr:row>
      <xdr:rowOff>114300</xdr:rowOff>
    </xdr:to>
    <xdr:sp macro="" textlink="">
      <xdr:nvSpPr>
        <xdr:cNvPr id="221" name="Line 224">
          <a:extLst>
            <a:ext uri="{FF2B5EF4-FFF2-40B4-BE49-F238E27FC236}">
              <a16:creationId xmlns:a16="http://schemas.microsoft.com/office/drawing/2014/main" id="{00000000-0008-0000-0200-0000DD000000}"/>
            </a:ext>
          </a:extLst>
        </xdr:cNvPr>
        <xdr:cNvSpPr>
          <a:spLocks noChangeShapeType="1"/>
        </xdr:cNvSpPr>
      </xdr:nvSpPr>
      <xdr:spPr bwMode="auto">
        <a:xfrm flipH="1">
          <a:off x="1743075" y="19602450"/>
          <a:ext cx="16668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102</xdr:row>
      <xdr:rowOff>19050</xdr:rowOff>
    </xdr:from>
    <xdr:to>
      <xdr:col>2</xdr:col>
      <xdr:colOff>361950</xdr:colOff>
      <xdr:row>102</xdr:row>
      <xdr:rowOff>209550</xdr:rowOff>
    </xdr:to>
    <xdr:sp macro="" textlink="">
      <xdr:nvSpPr>
        <xdr:cNvPr id="222" name="Line 225">
          <a:extLst>
            <a:ext uri="{FF2B5EF4-FFF2-40B4-BE49-F238E27FC236}">
              <a16:creationId xmlns:a16="http://schemas.microsoft.com/office/drawing/2014/main" id="{00000000-0008-0000-0200-0000DE000000}"/>
            </a:ext>
          </a:extLst>
        </xdr:cNvPr>
        <xdr:cNvSpPr>
          <a:spLocks noChangeShapeType="1"/>
        </xdr:cNvSpPr>
      </xdr:nvSpPr>
      <xdr:spPr bwMode="auto">
        <a:xfrm>
          <a:off x="1743075" y="19316700"/>
          <a:ext cx="0"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103</xdr:row>
      <xdr:rowOff>47625</xdr:rowOff>
    </xdr:from>
    <xdr:to>
      <xdr:col>3</xdr:col>
      <xdr:colOff>276225</xdr:colOff>
      <xdr:row>103</xdr:row>
      <xdr:rowOff>171450</xdr:rowOff>
    </xdr:to>
    <xdr:sp macro="" textlink="">
      <xdr:nvSpPr>
        <xdr:cNvPr id="223" name="Tegning 613">
          <a:extLst>
            <a:ext uri="{FF2B5EF4-FFF2-40B4-BE49-F238E27FC236}">
              <a16:creationId xmlns:a16="http://schemas.microsoft.com/office/drawing/2014/main" id="{00000000-0008-0000-0200-0000DF000000}"/>
            </a:ext>
          </a:extLst>
        </xdr:cNvPr>
        <xdr:cNvSpPr>
          <a:spLocks/>
        </xdr:cNvSpPr>
      </xdr:nvSpPr>
      <xdr:spPr bwMode="auto">
        <a:xfrm>
          <a:off x="2133600" y="19535775"/>
          <a:ext cx="104775" cy="12382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190500</xdr:colOff>
      <xdr:row>106</xdr:row>
      <xdr:rowOff>123825</xdr:rowOff>
    </xdr:from>
    <xdr:to>
      <xdr:col>5</xdr:col>
      <xdr:colOff>742950</xdr:colOff>
      <xdr:row>106</xdr:row>
      <xdr:rowOff>123825</xdr:rowOff>
    </xdr:to>
    <xdr:sp macro="" textlink="">
      <xdr:nvSpPr>
        <xdr:cNvPr id="224" name="Line 227">
          <a:extLst>
            <a:ext uri="{FF2B5EF4-FFF2-40B4-BE49-F238E27FC236}">
              <a16:creationId xmlns:a16="http://schemas.microsoft.com/office/drawing/2014/main" id="{00000000-0008-0000-0200-0000E0000000}"/>
            </a:ext>
          </a:extLst>
        </xdr:cNvPr>
        <xdr:cNvSpPr>
          <a:spLocks noChangeShapeType="1"/>
        </xdr:cNvSpPr>
      </xdr:nvSpPr>
      <xdr:spPr bwMode="auto">
        <a:xfrm flipH="1">
          <a:off x="2524125" y="20183475"/>
          <a:ext cx="876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106</xdr:row>
      <xdr:rowOff>28575</xdr:rowOff>
    </xdr:from>
    <xdr:to>
      <xdr:col>4</xdr:col>
      <xdr:colOff>190500</xdr:colOff>
      <xdr:row>106</xdr:row>
      <xdr:rowOff>190500</xdr:rowOff>
    </xdr:to>
    <xdr:sp macro="" textlink="">
      <xdr:nvSpPr>
        <xdr:cNvPr id="225" name="Line 228">
          <a:extLst>
            <a:ext uri="{FF2B5EF4-FFF2-40B4-BE49-F238E27FC236}">
              <a16:creationId xmlns:a16="http://schemas.microsoft.com/office/drawing/2014/main" id="{00000000-0008-0000-0200-0000E1000000}"/>
            </a:ext>
          </a:extLst>
        </xdr:cNvPr>
        <xdr:cNvSpPr>
          <a:spLocks noChangeShapeType="1"/>
        </xdr:cNvSpPr>
      </xdr:nvSpPr>
      <xdr:spPr bwMode="auto">
        <a:xfrm>
          <a:off x="2524125" y="20088225"/>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106</xdr:row>
      <xdr:rowOff>47625</xdr:rowOff>
    </xdr:from>
    <xdr:to>
      <xdr:col>5</xdr:col>
      <xdr:colOff>142875</xdr:colOff>
      <xdr:row>106</xdr:row>
      <xdr:rowOff>209550</xdr:rowOff>
    </xdr:to>
    <xdr:sp macro="" textlink="">
      <xdr:nvSpPr>
        <xdr:cNvPr id="226" name="Line 229">
          <a:extLst>
            <a:ext uri="{FF2B5EF4-FFF2-40B4-BE49-F238E27FC236}">
              <a16:creationId xmlns:a16="http://schemas.microsoft.com/office/drawing/2014/main" id="{00000000-0008-0000-0200-0000E2000000}"/>
            </a:ext>
          </a:extLst>
        </xdr:cNvPr>
        <xdr:cNvSpPr>
          <a:spLocks noChangeShapeType="1"/>
        </xdr:cNvSpPr>
      </xdr:nvSpPr>
      <xdr:spPr bwMode="auto">
        <a:xfrm>
          <a:off x="2800350" y="2010727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180975</xdr:colOff>
      <xdr:row>106</xdr:row>
      <xdr:rowOff>76200</xdr:rowOff>
    </xdr:from>
    <xdr:to>
      <xdr:col>4</xdr:col>
      <xdr:colOff>266700</xdr:colOff>
      <xdr:row>106</xdr:row>
      <xdr:rowOff>171450</xdr:rowOff>
    </xdr:to>
    <xdr:sp macro="" textlink="">
      <xdr:nvSpPr>
        <xdr:cNvPr id="227" name="Tegning 617">
          <a:extLst>
            <a:ext uri="{FF2B5EF4-FFF2-40B4-BE49-F238E27FC236}">
              <a16:creationId xmlns:a16="http://schemas.microsoft.com/office/drawing/2014/main" id="{00000000-0008-0000-0200-0000E3000000}"/>
            </a:ext>
          </a:extLst>
        </xdr:cNvPr>
        <xdr:cNvSpPr>
          <a:spLocks/>
        </xdr:cNvSpPr>
      </xdr:nvSpPr>
      <xdr:spPr bwMode="auto">
        <a:xfrm>
          <a:off x="2514600" y="20135850"/>
          <a:ext cx="85725" cy="952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152400</xdr:colOff>
      <xdr:row>109</xdr:row>
      <xdr:rowOff>114300</xdr:rowOff>
    </xdr:from>
    <xdr:to>
      <xdr:col>6</xdr:col>
      <xdr:colOff>0</xdr:colOff>
      <xdr:row>109</xdr:row>
      <xdr:rowOff>114300</xdr:rowOff>
    </xdr:to>
    <xdr:sp macro="" textlink="">
      <xdr:nvSpPr>
        <xdr:cNvPr id="228" name="Line 231">
          <a:extLst>
            <a:ext uri="{FF2B5EF4-FFF2-40B4-BE49-F238E27FC236}">
              <a16:creationId xmlns:a16="http://schemas.microsoft.com/office/drawing/2014/main" id="{00000000-0008-0000-0200-0000E4000000}"/>
            </a:ext>
          </a:extLst>
        </xdr:cNvPr>
        <xdr:cNvSpPr>
          <a:spLocks noChangeShapeType="1"/>
        </xdr:cNvSpPr>
      </xdr:nvSpPr>
      <xdr:spPr bwMode="auto">
        <a:xfrm flipH="1">
          <a:off x="2809875" y="20745450"/>
          <a:ext cx="600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109</xdr:row>
      <xdr:rowOff>28575</xdr:rowOff>
    </xdr:from>
    <xdr:to>
      <xdr:col>5</xdr:col>
      <xdr:colOff>142875</xdr:colOff>
      <xdr:row>109</xdr:row>
      <xdr:rowOff>200025</xdr:rowOff>
    </xdr:to>
    <xdr:sp macro="" textlink="">
      <xdr:nvSpPr>
        <xdr:cNvPr id="229" name="Line 232">
          <a:extLst>
            <a:ext uri="{FF2B5EF4-FFF2-40B4-BE49-F238E27FC236}">
              <a16:creationId xmlns:a16="http://schemas.microsoft.com/office/drawing/2014/main" id="{00000000-0008-0000-0200-0000E5000000}"/>
            </a:ext>
          </a:extLst>
        </xdr:cNvPr>
        <xdr:cNvSpPr>
          <a:spLocks noChangeShapeType="1"/>
        </xdr:cNvSpPr>
      </xdr:nvSpPr>
      <xdr:spPr bwMode="auto">
        <a:xfrm>
          <a:off x="2800350" y="20659725"/>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109</xdr:row>
      <xdr:rowOff>28575</xdr:rowOff>
    </xdr:from>
    <xdr:to>
      <xdr:col>5</xdr:col>
      <xdr:colOff>381000</xdr:colOff>
      <xdr:row>109</xdr:row>
      <xdr:rowOff>190500</xdr:rowOff>
    </xdr:to>
    <xdr:sp macro="" textlink="">
      <xdr:nvSpPr>
        <xdr:cNvPr id="230" name="Line 233">
          <a:extLst>
            <a:ext uri="{FF2B5EF4-FFF2-40B4-BE49-F238E27FC236}">
              <a16:creationId xmlns:a16="http://schemas.microsoft.com/office/drawing/2014/main" id="{00000000-0008-0000-0200-0000E6000000}"/>
            </a:ext>
          </a:extLst>
        </xdr:cNvPr>
        <xdr:cNvSpPr>
          <a:spLocks noChangeShapeType="1"/>
        </xdr:cNvSpPr>
      </xdr:nvSpPr>
      <xdr:spPr bwMode="auto">
        <a:xfrm>
          <a:off x="3038475" y="20659725"/>
          <a:ext cx="0"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109</xdr:row>
      <xdr:rowOff>66675</xdr:rowOff>
    </xdr:from>
    <xdr:to>
      <xdr:col>5</xdr:col>
      <xdr:colOff>371475</xdr:colOff>
      <xdr:row>109</xdr:row>
      <xdr:rowOff>161925</xdr:rowOff>
    </xdr:to>
    <xdr:sp macro="" textlink="">
      <xdr:nvSpPr>
        <xdr:cNvPr id="231" name="Tegning 621">
          <a:extLst>
            <a:ext uri="{FF2B5EF4-FFF2-40B4-BE49-F238E27FC236}">
              <a16:creationId xmlns:a16="http://schemas.microsoft.com/office/drawing/2014/main" id="{00000000-0008-0000-0200-0000E7000000}"/>
            </a:ext>
          </a:extLst>
        </xdr:cNvPr>
        <xdr:cNvSpPr>
          <a:spLocks/>
        </xdr:cNvSpPr>
      </xdr:nvSpPr>
      <xdr:spPr bwMode="auto">
        <a:xfrm>
          <a:off x="2962275" y="20697825"/>
          <a:ext cx="66675" cy="9525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91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323850</xdr:colOff>
      <xdr:row>89</xdr:row>
      <xdr:rowOff>123825</xdr:rowOff>
    </xdr:from>
    <xdr:to>
      <xdr:col>2</xdr:col>
      <xdr:colOff>419100</xdr:colOff>
      <xdr:row>90</xdr:row>
      <xdr:rowOff>47625</xdr:rowOff>
    </xdr:to>
    <xdr:sp macro="" textlink="">
      <xdr:nvSpPr>
        <xdr:cNvPr id="232" name="Line 235">
          <a:extLst>
            <a:ext uri="{FF2B5EF4-FFF2-40B4-BE49-F238E27FC236}">
              <a16:creationId xmlns:a16="http://schemas.microsoft.com/office/drawing/2014/main" id="{00000000-0008-0000-0200-0000E8000000}"/>
            </a:ext>
          </a:extLst>
        </xdr:cNvPr>
        <xdr:cNvSpPr>
          <a:spLocks noChangeShapeType="1"/>
        </xdr:cNvSpPr>
      </xdr:nvSpPr>
      <xdr:spPr bwMode="auto">
        <a:xfrm flipH="1">
          <a:off x="1704975" y="1694497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103</xdr:row>
      <xdr:rowOff>66675</xdr:rowOff>
    </xdr:from>
    <xdr:to>
      <xdr:col>2</xdr:col>
      <xdr:colOff>409575</xdr:colOff>
      <xdr:row>103</xdr:row>
      <xdr:rowOff>161925</xdr:rowOff>
    </xdr:to>
    <xdr:sp macro="" textlink="" fLocksText="0">
      <xdr:nvSpPr>
        <xdr:cNvPr id="233" name="Oval 236">
          <a:extLst>
            <a:ext uri="{FF2B5EF4-FFF2-40B4-BE49-F238E27FC236}">
              <a16:creationId xmlns:a16="http://schemas.microsoft.com/office/drawing/2014/main" id="{00000000-0008-0000-0200-0000E9000000}"/>
            </a:ext>
          </a:extLst>
        </xdr:cNvPr>
        <xdr:cNvSpPr>
          <a:spLocks noChangeArrowheads="1"/>
        </xdr:cNvSpPr>
      </xdr:nvSpPr>
      <xdr:spPr bwMode="auto">
        <a:xfrm>
          <a:off x="1695450" y="19554825"/>
          <a:ext cx="9525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106</xdr:row>
      <xdr:rowOff>76200</xdr:rowOff>
    </xdr:from>
    <xdr:to>
      <xdr:col>5</xdr:col>
      <xdr:colOff>190500</xdr:colOff>
      <xdr:row>106</xdr:row>
      <xdr:rowOff>171450</xdr:rowOff>
    </xdr:to>
    <xdr:sp macro="" textlink="" fLocksText="0">
      <xdr:nvSpPr>
        <xdr:cNvPr id="234" name="Oval 237">
          <a:extLst>
            <a:ext uri="{FF2B5EF4-FFF2-40B4-BE49-F238E27FC236}">
              <a16:creationId xmlns:a16="http://schemas.microsoft.com/office/drawing/2014/main" id="{00000000-0008-0000-0200-0000EA000000}"/>
            </a:ext>
          </a:extLst>
        </xdr:cNvPr>
        <xdr:cNvSpPr>
          <a:spLocks noChangeArrowheads="1"/>
        </xdr:cNvSpPr>
      </xdr:nvSpPr>
      <xdr:spPr bwMode="auto">
        <a:xfrm>
          <a:off x="2752725" y="20135850"/>
          <a:ext cx="9525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109</xdr:row>
      <xdr:rowOff>66675</xdr:rowOff>
    </xdr:from>
    <xdr:to>
      <xdr:col>5</xdr:col>
      <xdr:colOff>190500</xdr:colOff>
      <xdr:row>109</xdr:row>
      <xdr:rowOff>152400</xdr:rowOff>
    </xdr:to>
    <xdr:sp macro="" textlink="" fLocksText="0">
      <xdr:nvSpPr>
        <xdr:cNvPr id="235" name="Oval 238">
          <a:extLst>
            <a:ext uri="{FF2B5EF4-FFF2-40B4-BE49-F238E27FC236}">
              <a16:creationId xmlns:a16="http://schemas.microsoft.com/office/drawing/2014/main" id="{00000000-0008-0000-0200-0000EB000000}"/>
            </a:ext>
          </a:extLst>
        </xdr:cNvPr>
        <xdr:cNvSpPr>
          <a:spLocks noChangeArrowheads="1"/>
        </xdr:cNvSpPr>
      </xdr:nvSpPr>
      <xdr:spPr bwMode="auto">
        <a:xfrm>
          <a:off x="2752725" y="20697825"/>
          <a:ext cx="95250" cy="8572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0</xdr:colOff>
      <xdr:row>127</xdr:row>
      <xdr:rowOff>38100</xdr:rowOff>
    </xdr:from>
    <xdr:to>
      <xdr:col>5</xdr:col>
      <xdr:colOff>95250</xdr:colOff>
      <xdr:row>131</xdr:row>
      <xdr:rowOff>104775</xdr:rowOff>
    </xdr:to>
    <xdr:sp macro="" textlink="">
      <xdr:nvSpPr>
        <xdr:cNvPr id="236" name="Tegning 7">
          <a:extLst>
            <a:ext uri="{FF2B5EF4-FFF2-40B4-BE49-F238E27FC236}">
              <a16:creationId xmlns:a16="http://schemas.microsoft.com/office/drawing/2014/main" id="{00000000-0008-0000-0200-0000EC000000}"/>
            </a:ext>
          </a:extLst>
        </xdr:cNvPr>
        <xdr:cNvSpPr>
          <a:spLocks/>
        </xdr:cNvSpPr>
      </xdr:nvSpPr>
      <xdr:spPr bwMode="auto">
        <a:xfrm>
          <a:off x="1381125" y="24098250"/>
          <a:ext cx="1371600" cy="82867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74" y="0"/>
              </a:moveTo>
              <a:lnTo>
                <a:pt x="9235" y="0"/>
              </a:lnTo>
              <a:lnTo>
                <a:pt x="9235" y="7851"/>
              </a:lnTo>
              <a:lnTo>
                <a:pt x="16384" y="7851"/>
              </a:lnTo>
              <a:lnTo>
                <a:pt x="16384" y="16384"/>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0</xdr:colOff>
      <xdr:row>127</xdr:row>
      <xdr:rowOff>142875</xdr:rowOff>
    </xdr:from>
    <xdr:to>
      <xdr:col>5</xdr:col>
      <xdr:colOff>0</xdr:colOff>
      <xdr:row>131</xdr:row>
      <xdr:rowOff>28575</xdr:rowOff>
    </xdr:to>
    <xdr:sp macro="" textlink="">
      <xdr:nvSpPr>
        <xdr:cNvPr id="237" name="Tegning 8">
          <a:extLst>
            <a:ext uri="{FF2B5EF4-FFF2-40B4-BE49-F238E27FC236}">
              <a16:creationId xmlns:a16="http://schemas.microsoft.com/office/drawing/2014/main" id="{00000000-0008-0000-0200-0000ED000000}"/>
            </a:ext>
          </a:extLst>
        </xdr:cNvPr>
        <xdr:cNvSpPr>
          <a:spLocks/>
        </xdr:cNvSpPr>
      </xdr:nvSpPr>
      <xdr:spPr bwMode="auto">
        <a:xfrm>
          <a:off x="1381125" y="24203025"/>
          <a:ext cx="1276350" cy="647700"/>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0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85725</xdr:colOff>
      <xdr:row>127</xdr:row>
      <xdr:rowOff>28575</xdr:rowOff>
    </xdr:from>
    <xdr:to>
      <xdr:col>5</xdr:col>
      <xdr:colOff>19050</xdr:colOff>
      <xdr:row>129</xdr:row>
      <xdr:rowOff>47625</xdr:rowOff>
    </xdr:to>
    <xdr:sp macro="" textlink="">
      <xdr:nvSpPr>
        <xdr:cNvPr id="238" name="Tegning 9">
          <a:extLst>
            <a:ext uri="{FF2B5EF4-FFF2-40B4-BE49-F238E27FC236}">
              <a16:creationId xmlns:a16="http://schemas.microsoft.com/office/drawing/2014/main" id="{00000000-0008-0000-0200-0000EE000000}"/>
            </a:ext>
          </a:extLst>
        </xdr:cNvPr>
        <xdr:cNvSpPr>
          <a:spLocks/>
        </xdr:cNvSpPr>
      </xdr:nvSpPr>
      <xdr:spPr bwMode="auto">
        <a:xfrm>
          <a:off x="2419350" y="24088725"/>
          <a:ext cx="257175" cy="4000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764" y="0"/>
              </a:moveTo>
              <a:lnTo>
                <a:pt x="8764" y="16384"/>
              </a:lnTo>
              <a:lnTo>
                <a:pt x="16384" y="11703"/>
              </a:lnTo>
              <a:lnTo>
                <a:pt x="8764" y="16384"/>
              </a:lnTo>
              <a:lnTo>
                <a:pt x="0" y="11001"/>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552450</xdr:colOff>
      <xdr:row>125</xdr:row>
      <xdr:rowOff>209550</xdr:rowOff>
    </xdr:from>
    <xdr:to>
      <xdr:col>4</xdr:col>
      <xdr:colOff>266700</xdr:colOff>
      <xdr:row>125</xdr:row>
      <xdr:rowOff>209550</xdr:rowOff>
    </xdr:to>
    <xdr:sp macro="" textlink="">
      <xdr:nvSpPr>
        <xdr:cNvPr id="239" name="Line 242">
          <a:extLst>
            <a:ext uri="{FF2B5EF4-FFF2-40B4-BE49-F238E27FC236}">
              <a16:creationId xmlns:a16="http://schemas.microsoft.com/office/drawing/2014/main" id="{00000000-0008-0000-0200-0000EF000000}"/>
            </a:ext>
          </a:extLst>
        </xdr:cNvPr>
        <xdr:cNvSpPr>
          <a:spLocks noChangeShapeType="1"/>
        </xdr:cNvSpPr>
      </xdr:nvSpPr>
      <xdr:spPr bwMode="auto">
        <a:xfrm>
          <a:off x="1933575" y="23869650"/>
          <a:ext cx="666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125</xdr:row>
      <xdr:rowOff>161925</xdr:rowOff>
    </xdr:from>
    <xdr:to>
      <xdr:col>4</xdr:col>
      <xdr:colOff>228600</xdr:colOff>
      <xdr:row>126</xdr:row>
      <xdr:rowOff>171450</xdr:rowOff>
    </xdr:to>
    <xdr:sp macro="" textlink="">
      <xdr:nvSpPr>
        <xdr:cNvPr id="240" name="Line 243">
          <a:extLst>
            <a:ext uri="{FF2B5EF4-FFF2-40B4-BE49-F238E27FC236}">
              <a16:creationId xmlns:a16="http://schemas.microsoft.com/office/drawing/2014/main" id="{00000000-0008-0000-0200-0000F0000000}"/>
            </a:ext>
          </a:extLst>
        </xdr:cNvPr>
        <xdr:cNvSpPr>
          <a:spLocks noChangeShapeType="1"/>
        </xdr:cNvSpPr>
      </xdr:nvSpPr>
      <xdr:spPr bwMode="auto">
        <a:xfrm flipV="1">
          <a:off x="2562225" y="23841075"/>
          <a:ext cx="0" cy="2000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125</xdr:row>
      <xdr:rowOff>133350</xdr:rowOff>
    </xdr:from>
    <xdr:to>
      <xdr:col>3</xdr:col>
      <xdr:colOff>0</xdr:colOff>
      <xdr:row>127</xdr:row>
      <xdr:rowOff>85725</xdr:rowOff>
    </xdr:to>
    <xdr:sp macro="" textlink="">
      <xdr:nvSpPr>
        <xdr:cNvPr id="241" name="Line 244">
          <a:extLst>
            <a:ext uri="{FF2B5EF4-FFF2-40B4-BE49-F238E27FC236}">
              <a16:creationId xmlns:a16="http://schemas.microsoft.com/office/drawing/2014/main" id="{00000000-0008-0000-0200-0000F1000000}"/>
            </a:ext>
          </a:extLst>
        </xdr:cNvPr>
        <xdr:cNvSpPr>
          <a:spLocks noChangeShapeType="1"/>
        </xdr:cNvSpPr>
      </xdr:nvSpPr>
      <xdr:spPr bwMode="auto">
        <a:xfrm flipV="1">
          <a:off x="1962150" y="23812500"/>
          <a:ext cx="0" cy="3333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125</xdr:row>
      <xdr:rowOff>123825</xdr:rowOff>
    </xdr:from>
    <xdr:to>
      <xdr:col>3</xdr:col>
      <xdr:colOff>85725</xdr:colOff>
      <xdr:row>126</xdr:row>
      <xdr:rowOff>47625</xdr:rowOff>
    </xdr:to>
    <xdr:sp macro="" textlink="">
      <xdr:nvSpPr>
        <xdr:cNvPr id="242" name="Line 245">
          <a:extLst>
            <a:ext uri="{FF2B5EF4-FFF2-40B4-BE49-F238E27FC236}">
              <a16:creationId xmlns:a16="http://schemas.microsoft.com/office/drawing/2014/main" id="{00000000-0008-0000-0200-0000F2000000}"/>
            </a:ext>
          </a:extLst>
        </xdr:cNvPr>
        <xdr:cNvSpPr>
          <a:spLocks noChangeShapeType="1"/>
        </xdr:cNvSpPr>
      </xdr:nvSpPr>
      <xdr:spPr bwMode="auto">
        <a:xfrm flipH="1">
          <a:off x="1914525" y="23802975"/>
          <a:ext cx="1333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125</xdr:row>
      <xdr:rowOff>123825</xdr:rowOff>
    </xdr:from>
    <xdr:to>
      <xdr:col>4</xdr:col>
      <xdr:colOff>295275</xdr:colOff>
      <xdr:row>126</xdr:row>
      <xdr:rowOff>47625</xdr:rowOff>
    </xdr:to>
    <xdr:sp macro="" textlink="">
      <xdr:nvSpPr>
        <xdr:cNvPr id="243" name="Line 246">
          <a:extLst>
            <a:ext uri="{FF2B5EF4-FFF2-40B4-BE49-F238E27FC236}">
              <a16:creationId xmlns:a16="http://schemas.microsoft.com/office/drawing/2014/main" id="{00000000-0008-0000-0200-0000F3000000}"/>
            </a:ext>
          </a:extLst>
        </xdr:cNvPr>
        <xdr:cNvSpPr>
          <a:spLocks noChangeShapeType="1"/>
        </xdr:cNvSpPr>
      </xdr:nvSpPr>
      <xdr:spPr bwMode="auto">
        <a:xfrm flipH="1">
          <a:off x="2524125" y="23802975"/>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128</xdr:row>
      <xdr:rowOff>142875</xdr:rowOff>
    </xdr:from>
    <xdr:to>
      <xdr:col>3</xdr:col>
      <xdr:colOff>0</xdr:colOff>
      <xdr:row>128</xdr:row>
      <xdr:rowOff>142875</xdr:rowOff>
    </xdr:to>
    <xdr:sp macro="" textlink="">
      <xdr:nvSpPr>
        <xdr:cNvPr id="244" name="Line 247">
          <a:extLst>
            <a:ext uri="{FF2B5EF4-FFF2-40B4-BE49-F238E27FC236}">
              <a16:creationId xmlns:a16="http://schemas.microsoft.com/office/drawing/2014/main" id="{00000000-0008-0000-0200-0000F4000000}"/>
            </a:ext>
          </a:extLst>
        </xdr:cNvPr>
        <xdr:cNvSpPr>
          <a:spLocks noChangeShapeType="1"/>
        </xdr:cNvSpPr>
      </xdr:nvSpPr>
      <xdr:spPr bwMode="auto">
        <a:xfrm>
          <a:off x="1771650" y="24393525"/>
          <a:ext cx="190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128</xdr:row>
      <xdr:rowOff>95250</xdr:rowOff>
    </xdr:from>
    <xdr:to>
      <xdr:col>3</xdr:col>
      <xdr:colOff>76200</xdr:colOff>
      <xdr:row>128</xdr:row>
      <xdr:rowOff>171450</xdr:rowOff>
    </xdr:to>
    <xdr:sp macro="" textlink="" fLocksText="0">
      <xdr:nvSpPr>
        <xdr:cNvPr id="245" name="Oval 248">
          <a:extLst>
            <a:ext uri="{FF2B5EF4-FFF2-40B4-BE49-F238E27FC236}">
              <a16:creationId xmlns:a16="http://schemas.microsoft.com/office/drawing/2014/main" id="{00000000-0008-0000-0200-0000F5000000}"/>
            </a:ext>
          </a:extLst>
        </xdr:cNvPr>
        <xdr:cNvSpPr>
          <a:spLocks noChangeArrowheads="1"/>
        </xdr:cNvSpPr>
      </xdr:nvSpPr>
      <xdr:spPr bwMode="auto">
        <a:xfrm>
          <a:off x="1962150" y="24345900"/>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76200</xdr:colOff>
      <xdr:row>129</xdr:row>
      <xdr:rowOff>114300</xdr:rowOff>
    </xdr:from>
    <xdr:to>
      <xdr:col>4</xdr:col>
      <xdr:colOff>152400</xdr:colOff>
      <xdr:row>130</xdr:row>
      <xdr:rowOff>0</xdr:rowOff>
    </xdr:to>
    <xdr:sp macro="" textlink="" fLocksText="0">
      <xdr:nvSpPr>
        <xdr:cNvPr id="246" name="Oval 249">
          <a:extLst>
            <a:ext uri="{FF2B5EF4-FFF2-40B4-BE49-F238E27FC236}">
              <a16:creationId xmlns:a16="http://schemas.microsoft.com/office/drawing/2014/main" id="{00000000-0008-0000-0200-0000F6000000}"/>
            </a:ext>
          </a:extLst>
        </xdr:cNvPr>
        <xdr:cNvSpPr>
          <a:spLocks noChangeArrowheads="1"/>
        </xdr:cNvSpPr>
      </xdr:nvSpPr>
      <xdr:spPr bwMode="auto">
        <a:xfrm>
          <a:off x="2409825" y="24555450"/>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257175</xdr:colOff>
      <xdr:row>129</xdr:row>
      <xdr:rowOff>171450</xdr:rowOff>
    </xdr:from>
    <xdr:to>
      <xdr:col>4</xdr:col>
      <xdr:colOff>285750</xdr:colOff>
      <xdr:row>130</xdr:row>
      <xdr:rowOff>9525</xdr:rowOff>
    </xdr:to>
    <xdr:sp macro="" textlink="" fLocksText="0">
      <xdr:nvSpPr>
        <xdr:cNvPr id="247" name="Oval 250">
          <a:extLst>
            <a:ext uri="{FF2B5EF4-FFF2-40B4-BE49-F238E27FC236}">
              <a16:creationId xmlns:a16="http://schemas.microsoft.com/office/drawing/2014/main" id="{00000000-0008-0000-0200-0000F7000000}"/>
            </a:ext>
          </a:extLst>
        </xdr:cNvPr>
        <xdr:cNvSpPr>
          <a:spLocks noChangeArrowheads="1"/>
        </xdr:cNvSpPr>
      </xdr:nvSpPr>
      <xdr:spPr bwMode="auto">
        <a:xfrm>
          <a:off x="2590800" y="24612600"/>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85725</xdr:colOff>
      <xdr:row>130</xdr:row>
      <xdr:rowOff>161925</xdr:rowOff>
    </xdr:from>
    <xdr:to>
      <xdr:col>3</xdr:col>
      <xdr:colOff>114300</xdr:colOff>
      <xdr:row>131</xdr:row>
      <xdr:rowOff>0</xdr:rowOff>
    </xdr:to>
    <xdr:sp macro="" textlink="" fLocksText="0">
      <xdr:nvSpPr>
        <xdr:cNvPr id="248" name="Oval 251">
          <a:extLst>
            <a:ext uri="{FF2B5EF4-FFF2-40B4-BE49-F238E27FC236}">
              <a16:creationId xmlns:a16="http://schemas.microsoft.com/office/drawing/2014/main" id="{00000000-0008-0000-0200-0000F8000000}"/>
            </a:ext>
          </a:extLst>
        </xdr:cNvPr>
        <xdr:cNvSpPr>
          <a:spLocks noChangeArrowheads="1"/>
        </xdr:cNvSpPr>
      </xdr:nvSpPr>
      <xdr:spPr bwMode="auto">
        <a:xfrm>
          <a:off x="2047875" y="24793575"/>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390525</xdr:colOff>
      <xdr:row>129</xdr:row>
      <xdr:rowOff>171450</xdr:rowOff>
    </xdr:from>
    <xdr:to>
      <xdr:col>5</xdr:col>
      <xdr:colOff>590550</xdr:colOff>
      <xdr:row>129</xdr:row>
      <xdr:rowOff>171450</xdr:rowOff>
    </xdr:to>
    <xdr:sp macro="" textlink="">
      <xdr:nvSpPr>
        <xdr:cNvPr id="249" name="Line 252">
          <a:extLst>
            <a:ext uri="{FF2B5EF4-FFF2-40B4-BE49-F238E27FC236}">
              <a16:creationId xmlns:a16="http://schemas.microsoft.com/office/drawing/2014/main" id="{00000000-0008-0000-0200-0000F9000000}"/>
            </a:ext>
          </a:extLst>
        </xdr:cNvPr>
        <xdr:cNvSpPr>
          <a:spLocks noChangeShapeType="1"/>
        </xdr:cNvSpPr>
      </xdr:nvSpPr>
      <xdr:spPr bwMode="auto">
        <a:xfrm>
          <a:off x="3048000" y="24612600"/>
          <a:ext cx="2000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131</xdr:row>
      <xdr:rowOff>114300</xdr:rowOff>
    </xdr:from>
    <xdr:to>
      <xdr:col>5</xdr:col>
      <xdr:colOff>581025</xdr:colOff>
      <xdr:row>131</xdr:row>
      <xdr:rowOff>114300</xdr:rowOff>
    </xdr:to>
    <xdr:sp macro="" textlink="">
      <xdr:nvSpPr>
        <xdr:cNvPr id="250" name="Line 253">
          <a:extLst>
            <a:ext uri="{FF2B5EF4-FFF2-40B4-BE49-F238E27FC236}">
              <a16:creationId xmlns:a16="http://schemas.microsoft.com/office/drawing/2014/main" id="{00000000-0008-0000-0200-0000FA000000}"/>
            </a:ext>
          </a:extLst>
        </xdr:cNvPr>
        <xdr:cNvSpPr>
          <a:spLocks noChangeShapeType="1"/>
        </xdr:cNvSpPr>
      </xdr:nvSpPr>
      <xdr:spPr bwMode="auto">
        <a:xfrm>
          <a:off x="2819400" y="24936450"/>
          <a:ext cx="419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129</xdr:row>
      <xdr:rowOff>142875</xdr:rowOff>
    </xdr:from>
    <xdr:to>
      <xdr:col>5</xdr:col>
      <xdr:colOff>542925</xdr:colOff>
      <xdr:row>132</xdr:row>
      <xdr:rowOff>28575</xdr:rowOff>
    </xdr:to>
    <xdr:sp macro="" textlink="">
      <xdr:nvSpPr>
        <xdr:cNvPr id="251" name="Line 254">
          <a:extLst>
            <a:ext uri="{FF2B5EF4-FFF2-40B4-BE49-F238E27FC236}">
              <a16:creationId xmlns:a16="http://schemas.microsoft.com/office/drawing/2014/main" id="{00000000-0008-0000-0200-0000FB000000}"/>
            </a:ext>
          </a:extLst>
        </xdr:cNvPr>
        <xdr:cNvSpPr>
          <a:spLocks noChangeShapeType="1"/>
        </xdr:cNvSpPr>
      </xdr:nvSpPr>
      <xdr:spPr bwMode="auto">
        <a:xfrm>
          <a:off x="3200400" y="24584025"/>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495300</xdr:colOff>
      <xdr:row>131</xdr:row>
      <xdr:rowOff>66675</xdr:rowOff>
    </xdr:from>
    <xdr:to>
      <xdr:col>5</xdr:col>
      <xdr:colOff>590550</xdr:colOff>
      <xdr:row>131</xdr:row>
      <xdr:rowOff>152400</xdr:rowOff>
    </xdr:to>
    <xdr:sp macro="" textlink="">
      <xdr:nvSpPr>
        <xdr:cNvPr id="252" name="Line 255">
          <a:extLst>
            <a:ext uri="{FF2B5EF4-FFF2-40B4-BE49-F238E27FC236}">
              <a16:creationId xmlns:a16="http://schemas.microsoft.com/office/drawing/2014/main" id="{00000000-0008-0000-0200-0000FC000000}"/>
            </a:ext>
          </a:extLst>
        </xdr:cNvPr>
        <xdr:cNvSpPr>
          <a:spLocks noChangeShapeType="1"/>
        </xdr:cNvSpPr>
      </xdr:nvSpPr>
      <xdr:spPr bwMode="auto">
        <a:xfrm flipH="1">
          <a:off x="3152775" y="24888825"/>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129</xdr:row>
      <xdr:rowOff>171450</xdr:rowOff>
    </xdr:from>
    <xdr:to>
      <xdr:col>4</xdr:col>
      <xdr:colOff>95250</xdr:colOff>
      <xdr:row>130</xdr:row>
      <xdr:rowOff>104775</xdr:rowOff>
    </xdr:to>
    <xdr:sp macro="" textlink="">
      <xdr:nvSpPr>
        <xdr:cNvPr id="253" name="Line 256">
          <a:extLst>
            <a:ext uri="{FF2B5EF4-FFF2-40B4-BE49-F238E27FC236}">
              <a16:creationId xmlns:a16="http://schemas.microsoft.com/office/drawing/2014/main" id="{00000000-0008-0000-0200-0000FD000000}"/>
            </a:ext>
          </a:extLst>
        </xdr:cNvPr>
        <xdr:cNvSpPr>
          <a:spLocks noChangeShapeType="1"/>
        </xdr:cNvSpPr>
      </xdr:nvSpPr>
      <xdr:spPr bwMode="auto">
        <a:xfrm flipH="1">
          <a:off x="1733550" y="24612600"/>
          <a:ext cx="6953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131</xdr:row>
      <xdr:rowOff>38100</xdr:rowOff>
    </xdr:from>
    <xdr:to>
      <xdr:col>5</xdr:col>
      <xdr:colOff>285750</xdr:colOff>
      <xdr:row>131</xdr:row>
      <xdr:rowOff>38100</xdr:rowOff>
    </xdr:to>
    <xdr:sp macro="" textlink="">
      <xdr:nvSpPr>
        <xdr:cNvPr id="254" name="Line 257">
          <a:extLst>
            <a:ext uri="{FF2B5EF4-FFF2-40B4-BE49-F238E27FC236}">
              <a16:creationId xmlns:a16="http://schemas.microsoft.com/office/drawing/2014/main" id="{00000000-0008-0000-0200-0000FE000000}"/>
            </a:ext>
          </a:extLst>
        </xdr:cNvPr>
        <xdr:cNvSpPr>
          <a:spLocks noChangeShapeType="1"/>
        </xdr:cNvSpPr>
      </xdr:nvSpPr>
      <xdr:spPr bwMode="auto">
        <a:xfrm>
          <a:off x="2695575" y="24860250"/>
          <a:ext cx="2476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129</xdr:row>
      <xdr:rowOff>161925</xdr:rowOff>
    </xdr:from>
    <xdr:to>
      <xdr:col>5</xdr:col>
      <xdr:colOff>266700</xdr:colOff>
      <xdr:row>129</xdr:row>
      <xdr:rowOff>161925</xdr:rowOff>
    </xdr:to>
    <xdr:sp macro="" textlink="">
      <xdr:nvSpPr>
        <xdr:cNvPr id="255" name="Line 258">
          <a:extLst>
            <a:ext uri="{FF2B5EF4-FFF2-40B4-BE49-F238E27FC236}">
              <a16:creationId xmlns:a16="http://schemas.microsoft.com/office/drawing/2014/main" id="{00000000-0008-0000-0200-0000FF000000}"/>
            </a:ext>
          </a:extLst>
        </xdr:cNvPr>
        <xdr:cNvSpPr>
          <a:spLocks noChangeShapeType="1"/>
        </xdr:cNvSpPr>
      </xdr:nvSpPr>
      <xdr:spPr bwMode="auto">
        <a:xfrm>
          <a:off x="2705100" y="24603075"/>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129</xdr:row>
      <xdr:rowOff>123825</xdr:rowOff>
    </xdr:from>
    <xdr:to>
      <xdr:col>5</xdr:col>
      <xdr:colOff>238125</xdr:colOff>
      <xdr:row>131</xdr:row>
      <xdr:rowOff>66675</xdr:rowOff>
    </xdr:to>
    <xdr:sp macro="" textlink="">
      <xdr:nvSpPr>
        <xdr:cNvPr id="256" name="Line 259">
          <a:extLst>
            <a:ext uri="{FF2B5EF4-FFF2-40B4-BE49-F238E27FC236}">
              <a16:creationId xmlns:a16="http://schemas.microsoft.com/office/drawing/2014/main" id="{00000000-0008-0000-0200-000000010000}"/>
            </a:ext>
          </a:extLst>
        </xdr:cNvPr>
        <xdr:cNvSpPr>
          <a:spLocks noChangeShapeType="1"/>
        </xdr:cNvSpPr>
      </xdr:nvSpPr>
      <xdr:spPr bwMode="auto">
        <a:xfrm>
          <a:off x="2895600" y="24564975"/>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200025</xdr:colOff>
      <xdr:row>129</xdr:row>
      <xdr:rowOff>114300</xdr:rowOff>
    </xdr:from>
    <xdr:to>
      <xdr:col>5</xdr:col>
      <xdr:colOff>276225</xdr:colOff>
      <xdr:row>129</xdr:row>
      <xdr:rowOff>209550</xdr:rowOff>
    </xdr:to>
    <xdr:sp macro="" textlink="">
      <xdr:nvSpPr>
        <xdr:cNvPr id="257" name="Line 260">
          <a:extLst>
            <a:ext uri="{FF2B5EF4-FFF2-40B4-BE49-F238E27FC236}">
              <a16:creationId xmlns:a16="http://schemas.microsoft.com/office/drawing/2014/main" id="{00000000-0008-0000-0200-000001010000}"/>
            </a:ext>
          </a:extLst>
        </xdr:cNvPr>
        <xdr:cNvSpPr>
          <a:spLocks noChangeShapeType="1"/>
        </xdr:cNvSpPr>
      </xdr:nvSpPr>
      <xdr:spPr bwMode="auto">
        <a:xfrm flipV="1">
          <a:off x="2857500" y="24555450"/>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200025</xdr:colOff>
      <xdr:row>130</xdr:row>
      <xdr:rowOff>209550</xdr:rowOff>
    </xdr:from>
    <xdr:to>
      <xdr:col>5</xdr:col>
      <xdr:colOff>276225</xdr:colOff>
      <xdr:row>131</xdr:row>
      <xdr:rowOff>66675</xdr:rowOff>
    </xdr:to>
    <xdr:sp macro="" textlink="">
      <xdr:nvSpPr>
        <xdr:cNvPr id="258" name="Line 261">
          <a:extLst>
            <a:ext uri="{FF2B5EF4-FFF2-40B4-BE49-F238E27FC236}">
              <a16:creationId xmlns:a16="http://schemas.microsoft.com/office/drawing/2014/main" id="{00000000-0008-0000-0200-000002010000}"/>
            </a:ext>
          </a:extLst>
        </xdr:cNvPr>
        <xdr:cNvSpPr>
          <a:spLocks noChangeShapeType="1"/>
        </xdr:cNvSpPr>
      </xdr:nvSpPr>
      <xdr:spPr bwMode="auto">
        <a:xfrm flipV="1">
          <a:off x="2857500" y="2482215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504825</xdr:colOff>
      <xdr:row>129</xdr:row>
      <xdr:rowOff>123825</xdr:rowOff>
    </xdr:from>
    <xdr:to>
      <xdr:col>5</xdr:col>
      <xdr:colOff>581025</xdr:colOff>
      <xdr:row>130</xdr:row>
      <xdr:rowOff>0</xdr:rowOff>
    </xdr:to>
    <xdr:sp macro="" textlink="">
      <xdr:nvSpPr>
        <xdr:cNvPr id="259" name="Line 262">
          <a:extLst>
            <a:ext uri="{FF2B5EF4-FFF2-40B4-BE49-F238E27FC236}">
              <a16:creationId xmlns:a16="http://schemas.microsoft.com/office/drawing/2014/main" id="{00000000-0008-0000-0200-000003010000}"/>
            </a:ext>
          </a:extLst>
        </xdr:cNvPr>
        <xdr:cNvSpPr>
          <a:spLocks noChangeShapeType="1"/>
        </xdr:cNvSpPr>
      </xdr:nvSpPr>
      <xdr:spPr bwMode="auto">
        <a:xfrm flipH="1">
          <a:off x="3162300" y="2456497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127</xdr:row>
      <xdr:rowOff>123825</xdr:rowOff>
    </xdr:from>
    <xdr:to>
      <xdr:col>5</xdr:col>
      <xdr:colOff>95250</xdr:colOff>
      <xdr:row>129</xdr:row>
      <xdr:rowOff>28575</xdr:rowOff>
    </xdr:to>
    <xdr:sp macro="" textlink="">
      <xdr:nvSpPr>
        <xdr:cNvPr id="260" name="Line 263">
          <a:extLst>
            <a:ext uri="{FF2B5EF4-FFF2-40B4-BE49-F238E27FC236}">
              <a16:creationId xmlns:a16="http://schemas.microsoft.com/office/drawing/2014/main" id="{00000000-0008-0000-0200-000004010000}"/>
            </a:ext>
          </a:extLst>
        </xdr:cNvPr>
        <xdr:cNvSpPr>
          <a:spLocks noChangeShapeType="1"/>
        </xdr:cNvSpPr>
      </xdr:nvSpPr>
      <xdr:spPr bwMode="auto">
        <a:xfrm flipV="1">
          <a:off x="2752725" y="24183975"/>
          <a:ext cx="0" cy="2857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128</xdr:row>
      <xdr:rowOff>0</xdr:rowOff>
    </xdr:from>
    <xdr:to>
      <xdr:col>5</xdr:col>
      <xdr:colOff>419100</xdr:colOff>
      <xdr:row>128</xdr:row>
      <xdr:rowOff>9525</xdr:rowOff>
    </xdr:to>
    <xdr:sp macro="" textlink="">
      <xdr:nvSpPr>
        <xdr:cNvPr id="261" name="Line 264">
          <a:extLst>
            <a:ext uri="{FF2B5EF4-FFF2-40B4-BE49-F238E27FC236}">
              <a16:creationId xmlns:a16="http://schemas.microsoft.com/office/drawing/2014/main" id="{00000000-0008-0000-0200-000005010000}"/>
            </a:ext>
          </a:extLst>
        </xdr:cNvPr>
        <xdr:cNvSpPr>
          <a:spLocks noChangeShapeType="1"/>
        </xdr:cNvSpPr>
      </xdr:nvSpPr>
      <xdr:spPr bwMode="auto">
        <a:xfrm>
          <a:off x="2066925" y="24250650"/>
          <a:ext cx="1009650"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127</xdr:row>
      <xdr:rowOff>133350</xdr:rowOff>
    </xdr:from>
    <xdr:to>
      <xdr:col>3</xdr:col>
      <xdr:colOff>209550</xdr:colOff>
      <xdr:row>128</xdr:row>
      <xdr:rowOff>38100</xdr:rowOff>
    </xdr:to>
    <xdr:sp macro="" textlink="">
      <xdr:nvSpPr>
        <xdr:cNvPr id="262" name="Line 265">
          <a:extLst>
            <a:ext uri="{FF2B5EF4-FFF2-40B4-BE49-F238E27FC236}">
              <a16:creationId xmlns:a16="http://schemas.microsoft.com/office/drawing/2014/main" id="{00000000-0008-0000-0200-000006010000}"/>
            </a:ext>
          </a:extLst>
        </xdr:cNvPr>
        <xdr:cNvSpPr>
          <a:spLocks noChangeShapeType="1"/>
        </xdr:cNvSpPr>
      </xdr:nvSpPr>
      <xdr:spPr bwMode="auto">
        <a:xfrm flipV="1">
          <a:off x="2076450" y="2419350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127</xdr:row>
      <xdr:rowOff>123825</xdr:rowOff>
    </xdr:from>
    <xdr:to>
      <xdr:col>5</xdr:col>
      <xdr:colOff>142875</xdr:colOff>
      <xdr:row>128</xdr:row>
      <xdr:rowOff>47625</xdr:rowOff>
    </xdr:to>
    <xdr:sp macro="" textlink="">
      <xdr:nvSpPr>
        <xdr:cNvPr id="263" name="Line 266">
          <a:extLst>
            <a:ext uri="{FF2B5EF4-FFF2-40B4-BE49-F238E27FC236}">
              <a16:creationId xmlns:a16="http://schemas.microsoft.com/office/drawing/2014/main" id="{00000000-0008-0000-0200-000007010000}"/>
            </a:ext>
          </a:extLst>
        </xdr:cNvPr>
        <xdr:cNvSpPr>
          <a:spLocks noChangeShapeType="1"/>
        </xdr:cNvSpPr>
      </xdr:nvSpPr>
      <xdr:spPr bwMode="auto">
        <a:xfrm flipV="1">
          <a:off x="2705100" y="2418397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561975</xdr:colOff>
      <xdr:row>127</xdr:row>
      <xdr:rowOff>171450</xdr:rowOff>
    </xdr:from>
    <xdr:to>
      <xdr:col>3</xdr:col>
      <xdr:colOff>9525</xdr:colOff>
      <xdr:row>128</xdr:row>
      <xdr:rowOff>9525</xdr:rowOff>
    </xdr:to>
    <xdr:sp macro="" textlink="" fLocksText="0">
      <xdr:nvSpPr>
        <xdr:cNvPr id="264" name="Oval 270">
          <a:extLst>
            <a:ext uri="{FF2B5EF4-FFF2-40B4-BE49-F238E27FC236}">
              <a16:creationId xmlns:a16="http://schemas.microsoft.com/office/drawing/2014/main" id="{00000000-0008-0000-0200-000008010000}"/>
            </a:ext>
          </a:extLst>
        </xdr:cNvPr>
        <xdr:cNvSpPr>
          <a:spLocks noChangeArrowheads="1"/>
        </xdr:cNvSpPr>
      </xdr:nvSpPr>
      <xdr:spPr bwMode="auto">
        <a:xfrm>
          <a:off x="1943100" y="24231600"/>
          <a:ext cx="28575" cy="28575"/>
        </a:xfrm>
        <a:prstGeom prst="ellipse">
          <a:avLst/>
        </a:prstGeom>
        <a:noFill/>
        <a:ln w="2667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704850</xdr:colOff>
      <xdr:row>148</xdr:row>
      <xdr:rowOff>104775</xdr:rowOff>
    </xdr:from>
    <xdr:to>
      <xdr:col>5</xdr:col>
      <xdr:colOff>704850</xdr:colOff>
      <xdr:row>150</xdr:row>
      <xdr:rowOff>47625</xdr:rowOff>
    </xdr:to>
    <xdr:sp macro="" textlink="">
      <xdr:nvSpPr>
        <xdr:cNvPr id="265" name="Line 271">
          <a:extLst>
            <a:ext uri="{FF2B5EF4-FFF2-40B4-BE49-F238E27FC236}">
              <a16:creationId xmlns:a16="http://schemas.microsoft.com/office/drawing/2014/main" id="{00000000-0008-0000-0200-000009010000}"/>
            </a:ext>
          </a:extLst>
        </xdr:cNvPr>
        <xdr:cNvSpPr>
          <a:spLocks noChangeShapeType="1"/>
        </xdr:cNvSpPr>
      </xdr:nvSpPr>
      <xdr:spPr bwMode="auto">
        <a:xfrm>
          <a:off x="3362325" y="28174950"/>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561975</xdr:colOff>
      <xdr:row>146</xdr:row>
      <xdr:rowOff>161925</xdr:rowOff>
    </xdr:from>
    <xdr:to>
      <xdr:col>5</xdr:col>
      <xdr:colOff>609600</xdr:colOff>
      <xdr:row>150</xdr:row>
      <xdr:rowOff>47625</xdr:rowOff>
    </xdr:to>
    <xdr:sp macro="" textlink="">
      <xdr:nvSpPr>
        <xdr:cNvPr id="266" name="Tegning 303">
          <a:extLst>
            <a:ext uri="{FF2B5EF4-FFF2-40B4-BE49-F238E27FC236}">
              <a16:creationId xmlns:a16="http://schemas.microsoft.com/office/drawing/2014/main" id="{00000000-0008-0000-0200-00000A010000}"/>
            </a:ext>
          </a:extLst>
        </xdr:cNvPr>
        <xdr:cNvSpPr>
          <a:spLocks/>
        </xdr:cNvSpPr>
      </xdr:nvSpPr>
      <xdr:spPr bwMode="auto">
        <a:xfrm>
          <a:off x="1943100" y="27851100"/>
          <a:ext cx="132397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183"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95250</xdr:colOff>
      <xdr:row>147</xdr:row>
      <xdr:rowOff>161925</xdr:rowOff>
    </xdr:from>
    <xdr:to>
      <xdr:col>3</xdr:col>
      <xdr:colOff>0</xdr:colOff>
      <xdr:row>148</xdr:row>
      <xdr:rowOff>114300</xdr:rowOff>
    </xdr:to>
    <xdr:sp macro="" textlink="">
      <xdr:nvSpPr>
        <xdr:cNvPr id="267" name="Tegning 304">
          <a:extLst>
            <a:ext uri="{FF2B5EF4-FFF2-40B4-BE49-F238E27FC236}">
              <a16:creationId xmlns:a16="http://schemas.microsoft.com/office/drawing/2014/main" id="{00000000-0008-0000-0200-00000B010000}"/>
            </a:ext>
          </a:extLst>
        </xdr:cNvPr>
        <xdr:cNvSpPr>
          <a:spLocks/>
        </xdr:cNvSpPr>
      </xdr:nvSpPr>
      <xdr:spPr bwMode="auto">
        <a:xfrm>
          <a:off x="1476375" y="28041600"/>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039"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0</xdr:colOff>
      <xdr:row>147</xdr:row>
      <xdr:rowOff>161925</xdr:rowOff>
    </xdr:from>
    <xdr:to>
      <xdr:col>5</xdr:col>
      <xdr:colOff>209550</xdr:colOff>
      <xdr:row>148</xdr:row>
      <xdr:rowOff>114300</xdr:rowOff>
    </xdr:to>
    <xdr:sp macro="" textlink="">
      <xdr:nvSpPr>
        <xdr:cNvPr id="268" name="Tegning 305">
          <a:extLst>
            <a:ext uri="{FF2B5EF4-FFF2-40B4-BE49-F238E27FC236}">
              <a16:creationId xmlns:a16="http://schemas.microsoft.com/office/drawing/2014/main" id="{00000000-0008-0000-0200-00000C010000}"/>
            </a:ext>
          </a:extLst>
        </xdr:cNvPr>
        <xdr:cNvSpPr>
          <a:spLocks/>
        </xdr:cNvSpPr>
      </xdr:nvSpPr>
      <xdr:spPr bwMode="auto">
        <a:xfrm>
          <a:off x="1962150" y="28041600"/>
          <a:ext cx="904875"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16384" y="0"/>
              </a:lnTo>
              <a:lnTo>
                <a:pt x="16384" y="16384"/>
              </a:lnTo>
              <a:lnTo>
                <a:pt x="0"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552450</xdr:colOff>
      <xdr:row>150</xdr:row>
      <xdr:rowOff>76200</xdr:rowOff>
    </xdr:from>
    <xdr:to>
      <xdr:col>3</xdr:col>
      <xdr:colOff>266700</xdr:colOff>
      <xdr:row>152</xdr:row>
      <xdr:rowOff>85725</xdr:rowOff>
    </xdr:to>
    <xdr:sp macro="" textlink="">
      <xdr:nvSpPr>
        <xdr:cNvPr id="269" name="Tegning 306">
          <a:extLst>
            <a:ext uri="{FF2B5EF4-FFF2-40B4-BE49-F238E27FC236}">
              <a16:creationId xmlns:a16="http://schemas.microsoft.com/office/drawing/2014/main" id="{00000000-0008-0000-0200-00000D010000}"/>
            </a:ext>
          </a:extLst>
        </xdr:cNvPr>
        <xdr:cNvSpPr>
          <a:spLocks/>
        </xdr:cNvSpPr>
      </xdr:nvSpPr>
      <xdr:spPr bwMode="auto">
        <a:xfrm>
          <a:off x="1933575" y="28527375"/>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16384" y="10384"/>
              </a:lnTo>
              <a:lnTo>
                <a:pt x="8192" y="16384"/>
              </a:lnTo>
              <a:lnTo>
                <a:pt x="0" y="10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171450</xdr:colOff>
      <xdr:row>148</xdr:row>
      <xdr:rowOff>123825</xdr:rowOff>
    </xdr:from>
    <xdr:to>
      <xdr:col>2</xdr:col>
      <xdr:colOff>390525</xdr:colOff>
      <xdr:row>150</xdr:row>
      <xdr:rowOff>161925</xdr:rowOff>
    </xdr:to>
    <xdr:sp macro="" textlink="">
      <xdr:nvSpPr>
        <xdr:cNvPr id="270" name="Tegning 307">
          <a:extLst>
            <a:ext uri="{FF2B5EF4-FFF2-40B4-BE49-F238E27FC236}">
              <a16:creationId xmlns:a16="http://schemas.microsoft.com/office/drawing/2014/main" id="{00000000-0008-0000-0200-00000E010000}"/>
            </a:ext>
          </a:extLst>
        </xdr:cNvPr>
        <xdr:cNvSpPr>
          <a:spLocks/>
        </xdr:cNvSpPr>
      </xdr:nvSpPr>
      <xdr:spPr bwMode="auto">
        <a:xfrm>
          <a:off x="1552575" y="28194000"/>
          <a:ext cx="219075" cy="4191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7620" y="16384"/>
              </a:moveTo>
              <a:lnTo>
                <a:pt x="7620" y="0"/>
              </a:lnTo>
              <a:lnTo>
                <a:pt x="0" y="4819"/>
              </a:lnTo>
              <a:lnTo>
                <a:pt x="7620" y="0"/>
              </a:lnTo>
              <a:lnTo>
                <a:pt x="16384" y="554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148</xdr:row>
      <xdr:rowOff>114300</xdr:rowOff>
    </xdr:from>
    <xdr:to>
      <xdr:col>5</xdr:col>
      <xdr:colOff>209550</xdr:colOff>
      <xdr:row>148</xdr:row>
      <xdr:rowOff>114300</xdr:rowOff>
    </xdr:to>
    <xdr:sp macro="" textlink="">
      <xdr:nvSpPr>
        <xdr:cNvPr id="271" name="Line 277">
          <a:extLst>
            <a:ext uri="{FF2B5EF4-FFF2-40B4-BE49-F238E27FC236}">
              <a16:creationId xmlns:a16="http://schemas.microsoft.com/office/drawing/2014/main" id="{00000000-0008-0000-0200-00000F010000}"/>
            </a:ext>
          </a:extLst>
        </xdr:cNvPr>
        <xdr:cNvSpPr>
          <a:spLocks noChangeShapeType="1"/>
        </xdr:cNvSpPr>
      </xdr:nvSpPr>
      <xdr:spPr bwMode="auto">
        <a:xfrm>
          <a:off x="2752725" y="28184475"/>
          <a:ext cx="114300" cy="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148</xdr:row>
      <xdr:rowOff>142875</xdr:rowOff>
    </xdr:from>
    <xdr:to>
      <xdr:col>5</xdr:col>
      <xdr:colOff>76200</xdr:colOff>
      <xdr:row>150</xdr:row>
      <xdr:rowOff>28575</xdr:rowOff>
    </xdr:to>
    <xdr:sp macro="" textlink="">
      <xdr:nvSpPr>
        <xdr:cNvPr id="272" name="Line 278">
          <a:extLst>
            <a:ext uri="{FF2B5EF4-FFF2-40B4-BE49-F238E27FC236}">
              <a16:creationId xmlns:a16="http://schemas.microsoft.com/office/drawing/2014/main" id="{00000000-0008-0000-0200-000010010000}"/>
            </a:ext>
          </a:extLst>
        </xdr:cNvPr>
        <xdr:cNvSpPr>
          <a:spLocks noChangeShapeType="1"/>
        </xdr:cNvSpPr>
      </xdr:nvSpPr>
      <xdr:spPr bwMode="auto">
        <a:xfrm flipH="1">
          <a:off x="2466975" y="28213050"/>
          <a:ext cx="266700" cy="2667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148</xdr:row>
      <xdr:rowOff>142875</xdr:rowOff>
    </xdr:from>
    <xdr:to>
      <xdr:col>5</xdr:col>
      <xdr:colOff>447675</xdr:colOff>
      <xdr:row>150</xdr:row>
      <xdr:rowOff>0</xdr:rowOff>
    </xdr:to>
    <xdr:sp macro="" textlink="">
      <xdr:nvSpPr>
        <xdr:cNvPr id="273" name="Line 279">
          <a:extLst>
            <a:ext uri="{FF2B5EF4-FFF2-40B4-BE49-F238E27FC236}">
              <a16:creationId xmlns:a16="http://schemas.microsoft.com/office/drawing/2014/main" id="{00000000-0008-0000-0200-000011010000}"/>
            </a:ext>
          </a:extLst>
        </xdr:cNvPr>
        <xdr:cNvSpPr>
          <a:spLocks noChangeShapeType="1"/>
        </xdr:cNvSpPr>
      </xdr:nvSpPr>
      <xdr:spPr bwMode="auto">
        <a:xfrm>
          <a:off x="2895600" y="28213050"/>
          <a:ext cx="209550" cy="23812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150</xdr:row>
      <xdr:rowOff>57150</xdr:rowOff>
    </xdr:from>
    <xdr:to>
      <xdr:col>5</xdr:col>
      <xdr:colOff>266700</xdr:colOff>
      <xdr:row>151</xdr:row>
      <xdr:rowOff>171450</xdr:rowOff>
    </xdr:to>
    <xdr:sp macro="" textlink="">
      <xdr:nvSpPr>
        <xdr:cNvPr id="274" name="Tegning 311">
          <a:extLst>
            <a:ext uri="{FF2B5EF4-FFF2-40B4-BE49-F238E27FC236}">
              <a16:creationId xmlns:a16="http://schemas.microsoft.com/office/drawing/2014/main" id="{00000000-0008-0000-0200-000012010000}"/>
            </a:ext>
          </a:extLst>
        </xdr:cNvPr>
        <xdr:cNvSpPr>
          <a:spLocks/>
        </xdr:cNvSpPr>
      </xdr:nvSpPr>
      <xdr:spPr bwMode="auto">
        <a:xfrm>
          <a:off x="2686050" y="28508325"/>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95" y="16384"/>
              </a:moveTo>
              <a:lnTo>
                <a:pt x="8495" y="0"/>
              </a:lnTo>
              <a:lnTo>
                <a:pt x="16384" y="5605"/>
              </a:lnTo>
              <a:lnTo>
                <a:pt x="8495" y="0"/>
              </a:lnTo>
              <a:lnTo>
                <a:pt x="0" y="603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219075</xdr:colOff>
      <xdr:row>154</xdr:row>
      <xdr:rowOff>0</xdr:rowOff>
    </xdr:from>
    <xdr:to>
      <xdr:col>5</xdr:col>
      <xdr:colOff>171450</xdr:colOff>
      <xdr:row>154</xdr:row>
      <xdr:rowOff>0</xdr:rowOff>
    </xdr:to>
    <xdr:sp macro="" textlink="">
      <xdr:nvSpPr>
        <xdr:cNvPr id="275" name="Line 281">
          <a:extLst>
            <a:ext uri="{FF2B5EF4-FFF2-40B4-BE49-F238E27FC236}">
              <a16:creationId xmlns:a16="http://schemas.microsoft.com/office/drawing/2014/main" id="{00000000-0008-0000-0200-000013010000}"/>
            </a:ext>
          </a:extLst>
        </xdr:cNvPr>
        <xdr:cNvSpPr>
          <a:spLocks noChangeShapeType="1"/>
        </xdr:cNvSpPr>
      </xdr:nvSpPr>
      <xdr:spPr bwMode="auto">
        <a:xfrm>
          <a:off x="1600200" y="29222700"/>
          <a:ext cx="1228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152</xdr:row>
      <xdr:rowOff>28575</xdr:rowOff>
    </xdr:from>
    <xdr:to>
      <xdr:col>5</xdr:col>
      <xdr:colOff>152400</xdr:colOff>
      <xdr:row>154</xdr:row>
      <xdr:rowOff>66675</xdr:rowOff>
    </xdr:to>
    <xdr:sp macro="" textlink="">
      <xdr:nvSpPr>
        <xdr:cNvPr id="276" name="Line 282">
          <a:extLst>
            <a:ext uri="{FF2B5EF4-FFF2-40B4-BE49-F238E27FC236}">
              <a16:creationId xmlns:a16="http://schemas.microsoft.com/office/drawing/2014/main" id="{00000000-0008-0000-0200-000014010000}"/>
            </a:ext>
          </a:extLst>
        </xdr:cNvPr>
        <xdr:cNvSpPr>
          <a:spLocks noChangeShapeType="1"/>
        </xdr:cNvSpPr>
      </xdr:nvSpPr>
      <xdr:spPr bwMode="auto">
        <a:xfrm>
          <a:off x="2809875" y="28860750"/>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152</xdr:row>
      <xdr:rowOff>114300</xdr:rowOff>
    </xdr:from>
    <xdr:to>
      <xdr:col>3</xdr:col>
      <xdr:colOff>114300</xdr:colOff>
      <xdr:row>154</xdr:row>
      <xdr:rowOff>28575</xdr:rowOff>
    </xdr:to>
    <xdr:sp macro="" textlink="">
      <xdr:nvSpPr>
        <xdr:cNvPr id="277" name="Line 283">
          <a:extLst>
            <a:ext uri="{FF2B5EF4-FFF2-40B4-BE49-F238E27FC236}">
              <a16:creationId xmlns:a16="http://schemas.microsoft.com/office/drawing/2014/main" id="{00000000-0008-0000-0200-000015010000}"/>
            </a:ext>
          </a:extLst>
        </xdr:cNvPr>
        <xdr:cNvSpPr>
          <a:spLocks noChangeShapeType="1"/>
        </xdr:cNvSpPr>
      </xdr:nvSpPr>
      <xdr:spPr bwMode="auto">
        <a:xfrm>
          <a:off x="2076450" y="289464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151</xdr:row>
      <xdr:rowOff>38100</xdr:rowOff>
    </xdr:from>
    <xdr:to>
      <xdr:col>2</xdr:col>
      <xdr:colOff>266700</xdr:colOff>
      <xdr:row>154</xdr:row>
      <xdr:rowOff>66675</xdr:rowOff>
    </xdr:to>
    <xdr:sp macro="" textlink="">
      <xdr:nvSpPr>
        <xdr:cNvPr id="278" name="Line 284">
          <a:extLst>
            <a:ext uri="{FF2B5EF4-FFF2-40B4-BE49-F238E27FC236}">
              <a16:creationId xmlns:a16="http://schemas.microsoft.com/office/drawing/2014/main" id="{00000000-0008-0000-0200-000016010000}"/>
            </a:ext>
          </a:extLst>
        </xdr:cNvPr>
        <xdr:cNvSpPr>
          <a:spLocks noChangeShapeType="1"/>
        </xdr:cNvSpPr>
      </xdr:nvSpPr>
      <xdr:spPr bwMode="auto">
        <a:xfrm>
          <a:off x="1647825" y="28679775"/>
          <a:ext cx="0" cy="6096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153</xdr:row>
      <xdr:rowOff>142875</xdr:rowOff>
    </xdr:from>
    <xdr:to>
      <xdr:col>2</xdr:col>
      <xdr:colOff>314325</xdr:colOff>
      <xdr:row>154</xdr:row>
      <xdr:rowOff>66675</xdr:rowOff>
    </xdr:to>
    <xdr:sp macro="" textlink="">
      <xdr:nvSpPr>
        <xdr:cNvPr id="279" name="Line 285">
          <a:extLst>
            <a:ext uri="{FF2B5EF4-FFF2-40B4-BE49-F238E27FC236}">
              <a16:creationId xmlns:a16="http://schemas.microsoft.com/office/drawing/2014/main" id="{00000000-0008-0000-0200-000017010000}"/>
            </a:ext>
          </a:extLst>
        </xdr:cNvPr>
        <xdr:cNvSpPr>
          <a:spLocks noChangeShapeType="1"/>
        </xdr:cNvSpPr>
      </xdr:nvSpPr>
      <xdr:spPr bwMode="auto">
        <a:xfrm flipH="1">
          <a:off x="1600200" y="29175075"/>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153</xdr:row>
      <xdr:rowOff>142875</xdr:rowOff>
    </xdr:from>
    <xdr:to>
      <xdr:col>3</xdr:col>
      <xdr:colOff>161925</xdr:colOff>
      <xdr:row>154</xdr:row>
      <xdr:rowOff>66675</xdr:rowOff>
    </xdr:to>
    <xdr:sp macro="" textlink="">
      <xdr:nvSpPr>
        <xdr:cNvPr id="280" name="Line 286">
          <a:extLst>
            <a:ext uri="{FF2B5EF4-FFF2-40B4-BE49-F238E27FC236}">
              <a16:creationId xmlns:a16="http://schemas.microsoft.com/office/drawing/2014/main" id="{00000000-0008-0000-0200-000018010000}"/>
            </a:ext>
          </a:extLst>
        </xdr:cNvPr>
        <xdr:cNvSpPr>
          <a:spLocks noChangeShapeType="1"/>
        </xdr:cNvSpPr>
      </xdr:nvSpPr>
      <xdr:spPr bwMode="auto">
        <a:xfrm flipH="1">
          <a:off x="2009775" y="29175075"/>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150</xdr:row>
      <xdr:rowOff>0</xdr:rowOff>
    </xdr:from>
    <xdr:to>
      <xdr:col>5</xdr:col>
      <xdr:colOff>723900</xdr:colOff>
      <xdr:row>150</xdr:row>
      <xdr:rowOff>95250</xdr:rowOff>
    </xdr:to>
    <xdr:sp macro="" textlink="">
      <xdr:nvSpPr>
        <xdr:cNvPr id="281" name="Line 288">
          <a:extLst>
            <a:ext uri="{FF2B5EF4-FFF2-40B4-BE49-F238E27FC236}">
              <a16:creationId xmlns:a16="http://schemas.microsoft.com/office/drawing/2014/main" id="{00000000-0008-0000-0200-000019010000}"/>
            </a:ext>
          </a:extLst>
        </xdr:cNvPr>
        <xdr:cNvSpPr>
          <a:spLocks noChangeShapeType="1"/>
        </xdr:cNvSpPr>
      </xdr:nvSpPr>
      <xdr:spPr bwMode="auto">
        <a:xfrm flipH="1">
          <a:off x="3314700" y="28451175"/>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146</xdr:row>
      <xdr:rowOff>66675</xdr:rowOff>
    </xdr:from>
    <xdr:to>
      <xdr:col>5</xdr:col>
      <xdr:colOff>85725</xdr:colOff>
      <xdr:row>148</xdr:row>
      <xdr:rowOff>9525</xdr:rowOff>
    </xdr:to>
    <xdr:sp macro="" textlink="">
      <xdr:nvSpPr>
        <xdr:cNvPr id="282" name="Line 289">
          <a:extLst>
            <a:ext uri="{FF2B5EF4-FFF2-40B4-BE49-F238E27FC236}">
              <a16:creationId xmlns:a16="http://schemas.microsoft.com/office/drawing/2014/main" id="{00000000-0008-0000-0200-00001A010000}"/>
            </a:ext>
          </a:extLst>
        </xdr:cNvPr>
        <xdr:cNvSpPr>
          <a:spLocks noChangeShapeType="1"/>
        </xdr:cNvSpPr>
      </xdr:nvSpPr>
      <xdr:spPr bwMode="auto">
        <a:xfrm flipV="1">
          <a:off x="2743200" y="27755850"/>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143</xdr:row>
      <xdr:rowOff>152400</xdr:rowOff>
    </xdr:from>
    <xdr:to>
      <xdr:col>5</xdr:col>
      <xdr:colOff>209550</xdr:colOff>
      <xdr:row>147</xdr:row>
      <xdr:rowOff>152400</xdr:rowOff>
    </xdr:to>
    <xdr:sp macro="" textlink="">
      <xdr:nvSpPr>
        <xdr:cNvPr id="283" name="Line 290">
          <a:extLst>
            <a:ext uri="{FF2B5EF4-FFF2-40B4-BE49-F238E27FC236}">
              <a16:creationId xmlns:a16="http://schemas.microsoft.com/office/drawing/2014/main" id="{00000000-0008-0000-0200-00001B010000}"/>
            </a:ext>
          </a:extLst>
        </xdr:cNvPr>
        <xdr:cNvSpPr>
          <a:spLocks noChangeShapeType="1"/>
        </xdr:cNvSpPr>
      </xdr:nvSpPr>
      <xdr:spPr bwMode="auto">
        <a:xfrm flipV="1">
          <a:off x="2867025" y="272700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146</xdr:row>
      <xdr:rowOff>114300</xdr:rowOff>
    </xdr:from>
    <xdr:to>
      <xdr:col>5</xdr:col>
      <xdr:colOff>276225</xdr:colOff>
      <xdr:row>146</xdr:row>
      <xdr:rowOff>114300</xdr:rowOff>
    </xdr:to>
    <xdr:sp macro="" textlink="">
      <xdr:nvSpPr>
        <xdr:cNvPr id="284" name="Line 291">
          <a:extLst>
            <a:ext uri="{FF2B5EF4-FFF2-40B4-BE49-F238E27FC236}">
              <a16:creationId xmlns:a16="http://schemas.microsoft.com/office/drawing/2014/main" id="{00000000-0008-0000-0200-00001C010000}"/>
            </a:ext>
          </a:extLst>
        </xdr:cNvPr>
        <xdr:cNvSpPr>
          <a:spLocks noChangeShapeType="1"/>
        </xdr:cNvSpPr>
      </xdr:nvSpPr>
      <xdr:spPr bwMode="auto">
        <a:xfrm>
          <a:off x="2695575" y="27803475"/>
          <a:ext cx="2381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146</xdr:row>
      <xdr:rowOff>66675</xdr:rowOff>
    </xdr:from>
    <xdr:to>
      <xdr:col>5</xdr:col>
      <xdr:colOff>123825</xdr:colOff>
      <xdr:row>146</xdr:row>
      <xdr:rowOff>142875</xdr:rowOff>
    </xdr:to>
    <xdr:sp macro="" textlink="">
      <xdr:nvSpPr>
        <xdr:cNvPr id="285" name="Line 292">
          <a:extLst>
            <a:ext uri="{FF2B5EF4-FFF2-40B4-BE49-F238E27FC236}">
              <a16:creationId xmlns:a16="http://schemas.microsoft.com/office/drawing/2014/main" id="{00000000-0008-0000-0200-00001D010000}"/>
            </a:ext>
          </a:extLst>
        </xdr:cNvPr>
        <xdr:cNvSpPr>
          <a:spLocks noChangeShapeType="1"/>
        </xdr:cNvSpPr>
      </xdr:nvSpPr>
      <xdr:spPr bwMode="auto">
        <a:xfrm flipV="1">
          <a:off x="2705100" y="27755850"/>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146</xdr:row>
      <xdr:rowOff>9525</xdr:rowOff>
    </xdr:from>
    <xdr:to>
      <xdr:col>3</xdr:col>
      <xdr:colOff>190500</xdr:colOff>
      <xdr:row>146</xdr:row>
      <xdr:rowOff>9525</xdr:rowOff>
    </xdr:to>
    <xdr:sp macro="" textlink="">
      <xdr:nvSpPr>
        <xdr:cNvPr id="286" name="Line 293">
          <a:extLst>
            <a:ext uri="{FF2B5EF4-FFF2-40B4-BE49-F238E27FC236}">
              <a16:creationId xmlns:a16="http://schemas.microsoft.com/office/drawing/2014/main" id="{00000000-0008-0000-0200-00001E010000}"/>
            </a:ext>
          </a:extLst>
        </xdr:cNvPr>
        <xdr:cNvSpPr>
          <a:spLocks noChangeShapeType="1"/>
        </xdr:cNvSpPr>
      </xdr:nvSpPr>
      <xdr:spPr bwMode="auto">
        <a:xfrm>
          <a:off x="1381125" y="27698700"/>
          <a:ext cx="771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145</xdr:row>
      <xdr:rowOff>152400</xdr:rowOff>
    </xdr:from>
    <xdr:to>
      <xdr:col>2</xdr:col>
      <xdr:colOff>266700</xdr:colOff>
      <xdr:row>148</xdr:row>
      <xdr:rowOff>38100</xdr:rowOff>
    </xdr:to>
    <xdr:sp macro="" textlink="">
      <xdr:nvSpPr>
        <xdr:cNvPr id="287" name="Line 294">
          <a:extLst>
            <a:ext uri="{FF2B5EF4-FFF2-40B4-BE49-F238E27FC236}">
              <a16:creationId xmlns:a16="http://schemas.microsoft.com/office/drawing/2014/main" id="{00000000-0008-0000-0200-00001F010000}"/>
            </a:ext>
          </a:extLst>
        </xdr:cNvPr>
        <xdr:cNvSpPr>
          <a:spLocks noChangeShapeType="1"/>
        </xdr:cNvSpPr>
      </xdr:nvSpPr>
      <xdr:spPr bwMode="auto">
        <a:xfrm flipV="1">
          <a:off x="1647825" y="27651075"/>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145</xdr:row>
      <xdr:rowOff>123825</xdr:rowOff>
    </xdr:from>
    <xdr:to>
      <xdr:col>2</xdr:col>
      <xdr:colOff>571500</xdr:colOff>
      <xdr:row>146</xdr:row>
      <xdr:rowOff>123825</xdr:rowOff>
    </xdr:to>
    <xdr:sp macro="" textlink="">
      <xdr:nvSpPr>
        <xdr:cNvPr id="288" name="Line 295">
          <a:extLst>
            <a:ext uri="{FF2B5EF4-FFF2-40B4-BE49-F238E27FC236}">
              <a16:creationId xmlns:a16="http://schemas.microsoft.com/office/drawing/2014/main" id="{00000000-0008-0000-0200-000020010000}"/>
            </a:ext>
          </a:extLst>
        </xdr:cNvPr>
        <xdr:cNvSpPr>
          <a:spLocks noChangeShapeType="1"/>
        </xdr:cNvSpPr>
      </xdr:nvSpPr>
      <xdr:spPr bwMode="auto">
        <a:xfrm flipV="1">
          <a:off x="1952625" y="27622500"/>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147</xdr:row>
      <xdr:rowOff>38100</xdr:rowOff>
    </xdr:from>
    <xdr:to>
      <xdr:col>2</xdr:col>
      <xdr:colOff>438150</xdr:colOff>
      <xdr:row>151</xdr:row>
      <xdr:rowOff>152400</xdr:rowOff>
    </xdr:to>
    <xdr:sp macro="" textlink="">
      <xdr:nvSpPr>
        <xdr:cNvPr id="289" name="Line 296">
          <a:extLst>
            <a:ext uri="{FF2B5EF4-FFF2-40B4-BE49-F238E27FC236}">
              <a16:creationId xmlns:a16="http://schemas.microsoft.com/office/drawing/2014/main" id="{00000000-0008-0000-0200-000021010000}"/>
            </a:ext>
          </a:extLst>
        </xdr:cNvPr>
        <xdr:cNvSpPr>
          <a:spLocks noChangeShapeType="1"/>
        </xdr:cNvSpPr>
      </xdr:nvSpPr>
      <xdr:spPr bwMode="auto">
        <a:xfrm>
          <a:off x="1819275" y="27917775"/>
          <a:ext cx="0" cy="8763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145</xdr:row>
      <xdr:rowOff>161925</xdr:rowOff>
    </xdr:from>
    <xdr:to>
      <xdr:col>3</xdr:col>
      <xdr:colOff>161925</xdr:colOff>
      <xdr:row>146</xdr:row>
      <xdr:rowOff>38100</xdr:rowOff>
    </xdr:to>
    <xdr:sp macro="" textlink="">
      <xdr:nvSpPr>
        <xdr:cNvPr id="290" name="Line 297">
          <a:extLst>
            <a:ext uri="{FF2B5EF4-FFF2-40B4-BE49-F238E27FC236}">
              <a16:creationId xmlns:a16="http://schemas.microsoft.com/office/drawing/2014/main" id="{00000000-0008-0000-0200-000022010000}"/>
            </a:ext>
          </a:extLst>
        </xdr:cNvPr>
        <xdr:cNvSpPr>
          <a:spLocks noChangeShapeType="1"/>
        </xdr:cNvSpPr>
      </xdr:nvSpPr>
      <xdr:spPr bwMode="auto">
        <a:xfrm flipH="1">
          <a:off x="2047875" y="2766060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145</xdr:row>
      <xdr:rowOff>161925</xdr:rowOff>
    </xdr:from>
    <xdr:to>
      <xdr:col>2</xdr:col>
      <xdr:colOff>457200</xdr:colOff>
      <xdr:row>146</xdr:row>
      <xdr:rowOff>66675</xdr:rowOff>
    </xdr:to>
    <xdr:sp macro="" textlink="">
      <xdr:nvSpPr>
        <xdr:cNvPr id="291" name="Line 298">
          <a:extLst>
            <a:ext uri="{FF2B5EF4-FFF2-40B4-BE49-F238E27FC236}">
              <a16:creationId xmlns:a16="http://schemas.microsoft.com/office/drawing/2014/main" id="{00000000-0008-0000-0200-000023010000}"/>
            </a:ext>
          </a:extLst>
        </xdr:cNvPr>
        <xdr:cNvSpPr>
          <a:spLocks noChangeShapeType="1"/>
        </xdr:cNvSpPr>
      </xdr:nvSpPr>
      <xdr:spPr bwMode="auto">
        <a:xfrm flipH="1">
          <a:off x="1771650" y="27660600"/>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147</xdr:row>
      <xdr:rowOff>9525</xdr:rowOff>
    </xdr:from>
    <xdr:to>
      <xdr:col>2</xdr:col>
      <xdr:colOff>95250</xdr:colOff>
      <xdr:row>147</xdr:row>
      <xdr:rowOff>114300</xdr:rowOff>
    </xdr:to>
    <xdr:sp macro="" textlink="">
      <xdr:nvSpPr>
        <xdr:cNvPr id="292" name="Line 299">
          <a:extLst>
            <a:ext uri="{FF2B5EF4-FFF2-40B4-BE49-F238E27FC236}">
              <a16:creationId xmlns:a16="http://schemas.microsoft.com/office/drawing/2014/main" id="{00000000-0008-0000-0200-000024010000}"/>
            </a:ext>
          </a:extLst>
        </xdr:cNvPr>
        <xdr:cNvSpPr>
          <a:spLocks noChangeShapeType="1"/>
        </xdr:cNvSpPr>
      </xdr:nvSpPr>
      <xdr:spPr bwMode="auto">
        <a:xfrm flipV="1">
          <a:off x="1476375" y="27889200"/>
          <a:ext cx="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145</xdr:row>
      <xdr:rowOff>152400</xdr:rowOff>
    </xdr:from>
    <xdr:to>
      <xdr:col>2</xdr:col>
      <xdr:colOff>142875</xdr:colOff>
      <xdr:row>146</xdr:row>
      <xdr:rowOff>57150</xdr:rowOff>
    </xdr:to>
    <xdr:sp macro="" textlink="">
      <xdr:nvSpPr>
        <xdr:cNvPr id="293" name="Line 300">
          <a:extLst>
            <a:ext uri="{FF2B5EF4-FFF2-40B4-BE49-F238E27FC236}">
              <a16:creationId xmlns:a16="http://schemas.microsoft.com/office/drawing/2014/main" id="{00000000-0008-0000-0200-000025010000}"/>
            </a:ext>
          </a:extLst>
        </xdr:cNvPr>
        <xdr:cNvSpPr>
          <a:spLocks noChangeShapeType="1"/>
        </xdr:cNvSpPr>
      </xdr:nvSpPr>
      <xdr:spPr bwMode="auto">
        <a:xfrm flipH="1">
          <a:off x="1409700" y="276510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144</xdr:row>
      <xdr:rowOff>0</xdr:rowOff>
    </xdr:from>
    <xdr:to>
      <xdr:col>5</xdr:col>
      <xdr:colOff>285750</xdr:colOff>
      <xdr:row>144</xdr:row>
      <xdr:rowOff>0</xdr:rowOff>
    </xdr:to>
    <xdr:sp macro="" textlink="">
      <xdr:nvSpPr>
        <xdr:cNvPr id="294" name="Line 301">
          <a:extLst>
            <a:ext uri="{FF2B5EF4-FFF2-40B4-BE49-F238E27FC236}">
              <a16:creationId xmlns:a16="http://schemas.microsoft.com/office/drawing/2014/main" id="{00000000-0008-0000-0200-000026010000}"/>
            </a:ext>
          </a:extLst>
        </xdr:cNvPr>
        <xdr:cNvSpPr>
          <a:spLocks noChangeShapeType="1"/>
        </xdr:cNvSpPr>
      </xdr:nvSpPr>
      <xdr:spPr bwMode="auto">
        <a:xfrm flipH="1">
          <a:off x="1428750" y="27308175"/>
          <a:ext cx="1514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143</xdr:row>
      <xdr:rowOff>142875</xdr:rowOff>
    </xdr:from>
    <xdr:to>
      <xdr:col>2</xdr:col>
      <xdr:colOff>152400</xdr:colOff>
      <xdr:row>144</xdr:row>
      <xdr:rowOff>38100</xdr:rowOff>
    </xdr:to>
    <xdr:sp macro="" textlink="">
      <xdr:nvSpPr>
        <xdr:cNvPr id="295" name="Line 302">
          <a:extLst>
            <a:ext uri="{FF2B5EF4-FFF2-40B4-BE49-F238E27FC236}">
              <a16:creationId xmlns:a16="http://schemas.microsoft.com/office/drawing/2014/main" id="{00000000-0008-0000-0200-000027010000}"/>
            </a:ext>
          </a:extLst>
        </xdr:cNvPr>
        <xdr:cNvSpPr>
          <a:spLocks noChangeShapeType="1"/>
        </xdr:cNvSpPr>
      </xdr:nvSpPr>
      <xdr:spPr bwMode="auto">
        <a:xfrm flipH="1">
          <a:off x="1438275" y="2726055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145</xdr:row>
      <xdr:rowOff>161925</xdr:rowOff>
    </xdr:from>
    <xdr:to>
      <xdr:col>2</xdr:col>
      <xdr:colOff>295275</xdr:colOff>
      <xdr:row>146</xdr:row>
      <xdr:rowOff>38100</xdr:rowOff>
    </xdr:to>
    <xdr:sp macro="" textlink="">
      <xdr:nvSpPr>
        <xdr:cNvPr id="296" name="Line 303">
          <a:extLst>
            <a:ext uri="{FF2B5EF4-FFF2-40B4-BE49-F238E27FC236}">
              <a16:creationId xmlns:a16="http://schemas.microsoft.com/office/drawing/2014/main" id="{00000000-0008-0000-0200-000028010000}"/>
            </a:ext>
          </a:extLst>
        </xdr:cNvPr>
        <xdr:cNvSpPr>
          <a:spLocks noChangeShapeType="1"/>
        </xdr:cNvSpPr>
      </xdr:nvSpPr>
      <xdr:spPr bwMode="auto">
        <a:xfrm flipH="1">
          <a:off x="1619250" y="27660600"/>
          <a:ext cx="571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143</xdr:row>
      <xdr:rowOff>123825</xdr:rowOff>
    </xdr:from>
    <xdr:to>
      <xdr:col>2</xdr:col>
      <xdr:colOff>95250</xdr:colOff>
      <xdr:row>146</xdr:row>
      <xdr:rowOff>38100</xdr:rowOff>
    </xdr:to>
    <xdr:sp macro="" textlink="">
      <xdr:nvSpPr>
        <xdr:cNvPr id="297" name="Line 304">
          <a:extLst>
            <a:ext uri="{FF2B5EF4-FFF2-40B4-BE49-F238E27FC236}">
              <a16:creationId xmlns:a16="http://schemas.microsoft.com/office/drawing/2014/main" id="{00000000-0008-0000-0200-000029010000}"/>
            </a:ext>
          </a:extLst>
        </xdr:cNvPr>
        <xdr:cNvSpPr>
          <a:spLocks noChangeShapeType="1"/>
        </xdr:cNvSpPr>
      </xdr:nvSpPr>
      <xdr:spPr bwMode="auto">
        <a:xfrm>
          <a:off x="1476375" y="272415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146</xdr:row>
      <xdr:rowOff>66675</xdr:rowOff>
    </xdr:from>
    <xdr:to>
      <xdr:col>5</xdr:col>
      <xdr:colOff>247650</xdr:colOff>
      <xdr:row>146</xdr:row>
      <xdr:rowOff>142875</xdr:rowOff>
    </xdr:to>
    <xdr:sp macro="" textlink="">
      <xdr:nvSpPr>
        <xdr:cNvPr id="298" name="Line 305">
          <a:extLst>
            <a:ext uri="{FF2B5EF4-FFF2-40B4-BE49-F238E27FC236}">
              <a16:creationId xmlns:a16="http://schemas.microsoft.com/office/drawing/2014/main" id="{00000000-0008-0000-0200-00002A010000}"/>
            </a:ext>
          </a:extLst>
        </xdr:cNvPr>
        <xdr:cNvSpPr>
          <a:spLocks noChangeShapeType="1"/>
        </xdr:cNvSpPr>
      </xdr:nvSpPr>
      <xdr:spPr bwMode="auto">
        <a:xfrm flipH="1">
          <a:off x="2838450" y="277558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145</xdr:row>
      <xdr:rowOff>152400</xdr:rowOff>
    </xdr:from>
    <xdr:to>
      <xdr:col>3</xdr:col>
      <xdr:colOff>114300</xdr:colOff>
      <xdr:row>147</xdr:row>
      <xdr:rowOff>76200</xdr:rowOff>
    </xdr:to>
    <xdr:sp macro="" textlink="">
      <xdr:nvSpPr>
        <xdr:cNvPr id="299" name="Line 306">
          <a:extLst>
            <a:ext uri="{FF2B5EF4-FFF2-40B4-BE49-F238E27FC236}">
              <a16:creationId xmlns:a16="http://schemas.microsoft.com/office/drawing/2014/main" id="{00000000-0008-0000-0200-00002B010000}"/>
            </a:ext>
          </a:extLst>
        </xdr:cNvPr>
        <xdr:cNvSpPr>
          <a:spLocks noChangeShapeType="1"/>
        </xdr:cNvSpPr>
      </xdr:nvSpPr>
      <xdr:spPr bwMode="auto">
        <a:xfrm>
          <a:off x="2076450" y="276510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147</xdr:row>
      <xdr:rowOff>142875</xdr:rowOff>
    </xdr:from>
    <xdr:to>
      <xdr:col>5</xdr:col>
      <xdr:colOff>619125</xdr:colOff>
      <xdr:row>149</xdr:row>
      <xdr:rowOff>161925</xdr:rowOff>
    </xdr:to>
    <xdr:sp macro="" textlink="">
      <xdr:nvSpPr>
        <xdr:cNvPr id="300" name="Tegning 338">
          <a:extLst>
            <a:ext uri="{FF2B5EF4-FFF2-40B4-BE49-F238E27FC236}">
              <a16:creationId xmlns:a16="http://schemas.microsoft.com/office/drawing/2014/main" id="{00000000-0008-0000-0200-00002C010000}"/>
            </a:ext>
          </a:extLst>
        </xdr:cNvPr>
        <xdr:cNvSpPr>
          <a:spLocks/>
        </xdr:cNvSpPr>
      </xdr:nvSpPr>
      <xdr:spPr bwMode="auto">
        <a:xfrm>
          <a:off x="2066925" y="28022550"/>
          <a:ext cx="1209675" cy="4000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0" y="14444"/>
              </a:lnTo>
              <a:lnTo>
                <a:pt x="67" y="15522"/>
              </a:lnTo>
              <a:lnTo>
                <a:pt x="336" y="16168"/>
              </a:lnTo>
              <a:lnTo>
                <a:pt x="806" y="16384"/>
              </a:lnTo>
              <a:lnTo>
                <a:pt x="16384"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428625</xdr:colOff>
      <xdr:row>145</xdr:row>
      <xdr:rowOff>152400</xdr:rowOff>
    </xdr:from>
    <xdr:to>
      <xdr:col>2</xdr:col>
      <xdr:colOff>428625</xdr:colOff>
      <xdr:row>146</xdr:row>
      <xdr:rowOff>152400</xdr:rowOff>
    </xdr:to>
    <xdr:sp macro="" textlink="">
      <xdr:nvSpPr>
        <xdr:cNvPr id="301" name="Line 308">
          <a:extLst>
            <a:ext uri="{FF2B5EF4-FFF2-40B4-BE49-F238E27FC236}">
              <a16:creationId xmlns:a16="http://schemas.microsoft.com/office/drawing/2014/main" id="{00000000-0008-0000-0200-00002D010000}"/>
            </a:ext>
          </a:extLst>
        </xdr:cNvPr>
        <xdr:cNvSpPr>
          <a:spLocks noChangeShapeType="1"/>
        </xdr:cNvSpPr>
      </xdr:nvSpPr>
      <xdr:spPr bwMode="auto">
        <a:xfrm>
          <a:off x="1809750" y="2765107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144</xdr:row>
      <xdr:rowOff>161925</xdr:rowOff>
    </xdr:from>
    <xdr:to>
      <xdr:col>2</xdr:col>
      <xdr:colOff>514350</xdr:colOff>
      <xdr:row>146</xdr:row>
      <xdr:rowOff>0</xdr:rowOff>
    </xdr:to>
    <xdr:sp macro="" textlink="">
      <xdr:nvSpPr>
        <xdr:cNvPr id="302" name="Line 309">
          <a:extLst>
            <a:ext uri="{FF2B5EF4-FFF2-40B4-BE49-F238E27FC236}">
              <a16:creationId xmlns:a16="http://schemas.microsoft.com/office/drawing/2014/main" id="{00000000-0008-0000-0200-00002E010000}"/>
            </a:ext>
          </a:extLst>
        </xdr:cNvPr>
        <xdr:cNvSpPr>
          <a:spLocks noChangeShapeType="1"/>
        </xdr:cNvSpPr>
      </xdr:nvSpPr>
      <xdr:spPr bwMode="auto">
        <a:xfrm>
          <a:off x="1828800" y="27470100"/>
          <a:ext cx="66675"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143</xdr:row>
      <xdr:rowOff>142875</xdr:rowOff>
    </xdr:from>
    <xdr:to>
      <xdr:col>5</xdr:col>
      <xdr:colOff>247650</xdr:colOff>
      <xdr:row>144</xdr:row>
      <xdr:rowOff>47625</xdr:rowOff>
    </xdr:to>
    <xdr:sp macro="" textlink="">
      <xdr:nvSpPr>
        <xdr:cNvPr id="303" name="Line 310">
          <a:extLst>
            <a:ext uri="{FF2B5EF4-FFF2-40B4-BE49-F238E27FC236}">
              <a16:creationId xmlns:a16="http://schemas.microsoft.com/office/drawing/2014/main" id="{00000000-0008-0000-0200-00002F010000}"/>
            </a:ext>
          </a:extLst>
        </xdr:cNvPr>
        <xdr:cNvSpPr>
          <a:spLocks noChangeShapeType="1"/>
        </xdr:cNvSpPr>
      </xdr:nvSpPr>
      <xdr:spPr bwMode="auto">
        <a:xfrm flipH="1">
          <a:off x="2809875" y="2726055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146</xdr:row>
      <xdr:rowOff>0</xdr:rowOff>
    </xdr:from>
    <xdr:to>
      <xdr:col>2</xdr:col>
      <xdr:colOff>523875</xdr:colOff>
      <xdr:row>146</xdr:row>
      <xdr:rowOff>28575</xdr:rowOff>
    </xdr:to>
    <xdr:sp macro="" textlink="" fLocksText="0">
      <xdr:nvSpPr>
        <xdr:cNvPr id="304" name="Oval 311">
          <a:extLst>
            <a:ext uri="{FF2B5EF4-FFF2-40B4-BE49-F238E27FC236}">
              <a16:creationId xmlns:a16="http://schemas.microsoft.com/office/drawing/2014/main" id="{00000000-0008-0000-0200-000030010000}"/>
            </a:ext>
          </a:extLst>
        </xdr:cNvPr>
        <xdr:cNvSpPr>
          <a:spLocks noChangeArrowheads="1"/>
        </xdr:cNvSpPr>
      </xdr:nvSpPr>
      <xdr:spPr bwMode="auto">
        <a:xfrm>
          <a:off x="1876425" y="27689175"/>
          <a:ext cx="28575"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66675</xdr:colOff>
      <xdr:row>149</xdr:row>
      <xdr:rowOff>0</xdr:rowOff>
    </xdr:from>
    <xdr:to>
      <xdr:col>3</xdr:col>
      <xdr:colOff>142875</xdr:colOff>
      <xdr:row>149</xdr:row>
      <xdr:rowOff>76200</xdr:rowOff>
    </xdr:to>
    <xdr:sp macro="" textlink="" fLocksText="0">
      <xdr:nvSpPr>
        <xdr:cNvPr id="305" name="Oval 312">
          <a:extLst>
            <a:ext uri="{FF2B5EF4-FFF2-40B4-BE49-F238E27FC236}">
              <a16:creationId xmlns:a16="http://schemas.microsoft.com/office/drawing/2014/main" id="{00000000-0008-0000-0200-000031010000}"/>
            </a:ext>
          </a:extLst>
        </xdr:cNvPr>
        <xdr:cNvSpPr>
          <a:spLocks noChangeArrowheads="1"/>
        </xdr:cNvSpPr>
      </xdr:nvSpPr>
      <xdr:spPr bwMode="auto">
        <a:xfrm>
          <a:off x="2028825" y="2826067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152400</xdr:colOff>
      <xdr:row>147</xdr:row>
      <xdr:rowOff>152400</xdr:rowOff>
    </xdr:from>
    <xdr:to>
      <xdr:col>4</xdr:col>
      <xdr:colOff>133350</xdr:colOff>
      <xdr:row>149</xdr:row>
      <xdr:rowOff>28575</xdr:rowOff>
    </xdr:to>
    <xdr:sp macro="" textlink="">
      <xdr:nvSpPr>
        <xdr:cNvPr id="306" name="Line 313">
          <a:extLst>
            <a:ext uri="{FF2B5EF4-FFF2-40B4-BE49-F238E27FC236}">
              <a16:creationId xmlns:a16="http://schemas.microsoft.com/office/drawing/2014/main" id="{00000000-0008-0000-0200-000032010000}"/>
            </a:ext>
          </a:extLst>
        </xdr:cNvPr>
        <xdr:cNvSpPr>
          <a:spLocks noChangeShapeType="1"/>
        </xdr:cNvSpPr>
      </xdr:nvSpPr>
      <xdr:spPr bwMode="auto">
        <a:xfrm flipH="1">
          <a:off x="2114550" y="28032075"/>
          <a:ext cx="352425"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314325</xdr:colOff>
      <xdr:row>148</xdr:row>
      <xdr:rowOff>114300</xdr:rowOff>
    </xdr:from>
    <xdr:to>
      <xdr:col>6</xdr:col>
      <xdr:colOff>9525</xdr:colOff>
      <xdr:row>148</xdr:row>
      <xdr:rowOff>114300</xdr:rowOff>
    </xdr:to>
    <xdr:sp macro="" textlink="">
      <xdr:nvSpPr>
        <xdr:cNvPr id="307" name="Line 314">
          <a:extLst>
            <a:ext uri="{FF2B5EF4-FFF2-40B4-BE49-F238E27FC236}">
              <a16:creationId xmlns:a16="http://schemas.microsoft.com/office/drawing/2014/main" id="{00000000-0008-0000-0200-000033010000}"/>
            </a:ext>
          </a:extLst>
        </xdr:cNvPr>
        <xdr:cNvSpPr>
          <a:spLocks noChangeShapeType="1"/>
        </xdr:cNvSpPr>
      </xdr:nvSpPr>
      <xdr:spPr bwMode="auto">
        <a:xfrm>
          <a:off x="2971800" y="28184475"/>
          <a:ext cx="447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638175</xdr:colOff>
      <xdr:row>150</xdr:row>
      <xdr:rowOff>47625</xdr:rowOff>
    </xdr:from>
    <xdr:to>
      <xdr:col>6</xdr:col>
      <xdr:colOff>9525</xdr:colOff>
      <xdr:row>150</xdr:row>
      <xdr:rowOff>47625</xdr:rowOff>
    </xdr:to>
    <xdr:sp macro="" textlink="">
      <xdr:nvSpPr>
        <xdr:cNvPr id="308" name="Line 315">
          <a:extLst>
            <a:ext uri="{FF2B5EF4-FFF2-40B4-BE49-F238E27FC236}">
              <a16:creationId xmlns:a16="http://schemas.microsoft.com/office/drawing/2014/main" id="{00000000-0008-0000-0200-000034010000}"/>
            </a:ext>
          </a:extLst>
        </xdr:cNvPr>
        <xdr:cNvSpPr>
          <a:spLocks noChangeShapeType="1"/>
        </xdr:cNvSpPr>
      </xdr:nvSpPr>
      <xdr:spPr bwMode="auto">
        <a:xfrm>
          <a:off x="3295650" y="28498800"/>
          <a:ext cx="123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148</xdr:row>
      <xdr:rowOff>76200</xdr:rowOff>
    </xdr:from>
    <xdr:to>
      <xdr:col>5</xdr:col>
      <xdr:colOff>742950</xdr:colOff>
      <xdr:row>148</xdr:row>
      <xdr:rowOff>161925</xdr:rowOff>
    </xdr:to>
    <xdr:sp macro="" textlink="">
      <xdr:nvSpPr>
        <xdr:cNvPr id="309" name="Line 316">
          <a:extLst>
            <a:ext uri="{FF2B5EF4-FFF2-40B4-BE49-F238E27FC236}">
              <a16:creationId xmlns:a16="http://schemas.microsoft.com/office/drawing/2014/main" id="{00000000-0008-0000-0200-000035010000}"/>
            </a:ext>
          </a:extLst>
        </xdr:cNvPr>
        <xdr:cNvSpPr>
          <a:spLocks noChangeShapeType="1"/>
        </xdr:cNvSpPr>
      </xdr:nvSpPr>
      <xdr:spPr bwMode="auto">
        <a:xfrm flipH="1">
          <a:off x="3314700" y="2814637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145</xdr:row>
      <xdr:rowOff>161925</xdr:rowOff>
    </xdr:from>
    <xdr:to>
      <xdr:col>3</xdr:col>
      <xdr:colOff>19050</xdr:colOff>
      <xdr:row>146</xdr:row>
      <xdr:rowOff>66675</xdr:rowOff>
    </xdr:to>
    <xdr:sp macro="" textlink="">
      <xdr:nvSpPr>
        <xdr:cNvPr id="310" name="Line 320">
          <a:extLst>
            <a:ext uri="{FF2B5EF4-FFF2-40B4-BE49-F238E27FC236}">
              <a16:creationId xmlns:a16="http://schemas.microsoft.com/office/drawing/2014/main" id="{00000000-0008-0000-0200-000036010000}"/>
            </a:ext>
          </a:extLst>
        </xdr:cNvPr>
        <xdr:cNvSpPr>
          <a:spLocks noChangeShapeType="1"/>
        </xdr:cNvSpPr>
      </xdr:nvSpPr>
      <xdr:spPr bwMode="auto">
        <a:xfrm flipH="1">
          <a:off x="1914525" y="27660600"/>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234</xdr:row>
      <xdr:rowOff>114300</xdr:rowOff>
    </xdr:from>
    <xdr:to>
      <xdr:col>5</xdr:col>
      <xdr:colOff>561975</xdr:colOff>
      <xdr:row>238</xdr:row>
      <xdr:rowOff>104775</xdr:rowOff>
    </xdr:to>
    <xdr:sp macro="" textlink="">
      <xdr:nvSpPr>
        <xdr:cNvPr id="311" name="Tegning 25">
          <a:extLst>
            <a:ext uri="{FF2B5EF4-FFF2-40B4-BE49-F238E27FC236}">
              <a16:creationId xmlns:a16="http://schemas.microsoft.com/office/drawing/2014/main" id="{00000000-0008-0000-0200-000037010000}"/>
            </a:ext>
          </a:extLst>
        </xdr:cNvPr>
        <xdr:cNvSpPr>
          <a:spLocks/>
        </xdr:cNvSpPr>
      </xdr:nvSpPr>
      <xdr:spPr bwMode="auto">
        <a:xfrm>
          <a:off x="1676400" y="44577000"/>
          <a:ext cx="1543050" cy="752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85725</xdr:colOff>
      <xdr:row>235</xdr:row>
      <xdr:rowOff>19050</xdr:rowOff>
    </xdr:from>
    <xdr:to>
      <xdr:col>5</xdr:col>
      <xdr:colOff>590550</xdr:colOff>
      <xdr:row>238</xdr:row>
      <xdr:rowOff>38100</xdr:rowOff>
    </xdr:to>
    <xdr:sp macro="" textlink="">
      <xdr:nvSpPr>
        <xdr:cNvPr id="312" name="Tegning 26">
          <a:extLst>
            <a:ext uri="{FF2B5EF4-FFF2-40B4-BE49-F238E27FC236}">
              <a16:creationId xmlns:a16="http://schemas.microsoft.com/office/drawing/2014/main" id="{00000000-0008-0000-0200-000038010000}"/>
            </a:ext>
          </a:extLst>
        </xdr:cNvPr>
        <xdr:cNvSpPr>
          <a:spLocks/>
        </xdr:cNvSpPr>
      </xdr:nvSpPr>
      <xdr:spPr bwMode="auto">
        <a:xfrm>
          <a:off x="2419350" y="44672250"/>
          <a:ext cx="828675" cy="59055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361950</xdr:colOff>
      <xdr:row>235</xdr:row>
      <xdr:rowOff>171450</xdr:rowOff>
    </xdr:from>
    <xdr:to>
      <xdr:col>5</xdr:col>
      <xdr:colOff>561975</xdr:colOff>
      <xdr:row>237</xdr:row>
      <xdr:rowOff>142875</xdr:rowOff>
    </xdr:to>
    <xdr:sp macro="" textlink="">
      <xdr:nvSpPr>
        <xdr:cNvPr id="313" name="Tegning 27">
          <a:extLst>
            <a:ext uri="{FF2B5EF4-FFF2-40B4-BE49-F238E27FC236}">
              <a16:creationId xmlns:a16="http://schemas.microsoft.com/office/drawing/2014/main" id="{00000000-0008-0000-0200-000039010000}"/>
            </a:ext>
          </a:extLst>
        </xdr:cNvPr>
        <xdr:cNvSpPr>
          <a:spLocks/>
        </xdr:cNvSpPr>
      </xdr:nvSpPr>
      <xdr:spPr bwMode="auto">
        <a:xfrm>
          <a:off x="1743075" y="44824650"/>
          <a:ext cx="1476375" cy="35242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342900</xdr:colOff>
      <xdr:row>238</xdr:row>
      <xdr:rowOff>28575</xdr:rowOff>
    </xdr:from>
    <xdr:to>
      <xdr:col>3</xdr:col>
      <xdr:colOff>28575</xdr:colOff>
      <xdr:row>240</xdr:row>
      <xdr:rowOff>171450</xdr:rowOff>
    </xdr:to>
    <xdr:sp macro="" textlink="">
      <xdr:nvSpPr>
        <xdr:cNvPr id="314" name="Tegning 28">
          <a:extLst>
            <a:ext uri="{FF2B5EF4-FFF2-40B4-BE49-F238E27FC236}">
              <a16:creationId xmlns:a16="http://schemas.microsoft.com/office/drawing/2014/main" id="{00000000-0008-0000-0200-00003A010000}"/>
            </a:ext>
          </a:extLst>
        </xdr:cNvPr>
        <xdr:cNvSpPr>
          <a:spLocks/>
        </xdr:cNvSpPr>
      </xdr:nvSpPr>
      <xdr:spPr bwMode="auto">
        <a:xfrm>
          <a:off x="1724025" y="45253275"/>
          <a:ext cx="266700" cy="523875"/>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347" y="16384"/>
              </a:moveTo>
              <a:lnTo>
                <a:pt x="8347" y="0"/>
              </a:lnTo>
              <a:lnTo>
                <a:pt x="0" y="4706"/>
              </a:lnTo>
              <a:lnTo>
                <a:pt x="8037" y="174"/>
              </a:lnTo>
              <a:lnTo>
                <a:pt x="16384" y="488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104775</xdr:colOff>
      <xdr:row>238</xdr:row>
      <xdr:rowOff>142875</xdr:rowOff>
    </xdr:from>
    <xdr:to>
      <xdr:col>4</xdr:col>
      <xdr:colOff>104775</xdr:colOff>
      <xdr:row>242</xdr:row>
      <xdr:rowOff>38100</xdr:rowOff>
    </xdr:to>
    <xdr:sp macro="" textlink="">
      <xdr:nvSpPr>
        <xdr:cNvPr id="315" name="Line 325">
          <a:extLst>
            <a:ext uri="{FF2B5EF4-FFF2-40B4-BE49-F238E27FC236}">
              <a16:creationId xmlns:a16="http://schemas.microsoft.com/office/drawing/2014/main" id="{00000000-0008-0000-0200-00003B010000}"/>
            </a:ext>
          </a:extLst>
        </xdr:cNvPr>
        <xdr:cNvSpPr>
          <a:spLocks noChangeShapeType="1"/>
        </xdr:cNvSpPr>
      </xdr:nvSpPr>
      <xdr:spPr bwMode="auto">
        <a:xfrm>
          <a:off x="2438400" y="45367575"/>
          <a:ext cx="0" cy="657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241</xdr:row>
      <xdr:rowOff>47625</xdr:rowOff>
    </xdr:from>
    <xdr:to>
      <xdr:col>2</xdr:col>
      <xdr:colOff>485775</xdr:colOff>
      <xdr:row>242</xdr:row>
      <xdr:rowOff>38100</xdr:rowOff>
    </xdr:to>
    <xdr:sp macro="" textlink="">
      <xdr:nvSpPr>
        <xdr:cNvPr id="316" name="Line 326">
          <a:extLst>
            <a:ext uri="{FF2B5EF4-FFF2-40B4-BE49-F238E27FC236}">
              <a16:creationId xmlns:a16="http://schemas.microsoft.com/office/drawing/2014/main" id="{00000000-0008-0000-0200-00003C010000}"/>
            </a:ext>
          </a:extLst>
        </xdr:cNvPr>
        <xdr:cNvSpPr>
          <a:spLocks noChangeShapeType="1"/>
        </xdr:cNvSpPr>
      </xdr:nvSpPr>
      <xdr:spPr bwMode="auto">
        <a:xfrm>
          <a:off x="1866900" y="45843825"/>
          <a:ext cx="0" cy="180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241</xdr:row>
      <xdr:rowOff>209550</xdr:rowOff>
    </xdr:from>
    <xdr:to>
      <xdr:col>4</xdr:col>
      <xdr:colOff>190500</xdr:colOff>
      <xdr:row>241</xdr:row>
      <xdr:rowOff>209550</xdr:rowOff>
    </xdr:to>
    <xdr:sp macro="" textlink="">
      <xdr:nvSpPr>
        <xdr:cNvPr id="317" name="Line 327">
          <a:extLst>
            <a:ext uri="{FF2B5EF4-FFF2-40B4-BE49-F238E27FC236}">
              <a16:creationId xmlns:a16="http://schemas.microsoft.com/office/drawing/2014/main" id="{00000000-0008-0000-0200-00003D010000}"/>
            </a:ext>
          </a:extLst>
        </xdr:cNvPr>
        <xdr:cNvSpPr>
          <a:spLocks noChangeShapeType="1"/>
        </xdr:cNvSpPr>
      </xdr:nvSpPr>
      <xdr:spPr bwMode="auto">
        <a:xfrm>
          <a:off x="1790700" y="45986700"/>
          <a:ext cx="7334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241</xdr:row>
      <xdr:rowOff>152400</xdr:rowOff>
    </xdr:from>
    <xdr:to>
      <xdr:col>2</xdr:col>
      <xdr:colOff>533400</xdr:colOff>
      <xdr:row>242</xdr:row>
      <xdr:rowOff>47625</xdr:rowOff>
    </xdr:to>
    <xdr:sp macro="" textlink="">
      <xdr:nvSpPr>
        <xdr:cNvPr id="318" name="Line 328">
          <a:extLst>
            <a:ext uri="{FF2B5EF4-FFF2-40B4-BE49-F238E27FC236}">
              <a16:creationId xmlns:a16="http://schemas.microsoft.com/office/drawing/2014/main" id="{00000000-0008-0000-0200-00003E010000}"/>
            </a:ext>
          </a:extLst>
        </xdr:cNvPr>
        <xdr:cNvSpPr>
          <a:spLocks noChangeShapeType="1"/>
        </xdr:cNvSpPr>
      </xdr:nvSpPr>
      <xdr:spPr bwMode="auto">
        <a:xfrm flipH="1">
          <a:off x="1819275" y="4594860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241</xdr:row>
      <xdr:rowOff>142875</xdr:rowOff>
    </xdr:from>
    <xdr:to>
      <xdr:col>4</xdr:col>
      <xdr:colOff>161925</xdr:colOff>
      <xdr:row>242</xdr:row>
      <xdr:rowOff>47625</xdr:rowOff>
    </xdr:to>
    <xdr:sp macro="" textlink="">
      <xdr:nvSpPr>
        <xdr:cNvPr id="319" name="Line 329">
          <a:extLst>
            <a:ext uri="{FF2B5EF4-FFF2-40B4-BE49-F238E27FC236}">
              <a16:creationId xmlns:a16="http://schemas.microsoft.com/office/drawing/2014/main" id="{00000000-0008-0000-0200-00003F010000}"/>
            </a:ext>
          </a:extLst>
        </xdr:cNvPr>
        <xdr:cNvSpPr>
          <a:spLocks noChangeShapeType="1"/>
        </xdr:cNvSpPr>
      </xdr:nvSpPr>
      <xdr:spPr bwMode="auto">
        <a:xfrm flipH="1">
          <a:off x="2390775" y="4593907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233</xdr:row>
      <xdr:rowOff>171450</xdr:rowOff>
    </xdr:from>
    <xdr:to>
      <xdr:col>5</xdr:col>
      <xdr:colOff>123825</xdr:colOff>
      <xdr:row>234</xdr:row>
      <xdr:rowOff>171450</xdr:rowOff>
    </xdr:to>
    <xdr:sp macro="" textlink="">
      <xdr:nvSpPr>
        <xdr:cNvPr id="320" name="Line 330">
          <a:extLst>
            <a:ext uri="{FF2B5EF4-FFF2-40B4-BE49-F238E27FC236}">
              <a16:creationId xmlns:a16="http://schemas.microsoft.com/office/drawing/2014/main" id="{00000000-0008-0000-0200-000040010000}"/>
            </a:ext>
          </a:extLst>
        </xdr:cNvPr>
        <xdr:cNvSpPr>
          <a:spLocks noChangeShapeType="1"/>
        </xdr:cNvSpPr>
      </xdr:nvSpPr>
      <xdr:spPr bwMode="auto">
        <a:xfrm>
          <a:off x="2524125" y="44443650"/>
          <a:ext cx="257175"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234</xdr:row>
      <xdr:rowOff>180975</xdr:rowOff>
    </xdr:from>
    <xdr:to>
      <xdr:col>3</xdr:col>
      <xdr:colOff>9525</xdr:colOff>
      <xdr:row>235</xdr:row>
      <xdr:rowOff>133350</xdr:rowOff>
    </xdr:to>
    <xdr:sp macro="" textlink="">
      <xdr:nvSpPr>
        <xdr:cNvPr id="321" name="Line 331">
          <a:extLst>
            <a:ext uri="{FF2B5EF4-FFF2-40B4-BE49-F238E27FC236}">
              <a16:creationId xmlns:a16="http://schemas.microsoft.com/office/drawing/2014/main" id="{00000000-0008-0000-0200-000041010000}"/>
            </a:ext>
          </a:extLst>
        </xdr:cNvPr>
        <xdr:cNvSpPr>
          <a:spLocks noChangeShapeType="1"/>
        </xdr:cNvSpPr>
      </xdr:nvSpPr>
      <xdr:spPr bwMode="auto">
        <a:xfrm>
          <a:off x="1847850" y="44643675"/>
          <a:ext cx="12382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234</xdr:row>
      <xdr:rowOff>163677</xdr:rowOff>
    </xdr:from>
    <xdr:to>
      <xdr:col>5</xdr:col>
      <xdr:colOff>200025</xdr:colOff>
      <xdr:row>235</xdr:row>
      <xdr:rowOff>68426</xdr:rowOff>
    </xdr:to>
    <xdr:sp macro="" textlink="" fLocksText="0">
      <xdr:nvSpPr>
        <xdr:cNvPr id="322" name="Oval 332">
          <a:extLst>
            <a:ext uri="{FF2B5EF4-FFF2-40B4-BE49-F238E27FC236}">
              <a16:creationId xmlns:a16="http://schemas.microsoft.com/office/drawing/2014/main" id="{00000000-0008-0000-0200-000042010000}"/>
            </a:ext>
          </a:extLst>
        </xdr:cNvPr>
        <xdr:cNvSpPr>
          <a:spLocks noChangeArrowheads="1"/>
        </xdr:cNvSpPr>
      </xdr:nvSpPr>
      <xdr:spPr bwMode="auto">
        <a:xfrm>
          <a:off x="2762250" y="44626377"/>
          <a:ext cx="95250" cy="95249"/>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571500</xdr:colOff>
      <xdr:row>235</xdr:row>
      <xdr:rowOff>125576</xdr:rowOff>
    </xdr:from>
    <xdr:to>
      <xdr:col>3</xdr:col>
      <xdr:colOff>76200</xdr:colOff>
      <xdr:row>236</xdr:row>
      <xdr:rowOff>20802</xdr:rowOff>
    </xdr:to>
    <xdr:sp macro="" textlink="" fLocksText="0">
      <xdr:nvSpPr>
        <xdr:cNvPr id="323" name="Oval 333">
          <a:extLst>
            <a:ext uri="{FF2B5EF4-FFF2-40B4-BE49-F238E27FC236}">
              <a16:creationId xmlns:a16="http://schemas.microsoft.com/office/drawing/2014/main" id="{00000000-0008-0000-0200-000043010000}"/>
            </a:ext>
          </a:extLst>
        </xdr:cNvPr>
        <xdr:cNvSpPr>
          <a:spLocks noChangeArrowheads="1"/>
        </xdr:cNvSpPr>
      </xdr:nvSpPr>
      <xdr:spPr bwMode="auto">
        <a:xfrm>
          <a:off x="1952625" y="44778776"/>
          <a:ext cx="85725" cy="85726"/>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28575</xdr:colOff>
      <xdr:row>235</xdr:row>
      <xdr:rowOff>76200</xdr:rowOff>
    </xdr:from>
    <xdr:to>
      <xdr:col>2</xdr:col>
      <xdr:colOff>247650</xdr:colOff>
      <xdr:row>235</xdr:row>
      <xdr:rowOff>76200</xdr:rowOff>
    </xdr:to>
    <xdr:sp macro="" textlink="">
      <xdr:nvSpPr>
        <xdr:cNvPr id="324" name="Line 334">
          <a:extLst>
            <a:ext uri="{FF2B5EF4-FFF2-40B4-BE49-F238E27FC236}">
              <a16:creationId xmlns:a16="http://schemas.microsoft.com/office/drawing/2014/main" id="{00000000-0008-0000-0200-000044010000}"/>
            </a:ext>
          </a:extLst>
        </xdr:cNvPr>
        <xdr:cNvSpPr>
          <a:spLocks noChangeShapeType="1"/>
        </xdr:cNvSpPr>
      </xdr:nvSpPr>
      <xdr:spPr bwMode="auto">
        <a:xfrm flipH="1">
          <a:off x="1409700" y="44729400"/>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237</xdr:row>
      <xdr:rowOff>171450</xdr:rowOff>
    </xdr:from>
    <xdr:to>
      <xdr:col>2</xdr:col>
      <xdr:colOff>247650</xdr:colOff>
      <xdr:row>237</xdr:row>
      <xdr:rowOff>171450</xdr:rowOff>
    </xdr:to>
    <xdr:sp macro="" textlink="">
      <xdr:nvSpPr>
        <xdr:cNvPr id="325" name="Line 335">
          <a:extLst>
            <a:ext uri="{FF2B5EF4-FFF2-40B4-BE49-F238E27FC236}">
              <a16:creationId xmlns:a16="http://schemas.microsoft.com/office/drawing/2014/main" id="{00000000-0008-0000-0200-000045010000}"/>
            </a:ext>
          </a:extLst>
        </xdr:cNvPr>
        <xdr:cNvSpPr>
          <a:spLocks noChangeShapeType="1"/>
        </xdr:cNvSpPr>
      </xdr:nvSpPr>
      <xdr:spPr bwMode="auto">
        <a:xfrm flipH="1">
          <a:off x="1409700" y="45205650"/>
          <a:ext cx="2190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235</xdr:row>
      <xdr:rowOff>47625</xdr:rowOff>
    </xdr:from>
    <xdr:to>
      <xdr:col>2</xdr:col>
      <xdr:colOff>76200</xdr:colOff>
      <xdr:row>238</xdr:row>
      <xdr:rowOff>28575</xdr:rowOff>
    </xdr:to>
    <xdr:sp macro="" textlink="">
      <xdr:nvSpPr>
        <xdr:cNvPr id="326" name="Line 336">
          <a:extLst>
            <a:ext uri="{FF2B5EF4-FFF2-40B4-BE49-F238E27FC236}">
              <a16:creationId xmlns:a16="http://schemas.microsoft.com/office/drawing/2014/main" id="{00000000-0008-0000-0200-000046010000}"/>
            </a:ext>
          </a:extLst>
        </xdr:cNvPr>
        <xdr:cNvSpPr>
          <a:spLocks noChangeShapeType="1"/>
        </xdr:cNvSpPr>
      </xdr:nvSpPr>
      <xdr:spPr bwMode="auto">
        <a:xfrm>
          <a:off x="1457325" y="44700825"/>
          <a:ext cx="0" cy="552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235</xdr:row>
      <xdr:rowOff>47625</xdr:rowOff>
    </xdr:from>
    <xdr:to>
      <xdr:col>2</xdr:col>
      <xdr:colOff>123825</xdr:colOff>
      <xdr:row>235</xdr:row>
      <xdr:rowOff>142875</xdr:rowOff>
    </xdr:to>
    <xdr:sp macro="" textlink="">
      <xdr:nvSpPr>
        <xdr:cNvPr id="327" name="Line 337">
          <a:extLst>
            <a:ext uri="{FF2B5EF4-FFF2-40B4-BE49-F238E27FC236}">
              <a16:creationId xmlns:a16="http://schemas.microsoft.com/office/drawing/2014/main" id="{00000000-0008-0000-0200-000047010000}"/>
            </a:ext>
          </a:extLst>
        </xdr:cNvPr>
        <xdr:cNvSpPr>
          <a:spLocks noChangeShapeType="1"/>
        </xdr:cNvSpPr>
      </xdr:nvSpPr>
      <xdr:spPr bwMode="auto">
        <a:xfrm flipH="1">
          <a:off x="1409700" y="44700825"/>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237</xdr:row>
      <xdr:rowOff>123825</xdr:rowOff>
    </xdr:from>
    <xdr:to>
      <xdr:col>2</xdr:col>
      <xdr:colOff>123825</xdr:colOff>
      <xdr:row>238</xdr:row>
      <xdr:rowOff>9525</xdr:rowOff>
    </xdr:to>
    <xdr:sp macro="" textlink="">
      <xdr:nvSpPr>
        <xdr:cNvPr id="328" name="Line 338">
          <a:extLst>
            <a:ext uri="{FF2B5EF4-FFF2-40B4-BE49-F238E27FC236}">
              <a16:creationId xmlns:a16="http://schemas.microsoft.com/office/drawing/2014/main" id="{00000000-0008-0000-0200-000048010000}"/>
            </a:ext>
          </a:extLst>
        </xdr:cNvPr>
        <xdr:cNvSpPr>
          <a:spLocks noChangeShapeType="1"/>
        </xdr:cNvSpPr>
      </xdr:nvSpPr>
      <xdr:spPr bwMode="auto">
        <a:xfrm flipH="1">
          <a:off x="1428750" y="45158025"/>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252</xdr:row>
      <xdr:rowOff>95250</xdr:rowOff>
    </xdr:from>
    <xdr:to>
      <xdr:col>6</xdr:col>
      <xdr:colOff>1057275</xdr:colOff>
      <xdr:row>252</xdr:row>
      <xdr:rowOff>95250</xdr:rowOff>
    </xdr:to>
    <xdr:sp macro="" textlink="">
      <xdr:nvSpPr>
        <xdr:cNvPr id="329" name="Line 339">
          <a:extLst>
            <a:ext uri="{FF2B5EF4-FFF2-40B4-BE49-F238E27FC236}">
              <a16:creationId xmlns:a16="http://schemas.microsoft.com/office/drawing/2014/main" id="{00000000-0008-0000-0200-000049010000}"/>
            </a:ext>
          </a:extLst>
        </xdr:cNvPr>
        <xdr:cNvSpPr>
          <a:spLocks noChangeShapeType="1"/>
        </xdr:cNvSpPr>
      </xdr:nvSpPr>
      <xdr:spPr bwMode="auto">
        <a:xfrm flipH="1">
          <a:off x="1619250" y="47986950"/>
          <a:ext cx="2847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252</xdr:row>
      <xdr:rowOff>47625</xdr:rowOff>
    </xdr:from>
    <xdr:to>
      <xdr:col>2</xdr:col>
      <xdr:colOff>295275</xdr:colOff>
      <xdr:row>252</xdr:row>
      <xdr:rowOff>190500</xdr:rowOff>
    </xdr:to>
    <xdr:sp macro="" textlink="">
      <xdr:nvSpPr>
        <xdr:cNvPr id="330" name="Line 340">
          <a:extLst>
            <a:ext uri="{FF2B5EF4-FFF2-40B4-BE49-F238E27FC236}">
              <a16:creationId xmlns:a16="http://schemas.microsoft.com/office/drawing/2014/main" id="{00000000-0008-0000-0200-00004A010000}"/>
            </a:ext>
          </a:extLst>
        </xdr:cNvPr>
        <xdr:cNvSpPr>
          <a:spLocks noChangeShapeType="1"/>
        </xdr:cNvSpPr>
      </xdr:nvSpPr>
      <xdr:spPr bwMode="auto">
        <a:xfrm>
          <a:off x="1676400" y="47939325"/>
          <a:ext cx="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252</xdr:row>
      <xdr:rowOff>19050</xdr:rowOff>
    </xdr:from>
    <xdr:to>
      <xdr:col>2</xdr:col>
      <xdr:colOff>371475</xdr:colOff>
      <xdr:row>252</xdr:row>
      <xdr:rowOff>190500</xdr:rowOff>
    </xdr:to>
    <xdr:sp macro="" textlink="">
      <xdr:nvSpPr>
        <xdr:cNvPr id="331" name="Tegning 45">
          <a:extLst>
            <a:ext uri="{FF2B5EF4-FFF2-40B4-BE49-F238E27FC236}">
              <a16:creationId xmlns:a16="http://schemas.microsoft.com/office/drawing/2014/main" id="{00000000-0008-0000-0200-00004B010000}"/>
            </a:ext>
          </a:extLst>
        </xdr:cNvPr>
        <xdr:cNvSpPr>
          <a:spLocks/>
        </xdr:cNvSpPr>
      </xdr:nvSpPr>
      <xdr:spPr bwMode="auto">
        <a:xfrm>
          <a:off x="1676400" y="47910750"/>
          <a:ext cx="76200" cy="1714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8192"/>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252</xdr:row>
      <xdr:rowOff>19050</xdr:rowOff>
    </xdr:from>
    <xdr:to>
      <xdr:col>3</xdr:col>
      <xdr:colOff>304800</xdr:colOff>
      <xdr:row>252</xdr:row>
      <xdr:rowOff>190500</xdr:rowOff>
    </xdr:to>
    <xdr:sp macro="" textlink="">
      <xdr:nvSpPr>
        <xdr:cNvPr id="332" name="Tegning 46">
          <a:extLst>
            <a:ext uri="{FF2B5EF4-FFF2-40B4-BE49-F238E27FC236}">
              <a16:creationId xmlns:a16="http://schemas.microsoft.com/office/drawing/2014/main" id="{00000000-0008-0000-0200-00004C010000}"/>
            </a:ext>
          </a:extLst>
        </xdr:cNvPr>
        <xdr:cNvSpPr>
          <a:spLocks/>
        </xdr:cNvSpPr>
      </xdr:nvSpPr>
      <xdr:spPr bwMode="auto">
        <a:xfrm>
          <a:off x="2181225" y="47910750"/>
          <a:ext cx="85725" cy="17145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8192"/>
              </a:lnTo>
              <a:lnTo>
                <a:pt x="0"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123825</xdr:colOff>
      <xdr:row>235</xdr:row>
      <xdr:rowOff>49376</xdr:rowOff>
    </xdr:from>
    <xdr:to>
      <xdr:col>4</xdr:col>
      <xdr:colOff>152400</xdr:colOff>
      <xdr:row>235</xdr:row>
      <xdr:rowOff>77951</xdr:rowOff>
    </xdr:to>
    <xdr:sp macro="" textlink="" fLocksText="0">
      <xdr:nvSpPr>
        <xdr:cNvPr id="333" name="Oval 343">
          <a:extLst>
            <a:ext uri="{FF2B5EF4-FFF2-40B4-BE49-F238E27FC236}">
              <a16:creationId xmlns:a16="http://schemas.microsoft.com/office/drawing/2014/main" id="{00000000-0008-0000-0200-00004D010000}"/>
            </a:ext>
          </a:extLst>
        </xdr:cNvPr>
        <xdr:cNvSpPr>
          <a:spLocks noChangeArrowheads="1"/>
        </xdr:cNvSpPr>
      </xdr:nvSpPr>
      <xdr:spPr bwMode="auto">
        <a:xfrm>
          <a:off x="2457450" y="44702576"/>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152400</xdr:colOff>
      <xdr:row>236</xdr:row>
      <xdr:rowOff>142875</xdr:rowOff>
    </xdr:from>
    <xdr:to>
      <xdr:col>4</xdr:col>
      <xdr:colOff>314325</xdr:colOff>
      <xdr:row>237</xdr:row>
      <xdr:rowOff>209550</xdr:rowOff>
    </xdr:to>
    <xdr:sp macro="" textlink="">
      <xdr:nvSpPr>
        <xdr:cNvPr id="334" name="Line 344">
          <a:extLst>
            <a:ext uri="{FF2B5EF4-FFF2-40B4-BE49-F238E27FC236}">
              <a16:creationId xmlns:a16="http://schemas.microsoft.com/office/drawing/2014/main" id="{00000000-0008-0000-0200-00004E010000}"/>
            </a:ext>
          </a:extLst>
        </xdr:cNvPr>
        <xdr:cNvSpPr>
          <a:spLocks noChangeShapeType="1"/>
        </xdr:cNvSpPr>
      </xdr:nvSpPr>
      <xdr:spPr bwMode="auto">
        <a:xfrm flipH="1">
          <a:off x="2486025" y="44986575"/>
          <a:ext cx="161925" cy="2381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236</xdr:row>
      <xdr:rowOff>142875</xdr:rowOff>
    </xdr:from>
    <xdr:to>
      <xdr:col>3</xdr:col>
      <xdr:colOff>0</xdr:colOff>
      <xdr:row>237</xdr:row>
      <xdr:rowOff>95250</xdr:rowOff>
    </xdr:to>
    <xdr:sp macro="" textlink="">
      <xdr:nvSpPr>
        <xdr:cNvPr id="335" name="Line 345">
          <a:extLst>
            <a:ext uri="{FF2B5EF4-FFF2-40B4-BE49-F238E27FC236}">
              <a16:creationId xmlns:a16="http://schemas.microsoft.com/office/drawing/2014/main" id="{00000000-0008-0000-0200-00004F010000}"/>
            </a:ext>
          </a:extLst>
        </xdr:cNvPr>
        <xdr:cNvSpPr>
          <a:spLocks noChangeShapeType="1"/>
        </xdr:cNvSpPr>
      </xdr:nvSpPr>
      <xdr:spPr bwMode="auto">
        <a:xfrm flipH="1">
          <a:off x="1781175" y="44986575"/>
          <a:ext cx="180975"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236</xdr:row>
      <xdr:rowOff>11277</xdr:rowOff>
    </xdr:from>
    <xdr:to>
      <xdr:col>2</xdr:col>
      <xdr:colOff>428625</xdr:colOff>
      <xdr:row>236</xdr:row>
      <xdr:rowOff>39852</xdr:rowOff>
    </xdr:to>
    <xdr:sp macro="" textlink="" fLocksText="0">
      <xdr:nvSpPr>
        <xdr:cNvPr id="336" name="Oval 346">
          <a:extLst>
            <a:ext uri="{FF2B5EF4-FFF2-40B4-BE49-F238E27FC236}">
              <a16:creationId xmlns:a16="http://schemas.microsoft.com/office/drawing/2014/main" id="{00000000-0008-0000-0200-000050010000}"/>
            </a:ext>
          </a:extLst>
        </xdr:cNvPr>
        <xdr:cNvSpPr>
          <a:spLocks noChangeArrowheads="1"/>
        </xdr:cNvSpPr>
      </xdr:nvSpPr>
      <xdr:spPr bwMode="auto">
        <a:xfrm>
          <a:off x="1781175" y="44854977"/>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390525</xdr:colOff>
      <xdr:row>237</xdr:row>
      <xdr:rowOff>87477</xdr:rowOff>
    </xdr:from>
    <xdr:to>
      <xdr:col>2</xdr:col>
      <xdr:colOff>419100</xdr:colOff>
      <xdr:row>237</xdr:row>
      <xdr:rowOff>116052</xdr:rowOff>
    </xdr:to>
    <xdr:sp macro="" textlink="" fLocksText="0">
      <xdr:nvSpPr>
        <xdr:cNvPr id="337" name="Oval 347">
          <a:extLst>
            <a:ext uri="{FF2B5EF4-FFF2-40B4-BE49-F238E27FC236}">
              <a16:creationId xmlns:a16="http://schemas.microsoft.com/office/drawing/2014/main" id="{00000000-0008-0000-0200-000051010000}"/>
            </a:ext>
          </a:extLst>
        </xdr:cNvPr>
        <xdr:cNvSpPr>
          <a:spLocks noChangeArrowheads="1"/>
        </xdr:cNvSpPr>
      </xdr:nvSpPr>
      <xdr:spPr bwMode="auto">
        <a:xfrm>
          <a:off x="1771650" y="45121677"/>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123825</xdr:colOff>
      <xdr:row>237</xdr:row>
      <xdr:rowOff>163677</xdr:rowOff>
    </xdr:from>
    <xdr:to>
      <xdr:col>4</xdr:col>
      <xdr:colOff>152400</xdr:colOff>
      <xdr:row>238</xdr:row>
      <xdr:rowOff>1751</xdr:rowOff>
    </xdr:to>
    <xdr:sp macro="" textlink="" fLocksText="0">
      <xdr:nvSpPr>
        <xdr:cNvPr id="338" name="Oval 348">
          <a:extLst>
            <a:ext uri="{FF2B5EF4-FFF2-40B4-BE49-F238E27FC236}">
              <a16:creationId xmlns:a16="http://schemas.microsoft.com/office/drawing/2014/main" id="{00000000-0008-0000-0200-000052010000}"/>
            </a:ext>
          </a:extLst>
        </xdr:cNvPr>
        <xdr:cNvSpPr>
          <a:spLocks noChangeArrowheads="1"/>
        </xdr:cNvSpPr>
      </xdr:nvSpPr>
      <xdr:spPr bwMode="auto">
        <a:xfrm>
          <a:off x="2457450" y="45197877"/>
          <a:ext cx="28575" cy="28574"/>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209550</xdr:colOff>
      <xdr:row>266</xdr:row>
      <xdr:rowOff>76200</xdr:rowOff>
    </xdr:from>
    <xdr:to>
      <xdr:col>5</xdr:col>
      <xdr:colOff>38100</xdr:colOff>
      <xdr:row>268</xdr:row>
      <xdr:rowOff>114300</xdr:rowOff>
    </xdr:to>
    <xdr:sp macro="" textlink="">
      <xdr:nvSpPr>
        <xdr:cNvPr id="339" name="Tegning 245">
          <a:extLst>
            <a:ext uri="{FF2B5EF4-FFF2-40B4-BE49-F238E27FC236}">
              <a16:creationId xmlns:a16="http://schemas.microsoft.com/office/drawing/2014/main" id="{00000000-0008-0000-0200-000053010000}"/>
            </a:ext>
          </a:extLst>
        </xdr:cNvPr>
        <xdr:cNvSpPr>
          <a:spLocks/>
        </xdr:cNvSpPr>
      </xdr:nvSpPr>
      <xdr:spPr bwMode="auto">
        <a:xfrm>
          <a:off x="1590675" y="50634900"/>
          <a:ext cx="1104900" cy="41910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152400</xdr:colOff>
      <xdr:row>274</xdr:row>
      <xdr:rowOff>66675</xdr:rowOff>
    </xdr:from>
    <xdr:to>
      <xdr:col>2</xdr:col>
      <xdr:colOff>276225</xdr:colOff>
      <xdr:row>275</xdr:row>
      <xdr:rowOff>0</xdr:rowOff>
    </xdr:to>
    <xdr:sp macro="" textlink="">
      <xdr:nvSpPr>
        <xdr:cNvPr id="340" name="Line 350">
          <a:extLst>
            <a:ext uri="{FF2B5EF4-FFF2-40B4-BE49-F238E27FC236}">
              <a16:creationId xmlns:a16="http://schemas.microsoft.com/office/drawing/2014/main" id="{00000000-0008-0000-0200-000054010000}"/>
            </a:ext>
          </a:extLst>
        </xdr:cNvPr>
        <xdr:cNvSpPr>
          <a:spLocks noChangeShapeType="1"/>
        </xdr:cNvSpPr>
      </xdr:nvSpPr>
      <xdr:spPr bwMode="auto">
        <a:xfrm flipH="1">
          <a:off x="1533525" y="5214937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38100</xdr:colOff>
      <xdr:row>266</xdr:row>
      <xdr:rowOff>76200</xdr:rowOff>
    </xdr:from>
    <xdr:to>
      <xdr:col>5</xdr:col>
      <xdr:colOff>695325</xdr:colOff>
      <xdr:row>270</xdr:row>
      <xdr:rowOff>104775</xdr:rowOff>
    </xdr:to>
    <xdr:sp macro="" textlink="">
      <xdr:nvSpPr>
        <xdr:cNvPr id="341" name="Tegning 247">
          <a:extLst>
            <a:ext uri="{FF2B5EF4-FFF2-40B4-BE49-F238E27FC236}">
              <a16:creationId xmlns:a16="http://schemas.microsoft.com/office/drawing/2014/main" id="{00000000-0008-0000-0200-000055010000}"/>
            </a:ext>
          </a:extLst>
        </xdr:cNvPr>
        <xdr:cNvSpPr>
          <a:spLocks/>
        </xdr:cNvSpPr>
      </xdr:nvSpPr>
      <xdr:spPr bwMode="auto">
        <a:xfrm>
          <a:off x="2371725" y="50634900"/>
          <a:ext cx="981075" cy="790575"/>
        </a:xfrm>
        <a:custGeom>
          <a:avLst/>
          <a:gdLst>
            <a:gd name="T0" fmla="*/ 2147483646 w 16384"/>
            <a:gd name="T1" fmla="*/ 2147483646 h 16384"/>
            <a:gd name="T2" fmla="*/ 0 w 16384"/>
            <a:gd name="T3" fmla="*/ 2147483646 h 16384"/>
            <a:gd name="T4" fmla="*/ 0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16384"/>
              </a:moveTo>
              <a:lnTo>
                <a:pt x="0" y="16384"/>
              </a:lnTo>
              <a:lnTo>
                <a:pt x="0"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365125</xdr:colOff>
      <xdr:row>266</xdr:row>
      <xdr:rowOff>39852</xdr:rowOff>
    </xdr:from>
    <xdr:to>
      <xdr:col>4</xdr:col>
      <xdr:colOff>95250</xdr:colOff>
      <xdr:row>266</xdr:row>
      <xdr:rowOff>135102</xdr:rowOff>
    </xdr:to>
    <xdr:sp macro="" textlink="" fLocksText="0">
      <xdr:nvSpPr>
        <xdr:cNvPr id="342" name="Oval 352">
          <a:extLst>
            <a:ext uri="{FF2B5EF4-FFF2-40B4-BE49-F238E27FC236}">
              <a16:creationId xmlns:a16="http://schemas.microsoft.com/office/drawing/2014/main" id="{00000000-0008-0000-0200-000056010000}"/>
            </a:ext>
          </a:extLst>
        </xdr:cNvPr>
        <xdr:cNvSpPr>
          <a:spLocks noChangeArrowheads="1"/>
        </xdr:cNvSpPr>
      </xdr:nvSpPr>
      <xdr:spPr bwMode="auto">
        <a:xfrm>
          <a:off x="2327275" y="50512827"/>
          <a:ext cx="101600" cy="952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304800</xdr:colOff>
      <xdr:row>269</xdr:row>
      <xdr:rowOff>66675</xdr:rowOff>
    </xdr:from>
    <xdr:to>
      <xdr:col>2</xdr:col>
      <xdr:colOff>571500</xdr:colOff>
      <xdr:row>272</xdr:row>
      <xdr:rowOff>28575</xdr:rowOff>
    </xdr:to>
    <xdr:sp macro="" textlink="">
      <xdr:nvSpPr>
        <xdr:cNvPr id="343" name="Tegning 249">
          <a:extLst>
            <a:ext uri="{FF2B5EF4-FFF2-40B4-BE49-F238E27FC236}">
              <a16:creationId xmlns:a16="http://schemas.microsoft.com/office/drawing/2014/main" id="{00000000-0008-0000-0200-000057010000}"/>
            </a:ext>
          </a:extLst>
        </xdr:cNvPr>
        <xdr:cNvSpPr>
          <a:spLocks/>
        </xdr:cNvSpPr>
      </xdr:nvSpPr>
      <xdr:spPr bwMode="auto">
        <a:xfrm>
          <a:off x="1685925" y="51196875"/>
          <a:ext cx="266700" cy="533400"/>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347" y="16384"/>
              </a:moveTo>
              <a:lnTo>
                <a:pt x="8347" y="0"/>
              </a:lnTo>
              <a:lnTo>
                <a:pt x="0" y="4706"/>
              </a:lnTo>
              <a:lnTo>
                <a:pt x="8037" y="174"/>
              </a:lnTo>
              <a:lnTo>
                <a:pt x="16384" y="488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180975</xdr:colOff>
      <xdr:row>275</xdr:row>
      <xdr:rowOff>9525</xdr:rowOff>
    </xdr:from>
    <xdr:to>
      <xdr:col>2</xdr:col>
      <xdr:colOff>276225</xdr:colOff>
      <xdr:row>276</xdr:row>
      <xdr:rowOff>0</xdr:rowOff>
    </xdr:to>
    <xdr:sp macro="" textlink="">
      <xdr:nvSpPr>
        <xdr:cNvPr id="344" name="Tegning 252">
          <a:extLst>
            <a:ext uri="{FF2B5EF4-FFF2-40B4-BE49-F238E27FC236}">
              <a16:creationId xmlns:a16="http://schemas.microsoft.com/office/drawing/2014/main" id="{00000000-0008-0000-0200-000058010000}"/>
            </a:ext>
          </a:extLst>
        </xdr:cNvPr>
        <xdr:cNvSpPr>
          <a:spLocks/>
        </xdr:cNvSpPr>
      </xdr:nvSpPr>
      <xdr:spPr bwMode="auto">
        <a:xfrm>
          <a:off x="1562100" y="52282725"/>
          <a:ext cx="95250" cy="180975"/>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4336" y="0"/>
              </a:moveTo>
              <a:lnTo>
                <a:pt x="0" y="7646"/>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0</xdr:col>
      <xdr:colOff>952500</xdr:colOff>
      <xdr:row>268</xdr:row>
      <xdr:rowOff>85725</xdr:rowOff>
    </xdr:from>
    <xdr:to>
      <xdr:col>0</xdr:col>
      <xdr:colOff>1066800</xdr:colOff>
      <xdr:row>269</xdr:row>
      <xdr:rowOff>0</xdr:rowOff>
    </xdr:to>
    <xdr:sp macro="" textlink="">
      <xdr:nvSpPr>
        <xdr:cNvPr id="345" name="Line 355">
          <a:extLst>
            <a:ext uri="{FF2B5EF4-FFF2-40B4-BE49-F238E27FC236}">
              <a16:creationId xmlns:a16="http://schemas.microsoft.com/office/drawing/2014/main" id="{00000000-0008-0000-0200-000059010000}"/>
            </a:ext>
          </a:extLst>
        </xdr:cNvPr>
        <xdr:cNvSpPr>
          <a:spLocks noChangeShapeType="1"/>
        </xdr:cNvSpPr>
      </xdr:nvSpPr>
      <xdr:spPr bwMode="auto">
        <a:xfrm flipH="1">
          <a:off x="952500" y="51025425"/>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275</xdr:row>
      <xdr:rowOff>38100</xdr:rowOff>
    </xdr:from>
    <xdr:to>
      <xdr:col>2</xdr:col>
      <xdr:colOff>504825</xdr:colOff>
      <xdr:row>275</xdr:row>
      <xdr:rowOff>161925</xdr:rowOff>
    </xdr:to>
    <xdr:sp macro="" textlink="">
      <xdr:nvSpPr>
        <xdr:cNvPr id="346" name="Line 356">
          <a:extLst>
            <a:ext uri="{FF2B5EF4-FFF2-40B4-BE49-F238E27FC236}">
              <a16:creationId xmlns:a16="http://schemas.microsoft.com/office/drawing/2014/main" id="{00000000-0008-0000-0200-00005A010000}"/>
            </a:ext>
          </a:extLst>
        </xdr:cNvPr>
        <xdr:cNvSpPr>
          <a:spLocks noChangeShapeType="1"/>
        </xdr:cNvSpPr>
      </xdr:nvSpPr>
      <xdr:spPr bwMode="auto">
        <a:xfrm flipH="1">
          <a:off x="1743075" y="52311300"/>
          <a:ext cx="14287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269</xdr:row>
      <xdr:rowOff>66675</xdr:rowOff>
    </xdr:from>
    <xdr:to>
      <xdr:col>3</xdr:col>
      <xdr:colOff>28575</xdr:colOff>
      <xdr:row>271</xdr:row>
      <xdr:rowOff>28575</xdr:rowOff>
    </xdr:to>
    <xdr:sp macro="" textlink="">
      <xdr:nvSpPr>
        <xdr:cNvPr id="347" name="Tegning 774">
          <a:extLst>
            <a:ext uri="{FF2B5EF4-FFF2-40B4-BE49-F238E27FC236}">
              <a16:creationId xmlns:a16="http://schemas.microsoft.com/office/drawing/2014/main" id="{00000000-0008-0000-0200-00005B010000}"/>
            </a:ext>
          </a:extLst>
        </xdr:cNvPr>
        <xdr:cNvSpPr>
          <a:spLocks/>
        </xdr:cNvSpPr>
      </xdr:nvSpPr>
      <xdr:spPr bwMode="auto">
        <a:xfrm>
          <a:off x="1143000" y="51196875"/>
          <a:ext cx="847725" cy="342900"/>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0"/>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438150</xdr:colOff>
      <xdr:row>267</xdr:row>
      <xdr:rowOff>28575</xdr:rowOff>
    </xdr:from>
    <xdr:to>
      <xdr:col>2</xdr:col>
      <xdr:colOff>438150</xdr:colOff>
      <xdr:row>276</xdr:row>
      <xdr:rowOff>28575</xdr:rowOff>
    </xdr:to>
    <xdr:sp macro="" textlink="">
      <xdr:nvSpPr>
        <xdr:cNvPr id="348" name="Line 358">
          <a:extLst>
            <a:ext uri="{FF2B5EF4-FFF2-40B4-BE49-F238E27FC236}">
              <a16:creationId xmlns:a16="http://schemas.microsoft.com/office/drawing/2014/main" id="{00000000-0008-0000-0200-00005C010000}"/>
            </a:ext>
          </a:extLst>
        </xdr:cNvPr>
        <xdr:cNvSpPr>
          <a:spLocks noChangeShapeType="1"/>
        </xdr:cNvSpPr>
      </xdr:nvSpPr>
      <xdr:spPr bwMode="auto">
        <a:xfrm flipV="1">
          <a:off x="1819275" y="50777775"/>
          <a:ext cx="0" cy="1714500"/>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273</xdr:row>
      <xdr:rowOff>171450</xdr:rowOff>
    </xdr:from>
    <xdr:to>
      <xdr:col>5</xdr:col>
      <xdr:colOff>657225</xdr:colOff>
      <xdr:row>273</xdr:row>
      <xdr:rowOff>171450</xdr:rowOff>
    </xdr:to>
    <xdr:sp macro="" textlink="">
      <xdr:nvSpPr>
        <xdr:cNvPr id="349" name="Line 359">
          <a:extLst>
            <a:ext uri="{FF2B5EF4-FFF2-40B4-BE49-F238E27FC236}">
              <a16:creationId xmlns:a16="http://schemas.microsoft.com/office/drawing/2014/main" id="{00000000-0008-0000-0200-00005D010000}"/>
            </a:ext>
          </a:extLst>
        </xdr:cNvPr>
        <xdr:cNvSpPr>
          <a:spLocks noChangeShapeType="1"/>
        </xdr:cNvSpPr>
      </xdr:nvSpPr>
      <xdr:spPr bwMode="auto">
        <a:xfrm flipH="1">
          <a:off x="1676400" y="52063650"/>
          <a:ext cx="1638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269</xdr:row>
      <xdr:rowOff>123825</xdr:rowOff>
    </xdr:from>
    <xdr:to>
      <xdr:col>2</xdr:col>
      <xdr:colOff>342900</xdr:colOff>
      <xdr:row>274</xdr:row>
      <xdr:rowOff>9525</xdr:rowOff>
    </xdr:to>
    <xdr:sp macro="" textlink="">
      <xdr:nvSpPr>
        <xdr:cNvPr id="350" name="Line 360">
          <a:extLst>
            <a:ext uri="{FF2B5EF4-FFF2-40B4-BE49-F238E27FC236}">
              <a16:creationId xmlns:a16="http://schemas.microsoft.com/office/drawing/2014/main" id="{00000000-0008-0000-0200-00005E010000}"/>
            </a:ext>
          </a:extLst>
        </xdr:cNvPr>
        <xdr:cNvSpPr>
          <a:spLocks noChangeShapeType="1"/>
        </xdr:cNvSpPr>
      </xdr:nvSpPr>
      <xdr:spPr bwMode="auto">
        <a:xfrm>
          <a:off x="1724025" y="51254025"/>
          <a:ext cx="0" cy="838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269</xdr:row>
      <xdr:rowOff>123825</xdr:rowOff>
    </xdr:from>
    <xdr:to>
      <xdr:col>2</xdr:col>
      <xdr:colOff>533400</xdr:colOff>
      <xdr:row>274</xdr:row>
      <xdr:rowOff>28575</xdr:rowOff>
    </xdr:to>
    <xdr:sp macro="" textlink="">
      <xdr:nvSpPr>
        <xdr:cNvPr id="351" name="Line 361">
          <a:extLst>
            <a:ext uri="{FF2B5EF4-FFF2-40B4-BE49-F238E27FC236}">
              <a16:creationId xmlns:a16="http://schemas.microsoft.com/office/drawing/2014/main" id="{00000000-0008-0000-0200-00005F010000}"/>
            </a:ext>
          </a:extLst>
        </xdr:cNvPr>
        <xdr:cNvSpPr>
          <a:spLocks noChangeShapeType="1"/>
        </xdr:cNvSpPr>
      </xdr:nvSpPr>
      <xdr:spPr bwMode="auto">
        <a:xfrm>
          <a:off x="1914525" y="51254025"/>
          <a:ext cx="0" cy="857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285750</xdr:colOff>
      <xdr:row>273</xdr:row>
      <xdr:rowOff>114300</xdr:rowOff>
    </xdr:from>
    <xdr:to>
      <xdr:col>2</xdr:col>
      <xdr:colOff>400050</xdr:colOff>
      <xdr:row>274</xdr:row>
      <xdr:rowOff>19050</xdr:rowOff>
    </xdr:to>
    <xdr:sp macro="" textlink="">
      <xdr:nvSpPr>
        <xdr:cNvPr id="352" name="Line 362">
          <a:extLst>
            <a:ext uri="{FF2B5EF4-FFF2-40B4-BE49-F238E27FC236}">
              <a16:creationId xmlns:a16="http://schemas.microsoft.com/office/drawing/2014/main" id="{00000000-0008-0000-0200-000060010000}"/>
            </a:ext>
          </a:extLst>
        </xdr:cNvPr>
        <xdr:cNvSpPr>
          <a:spLocks noChangeShapeType="1"/>
        </xdr:cNvSpPr>
      </xdr:nvSpPr>
      <xdr:spPr bwMode="auto">
        <a:xfrm flipH="1">
          <a:off x="1666875" y="52006500"/>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273</xdr:row>
      <xdr:rowOff>114300</xdr:rowOff>
    </xdr:from>
    <xdr:to>
      <xdr:col>3</xdr:col>
      <xdr:colOff>28575</xdr:colOff>
      <xdr:row>274</xdr:row>
      <xdr:rowOff>28575</xdr:rowOff>
    </xdr:to>
    <xdr:sp macro="" textlink="">
      <xdr:nvSpPr>
        <xdr:cNvPr id="353" name="Line 363">
          <a:extLst>
            <a:ext uri="{FF2B5EF4-FFF2-40B4-BE49-F238E27FC236}">
              <a16:creationId xmlns:a16="http://schemas.microsoft.com/office/drawing/2014/main" id="{00000000-0008-0000-0200-000061010000}"/>
            </a:ext>
          </a:extLst>
        </xdr:cNvPr>
        <xdr:cNvSpPr>
          <a:spLocks noChangeShapeType="1"/>
        </xdr:cNvSpPr>
      </xdr:nvSpPr>
      <xdr:spPr bwMode="auto">
        <a:xfrm flipH="1">
          <a:off x="1838325" y="52006500"/>
          <a:ext cx="1524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274</xdr:row>
      <xdr:rowOff>123825</xdr:rowOff>
    </xdr:from>
    <xdr:to>
      <xdr:col>5</xdr:col>
      <xdr:colOff>628650</xdr:colOff>
      <xdr:row>274</xdr:row>
      <xdr:rowOff>123825</xdr:rowOff>
    </xdr:to>
    <xdr:sp macro="" textlink="">
      <xdr:nvSpPr>
        <xdr:cNvPr id="354" name="Line 364">
          <a:extLst>
            <a:ext uri="{FF2B5EF4-FFF2-40B4-BE49-F238E27FC236}">
              <a16:creationId xmlns:a16="http://schemas.microsoft.com/office/drawing/2014/main" id="{00000000-0008-0000-0200-000062010000}"/>
            </a:ext>
          </a:extLst>
        </xdr:cNvPr>
        <xdr:cNvSpPr>
          <a:spLocks noChangeShapeType="1"/>
        </xdr:cNvSpPr>
      </xdr:nvSpPr>
      <xdr:spPr bwMode="auto">
        <a:xfrm flipH="1">
          <a:off x="1590675" y="52206525"/>
          <a:ext cx="1695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268</xdr:row>
      <xdr:rowOff>209550</xdr:rowOff>
    </xdr:from>
    <xdr:to>
      <xdr:col>2</xdr:col>
      <xdr:colOff>219075</xdr:colOff>
      <xdr:row>275</xdr:row>
      <xdr:rowOff>9525</xdr:rowOff>
    </xdr:to>
    <xdr:sp macro="" textlink="">
      <xdr:nvSpPr>
        <xdr:cNvPr id="355" name="Line 365">
          <a:extLst>
            <a:ext uri="{FF2B5EF4-FFF2-40B4-BE49-F238E27FC236}">
              <a16:creationId xmlns:a16="http://schemas.microsoft.com/office/drawing/2014/main" id="{00000000-0008-0000-0200-000063010000}"/>
            </a:ext>
          </a:extLst>
        </xdr:cNvPr>
        <xdr:cNvSpPr>
          <a:spLocks noChangeShapeType="1"/>
        </xdr:cNvSpPr>
      </xdr:nvSpPr>
      <xdr:spPr bwMode="auto">
        <a:xfrm>
          <a:off x="1600200" y="51130200"/>
          <a:ext cx="0" cy="1152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274</xdr:row>
      <xdr:rowOff>76200</xdr:rowOff>
    </xdr:from>
    <xdr:to>
      <xdr:col>2</xdr:col>
      <xdr:colOff>495300</xdr:colOff>
      <xdr:row>274</xdr:row>
      <xdr:rowOff>190500</xdr:rowOff>
    </xdr:to>
    <xdr:sp macro="" textlink="">
      <xdr:nvSpPr>
        <xdr:cNvPr id="356" name="Line 366">
          <a:extLst>
            <a:ext uri="{FF2B5EF4-FFF2-40B4-BE49-F238E27FC236}">
              <a16:creationId xmlns:a16="http://schemas.microsoft.com/office/drawing/2014/main" id="{00000000-0008-0000-0200-000064010000}"/>
            </a:ext>
          </a:extLst>
        </xdr:cNvPr>
        <xdr:cNvSpPr>
          <a:spLocks noChangeShapeType="1"/>
        </xdr:cNvSpPr>
      </xdr:nvSpPr>
      <xdr:spPr bwMode="auto">
        <a:xfrm flipH="1">
          <a:off x="1762125" y="5215890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268</xdr:row>
      <xdr:rowOff>106527</xdr:rowOff>
    </xdr:from>
    <xdr:to>
      <xdr:col>5</xdr:col>
      <xdr:colOff>304800</xdr:colOff>
      <xdr:row>269</xdr:row>
      <xdr:rowOff>11920</xdr:rowOff>
    </xdr:to>
    <xdr:sp macro="" textlink="" fLocksText="0">
      <xdr:nvSpPr>
        <xdr:cNvPr id="357" name="Oval 367">
          <a:extLst>
            <a:ext uri="{FF2B5EF4-FFF2-40B4-BE49-F238E27FC236}">
              <a16:creationId xmlns:a16="http://schemas.microsoft.com/office/drawing/2014/main" id="{00000000-0008-0000-0200-000065010000}"/>
            </a:ext>
          </a:extLst>
        </xdr:cNvPr>
        <xdr:cNvSpPr>
          <a:spLocks noChangeArrowheads="1"/>
        </xdr:cNvSpPr>
      </xdr:nvSpPr>
      <xdr:spPr bwMode="auto">
        <a:xfrm>
          <a:off x="2867025" y="51046227"/>
          <a:ext cx="95250" cy="95893"/>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264</xdr:row>
      <xdr:rowOff>114300</xdr:rowOff>
    </xdr:from>
    <xdr:to>
      <xdr:col>5</xdr:col>
      <xdr:colOff>733425</xdr:colOff>
      <xdr:row>268</xdr:row>
      <xdr:rowOff>123825</xdr:rowOff>
    </xdr:to>
    <xdr:sp macro="" textlink="">
      <xdr:nvSpPr>
        <xdr:cNvPr id="358" name="Tegning 785">
          <a:extLst>
            <a:ext uri="{FF2B5EF4-FFF2-40B4-BE49-F238E27FC236}">
              <a16:creationId xmlns:a16="http://schemas.microsoft.com/office/drawing/2014/main" id="{00000000-0008-0000-0200-000066010000}"/>
            </a:ext>
          </a:extLst>
        </xdr:cNvPr>
        <xdr:cNvSpPr>
          <a:spLocks/>
        </xdr:cNvSpPr>
      </xdr:nvSpPr>
      <xdr:spPr bwMode="auto">
        <a:xfrm>
          <a:off x="2914650" y="50292000"/>
          <a:ext cx="476250" cy="7715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265</xdr:row>
      <xdr:rowOff>66675</xdr:rowOff>
    </xdr:from>
    <xdr:to>
      <xdr:col>5</xdr:col>
      <xdr:colOff>400050</xdr:colOff>
      <xdr:row>269</xdr:row>
      <xdr:rowOff>19050</xdr:rowOff>
    </xdr:to>
    <xdr:sp macro="" textlink="">
      <xdr:nvSpPr>
        <xdr:cNvPr id="359" name="Tegning 786">
          <a:extLst>
            <a:ext uri="{FF2B5EF4-FFF2-40B4-BE49-F238E27FC236}">
              <a16:creationId xmlns:a16="http://schemas.microsoft.com/office/drawing/2014/main" id="{00000000-0008-0000-0200-000067010000}"/>
            </a:ext>
          </a:extLst>
        </xdr:cNvPr>
        <xdr:cNvSpPr>
          <a:spLocks/>
        </xdr:cNvSpPr>
      </xdr:nvSpPr>
      <xdr:spPr bwMode="auto">
        <a:xfrm>
          <a:off x="1524000" y="50434875"/>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6104" y="16384"/>
              </a:moveTo>
              <a:lnTo>
                <a:pt x="0" y="16384"/>
              </a:lnTo>
              <a:lnTo>
                <a:pt x="0" y="3550"/>
              </a:lnTo>
              <a:lnTo>
                <a:pt x="6162" y="3550"/>
              </a:lnTo>
              <a:lnTo>
                <a:pt x="6162"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265</xdr:row>
      <xdr:rowOff>123825</xdr:rowOff>
    </xdr:from>
    <xdr:to>
      <xdr:col>5</xdr:col>
      <xdr:colOff>381000</xdr:colOff>
      <xdr:row>265</xdr:row>
      <xdr:rowOff>123825</xdr:rowOff>
    </xdr:to>
    <xdr:sp macro="" textlink="">
      <xdr:nvSpPr>
        <xdr:cNvPr id="360" name="Line 370">
          <a:extLst>
            <a:ext uri="{FF2B5EF4-FFF2-40B4-BE49-F238E27FC236}">
              <a16:creationId xmlns:a16="http://schemas.microsoft.com/office/drawing/2014/main" id="{00000000-0008-0000-0200-000068010000}"/>
            </a:ext>
          </a:extLst>
        </xdr:cNvPr>
        <xdr:cNvSpPr>
          <a:spLocks noChangeShapeType="1"/>
        </xdr:cNvSpPr>
      </xdr:nvSpPr>
      <xdr:spPr bwMode="auto">
        <a:xfrm>
          <a:off x="2181225" y="50492025"/>
          <a:ext cx="8572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260</xdr:row>
      <xdr:rowOff>123825</xdr:rowOff>
    </xdr:from>
    <xdr:to>
      <xdr:col>5</xdr:col>
      <xdr:colOff>704850</xdr:colOff>
      <xdr:row>268</xdr:row>
      <xdr:rowOff>114300</xdr:rowOff>
    </xdr:to>
    <xdr:sp macro="" textlink="">
      <xdr:nvSpPr>
        <xdr:cNvPr id="361" name="Tegning 788">
          <a:extLst>
            <a:ext uri="{FF2B5EF4-FFF2-40B4-BE49-F238E27FC236}">
              <a16:creationId xmlns:a16="http://schemas.microsoft.com/office/drawing/2014/main" id="{00000000-0008-0000-0200-000069010000}"/>
            </a:ext>
          </a:extLst>
        </xdr:cNvPr>
        <xdr:cNvSpPr>
          <a:spLocks/>
        </xdr:cNvSpPr>
      </xdr:nvSpPr>
      <xdr:spPr bwMode="auto">
        <a:xfrm>
          <a:off x="1266825" y="49539525"/>
          <a:ext cx="2095500" cy="1514475"/>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xdr:col>
      <xdr:colOff>57150</xdr:colOff>
      <xdr:row>266</xdr:row>
      <xdr:rowOff>28575</xdr:rowOff>
    </xdr:from>
    <xdr:to>
      <xdr:col>2</xdr:col>
      <xdr:colOff>95250</xdr:colOff>
      <xdr:row>266</xdr:row>
      <xdr:rowOff>28575</xdr:rowOff>
    </xdr:to>
    <xdr:sp macro="" textlink="">
      <xdr:nvSpPr>
        <xdr:cNvPr id="362" name="Line 372">
          <a:extLst>
            <a:ext uri="{FF2B5EF4-FFF2-40B4-BE49-F238E27FC236}">
              <a16:creationId xmlns:a16="http://schemas.microsoft.com/office/drawing/2014/main" id="{00000000-0008-0000-0200-00006A010000}"/>
            </a:ext>
          </a:extLst>
        </xdr:cNvPr>
        <xdr:cNvSpPr>
          <a:spLocks noChangeShapeType="1"/>
        </xdr:cNvSpPr>
      </xdr:nvSpPr>
      <xdr:spPr bwMode="auto">
        <a:xfrm flipH="1">
          <a:off x="1200150" y="50587275"/>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265</xdr:row>
      <xdr:rowOff>152400</xdr:rowOff>
    </xdr:from>
    <xdr:to>
      <xdr:col>1</xdr:col>
      <xdr:colOff>209550</xdr:colOff>
      <xdr:row>266</xdr:row>
      <xdr:rowOff>104775</xdr:rowOff>
    </xdr:to>
    <xdr:sp macro="" textlink="">
      <xdr:nvSpPr>
        <xdr:cNvPr id="363" name="Line 373">
          <a:extLst>
            <a:ext uri="{FF2B5EF4-FFF2-40B4-BE49-F238E27FC236}">
              <a16:creationId xmlns:a16="http://schemas.microsoft.com/office/drawing/2014/main" id="{00000000-0008-0000-0200-00006B010000}"/>
            </a:ext>
          </a:extLst>
        </xdr:cNvPr>
        <xdr:cNvSpPr>
          <a:spLocks noChangeShapeType="1"/>
        </xdr:cNvSpPr>
      </xdr:nvSpPr>
      <xdr:spPr bwMode="auto">
        <a:xfrm flipH="1">
          <a:off x="1200150" y="50520600"/>
          <a:ext cx="15240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268</xdr:row>
      <xdr:rowOff>76200</xdr:rowOff>
    </xdr:from>
    <xdr:to>
      <xdr:col>2</xdr:col>
      <xdr:colOff>76200</xdr:colOff>
      <xdr:row>268</xdr:row>
      <xdr:rowOff>76200</xdr:rowOff>
    </xdr:to>
    <xdr:sp macro="" textlink="">
      <xdr:nvSpPr>
        <xdr:cNvPr id="364" name="Line 374">
          <a:extLst>
            <a:ext uri="{FF2B5EF4-FFF2-40B4-BE49-F238E27FC236}">
              <a16:creationId xmlns:a16="http://schemas.microsoft.com/office/drawing/2014/main" id="{00000000-0008-0000-0200-00006C010000}"/>
            </a:ext>
          </a:extLst>
        </xdr:cNvPr>
        <xdr:cNvSpPr>
          <a:spLocks noChangeShapeType="1"/>
        </xdr:cNvSpPr>
      </xdr:nvSpPr>
      <xdr:spPr bwMode="auto">
        <a:xfrm flipH="1">
          <a:off x="1171575" y="51015900"/>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268</xdr:row>
      <xdr:rowOff>0</xdr:rowOff>
    </xdr:from>
    <xdr:to>
      <xdr:col>1</xdr:col>
      <xdr:colOff>209550</xdr:colOff>
      <xdr:row>268</xdr:row>
      <xdr:rowOff>161925</xdr:rowOff>
    </xdr:to>
    <xdr:sp macro="" textlink="">
      <xdr:nvSpPr>
        <xdr:cNvPr id="365" name="Line 375">
          <a:extLst>
            <a:ext uri="{FF2B5EF4-FFF2-40B4-BE49-F238E27FC236}">
              <a16:creationId xmlns:a16="http://schemas.microsoft.com/office/drawing/2014/main" id="{00000000-0008-0000-0200-00006D010000}"/>
            </a:ext>
          </a:extLst>
        </xdr:cNvPr>
        <xdr:cNvSpPr>
          <a:spLocks noChangeShapeType="1"/>
        </xdr:cNvSpPr>
      </xdr:nvSpPr>
      <xdr:spPr bwMode="auto">
        <a:xfrm flipH="1">
          <a:off x="1171575" y="50939700"/>
          <a:ext cx="1809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268</xdr:row>
      <xdr:rowOff>161925</xdr:rowOff>
    </xdr:from>
    <xdr:to>
      <xdr:col>5</xdr:col>
      <xdr:colOff>447675</xdr:colOff>
      <xdr:row>268</xdr:row>
      <xdr:rowOff>161925</xdr:rowOff>
    </xdr:to>
    <xdr:sp macro="" textlink="">
      <xdr:nvSpPr>
        <xdr:cNvPr id="366" name="Line 376">
          <a:extLst>
            <a:ext uri="{FF2B5EF4-FFF2-40B4-BE49-F238E27FC236}">
              <a16:creationId xmlns:a16="http://schemas.microsoft.com/office/drawing/2014/main" id="{00000000-0008-0000-0200-00006E010000}"/>
            </a:ext>
          </a:extLst>
        </xdr:cNvPr>
        <xdr:cNvSpPr>
          <a:spLocks noChangeShapeType="1"/>
        </xdr:cNvSpPr>
      </xdr:nvSpPr>
      <xdr:spPr bwMode="auto">
        <a:xfrm flipH="1">
          <a:off x="1600200" y="51101625"/>
          <a:ext cx="15049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275</xdr:row>
      <xdr:rowOff>104775</xdr:rowOff>
    </xdr:from>
    <xdr:to>
      <xdr:col>2</xdr:col>
      <xdr:colOff>485775</xdr:colOff>
      <xdr:row>275</xdr:row>
      <xdr:rowOff>104775</xdr:rowOff>
    </xdr:to>
    <xdr:sp macro="" textlink="">
      <xdr:nvSpPr>
        <xdr:cNvPr id="367" name="Line 377">
          <a:extLst>
            <a:ext uri="{FF2B5EF4-FFF2-40B4-BE49-F238E27FC236}">
              <a16:creationId xmlns:a16="http://schemas.microsoft.com/office/drawing/2014/main" id="{00000000-0008-0000-0200-00006F010000}"/>
            </a:ext>
          </a:extLst>
        </xdr:cNvPr>
        <xdr:cNvSpPr>
          <a:spLocks noChangeShapeType="1"/>
        </xdr:cNvSpPr>
      </xdr:nvSpPr>
      <xdr:spPr bwMode="auto">
        <a:xfrm flipH="1">
          <a:off x="1571625" y="52377975"/>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269</xdr:row>
      <xdr:rowOff>38100</xdr:rowOff>
    </xdr:from>
    <xdr:to>
      <xdr:col>2</xdr:col>
      <xdr:colOff>533400</xdr:colOff>
      <xdr:row>269</xdr:row>
      <xdr:rowOff>38100</xdr:rowOff>
    </xdr:to>
    <xdr:sp macro="" textlink="">
      <xdr:nvSpPr>
        <xdr:cNvPr id="368" name="Line 378">
          <a:extLst>
            <a:ext uri="{FF2B5EF4-FFF2-40B4-BE49-F238E27FC236}">
              <a16:creationId xmlns:a16="http://schemas.microsoft.com/office/drawing/2014/main" id="{00000000-0008-0000-0200-000070010000}"/>
            </a:ext>
          </a:extLst>
        </xdr:cNvPr>
        <xdr:cNvSpPr>
          <a:spLocks noChangeShapeType="1"/>
        </xdr:cNvSpPr>
      </xdr:nvSpPr>
      <xdr:spPr bwMode="auto">
        <a:xfrm>
          <a:off x="1724025" y="51168300"/>
          <a:ext cx="190500" cy="0"/>
        </a:xfrm>
        <a:prstGeom prst="line">
          <a:avLst/>
        </a:prstGeom>
        <a:noFill/>
        <a:ln w="374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269</xdr:row>
      <xdr:rowOff>0</xdr:rowOff>
    </xdr:from>
    <xdr:to>
      <xdr:col>2</xdr:col>
      <xdr:colOff>28575</xdr:colOff>
      <xdr:row>269</xdr:row>
      <xdr:rowOff>0</xdr:rowOff>
    </xdr:to>
    <xdr:sp macro="" textlink="">
      <xdr:nvSpPr>
        <xdr:cNvPr id="369" name="Line 379">
          <a:extLst>
            <a:ext uri="{FF2B5EF4-FFF2-40B4-BE49-F238E27FC236}">
              <a16:creationId xmlns:a16="http://schemas.microsoft.com/office/drawing/2014/main" id="{00000000-0008-0000-0200-000071010000}"/>
            </a:ext>
          </a:extLst>
        </xdr:cNvPr>
        <xdr:cNvSpPr>
          <a:spLocks noChangeShapeType="1"/>
        </xdr:cNvSpPr>
      </xdr:nvSpPr>
      <xdr:spPr bwMode="auto">
        <a:xfrm flipH="1">
          <a:off x="952500" y="5113020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268</xdr:row>
      <xdr:rowOff>142875</xdr:rowOff>
    </xdr:from>
    <xdr:to>
      <xdr:col>2</xdr:col>
      <xdr:colOff>0</xdr:colOff>
      <xdr:row>268</xdr:row>
      <xdr:rowOff>142875</xdr:rowOff>
    </xdr:to>
    <xdr:sp macro="" textlink="">
      <xdr:nvSpPr>
        <xdr:cNvPr id="370" name="Line 380">
          <a:extLst>
            <a:ext uri="{FF2B5EF4-FFF2-40B4-BE49-F238E27FC236}">
              <a16:creationId xmlns:a16="http://schemas.microsoft.com/office/drawing/2014/main" id="{00000000-0008-0000-0200-000072010000}"/>
            </a:ext>
          </a:extLst>
        </xdr:cNvPr>
        <xdr:cNvSpPr>
          <a:spLocks noChangeShapeType="1"/>
        </xdr:cNvSpPr>
      </xdr:nvSpPr>
      <xdr:spPr bwMode="auto">
        <a:xfrm flipH="1">
          <a:off x="971550" y="51082575"/>
          <a:ext cx="409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268</xdr:row>
      <xdr:rowOff>66675</xdr:rowOff>
    </xdr:from>
    <xdr:to>
      <xdr:col>0</xdr:col>
      <xdr:colOff>1019175</xdr:colOff>
      <xdr:row>270</xdr:row>
      <xdr:rowOff>142875</xdr:rowOff>
    </xdr:to>
    <xdr:sp macro="" textlink="">
      <xdr:nvSpPr>
        <xdr:cNvPr id="371" name="Line 381">
          <a:extLst>
            <a:ext uri="{FF2B5EF4-FFF2-40B4-BE49-F238E27FC236}">
              <a16:creationId xmlns:a16="http://schemas.microsoft.com/office/drawing/2014/main" id="{00000000-0008-0000-0200-000073010000}"/>
            </a:ext>
          </a:extLst>
        </xdr:cNvPr>
        <xdr:cNvSpPr>
          <a:spLocks noChangeShapeType="1"/>
        </xdr:cNvSpPr>
      </xdr:nvSpPr>
      <xdr:spPr bwMode="auto">
        <a:xfrm>
          <a:off x="1019175" y="51006375"/>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268</xdr:row>
      <xdr:rowOff>161925</xdr:rowOff>
    </xdr:from>
    <xdr:to>
      <xdr:col>0</xdr:col>
      <xdr:colOff>1066800</xdr:colOff>
      <xdr:row>269</xdr:row>
      <xdr:rowOff>66675</xdr:rowOff>
    </xdr:to>
    <xdr:sp macro="" textlink="">
      <xdr:nvSpPr>
        <xdr:cNvPr id="372" name="Line 382">
          <a:extLst>
            <a:ext uri="{FF2B5EF4-FFF2-40B4-BE49-F238E27FC236}">
              <a16:creationId xmlns:a16="http://schemas.microsoft.com/office/drawing/2014/main" id="{00000000-0008-0000-0200-000074010000}"/>
            </a:ext>
          </a:extLst>
        </xdr:cNvPr>
        <xdr:cNvSpPr>
          <a:spLocks noChangeShapeType="1"/>
        </xdr:cNvSpPr>
      </xdr:nvSpPr>
      <xdr:spPr bwMode="auto">
        <a:xfrm flipH="1">
          <a:off x="952500" y="5110162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266</xdr:row>
      <xdr:rowOff>106527</xdr:rowOff>
    </xdr:from>
    <xdr:to>
      <xdr:col>2</xdr:col>
      <xdr:colOff>266700</xdr:colOff>
      <xdr:row>266</xdr:row>
      <xdr:rowOff>135102</xdr:rowOff>
    </xdr:to>
    <xdr:sp macro="" textlink="" fLocksText="0">
      <xdr:nvSpPr>
        <xdr:cNvPr id="373" name="Oval 383">
          <a:extLst>
            <a:ext uri="{FF2B5EF4-FFF2-40B4-BE49-F238E27FC236}">
              <a16:creationId xmlns:a16="http://schemas.microsoft.com/office/drawing/2014/main" id="{00000000-0008-0000-0200-000075010000}"/>
            </a:ext>
          </a:extLst>
        </xdr:cNvPr>
        <xdr:cNvSpPr>
          <a:spLocks noChangeArrowheads="1"/>
        </xdr:cNvSpPr>
      </xdr:nvSpPr>
      <xdr:spPr bwMode="auto">
        <a:xfrm>
          <a:off x="1619250" y="50665227"/>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238125</xdr:colOff>
      <xdr:row>268</xdr:row>
      <xdr:rowOff>49377</xdr:rowOff>
    </xdr:from>
    <xdr:to>
      <xdr:col>2</xdr:col>
      <xdr:colOff>266700</xdr:colOff>
      <xdr:row>268</xdr:row>
      <xdr:rowOff>77952</xdr:rowOff>
    </xdr:to>
    <xdr:sp macro="" textlink="" fLocksText="0">
      <xdr:nvSpPr>
        <xdr:cNvPr id="374" name="Oval 384">
          <a:extLst>
            <a:ext uri="{FF2B5EF4-FFF2-40B4-BE49-F238E27FC236}">
              <a16:creationId xmlns:a16="http://schemas.microsoft.com/office/drawing/2014/main" id="{00000000-0008-0000-0200-000076010000}"/>
            </a:ext>
          </a:extLst>
        </xdr:cNvPr>
        <xdr:cNvSpPr>
          <a:spLocks noChangeArrowheads="1"/>
        </xdr:cNvSpPr>
      </xdr:nvSpPr>
      <xdr:spPr bwMode="auto">
        <a:xfrm>
          <a:off x="1619250" y="50989077"/>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381000</xdr:colOff>
      <xdr:row>295</xdr:row>
      <xdr:rowOff>66675</xdr:rowOff>
    </xdr:from>
    <xdr:to>
      <xdr:col>2</xdr:col>
      <xdr:colOff>495300</xdr:colOff>
      <xdr:row>295</xdr:row>
      <xdr:rowOff>190500</xdr:rowOff>
    </xdr:to>
    <xdr:sp macro="" textlink="">
      <xdr:nvSpPr>
        <xdr:cNvPr id="375" name="Line 385">
          <a:extLst>
            <a:ext uri="{FF2B5EF4-FFF2-40B4-BE49-F238E27FC236}">
              <a16:creationId xmlns:a16="http://schemas.microsoft.com/office/drawing/2014/main" id="{00000000-0008-0000-0200-000077010000}"/>
            </a:ext>
          </a:extLst>
        </xdr:cNvPr>
        <xdr:cNvSpPr>
          <a:spLocks noChangeShapeType="1"/>
        </xdr:cNvSpPr>
      </xdr:nvSpPr>
      <xdr:spPr bwMode="auto">
        <a:xfrm flipH="1">
          <a:off x="1762125" y="56149875"/>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291</xdr:row>
      <xdr:rowOff>66675</xdr:rowOff>
    </xdr:from>
    <xdr:to>
      <xdr:col>3</xdr:col>
      <xdr:colOff>28575</xdr:colOff>
      <xdr:row>293</xdr:row>
      <xdr:rowOff>28575</xdr:rowOff>
    </xdr:to>
    <xdr:sp macro="" textlink="">
      <xdr:nvSpPr>
        <xdr:cNvPr id="376" name="Tegning 801">
          <a:extLst>
            <a:ext uri="{FF2B5EF4-FFF2-40B4-BE49-F238E27FC236}">
              <a16:creationId xmlns:a16="http://schemas.microsoft.com/office/drawing/2014/main" id="{00000000-0008-0000-0200-000078010000}"/>
            </a:ext>
          </a:extLst>
        </xdr:cNvPr>
        <xdr:cNvSpPr>
          <a:spLocks/>
        </xdr:cNvSpPr>
      </xdr:nvSpPr>
      <xdr:spPr bwMode="auto">
        <a:xfrm>
          <a:off x="1143000" y="55387875"/>
          <a:ext cx="847725" cy="342900"/>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0"/>
              </a:moveTo>
              <a:lnTo>
                <a:pt x="16384" y="0"/>
              </a:lnTo>
              <a:lnTo>
                <a:pt x="16384"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438150</xdr:colOff>
      <xdr:row>289</xdr:row>
      <xdr:rowOff>28575</xdr:rowOff>
    </xdr:from>
    <xdr:to>
      <xdr:col>2</xdr:col>
      <xdr:colOff>438150</xdr:colOff>
      <xdr:row>296</xdr:row>
      <xdr:rowOff>57150</xdr:rowOff>
    </xdr:to>
    <xdr:sp macro="" textlink="">
      <xdr:nvSpPr>
        <xdr:cNvPr id="377" name="Line 387">
          <a:extLst>
            <a:ext uri="{FF2B5EF4-FFF2-40B4-BE49-F238E27FC236}">
              <a16:creationId xmlns:a16="http://schemas.microsoft.com/office/drawing/2014/main" id="{00000000-0008-0000-0200-000079010000}"/>
            </a:ext>
          </a:extLst>
        </xdr:cNvPr>
        <xdr:cNvSpPr>
          <a:spLocks noChangeShapeType="1"/>
        </xdr:cNvSpPr>
      </xdr:nvSpPr>
      <xdr:spPr bwMode="auto">
        <a:xfrm flipV="1">
          <a:off x="1819275" y="54968775"/>
          <a:ext cx="0" cy="1362075"/>
        </a:xfrm>
        <a:prstGeom prst="line">
          <a:avLst/>
        </a:prstGeom>
        <a:noFill/>
        <a:ln w="9525">
          <a:pattFill prst="pct75">
            <a:fgClr>
              <a:srgbClr val="000000"/>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293</xdr:row>
      <xdr:rowOff>171450</xdr:rowOff>
    </xdr:from>
    <xdr:to>
      <xdr:col>5</xdr:col>
      <xdr:colOff>657225</xdr:colOff>
      <xdr:row>293</xdr:row>
      <xdr:rowOff>171450</xdr:rowOff>
    </xdr:to>
    <xdr:sp macro="" textlink="">
      <xdr:nvSpPr>
        <xdr:cNvPr id="378" name="Line 388">
          <a:extLst>
            <a:ext uri="{FF2B5EF4-FFF2-40B4-BE49-F238E27FC236}">
              <a16:creationId xmlns:a16="http://schemas.microsoft.com/office/drawing/2014/main" id="{00000000-0008-0000-0200-00007A010000}"/>
            </a:ext>
          </a:extLst>
        </xdr:cNvPr>
        <xdr:cNvSpPr>
          <a:spLocks noChangeShapeType="1"/>
        </xdr:cNvSpPr>
      </xdr:nvSpPr>
      <xdr:spPr bwMode="auto">
        <a:xfrm flipH="1">
          <a:off x="1676400" y="55873650"/>
          <a:ext cx="1638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291</xdr:row>
      <xdr:rowOff>123825</xdr:rowOff>
    </xdr:from>
    <xdr:to>
      <xdr:col>2</xdr:col>
      <xdr:colOff>342900</xdr:colOff>
      <xdr:row>296</xdr:row>
      <xdr:rowOff>19050</xdr:rowOff>
    </xdr:to>
    <xdr:sp macro="" textlink="">
      <xdr:nvSpPr>
        <xdr:cNvPr id="379" name="Line 389">
          <a:extLst>
            <a:ext uri="{FF2B5EF4-FFF2-40B4-BE49-F238E27FC236}">
              <a16:creationId xmlns:a16="http://schemas.microsoft.com/office/drawing/2014/main" id="{00000000-0008-0000-0200-00007B010000}"/>
            </a:ext>
          </a:extLst>
        </xdr:cNvPr>
        <xdr:cNvSpPr>
          <a:spLocks noChangeShapeType="1"/>
        </xdr:cNvSpPr>
      </xdr:nvSpPr>
      <xdr:spPr bwMode="auto">
        <a:xfrm>
          <a:off x="1724025" y="55445025"/>
          <a:ext cx="0" cy="847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291</xdr:row>
      <xdr:rowOff>123825</xdr:rowOff>
    </xdr:from>
    <xdr:to>
      <xdr:col>2</xdr:col>
      <xdr:colOff>533400</xdr:colOff>
      <xdr:row>294</xdr:row>
      <xdr:rowOff>47625</xdr:rowOff>
    </xdr:to>
    <xdr:sp macro="" textlink="">
      <xdr:nvSpPr>
        <xdr:cNvPr id="380" name="Line 390">
          <a:extLst>
            <a:ext uri="{FF2B5EF4-FFF2-40B4-BE49-F238E27FC236}">
              <a16:creationId xmlns:a16="http://schemas.microsoft.com/office/drawing/2014/main" id="{00000000-0008-0000-0200-00007C010000}"/>
            </a:ext>
          </a:extLst>
        </xdr:cNvPr>
        <xdr:cNvSpPr>
          <a:spLocks noChangeShapeType="1"/>
        </xdr:cNvSpPr>
      </xdr:nvSpPr>
      <xdr:spPr bwMode="auto">
        <a:xfrm>
          <a:off x="1914525" y="55445025"/>
          <a:ext cx="0" cy="495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293</xdr:row>
      <xdr:rowOff>123825</xdr:rowOff>
    </xdr:from>
    <xdr:to>
      <xdr:col>2</xdr:col>
      <xdr:colOff>409575</xdr:colOff>
      <xdr:row>294</xdr:row>
      <xdr:rowOff>28575</xdr:rowOff>
    </xdr:to>
    <xdr:sp macro="" textlink="">
      <xdr:nvSpPr>
        <xdr:cNvPr id="381" name="Line 391">
          <a:extLst>
            <a:ext uri="{FF2B5EF4-FFF2-40B4-BE49-F238E27FC236}">
              <a16:creationId xmlns:a16="http://schemas.microsoft.com/office/drawing/2014/main" id="{00000000-0008-0000-0200-00007D010000}"/>
            </a:ext>
          </a:extLst>
        </xdr:cNvPr>
        <xdr:cNvSpPr>
          <a:spLocks noChangeShapeType="1"/>
        </xdr:cNvSpPr>
      </xdr:nvSpPr>
      <xdr:spPr bwMode="auto">
        <a:xfrm flipH="1">
          <a:off x="1676400" y="5582602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293</xdr:row>
      <xdr:rowOff>114300</xdr:rowOff>
    </xdr:from>
    <xdr:to>
      <xdr:col>3</xdr:col>
      <xdr:colOff>28575</xdr:colOff>
      <xdr:row>294</xdr:row>
      <xdr:rowOff>47625</xdr:rowOff>
    </xdr:to>
    <xdr:sp macro="" textlink="">
      <xdr:nvSpPr>
        <xdr:cNvPr id="382" name="Line 392">
          <a:extLst>
            <a:ext uri="{FF2B5EF4-FFF2-40B4-BE49-F238E27FC236}">
              <a16:creationId xmlns:a16="http://schemas.microsoft.com/office/drawing/2014/main" id="{00000000-0008-0000-0200-00007E010000}"/>
            </a:ext>
          </a:extLst>
        </xdr:cNvPr>
        <xdr:cNvSpPr>
          <a:spLocks noChangeShapeType="1"/>
        </xdr:cNvSpPr>
      </xdr:nvSpPr>
      <xdr:spPr bwMode="auto">
        <a:xfrm flipH="1">
          <a:off x="1819275" y="55816500"/>
          <a:ext cx="1714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294</xdr:row>
      <xdr:rowOff>142875</xdr:rowOff>
    </xdr:from>
    <xdr:to>
      <xdr:col>5</xdr:col>
      <xdr:colOff>638175</xdr:colOff>
      <xdr:row>294</xdr:row>
      <xdr:rowOff>142875</xdr:rowOff>
    </xdr:to>
    <xdr:sp macro="" textlink="">
      <xdr:nvSpPr>
        <xdr:cNvPr id="383" name="Line 393">
          <a:extLst>
            <a:ext uri="{FF2B5EF4-FFF2-40B4-BE49-F238E27FC236}">
              <a16:creationId xmlns:a16="http://schemas.microsoft.com/office/drawing/2014/main" id="{00000000-0008-0000-0200-00007F010000}"/>
            </a:ext>
          </a:extLst>
        </xdr:cNvPr>
        <xdr:cNvSpPr>
          <a:spLocks noChangeShapeType="1"/>
        </xdr:cNvSpPr>
      </xdr:nvSpPr>
      <xdr:spPr bwMode="auto">
        <a:xfrm flipH="1">
          <a:off x="1600200" y="56035575"/>
          <a:ext cx="1695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290</xdr:row>
      <xdr:rowOff>209550</xdr:rowOff>
    </xdr:from>
    <xdr:to>
      <xdr:col>2</xdr:col>
      <xdr:colOff>219075</xdr:colOff>
      <xdr:row>294</xdr:row>
      <xdr:rowOff>171450</xdr:rowOff>
    </xdr:to>
    <xdr:sp macro="" textlink="">
      <xdr:nvSpPr>
        <xdr:cNvPr id="384" name="Line 394">
          <a:extLst>
            <a:ext uri="{FF2B5EF4-FFF2-40B4-BE49-F238E27FC236}">
              <a16:creationId xmlns:a16="http://schemas.microsoft.com/office/drawing/2014/main" id="{00000000-0008-0000-0200-000080010000}"/>
            </a:ext>
          </a:extLst>
        </xdr:cNvPr>
        <xdr:cNvSpPr>
          <a:spLocks noChangeShapeType="1"/>
        </xdr:cNvSpPr>
      </xdr:nvSpPr>
      <xdr:spPr bwMode="auto">
        <a:xfrm>
          <a:off x="1600200" y="55321200"/>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294</xdr:row>
      <xdr:rowOff>76200</xdr:rowOff>
    </xdr:from>
    <xdr:to>
      <xdr:col>2</xdr:col>
      <xdr:colOff>504825</xdr:colOff>
      <xdr:row>294</xdr:row>
      <xdr:rowOff>190500</xdr:rowOff>
    </xdr:to>
    <xdr:sp macro="" textlink="">
      <xdr:nvSpPr>
        <xdr:cNvPr id="385" name="Line 395">
          <a:extLst>
            <a:ext uri="{FF2B5EF4-FFF2-40B4-BE49-F238E27FC236}">
              <a16:creationId xmlns:a16="http://schemas.microsoft.com/office/drawing/2014/main" id="{00000000-0008-0000-0200-000081010000}"/>
            </a:ext>
          </a:extLst>
        </xdr:cNvPr>
        <xdr:cNvSpPr>
          <a:spLocks noChangeShapeType="1"/>
        </xdr:cNvSpPr>
      </xdr:nvSpPr>
      <xdr:spPr bwMode="auto">
        <a:xfrm flipH="1">
          <a:off x="1762125" y="55968900"/>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290</xdr:row>
      <xdr:rowOff>106526</xdr:rowOff>
    </xdr:from>
    <xdr:to>
      <xdr:col>5</xdr:col>
      <xdr:colOff>304800</xdr:colOff>
      <xdr:row>291</xdr:row>
      <xdr:rowOff>2487</xdr:rowOff>
    </xdr:to>
    <xdr:sp macro="" textlink="" fLocksText="0">
      <xdr:nvSpPr>
        <xdr:cNvPr id="386" name="Oval 396">
          <a:extLst>
            <a:ext uri="{FF2B5EF4-FFF2-40B4-BE49-F238E27FC236}">
              <a16:creationId xmlns:a16="http://schemas.microsoft.com/office/drawing/2014/main" id="{00000000-0008-0000-0200-000082010000}"/>
            </a:ext>
          </a:extLst>
        </xdr:cNvPr>
        <xdr:cNvSpPr>
          <a:spLocks noChangeArrowheads="1"/>
        </xdr:cNvSpPr>
      </xdr:nvSpPr>
      <xdr:spPr bwMode="auto">
        <a:xfrm>
          <a:off x="2867025" y="55237226"/>
          <a:ext cx="95250" cy="86461"/>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286</xdr:row>
      <xdr:rowOff>142875</xdr:rowOff>
    </xdr:from>
    <xdr:to>
      <xdr:col>5</xdr:col>
      <xdr:colOff>733425</xdr:colOff>
      <xdr:row>290</xdr:row>
      <xdr:rowOff>114300</xdr:rowOff>
    </xdr:to>
    <xdr:sp macro="" textlink="">
      <xdr:nvSpPr>
        <xdr:cNvPr id="387" name="Tegning 812">
          <a:extLst>
            <a:ext uri="{FF2B5EF4-FFF2-40B4-BE49-F238E27FC236}">
              <a16:creationId xmlns:a16="http://schemas.microsoft.com/office/drawing/2014/main" id="{00000000-0008-0000-0200-000083010000}"/>
            </a:ext>
          </a:extLst>
        </xdr:cNvPr>
        <xdr:cNvSpPr>
          <a:spLocks/>
        </xdr:cNvSpPr>
      </xdr:nvSpPr>
      <xdr:spPr bwMode="auto">
        <a:xfrm>
          <a:off x="2914650" y="54511575"/>
          <a:ext cx="476250" cy="7334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0" y="16384"/>
              </a:moveTo>
              <a:lnTo>
                <a:pt x="0" y="0"/>
              </a:lnTo>
              <a:lnTo>
                <a:pt x="16384" y="0"/>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142875</xdr:colOff>
      <xdr:row>287</xdr:row>
      <xdr:rowOff>66675</xdr:rowOff>
    </xdr:from>
    <xdr:to>
      <xdr:col>5</xdr:col>
      <xdr:colOff>400050</xdr:colOff>
      <xdr:row>291</xdr:row>
      <xdr:rowOff>19050</xdr:rowOff>
    </xdr:to>
    <xdr:sp macro="" textlink="">
      <xdr:nvSpPr>
        <xdr:cNvPr id="388" name="Tegning 813">
          <a:extLst>
            <a:ext uri="{FF2B5EF4-FFF2-40B4-BE49-F238E27FC236}">
              <a16:creationId xmlns:a16="http://schemas.microsoft.com/office/drawing/2014/main" id="{00000000-0008-0000-0200-000084010000}"/>
            </a:ext>
          </a:extLst>
        </xdr:cNvPr>
        <xdr:cNvSpPr>
          <a:spLocks/>
        </xdr:cNvSpPr>
      </xdr:nvSpPr>
      <xdr:spPr bwMode="auto">
        <a:xfrm>
          <a:off x="1524000" y="54625875"/>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6104" y="16384"/>
              </a:moveTo>
              <a:lnTo>
                <a:pt x="0" y="16384"/>
              </a:lnTo>
              <a:lnTo>
                <a:pt x="0" y="3550"/>
              </a:lnTo>
              <a:lnTo>
                <a:pt x="6162" y="3550"/>
              </a:lnTo>
              <a:lnTo>
                <a:pt x="6162" y="0"/>
              </a:lnTo>
              <a:lnTo>
                <a:pt x="16384" y="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219075</xdr:colOff>
      <xdr:row>287</xdr:row>
      <xdr:rowOff>123825</xdr:rowOff>
    </xdr:from>
    <xdr:to>
      <xdr:col>5</xdr:col>
      <xdr:colOff>381000</xdr:colOff>
      <xdr:row>287</xdr:row>
      <xdr:rowOff>123825</xdr:rowOff>
    </xdr:to>
    <xdr:sp macro="" textlink="">
      <xdr:nvSpPr>
        <xdr:cNvPr id="389" name="Line 399">
          <a:extLst>
            <a:ext uri="{FF2B5EF4-FFF2-40B4-BE49-F238E27FC236}">
              <a16:creationId xmlns:a16="http://schemas.microsoft.com/office/drawing/2014/main" id="{00000000-0008-0000-0200-000085010000}"/>
            </a:ext>
          </a:extLst>
        </xdr:cNvPr>
        <xdr:cNvSpPr>
          <a:spLocks noChangeShapeType="1"/>
        </xdr:cNvSpPr>
      </xdr:nvSpPr>
      <xdr:spPr bwMode="auto">
        <a:xfrm>
          <a:off x="2181225" y="54683025"/>
          <a:ext cx="8572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282</xdr:row>
      <xdr:rowOff>123825</xdr:rowOff>
    </xdr:from>
    <xdr:to>
      <xdr:col>5</xdr:col>
      <xdr:colOff>704850</xdr:colOff>
      <xdr:row>290</xdr:row>
      <xdr:rowOff>161925</xdr:rowOff>
    </xdr:to>
    <xdr:sp macro="" textlink="">
      <xdr:nvSpPr>
        <xdr:cNvPr id="390" name="Tegning 815">
          <a:extLst>
            <a:ext uri="{FF2B5EF4-FFF2-40B4-BE49-F238E27FC236}">
              <a16:creationId xmlns:a16="http://schemas.microsoft.com/office/drawing/2014/main" id="{00000000-0008-0000-0200-000086010000}"/>
            </a:ext>
          </a:extLst>
        </xdr:cNvPr>
        <xdr:cNvSpPr>
          <a:spLocks/>
        </xdr:cNvSpPr>
      </xdr:nvSpPr>
      <xdr:spPr bwMode="auto">
        <a:xfrm>
          <a:off x="1266825" y="53730525"/>
          <a:ext cx="2095500" cy="156210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6384" y="0"/>
              </a:moveTo>
              <a:lnTo>
                <a:pt x="0" y="0"/>
              </a:lnTo>
              <a:lnTo>
                <a:pt x="0" y="16384"/>
              </a:lnTo>
            </a:path>
          </a:pathLst>
        </a:custGeom>
        <a:noFill/>
        <a:ln w="9525" cap="flat">
          <a:solidFill>
            <a:srgbClr val="000000"/>
          </a:solidFill>
          <a:prstDash val="solid"/>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xdr:col>
      <xdr:colOff>57150</xdr:colOff>
      <xdr:row>288</xdr:row>
      <xdr:rowOff>19050</xdr:rowOff>
    </xdr:from>
    <xdr:to>
      <xdr:col>2</xdr:col>
      <xdr:colOff>95250</xdr:colOff>
      <xdr:row>288</xdr:row>
      <xdr:rowOff>19050</xdr:rowOff>
    </xdr:to>
    <xdr:sp macro="" textlink="">
      <xdr:nvSpPr>
        <xdr:cNvPr id="391" name="Line 401">
          <a:extLst>
            <a:ext uri="{FF2B5EF4-FFF2-40B4-BE49-F238E27FC236}">
              <a16:creationId xmlns:a16="http://schemas.microsoft.com/office/drawing/2014/main" id="{00000000-0008-0000-0200-000087010000}"/>
            </a:ext>
          </a:extLst>
        </xdr:cNvPr>
        <xdr:cNvSpPr>
          <a:spLocks noChangeShapeType="1"/>
        </xdr:cNvSpPr>
      </xdr:nvSpPr>
      <xdr:spPr bwMode="auto">
        <a:xfrm flipH="1">
          <a:off x="1200150" y="54768750"/>
          <a:ext cx="276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287</xdr:row>
      <xdr:rowOff>142875</xdr:rowOff>
    </xdr:from>
    <xdr:to>
      <xdr:col>1</xdr:col>
      <xdr:colOff>190500</xdr:colOff>
      <xdr:row>288</xdr:row>
      <xdr:rowOff>85725</xdr:rowOff>
    </xdr:to>
    <xdr:sp macro="" textlink="">
      <xdr:nvSpPr>
        <xdr:cNvPr id="392" name="Line 402">
          <a:extLst>
            <a:ext uri="{FF2B5EF4-FFF2-40B4-BE49-F238E27FC236}">
              <a16:creationId xmlns:a16="http://schemas.microsoft.com/office/drawing/2014/main" id="{00000000-0008-0000-0200-000088010000}"/>
            </a:ext>
          </a:extLst>
        </xdr:cNvPr>
        <xdr:cNvSpPr>
          <a:spLocks noChangeShapeType="1"/>
        </xdr:cNvSpPr>
      </xdr:nvSpPr>
      <xdr:spPr bwMode="auto">
        <a:xfrm flipH="1">
          <a:off x="1181100" y="54702075"/>
          <a:ext cx="15240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290</xdr:row>
      <xdr:rowOff>142875</xdr:rowOff>
    </xdr:from>
    <xdr:to>
      <xdr:col>2</xdr:col>
      <xdr:colOff>85725</xdr:colOff>
      <xdr:row>290</xdr:row>
      <xdr:rowOff>142875</xdr:rowOff>
    </xdr:to>
    <xdr:sp macro="" textlink="">
      <xdr:nvSpPr>
        <xdr:cNvPr id="393" name="Line 403">
          <a:extLst>
            <a:ext uri="{FF2B5EF4-FFF2-40B4-BE49-F238E27FC236}">
              <a16:creationId xmlns:a16="http://schemas.microsoft.com/office/drawing/2014/main" id="{00000000-0008-0000-0200-000089010000}"/>
            </a:ext>
          </a:extLst>
        </xdr:cNvPr>
        <xdr:cNvSpPr>
          <a:spLocks noChangeShapeType="1"/>
        </xdr:cNvSpPr>
      </xdr:nvSpPr>
      <xdr:spPr bwMode="auto">
        <a:xfrm flipH="1">
          <a:off x="1200150" y="55273575"/>
          <a:ext cx="266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47625</xdr:colOff>
      <xdr:row>290</xdr:row>
      <xdr:rowOff>47625</xdr:rowOff>
    </xdr:from>
    <xdr:to>
      <xdr:col>1</xdr:col>
      <xdr:colOff>219075</xdr:colOff>
      <xdr:row>291</xdr:row>
      <xdr:rowOff>0</xdr:rowOff>
    </xdr:to>
    <xdr:sp macro="" textlink="">
      <xdr:nvSpPr>
        <xdr:cNvPr id="394" name="Line 404">
          <a:extLst>
            <a:ext uri="{FF2B5EF4-FFF2-40B4-BE49-F238E27FC236}">
              <a16:creationId xmlns:a16="http://schemas.microsoft.com/office/drawing/2014/main" id="{00000000-0008-0000-0200-00008A010000}"/>
            </a:ext>
          </a:extLst>
        </xdr:cNvPr>
        <xdr:cNvSpPr>
          <a:spLocks noChangeShapeType="1"/>
        </xdr:cNvSpPr>
      </xdr:nvSpPr>
      <xdr:spPr bwMode="auto">
        <a:xfrm flipH="1">
          <a:off x="1190625" y="55178325"/>
          <a:ext cx="171450" cy="1428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290</xdr:row>
      <xdr:rowOff>161925</xdr:rowOff>
    </xdr:from>
    <xdr:to>
      <xdr:col>5</xdr:col>
      <xdr:colOff>447675</xdr:colOff>
      <xdr:row>290</xdr:row>
      <xdr:rowOff>161925</xdr:rowOff>
    </xdr:to>
    <xdr:sp macro="" textlink="">
      <xdr:nvSpPr>
        <xdr:cNvPr id="395" name="Line 405">
          <a:extLst>
            <a:ext uri="{FF2B5EF4-FFF2-40B4-BE49-F238E27FC236}">
              <a16:creationId xmlns:a16="http://schemas.microsoft.com/office/drawing/2014/main" id="{00000000-0008-0000-0200-00008B010000}"/>
            </a:ext>
          </a:extLst>
        </xdr:cNvPr>
        <xdr:cNvSpPr>
          <a:spLocks noChangeShapeType="1"/>
        </xdr:cNvSpPr>
      </xdr:nvSpPr>
      <xdr:spPr bwMode="auto">
        <a:xfrm flipH="1">
          <a:off x="1600200" y="55292625"/>
          <a:ext cx="1504950" cy="0"/>
        </a:xfrm>
        <a:prstGeom prst="line">
          <a:avLst/>
        </a:prstGeom>
        <a:noFill/>
        <a:ln w="26670">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295</xdr:row>
      <xdr:rowOff>123825</xdr:rowOff>
    </xdr:from>
    <xdr:to>
      <xdr:col>2</xdr:col>
      <xdr:colOff>485775</xdr:colOff>
      <xdr:row>295</xdr:row>
      <xdr:rowOff>123825</xdr:rowOff>
    </xdr:to>
    <xdr:sp macro="" textlink="">
      <xdr:nvSpPr>
        <xdr:cNvPr id="396" name="Line 406">
          <a:extLst>
            <a:ext uri="{FF2B5EF4-FFF2-40B4-BE49-F238E27FC236}">
              <a16:creationId xmlns:a16="http://schemas.microsoft.com/office/drawing/2014/main" id="{00000000-0008-0000-0200-00008C010000}"/>
            </a:ext>
          </a:extLst>
        </xdr:cNvPr>
        <xdr:cNvSpPr>
          <a:spLocks noChangeShapeType="1"/>
        </xdr:cNvSpPr>
      </xdr:nvSpPr>
      <xdr:spPr bwMode="auto">
        <a:xfrm flipH="1">
          <a:off x="1571625" y="56207025"/>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291</xdr:row>
      <xdr:rowOff>47625</xdr:rowOff>
    </xdr:from>
    <xdr:to>
      <xdr:col>2</xdr:col>
      <xdr:colOff>533400</xdr:colOff>
      <xdr:row>291</xdr:row>
      <xdr:rowOff>47625</xdr:rowOff>
    </xdr:to>
    <xdr:sp macro="" textlink="">
      <xdr:nvSpPr>
        <xdr:cNvPr id="397" name="Line 407">
          <a:extLst>
            <a:ext uri="{FF2B5EF4-FFF2-40B4-BE49-F238E27FC236}">
              <a16:creationId xmlns:a16="http://schemas.microsoft.com/office/drawing/2014/main" id="{00000000-0008-0000-0200-00008D010000}"/>
            </a:ext>
          </a:extLst>
        </xdr:cNvPr>
        <xdr:cNvSpPr>
          <a:spLocks noChangeShapeType="1"/>
        </xdr:cNvSpPr>
      </xdr:nvSpPr>
      <xdr:spPr bwMode="auto">
        <a:xfrm>
          <a:off x="1724025" y="55368825"/>
          <a:ext cx="190500" cy="0"/>
        </a:xfrm>
        <a:prstGeom prst="line">
          <a:avLst/>
        </a:prstGeom>
        <a:noFill/>
        <a:ln w="3746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291</xdr:row>
      <xdr:rowOff>0</xdr:rowOff>
    </xdr:from>
    <xdr:to>
      <xdr:col>2</xdr:col>
      <xdr:colOff>28575</xdr:colOff>
      <xdr:row>291</xdr:row>
      <xdr:rowOff>0</xdr:rowOff>
    </xdr:to>
    <xdr:sp macro="" textlink="">
      <xdr:nvSpPr>
        <xdr:cNvPr id="398" name="Line 408">
          <a:extLst>
            <a:ext uri="{FF2B5EF4-FFF2-40B4-BE49-F238E27FC236}">
              <a16:creationId xmlns:a16="http://schemas.microsoft.com/office/drawing/2014/main" id="{00000000-0008-0000-0200-00008E010000}"/>
            </a:ext>
          </a:extLst>
        </xdr:cNvPr>
        <xdr:cNvSpPr>
          <a:spLocks noChangeShapeType="1"/>
        </xdr:cNvSpPr>
      </xdr:nvSpPr>
      <xdr:spPr bwMode="auto">
        <a:xfrm flipH="1">
          <a:off x="952500" y="5532120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290</xdr:row>
      <xdr:rowOff>171450</xdr:rowOff>
    </xdr:from>
    <xdr:to>
      <xdr:col>2</xdr:col>
      <xdr:colOff>28575</xdr:colOff>
      <xdr:row>290</xdr:row>
      <xdr:rowOff>171450</xdr:rowOff>
    </xdr:to>
    <xdr:sp macro="" textlink="">
      <xdr:nvSpPr>
        <xdr:cNvPr id="399" name="Line 409">
          <a:extLst>
            <a:ext uri="{FF2B5EF4-FFF2-40B4-BE49-F238E27FC236}">
              <a16:creationId xmlns:a16="http://schemas.microsoft.com/office/drawing/2014/main" id="{00000000-0008-0000-0200-00008F010000}"/>
            </a:ext>
          </a:extLst>
        </xdr:cNvPr>
        <xdr:cNvSpPr>
          <a:spLocks noChangeShapeType="1"/>
        </xdr:cNvSpPr>
      </xdr:nvSpPr>
      <xdr:spPr bwMode="auto">
        <a:xfrm flipH="1">
          <a:off x="952500" y="55302150"/>
          <a:ext cx="457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290</xdr:row>
      <xdr:rowOff>95250</xdr:rowOff>
    </xdr:from>
    <xdr:to>
      <xdr:col>0</xdr:col>
      <xdr:colOff>1019175</xdr:colOff>
      <xdr:row>292</xdr:row>
      <xdr:rowOff>171450</xdr:rowOff>
    </xdr:to>
    <xdr:sp macro="" textlink="">
      <xdr:nvSpPr>
        <xdr:cNvPr id="400" name="Line 410">
          <a:extLst>
            <a:ext uri="{FF2B5EF4-FFF2-40B4-BE49-F238E27FC236}">
              <a16:creationId xmlns:a16="http://schemas.microsoft.com/office/drawing/2014/main" id="{00000000-0008-0000-0200-000090010000}"/>
            </a:ext>
          </a:extLst>
        </xdr:cNvPr>
        <xdr:cNvSpPr>
          <a:spLocks noChangeShapeType="1"/>
        </xdr:cNvSpPr>
      </xdr:nvSpPr>
      <xdr:spPr bwMode="auto">
        <a:xfrm>
          <a:off x="1019175" y="55225950"/>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180975</xdr:colOff>
      <xdr:row>295</xdr:row>
      <xdr:rowOff>38100</xdr:rowOff>
    </xdr:from>
    <xdr:to>
      <xdr:col>2</xdr:col>
      <xdr:colOff>276225</xdr:colOff>
      <xdr:row>296</xdr:row>
      <xdr:rowOff>28575</xdr:rowOff>
    </xdr:to>
    <xdr:sp macro="" textlink="">
      <xdr:nvSpPr>
        <xdr:cNvPr id="401" name="Tegning 826">
          <a:extLst>
            <a:ext uri="{FF2B5EF4-FFF2-40B4-BE49-F238E27FC236}">
              <a16:creationId xmlns:a16="http://schemas.microsoft.com/office/drawing/2014/main" id="{00000000-0008-0000-0200-000091010000}"/>
            </a:ext>
          </a:extLst>
        </xdr:cNvPr>
        <xdr:cNvSpPr>
          <a:spLocks/>
        </xdr:cNvSpPr>
      </xdr:nvSpPr>
      <xdr:spPr bwMode="auto">
        <a:xfrm>
          <a:off x="1562100" y="56121300"/>
          <a:ext cx="95250" cy="180975"/>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 name="T9" fmla="*/ 0 w 16384"/>
            <a:gd name="T10" fmla="*/ 0 h 16384"/>
            <a:gd name="T11" fmla="*/ 16384 w 16384"/>
            <a:gd name="T12" fmla="*/ 16384 h 16384"/>
          </a:gdLst>
          <a:ahLst/>
          <a:cxnLst>
            <a:cxn ang="T6">
              <a:pos x="T0" y="T1"/>
            </a:cxn>
            <a:cxn ang="T7">
              <a:pos x="T2" y="T3"/>
            </a:cxn>
            <a:cxn ang="T8">
              <a:pos x="T4" y="T5"/>
            </a:cxn>
          </a:cxnLst>
          <a:rect l="T9" t="T10" r="T11" b="T12"/>
          <a:pathLst>
            <a:path w="16384" h="16384">
              <a:moveTo>
                <a:pt x="14336" y="0"/>
              </a:moveTo>
              <a:lnTo>
                <a:pt x="0" y="7646"/>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171450</xdr:colOff>
      <xdr:row>294</xdr:row>
      <xdr:rowOff>76200</xdr:rowOff>
    </xdr:from>
    <xdr:to>
      <xdr:col>2</xdr:col>
      <xdr:colOff>276225</xdr:colOff>
      <xdr:row>294</xdr:row>
      <xdr:rowOff>190500</xdr:rowOff>
    </xdr:to>
    <xdr:sp macro="" textlink="">
      <xdr:nvSpPr>
        <xdr:cNvPr id="402" name="Line 412">
          <a:extLst>
            <a:ext uri="{FF2B5EF4-FFF2-40B4-BE49-F238E27FC236}">
              <a16:creationId xmlns:a16="http://schemas.microsoft.com/office/drawing/2014/main" id="{00000000-0008-0000-0200-000092010000}"/>
            </a:ext>
          </a:extLst>
        </xdr:cNvPr>
        <xdr:cNvSpPr>
          <a:spLocks noChangeShapeType="1"/>
        </xdr:cNvSpPr>
      </xdr:nvSpPr>
      <xdr:spPr bwMode="auto">
        <a:xfrm flipH="1">
          <a:off x="1552575" y="55968900"/>
          <a:ext cx="10477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290</xdr:row>
      <xdr:rowOff>123825</xdr:rowOff>
    </xdr:from>
    <xdr:to>
      <xdr:col>0</xdr:col>
      <xdr:colOff>1057275</xdr:colOff>
      <xdr:row>291</xdr:row>
      <xdr:rowOff>28575</xdr:rowOff>
    </xdr:to>
    <xdr:sp macro="" textlink="">
      <xdr:nvSpPr>
        <xdr:cNvPr id="403" name="Line 413">
          <a:extLst>
            <a:ext uri="{FF2B5EF4-FFF2-40B4-BE49-F238E27FC236}">
              <a16:creationId xmlns:a16="http://schemas.microsoft.com/office/drawing/2014/main" id="{00000000-0008-0000-0200-000093010000}"/>
            </a:ext>
          </a:extLst>
        </xdr:cNvPr>
        <xdr:cNvSpPr>
          <a:spLocks noChangeShapeType="1"/>
        </xdr:cNvSpPr>
      </xdr:nvSpPr>
      <xdr:spPr bwMode="auto">
        <a:xfrm flipH="1">
          <a:off x="952500" y="55254525"/>
          <a:ext cx="1047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290</xdr:row>
      <xdr:rowOff>142875</xdr:rowOff>
    </xdr:from>
    <xdr:to>
      <xdr:col>0</xdr:col>
      <xdr:colOff>1085850</xdr:colOff>
      <xdr:row>291</xdr:row>
      <xdr:rowOff>47625</xdr:rowOff>
    </xdr:to>
    <xdr:sp macro="" textlink="">
      <xdr:nvSpPr>
        <xdr:cNvPr id="404" name="Line 414">
          <a:extLst>
            <a:ext uri="{FF2B5EF4-FFF2-40B4-BE49-F238E27FC236}">
              <a16:creationId xmlns:a16="http://schemas.microsoft.com/office/drawing/2014/main" id="{00000000-0008-0000-0200-000094010000}"/>
            </a:ext>
          </a:extLst>
        </xdr:cNvPr>
        <xdr:cNvSpPr>
          <a:spLocks noChangeShapeType="1"/>
        </xdr:cNvSpPr>
      </xdr:nvSpPr>
      <xdr:spPr bwMode="auto">
        <a:xfrm flipH="1">
          <a:off x="971550" y="552735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302</xdr:row>
      <xdr:rowOff>123825</xdr:rowOff>
    </xdr:from>
    <xdr:to>
      <xdr:col>5</xdr:col>
      <xdr:colOff>190500</xdr:colOff>
      <xdr:row>309</xdr:row>
      <xdr:rowOff>66675</xdr:rowOff>
    </xdr:to>
    <xdr:sp macro="" textlink="">
      <xdr:nvSpPr>
        <xdr:cNvPr id="405" name="Tegning 259">
          <a:extLst>
            <a:ext uri="{FF2B5EF4-FFF2-40B4-BE49-F238E27FC236}">
              <a16:creationId xmlns:a16="http://schemas.microsoft.com/office/drawing/2014/main" id="{00000000-0008-0000-0200-000095010000}"/>
            </a:ext>
          </a:extLst>
        </xdr:cNvPr>
        <xdr:cNvSpPr>
          <a:spLocks/>
        </xdr:cNvSpPr>
      </xdr:nvSpPr>
      <xdr:spPr bwMode="auto">
        <a:xfrm>
          <a:off x="1504950" y="57550050"/>
          <a:ext cx="1343025" cy="1276350"/>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16384"/>
              </a:moveTo>
              <a:lnTo>
                <a:pt x="10323" y="10133"/>
              </a:lnTo>
              <a:lnTo>
                <a:pt x="10323" y="4409"/>
              </a:lnTo>
              <a:lnTo>
                <a:pt x="16384" y="4409"/>
              </a:lnTo>
              <a:lnTo>
                <a:pt x="16384" y="0"/>
              </a:lnTo>
              <a:lnTo>
                <a:pt x="2797" y="0"/>
              </a:lnTo>
              <a:lnTo>
                <a:pt x="3596" y="8028"/>
              </a:lnTo>
              <a:lnTo>
                <a:pt x="333" y="8028"/>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123825</xdr:colOff>
      <xdr:row>303</xdr:row>
      <xdr:rowOff>0</xdr:rowOff>
    </xdr:from>
    <xdr:to>
      <xdr:col>3</xdr:col>
      <xdr:colOff>247650</xdr:colOff>
      <xdr:row>308</xdr:row>
      <xdr:rowOff>142875</xdr:rowOff>
    </xdr:to>
    <xdr:sp macro="" textlink="">
      <xdr:nvSpPr>
        <xdr:cNvPr id="406" name="Tegning 260">
          <a:extLst>
            <a:ext uri="{FF2B5EF4-FFF2-40B4-BE49-F238E27FC236}">
              <a16:creationId xmlns:a16="http://schemas.microsoft.com/office/drawing/2014/main" id="{00000000-0008-0000-0200-000096010000}"/>
            </a:ext>
          </a:extLst>
        </xdr:cNvPr>
        <xdr:cNvSpPr>
          <a:spLocks/>
        </xdr:cNvSpPr>
      </xdr:nvSpPr>
      <xdr:spPr bwMode="auto">
        <a:xfrm>
          <a:off x="1504950" y="57616725"/>
          <a:ext cx="704850" cy="109537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2147483646 w 16384"/>
            <a:gd name="T15" fmla="*/ 0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6384"/>
            <a:gd name="T37" fmla="*/ 0 h 16384"/>
            <a:gd name="T38" fmla="*/ 16384 w 16384"/>
            <a:gd name="T39" fmla="*/ 16384 h 1638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6384" h="16384">
              <a:moveTo>
                <a:pt x="0" y="16384"/>
              </a:moveTo>
              <a:lnTo>
                <a:pt x="15895" y="10124"/>
              </a:lnTo>
              <a:lnTo>
                <a:pt x="16384" y="9738"/>
              </a:lnTo>
              <a:lnTo>
                <a:pt x="16262" y="9351"/>
              </a:lnTo>
              <a:lnTo>
                <a:pt x="16262" y="464"/>
              </a:lnTo>
              <a:lnTo>
                <a:pt x="16017" y="155"/>
              </a:lnTo>
              <a:lnTo>
                <a:pt x="15284" y="0"/>
              </a:lnTo>
              <a:lnTo>
                <a:pt x="8926" y="0"/>
              </a:lnTo>
              <a:lnTo>
                <a:pt x="8437" y="309"/>
              </a:lnTo>
              <a:lnTo>
                <a:pt x="8314" y="696"/>
              </a:lnTo>
              <a:lnTo>
                <a:pt x="8314" y="12520"/>
              </a:lnTo>
              <a:lnTo>
                <a:pt x="8070" y="13138"/>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476250</xdr:colOff>
      <xdr:row>303</xdr:row>
      <xdr:rowOff>0</xdr:rowOff>
    </xdr:from>
    <xdr:to>
      <xdr:col>5</xdr:col>
      <xdr:colOff>114300</xdr:colOff>
      <xdr:row>304</xdr:row>
      <xdr:rowOff>9525</xdr:rowOff>
    </xdr:to>
    <xdr:sp macro="" textlink="">
      <xdr:nvSpPr>
        <xdr:cNvPr id="407" name="Tegning 261">
          <a:extLst>
            <a:ext uri="{FF2B5EF4-FFF2-40B4-BE49-F238E27FC236}">
              <a16:creationId xmlns:a16="http://schemas.microsoft.com/office/drawing/2014/main" id="{00000000-0008-0000-0200-000097010000}"/>
            </a:ext>
          </a:extLst>
        </xdr:cNvPr>
        <xdr:cNvSpPr>
          <a:spLocks/>
        </xdr:cNvSpPr>
      </xdr:nvSpPr>
      <xdr:spPr bwMode="auto">
        <a:xfrm>
          <a:off x="1857375" y="57616725"/>
          <a:ext cx="914400" cy="200025"/>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0 h 16384"/>
            <a:gd name="T18" fmla="*/ 2147483646 w 16384"/>
            <a:gd name="T19" fmla="*/ 0 h 16384"/>
            <a:gd name="T20" fmla="*/ 2147483646 w 16384"/>
            <a:gd name="T21" fmla="*/ 0 h 16384"/>
            <a:gd name="T22" fmla="*/ 0 w 16384"/>
            <a:gd name="T23" fmla="*/ 2147483646 h 16384"/>
            <a:gd name="T24" fmla="*/ 0 w 16384"/>
            <a:gd name="T25" fmla="*/ 2147483646 h 16384"/>
            <a:gd name="T26" fmla="*/ 2147483646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102" y="12788"/>
              </a:moveTo>
              <a:lnTo>
                <a:pt x="407" y="14786"/>
              </a:lnTo>
              <a:lnTo>
                <a:pt x="916" y="16384"/>
              </a:lnTo>
              <a:lnTo>
                <a:pt x="15773" y="16384"/>
              </a:lnTo>
              <a:lnTo>
                <a:pt x="16282" y="15185"/>
              </a:lnTo>
              <a:lnTo>
                <a:pt x="16384" y="13187"/>
              </a:lnTo>
              <a:lnTo>
                <a:pt x="16384" y="2398"/>
              </a:lnTo>
              <a:lnTo>
                <a:pt x="15977" y="799"/>
              </a:lnTo>
              <a:lnTo>
                <a:pt x="15163" y="0"/>
              </a:lnTo>
              <a:lnTo>
                <a:pt x="1934" y="0"/>
              </a:lnTo>
              <a:lnTo>
                <a:pt x="509" y="0"/>
              </a:lnTo>
              <a:lnTo>
                <a:pt x="0" y="1998"/>
              </a:lnTo>
              <a:lnTo>
                <a:pt x="0" y="13187"/>
              </a:lnTo>
              <a:lnTo>
                <a:pt x="305" y="14386"/>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95250</xdr:colOff>
      <xdr:row>305</xdr:row>
      <xdr:rowOff>190500</xdr:rowOff>
    </xdr:from>
    <xdr:to>
      <xdr:col>5</xdr:col>
      <xdr:colOff>285750</xdr:colOff>
      <xdr:row>305</xdr:row>
      <xdr:rowOff>190500</xdr:rowOff>
    </xdr:to>
    <xdr:sp macro="" textlink="">
      <xdr:nvSpPr>
        <xdr:cNvPr id="408" name="Line 418">
          <a:extLst>
            <a:ext uri="{FF2B5EF4-FFF2-40B4-BE49-F238E27FC236}">
              <a16:creationId xmlns:a16="http://schemas.microsoft.com/office/drawing/2014/main" id="{00000000-0008-0000-0200-000098010000}"/>
            </a:ext>
          </a:extLst>
        </xdr:cNvPr>
        <xdr:cNvSpPr>
          <a:spLocks noChangeShapeType="1"/>
        </xdr:cNvSpPr>
      </xdr:nvSpPr>
      <xdr:spPr bwMode="auto">
        <a:xfrm>
          <a:off x="1476375" y="58188225"/>
          <a:ext cx="1466850" cy="0"/>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301</xdr:row>
      <xdr:rowOff>209550</xdr:rowOff>
    </xdr:from>
    <xdr:to>
      <xdr:col>4</xdr:col>
      <xdr:colOff>57150</xdr:colOff>
      <xdr:row>307</xdr:row>
      <xdr:rowOff>28575</xdr:rowOff>
    </xdr:to>
    <xdr:sp macro="" textlink="">
      <xdr:nvSpPr>
        <xdr:cNvPr id="409" name="Line 419">
          <a:extLst>
            <a:ext uri="{FF2B5EF4-FFF2-40B4-BE49-F238E27FC236}">
              <a16:creationId xmlns:a16="http://schemas.microsoft.com/office/drawing/2014/main" id="{00000000-0008-0000-0200-000099010000}"/>
            </a:ext>
          </a:extLst>
        </xdr:cNvPr>
        <xdr:cNvSpPr>
          <a:spLocks noChangeShapeType="1"/>
        </xdr:cNvSpPr>
      </xdr:nvSpPr>
      <xdr:spPr bwMode="auto">
        <a:xfrm>
          <a:off x="2390775" y="57426225"/>
          <a:ext cx="0" cy="981075"/>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304</xdr:row>
      <xdr:rowOff>76200</xdr:rowOff>
    </xdr:from>
    <xdr:to>
      <xdr:col>5</xdr:col>
      <xdr:colOff>142875</xdr:colOff>
      <xdr:row>306</xdr:row>
      <xdr:rowOff>209550</xdr:rowOff>
    </xdr:to>
    <xdr:sp macro="" textlink="">
      <xdr:nvSpPr>
        <xdr:cNvPr id="410" name="Tegning 264">
          <a:extLst>
            <a:ext uri="{FF2B5EF4-FFF2-40B4-BE49-F238E27FC236}">
              <a16:creationId xmlns:a16="http://schemas.microsoft.com/office/drawing/2014/main" id="{00000000-0008-0000-0200-00009A010000}"/>
            </a:ext>
          </a:extLst>
        </xdr:cNvPr>
        <xdr:cNvSpPr>
          <a:spLocks/>
        </xdr:cNvSpPr>
      </xdr:nvSpPr>
      <xdr:spPr bwMode="auto">
        <a:xfrm>
          <a:off x="2552700" y="57883425"/>
          <a:ext cx="247650" cy="4953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16384"/>
              </a:moveTo>
              <a:lnTo>
                <a:pt x="8192" y="0"/>
              </a:lnTo>
              <a:lnTo>
                <a:pt x="0" y="4096"/>
              </a:lnTo>
              <a:lnTo>
                <a:pt x="8192" y="0"/>
              </a:lnTo>
              <a:lnTo>
                <a:pt x="16384" y="409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28575</xdr:colOff>
      <xdr:row>307</xdr:row>
      <xdr:rowOff>66675</xdr:rowOff>
    </xdr:from>
    <xdr:to>
      <xdr:col>5</xdr:col>
      <xdr:colOff>28575</xdr:colOff>
      <xdr:row>309</xdr:row>
      <xdr:rowOff>76200</xdr:rowOff>
    </xdr:to>
    <xdr:sp macro="" textlink="">
      <xdr:nvSpPr>
        <xdr:cNvPr id="411" name="Line 421">
          <a:extLst>
            <a:ext uri="{FF2B5EF4-FFF2-40B4-BE49-F238E27FC236}">
              <a16:creationId xmlns:a16="http://schemas.microsoft.com/office/drawing/2014/main" id="{00000000-0008-0000-0200-00009B010000}"/>
            </a:ext>
          </a:extLst>
        </xdr:cNvPr>
        <xdr:cNvSpPr>
          <a:spLocks noChangeShapeType="1"/>
        </xdr:cNvSpPr>
      </xdr:nvSpPr>
      <xdr:spPr bwMode="auto">
        <a:xfrm>
          <a:off x="2686050" y="58445400"/>
          <a:ext cx="0" cy="390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238125</xdr:colOff>
      <xdr:row>306</xdr:row>
      <xdr:rowOff>161925</xdr:rowOff>
    </xdr:from>
    <xdr:to>
      <xdr:col>3</xdr:col>
      <xdr:colOff>238125</xdr:colOff>
      <xdr:row>310</xdr:row>
      <xdr:rowOff>76200</xdr:rowOff>
    </xdr:to>
    <xdr:sp macro="" textlink="">
      <xdr:nvSpPr>
        <xdr:cNvPr id="412" name="Line 422">
          <a:extLst>
            <a:ext uri="{FF2B5EF4-FFF2-40B4-BE49-F238E27FC236}">
              <a16:creationId xmlns:a16="http://schemas.microsoft.com/office/drawing/2014/main" id="{00000000-0008-0000-0200-00009C010000}"/>
            </a:ext>
          </a:extLst>
        </xdr:cNvPr>
        <xdr:cNvSpPr>
          <a:spLocks noChangeShapeType="1"/>
        </xdr:cNvSpPr>
      </xdr:nvSpPr>
      <xdr:spPr bwMode="auto">
        <a:xfrm>
          <a:off x="2200275" y="58350150"/>
          <a:ext cx="0" cy="676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306</xdr:row>
      <xdr:rowOff>76200</xdr:rowOff>
    </xdr:from>
    <xdr:to>
      <xdr:col>2</xdr:col>
      <xdr:colOff>390525</xdr:colOff>
      <xdr:row>310</xdr:row>
      <xdr:rowOff>76200</xdr:rowOff>
    </xdr:to>
    <xdr:sp macro="" textlink="">
      <xdr:nvSpPr>
        <xdr:cNvPr id="413" name="Line 423">
          <a:extLst>
            <a:ext uri="{FF2B5EF4-FFF2-40B4-BE49-F238E27FC236}">
              <a16:creationId xmlns:a16="http://schemas.microsoft.com/office/drawing/2014/main" id="{00000000-0008-0000-0200-00009D010000}"/>
            </a:ext>
          </a:extLst>
        </xdr:cNvPr>
        <xdr:cNvSpPr>
          <a:spLocks noChangeShapeType="1"/>
        </xdr:cNvSpPr>
      </xdr:nvSpPr>
      <xdr:spPr bwMode="auto">
        <a:xfrm>
          <a:off x="1771650" y="5826442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310</xdr:row>
      <xdr:rowOff>0</xdr:rowOff>
    </xdr:from>
    <xdr:to>
      <xdr:col>3</xdr:col>
      <xdr:colOff>266700</xdr:colOff>
      <xdr:row>310</xdr:row>
      <xdr:rowOff>0</xdr:rowOff>
    </xdr:to>
    <xdr:sp macro="" textlink="">
      <xdr:nvSpPr>
        <xdr:cNvPr id="414" name="Line 424">
          <a:extLst>
            <a:ext uri="{FF2B5EF4-FFF2-40B4-BE49-F238E27FC236}">
              <a16:creationId xmlns:a16="http://schemas.microsoft.com/office/drawing/2014/main" id="{00000000-0008-0000-0200-00009E010000}"/>
            </a:ext>
          </a:extLst>
        </xdr:cNvPr>
        <xdr:cNvSpPr>
          <a:spLocks noChangeShapeType="1"/>
        </xdr:cNvSpPr>
      </xdr:nvSpPr>
      <xdr:spPr bwMode="auto">
        <a:xfrm>
          <a:off x="1743075" y="58950225"/>
          <a:ext cx="4857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309</xdr:row>
      <xdr:rowOff>133350</xdr:rowOff>
    </xdr:from>
    <xdr:to>
      <xdr:col>2</xdr:col>
      <xdr:colOff>457200</xdr:colOff>
      <xdr:row>310</xdr:row>
      <xdr:rowOff>66675</xdr:rowOff>
    </xdr:to>
    <xdr:sp macro="" textlink="">
      <xdr:nvSpPr>
        <xdr:cNvPr id="415" name="Line 425">
          <a:extLst>
            <a:ext uri="{FF2B5EF4-FFF2-40B4-BE49-F238E27FC236}">
              <a16:creationId xmlns:a16="http://schemas.microsoft.com/office/drawing/2014/main" id="{00000000-0008-0000-0200-00009F010000}"/>
            </a:ext>
          </a:extLst>
        </xdr:cNvPr>
        <xdr:cNvSpPr>
          <a:spLocks noChangeShapeType="1"/>
        </xdr:cNvSpPr>
      </xdr:nvSpPr>
      <xdr:spPr bwMode="auto">
        <a:xfrm flipH="1">
          <a:off x="1714500" y="58893075"/>
          <a:ext cx="123825"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307</xdr:row>
      <xdr:rowOff>209550</xdr:rowOff>
    </xdr:from>
    <xdr:to>
      <xdr:col>2</xdr:col>
      <xdr:colOff>457200</xdr:colOff>
      <xdr:row>309</xdr:row>
      <xdr:rowOff>0</xdr:rowOff>
    </xdr:to>
    <xdr:sp macro="" textlink="">
      <xdr:nvSpPr>
        <xdr:cNvPr id="416" name="Line 426">
          <a:extLst>
            <a:ext uri="{FF2B5EF4-FFF2-40B4-BE49-F238E27FC236}">
              <a16:creationId xmlns:a16="http://schemas.microsoft.com/office/drawing/2014/main" id="{00000000-0008-0000-0200-0000A0010000}"/>
            </a:ext>
          </a:extLst>
        </xdr:cNvPr>
        <xdr:cNvSpPr>
          <a:spLocks noChangeShapeType="1"/>
        </xdr:cNvSpPr>
      </xdr:nvSpPr>
      <xdr:spPr bwMode="auto">
        <a:xfrm>
          <a:off x="1838325" y="5856922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308</xdr:row>
      <xdr:rowOff>209550</xdr:rowOff>
    </xdr:from>
    <xdr:to>
      <xdr:col>5</xdr:col>
      <xdr:colOff>47625</xdr:colOff>
      <xdr:row>308</xdr:row>
      <xdr:rowOff>209550</xdr:rowOff>
    </xdr:to>
    <xdr:sp macro="" textlink="">
      <xdr:nvSpPr>
        <xdr:cNvPr id="417" name="Line 427">
          <a:extLst>
            <a:ext uri="{FF2B5EF4-FFF2-40B4-BE49-F238E27FC236}">
              <a16:creationId xmlns:a16="http://schemas.microsoft.com/office/drawing/2014/main" id="{00000000-0008-0000-0200-0000A1010000}"/>
            </a:ext>
          </a:extLst>
        </xdr:cNvPr>
        <xdr:cNvSpPr>
          <a:spLocks noChangeShapeType="1"/>
        </xdr:cNvSpPr>
      </xdr:nvSpPr>
      <xdr:spPr bwMode="auto">
        <a:xfrm>
          <a:off x="1819275" y="58759725"/>
          <a:ext cx="885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304800</xdr:colOff>
      <xdr:row>302</xdr:row>
      <xdr:rowOff>142875</xdr:rowOff>
    </xdr:from>
    <xdr:to>
      <xdr:col>5</xdr:col>
      <xdr:colOff>609600</xdr:colOff>
      <xdr:row>302</xdr:row>
      <xdr:rowOff>142875</xdr:rowOff>
    </xdr:to>
    <xdr:sp macro="" textlink="">
      <xdr:nvSpPr>
        <xdr:cNvPr id="418" name="Line 428">
          <a:extLst>
            <a:ext uri="{FF2B5EF4-FFF2-40B4-BE49-F238E27FC236}">
              <a16:creationId xmlns:a16="http://schemas.microsoft.com/office/drawing/2014/main" id="{00000000-0008-0000-0200-0000A2010000}"/>
            </a:ext>
          </a:extLst>
        </xdr:cNvPr>
        <xdr:cNvSpPr>
          <a:spLocks noChangeShapeType="1"/>
        </xdr:cNvSpPr>
      </xdr:nvSpPr>
      <xdr:spPr bwMode="auto">
        <a:xfrm>
          <a:off x="2962275" y="57569100"/>
          <a:ext cx="3048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285750</xdr:colOff>
      <xdr:row>304</xdr:row>
      <xdr:rowOff>9525</xdr:rowOff>
    </xdr:from>
    <xdr:to>
      <xdr:col>5</xdr:col>
      <xdr:colOff>619125</xdr:colOff>
      <xdr:row>304</xdr:row>
      <xdr:rowOff>9525</xdr:rowOff>
    </xdr:to>
    <xdr:sp macro="" textlink="">
      <xdr:nvSpPr>
        <xdr:cNvPr id="419" name="Line 429">
          <a:extLst>
            <a:ext uri="{FF2B5EF4-FFF2-40B4-BE49-F238E27FC236}">
              <a16:creationId xmlns:a16="http://schemas.microsoft.com/office/drawing/2014/main" id="{00000000-0008-0000-0200-0000A3010000}"/>
            </a:ext>
          </a:extLst>
        </xdr:cNvPr>
        <xdr:cNvSpPr>
          <a:spLocks noChangeShapeType="1"/>
        </xdr:cNvSpPr>
      </xdr:nvSpPr>
      <xdr:spPr bwMode="auto">
        <a:xfrm>
          <a:off x="2943225" y="57816750"/>
          <a:ext cx="333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302</xdr:row>
      <xdr:rowOff>114300</xdr:rowOff>
    </xdr:from>
    <xdr:to>
      <xdr:col>5</xdr:col>
      <xdr:colOff>590550</xdr:colOff>
      <xdr:row>304</xdr:row>
      <xdr:rowOff>47625</xdr:rowOff>
    </xdr:to>
    <xdr:sp macro="" textlink="">
      <xdr:nvSpPr>
        <xdr:cNvPr id="420" name="Line 430">
          <a:extLst>
            <a:ext uri="{FF2B5EF4-FFF2-40B4-BE49-F238E27FC236}">
              <a16:creationId xmlns:a16="http://schemas.microsoft.com/office/drawing/2014/main" id="{00000000-0008-0000-0200-0000A4010000}"/>
            </a:ext>
          </a:extLst>
        </xdr:cNvPr>
        <xdr:cNvSpPr>
          <a:spLocks noChangeShapeType="1"/>
        </xdr:cNvSpPr>
      </xdr:nvSpPr>
      <xdr:spPr bwMode="auto">
        <a:xfrm>
          <a:off x="3248025" y="57540525"/>
          <a:ext cx="0"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533400</xdr:colOff>
      <xdr:row>302</xdr:row>
      <xdr:rowOff>66675</xdr:rowOff>
    </xdr:from>
    <xdr:to>
      <xdr:col>5</xdr:col>
      <xdr:colOff>647700</xdr:colOff>
      <xdr:row>303</xdr:row>
      <xdr:rowOff>0</xdr:rowOff>
    </xdr:to>
    <xdr:sp macro="" textlink="">
      <xdr:nvSpPr>
        <xdr:cNvPr id="421" name="Line 431">
          <a:extLst>
            <a:ext uri="{FF2B5EF4-FFF2-40B4-BE49-F238E27FC236}">
              <a16:creationId xmlns:a16="http://schemas.microsoft.com/office/drawing/2014/main" id="{00000000-0008-0000-0200-0000A5010000}"/>
            </a:ext>
          </a:extLst>
        </xdr:cNvPr>
        <xdr:cNvSpPr>
          <a:spLocks noChangeShapeType="1"/>
        </xdr:cNvSpPr>
      </xdr:nvSpPr>
      <xdr:spPr bwMode="auto">
        <a:xfrm flipH="1">
          <a:off x="3190875" y="57492900"/>
          <a:ext cx="11430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523875</xdr:colOff>
      <xdr:row>303</xdr:row>
      <xdr:rowOff>152400</xdr:rowOff>
    </xdr:from>
    <xdr:to>
      <xdr:col>5</xdr:col>
      <xdr:colOff>647700</xdr:colOff>
      <xdr:row>304</xdr:row>
      <xdr:rowOff>76200</xdr:rowOff>
    </xdr:to>
    <xdr:sp macro="" textlink="">
      <xdr:nvSpPr>
        <xdr:cNvPr id="422" name="Line 432">
          <a:extLst>
            <a:ext uri="{FF2B5EF4-FFF2-40B4-BE49-F238E27FC236}">
              <a16:creationId xmlns:a16="http://schemas.microsoft.com/office/drawing/2014/main" id="{00000000-0008-0000-0200-0000A6010000}"/>
            </a:ext>
          </a:extLst>
        </xdr:cNvPr>
        <xdr:cNvSpPr>
          <a:spLocks noChangeShapeType="1"/>
        </xdr:cNvSpPr>
      </xdr:nvSpPr>
      <xdr:spPr bwMode="auto">
        <a:xfrm flipH="1">
          <a:off x="3181350" y="57769125"/>
          <a:ext cx="123825"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306</xdr:row>
      <xdr:rowOff>47953</xdr:rowOff>
    </xdr:from>
    <xdr:to>
      <xdr:col>3</xdr:col>
      <xdr:colOff>209550</xdr:colOff>
      <xdr:row>306</xdr:row>
      <xdr:rowOff>76528</xdr:rowOff>
    </xdr:to>
    <xdr:sp macro="" textlink="" fLocksText="0">
      <xdr:nvSpPr>
        <xdr:cNvPr id="423" name="Oval 433">
          <a:extLst>
            <a:ext uri="{FF2B5EF4-FFF2-40B4-BE49-F238E27FC236}">
              <a16:creationId xmlns:a16="http://schemas.microsoft.com/office/drawing/2014/main" id="{00000000-0008-0000-0200-0000A7010000}"/>
            </a:ext>
          </a:extLst>
        </xdr:cNvPr>
        <xdr:cNvSpPr>
          <a:spLocks noChangeArrowheads="1"/>
        </xdr:cNvSpPr>
      </xdr:nvSpPr>
      <xdr:spPr bwMode="auto">
        <a:xfrm>
          <a:off x="2143125" y="5823617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419100</xdr:colOff>
      <xdr:row>308</xdr:row>
      <xdr:rowOff>161925</xdr:rowOff>
    </xdr:from>
    <xdr:to>
      <xdr:col>2</xdr:col>
      <xdr:colOff>495300</xdr:colOff>
      <xdr:row>309</xdr:row>
      <xdr:rowOff>28575</xdr:rowOff>
    </xdr:to>
    <xdr:sp macro="" textlink="">
      <xdr:nvSpPr>
        <xdr:cNvPr id="424" name="Line 434">
          <a:extLst>
            <a:ext uri="{FF2B5EF4-FFF2-40B4-BE49-F238E27FC236}">
              <a16:creationId xmlns:a16="http://schemas.microsoft.com/office/drawing/2014/main" id="{00000000-0008-0000-0200-0000A8010000}"/>
            </a:ext>
          </a:extLst>
        </xdr:cNvPr>
        <xdr:cNvSpPr>
          <a:spLocks noChangeShapeType="1"/>
        </xdr:cNvSpPr>
      </xdr:nvSpPr>
      <xdr:spPr bwMode="auto">
        <a:xfrm flipH="1">
          <a:off x="1800225" y="58731150"/>
          <a:ext cx="76200" cy="57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309</xdr:row>
      <xdr:rowOff>152400</xdr:rowOff>
    </xdr:from>
    <xdr:to>
      <xdr:col>3</xdr:col>
      <xdr:colOff>285750</xdr:colOff>
      <xdr:row>310</xdr:row>
      <xdr:rowOff>47625</xdr:rowOff>
    </xdr:to>
    <xdr:sp macro="" textlink="">
      <xdr:nvSpPr>
        <xdr:cNvPr id="425" name="Line 435">
          <a:extLst>
            <a:ext uri="{FF2B5EF4-FFF2-40B4-BE49-F238E27FC236}">
              <a16:creationId xmlns:a16="http://schemas.microsoft.com/office/drawing/2014/main" id="{00000000-0008-0000-0200-0000A9010000}"/>
            </a:ext>
          </a:extLst>
        </xdr:cNvPr>
        <xdr:cNvSpPr>
          <a:spLocks noChangeShapeType="1"/>
        </xdr:cNvSpPr>
      </xdr:nvSpPr>
      <xdr:spPr bwMode="auto">
        <a:xfrm flipH="1">
          <a:off x="2162175" y="5891212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209550</xdr:colOff>
      <xdr:row>308</xdr:row>
      <xdr:rowOff>152400</xdr:rowOff>
    </xdr:from>
    <xdr:to>
      <xdr:col>3</xdr:col>
      <xdr:colOff>285750</xdr:colOff>
      <xdr:row>309</xdr:row>
      <xdr:rowOff>28575</xdr:rowOff>
    </xdr:to>
    <xdr:sp macro="" textlink="">
      <xdr:nvSpPr>
        <xdr:cNvPr id="426" name="Line 436">
          <a:extLst>
            <a:ext uri="{FF2B5EF4-FFF2-40B4-BE49-F238E27FC236}">
              <a16:creationId xmlns:a16="http://schemas.microsoft.com/office/drawing/2014/main" id="{00000000-0008-0000-0200-0000AA010000}"/>
            </a:ext>
          </a:extLst>
        </xdr:cNvPr>
        <xdr:cNvSpPr>
          <a:spLocks noChangeShapeType="1"/>
        </xdr:cNvSpPr>
      </xdr:nvSpPr>
      <xdr:spPr bwMode="auto">
        <a:xfrm flipH="1">
          <a:off x="2171700" y="5872162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308</xdr:row>
      <xdr:rowOff>142875</xdr:rowOff>
    </xdr:from>
    <xdr:to>
      <xdr:col>5</xdr:col>
      <xdr:colOff>66675</xdr:colOff>
      <xdr:row>309</xdr:row>
      <xdr:rowOff>47625</xdr:rowOff>
    </xdr:to>
    <xdr:sp macro="" textlink="">
      <xdr:nvSpPr>
        <xdr:cNvPr id="427" name="Line 437">
          <a:extLst>
            <a:ext uri="{FF2B5EF4-FFF2-40B4-BE49-F238E27FC236}">
              <a16:creationId xmlns:a16="http://schemas.microsoft.com/office/drawing/2014/main" id="{00000000-0008-0000-0200-0000AB010000}"/>
            </a:ext>
          </a:extLst>
        </xdr:cNvPr>
        <xdr:cNvSpPr>
          <a:spLocks noChangeShapeType="1"/>
        </xdr:cNvSpPr>
      </xdr:nvSpPr>
      <xdr:spPr bwMode="auto">
        <a:xfrm flipH="1">
          <a:off x="2628900" y="5871210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306</xdr:row>
      <xdr:rowOff>209550</xdr:rowOff>
    </xdr:from>
    <xdr:to>
      <xdr:col>4</xdr:col>
      <xdr:colOff>28575</xdr:colOff>
      <xdr:row>308</xdr:row>
      <xdr:rowOff>19050</xdr:rowOff>
    </xdr:to>
    <xdr:sp macro="" textlink="">
      <xdr:nvSpPr>
        <xdr:cNvPr id="428" name="Line 438">
          <a:extLst>
            <a:ext uri="{FF2B5EF4-FFF2-40B4-BE49-F238E27FC236}">
              <a16:creationId xmlns:a16="http://schemas.microsoft.com/office/drawing/2014/main" id="{00000000-0008-0000-0200-0000AC010000}"/>
            </a:ext>
          </a:extLst>
        </xdr:cNvPr>
        <xdr:cNvSpPr>
          <a:spLocks noChangeShapeType="1"/>
        </xdr:cNvSpPr>
      </xdr:nvSpPr>
      <xdr:spPr bwMode="auto">
        <a:xfrm>
          <a:off x="2362200" y="58378725"/>
          <a:ext cx="0" cy="2095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0</xdr:colOff>
      <xdr:row>308</xdr:row>
      <xdr:rowOff>0</xdr:rowOff>
    </xdr:from>
    <xdr:to>
      <xdr:col>5</xdr:col>
      <xdr:colOff>352425</xdr:colOff>
      <xdr:row>308</xdr:row>
      <xdr:rowOff>0</xdr:rowOff>
    </xdr:to>
    <xdr:sp macro="" textlink="">
      <xdr:nvSpPr>
        <xdr:cNvPr id="429" name="Line 439">
          <a:extLst>
            <a:ext uri="{FF2B5EF4-FFF2-40B4-BE49-F238E27FC236}">
              <a16:creationId xmlns:a16="http://schemas.microsoft.com/office/drawing/2014/main" id="{00000000-0008-0000-0200-0000AD010000}"/>
            </a:ext>
          </a:extLst>
        </xdr:cNvPr>
        <xdr:cNvSpPr>
          <a:spLocks noChangeShapeType="1"/>
        </xdr:cNvSpPr>
      </xdr:nvSpPr>
      <xdr:spPr bwMode="auto">
        <a:xfrm>
          <a:off x="2333625" y="58569225"/>
          <a:ext cx="676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314325</xdr:colOff>
      <xdr:row>307</xdr:row>
      <xdr:rowOff>171450</xdr:rowOff>
    </xdr:from>
    <xdr:to>
      <xdr:col>5</xdr:col>
      <xdr:colOff>66675</xdr:colOff>
      <xdr:row>308</xdr:row>
      <xdr:rowOff>47625</xdr:rowOff>
    </xdr:to>
    <xdr:sp macro="" textlink="">
      <xdr:nvSpPr>
        <xdr:cNvPr id="430" name="Line 440">
          <a:extLst>
            <a:ext uri="{FF2B5EF4-FFF2-40B4-BE49-F238E27FC236}">
              <a16:creationId xmlns:a16="http://schemas.microsoft.com/office/drawing/2014/main" id="{00000000-0008-0000-0200-0000AE010000}"/>
            </a:ext>
          </a:extLst>
        </xdr:cNvPr>
        <xdr:cNvSpPr>
          <a:spLocks noChangeShapeType="1"/>
        </xdr:cNvSpPr>
      </xdr:nvSpPr>
      <xdr:spPr bwMode="auto">
        <a:xfrm flipH="1">
          <a:off x="2647950" y="58550175"/>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307</xdr:row>
      <xdr:rowOff>161925</xdr:rowOff>
    </xdr:from>
    <xdr:to>
      <xdr:col>4</xdr:col>
      <xdr:colOff>66675</xdr:colOff>
      <xdr:row>308</xdr:row>
      <xdr:rowOff>38100</xdr:rowOff>
    </xdr:to>
    <xdr:sp macro="" textlink="">
      <xdr:nvSpPr>
        <xdr:cNvPr id="431" name="Line 441">
          <a:extLst>
            <a:ext uri="{FF2B5EF4-FFF2-40B4-BE49-F238E27FC236}">
              <a16:creationId xmlns:a16="http://schemas.microsoft.com/office/drawing/2014/main" id="{00000000-0008-0000-0200-0000AF010000}"/>
            </a:ext>
          </a:extLst>
        </xdr:cNvPr>
        <xdr:cNvSpPr>
          <a:spLocks noChangeShapeType="1"/>
        </xdr:cNvSpPr>
      </xdr:nvSpPr>
      <xdr:spPr bwMode="auto">
        <a:xfrm flipH="1">
          <a:off x="2266950" y="58540650"/>
          <a:ext cx="1333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311</xdr:row>
      <xdr:rowOff>0</xdr:rowOff>
    </xdr:from>
    <xdr:to>
      <xdr:col>3</xdr:col>
      <xdr:colOff>247650</xdr:colOff>
      <xdr:row>316</xdr:row>
      <xdr:rowOff>114300</xdr:rowOff>
    </xdr:to>
    <xdr:sp macro="" textlink="">
      <xdr:nvSpPr>
        <xdr:cNvPr id="432" name="Tegning 381">
          <a:extLst>
            <a:ext uri="{FF2B5EF4-FFF2-40B4-BE49-F238E27FC236}">
              <a16:creationId xmlns:a16="http://schemas.microsoft.com/office/drawing/2014/main" id="{00000000-0008-0000-0200-0000B0010000}"/>
            </a:ext>
          </a:extLst>
        </xdr:cNvPr>
        <xdr:cNvSpPr>
          <a:spLocks/>
        </xdr:cNvSpPr>
      </xdr:nvSpPr>
      <xdr:spPr bwMode="auto">
        <a:xfrm>
          <a:off x="1504950" y="59140725"/>
          <a:ext cx="704850" cy="1066800"/>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2147483646 w 16384"/>
            <a:gd name="T15" fmla="*/ 0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6384"/>
            <a:gd name="T37" fmla="*/ 0 h 16384"/>
            <a:gd name="T38" fmla="*/ 16384 w 16384"/>
            <a:gd name="T39" fmla="*/ 16384 h 1638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6384" h="16384">
              <a:moveTo>
                <a:pt x="0" y="16384"/>
              </a:moveTo>
              <a:lnTo>
                <a:pt x="15895" y="10124"/>
              </a:lnTo>
              <a:lnTo>
                <a:pt x="16384" y="9738"/>
              </a:lnTo>
              <a:lnTo>
                <a:pt x="16262" y="9351"/>
              </a:lnTo>
              <a:lnTo>
                <a:pt x="16262" y="464"/>
              </a:lnTo>
              <a:lnTo>
                <a:pt x="16017" y="155"/>
              </a:lnTo>
              <a:lnTo>
                <a:pt x="15284" y="0"/>
              </a:lnTo>
              <a:lnTo>
                <a:pt x="8926" y="0"/>
              </a:lnTo>
              <a:lnTo>
                <a:pt x="8437" y="309"/>
              </a:lnTo>
              <a:lnTo>
                <a:pt x="8314" y="696"/>
              </a:lnTo>
              <a:lnTo>
                <a:pt x="8314" y="12520"/>
              </a:lnTo>
              <a:lnTo>
                <a:pt x="8070" y="13138"/>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476250</xdr:colOff>
      <xdr:row>311</xdr:row>
      <xdr:rowOff>0</xdr:rowOff>
    </xdr:from>
    <xdr:to>
      <xdr:col>5</xdr:col>
      <xdr:colOff>114300</xdr:colOff>
      <xdr:row>312</xdr:row>
      <xdr:rowOff>19050</xdr:rowOff>
    </xdr:to>
    <xdr:sp macro="" textlink="">
      <xdr:nvSpPr>
        <xdr:cNvPr id="433" name="Tegning 382">
          <a:extLst>
            <a:ext uri="{FF2B5EF4-FFF2-40B4-BE49-F238E27FC236}">
              <a16:creationId xmlns:a16="http://schemas.microsoft.com/office/drawing/2014/main" id="{00000000-0008-0000-0200-0000B1010000}"/>
            </a:ext>
          </a:extLst>
        </xdr:cNvPr>
        <xdr:cNvSpPr>
          <a:spLocks/>
        </xdr:cNvSpPr>
      </xdr:nvSpPr>
      <xdr:spPr bwMode="auto">
        <a:xfrm>
          <a:off x="1857375" y="59140725"/>
          <a:ext cx="914400" cy="20955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0 h 16384"/>
            <a:gd name="T18" fmla="*/ 2147483646 w 16384"/>
            <a:gd name="T19" fmla="*/ 0 h 16384"/>
            <a:gd name="T20" fmla="*/ 2147483646 w 16384"/>
            <a:gd name="T21" fmla="*/ 0 h 16384"/>
            <a:gd name="T22" fmla="*/ 0 w 16384"/>
            <a:gd name="T23" fmla="*/ 2147483646 h 16384"/>
            <a:gd name="T24" fmla="*/ 0 w 16384"/>
            <a:gd name="T25" fmla="*/ 2147483646 h 16384"/>
            <a:gd name="T26" fmla="*/ 2147483646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6384"/>
            <a:gd name="T43" fmla="*/ 0 h 16384"/>
            <a:gd name="T44" fmla="*/ 16384 w 16384"/>
            <a:gd name="T45" fmla="*/ 16384 h 1638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6384" h="16384">
              <a:moveTo>
                <a:pt x="102" y="12788"/>
              </a:moveTo>
              <a:lnTo>
                <a:pt x="407" y="14786"/>
              </a:lnTo>
              <a:lnTo>
                <a:pt x="916" y="16384"/>
              </a:lnTo>
              <a:lnTo>
                <a:pt x="15773" y="16384"/>
              </a:lnTo>
              <a:lnTo>
                <a:pt x="16282" y="15185"/>
              </a:lnTo>
              <a:lnTo>
                <a:pt x="16384" y="13187"/>
              </a:lnTo>
              <a:lnTo>
                <a:pt x="16384" y="2398"/>
              </a:lnTo>
              <a:lnTo>
                <a:pt x="15977" y="799"/>
              </a:lnTo>
              <a:lnTo>
                <a:pt x="15163" y="0"/>
              </a:lnTo>
              <a:lnTo>
                <a:pt x="1934" y="0"/>
              </a:lnTo>
              <a:lnTo>
                <a:pt x="509" y="0"/>
              </a:lnTo>
              <a:lnTo>
                <a:pt x="0" y="1998"/>
              </a:lnTo>
              <a:lnTo>
                <a:pt x="0" y="13187"/>
              </a:lnTo>
              <a:lnTo>
                <a:pt x="305" y="14386"/>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152400</xdr:colOff>
      <xdr:row>310</xdr:row>
      <xdr:rowOff>190500</xdr:rowOff>
    </xdr:from>
    <xdr:to>
      <xdr:col>5</xdr:col>
      <xdr:colOff>314325</xdr:colOff>
      <xdr:row>310</xdr:row>
      <xdr:rowOff>190500</xdr:rowOff>
    </xdr:to>
    <xdr:sp macro="" textlink="">
      <xdr:nvSpPr>
        <xdr:cNvPr id="434" name="Line 444">
          <a:extLst>
            <a:ext uri="{FF2B5EF4-FFF2-40B4-BE49-F238E27FC236}">
              <a16:creationId xmlns:a16="http://schemas.microsoft.com/office/drawing/2014/main" id="{00000000-0008-0000-0200-0000B2010000}"/>
            </a:ext>
          </a:extLst>
        </xdr:cNvPr>
        <xdr:cNvSpPr>
          <a:spLocks noChangeShapeType="1"/>
        </xdr:cNvSpPr>
      </xdr:nvSpPr>
      <xdr:spPr bwMode="auto">
        <a:xfrm>
          <a:off x="2809875" y="59140725"/>
          <a:ext cx="1619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312</xdr:row>
      <xdr:rowOff>47625</xdr:rowOff>
    </xdr:from>
    <xdr:to>
      <xdr:col>5</xdr:col>
      <xdr:colOff>314325</xdr:colOff>
      <xdr:row>312</xdr:row>
      <xdr:rowOff>47625</xdr:rowOff>
    </xdr:to>
    <xdr:sp macro="" textlink="">
      <xdr:nvSpPr>
        <xdr:cNvPr id="435" name="Line 445">
          <a:extLst>
            <a:ext uri="{FF2B5EF4-FFF2-40B4-BE49-F238E27FC236}">
              <a16:creationId xmlns:a16="http://schemas.microsoft.com/office/drawing/2014/main" id="{00000000-0008-0000-0200-0000B3010000}"/>
            </a:ext>
          </a:extLst>
        </xdr:cNvPr>
        <xdr:cNvSpPr>
          <a:spLocks noChangeShapeType="1"/>
        </xdr:cNvSpPr>
      </xdr:nvSpPr>
      <xdr:spPr bwMode="auto">
        <a:xfrm>
          <a:off x="2800350" y="59378850"/>
          <a:ext cx="171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313</xdr:row>
      <xdr:rowOff>104775</xdr:rowOff>
    </xdr:from>
    <xdr:to>
      <xdr:col>4</xdr:col>
      <xdr:colOff>276225</xdr:colOff>
      <xdr:row>313</xdr:row>
      <xdr:rowOff>104775</xdr:rowOff>
    </xdr:to>
    <xdr:sp macro="" textlink="">
      <xdr:nvSpPr>
        <xdr:cNvPr id="436" name="Line 446">
          <a:extLst>
            <a:ext uri="{FF2B5EF4-FFF2-40B4-BE49-F238E27FC236}">
              <a16:creationId xmlns:a16="http://schemas.microsoft.com/office/drawing/2014/main" id="{00000000-0008-0000-0200-0000B4010000}"/>
            </a:ext>
          </a:extLst>
        </xdr:cNvPr>
        <xdr:cNvSpPr>
          <a:spLocks noChangeShapeType="1"/>
        </xdr:cNvSpPr>
      </xdr:nvSpPr>
      <xdr:spPr bwMode="auto">
        <a:xfrm flipH="1">
          <a:off x="1800225" y="59626500"/>
          <a:ext cx="809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313</xdr:row>
      <xdr:rowOff>47625</xdr:rowOff>
    </xdr:from>
    <xdr:to>
      <xdr:col>2</xdr:col>
      <xdr:colOff>533400</xdr:colOff>
      <xdr:row>313</xdr:row>
      <xdr:rowOff>152400</xdr:rowOff>
    </xdr:to>
    <xdr:sp macro="" textlink="">
      <xdr:nvSpPr>
        <xdr:cNvPr id="437" name="Line 447">
          <a:extLst>
            <a:ext uri="{FF2B5EF4-FFF2-40B4-BE49-F238E27FC236}">
              <a16:creationId xmlns:a16="http://schemas.microsoft.com/office/drawing/2014/main" id="{00000000-0008-0000-0200-0000B5010000}"/>
            </a:ext>
          </a:extLst>
        </xdr:cNvPr>
        <xdr:cNvSpPr>
          <a:spLocks noChangeShapeType="1"/>
        </xdr:cNvSpPr>
      </xdr:nvSpPr>
      <xdr:spPr bwMode="auto">
        <a:xfrm flipV="1">
          <a:off x="1800225" y="59569350"/>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313</xdr:row>
      <xdr:rowOff>47625</xdr:rowOff>
    </xdr:from>
    <xdr:to>
      <xdr:col>3</xdr:col>
      <xdr:colOff>304800</xdr:colOff>
      <xdr:row>313</xdr:row>
      <xdr:rowOff>161925</xdr:rowOff>
    </xdr:to>
    <xdr:sp macro="" textlink="">
      <xdr:nvSpPr>
        <xdr:cNvPr id="438" name="Line 448">
          <a:extLst>
            <a:ext uri="{FF2B5EF4-FFF2-40B4-BE49-F238E27FC236}">
              <a16:creationId xmlns:a16="http://schemas.microsoft.com/office/drawing/2014/main" id="{00000000-0008-0000-0200-0000B6010000}"/>
            </a:ext>
          </a:extLst>
        </xdr:cNvPr>
        <xdr:cNvSpPr>
          <a:spLocks noChangeShapeType="1"/>
        </xdr:cNvSpPr>
      </xdr:nvSpPr>
      <xdr:spPr bwMode="auto">
        <a:xfrm flipH="1">
          <a:off x="2133600" y="59569350"/>
          <a:ext cx="1333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257175</xdr:colOff>
      <xdr:row>310</xdr:row>
      <xdr:rowOff>161925</xdr:rowOff>
    </xdr:from>
    <xdr:to>
      <xdr:col>5</xdr:col>
      <xdr:colOff>257175</xdr:colOff>
      <xdr:row>312</xdr:row>
      <xdr:rowOff>76200</xdr:rowOff>
    </xdr:to>
    <xdr:sp macro="" textlink="">
      <xdr:nvSpPr>
        <xdr:cNvPr id="439" name="Line 449">
          <a:extLst>
            <a:ext uri="{FF2B5EF4-FFF2-40B4-BE49-F238E27FC236}">
              <a16:creationId xmlns:a16="http://schemas.microsoft.com/office/drawing/2014/main" id="{00000000-0008-0000-0200-0000B7010000}"/>
            </a:ext>
          </a:extLst>
        </xdr:cNvPr>
        <xdr:cNvSpPr>
          <a:spLocks noChangeShapeType="1"/>
        </xdr:cNvSpPr>
      </xdr:nvSpPr>
      <xdr:spPr bwMode="auto">
        <a:xfrm>
          <a:off x="2914650" y="5911215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310</xdr:row>
      <xdr:rowOff>142875</xdr:rowOff>
    </xdr:from>
    <xdr:to>
      <xdr:col>5</xdr:col>
      <xdr:colOff>295275</xdr:colOff>
      <xdr:row>311</xdr:row>
      <xdr:rowOff>19050</xdr:rowOff>
    </xdr:to>
    <xdr:sp macro="" textlink="">
      <xdr:nvSpPr>
        <xdr:cNvPr id="440" name="Line 450">
          <a:extLst>
            <a:ext uri="{FF2B5EF4-FFF2-40B4-BE49-F238E27FC236}">
              <a16:creationId xmlns:a16="http://schemas.microsoft.com/office/drawing/2014/main" id="{00000000-0008-0000-0200-0000B8010000}"/>
            </a:ext>
          </a:extLst>
        </xdr:cNvPr>
        <xdr:cNvSpPr>
          <a:spLocks noChangeShapeType="1"/>
        </xdr:cNvSpPr>
      </xdr:nvSpPr>
      <xdr:spPr bwMode="auto">
        <a:xfrm flipV="1">
          <a:off x="2876550" y="5909310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311</xdr:row>
      <xdr:rowOff>219075</xdr:rowOff>
    </xdr:from>
    <xdr:to>
      <xdr:col>5</xdr:col>
      <xdr:colOff>295275</xdr:colOff>
      <xdr:row>312</xdr:row>
      <xdr:rowOff>95250</xdr:rowOff>
    </xdr:to>
    <xdr:sp macro="" textlink="">
      <xdr:nvSpPr>
        <xdr:cNvPr id="441" name="Line 451">
          <a:extLst>
            <a:ext uri="{FF2B5EF4-FFF2-40B4-BE49-F238E27FC236}">
              <a16:creationId xmlns:a16="http://schemas.microsoft.com/office/drawing/2014/main" id="{00000000-0008-0000-0200-0000B9010000}"/>
            </a:ext>
          </a:extLst>
        </xdr:cNvPr>
        <xdr:cNvSpPr>
          <a:spLocks noChangeShapeType="1"/>
        </xdr:cNvSpPr>
      </xdr:nvSpPr>
      <xdr:spPr bwMode="auto">
        <a:xfrm flipV="1">
          <a:off x="2867025" y="59331225"/>
          <a:ext cx="8572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303</xdr:row>
      <xdr:rowOff>133678</xdr:rowOff>
    </xdr:from>
    <xdr:to>
      <xdr:col>5</xdr:col>
      <xdr:colOff>76200</xdr:colOff>
      <xdr:row>303</xdr:row>
      <xdr:rowOff>162253</xdr:rowOff>
    </xdr:to>
    <xdr:sp macro="" textlink="" fLocksText="0">
      <xdr:nvSpPr>
        <xdr:cNvPr id="442" name="Oval 457">
          <a:extLst>
            <a:ext uri="{FF2B5EF4-FFF2-40B4-BE49-F238E27FC236}">
              <a16:creationId xmlns:a16="http://schemas.microsoft.com/office/drawing/2014/main" id="{00000000-0008-0000-0200-0000BA010000}"/>
            </a:ext>
          </a:extLst>
        </xdr:cNvPr>
        <xdr:cNvSpPr>
          <a:spLocks noChangeArrowheads="1"/>
        </xdr:cNvSpPr>
      </xdr:nvSpPr>
      <xdr:spPr bwMode="auto">
        <a:xfrm>
          <a:off x="2705100" y="57750403"/>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180975</xdr:colOff>
      <xdr:row>303</xdr:row>
      <xdr:rowOff>9853</xdr:rowOff>
    </xdr:from>
    <xdr:to>
      <xdr:col>3</xdr:col>
      <xdr:colOff>209550</xdr:colOff>
      <xdr:row>303</xdr:row>
      <xdr:rowOff>38428</xdr:rowOff>
    </xdr:to>
    <xdr:sp macro="" textlink="" fLocksText="0">
      <xdr:nvSpPr>
        <xdr:cNvPr id="443" name="Oval 458">
          <a:extLst>
            <a:ext uri="{FF2B5EF4-FFF2-40B4-BE49-F238E27FC236}">
              <a16:creationId xmlns:a16="http://schemas.microsoft.com/office/drawing/2014/main" id="{00000000-0008-0000-0200-0000BB010000}"/>
            </a:ext>
          </a:extLst>
        </xdr:cNvPr>
        <xdr:cNvSpPr>
          <a:spLocks noChangeArrowheads="1"/>
        </xdr:cNvSpPr>
      </xdr:nvSpPr>
      <xdr:spPr bwMode="auto">
        <a:xfrm>
          <a:off x="2143125" y="57626578"/>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504825</xdr:colOff>
      <xdr:row>303</xdr:row>
      <xdr:rowOff>133678</xdr:rowOff>
    </xdr:from>
    <xdr:to>
      <xdr:col>2</xdr:col>
      <xdr:colOff>533400</xdr:colOff>
      <xdr:row>303</xdr:row>
      <xdr:rowOff>162253</xdr:rowOff>
    </xdr:to>
    <xdr:sp macro="" textlink="" fLocksText="0">
      <xdr:nvSpPr>
        <xdr:cNvPr id="444" name="Oval 459">
          <a:extLst>
            <a:ext uri="{FF2B5EF4-FFF2-40B4-BE49-F238E27FC236}">
              <a16:creationId xmlns:a16="http://schemas.microsoft.com/office/drawing/2014/main" id="{00000000-0008-0000-0200-0000BC010000}"/>
            </a:ext>
          </a:extLst>
        </xdr:cNvPr>
        <xdr:cNvSpPr>
          <a:spLocks noChangeArrowheads="1"/>
        </xdr:cNvSpPr>
      </xdr:nvSpPr>
      <xdr:spPr bwMode="auto">
        <a:xfrm>
          <a:off x="1885950" y="57750403"/>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114300</xdr:colOff>
      <xdr:row>322</xdr:row>
      <xdr:rowOff>152400</xdr:rowOff>
    </xdr:from>
    <xdr:to>
      <xdr:col>5</xdr:col>
      <xdr:colOff>152400</xdr:colOff>
      <xdr:row>326</xdr:row>
      <xdr:rowOff>38100</xdr:rowOff>
    </xdr:to>
    <xdr:sp macro="" textlink="">
      <xdr:nvSpPr>
        <xdr:cNvPr id="445" name="Tegning 284">
          <a:extLst>
            <a:ext uri="{FF2B5EF4-FFF2-40B4-BE49-F238E27FC236}">
              <a16:creationId xmlns:a16="http://schemas.microsoft.com/office/drawing/2014/main" id="{00000000-0008-0000-0200-0000BD010000}"/>
            </a:ext>
          </a:extLst>
        </xdr:cNvPr>
        <xdr:cNvSpPr>
          <a:spLocks/>
        </xdr:cNvSpPr>
      </xdr:nvSpPr>
      <xdr:spPr bwMode="auto">
        <a:xfrm>
          <a:off x="1495425" y="61388625"/>
          <a:ext cx="1314450" cy="64770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0 w 16384"/>
            <a:gd name="T21" fmla="*/ 2147483646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88" y="3040"/>
              </a:moveTo>
              <a:lnTo>
                <a:pt x="9337" y="16384"/>
              </a:lnTo>
              <a:lnTo>
                <a:pt x="9954" y="15708"/>
              </a:lnTo>
              <a:lnTo>
                <a:pt x="9954" y="676"/>
              </a:lnTo>
              <a:lnTo>
                <a:pt x="10218" y="0"/>
              </a:lnTo>
              <a:lnTo>
                <a:pt x="16032" y="0"/>
              </a:lnTo>
              <a:lnTo>
                <a:pt x="16384" y="507"/>
              </a:lnTo>
              <a:lnTo>
                <a:pt x="16384" y="6081"/>
              </a:lnTo>
              <a:lnTo>
                <a:pt x="16032" y="6925"/>
              </a:lnTo>
              <a:lnTo>
                <a:pt x="2907" y="6925"/>
              </a:lnTo>
              <a:lnTo>
                <a:pt x="0" y="2703"/>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219075</xdr:colOff>
      <xdr:row>324</xdr:row>
      <xdr:rowOff>95250</xdr:rowOff>
    </xdr:from>
    <xdr:to>
      <xdr:col>5</xdr:col>
      <xdr:colOff>142875</xdr:colOff>
      <xdr:row>326</xdr:row>
      <xdr:rowOff>209550</xdr:rowOff>
    </xdr:to>
    <xdr:sp macro="" textlink="">
      <xdr:nvSpPr>
        <xdr:cNvPr id="446" name="Tegning 288">
          <a:extLst>
            <a:ext uri="{FF2B5EF4-FFF2-40B4-BE49-F238E27FC236}">
              <a16:creationId xmlns:a16="http://schemas.microsoft.com/office/drawing/2014/main" id="{00000000-0008-0000-0200-0000BE010000}"/>
            </a:ext>
          </a:extLst>
        </xdr:cNvPr>
        <xdr:cNvSpPr>
          <a:spLocks/>
        </xdr:cNvSpPr>
      </xdr:nvSpPr>
      <xdr:spPr bwMode="auto">
        <a:xfrm>
          <a:off x="2552700" y="61712475"/>
          <a:ext cx="247650" cy="47625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16384"/>
              </a:moveTo>
              <a:lnTo>
                <a:pt x="8192" y="0"/>
              </a:lnTo>
              <a:lnTo>
                <a:pt x="0" y="4096"/>
              </a:lnTo>
              <a:lnTo>
                <a:pt x="8192" y="0"/>
              </a:lnTo>
              <a:lnTo>
                <a:pt x="16384" y="409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66675</xdr:colOff>
      <xdr:row>320</xdr:row>
      <xdr:rowOff>209550</xdr:rowOff>
    </xdr:from>
    <xdr:to>
      <xdr:col>4</xdr:col>
      <xdr:colOff>66675</xdr:colOff>
      <xdr:row>327</xdr:row>
      <xdr:rowOff>0</xdr:rowOff>
    </xdr:to>
    <xdr:sp macro="" textlink="">
      <xdr:nvSpPr>
        <xdr:cNvPr id="447" name="Line 462">
          <a:extLst>
            <a:ext uri="{FF2B5EF4-FFF2-40B4-BE49-F238E27FC236}">
              <a16:creationId xmlns:a16="http://schemas.microsoft.com/office/drawing/2014/main" id="{00000000-0008-0000-0200-0000BF010000}"/>
            </a:ext>
          </a:extLst>
        </xdr:cNvPr>
        <xdr:cNvSpPr>
          <a:spLocks noChangeShapeType="1"/>
        </xdr:cNvSpPr>
      </xdr:nvSpPr>
      <xdr:spPr bwMode="auto">
        <a:xfrm>
          <a:off x="2400300" y="61045725"/>
          <a:ext cx="0" cy="1143000"/>
        </a:xfrm>
        <a:prstGeom prst="line">
          <a:avLst/>
        </a:prstGeom>
        <a:noFill/>
        <a:ln w="9525">
          <a:solidFill>
            <a:srgbClr val="000000"/>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319</xdr:row>
      <xdr:rowOff>47625</xdr:rowOff>
    </xdr:from>
    <xdr:to>
      <xdr:col>5</xdr:col>
      <xdr:colOff>209550</xdr:colOff>
      <xdr:row>326</xdr:row>
      <xdr:rowOff>161925</xdr:rowOff>
    </xdr:to>
    <xdr:sp macro="" textlink="">
      <xdr:nvSpPr>
        <xdr:cNvPr id="448" name="Tegning 290">
          <a:extLst>
            <a:ext uri="{FF2B5EF4-FFF2-40B4-BE49-F238E27FC236}">
              <a16:creationId xmlns:a16="http://schemas.microsoft.com/office/drawing/2014/main" id="{00000000-0008-0000-0200-0000C0010000}"/>
            </a:ext>
          </a:extLst>
        </xdr:cNvPr>
        <xdr:cNvSpPr>
          <a:spLocks/>
        </xdr:cNvSpPr>
      </xdr:nvSpPr>
      <xdr:spPr bwMode="auto">
        <a:xfrm>
          <a:off x="1504950" y="60712350"/>
          <a:ext cx="1362075" cy="1447800"/>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0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98" y="0"/>
              </a:moveTo>
              <a:lnTo>
                <a:pt x="5298" y="0"/>
              </a:lnTo>
              <a:lnTo>
                <a:pt x="4415" y="7058"/>
              </a:lnTo>
              <a:lnTo>
                <a:pt x="16384" y="7058"/>
              </a:lnTo>
              <a:lnTo>
                <a:pt x="16384" y="11427"/>
              </a:lnTo>
              <a:lnTo>
                <a:pt x="10301" y="11427"/>
              </a:lnTo>
              <a:lnTo>
                <a:pt x="10301" y="15964"/>
              </a:lnTo>
              <a:lnTo>
                <a:pt x="9615" y="16384"/>
              </a:lnTo>
              <a:lnTo>
                <a:pt x="0" y="9830"/>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257175</xdr:colOff>
      <xdr:row>328</xdr:row>
      <xdr:rowOff>171450</xdr:rowOff>
    </xdr:from>
    <xdr:to>
      <xdr:col>5</xdr:col>
      <xdr:colOff>38100</xdr:colOff>
      <xdr:row>328</xdr:row>
      <xdr:rowOff>171450</xdr:rowOff>
    </xdr:to>
    <xdr:sp macro="" textlink="">
      <xdr:nvSpPr>
        <xdr:cNvPr id="449" name="Line 464">
          <a:extLst>
            <a:ext uri="{FF2B5EF4-FFF2-40B4-BE49-F238E27FC236}">
              <a16:creationId xmlns:a16="http://schemas.microsoft.com/office/drawing/2014/main" id="{00000000-0008-0000-0200-0000C1010000}"/>
            </a:ext>
          </a:extLst>
        </xdr:cNvPr>
        <xdr:cNvSpPr>
          <a:spLocks noChangeShapeType="1"/>
        </xdr:cNvSpPr>
      </xdr:nvSpPr>
      <xdr:spPr bwMode="auto">
        <a:xfrm flipH="1">
          <a:off x="2219325" y="62550675"/>
          <a:ext cx="476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326</xdr:row>
      <xdr:rowOff>76200</xdr:rowOff>
    </xdr:from>
    <xdr:to>
      <xdr:col>3</xdr:col>
      <xdr:colOff>295275</xdr:colOff>
      <xdr:row>329</xdr:row>
      <xdr:rowOff>38100</xdr:rowOff>
    </xdr:to>
    <xdr:sp macro="" textlink="">
      <xdr:nvSpPr>
        <xdr:cNvPr id="450" name="Line 465">
          <a:extLst>
            <a:ext uri="{FF2B5EF4-FFF2-40B4-BE49-F238E27FC236}">
              <a16:creationId xmlns:a16="http://schemas.microsoft.com/office/drawing/2014/main" id="{00000000-0008-0000-0200-0000C2010000}"/>
            </a:ext>
          </a:extLst>
        </xdr:cNvPr>
        <xdr:cNvSpPr>
          <a:spLocks noChangeShapeType="1"/>
        </xdr:cNvSpPr>
      </xdr:nvSpPr>
      <xdr:spPr bwMode="auto">
        <a:xfrm>
          <a:off x="2257425" y="62074425"/>
          <a:ext cx="0" cy="533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325</xdr:row>
      <xdr:rowOff>9525</xdr:rowOff>
    </xdr:from>
    <xdr:to>
      <xdr:col>3</xdr:col>
      <xdr:colOff>257175</xdr:colOff>
      <xdr:row>325</xdr:row>
      <xdr:rowOff>133350</xdr:rowOff>
    </xdr:to>
    <xdr:sp macro="" textlink="">
      <xdr:nvSpPr>
        <xdr:cNvPr id="451" name="Line 466">
          <a:extLst>
            <a:ext uri="{FF2B5EF4-FFF2-40B4-BE49-F238E27FC236}">
              <a16:creationId xmlns:a16="http://schemas.microsoft.com/office/drawing/2014/main" id="{00000000-0008-0000-0200-0000C3010000}"/>
            </a:ext>
          </a:extLst>
        </xdr:cNvPr>
        <xdr:cNvSpPr>
          <a:spLocks noChangeShapeType="1"/>
        </xdr:cNvSpPr>
      </xdr:nvSpPr>
      <xdr:spPr bwMode="auto">
        <a:xfrm flipV="1">
          <a:off x="1781175" y="61817250"/>
          <a:ext cx="438150" cy="123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324</xdr:row>
      <xdr:rowOff>152729</xdr:rowOff>
    </xdr:from>
    <xdr:to>
      <xdr:col>4</xdr:col>
      <xdr:colOff>9525</xdr:colOff>
      <xdr:row>325</xdr:row>
      <xdr:rowOff>47953</xdr:rowOff>
    </xdr:to>
    <xdr:sp macro="" textlink="" fLocksText="0">
      <xdr:nvSpPr>
        <xdr:cNvPr id="452" name="Oval 467">
          <a:extLst>
            <a:ext uri="{FF2B5EF4-FFF2-40B4-BE49-F238E27FC236}">
              <a16:creationId xmlns:a16="http://schemas.microsoft.com/office/drawing/2014/main" id="{00000000-0008-0000-0200-0000C4010000}"/>
            </a:ext>
          </a:extLst>
        </xdr:cNvPr>
        <xdr:cNvSpPr>
          <a:spLocks noChangeArrowheads="1"/>
        </xdr:cNvSpPr>
      </xdr:nvSpPr>
      <xdr:spPr bwMode="auto">
        <a:xfrm>
          <a:off x="2209800" y="61769954"/>
          <a:ext cx="133350" cy="85724"/>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257175</xdr:colOff>
      <xdr:row>322</xdr:row>
      <xdr:rowOff>85725</xdr:rowOff>
    </xdr:from>
    <xdr:to>
      <xdr:col>5</xdr:col>
      <xdr:colOff>638175</xdr:colOff>
      <xdr:row>322</xdr:row>
      <xdr:rowOff>85725</xdr:rowOff>
    </xdr:to>
    <xdr:sp macro="" textlink="">
      <xdr:nvSpPr>
        <xdr:cNvPr id="453" name="Line 468">
          <a:extLst>
            <a:ext uri="{FF2B5EF4-FFF2-40B4-BE49-F238E27FC236}">
              <a16:creationId xmlns:a16="http://schemas.microsoft.com/office/drawing/2014/main" id="{00000000-0008-0000-0200-0000C5010000}"/>
            </a:ext>
          </a:extLst>
        </xdr:cNvPr>
        <xdr:cNvSpPr>
          <a:spLocks noChangeShapeType="1"/>
        </xdr:cNvSpPr>
      </xdr:nvSpPr>
      <xdr:spPr bwMode="auto">
        <a:xfrm>
          <a:off x="2914650" y="61321950"/>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257175</xdr:colOff>
      <xdr:row>324</xdr:row>
      <xdr:rowOff>28575</xdr:rowOff>
    </xdr:from>
    <xdr:to>
      <xdr:col>5</xdr:col>
      <xdr:colOff>657225</xdr:colOff>
      <xdr:row>324</xdr:row>
      <xdr:rowOff>28575</xdr:rowOff>
    </xdr:to>
    <xdr:sp macro="" textlink="">
      <xdr:nvSpPr>
        <xdr:cNvPr id="454" name="Line 469">
          <a:extLst>
            <a:ext uri="{FF2B5EF4-FFF2-40B4-BE49-F238E27FC236}">
              <a16:creationId xmlns:a16="http://schemas.microsoft.com/office/drawing/2014/main" id="{00000000-0008-0000-0200-0000C6010000}"/>
            </a:ext>
          </a:extLst>
        </xdr:cNvPr>
        <xdr:cNvSpPr>
          <a:spLocks noChangeShapeType="1"/>
        </xdr:cNvSpPr>
      </xdr:nvSpPr>
      <xdr:spPr bwMode="auto">
        <a:xfrm>
          <a:off x="2914650" y="61645800"/>
          <a:ext cx="4000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322</xdr:row>
      <xdr:rowOff>66675</xdr:rowOff>
    </xdr:from>
    <xdr:to>
      <xdr:col>5</xdr:col>
      <xdr:colOff>609600</xdr:colOff>
      <xdr:row>324</xdr:row>
      <xdr:rowOff>66675</xdr:rowOff>
    </xdr:to>
    <xdr:sp macro="" textlink="">
      <xdr:nvSpPr>
        <xdr:cNvPr id="455" name="Line 470">
          <a:extLst>
            <a:ext uri="{FF2B5EF4-FFF2-40B4-BE49-F238E27FC236}">
              <a16:creationId xmlns:a16="http://schemas.microsoft.com/office/drawing/2014/main" id="{00000000-0008-0000-0200-0000C7010000}"/>
            </a:ext>
          </a:extLst>
        </xdr:cNvPr>
        <xdr:cNvSpPr>
          <a:spLocks noChangeShapeType="1"/>
        </xdr:cNvSpPr>
      </xdr:nvSpPr>
      <xdr:spPr bwMode="auto">
        <a:xfrm>
          <a:off x="3267075" y="61302900"/>
          <a:ext cx="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322</xdr:row>
      <xdr:rowOff>38100</xdr:rowOff>
    </xdr:from>
    <xdr:to>
      <xdr:col>5</xdr:col>
      <xdr:colOff>657225</xdr:colOff>
      <xdr:row>322</xdr:row>
      <xdr:rowOff>142875</xdr:rowOff>
    </xdr:to>
    <xdr:sp macro="" textlink="">
      <xdr:nvSpPr>
        <xdr:cNvPr id="456" name="Line 471">
          <a:extLst>
            <a:ext uri="{FF2B5EF4-FFF2-40B4-BE49-F238E27FC236}">
              <a16:creationId xmlns:a16="http://schemas.microsoft.com/office/drawing/2014/main" id="{00000000-0008-0000-0200-0000C8010000}"/>
            </a:ext>
          </a:extLst>
        </xdr:cNvPr>
        <xdr:cNvSpPr>
          <a:spLocks noChangeShapeType="1"/>
        </xdr:cNvSpPr>
      </xdr:nvSpPr>
      <xdr:spPr bwMode="auto">
        <a:xfrm flipH="1">
          <a:off x="3200400" y="61274325"/>
          <a:ext cx="11430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561975</xdr:colOff>
      <xdr:row>323</xdr:row>
      <xdr:rowOff>190500</xdr:rowOff>
    </xdr:from>
    <xdr:to>
      <xdr:col>5</xdr:col>
      <xdr:colOff>657225</xdr:colOff>
      <xdr:row>324</xdr:row>
      <xdr:rowOff>76200</xdr:rowOff>
    </xdr:to>
    <xdr:sp macro="" textlink="">
      <xdr:nvSpPr>
        <xdr:cNvPr id="457" name="Line 472">
          <a:extLst>
            <a:ext uri="{FF2B5EF4-FFF2-40B4-BE49-F238E27FC236}">
              <a16:creationId xmlns:a16="http://schemas.microsoft.com/office/drawing/2014/main" id="{00000000-0008-0000-0200-0000C9010000}"/>
            </a:ext>
          </a:extLst>
        </xdr:cNvPr>
        <xdr:cNvSpPr>
          <a:spLocks noChangeShapeType="1"/>
        </xdr:cNvSpPr>
      </xdr:nvSpPr>
      <xdr:spPr bwMode="auto">
        <a:xfrm flipH="1">
          <a:off x="3219450" y="61617225"/>
          <a:ext cx="9525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323</xdr:row>
      <xdr:rowOff>171778</xdr:rowOff>
    </xdr:from>
    <xdr:to>
      <xdr:col>4</xdr:col>
      <xdr:colOff>295275</xdr:colOff>
      <xdr:row>324</xdr:row>
      <xdr:rowOff>67004</xdr:rowOff>
    </xdr:to>
    <xdr:sp macro="" textlink="" fLocksText="0">
      <xdr:nvSpPr>
        <xdr:cNvPr id="458" name="Oval 473">
          <a:extLst>
            <a:ext uri="{FF2B5EF4-FFF2-40B4-BE49-F238E27FC236}">
              <a16:creationId xmlns:a16="http://schemas.microsoft.com/office/drawing/2014/main" id="{00000000-0008-0000-0200-0000CA010000}"/>
            </a:ext>
          </a:extLst>
        </xdr:cNvPr>
        <xdr:cNvSpPr>
          <a:spLocks noChangeArrowheads="1"/>
        </xdr:cNvSpPr>
      </xdr:nvSpPr>
      <xdr:spPr bwMode="auto">
        <a:xfrm>
          <a:off x="2543175" y="61598503"/>
          <a:ext cx="85725" cy="85726"/>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4</xdr:col>
      <xdr:colOff>266700</xdr:colOff>
      <xdr:row>321</xdr:row>
      <xdr:rowOff>209550</xdr:rowOff>
    </xdr:from>
    <xdr:to>
      <xdr:col>5</xdr:col>
      <xdr:colOff>47625</xdr:colOff>
      <xdr:row>323</xdr:row>
      <xdr:rowOff>190500</xdr:rowOff>
    </xdr:to>
    <xdr:sp macro="" textlink="">
      <xdr:nvSpPr>
        <xdr:cNvPr id="459" name="Line 474">
          <a:extLst>
            <a:ext uri="{FF2B5EF4-FFF2-40B4-BE49-F238E27FC236}">
              <a16:creationId xmlns:a16="http://schemas.microsoft.com/office/drawing/2014/main" id="{00000000-0008-0000-0200-0000CB010000}"/>
            </a:ext>
          </a:extLst>
        </xdr:cNvPr>
        <xdr:cNvSpPr>
          <a:spLocks noChangeShapeType="1"/>
        </xdr:cNvSpPr>
      </xdr:nvSpPr>
      <xdr:spPr bwMode="auto">
        <a:xfrm flipH="1">
          <a:off x="2600325" y="61236225"/>
          <a:ext cx="104775"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123825</xdr:colOff>
      <xdr:row>329</xdr:row>
      <xdr:rowOff>104775</xdr:rowOff>
    </xdr:from>
    <xdr:to>
      <xdr:col>5</xdr:col>
      <xdr:colOff>161925</xdr:colOff>
      <xdr:row>332</xdr:row>
      <xdr:rowOff>161925</xdr:rowOff>
    </xdr:to>
    <xdr:sp macro="" textlink="">
      <xdr:nvSpPr>
        <xdr:cNvPr id="460" name="Tegning 391">
          <a:extLst>
            <a:ext uri="{FF2B5EF4-FFF2-40B4-BE49-F238E27FC236}">
              <a16:creationId xmlns:a16="http://schemas.microsoft.com/office/drawing/2014/main" id="{00000000-0008-0000-0200-0000CC010000}"/>
            </a:ext>
          </a:extLst>
        </xdr:cNvPr>
        <xdr:cNvSpPr>
          <a:spLocks/>
        </xdr:cNvSpPr>
      </xdr:nvSpPr>
      <xdr:spPr bwMode="auto">
        <a:xfrm>
          <a:off x="1504950" y="62674500"/>
          <a:ext cx="1314450" cy="628650"/>
        </a:xfrm>
        <a:custGeom>
          <a:avLst/>
          <a:gdLst>
            <a:gd name="T0" fmla="*/ 2147483646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0 w 16384"/>
            <a:gd name="T21" fmla="*/ 2147483646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88" y="3040"/>
              </a:moveTo>
              <a:lnTo>
                <a:pt x="9337" y="16384"/>
              </a:lnTo>
              <a:lnTo>
                <a:pt x="9954" y="15708"/>
              </a:lnTo>
              <a:lnTo>
                <a:pt x="9954" y="676"/>
              </a:lnTo>
              <a:lnTo>
                <a:pt x="10218" y="0"/>
              </a:lnTo>
              <a:lnTo>
                <a:pt x="16032" y="0"/>
              </a:lnTo>
              <a:lnTo>
                <a:pt x="16384" y="507"/>
              </a:lnTo>
              <a:lnTo>
                <a:pt x="16384" y="6081"/>
              </a:lnTo>
              <a:lnTo>
                <a:pt x="16032" y="6925"/>
              </a:lnTo>
              <a:lnTo>
                <a:pt x="2907" y="6925"/>
              </a:lnTo>
              <a:lnTo>
                <a:pt x="0" y="2703"/>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19050</xdr:colOff>
      <xdr:row>327</xdr:row>
      <xdr:rowOff>47625</xdr:rowOff>
    </xdr:from>
    <xdr:to>
      <xdr:col>5</xdr:col>
      <xdr:colOff>19050</xdr:colOff>
      <xdr:row>329</xdr:row>
      <xdr:rowOff>9525</xdr:rowOff>
    </xdr:to>
    <xdr:sp macro="" textlink="">
      <xdr:nvSpPr>
        <xdr:cNvPr id="461" name="Line 476">
          <a:extLst>
            <a:ext uri="{FF2B5EF4-FFF2-40B4-BE49-F238E27FC236}">
              <a16:creationId xmlns:a16="http://schemas.microsoft.com/office/drawing/2014/main" id="{00000000-0008-0000-0200-0000CD010000}"/>
            </a:ext>
          </a:extLst>
        </xdr:cNvPr>
        <xdr:cNvSpPr>
          <a:spLocks noChangeShapeType="1"/>
        </xdr:cNvSpPr>
      </xdr:nvSpPr>
      <xdr:spPr bwMode="auto">
        <a:xfrm>
          <a:off x="2676525" y="62236350"/>
          <a:ext cx="0" cy="342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328</xdr:row>
      <xdr:rowOff>133350</xdr:rowOff>
    </xdr:from>
    <xdr:to>
      <xdr:col>4</xdr:col>
      <xdr:colOff>28575</xdr:colOff>
      <xdr:row>329</xdr:row>
      <xdr:rowOff>28575</xdr:rowOff>
    </xdr:to>
    <xdr:sp macro="" textlink="">
      <xdr:nvSpPr>
        <xdr:cNvPr id="462" name="Line 477">
          <a:extLst>
            <a:ext uri="{FF2B5EF4-FFF2-40B4-BE49-F238E27FC236}">
              <a16:creationId xmlns:a16="http://schemas.microsoft.com/office/drawing/2014/main" id="{00000000-0008-0000-0200-0000CE010000}"/>
            </a:ext>
          </a:extLst>
        </xdr:cNvPr>
        <xdr:cNvSpPr>
          <a:spLocks noChangeShapeType="1"/>
        </xdr:cNvSpPr>
      </xdr:nvSpPr>
      <xdr:spPr bwMode="auto">
        <a:xfrm flipH="1">
          <a:off x="2219325" y="62512575"/>
          <a:ext cx="14287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328</xdr:row>
      <xdr:rowOff>133350</xdr:rowOff>
    </xdr:from>
    <xdr:to>
      <xdr:col>5</xdr:col>
      <xdr:colOff>57150</xdr:colOff>
      <xdr:row>329</xdr:row>
      <xdr:rowOff>28575</xdr:rowOff>
    </xdr:to>
    <xdr:sp macro="" textlink="">
      <xdr:nvSpPr>
        <xdr:cNvPr id="463" name="Line 478">
          <a:extLst>
            <a:ext uri="{FF2B5EF4-FFF2-40B4-BE49-F238E27FC236}">
              <a16:creationId xmlns:a16="http://schemas.microsoft.com/office/drawing/2014/main" id="{00000000-0008-0000-0200-0000CF010000}"/>
            </a:ext>
          </a:extLst>
        </xdr:cNvPr>
        <xdr:cNvSpPr>
          <a:spLocks noChangeShapeType="1"/>
        </xdr:cNvSpPr>
      </xdr:nvSpPr>
      <xdr:spPr bwMode="auto">
        <a:xfrm flipH="1">
          <a:off x="2628900" y="6251257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xdr:colOff>
      <xdr:row>327</xdr:row>
      <xdr:rowOff>171450</xdr:rowOff>
    </xdr:from>
    <xdr:to>
      <xdr:col>5</xdr:col>
      <xdr:colOff>361950</xdr:colOff>
      <xdr:row>327</xdr:row>
      <xdr:rowOff>171450</xdr:rowOff>
    </xdr:to>
    <xdr:sp macro="" textlink="">
      <xdr:nvSpPr>
        <xdr:cNvPr id="464" name="Line 479">
          <a:extLst>
            <a:ext uri="{FF2B5EF4-FFF2-40B4-BE49-F238E27FC236}">
              <a16:creationId xmlns:a16="http://schemas.microsoft.com/office/drawing/2014/main" id="{00000000-0008-0000-0200-0000D0010000}"/>
            </a:ext>
          </a:extLst>
        </xdr:cNvPr>
        <xdr:cNvSpPr>
          <a:spLocks noChangeShapeType="1"/>
        </xdr:cNvSpPr>
      </xdr:nvSpPr>
      <xdr:spPr bwMode="auto">
        <a:xfrm flipH="1">
          <a:off x="2362200" y="62360175"/>
          <a:ext cx="657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324</xdr:row>
      <xdr:rowOff>190500</xdr:rowOff>
    </xdr:from>
    <xdr:to>
      <xdr:col>5</xdr:col>
      <xdr:colOff>209550</xdr:colOff>
      <xdr:row>328</xdr:row>
      <xdr:rowOff>28575</xdr:rowOff>
    </xdr:to>
    <xdr:sp macro="" textlink="">
      <xdr:nvSpPr>
        <xdr:cNvPr id="465" name="Line 480">
          <a:extLst>
            <a:ext uri="{FF2B5EF4-FFF2-40B4-BE49-F238E27FC236}">
              <a16:creationId xmlns:a16="http://schemas.microsoft.com/office/drawing/2014/main" id="{00000000-0008-0000-0200-0000D1010000}"/>
            </a:ext>
          </a:extLst>
        </xdr:cNvPr>
        <xdr:cNvSpPr>
          <a:spLocks noChangeShapeType="1"/>
        </xdr:cNvSpPr>
      </xdr:nvSpPr>
      <xdr:spPr bwMode="auto">
        <a:xfrm>
          <a:off x="2867025" y="61807725"/>
          <a:ext cx="0" cy="600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327</xdr:row>
      <xdr:rowOff>9525</xdr:rowOff>
    </xdr:from>
    <xdr:to>
      <xdr:col>4</xdr:col>
      <xdr:colOff>47625</xdr:colOff>
      <xdr:row>328</xdr:row>
      <xdr:rowOff>38100</xdr:rowOff>
    </xdr:to>
    <xdr:sp macro="" textlink="">
      <xdr:nvSpPr>
        <xdr:cNvPr id="466" name="Line 481">
          <a:extLst>
            <a:ext uri="{FF2B5EF4-FFF2-40B4-BE49-F238E27FC236}">
              <a16:creationId xmlns:a16="http://schemas.microsoft.com/office/drawing/2014/main" id="{00000000-0008-0000-0200-0000D2010000}"/>
            </a:ext>
          </a:extLst>
        </xdr:cNvPr>
        <xdr:cNvSpPr>
          <a:spLocks noChangeShapeType="1"/>
        </xdr:cNvSpPr>
      </xdr:nvSpPr>
      <xdr:spPr bwMode="auto">
        <a:xfrm>
          <a:off x="2381250" y="62198250"/>
          <a:ext cx="0"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327</xdr:row>
      <xdr:rowOff>133350</xdr:rowOff>
    </xdr:from>
    <xdr:to>
      <xdr:col>5</xdr:col>
      <xdr:colOff>247650</xdr:colOff>
      <xdr:row>328</xdr:row>
      <xdr:rowOff>28575</xdr:rowOff>
    </xdr:to>
    <xdr:sp macro="" textlink="">
      <xdr:nvSpPr>
        <xdr:cNvPr id="467" name="Line 482">
          <a:extLst>
            <a:ext uri="{FF2B5EF4-FFF2-40B4-BE49-F238E27FC236}">
              <a16:creationId xmlns:a16="http://schemas.microsoft.com/office/drawing/2014/main" id="{00000000-0008-0000-0200-0000D3010000}"/>
            </a:ext>
          </a:extLst>
        </xdr:cNvPr>
        <xdr:cNvSpPr>
          <a:spLocks noChangeShapeType="1"/>
        </xdr:cNvSpPr>
      </xdr:nvSpPr>
      <xdr:spPr bwMode="auto">
        <a:xfrm flipH="1">
          <a:off x="2828925" y="62322075"/>
          <a:ext cx="7620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314325</xdr:colOff>
      <xdr:row>327</xdr:row>
      <xdr:rowOff>133350</xdr:rowOff>
    </xdr:from>
    <xdr:to>
      <xdr:col>4</xdr:col>
      <xdr:colOff>95250</xdr:colOff>
      <xdr:row>328</xdr:row>
      <xdr:rowOff>38100</xdr:rowOff>
    </xdr:to>
    <xdr:sp macro="" textlink="">
      <xdr:nvSpPr>
        <xdr:cNvPr id="468" name="Line 483">
          <a:extLst>
            <a:ext uri="{FF2B5EF4-FFF2-40B4-BE49-F238E27FC236}">
              <a16:creationId xmlns:a16="http://schemas.microsoft.com/office/drawing/2014/main" id="{00000000-0008-0000-0200-0000D4010000}"/>
            </a:ext>
          </a:extLst>
        </xdr:cNvPr>
        <xdr:cNvSpPr>
          <a:spLocks noChangeShapeType="1"/>
        </xdr:cNvSpPr>
      </xdr:nvSpPr>
      <xdr:spPr bwMode="auto">
        <a:xfrm flipH="1">
          <a:off x="2276475" y="62322075"/>
          <a:ext cx="1524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329</xdr:row>
      <xdr:rowOff>76200</xdr:rowOff>
    </xdr:from>
    <xdr:to>
      <xdr:col>5</xdr:col>
      <xdr:colOff>323850</xdr:colOff>
      <xdr:row>329</xdr:row>
      <xdr:rowOff>76200</xdr:rowOff>
    </xdr:to>
    <xdr:sp macro="" textlink="">
      <xdr:nvSpPr>
        <xdr:cNvPr id="469" name="Line 484">
          <a:extLst>
            <a:ext uri="{FF2B5EF4-FFF2-40B4-BE49-F238E27FC236}">
              <a16:creationId xmlns:a16="http://schemas.microsoft.com/office/drawing/2014/main" id="{00000000-0008-0000-0200-0000D5010000}"/>
            </a:ext>
          </a:extLst>
        </xdr:cNvPr>
        <xdr:cNvSpPr>
          <a:spLocks noChangeShapeType="1"/>
        </xdr:cNvSpPr>
      </xdr:nvSpPr>
      <xdr:spPr bwMode="auto">
        <a:xfrm>
          <a:off x="2867025" y="62645925"/>
          <a:ext cx="1143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331</xdr:row>
      <xdr:rowOff>9525</xdr:rowOff>
    </xdr:from>
    <xdr:to>
      <xdr:col>5</xdr:col>
      <xdr:colOff>342900</xdr:colOff>
      <xdr:row>331</xdr:row>
      <xdr:rowOff>9525</xdr:rowOff>
    </xdr:to>
    <xdr:sp macro="" textlink="">
      <xdr:nvSpPr>
        <xdr:cNvPr id="470" name="Line 485">
          <a:extLst>
            <a:ext uri="{FF2B5EF4-FFF2-40B4-BE49-F238E27FC236}">
              <a16:creationId xmlns:a16="http://schemas.microsoft.com/office/drawing/2014/main" id="{00000000-0008-0000-0200-0000D6010000}"/>
            </a:ext>
          </a:extLst>
        </xdr:cNvPr>
        <xdr:cNvSpPr>
          <a:spLocks noChangeShapeType="1"/>
        </xdr:cNvSpPr>
      </xdr:nvSpPr>
      <xdr:spPr bwMode="auto">
        <a:xfrm>
          <a:off x="2847975" y="62960250"/>
          <a:ext cx="1524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329</xdr:row>
      <xdr:rowOff>38100</xdr:rowOff>
    </xdr:from>
    <xdr:to>
      <xdr:col>5</xdr:col>
      <xdr:colOff>266700</xdr:colOff>
      <xdr:row>331</xdr:row>
      <xdr:rowOff>38100</xdr:rowOff>
    </xdr:to>
    <xdr:sp macro="" textlink="">
      <xdr:nvSpPr>
        <xdr:cNvPr id="471" name="Line 486">
          <a:extLst>
            <a:ext uri="{FF2B5EF4-FFF2-40B4-BE49-F238E27FC236}">
              <a16:creationId xmlns:a16="http://schemas.microsoft.com/office/drawing/2014/main" id="{00000000-0008-0000-0200-0000D7010000}"/>
            </a:ext>
          </a:extLst>
        </xdr:cNvPr>
        <xdr:cNvSpPr>
          <a:spLocks noChangeShapeType="1"/>
        </xdr:cNvSpPr>
      </xdr:nvSpPr>
      <xdr:spPr bwMode="auto">
        <a:xfrm flipV="1">
          <a:off x="2924175" y="62607825"/>
          <a:ext cx="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330</xdr:row>
      <xdr:rowOff>152400</xdr:rowOff>
    </xdr:from>
    <xdr:to>
      <xdr:col>5</xdr:col>
      <xdr:colOff>295275</xdr:colOff>
      <xdr:row>331</xdr:row>
      <xdr:rowOff>66675</xdr:rowOff>
    </xdr:to>
    <xdr:sp macro="" textlink="">
      <xdr:nvSpPr>
        <xdr:cNvPr id="472" name="Line 487">
          <a:extLst>
            <a:ext uri="{FF2B5EF4-FFF2-40B4-BE49-F238E27FC236}">
              <a16:creationId xmlns:a16="http://schemas.microsoft.com/office/drawing/2014/main" id="{00000000-0008-0000-0200-0000D8010000}"/>
            </a:ext>
          </a:extLst>
        </xdr:cNvPr>
        <xdr:cNvSpPr>
          <a:spLocks noChangeShapeType="1"/>
        </xdr:cNvSpPr>
      </xdr:nvSpPr>
      <xdr:spPr bwMode="auto">
        <a:xfrm flipV="1">
          <a:off x="2867025" y="62912625"/>
          <a:ext cx="85725"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329</xdr:row>
      <xdr:rowOff>38100</xdr:rowOff>
    </xdr:from>
    <xdr:to>
      <xdr:col>5</xdr:col>
      <xdr:colOff>314325</xdr:colOff>
      <xdr:row>329</xdr:row>
      <xdr:rowOff>114300</xdr:rowOff>
    </xdr:to>
    <xdr:sp macro="" textlink="">
      <xdr:nvSpPr>
        <xdr:cNvPr id="473" name="Line 488">
          <a:extLst>
            <a:ext uri="{FF2B5EF4-FFF2-40B4-BE49-F238E27FC236}">
              <a16:creationId xmlns:a16="http://schemas.microsoft.com/office/drawing/2014/main" id="{00000000-0008-0000-0200-0000D9010000}"/>
            </a:ext>
          </a:extLst>
        </xdr:cNvPr>
        <xdr:cNvSpPr>
          <a:spLocks noChangeShapeType="1"/>
        </xdr:cNvSpPr>
      </xdr:nvSpPr>
      <xdr:spPr bwMode="auto">
        <a:xfrm flipV="1">
          <a:off x="2886075" y="62607825"/>
          <a:ext cx="8572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0</xdr:colOff>
      <xdr:row>322</xdr:row>
      <xdr:rowOff>181303</xdr:rowOff>
    </xdr:from>
    <xdr:to>
      <xdr:col>4</xdr:col>
      <xdr:colOff>28575</xdr:colOff>
      <xdr:row>323</xdr:row>
      <xdr:rowOff>9853</xdr:rowOff>
    </xdr:to>
    <xdr:sp macro="" textlink="" fLocksText="0">
      <xdr:nvSpPr>
        <xdr:cNvPr id="474" name="Oval 493">
          <a:extLst>
            <a:ext uri="{FF2B5EF4-FFF2-40B4-BE49-F238E27FC236}">
              <a16:creationId xmlns:a16="http://schemas.microsoft.com/office/drawing/2014/main" id="{00000000-0008-0000-0200-0000DA010000}"/>
            </a:ext>
          </a:extLst>
        </xdr:cNvPr>
        <xdr:cNvSpPr>
          <a:spLocks noChangeArrowheads="1"/>
        </xdr:cNvSpPr>
      </xdr:nvSpPr>
      <xdr:spPr bwMode="auto">
        <a:xfrm>
          <a:off x="2333625" y="61417528"/>
          <a:ext cx="28575" cy="19050"/>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95250</xdr:colOff>
      <xdr:row>323</xdr:row>
      <xdr:rowOff>171778</xdr:rowOff>
    </xdr:from>
    <xdr:to>
      <xdr:col>5</xdr:col>
      <xdr:colOff>123825</xdr:colOff>
      <xdr:row>324</xdr:row>
      <xdr:rowOff>9854</xdr:rowOff>
    </xdr:to>
    <xdr:sp macro="" textlink="" fLocksText="0">
      <xdr:nvSpPr>
        <xdr:cNvPr id="475" name="Oval 494">
          <a:extLst>
            <a:ext uri="{FF2B5EF4-FFF2-40B4-BE49-F238E27FC236}">
              <a16:creationId xmlns:a16="http://schemas.microsoft.com/office/drawing/2014/main" id="{00000000-0008-0000-0200-0000DB010000}"/>
            </a:ext>
          </a:extLst>
        </xdr:cNvPr>
        <xdr:cNvSpPr>
          <a:spLocks noChangeArrowheads="1"/>
        </xdr:cNvSpPr>
      </xdr:nvSpPr>
      <xdr:spPr bwMode="auto">
        <a:xfrm>
          <a:off x="2752725" y="61598503"/>
          <a:ext cx="28575" cy="28576"/>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238125</xdr:colOff>
      <xdr:row>325</xdr:row>
      <xdr:rowOff>171778</xdr:rowOff>
    </xdr:from>
    <xdr:to>
      <xdr:col>3</xdr:col>
      <xdr:colOff>266700</xdr:colOff>
      <xdr:row>326</xdr:row>
      <xdr:rowOff>9853</xdr:rowOff>
    </xdr:to>
    <xdr:sp macro="" textlink="" fLocksText="0">
      <xdr:nvSpPr>
        <xdr:cNvPr id="476" name="Oval 495">
          <a:extLst>
            <a:ext uri="{FF2B5EF4-FFF2-40B4-BE49-F238E27FC236}">
              <a16:creationId xmlns:a16="http://schemas.microsoft.com/office/drawing/2014/main" id="{00000000-0008-0000-0200-0000DC010000}"/>
            </a:ext>
          </a:extLst>
        </xdr:cNvPr>
        <xdr:cNvSpPr>
          <a:spLocks noChangeArrowheads="1"/>
        </xdr:cNvSpPr>
      </xdr:nvSpPr>
      <xdr:spPr bwMode="auto">
        <a:xfrm>
          <a:off x="2200275" y="61979503"/>
          <a:ext cx="28575" cy="28575"/>
        </a:xfrm>
        <a:prstGeom prst="ellipse">
          <a:avLst/>
        </a:prstGeom>
        <a:noFill/>
        <a:ln w="3302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57150</xdr:colOff>
          <xdr:row>0</xdr:row>
          <xdr:rowOff>28575</xdr:rowOff>
        </xdr:from>
        <xdr:to>
          <xdr:col>0</xdr:col>
          <xdr:colOff>219075</xdr:colOff>
          <xdr:row>1</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editAs="oneCell">
    <xdr:from>
      <xdr:col>0</xdr:col>
      <xdr:colOff>488621</xdr:colOff>
      <xdr:row>1</xdr:row>
      <xdr:rowOff>60982</xdr:rowOff>
    </xdr:from>
    <xdr:to>
      <xdr:col>0</xdr:col>
      <xdr:colOff>1098221</xdr:colOff>
      <xdr:row>4</xdr:row>
      <xdr:rowOff>4818</xdr:rowOff>
    </xdr:to>
    <xdr:pic>
      <xdr:nvPicPr>
        <xdr:cNvPr id="478" name="Picture 197" descr="CRH_office_pantone">
          <a:extLst>
            <a:ext uri="{FF2B5EF4-FFF2-40B4-BE49-F238E27FC236}">
              <a16:creationId xmlns:a16="http://schemas.microsoft.com/office/drawing/2014/main" id="{00000000-0008-0000-0200-0000DE0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8621" y="181413"/>
          <a:ext cx="609600" cy="4365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809625</xdr:colOff>
      <xdr:row>367</xdr:row>
      <xdr:rowOff>142875</xdr:rowOff>
    </xdr:from>
    <xdr:to>
      <xdr:col>12</xdr:col>
      <xdr:colOff>428625</xdr:colOff>
      <xdr:row>389</xdr:row>
      <xdr:rowOff>28575</xdr:rowOff>
    </xdr:to>
    <xdr:graphicFrame macro="">
      <xdr:nvGraphicFramePr>
        <xdr:cNvPr id="479" name="Chart 5">
          <a:extLst>
            <a:ext uri="{FF2B5EF4-FFF2-40B4-BE49-F238E27FC236}">
              <a16:creationId xmlns:a16="http://schemas.microsoft.com/office/drawing/2014/main" id="{00000000-0008-0000-0200-0000D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11</xdr:col>
          <xdr:colOff>381000</xdr:colOff>
          <xdr:row>7</xdr:row>
          <xdr:rowOff>76200</xdr:rowOff>
        </xdr:from>
        <xdr:to>
          <xdr:col>12</xdr:col>
          <xdr:colOff>714375</xdr:colOff>
          <xdr:row>10</xdr:row>
          <xdr:rowOff>104775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364</xdr:row>
          <xdr:rowOff>66675</xdr:rowOff>
        </xdr:from>
        <xdr:to>
          <xdr:col>5</xdr:col>
          <xdr:colOff>342900</xdr:colOff>
          <xdr:row>366</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fPrintsWithSheet="0"/>
      </xdr:twoCellAnchor>
    </mc:Choice>
    <mc:Fallback/>
  </mc:AlternateContent>
  <xdr:twoCellAnchor>
    <xdr:from>
      <xdr:col>4</xdr:col>
      <xdr:colOff>200025</xdr:colOff>
      <xdr:row>23</xdr:row>
      <xdr:rowOff>47625</xdr:rowOff>
    </xdr:from>
    <xdr:to>
      <xdr:col>5</xdr:col>
      <xdr:colOff>171450</xdr:colOff>
      <xdr:row>23</xdr:row>
      <xdr:rowOff>47625</xdr:rowOff>
    </xdr:to>
    <xdr:sp macro="" textlink="">
      <xdr:nvSpPr>
        <xdr:cNvPr id="482" name="Line 76">
          <a:extLst>
            <a:ext uri="{FF2B5EF4-FFF2-40B4-BE49-F238E27FC236}">
              <a16:creationId xmlns:a16="http://schemas.microsoft.com/office/drawing/2014/main" id="{00000000-0008-0000-0200-0000E2010000}"/>
            </a:ext>
          </a:extLst>
        </xdr:cNvPr>
        <xdr:cNvSpPr>
          <a:spLocks noChangeShapeType="1"/>
        </xdr:cNvSpPr>
      </xdr:nvSpPr>
      <xdr:spPr bwMode="auto">
        <a:xfrm>
          <a:off x="2533650" y="4267200"/>
          <a:ext cx="2952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23</xdr:row>
      <xdr:rowOff>152400</xdr:rowOff>
    </xdr:from>
    <xdr:to>
      <xdr:col>5</xdr:col>
      <xdr:colOff>161925</xdr:colOff>
      <xdr:row>23</xdr:row>
      <xdr:rowOff>152400</xdr:rowOff>
    </xdr:to>
    <xdr:sp macro="" textlink="">
      <xdr:nvSpPr>
        <xdr:cNvPr id="483" name="Line 77">
          <a:extLst>
            <a:ext uri="{FF2B5EF4-FFF2-40B4-BE49-F238E27FC236}">
              <a16:creationId xmlns:a16="http://schemas.microsoft.com/office/drawing/2014/main" id="{00000000-0008-0000-0200-0000E3010000}"/>
            </a:ext>
          </a:extLst>
        </xdr:cNvPr>
        <xdr:cNvSpPr>
          <a:spLocks noChangeShapeType="1"/>
        </xdr:cNvSpPr>
      </xdr:nvSpPr>
      <xdr:spPr bwMode="auto">
        <a:xfrm>
          <a:off x="2533650" y="4371975"/>
          <a:ext cx="2857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35</xdr:row>
      <xdr:rowOff>9525</xdr:rowOff>
    </xdr:from>
    <xdr:to>
      <xdr:col>5</xdr:col>
      <xdr:colOff>180975</xdr:colOff>
      <xdr:row>35</xdr:row>
      <xdr:rowOff>9525</xdr:rowOff>
    </xdr:to>
    <xdr:sp macro="" textlink="">
      <xdr:nvSpPr>
        <xdr:cNvPr id="484" name="Line 1458">
          <a:extLst>
            <a:ext uri="{FF2B5EF4-FFF2-40B4-BE49-F238E27FC236}">
              <a16:creationId xmlns:a16="http://schemas.microsoft.com/office/drawing/2014/main" id="{00000000-0008-0000-0200-0000E4010000}"/>
            </a:ext>
          </a:extLst>
        </xdr:cNvPr>
        <xdr:cNvSpPr>
          <a:spLocks noChangeShapeType="1"/>
        </xdr:cNvSpPr>
      </xdr:nvSpPr>
      <xdr:spPr bwMode="auto">
        <a:xfrm>
          <a:off x="1724025" y="6524625"/>
          <a:ext cx="1114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34</xdr:row>
      <xdr:rowOff>161925</xdr:rowOff>
    </xdr:from>
    <xdr:to>
      <xdr:col>2</xdr:col>
      <xdr:colOff>390525</xdr:colOff>
      <xdr:row>35</xdr:row>
      <xdr:rowOff>38100</xdr:rowOff>
    </xdr:to>
    <xdr:sp macro="" textlink="">
      <xdr:nvSpPr>
        <xdr:cNvPr id="485" name="Line 1459">
          <a:extLst>
            <a:ext uri="{FF2B5EF4-FFF2-40B4-BE49-F238E27FC236}">
              <a16:creationId xmlns:a16="http://schemas.microsoft.com/office/drawing/2014/main" id="{00000000-0008-0000-0200-0000E5010000}"/>
            </a:ext>
          </a:extLst>
        </xdr:cNvPr>
        <xdr:cNvSpPr>
          <a:spLocks noChangeShapeType="1"/>
        </xdr:cNvSpPr>
      </xdr:nvSpPr>
      <xdr:spPr bwMode="auto">
        <a:xfrm flipH="1">
          <a:off x="1704975" y="64865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123825</xdr:colOff>
      <xdr:row>34</xdr:row>
      <xdr:rowOff>161925</xdr:rowOff>
    </xdr:from>
    <xdr:to>
      <xdr:col>5</xdr:col>
      <xdr:colOff>190500</xdr:colOff>
      <xdr:row>35</xdr:row>
      <xdr:rowOff>38100</xdr:rowOff>
    </xdr:to>
    <xdr:sp macro="" textlink="">
      <xdr:nvSpPr>
        <xdr:cNvPr id="486" name="Line 1460">
          <a:extLst>
            <a:ext uri="{FF2B5EF4-FFF2-40B4-BE49-F238E27FC236}">
              <a16:creationId xmlns:a16="http://schemas.microsoft.com/office/drawing/2014/main" id="{00000000-0008-0000-0200-0000E6010000}"/>
            </a:ext>
          </a:extLst>
        </xdr:cNvPr>
        <xdr:cNvSpPr>
          <a:spLocks noChangeShapeType="1"/>
        </xdr:cNvSpPr>
      </xdr:nvSpPr>
      <xdr:spPr bwMode="auto">
        <a:xfrm flipH="1">
          <a:off x="2781300" y="64865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487" name="AutoShape 59">
          <a:extLst>
            <a:ext uri="{FF2B5EF4-FFF2-40B4-BE49-F238E27FC236}">
              <a16:creationId xmlns:a16="http://schemas.microsoft.com/office/drawing/2014/main" id="{00000000-0008-0000-0200-0000E7010000}"/>
            </a:ext>
          </a:extLst>
        </xdr:cNvPr>
        <xdr:cNvSpPr>
          <a:spLocks noChangeArrowheads="1"/>
        </xdr:cNvSpPr>
      </xdr:nvSpPr>
      <xdr:spPr bwMode="auto">
        <a:xfrm flipH="1" flipV="1">
          <a:off x="3286125" y="34023300"/>
          <a:ext cx="609600" cy="3333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488" name="Line 60">
          <a:extLst>
            <a:ext uri="{FF2B5EF4-FFF2-40B4-BE49-F238E27FC236}">
              <a16:creationId xmlns:a16="http://schemas.microsoft.com/office/drawing/2014/main" id="{00000000-0008-0000-0200-0000E8010000}"/>
            </a:ext>
          </a:extLst>
        </xdr:cNvPr>
        <xdr:cNvSpPr>
          <a:spLocks noChangeShapeType="1"/>
        </xdr:cNvSpPr>
      </xdr:nvSpPr>
      <xdr:spPr bwMode="auto">
        <a:xfrm>
          <a:off x="3619500" y="3372802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489" name="Line 61">
          <a:extLst>
            <a:ext uri="{FF2B5EF4-FFF2-40B4-BE49-F238E27FC236}">
              <a16:creationId xmlns:a16="http://schemas.microsoft.com/office/drawing/2014/main" id="{00000000-0008-0000-0200-0000E9010000}"/>
            </a:ext>
          </a:extLst>
        </xdr:cNvPr>
        <xdr:cNvSpPr>
          <a:spLocks noChangeShapeType="1"/>
        </xdr:cNvSpPr>
      </xdr:nvSpPr>
      <xdr:spPr bwMode="auto">
        <a:xfrm flipH="1">
          <a:off x="3905250" y="34175700"/>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490" name="Line 62">
          <a:extLst>
            <a:ext uri="{FF2B5EF4-FFF2-40B4-BE49-F238E27FC236}">
              <a16:creationId xmlns:a16="http://schemas.microsoft.com/office/drawing/2014/main" id="{00000000-0008-0000-0200-0000EA010000}"/>
            </a:ext>
          </a:extLst>
        </xdr:cNvPr>
        <xdr:cNvSpPr>
          <a:spLocks noChangeShapeType="1"/>
        </xdr:cNvSpPr>
      </xdr:nvSpPr>
      <xdr:spPr bwMode="auto">
        <a:xfrm flipV="1">
          <a:off x="3400425" y="34175700"/>
          <a:ext cx="17145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492" name="Line 74">
          <a:extLst>
            <a:ext uri="{FF2B5EF4-FFF2-40B4-BE49-F238E27FC236}">
              <a16:creationId xmlns:a16="http://schemas.microsoft.com/office/drawing/2014/main" id="{00000000-0008-0000-0200-0000EC010000}"/>
            </a:ext>
          </a:extLst>
        </xdr:cNvPr>
        <xdr:cNvSpPr>
          <a:spLocks noChangeShapeType="1"/>
        </xdr:cNvSpPr>
      </xdr:nvSpPr>
      <xdr:spPr bwMode="auto">
        <a:xfrm flipV="1">
          <a:off x="3276600" y="3356610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493" name="Line 75">
          <a:extLst>
            <a:ext uri="{FF2B5EF4-FFF2-40B4-BE49-F238E27FC236}">
              <a16:creationId xmlns:a16="http://schemas.microsoft.com/office/drawing/2014/main" id="{00000000-0008-0000-0200-0000ED010000}"/>
            </a:ext>
          </a:extLst>
        </xdr:cNvPr>
        <xdr:cNvSpPr>
          <a:spLocks noChangeShapeType="1"/>
        </xdr:cNvSpPr>
      </xdr:nvSpPr>
      <xdr:spPr bwMode="auto">
        <a:xfrm flipV="1">
          <a:off x="3905250" y="33566100"/>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494" name="Line 76">
          <a:extLst>
            <a:ext uri="{FF2B5EF4-FFF2-40B4-BE49-F238E27FC236}">
              <a16:creationId xmlns:a16="http://schemas.microsoft.com/office/drawing/2014/main" id="{00000000-0008-0000-0200-0000EE010000}"/>
            </a:ext>
          </a:extLst>
        </xdr:cNvPr>
        <xdr:cNvSpPr>
          <a:spLocks noChangeShapeType="1"/>
        </xdr:cNvSpPr>
      </xdr:nvSpPr>
      <xdr:spPr bwMode="auto">
        <a:xfrm>
          <a:off x="3257550" y="33613725"/>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495" name="Line 77">
          <a:extLst>
            <a:ext uri="{FF2B5EF4-FFF2-40B4-BE49-F238E27FC236}">
              <a16:creationId xmlns:a16="http://schemas.microsoft.com/office/drawing/2014/main" id="{00000000-0008-0000-0200-0000EF010000}"/>
            </a:ext>
          </a:extLst>
        </xdr:cNvPr>
        <xdr:cNvSpPr>
          <a:spLocks noChangeShapeType="1"/>
        </xdr:cNvSpPr>
      </xdr:nvSpPr>
      <xdr:spPr bwMode="auto">
        <a:xfrm>
          <a:off x="3962400" y="340233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496" name="Line 78">
          <a:extLst>
            <a:ext uri="{FF2B5EF4-FFF2-40B4-BE49-F238E27FC236}">
              <a16:creationId xmlns:a16="http://schemas.microsoft.com/office/drawing/2014/main" id="{00000000-0008-0000-0200-0000F0010000}"/>
            </a:ext>
          </a:extLst>
        </xdr:cNvPr>
        <xdr:cNvSpPr>
          <a:spLocks noChangeShapeType="1"/>
        </xdr:cNvSpPr>
      </xdr:nvSpPr>
      <xdr:spPr bwMode="auto">
        <a:xfrm>
          <a:off x="3943350" y="343662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497" name="Line 79">
          <a:extLst>
            <a:ext uri="{FF2B5EF4-FFF2-40B4-BE49-F238E27FC236}">
              <a16:creationId xmlns:a16="http://schemas.microsoft.com/office/drawing/2014/main" id="{00000000-0008-0000-0200-0000F1010000}"/>
            </a:ext>
          </a:extLst>
        </xdr:cNvPr>
        <xdr:cNvSpPr>
          <a:spLocks noChangeShapeType="1"/>
        </xdr:cNvSpPr>
      </xdr:nvSpPr>
      <xdr:spPr bwMode="auto">
        <a:xfrm>
          <a:off x="4371975" y="33966150"/>
          <a:ext cx="0"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498" name="Line 81">
          <a:extLst>
            <a:ext uri="{FF2B5EF4-FFF2-40B4-BE49-F238E27FC236}">
              <a16:creationId xmlns:a16="http://schemas.microsoft.com/office/drawing/2014/main" id="{00000000-0008-0000-0200-0000F2010000}"/>
            </a:ext>
          </a:extLst>
        </xdr:cNvPr>
        <xdr:cNvSpPr>
          <a:spLocks noChangeShapeType="1"/>
        </xdr:cNvSpPr>
      </xdr:nvSpPr>
      <xdr:spPr bwMode="auto">
        <a:xfrm flipH="1">
          <a:off x="4324350" y="339756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499" name="Line 82">
          <a:extLst>
            <a:ext uri="{FF2B5EF4-FFF2-40B4-BE49-F238E27FC236}">
              <a16:creationId xmlns:a16="http://schemas.microsoft.com/office/drawing/2014/main" id="{00000000-0008-0000-0200-0000F3010000}"/>
            </a:ext>
          </a:extLst>
        </xdr:cNvPr>
        <xdr:cNvSpPr>
          <a:spLocks noChangeShapeType="1"/>
        </xdr:cNvSpPr>
      </xdr:nvSpPr>
      <xdr:spPr bwMode="auto">
        <a:xfrm flipH="1">
          <a:off x="4305300" y="3433762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500" name="Line 83">
          <a:extLst>
            <a:ext uri="{FF2B5EF4-FFF2-40B4-BE49-F238E27FC236}">
              <a16:creationId xmlns:a16="http://schemas.microsoft.com/office/drawing/2014/main" id="{00000000-0008-0000-0200-0000F4010000}"/>
            </a:ext>
          </a:extLst>
        </xdr:cNvPr>
        <xdr:cNvSpPr>
          <a:spLocks noChangeShapeType="1"/>
        </xdr:cNvSpPr>
      </xdr:nvSpPr>
      <xdr:spPr bwMode="auto">
        <a:xfrm flipH="1">
          <a:off x="3228975" y="3355657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501" name="Line 84">
          <a:extLst>
            <a:ext uri="{FF2B5EF4-FFF2-40B4-BE49-F238E27FC236}">
              <a16:creationId xmlns:a16="http://schemas.microsoft.com/office/drawing/2014/main" id="{00000000-0008-0000-0200-0000F5010000}"/>
            </a:ext>
          </a:extLst>
        </xdr:cNvPr>
        <xdr:cNvSpPr>
          <a:spLocks noChangeShapeType="1"/>
        </xdr:cNvSpPr>
      </xdr:nvSpPr>
      <xdr:spPr bwMode="auto">
        <a:xfrm flipH="1">
          <a:off x="3848100" y="335565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502" name="Line 85">
          <a:extLst>
            <a:ext uri="{FF2B5EF4-FFF2-40B4-BE49-F238E27FC236}">
              <a16:creationId xmlns:a16="http://schemas.microsoft.com/office/drawing/2014/main" id="{00000000-0008-0000-0200-0000F6010000}"/>
            </a:ext>
          </a:extLst>
        </xdr:cNvPr>
        <xdr:cNvSpPr>
          <a:spLocks noChangeShapeType="1"/>
        </xdr:cNvSpPr>
      </xdr:nvSpPr>
      <xdr:spPr bwMode="auto">
        <a:xfrm flipH="1">
          <a:off x="3038475" y="34051875"/>
          <a:ext cx="2190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503" name="Line 86">
          <a:extLst>
            <a:ext uri="{FF2B5EF4-FFF2-40B4-BE49-F238E27FC236}">
              <a16:creationId xmlns:a16="http://schemas.microsoft.com/office/drawing/2014/main" id="{00000000-0008-0000-0200-0000F7010000}"/>
            </a:ext>
          </a:extLst>
        </xdr:cNvPr>
        <xdr:cNvSpPr>
          <a:spLocks noChangeShapeType="1"/>
        </xdr:cNvSpPr>
      </xdr:nvSpPr>
      <xdr:spPr bwMode="auto">
        <a:xfrm flipH="1">
          <a:off x="3648075" y="34385250"/>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504" name="Line 87">
          <a:extLst>
            <a:ext uri="{FF2B5EF4-FFF2-40B4-BE49-F238E27FC236}">
              <a16:creationId xmlns:a16="http://schemas.microsoft.com/office/drawing/2014/main" id="{00000000-0008-0000-0200-0000F8010000}"/>
            </a:ext>
          </a:extLst>
        </xdr:cNvPr>
        <xdr:cNvSpPr>
          <a:spLocks noChangeShapeType="1"/>
        </xdr:cNvSpPr>
      </xdr:nvSpPr>
      <xdr:spPr bwMode="auto">
        <a:xfrm flipH="1" flipV="1">
          <a:off x="3028950" y="34337625"/>
          <a:ext cx="695325"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247650</xdr:colOff>
      <xdr:row>175</xdr:row>
      <xdr:rowOff>104775</xdr:rowOff>
    </xdr:from>
    <xdr:to>
      <xdr:col>6</xdr:col>
      <xdr:colOff>1247775</xdr:colOff>
      <xdr:row>183</xdr:row>
      <xdr:rowOff>180975</xdr:rowOff>
    </xdr:to>
    <xdr:sp macro="" textlink="">
      <xdr:nvSpPr>
        <xdr:cNvPr id="505" name="Oval 88">
          <a:extLst>
            <a:ext uri="{FF2B5EF4-FFF2-40B4-BE49-F238E27FC236}">
              <a16:creationId xmlns:a16="http://schemas.microsoft.com/office/drawing/2014/main" id="{00000000-0008-0000-0200-0000F9010000}"/>
            </a:ext>
          </a:extLst>
        </xdr:cNvPr>
        <xdr:cNvSpPr>
          <a:spLocks noChangeArrowheads="1"/>
        </xdr:cNvSpPr>
      </xdr:nvSpPr>
      <xdr:spPr bwMode="auto">
        <a:xfrm>
          <a:off x="2905125" y="33327975"/>
          <a:ext cx="1752600" cy="1600200"/>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506" name="Line 89">
          <a:extLst>
            <a:ext uri="{FF2B5EF4-FFF2-40B4-BE49-F238E27FC236}">
              <a16:creationId xmlns:a16="http://schemas.microsoft.com/office/drawing/2014/main" id="{00000000-0008-0000-0200-0000FA010000}"/>
            </a:ext>
          </a:extLst>
        </xdr:cNvPr>
        <xdr:cNvSpPr>
          <a:spLocks noChangeShapeType="1"/>
        </xdr:cNvSpPr>
      </xdr:nvSpPr>
      <xdr:spPr bwMode="auto">
        <a:xfrm flipV="1">
          <a:off x="2181225" y="33899475"/>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507" name="Tegning 312">
          <a:extLst>
            <a:ext uri="{FF2B5EF4-FFF2-40B4-BE49-F238E27FC236}">
              <a16:creationId xmlns:a16="http://schemas.microsoft.com/office/drawing/2014/main" id="{00000000-0008-0000-0200-0000FB010000}"/>
            </a:ext>
          </a:extLst>
        </xdr:cNvPr>
        <xdr:cNvSpPr>
          <a:spLocks/>
        </xdr:cNvSpPr>
      </xdr:nvSpPr>
      <xdr:spPr bwMode="auto">
        <a:xfrm>
          <a:off x="1543050" y="33099375"/>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179</xdr:row>
      <xdr:rowOff>180975</xdr:rowOff>
    </xdr:from>
    <xdr:to>
      <xdr:col>3</xdr:col>
      <xdr:colOff>85725</xdr:colOff>
      <xdr:row>180</xdr:row>
      <xdr:rowOff>76200</xdr:rowOff>
    </xdr:to>
    <xdr:sp macro="" textlink="">
      <xdr:nvSpPr>
        <xdr:cNvPr id="508" name="AutoShape 130">
          <a:extLst>
            <a:ext uri="{FF2B5EF4-FFF2-40B4-BE49-F238E27FC236}">
              <a16:creationId xmlns:a16="http://schemas.microsoft.com/office/drawing/2014/main" id="{00000000-0008-0000-0200-0000FC010000}"/>
            </a:ext>
          </a:extLst>
        </xdr:cNvPr>
        <xdr:cNvSpPr>
          <a:spLocks noChangeArrowheads="1"/>
        </xdr:cNvSpPr>
      </xdr:nvSpPr>
      <xdr:spPr bwMode="auto">
        <a:xfrm flipH="1" flipV="1">
          <a:off x="1962150" y="34166175"/>
          <a:ext cx="85725" cy="8572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247650</xdr:colOff>
      <xdr:row>174</xdr:row>
      <xdr:rowOff>76200</xdr:rowOff>
    </xdr:from>
    <xdr:to>
      <xdr:col>2</xdr:col>
      <xdr:colOff>457200</xdr:colOff>
      <xdr:row>177</xdr:row>
      <xdr:rowOff>76200</xdr:rowOff>
    </xdr:to>
    <xdr:sp macro="" textlink="">
      <xdr:nvSpPr>
        <xdr:cNvPr id="510" name="Freeform 7925">
          <a:extLst>
            <a:ext uri="{FF2B5EF4-FFF2-40B4-BE49-F238E27FC236}">
              <a16:creationId xmlns:a16="http://schemas.microsoft.com/office/drawing/2014/main" id="{00000000-0008-0000-0200-0000FE010000}"/>
            </a:ext>
          </a:extLst>
        </xdr:cNvPr>
        <xdr:cNvSpPr>
          <a:spLocks/>
        </xdr:cNvSpPr>
      </xdr:nvSpPr>
      <xdr:spPr bwMode="auto">
        <a:xfrm>
          <a:off x="1381125" y="33108900"/>
          <a:ext cx="457200" cy="57150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511" name="Line 7926">
          <a:extLst>
            <a:ext uri="{FF2B5EF4-FFF2-40B4-BE49-F238E27FC236}">
              <a16:creationId xmlns:a16="http://schemas.microsoft.com/office/drawing/2014/main" id="{00000000-0008-0000-0200-0000FF010000}"/>
            </a:ext>
          </a:extLst>
        </xdr:cNvPr>
        <xdr:cNvSpPr>
          <a:spLocks noChangeShapeType="1"/>
        </xdr:cNvSpPr>
      </xdr:nvSpPr>
      <xdr:spPr bwMode="auto">
        <a:xfrm>
          <a:off x="1790700" y="331565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512" name="Line 7927">
          <a:extLst>
            <a:ext uri="{FF2B5EF4-FFF2-40B4-BE49-F238E27FC236}">
              <a16:creationId xmlns:a16="http://schemas.microsoft.com/office/drawing/2014/main" id="{00000000-0008-0000-0200-000000020000}"/>
            </a:ext>
          </a:extLst>
        </xdr:cNvPr>
        <xdr:cNvSpPr>
          <a:spLocks noChangeShapeType="1"/>
        </xdr:cNvSpPr>
      </xdr:nvSpPr>
      <xdr:spPr bwMode="auto">
        <a:xfrm>
          <a:off x="1562100" y="331374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513" name="Line 7928">
          <a:extLst>
            <a:ext uri="{FF2B5EF4-FFF2-40B4-BE49-F238E27FC236}">
              <a16:creationId xmlns:a16="http://schemas.microsoft.com/office/drawing/2014/main" id="{00000000-0008-0000-0200-000001020000}"/>
            </a:ext>
          </a:extLst>
        </xdr:cNvPr>
        <xdr:cNvSpPr>
          <a:spLocks noChangeShapeType="1"/>
        </xdr:cNvSpPr>
      </xdr:nvSpPr>
      <xdr:spPr bwMode="auto">
        <a:xfrm>
          <a:off x="1924050" y="33442275"/>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514" name="Line 7929">
          <a:extLst>
            <a:ext uri="{FF2B5EF4-FFF2-40B4-BE49-F238E27FC236}">
              <a16:creationId xmlns:a16="http://schemas.microsoft.com/office/drawing/2014/main" id="{00000000-0008-0000-0200-000002020000}"/>
            </a:ext>
          </a:extLst>
        </xdr:cNvPr>
        <xdr:cNvSpPr>
          <a:spLocks noChangeShapeType="1"/>
        </xdr:cNvSpPr>
      </xdr:nvSpPr>
      <xdr:spPr bwMode="auto">
        <a:xfrm flipH="1">
          <a:off x="1143000" y="33413700"/>
          <a:ext cx="1019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515" name="Line 7930">
          <a:extLst>
            <a:ext uri="{FF2B5EF4-FFF2-40B4-BE49-F238E27FC236}">
              <a16:creationId xmlns:a16="http://schemas.microsoft.com/office/drawing/2014/main" id="{00000000-0008-0000-0200-000003020000}"/>
            </a:ext>
          </a:extLst>
        </xdr:cNvPr>
        <xdr:cNvSpPr>
          <a:spLocks noChangeShapeType="1"/>
        </xdr:cNvSpPr>
      </xdr:nvSpPr>
      <xdr:spPr bwMode="auto">
        <a:xfrm flipH="1">
          <a:off x="1533525" y="333756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516" name="Line 7931">
          <a:extLst>
            <a:ext uri="{FF2B5EF4-FFF2-40B4-BE49-F238E27FC236}">
              <a16:creationId xmlns:a16="http://schemas.microsoft.com/office/drawing/2014/main" id="{00000000-0008-0000-0200-000004020000}"/>
            </a:ext>
          </a:extLst>
        </xdr:cNvPr>
        <xdr:cNvSpPr>
          <a:spLocks noChangeShapeType="1"/>
        </xdr:cNvSpPr>
      </xdr:nvSpPr>
      <xdr:spPr bwMode="auto">
        <a:xfrm flipH="1">
          <a:off x="1752600" y="333756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517" name="Line 7932">
          <a:extLst>
            <a:ext uri="{FF2B5EF4-FFF2-40B4-BE49-F238E27FC236}">
              <a16:creationId xmlns:a16="http://schemas.microsoft.com/office/drawing/2014/main" id="{00000000-0008-0000-0200-000005020000}"/>
            </a:ext>
          </a:extLst>
        </xdr:cNvPr>
        <xdr:cNvSpPr>
          <a:spLocks noChangeShapeType="1"/>
        </xdr:cNvSpPr>
      </xdr:nvSpPr>
      <xdr:spPr bwMode="auto">
        <a:xfrm flipH="1">
          <a:off x="1800225" y="333756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518" name="Line 7933">
          <a:extLst>
            <a:ext uri="{FF2B5EF4-FFF2-40B4-BE49-F238E27FC236}">
              <a16:creationId xmlns:a16="http://schemas.microsoft.com/office/drawing/2014/main" id="{00000000-0008-0000-0200-000006020000}"/>
            </a:ext>
          </a:extLst>
        </xdr:cNvPr>
        <xdr:cNvSpPr>
          <a:spLocks noChangeShapeType="1"/>
        </xdr:cNvSpPr>
      </xdr:nvSpPr>
      <xdr:spPr bwMode="auto">
        <a:xfrm flipH="1">
          <a:off x="1895475" y="335661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519" name="Line 7934">
          <a:extLst>
            <a:ext uri="{FF2B5EF4-FFF2-40B4-BE49-F238E27FC236}">
              <a16:creationId xmlns:a16="http://schemas.microsoft.com/office/drawing/2014/main" id="{00000000-0008-0000-0200-000007020000}"/>
            </a:ext>
          </a:extLst>
        </xdr:cNvPr>
        <xdr:cNvSpPr>
          <a:spLocks noChangeShapeType="1"/>
        </xdr:cNvSpPr>
      </xdr:nvSpPr>
      <xdr:spPr bwMode="auto">
        <a:xfrm>
          <a:off x="1838325" y="33604200"/>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520" name="Line 7935">
          <a:extLst>
            <a:ext uri="{FF2B5EF4-FFF2-40B4-BE49-F238E27FC236}">
              <a16:creationId xmlns:a16="http://schemas.microsoft.com/office/drawing/2014/main" id="{00000000-0008-0000-0200-000008020000}"/>
            </a:ext>
          </a:extLst>
        </xdr:cNvPr>
        <xdr:cNvSpPr>
          <a:spLocks noChangeShapeType="1"/>
        </xdr:cNvSpPr>
      </xdr:nvSpPr>
      <xdr:spPr bwMode="auto">
        <a:xfrm flipH="1">
          <a:off x="1800225" y="335661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521" name="Tegning 344">
          <a:extLst>
            <a:ext uri="{FF2B5EF4-FFF2-40B4-BE49-F238E27FC236}">
              <a16:creationId xmlns:a16="http://schemas.microsoft.com/office/drawing/2014/main" id="{00000000-0008-0000-0200-000009020000}"/>
            </a:ext>
          </a:extLst>
        </xdr:cNvPr>
        <xdr:cNvSpPr>
          <a:spLocks/>
        </xdr:cNvSpPr>
      </xdr:nvSpPr>
      <xdr:spPr bwMode="auto">
        <a:xfrm>
          <a:off x="1990725" y="32708850"/>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133350</xdr:rowOff>
    </xdr:from>
    <xdr:to>
      <xdr:col>5</xdr:col>
      <xdr:colOff>523875</xdr:colOff>
      <xdr:row>172</xdr:row>
      <xdr:rowOff>66675</xdr:rowOff>
    </xdr:to>
    <xdr:sp macro="" textlink="">
      <xdr:nvSpPr>
        <xdr:cNvPr id="522" name="Tegning 344">
          <a:extLst>
            <a:ext uri="{FF2B5EF4-FFF2-40B4-BE49-F238E27FC236}">
              <a16:creationId xmlns:a16="http://schemas.microsoft.com/office/drawing/2014/main" id="{00000000-0008-0000-0200-00000A020000}"/>
            </a:ext>
          </a:extLst>
        </xdr:cNvPr>
        <xdr:cNvSpPr>
          <a:spLocks/>
        </xdr:cNvSpPr>
      </xdr:nvSpPr>
      <xdr:spPr bwMode="auto">
        <a:xfrm flipV="1">
          <a:off x="1990725" y="32404050"/>
          <a:ext cx="1190625" cy="3143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133350</xdr:rowOff>
    </xdr:from>
    <xdr:to>
      <xdr:col>5</xdr:col>
      <xdr:colOff>200025</xdr:colOff>
      <xdr:row>172</xdr:row>
      <xdr:rowOff>104775</xdr:rowOff>
    </xdr:to>
    <xdr:sp macro="" textlink="">
      <xdr:nvSpPr>
        <xdr:cNvPr id="523" name="Tegning 344">
          <a:extLst>
            <a:ext uri="{FF2B5EF4-FFF2-40B4-BE49-F238E27FC236}">
              <a16:creationId xmlns:a16="http://schemas.microsoft.com/office/drawing/2014/main" id="{00000000-0008-0000-0200-00000B020000}"/>
            </a:ext>
          </a:extLst>
        </xdr:cNvPr>
        <xdr:cNvSpPr>
          <a:spLocks/>
        </xdr:cNvSpPr>
      </xdr:nvSpPr>
      <xdr:spPr bwMode="auto">
        <a:xfrm flipV="1">
          <a:off x="1581150" y="32404050"/>
          <a:ext cx="1276350" cy="3524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524" name="Tegning 344">
          <a:extLst>
            <a:ext uri="{FF2B5EF4-FFF2-40B4-BE49-F238E27FC236}">
              <a16:creationId xmlns:a16="http://schemas.microsoft.com/office/drawing/2014/main" id="{00000000-0008-0000-0200-00000C020000}"/>
            </a:ext>
          </a:extLst>
        </xdr:cNvPr>
        <xdr:cNvSpPr>
          <a:spLocks/>
        </xdr:cNvSpPr>
      </xdr:nvSpPr>
      <xdr:spPr bwMode="auto">
        <a:xfrm>
          <a:off x="1581150" y="32585025"/>
          <a:ext cx="12668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525" name="Oval 7940">
          <a:extLst>
            <a:ext uri="{FF2B5EF4-FFF2-40B4-BE49-F238E27FC236}">
              <a16:creationId xmlns:a16="http://schemas.microsoft.com/office/drawing/2014/main" id="{00000000-0008-0000-0200-00000D020000}"/>
            </a:ext>
          </a:extLst>
        </xdr:cNvPr>
        <xdr:cNvSpPr>
          <a:spLocks noChangeArrowheads="1"/>
        </xdr:cNvSpPr>
      </xdr:nvSpPr>
      <xdr:spPr bwMode="auto">
        <a:xfrm>
          <a:off x="1609725" y="329469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228600</xdr:colOff>
      <xdr:row>170</xdr:row>
      <xdr:rowOff>161925</xdr:rowOff>
    </xdr:from>
    <xdr:to>
      <xdr:col>2</xdr:col>
      <xdr:colOff>266700</xdr:colOff>
      <xdr:row>171</xdr:row>
      <xdr:rowOff>9525</xdr:rowOff>
    </xdr:to>
    <xdr:sp macro="" textlink="">
      <xdr:nvSpPr>
        <xdr:cNvPr id="526" name="Oval 7941">
          <a:extLst>
            <a:ext uri="{FF2B5EF4-FFF2-40B4-BE49-F238E27FC236}">
              <a16:creationId xmlns:a16="http://schemas.microsoft.com/office/drawing/2014/main" id="{00000000-0008-0000-0200-00000E020000}"/>
            </a:ext>
          </a:extLst>
        </xdr:cNvPr>
        <xdr:cNvSpPr>
          <a:spLocks noChangeArrowheads="1"/>
        </xdr:cNvSpPr>
      </xdr:nvSpPr>
      <xdr:spPr bwMode="auto">
        <a:xfrm>
          <a:off x="1609725" y="324326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161925</xdr:rowOff>
    </xdr:from>
    <xdr:to>
      <xdr:col>3</xdr:col>
      <xdr:colOff>95250</xdr:colOff>
      <xdr:row>171</xdr:row>
      <xdr:rowOff>9525</xdr:rowOff>
    </xdr:to>
    <xdr:sp macro="" textlink="">
      <xdr:nvSpPr>
        <xdr:cNvPr id="527" name="Oval 7942">
          <a:extLst>
            <a:ext uri="{FF2B5EF4-FFF2-40B4-BE49-F238E27FC236}">
              <a16:creationId xmlns:a16="http://schemas.microsoft.com/office/drawing/2014/main" id="{00000000-0008-0000-0200-00000F020000}"/>
            </a:ext>
          </a:extLst>
        </xdr:cNvPr>
        <xdr:cNvSpPr>
          <a:spLocks noChangeArrowheads="1"/>
        </xdr:cNvSpPr>
      </xdr:nvSpPr>
      <xdr:spPr bwMode="auto">
        <a:xfrm>
          <a:off x="2019300" y="324326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528" name="Oval 7943">
          <a:extLst>
            <a:ext uri="{FF2B5EF4-FFF2-40B4-BE49-F238E27FC236}">
              <a16:creationId xmlns:a16="http://schemas.microsoft.com/office/drawing/2014/main" id="{00000000-0008-0000-0200-000010020000}"/>
            </a:ext>
          </a:extLst>
        </xdr:cNvPr>
        <xdr:cNvSpPr>
          <a:spLocks noChangeArrowheads="1"/>
        </xdr:cNvSpPr>
      </xdr:nvSpPr>
      <xdr:spPr bwMode="auto">
        <a:xfrm>
          <a:off x="2019300" y="3307080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183</xdr:row>
      <xdr:rowOff>47625</xdr:rowOff>
    </xdr:from>
    <xdr:to>
      <xdr:col>2</xdr:col>
      <xdr:colOff>371475</xdr:colOff>
      <xdr:row>184</xdr:row>
      <xdr:rowOff>123825</xdr:rowOff>
    </xdr:to>
    <xdr:sp macro="" textlink="">
      <xdr:nvSpPr>
        <xdr:cNvPr id="529" name="Tegning 312">
          <a:extLst>
            <a:ext uri="{FF2B5EF4-FFF2-40B4-BE49-F238E27FC236}">
              <a16:creationId xmlns:a16="http://schemas.microsoft.com/office/drawing/2014/main" id="{00000000-0008-0000-0200-000011020000}"/>
            </a:ext>
          </a:extLst>
        </xdr:cNvPr>
        <xdr:cNvSpPr>
          <a:spLocks/>
        </xdr:cNvSpPr>
      </xdr:nvSpPr>
      <xdr:spPr bwMode="auto">
        <a:xfrm>
          <a:off x="1562100" y="34794825"/>
          <a:ext cx="190500" cy="2667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530" name="Line 7945">
          <a:extLst>
            <a:ext uri="{FF2B5EF4-FFF2-40B4-BE49-F238E27FC236}">
              <a16:creationId xmlns:a16="http://schemas.microsoft.com/office/drawing/2014/main" id="{00000000-0008-0000-0200-000012020000}"/>
            </a:ext>
          </a:extLst>
        </xdr:cNvPr>
        <xdr:cNvSpPr>
          <a:spLocks noChangeShapeType="1"/>
        </xdr:cNvSpPr>
      </xdr:nvSpPr>
      <xdr:spPr bwMode="auto">
        <a:xfrm flipH="1">
          <a:off x="2057400" y="3420427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531" name="Line 7946">
          <a:extLst>
            <a:ext uri="{FF2B5EF4-FFF2-40B4-BE49-F238E27FC236}">
              <a16:creationId xmlns:a16="http://schemas.microsoft.com/office/drawing/2014/main" id="{00000000-0008-0000-0200-000013020000}"/>
            </a:ext>
          </a:extLst>
        </xdr:cNvPr>
        <xdr:cNvSpPr>
          <a:spLocks noChangeShapeType="1"/>
        </xdr:cNvSpPr>
      </xdr:nvSpPr>
      <xdr:spPr bwMode="auto">
        <a:xfrm>
          <a:off x="2019300" y="33956625"/>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476250</xdr:colOff>
      <xdr:row>180</xdr:row>
      <xdr:rowOff>38100</xdr:rowOff>
    </xdr:from>
    <xdr:to>
      <xdr:col>3</xdr:col>
      <xdr:colOff>38100</xdr:colOff>
      <xdr:row>181</xdr:row>
      <xdr:rowOff>57150</xdr:rowOff>
    </xdr:to>
    <xdr:sp macro="" textlink="">
      <xdr:nvSpPr>
        <xdr:cNvPr id="532" name="Line 7947">
          <a:extLst>
            <a:ext uri="{FF2B5EF4-FFF2-40B4-BE49-F238E27FC236}">
              <a16:creationId xmlns:a16="http://schemas.microsoft.com/office/drawing/2014/main" id="{00000000-0008-0000-0200-000014020000}"/>
            </a:ext>
          </a:extLst>
        </xdr:cNvPr>
        <xdr:cNvSpPr>
          <a:spLocks noChangeShapeType="1"/>
        </xdr:cNvSpPr>
      </xdr:nvSpPr>
      <xdr:spPr bwMode="auto">
        <a:xfrm flipV="1">
          <a:off x="1857375" y="34213800"/>
          <a:ext cx="142875"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533" name="Line 7948">
          <a:extLst>
            <a:ext uri="{FF2B5EF4-FFF2-40B4-BE49-F238E27FC236}">
              <a16:creationId xmlns:a16="http://schemas.microsoft.com/office/drawing/2014/main" id="{00000000-0008-0000-0200-000015020000}"/>
            </a:ext>
          </a:extLst>
        </xdr:cNvPr>
        <xdr:cNvSpPr>
          <a:spLocks noChangeShapeType="1"/>
        </xdr:cNvSpPr>
      </xdr:nvSpPr>
      <xdr:spPr bwMode="auto">
        <a:xfrm flipH="1">
          <a:off x="2990850" y="34337625"/>
          <a:ext cx="1428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534" name="Line 7949">
          <a:extLst>
            <a:ext uri="{FF2B5EF4-FFF2-40B4-BE49-F238E27FC236}">
              <a16:creationId xmlns:a16="http://schemas.microsoft.com/office/drawing/2014/main" id="{00000000-0008-0000-0200-000016020000}"/>
            </a:ext>
          </a:extLst>
        </xdr:cNvPr>
        <xdr:cNvSpPr>
          <a:spLocks noChangeShapeType="1"/>
        </xdr:cNvSpPr>
      </xdr:nvSpPr>
      <xdr:spPr bwMode="auto">
        <a:xfrm flipH="1">
          <a:off x="3609975" y="34699575"/>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535" name="Line 7950">
          <a:extLst>
            <a:ext uri="{FF2B5EF4-FFF2-40B4-BE49-F238E27FC236}">
              <a16:creationId xmlns:a16="http://schemas.microsoft.com/office/drawing/2014/main" id="{00000000-0008-0000-0200-000017020000}"/>
            </a:ext>
          </a:extLst>
        </xdr:cNvPr>
        <xdr:cNvSpPr>
          <a:spLocks noChangeShapeType="1"/>
        </xdr:cNvSpPr>
      </xdr:nvSpPr>
      <xdr:spPr bwMode="auto">
        <a:xfrm>
          <a:off x="2019300" y="343376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536" name="Line 7951">
          <a:extLst>
            <a:ext uri="{FF2B5EF4-FFF2-40B4-BE49-F238E27FC236}">
              <a16:creationId xmlns:a16="http://schemas.microsoft.com/office/drawing/2014/main" id="{00000000-0008-0000-0200-000018020000}"/>
            </a:ext>
          </a:extLst>
        </xdr:cNvPr>
        <xdr:cNvSpPr>
          <a:spLocks noChangeShapeType="1"/>
        </xdr:cNvSpPr>
      </xdr:nvSpPr>
      <xdr:spPr bwMode="auto">
        <a:xfrm flipH="1">
          <a:off x="1590675" y="34499550"/>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537" name="Line 7952">
          <a:extLst>
            <a:ext uri="{FF2B5EF4-FFF2-40B4-BE49-F238E27FC236}">
              <a16:creationId xmlns:a16="http://schemas.microsoft.com/office/drawing/2014/main" id="{00000000-0008-0000-0200-000019020000}"/>
            </a:ext>
          </a:extLst>
        </xdr:cNvPr>
        <xdr:cNvSpPr>
          <a:spLocks noChangeShapeType="1"/>
        </xdr:cNvSpPr>
      </xdr:nvSpPr>
      <xdr:spPr bwMode="auto">
        <a:xfrm flipV="1">
          <a:off x="1990725" y="31927800"/>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0</xdr:rowOff>
    </xdr:to>
    <xdr:sp macro="" textlink="">
      <xdr:nvSpPr>
        <xdr:cNvPr id="538" name="Line 7953">
          <a:extLst>
            <a:ext uri="{FF2B5EF4-FFF2-40B4-BE49-F238E27FC236}">
              <a16:creationId xmlns:a16="http://schemas.microsoft.com/office/drawing/2014/main" id="{00000000-0008-0000-0200-00001A020000}"/>
            </a:ext>
          </a:extLst>
        </xdr:cNvPr>
        <xdr:cNvSpPr>
          <a:spLocks noChangeShapeType="1"/>
        </xdr:cNvSpPr>
      </xdr:nvSpPr>
      <xdr:spPr bwMode="auto">
        <a:xfrm flipV="1">
          <a:off x="1924050" y="32108775"/>
          <a:ext cx="0" cy="733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571500</xdr:colOff>
      <xdr:row>168</xdr:row>
      <xdr:rowOff>85725</xdr:rowOff>
    </xdr:from>
    <xdr:to>
      <xdr:col>3</xdr:col>
      <xdr:colOff>295275</xdr:colOff>
      <xdr:row>168</xdr:row>
      <xdr:rowOff>85725</xdr:rowOff>
    </xdr:to>
    <xdr:sp macro="" textlink="">
      <xdr:nvSpPr>
        <xdr:cNvPr id="539" name="Line 7954">
          <a:extLst>
            <a:ext uri="{FF2B5EF4-FFF2-40B4-BE49-F238E27FC236}">
              <a16:creationId xmlns:a16="http://schemas.microsoft.com/office/drawing/2014/main" id="{00000000-0008-0000-0200-00001B020000}"/>
            </a:ext>
          </a:extLst>
        </xdr:cNvPr>
        <xdr:cNvSpPr>
          <a:spLocks noChangeShapeType="1"/>
        </xdr:cNvSpPr>
      </xdr:nvSpPr>
      <xdr:spPr bwMode="auto">
        <a:xfrm flipH="1">
          <a:off x="1952625" y="31975425"/>
          <a:ext cx="304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540" name="Line 7955">
          <a:extLst>
            <a:ext uri="{FF2B5EF4-FFF2-40B4-BE49-F238E27FC236}">
              <a16:creationId xmlns:a16="http://schemas.microsoft.com/office/drawing/2014/main" id="{00000000-0008-0000-0200-00001C020000}"/>
            </a:ext>
          </a:extLst>
        </xdr:cNvPr>
        <xdr:cNvSpPr>
          <a:spLocks noChangeShapeType="1"/>
        </xdr:cNvSpPr>
      </xdr:nvSpPr>
      <xdr:spPr bwMode="auto">
        <a:xfrm flipH="1">
          <a:off x="1876425" y="32175450"/>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541" name="Line 7956">
          <a:extLst>
            <a:ext uri="{FF2B5EF4-FFF2-40B4-BE49-F238E27FC236}">
              <a16:creationId xmlns:a16="http://schemas.microsoft.com/office/drawing/2014/main" id="{00000000-0008-0000-0200-00001D020000}"/>
            </a:ext>
          </a:extLst>
        </xdr:cNvPr>
        <xdr:cNvSpPr>
          <a:spLocks noChangeShapeType="1"/>
        </xdr:cNvSpPr>
      </xdr:nvSpPr>
      <xdr:spPr bwMode="auto">
        <a:xfrm flipH="1">
          <a:off x="1962150" y="32146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542" name="Line 7957">
          <a:extLst>
            <a:ext uri="{FF2B5EF4-FFF2-40B4-BE49-F238E27FC236}">
              <a16:creationId xmlns:a16="http://schemas.microsoft.com/office/drawing/2014/main" id="{00000000-0008-0000-0200-00001E020000}"/>
            </a:ext>
          </a:extLst>
        </xdr:cNvPr>
        <xdr:cNvSpPr>
          <a:spLocks noChangeShapeType="1"/>
        </xdr:cNvSpPr>
      </xdr:nvSpPr>
      <xdr:spPr bwMode="auto">
        <a:xfrm flipH="1">
          <a:off x="1895475" y="321468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543" name="Line 7958">
          <a:extLst>
            <a:ext uri="{FF2B5EF4-FFF2-40B4-BE49-F238E27FC236}">
              <a16:creationId xmlns:a16="http://schemas.microsoft.com/office/drawing/2014/main" id="{00000000-0008-0000-0200-00001F020000}"/>
            </a:ext>
          </a:extLst>
        </xdr:cNvPr>
        <xdr:cNvSpPr>
          <a:spLocks noChangeShapeType="1"/>
        </xdr:cNvSpPr>
      </xdr:nvSpPr>
      <xdr:spPr bwMode="auto">
        <a:xfrm flipH="1">
          <a:off x="1981200" y="345090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544" name="Line 7959">
          <a:extLst>
            <a:ext uri="{FF2B5EF4-FFF2-40B4-BE49-F238E27FC236}">
              <a16:creationId xmlns:a16="http://schemas.microsoft.com/office/drawing/2014/main" id="{00000000-0008-0000-0200-000020020000}"/>
            </a:ext>
          </a:extLst>
        </xdr:cNvPr>
        <xdr:cNvSpPr>
          <a:spLocks noChangeShapeType="1"/>
        </xdr:cNvSpPr>
      </xdr:nvSpPr>
      <xdr:spPr bwMode="auto">
        <a:xfrm flipH="1">
          <a:off x="1981200" y="32766000"/>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545" name="Line 7960">
          <a:extLst>
            <a:ext uri="{FF2B5EF4-FFF2-40B4-BE49-F238E27FC236}">
              <a16:creationId xmlns:a16="http://schemas.microsoft.com/office/drawing/2014/main" id="{00000000-0008-0000-0200-000021020000}"/>
            </a:ext>
          </a:extLst>
        </xdr:cNvPr>
        <xdr:cNvSpPr>
          <a:spLocks noChangeShapeType="1"/>
        </xdr:cNvSpPr>
      </xdr:nvSpPr>
      <xdr:spPr bwMode="auto">
        <a:xfrm flipH="1">
          <a:off x="2390775" y="32832675"/>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276225</xdr:colOff>
      <xdr:row>171</xdr:row>
      <xdr:rowOff>0</xdr:rowOff>
    </xdr:from>
    <xdr:to>
      <xdr:col>5</xdr:col>
      <xdr:colOff>695325</xdr:colOff>
      <xdr:row>171</xdr:row>
      <xdr:rowOff>0</xdr:rowOff>
    </xdr:to>
    <xdr:sp macro="" textlink="">
      <xdr:nvSpPr>
        <xdr:cNvPr id="546" name="Line 7961">
          <a:extLst>
            <a:ext uri="{FF2B5EF4-FFF2-40B4-BE49-F238E27FC236}">
              <a16:creationId xmlns:a16="http://schemas.microsoft.com/office/drawing/2014/main" id="{00000000-0008-0000-0200-000022020000}"/>
            </a:ext>
          </a:extLst>
        </xdr:cNvPr>
        <xdr:cNvSpPr>
          <a:spLocks noChangeShapeType="1"/>
        </xdr:cNvSpPr>
      </xdr:nvSpPr>
      <xdr:spPr bwMode="auto">
        <a:xfrm>
          <a:off x="2238375" y="32461200"/>
          <a:ext cx="1114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95250</xdr:rowOff>
    </xdr:to>
    <xdr:sp macro="" textlink="">
      <xdr:nvSpPr>
        <xdr:cNvPr id="547" name="Line 7962">
          <a:extLst>
            <a:ext uri="{FF2B5EF4-FFF2-40B4-BE49-F238E27FC236}">
              <a16:creationId xmlns:a16="http://schemas.microsoft.com/office/drawing/2014/main" id="{00000000-0008-0000-0200-000023020000}"/>
            </a:ext>
          </a:extLst>
        </xdr:cNvPr>
        <xdr:cNvSpPr>
          <a:spLocks noChangeShapeType="1"/>
        </xdr:cNvSpPr>
      </xdr:nvSpPr>
      <xdr:spPr bwMode="auto">
        <a:xfrm>
          <a:off x="3009900" y="322611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548" name="Line 7963">
          <a:extLst>
            <a:ext uri="{FF2B5EF4-FFF2-40B4-BE49-F238E27FC236}">
              <a16:creationId xmlns:a16="http://schemas.microsoft.com/office/drawing/2014/main" id="{00000000-0008-0000-0200-000024020000}"/>
            </a:ext>
          </a:extLst>
        </xdr:cNvPr>
        <xdr:cNvSpPr>
          <a:spLocks noChangeShapeType="1"/>
        </xdr:cNvSpPr>
      </xdr:nvSpPr>
      <xdr:spPr bwMode="auto">
        <a:xfrm flipH="1">
          <a:off x="2962275" y="32280225"/>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170</xdr:row>
      <xdr:rowOff>161925</xdr:rowOff>
    </xdr:from>
    <xdr:to>
      <xdr:col>5</xdr:col>
      <xdr:colOff>390525</xdr:colOff>
      <xdr:row>171</xdr:row>
      <xdr:rowOff>28575</xdr:rowOff>
    </xdr:to>
    <xdr:sp macro="" textlink="">
      <xdr:nvSpPr>
        <xdr:cNvPr id="549" name="Line 7964">
          <a:extLst>
            <a:ext uri="{FF2B5EF4-FFF2-40B4-BE49-F238E27FC236}">
              <a16:creationId xmlns:a16="http://schemas.microsoft.com/office/drawing/2014/main" id="{00000000-0008-0000-0200-000025020000}"/>
            </a:ext>
          </a:extLst>
        </xdr:cNvPr>
        <xdr:cNvSpPr>
          <a:spLocks noChangeShapeType="1"/>
        </xdr:cNvSpPr>
      </xdr:nvSpPr>
      <xdr:spPr bwMode="auto">
        <a:xfrm flipH="1">
          <a:off x="2971800" y="3243262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169</xdr:row>
      <xdr:rowOff>171450</xdr:rowOff>
    </xdr:from>
    <xdr:to>
      <xdr:col>3</xdr:col>
      <xdr:colOff>76200</xdr:colOff>
      <xdr:row>170</xdr:row>
      <xdr:rowOff>161925</xdr:rowOff>
    </xdr:to>
    <xdr:sp macro="" textlink="">
      <xdr:nvSpPr>
        <xdr:cNvPr id="550" name="Line 7965">
          <a:extLst>
            <a:ext uri="{FF2B5EF4-FFF2-40B4-BE49-F238E27FC236}">
              <a16:creationId xmlns:a16="http://schemas.microsoft.com/office/drawing/2014/main" id="{00000000-0008-0000-0200-000026020000}"/>
            </a:ext>
          </a:extLst>
        </xdr:cNvPr>
        <xdr:cNvSpPr>
          <a:spLocks noChangeShapeType="1"/>
        </xdr:cNvSpPr>
      </xdr:nvSpPr>
      <xdr:spPr bwMode="auto">
        <a:xfrm>
          <a:off x="1771650" y="32251650"/>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168</xdr:row>
      <xdr:rowOff>57150</xdr:rowOff>
    </xdr:from>
    <xdr:to>
      <xdr:col>5</xdr:col>
      <xdr:colOff>647700</xdr:colOff>
      <xdr:row>171</xdr:row>
      <xdr:rowOff>28575</xdr:rowOff>
    </xdr:to>
    <xdr:sp macro="" textlink="">
      <xdr:nvSpPr>
        <xdr:cNvPr id="551" name="Line 7966">
          <a:extLst>
            <a:ext uri="{FF2B5EF4-FFF2-40B4-BE49-F238E27FC236}">
              <a16:creationId xmlns:a16="http://schemas.microsoft.com/office/drawing/2014/main" id="{00000000-0008-0000-0200-000027020000}"/>
            </a:ext>
          </a:extLst>
        </xdr:cNvPr>
        <xdr:cNvSpPr>
          <a:spLocks noChangeShapeType="1"/>
        </xdr:cNvSpPr>
      </xdr:nvSpPr>
      <xdr:spPr bwMode="auto">
        <a:xfrm flipV="1">
          <a:off x="3305175" y="31946850"/>
          <a:ext cx="0" cy="542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571500</xdr:colOff>
      <xdr:row>174</xdr:row>
      <xdr:rowOff>28575</xdr:rowOff>
    </xdr:from>
    <xdr:to>
      <xdr:col>5</xdr:col>
      <xdr:colOff>419100</xdr:colOff>
      <xdr:row>174</xdr:row>
      <xdr:rowOff>28575</xdr:rowOff>
    </xdr:to>
    <xdr:sp macro="" textlink="">
      <xdr:nvSpPr>
        <xdr:cNvPr id="552" name="Line 7967">
          <a:extLst>
            <a:ext uri="{FF2B5EF4-FFF2-40B4-BE49-F238E27FC236}">
              <a16:creationId xmlns:a16="http://schemas.microsoft.com/office/drawing/2014/main" id="{00000000-0008-0000-0200-000028020000}"/>
            </a:ext>
          </a:extLst>
        </xdr:cNvPr>
        <xdr:cNvSpPr>
          <a:spLocks noChangeShapeType="1"/>
        </xdr:cNvSpPr>
      </xdr:nvSpPr>
      <xdr:spPr bwMode="auto">
        <a:xfrm>
          <a:off x="1952625" y="33061275"/>
          <a:ext cx="1123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447675</xdr:colOff>
      <xdr:row>179</xdr:row>
      <xdr:rowOff>0</xdr:rowOff>
    </xdr:from>
    <xdr:to>
      <xdr:col>3</xdr:col>
      <xdr:colOff>295275</xdr:colOff>
      <xdr:row>181</xdr:row>
      <xdr:rowOff>38100</xdr:rowOff>
    </xdr:to>
    <xdr:sp macro="" textlink="">
      <xdr:nvSpPr>
        <xdr:cNvPr id="553" name="Oval 7968">
          <a:extLst>
            <a:ext uri="{FF2B5EF4-FFF2-40B4-BE49-F238E27FC236}">
              <a16:creationId xmlns:a16="http://schemas.microsoft.com/office/drawing/2014/main" id="{00000000-0008-0000-0200-000029020000}"/>
            </a:ext>
          </a:extLst>
        </xdr:cNvPr>
        <xdr:cNvSpPr>
          <a:spLocks noChangeArrowheads="1"/>
        </xdr:cNvSpPr>
      </xdr:nvSpPr>
      <xdr:spPr bwMode="auto">
        <a:xfrm>
          <a:off x="1828800" y="33985200"/>
          <a:ext cx="428625" cy="419100"/>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554" name="Line 7969">
          <a:extLst>
            <a:ext uri="{FF2B5EF4-FFF2-40B4-BE49-F238E27FC236}">
              <a16:creationId xmlns:a16="http://schemas.microsoft.com/office/drawing/2014/main" id="{00000000-0008-0000-0200-00002A020000}"/>
            </a:ext>
          </a:extLst>
        </xdr:cNvPr>
        <xdr:cNvSpPr>
          <a:spLocks noChangeShapeType="1"/>
        </xdr:cNvSpPr>
      </xdr:nvSpPr>
      <xdr:spPr bwMode="auto">
        <a:xfrm>
          <a:off x="1562100" y="33089850"/>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152400</xdr:rowOff>
    </xdr:from>
    <xdr:to>
      <xdr:col>5</xdr:col>
      <xdr:colOff>676275</xdr:colOff>
      <xdr:row>171</xdr:row>
      <xdr:rowOff>28575</xdr:rowOff>
    </xdr:to>
    <xdr:sp macro="" textlink="">
      <xdr:nvSpPr>
        <xdr:cNvPr id="555" name="Oval 7970">
          <a:extLst>
            <a:ext uri="{FF2B5EF4-FFF2-40B4-BE49-F238E27FC236}">
              <a16:creationId xmlns:a16="http://schemas.microsoft.com/office/drawing/2014/main" id="{00000000-0008-0000-0200-00002B020000}"/>
            </a:ext>
          </a:extLst>
        </xdr:cNvPr>
        <xdr:cNvSpPr>
          <a:spLocks noChangeArrowheads="1"/>
        </xdr:cNvSpPr>
      </xdr:nvSpPr>
      <xdr:spPr bwMode="auto">
        <a:xfrm>
          <a:off x="3267075" y="3242310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57150</xdr:rowOff>
    </xdr:from>
    <xdr:to>
      <xdr:col>3</xdr:col>
      <xdr:colOff>66675</xdr:colOff>
      <xdr:row>168</xdr:row>
      <xdr:rowOff>123825</xdr:rowOff>
    </xdr:to>
    <xdr:sp macro="" textlink="">
      <xdr:nvSpPr>
        <xdr:cNvPr id="556" name="Oval 7971">
          <a:extLst>
            <a:ext uri="{FF2B5EF4-FFF2-40B4-BE49-F238E27FC236}">
              <a16:creationId xmlns:a16="http://schemas.microsoft.com/office/drawing/2014/main" id="{00000000-0008-0000-0200-00002C020000}"/>
            </a:ext>
          </a:extLst>
        </xdr:cNvPr>
        <xdr:cNvSpPr>
          <a:spLocks noChangeArrowheads="1"/>
        </xdr:cNvSpPr>
      </xdr:nvSpPr>
      <xdr:spPr bwMode="auto">
        <a:xfrm>
          <a:off x="1962150" y="319468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557" name="Line 7972">
          <a:extLst>
            <a:ext uri="{FF2B5EF4-FFF2-40B4-BE49-F238E27FC236}">
              <a16:creationId xmlns:a16="http://schemas.microsoft.com/office/drawing/2014/main" id="{00000000-0008-0000-0200-00002D020000}"/>
            </a:ext>
          </a:extLst>
        </xdr:cNvPr>
        <xdr:cNvSpPr>
          <a:spLocks noChangeShapeType="1"/>
        </xdr:cNvSpPr>
      </xdr:nvSpPr>
      <xdr:spPr bwMode="auto">
        <a:xfrm flipH="1">
          <a:off x="1171575" y="34775775"/>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558" name="Line 7973">
          <a:extLst>
            <a:ext uri="{FF2B5EF4-FFF2-40B4-BE49-F238E27FC236}">
              <a16:creationId xmlns:a16="http://schemas.microsoft.com/office/drawing/2014/main" id="{00000000-0008-0000-0200-00002E020000}"/>
            </a:ext>
          </a:extLst>
        </xdr:cNvPr>
        <xdr:cNvSpPr>
          <a:spLocks noChangeShapeType="1"/>
        </xdr:cNvSpPr>
      </xdr:nvSpPr>
      <xdr:spPr bwMode="auto">
        <a:xfrm flipV="1">
          <a:off x="1219200" y="3470910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559" name="Line 7974">
          <a:extLst>
            <a:ext uri="{FF2B5EF4-FFF2-40B4-BE49-F238E27FC236}">
              <a16:creationId xmlns:a16="http://schemas.microsoft.com/office/drawing/2014/main" id="{00000000-0008-0000-0200-00002F020000}"/>
            </a:ext>
          </a:extLst>
        </xdr:cNvPr>
        <xdr:cNvSpPr>
          <a:spLocks noChangeShapeType="1"/>
        </xdr:cNvSpPr>
      </xdr:nvSpPr>
      <xdr:spPr bwMode="auto">
        <a:xfrm flipH="1">
          <a:off x="1171575" y="3473767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560" name="Line 7975">
          <a:extLst>
            <a:ext uri="{FF2B5EF4-FFF2-40B4-BE49-F238E27FC236}">
              <a16:creationId xmlns:a16="http://schemas.microsoft.com/office/drawing/2014/main" id="{00000000-0008-0000-0200-000030020000}"/>
            </a:ext>
          </a:extLst>
        </xdr:cNvPr>
        <xdr:cNvSpPr>
          <a:spLocks noChangeShapeType="1"/>
        </xdr:cNvSpPr>
      </xdr:nvSpPr>
      <xdr:spPr bwMode="auto">
        <a:xfrm>
          <a:off x="2009775" y="33175575"/>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561" name="Line 7977">
          <a:extLst>
            <a:ext uri="{FF2B5EF4-FFF2-40B4-BE49-F238E27FC236}">
              <a16:creationId xmlns:a16="http://schemas.microsoft.com/office/drawing/2014/main" id="{00000000-0008-0000-0200-000031020000}"/>
            </a:ext>
          </a:extLst>
        </xdr:cNvPr>
        <xdr:cNvSpPr>
          <a:spLocks noChangeShapeType="1"/>
        </xdr:cNvSpPr>
      </xdr:nvSpPr>
      <xdr:spPr bwMode="auto">
        <a:xfrm>
          <a:off x="2028825" y="32365950"/>
          <a:ext cx="13811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562" name="Line 7979">
          <a:extLst>
            <a:ext uri="{FF2B5EF4-FFF2-40B4-BE49-F238E27FC236}">
              <a16:creationId xmlns:a16="http://schemas.microsoft.com/office/drawing/2014/main" id="{00000000-0008-0000-0200-000032020000}"/>
            </a:ext>
          </a:extLst>
        </xdr:cNvPr>
        <xdr:cNvSpPr>
          <a:spLocks noChangeShapeType="1"/>
        </xdr:cNvSpPr>
      </xdr:nvSpPr>
      <xdr:spPr bwMode="auto">
        <a:xfrm flipH="1">
          <a:off x="1181100" y="34966275"/>
          <a:ext cx="619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563" name="Line 7980">
          <a:extLst>
            <a:ext uri="{FF2B5EF4-FFF2-40B4-BE49-F238E27FC236}">
              <a16:creationId xmlns:a16="http://schemas.microsoft.com/office/drawing/2014/main" id="{00000000-0008-0000-0200-000033020000}"/>
            </a:ext>
          </a:extLst>
        </xdr:cNvPr>
        <xdr:cNvSpPr>
          <a:spLocks noChangeShapeType="1"/>
        </xdr:cNvSpPr>
      </xdr:nvSpPr>
      <xdr:spPr bwMode="auto">
        <a:xfrm>
          <a:off x="2724150" y="34042350"/>
          <a:ext cx="0" cy="990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19050</xdr:rowOff>
    </xdr:from>
    <xdr:to>
      <xdr:col>5</xdr:col>
      <xdr:colOff>123825</xdr:colOff>
      <xdr:row>179</xdr:row>
      <xdr:rowOff>133350</xdr:rowOff>
    </xdr:to>
    <xdr:sp macro="" textlink="">
      <xdr:nvSpPr>
        <xdr:cNvPr id="564" name="Line 7981">
          <a:extLst>
            <a:ext uri="{FF2B5EF4-FFF2-40B4-BE49-F238E27FC236}">
              <a16:creationId xmlns:a16="http://schemas.microsoft.com/office/drawing/2014/main" id="{00000000-0008-0000-0200-000034020000}"/>
            </a:ext>
          </a:extLst>
        </xdr:cNvPr>
        <xdr:cNvSpPr>
          <a:spLocks noChangeShapeType="1"/>
        </xdr:cNvSpPr>
      </xdr:nvSpPr>
      <xdr:spPr bwMode="auto">
        <a:xfrm flipH="1">
          <a:off x="2667000" y="340042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565" name="Line 7982">
          <a:extLst>
            <a:ext uri="{FF2B5EF4-FFF2-40B4-BE49-F238E27FC236}">
              <a16:creationId xmlns:a16="http://schemas.microsoft.com/office/drawing/2014/main" id="{00000000-0008-0000-0200-000035020000}"/>
            </a:ext>
          </a:extLst>
        </xdr:cNvPr>
        <xdr:cNvSpPr>
          <a:spLocks noChangeShapeType="1"/>
        </xdr:cNvSpPr>
      </xdr:nvSpPr>
      <xdr:spPr bwMode="auto">
        <a:xfrm flipH="1">
          <a:off x="2667000" y="349186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566" name="Line 7983">
          <a:extLst>
            <a:ext uri="{FF2B5EF4-FFF2-40B4-BE49-F238E27FC236}">
              <a16:creationId xmlns:a16="http://schemas.microsoft.com/office/drawing/2014/main" id="{00000000-0008-0000-0200-000036020000}"/>
            </a:ext>
          </a:extLst>
        </xdr:cNvPr>
        <xdr:cNvSpPr>
          <a:spLocks noChangeShapeType="1"/>
        </xdr:cNvSpPr>
      </xdr:nvSpPr>
      <xdr:spPr bwMode="auto">
        <a:xfrm flipH="1">
          <a:off x="1181100" y="349377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567" name="Freeform 7984">
          <a:extLst>
            <a:ext uri="{FF2B5EF4-FFF2-40B4-BE49-F238E27FC236}">
              <a16:creationId xmlns:a16="http://schemas.microsoft.com/office/drawing/2014/main" id="{00000000-0008-0000-0200-000037020000}"/>
            </a:ext>
          </a:extLst>
        </xdr:cNvPr>
        <xdr:cNvSpPr>
          <a:spLocks/>
        </xdr:cNvSpPr>
      </xdr:nvSpPr>
      <xdr:spPr bwMode="auto">
        <a:xfrm>
          <a:off x="3305175" y="32946975"/>
          <a:ext cx="76200" cy="247650"/>
        </a:xfrm>
        <a:custGeom>
          <a:avLst/>
          <a:gdLst>
            <a:gd name="T0" fmla="*/ 2147483646 w 8"/>
            <a:gd name="T1" fmla="*/ 0 h 26"/>
            <a:gd name="T2" fmla="*/ 0 w 8"/>
            <a:gd name="T3" fmla="*/ 0 h 26"/>
            <a:gd name="T4" fmla="*/ 0 w 8"/>
            <a:gd name="T5" fmla="*/ 2147483646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568" name="Oval 7985">
          <a:extLst>
            <a:ext uri="{FF2B5EF4-FFF2-40B4-BE49-F238E27FC236}">
              <a16:creationId xmlns:a16="http://schemas.microsoft.com/office/drawing/2014/main" id="{00000000-0008-0000-0200-000038020000}"/>
            </a:ext>
          </a:extLst>
        </xdr:cNvPr>
        <xdr:cNvSpPr>
          <a:spLocks noChangeArrowheads="1"/>
        </xdr:cNvSpPr>
      </xdr:nvSpPr>
      <xdr:spPr bwMode="auto">
        <a:xfrm>
          <a:off x="3267075" y="331279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569" name="Tegning 344">
          <a:extLst>
            <a:ext uri="{FF2B5EF4-FFF2-40B4-BE49-F238E27FC236}">
              <a16:creationId xmlns:a16="http://schemas.microsoft.com/office/drawing/2014/main" id="{00000000-0008-0000-0200-000039020000}"/>
            </a:ext>
          </a:extLst>
        </xdr:cNvPr>
        <xdr:cNvSpPr>
          <a:spLocks/>
        </xdr:cNvSpPr>
      </xdr:nvSpPr>
      <xdr:spPr bwMode="auto">
        <a:xfrm flipV="1">
          <a:off x="1581150" y="35547300"/>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570" name="Tegning 344">
          <a:extLst>
            <a:ext uri="{FF2B5EF4-FFF2-40B4-BE49-F238E27FC236}">
              <a16:creationId xmlns:a16="http://schemas.microsoft.com/office/drawing/2014/main" id="{00000000-0008-0000-0200-00003A020000}"/>
            </a:ext>
          </a:extLst>
        </xdr:cNvPr>
        <xdr:cNvSpPr>
          <a:spLocks/>
        </xdr:cNvSpPr>
      </xdr:nvSpPr>
      <xdr:spPr bwMode="auto">
        <a:xfrm>
          <a:off x="1581150" y="35633025"/>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571" name="Line 7988">
          <a:extLst>
            <a:ext uri="{FF2B5EF4-FFF2-40B4-BE49-F238E27FC236}">
              <a16:creationId xmlns:a16="http://schemas.microsoft.com/office/drawing/2014/main" id="{00000000-0008-0000-0200-00003B020000}"/>
            </a:ext>
          </a:extLst>
        </xdr:cNvPr>
        <xdr:cNvSpPr>
          <a:spLocks noChangeShapeType="1"/>
        </xdr:cNvSpPr>
      </xdr:nvSpPr>
      <xdr:spPr bwMode="auto">
        <a:xfrm flipH="1">
          <a:off x="2390775" y="35880675"/>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572" name="Line 7989">
          <a:extLst>
            <a:ext uri="{FF2B5EF4-FFF2-40B4-BE49-F238E27FC236}">
              <a16:creationId xmlns:a16="http://schemas.microsoft.com/office/drawing/2014/main" id="{00000000-0008-0000-0200-00003C020000}"/>
            </a:ext>
          </a:extLst>
        </xdr:cNvPr>
        <xdr:cNvSpPr>
          <a:spLocks noChangeShapeType="1"/>
        </xdr:cNvSpPr>
      </xdr:nvSpPr>
      <xdr:spPr bwMode="auto">
        <a:xfrm>
          <a:off x="2828925" y="3610927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573" name="Line 7990">
          <a:extLst>
            <a:ext uri="{FF2B5EF4-FFF2-40B4-BE49-F238E27FC236}">
              <a16:creationId xmlns:a16="http://schemas.microsoft.com/office/drawing/2014/main" id="{00000000-0008-0000-0200-00003D020000}"/>
            </a:ext>
          </a:extLst>
        </xdr:cNvPr>
        <xdr:cNvSpPr>
          <a:spLocks noChangeShapeType="1"/>
        </xdr:cNvSpPr>
      </xdr:nvSpPr>
      <xdr:spPr bwMode="auto">
        <a:xfrm>
          <a:off x="1571625" y="3609022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574" name="Line 7991">
          <a:extLst>
            <a:ext uri="{FF2B5EF4-FFF2-40B4-BE49-F238E27FC236}">
              <a16:creationId xmlns:a16="http://schemas.microsoft.com/office/drawing/2014/main" id="{00000000-0008-0000-0200-00003E020000}"/>
            </a:ext>
          </a:extLst>
        </xdr:cNvPr>
        <xdr:cNvSpPr>
          <a:spLocks noChangeShapeType="1"/>
        </xdr:cNvSpPr>
      </xdr:nvSpPr>
      <xdr:spPr bwMode="auto">
        <a:xfrm>
          <a:off x="1514475" y="36185475"/>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575" name="Oval 7992">
          <a:extLst>
            <a:ext uri="{FF2B5EF4-FFF2-40B4-BE49-F238E27FC236}">
              <a16:creationId xmlns:a16="http://schemas.microsoft.com/office/drawing/2014/main" id="{00000000-0008-0000-0200-00003F020000}"/>
            </a:ext>
          </a:extLst>
        </xdr:cNvPr>
        <xdr:cNvSpPr>
          <a:spLocks noChangeArrowheads="1"/>
        </xdr:cNvSpPr>
      </xdr:nvSpPr>
      <xdr:spPr bwMode="auto">
        <a:xfrm>
          <a:off x="2371725" y="360140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38100</xdr:rowOff>
    </xdr:to>
    <xdr:sp macro="" textlink="">
      <xdr:nvSpPr>
        <xdr:cNvPr id="576" name="Line 7993">
          <a:extLst>
            <a:ext uri="{FF2B5EF4-FFF2-40B4-BE49-F238E27FC236}">
              <a16:creationId xmlns:a16="http://schemas.microsoft.com/office/drawing/2014/main" id="{00000000-0008-0000-0200-000040020000}"/>
            </a:ext>
          </a:extLst>
        </xdr:cNvPr>
        <xdr:cNvSpPr>
          <a:spLocks noChangeShapeType="1"/>
        </xdr:cNvSpPr>
      </xdr:nvSpPr>
      <xdr:spPr bwMode="auto">
        <a:xfrm>
          <a:off x="1485900" y="3488055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66675</xdr:rowOff>
    </xdr:from>
    <xdr:to>
      <xdr:col>2</xdr:col>
      <xdr:colOff>533400</xdr:colOff>
      <xdr:row>185</xdr:row>
      <xdr:rowOff>47625</xdr:rowOff>
    </xdr:to>
    <xdr:sp macro="" textlink="">
      <xdr:nvSpPr>
        <xdr:cNvPr id="577" name="Line 7994">
          <a:extLst>
            <a:ext uri="{FF2B5EF4-FFF2-40B4-BE49-F238E27FC236}">
              <a16:creationId xmlns:a16="http://schemas.microsoft.com/office/drawing/2014/main" id="{00000000-0008-0000-0200-000041020000}"/>
            </a:ext>
          </a:extLst>
        </xdr:cNvPr>
        <xdr:cNvSpPr>
          <a:spLocks noChangeShapeType="1"/>
        </xdr:cNvSpPr>
      </xdr:nvSpPr>
      <xdr:spPr bwMode="auto">
        <a:xfrm>
          <a:off x="1914525" y="350043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579" name="Line 7996">
          <a:extLst>
            <a:ext uri="{FF2B5EF4-FFF2-40B4-BE49-F238E27FC236}">
              <a16:creationId xmlns:a16="http://schemas.microsoft.com/office/drawing/2014/main" id="{00000000-0008-0000-0200-000043020000}"/>
            </a:ext>
          </a:extLst>
        </xdr:cNvPr>
        <xdr:cNvSpPr>
          <a:spLocks noChangeShapeType="1"/>
        </xdr:cNvSpPr>
      </xdr:nvSpPr>
      <xdr:spPr bwMode="auto">
        <a:xfrm>
          <a:off x="1609725" y="34547175"/>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180975</xdr:rowOff>
    </xdr:from>
    <xdr:to>
      <xdr:col>2</xdr:col>
      <xdr:colOff>542925</xdr:colOff>
      <xdr:row>184</xdr:row>
      <xdr:rowOff>180975</xdr:rowOff>
    </xdr:to>
    <xdr:sp macro="" textlink="">
      <xdr:nvSpPr>
        <xdr:cNvPr id="580" name="Line 7997">
          <a:extLst>
            <a:ext uri="{FF2B5EF4-FFF2-40B4-BE49-F238E27FC236}">
              <a16:creationId xmlns:a16="http://schemas.microsoft.com/office/drawing/2014/main" id="{00000000-0008-0000-0200-000044020000}"/>
            </a:ext>
          </a:extLst>
        </xdr:cNvPr>
        <xdr:cNvSpPr>
          <a:spLocks noChangeShapeType="1"/>
        </xdr:cNvSpPr>
      </xdr:nvSpPr>
      <xdr:spPr bwMode="auto">
        <a:xfrm flipH="1">
          <a:off x="1447800" y="35118675"/>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581" name="Line 7998">
          <a:extLst>
            <a:ext uri="{FF2B5EF4-FFF2-40B4-BE49-F238E27FC236}">
              <a16:creationId xmlns:a16="http://schemas.microsoft.com/office/drawing/2014/main" id="{00000000-0008-0000-0200-000045020000}"/>
            </a:ext>
          </a:extLst>
        </xdr:cNvPr>
        <xdr:cNvSpPr>
          <a:spLocks noChangeShapeType="1"/>
        </xdr:cNvSpPr>
      </xdr:nvSpPr>
      <xdr:spPr bwMode="auto">
        <a:xfrm flipH="1">
          <a:off x="1447800" y="350996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582" name="Line 7999">
          <a:extLst>
            <a:ext uri="{FF2B5EF4-FFF2-40B4-BE49-F238E27FC236}">
              <a16:creationId xmlns:a16="http://schemas.microsoft.com/office/drawing/2014/main" id="{00000000-0008-0000-0200-000046020000}"/>
            </a:ext>
          </a:extLst>
        </xdr:cNvPr>
        <xdr:cNvSpPr>
          <a:spLocks noChangeShapeType="1"/>
        </xdr:cNvSpPr>
      </xdr:nvSpPr>
      <xdr:spPr bwMode="auto">
        <a:xfrm flipH="1">
          <a:off x="1866900" y="350901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583" name="Line 8000">
          <a:extLst>
            <a:ext uri="{FF2B5EF4-FFF2-40B4-BE49-F238E27FC236}">
              <a16:creationId xmlns:a16="http://schemas.microsoft.com/office/drawing/2014/main" id="{00000000-0008-0000-0200-000047020000}"/>
            </a:ext>
          </a:extLst>
        </xdr:cNvPr>
        <xdr:cNvSpPr>
          <a:spLocks noChangeShapeType="1"/>
        </xdr:cNvSpPr>
      </xdr:nvSpPr>
      <xdr:spPr bwMode="auto">
        <a:xfrm>
          <a:off x="2085975" y="34166175"/>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xdr:colOff>
      <xdr:row>182</xdr:row>
      <xdr:rowOff>157163</xdr:rowOff>
    </xdr:from>
    <xdr:to>
      <xdr:col>4</xdr:col>
      <xdr:colOff>190500</xdr:colOff>
      <xdr:row>182</xdr:row>
      <xdr:rowOff>157163</xdr:rowOff>
    </xdr:to>
    <xdr:sp macro="" textlink="">
      <xdr:nvSpPr>
        <xdr:cNvPr id="584" name="Line 8001">
          <a:extLst>
            <a:ext uri="{FF2B5EF4-FFF2-40B4-BE49-F238E27FC236}">
              <a16:creationId xmlns:a16="http://schemas.microsoft.com/office/drawing/2014/main" id="{00000000-0008-0000-0200-000048020000}"/>
            </a:ext>
          </a:extLst>
        </xdr:cNvPr>
        <xdr:cNvSpPr>
          <a:spLocks noChangeShapeType="1"/>
        </xdr:cNvSpPr>
      </xdr:nvSpPr>
      <xdr:spPr bwMode="auto">
        <a:xfrm>
          <a:off x="1971675" y="34628138"/>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585" name="Line 8002">
          <a:extLst>
            <a:ext uri="{FF2B5EF4-FFF2-40B4-BE49-F238E27FC236}">
              <a16:creationId xmlns:a16="http://schemas.microsoft.com/office/drawing/2014/main" id="{00000000-0008-0000-0200-000049020000}"/>
            </a:ext>
          </a:extLst>
        </xdr:cNvPr>
        <xdr:cNvSpPr>
          <a:spLocks noChangeShapeType="1"/>
        </xdr:cNvSpPr>
      </xdr:nvSpPr>
      <xdr:spPr bwMode="auto">
        <a:xfrm>
          <a:off x="2466975" y="34156650"/>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0</xdr:rowOff>
    </xdr:to>
    <xdr:sp macro="" textlink="">
      <xdr:nvSpPr>
        <xdr:cNvPr id="586" name="Line 8003">
          <a:extLst>
            <a:ext uri="{FF2B5EF4-FFF2-40B4-BE49-F238E27FC236}">
              <a16:creationId xmlns:a16="http://schemas.microsoft.com/office/drawing/2014/main" id="{00000000-0008-0000-0200-00004A020000}"/>
            </a:ext>
          </a:extLst>
        </xdr:cNvPr>
        <xdr:cNvSpPr>
          <a:spLocks noChangeShapeType="1"/>
        </xdr:cNvSpPr>
      </xdr:nvSpPr>
      <xdr:spPr bwMode="auto">
        <a:xfrm>
          <a:off x="2466975" y="344614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182</xdr:row>
      <xdr:rowOff>109537</xdr:rowOff>
    </xdr:from>
    <xdr:to>
      <xdr:col>4</xdr:col>
      <xdr:colOff>171450</xdr:colOff>
      <xdr:row>183</xdr:row>
      <xdr:rowOff>4762</xdr:rowOff>
    </xdr:to>
    <xdr:sp macro="" textlink="">
      <xdr:nvSpPr>
        <xdr:cNvPr id="587" name="Line 8004">
          <a:extLst>
            <a:ext uri="{FF2B5EF4-FFF2-40B4-BE49-F238E27FC236}">
              <a16:creationId xmlns:a16="http://schemas.microsoft.com/office/drawing/2014/main" id="{00000000-0008-0000-0200-00004B020000}"/>
            </a:ext>
          </a:extLst>
        </xdr:cNvPr>
        <xdr:cNvSpPr>
          <a:spLocks noChangeShapeType="1"/>
        </xdr:cNvSpPr>
      </xdr:nvSpPr>
      <xdr:spPr bwMode="auto">
        <a:xfrm flipH="1">
          <a:off x="2419350" y="34580512"/>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588" name="Line 8005">
          <a:extLst>
            <a:ext uri="{FF2B5EF4-FFF2-40B4-BE49-F238E27FC236}">
              <a16:creationId xmlns:a16="http://schemas.microsoft.com/office/drawing/2014/main" id="{00000000-0008-0000-0200-00004C020000}"/>
            </a:ext>
          </a:extLst>
        </xdr:cNvPr>
        <xdr:cNvSpPr>
          <a:spLocks noChangeShapeType="1"/>
        </xdr:cNvSpPr>
      </xdr:nvSpPr>
      <xdr:spPr bwMode="auto">
        <a:xfrm flipH="1">
          <a:off x="2428875" y="341280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589" name="Line 8006">
          <a:extLst>
            <a:ext uri="{FF2B5EF4-FFF2-40B4-BE49-F238E27FC236}">
              <a16:creationId xmlns:a16="http://schemas.microsoft.com/office/drawing/2014/main" id="{00000000-0008-0000-0200-00004D020000}"/>
            </a:ext>
          </a:extLst>
        </xdr:cNvPr>
        <xdr:cNvSpPr>
          <a:spLocks noChangeShapeType="1"/>
        </xdr:cNvSpPr>
      </xdr:nvSpPr>
      <xdr:spPr bwMode="auto">
        <a:xfrm flipH="1">
          <a:off x="1504950" y="361473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590" name="Line 8007">
          <a:extLst>
            <a:ext uri="{FF2B5EF4-FFF2-40B4-BE49-F238E27FC236}">
              <a16:creationId xmlns:a16="http://schemas.microsoft.com/office/drawing/2014/main" id="{00000000-0008-0000-0200-00004E020000}"/>
            </a:ext>
          </a:extLst>
        </xdr:cNvPr>
        <xdr:cNvSpPr>
          <a:spLocks noChangeShapeType="1"/>
        </xdr:cNvSpPr>
      </xdr:nvSpPr>
      <xdr:spPr bwMode="auto">
        <a:xfrm flipH="1">
          <a:off x="2762250" y="36137850"/>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591" name="Tegning 344">
          <a:extLst>
            <a:ext uri="{FF2B5EF4-FFF2-40B4-BE49-F238E27FC236}">
              <a16:creationId xmlns:a16="http://schemas.microsoft.com/office/drawing/2014/main" id="{00000000-0008-0000-0200-00004F020000}"/>
            </a:ext>
          </a:extLst>
        </xdr:cNvPr>
        <xdr:cNvSpPr>
          <a:spLocks/>
        </xdr:cNvSpPr>
      </xdr:nvSpPr>
      <xdr:spPr bwMode="auto">
        <a:xfrm>
          <a:off x="1990725" y="39185850"/>
          <a:ext cx="1209675"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592" name="Tegning 344">
          <a:extLst>
            <a:ext uri="{FF2B5EF4-FFF2-40B4-BE49-F238E27FC236}">
              <a16:creationId xmlns:a16="http://schemas.microsoft.com/office/drawing/2014/main" id="{00000000-0008-0000-0200-000050020000}"/>
            </a:ext>
          </a:extLst>
        </xdr:cNvPr>
        <xdr:cNvSpPr>
          <a:spLocks/>
        </xdr:cNvSpPr>
      </xdr:nvSpPr>
      <xdr:spPr bwMode="auto">
        <a:xfrm flipV="1">
          <a:off x="1990725" y="38871525"/>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593" name="Line 8010">
          <a:extLst>
            <a:ext uri="{FF2B5EF4-FFF2-40B4-BE49-F238E27FC236}">
              <a16:creationId xmlns:a16="http://schemas.microsoft.com/office/drawing/2014/main" id="{00000000-0008-0000-0200-000051020000}"/>
            </a:ext>
          </a:extLst>
        </xdr:cNvPr>
        <xdr:cNvSpPr>
          <a:spLocks noChangeShapeType="1"/>
        </xdr:cNvSpPr>
      </xdr:nvSpPr>
      <xdr:spPr bwMode="auto">
        <a:xfrm>
          <a:off x="1990725" y="3967162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594" name="Line 8011">
          <a:extLst>
            <a:ext uri="{FF2B5EF4-FFF2-40B4-BE49-F238E27FC236}">
              <a16:creationId xmlns:a16="http://schemas.microsoft.com/office/drawing/2014/main" id="{00000000-0008-0000-0200-000052020000}"/>
            </a:ext>
          </a:extLst>
        </xdr:cNvPr>
        <xdr:cNvSpPr>
          <a:spLocks noChangeShapeType="1"/>
        </xdr:cNvSpPr>
      </xdr:nvSpPr>
      <xdr:spPr bwMode="auto">
        <a:xfrm>
          <a:off x="3190875" y="3967162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595" name="Line 8012">
          <a:extLst>
            <a:ext uri="{FF2B5EF4-FFF2-40B4-BE49-F238E27FC236}">
              <a16:creationId xmlns:a16="http://schemas.microsoft.com/office/drawing/2014/main" id="{00000000-0008-0000-0200-000053020000}"/>
            </a:ext>
          </a:extLst>
        </xdr:cNvPr>
        <xdr:cNvSpPr>
          <a:spLocks noChangeShapeType="1"/>
        </xdr:cNvSpPr>
      </xdr:nvSpPr>
      <xdr:spPr bwMode="auto">
        <a:xfrm flipH="1">
          <a:off x="1924050" y="39700200"/>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596" name="Line 8013">
          <a:extLst>
            <a:ext uri="{FF2B5EF4-FFF2-40B4-BE49-F238E27FC236}">
              <a16:creationId xmlns:a16="http://schemas.microsoft.com/office/drawing/2014/main" id="{00000000-0008-0000-0200-000054020000}"/>
            </a:ext>
          </a:extLst>
        </xdr:cNvPr>
        <xdr:cNvSpPr>
          <a:spLocks noChangeShapeType="1"/>
        </xdr:cNvSpPr>
      </xdr:nvSpPr>
      <xdr:spPr bwMode="auto">
        <a:xfrm flipH="1">
          <a:off x="3124200" y="39719250"/>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597" name="Line 8014">
          <a:extLst>
            <a:ext uri="{FF2B5EF4-FFF2-40B4-BE49-F238E27FC236}">
              <a16:creationId xmlns:a16="http://schemas.microsoft.com/office/drawing/2014/main" id="{00000000-0008-0000-0200-000055020000}"/>
            </a:ext>
          </a:extLst>
        </xdr:cNvPr>
        <xdr:cNvSpPr>
          <a:spLocks noChangeShapeType="1"/>
        </xdr:cNvSpPr>
      </xdr:nvSpPr>
      <xdr:spPr bwMode="auto">
        <a:xfrm flipH="1">
          <a:off x="2571750" y="39338250"/>
          <a:ext cx="142875"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598" name="Oval 8015">
          <a:extLst>
            <a:ext uri="{FF2B5EF4-FFF2-40B4-BE49-F238E27FC236}">
              <a16:creationId xmlns:a16="http://schemas.microsoft.com/office/drawing/2014/main" id="{00000000-0008-0000-0200-000056020000}"/>
            </a:ext>
          </a:extLst>
        </xdr:cNvPr>
        <xdr:cNvSpPr>
          <a:spLocks noChangeArrowheads="1"/>
        </xdr:cNvSpPr>
      </xdr:nvSpPr>
      <xdr:spPr bwMode="auto">
        <a:xfrm>
          <a:off x="2524125" y="395668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599" name="Line 8016">
          <a:extLst>
            <a:ext uri="{FF2B5EF4-FFF2-40B4-BE49-F238E27FC236}">
              <a16:creationId xmlns:a16="http://schemas.microsoft.com/office/drawing/2014/main" id="{00000000-0008-0000-0200-000057020000}"/>
            </a:ext>
          </a:extLst>
        </xdr:cNvPr>
        <xdr:cNvSpPr>
          <a:spLocks noChangeShapeType="1"/>
        </xdr:cNvSpPr>
      </xdr:nvSpPr>
      <xdr:spPr bwMode="auto">
        <a:xfrm>
          <a:off x="2019300" y="37699950"/>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600" name="Freeform 8017">
          <a:extLst>
            <a:ext uri="{FF2B5EF4-FFF2-40B4-BE49-F238E27FC236}">
              <a16:creationId xmlns:a16="http://schemas.microsoft.com/office/drawing/2014/main" id="{00000000-0008-0000-0200-000058020000}"/>
            </a:ext>
          </a:extLst>
        </xdr:cNvPr>
        <xdr:cNvSpPr>
          <a:spLocks/>
        </xdr:cNvSpPr>
      </xdr:nvSpPr>
      <xdr:spPr bwMode="auto">
        <a:xfrm>
          <a:off x="2038350" y="36852225"/>
          <a:ext cx="704850" cy="933450"/>
        </a:xfrm>
        <a:custGeom>
          <a:avLst/>
          <a:gdLst>
            <a:gd name="T0" fmla="*/ 0 w 69"/>
            <a:gd name="T1" fmla="*/ 2147483646 h 99"/>
            <a:gd name="T2" fmla="*/ 0 w 69"/>
            <a:gd name="T3" fmla="*/ 2147483646 h 99"/>
            <a:gd name="T4" fmla="*/ 2147483646 w 69"/>
            <a:gd name="T5" fmla="*/ 2147483646 h 99"/>
            <a:gd name="T6" fmla="*/ 2147483646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601" name="Line 8018">
          <a:extLst>
            <a:ext uri="{FF2B5EF4-FFF2-40B4-BE49-F238E27FC236}">
              <a16:creationId xmlns:a16="http://schemas.microsoft.com/office/drawing/2014/main" id="{00000000-0008-0000-0200-000059020000}"/>
            </a:ext>
          </a:extLst>
        </xdr:cNvPr>
        <xdr:cNvSpPr>
          <a:spLocks noChangeShapeType="1"/>
        </xdr:cNvSpPr>
      </xdr:nvSpPr>
      <xdr:spPr bwMode="auto">
        <a:xfrm flipH="1">
          <a:off x="2752725" y="36947475"/>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602" name="Line 8019">
          <a:extLst>
            <a:ext uri="{FF2B5EF4-FFF2-40B4-BE49-F238E27FC236}">
              <a16:creationId xmlns:a16="http://schemas.microsoft.com/office/drawing/2014/main" id="{00000000-0008-0000-0200-00005A020000}"/>
            </a:ext>
          </a:extLst>
        </xdr:cNvPr>
        <xdr:cNvSpPr>
          <a:spLocks noChangeShapeType="1"/>
        </xdr:cNvSpPr>
      </xdr:nvSpPr>
      <xdr:spPr bwMode="auto">
        <a:xfrm>
          <a:off x="2571750" y="3769995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603" name="Rectangle 8020">
          <a:extLst>
            <a:ext uri="{FF2B5EF4-FFF2-40B4-BE49-F238E27FC236}">
              <a16:creationId xmlns:a16="http://schemas.microsoft.com/office/drawing/2014/main" id="{00000000-0008-0000-0200-00005B020000}"/>
            </a:ext>
          </a:extLst>
        </xdr:cNvPr>
        <xdr:cNvSpPr>
          <a:spLocks noChangeArrowheads="1"/>
        </xdr:cNvSpPr>
      </xdr:nvSpPr>
      <xdr:spPr bwMode="auto">
        <a:xfrm>
          <a:off x="1914525" y="36680775"/>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604" name="Tegning 312">
          <a:extLst>
            <a:ext uri="{FF2B5EF4-FFF2-40B4-BE49-F238E27FC236}">
              <a16:creationId xmlns:a16="http://schemas.microsoft.com/office/drawing/2014/main" id="{00000000-0008-0000-0200-00005C020000}"/>
            </a:ext>
          </a:extLst>
        </xdr:cNvPr>
        <xdr:cNvSpPr>
          <a:spLocks/>
        </xdr:cNvSpPr>
      </xdr:nvSpPr>
      <xdr:spPr bwMode="auto">
        <a:xfrm>
          <a:off x="1543050" y="37671375"/>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466725</xdr:colOff>
      <xdr:row>200</xdr:row>
      <xdr:rowOff>57150</xdr:rowOff>
    </xdr:to>
    <xdr:sp macro="" textlink="">
      <xdr:nvSpPr>
        <xdr:cNvPr id="605" name="Freeform 8022">
          <a:extLst>
            <a:ext uri="{FF2B5EF4-FFF2-40B4-BE49-F238E27FC236}">
              <a16:creationId xmlns:a16="http://schemas.microsoft.com/office/drawing/2014/main" id="{00000000-0008-0000-0200-00005D020000}"/>
            </a:ext>
          </a:extLst>
        </xdr:cNvPr>
        <xdr:cNvSpPr>
          <a:spLocks/>
        </xdr:cNvSpPr>
      </xdr:nvSpPr>
      <xdr:spPr bwMode="auto">
        <a:xfrm>
          <a:off x="1381125" y="37680900"/>
          <a:ext cx="466725" cy="36195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606" name="Tegning 344">
          <a:extLst>
            <a:ext uri="{FF2B5EF4-FFF2-40B4-BE49-F238E27FC236}">
              <a16:creationId xmlns:a16="http://schemas.microsoft.com/office/drawing/2014/main" id="{00000000-0008-0000-0200-00005E020000}"/>
            </a:ext>
          </a:extLst>
        </xdr:cNvPr>
        <xdr:cNvSpPr>
          <a:spLocks/>
        </xdr:cNvSpPr>
      </xdr:nvSpPr>
      <xdr:spPr bwMode="auto">
        <a:xfrm>
          <a:off x="1990725" y="37280850"/>
          <a:ext cx="28575" cy="428625"/>
        </a:xfrm>
        <a:custGeom>
          <a:avLst/>
          <a:gdLst>
            <a:gd name="T0" fmla="*/ 0 w 16384"/>
            <a:gd name="T1" fmla="*/ 0 h 16384"/>
            <a:gd name="T2" fmla="*/ 0 w 16384"/>
            <a:gd name="T3" fmla="*/ 2147483646 h 16384"/>
            <a:gd name="T4" fmla="*/ 405053154 w 16384"/>
            <a:gd name="T5" fmla="*/ 2147483646 h 16384"/>
            <a:gd name="T6" fmla="*/ 203130459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607" name="Tegning 344">
          <a:extLst>
            <a:ext uri="{FF2B5EF4-FFF2-40B4-BE49-F238E27FC236}">
              <a16:creationId xmlns:a16="http://schemas.microsoft.com/office/drawing/2014/main" id="{00000000-0008-0000-0200-00005F020000}"/>
            </a:ext>
          </a:extLst>
        </xdr:cNvPr>
        <xdr:cNvSpPr>
          <a:spLocks/>
        </xdr:cNvSpPr>
      </xdr:nvSpPr>
      <xdr:spPr bwMode="auto">
        <a:xfrm flipV="1">
          <a:off x="1990725" y="36966525"/>
          <a:ext cx="76200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123825</xdr:rowOff>
    </xdr:from>
    <xdr:to>
      <xdr:col>5</xdr:col>
      <xdr:colOff>9525</xdr:colOff>
      <xdr:row>196</xdr:row>
      <xdr:rowOff>76200</xdr:rowOff>
    </xdr:to>
    <xdr:sp macro="" textlink="">
      <xdr:nvSpPr>
        <xdr:cNvPr id="608" name="Tegning 344">
          <a:extLst>
            <a:ext uri="{FF2B5EF4-FFF2-40B4-BE49-F238E27FC236}">
              <a16:creationId xmlns:a16="http://schemas.microsoft.com/office/drawing/2014/main" id="{00000000-0008-0000-0200-000060020000}"/>
            </a:ext>
          </a:extLst>
        </xdr:cNvPr>
        <xdr:cNvSpPr>
          <a:spLocks/>
        </xdr:cNvSpPr>
      </xdr:nvSpPr>
      <xdr:spPr bwMode="auto">
        <a:xfrm flipV="1">
          <a:off x="1581150" y="36966525"/>
          <a:ext cx="108585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609" name="Tegning 344">
          <a:extLst>
            <a:ext uri="{FF2B5EF4-FFF2-40B4-BE49-F238E27FC236}">
              <a16:creationId xmlns:a16="http://schemas.microsoft.com/office/drawing/2014/main" id="{00000000-0008-0000-0200-000061020000}"/>
            </a:ext>
          </a:extLst>
        </xdr:cNvPr>
        <xdr:cNvSpPr>
          <a:spLocks/>
        </xdr:cNvSpPr>
      </xdr:nvSpPr>
      <xdr:spPr bwMode="auto">
        <a:xfrm>
          <a:off x="1581150" y="37157025"/>
          <a:ext cx="571500"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610" name="Oval 8027">
          <a:extLst>
            <a:ext uri="{FF2B5EF4-FFF2-40B4-BE49-F238E27FC236}">
              <a16:creationId xmlns:a16="http://schemas.microsoft.com/office/drawing/2014/main" id="{00000000-0008-0000-0200-000062020000}"/>
            </a:ext>
          </a:extLst>
        </xdr:cNvPr>
        <xdr:cNvSpPr>
          <a:spLocks noChangeArrowheads="1"/>
        </xdr:cNvSpPr>
      </xdr:nvSpPr>
      <xdr:spPr bwMode="auto">
        <a:xfrm>
          <a:off x="1609725" y="375189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228600</xdr:colOff>
      <xdr:row>194</xdr:row>
      <xdr:rowOff>142875</xdr:rowOff>
    </xdr:from>
    <xdr:to>
      <xdr:col>2</xdr:col>
      <xdr:colOff>266700</xdr:colOff>
      <xdr:row>194</xdr:row>
      <xdr:rowOff>180975</xdr:rowOff>
    </xdr:to>
    <xdr:sp macro="" textlink="">
      <xdr:nvSpPr>
        <xdr:cNvPr id="611" name="Oval 8028">
          <a:extLst>
            <a:ext uri="{FF2B5EF4-FFF2-40B4-BE49-F238E27FC236}">
              <a16:creationId xmlns:a16="http://schemas.microsoft.com/office/drawing/2014/main" id="{00000000-0008-0000-0200-000063020000}"/>
            </a:ext>
          </a:extLst>
        </xdr:cNvPr>
        <xdr:cNvSpPr>
          <a:spLocks noChangeArrowheads="1"/>
        </xdr:cNvSpPr>
      </xdr:nvSpPr>
      <xdr:spPr bwMode="auto">
        <a:xfrm>
          <a:off x="1609725" y="369855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612" name="Oval 8029">
          <a:extLst>
            <a:ext uri="{FF2B5EF4-FFF2-40B4-BE49-F238E27FC236}">
              <a16:creationId xmlns:a16="http://schemas.microsoft.com/office/drawing/2014/main" id="{00000000-0008-0000-0200-000064020000}"/>
            </a:ext>
          </a:extLst>
        </xdr:cNvPr>
        <xdr:cNvSpPr>
          <a:spLocks noChangeArrowheads="1"/>
        </xdr:cNvSpPr>
      </xdr:nvSpPr>
      <xdr:spPr bwMode="auto">
        <a:xfrm>
          <a:off x="2019300" y="369855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613" name="Oval 8030">
          <a:extLst>
            <a:ext uri="{FF2B5EF4-FFF2-40B4-BE49-F238E27FC236}">
              <a16:creationId xmlns:a16="http://schemas.microsoft.com/office/drawing/2014/main" id="{00000000-0008-0000-0200-000065020000}"/>
            </a:ext>
          </a:extLst>
        </xdr:cNvPr>
        <xdr:cNvSpPr>
          <a:spLocks noChangeArrowheads="1"/>
        </xdr:cNvSpPr>
      </xdr:nvSpPr>
      <xdr:spPr bwMode="auto">
        <a:xfrm>
          <a:off x="2019300" y="3764280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614" name="Line 8031">
          <a:extLst>
            <a:ext uri="{FF2B5EF4-FFF2-40B4-BE49-F238E27FC236}">
              <a16:creationId xmlns:a16="http://schemas.microsoft.com/office/drawing/2014/main" id="{00000000-0008-0000-0200-000066020000}"/>
            </a:ext>
          </a:extLst>
        </xdr:cNvPr>
        <xdr:cNvSpPr>
          <a:spLocks noChangeShapeType="1"/>
        </xdr:cNvSpPr>
      </xdr:nvSpPr>
      <xdr:spPr bwMode="auto">
        <a:xfrm>
          <a:off x="1562100" y="37661850"/>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615" name="Line 8032">
          <a:extLst>
            <a:ext uri="{FF2B5EF4-FFF2-40B4-BE49-F238E27FC236}">
              <a16:creationId xmlns:a16="http://schemas.microsoft.com/office/drawing/2014/main" id="{00000000-0008-0000-0200-000067020000}"/>
            </a:ext>
          </a:extLst>
        </xdr:cNvPr>
        <xdr:cNvSpPr>
          <a:spLocks noChangeShapeType="1"/>
        </xdr:cNvSpPr>
      </xdr:nvSpPr>
      <xdr:spPr bwMode="auto">
        <a:xfrm>
          <a:off x="1647825" y="38090475"/>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616" name="Line 8033">
          <a:extLst>
            <a:ext uri="{FF2B5EF4-FFF2-40B4-BE49-F238E27FC236}">
              <a16:creationId xmlns:a16="http://schemas.microsoft.com/office/drawing/2014/main" id="{00000000-0008-0000-0200-000068020000}"/>
            </a:ext>
          </a:extLst>
        </xdr:cNvPr>
        <xdr:cNvSpPr>
          <a:spLocks noChangeShapeType="1"/>
        </xdr:cNvSpPr>
      </xdr:nvSpPr>
      <xdr:spPr bwMode="auto">
        <a:xfrm>
          <a:off x="2038350" y="37823775"/>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66675</xdr:rowOff>
    </xdr:to>
    <xdr:sp macro="" textlink="">
      <xdr:nvSpPr>
        <xdr:cNvPr id="617" name="Line 8035">
          <a:extLst>
            <a:ext uri="{FF2B5EF4-FFF2-40B4-BE49-F238E27FC236}">
              <a16:creationId xmlns:a16="http://schemas.microsoft.com/office/drawing/2014/main" id="{00000000-0008-0000-0200-000069020000}"/>
            </a:ext>
          </a:extLst>
        </xdr:cNvPr>
        <xdr:cNvSpPr>
          <a:spLocks noChangeShapeType="1"/>
        </xdr:cNvSpPr>
      </xdr:nvSpPr>
      <xdr:spPr bwMode="auto">
        <a:xfrm>
          <a:off x="3019425" y="37442775"/>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142875</xdr:rowOff>
    </xdr:from>
    <xdr:to>
      <xdr:col>5</xdr:col>
      <xdr:colOff>419100</xdr:colOff>
      <xdr:row>199</xdr:row>
      <xdr:rowOff>57150</xdr:rowOff>
    </xdr:to>
    <xdr:sp macro="" textlink="">
      <xdr:nvSpPr>
        <xdr:cNvPr id="618" name="Line 8036">
          <a:extLst>
            <a:ext uri="{FF2B5EF4-FFF2-40B4-BE49-F238E27FC236}">
              <a16:creationId xmlns:a16="http://schemas.microsoft.com/office/drawing/2014/main" id="{00000000-0008-0000-0200-00006A020000}"/>
            </a:ext>
          </a:extLst>
        </xdr:cNvPr>
        <xdr:cNvSpPr>
          <a:spLocks noChangeShapeType="1"/>
        </xdr:cNvSpPr>
      </xdr:nvSpPr>
      <xdr:spPr bwMode="auto">
        <a:xfrm flipH="1">
          <a:off x="2952750" y="37747575"/>
          <a:ext cx="12382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619" name="Line 8037">
          <a:extLst>
            <a:ext uri="{FF2B5EF4-FFF2-40B4-BE49-F238E27FC236}">
              <a16:creationId xmlns:a16="http://schemas.microsoft.com/office/drawing/2014/main" id="{00000000-0008-0000-0200-00006B020000}"/>
            </a:ext>
          </a:extLst>
        </xdr:cNvPr>
        <xdr:cNvSpPr>
          <a:spLocks noChangeShapeType="1"/>
        </xdr:cNvSpPr>
      </xdr:nvSpPr>
      <xdr:spPr bwMode="auto">
        <a:xfrm flipH="1">
          <a:off x="2971800" y="368998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620" name="Line 8038">
          <a:extLst>
            <a:ext uri="{FF2B5EF4-FFF2-40B4-BE49-F238E27FC236}">
              <a16:creationId xmlns:a16="http://schemas.microsoft.com/office/drawing/2014/main" id="{00000000-0008-0000-0200-00006C020000}"/>
            </a:ext>
          </a:extLst>
        </xdr:cNvPr>
        <xdr:cNvSpPr>
          <a:spLocks noChangeShapeType="1"/>
        </xdr:cNvSpPr>
      </xdr:nvSpPr>
      <xdr:spPr bwMode="auto">
        <a:xfrm flipV="1">
          <a:off x="2743200" y="37090350"/>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621" name="Line 8039">
          <a:extLst>
            <a:ext uri="{FF2B5EF4-FFF2-40B4-BE49-F238E27FC236}">
              <a16:creationId xmlns:a16="http://schemas.microsoft.com/office/drawing/2014/main" id="{00000000-0008-0000-0200-00006D020000}"/>
            </a:ext>
          </a:extLst>
        </xdr:cNvPr>
        <xdr:cNvSpPr>
          <a:spLocks noChangeShapeType="1"/>
        </xdr:cNvSpPr>
      </xdr:nvSpPr>
      <xdr:spPr bwMode="auto">
        <a:xfrm>
          <a:off x="2162175" y="37804725"/>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38100</xdr:rowOff>
    </xdr:from>
    <xdr:to>
      <xdr:col>5</xdr:col>
      <xdr:colOff>419100</xdr:colOff>
      <xdr:row>198</xdr:row>
      <xdr:rowOff>152400</xdr:rowOff>
    </xdr:to>
    <xdr:sp macro="" textlink="">
      <xdr:nvSpPr>
        <xdr:cNvPr id="622" name="Line 8040">
          <a:extLst>
            <a:ext uri="{FF2B5EF4-FFF2-40B4-BE49-F238E27FC236}">
              <a16:creationId xmlns:a16="http://schemas.microsoft.com/office/drawing/2014/main" id="{00000000-0008-0000-0200-00006E020000}"/>
            </a:ext>
          </a:extLst>
        </xdr:cNvPr>
        <xdr:cNvSpPr>
          <a:spLocks noChangeShapeType="1"/>
        </xdr:cNvSpPr>
      </xdr:nvSpPr>
      <xdr:spPr bwMode="auto">
        <a:xfrm flipH="1">
          <a:off x="2952750" y="37642800"/>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623" name="Line 8041">
          <a:extLst>
            <a:ext uri="{FF2B5EF4-FFF2-40B4-BE49-F238E27FC236}">
              <a16:creationId xmlns:a16="http://schemas.microsoft.com/office/drawing/2014/main" id="{00000000-0008-0000-0200-00006F020000}"/>
            </a:ext>
          </a:extLst>
        </xdr:cNvPr>
        <xdr:cNvSpPr>
          <a:spLocks noChangeShapeType="1"/>
        </xdr:cNvSpPr>
      </xdr:nvSpPr>
      <xdr:spPr bwMode="auto">
        <a:xfrm flipV="1">
          <a:off x="3019425" y="3692842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624" name="Freeform 8042">
          <a:extLst>
            <a:ext uri="{FF2B5EF4-FFF2-40B4-BE49-F238E27FC236}">
              <a16:creationId xmlns:a16="http://schemas.microsoft.com/office/drawing/2014/main" id="{00000000-0008-0000-0200-000070020000}"/>
            </a:ext>
          </a:extLst>
        </xdr:cNvPr>
        <xdr:cNvSpPr>
          <a:spLocks/>
        </xdr:cNvSpPr>
      </xdr:nvSpPr>
      <xdr:spPr bwMode="auto">
        <a:xfrm>
          <a:off x="2457450" y="36556950"/>
          <a:ext cx="123825" cy="295275"/>
        </a:xfrm>
        <a:custGeom>
          <a:avLst/>
          <a:gdLst>
            <a:gd name="T0" fmla="*/ 0 w 13"/>
            <a:gd name="T1" fmla="*/ 0 h 31"/>
            <a:gd name="T2" fmla="*/ 2147483646 w 13"/>
            <a:gd name="T3" fmla="*/ 0 h 31"/>
            <a:gd name="T4" fmla="*/ 2147483646 w 13"/>
            <a:gd name="T5" fmla="*/ 2147483646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625" name="Line 8043">
          <a:extLst>
            <a:ext uri="{FF2B5EF4-FFF2-40B4-BE49-F238E27FC236}">
              <a16:creationId xmlns:a16="http://schemas.microsoft.com/office/drawing/2014/main" id="{00000000-0008-0000-0200-000071020000}"/>
            </a:ext>
          </a:extLst>
        </xdr:cNvPr>
        <xdr:cNvSpPr>
          <a:spLocks noChangeShapeType="1"/>
        </xdr:cNvSpPr>
      </xdr:nvSpPr>
      <xdr:spPr bwMode="auto">
        <a:xfrm flipH="1">
          <a:off x="2524125" y="366236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626" name="Line 8044">
          <a:extLst>
            <a:ext uri="{FF2B5EF4-FFF2-40B4-BE49-F238E27FC236}">
              <a16:creationId xmlns:a16="http://schemas.microsoft.com/office/drawing/2014/main" id="{00000000-0008-0000-0200-000072020000}"/>
            </a:ext>
          </a:extLst>
        </xdr:cNvPr>
        <xdr:cNvSpPr>
          <a:spLocks noChangeShapeType="1"/>
        </xdr:cNvSpPr>
      </xdr:nvSpPr>
      <xdr:spPr bwMode="auto">
        <a:xfrm flipH="1">
          <a:off x="2543175" y="367474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66675</xdr:rowOff>
    </xdr:from>
    <xdr:to>
      <xdr:col>2</xdr:col>
      <xdr:colOff>533400</xdr:colOff>
      <xdr:row>200</xdr:row>
      <xdr:rowOff>152400</xdr:rowOff>
    </xdr:to>
    <xdr:sp macro="" textlink="">
      <xdr:nvSpPr>
        <xdr:cNvPr id="627" name="Line 8045">
          <a:extLst>
            <a:ext uri="{FF2B5EF4-FFF2-40B4-BE49-F238E27FC236}">
              <a16:creationId xmlns:a16="http://schemas.microsoft.com/office/drawing/2014/main" id="{00000000-0008-0000-0200-000073020000}"/>
            </a:ext>
          </a:extLst>
        </xdr:cNvPr>
        <xdr:cNvSpPr>
          <a:spLocks noChangeShapeType="1"/>
        </xdr:cNvSpPr>
      </xdr:nvSpPr>
      <xdr:spPr bwMode="auto">
        <a:xfrm>
          <a:off x="1914525" y="378618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628" name="Line 8046">
          <a:extLst>
            <a:ext uri="{FF2B5EF4-FFF2-40B4-BE49-F238E27FC236}">
              <a16:creationId xmlns:a16="http://schemas.microsoft.com/office/drawing/2014/main" id="{00000000-0008-0000-0200-000074020000}"/>
            </a:ext>
          </a:extLst>
        </xdr:cNvPr>
        <xdr:cNvSpPr>
          <a:spLocks noChangeShapeType="1"/>
        </xdr:cNvSpPr>
      </xdr:nvSpPr>
      <xdr:spPr bwMode="auto">
        <a:xfrm>
          <a:off x="1857375" y="38090475"/>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629" name="Line 8047">
          <a:extLst>
            <a:ext uri="{FF2B5EF4-FFF2-40B4-BE49-F238E27FC236}">
              <a16:creationId xmlns:a16="http://schemas.microsoft.com/office/drawing/2014/main" id="{00000000-0008-0000-0200-000075020000}"/>
            </a:ext>
          </a:extLst>
        </xdr:cNvPr>
        <xdr:cNvSpPr>
          <a:spLocks noChangeShapeType="1"/>
        </xdr:cNvSpPr>
      </xdr:nvSpPr>
      <xdr:spPr bwMode="auto">
        <a:xfrm flipH="1">
          <a:off x="2676525" y="380333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630" name="Line 8048">
          <a:extLst>
            <a:ext uri="{FF2B5EF4-FFF2-40B4-BE49-F238E27FC236}">
              <a16:creationId xmlns:a16="http://schemas.microsoft.com/office/drawing/2014/main" id="{00000000-0008-0000-0200-000076020000}"/>
            </a:ext>
          </a:extLst>
        </xdr:cNvPr>
        <xdr:cNvSpPr>
          <a:spLocks noChangeShapeType="1"/>
        </xdr:cNvSpPr>
      </xdr:nvSpPr>
      <xdr:spPr bwMode="auto">
        <a:xfrm flipH="1">
          <a:off x="1847850" y="38033325"/>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631" name="Line 8049">
          <a:extLst>
            <a:ext uri="{FF2B5EF4-FFF2-40B4-BE49-F238E27FC236}">
              <a16:creationId xmlns:a16="http://schemas.microsoft.com/office/drawing/2014/main" id="{00000000-0008-0000-0200-000077020000}"/>
            </a:ext>
          </a:extLst>
        </xdr:cNvPr>
        <xdr:cNvSpPr>
          <a:spLocks noChangeShapeType="1"/>
        </xdr:cNvSpPr>
      </xdr:nvSpPr>
      <xdr:spPr bwMode="auto">
        <a:xfrm>
          <a:off x="1943100" y="39776400"/>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632" name="Line 8050">
          <a:extLst>
            <a:ext uri="{FF2B5EF4-FFF2-40B4-BE49-F238E27FC236}">
              <a16:creationId xmlns:a16="http://schemas.microsoft.com/office/drawing/2014/main" id="{00000000-0008-0000-0200-000078020000}"/>
            </a:ext>
          </a:extLst>
        </xdr:cNvPr>
        <xdr:cNvSpPr>
          <a:spLocks noChangeShapeType="1"/>
        </xdr:cNvSpPr>
      </xdr:nvSpPr>
      <xdr:spPr bwMode="auto">
        <a:xfrm>
          <a:off x="3067050" y="39776400"/>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633" name="Tegning 344">
          <a:extLst>
            <a:ext uri="{FF2B5EF4-FFF2-40B4-BE49-F238E27FC236}">
              <a16:creationId xmlns:a16="http://schemas.microsoft.com/office/drawing/2014/main" id="{00000000-0008-0000-0200-000079020000}"/>
            </a:ext>
          </a:extLst>
        </xdr:cNvPr>
        <xdr:cNvSpPr>
          <a:spLocks/>
        </xdr:cNvSpPr>
      </xdr:nvSpPr>
      <xdr:spPr bwMode="auto">
        <a:xfrm flipV="1">
          <a:off x="1590675" y="42243375"/>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634" name="Tegning 344">
          <a:extLst>
            <a:ext uri="{FF2B5EF4-FFF2-40B4-BE49-F238E27FC236}">
              <a16:creationId xmlns:a16="http://schemas.microsoft.com/office/drawing/2014/main" id="{00000000-0008-0000-0200-00007A020000}"/>
            </a:ext>
          </a:extLst>
        </xdr:cNvPr>
        <xdr:cNvSpPr>
          <a:spLocks/>
        </xdr:cNvSpPr>
      </xdr:nvSpPr>
      <xdr:spPr bwMode="auto">
        <a:xfrm>
          <a:off x="1590675" y="42319575"/>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635" name="Line 8053">
          <a:extLst>
            <a:ext uri="{FF2B5EF4-FFF2-40B4-BE49-F238E27FC236}">
              <a16:creationId xmlns:a16="http://schemas.microsoft.com/office/drawing/2014/main" id="{00000000-0008-0000-0200-00007B020000}"/>
            </a:ext>
          </a:extLst>
        </xdr:cNvPr>
        <xdr:cNvSpPr>
          <a:spLocks noChangeShapeType="1"/>
        </xdr:cNvSpPr>
      </xdr:nvSpPr>
      <xdr:spPr bwMode="auto">
        <a:xfrm>
          <a:off x="2857500" y="4289107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636" name="Line 8054">
          <a:extLst>
            <a:ext uri="{FF2B5EF4-FFF2-40B4-BE49-F238E27FC236}">
              <a16:creationId xmlns:a16="http://schemas.microsoft.com/office/drawing/2014/main" id="{00000000-0008-0000-0200-00007C020000}"/>
            </a:ext>
          </a:extLst>
        </xdr:cNvPr>
        <xdr:cNvSpPr>
          <a:spLocks noChangeShapeType="1"/>
        </xdr:cNvSpPr>
      </xdr:nvSpPr>
      <xdr:spPr bwMode="auto">
        <a:xfrm>
          <a:off x="1581150" y="42891075"/>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637" name="Line 8055">
          <a:extLst>
            <a:ext uri="{FF2B5EF4-FFF2-40B4-BE49-F238E27FC236}">
              <a16:creationId xmlns:a16="http://schemas.microsoft.com/office/drawing/2014/main" id="{00000000-0008-0000-0200-00007D020000}"/>
            </a:ext>
          </a:extLst>
        </xdr:cNvPr>
        <xdr:cNvSpPr>
          <a:spLocks noChangeShapeType="1"/>
        </xdr:cNvSpPr>
      </xdr:nvSpPr>
      <xdr:spPr bwMode="auto">
        <a:xfrm>
          <a:off x="1552575" y="42967275"/>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638" name="Line 8056">
          <a:extLst>
            <a:ext uri="{FF2B5EF4-FFF2-40B4-BE49-F238E27FC236}">
              <a16:creationId xmlns:a16="http://schemas.microsoft.com/office/drawing/2014/main" id="{00000000-0008-0000-0200-00007E020000}"/>
            </a:ext>
          </a:extLst>
        </xdr:cNvPr>
        <xdr:cNvSpPr>
          <a:spLocks noChangeShapeType="1"/>
        </xdr:cNvSpPr>
      </xdr:nvSpPr>
      <xdr:spPr bwMode="auto">
        <a:xfrm flipH="1">
          <a:off x="1514475" y="429387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639" name="Line 8057">
          <a:extLst>
            <a:ext uri="{FF2B5EF4-FFF2-40B4-BE49-F238E27FC236}">
              <a16:creationId xmlns:a16="http://schemas.microsoft.com/office/drawing/2014/main" id="{00000000-0008-0000-0200-00007F020000}"/>
            </a:ext>
          </a:extLst>
        </xdr:cNvPr>
        <xdr:cNvSpPr>
          <a:spLocks noChangeShapeType="1"/>
        </xdr:cNvSpPr>
      </xdr:nvSpPr>
      <xdr:spPr bwMode="auto">
        <a:xfrm flipH="1">
          <a:off x="2790825" y="42938700"/>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640" name="Line 8058">
          <a:extLst>
            <a:ext uri="{FF2B5EF4-FFF2-40B4-BE49-F238E27FC236}">
              <a16:creationId xmlns:a16="http://schemas.microsoft.com/office/drawing/2014/main" id="{00000000-0008-0000-0200-000080020000}"/>
            </a:ext>
          </a:extLst>
        </xdr:cNvPr>
        <xdr:cNvSpPr>
          <a:spLocks noChangeShapeType="1"/>
        </xdr:cNvSpPr>
      </xdr:nvSpPr>
      <xdr:spPr bwMode="auto">
        <a:xfrm flipH="1">
          <a:off x="1581150" y="38319075"/>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641" name="Line 8059">
          <a:extLst>
            <a:ext uri="{FF2B5EF4-FFF2-40B4-BE49-F238E27FC236}">
              <a16:creationId xmlns:a16="http://schemas.microsoft.com/office/drawing/2014/main" id="{00000000-0008-0000-0200-000081020000}"/>
            </a:ext>
          </a:extLst>
        </xdr:cNvPr>
        <xdr:cNvSpPr>
          <a:spLocks noChangeShapeType="1"/>
        </xdr:cNvSpPr>
      </xdr:nvSpPr>
      <xdr:spPr bwMode="auto">
        <a:xfrm flipH="1">
          <a:off x="2686050" y="3830002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642" name="Line 8060">
          <a:extLst>
            <a:ext uri="{FF2B5EF4-FFF2-40B4-BE49-F238E27FC236}">
              <a16:creationId xmlns:a16="http://schemas.microsoft.com/office/drawing/2014/main" id="{00000000-0008-0000-0200-000082020000}"/>
            </a:ext>
          </a:extLst>
        </xdr:cNvPr>
        <xdr:cNvSpPr>
          <a:spLocks noChangeShapeType="1"/>
        </xdr:cNvSpPr>
      </xdr:nvSpPr>
      <xdr:spPr bwMode="auto">
        <a:xfrm>
          <a:off x="1581150" y="38366700"/>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643" name="Line 8061">
          <a:extLst>
            <a:ext uri="{FF2B5EF4-FFF2-40B4-BE49-F238E27FC236}">
              <a16:creationId xmlns:a16="http://schemas.microsoft.com/office/drawing/2014/main" id="{00000000-0008-0000-0200-000083020000}"/>
            </a:ext>
          </a:extLst>
        </xdr:cNvPr>
        <xdr:cNvSpPr>
          <a:spLocks noChangeShapeType="1"/>
        </xdr:cNvSpPr>
      </xdr:nvSpPr>
      <xdr:spPr bwMode="auto">
        <a:xfrm flipH="1">
          <a:off x="1990725" y="38319075"/>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114300</xdr:colOff>
      <xdr:row>170</xdr:row>
      <xdr:rowOff>57150</xdr:rowOff>
    </xdr:from>
    <xdr:to>
      <xdr:col>5</xdr:col>
      <xdr:colOff>733425</xdr:colOff>
      <xdr:row>175</xdr:row>
      <xdr:rowOff>19050</xdr:rowOff>
    </xdr:to>
    <xdr:sp macro="" textlink="">
      <xdr:nvSpPr>
        <xdr:cNvPr id="644" name="Freeform 9991">
          <a:extLst>
            <a:ext uri="{FF2B5EF4-FFF2-40B4-BE49-F238E27FC236}">
              <a16:creationId xmlns:a16="http://schemas.microsoft.com/office/drawing/2014/main" id="{00000000-0008-0000-0200-000084020000}"/>
            </a:ext>
          </a:extLst>
        </xdr:cNvPr>
        <xdr:cNvSpPr>
          <a:spLocks/>
        </xdr:cNvSpPr>
      </xdr:nvSpPr>
      <xdr:spPr bwMode="auto">
        <a:xfrm>
          <a:off x="1495425" y="32327850"/>
          <a:ext cx="1895475" cy="914400"/>
        </a:xfrm>
        <a:custGeom>
          <a:avLst/>
          <a:gdLst>
            <a:gd name="T0" fmla="*/ 2147483646 w 199"/>
            <a:gd name="T1" fmla="*/ 0 h 96"/>
            <a:gd name="T2" fmla="*/ 0 w 199"/>
            <a:gd name="T3" fmla="*/ 0 h 96"/>
            <a:gd name="T4" fmla="*/ 0 w 199"/>
            <a:gd name="T5" fmla="*/ 2147483646 h 96"/>
            <a:gd name="T6" fmla="*/ 2147483646 w 199"/>
            <a:gd name="T7" fmla="*/ 2147483646 h 96"/>
            <a:gd name="T8" fmla="*/ 2147483646 w 199"/>
            <a:gd name="T9" fmla="*/ 2147483646 h 96"/>
            <a:gd name="T10" fmla="*/ 2147483646 w 199"/>
            <a:gd name="T11" fmla="*/ 2147483646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114300</xdr:colOff>
      <xdr:row>179</xdr:row>
      <xdr:rowOff>57150</xdr:rowOff>
    </xdr:from>
    <xdr:to>
      <xdr:col>5</xdr:col>
      <xdr:colOff>466725</xdr:colOff>
      <xdr:row>184</xdr:row>
      <xdr:rowOff>47625</xdr:rowOff>
    </xdr:to>
    <xdr:sp macro="" textlink="">
      <xdr:nvSpPr>
        <xdr:cNvPr id="645" name="Freeform 9992">
          <a:extLst>
            <a:ext uri="{FF2B5EF4-FFF2-40B4-BE49-F238E27FC236}">
              <a16:creationId xmlns:a16="http://schemas.microsoft.com/office/drawing/2014/main" id="{00000000-0008-0000-0200-000085020000}"/>
            </a:ext>
          </a:extLst>
        </xdr:cNvPr>
        <xdr:cNvSpPr>
          <a:spLocks/>
        </xdr:cNvSpPr>
      </xdr:nvSpPr>
      <xdr:spPr bwMode="auto">
        <a:xfrm>
          <a:off x="1495425" y="34042350"/>
          <a:ext cx="1628775" cy="942975"/>
        </a:xfrm>
        <a:custGeom>
          <a:avLst/>
          <a:gdLst>
            <a:gd name="T0" fmla="*/ 2147483646 w 171"/>
            <a:gd name="T1" fmla="*/ 0 h 99"/>
            <a:gd name="T2" fmla="*/ 0 w 171"/>
            <a:gd name="T3" fmla="*/ 0 h 99"/>
            <a:gd name="T4" fmla="*/ 0 w 171"/>
            <a:gd name="T5" fmla="*/ 2147483646 h 99"/>
            <a:gd name="T6" fmla="*/ 2147483646 w 171"/>
            <a:gd name="T7" fmla="*/ 2147483646 h 99"/>
            <a:gd name="T8" fmla="*/ 2147483646 w 171"/>
            <a:gd name="T9" fmla="*/ 2147483646 h 99"/>
            <a:gd name="T10" fmla="*/ 2147483646 w 171"/>
            <a:gd name="T11" fmla="*/ 2147483646 h 9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133350</xdr:colOff>
      <xdr:row>194</xdr:row>
      <xdr:rowOff>38100</xdr:rowOff>
    </xdr:from>
    <xdr:to>
      <xdr:col>5</xdr:col>
      <xdr:colOff>104775</xdr:colOff>
      <xdr:row>199</xdr:row>
      <xdr:rowOff>0</xdr:rowOff>
    </xdr:to>
    <xdr:sp macro="" textlink="">
      <xdr:nvSpPr>
        <xdr:cNvPr id="646" name="Freeform 9993">
          <a:extLst>
            <a:ext uri="{FF2B5EF4-FFF2-40B4-BE49-F238E27FC236}">
              <a16:creationId xmlns:a16="http://schemas.microsoft.com/office/drawing/2014/main" id="{00000000-0008-0000-0200-000086020000}"/>
            </a:ext>
          </a:extLst>
        </xdr:cNvPr>
        <xdr:cNvSpPr>
          <a:spLocks/>
        </xdr:cNvSpPr>
      </xdr:nvSpPr>
      <xdr:spPr bwMode="auto">
        <a:xfrm>
          <a:off x="1514475" y="36880800"/>
          <a:ext cx="1247775" cy="914400"/>
        </a:xfrm>
        <a:custGeom>
          <a:avLst/>
          <a:gdLst>
            <a:gd name="T0" fmla="*/ 2147483646 w 131"/>
            <a:gd name="T1" fmla="*/ 0 h 96"/>
            <a:gd name="T2" fmla="*/ 0 w 131"/>
            <a:gd name="T3" fmla="*/ 0 h 96"/>
            <a:gd name="T4" fmla="*/ 0 w 131"/>
            <a:gd name="T5" fmla="*/ 2147483646 h 96"/>
            <a:gd name="T6" fmla="*/ 2147483646 w 131"/>
            <a:gd name="T7" fmla="*/ 2147483646 h 96"/>
            <a:gd name="T8" fmla="*/ 2147483646 w 131"/>
            <a:gd name="T9" fmla="*/ 2147483646 h 96"/>
            <a:gd name="T10" fmla="*/ 2147483646 w 131"/>
            <a:gd name="T11" fmla="*/ 2147483646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123825</xdr:colOff>
      <xdr:row>170</xdr:row>
      <xdr:rowOff>180975</xdr:rowOff>
    </xdr:from>
    <xdr:to>
      <xdr:col>3</xdr:col>
      <xdr:colOff>180975</xdr:colOff>
      <xdr:row>171</xdr:row>
      <xdr:rowOff>76200</xdr:rowOff>
    </xdr:to>
    <xdr:sp macro="" textlink="">
      <xdr:nvSpPr>
        <xdr:cNvPr id="647" name="Line 9994">
          <a:extLst>
            <a:ext uri="{FF2B5EF4-FFF2-40B4-BE49-F238E27FC236}">
              <a16:creationId xmlns:a16="http://schemas.microsoft.com/office/drawing/2014/main" id="{00000000-0008-0000-0200-000087020000}"/>
            </a:ext>
          </a:extLst>
        </xdr:cNvPr>
        <xdr:cNvSpPr>
          <a:spLocks noChangeShapeType="1"/>
        </xdr:cNvSpPr>
      </xdr:nvSpPr>
      <xdr:spPr bwMode="auto">
        <a:xfrm>
          <a:off x="2085975" y="32451675"/>
          <a:ext cx="571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28575</xdr:rowOff>
    </xdr:from>
    <xdr:to>
      <xdr:col>3</xdr:col>
      <xdr:colOff>190500</xdr:colOff>
      <xdr:row>171</xdr:row>
      <xdr:rowOff>114300</xdr:rowOff>
    </xdr:to>
    <xdr:sp macro="" textlink="">
      <xdr:nvSpPr>
        <xdr:cNvPr id="648" name="Line 9995">
          <a:extLst>
            <a:ext uri="{FF2B5EF4-FFF2-40B4-BE49-F238E27FC236}">
              <a16:creationId xmlns:a16="http://schemas.microsoft.com/office/drawing/2014/main" id="{00000000-0008-0000-0200-000088020000}"/>
            </a:ext>
          </a:extLst>
        </xdr:cNvPr>
        <xdr:cNvSpPr>
          <a:spLocks noChangeShapeType="1"/>
        </xdr:cNvSpPr>
      </xdr:nvSpPr>
      <xdr:spPr bwMode="auto">
        <a:xfrm flipH="1">
          <a:off x="2038350" y="32489775"/>
          <a:ext cx="1143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171</xdr:row>
      <xdr:rowOff>38100</xdr:rowOff>
    </xdr:from>
    <xdr:to>
      <xdr:col>3</xdr:col>
      <xdr:colOff>114300</xdr:colOff>
      <xdr:row>171</xdr:row>
      <xdr:rowOff>133350</xdr:rowOff>
    </xdr:to>
    <xdr:sp macro="" textlink="">
      <xdr:nvSpPr>
        <xdr:cNvPr id="649" name="Line 9996">
          <a:extLst>
            <a:ext uri="{FF2B5EF4-FFF2-40B4-BE49-F238E27FC236}">
              <a16:creationId xmlns:a16="http://schemas.microsoft.com/office/drawing/2014/main" id="{00000000-0008-0000-0200-000089020000}"/>
            </a:ext>
          </a:extLst>
        </xdr:cNvPr>
        <xdr:cNvSpPr>
          <a:spLocks noChangeShapeType="1"/>
        </xdr:cNvSpPr>
      </xdr:nvSpPr>
      <xdr:spPr bwMode="auto">
        <a:xfrm>
          <a:off x="2019300" y="32499300"/>
          <a:ext cx="571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152400</xdr:colOff>
      <xdr:row>171</xdr:row>
      <xdr:rowOff>9525</xdr:rowOff>
    </xdr:from>
    <xdr:to>
      <xdr:col>3</xdr:col>
      <xdr:colOff>171450</xdr:colOff>
      <xdr:row>171</xdr:row>
      <xdr:rowOff>95250</xdr:rowOff>
    </xdr:to>
    <xdr:sp macro="" textlink="">
      <xdr:nvSpPr>
        <xdr:cNvPr id="650" name="Line 9997">
          <a:extLst>
            <a:ext uri="{FF2B5EF4-FFF2-40B4-BE49-F238E27FC236}">
              <a16:creationId xmlns:a16="http://schemas.microsoft.com/office/drawing/2014/main" id="{00000000-0008-0000-0200-00008A020000}"/>
            </a:ext>
          </a:extLst>
        </xdr:cNvPr>
        <xdr:cNvSpPr>
          <a:spLocks noChangeShapeType="1"/>
        </xdr:cNvSpPr>
      </xdr:nvSpPr>
      <xdr:spPr bwMode="auto">
        <a:xfrm flipH="1">
          <a:off x="2114550" y="32470725"/>
          <a:ext cx="190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85725</xdr:colOff>
      <xdr:row>171</xdr:row>
      <xdr:rowOff>66675</xdr:rowOff>
    </xdr:from>
    <xdr:to>
      <xdr:col>3</xdr:col>
      <xdr:colOff>104775</xdr:colOff>
      <xdr:row>171</xdr:row>
      <xdr:rowOff>142875</xdr:rowOff>
    </xdr:to>
    <xdr:sp macro="" textlink="">
      <xdr:nvSpPr>
        <xdr:cNvPr id="651" name="Line 9998">
          <a:extLst>
            <a:ext uri="{FF2B5EF4-FFF2-40B4-BE49-F238E27FC236}">
              <a16:creationId xmlns:a16="http://schemas.microsoft.com/office/drawing/2014/main" id="{00000000-0008-0000-0200-00008B020000}"/>
            </a:ext>
          </a:extLst>
        </xdr:cNvPr>
        <xdr:cNvSpPr>
          <a:spLocks noChangeShapeType="1"/>
        </xdr:cNvSpPr>
      </xdr:nvSpPr>
      <xdr:spPr bwMode="auto">
        <a:xfrm flipH="1">
          <a:off x="2047875" y="32527875"/>
          <a:ext cx="190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247650</xdr:colOff>
      <xdr:row>145</xdr:row>
      <xdr:rowOff>85725</xdr:rowOff>
    </xdr:from>
    <xdr:to>
      <xdr:col>4</xdr:col>
      <xdr:colOff>247650</xdr:colOff>
      <xdr:row>148</xdr:row>
      <xdr:rowOff>133350</xdr:rowOff>
    </xdr:to>
    <xdr:sp macro="" textlink="">
      <xdr:nvSpPr>
        <xdr:cNvPr id="652" name="Line 10647">
          <a:extLst>
            <a:ext uri="{FF2B5EF4-FFF2-40B4-BE49-F238E27FC236}">
              <a16:creationId xmlns:a16="http://schemas.microsoft.com/office/drawing/2014/main" id="{00000000-0008-0000-0200-00008C020000}"/>
            </a:ext>
          </a:extLst>
        </xdr:cNvPr>
        <xdr:cNvSpPr>
          <a:spLocks noChangeShapeType="1"/>
        </xdr:cNvSpPr>
      </xdr:nvSpPr>
      <xdr:spPr bwMode="auto">
        <a:xfrm flipV="1">
          <a:off x="2581275" y="27584400"/>
          <a:ext cx="0"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219075</xdr:colOff>
      <xdr:row>145</xdr:row>
      <xdr:rowOff>123825</xdr:rowOff>
    </xdr:from>
    <xdr:to>
      <xdr:col>5</xdr:col>
      <xdr:colOff>257175</xdr:colOff>
      <xdr:row>145</xdr:row>
      <xdr:rowOff>123825</xdr:rowOff>
    </xdr:to>
    <xdr:sp macro="" textlink="">
      <xdr:nvSpPr>
        <xdr:cNvPr id="653" name="Line 10648">
          <a:extLst>
            <a:ext uri="{FF2B5EF4-FFF2-40B4-BE49-F238E27FC236}">
              <a16:creationId xmlns:a16="http://schemas.microsoft.com/office/drawing/2014/main" id="{00000000-0008-0000-0200-00008D020000}"/>
            </a:ext>
          </a:extLst>
        </xdr:cNvPr>
        <xdr:cNvSpPr>
          <a:spLocks noChangeShapeType="1"/>
        </xdr:cNvSpPr>
      </xdr:nvSpPr>
      <xdr:spPr bwMode="auto">
        <a:xfrm>
          <a:off x="2552700" y="27622500"/>
          <a:ext cx="361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145</xdr:row>
      <xdr:rowOff>76200</xdr:rowOff>
    </xdr:from>
    <xdr:to>
      <xdr:col>5</xdr:col>
      <xdr:colOff>257175</xdr:colOff>
      <xdr:row>145</xdr:row>
      <xdr:rowOff>161925</xdr:rowOff>
    </xdr:to>
    <xdr:sp macro="" textlink="">
      <xdr:nvSpPr>
        <xdr:cNvPr id="654" name="Line 10649">
          <a:extLst>
            <a:ext uri="{FF2B5EF4-FFF2-40B4-BE49-F238E27FC236}">
              <a16:creationId xmlns:a16="http://schemas.microsoft.com/office/drawing/2014/main" id="{00000000-0008-0000-0200-00008E020000}"/>
            </a:ext>
          </a:extLst>
        </xdr:cNvPr>
        <xdr:cNvSpPr>
          <a:spLocks noChangeShapeType="1"/>
        </xdr:cNvSpPr>
      </xdr:nvSpPr>
      <xdr:spPr bwMode="auto">
        <a:xfrm flipH="1">
          <a:off x="2828925" y="275748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145</xdr:row>
      <xdr:rowOff>76200</xdr:rowOff>
    </xdr:from>
    <xdr:to>
      <xdr:col>4</xdr:col>
      <xdr:colOff>304800</xdr:colOff>
      <xdr:row>145</xdr:row>
      <xdr:rowOff>171450</xdr:rowOff>
    </xdr:to>
    <xdr:sp macro="" textlink="">
      <xdr:nvSpPr>
        <xdr:cNvPr id="655" name="Line 10650">
          <a:extLst>
            <a:ext uri="{FF2B5EF4-FFF2-40B4-BE49-F238E27FC236}">
              <a16:creationId xmlns:a16="http://schemas.microsoft.com/office/drawing/2014/main" id="{00000000-0008-0000-0200-00008F020000}"/>
            </a:ext>
          </a:extLst>
        </xdr:cNvPr>
        <xdr:cNvSpPr>
          <a:spLocks noChangeShapeType="1"/>
        </xdr:cNvSpPr>
      </xdr:nvSpPr>
      <xdr:spPr bwMode="auto">
        <a:xfrm flipH="1">
          <a:off x="2543175" y="275748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247650</xdr:colOff>
      <xdr:row>147</xdr:row>
      <xdr:rowOff>28575</xdr:rowOff>
    </xdr:from>
    <xdr:to>
      <xdr:col>5</xdr:col>
      <xdr:colOff>676275</xdr:colOff>
      <xdr:row>148</xdr:row>
      <xdr:rowOff>171450</xdr:rowOff>
    </xdr:to>
    <xdr:sp macro="" textlink="">
      <xdr:nvSpPr>
        <xdr:cNvPr id="656" name="Freeform 93446">
          <a:extLst>
            <a:ext uri="{FF2B5EF4-FFF2-40B4-BE49-F238E27FC236}">
              <a16:creationId xmlns:a16="http://schemas.microsoft.com/office/drawing/2014/main" id="{00000000-0008-0000-0200-000090020000}"/>
            </a:ext>
          </a:extLst>
        </xdr:cNvPr>
        <xdr:cNvSpPr>
          <a:spLocks/>
        </xdr:cNvSpPr>
      </xdr:nvSpPr>
      <xdr:spPr bwMode="auto">
        <a:xfrm>
          <a:off x="2581275" y="27908250"/>
          <a:ext cx="752475" cy="333375"/>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146</xdr:row>
      <xdr:rowOff>28575</xdr:rowOff>
    </xdr:from>
    <xdr:to>
      <xdr:col>6</xdr:col>
      <xdr:colOff>133350</xdr:colOff>
      <xdr:row>147</xdr:row>
      <xdr:rowOff>47625</xdr:rowOff>
    </xdr:to>
    <xdr:sp macro="" textlink="">
      <xdr:nvSpPr>
        <xdr:cNvPr id="657" name="Line 10652">
          <a:extLst>
            <a:ext uri="{FF2B5EF4-FFF2-40B4-BE49-F238E27FC236}">
              <a16:creationId xmlns:a16="http://schemas.microsoft.com/office/drawing/2014/main" id="{00000000-0008-0000-0200-000091020000}"/>
            </a:ext>
          </a:extLst>
        </xdr:cNvPr>
        <xdr:cNvSpPr>
          <a:spLocks noChangeShapeType="1"/>
        </xdr:cNvSpPr>
      </xdr:nvSpPr>
      <xdr:spPr bwMode="auto">
        <a:xfrm flipV="1">
          <a:off x="3267075" y="27717750"/>
          <a:ext cx="276225"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153</xdr:row>
      <xdr:rowOff>142875</xdr:rowOff>
    </xdr:from>
    <xdr:to>
      <xdr:col>5</xdr:col>
      <xdr:colOff>209550</xdr:colOff>
      <xdr:row>154</xdr:row>
      <xdr:rowOff>57150</xdr:rowOff>
    </xdr:to>
    <xdr:sp macro="" textlink="">
      <xdr:nvSpPr>
        <xdr:cNvPr id="658" name="Line 10653">
          <a:extLst>
            <a:ext uri="{FF2B5EF4-FFF2-40B4-BE49-F238E27FC236}">
              <a16:creationId xmlns:a16="http://schemas.microsoft.com/office/drawing/2014/main" id="{00000000-0008-0000-0200-000092020000}"/>
            </a:ext>
          </a:extLst>
        </xdr:cNvPr>
        <xdr:cNvSpPr>
          <a:spLocks noChangeShapeType="1"/>
        </xdr:cNvSpPr>
      </xdr:nvSpPr>
      <xdr:spPr bwMode="auto">
        <a:xfrm flipH="1">
          <a:off x="2762250" y="2917507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13</xdr:col>
      <xdr:colOff>197069</xdr:colOff>
      <xdr:row>7</xdr:row>
      <xdr:rowOff>175171</xdr:rowOff>
    </xdr:from>
    <xdr:ext cx="1926897" cy="988347"/>
    <xdr:sp macro="" textlink="">
      <xdr:nvSpPr>
        <xdr:cNvPr id="477" name="Tekstfelt 476">
          <a:extLst>
            <a:ext uri="{FF2B5EF4-FFF2-40B4-BE49-F238E27FC236}">
              <a16:creationId xmlns:a16="http://schemas.microsoft.com/office/drawing/2014/main" id="{00000000-0008-0000-0200-0000DD010000}"/>
            </a:ext>
          </a:extLst>
        </xdr:cNvPr>
        <xdr:cNvSpPr txBox="1"/>
      </xdr:nvSpPr>
      <xdr:spPr>
        <a:xfrm>
          <a:off x="8222155" y="1280947"/>
          <a:ext cx="1926897" cy="988347"/>
        </a:xfrm>
        <a:prstGeom prst="rect">
          <a:avLst/>
        </a:prstGeom>
        <a:solidFill>
          <a:schemeClr val="bg1"/>
        </a:solidFill>
        <a:ln>
          <a:solidFill>
            <a:schemeClr val="bg2">
              <a:lumMod val="7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a-DK" sz="1200" b="1">
              <a:solidFill>
                <a:schemeClr val="accent6">
                  <a:lumMod val="50000"/>
                </a:schemeClr>
              </a:solidFill>
              <a:effectLst/>
              <a:latin typeface="Arial" panose="020B0604020202020204" pitchFamily="34" charset="0"/>
              <a:ea typeface="+mn-ea"/>
              <a:cs typeface="Arial" panose="020B0604020202020204" pitchFamily="34" charset="0"/>
            </a:rPr>
            <a:t>Inden udskrivning vha.</a:t>
          </a:r>
          <a:r>
            <a:rPr lang="da-DK" sz="1200" b="1" baseline="0">
              <a:solidFill>
                <a:schemeClr val="accent6">
                  <a:lumMod val="50000"/>
                </a:schemeClr>
              </a:solidFill>
              <a:effectLst/>
              <a:latin typeface="Arial" panose="020B0604020202020204" pitchFamily="34" charset="0"/>
              <a:ea typeface="+mn-ea"/>
              <a:cs typeface="Arial" panose="020B0604020202020204" pitchFamily="34" charset="0"/>
            </a:rPr>
            <a:t> </a:t>
          </a:r>
          <a:r>
            <a:rPr lang="da-DK" sz="1200" b="1">
              <a:solidFill>
                <a:schemeClr val="accent6">
                  <a:lumMod val="50000"/>
                </a:schemeClr>
              </a:solidFill>
              <a:effectLst/>
              <a:latin typeface="Arial" panose="020B0604020202020204" pitchFamily="34" charset="0"/>
              <a:ea typeface="+mn-ea"/>
              <a:cs typeface="Arial" panose="020B0604020202020204" pitchFamily="34" charset="0"/>
            </a:rPr>
            <a:t>Filer, Udskriv, skal sideskift justeres vha. Vis, Vis sideskift, og så 'trække'</a:t>
          </a:r>
          <a:r>
            <a:rPr lang="da-DK" sz="1200" b="1" baseline="0">
              <a:solidFill>
                <a:schemeClr val="accent6">
                  <a:lumMod val="50000"/>
                </a:schemeClr>
              </a:solidFill>
              <a:effectLst/>
              <a:latin typeface="Arial" panose="020B0604020202020204" pitchFamily="34" charset="0"/>
              <a:ea typeface="+mn-ea"/>
              <a:cs typeface="Arial" panose="020B0604020202020204" pitchFamily="34" charset="0"/>
            </a:rPr>
            <a:t> med musen.</a:t>
          </a:r>
          <a:endParaRPr lang="da-DK" sz="1100" b="1">
            <a:solidFill>
              <a:schemeClr val="accent6">
                <a:lumMod val="50000"/>
              </a:schemeClr>
            </a:solidFill>
          </a:endParaRPr>
        </a:p>
      </xdr:txBody>
    </xdr:sp>
    <xdr:clientData/>
  </xdr:oneCellAnchor>
  <xdr:twoCellAnchor>
    <xdr:from>
      <xdr:col>1</xdr:col>
      <xdr:colOff>47626</xdr:colOff>
      <xdr:row>174</xdr:row>
      <xdr:rowOff>33337</xdr:rowOff>
    </xdr:from>
    <xdr:to>
      <xdr:col>2</xdr:col>
      <xdr:colOff>42863</xdr:colOff>
      <xdr:row>174</xdr:row>
      <xdr:rowOff>33337</xdr:rowOff>
    </xdr:to>
    <xdr:cxnSp macro="">
      <xdr:nvCxnSpPr>
        <xdr:cNvPr id="664" name="Lige forbindelse 663">
          <a:extLst>
            <a:ext uri="{FF2B5EF4-FFF2-40B4-BE49-F238E27FC236}">
              <a16:creationId xmlns:a16="http://schemas.microsoft.com/office/drawing/2014/main" id="{00000000-0008-0000-0200-000098020000}"/>
            </a:ext>
          </a:extLst>
        </xdr:cNvPr>
        <xdr:cNvCxnSpPr/>
      </xdr:nvCxnSpPr>
      <xdr:spPr>
        <a:xfrm flipH="1">
          <a:off x="1190626" y="32980312"/>
          <a:ext cx="23336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47626</xdr:colOff>
      <xdr:row>173</xdr:row>
      <xdr:rowOff>104774</xdr:rowOff>
    </xdr:from>
    <xdr:to>
      <xdr:col>2</xdr:col>
      <xdr:colOff>166688</xdr:colOff>
      <xdr:row>173</xdr:row>
      <xdr:rowOff>104774</xdr:rowOff>
    </xdr:to>
    <xdr:cxnSp macro="">
      <xdr:nvCxnSpPr>
        <xdr:cNvPr id="665" name="Lige forbindelse 664">
          <a:extLst>
            <a:ext uri="{FF2B5EF4-FFF2-40B4-BE49-F238E27FC236}">
              <a16:creationId xmlns:a16="http://schemas.microsoft.com/office/drawing/2014/main" id="{00000000-0008-0000-0200-000099020000}"/>
            </a:ext>
          </a:extLst>
        </xdr:cNvPr>
        <xdr:cNvCxnSpPr/>
      </xdr:nvCxnSpPr>
      <xdr:spPr>
        <a:xfrm flipH="1">
          <a:off x="1190626" y="32861249"/>
          <a:ext cx="3571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33338</xdr:colOff>
      <xdr:row>173</xdr:row>
      <xdr:rowOff>71437</xdr:rowOff>
    </xdr:from>
    <xdr:to>
      <xdr:col>1</xdr:col>
      <xdr:colOff>100013</xdr:colOff>
      <xdr:row>173</xdr:row>
      <xdr:rowOff>138112</xdr:rowOff>
    </xdr:to>
    <xdr:sp macro="" textlink="">
      <xdr:nvSpPr>
        <xdr:cNvPr id="666" name="Line 19076">
          <a:extLst>
            <a:ext uri="{FF2B5EF4-FFF2-40B4-BE49-F238E27FC236}">
              <a16:creationId xmlns:a16="http://schemas.microsoft.com/office/drawing/2014/main" id="{00000000-0008-0000-0200-00009A020000}"/>
            </a:ext>
          </a:extLst>
        </xdr:cNvPr>
        <xdr:cNvSpPr>
          <a:spLocks noChangeShapeType="1"/>
        </xdr:cNvSpPr>
      </xdr:nvSpPr>
      <xdr:spPr bwMode="auto">
        <a:xfrm flipH="1">
          <a:off x="1176338" y="32827912"/>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173</xdr:row>
      <xdr:rowOff>190499</xdr:rowOff>
    </xdr:from>
    <xdr:to>
      <xdr:col>1</xdr:col>
      <xdr:colOff>95250</xdr:colOff>
      <xdr:row>174</xdr:row>
      <xdr:rowOff>66674</xdr:rowOff>
    </xdr:to>
    <xdr:sp macro="" textlink="">
      <xdr:nvSpPr>
        <xdr:cNvPr id="667" name="Line 19076">
          <a:extLst>
            <a:ext uri="{FF2B5EF4-FFF2-40B4-BE49-F238E27FC236}">
              <a16:creationId xmlns:a16="http://schemas.microsoft.com/office/drawing/2014/main" id="{00000000-0008-0000-0200-00009B020000}"/>
            </a:ext>
          </a:extLst>
        </xdr:cNvPr>
        <xdr:cNvSpPr>
          <a:spLocks noChangeShapeType="1"/>
        </xdr:cNvSpPr>
      </xdr:nvSpPr>
      <xdr:spPr bwMode="auto">
        <a:xfrm flipH="1">
          <a:off x="1171575" y="32946974"/>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66675</xdr:colOff>
      <xdr:row>173</xdr:row>
      <xdr:rowOff>42862</xdr:rowOff>
    </xdr:from>
    <xdr:to>
      <xdr:col>1</xdr:col>
      <xdr:colOff>66675</xdr:colOff>
      <xdr:row>174</xdr:row>
      <xdr:rowOff>76199</xdr:rowOff>
    </xdr:to>
    <xdr:sp macro="" textlink="">
      <xdr:nvSpPr>
        <xdr:cNvPr id="668" name="Line 19047">
          <a:extLst>
            <a:ext uri="{FF2B5EF4-FFF2-40B4-BE49-F238E27FC236}">
              <a16:creationId xmlns:a16="http://schemas.microsoft.com/office/drawing/2014/main" id="{00000000-0008-0000-0200-00009C020000}"/>
            </a:ext>
          </a:extLst>
        </xdr:cNvPr>
        <xdr:cNvSpPr>
          <a:spLocks noChangeShapeType="1"/>
        </xdr:cNvSpPr>
      </xdr:nvSpPr>
      <xdr:spPr bwMode="auto">
        <a:xfrm>
          <a:off x="1209675" y="32799337"/>
          <a:ext cx="0" cy="22383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182</xdr:row>
      <xdr:rowOff>100012</xdr:rowOff>
    </xdr:from>
    <xdr:to>
      <xdr:col>2</xdr:col>
      <xdr:colOff>323850</xdr:colOff>
      <xdr:row>182</xdr:row>
      <xdr:rowOff>166687</xdr:rowOff>
    </xdr:to>
    <xdr:sp macro="" textlink="">
      <xdr:nvSpPr>
        <xdr:cNvPr id="669" name="AutoShape 131">
          <a:extLst>
            <a:ext uri="{FF2B5EF4-FFF2-40B4-BE49-F238E27FC236}">
              <a16:creationId xmlns:a16="http://schemas.microsoft.com/office/drawing/2014/main" id="{00000000-0008-0000-0200-00009D020000}"/>
            </a:ext>
          </a:extLst>
        </xdr:cNvPr>
        <xdr:cNvSpPr>
          <a:spLocks noChangeArrowheads="1"/>
        </xdr:cNvSpPr>
      </xdr:nvSpPr>
      <xdr:spPr bwMode="auto">
        <a:xfrm>
          <a:off x="1609725" y="34570987"/>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228601</xdr:colOff>
      <xdr:row>180</xdr:row>
      <xdr:rowOff>0</xdr:rowOff>
    </xdr:from>
    <xdr:to>
      <xdr:col>2</xdr:col>
      <xdr:colOff>576263</xdr:colOff>
      <xdr:row>182</xdr:row>
      <xdr:rowOff>114300</xdr:rowOff>
    </xdr:to>
    <xdr:cxnSp macro="">
      <xdr:nvCxnSpPr>
        <xdr:cNvPr id="670" name="Lige forbindelse 669">
          <a:extLst>
            <a:ext uri="{FF2B5EF4-FFF2-40B4-BE49-F238E27FC236}">
              <a16:creationId xmlns:a16="http://schemas.microsoft.com/office/drawing/2014/main" id="{00000000-0008-0000-0200-00009E020000}"/>
            </a:ext>
          </a:extLst>
        </xdr:cNvPr>
        <xdr:cNvCxnSpPr/>
      </xdr:nvCxnSpPr>
      <xdr:spPr>
        <a:xfrm flipH="1">
          <a:off x="1609726" y="34089975"/>
          <a:ext cx="347662" cy="49530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323850</xdr:colOff>
      <xdr:row>180</xdr:row>
      <xdr:rowOff>66675</xdr:rowOff>
    </xdr:from>
    <xdr:to>
      <xdr:col>3</xdr:col>
      <xdr:colOff>76200</xdr:colOff>
      <xdr:row>182</xdr:row>
      <xdr:rowOff>171450</xdr:rowOff>
    </xdr:to>
    <xdr:cxnSp macro="">
      <xdr:nvCxnSpPr>
        <xdr:cNvPr id="671" name="Lige forbindelse 670">
          <a:extLst>
            <a:ext uri="{FF2B5EF4-FFF2-40B4-BE49-F238E27FC236}">
              <a16:creationId xmlns:a16="http://schemas.microsoft.com/office/drawing/2014/main" id="{00000000-0008-0000-0200-00009F020000}"/>
            </a:ext>
          </a:extLst>
        </xdr:cNvPr>
        <xdr:cNvCxnSpPr/>
      </xdr:nvCxnSpPr>
      <xdr:spPr>
        <a:xfrm flipH="1">
          <a:off x="1704975" y="34156650"/>
          <a:ext cx="333375" cy="48577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182</xdr:row>
      <xdr:rowOff>166687</xdr:rowOff>
    </xdr:from>
    <xdr:to>
      <xdr:col>2</xdr:col>
      <xdr:colOff>228600</xdr:colOff>
      <xdr:row>183</xdr:row>
      <xdr:rowOff>57150</xdr:rowOff>
    </xdr:to>
    <xdr:cxnSp macro="">
      <xdr:nvCxnSpPr>
        <xdr:cNvPr id="672" name="Lige forbindelse 671">
          <a:extLst>
            <a:ext uri="{FF2B5EF4-FFF2-40B4-BE49-F238E27FC236}">
              <a16:creationId xmlns:a16="http://schemas.microsoft.com/office/drawing/2014/main" id="{00000000-0008-0000-0200-0000A0020000}"/>
            </a:ext>
          </a:extLst>
        </xdr:cNvPr>
        <xdr:cNvCxnSpPr>
          <a:endCxn id="669" idx="2"/>
        </xdr:cNvCxnSpPr>
      </xdr:nvCxnSpPr>
      <xdr:spPr>
        <a:xfrm flipV="1">
          <a:off x="1609725" y="34637662"/>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328612</xdr:colOff>
      <xdr:row>182</xdr:row>
      <xdr:rowOff>171449</xdr:rowOff>
    </xdr:from>
    <xdr:to>
      <xdr:col>2</xdr:col>
      <xdr:colOff>328612</xdr:colOff>
      <xdr:row>183</xdr:row>
      <xdr:rowOff>61912</xdr:rowOff>
    </xdr:to>
    <xdr:cxnSp macro="">
      <xdr:nvCxnSpPr>
        <xdr:cNvPr id="673" name="Lige forbindelse 672">
          <a:extLst>
            <a:ext uri="{FF2B5EF4-FFF2-40B4-BE49-F238E27FC236}">
              <a16:creationId xmlns:a16="http://schemas.microsoft.com/office/drawing/2014/main" id="{00000000-0008-0000-0200-0000A1020000}"/>
            </a:ext>
          </a:extLst>
        </xdr:cNvPr>
        <xdr:cNvCxnSpPr/>
      </xdr:nvCxnSpPr>
      <xdr:spPr>
        <a:xfrm flipV="1">
          <a:off x="1709737" y="34642424"/>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219075</xdr:colOff>
      <xdr:row>0</xdr:row>
      <xdr:rowOff>0</xdr:rowOff>
    </xdr:from>
    <xdr:to>
      <xdr:col>11</xdr:col>
      <xdr:colOff>219075</xdr:colOff>
      <xdr:row>6</xdr:row>
      <xdr:rowOff>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6905625" y="0"/>
          <a:ext cx="0" cy="9429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57150</xdr:colOff>
          <xdr:row>0</xdr:row>
          <xdr:rowOff>28575</xdr:rowOff>
        </xdr:from>
        <xdr:to>
          <xdr:col>0</xdr:col>
          <xdr:colOff>219075</xdr:colOff>
          <xdr:row>1</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editAs="oneCell">
    <xdr:from>
      <xdr:col>0</xdr:col>
      <xdr:colOff>466725</xdr:colOff>
      <xdr:row>0</xdr:row>
      <xdr:rowOff>104775</xdr:rowOff>
    </xdr:from>
    <xdr:to>
      <xdr:col>0</xdr:col>
      <xdr:colOff>1076325</xdr:colOff>
      <xdr:row>3</xdr:row>
      <xdr:rowOff>104775</xdr:rowOff>
    </xdr:to>
    <xdr:pic>
      <xdr:nvPicPr>
        <xdr:cNvPr id="4" name="Picture 197" descr="CRH_office_pantone">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704850</xdr:colOff>
      <xdr:row>21</xdr:row>
      <xdr:rowOff>104775</xdr:rowOff>
    </xdr:from>
    <xdr:to>
      <xdr:col>5</xdr:col>
      <xdr:colOff>704850</xdr:colOff>
      <xdr:row>23</xdr:row>
      <xdr:rowOff>47625</xdr:rowOff>
    </xdr:to>
    <xdr:sp macro="" textlink="">
      <xdr:nvSpPr>
        <xdr:cNvPr id="5" name="Line 302">
          <a:extLst>
            <a:ext uri="{FF2B5EF4-FFF2-40B4-BE49-F238E27FC236}">
              <a16:creationId xmlns:a16="http://schemas.microsoft.com/office/drawing/2014/main" id="{00000000-0008-0000-0300-000005000000}"/>
            </a:ext>
          </a:extLst>
        </xdr:cNvPr>
        <xdr:cNvSpPr>
          <a:spLocks noChangeShapeType="1"/>
        </xdr:cNvSpPr>
      </xdr:nvSpPr>
      <xdr:spPr bwMode="auto">
        <a:xfrm>
          <a:off x="3352800" y="3905250"/>
          <a:ext cx="0"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561975</xdr:colOff>
      <xdr:row>19</xdr:row>
      <xdr:rowOff>161925</xdr:rowOff>
    </xdr:from>
    <xdr:to>
      <xdr:col>5</xdr:col>
      <xdr:colOff>609600</xdr:colOff>
      <xdr:row>23</xdr:row>
      <xdr:rowOff>47625</xdr:rowOff>
    </xdr:to>
    <xdr:sp macro="" textlink="">
      <xdr:nvSpPr>
        <xdr:cNvPr id="6" name="Tegning 303">
          <a:extLst>
            <a:ext uri="{FF2B5EF4-FFF2-40B4-BE49-F238E27FC236}">
              <a16:creationId xmlns:a16="http://schemas.microsoft.com/office/drawing/2014/main" id="{00000000-0008-0000-0300-000006000000}"/>
            </a:ext>
          </a:extLst>
        </xdr:cNvPr>
        <xdr:cNvSpPr>
          <a:spLocks/>
        </xdr:cNvSpPr>
      </xdr:nvSpPr>
      <xdr:spPr bwMode="auto">
        <a:xfrm>
          <a:off x="1981200" y="3581400"/>
          <a:ext cx="12763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183"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95250</xdr:colOff>
      <xdr:row>20</xdr:row>
      <xdr:rowOff>161925</xdr:rowOff>
    </xdr:from>
    <xdr:to>
      <xdr:col>3</xdr:col>
      <xdr:colOff>0</xdr:colOff>
      <xdr:row>21</xdr:row>
      <xdr:rowOff>114300</xdr:rowOff>
    </xdr:to>
    <xdr:sp macro="" textlink="">
      <xdr:nvSpPr>
        <xdr:cNvPr id="7" name="Tegning 304">
          <a:extLst>
            <a:ext uri="{FF2B5EF4-FFF2-40B4-BE49-F238E27FC236}">
              <a16:creationId xmlns:a16="http://schemas.microsoft.com/office/drawing/2014/main" id="{00000000-0008-0000-0300-000007000000}"/>
            </a:ext>
          </a:extLst>
        </xdr:cNvPr>
        <xdr:cNvSpPr>
          <a:spLocks/>
        </xdr:cNvSpPr>
      </xdr:nvSpPr>
      <xdr:spPr bwMode="auto">
        <a:xfrm>
          <a:off x="1514475" y="3771900"/>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039" y="0"/>
              </a:moveTo>
              <a:lnTo>
                <a:pt x="0" y="0"/>
              </a:lnTo>
              <a:lnTo>
                <a:pt x="0" y="16384"/>
              </a:lnTo>
              <a:lnTo>
                <a:pt x="16384" y="16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0</xdr:colOff>
      <xdr:row>20</xdr:row>
      <xdr:rowOff>161925</xdr:rowOff>
    </xdr:from>
    <xdr:to>
      <xdr:col>5</xdr:col>
      <xdr:colOff>209550</xdr:colOff>
      <xdr:row>21</xdr:row>
      <xdr:rowOff>114300</xdr:rowOff>
    </xdr:to>
    <xdr:sp macro="" textlink="">
      <xdr:nvSpPr>
        <xdr:cNvPr id="8" name="Tegning 305">
          <a:extLst>
            <a:ext uri="{FF2B5EF4-FFF2-40B4-BE49-F238E27FC236}">
              <a16:creationId xmlns:a16="http://schemas.microsoft.com/office/drawing/2014/main" id="{00000000-0008-0000-0300-000008000000}"/>
            </a:ext>
          </a:extLst>
        </xdr:cNvPr>
        <xdr:cNvSpPr>
          <a:spLocks/>
        </xdr:cNvSpPr>
      </xdr:nvSpPr>
      <xdr:spPr bwMode="auto">
        <a:xfrm>
          <a:off x="2000250" y="3771900"/>
          <a:ext cx="857250"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0"/>
              </a:moveTo>
              <a:lnTo>
                <a:pt x="16384" y="0"/>
              </a:lnTo>
              <a:lnTo>
                <a:pt x="16384" y="16384"/>
              </a:lnTo>
              <a:lnTo>
                <a:pt x="0" y="16384"/>
              </a:lnTo>
            </a:path>
          </a:pathLst>
        </a:custGeom>
        <a:noFill/>
        <a:ln w="9525" cap="flat">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552450</xdr:colOff>
      <xdr:row>23</xdr:row>
      <xdr:rowOff>76200</xdr:rowOff>
    </xdr:from>
    <xdr:to>
      <xdr:col>3</xdr:col>
      <xdr:colOff>266700</xdr:colOff>
      <xdr:row>25</xdr:row>
      <xdr:rowOff>85725</xdr:rowOff>
    </xdr:to>
    <xdr:sp macro="" textlink="">
      <xdr:nvSpPr>
        <xdr:cNvPr id="9" name="Tegning 306">
          <a:extLst>
            <a:ext uri="{FF2B5EF4-FFF2-40B4-BE49-F238E27FC236}">
              <a16:creationId xmlns:a16="http://schemas.microsoft.com/office/drawing/2014/main" id="{00000000-0008-0000-0300-000009000000}"/>
            </a:ext>
          </a:extLst>
        </xdr:cNvPr>
        <xdr:cNvSpPr>
          <a:spLocks/>
        </xdr:cNvSpPr>
      </xdr:nvSpPr>
      <xdr:spPr bwMode="auto">
        <a:xfrm>
          <a:off x="1971675" y="4257675"/>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192" y="0"/>
              </a:moveTo>
              <a:lnTo>
                <a:pt x="8192" y="16384"/>
              </a:lnTo>
              <a:lnTo>
                <a:pt x="16384" y="10384"/>
              </a:lnTo>
              <a:lnTo>
                <a:pt x="8192" y="16384"/>
              </a:lnTo>
              <a:lnTo>
                <a:pt x="0" y="10384"/>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171450</xdr:colOff>
      <xdr:row>21</xdr:row>
      <xdr:rowOff>123825</xdr:rowOff>
    </xdr:from>
    <xdr:to>
      <xdr:col>2</xdr:col>
      <xdr:colOff>390525</xdr:colOff>
      <xdr:row>23</xdr:row>
      <xdr:rowOff>161925</xdr:rowOff>
    </xdr:to>
    <xdr:sp macro="" textlink="">
      <xdr:nvSpPr>
        <xdr:cNvPr id="10" name="Tegning 307">
          <a:extLst>
            <a:ext uri="{FF2B5EF4-FFF2-40B4-BE49-F238E27FC236}">
              <a16:creationId xmlns:a16="http://schemas.microsoft.com/office/drawing/2014/main" id="{00000000-0008-0000-0300-00000A000000}"/>
            </a:ext>
          </a:extLst>
        </xdr:cNvPr>
        <xdr:cNvSpPr>
          <a:spLocks/>
        </xdr:cNvSpPr>
      </xdr:nvSpPr>
      <xdr:spPr bwMode="auto">
        <a:xfrm>
          <a:off x="1590675" y="3924300"/>
          <a:ext cx="219075" cy="4191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7620" y="16384"/>
              </a:moveTo>
              <a:lnTo>
                <a:pt x="7620" y="0"/>
              </a:lnTo>
              <a:lnTo>
                <a:pt x="0" y="4819"/>
              </a:lnTo>
              <a:lnTo>
                <a:pt x="7620" y="0"/>
              </a:lnTo>
              <a:lnTo>
                <a:pt x="16384" y="5542"/>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5</xdr:col>
      <xdr:colOff>47625</xdr:colOff>
      <xdr:row>21</xdr:row>
      <xdr:rowOff>114300</xdr:rowOff>
    </xdr:from>
    <xdr:to>
      <xdr:col>5</xdr:col>
      <xdr:colOff>209550</xdr:colOff>
      <xdr:row>21</xdr:row>
      <xdr:rowOff>114300</xdr:rowOff>
    </xdr:to>
    <xdr:sp macro="" textlink="">
      <xdr:nvSpPr>
        <xdr:cNvPr id="11" name="Line 308">
          <a:extLst>
            <a:ext uri="{FF2B5EF4-FFF2-40B4-BE49-F238E27FC236}">
              <a16:creationId xmlns:a16="http://schemas.microsoft.com/office/drawing/2014/main" id="{00000000-0008-0000-0300-00000B000000}"/>
            </a:ext>
          </a:extLst>
        </xdr:cNvPr>
        <xdr:cNvSpPr>
          <a:spLocks noChangeShapeType="1"/>
        </xdr:cNvSpPr>
      </xdr:nvSpPr>
      <xdr:spPr bwMode="auto">
        <a:xfrm>
          <a:off x="2695575" y="3914775"/>
          <a:ext cx="161925" cy="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21</xdr:row>
      <xdr:rowOff>142875</xdr:rowOff>
    </xdr:from>
    <xdr:to>
      <xdr:col>5</xdr:col>
      <xdr:colOff>47625</xdr:colOff>
      <xdr:row>23</xdr:row>
      <xdr:rowOff>28575</xdr:rowOff>
    </xdr:to>
    <xdr:sp macro="" textlink="">
      <xdr:nvSpPr>
        <xdr:cNvPr id="12" name="Line 309">
          <a:extLst>
            <a:ext uri="{FF2B5EF4-FFF2-40B4-BE49-F238E27FC236}">
              <a16:creationId xmlns:a16="http://schemas.microsoft.com/office/drawing/2014/main" id="{00000000-0008-0000-0300-00000C000000}"/>
            </a:ext>
          </a:extLst>
        </xdr:cNvPr>
        <xdr:cNvSpPr>
          <a:spLocks noChangeShapeType="1"/>
        </xdr:cNvSpPr>
      </xdr:nvSpPr>
      <xdr:spPr bwMode="auto">
        <a:xfrm flipH="1">
          <a:off x="2428875" y="3943350"/>
          <a:ext cx="266700" cy="2667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21</xdr:row>
      <xdr:rowOff>142875</xdr:rowOff>
    </xdr:from>
    <xdr:to>
      <xdr:col>5</xdr:col>
      <xdr:colOff>447675</xdr:colOff>
      <xdr:row>23</xdr:row>
      <xdr:rowOff>0</xdr:rowOff>
    </xdr:to>
    <xdr:sp macro="" textlink="">
      <xdr:nvSpPr>
        <xdr:cNvPr id="13" name="Line 310">
          <a:extLst>
            <a:ext uri="{FF2B5EF4-FFF2-40B4-BE49-F238E27FC236}">
              <a16:creationId xmlns:a16="http://schemas.microsoft.com/office/drawing/2014/main" id="{00000000-0008-0000-0300-00000D000000}"/>
            </a:ext>
          </a:extLst>
        </xdr:cNvPr>
        <xdr:cNvSpPr>
          <a:spLocks noChangeShapeType="1"/>
        </xdr:cNvSpPr>
      </xdr:nvSpPr>
      <xdr:spPr bwMode="auto">
        <a:xfrm>
          <a:off x="2886075" y="3943350"/>
          <a:ext cx="209550" cy="238125"/>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23</xdr:row>
      <xdr:rowOff>47625</xdr:rowOff>
    </xdr:from>
    <xdr:to>
      <xdr:col>5</xdr:col>
      <xdr:colOff>238125</xdr:colOff>
      <xdr:row>24</xdr:row>
      <xdr:rowOff>161925</xdr:rowOff>
    </xdr:to>
    <xdr:sp macro="" textlink="">
      <xdr:nvSpPr>
        <xdr:cNvPr id="14" name="Tegning 311">
          <a:extLst>
            <a:ext uri="{FF2B5EF4-FFF2-40B4-BE49-F238E27FC236}">
              <a16:creationId xmlns:a16="http://schemas.microsoft.com/office/drawing/2014/main" id="{00000000-0008-0000-0300-00000E000000}"/>
            </a:ext>
          </a:extLst>
        </xdr:cNvPr>
        <xdr:cNvSpPr>
          <a:spLocks/>
        </xdr:cNvSpPr>
      </xdr:nvSpPr>
      <xdr:spPr bwMode="auto">
        <a:xfrm>
          <a:off x="2647950" y="4229100"/>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95" y="16384"/>
              </a:moveTo>
              <a:lnTo>
                <a:pt x="8495" y="0"/>
              </a:lnTo>
              <a:lnTo>
                <a:pt x="16384" y="5605"/>
              </a:lnTo>
              <a:lnTo>
                <a:pt x="8495" y="0"/>
              </a:lnTo>
              <a:lnTo>
                <a:pt x="0" y="6036"/>
              </a:lnTo>
            </a:path>
          </a:pathLst>
        </a:custGeom>
        <a:noFill/>
        <a:ln w="1587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219075</xdr:colOff>
      <xdr:row>27</xdr:row>
      <xdr:rowOff>0</xdr:rowOff>
    </xdr:from>
    <xdr:to>
      <xdr:col>5</xdr:col>
      <xdr:colOff>171450</xdr:colOff>
      <xdr:row>27</xdr:row>
      <xdr:rowOff>0</xdr:rowOff>
    </xdr:to>
    <xdr:sp macro="" textlink="">
      <xdr:nvSpPr>
        <xdr:cNvPr id="15" name="Line 312">
          <a:extLst>
            <a:ext uri="{FF2B5EF4-FFF2-40B4-BE49-F238E27FC236}">
              <a16:creationId xmlns:a16="http://schemas.microsoft.com/office/drawing/2014/main" id="{00000000-0008-0000-0300-00000F000000}"/>
            </a:ext>
          </a:extLst>
        </xdr:cNvPr>
        <xdr:cNvSpPr>
          <a:spLocks noChangeShapeType="1"/>
        </xdr:cNvSpPr>
      </xdr:nvSpPr>
      <xdr:spPr bwMode="auto">
        <a:xfrm>
          <a:off x="1638300" y="4943475"/>
          <a:ext cx="1181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25</xdr:row>
      <xdr:rowOff>28575</xdr:rowOff>
    </xdr:from>
    <xdr:to>
      <xdr:col>5</xdr:col>
      <xdr:colOff>123825</xdr:colOff>
      <xdr:row>27</xdr:row>
      <xdr:rowOff>66675</xdr:rowOff>
    </xdr:to>
    <xdr:sp macro="" textlink="">
      <xdr:nvSpPr>
        <xdr:cNvPr id="16" name="Line 313">
          <a:extLst>
            <a:ext uri="{FF2B5EF4-FFF2-40B4-BE49-F238E27FC236}">
              <a16:creationId xmlns:a16="http://schemas.microsoft.com/office/drawing/2014/main" id="{00000000-0008-0000-0300-000010000000}"/>
            </a:ext>
          </a:extLst>
        </xdr:cNvPr>
        <xdr:cNvSpPr>
          <a:spLocks noChangeShapeType="1"/>
        </xdr:cNvSpPr>
      </xdr:nvSpPr>
      <xdr:spPr bwMode="auto">
        <a:xfrm>
          <a:off x="2771775" y="4591050"/>
          <a:ext cx="0" cy="4191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25</xdr:row>
      <xdr:rowOff>114300</xdr:rowOff>
    </xdr:from>
    <xdr:to>
      <xdr:col>3</xdr:col>
      <xdr:colOff>114300</xdr:colOff>
      <xdr:row>27</xdr:row>
      <xdr:rowOff>28575</xdr:rowOff>
    </xdr:to>
    <xdr:sp macro="" textlink="">
      <xdr:nvSpPr>
        <xdr:cNvPr id="17" name="Line 314">
          <a:extLst>
            <a:ext uri="{FF2B5EF4-FFF2-40B4-BE49-F238E27FC236}">
              <a16:creationId xmlns:a16="http://schemas.microsoft.com/office/drawing/2014/main" id="{00000000-0008-0000-0300-000011000000}"/>
            </a:ext>
          </a:extLst>
        </xdr:cNvPr>
        <xdr:cNvSpPr>
          <a:spLocks noChangeShapeType="1"/>
        </xdr:cNvSpPr>
      </xdr:nvSpPr>
      <xdr:spPr bwMode="auto">
        <a:xfrm>
          <a:off x="2114550" y="4676775"/>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24</xdr:row>
      <xdr:rowOff>38100</xdr:rowOff>
    </xdr:from>
    <xdr:to>
      <xdr:col>2</xdr:col>
      <xdr:colOff>266700</xdr:colOff>
      <xdr:row>27</xdr:row>
      <xdr:rowOff>66675</xdr:rowOff>
    </xdr:to>
    <xdr:sp macro="" textlink="">
      <xdr:nvSpPr>
        <xdr:cNvPr id="18" name="Line 315">
          <a:extLst>
            <a:ext uri="{FF2B5EF4-FFF2-40B4-BE49-F238E27FC236}">
              <a16:creationId xmlns:a16="http://schemas.microsoft.com/office/drawing/2014/main" id="{00000000-0008-0000-0300-000012000000}"/>
            </a:ext>
          </a:extLst>
        </xdr:cNvPr>
        <xdr:cNvSpPr>
          <a:spLocks noChangeShapeType="1"/>
        </xdr:cNvSpPr>
      </xdr:nvSpPr>
      <xdr:spPr bwMode="auto">
        <a:xfrm>
          <a:off x="1685925" y="4410075"/>
          <a:ext cx="0" cy="600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xdr:row>
      <xdr:rowOff>142875</xdr:rowOff>
    </xdr:from>
    <xdr:to>
      <xdr:col>2</xdr:col>
      <xdr:colOff>314325</xdr:colOff>
      <xdr:row>27</xdr:row>
      <xdr:rowOff>66675</xdr:rowOff>
    </xdr:to>
    <xdr:sp macro="" textlink="">
      <xdr:nvSpPr>
        <xdr:cNvPr id="19" name="Line 316">
          <a:extLst>
            <a:ext uri="{FF2B5EF4-FFF2-40B4-BE49-F238E27FC236}">
              <a16:creationId xmlns:a16="http://schemas.microsoft.com/office/drawing/2014/main" id="{00000000-0008-0000-0300-000013000000}"/>
            </a:ext>
          </a:extLst>
        </xdr:cNvPr>
        <xdr:cNvSpPr>
          <a:spLocks noChangeShapeType="1"/>
        </xdr:cNvSpPr>
      </xdr:nvSpPr>
      <xdr:spPr bwMode="auto">
        <a:xfrm flipH="1">
          <a:off x="1638300" y="4895850"/>
          <a:ext cx="9525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26</xdr:row>
      <xdr:rowOff>142875</xdr:rowOff>
    </xdr:from>
    <xdr:to>
      <xdr:col>3</xdr:col>
      <xdr:colOff>161925</xdr:colOff>
      <xdr:row>27</xdr:row>
      <xdr:rowOff>66675</xdr:rowOff>
    </xdr:to>
    <xdr:sp macro="" textlink="">
      <xdr:nvSpPr>
        <xdr:cNvPr id="20" name="Line 317">
          <a:extLst>
            <a:ext uri="{FF2B5EF4-FFF2-40B4-BE49-F238E27FC236}">
              <a16:creationId xmlns:a16="http://schemas.microsoft.com/office/drawing/2014/main" id="{00000000-0008-0000-0300-000014000000}"/>
            </a:ext>
          </a:extLst>
        </xdr:cNvPr>
        <xdr:cNvSpPr>
          <a:spLocks noChangeShapeType="1"/>
        </xdr:cNvSpPr>
      </xdr:nvSpPr>
      <xdr:spPr bwMode="auto">
        <a:xfrm flipH="1">
          <a:off x="2047875" y="4895850"/>
          <a:ext cx="114300" cy="114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76200</xdr:colOff>
      <xdr:row>26</xdr:row>
      <xdr:rowOff>123825</xdr:rowOff>
    </xdr:from>
    <xdr:to>
      <xdr:col>5</xdr:col>
      <xdr:colOff>171450</xdr:colOff>
      <xdr:row>27</xdr:row>
      <xdr:rowOff>66675</xdr:rowOff>
    </xdr:to>
    <xdr:sp macro="" textlink="">
      <xdr:nvSpPr>
        <xdr:cNvPr id="21" name="Line 318">
          <a:extLst>
            <a:ext uri="{FF2B5EF4-FFF2-40B4-BE49-F238E27FC236}">
              <a16:creationId xmlns:a16="http://schemas.microsoft.com/office/drawing/2014/main" id="{00000000-0008-0000-0300-000015000000}"/>
            </a:ext>
          </a:extLst>
        </xdr:cNvPr>
        <xdr:cNvSpPr>
          <a:spLocks noChangeShapeType="1"/>
        </xdr:cNvSpPr>
      </xdr:nvSpPr>
      <xdr:spPr bwMode="auto">
        <a:xfrm flipH="1">
          <a:off x="2724150" y="4876800"/>
          <a:ext cx="95250" cy="133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23</xdr:row>
      <xdr:rowOff>0</xdr:rowOff>
    </xdr:from>
    <xdr:to>
      <xdr:col>5</xdr:col>
      <xdr:colOff>723900</xdr:colOff>
      <xdr:row>23</xdr:row>
      <xdr:rowOff>95250</xdr:rowOff>
    </xdr:to>
    <xdr:sp macro="" textlink="">
      <xdr:nvSpPr>
        <xdr:cNvPr id="22" name="Line 319">
          <a:extLst>
            <a:ext uri="{FF2B5EF4-FFF2-40B4-BE49-F238E27FC236}">
              <a16:creationId xmlns:a16="http://schemas.microsoft.com/office/drawing/2014/main" id="{00000000-0008-0000-0300-000016000000}"/>
            </a:ext>
          </a:extLst>
        </xdr:cNvPr>
        <xdr:cNvSpPr>
          <a:spLocks noChangeShapeType="1"/>
        </xdr:cNvSpPr>
      </xdr:nvSpPr>
      <xdr:spPr bwMode="auto">
        <a:xfrm flipH="1">
          <a:off x="3305175" y="4181475"/>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19</xdr:row>
      <xdr:rowOff>66675</xdr:rowOff>
    </xdr:from>
    <xdr:to>
      <xdr:col>5</xdr:col>
      <xdr:colOff>47625</xdr:colOff>
      <xdr:row>20</xdr:row>
      <xdr:rowOff>123825</xdr:rowOff>
    </xdr:to>
    <xdr:sp macro="" textlink="">
      <xdr:nvSpPr>
        <xdr:cNvPr id="23" name="Line 320">
          <a:extLst>
            <a:ext uri="{FF2B5EF4-FFF2-40B4-BE49-F238E27FC236}">
              <a16:creationId xmlns:a16="http://schemas.microsoft.com/office/drawing/2014/main" id="{00000000-0008-0000-0300-000017000000}"/>
            </a:ext>
          </a:extLst>
        </xdr:cNvPr>
        <xdr:cNvSpPr>
          <a:spLocks noChangeShapeType="1"/>
        </xdr:cNvSpPr>
      </xdr:nvSpPr>
      <xdr:spPr bwMode="auto">
        <a:xfrm flipV="1">
          <a:off x="2695575" y="3486150"/>
          <a:ext cx="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16</xdr:row>
      <xdr:rowOff>152400</xdr:rowOff>
    </xdr:from>
    <xdr:to>
      <xdr:col>5</xdr:col>
      <xdr:colOff>209550</xdr:colOff>
      <xdr:row>20</xdr:row>
      <xdr:rowOff>152400</xdr:rowOff>
    </xdr:to>
    <xdr:sp macro="" textlink="">
      <xdr:nvSpPr>
        <xdr:cNvPr id="24" name="Line 321">
          <a:extLst>
            <a:ext uri="{FF2B5EF4-FFF2-40B4-BE49-F238E27FC236}">
              <a16:creationId xmlns:a16="http://schemas.microsoft.com/office/drawing/2014/main" id="{00000000-0008-0000-0300-000018000000}"/>
            </a:ext>
          </a:extLst>
        </xdr:cNvPr>
        <xdr:cNvSpPr>
          <a:spLocks noChangeShapeType="1"/>
        </xdr:cNvSpPr>
      </xdr:nvSpPr>
      <xdr:spPr bwMode="auto">
        <a:xfrm flipV="1">
          <a:off x="2857500" y="3000375"/>
          <a:ext cx="0" cy="762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xdr:colOff>
      <xdr:row>19</xdr:row>
      <xdr:rowOff>114300</xdr:rowOff>
    </xdr:from>
    <xdr:to>
      <xdr:col>5</xdr:col>
      <xdr:colOff>276225</xdr:colOff>
      <xdr:row>19</xdr:row>
      <xdr:rowOff>114300</xdr:rowOff>
    </xdr:to>
    <xdr:sp macro="" textlink="">
      <xdr:nvSpPr>
        <xdr:cNvPr id="25" name="Line 322">
          <a:extLst>
            <a:ext uri="{FF2B5EF4-FFF2-40B4-BE49-F238E27FC236}">
              <a16:creationId xmlns:a16="http://schemas.microsoft.com/office/drawing/2014/main" id="{00000000-0008-0000-0300-000019000000}"/>
            </a:ext>
          </a:extLst>
        </xdr:cNvPr>
        <xdr:cNvSpPr>
          <a:spLocks noChangeShapeType="1"/>
        </xdr:cNvSpPr>
      </xdr:nvSpPr>
      <xdr:spPr bwMode="auto">
        <a:xfrm>
          <a:off x="2667000" y="3533775"/>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19</xdr:row>
      <xdr:rowOff>66675</xdr:rowOff>
    </xdr:from>
    <xdr:to>
      <xdr:col>5</xdr:col>
      <xdr:colOff>85725</xdr:colOff>
      <xdr:row>19</xdr:row>
      <xdr:rowOff>142875</xdr:rowOff>
    </xdr:to>
    <xdr:sp macro="" textlink="">
      <xdr:nvSpPr>
        <xdr:cNvPr id="26" name="Line 323">
          <a:extLst>
            <a:ext uri="{FF2B5EF4-FFF2-40B4-BE49-F238E27FC236}">
              <a16:creationId xmlns:a16="http://schemas.microsoft.com/office/drawing/2014/main" id="{00000000-0008-0000-0300-00001A000000}"/>
            </a:ext>
          </a:extLst>
        </xdr:cNvPr>
        <xdr:cNvSpPr>
          <a:spLocks noChangeShapeType="1"/>
        </xdr:cNvSpPr>
      </xdr:nvSpPr>
      <xdr:spPr bwMode="auto">
        <a:xfrm flipV="1">
          <a:off x="2657475" y="3486150"/>
          <a:ext cx="76200"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19</xdr:row>
      <xdr:rowOff>9525</xdr:rowOff>
    </xdr:from>
    <xdr:to>
      <xdr:col>3</xdr:col>
      <xdr:colOff>190500</xdr:colOff>
      <xdr:row>19</xdr:row>
      <xdr:rowOff>9525</xdr:rowOff>
    </xdr:to>
    <xdr:sp macro="" textlink="">
      <xdr:nvSpPr>
        <xdr:cNvPr id="27" name="Line 324">
          <a:extLst>
            <a:ext uri="{FF2B5EF4-FFF2-40B4-BE49-F238E27FC236}">
              <a16:creationId xmlns:a16="http://schemas.microsoft.com/office/drawing/2014/main" id="{00000000-0008-0000-0300-00001B000000}"/>
            </a:ext>
          </a:extLst>
        </xdr:cNvPr>
        <xdr:cNvSpPr>
          <a:spLocks noChangeShapeType="1"/>
        </xdr:cNvSpPr>
      </xdr:nvSpPr>
      <xdr:spPr bwMode="auto">
        <a:xfrm>
          <a:off x="1419225" y="3429000"/>
          <a:ext cx="771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18</xdr:row>
      <xdr:rowOff>152400</xdr:rowOff>
    </xdr:from>
    <xdr:to>
      <xdr:col>2</xdr:col>
      <xdr:colOff>266700</xdr:colOff>
      <xdr:row>21</xdr:row>
      <xdr:rowOff>38100</xdr:rowOff>
    </xdr:to>
    <xdr:sp macro="" textlink="">
      <xdr:nvSpPr>
        <xdr:cNvPr id="28" name="Line 325">
          <a:extLst>
            <a:ext uri="{FF2B5EF4-FFF2-40B4-BE49-F238E27FC236}">
              <a16:creationId xmlns:a16="http://schemas.microsoft.com/office/drawing/2014/main" id="{00000000-0008-0000-0300-00001C000000}"/>
            </a:ext>
          </a:extLst>
        </xdr:cNvPr>
        <xdr:cNvSpPr>
          <a:spLocks noChangeShapeType="1"/>
        </xdr:cNvSpPr>
      </xdr:nvSpPr>
      <xdr:spPr bwMode="auto">
        <a:xfrm flipV="1">
          <a:off x="1685925" y="3381375"/>
          <a:ext cx="0" cy="457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18</xdr:row>
      <xdr:rowOff>123825</xdr:rowOff>
    </xdr:from>
    <xdr:to>
      <xdr:col>2</xdr:col>
      <xdr:colOff>571500</xdr:colOff>
      <xdr:row>19</xdr:row>
      <xdr:rowOff>123825</xdr:rowOff>
    </xdr:to>
    <xdr:sp macro="" textlink="">
      <xdr:nvSpPr>
        <xdr:cNvPr id="29" name="Line 326">
          <a:extLst>
            <a:ext uri="{FF2B5EF4-FFF2-40B4-BE49-F238E27FC236}">
              <a16:creationId xmlns:a16="http://schemas.microsoft.com/office/drawing/2014/main" id="{00000000-0008-0000-0300-00001D000000}"/>
            </a:ext>
          </a:extLst>
        </xdr:cNvPr>
        <xdr:cNvSpPr>
          <a:spLocks noChangeShapeType="1"/>
        </xdr:cNvSpPr>
      </xdr:nvSpPr>
      <xdr:spPr bwMode="auto">
        <a:xfrm flipV="1">
          <a:off x="1990725" y="3352800"/>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20</xdr:row>
      <xdr:rowOff>38100</xdr:rowOff>
    </xdr:from>
    <xdr:to>
      <xdr:col>2</xdr:col>
      <xdr:colOff>438150</xdr:colOff>
      <xdr:row>24</xdr:row>
      <xdr:rowOff>152400</xdr:rowOff>
    </xdr:to>
    <xdr:sp macro="" textlink="">
      <xdr:nvSpPr>
        <xdr:cNvPr id="30" name="Line 327">
          <a:extLst>
            <a:ext uri="{FF2B5EF4-FFF2-40B4-BE49-F238E27FC236}">
              <a16:creationId xmlns:a16="http://schemas.microsoft.com/office/drawing/2014/main" id="{00000000-0008-0000-0300-00001E000000}"/>
            </a:ext>
          </a:extLst>
        </xdr:cNvPr>
        <xdr:cNvSpPr>
          <a:spLocks noChangeShapeType="1"/>
        </xdr:cNvSpPr>
      </xdr:nvSpPr>
      <xdr:spPr bwMode="auto">
        <a:xfrm>
          <a:off x="1857375" y="3648075"/>
          <a:ext cx="0" cy="87630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18</xdr:row>
      <xdr:rowOff>161925</xdr:rowOff>
    </xdr:from>
    <xdr:to>
      <xdr:col>3</xdr:col>
      <xdr:colOff>161925</xdr:colOff>
      <xdr:row>19</xdr:row>
      <xdr:rowOff>38100</xdr:rowOff>
    </xdr:to>
    <xdr:sp macro="" textlink="">
      <xdr:nvSpPr>
        <xdr:cNvPr id="31" name="Line 328">
          <a:extLst>
            <a:ext uri="{FF2B5EF4-FFF2-40B4-BE49-F238E27FC236}">
              <a16:creationId xmlns:a16="http://schemas.microsoft.com/office/drawing/2014/main" id="{00000000-0008-0000-0300-00001F000000}"/>
            </a:ext>
          </a:extLst>
        </xdr:cNvPr>
        <xdr:cNvSpPr>
          <a:spLocks noChangeShapeType="1"/>
        </xdr:cNvSpPr>
      </xdr:nvSpPr>
      <xdr:spPr bwMode="auto">
        <a:xfrm flipH="1">
          <a:off x="2085975" y="3390900"/>
          <a:ext cx="7620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18</xdr:row>
      <xdr:rowOff>161925</xdr:rowOff>
    </xdr:from>
    <xdr:to>
      <xdr:col>2</xdr:col>
      <xdr:colOff>457200</xdr:colOff>
      <xdr:row>19</xdr:row>
      <xdr:rowOff>66675</xdr:rowOff>
    </xdr:to>
    <xdr:sp macro="" textlink="">
      <xdr:nvSpPr>
        <xdr:cNvPr id="32" name="Line 329">
          <a:extLst>
            <a:ext uri="{FF2B5EF4-FFF2-40B4-BE49-F238E27FC236}">
              <a16:creationId xmlns:a16="http://schemas.microsoft.com/office/drawing/2014/main" id="{00000000-0008-0000-0300-000020000000}"/>
            </a:ext>
          </a:extLst>
        </xdr:cNvPr>
        <xdr:cNvSpPr>
          <a:spLocks noChangeShapeType="1"/>
        </xdr:cNvSpPr>
      </xdr:nvSpPr>
      <xdr:spPr bwMode="auto">
        <a:xfrm flipH="1">
          <a:off x="1809750" y="3390900"/>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20</xdr:row>
      <xdr:rowOff>9525</xdr:rowOff>
    </xdr:from>
    <xdr:to>
      <xdr:col>2</xdr:col>
      <xdr:colOff>95250</xdr:colOff>
      <xdr:row>20</xdr:row>
      <xdr:rowOff>114300</xdr:rowOff>
    </xdr:to>
    <xdr:sp macro="" textlink="">
      <xdr:nvSpPr>
        <xdr:cNvPr id="33" name="Line 330">
          <a:extLst>
            <a:ext uri="{FF2B5EF4-FFF2-40B4-BE49-F238E27FC236}">
              <a16:creationId xmlns:a16="http://schemas.microsoft.com/office/drawing/2014/main" id="{00000000-0008-0000-0300-000021000000}"/>
            </a:ext>
          </a:extLst>
        </xdr:cNvPr>
        <xdr:cNvSpPr>
          <a:spLocks noChangeShapeType="1"/>
        </xdr:cNvSpPr>
      </xdr:nvSpPr>
      <xdr:spPr bwMode="auto">
        <a:xfrm flipV="1">
          <a:off x="1514475" y="3619500"/>
          <a:ext cx="0" cy="104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18</xdr:row>
      <xdr:rowOff>152400</xdr:rowOff>
    </xdr:from>
    <xdr:to>
      <xdr:col>2</xdr:col>
      <xdr:colOff>142875</xdr:colOff>
      <xdr:row>19</xdr:row>
      <xdr:rowOff>57150</xdr:rowOff>
    </xdr:to>
    <xdr:sp macro="" textlink="">
      <xdr:nvSpPr>
        <xdr:cNvPr id="34" name="Line 331">
          <a:extLst>
            <a:ext uri="{FF2B5EF4-FFF2-40B4-BE49-F238E27FC236}">
              <a16:creationId xmlns:a16="http://schemas.microsoft.com/office/drawing/2014/main" id="{00000000-0008-0000-0300-000022000000}"/>
            </a:ext>
          </a:extLst>
        </xdr:cNvPr>
        <xdr:cNvSpPr>
          <a:spLocks noChangeShapeType="1"/>
        </xdr:cNvSpPr>
      </xdr:nvSpPr>
      <xdr:spPr bwMode="auto">
        <a:xfrm flipH="1">
          <a:off x="1447800" y="3381375"/>
          <a:ext cx="11430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17</xdr:row>
      <xdr:rowOff>0</xdr:rowOff>
    </xdr:from>
    <xdr:to>
      <xdr:col>5</xdr:col>
      <xdr:colOff>285750</xdr:colOff>
      <xdr:row>17</xdr:row>
      <xdr:rowOff>0</xdr:rowOff>
    </xdr:to>
    <xdr:sp macro="" textlink="">
      <xdr:nvSpPr>
        <xdr:cNvPr id="35" name="Line 332">
          <a:extLst>
            <a:ext uri="{FF2B5EF4-FFF2-40B4-BE49-F238E27FC236}">
              <a16:creationId xmlns:a16="http://schemas.microsoft.com/office/drawing/2014/main" id="{00000000-0008-0000-0300-000023000000}"/>
            </a:ext>
          </a:extLst>
        </xdr:cNvPr>
        <xdr:cNvSpPr>
          <a:spLocks noChangeShapeType="1"/>
        </xdr:cNvSpPr>
      </xdr:nvSpPr>
      <xdr:spPr bwMode="auto">
        <a:xfrm flipH="1">
          <a:off x="1466850" y="3038475"/>
          <a:ext cx="14668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16</xdr:row>
      <xdr:rowOff>142875</xdr:rowOff>
    </xdr:from>
    <xdr:to>
      <xdr:col>2</xdr:col>
      <xdr:colOff>152400</xdr:colOff>
      <xdr:row>17</xdr:row>
      <xdr:rowOff>38100</xdr:rowOff>
    </xdr:to>
    <xdr:sp macro="" textlink="">
      <xdr:nvSpPr>
        <xdr:cNvPr id="36" name="Line 333">
          <a:extLst>
            <a:ext uri="{FF2B5EF4-FFF2-40B4-BE49-F238E27FC236}">
              <a16:creationId xmlns:a16="http://schemas.microsoft.com/office/drawing/2014/main" id="{00000000-0008-0000-0300-000024000000}"/>
            </a:ext>
          </a:extLst>
        </xdr:cNvPr>
        <xdr:cNvSpPr>
          <a:spLocks noChangeShapeType="1"/>
        </xdr:cNvSpPr>
      </xdr:nvSpPr>
      <xdr:spPr bwMode="auto">
        <a:xfrm flipH="1">
          <a:off x="1476375" y="2990850"/>
          <a:ext cx="95250"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18</xdr:row>
      <xdr:rowOff>161925</xdr:rowOff>
    </xdr:from>
    <xdr:to>
      <xdr:col>2</xdr:col>
      <xdr:colOff>295275</xdr:colOff>
      <xdr:row>19</xdr:row>
      <xdr:rowOff>38100</xdr:rowOff>
    </xdr:to>
    <xdr:sp macro="" textlink="">
      <xdr:nvSpPr>
        <xdr:cNvPr id="37" name="Line 334">
          <a:extLst>
            <a:ext uri="{FF2B5EF4-FFF2-40B4-BE49-F238E27FC236}">
              <a16:creationId xmlns:a16="http://schemas.microsoft.com/office/drawing/2014/main" id="{00000000-0008-0000-0300-000025000000}"/>
            </a:ext>
          </a:extLst>
        </xdr:cNvPr>
        <xdr:cNvSpPr>
          <a:spLocks noChangeShapeType="1"/>
        </xdr:cNvSpPr>
      </xdr:nvSpPr>
      <xdr:spPr bwMode="auto">
        <a:xfrm flipH="1">
          <a:off x="1657350" y="3390900"/>
          <a:ext cx="57150" cy="666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16</xdr:row>
      <xdr:rowOff>123825</xdr:rowOff>
    </xdr:from>
    <xdr:to>
      <xdr:col>2</xdr:col>
      <xdr:colOff>95250</xdr:colOff>
      <xdr:row>19</xdr:row>
      <xdr:rowOff>38100</xdr:rowOff>
    </xdr:to>
    <xdr:sp macro="" textlink="">
      <xdr:nvSpPr>
        <xdr:cNvPr id="38" name="Line 335">
          <a:extLst>
            <a:ext uri="{FF2B5EF4-FFF2-40B4-BE49-F238E27FC236}">
              <a16:creationId xmlns:a16="http://schemas.microsoft.com/office/drawing/2014/main" id="{00000000-0008-0000-0300-000026000000}"/>
            </a:ext>
          </a:extLst>
        </xdr:cNvPr>
        <xdr:cNvSpPr>
          <a:spLocks noChangeShapeType="1"/>
        </xdr:cNvSpPr>
      </xdr:nvSpPr>
      <xdr:spPr bwMode="auto">
        <a:xfrm>
          <a:off x="1514475" y="2971800"/>
          <a:ext cx="0" cy="4857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19</xdr:row>
      <xdr:rowOff>66675</xdr:rowOff>
    </xdr:from>
    <xdr:to>
      <xdr:col>5</xdr:col>
      <xdr:colOff>247650</xdr:colOff>
      <xdr:row>19</xdr:row>
      <xdr:rowOff>142875</xdr:rowOff>
    </xdr:to>
    <xdr:sp macro="" textlink="">
      <xdr:nvSpPr>
        <xdr:cNvPr id="39" name="Line 336">
          <a:extLst>
            <a:ext uri="{FF2B5EF4-FFF2-40B4-BE49-F238E27FC236}">
              <a16:creationId xmlns:a16="http://schemas.microsoft.com/office/drawing/2014/main" id="{00000000-0008-0000-0300-000027000000}"/>
            </a:ext>
          </a:extLst>
        </xdr:cNvPr>
        <xdr:cNvSpPr>
          <a:spLocks noChangeShapeType="1"/>
        </xdr:cNvSpPr>
      </xdr:nvSpPr>
      <xdr:spPr bwMode="auto">
        <a:xfrm flipH="1">
          <a:off x="2828925" y="3486150"/>
          <a:ext cx="66675" cy="762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18</xdr:row>
      <xdr:rowOff>152400</xdr:rowOff>
    </xdr:from>
    <xdr:to>
      <xdr:col>3</xdr:col>
      <xdr:colOff>114300</xdr:colOff>
      <xdr:row>20</xdr:row>
      <xdr:rowOff>76200</xdr:rowOff>
    </xdr:to>
    <xdr:sp macro="" textlink="">
      <xdr:nvSpPr>
        <xdr:cNvPr id="40" name="Line 337">
          <a:extLst>
            <a:ext uri="{FF2B5EF4-FFF2-40B4-BE49-F238E27FC236}">
              <a16:creationId xmlns:a16="http://schemas.microsoft.com/office/drawing/2014/main" id="{00000000-0008-0000-0300-000028000000}"/>
            </a:ext>
          </a:extLst>
        </xdr:cNvPr>
        <xdr:cNvSpPr>
          <a:spLocks noChangeShapeType="1"/>
        </xdr:cNvSpPr>
      </xdr:nvSpPr>
      <xdr:spPr bwMode="auto">
        <a:xfrm>
          <a:off x="2114550" y="3381375"/>
          <a:ext cx="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20</xdr:row>
      <xdr:rowOff>142875</xdr:rowOff>
    </xdr:from>
    <xdr:to>
      <xdr:col>5</xdr:col>
      <xdr:colOff>619125</xdr:colOff>
      <xdr:row>22</xdr:row>
      <xdr:rowOff>161925</xdr:rowOff>
    </xdr:to>
    <xdr:sp macro="" textlink="">
      <xdr:nvSpPr>
        <xdr:cNvPr id="41" name="Tegning 338">
          <a:extLst>
            <a:ext uri="{FF2B5EF4-FFF2-40B4-BE49-F238E27FC236}">
              <a16:creationId xmlns:a16="http://schemas.microsoft.com/office/drawing/2014/main" id="{00000000-0008-0000-0300-000029000000}"/>
            </a:ext>
          </a:extLst>
        </xdr:cNvPr>
        <xdr:cNvSpPr>
          <a:spLocks/>
        </xdr:cNvSpPr>
      </xdr:nvSpPr>
      <xdr:spPr bwMode="auto">
        <a:xfrm>
          <a:off x="2105025" y="3752850"/>
          <a:ext cx="1162050" cy="4000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0" y="14444"/>
              </a:lnTo>
              <a:lnTo>
                <a:pt x="67" y="15522"/>
              </a:lnTo>
              <a:lnTo>
                <a:pt x="336" y="16168"/>
              </a:lnTo>
              <a:lnTo>
                <a:pt x="806" y="16384"/>
              </a:lnTo>
              <a:lnTo>
                <a:pt x="16384" y="16384"/>
              </a:lnTo>
            </a:path>
          </a:pathLst>
        </a:custGeom>
        <a:noFill/>
        <a:ln w="26670"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2</xdr:col>
      <xdr:colOff>428625</xdr:colOff>
      <xdr:row>18</xdr:row>
      <xdr:rowOff>152400</xdr:rowOff>
    </xdr:from>
    <xdr:to>
      <xdr:col>2</xdr:col>
      <xdr:colOff>428625</xdr:colOff>
      <xdr:row>19</xdr:row>
      <xdr:rowOff>152400</xdr:rowOff>
    </xdr:to>
    <xdr:sp macro="" textlink="">
      <xdr:nvSpPr>
        <xdr:cNvPr id="42" name="Line 339">
          <a:extLst>
            <a:ext uri="{FF2B5EF4-FFF2-40B4-BE49-F238E27FC236}">
              <a16:creationId xmlns:a16="http://schemas.microsoft.com/office/drawing/2014/main" id="{00000000-0008-0000-0300-00002A000000}"/>
            </a:ext>
          </a:extLst>
        </xdr:cNvPr>
        <xdr:cNvSpPr>
          <a:spLocks noChangeShapeType="1"/>
        </xdr:cNvSpPr>
      </xdr:nvSpPr>
      <xdr:spPr bwMode="auto">
        <a:xfrm>
          <a:off x="1847850" y="3381375"/>
          <a:ext cx="0" cy="190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17</xdr:row>
      <xdr:rowOff>161925</xdr:rowOff>
    </xdr:from>
    <xdr:to>
      <xdr:col>2</xdr:col>
      <xdr:colOff>514350</xdr:colOff>
      <xdr:row>19</xdr:row>
      <xdr:rowOff>0</xdr:rowOff>
    </xdr:to>
    <xdr:sp macro="" textlink="">
      <xdr:nvSpPr>
        <xdr:cNvPr id="43" name="Line 340">
          <a:extLst>
            <a:ext uri="{FF2B5EF4-FFF2-40B4-BE49-F238E27FC236}">
              <a16:creationId xmlns:a16="http://schemas.microsoft.com/office/drawing/2014/main" id="{00000000-0008-0000-0300-00002B000000}"/>
            </a:ext>
          </a:extLst>
        </xdr:cNvPr>
        <xdr:cNvSpPr>
          <a:spLocks noChangeShapeType="1"/>
        </xdr:cNvSpPr>
      </xdr:nvSpPr>
      <xdr:spPr bwMode="auto">
        <a:xfrm>
          <a:off x="1866900" y="3200400"/>
          <a:ext cx="66675" cy="2190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16</xdr:row>
      <xdr:rowOff>142875</xdr:rowOff>
    </xdr:from>
    <xdr:to>
      <xdr:col>5</xdr:col>
      <xdr:colOff>247650</xdr:colOff>
      <xdr:row>17</xdr:row>
      <xdr:rowOff>47625</xdr:rowOff>
    </xdr:to>
    <xdr:sp macro="" textlink="">
      <xdr:nvSpPr>
        <xdr:cNvPr id="44" name="Line 341">
          <a:extLst>
            <a:ext uri="{FF2B5EF4-FFF2-40B4-BE49-F238E27FC236}">
              <a16:creationId xmlns:a16="http://schemas.microsoft.com/office/drawing/2014/main" id="{00000000-0008-0000-0300-00002C000000}"/>
            </a:ext>
          </a:extLst>
        </xdr:cNvPr>
        <xdr:cNvSpPr>
          <a:spLocks noChangeShapeType="1"/>
        </xdr:cNvSpPr>
      </xdr:nvSpPr>
      <xdr:spPr bwMode="auto">
        <a:xfrm flipH="1">
          <a:off x="2800350" y="2990850"/>
          <a:ext cx="95250"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19</xdr:row>
      <xdr:rowOff>0</xdr:rowOff>
    </xdr:from>
    <xdr:to>
      <xdr:col>2</xdr:col>
      <xdr:colOff>523875</xdr:colOff>
      <xdr:row>19</xdr:row>
      <xdr:rowOff>28575</xdr:rowOff>
    </xdr:to>
    <xdr:sp macro="" textlink="" fLocksText="0">
      <xdr:nvSpPr>
        <xdr:cNvPr id="45" name="Oval 342">
          <a:extLst>
            <a:ext uri="{FF2B5EF4-FFF2-40B4-BE49-F238E27FC236}">
              <a16:creationId xmlns:a16="http://schemas.microsoft.com/office/drawing/2014/main" id="{00000000-0008-0000-0300-00002D000000}"/>
            </a:ext>
          </a:extLst>
        </xdr:cNvPr>
        <xdr:cNvSpPr>
          <a:spLocks noChangeArrowheads="1"/>
        </xdr:cNvSpPr>
      </xdr:nvSpPr>
      <xdr:spPr bwMode="auto">
        <a:xfrm>
          <a:off x="1914525" y="3419475"/>
          <a:ext cx="28575" cy="28575"/>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66675</xdr:colOff>
      <xdr:row>22</xdr:row>
      <xdr:rowOff>0</xdr:rowOff>
    </xdr:from>
    <xdr:to>
      <xdr:col>3</xdr:col>
      <xdr:colOff>142875</xdr:colOff>
      <xdr:row>22</xdr:row>
      <xdr:rowOff>76200</xdr:rowOff>
    </xdr:to>
    <xdr:sp macro="" textlink="" fLocksText="0">
      <xdr:nvSpPr>
        <xdr:cNvPr id="46" name="Oval 343">
          <a:extLst>
            <a:ext uri="{FF2B5EF4-FFF2-40B4-BE49-F238E27FC236}">
              <a16:creationId xmlns:a16="http://schemas.microsoft.com/office/drawing/2014/main" id="{00000000-0008-0000-0300-00002E000000}"/>
            </a:ext>
          </a:extLst>
        </xdr:cNvPr>
        <xdr:cNvSpPr>
          <a:spLocks noChangeArrowheads="1"/>
        </xdr:cNvSpPr>
      </xdr:nvSpPr>
      <xdr:spPr bwMode="auto">
        <a:xfrm>
          <a:off x="2066925" y="3990975"/>
          <a:ext cx="76200" cy="7620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3</xdr:col>
      <xdr:colOff>152400</xdr:colOff>
      <xdr:row>20</xdr:row>
      <xdr:rowOff>152400</xdr:rowOff>
    </xdr:from>
    <xdr:to>
      <xdr:col>4</xdr:col>
      <xdr:colOff>133350</xdr:colOff>
      <xdr:row>22</xdr:row>
      <xdr:rowOff>28575</xdr:rowOff>
    </xdr:to>
    <xdr:sp macro="" textlink="">
      <xdr:nvSpPr>
        <xdr:cNvPr id="47" name="Line 344">
          <a:extLst>
            <a:ext uri="{FF2B5EF4-FFF2-40B4-BE49-F238E27FC236}">
              <a16:creationId xmlns:a16="http://schemas.microsoft.com/office/drawing/2014/main" id="{00000000-0008-0000-0300-00002F000000}"/>
            </a:ext>
          </a:extLst>
        </xdr:cNvPr>
        <xdr:cNvSpPr>
          <a:spLocks noChangeShapeType="1"/>
        </xdr:cNvSpPr>
      </xdr:nvSpPr>
      <xdr:spPr bwMode="auto">
        <a:xfrm flipH="1">
          <a:off x="2152650" y="3762375"/>
          <a:ext cx="304800" cy="2571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314325</xdr:colOff>
      <xdr:row>21</xdr:row>
      <xdr:rowOff>114300</xdr:rowOff>
    </xdr:from>
    <xdr:to>
      <xdr:col>6</xdr:col>
      <xdr:colOff>9525</xdr:colOff>
      <xdr:row>21</xdr:row>
      <xdr:rowOff>114300</xdr:rowOff>
    </xdr:to>
    <xdr:sp macro="" textlink="">
      <xdr:nvSpPr>
        <xdr:cNvPr id="48" name="Line 345">
          <a:extLst>
            <a:ext uri="{FF2B5EF4-FFF2-40B4-BE49-F238E27FC236}">
              <a16:creationId xmlns:a16="http://schemas.microsoft.com/office/drawing/2014/main" id="{00000000-0008-0000-0300-000030000000}"/>
            </a:ext>
          </a:extLst>
        </xdr:cNvPr>
        <xdr:cNvSpPr>
          <a:spLocks noChangeShapeType="1"/>
        </xdr:cNvSpPr>
      </xdr:nvSpPr>
      <xdr:spPr bwMode="auto">
        <a:xfrm>
          <a:off x="2962275" y="3914775"/>
          <a:ext cx="447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638175</xdr:colOff>
      <xdr:row>23</xdr:row>
      <xdr:rowOff>47625</xdr:rowOff>
    </xdr:from>
    <xdr:to>
      <xdr:col>6</xdr:col>
      <xdr:colOff>9525</xdr:colOff>
      <xdr:row>23</xdr:row>
      <xdr:rowOff>47625</xdr:rowOff>
    </xdr:to>
    <xdr:sp macro="" textlink="">
      <xdr:nvSpPr>
        <xdr:cNvPr id="49" name="Line 346">
          <a:extLst>
            <a:ext uri="{FF2B5EF4-FFF2-40B4-BE49-F238E27FC236}">
              <a16:creationId xmlns:a16="http://schemas.microsoft.com/office/drawing/2014/main" id="{00000000-0008-0000-0300-000031000000}"/>
            </a:ext>
          </a:extLst>
        </xdr:cNvPr>
        <xdr:cNvSpPr>
          <a:spLocks noChangeShapeType="1"/>
        </xdr:cNvSpPr>
      </xdr:nvSpPr>
      <xdr:spPr bwMode="auto">
        <a:xfrm>
          <a:off x="3286125" y="4229100"/>
          <a:ext cx="123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21</xdr:row>
      <xdr:rowOff>76200</xdr:rowOff>
    </xdr:from>
    <xdr:to>
      <xdr:col>5</xdr:col>
      <xdr:colOff>742950</xdr:colOff>
      <xdr:row>21</xdr:row>
      <xdr:rowOff>161925</xdr:rowOff>
    </xdr:to>
    <xdr:sp macro="" textlink="">
      <xdr:nvSpPr>
        <xdr:cNvPr id="50" name="Line 347">
          <a:extLst>
            <a:ext uri="{FF2B5EF4-FFF2-40B4-BE49-F238E27FC236}">
              <a16:creationId xmlns:a16="http://schemas.microsoft.com/office/drawing/2014/main" id="{00000000-0008-0000-0300-000032000000}"/>
            </a:ext>
          </a:extLst>
        </xdr:cNvPr>
        <xdr:cNvSpPr>
          <a:spLocks noChangeShapeType="1"/>
        </xdr:cNvSpPr>
      </xdr:nvSpPr>
      <xdr:spPr bwMode="auto">
        <a:xfrm flipH="1">
          <a:off x="3305175" y="3876675"/>
          <a:ext cx="85725" cy="857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18</xdr:row>
      <xdr:rowOff>161925</xdr:rowOff>
    </xdr:from>
    <xdr:to>
      <xdr:col>3</xdr:col>
      <xdr:colOff>19050</xdr:colOff>
      <xdr:row>19</xdr:row>
      <xdr:rowOff>66675</xdr:rowOff>
    </xdr:to>
    <xdr:sp macro="" textlink="">
      <xdr:nvSpPr>
        <xdr:cNvPr id="51" name="Line 351">
          <a:extLst>
            <a:ext uri="{FF2B5EF4-FFF2-40B4-BE49-F238E27FC236}">
              <a16:creationId xmlns:a16="http://schemas.microsoft.com/office/drawing/2014/main" id="{00000000-0008-0000-0300-000033000000}"/>
            </a:ext>
          </a:extLst>
        </xdr:cNvPr>
        <xdr:cNvSpPr>
          <a:spLocks noChangeShapeType="1"/>
        </xdr:cNvSpPr>
      </xdr:nvSpPr>
      <xdr:spPr bwMode="auto">
        <a:xfrm flipH="1">
          <a:off x="1952625" y="3390900"/>
          <a:ext cx="66675" cy="952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30</xdr:row>
      <xdr:rowOff>161925</xdr:rowOff>
    </xdr:from>
    <xdr:to>
      <xdr:col>5</xdr:col>
      <xdr:colOff>609600</xdr:colOff>
      <xdr:row>34</xdr:row>
      <xdr:rowOff>47625</xdr:rowOff>
    </xdr:to>
    <xdr:sp macro="" textlink="">
      <xdr:nvSpPr>
        <xdr:cNvPr id="52" name="Tegning 308">
          <a:extLst>
            <a:ext uri="{FF2B5EF4-FFF2-40B4-BE49-F238E27FC236}">
              <a16:creationId xmlns:a16="http://schemas.microsoft.com/office/drawing/2014/main" id="{00000000-0008-0000-0300-000034000000}"/>
            </a:ext>
          </a:extLst>
        </xdr:cNvPr>
        <xdr:cNvSpPr>
          <a:spLocks/>
        </xdr:cNvSpPr>
      </xdr:nvSpPr>
      <xdr:spPr bwMode="auto">
        <a:xfrm>
          <a:off x="1971675" y="5676900"/>
          <a:ext cx="128587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xdr:row>
      <xdr:rowOff>209550</xdr:rowOff>
    </xdr:from>
    <xdr:to>
      <xdr:col>3</xdr:col>
      <xdr:colOff>0</xdr:colOff>
      <xdr:row>32</xdr:row>
      <xdr:rowOff>142875</xdr:rowOff>
    </xdr:to>
    <xdr:sp macro="" textlink="">
      <xdr:nvSpPr>
        <xdr:cNvPr id="53" name="Tegning 309">
          <a:extLst>
            <a:ext uri="{FF2B5EF4-FFF2-40B4-BE49-F238E27FC236}">
              <a16:creationId xmlns:a16="http://schemas.microsoft.com/office/drawing/2014/main" id="{00000000-0008-0000-0300-000035000000}"/>
            </a:ext>
          </a:extLst>
        </xdr:cNvPr>
        <xdr:cNvSpPr>
          <a:spLocks/>
        </xdr:cNvSpPr>
      </xdr:nvSpPr>
      <xdr:spPr bwMode="auto">
        <a:xfrm>
          <a:off x="1514475" y="5895975"/>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xdr:row>
      <xdr:rowOff>209550</xdr:rowOff>
    </xdr:from>
    <xdr:to>
      <xdr:col>5</xdr:col>
      <xdr:colOff>209550</xdr:colOff>
      <xdr:row>32</xdr:row>
      <xdr:rowOff>142875</xdr:rowOff>
    </xdr:to>
    <xdr:sp macro="" textlink="">
      <xdr:nvSpPr>
        <xdr:cNvPr id="54" name="Tegning 310">
          <a:extLst>
            <a:ext uri="{FF2B5EF4-FFF2-40B4-BE49-F238E27FC236}">
              <a16:creationId xmlns:a16="http://schemas.microsoft.com/office/drawing/2014/main" id="{00000000-0008-0000-0300-000036000000}"/>
            </a:ext>
          </a:extLst>
        </xdr:cNvPr>
        <xdr:cNvSpPr>
          <a:spLocks/>
        </xdr:cNvSpPr>
      </xdr:nvSpPr>
      <xdr:spPr bwMode="auto">
        <a:xfrm>
          <a:off x="2000250" y="5895975"/>
          <a:ext cx="857250"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xdr:row>
      <xdr:rowOff>171450</xdr:rowOff>
    </xdr:from>
    <xdr:to>
      <xdr:col>3</xdr:col>
      <xdr:colOff>257175</xdr:colOff>
      <xdr:row>31</xdr:row>
      <xdr:rowOff>180975</xdr:rowOff>
    </xdr:to>
    <xdr:sp macro="" textlink="">
      <xdr:nvSpPr>
        <xdr:cNvPr id="55" name="Tegning 311">
          <a:extLst>
            <a:ext uri="{FF2B5EF4-FFF2-40B4-BE49-F238E27FC236}">
              <a16:creationId xmlns:a16="http://schemas.microsoft.com/office/drawing/2014/main" id="{00000000-0008-0000-0300-000037000000}"/>
            </a:ext>
          </a:extLst>
        </xdr:cNvPr>
        <xdr:cNvSpPr>
          <a:spLocks/>
        </xdr:cNvSpPr>
      </xdr:nvSpPr>
      <xdr:spPr bwMode="auto">
        <a:xfrm>
          <a:off x="1962150" y="5495925"/>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32</xdr:row>
      <xdr:rowOff>152400</xdr:rowOff>
    </xdr:from>
    <xdr:to>
      <xdr:col>2</xdr:col>
      <xdr:colOff>381000</xdr:colOff>
      <xdr:row>34</xdr:row>
      <xdr:rowOff>152400</xdr:rowOff>
    </xdr:to>
    <xdr:sp macro="" textlink="">
      <xdr:nvSpPr>
        <xdr:cNvPr id="56" name="Tegning 312">
          <a:extLst>
            <a:ext uri="{FF2B5EF4-FFF2-40B4-BE49-F238E27FC236}">
              <a16:creationId xmlns:a16="http://schemas.microsoft.com/office/drawing/2014/main" id="{00000000-0008-0000-0300-000038000000}"/>
            </a:ext>
          </a:extLst>
        </xdr:cNvPr>
        <xdr:cNvSpPr>
          <a:spLocks/>
        </xdr:cNvSpPr>
      </xdr:nvSpPr>
      <xdr:spPr bwMode="auto">
        <a:xfrm>
          <a:off x="1581150" y="6048375"/>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32</xdr:row>
      <xdr:rowOff>142875</xdr:rowOff>
    </xdr:from>
    <xdr:to>
      <xdr:col>5</xdr:col>
      <xdr:colOff>209550</xdr:colOff>
      <xdr:row>32</xdr:row>
      <xdr:rowOff>142875</xdr:rowOff>
    </xdr:to>
    <xdr:sp macro="" textlink="">
      <xdr:nvSpPr>
        <xdr:cNvPr id="57" name="Line 60">
          <a:extLst>
            <a:ext uri="{FF2B5EF4-FFF2-40B4-BE49-F238E27FC236}">
              <a16:creationId xmlns:a16="http://schemas.microsoft.com/office/drawing/2014/main" id="{00000000-0008-0000-0300-000039000000}"/>
            </a:ext>
          </a:extLst>
        </xdr:cNvPr>
        <xdr:cNvSpPr>
          <a:spLocks noChangeShapeType="1"/>
        </xdr:cNvSpPr>
      </xdr:nvSpPr>
      <xdr:spPr bwMode="auto">
        <a:xfrm>
          <a:off x="2695575" y="6038850"/>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32</xdr:row>
      <xdr:rowOff>171450</xdr:rowOff>
    </xdr:from>
    <xdr:to>
      <xdr:col>5</xdr:col>
      <xdr:colOff>47625</xdr:colOff>
      <xdr:row>34</xdr:row>
      <xdr:rowOff>28575</xdr:rowOff>
    </xdr:to>
    <xdr:sp macro="" textlink="">
      <xdr:nvSpPr>
        <xdr:cNvPr id="58" name="Line 61">
          <a:extLst>
            <a:ext uri="{FF2B5EF4-FFF2-40B4-BE49-F238E27FC236}">
              <a16:creationId xmlns:a16="http://schemas.microsoft.com/office/drawing/2014/main" id="{00000000-0008-0000-0300-00003A000000}"/>
            </a:ext>
          </a:extLst>
        </xdr:cNvPr>
        <xdr:cNvSpPr>
          <a:spLocks noChangeShapeType="1"/>
        </xdr:cNvSpPr>
      </xdr:nvSpPr>
      <xdr:spPr bwMode="auto">
        <a:xfrm flipH="1">
          <a:off x="2428875" y="60674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32</xdr:row>
      <xdr:rowOff>171450</xdr:rowOff>
    </xdr:from>
    <xdr:to>
      <xdr:col>5</xdr:col>
      <xdr:colOff>447675</xdr:colOff>
      <xdr:row>34</xdr:row>
      <xdr:rowOff>0</xdr:rowOff>
    </xdr:to>
    <xdr:sp macro="" textlink="">
      <xdr:nvSpPr>
        <xdr:cNvPr id="59" name="Line 62">
          <a:extLst>
            <a:ext uri="{FF2B5EF4-FFF2-40B4-BE49-F238E27FC236}">
              <a16:creationId xmlns:a16="http://schemas.microsoft.com/office/drawing/2014/main" id="{00000000-0008-0000-0300-00003B000000}"/>
            </a:ext>
          </a:extLst>
        </xdr:cNvPr>
        <xdr:cNvSpPr>
          <a:spLocks noChangeShapeType="1"/>
        </xdr:cNvSpPr>
      </xdr:nvSpPr>
      <xdr:spPr bwMode="auto">
        <a:xfrm>
          <a:off x="2886075" y="6067425"/>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32</xdr:row>
      <xdr:rowOff>152400</xdr:rowOff>
    </xdr:from>
    <xdr:to>
      <xdr:col>5</xdr:col>
      <xdr:colOff>247650</xdr:colOff>
      <xdr:row>34</xdr:row>
      <xdr:rowOff>104775</xdr:rowOff>
    </xdr:to>
    <xdr:sp macro="" textlink="">
      <xdr:nvSpPr>
        <xdr:cNvPr id="60" name="Tegning 316">
          <a:extLst>
            <a:ext uri="{FF2B5EF4-FFF2-40B4-BE49-F238E27FC236}">
              <a16:creationId xmlns:a16="http://schemas.microsoft.com/office/drawing/2014/main" id="{00000000-0008-0000-0300-00003C000000}"/>
            </a:ext>
          </a:extLst>
        </xdr:cNvPr>
        <xdr:cNvSpPr>
          <a:spLocks/>
        </xdr:cNvSpPr>
      </xdr:nvSpPr>
      <xdr:spPr bwMode="auto">
        <a:xfrm>
          <a:off x="2657475" y="6048375"/>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37</xdr:row>
      <xdr:rowOff>47625</xdr:rowOff>
    </xdr:from>
    <xdr:to>
      <xdr:col>5</xdr:col>
      <xdr:colOff>47625</xdr:colOff>
      <xdr:row>38</xdr:row>
      <xdr:rowOff>142875</xdr:rowOff>
    </xdr:to>
    <xdr:sp macro="" textlink="">
      <xdr:nvSpPr>
        <xdr:cNvPr id="61" name="Line 64">
          <a:extLst>
            <a:ext uri="{FF2B5EF4-FFF2-40B4-BE49-F238E27FC236}">
              <a16:creationId xmlns:a16="http://schemas.microsoft.com/office/drawing/2014/main" id="{00000000-0008-0000-0300-00003D000000}"/>
            </a:ext>
          </a:extLst>
        </xdr:cNvPr>
        <xdr:cNvSpPr>
          <a:spLocks noChangeShapeType="1"/>
        </xdr:cNvSpPr>
      </xdr:nvSpPr>
      <xdr:spPr bwMode="auto">
        <a:xfrm flipV="1">
          <a:off x="2695575" y="68961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37</xdr:row>
      <xdr:rowOff>85725</xdr:rowOff>
    </xdr:from>
    <xdr:to>
      <xdr:col>5</xdr:col>
      <xdr:colOff>276225</xdr:colOff>
      <xdr:row>37</xdr:row>
      <xdr:rowOff>85725</xdr:rowOff>
    </xdr:to>
    <xdr:sp macro="" textlink="">
      <xdr:nvSpPr>
        <xdr:cNvPr id="62" name="Line 65">
          <a:extLst>
            <a:ext uri="{FF2B5EF4-FFF2-40B4-BE49-F238E27FC236}">
              <a16:creationId xmlns:a16="http://schemas.microsoft.com/office/drawing/2014/main" id="{00000000-0008-0000-0300-00003E000000}"/>
            </a:ext>
          </a:extLst>
        </xdr:cNvPr>
        <xdr:cNvSpPr>
          <a:spLocks noChangeShapeType="1"/>
        </xdr:cNvSpPr>
      </xdr:nvSpPr>
      <xdr:spPr bwMode="auto">
        <a:xfrm>
          <a:off x="2676525" y="6934200"/>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37</xdr:row>
      <xdr:rowOff>47625</xdr:rowOff>
    </xdr:from>
    <xdr:to>
      <xdr:col>5</xdr:col>
      <xdr:colOff>95250</xdr:colOff>
      <xdr:row>37</xdr:row>
      <xdr:rowOff>123825</xdr:rowOff>
    </xdr:to>
    <xdr:sp macro="" textlink="">
      <xdr:nvSpPr>
        <xdr:cNvPr id="63" name="Line 66">
          <a:extLst>
            <a:ext uri="{FF2B5EF4-FFF2-40B4-BE49-F238E27FC236}">
              <a16:creationId xmlns:a16="http://schemas.microsoft.com/office/drawing/2014/main" id="{00000000-0008-0000-0300-00003F000000}"/>
            </a:ext>
          </a:extLst>
        </xdr:cNvPr>
        <xdr:cNvSpPr>
          <a:spLocks noChangeShapeType="1"/>
        </xdr:cNvSpPr>
      </xdr:nvSpPr>
      <xdr:spPr bwMode="auto">
        <a:xfrm flipV="1">
          <a:off x="2647950" y="68961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37</xdr:row>
      <xdr:rowOff>57150</xdr:rowOff>
    </xdr:from>
    <xdr:to>
      <xdr:col>5</xdr:col>
      <xdr:colOff>257175</xdr:colOff>
      <xdr:row>37</xdr:row>
      <xdr:rowOff>123825</xdr:rowOff>
    </xdr:to>
    <xdr:sp macro="" textlink="">
      <xdr:nvSpPr>
        <xdr:cNvPr id="64" name="Line 67">
          <a:extLst>
            <a:ext uri="{FF2B5EF4-FFF2-40B4-BE49-F238E27FC236}">
              <a16:creationId xmlns:a16="http://schemas.microsoft.com/office/drawing/2014/main" id="{00000000-0008-0000-0300-000040000000}"/>
            </a:ext>
          </a:extLst>
        </xdr:cNvPr>
        <xdr:cNvSpPr>
          <a:spLocks noChangeShapeType="1"/>
        </xdr:cNvSpPr>
      </xdr:nvSpPr>
      <xdr:spPr bwMode="auto">
        <a:xfrm flipH="1">
          <a:off x="2828925" y="69056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38</xdr:row>
      <xdr:rowOff>180975</xdr:rowOff>
    </xdr:from>
    <xdr:to>
      <xdr:col>5</xdr:col>
      <xdr:colOff>228600</xdr:colOff>
      <xdr:row>40</xdr:row>
      <xdr:rowOff>0</xdr:rowOff>
    </xdr:to>
    <xdr:sp macro="" textlink="">
      <xdr:nvSpPr>
        <xdr:cNvPr id="65" name="Rectangle 68">
          <a:extLst>
            <a:ext uri="{FF2B5EF4-FFF2-40B4-BE49-F238E27FC236}">
              <a16:creationId xmlns:a16="http://schemas.microsoft.com/office/drawing/2014/main" id="{00000000-0008-0000-0300-000041000000}"/>
            </a:ext>
          </a:extLst>
        </xdr:cNvPr>
        <xdr:cNvSpPr>
          <a:spLocks noChangeArrowheads="1"/>
        </xdr:cNvSpPr>
      </xdr:nvSpPr>
      <xdr:spPr bwMode="auto">
        <a:xfrm>
          <a:off x="2695575" y="7219950"/>
          <a:ext cx="180975" cy="200025"/>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38</xdr:row>
      <xdr:rowOff>114300</xdr:rowOff>
    </xdr:from>
    <xdr:to>
      <xdr:col>4</xdr:col>
      <xdr:colOff>152400</xdr:colOff>
      <xdr:row>40</xdr:row>
      <xdr:rowOff>38100</xdr:rowOff>
    </xdr:to>
    <xdr:sp macro="" textlink="">
      <xdr:nvSpPr>
        <xdr:cNvPr id="66" name="Line 69">
          <a:extLst>
            <a:ext uri="{FF2B5EF4-FFF2-40B4-BE49-F238E27FC236}">
              <a16:creationId xmlns:a16="http://schemas.microsoft.com/office/drawing/2014/main" id="{00000000-0008-0000-0300-000042000000}"/>
            </a:ext>
          </a:extLst>
        </xdr:cNvPr>
        <xdr:cNvSpPr>
          <a:spLocks noChangeShapeType="1"/>
        </xdr:cNvSpPr>
      </xdr:nvSpPr>
      <xdr:spPr bwMode="auto">
        <a:xfrm>
          <a:off x="2476500" y="71532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38</xdr:row>
      <xdr:rowOff>133350</xdr:rowOff>
    </xdr:from>
    <xdr:to>
      <xdr:col>5</xdr:col>
      <xdr:colOff>438150</xdr:colOff>
      <xdr:row>40</xdr:row>
      <xdr:rowOff>85725</xdr:rowOff>
    </xdr:to>
    <xdr:sp macro="" textlink="">
      <xdr:nvSpPr>
        <xdr:cNvPr id="67" name="Line 70">
          <a:extLst>
            <a:ext uri="{FF2B5EF4-FFF2-40B4-BE49-F238E27FC236}">
              <a16:creationId xmlns:a16="http://schemas.microsoft.com/office/drawing/2014/main" id="{00000000-0008-0000-0300-000043000000}"/>
            </a:ext>
          </a:extLst>
        </xdr:cNvPr>
        <xdr:cNvSpPr>
          <a:spLocks noChangeShapeType="1"/>
        </xdr:cNvSpPr>
      </xdr:nvSpPr>
      <xdr:spPr bwMode="auto">
        <a:xfrm>
          <a:off x="3086100" y="7172325"/>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37</xdr:row>
      <xdr:rowOff>180975</xdr:rowOff>
    </xdr:from>
    <xdr:to>
      <xdr:col>5</xdr:col>
      <xdr:colOff>0</xdr:colOff>
      <xdr:row>38</xdr:row>
      <xdr:rowOff>123825</xdr:rowOff>
    </xdr:to>
    <xdr:sp macro="" textlink="">
      <xdr:nvSpPr>
        <xdr:cNvPr id="68" name="Arc 71">
          <a:extLst>
            <a:ext uri="{FF2B5EF4-FFF2-40B4-BE49-F238E27FC236}">
              <a16:creationId xmlns:a16="http://schemas.microsoft.com/office/drawing/2014/main" id="{00000000-0008-0000-0300-000044000000}"/>
            </a:ext>
          </a:extLst>
        </xdr:cNvPr>
        <xdr:cNvSpPr>
          <a:spLocks/>
        </xdr:cNvSpPr>
      </xdr:nvSpPr>
      <xdr:spPr bwMode="auto">
        <a:xfrm flipH="1">
          <a:off x="2476500" y="7029450"/>
          <a:ext cx="171450" cy="133350"/>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37</xdr:row>
      <xdr:rowOff>180975</xdr:rowOff>
    </xdr:from>
    <xdr:to>
      <xdr:col>5</xdr:col>
      <xdr:colOff>438150</xdr:colOff>
      <xdr:row>39</xdr:row>
      <xdr:rowOff>19050</xdr:rowOff>
    </xdr:to>
    <xdr:sp macro="" textlink="">
      <xdr:nvSpPr>
        <xdr:cNvPr id="69" name="Arc 72">
          <a:extLst>
            <a:ext uri="{FF2B5EF4-FFF2-40B4-BE49-F238E27FC236}">
              <a16:creationId xmlns:a16="http://schemas.microsoft.com/office/drawing/2014/main" id="{00000000-0008-0000-0300-000045000000}"/>
            </a:ext>
          </a:extLst>
        </xdr:cNvPr>
        <xdr:cNvSpPr>
          <a:spLocks/>
        </xdr:cNvSpPr>
      </xdr:nvSpPr>
      <xdr:spPr bwMode="auto">
        <a:xfrm>
          <a:off x="2914650" y="7029450"/>
          <a:ext cx="171450" cy="219075"/>
        </a:xfrm>
        <a:custGeom>
          <a:avLst/>
          <a:gdLst>
            <a:gd name="T0" fmla="*/ 0 w 19492"/>
            <a:gd name="T1" fmla="*/ 0 h 21600"/>
            <a:gd name="T2" fmla="*/ 2147483646 w 19492"/>
            <a:gd name="T3" fmla="*/ 2147483646 h 21600"/>
            <a:gd name="T4" fmla="*/ 0 w 19492"/>
            <a:gd name="T5" fmla="*/ 2147483646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37</xdr:row>
      <xdr:rowOff>180975</xdr:rowOff>
    </xdr:from>
    <xdr:to>
      <xdr:col>5</xdr:col>
      <xdr:colOff>266700</xdr:colOff>
      <xdr:row>37</xdr:row>
      <xdr:rowOff>180975</xdr:rowOff>
    </xdr:to>
    <xdr:sp macro="" textlink="">
      <xdr:nvSpPr>
        <xdr:cNvPr id="70" name="Line 73">
          <a:extLst>
            <a:ext uri="{FF2B5EF4-FFF2-40B4-BE49-F238E27FC236}">
              <a16:creationId xmlns:a16="http://schemas.microsoft.com/office/drawing/2014/main" id="{00000000-0008-0000-0300-000046000000}"/>
            </a:ext>
          </a:extLst>
        </xdr:cNvPr>
        <xdr:cNvSpPr>
          <a:spLocks noChangeShapeType="1"/>
        </xdr:cNvSpPr>
      </xdr:nvSpPr>
      <xdr:spPr bwMode="auto">
        <a:xfrm>
          <a:off x="2638425" y="70294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41</xdr:row>
      <xdr:rowOff>9525</xdr:rowOff>
    </xdr:from>
    <xdr:to>
      <xdr:col>5</xdr:col>
      <xdr:colOff>266700</xdr:colOff>
      <xdr:row>41</xdr:row>
      <xdr:rowOff>9525</xdr:rowOff>
    </xdr:to>
    <xdr:sp macro="" textlink="">
      <xdr:nvSpPr>
        <xdr:cNvPr id="71" name="Line 74">
          <a:extLst>
            <a:ext uri="{FF2B5EF4-FFF2-40B4-BE49-F238E27FC236}">
              <a16:creationId xmlns:a16="http://schemas.microsoft.com/office/drawing/2014/main" id="{00000000-0008-0000-0300-000047000000}"/>
            </a:ext>
          </a:extLst>
        </xdr:cNvPr>
        <xdr:cNvSpPr>
          <a:spLocks noChangeShapeType="1"/>
        </xdr:cNvSpPr>
      </xdr:nvSpPr>
      <xdr:spPr bwMode="auto">
        <a:xfrm>
          <a:off x="2619375" y="7620000"/>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40</xdr:row>
      <xdr:rowOff>76200</xdr:rowOff>
    </xdr:from>
    <xdr:to>
      <xdr:col>5</xdr:col>
      <xdr:colOff>438150</xdr:colOff>
      <xdr:row>41</xdr:row>
      <xdr:rowOff>9525</xdr:rowOff>
    </xdr:to>
    <xdr:sp macro="" textlink="">
      <xdr:nvSpPr>
        <xdr:cNvPr id="72" name="Arc 75">
          <a:extLst>
            <a:ext uri="{FF2B5EF4-FFF2-40B4-BE49-F238E27FC236}">
              <a16:creationId xmlns:a16="http://schemas.microsoft.com/office/drawing/2014/main" id="{00000000-0008-0000-0300-000048000000}"/>
            </a:ext>
          </a:extLst>
        </xdr:cNvPr>
        <xdr:cNvSpPr>
          <a:spLocks/>
        </xdr:cNvSpPr>
      </xdr:nvSpPr>
      <xdr:spPr bwMode="auto">
        <a:xfrm flipV="1">
          <a:off x="2914650" y="7496175"/>
          <a:ext cx="171450" cy="123825"/>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40</xdr:row>
      <xdr:rowOff>57150</xdr:rowOff>
    </xdr:from>
    <xdr:to>
      <xdr:col>4</xdr:col>
      <xdr:colOff>314325</xdr:colOff>
      <xdr:row>41</xdr:row>
      <xdr:rowOff>9525</xdr:rowOff>
    </xdr:to>
    <xdr:sp macro="" textlink="">
      <xdr:nvSpPr>
        <xdr:cNvPr id="73" name="Arc 76">
          <a:extLst>
            <a:ext uri="{FF2B5EF4-FFF2-40B4-BE49-F238E27FC236}">
              <a16:creationId xmlns:a16="http://schemas.microsoft.com/office/drawing/2014/main" id="{00000000-0008-0000-0300-000049000000}"/>
            </a:ext>
          </a:extLst>
        </xdr:cNvPr>
        <xdr:cNvSpPr>
          <a:spLocks/>
        </xdr:cNvSpPr>
      </xdr:nvSpPr>
      <xdr:spPr bwMode="auto">
        <a:xfrm flipH="1" flipV="1">
          <a:off x="2476500" y="7477125"/>
          <a:ext cx="161925" cy="142875"/>
        </a:xfrm>
        <a:custGeom>
          <a:avLst/>
          <a:gdLst>
            <a:gd name="T0" fmla="*/ 0 w 21600"/>
            <a:gd name="T1" fmla="*/ 0 h 21600"/>
            <a:gd name="T2" fmla="*/ 2147483646 w 21600"/>
            <a:gd name="T3" fmla="*/ 2147483646 h 21600"/>
            <a:gd name="T4" fmla="*/ 0 w 21600"/>
            <a:gd name="T5" fmla="*/ 214748364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37</xdr:row>
      <xdr:rowOff>38100</xdr:rowOff>
    </xdr:from>
    <xdr:to>
      <xdr:col>5</xdr:col>
      <xdr:colOff>228600</xdr:colOff>
      <xdr:row>38</xdr:row>
      <xdr:rowOff>152400</xdr:rowOff>
    </xdr:to>
    <xdr:sp macro="" textlink="">
      <xdr:nvSpPr>
        <xdr:cNvPr id="74" name="Line 77">
          <a:extLst>
            <a:ext uri="{FF2B5EF4-FFF2-40B4-BE49-F238E27FC236}">
              <a16:creationId xmlns:a16="http://schemas.microsoft.com/office/drawing/2014/main" id="{00000000-0008-0000-0300-00004A000000}"/>
            </a:ext>
          </a:extLst>
        </xdr:cNvPr>
        <xdr:cNvSpPr>
          <a:spLocks noChangeShapeType="1"/>
        </xdr:cNvSpPr>
      </xdr:nvSpPr>
      <xdr:spPr bwMode="auto">
        <a:xfrm flipV="1">
          <a:off x="2876550" y="68865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38</xdr:row>
      <xdr:rowOff>180975</xdr:rowOff>
    </xdr:from>
    <xdr:to>
      <xdr:col>5</xdr:col>
      <xdr:colOff>542925</xdr:colOff>
      <xdr:row>38</xdr:row>
      <xdr:rowOff>180975</xdr:rowOff>
    </xdr:to>
    <xdr:sp macro="" textlink="">
      <xdr:nvSpPr>
        <xdr:cNvPr id="75" name="Line 78">
          <a:extLst>
            <a:ext uri="{FF2B5EF4-FFF2-40B4-BE49-F238E27FC236}">
              <a16:creationId xmlns:a16="http://schemas.microsoft.com/office/drawing/2014/main" id="{00000000-0008-0000-0300-00004B000000}"/>
            </a:ext>
          </a:extLst>
        </xdr:cNvPr>
        <xdr:cNvSpPr>
          <a:spLocks noChangeShapeType="1"/>
        </xdr:cNvSpPr>
      </xdr:nvSpPr>
      <xdr:spPr bwMode="auto">
        <a:xfrm>
          <a:off x="2914650" y="72199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40</xdr:row>
      <xdr:rowOff>0</xdr:rowOff>
    </xdr:from>
    <xdr:to>
      <xdr:col>5</xdr:col>
      <xdr:colOff>523875</xdr:colOff>
      <xdr:row>40</xdr:row>
      <xdr:rowOff>0</xdr:rowOff>
    </xdr:to>
    <xdr:sp macro="" textlink="">
      <xdr:nvSpPr>
        <xdr:cNvPr id="76" name="Line 79">
          <a:extLst>
            <a:ext uri="{FF2B5EF4-FFF2-40B4-BE49-F238E27FC236}">
              <a16:creationId xmlns:a16="http://schemas.microsoft.com/office/drawing/2014/main" id="{00000000-0008-0000-0300-00004C000000}"/>
            </a:ext>
          </a:extLst>
        </xdr:cNvPr>
        <xdr:cNvSpPr>
          <a:spLocks noChangeShapeType="1"/>
        </xdr:cNvSpPr>
      </xdr:nvSpPr>
      <xdr:spPr bwMode="auto">
        <a:xfrm>
          <a:off x="2924175" y="7419975"/>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38</xdr:row>
      <xdr:rowOff>152400</xdr:rowOff>
    </xdr:from>
    <xdr:to>
      <xdr:col>5</xdr:col>
      <xdr:colOff>504825</xdr:colOff>
      <xdr:row>40</xdr:row>
      <xdr:rowOff>38100</xdr:rowOff>
    </xdr:to>
    <xdr:sp macro="" textlink="">
      <xdr:nvSpPr>
        <xdr:cNvPr id="77" name="Line 80">
          <a:extLst>
            <a:ext uri="{FF2B5EF4-FFF2-40B4-BE49-F238E27FC236}">
              <a16:creationId xmlns:a16="http://schemas.microsoft.com/office/drawing/2014/main" id="{00000000-0008-0000-0300-00004D000000}"/>
            </a:ext>
          </a:extLst>
        </xdr:cNvPr>
        <xdr:cNvSpPr>
          <a:spLocks noChangeShapeType="1"/>
        </xdr:cNvSpPr>
      </xdr:nvSpPr>
      <xdr:spPr bwMode="auto">
        <a:xfrm>
          <a:off x="3152775" y="71913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38</xdr:row>
      <xdr:rowOff>152400</xdr:rowOff>
    </xdr:from>
    <xdr:to>
      <xdr:col>5</xdr:col>
      <xdr:colOff>542925</xdr:colOff>
      <xdr:row>39</xdr:row>
      <xdr:rowOff>9525</xdr:rowOff>
    </xdr:to>
    <xdr:sp macro="" textlink="">
      <xdr:nvSpPr>
        <xdr:cNvPr id="78" name="Line 81">
          <a:extLst>
            <a:ext uri="{FF2B5EF4-FFF2-40B4-BE49-F238E27FC236}">
              <a16:creationId xmlns:a16="http://schemas.microsoft.com/office/drawing/2014/main" id="{00000000-0008-0000-0300-00004E000000}"/>
            </a:ext>
          </a:extLst>
        </xdr:cNvPr>
        <xdr:cNvSpPr>
          <a:spLocks noChangeShapeType="1"/>
        </xdr:cNvSpPr>
      </xdr:nvSpPr>
      <xdr:spPr bwMode="auto">
        <a:xfrm flipH="1">
          <a:off x="3114675" y="7191375"/>
          <a:ext cx="762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39</xdr:row>
      <xdr:rowOff>152400</xdr:rowOff>
    </xdr:from>
    <xdr:to>
      <xdr:col>5</xdr:col>
      <xdr:colOff>542925</xdr:colOff>
      <xdr:row>40</xdr:row>
      <xdr:rowOff>38100</xdr:rowOff>
    </xdr:to>
    <xdr:sp macro="" textlink="">
      <xdr:nvSpPr>
        <xdr:cNvPr id="79" name="Line 82">
          <a:extLst>
            <a:ext uri="{FF2B5EF4-FFF2-40B4-BE49-F238E27FC236}">
              <a16:creationId xmlns:a16="http://schemas.microsoft.com/office/drawing/2014/main" id="{00000000-0008-0000-0300-00004F000000}"/>
            </a:ext>
          </a:extLst>
        </xdr:cNvPr>
        <xdr:cNvSpPr>
          <a:spLocks noChangeShapeType="1"/>
        </xdr:cNvSpPr>
      </xdr:nvSpPr>
      <xdr:spPr bwMode="auto">
        <a:xfrm flipH="1">
          <a:off x="3114675" y="7381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39</xdr:row>
      <xdr:rowOff>180975</xdr:rowOff>
    </xdr:from>
    <xdr:to>
      <xdr:col>5</xdr:col>
      <xdr:colOff>47625</xdr:colOff>
      <xdr:row>40</xdr:row>
      <xdr:rowOff>85725</xdr:rowOff>
    </xdr:to>
    <xdr:sp macro="" textlink="">
      <xdr:nvSpPr>
        <xdr:cNvPr id="80" name="Line 83">
          <a:extLst>
            <a:ext uri="{FF2B5EF4-FFF2-40B4-BE49-F238E27FC236}">
              <a16:creationId xmlns:a16="http://schemas.microsoft.com/office/drawing/2014/main" id="{00000000-0008-0000-0300-000050000000}"/>
            </a:ext>
          </a:extLst>
        </xdr:cNvPr>
        <xdr:cNvSpPr>
          <a:spLocks noChangeShapeType="1"/>
        </xdr:cNvSpPr>
      </xdr:nvSpPr>
      <xdr:spPr bwMode="auto">
        <a:xfrm flipH="1">
          <a:off x="2466975" y="7410450"/>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40</xdr:row>
      <xdr:rowOff>57150</xdr:rowOff>
    </xdr:from>
    <xdr:to>
      <xdr:col>4</xdr:col>
      <xdr:colOff>200025</xdr:colOff>
      <xdr:row>40</xdr:row>
      <xdr:rowOff>104775</xdr:rowOff>
    </xdr:to>
    <xdr:sp macro="" textlink="">
      <xdr:nvSpPr>
        <xdr:cNvPr id="81" name="Line 84">
          <a:extLst>
            <a:ext uri="{FF2B5EF4-FFF2-40B4-BE49-F238E27FC236}">
              <a16:creationId xmlns:a16="http://schemas.microsoft.com/office/drawing/2014/main" id="{00000000-0008-0000-0300-000051000000}"/>
            </a:ext>
          </a:extLst>
        </xdr:cNvPr>
        <xdr:cNvSpPr>
          <a:spLocks noChangeShapeType="1"/>
        </xdr:cNvSpPr>
      </xdr:nvSpPr>
      <xdr:spPr bwMode="auto">
        <a:xfrm flipH="1" flipV="1">
          <a:off x="2438400" y="7477125"/>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39</xdr:row>
      <xdr:rowOff>152400</xdr:rowOff>
    </xdr:from>
    <xdr:to>
      <xdr:col>5</xdr:col>
      <xdr:colOff>85725</xdr:colOff>
      <xdr:row>40</xdr:row>
      <xdr:rowOff>28575</xdr:rowOff>
    </xdr:to>
    <xdr:sp macro="" textlink="">
      <xdr:nvSpPr>
        <xdr:cNvPr id="82" name="Line 85">
          <a:extLst>
            <a:ext uri="{FF2B5EF4-FFF2-40B4-BE49-F238E27FC236}">
              <a16:creationId xmlns:a16="http://schemas.microsoft.com/office/drawing/2014/main" id="{00000000-0008-0000-0300-000052000000}"/>
            </a:ext>
          </a:extLst>
        </xdr:cNvPr>
        <xdr:cNvSpPr>
          <a:spLocks noChangeShapeType="1"/>
        </xdr:cNvSpPr>
      </xdr:nvSpPr>
      <xdr:spPr bwMode="auto">
        <a:xfrm flipH="1" flipV="1">
          <a:off x="2657475" y="73818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33</xdr:row>
      <xdr:rowOff>180975</xdr:rowOff>
    </xdr:from>
    <xdr:to>
      <xdr:col>5</xdr:col>
      <xdr:colOff>619125</xdr:colOff>
      <xdr:row>33</xdr:row>
      <xdr:rowOff>180975</xdr:rowOff>
    </xdr:to>
    <xdr:sp macro="" textlink="">
      <xdr:nvSpPr>
        <xdr:cNvPr id="83" name="Line 86">
          <a:extLst>
            <a:ext uri="{FF2B5EF4-FFF2-40B4-BE49-F238E27FC236}">
              <a16:creationId xmlns:a16="http://schemas.microsoft.com/office/drawing/2014/main" id="{00000000-0008-0000-0300-000053000000}"/>
            </a:ext>
          </a:extLst>
        </xdr:cNvPr>
        <xdr:cNvSpPr>
          <a:spLocks noChangeShapeType="1"/>
        </xdr:cNvSpPr>
      </xdr:nvSpPr>
      <xdr:spPr bwMode="auto">
        <a:xfrm>
          <a:off x="2066925" y="6267450"/>
          <a:ext cx="120015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32</xdr:row>
      <xdr:rowOff>142875</xdr:rowOff>
    </xdr:from>
    <xdr:to>
      <xdr:col>6</xdr:col>
      <xdr:colOff>114300</xdr:colOff>
      <xdr:row>32</xdr:row>
      <xdr:rowOff>142875</xdr:rowOff>
    </xdr:to>
    <xdr:sp macro="" textlink="">
      <xdr:nvSpPr>
        <xdr:cNvPr id="84" name="Line 87">
          <a:extLst>
            <a:ext uri="{FF2B5EF4-FFF2-40B4-BE49-F238E27FC236}">
              <a16:creationId xmlns:a16="http://schemas.microsoft.com/office/drawing/2014/main" id="{00000000-0008-0000-0300-000054000000}"/>
            </a:ext>
          </a:extLst>
        </xdr:cNvPr>
        <xdr:cNvSpPr>
          <a:spLocks noChangeShapeType="1"/>
        </xdr:cNvSpPr>
      </xdr:nvSpPr>
      <xdr:spPr bwMode="auto">
        <a:xfrm>
          <a:off x="2943225" y="6038850"/>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33</xdr:row>
      <xdr:rowOff>171450</xdr:rowOff>
    </xdr:from>
    <xdr:to>
      <xdr:col>6</xdr:col>
      <xdr:colOff>133350</xdr:colOff>
      <xdr:row>33</xdr:row>
      <xdr:rowOff>171450</xdr:rowOff>
    </xdr:to>
    <xdr:sp macro="" textlink="">
      <xdr:nvSpPr>
        <xdr:cNvPr id="85" name="Line 88">
          <a:extLst>
            <a:ext uri="{FF2B5EF4-FFF2-40B4-BE49-F238E27FC236}">
              <a16:creationId xmlns:a16="http://schemas.microsoft.com/office/drawing/2014/main" id="{00000000-0008-0000-0300-000055000000}"/>
            </a:ext>
          </a:extLst>
        </xdr:cNvPr>
        <xdr:cNvSpPr>
          <a:spLocks noChangeShapeType="1"/>
        </xdr:cNvSpPr>
      </xdr:nvSpPr>
      <xdr:spPr bwMode="auto">
        <a:xfrm>
          <a:off x="3324225" y="62579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32</xdr:row>
      <xdr:rowOff>104775</xdr:rowOff>
    </xdr:from>
    <xdr:to>
      <xdr:col>6</xdr:col>
      <xdr:colOff>85725</xdr:colOff>
      <xdr:row>34</xdr:row>
      <xdr:rowOff>28575</xdr:rowOff>
    </xdr:to>
    <xdr:sp macro="" textlink="">
      <xdr:nvSpPr>
        <xdr:cNvPr id="86" name="Line 89">
          <a:extLst>
            <a:ext uri="{FF2B5EF4-FFF2-40B4-BE49-F238E27FC236}">
              <a16:creationId xmlns:a16="http://schemas.microsoft.com/office/drawing/2014/main" id="{00000000-0008-0000-0300-000056000000}"/>
            </a:ext>
          </a:extLst>
        </xdr:cNvPr>
        <xdr:cNvSpPr>
          <a:spLocks noChangeShapeType="1"/>
        </xdr:cNvSpPr>
      </xdr:nvSpPr>
      <xdr:spPr bwMode="auto">
        <a:xfrm>
          <a:off x="3486150" y="60007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32</xdr:row>
      <xdr:rowOff>104775</xdr:rowOff>
    </xdr:from>
    <xdr:to>
      <xdr:col>6</xdr:col>
      <xdr:colOff>123825</xdr:colOff>
      <xdr:row>32</xdr:row>
      <xdr:rowOff>180975</xdr:rowOff>
    </xdr:to>
    <xdr:sp macro="" textlink="">
      <xdr:nvSpPr>
        <xdr:cNvPr id="87" name="Line 90">
          <a:extLst>
            <a:ext uri="{FF2B5EF4-FFF2-40B4-BE49-F238E27FC236}">
              <a16:creationId xmlns:a16="http://schemas.microsoft.com/office/drawing/2014/main" id="{00000000-0008-0000-0300-000057000000}"/>
            </a:ext>
          </a:extLst>
        </xdr:cNvPr>
        <xdr:cNvSpPr>
          <a:spLocks noChangeShapeType="1"/>
        </xdr:cNvSpPr>
      </xdr:nvSpPr>
      <xdr:spPr bwMode="auto">
        <a:xfrm flipH="1">
          <a:off x="3448050" y="60007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33</xdr:row>
      <xdr:rowOff>142875</xdr:rowOff>
    </xdr:from>
    <xdr:to>
      <xdr:col>6</xdr:col>
      <xdr:colOff>114300</xdr:colOff>
      <xdr:row>34</xdr:row>
      <xdr:rowOff>19050</xdr:rowOff>
    </xdr:to>
    <xdr:sp macro="" textlink="">
      <xdr:nvSpPr>
        <xdr:cNvPr id="88" name="Line 91">
          <a:extLst>
            <a:ext uri="{FF2B5EF4-FFF2-40B4-BE49-F238E27FC236}">
              <a16:creationId xmlns:a16="http://schemas.microsoft.com/office/drawing/2014/main" id="{00000000-0008-0000-0300-000058000000}"/>
            </a:ext>
          </a:extLst>
        </xdr:cNvPr>
        <xdr:cNvSpPr>
          <a:spLocks noChangeShapeType="1"/>
        </xdr:cNvSpPr>
      </xdr:nvSpPr>
      <xdr:spPr bwMode="auto">
        <a:xfrm flipH="1">
          <a:off x="3448050" y="62293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30</xdr:row>
      <xdr:rowOff>161925</xdr:rowOff>
    </xdr:from>
    <xdr:to>
      <xdr:col>0</xdr:col>
      <xdr:colOff>1057275</xdr:colOff>
      <xdr:row>34</xdr:row>
      <xdr:rowOff>47625</xdr:rowOff>
    </xdr:to>
    <xdr:sp macro="" textlink="">
      <xdr:nvSpPr>
        <xdr:cNvPr id="89" name="Freeform 92">
          <a:extLst>
            <a:ext uri="{FF2B5EF4-FFF2-40B4-BE49-F238E27FC236}">
              <a16:creationId xmlns:a16="http://schemas.microsoft.com/office/drawing/2014/main" id="{00000000-0008-0000-0300-000059000000}"/>
            </a:ext>
          </a:extLst>
        </xdr:cNvPr>
        <xdr:cNvSpPr>
          <a:spLocks/>
        </xdr:cNvSpPr>
      </xdr:nvSpPr>
      <xdr:spPr bwMode="auto">
        <a:xfrm>
          <a:off x="266700" y="5676900"/>
          <a:ext cx="790575" cy="647700"/>
        </a:xfrm>
        <a:custGeom>
          <a:avLst/>
          <a:gdLst>
            <a:gd name="T0" fmla="*/ 0 w 83"/>
            <a:gd name="T1" fmla="*/ 0 h 68"/>
            <a:gd name="T2" fmla="*/ 2147483646 w 83"/>
            <a:gd name="T3" fmla="*/ 0 h 68"/>
            <a:gd name="T4" fmla="*/ 2147483646 w 83"/>
            <a:gd name="T5" fmla="*/ 2147483646 h 68"/>
            <a:gd name="T6" fmla="*/ 2147483646 w 83"/>
            <a:gd name="T7" fmla="*/ 2147483646 h 68"/>
            <a:gd name="T8" fmla="*/ 2147483646 w 83"/>
            <a:gd name="T9" fmla="*/ 2147483646 h 68"/>
            <a:gd name="T10" fmla="*/ 0 w 83"/>
            <a:gd name="T11" fmla="*/ 2147483646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31</xdr:row>
      <xdr:rowOff>171450</xdr:rowOff>
    </xdr:from>
    <xdr:to>
      <xdr:col>0</xdr:col>
      <xdr:colOff>590550</xdr:colOff>
      <xdr:row>32</xdr:row>
      <xdr:rowOff>133350</xdr:rowOff>
    </xdr:to>
    <xdr:sp macro="" textlink="">
      <xdr:nvSpPr>
        <xdr:cNvPr id="90" name="Oval 93">
          <a:extLst>
            <a:ext uri="{FF2B5EF4-FFF2-40B4-BE49-F238E27FC236}">
              <a16:creationId xmlns:a16="http://schemas.microsoft.com/office/drawing/2014/main" id="{00000000-0008-0000-0300-00005A000000}"/>
            </a:ext>
          </a:extLst>
        </xdr:cNvPr>
        <xdr:cNvSpPr>
          <a:spLocks noChangeArrowheads="1"/>
        </xdr:cNvSpPr>
      </xdr:nvSpPr>
      <xdr:spPr bwMode="auto">
        <a:xfrm>
          <a:off x="428625" y="5876925"/>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33</xdr:row>
      <xdr:rowOff>38100</xdr:rowOff>
    </xdr:from>
    <xdr:to>
      <xdr:col>0</xdr:col>
      <xdr:colOff>504825</xdr:colOff>
      <xdr:row>37</xdr:row>
      <xdr:rowOff>28575</xdr:rowOff>
    </xdr:to>
    <xdr:sp macro="" textlink="">
      <xdr:nvSpPr>
        <xdr:cNvPr id="91" name="Line 94">
          <a:extLst>
            <a:ext uri="{FF2B5EF4-FFF2-40B4-BE49-F238E27FC236}">
              <a16:creationId xmlns:a16="http://schemas.microsoft.com/office/drawing/2014/main" id="{00000000-0008-0000-0300-00005B000000}"/>
            </a:ext>
          </a:extLst>
        </xdr:cNvPr>
        <xdr:cNvSpPr>
          <a:spLocks noChangeShapeType="1"/>
        </xdr:cNvSpPr>
      </xdr:nvSpPr>
      <xdr:spPr bwMode="auto">
        <a:xfrm>
          <a:off x="504825" y="6124575"/>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34</xdr:row>
      <xdr:rowOff>114300</xdr:rowOff>
    </xdr:from>
    <xdr:to>
      <xdr:col>0</xdr:col>
      <xdr:colOff>1057275</xdr:colOff>
      <xdr:row>37</xdr:row>
      <xdr:rowOff>19050</xdr:rowOff>
    </xdr:to>
    <xdr:sp macro="" textlink="">
      <xdr:nvSpPr>
        <xdr:cNvPr id="92" name="Line 95">
          <a:extLst>
            <a:ext uri="{FF2B5EF4-FFF2-40B4-BE49-F238E27FC236}">
              <a16:creationId xmlns:a16="http://schemas.microsoft.com/office/drawing/2014/main" id="{00000000-0008-0000-0300-00005C000000}"/>
            </a:ext>
          </a:extLst>
        </xdr:cNvPr>
        <xdr:cNvSpPr>
          <a:spLocks noChangeShapeType="1"/>
        </xdr:cNvSpPr>
      </xdr:nvSpPr>
      <xdr:spPr bwMode="auto">
        <a:xfrm>
          <a:off x="1057275" y="6391275"/>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36</xdr:row>
      <xdr:rowOff>180975</xdr:rowOff>
    </xdr:from>
    <xdr:to>
      <xdr:col>0</xdr:col>
      <xdr:colOff>1095375</xdr:colOff>
      <xdr:row>36</xdr:row>
      <xdr:rowOff>180975</xdr:rowOff>
    </xdr:to>
    <xdr:sp macro="" textlink="">
      <xdr:nvSpPr>
        <xdr:cNvPr id="93" name="Line 96">
          <a:extLst>
            <a:ext uri="{FF2B5EF4-FFF2-40B4-BE49-F238E27FC236}">
              <a16:creationId xmlns:a16="http://schemas.microsoft.com/office/drawing/2014/main" id="{00000000-0008-0000-0300-00005D000000}"/>
            </a:ext>
          </a:extLst>
        </xdr:cNvPr>
        <xdr:cNvSpPr>
          <a:spLocks noChangeShapeType="1"/>
        </xdr:cNvSpPr>
      </xdr:nvSpPr>
      <xdr:spPr bwMode="auto">
        <a:xfrm>
          <a:off x="495300" y="683895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32</xdr:row>
      <xdr:rowOff>133350</xdr:rowOff>
    </xdr:from>
    <xdr:to>
      <xdr:col>0</xdr:col>
      <xdr:colOff>600075</xdr:colOff>
      <xdr:row>32</xdr:row>
      <xdr:rowOff>133350</xdr:rowOff>
    </xdr:to>
    <xdr:sp macro="" textlink="">
      <xdr:nvSpPr>
        <xdr:cNvPr id="94" name="Line 97">
          <a:extLst>
            <a:ext uri="{FF2B5EF4-FFF2-40B4-BE49-F238E27FC236}">
              <a16:creationId xmlns:a16="http://schemas.microsoft.com/office/drawing/2014/main" id="{00000000-0008-0000-0300-00005E000000}"/>
            </a:ext>
          </a:extLst>
        </xdr:cNvPr>
        <xdr:cNvSpPr>
          <a:spLocks noChangeShapeType="1"/>
        </xdr:cNvSpPr>
      </xdr:nvSpPr>
      <xdr:spPr bwMode="auto">
        <a:xfrm>
          <a:off x="419100" y="6029325"/>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32</xdr:row>
      <xdr:rowOff>152400</xdr:rowOff>
    </xdr:from>
    <xdr:to>
      <xdr:col>0</xdr:col>
      <xdr:colOff>981075</xdr:colOff>
      <xdr:row>34</xdr:row>
      <xdr:rowOff>57150</xdr:rowOff>
    </xdr:to>
    <xdr:sp macro="" textlink="">
      <xdr:nvSpPr>
        <xdr:cNvPr id="95" name="Line 98">
          <a:extLst>
            <a:ext uri="{FF2B5EF4-FFF2-40B4-BE49-F238E27FC236}">
              <a16:creationId xmlns:a16="http://schemas.microsoft.com/office/drawing/2014/main" id="{00000000-0008-0000-0300-00005F000000}"/>
            </a:ext>
          </a:extLst>
        </xdr:cNvPr>
        <xdr:cNvSpPr>
          <a:spLocks noChangeShapeType="1"/>
        </xdr:cNvSpPr>
      </xdr:nvSpPr>
      <xdr:spPr bwMode="auto">
        <a:xfrm>
          <a:off x="600075" y="6048375"/>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34</xdr:row>
      <xdr:rowOff>95250</xdr:rowOff>
    </xdr:from>
    <xdr:to>
      <xdr:col>0</xdr:col>
      <xdr:colOff>981075</xdr:colOff>
      <xdr:row>36</xdr:row>
      <xdr:rowOff>19050</xdr:rowOff>
    </xdr:to>
    <xdr:sp macro="" textlink="">
      <xdr:nvSpPr>
        <xdr:cNvPr id="96" name="Line 99">
          <a:extLst>
            <a:ext uri="{FF2B5EF4-FFF2-40B4-BE49-F238E27FC236}">
              <a16:creationId xmlns:a16="http://schemas.microsoft.com/office/drawing/2014/main" id="{00000000-0008-0000-0300-000060000000}"/>
            </a:ext>
          </a:extLst>
        </xdr:cNvPr>
        <xdr:cNvSpPr>
          <a:spLocks noChangeShapeType="1"/>
        </xdr:cNvSpPr>
      </xdr:nvSpPr>
      <xdr:spPr bwMode="auto">
        <a:xfrm>
          <a:off x="981075" y="63722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36</xdr:row>
      <xdr:rowOff>0</xdr:rowOff>
    </xdr:from>
    <xdr:to>
      <xdr:col>0</xdr:col>
      <xdr:colOff>1019175</xdr:colOff>
      <xdr:row>36</xdr:row>
      <xdr:rowOff>0</xdr:rowOff>
    </xdr:to>
    <xdr:sp macro="" textlink="">
      <xdr:nvSpPr>
        <xdr:cNvPr id="97" name="Line 100">
          <a:extLst>
            <a:ext uri="{FF2B5EF4-FFF2-40B4-BE49-F238E27FC236}">
              <a16:creationId xmlns:a16="http://schemas.microsoft.com/office/drawing/2014/main" id="{00000000-0008-0000-0300-000061000000}"/>
            </a:ext>
          </a:extLst>
        </xdr:cNvPr>
        <xdr:cNvSpPr>
          <a:spLocks noChangeShapeType="1"/>
        </xdr:cNvSpPr>
      </xdr:nvSpPr>
      <xdr:spPr bwMode="auto">
        <a:xfrm>
          <a:off x="466725" y="6657975"/>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32</xdr:row>
      <xdr:rowOff>161925</xdr:rowOff>
    </xdr:from>
    <xdr:to>
      <xdr:col>0</xdr:col>
      <xdr:colOff>409575</xdr:colOff>
      <xdr:row>33</xdr:row>
      <xdr:rowOff>114300</xdr:rowOff>
    </xdr:to>
    <xdr:sp macro="" textlink="">
      <xdr:nvSpPr>
        <xdr:cNvPr id="98" name="Line 101">
          <a:extLst>
            <a:ext uri="{FF2B5EF4-FFF2-40B4-BE49-F238E27FC236}">
              <a16:creationId xmlns:a16="http://schemas.microsoft.com/office/drawing/2014/main" id="{00000000-0008-0000-0300-000062000000}"/>
            </a:ext>
          </a:extLst>
        </xdr:cNvPr>
        <xdr:cNvSpPr>
          <a:spLocks noChangeShapeType="1"/>
        </xdr:cNvSpPr>
      </xdr:nvSpPr>
      <xdr:spPr bwMode="auto">
        <a:xfrm flipH="1">
          <a:off x="257175" y="6057900"/>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35</xdr:row>
      <xdr:rowOff>142875</xdr:rowOff>
    </xdr:from>
    <xdr:to>
      <xdr:col>0</xdr:col>
      <xdr:colOff>542925</xdr:colOff>
      <xdr:row>36</xdr:row>
      <xdr:rowOff>28575</xdr:rowOff>
    </xdr:to>
    <xdr:sp macro="" textlink="">
      <xdr:nvSpPr>
        <xdr:cNvPr id="99" name="Line 102">
          <a:extLst>
            <a:ext uri="{FF2B5EF4-FFF2-40B4-BE49-F238E27FC236}">
              <a16:creationId xmlns:a16="http://schemas.microsoft.com/office/drawing/2014/main" id="{00000000-0008-0000-0300-000063000000}"/>
            </a:ext>
          </a:extLst>
        </xdr:cNvPr>
        <xdr:cNvSpPr>
          <a:spLocks noChangeShapeType="1"/>
        </xdr:cNvSpPr>
      </xdr:nvSpPr>
      <xdr:spPr bwMode="auto">
        <a:xfrm flipH="1">
          <a:off x="466725" y="66103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35</xdr:row>
      <xdr:rowOff>152400</xdr:rowOff>
    </xdr:from>
    <xdr:to>
      <xdr:col>0</xdr:col>
      <xdr:colOff>1019175</xdr:colOff>
      <xdr:row>36</xdr:row>
      <xdr:rowOff>28575</xdr:rowOff>
    </xdr:to>
    <xdr:sp macro="" textlink="">
      <xdr:nvSpPr>
        <xdr:cNvPr id="100" name="Line 103">
          <a:extLst>
            <a:ext uri="{FF2B5EF4-FFF2-40B4-BE49-F238E27FC236}">
              <a16:creationId xmlns:a16="http://schemas.microsoft.com/office/drawing/2014/main" id="{00000000-0008-0000-0300-000064000000}"/>
            </a:ext>
          </a:extLst>
        </xdr:cNvPr>
        <xdr:cNvSpPr>
          <a:spLocks noChangeShapeType="1"/>
        </xdr:cNvSpPr>
      </xdr:nvSpPr>
      <xdr:spPr bwMode="auto">
        <a:xfrm flipH="1">
          <a:off x="952500" y="6619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36</xdr:row>
      <xdr:rowOff>133350</xdr:rowOff>
    </xdr:from>
    <xdr:to>
      <xdr:col>0</xdr:col>
      <xdr:colOff>552450</xdr:colOff>
      <xdr:row>37</xdr:row>
      <xdr:rowOff>28575</xdr:rowOff>
    </xdr:to>
    <xdr:sp macro="" textlink="">
      <xdr:nvSpPr>
        <xdr:cNvPr id="101" name="Line 104">
          <a:extLst>
            <a:ext uri="{FF2B5EF4-FFF2-40B4-BE49-F238E27FC236}">
              <a16:creationId xmlns:a16="http://schemas.microsoft.com/office/drawing/2014/main" id="{00000000-0008-0000-0300-000065000000}"/>
            </a:ext>
          </a:extLst>
        </xdr:cNvPr>
        <xdr:cNvSpPr>
          <a:spLocks noChangeShapeType="1"/>
        </xdr:cNvSpPr>
      </xdr:nvSpPr>
      <xdr:spPr bwMode="auto">
        <a:xfrm flipH="1">
          <a:off x="457200" y="679132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36</xdr:row>
      <xdr:rowOff>142875</xdr:rowOff>
    </xdr:from>
    <xdr:to>
      <xdr:col>0</xdr:col>
      <xdr:colOff>1095375</xdr:colOff>
      <xdr:row>37</xdr:row>
      <xdr:rowOff>28575</xdr:rowOff>
    </xdr:to>
    <xdr:sp macro="" textlink="">
      <xdr:nvSpPr>
        <xdr:cNvPr id="102" name="Line 105">
          <a:extLst>
            <a:ext uri="{FF2B5EF4-FFF2-40B4-BE49-F238E27FC236}">
              <a16:creationId xmlns:a16="http://schemas.microsoft.com/office/drawing/2014/main" id="{00000000-0008-0000-0300-000066000000}"/>
            </a:ext>
          </a:extLst>
        </xdr:cNvPr>
        <xdr:cNvSpPr>
          <a:spLocks noChangeShapeType="1"/>
        </xdr:cNvSpPr>
      </xdr:nvSpPr>
      <xdr:spPr bwMode="auto">
        <a:xfrm flipH="1">
          <a:off x="1019175" y="68008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33</xdr:row>
      <xdr:rowOff>142875</xdr:rowOff>
    </xdr:from>
    <xdr:to>
      <xdr:col>4</xdr:col>
      <xdr:colOff>28575</xdr:colOff>
      <xdr:row>33</xdr:row>
      <xdr:rowOff>171450</xdr:rowOff>
    </xdr:to>
    <xdr:sp macro="" textlink="">
      <xdr:nvSpPr>
        <xdr:cNvPr id="103" name="Oval 106">
          <a:extLst>
            <a:ext uri="{FF2B5EF4-FFF2-40B4-BE49-F238E27FC236}">
              <a16:creationId xmlns:a16="http://schemas.microsoft.com/office/drawing/2014/main" id="{00000000-0008-0000-0300-000067000000}"/>
            </a:ext>
          </a:extLst>
        </xdr:cNvPr>
        <xdr:cNvSpPr>
          <a:spLocks noChangeArrowheads="1"/>
        </xdr:cNvSpPr>
      </xdr:nvSpPr>
      <xdr:spPr bwMode="auto">
        <a:xfrm flipV="1">
          <a:off x="2324100" y="62293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33</xdr:row>
      <xdr:rowOff>142875</xdr:rowOff>
    </xdr:from>
    <xdr:to>
      <xdr:col>5</xdr:col>
      <xdr:colOff>600075</xdr:colOff>
      <xdr:row>33</xdr:row>
      <xdr:rowOff>171450</xdr:rowOff>
    </xdr:to>
    <xdr:sp macro="" textlink="">
      <xdr:nvSpPr>
        <xdr:cNvPr id="104" name="Oval 107">
          <a:extLst>
            <a:ext uri="{FF2B5EF4-FFF2-40B4-BE49-F238E27FC236}">
              <a16:creationId xmlns:a16="http://schemas.microsoft.com/office/drawing/2014/main" id="{00000000-0008-0000-0300-000068000000}"/>
            </a:ext>
          </a:extLst>
        </xdr:cNvPr>
        <xdr:cNvSpPr>
          <a:spLocks noChangeArrowheads="1"/>
        </xdr:cNvSpPr>
      </xdr:nvSpPr>
      <xdr:spPr bwMode="auto">
        <a:xfrm flipV="1">
          <a:off x="3219450" y="62293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33</xdr:row>
      <xdr:rowOff>142875</xdr:rowOff>
    </xdr:from>
    <xdr:to>
      <xdr:col>5</xdr:col>
      <xdr:colOff>9525</xdr:colOff>
      <xdr:row>33</xdr:row>
      <xdr:rowOff>171450</xdr:rowOff>
    </xdr:to>
    <xdr:sp macro="" textlink="">
      <xdr:nvSpPr>
        <xdr:cNvPr id="105" name="Oval 108">
          <a:extLst>
            <a:ext uri="{FF2B5EF4-FFF2-40B4-BE49-F238E27FC236}">
              <a16:creationId xmlns:a16="http://schemas.microsoft.com/office/drawing/2014/main" id="{00000000-0008-0000-0300-000069000000}"/>
            </a:ext>
          </a:extLst>
        </xdr:cNvPr>
        <xdr:cNvSpPr>
          <a:spLocks noChangeArrowheads="1"/>
        </xdr:cNvSpPr>
      </xdr:nvSpPr>
      <xdr:spPr bwMode="auto">
        <a:xfrm flipV="1">
          <a:off x="2628900" y="62293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33</xdr:row>
      <xdr:rowOff>142875</xdr:rowOff>
    </xdr:from>
    <xdr:to>
      <xdr:col>5</xdr:col>
      <xdr:colOff>295275</xdr:colOff>
      <xdr:row>33</xdr:row>
      <xdr:rowOff>171450</xdr:rowOff>
    </xdr:to>
    <xdr:sp macro="" textlink="">
      <xdr:nvSpPr>
        <xdr:cNvPr id="106" name="Oval 109">
          <a:extLst>
            <a:ext uri="{FF2B5EF4-FFF2-40B4-BE49-F238E27FC236}">
              <a16:creationId xmlns:a16="http://schemas.microsoft.com/office/drawing/2014/main" id="{00000000-0008-0000-0300-00006A000000}"/>
            </a:ext>
          </a:extLst>
        </xdr:cNvPr>
        <xdr:cNvSpPr>
          <a:spLocks noChangeArrowheads="1"/>
        </xdr:cNvSpPr>
      </xdr:nvSpPr>
      <xdr:spPr bwMode="auto">
        <a:xfrm flipV="1">
          <a:off x="2914650" y="62293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38</xdr:row>
      <xdr:rowOff>38100</xdr:rowOff>
    </xdr:from>
    <xdr:to>
      <xdr:col>5</xdr:col>
      <xdr:colOff>685800</xdr:colOff>
      <xdr:row>38</xdr:row>
      <xdr:rowOff>38100</xdr:rowOff>
    </xdr:to>
    <xdr:sp macro="" textlink="">
      <xdr:nvSpPr>
        <xdr:cNvPr id="107" name="Line 110">
          <a:extLst>
            <a:ext uri="{FF2B5EF4-FFF2-40B4-BE49-F238E27FC236}">
              <a16:creationId xmlns:a16="http://schemas.microsoft.com/office/drawing/2014/main" id="{00000000-0008-0000-0300-00006B000000}"/>
            </a:ext>
          </a:extLst>
        </xdr:cNvPr>
        <xdr:cNvSpPr>
          <a:spLocks noChangeShapeType="1"/>
        </xdr:cNvSpPr>
      </xdr:nvSpPr>
      <xdr:spPr bwMode="auto">
        <a:xfrm>
          <a:off x="2162175" y="7077075"/>
          <a:ext cx="11715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xdr:col>
      <xdr:colOff>552450</xdr:colOff>
      <xdr:row>43</xdr:row>
      <xdr:rowOff>161925</xdr:rowOff>
    </xdr:from>
    <xdr:to>
      <xdr:col>6</xdr:col>
      <xdr:colOff>114300</xdr:colOff>
      <xdr:row>47</xdr:row>
      <xdr:rowOff>47625</xdr:rowOff>
    </xdr:to>
    <xdr:sp macro="" textlink="">
      <xdr:nvSpPr>
        <xdr:cNvPr id="108" name="Tegning 308">
          <a:extLst>
            <a:ext uri="{FF2B5EF4-FFF2-40B4-BE49-F238E27FC236}">
              <a16:creationId xmlns:a16="http://schemas.microsoft.com/office/drawing/2014/main" id="{00000000-0008-0000-0300-00006C000000}"/>
            </a:ext>
          </a:extLst>
        </xdr:cNvPr>
        <xdr:cNvSpPr>
          <a:spLocks/>
        </xdr:cNvSpPr>
      </xdr:nvSpPr>
      <xdr:spPr bwMode="auto">
        <a:xfrm>
          <a:off x="1971675" y="8153400"/>
          <a:ext cx="15430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47</xdr:row>
      <xdr:rowOff>19050</xdr:rowOff>
    </xdr:from>
    <xdr:to>
      <xdr:col>3</xdr:col>
      <xdr:colOff>247650</xdr:colOff>
      <xdr:row>49</xdr:row>
      <xdr:rowOff>28575</xdr:rowOff>
    </xdr:to>
    <xdr:sp macro="" textlink="">
      <xdr:nvSpPr>
        <xdr:cNvPr id="109" name="Tegning 311">
          <a:extLst>
            <a:ext uri="{FF2B5EF4-FFF2-40B4-BE49-F238E27FC236}">
              <a16:creationId xmlns:a16="http://schemas.microsoft.com/office/drawing/2014/main" id="{00000000-0008-0000-0300-00006D000000}"/>
            </a:ext>
          </a:extLst>
        </xdr:cNvPr>
        <xdr:cNvSpPr>
          <a:spLocks/>
        </xdr:cNvSpPr>
      </xdr:nvSpPr>
      <xdr:spPr bwMode="auto">
        <a:xfrm>
          <a:off x="1952625" y="8772525"/>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45</xdr:row>
      <xdr:rowOff>161925</xdr:rowOff>
    </xdr:from>
    <xdr:to>
      <xdr:col>2</xdr:col>
      <xdr:colOff>381000</xdr:colOff>
      <xdr:row>47</xdr:row>
      <xdr:rowOff>161925</xdr:rowOff>
    </xdr:to>
    <xdr:sp macro="" textlink="">
      <xdr:nvSpPr>
        <xdr:cNvPr id="110" name="Tegning 312">
          <a:extLst>
            <a:ext uri="{FF2B5EF4-FFF2-40B4-BE49-F238E27FC236}">
              <a16:creationId xmlns:a16="http://schemas.microsoft.com/office/drawing/2014/main" id="{00000000-0008-0000-0300-00006E000000}"/>
            </a:ext>
          </a:extLst>
        </xdr:cNvPr>
        <xdr:cNvSpPr>
          <a:spLocks/>
        </xdr:cNvSpPr>
      </xdr:nvSpPr>
      <xdr:spPr bwMode="auto">
        <a:xfrm>
          <a:off x="1581150" y="853440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45</xdr:row>
      <xdr:rowOff>161925</xdr:rowOff>
    </xdr:from>
    <xdr:to>
      <xdr:col>5</xdr:col>
      <xdr:colOff>552450</xdr:colOff>
      <xdr:row>47</xdr:row>
      <xdr:rowOff>114300</xdr:rowOff>
    </xdr:to>
    <xdr:sp macro="" textlink="">
      <xdr:nvSpPr>
        <xdr:cNvPr id="111" name="Tegning 316">
          <a:extLst>
            <a:ext uri="{FF2B5EF4-FFF2-40B4-BE49-F238E27FC236}">
              <a16:creationId xmlns:a16="http://schemas.microsoft.com/office/drawing/2014/main" id="{00000000-0008-0000-0300-00006F000000}"/>
            </a:ext>
          </a:extLst>
        </xdr:cNvPr>
        <xdr:cNvSpPr>
          <a:spLocks/>
        </xdr:cNvSpPr>
      </xdr:nvSpPr>
      <xdr:spPr bwMode="auto">
        <a:xfrm>
          <a:off x="2962275" y="853440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44</xdr:row>
      <xdr:rowOff>142875</xdr:rowOff>
    </xdr:from>
    <xdr:to>
      <xdr:col>5</xdr:col>
      <xdr:colOff>638175</xdr:colOff>
      <xdr:row>47</xdr:row>
      <xdr:rowOff>0</xdr:rowOff>
    </xdr:to>
    <xdr:sp macro="" textlink="">
      <xdr:nvSpPr>
        <xdr:cNvPr id="112" name="Tegning 344">
          <a:extLst>
            <a:ext uri="{FF2B5EF4-FFF2-40B4-BE49-F238E27FC236}">
              <a16:creationId xmlns:a16="http://schemas.microsoft.com/office/drawing/2014/main" id="{00000000-0008-0000-0300-000070000000}"/>
            </a:ext>
          </a:extLst>
        </xdr:cNvPr>
        <xdr:cNvSpPr>
          <a:spLocks/>
        </xdr:cNvSpPr>
      </xdr:nvSpPr>
      <xdr:spPr bwMode="auto">
        <a:xfrm>
          <a:off x="2095500" y="8324850"/>
          <a:ext cx="11906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44</xdr:row>
      <xdr:rowOff>171450</xdr:rowOff>
    </xdr:from>
    <xdr:to>
      <xdr:col>5</xdr:col>
      <xdr:colOff>600075</xdr:colOff>
      <xdr:row>45</xdr:row>
      <xdr:rowOff>161925</xdr:rowOff>
    </xdr:to>
    <xdr:sp macro="" textlink="">
      <xdr:nvSpPr>
        <xdr:cNvPr id="113" name="Freeform 162">
          <a:extLst>
            <a:ext uri="{FF2B5EF4-FFF2-40B4-BE49-F238E27FC236}">
              <a16:creationId xmlns:a16="http://schemas.microsoft.com/office/drawing/2014/main" id="{00000000-0008-0000-0300-000071000000}"/>
            </a:ext>
          </a:extLst>
        </xdr:cNvPr>
        <xdr:cNvSpPr>
          <a:spLocks/>
        </xdr:cNvSpPr>
      </xdr:nvSpPr>
      <xdr:spPr bwMode="auto">
        <a:xfrm>
          <a:off x="1971675" y="8353425"/>
          <a:ext cx="1276350" cy="180975"/>
        </a:xfrm>
        <a:custGeom>
          <a:avLst/>
          <a:gdLst>
            <a:gd name="T0" fmla="*/ 2147483646 w 134"/>
            <a:gd name="T1" fmla="*/ 0 h 19"/>
            <a:gd name="T2" fmla="*/ 2147483646 w 134"/>
            <a:gd name="T3" fmla="*/ 0 h 19"/>
            <a:gd name="T4" fmla="*/ 2147483646 w 134"/>
            <a:gd name="T5" fmla="*/ 2147483646 h 19"/>
            <a:gd name="T6" fmla="*/ 0 w 134"/>
            <a:gd name="T7" fmla="*/ 2147483646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45</xdr:row>
      <xdr:rowOff>0</xdr:rowOff>
    </xdr:from>
    <xdr:to>
      <xdr:col>5</xdr:col>
      <xdr:colOff>200025</xdr:colOff>
      <xdr:row>45</xdr:row>
      <xdr:rowOff>142875</xdr:rowOff>
    </xdr:to>
    <xdr:sp macro="" textlink="">
      <xdr:nvSpPr>
        <xdr:cNvPr id="114" name="Rectangle 163">
          <a:extLst>
            <a:ext uri="{FF2B5EF4-FFF2-40B4-BE49-F238E27FC236}">
              <a16:creationId xmlns:a16="http://schemas.microsoft.com/office/drawing/2014/main" id="{00000000-0008-0000-0300-000072000000}"/>
            </a:ext>
          </a:extLst>
        </xdr:cNvPr>
        <xdr:cNvSpPr>
          <a:spLocks noChangeArrowheads="1"/>
        </xdr:cNvSpPr>
      </xdr:nvSpPr>
      <xdr:spPr bwMode="auto">
        <a:xfrm>
          <a:off x="1514475" y="8372475"/>
          <a:ext cx="1333500"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49</xdr:row>
      <xdr:rowOff>19050</xdr:rowOff>
    </xdr:from>
    <xdr:to>
      <xdr:col>5</xdr:col>
      <xdr:colOff>447675</xdr:colOff>
      <xdr:row>50</xdr:row>
      <xdr:rowOff>28575</xdr:rowOff>
    </xdr:to>
    <xdr:sp macro="" textlink="">
      <xdr:nvSpPr>
        <xdr:cNvPr id="115" name="Line 164">
          <a:extLst>
            <a:ext uri="{FF2B5EF4-FFF2-40B4-BE49-F238E27FC236}">
              <a16:creationId xmlns:a16="http://schemas.microsoft.com/office/drawing/2014/main" id="{00000000-0008-0000-0300-000073000000}"/>
            </a:ext>
          </a:extLst>
        </xdr:cNvPr>
        <xdr:cNvSpPr>
          <a:spLocks noChangeShapeType="1"/>
        </xdr:cNvSpPr>
      </xdr:nvSpPr>
      <xdr:spPr bwMode="auto">
        <a:xfrm>
          <a:off x="3095625" y="915352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50</xdr:row>
      <xdr:rowOff>0</xdr:rowOff>
    </xdr:from>
    <xdr:to>
      <xdr:col>5</xdr:col>
      <xdr:colOff>571500</xdr:colOff>
      <xdr:row>50</xdr:row>
      <xdr:rowOff>0</xdr:rowOff>
    </xdr:to>
    <xdr:sp macro="" textlink="">
      <xdr:nvSpPr>
        <xdr:cNvPr id="116" name="Line 165">
          <a:extLst>
            <a:ext uri="{FF2B5EF4-FFF2-40B4-BE49-F238E27FC236}">
              <a16:creationId xmlns:a16="http://schemas.microsoft.com/office/drawing/2014/main" id="{00000000-0008-0000-0300-000074000000}"/>
            </a:ext>
          </a:extLst>
        </xdr:cNvPr>
        <xdr:cNvSpPr>
          <a:spLocks noChangeShapeType="1"/>
        </xdr:cNvSpPr>
      </xdr:nvSpPr>
      <xdr:spPr bwMode="auto">
        <a:xfrm flipH="1">
          <a:off x="1619250" y="9324975"/>
          <a:ext cx="1600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49</xdr:row>
      <xdr:rowOff>85725</xdr:rowOff>
    </xdr:from>
    <xdr:to>
      <xdr:col>3</xdr:col>
      <xdr:colOff>95250</xdr:colOff>
      <xdr:row>50</xdr:row>
      <xdr:rowOff>28575</xdr:rowOff>
    </xdr:to>
    <xdr:sp macro="" textlink="">
      <xdr:nvSpPr>
        <xdr:cNvPr id="117" name="Line 166">
          <a:extLst>
            <a:ext uri="{FF2B5EF4-FFF2-40B4-BE49-F238E27FC236}">
              <a16:creationId xmlns:a16="http://schemas.microsoft.com/office/drawing/2014/main" id="{00000000-0008-0000-0300-000075000000}"/>
            </a:ext>
          </a:extLst>
        </xdr:cNvPr>
        <xdr:cNvSpPr>
          <a:spLocks noChangeShapeType="1"/>
        </xdr:cNvSpPr>
      </xdr:nvSpPr>
      <xdr:spPr bwMode="auto">
        <a:xfrm>
          <a:off x="2095500" y="922020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49</xdr:row>
      <xdr:rowOff>152400</xdr:rowOff>
    </xdr:from>
    <xdr:to>
      <xdr:col>3</xdr:col>
      <xdr:colOff>123825</xdr:colOff>
      <xdr:row>50</xdr:row>
      <xdr:rowOff>28575</xdr:rowOff>
    </xdr:to>
    <xdr:sp macro="" textlink="">
      <xdr:nvSpPr>
        <xdr:cNvPr id="118" name="Line 167">
          <a:extLst>
            <a:ext uri="{FF2B5EF4-FFF2-40B4-BE49-F238E27FC236}">
              <a16:creationId xmlns:a16="http://schemas.microsoft.com/office/drawing/2014/main" id="{00000000-0008-0000-0300-000076000000}"/>
            </a:ext>
          </a:extLst>
        </xdr:cNvPr>
        <xdr:cNvSpPr>
          <a:spLocks noChangeShapeType="1"/>
        </xdr:cNvSpPr>
      </xdr:nvSpPr>
      <xdr:spPr bwMode="auto">
        <a:xfrm flipH="1">
          <a:off x="2057400" y="9286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49</xdr:row>
      <xdr:rowOff>161925</xdr:rowOff>
    </xdr:from>
    <xdr:to>
      <xdr:col>5</xdr:col>
      <xdr:colOff>485775</xdr:colOff>
      <xdr:row>50</xdr:row>
      <xdr:rowOff>57150</xdr:rowOff>
    </xdr:to>
    <xdr:sp macro="" textlink="">
      <xdr:nvSpPr>
        <xdr:cNvPr id="119" name="Line 168">
          <a:extLst>
            <a:ext uri="{FF2B5EF4-FFF2-40B4-BE49-F238E27FC236}">
              <a16:creationId xmlns:a16="http://schemas.microsoft.com/office/drawing/2014/main" id="{00000000-0008-0000-0300-000077000000}"/>
            </a:ext>
          </a:extLst>
        </xdr:cNvPr>
        <xdr:cNvSpPr>
          <a:spLocks noChangeShapeType="1"/>
        </xdr:cNvSpPr>
      </xdr:nvSpPr>
      <xdr:spPr bwMode="auto">
        <a:xfrm flipH="1">
          <a:off x="3048000" y="92964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48</xdr:row>
      <xdr:rowOff>28575</xdr:rowOff>
    </xdr:from>
    <xdr:to>
      <xdr:col>2</xdr:col>
      <xdr:colOff>266700</xdr:colOff>
      <xdr:row>50</xdr:row>
      <xdr:rowOff>57150</xdr:rowOff>
    </xdr:to>
    <xdr:sp macro="" textlink="">
      <xdr:nvSpPr>
        <xdr:cNvPr id="120" name="Line 169">
          <a:extLst>
            <a:ext uri="{FF2B5EF4-FFF2-40B4-BE49-F238E27FC236}">
              <a16:creationId xmlns:a16="http://schemas.microsoft.com/office/drawing/2014/main" id="{00000000-0008-0000-0300-000078000000}"/>
            </a:ext>
          </a:extLst>
        </xdr:cNvPr>
        <xdr:cNvSpPr>
          <a:spLocks noChangeShapeType="1"/>
        </xdr:cNvSpPr>
      </xdr:nvSpPr>
      <xdr:spPr bwMode="auto">
        <a:xfrm>
          <a:off x="1685925" y="897255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49</xdr:row>
      <xdr:rowOff>152400</xdr:rowOff>
    </xdr:from>
    <xdr:to>
      <xdr:col>2</xdr:col>
      <xdr:colOff>304800</xdr:colOff>
      <xdr:row>50</xdr:row>
      <xdr:rowOff>38100</xdr:rowOff>
    </xdr:to>
    <xdr:sp macro="" textlink="">
      <xdr:nvSpPr>
        <xdr:cNvPr id="121" name="Line 170">
          <a:extLst>
            <a:ext uri="{FF2B5EF4-FFF2-40B4-BE49-F238E27FC236}">
              <a16:creationId xmlns:a16="http://schemas.microsoft.com/office/drawing/2014/main" id="{00000000-0008-0000-0300-000079000000}"/>
            </a:ext>
          </a:extLst>
        </xdr:cNvPr>
        <xdr:cNvSpPr>
          <a:spLocks noChangeShapeType="1"/>
        </xdr:cNvSpPr>
      </xdr:nvSpPr>
      <xdr:spPr bwMode="auto">
        <a:xfrm flipH="1">
          <a:off x="1647825" y="9286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51</xdr:row>
      <xdr:rowOff>171450</xdr:rowOff>
    </xdr:from>
    <xdr:to>
      <xdr:col>3</xdr:col>
      <xdr:colOff>247650</xdr:colOff>
      <xdr:row>54</xdr:row>
      <xdr:rowOff>19050</xdr:rowOff>
    </xdr:to>
    <xdr:sp macro="" textlink="">
      <xdr:nvSpPr>
        <xdr:cNvPr id="122" name="Tegning 311">
          <a:extLst>
            <a:ext uri="{FF2B5EF4-FFF2-40B4-BE49-F238E27FC236}">
              <a16:creationId xmlns:a16="http://schemas.microsoft.com/office/drawing/2014/main" id="{00000000-0008-0000-0300-00007A000000}"/>
            </a:ext>
          </a:extLst>
        </xdr:cNvPr>
        <xdr:cNvSpPr>
          <a:spLocks/>
        </xdr:cNvSpPr>
      </xdr:nvSpPr>
      <xdr:spPr bwMode="auto">
        <a:xfrm flipV="1">
          <a:off x="1952625" y="9686925"/>
          <a:ext cx="295275" cy="4191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52</xdr:row>
      <xdr:rowOff>171450</xdr:rowOff>
    </xdr:from>
    <xdr:to>
      <xdr:col>5</xdr:col>
      <xdr:colOff>561975</xdr:colOff>
      <xdr:row>54</xdr:row>
      <xdr:rowOff>95250</xdr:rowOff>
    </xdr:to>
    <xdr:sp macro="" textlink="">
      <xdr:nvSpPr>
        <xdr:cNvPr id="123" name="Tegning 316">
          <a:extLst>
            <a:ext uri="{FF2B5EF4-FFF2-40B4-BE49-F238E27FC236}">
              <a16:creationId xmlns:a16="http://schemas.microsoft.com/office/drawing/2014/main" id="{00000000-0008-0000-0300-00007B000000}"/>
            </a:ext>
          </a:extLst>
        </xdr:cNvPr>
        <xdr:cNvSpPr>
          <a:spLocks/>
        </xdr:cNvSpPr>
      </xdr:nvSpPr>
      <xdr:spPr bwMode="auto">
        <a:xfrm>
          <a:off x="2971800" y="9877425"/>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51</xdr:row>
      <xdr:rowOff>28575</xdr:rowOff>
    </xdr:from>
    <xdr:to>
      <xdr:col>5</xdr:col>
      <xdr:colOff>600075</xdr:colOff>
      <xdr:row>53</xdr:row>
      <xdr:rowOff>161925</xdr:rowOff>
    </xdr:to>
    <xdr:sp macro="" textlink="">
      <xdr:nvSpPr>
        <xdr:cNvPr id="124" name="Freeform 173">
          <a:extLst>
            <a:ext uri="{FF2B5EF4-FFF2-40B4-BE49-F238E27FC236}">
              <a16:creationId xmlns:a16="http://schemas.microsoft.com/office/drawing/2014/main" id="{00000000-0008-0000-0300-00007C000000}"/>
            </a:ext>
          </a:extLst>
        </xdr:cNvPr>
        <xdr:cNvSpPr>
          <a:spLocks/>
        </xdr:cNvSpPr>
      </xdr:nvSpPr>
      <xdr:spPr bwMode="auto">
        <a:xfrm>
          <a:off x="1962150" y="9544050"/>
          <a:ext cx="1285875" cy="514350"/>
        </a:xfrm>
        <a:custGeom>
          <a:avLst/>
          <a:gdLst>
            <a:gd name="T0" fmla="*/ 0 w 135"/>
            <a:gd name="T1" fmla="*/ 0 h 54"/>
            <a:gd name="T2" fmla="*/ 0 w 135"/>
            <a:gd name="T3" fmla="*/ 2147483646 h 54"/>
            <a:gd name="T4" fmla="*/ 2147483646 w 135"/>
            <a:gd name="T5" fmla="*/ 2147483646 h 54"/>
            <a:gd name="T6" fmla="*/ 2147483646 w 135"/>
            <a:gd name="T7" fmla="*/ 2147483646 h 54"/>
            <a:gd name="T8" fmla="*/ 2147483646 w 135"/>
            <a:gd name="T9" fmla="*/ 2147483646 h 54"/>
            <a:gd name="T10" fmla="*/ 2147483646 w 135"/>
            <a:gd name="T11" fmla="*/ 2147483646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51</xdr:row>
      <xdr:rowOff>19050</xdr:rowOff>
    </xdr:from>
    <xdr:to>
      <xdr:col>5</xdr:col>
      <xdr:colOff>228600</xdr:colOff>
      <xdr:row>52</xdr:row>
      <xdr:rowOff>152400</xdr:rowOff>
    </xdr:to>
    <xdr:sp macro="" textlink="">
      <xdr:nvSpPr>
        <xdr:cNvPr id="125" name="Tegning 316">
          <a:extLst>
            <a:ext uri="{FF2B5EF4-FFF2-40B4-BE49-F238E27FC236}">
              <a16:creationId xmlns:a16="http://schemas.microsoft.com/office/drawing/2014/main" id="{00000000-0008-0000-0300-00007D000000}"/>
            </a:ext>
          </a:extLst>
        </xdr:cNvPr>
        <xdr:cNvSpPr>
          <a:spLocks/>
        </xdr:cNvSpPr>
      </xdr:nvSpPr>
      <xdr:spPr bwMode="auto">
        <a:xfrm flipV="1">
          <a:off x="2638425" y="9534525"/>
          <a:ext cx="238125" cy="32385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55</xdr:row>
      <xdr:rowOff>0</xdr:rowOff>
    </xdr:from>
    <xdr:to>
      <xdr:col>5</xdr:col>
      <xdr:colOff>571500</xdr:colOff>
      <xdr:row>55</xdr:row>
      <xdr:rowOff>0</xdr:rowOff>
    </xdr:to>
    <xdr:sp macro="" textlink="">
      <xdr:nvSpPr>
        <xdr:cNvPr id="126" name="Line 175">
          <a:extLst>
            <a:ext uri="{FF2B5EF4-FFF2-40B4-BE49-F238E27FC236}">
              <a16:creationId xmlns:a16="http://schemas.microsoft.com/office/drawing/2014/main" id="{00000000-0008-0000-0300-00007E000000}"/>
            </a:ext>
          </a:extLst>
        </xdr:cNvPr>
        <xdr:cNvSpPr>
          <a:spLocks noChangeShapeType="1"/>
        </xdr:cNvSpPr>
      </xdr:nvSpPr>
      <xdr:spPr bwMode="auto">
        <a:xfrm>
          <a:off x="2085975" y="10277475"/>
          <a:ext cx="1133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54</xdr:row>
      <xdr:rowOff>47625</xdr:rowOff>
    </xdr:from>
    <xdr:to>
      <xdr:col>3</xdr:col>
      <xdr:colOff>95250</xdr:colOff>
      <xdr:row>55</xdr:row>
      <xdr:rowOff>57150</xdr:rowOff>
    </xdr:to>
    <xdr:sp macro="" textlink="">
      <xdr:nvSpPr>
        <xdr:cNvPr id="127" name="Line 176">
          <a:extLst>
            <a:ext uri="{FF2B5EF4-FFF2-40B4-BE49-F238E27FC236}">
              <a16:creationId xmlns:a16="http://schemas.microsoft.com/office/drawing/2014/main" id="{00000000-0008-0000-0300-00007F000000}"/>
            </a:ext>
          </a:extLst>
        </xdr:cNvPr>
        <xdr:cNvSpPr>
          <a:spLocks noChangeShapeType="1"/>
        </xdr:cNvSpPr>
      </xdr:nvSpPr>
      <xdr:spPr bwMode="auto">
        <a:xfrm>
          <a:off x="2095500" y="1013460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53</xdr:row>
      <xdr:rowOff>28575</xdr:rowOff>
    </xdr:from>
    <xdr:to>
      <xdr:col>5</xdr:col>
      <xdr:colOff>114300</xdr:colOff>
      <xdr:row>55</xdr:row>
      <xdr:rowOff>57150</xdr:rowOff>
    </xdr:to>
    <xdr:sp macro="" textlink="">
      <xdr:nvSpPr>
        <xdr:cNvPr id="128" name="Line 177">
          <a:extLst>
            <a:ext uri="{FF2B5EF4-FFF2-40B4-BE49-F238E27FC236}">
              <a16:creationId xmlns:a16="http://schemas.microsoft.com/office/drawing/2014/main" id="{00000000-0008-0000-0300-000080000000}"/>
            </a:ext>
          </a:extLst>
        </xdr:cNvPr>
        <xdr:cNvSpPr>
          <a:spLocks noChangeShapeType="1"/>
        </xdr:cNvSpPr>
      </xdr:nvSpPr>
      <xdr:spPr bwMode="auto">
        <a:xfrm>
          <a:off x="2762250" y="992505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54</xdr:row>
      <xdr:rowOff>133350</xdr:rowOff>
    </xdr:from>
    <xdr:to>
      <xdr:col>5</xdr:col>
      <xdr:colOff>447675</xdr:colOff>
      <xdr:row>55</xdr:row>
      <xdr:rowOff>57150</xdr:rowOff>
    </xdr:to>
    <xdr:sp macro="" textlink="">
      <xdr:nvSpPr>
        <xdr:cNvPr id="129" name="Line 178">
          <a:extLst>
            <a:ext uri="{FF2B5EF4-FFF2-40B4-BE49-F238E27FC236}">
              <a16:creationId xmlns:a16="http://schemas.microsoft.com/office/drawing/2014/main" id="{00000000-0008-0000-0300-000081000000}"/>
            </a:ext>
          </a:extLst>
        </xdr:cNvPr>
        <xdr:cNvSpPr>
          <a:spLocks noChangeShapeType="1"/>
        </xdr:cNvSpPr>
      </xdr:nvSpPr>
      <xdr:spPr bwMode="auto">
        <a:xfrm>
          <a:off x="3095625" y="10220325"/>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43</xdr:row>
      <xdr:rowOff>76200</xdr:rowOff>
    </xdr:from>
    <xdr:to>
      <xdr:col>5</xdr:col>
      <xdr:colOff>428625</xdr:colOff>
      <xdr:row>45</xdr:row>
      <xdr:rowOff>85725</xdr:rowOff>
    </xdr:to>
    <xdr:sp macro="" textlink="">
      <xdr:nvSpPr>
        <xdr:cNvPr id="130" name="Line 179">
          <a:extLst>
            <a:ext uri="{FF2B5EF4-FFF2-40B4-BE49-F238E27FC236}">
              <a16:creationId xmlns:a16="http://schemas.microsoft.com/office/drawing/2014/main" id="{00000000-0008-0000-0300-000082000000}"/>
            </a:ext>
          </a:extLst>
        </xdr:cNvPr>
        <xdr:cNvSpPr>
          <a:spLocks noChangeShapeType="1"/>
        </xdr:cNvSpPr>
      </xdr:nvSpPr>
      <xdr:spPr bwMode="auto">
        <a:xfrm flipV="1">
          <a:off x="3076575" y="80676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43</xdr:row>
      <xdr:rowOff>114300</xdr:rowOff>
    </xdr:from>
    <xdr:to>
      <xdr:col>6</xdr:col>
      <xdr:colOff>9525</xdr:colOff>
      <xdr:row>43</xdr:row>
      <xdr:rowOff>114300</xdr:rowOff>
    </xdr:to>
    <xdr:sp macro="" textlink="">
      <xdr:nvSpPr>
        <xdr:cNvPr id="131" name="Line 180">
          <a:extLst>
            <a:ext uri="{FF2B5EF4-FFF2-40B4-BE49-F238E27FC236}">
              <a16:creationId xmlns:a16="http://schemas.microsoft.com/office/drawing/2014/main" id="{00000000-0008-0000-0300-000083000000}"/>
            </a:ext>
          </a:extLst>
        </xdr:cNvPr>
        <xdr:cNvSpPr>
          <a:spLocks noChangeShapeType="1"/>
        </xdr:cNvSpPr>
      </xdr:nvSpPr>
      <xdr:spPr bwMode="auto">
        <a:xfrm>
          <a:off x="3038475" y="810577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43</xdr:row>
      <xdr:rowOff>57150</xdr:rowOff>
    </xdr:from>
    <xdr:to>
      <xdr:col>5</xdr:col>
      <xdr:colOff>647700</xdr:colOff>
      <xdr:row>43</xdr:row>
      <xdr:rowOff>133350</xdr:rowOff>
    </xdr:to>
    <xdr:sp macro="" textlink="">
      <xdr:nvSpPr>
        <xdr:cNvPr id="132" name="Line 181">
          <a:extLst>
            <a:ext uri="{FF2B5EF4-FFF2-40B4-BE49-F238E27FC236}">
              <a16:creationId xmlns:a16="http://schemas.microsoft.com/office/drawing/2014/main" id="{00000000-0008-0000-0300-000084000000}"/>
            </a:ext>
          </a:extLst>
        </xdr:cNvPr>
        <xdr:cNvSpPr>
          <a:spLocks noChangeShapeType="1"/>
        </xdr:cNvSpPr>
      </xdr:nvSpPr>
      <xdr:spPr bwMode="auto">
        <a:xfrm flipV="1">
          <a:off x="3200400" y="80486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43</xdr:row>
      <xdr:rowOff>85725</xdr:rowOff>
    </xdr:from>
    <xdr:to>
      <xdr:col>5</xdr:col>
      <xdr:colOff>457200</xdr:colOff>
      <xdr:row>43</xdr:row>
      <xdr:rowOff>152400</xdr:rowOff>
    </xdr:to>
    <xdr:sp macro="" textlink="">
      <xdr:nvSpPr>
        <xdr:cNvPr id="133" name="Line 182">
          <a:extLst>
            <a:ext uri="{FF2B5EF4-FFF2-40B4-BE49-F238E27FC236}">
              <a16:creationId xmlns:a16="http://schemas.microsoft.com/office/drawing/2014/main" id="{00000000-0008-0000-0300-000085000000}"/>
            </a:ext>
          </a:extLst>
        </xdr:cNvPr>
        <xdr:cNvSpPr>
          <a:spLocks noChangeShapeType="1"/>
        </xdr:cNvSpPr>
      </xdr:nvSpPr>
      <xdr:spPr bwMode="auto">
        <a:xfrm flipH="1">
          <a:off x="3028950" y="80772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43</xdr:row>
      <xdr:rowOff>76200</xdr:rowOff>
    </xdr:from>
    <xdr:to>
      <xdr:col>5</xdr:col>
      <xdr:colOff>590550</xdr:colOff>
      <xdr:row>44</xdr:row>
      <xdr:rowOff>152400</xdr:rowOff>
    </xdr:to>
    <xdr:sp macro="" textlink="">
      <xdr:nvSpPr>
        <xdr:cNvPr id="134" name="Line 183">
          <a:extLst>
            <a:ext uri="{FF2B5EF4-FFF2-40B4-BE49-F238E27FC236}">
              <a16:creationId xmlns:a16="http://schemas.microsoft.com/office/drawing/2014/main" id="{00000000-0008-0000-0300-000086000000}"/>
            </a:ext>
          </a:extLst>
        </xdr:cNvPr>
        <xdr:cNvSpPr>
          <a:spLocks noChangeShapeType="1"/>
        </xdr:cNvSpPr>
      </xdr:nvSpPr>
      <xdr:spPr bwMode="auto">
        <a:xfrm flipV="1">
          <a:off x="3238500" y="80676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54</xdr:row>
      <xdr:rowOff>152400</xdr:rowOff>
    </xdr:from>
    <xdr:to>
      <xdr:col>3</xdr:col>
      <xdr:colOff>123825</xdr:colOff>
      <xdr:row>55</xdr:row>
      <xdr:rowOff>38100</xdr:rowOff>
    </xdr:to>
    <xdr:sp macro="" textlink="">
      <xdr:nvSpPr>
        <xdr:cNvPr id="135" name="Line 184">
          <a:extLst>
            <a:ext uri="{FF2B5EF4-FFF2-40B4-BE49-F238E27FC236}">
              <a16:creationId xmlns:a16="http://schemas.microsoft.com/office/drawing/2014/main" id="{00000000-0008-0000-0300-000087000000}"/>
            </a:ext>
          </a:extLst>
        </xdr:cNvPr>
        <xdr:cNvSpPr>
          <a:spLocks noChangeShapeType="1"/>
        </xdr:cNvSpPr>
      </xdr:nvSpPr>
      <xdr:spPr bwMode="auto">
        <a:xfrm flipH="1">
          <a:off x="2047875" y="102393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54</xdr:row>
      <xdr:rowOff>142875</xdr:rowOff>
    </xdr:from>
    <xdr:to>
      <xdr:col>5</xdr:col>
      <xdr:colOff>152400</xdr:colOff>
      <xdr:row>55</xdr:row>
      <xdr:rowOff>47625</xdr:rowOff>
    </xdr:to>
    <xdr:sp macro="" textlink="">
      <xdr:nvSpPr>
        <xdr:cNvPr id="136" name="Line 185">
          <a:extLst>
            <a:ext uri="{FF2B5EF4-FFF2-40B4-BE49-F238E27FC236}">
              <a16:creationId xmlns:a16="http://schemas.microsoft.com/office/drawing/2014/main" id="{00000000-0008-0000-0300-000088000000}"/>
            </a:ext>
          </a:extLst>
        </xdr:cNvPr>
        <xdr:cNvSpPr>
          <a:spLocks noChangeShapeType="1"/>
        </xdr:cNvSpPr>
      </xdr:nvSpPr>
      <xdr:spPr bwMode="auto">
        <a:xfrm flipH="1">
          <a:off x="2705100" y="102298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54</xdr:row>
      <xdr:rowOff>152400</xdr:rowOff>
    </xdr:from>
    <xdr:to>
      <xdr:col>5</xdr:col>
      <xdr:colOff>476250</xdr:colOff>
      <xdr:row>55</xdr:row>
      <xdr:rowOff>38100</xdr:rowOff>
    </xdr:to>
    <xdr:sp macro="" textlink="">
      <xdr:nvSpPr>
        <xdr:cNvPr id="137" name="Line 186">
          <a:extLst>
            <a:ext uri="{FF2B5EF4-FFF2-40B4-BE49-F238E27FC236}">
              <a16:creationId xmlns:a16="http://schemas.microsoft.com/office/drawing/2014/main" id="{00000000-0008-0000-0300-000089000000}"/>
            </a:ext>
          </a:extLst>
        </xdr:cNvPr>
        <xdr:cNvSpPr>
          <a:spLocks noChangeShapeType="1"/>
        </xdr:cNvSpPr>
      </xdr:nvSpPr>
      <xdr:spPr bwMode="auto">
        <a:xfrm flipH="1">
          <a:off x="3048000" y="102393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44</xdr:row>
      <xdr:rowOff>123825</xdr:rowOff>
    </xdr:from>
    <xdr:to>
      <xdr:col>6</xdr:col>
      <xdr:colOff>361950</xdr:colOff>
      <xdr:row>46</xdr:row>
      <xdr:rowOff>28575</xdr:rowOff>
    </xdr:to>
    <xdr:sp macro="" textlink="">
      <xdr:nvSpPr>
        <xdr:cNvPr id="138" name="Freeform 187">
          <a:extLst>
            <a:ext uri="{FF2B5EF4-FFF2-40B4-BE49-F238E27FC236}">
              <a16:creationId xmlns:a16="http://schemas.microsoft.com/office/drawing/2014/main" id="{00000000-0008-0000-0300-00008A000000}"/>
            </a:ext>
          </a:extLst>
        </xdr:cNvPr>
        <xdr:cNvSpPr>
          <a:spLocks/>
        </xdr:cNvSpPr>
      </xdr:nvSpPr>
      <xdr:spPr bwMode="auto">
        <a:xfrm>
          <a:off x="3076575" y="8305800"/>
          <a:ext cx="685800" cy="2857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13</xdr:col>
          <xdr:colOff>57150</xdr:colOff>
          <xdr:row>8</xdr:row>
          <xdr:rowOff>95250</xdr:rowOff>
        </xdr:from>
        <xdr:to>
          <xdr:col>14</xdr:col>
          <xdr:colOff>295275</xdr:colOff>
          <xdr:row>11</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4</xdr:row>
          <xdr:rowOff>76200</xdr:rowOff>
        </xdr:from>
        <xdr:to>
          <xdr:col>14</xdr:col>
          <xdr:colOff>228600</xdr:colOff>
          <xdr:row>6</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fPrintsWithSheet="0"/>
      </xdr:twoCellAnchor>
    </mc:Choice>
    <mc:Fallback/>
  </mc:AlternateContent>
  <xdr:twoCellAnchor>
    <xdr:from>
      <xdr:col>5</xdr:col>
      <xdr:colOff>381000</xdr:colOff>
      <xdr:row>40</xdr:row>
      <xdr:rowOff>133350</xdr:rowOff>
    </xdr:from>
    <xdr:to>
      <xdr:col>5</xdr:col>
      <xdr:colOff>714375</xdr:colOff>
      <xdr:row>40</xdr:row>
      <xdr:rowOff>133350</xdr:rowOff>
    </xdr:to>
    <xdr:sp macro="" textlink="">
      <xdr:nvSpPr>
        <xdr:cNvPr id="141" name="Line 194">
          <a:extLst>
            <a:ext uri="{FF2B5EF4-FFF2-40B4-BE49-F238E27FC236}">
              <a16:creationId xmlns:a16="http://schemas.microsoft.com/office/drawing/2014/main" id="{00000000-0008-0000-0300-00008D000000}"/>
            </a:ext>
          </a:extLst>
        </xdr:cNvPr>
        <xdr:cNvSpPr>
          <a:spLocks noChangeShapeType="1"/>
        </xdr:cNvSpPr>
      </xdr:nvSpPr>
      <xdr:spPr bwMode="auto">
        <a:xfrm flipH="1">
          <a:off x="3028950" y="755332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85725</xdr:colOff>
          <xdr:row>6</xdr:row>
          <xdr:rowOff>123825</xdr:rowOff>
        </xdr:from>
        <xdr:to>
          <xdr:col>14</xdr:col>
          <xdr:colOff>238125</xdr:colOff>
          <xdr:row>8</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a:t>
              </a:r>
            </a:p>
          </xdr:txBody>
        </xdr:sp>
        <xdr:clientData fLocksWithSheet="0" fPrintsWithSheet="0"/>
      </xdr:twoCellAnchor>
    </mc:Choice>
    <mc:Fallback/>
  </mc:AlternateContent>
  <xdr:twoCellAnchor>
    <xdr:from>
      <xdr:col>3</xdr:col>
      <xdr:colOff>76639</xdr:colOff>
      <xdr:row>44</xdr:row>
      <xdr:rowOff>131380</xdr:rowOff>
    </xdr:from>
    <xdr:to>
      <xdr:col>3</xdr:col>
      <xdr:colOff>113972</xdr:colOff>
      <xdr:row>44</xdr:row>
      <xdr:rowOff>166524</xdr:rowOff>
    </xdr:to>
    <xdr:sp macro="" textlink="">
      <xdr:nvSpPr>
        <xdr:cNvPr id="3" name="Oval 36">
          <a:extLst>
            <a:ext uri="{FF2B5EF4-FFF2-40B4-BE49-F238E27FC236}">
              <a16:creationId xmlns:a16="http://schemas.microsoft.com/office/drawing/2014/main" id="{00000000-0008-0000-0300-000003000000}"/>
            </a:ext>
          </a:extLst>
        </xdr:cNvPr>
        <xdr:cNvSpPr>
          <a:spLocks noChangeArrowheads="1"/>
        </xdr:cNvSpPr>
      </xdr:nvSpPr>
      <xdr:spPr bwMode="auto">
        <a:xfrm>
          <a:off x="2080173" y="8123621"/>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404211</xdr:colOff>
      <xdr:row>45</xdr:row>
      <xdr:rowOff>174297</xdr:rowOff>
    </xdr:from>
    <xdr:to>
      <xdr:col>5</xdr:col>
      <xdr:colOff>441544</xdr:colOff>
      <xdr:row>46</xdr:row>
      <xdr:rowOff>23320</xdr:rowOff>
    </xdr:to>
    <xdr:sp macro="" textlink="">
      <xdr:nvSpPr>
        <xdr:cNvPr id="11264" name="Oval 36">
          <a:extLst>
            <a:ext uri="{FF2B5EF4-FFF2-40B4-BE49-F238E27FC236}">
              <a16:creationId xmlns:a16="http://schemas.microsoft.com/office/drawing/2014/main" id="{00000000-0008-0000-0300-0000002C0000}"/>
            </a:ext>
          </a:extLst>
        </xdr:cNvPr>
        <xdr:cNvSpPr>
          <a:spLocks noChangeArrowheads="1"/>
        </xdr:cNvSpPr>
      </xdr:nvSpPr>
      <xdr:spPr bwMode="auto">
        <a:xfrm>
          <a:off x="3064642" y="8352659"/>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11</xdr:col>
      <xdr:colOff>219075</xdr:colOff>
      <xdr:row>0</xdr:row>
      <xdr:rowOff>0</xdr:rowOff>
    </xdr:from>
    <xdr:to>
      <xdr:col>11</xdr:col>
      <xdr:colOff>219075</xdr:colOff>
      <xdr:row>6</xdr:row>
      <xdr:rowOff>0</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6781800" y="0"/>
          <a:ext cx="0" cy="942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257175</xdr:colOff>
          <xdr:row>1</xdr:row>
          <xdr:rowOff>85725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xdr:twoCellAnchor editAs="oneCell">
    <xdr:from>
      <xdr:col>0</xdr:col>
      <xdr:colOff>466725</xdr:colOff>
      <xdr:row>0</xdr:row>
      <xdr:rowOff>104775</xdr:rowOff>
    </xdr:from>
    <xdr:to>
      <xdr:col>0</xdr:col>
      <xdr:colOff>1076325</xdr:colOff>
      <xdr:row>3</xdr:row>
      <xdr:rowOff>104775</xdr:rowOff>
    </xdr:to>
    <xdr:pic>
      <xdr:nvPicPr>
        <xdr:cNvPr id="4" name="Picture 197" descr="CRH_office_pantone">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257175</xdr:colOff>
          <xdr:row>1</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5</xdr:col>
      <xdr:colOff>742950</xdr:colOff>
      <xdr:row>19</xdr:row>
      <xdr:rowOff>85725</xdr:rowOff>
    </xdr:from>
    <xdr:to>
      <xdr:col>7</xdr:col>
      <xdr:colOff>276225</xdr:colOff>
      <xdr:row>23</xdr:row>
      <xdr:rowOff>28575</xdr:rowOff>
    </xdr:to>
    <xdr:sp macro="" textlink="">
      <xdr:nvSpPr>
        <xdr:cNvPr id="6" name="Line 12">
          <a:extLst>
            <a:ext uri="{FF2B5EF4-FFF2-40B4-BE49-F238E27FC236}">
              <a16:creationId xmlns:a16="http://schemas.microsoft.com/office/drawing/2014/main" id="{00000000-0008-0000-0400-000006000000}"/>
            </a:ext>
          </a:extLst>
        </xdr:cNvPr>
        <xdr:cNvSpPr>
          <a:spLocks noChangeShapeType="1"/>
        </xdr:cNvSpPr>
      </xdr:nvSpPr>
      <xdr:spPr bwMode="auto">
        <a:xfrm flipV="1">
          <a:off x="3390900" y="3514725"/>
          <a:ext cx="1638300" cy="723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104775</xdr:colOff>
      <xdr:row>20</xdr:row>
      <xdr:rowOff>104775</xdr:rowOff>
    </xdr:from>
    <xdr:to>
      <xdr:col>9</xdr:col>
      <xdr:colOff>533400</xdr:colOff>
      <xdr:row>27</xdr:row>
      <xdr:rowOff>104775</xdr:rowOff>
    </xdr:to>
    <xdr:sp macro="" textlink="">
      <xdr:nvSpPr>
        <xdr:cNvPr id="7" name="Line 13">
          <a:extLst>
            <a:ext uri="{FF2B5EF4-FFF2-40B4-BE49-F238E27FC236}">
              <a16:creationId xmlns:a16="http://schemas.microsoft.com/office/drawing/2014/main" id="{00000000-0008-0000-0400-000007000000}"/>
            </a:ext>
          </a:extLst>
        </xdr:cNvPr>
        <xdr:cNvSpPr>
          <a:spLocks noChangeShapeType="1"/>
        </xdr:cNvSpPr>
      </xdr:nvSpPr>
      <xdr:spPr bwMode="auto">
        <a:xfrm flipH="1" flipV="1">
          <a:off x="5524500" y="3733800"/>
          <a:ext cx="66675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18</xdr:row>
      <xdr:rowOff>104775</xdr:rowOff>
    </xdr:from>
    <xdr:to>
      <xdr:col>9</xdr:col>
      <xdr:colOff>523875</xdr:colOff>
      <xdr:row>27</xdr:row>
      <xdr:rowOff>95250</xdr:rowOff>
    </xdr:to>
    <xdr:sp macro="" textlink="">
      <xdr:nvSpPr>
        <xdr:cNvPr id="8" name="Line 14">
          <a:extLst>
            <a:ext uri="{FF2B5EF4-FFF2-40B4-BE49-F238E27FC236}">
              <a16:creationId xmlns:a16="http://schemas.microsoft.com/office/drawing/2014/main" id="{00000000-0008-0000-0400-000008000000}"/>
            </a:ext>
          </a:extLst>
        </xdr:cNvPr>
        <xdr:cNvSpPr>
          <a:spLocks noChangeShapeType="1"/>
        </xdr:cNvSpPr>
      </xdr:nvSpPr>
      <xdr:spPr bwMode="auto">
        <a:xfrm flipH="1" flipV="1">
          <a:off x="5553075" y="3333750"/>
          <a:ext cx="628650" cy="1733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1247775</xdr:colOff>
      <xdr:row>19</xdr:row>
      <xdr:rowOff>104775</xdr:rowOff>
    </xdr:from>
    <xdr:to>
      <xdr:col>8</xdr:col>
      <xdr:colOff>114300</xdr:colOff>
      <xdr:row>26</xdr:row>
      <xdr:rowOff>85725</xdr:rowOff>
    </xdr:to>
    <xdr:sp macro="" textlink="">
      <xdr:nvSpPr>
        <xdr:cNvPr id="9" name="Line 15">
          <a:extLst>
            <a:ext uri="{FF2B5EF4-FFF2-40B4-BE49-F238E27FC236}">
              <a16:creationId xmlns:a16="http://schemas.microsoft.com/office/drawing/2014/main" id="{00000000-0008-0000-0400-000009000000}"/>
            </a:ext>
          </a:extLst>
        </xdr:cNvPr>
        <xdr:cNvSpPr>
          <a:spLocks noChangeShapeType="1"/>
        </xdr:cNvSpPr>
      </xdr:nvSpPr>
      <xdr:spPr bwMode="auto">
        <a:xfrm flipV="1">
          <a:off x="4648200" y="3533775"/>
          <a:ext cx="885825" cy="1333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190500</xdr:colOff>
          <xdr:row>14</xdr:row>
          <xdr:rowOff>28575</xdr:rowOff>
        </xdr:from>
        <xdr:to>
          <xdr:col>0</xdr:col>
          <xdr:colOff>1162050</xdr:colOff>
          <xdr:row>17</xdr:row>
          <xdr:rowOff>47625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xdr:twoCellAnchor>
    </mc:Choice>
    <mc:Fallback/>
  </mc:AlternateContent>
  <xdr:twoCellAnchor>
    <xdr:from>
      <xdr:col>6</xdr:col>
      <xdr:colOff>981075</xdr:colOff>
      <xdr:row>26</xdr:row>
      <xdr:rowOff>85725</xdr:rowOff>
    </xdr:from>
    <xdr:to>
      <xdr:col>6</xdr:col>
      <xdr:colOff>1238250</xdr:colOff>
      <xdr:row>26</xdr:row>
      <xdr:rowOff>85725</xdr:rowOff>
    </xdr:to>
    <xdr:sp macro="" textlink="">
      <xdr:nvSpPr>
        <xdr:cNvPr id="11" name="Line 18">
          <a:extLst>
            <a:ext uri="{FF2B5EF4-FFF2-40B4-BE49-F238E27FC236}">
              <a16:creationId xmlns:a16="http://schemas.microsoft.com/office/drawing/2014/main" id="{00000000-0008-0000-0400-00000B000000}"/>
            </a:ext>
          </a:extLst>
        </xdr:cNvPr>
        <xdr:cNvSpPr>
          <a:spLocks noChangeShapeType="1"/>
        </xdr:cNvSpPr>
      </xdr:nvSpPr>
      <xdr:spPr bwMode="auto">
        <a:xfrm flipH="1">
          <a:off x="4381500" y="4867275"/>
          <a:ext cx="257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27</xdr:row>
      <xdr:rowOff>104775</xdr:rowOff>
    </xdr:from>
    <xdr:to>
      <xdr:col>9</xdr:col>
      <xdr:colOff>523875</xdr:colOff>
      <xdr:row>27</xdr:row>
      <xdr:rowOff>104775</xdr:rowOff>
    </xdr:to>
    <xdr:sp macro="" textlink="">
      <xdr:nvSpPr>
        <xdr:cNvPr id="12" name="Line 19">
          <a:extLst>
            <a:ext uri="{FF2B5EF4-FFF2-40B4-BE49-F238E27FC236}">
              <a16:creationId xmlns:a16="http://schemas.microsoft.com/office/drawing/2014/main" id="{00000000-0008-0000-0400-00000C000000}"/>
            </a:ext>
          </a:extLst>
        </xdr:cNvPr>
        <xdr:cNvSpPr>
          <a:spLocks noChangeShapeType="1"/>
        </xdr:cNvSpPr>
      </xdr:nvSpPr>
      <xdr:spPr bwMode="auto">
        <a:xfrm>
          <a:off x="5848350" y="507682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57150</xdr:rowOff>
        </xdr:from>
        <xdr:to>
          <xdr:col>0</xdr:col>
          <xdr:colOff>276225</xdr:colOff>
          <xdr:row>1</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fj\Desktop\LobrepEC_17053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m.sidedorne"/>
      <sheetName val="UdskriftsarkA"/>
      <sheetName val="UdskriftsarkDorn"/>
      <sheetName val="NS"/>
      <sheetName val="Logbog"/>
      <sheetName val="LobrepEC_170531"/>
    </sheetNames>
    <definedNames>
      <definedName name="LÅSASPLADEHOP"/>
      <definedName name="LÅSASPLADEVOP"/>
      <definedName name="LÅSASPLSTRIMHOP"/>
      <definedName name="LÅSASPLSTRIMVOP"/>
      <definedName name="LÅSASUSTØTNOP"/>
      <definedName name="ModuleI.RUSTFRIDORN"/>
    </definedNames>
    <sheetDataSet>
      <sheetData sheetId="0">
        <row r="484">
          <cell r="N484">
            <v>0</v>
          </cell>
          <cell r="O484">
            <v>1</v>
          </cell>
          <cell r="P484" t="e">
            <v>#N/A</v>
          </cell>
        </row>
        <row r="485">
          <cell r="N485">
            <v>20</v>
          </cell>
          <cell r="O485">
            <v>1</v>
          </cell>
          <cell r="P485" t="e">
            <v>#N/A</v>
          </cell>
        </row>
        <row r="486">
          <cell r="N486">
            <v>100</v>
          </cell>
          <cell r="O486">
            <v>1</v>
          </cell>
          <cell r="P486" t="e">
            <v>#N/A</v>
          </cell>
        </row>
        <row r="487">
          <cell r="N487">
            <v>200</v>
          </cell>
          <cell r="O487">
            <v>1</v>
          </cell>
          <cell r="P487" t="e">
            <v>#N/A</v>
          </cell>
        </row>
        <row r="488">
          <cell r="N488">
            <v>300</v>
          </cell>
          <cell r="O488">
            <v>1</v>
          </cell>
          <cell r="P488" t="e">
            <v>#N/A</v>
          </cell>
        </row>
        <row r="489">
          <cell r="N489">
            <v>400</v>
          </cell>
          <cell r="O489">
            <v>1</v>
          </cell>
          <cell r="P489" t="e">
            <v>#N/A</v>
          </cell>
        </row>
        <row r="490">
          <cell r="N490">
            <v>500</v>
          </cell>
          <cell r="O490">
            <v>0.78</v>
          </cell>
          <cell r="P490" t="e">
            <v>#N/A</v>
          </cell>
        </row>
        <row r="491">
          <cell r="N491">
            <v>600</v>
          </cell>
          <cell r="O491">
            <v>0.47</v>
          </cell>
          <cell r="P491" t="e">
            <v>#N/A</v>
          </cell>
        </row>
        <row r="492">
          <cell r="N492">
            <v>700</v>
          </cell>
          <cell r="O492">
            <v>0.23</v>
          </cell>
          <cell r="P492" t="e">
            <v>#N/A</v>
          </cell>
        </row>
        <row r="493">
          <cell r="N493">
            <v>800</v>
          </cell>
          <cell r="O493">
            <v>0.11</v>
          </cell>
          <cell r="P493" t="e">
            <v>#N/A</v>
          </cell>
        </row>
        <row r="494">
          <cell r="N494">
            <v>900</v>
          </cell>
          <cell r="O494">
            <v>0.06</v>
          </cell>
          <cell r="P494" t="e">
            <v>#N/A</v>
          </cell>
        </row>
        <row r="495">
          <cell r="N495">
            <v>1000</v>
          </cell>
          <cell r="O495">
            <v>0.04</v>
          </cell>
          <cell r="P495" t="e">
            <v>#N/A</v>
          </cell>
        </row>
        <row r="496">
          <cell r="N496">
            <v>1100</v>
          </cell>
          <cell r="O496">
            <v>0.02</v>
          </cell>
          <cell r="P496" t="e">
            <v>#N/A</v>
          </cell>
        </row>
        <row r="497">
          <cell r="N497">
            <v>1200</v>
          </cell>
          <cell r="O497">
            <v>0</v>
          </cell>
          <cell r="P497" t="e">
            <v>#N/A</v>
          </cell>
        </row>
      </sheetData>
      <sheetData sheetId="1" refreshError="1"/>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tema">
  <a:themeElements>
    <a:clrScheme name="Kont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ont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5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5">
    <pageSetUpPr fitToPage="1"/>
  </sheetPr>
  <dimension ref="A1:IV518"/>
  <sheetViews>
    <sheetView tabSelected="1" zoomScale="87" zoomScaleNormal="87" workbookViewId="0">
      <selection activeCell="C2" sqref="C2"/>
    </sheetView>
  </sheetViews>
  <sheetFormatPr defaultColWidth="9.77734375" defaultRowHeight="15"/>
  <cols>
    <col min="1" max="1" width="13.33203125" customWidth="1"/>
    <col min="2" max="2" width="2.777343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3" customWidth="1"/>
    <col min="10" max="10" width="7.77734375" customWidth="1"/>
    <col min="11" max="11" width="3.6640625" customWidth="1"/>
    <col min="12" max="12" width="7.77734375" customWidth="1"/>
    <col min="13" max="13" width="9.5546875" customWidth="1"/>
    <col min="14" max="14" width="13.77734375" customWidth="1"/>
    <col min="22" max="47" width="8.77734375" customWidth="1"/>
    <col min="48" max="48" width="21.77734375" customWidth="1"/>
    <col min="49" max="53" width="8.77734375" customWidth="1"/>
    <col min="55" max="56" width="11.77734375" customWidth="1"/>
    <col min="60" max="60" width="12.77734375" customWidth="1"/>
    <col min="67" max="68" width="11.77734375" customWidth="1"/>
    <col min="72" max="72" width="22.77734375" customWidth="1"/>
    <col min="78" max="78" width="22.77734375" customWidth="1"/>
    <col min="94" max="94" width="12.109375" customWidth="1"/>
    <col min="251" max="255" width="9.77734375" customWidth="1"/>
    <col min="257" max="257" width="13.33203125" customWidth="1"/>
    <col min="258" max="258" width="2.777343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3" customWidth="1"/>
    <col min="266" max="266" width="7.77734375" customWidth="1"/>
    <col min="267" max="267" width="3.6640625" customWidth="1"/>
    <col min="268" max="268" width="7.77734375" customWidth="1"/>
    <col min="269" max="269" width="9.5546875" customWidth="1"/>
    <col min="270" max="270" width="11.77734375" customWidth="1"/>
    <col min="278" max="303" width="8.77734375" customWidth="1"/>
    <col min="304" max="304" width="21.77734375" customWidth="1"/>
    <col min="305" max="309" width="8.77734375" customWidth="1"/>
    <col min="311" max="312" width="11.77734375" customWidth="1"/>
    <col min="316" max="316" width="12.77734375" customWidth="1"/>
    <col min="323" max="324" width="11.77734375" customWidth="1"/>
    <col min="328" max="328" width="22.77734375" customWidth="1"/>
    <col min="334" max="334" width="22.77734375" customWidth="1"/>
    <col min="350" max="350" width="12.109375" customWidth="1"/>
    <col min="507" max="511" width="9.77734375" customWidth="1"/>
    <col min="513" max="513" width="13.33203125" customWidth="1"/>
    <col min="514" max="514" width="2.777343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3" customWidth="1"/>
    <col min="522" max="522" width="7.77734375" customWidth="1"/>
    <col min="523" max="523" width="3.6640625" customWidth="1"/>
    <col min="524" max="524" width="7.77734375" customWidth="1"/>
    <col min="525" max="525" width="9.5546875" customWidth="1"/>
    <col min="526" max="526" width="11.77734375" customWidth="1"/>
    <col min="534" max="559" width="8.77734375" customWidth="1"/>
    <col min="560" max="560" width="21.77734375" customWidth="1"/>
    <col min="561" max="565" width="8.77734375" customWidth="1"/>
    <col min="567" max="568" width="11.77734375" customWidth="1"/>
    <col min="572" max="572" width="12.77734375" customWidth="1"/>
    <col min="579" max="580" width="11.77734375" customWidth="1"/>
    <col min="584" max="584" width="22.77734375" customWidth="1"/>
    <col min="590" max="590" width="22.77734375" customWidth="1"/>
    <col min="606" max="606" width="12.109375" customWidth="1"/>
    <col min="763" max="767" width="9.77734375" customWidth="1"/>
    <col min="769" max="769" width="13.33203125" customWidth="1"/>
    <col min="770" max="770" width="2.777343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3" customWidth="1"/>
    <col min="778" max="778" width="7.77734375" customWidth="1"/>
    <col min="779" max="779" width="3.6640625" customWidth="1"/>
    <col min="780" max="780" width="7.77734375" customWidth="1"/>
    <col min="781" max="781" width="9.5546875" customWidth="1"/>
    <col min="782" max="782" width="11.77734375" customWidth="1"/>
    <col min="790" max="815" width="8.77734375" customWidth="1"/>
    <col min="816" max="816" width="21.77734375" customWidth="1"/>
    <col min="817" max="821" width="8.77734375" customWidth="1"/>
    <col min="823" max="824" width="11.77734375" customWidth="1"/>
    <col min="828" max="828" width="12.77734375" customWidth="1"/>
    <col min="835" max="836" width="11.77734375" customWidth="1"/>
    <col min="840" max="840" width="22.77734375" customWidth="1"/>
    <col min="846" max="846" width="22.77734375" customWidth="1"/>
    <col min="862" max="862" width="12.109375" customWidth="1"/>
    <col min="1019" max="1023" width="9.77734375" customWidth="1"/>
    <col min="1025" max="1025" width="13.33203125" customWidth="1"/>
    <col min="1026" max="1026" width="2.777343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3" customWidth="1"/>
    <col min="1034" max="1034" width="7.77734375" customWidth="1"/>
    <col min="1035" max="1035" width="3.6640625" customWidth="1"/>
    <col min="1036" max="1036" width="7.77734375" customWidth="1"/>
    <col min="1037" max="1037" width="9.5546875" customWidth="1"/>
    <col min="1038" max="1038" width="11.77734375" customWidth="1"/>
    <col min="1046" max="1071" width="8.77734375" customWidth="1"/>
    <col min="1072" max="1072" width="21.77734375" customWidth="1"/>
    <col min="1073" max="1077" width="8.77734375" customWidth="1"/>
    <col min="1079" max="1080" width="11.77734375" customWidth="1"/>
    <col min="1084" max="1084" width="12.77734375" customWidth="1"/>
    <col min="1091" max="1092" width="11.77734375" customWidth="1"/>
    <col min="1096" max="1096" width="22.77734375" customWidth="1"/>
    <col min="1102" max="1102" width="22.77734375" customWidth="1"/>
    <col min="1118" max="1118" width="12.109375" customWidth="1"/>
    <col min="1275" max="1279" width="9.77734375" customWidth="1"/>
    <col min="1281" max="1281" width="13.33203125" customWidth="1"/>
    <col min="1282" max="1282" width="2.777343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3" customWidth="1"/>
    <col min="1290" max="1290" width="7.77734375" customWidth="1"/>
    <col min="1291" max="1291" width="3.6640625" customWidth="1"/>
    <col min="1292" max="1292" width="7.77734375" customWidth="1"/>
    <col min="1293" max="1293" width="9.5546875" customWidth="1"/>
    <col min="1294" max="1294" width="11.77734375" customWidth="1"/>
    <col min="1302" max="1327" width="8.77734375" customWidth="1"/>
    <col min="1328" max="1328" width="21.77734375" customWidth="1"/>
    <col min="1329" max="1333" width="8.77734375" customWidth="1"/>
    <col min="1335" max="1336" width="11.77734375" customWidth="1"/>
    <col min="1340" max="1340" width="12.77734375" customWidth="1"/>
    <col min="1347" max="1348" width="11.77734375" customWidth="1"/>
    <col min="1352" max="1352" width="22.77734375" customWidth="1"/>
    <col min="1358" max="1358" width="22.77734375" customWidth="1"/>
    <col min="1374" max="1374" width="12.109375" customWidth="1"/>
    <col min="1531" max="1535" width="9.77734375" customWidth="1"/>
    <col min="1537" max="1537" width="13.33203125" customWidth="1"/>
    <col min="1538" max="1538" width="2.777343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3" customWidth="1"/>
    <col min="1546" max="1546" width="7.77734375" customWidth="1"/>
    <col min="1547" max="1547" width="3.6640625" customWidth="1"/>
    <col min="1548" max="1548" width="7.77734375" customWidth="1"/>
    <col min="1549" max="1549" width="9.5546875" customWidth="1"/>
    <col min="1550" max="1550" width="11.77734375" customWidth="1"/>
    <col min="1558" max="1583" width="8.77734375" customWidth="1"/>
    <col min="1584" max="1584" width="21.77734375" customWidth="1"/>
    <col min="1585" max="1589" width="8.77734375" customWidth="1"/>
    <col min="1591" max="1592" width="11.77734375" customWidth="1"/>
    <col min="1596" max="1596" width="12.77734375" customWidth="1"/>
    <col min="1603" max="1604" width="11.77734375" customWidth="1"/>
    <col min="1608" max="1608" width="22.77734375" customWidth="1"/>
    <col min="1614" max="1614" width="22.77734375" customWidth="1"/>
    <col min="1630" max="1630" width="12.109375" customWidth="1"/>
    <col min="1787" max="1791" width="9.77734375" customWidth="1"/>
    <col min="1793" max="1793" width="13.33203125" customWidth="1"/>
    <col min="1794" max="1794" width="2.777343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3" customWidth="1"/>
    <col min="1802" max="1802" width="7.77734375" customWidth="1"/>
    <col min="1803" max="1803" width="3.6640625" customWidth="1"/>
    <col min="1804" max="1804" width="7.77734375" customWidth="1"/>
    <col min="1805" max="1805" width="9.5546875" customWidth="1"/>
    <col min="1806" max="1806" width="11.77734375" customWidth="1"/>
    <col min="1814" max="1839" width="8.77734375" customWidth="1"/>
    <col min="1840" max="1840" width="21.77734375" customWidth="1"/>
    <col min="1841" max="1845" width="8.77734375" customWidth="1"/>
    <col min="1847" max="1848" width="11.77734375" customWidth="1"/>
    <col min="1852" max="1852" width="12.77734375" customWidth="1"/>
    <col min="1859" max="1860" width="11.77734375" customWidth="1"/>
    <col min="1864" max="1864" width="22.77734375" customWidth="1"/>
    <col min="1870" max="1870" width="22.77734375" customWidth="1"/>
    <col min="1886" max="1886" width="12.109375" customWidth="1"/>
    <col min="2043" max="2047" width="9.77734375" customWidth="1"/>
    <col min="2049" max="2049" width="13.33203125" customWidth="1"/>
    <col min="2050" max="2050" width="2.777343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3" customWidth="1"/>
    <col min="2058" max="2058" width="7.77734375" customWidth="1"/>
    <col min="2059" max="2059" width="3.6640625" customWidth="1"/>
    <col min="2060" max="2060" width="7.77734375" customWidth="1"/>
    <col min="2061" max="2061" width="9.5546875" customWidth="1"/>
    <col min="2062" max="2062" width="11.77734375" customWidth="1"/>
    <col min="2070" max="2095" width="8.77734375" customWidth="1"/>
    <col min="2096" max="2096" width="21.77734375" customWidth="1"/>
    <col min="2097" max="2101" width="8.77734375" customWidth="1"/>
    <col min="2103" max="2104" width="11.77734375" customWidth="1"/>
    <col min="2108" max="2108" width="12.77734375" customWidth="1"/>
    <col min="2115" max="2116" width="11.77734375" customWidth="1"/>
    <col min="2120" max="2120" width="22.77734375" customWidth="1"/>
    <col min="2126" max="2126" width="22.77734375" customWidth="1"/>
    <col min="2142" max="2142" width="12.109375" customWidth="1"/>
    <col min="2299" max="2303" width="9.77734375" customWidth="1"/>
    <col min="2305" max="2305" width="13.33203125" customWidth="1"/>
    <col min="2306" max="2306" width="2.777343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3" customWidth="1"/>
    <col min="2314" max="2314" width="7.77734375" customWidth="1"/>
    <col min="2315" max="2315" width="3.6640625" customWidth="1"/>
    <col min="2316" max="2316" width="7.77734375" customWidth="1"/>
    <col min="2317" max="2317" width="9.5546875" customWidth="1"/>
    <col min="2318" max="2318" width="11.77734375" customWidth="1"/>
    <col min="2326" max="2351" width="8.77734375" customWidth="1"/>
    <col min="2352" max="2352" width="21.77734375" customWidth="1"/>
    <col min="2353" max="2357" width="8.77734375" customWidth="1"/>
    <col min="2359" max="2360" width="11.77734375" customWidth="1"/>
    <col min="2364" max="2364" width="12.77734375" customWidth="1"/>
    <col min="2371" max="2372" width="11.77734375" customWidth="1"/>
    <col min="2376" max="2376" width="22.77734375" customWidth="1"/>
    <col min="2382" max="2382" width="22.77734375" customWidth="1"/>
    <col min="2398" max="2398" width="12.109375" customWidth="1"/>
    <col min="2555" max="2559" width="9.77734375" customWidth="1"/>
    <col min="2561" max="2561" width="13.33203125" customWidth="1"/>
    <col min="2562" max="2562" width="2.777343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3" customWidth="1"/>
    <col min="2570" max="2570" width="7.77734375" customWidth="1"/>
    <col min="2571" max="2571" width="3.6640625" customWidth="1"/>
    <col min="2572" max="2572" width="7.77734375" customWidth="1"/>
    <col min="2573" max="2573" width="9.5546875" customWidth="1"/>
    <col min="2574" max="2574" width="11.77734375" customWidth="1"/>
    <col min="2582" max="2607" width="8.77734375" customWidth="1"/>
    <col min="2608" max="2608" width="21.77734375" customWidth="1"/>
    <col min="2609" max="2613" width="8.77734375" customWidth="1"/>
    <col min="2615" max="2616" width="11.77734375" customWidth="1"/>
    <col min="2620" max="2620" width="12.77734375" customWidth="1"/>
    <col min="2627" max="2628" width="11.77734375" customWidth="1"/>
    <col min="2632" max="2632" width="22.77734375" customWidth="1"/>
    <col min="2638" max="2638" width="22.77734375" customWidth="1"/>
    <col min="2654" max="2654" width="12.109375" customWidth="1"/>
    <col min="2811" max="2815" width="9.77734375" customWidth="1"/>
    <col min="2817" max="2817" width="13.33203125" customWidth="1"/>
    <col min="2818" max="2818" width="2.777343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3" customWidth="1"/>
    <col min="2826" max="2826" width="7.77734375" customWidth="1"/>
    <col min="2827" max="2827" width="3.6640625" customWidth="1"/>
    <col min="2828" max="2828" width="7.77734375" customWidth="1"/>
    <col min="2829" max="2829" width="9.5546875" customWidth="1"/>
    <col min="2830" max="2830" width="11.77734375" customWidth="1"/>
    <col min="2838" max="2863" width="8.77734375" customWidth="1"/>
    <col min="2864" max="2864" width="21.77734375" customWidth="1"/>
    <col min="2865" max="2869" width="8.77734375" customWidth="1"/>
    <col min="2871" max="2872" width="11.77734375" customWidth="1"/>
    <col min="2876" max="2876" width="12.77734375" customWidth="1"/>
    <col min="2883" max="2884" width="11.77734375" customWidth="1"/>
    <col min="2888" max="2888" width="22.77734375" customWidth="1"/>
    <col min="2894" max="2894" width="22.77734375" customWidth="1"/>
    <col min="2910" max="2910" width="12.109375" customWidth="1"/>
    <col min="3067" max="3071" width="9.77734375" customWidth="1"/>
    <col min="3073" max="3073" width="13.33203125" customWidth="1"/>
    <col min="3074" max="3074" width="2.777343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3" customWidth="1"/>
    <col min="3082" max="3082" width="7.77734375" customWidth="1"/>
    <col min="3083" max="3083" width="3.6640625" customWidth="1"/>
    <col min="3084" max="3084" width="7.77734375" customWidth="1"/>
    <col min="3085" max="3085" width="9.5546875" customWidth="1"/>
    <col min="3086" max="3086" width="11.77734375" customWidth="1"/>
    <col min="3094" max="3119" width="8.77734375" customWidth="1"/>
    <col min="3120" max="3120" width="21.77734375" customWidth="1"/>
    <col min="3121" max="3125" width="8.77734375" customWidth="1"/>
    <col min="3127" max="3128" width="11.77734375" customWidth="1"/>
    <col min="3132" max="3132" width="12.77734375" customWidth="1"/>
    <col min="3139" max="3140" width="11.77734375" customWidth="1"/>
    <col min="3144" max="3144" width="22.77734375" customWidth="1"/>
    <col min="3150" max="3150" width="22.77734375" customWidth="1"/>
    <col min="3166" max="3166" width="12.109375" customWidth="1"/>
    <col min="3323" max="3327" width="9.77734375" customWidth="1"/>
    <col min="3329" max="3329" width="13.33203125" customWidth="1"/>
    <col min="3330" max="3330" width="2.777343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3" customWidth="1"/>
    <col min="3338" max="3338" width="7.77734375" customWidth="1"/>
    <col min="3339" max="3339" width="3.6640625" customWidth="1"/>
    <col min="3340" max="3340" width="7.77734375" customWidth="1"/>
    <col min="3341" max="3341" width="9.5546875" customWidth="1"/>
    <col min="3342" max="3342" width="11.77734375" customWidth="1"/>
    <col min="3350" max="3375" width="8.77734375" customWidth="1"/>
    <col min="3376" max="3376" width="21.77734375" customWidth="1"/>
    <col min="3377" max="3381" width="8.77734375" customWidth="1"/>
    <col min="3383" max="3384" width="11.77734375" customWidth="1"/>
    <col min="3388" max="3388" width="12.77734375" customWidth="1"/>
    <col min="3395" max="3396" width="11.77734375" customWidth="1"/>
    <col min="3400" max="3400" width="22.77734375" customWidth="1"/>
    <col min="3406" max="3406" width="22.77734375" customWidth="1"/>
    <col min="3422" max="3422" width="12.109375" customWidth="1"/>
    <col min="3579" max="3583" width="9.77734375" customWidth="1"/>
    <col min="3585" max="3585" width="13.33203125" customWidth="1"/>
    <col min="3586" max="3586" width="2.777343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3" customWidth="1"/>
    <col min="3594" max="3594" width="7.77734375" customWidth="1"/>
    <col min="3595" max="3595" width="3.6640625" customWidth="1"/>
    <col min="3596" max="3596" width="7.77734375" customWidth="1"/>
    <col min="3597" max="3597" width="9.5546875" customWidth="1"/>
    <col min="3598" max="3598" width="11.77734375" customWidth="1"/>
    <col min="3606" max="3631" width="8.77734375" customWidth="1"/>
    <col min="3632" max="3632" width="21.77734375" customWidth="1"/>
    <col min="3633" max="3637" width="8.77734375" customWidth="1"/>
    <col min="3639" max="3640" width="11.77734375" customWidth="1"/>
    <col min="3644" max="3644" width="12.77734375" customWidth="1"/>
    <col min="3651" max="3652" width="11.77734375" customWidth="1"/>
    <col min="3656" max="3656" width="22.77734375" customWidth="1"/>
    <col min="3662" max="3662" width="22.77734375" customWidth="1"/>
    <col min="3678" max="3678" width="12.109375" customWidth="1"/>
    <col min="3835" max="3839" width="9.77734375" customWidth="1"/>
    <col min="3841" max="3841" width="13.33203125" customWidth="1"/>
    <col min="3842" max="3842" width="2.777343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3" customWidth="1"/>
    <col min="3850" max="3850" width="7.77734375" customWidth="1"/>
    <col min="3851" max="3851" width="3.6640625" customWidth="1"/>
    <col min="3852" max="3852" width="7.77734375" customWidth="1"/>
    <col min="3853" max="3853" width="9.5546875" customWidth="1"/>
    <col min="3854" max="3854" width="11.77734375" customWidth="1"/>
    <col min="3862" max="3887" width="8.77734375" customWidth="1"/>
    <col min="3888" max="3888" width="21.77734375" customWidth="1"/>
    <col min="3889" max="3893" width="8.77734375" customWidth="1"/>
    <col min="3895" max="3896" width="11.77734375" customWidth="1"/>
    <col min="3900" max="3900" width="12.77734375" customWidth="1"/>
    <col min="3907" max="3908" width="11.77734375" customWidth="1"/>
    <col min="3912" max="3912" width="22.77734375" customWidth="1"/>
    <col min="3918" max="3918" width="22.77734375" customWidth="1"/>
    <col min="3934" max="3934" width="12.109375" customWidth="1"/>
    <col min="4091" max="4095" width="9.77734375" customWidth="1"/>
    <col min="4097" max="4097" width="13.33203125" customWidth="1"/>
    <col min="4098" max="4098" width="2.777343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3" customWidth="1"/>
    <col min="4106" max="4106" width="7.77734375" customWidth="1"/>
    <col min="4107" max="4107" width="3.6640625" customWidth="1"/>
    <col min="4108" max="4108" width="7.77734375" customWidth="1"/>
    <col min="4109" max="4109" width="9.5546875" customWidth="1"/>
    <col min="4110" max="4110" width="11.77734375" customWidth="1"/>
    <col min="4118" max="4143" width="8.77734375" customWidth="1"/>
    <col min="4144" max="4144" width="21.77734375" customWidth="1"/>
    <col min="4145" max="4149" width="8.77734375" customWidth="1"/>
    <col min="4151" max="4152" width="11.77734375" customWidth="1"/>
    <col min="4156" max="4156" width="12.77734375" customWidth="1"/>
    <col min="4163" max="4164" width="11.77734375" customWidth="1"/>
    <col min="4168" max="4168" width="22.77734375" customWidth="1"/>
    <col min="4174" max="4174" width="22.77734375" customWidth="1"/>
    <col min="4190" max="4190" width="12.109375" customWidth="1"/>
    <col min="4347" max="4351" width="9.77734375" customWidth="1"/>
    <col min="4353" max="4353" width="13.33203125" customWidth="1"/>
    <col min="4354" max="4354" width="2.777343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3" customWidth="1"/>
    <col min="4362" max="4362" width="7.77734375" customWidth="1"/>
    <col min="4363" max="4363" width="3.6640625" customWidth="1"/>
    <col min="4364" max="4364" width="7.77734375" customWidth="1"/>
    <col min="4365" max="4365" width="9.5546875" customWidth="1"/>
    <col min="4366" max="4366" width="11.77734375" customWidth="1"/>
    <col min="4374" max="4399" width="8.77734375" customWidth="1"/>
    <col min="4400" max="4400" width="21.77734375" customWidth="1"/>
    <col min="4401" max="4405" width="8.77734375" customWidth="1"/>
    <col min="4407" max="4408" width="11.77734375" customWidth="1"/>
    <col min="4412" max="4412" width="12.77734375" customWidth="1"/>
    <col min="4419" max="4420" width="11.77734375" customWidth="1"/>
    <col min="4424" max="4424" width="22.77734375" customWidth="1"/>
    <col min="4430" max="4430" width="22.77734375" customWidth="1"/>
    <col min="4446" max="4446" width="12.109375" customWidth="1"/>
    <col min="4603" max="4607" width="9.77734375" customWidth="1"/>
    <col min="4609" max="4609" width="13.33203125" customWidth="1"/>
    <col min="4610" max="4610" width="2.777343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3" customWidth="1"/>
    <col min="4618" max="4618" width="7.77734375" customWidth="1"/>
    <col min="4619" max="4619" width="3.6640625" customWidth="1"/>
    <col min="4620" max="4620" width="7.77734375" customWidth="1"/>
    <col min="4621" max="4621" width="9.5546875" customWidth="1"/>
    <col min="4622" max="4622" width="11.77734375" customWidth="1"/>
    <col min="4630" max="4655" width="8.77734375" customWidth="1"/>
    <col min="4656" max="4656" width="21.77734375" customWidth="1"/>
    <col min="4657" max="4661" width="8.77734375" customWidth="1"/>
    <col min="4663" max="4664" width="11.77734375" customWidth="1"/>
    <col min="4668" max="4668" width="12.77734375" customWidth="1"/>
    <col min="4675" max="4676" width="11.77734375" customWidth="1"/>
    <col min="4680" max="4680" width="22.77734375" customWidth="1"/>
    <col min="4686" max="4686" width="22.77734375" customWidth="1"/>
    <col min="4702" max="4702" width="12.109375" customWidth="1"/>
    <col min="4859" max="4863" width="9.77734375" customWidth="1"/>
    <col min="4865" max="4865" width="13.33203125" customWidth="1"/>
    <col min="4866" max="4866" width="2.777343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3" customWidth="1"/>
    <col min="4874" max="4874" width="7.77734375" customWidth="1"/>
    <col min="4875" max="4875" width="3.6640625" customWidth="1"/>
    <col min="4876" max="4876" width="7.77734375" customWidth="1"/>
    <col min="4877" max="4877" width="9.5546875" customWidth="1"/>
    <col min="4878" max="4878" width="11.77734375" customWidth="1"/>
    <col min="4886" max="4911" width="8.77734375" customWidth="1"/>
    <col min="4912" max="4912" width="21.77734375" customWidth="1"/>
    <col min="4913" max="4917" width="8.77734375" customWidth="1"/>
    <col min="4919" max="4920" width="11.77734375" customWidth="1"/>
    <col min="4924" max="4924" width="12.77734375" customWidth="1"/>
    <col min="4931" max="4932" width="11.77734375" customWidth="1"/>
    <col min="4936" max="4936" width="22.77734375" customWidth="1"/>
    <col min="4942" max="4942" width="22.77734375" customWidth="1"/>
    <col min="4958" max="4958" width="12.109375" customWidth="1"/>
    <col min="5115" max="5119" width="9.77734375" customWidth="1"/>
    <col min="5121" max="5121" width="13.33203125" customWidth="1"/>
    <col min="5122" max="5122" width="2.777343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3" customWidth="1"/>
    <col min="5130" max="5130" width="7.77734375" customWidth="1"/>
    <col min="5131" max="5131" width="3.6640625" customWidth="1"/>
    <col min="5132" max="5132" width="7.77734375" customWidth="1"/>
    <col min="5133" max="5133" width="9.5546875" customWidth="1"/>
    <col min="5134" max="5134" width="11.77734375" customWidth="1"/>
    <col min="5142" max="5167" width="8.77734375" customWidth="1"/>
    <col min="5168" max="5168" width="21.77734375" customWidth="1"/>
    <col min="5169" max="5173" width="8.77734375" customWidth="1"/>
    <col min="5175" max="5176" width="11.77734375" customWidth="1"/>
    <col min="5180" max="5180" width="12.77734375" customWidth="1"/>
    <col min="5187" max="5188" width="11.77734375" customWidth="1"/>
    <col min="5192" max="5192" width="22.77734375" customWidth="1"/>
    <col min="5198" max="5198" width="22.77734375" customWidth="1"/>
    <col min="5214" max="5214" width="12.109375" customWidth="1"/>
    <col min="5371" max="5375" width="9.77734375" customWidth="1"/>
    <col min="5377" max="5377" width="13.33203125" customWidth="1"/>
    <col min="5378" max="5378" width="2.777343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3" customWidth="1"/>
    <col min="5386" max="5386" width="7.77734375" customWidth="1"/>
    <col min="5387" max="5387" width="3.6640625" customWidth="1"/>
    <col min="5388" max="5388" width="7.77734375" customWidth="1"/>
    <col min="5389" max="5389" width="9.5546875" customWidth="1"/>
    <col min="5390" max="5390" width="11.77734375" customWidth="1"/>
    <col min="5398" max="5423" width="8.77734375" customWidth="1"/>
    <col min="5424" max="5424" width="21.77734375" customWidth="1"/>
    <col min="5425" max="5429" width="8.77734375" customWidth="1"/>
    <col min="5431" max="5432" width="11.77734375" customWidth="1"/>
    <col min="5436" max="5436" width="12.77734375" customWidth="1"/>
    <col min="5443" max="5444" width="11.77734375" customWidth="1"/>
    <col min="5448" max="5448" width="22.77734375" customWidth="1"/>
    <col min="5454" max="5454" width="22.77734375" customWidth="1"/>
    <col min="5470" max="5470" width="12.109375" customWidth="1"/>
    <col min="5627" max="5631" width="9.77734375" customWidth="1"/>
    <col min="5633" max="5633" width="13.33203125" customWidth="1"/>
    <col min="5634" max="5634" width="2.777343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3" customWidth="1"/>
    <col min="5642" max="5642" width="7.77734375" customWidth="1"/>
    <col min="5643" max="5643" width="3.6640625" customWidth="1"/>
    <col min="5644" max="5644" width="7.77734375" customWidth="1"/>
    <col min="5645" max="5645" width="9.5546875" customWidth="1"/>
    <col min="5646" max="5646" width="11.77734375" customWidth="1"/>
    <col min="5654" max="5679" width="8.77734375" customWidth="1"/>
    <col min="5680" max="5680" width="21.77734375" customWidth="1"/>
    <col min="5681" max="5685" width="8.77734375" customWidth="1"/>
    <col min="5687" max="5688" width="11.77734375" customWidth="1"/>
    <col min="5692" max="5692" width="12.77734375" customWidth="1"/>
    <col min="5699" max="5700" width="11.77734375" customWidth="1"/>
    <col min="5704" max="5704" width="22.77734375" customWidth="1"/>
    <col min="5710" max="5710" width="22.77734375" customWidth="1"/>
    <col min="5726" max="5726" width="12.109375" customWidth="1"/>
    <col min="5883" max="5887" width="9.77734375" customWidth="1"/>
    <col min="5889" max="5889" width="13.33203125" customWidth="1"/>
    <col min="5890" max="5890" width="2.777343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3" customWidth="1"/>
    <col min="5898" max="5898" width="7.77734375" customWidth="1"/>
    <col min="5899" max="5899" width="3.6640625" customWidth="1"/>
    <col min="5900" max="5900" width="7.77734375" customWidth="1"/>
    <col min="5901" max="5901" width="9.5546875" customWidth="1"/>
    <col min="5902" max="5902" width="11.77734375" customWidth="1"/>
    <col min="5910" max="5935" width="8.77734375" customWidth="1"/>
    <col min="5936" max="5936" width="21.77734375" customWidth="1"/>
    <col min="5937" max="5941" width="8.77734375" customWidth="1"/>
    <col min="5943" max="5944" width="11.77734375" customWidth="1"/>
    <col min="5948" max="5948" width="12.77734375" customWidth="1"/>
    <col min="5955" max="5956" width="11.77734375" customWidth="1"/>
    <col min="5960" max="5960" width="22.77734375" customWidth="1"/>
    <col min="5966" max="5966" width="22.77734375" customWidth="1"/>
    <col min="5982" max="5982" width="12.109375" customWidth="1"/>
    <col min="6139" max="6143" width="9.77734375" customWidth="1"/>
    <col min="6145" max="6145" width="13.33203125" customWidth="1"/>
    <col min="6146" max="6146" width="2.777343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3" customWidth="1"/>
    <col min="6154" max="6154" width="7.77734375" customWidth="1"/>
    <col min="6155" max="6155" width="3.6640625" customWidth="1"/>
    <col min="6156" max="6156" width="7.77734375" customWidth="1"/>
    <col min="6157" max="6157" width="9.5546875" customWidth="1"/>
    <col min="6158" max="6158" width="11.77734375" customWidth="1"/>
    <col min="6166" max="6191" width="8.77734375" customWidth="1"/>
    <col min="6192" max="6192" width="21.77734375" customWidth="1"/>
    <col min="6193" max="6197" width="8.77734375" customWidth="1"/>
    <col min="6199" max="6200" width="11.77734375" customWidth="1"/>
    <col min="6204" max="6204" width="12.77734375" customWidth="1"/>
    <col min="6211" max="6212" width="11.77734375" customWidth="1"/>
    <col min="6216" max="6216" width="22.77734375" customWidth="1"/>
    <col min="6222" max="6222" width="22.77734375" customWidth="1"/>
    <col min="6238" max="6238" width="12.109375" customWidth="1"/>
    <col min="6395" max="6399" width="9.77734375" customWidth="1"/>
    <col min="6401" max="6401" width="13.33203125" customWidth="1"/>
    <col min="6402" max="6402" width="2.777343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3" customWidth="1"/>
    <col min="6410" max="6410" width="7.77734375" customWidth="1"/>
    <col min="6411" max="6411" width="3.6640625" customWidth="1"/>
    <col min="6412" max="6412" width="7.77734375" customWidth="1"/>
    <col min="6413" max="6413" width="9.5546875" customWidth="1"/>
    <col min="6414" max="6414" width="11.77734375" customWidth="1"/>
    <col min="6422" max="6447" width="8.77734375" customWidth="1"/>
    <col min="6448" max="6448" width="21.77734375" customWidth="1"/>
    <col min="6449" max="6453" width="8.77734375" customWidth="1"/>
    <col min="6455" max="6456" width="11.77734375" customWidth="1"/>
    <col min="6460" max="6460" width="12.77734375" customWidth="1"/>
    <col min="6467" max="6468" width="11.77734375" customWidth="1"/>
    <col min="6472" max="6472" width="22.77734375" customWidth="1"/>
    <col min="6478" max="6478" width="22.77734375" customWidth="1"/>
    <col min="6494" max="6494" width="12.109375" customWidth="1"/>
    <col min="6651" max="6655" width="9.77734375" customWidth="1"/>
    <col min="6657" max="6657" width="13.33203125" customWidth="1"/>
    <col min="6658" max="6658" width="2.777343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3" customWidth="1"/>
    <col min="6666" max="6666" width="7.77734375" customWidth="1"/>
    <col min="6667" max="6667" width="3.6640625" customWidth="1"/>
    <col min="6668" max="6668" width="7.77734375" customWidth="1"/>
    <col min="6669" max="6669" width="9.5546875" customWidth="1"/>
    <col min="6670" max="6670" width="11.77734375" customWidth="1"/>
    <col min="6678" max="6703" width="8.77734375" customWidth="1"/>
    <col min="6704" max="6704" width="21.77734375" customWidth="1"/>
    <col min="6705" max="6709" width="8.77734375" customWidth="1"/>
    <col min="6711" max="6712" width="11.77734375" customWidth="1"/>
    <col min="6716" max="6716" width="12.77734375" customWidth="1"/>
    <col min="6723" max="6724" width="11.77734375" customWidth="1"/>
    <col min="6728" max="6728" width="22.77734375" customWidth="1"/>
    <col min="6734" max="6734" width="22.77734375" customWidth="1"/>
    <col min="6750" max="6750" width="12.109375" customWidth="1"/>
    <col min="6907" max="6911" width="9.77734375" customWidth="1"/>
    <col min="6913" max="6913" width="13.33203125" customWidth="1"/>
    <col min="6914" max="6914" width="2.777343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3" customWidth="1"/>
    <col min="6922" max="6922" width="7.77734375" customWidth="1"/>
    <col min="6923" max="6923" width="3.6640625" customWidth="1"/>
    <col min="6924" max="6924" width="7.77734375" customWidth="1"/>
    <col min="6925" max="6925" width="9.5546875" customWidth="1"/>
    <col min="6926" max="6926" width="11.77734375" customWidth="1"/>
    <col min="6934" max="6959" width="8.77734375" customWidth="1"/>
    <col min="6960" max="6960" width="21.77734375" customWidth="1"/>
    <col min="6961" max="6965" width="8.77734375" customWidth="1"/>
    <col min="6967" max="6968" width="11.77734375" customWidth="1"/>
    <col min="6972" max="6972" width="12.77734375" customWidth="1"/>
    <col min="6979" max="6980" width="11.77734375" customWidth="1"/>
    <col min="6984" max="6984" width="22.77734375" customWidth="1"/>
    <col min="6990" max="6990" width="22.77734375" customWidth="1"/>
    <col min="7006" max="7006" width="12.109375" customWidth="1"/>
    <col min="7163" max="7167" width="9.77734375" customWidth="1"/>
    <col min="7169" max="7169" width="13.33203125" customWidth="1"/>
    <col min="7170" max="7170" width="2.777343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3" customWidth="1"/>
    <col min="7178" max="7178" width="7.77734375" customWidth="1"/>
    <col min="7179" max="7179" width="3.6640625" customWidth="1"/>
    <col min="7180" max="7180" width="7.77734375" customWidth="1"/>
    <col min="7181" max="7181" width="9.5546875" customWidth="1"/>
    <col min="7182" max="7182" width="11.77734375" customWidth="1"/>
    <col min="7190" max="7215" width="8.77734375" customWidth="1"/>
    <col min="7216" max="7216" width="21.77734375" customWidth="1"/>
    <col min="7217" max="7221" width="8.77734375" customWidth="1"/>
    <col min="7223" max="7224" width="11.77734375" customWidth="1"/>
    <col min="7228" max="7228" width="12.77734375" customWidth="1"/>
    <col min="7235" max="7236" width="11.77734375" customWidth="1"/>
    <col min="7240" max="7240" width="22.77734375" customWidth="1"/>
    <col min="7246" max="7246" width="22.77734375" customWidth="1"/>
    <col min="7262" max="7262" width="12.109375" customWidth="1"/>
    <col min="7419" max="7423" width="9.77734375" customWidth="1"/>
    <col min="7425" max="7425" width="13.33203125" customWidth="1"/>
    <col min="7426" max="7426" width="2.777343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3" customWidth="1"/>
    <col min="7434" max="7434" width="7.77734375" customWidth="1"/>
    <col min="7435" max="7435" width="3.6640625" customWidth="1"/>
    <col min="7436" max="7436" width="7.77734375" customWidth="1"/>
    <col min="7437" max="7437" width="9.5546875" customWidth="1"/>
    <col min="7438" max="7438" width="11.77734375" customWidth="1"/>
    <col min="7446" max="7471" width="8.77734375" customWidth="1"/>
    <col min="7472" max="7472" width="21.77734375" customWidth="1"/>
    <col min="7473" max="7477" width="8.77734375" customWidth="1"/>
    <col min="7479" max="7480" width="11.77734375" customWidth="1"/>
    <col min="7484" max="7484" width="12.77734375" customWidth="1"/>
    <col min="7491" max="7492" width="11.77734375" customWidth="1"/>
    <col min="7496" max="7496" width="22.77734375" customWidth="1"/>
    <col min="7502" max="7502" width="22.77734375" customWidth="1"/>
    <col min="7518" max="7518" width="12.109375" customWidth="1"/>
    <col min="7675" max="7679" width="9.77734375" customWidth="1"/>
    <col min="7681" max="7681" width="13.33203125" customWidth="1"/>
    <col min="7682" max="7682" width="2.777343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3" customWidth="1"/>
    <col min="7690" max="7690" width="7.77734375" customWidth="1"/>
    <col min="7691" max="7691" width="3.6640625" customWidth="1"/>
    <col min="7692" max="7692" width="7.77734375" customWidth="1"/>
    <col min="7693" max="7693" width="9.5546875" customWidth="1"/>
    <col min="7694" max="7694" width="11.77734375" customWidth="1"/>
    <col min="7702" max="7727" width="8.77734375" customWidth="1"/>
    <col min="7728" max="7728" width="21.77734375" customWidth="1"/>
    <col min="7729" max="7733" width="8.77734375" customWidth="1"/>
    <col min="7735" max="7736" width="11.77734375" customWidth="1"/>
    <col min="7740" max="7740" width="12.77734375" customWidth="1"/>
    <col min="7747" max="7748" width="11.77734375" customWidth="1"/>
    <col min="7752" max="7752" width="22.77734375" customWidth="1"/>
    <col min="7758" max="7758" width="22.77734375" customWidth="1"/>
    <col min="7774" max="7774" width="12.109375" customWidth="1"/>
    <col min="7931" max="7935" width="9.77734375" customWidth="1"/>
    <col min="7937" max="7937" width="13.33203125" customWidth="1"/>
    <col min="7938" max="7938" width="2.777343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3" customWidth="1"/>
    <col min="7946" max="7946" width="7.77734375" customWidth="1"/>
    <col min="7947" max="7947" width="3.6640625" customWidth="1"/>
    <col min="7948" max="7948" width="7.77734375" customWidth="1"/>
    <col min="7949" max="7949" width="9.5546875" customWidth="1"/>
    <col min="7950" max="7950" width="11.77734375" customWidth="1"/>
    <col min="7958" max="7983" width="8.77734375" customWidth="1"/>
    <col min="7984" max="7984" width="21.77734375" customWidth="1"/>
    <col min="7985" max="7989" width="8.77734375" customWidth="1"/>
    <col min="7991" max="7992" width="11.77734375" customWidth="1"/>
    <col min="7996" max="7996" width="12.77734375" customWidth="1"/>
    <col min="8003" max="8004" width="11.77734375" customWidth="1"/>
    <col min="8008" max="8008" width="22.77734375" customWidth="1"/>
    <col min="8014" max="8014" width="22.77734375" customWidth="1"/>
    <col min="8030" max="8030" width="12.109375" customWidth="1"/>
    <col min="8187" max="8191" width="9.77734375" customWidth="1"/>
    <col min="8193" max="8193" width="13.33203125" customWidth="1"/>
    <col min="8194" max="8194" width="2.777343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3" customWidth="1"/>
    <col min="8202" max="8202" width="7.77734375" customWidth="1"/>
    <col min="8203" max="8203" width="3.6640625" customWidth="1"/>
    <col min="8204" max="8204" width="7.77734375" customWidth="1"/>
    <col min="8205" max="8205" width="9.5546875" customWidth="1"/>
    <col min="8206" max="8206" width="11.77734375" customWidth="1"/>
    <col min="8214" max="8239" width="8.77734375" customWidth="1"/>
    <col min="8240" max="8240" width="21.77734375" customWidth="1"/>
    <col min="8241" max="8245" width="8.77734375" customWidth="1"/>
    <col min="8247" max="8248" width="11.77734375" customWidth="1"/>
    <col min="8252" max="8252" width="12.77734375" customWidth="1"/>
    <col min="8259" max="8260" width="11.77734375" customWidth="1"/>
    <col min="8264" max="8264" width="22.77734375" customWidth="1"/>
    <col min="8270" max="8270" width="22.77734375" customWidth="1"/>
    <col min="8286" max="8286" width="12.109375" customWidth="1"/>
    <col min="8443" max="8447" width="9.77734375" customWidth="1"/>
    <col min="8449" max="8449" width="13.33203125" customWidth="1"/>
    <col min="8450" max="8450" width="2.777343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3" customWidth="1"/>
    <col min="8458" max="8458" width="7.77734375" customWidth="1"/>
    <col min="8459" max="8459" width="3.6640625" customWidth="1"/>
    <col min="8460" max="8460" width="7.77734375" customWidth="1"/>
    <col min="8461" max="8461" width="9.5546875" customWidth="1"/>
    <col min="8462" max="8462" width="11.77734375" customWidth="1"/>
    <col min="8470" max="8495" width="8.77734375" customWidth="1"/>
    <col min="8496" max="8496" width="21.77734375" customWidth="1"/>
    <col min="8497" max="8501" width="8.77734375" customWidth="1"/>
    <col min="8503" max="8504" width="11.77734375" customWidth="1"/>
    <col min="8508" max="8508" width="12.77734375" customWidth="1"/>
    <col min="8515" max="8516" width="11.77734375" customWidth="1"/>
    <col min="8520" max="8520" width="22.77734375" customWidth="1"/>
    <col min="8526" max="8526" width="22.77734375" customWidth="1"/>
    <col min="8542" max="8542" width="12.109375" customWidth="1"/>
    <col min="8699" max="8703" width="9.77734375" customWidth="1"/>
    <col min="8705" max="8705" width="13.33203125" customWidth="1"/>
    <col min="8706" max="8706" width="2.777343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3" customWidth="1"/>
    <col min="8714" max="8714" width="7.77734375" customWidth="1"/>
    <col min="8715" max="8715" width="3.6640625" customWidth="1"/>
    <col min="8716" max="8716" width="7.77734375" customWidth="1"/>
    <col min="8717" max="8717" width="9.5546875" customWidth="1"/>
    <col min="8718" max="8718" width="11.77734375" customWidth="1"/>
    <col min="8726" max="8751" width="8.77734375" customWidth="1"/>
    <col min="8752" max="8752" width="21.77734375" customWidth="1"/>
    <col min="8753" max="8757" width="8.77734375" customWidth="1"/>
    <col min="8759" max="8760" width="11.77734375" customWidth="1"/>
    <col min="8764" max="8764" width="12.77734375" customWidth="1"/>
    <col min="8771" max="8772" width="11.77734375" customWidth="1"/>
    <col min="8776" max="8776" width="22.77734375" customWidth="1"/>
    <col min="8782" max="8782" width="22.77734375" customWidth="1"/>
    <col min="8798" max="8798" width="12.109375" customWidth="1"/>
    <col min="8955" max="8959" width="9.77734375" customWidth="1"/>
    <col min="8961" max="8961" width="13.33203125" customWidth="1"/>
    <col min="8962" max="8962" width="2.777343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3" customWidth="1"/>
    <col min="8970" max="8970" width="7.77734375" customWidth="1"/>
    <col min="8971" max="8971" width="3.6640625" customWidth="1"/>
    <col min="8972" max="8972" width="7.77734375" customWidth="1"/>
    <col min="8973" max="8973" width="9.5546875" customWidth="1"/>
    <col min="8974" max="8974" width="11.77734375" customWidth="1"/>
    <col min="8982" max="9007" width="8.77734375" customWidth="1"/>
    <col min="9008" max="9008" width="21.77734375" customWidth="1"/>
    <col min="9009" max="9013" width="8.77734375" customWidth="1"/>
    <col min="9015" max="9016" width="11.77734375" customWidth="1"/>
    <col min="9020" max="9020" width="12.77734375" customWidth="1"/>
    <col min="9027" max="9028" width="11.77734375" customWidth="1"/>
    <col min="9032" max="9032" width="22.77734375" customWidth="1"/>
    <col min="9038" max="9038" width="22.77734375" customWidth="1"/>
    <col min="9054" max="9054" width="12.109375" customWidth="1"/>
    <col min="9211" max="9215" width="9.77734375" customWidth="1"/>
    <col min="9217" max="9217" width="13.33203125" customWidth="1"/>
    <col min="9218" max="9218" width="2.777343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3" customWidth="1"/>
    <col min="9226" max="9226" width="7.77734375" customWidth="1"/>
    <col min="9227" max="9227" width="3.6640625" customWidth="1"/>
    <col min="9228" max="9228" width="7.77734375" customWidth="1"/>
    <col min="9229" max="9229" width="9.5546875" customWidth="1"/>
    <col min="9230" max="9230" width="11.77734375" customWidth="1"/>
    <col min="9238" max="9263" width="8.77734375" customWidth="1"/>
    <col min="9264" max="9264" width="21.77734375" customWidth="1"/>
    <col min="9265" max="9269" width="8.77734375" customWidth="1"/>
    <col min="9271" max="9272" width="11.77734375" customWidth="1"/>
    <col min="9276" max="9276" width="12.77734375" customWidth="1"/>
    <col min="9283" max="9284" width="11.77734375" customWidth="1"/>
    <col min="9288" max="9288" width="22.77734375" customWidth="1"/>
    <col min="9294" max="9294" width="22.77734375" customWidth="1"/>
    <col min="9310" max="9310" width="12.109375" customWidth="1"/>
    <col min="9467" max="9471" width="9.77734375" customWidth="1"/>
    <col min="9473" max="9473" width="13.33203125" customWidth="1"/>
    <col min="9474" max="9474" width="2.777343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3" customWidth="1"/>
    <col min="9482" max="9482" width="7.77734375" customWidth="1"/>
    <col min="9483" max="9483" width="3.6640625" customWidth="1"/>
    <col min="9484" max="9484" width="7.77734375" customWidth="1"/>
    <col min="9485" max="9485" width="9.5546875" customWidth="1"/>
    <col min="9486" max="9486" width="11.77734375" customWidth="1"/>
    <col min="9494" max="9519" width="8.77734375" customWidth="1"/>
    <col min="9520" max="9520" width="21.77734375" customWidth="1"/>
    <col min="9521" max="9525" width="8.77734375" customWidth="1"/>
    <col min="9527" max="9528" width="11.77734375" customWidth="1"/>
    <col min="9532" max="9532" width="12.77734375" customWidth="1"/>
    <col min="9539" max="9540" width="11.77734375" customWidth="1"/>
    <col min="9544" max="9544" width="22.77734375" customWidth="1"/>
    <col min="9550" max="9550" width="22.77734375" customWidth="1"/>
    <col min="9566" max="9566" width="12.109375" customWidth="1"/>
    <col min="9723" max="9727" width="9.77734375" customWidth="1"/>
    <col min="9729" max="9729" width="13.33203125" customWidth="1"/>
    <col min="9730" max="9730" width="2.777343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3" customWidth="1"/>
    <col min="9738" max="9738" width="7.77734375" customWidth="1"/>
    <col min="9739" max="9739" width="3.6640625" customWidth="1"/>
    <col min="9740" max="9740" width="7.77734375" customWidth="1"/>
    <col min="9741" max="9741" width="9.5546875" customWidth="1"/>
    <col min="9742" max="9742" width="11.77734375" customWidth="1"/>
    <col min="9750" max="9775" width="8.77734375" customWidth="1"/>
    <col min="9776" max="9776" width="21.77734375" customWidth="1"/>
    <col min="9777" max="9781" width="8.77734375" customWidth="1"/>
    <col min="9783" max="9784" width="11.77734375" customWidth="1"/>
    <col min="9788" max="9788" width="12.77734375" customWidth="1"/>
    <col min="9795" max="9796" width="11.77734375" customWidth="1"/>
    <col min="9800" max="9800" width="22.77734375" customWidth="1"/>
    <col min="9806" max="9806" width="22.77734375" customWidth="1"/>
    <col min="9822" max="9822" width="12.109375" customWidth="1"/>
    <col min="9979" max="9983" width="9.77734375" customWidth="1"/>
    <col min="9985" max="9985" width="13.33203125" customWidth="1"/>
    <col min="9986" max="9986" width="2.777343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3" customWidth="1"/>
    <col min="9994" max="9994" width="7.77734375" customWidth="1"/>
    <col min="9995" max="9995" width="3.6640625" customWidth="1"/>
    <col min="9996" max="9996" width="7.77734375" customWidth="1"/>
    <col min="9997" max="9997" width="9.5546875" customWidth="1"/>
    <col min="9998" max="9998" width="11.77734375" customWidth="1"/>
    <col min="10006" max="10031" width="8.77734375" customWidth="1"/>
    <col min="10032" max="10032" width="21.77734375" customWidth="1"/>
    <col min="10033" max="10037" width="8.77734375" customWidth="1"/>
    <col min="10039" max="10040" width="11.77734375" customWidth="1"/>
    <col min="10044" max="10044" width="12.77734375" customWidth="1"/>
    <col min="10051" max="10052" width="11.77734375" customWidth="1"/>
    <col min="10056" max="10056" width="22.77734375" customWidth="1"/>
    <col min="10062" max="10062" width="22.77734375" customWidth="1"/>
    <col min="10078" max="10078" width="12.109375" customWidth="1"/>
    <col min="10235" max="10239" width="9.77734375" customWidth="1"/>
    <col min="10241" max="10241" width="13.33203125" customWidth="1"/>
    <col min="10242" max="10242" width="2.777343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3" customWidth="1"/>
    <col min="10250" max="10250" width="7.77734375" customWidth="1"/>
    <col min="10251" max="10251" width="3.6640625" customWidth="1"/>
    <col min="10252" max="10252" width="7.77734375" customWidth="1"/>
    <col min="10253" max="10253" width="9.5546875" customWidth="1"/>
    <col min="10254" max="10254" width="11.77734375" customWidth="1"/>
    <col min="10262" max="10287" width="8.77734375" customWidth="1"/>
    <col min="10288" max="10288" width="21.77734375" customWidth="1"/>
    <col min="10289" max="10293" width="8.77734375" customWidth="1"/>
    <col min="10295" max="10296" width="11.77734375" customWidth="1"/>
    <col min="10300" max="10300" width="12.77734375" customWidth="1"/>
    <col min="10307" max="10308" width="11.77734375" customWidth="1"/>
    <col min="10312" max="10312" width="22.77734375" customWidth="1"/>
    <col min="10318" max="10318" width="22.77734375" customWidth="1"/>
    <col min="10334" max="10334" width="12.109375" customWidth="1"/>
    <col min="10491" max="10495" width="9.77734375" customWidth="1"/>
    <col min="10497" max="10497" width="13.33203125" customWidth="1"/>
    <col min="10498" max="10498" width="2.777343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3" customWidth="1"/>
    <col min="10506" max="10506" width="7.77734375" customWidth="1"/>
    <col min="10507" max="10507" width="3.6640625" customWidth="1"/>
    <col min="10508" max="10508" width="7.77734375" customWidth="1"/>
    <col min="10509" max="10509" width="9.5546875" customWidth="1"/>
    <col min="10510" max="10510" width="11.77734375" customWidth="1"/>
    <col min="10518" max="10543" width="8.77734375" customWidth="1"/>
    <col min="10544" max="10544" width="21.77734375" customWidth="1"/>
    <col min="10545" max="10549" width="8.77734375" customWidth="1"/>
    <col min="10551" max="10552" width="11.77734375" customWidth="1"/>
    <col min="10556" max="10556" width="12.77734375" customWidth="1"/>
    <col min="10563" max="10564" width="11.77734375" customWidth="1"/>
    <col min="10568" max="10568" width="22.77734375" customWidth="1"/>
    <col min="10574" max="10574" width="22.77734375" customWidth="1"/>
    <col min="10590" max="10590" width="12.109375" customWidth="1"/>
    <col min="10747" max="10751" width="9.77734375" customWidth="1"/>
    <col min="10753" max="10753" width="13.33203125" customWidth="1"/>
    <col min="10754" max="10754" width="2.777343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3" customWidth="1"/>
    <col min="10762" max="10762" width="7.77734375" customWidth="1"/>
    <col min="10763" max="10763" width="3.6640625" customWidth="1"/>
    <col min="10764" max="10764" width="7.77734375" customWidth="1"/>
    <col min="10765" max="10765" width="9.5546875" customWidth="1"/>
    <col min="10766" max="10766" width="11.77734375" customWidth="1"/>
    <col min="10774" max="10799" width="8.77734375" customWidth="1"/>
    <col min="10800" max="10800" width="21.77734375" customWidth="1"/>
    <col min="10801" max="10805" width="8.77734375" customWidth="1"/>
    <col min="10807" max="10808" width="11.77734375" customWidth="1"/>
    <col min="10812" max="10812" width="12.77734375" customWidth="1"/>
    <col min="10819" max="10820" width="11.77734375" customWidth="1"/>
    <col min="10824" max="10824" width="22.77734375" customWidth="1"/>
    <col min="10830" max="10830" width="22.77734375" customWidth="1"/>
    <col min="10846" max="10846" width="12.109375" customWidth="1"/>
    <col min="11003" max="11007" width="9.77734375" customWidth="1"/>
    <col min="11009" max="11009" width="13.33203125" customWidth="1"/>
    <col min="11010" max="11010" width="2.777343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3" customWidth="1"/>
    <col min="11018" max="11018" width="7.77734375" customWidth="1"/>
    <col min="11019" max="11019" width="3.6640625" customWidth="1"/>
    <col min="11020" max="11020" width="7.77734375" customWidth="1"/>
    <col min="11021" max="11021" width="9.5546875" customWidth="1"/>
    <col min="11022" max="11022" width="11.77734375" customWidth="1"/>
    <col min="11030" max="11055" width="8.77734375" customWidth="1"/>
    <col min="11056" max="11056" width="21.77734375" customWidth="1"/>
    <col min="11057" max="11061" width="8.77734375" customWidth="1"/>
    <col min="11063" max="11064" width="11.77734375" customWidth="1"/>
    <col min="11068" max="11068" width="12.77734375" customWidth="1"/>
    <col min="11075" max="11076" width="11.77734375" customWidth="1"/>
    <col min="11080" max="11080" width="22.77734375" customWidth="1"/>
    <col min="11086" max="11086" width="22.77734375" customWidth="1"/>
    <col min="11102" max="11102" width="12.109375" customWidth="1"/>
    <col min="11259" max="11263" width="9.77734375" customWidth="1"/>
    <col min="11265" max="11265" width="13.33203125" customWidth="1"/>
    <col min="11266" max="11266" width="2.777343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3" customWidth="1"/>
    <col min="11274" max="11274" width="7.77734375" customWidth="1"/>
    <col min="11275" max="11275" width="3.6640625" customWidth="1"/>
    <col min="11276" max="11276" width="7.77734375" customWidth="1"/>
    <col min="11277" max="11277" width="9.5546875" customWidth="1"/>
    <col min="11278" max="11278" width="11.77734375" customWidth="1"/>
    <col min="11286" max="11311" width="8.77734375" customWidth="1"/>
    <col min="11312" max="11312" width="21.77734375" customWidth="1"/>
    <col min="11313" max="11317" width="8.77734375" customWidth="1"/>
    <col min="11319" max="11320" width="11.77734375" customWidth="1"/>
    <col min="11324" max="11324" width="12.77734375" customWidth="1"/>
    <col min="11331" max="11332" width="11.77734375" customWidth="1"/>
    <col min="11336" max="11336" width="22.77734375" customWidth="1"/>
    <col min="11342" max="11342" width="22.77734375" customWidth="1"/>
    <col min="11358" max="11358" width="12.109375" customWidth="1"/>
    <col min="11515" max="11519" width="9.77734375" customWidth="1"/>
    <col min="11521" max="11521" width="13.33203125" customWidth="1"/>
    <col min="11522" max="11522" width="2.777343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3" customWidth="1"/>
    <col min="11530" max="11530" width="7.77734375" customWidth="1"/>
    <col min="11531" max="11531" width="3.6640625" customWidth="1"/>
    <col min="11532" max="11532" width="7.77734375" customWidth="1"/>
    <col min="11533" max="11533" width="9.5546875" customWidth="1"/>
    <col min="11534" max="11534" width="11.77734375" customWidth="1"/>
    <col min="11542" max="11567" width="8.77734375" customWidth="1"/>
    <col min="11568" max="11568" width="21.77734375" customWidth="1"/>
    <col min="11569" max="11573" width="8.77734375" customWidth="1"/>
    <col min="11575" max="11576" width="11.77734375" customWidth="1"/>
    <col min="11580" max="11580" width="12.77734375" customWidth="1"/>
    <col min="11587" max="11588" width="11.77734375" customWidth="1"/>
    <col min="11592" max="11592" width="22.77734375" customWidth="1"/>
    <col min="11598" max="11598" width="22.77734375" customWidth="1"/>
    <col min="11614" max="11614" width="12.109375" customWidth="1"/>
    <col min="11771" max="11775" width="9.77734375" customWidth="1"/>
    <col min="11777" max="11777" width="13.33203125" customWidth="1"/>
    <col min="11778" max="11778" width="2.777343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3" customWidth="1"/>
    <col min="11786" max="11786" width="7.77734375" customWidth="1"/>
    <col min="11787" max="11787" width="3.6640625" customWidth="1"/>
    <col min="11788" max="11788" width="7.77734375" customWidth="1"/>
    <col min="11789" max="11789" width="9.5546875" customWidth="1"/>
    <col min="11790" max="11790" width="11.77734375" customWidth="1"/>
    <col min="11798" max="11823" width="8.77734375" customWidth="1"/>
    <col min="11824" max="11824" width="21.77734375" customWidth="1"/>
    <col min="11825" max="11829" width="8.77734375" customWidth="1"/>
    <col min="11831" max="11832" width="11.77734375" customWidth="1"/>
    <col min="11836" max="11836" width="12.77734375" customWidth="1"/>
    <col min="11843" max="11844" width="11.77734375" customWidth="1"/>
    <col min="11848" max="11848" width="22.77734375" customWidth="1"/>
    <col min="11854" max="11854" width="22.77734375" customWidth="1"/>
    <col min="11870" max="11870" width="12.109375" customWidth="1"/>
    <col min="12027" max="12031" width="9.77734375" customWidth="1"/>
    <col min="12033" max="12033" width="13.33203125" customWidth="1"/>
    <col min="12034" max="12034" width="2.777343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3" customWidth="1"/>
    <col min="12042" max="12042" width="7.77734375" customWidth="1"/>
    <col min="12043" max="12043" width="3.6640625" customWidth="1"/>
    <col min="12044" max="12044" width="7.77734375" customWidth="1"/>
    <col min="12045" max="12045" width="9.5546875" customWidth="1"/>
    <col min="12046" max="12046" width="11.77734375" customWidth="1"/>
    <col min="12054" max="12079" width="8.77734375" customWidth="1"/>
    <col min="12080" max="12080" width="21.77734375" customWidth="1"/>
    <col min="12081" max="12085" width="8.77734375" customWidth="1"/>
    <col min="12087" max="12088" width="11.77734375" customWidth="1"/>
    <col min="12092" max="12092" width="12.77734375" customWidth="1"/>
    <col min="12099" max="12100" width="11.77734375" customWidth="1"/>
    <col min="12104" max="12104" width="22.77734375" customWidth="1"/>
    <col min="12110" max="12110" width="22.77734375" customWidth="1"/>
    <col min="12126" max="12126" width="12.109375" customWidth="1"/>
    <col min="12283" max="12287" width="9.77734375" customWidth="1"/>
    <col min="12289" max="12289" width="13.33203125" customWidth="1"/>
    <col min="12290" max="12290" width="2.777343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3" customWidth="1"/>
    <col min="12298" max="12298" width="7.77734375" customWidth="1"/>
    <col min="12299" max="12299" width="3.6640625" customWidth="1"/>
    <col min="12300" max="12300" width="7.77734375" customWidth="1"/>
    <col min="12301" max="12301" width="9.5546875" customWidth="1"/>
    <col min="12302" max="12302" width="11.77734375" customWidth="1"/>
    <col min="12310" max="12335" width="8.77734375" customWidth="1"/>
    <col min="12336" max="12336" width="21.77734375" customWidth="1"/>
    <col min="12337" max="12341" width="8.77734375" customWidth="1"/>
    <col min="12343" max="12344" width="11.77734375" customWidth="1"/>
    <col min="12348" max="12348" width="12.77734375" customWidth="1"/>
    <col min="12355" max="12356" width="11.77734375" customWidth="1"/>
    <col min="12360" max="12360" width="22.77734375" customWidth="1"/>
    <col min="12366" max="12366" width="22.77734375" customWidth="1"/>
    <col min="12382" max="12382" width="12.109375" customWidth="1"/>
    <col min="12539" max="12543" width="9.77734375" customWidth="1"/>
    <col min="12545" max="12545" width="13.33203125" customWidth="1"/>
    <col min="12546" max="12546" width="2.777343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3" customWidth="1"/>
    <col min="12554" max="12554" width="7.77734375" customWidth="1"/>
    <col min="12555" max="12555" width="3.6640625" customWidth="1"/>
    <col min="12556" max="12556" width="7.77734375" customWidth="1"/>
    <col min="12557" max="12557" width="9.5546875" customWidth="1"/>
    <col min="12558" max="12558" width="11.77734375" customWidth="1"/>
    <col min="12566" max="12591" width="8.77734375" customWidth="1"/>
    <col min="12592" max="12592" width="21.77734375" customWidth="1"/>
    <col min="12593" max="12597" width="8.77734375" customWidth="1"/>
    <col min="12599" max="12600" width="11.77734375" customWidth="1"/>
    <col min="12604" max="12604" width="12.77734375" customWidth="1"/>
    <col min="12611" max="12612" width="11.77734375" customWidth="1"/>
    <col min="12616" max="12616" width="22.77734375" customWidth="1"/>
    <col min="12622" max="12622" width="22.77734375" customWidth="1"/>
    <col min="12638" max="12638" width="12.109375" customWidth="1"/>
    <col min="12795" max="12799" width="9.77734375" customWidth="1"/>
    <col min="12801" max="12801" width="13.33203125" customWidth="1"/>
    <col min="12802" max="12802" width="2.777343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3" customWidth="1"/>
    <col min="12810" max="12810" width="7.77734375" customWidth="1"/>
    <col min="12811" max="12811" width="3.6640625" customWidth="1"/>
    <col min="12812" max="12812" width="7.77734375" customWidth="1"/>
    <col min="12813" max="12813" width="9.5546875" customWidth="1"/>
    <col min="12814" max="12814" width="11.77734375" customWidth="1"/>
    <col min="12822" max="12847" width="8.77734375" customWidth="1"/>
    <col min="12848" max="12848" width="21.77734375" customWidth="1"/>
    <col min="12849" max="12853" width="8.77734375" customWidth="1"/>
    <col min="12855" max="12856" width="11.77734375" customWidth="1"/>
    <col min="12860" max="12860" width="12.77734375" customWidth="1"/>
    <col min="12867" max="12868" width="11.77734375" customWidth="1"/>
    <col min="12872" max="12872" width="22.77734375" customWidth="1"/>
    <col min="12878" max="12878" width="22.77734375" customWidth="1"/>
    <col min="12894" max="12894" width="12.109375" customWidth="1"/>
    <col min="13051" max="13055" width="9.77734375" customWidth="1"/>
    <col min="13057" max="13057" width="13.33203125" customWidth="1"/>
    <col min="13058" max="13058" width="2.777343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3" customWidth="1"/>
    <col min="13066" max="13066" width="7.77734375" customWidth="1"/>
    <col min="13067" max="13067" width="3.6640625" customWidth="1"/>
    <col min="13068" max="13068" width="7.77734375" customWidth="1"/>
    <col min="13069" max="13069" width="9.5546875" customWidth="1"/>
    <col min="13070" max="13070" width="11.77734375" customWidth="1"/>
    <col min="13078" max="13103" width="8.77734375" customWidth="1"/>
    <col min="13104" max="13104" width="21.77734375" customWidth="1"/>
    <col min="13105" max="13109" width="8.77734375" customWidth="1"/>
    <col min="13111" max="13112" width="11.77734375" customWidth="1"/>
    <col min="13116" max="13116" width="12.77734375" customWidth="1"/>
    <col min="13123" max="13124" width="11.77734375" customWidth="1"/>
    <col min="13128" max="13128" width="22.77734375" customWidth="1"/>
    <col min="13134" max="13134" width="22.77734375" customWidth="1"/>
    <col min="13150" max="13150" width="12.109375" customWidth="1"/>
    <col min="13307" max="13311" width="9.77734375" customWidth="1"/>
    <col min="13313" max="13313" width="13.33203125" customWidth="1"/>
    <col min="13314" max="13314" width="2.777343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3" customWidth="1"/>
    <col min="13322" max="13322" width="7.77734375" customWidth="1"/>
    <col min="13323" max="13323" width="3.6640625" customWidth="1"/>
    <col min="13324" max="13324" width="7.77734375" customWidth="1"/>
    <col min="13325" max="13325" width="9.5546875" customWidth="1"/>
    <col min="13326" max="13326" width="11.77734375" customWidth="1"/>
    <col min="13334" max="13359" width="8.77734375" customWidth="1"/>
    <col min="13360" max="13360" width="21.77734375" customWidth="1"/>
    <col min="13361" max="13365" width="8.77734375" customWidth="1"/>
    <col min="13367" max="13368" width="11.77734375" customWidth="1"/>
    <col min="13372" max="13372" width="12.77734375" customWidth="1"/>
    <col min="13379" max="13380" width="11.77734375" customWidth="1"/>
    <col min="13384" max="13384" width="22.77734375" customWidth="1"/>
    <col min="13390" max="13390" width="22.77734375" customWidth="1"/>
    <col min="13406" max="13406" width="12.109375" customWidth="1"/>
    <col min="13563" max="13567" width="9.77734375" customWidth="1"/>
    <col min="13569" max="13569" width="13.33203125" customWidth="1"/>
    <col min="13570" max="13570" width="2.777343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3" customWidth="1"/>
    <col min="13578" max="13578" width="7.77734375" customWidth="1"/>
    <col min="13579" max="13579" width="3.6640625" customWidth="1"/>
    <col min="13580" max="13580" width="7.77734375" customWidth="1"/>
    <col min="13581" max="13581" width="9.5546875" customWidth="1"/>
    <col min="13582" max="13582" width="11.77734375" customWidth="1"/>
    <col min="13590" max="13615" width="8.77734375" customWidth="1"/>
    <col min="13616" max="13616" width="21.77734375" customWidth="1"/>
    <col min="13617" max="13621" width="8.77734375" customWidth="1"/>
    <col min="13623" max="13624" width="11.77734375" customWidth="1"/>
    <col min="13628" max="13628" width="12.77734375" customWidth="1"/>
    <col min="13635" max="13636" width="11.77734375" customWidth="1"/>
    <col min="13640" max="13640" width="22.77734375" customWidth="1"/>
    <col min="13646" max="13646" width="22.77734375" customWidth="1"/>
    <col min="13662" max="13662" width="12.109375" customWidth="1"/>
    <col min="13819" max="13823" width="9.77734375" customWidth="1"/>
    <col min="13825" max="13825" width="13.33203125" customWidth="1"/>
    <col min="13826" max="13826" width="2.777343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3" customWidth="1"/>
    <col min="13834" max="13834" width="7.77734375" customWidth="1"/>
    <col min="13835" max="13835" width="3.6640625" customWidth="1"/>
    <col min="13836" max="13836" width="7.77734375" customWidth="1"/>
    <col min="13837" max="13837" width="9.5546875" customWidth="1"/>
    <col min="13838" max="13838" width="11.77734375" customWidth="1"/>
    <col min="13846" max="13871" width="8.77734375" customWidth="1"/>
    <col min="13872" max="13872" width="21.77734375" customWidth="1"/>
    <col min="13873" max="13877" width="8.77734375" customWidth="1"/>
    <col min="13879" max="13880" width="11.77734375" customWidth="1"/>
    <col min="13884" max="13884" width="12.77734375" customWidth="1"/>
    <col min="13891" max="13892" width="11.77734375" customWidth="1"/>
    <col min="13896" max="13896" width="22.77734375" customWidth="1"/>
    <col min="13902" max="13902" width="22.77734375" customWidth="1"/>
    <col min="13918" max="13918" width="12.109375" customWidth="1"/>
    <col min="14075" max="14079" width="9.77734375" customWidth="1"/>
    <col min="14081" max="14081" width="13.33203125" customWidth="1"/>
    <col min="14082" max="14082" width="2.777343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3" customWidth="1"/>
    <col min="14090" max="14090" width="7.77734375" customWidth="1"/>
    <col min="14091" max="14091" width="3.6640625" customWidth="1"/>
    <col min="14092" max="14092" width="7.77734375" customWidth="1"/>
    <col min="14093" max="14093" width="9.5546875" customWidth="1"/>
    <col min="14094" max="14094" width="11.77734375" customWidth="1"/>
    <col min="14102" max="14127" width="8.77734375" customWidth="1"/>
    <col min="14128" max="14128" width="21.77734375" customWidth="1"/>
    <col min="14129" max="14133" width="8.77734375" customWidth="1"/>
    <col min="14135" max="14136" width="11.77734375" customWidth="1"/>
    <col min="14140" max="14140" width="12.77734375" customWidth="1"/>
    <col min="14147" max="14148" width="11.77734375" customWidth="1"/>
    <col min="14152" max="14152" width="22.77734375" customWidth="1"/>
    <col min="14158" max="14158" width="22.77734375" customWidth="1"/>
    <col min="14174" max="14174" width="12.109375" customWidth="1"/>
    <col min="14331" max="14335" width="9.77734375" customWidth="1"/>
    <col min="14337" max="14337" width="13.33203125" customWidth="1"/>
    <col min="14338" max="14338" width="2.777343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3" customWidth="1"/>
    <col min="14346" max="14346" width="7.77734375" customWidth="1"/>
    <col min="14347" max="14347" width="3.6640625" customWidth="1"/>
    <col min="14348" max="14348" width="7.77734375" customWidth="1"/>
    <col min="14349" max="14349" width="9.5546875" customWidth="1"/>
    <col min="14350" max="14350" width="11.77734375" customWidth="1"/>
    <col min="14358" max="14383" width="8.77734375" customWidth="1"/>
    <col min="14384" max="14384" width="21.77734375" customWidth="1"/>
    <col min="14385" max="14389" width="8.77734375" customWidth="1"/>
    <col min="14391" max="14392" width="11.77734375" customWidth="1"/>
    <col min="14396" max="14396" width="12.77734375" customWidth="1"/>
    <col min="14403" max="14404" width="11.77734375" customWidth="1"/>
    <col min="14408" max="14408" width="22.77734375" customWidth="1"/>
    <col min="14414" max="14414" width="22.77734375" customWidth="1"/>
    <col min="14430" max="14430" width="12.109375" customWidth="1"/>
    <col min="14587" max="14591" width="9.77734375" customWidth="1"/>
    <col min="14593" max="14593" width="13.33203125" customWidth="1"/>
    <col min="14594" max="14594" width="2.777343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3" customWidth="1"/>
    <col min="14602" max="14602" width="7.77734375" customWidth="1"/>
    <col min="14603" max="14603" width="3.6640625" customWidth="1"/>
    <col min="14604" max="14604" width="7.77734375" customWidth="1"/>
    <col min="14605" max="14605" width="9.5546875" customWidth="1"/>
    <col min="14606" max="14606" width="11.77734375" customWidth="1"/>
    <col min="14614" max="14639" width="8.77734375" customWidth="1"/>
    <col min="14640" max="14640" width="21.77734375" customWidth="1"/>
    <col min="14641" max="14645" width="8.77734375" customWidth="1"/>
    <col min="14647" max="14648" width="11.77734375" customWidth="1"/>
    <col min="14652" max="14652" width="12.77734375" customWidth="1"/>
    <col min="14659" max="14660" width="11.77734375" customWidth="1"/>
    <col min="14664" max="14664" width="22.77734375" customWidth="1"/>
    <col min="14670" max="14670" width="22.77734375" customWidth="1"/>
    <col min="14686" max="14686" width="12.109375" customWidth="1"/>
    <col min="14843" max="14847" width="9.77734375" customWidth="1"/>
    <col min="14849" max="14849" width="13.33203125" customWidth="1"/>
    <col min="14850" max="14850" width="2.777343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3" customWidth="1"/>
    <col min="14858" max="14858" width="7.77734375" customWidth="1"/>
    <col min="14859" max="14859" width="3.6640625" customWidth="1"/>
    <col min="14860" max="14860" width="7.77734375" customWidth="1"/>
    <col min="14861" max="14861" width="9.5546875" customWidth="1"/>
    <col min="14862" max="14862" width="11.77734375" customWidth="1"/>
    <col min="14870" max="14895" width="8.77734375" customWidth="1"/>
    <col min="14896" max="14896" width="21.77734375" customWidth="1"/>
    <col min="14897" max="14901" width="8.77734375" customWidth="1"/>
    <col min="14903" max="14904" width="11.77734375" customWidth="1"/>
    <col min="14908" max="14908" width="12.77734375" customWidth="1"/>
    <col min="14915" max="14916" width="11.77734375" customWidth="1"/>
    <col min="14920" max="14920" width="22.77734375" customWidth="1"/>
    <col min="14926" max="14926" width="22.77734375" customWidth="1"/>
    <col min="14942" max="14942" width="12.109375" customWidth="1"/>
    <col min="15099" max="15103" width="9.77734375" customWidth="1"/>
    <col min="15105" max="15105" width="13.33203125" customWidth="1"/>
    <col min="15106" max="15106" width="2.777343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3" customWidth="1"/>
    <col min="15114" max="15114" width="7.77734375" customWidth="1"/>
    <col min="15115" max="15115" width="3.6640625" customWidth="1"/>
    <col min="15116" max="15116" width="7.77734375" customWidth="1"/>
    <col min="15117" max="15117" width="9.5546875" customWidth="1"/>
    <col min="15118" max="15118" width="11.77734375" customWidth="1"/>
    <col min="15126" max="15151" width="8.77734375" customWidth="1"/>
    <col min="15152" max="15152" width="21.77734375" customWidth="1"/>
    <col min="15153" max="15157" width="8.77734375" customWidth="1"/>
    <col min="15159" max="15160" width="11.77734375" customWidth="1"/>
    <col min="15164" max="15164" width="12.77734375" customWidth="1"/>
    <col min="15171" max="15172" width="11.77734375" customWidth="1"/>
    <col min="15176" max="15176" width="22.77734375" customWidth="1"/>
    <col min="15182" max="15182" width="22.77734375" customWidth="1"/>
    <col min="15198" max="15198" width="12.109375" customWidth="1"/>
    <col min="15355" max="15359" width="9.77734375" customWidth="1"/>
    <col min="15361" max="15361" width="13.33203125" customWidth="1"/>
    <col min="15362" max="15362" width="2.777343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3" customWidth="1"/>
    <col min="15370" max="15370" width="7.77734375" customWidth="1"/>
    <col min="15371" max="15371" width="3.6640625" customWidth="1"/>
    <col min="15372" max="15372" width="7.77734375" customWidth="1"/>
    <col min="15373" max="15373" width="9.5546875" customWidth="1"/>
    <col min="15374" max="15374" width="11.77734375" customWidth="1"/>
    <col min="15382" max="15407" width="8.77734375" customWidth="1"/>
    <col min="15408" max="15408" width="21.77734375" customWidth="1"/>
    <col min="15409" max="15413" width="8.77734375" customWidth="1"/>
    <col min="15415" max="15416" width="11.77734375" customWidth="1"/>
    <col min="15420" max="15420" width="12.77734375" customWidth="1"/>
    <col min="15427" max="15428" width="11.77734375" customWidth="1"/>
    <col min="15432" max="15432" width="22.77734375" customWidth="1"/>
    <col min="15438" max="15438" width="22.77734375" customWidth="1"/>
    <col min="15454" max="15454" width="12.109375" customWidth="1"/>
    <col min="15611" max="15615" width="9.77734375" customWidth="1"/>
    <col min="15617" max="15617" width="13.33203125" customWidth="1"/>
    <col min="15618" max="15618" width="2.777343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3" customWidth="1"/>
    <col min="15626" max="15626" width="7.77734375" customWidth="1"/>
    <col min="15627" max="15627" width="3.6640625" customWidth="1"/>
    <col min="15628" max="15628" width="7.77734375" customWidth="1"/>
    <col min="15629" max="15629" width="9.5546875" customWidth="1"/>
    <col min="15630" max="15630" width="11.77734375" customWidth="1"/>
    <col min="15638" max="15663" width="8.77734375" customWidth="1"/>
    <col min="15664" max="15664" width="21.77734375" customWidth="1"/>
    <col min="15665" max="15669" width="8.77734375" customWidth="1"/>
    <col min="15671" max="15672" width="11.77734375" customWidth="1"/>
    <col min="15676" max="15676" width="12.77734375" customWidth="1"/>
    <col min="15683" max="15684" width="11.77734375" customWidth="1"/>
    <col min="15688" max="15688" width="22.77734375" customWidth="1"/>
    <col min="15694" max="15694" width="22.77734375" customWidth="1"/>
    <col min="15710" max="15710" width="12.109375" customWidth="1"/>
    <col min="15867" max="15871" width="9.77734375" customWidth="1"/>
    <col min="15873" max="15873" width="13.33203125" customWidth="1"/>
    <col min="15874" max="15874" width="2.777343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3" customWidth="1"/>
    <col min="15882" max="15882" width="7.77734375" customWidth="1"/>
    <col min="15883" max="15883" width="3.6640625" customWidth="1"/>
    <col min="15884" max="15884" width="7.77734375" customWidth="1"/>
    <col min="15885" max="15885" width="9.5546875" customWidth="1"/>
    <col min="15886" max="15886" width="11.77734375" customWidth="1"/>
    <col min="15894" max="15919" width="8.77734375" customWidth="1"/>
    <col min="15920" max="15920" width="21.77734375" customWidth="1"/>
    <col min="15921" max="15925" width="8.77734375" customWidth="1"/>
    <col min="15927" max="15928" width="11.77734375" customWidth="1"/>
    <col min="15932" max="15932" width="12.77734375" customWidth="1"/>
    <col min="15939" max="15940" width="11.77734375" customWidth="1"/>
    <col min="15944" max="15944" width="22.77734375" customWidth="1"/>
    <col min="15950" max="15950" width="22.77734375" customWidth="1"/>
    <col min="15966" max="15966" width="12.109375" customWidth="1"/>
    <col min="16123" max="16127" width="9.77734375" customWidth="1"/>
    <col min="16129" max="16129" width="13.33203125" customWidth="1"/>
    <col min="16130" max="16130" width="2.777343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3" customWidth="1"/>
    <col min="16138" max="16138" width="7.77734375" customWidth="1"/>
    <col min="16139" max="16139" width="3.6640625" customWidth="1"/>
    <col min="16140" max="16140" width="7.77734375" customWidth="1"/>
    <col min="16141" max="16141" width="9.5546875" customWidth="1"/>
    <col min="16142" max="16142" width="11.77734375" customWidth="1"/>
    <col min="16150" max="16175" width="8.77734375" customWidth="1"/>
    <col min="16176" max="16176" width="21.77734375" customWidth="1"/>
    <col min="16177" max="16181" width="8.77734375" customWidth="1"/>
    <col min="16183" max="16184" width="11.77734375" customWidth="1"/>
    <col min="16188" max="16188" width="12.77734375" customWidth="1"/>
    <col min="16195" max="16196" width="11.77734375" customWidth="1"/>
    <col min="16200" max="16200" width="22.77734375" customWidth="1"/>
    <col min="16206" max="16206" width="22.77734375" customWidth="1"/>
    <col min="16222" max="16222" width="12.109375" customWidth="1"/>
    <col min="16379" max="16383" width="9.77734375" customWidth="1"/>
  </cols>
  <sheetData>
    <row r="1" spans="1:256" ht="9.9499999999999993" customHeight="1">
      <c r="A1" s="1"/>
      <c r="B1" s="2" t="s">
        <v>1</v>
      </c>
      <c r="C1" s="3"/>
      <c r="D1" s="3"/>
      <c r="E1" s="3"/>
      <c r="F1" s="3"/>
      <c r="G1" s="3"/>
      <c r="H1" s="3"/>
      <c r="I1" s="2" t="s">
        <v>2</v>
      </c>
      <c r="J1" s="4"/>
      <c r="K1" s="4"/>
      <c r="L1" s="5" t="s">
        <v>3</v>
      </c>
      <c r="M1" s="370"/>
      <c r="N1" s="7" t="s">
        <v>5</v>
      </c>
      <c r="O1" s="7" t="s">
        <v>6</v>
      </c>
      <c r="AE1" s="8"/>
      <c r="AF1" s="3"/>
      <c r="AG1" s="2" t="s">
        <v>1</v>
      </c>
      <c r="AH1" s="3"/>
      <c r="AI1" s="3"/>
      <c r="AJ1" s="3"/>
      <c r="AK1" s="3" t="s">
        <v>7</v>
      </c>
      <c r="AL1" s="3"/>
      <c r="AM1" s="2" t="s">
        <v>2</v>
      </c>
      <c r="AN1" s="9"/>
      <c r="AO1" s="2" t="s">
        <v>3</v>
      </c>
      <c r="AP1" s="6" t="s">
        <v>4</v>
      </c>
      <c r="CD1" s="10"/>
    </row>
    <row r="2" spans="1:256" ht="15" customHeight="1">
      <c r="A2" s="11" t="s">
        <v>8</v>
      </c>
      <c r="B2" s="12" t="s">
        <v>7</v>
      </c>
      <c r="C2" s="13" t="s">
        <v>9</v>
      </c>
      <c r="D2" s="14"/>
      <c r="E2" s="14"/>
      <c r="F2" s="14"/>
      <c r="G2" s="14"/>
      <c r="H2" s="14"/>
      <c r="I2" s="12"/>
      <c r="J2" s="15" t="s">
        <v>9</v>
      </c>
      <c r="K2" s="14"/>
      <c r="L2" s="14"/>
      <c r="M2" s="16"/>
      <c r="N2" s="17" t="s">
        <v>10</v>
      </c>
      <c r="O2" s="18" t="s">
        <v>11</v>
      </c>
      <c r="T2" s="19">
        <f>IF(N2="D",0,1)</f>
        <v>0</v>
      </c>
      <c r="AE2" s="20"/>
      <c r="AG2" s="12" t="s">
        <v>7</v>
      </c>
      <c r="AH2" s="21" t="str">
        <f>C2</f>
        <v xml:space="preserve"> </v>
      </c>
      <c r="AI2" s="21"/>
      <c r="AJ2" s="14"/>
      <c r="AK2" s="14"/>
      <c r="AL2" s="16"/>
      <c r="AM2" s="12"/>
      <c r="AN2" s="22" t="str">
        <f>J2</f>
        <v xml:space="preserve"> </v>
      </c>
      <c r="AO2" s="23" t="s">
        <v>9</v>
      </c>
      <c r="AP2" s="24" t="s">
        <v>9</v>
      </c>
      <c r="AW2" s="25" t="e">
        <f>IF(AW17&lt;BF49,"urevnet","revnet")</f>
        <v>#N/A</v>
      </c>
      <c r="BT2" s="26" t="s">
        <v>12</v>
      </c>
      <c r="BU2" t="s">
        <v>13</v>
      </c>
      <c r="CA2" t="s">
        <v>14</v>
      </c>
    </row>
    <row r="3" spans="1:256" ht="9.9499999999999993" customHeight="1">
      <c r="A3" s="27"/>
      <c r="B3" s="2" t="s">
        <v>15</v>
      </c>
      <c r="D3" s="3"/>
      <c r="E3" s="3"/>
      <c r="I3" s="28" t="s">
        <v>16</v>
      </c>
      <c r="L3" s="368"/>
      <c r="M3" s="29"/>
      <c r="AE3" s="27"/>
      <c r="AG3" s="2" t="s">
        <v>15</v>
      </c>
      <c r="AH3" s="30"/>
      <c r="AM3" s="28" t="s">
        <v>16</v>
      </c>
      <c r="AO3" s="28" t="s">
        <v>17</v>
      </c>
      <c r="AP3" s="29"/>
    </row>
    <row r="4" spans="1:256" ht="14.1" customHeight="1">
      <c r="A4" s="20"/>
      <c r="B4" s="12"/>
      <c r="C4" s="13" t="s">
        <v>9</v>
      </c>
      <c r="D4" s="14"/>
      <c r="E4" s="14"/>
      <c r="F4" s="14"/>
      <c r="G4" s="14"/>
      <c r="H4" s="14"/>
      <c r="I4" s="12"/>
      <c r="J4" s="31">
        <f ca="1">NOW()</f>
        <v>45643.480604166667</v>
      </c>
      <c r="K4" s="14"/>
      <c r="L4" s="14" t="s">
        <v>7</v>
      </c>
      <c r="M4" s="16"/>
      <c r="O4" s="32" t="s">
        <v>18</v>
      </c>
      <c r="R4" s="33" t="s">
        <v>19</v>
      </c>
      <c r="S4" t="s">
        <v>20</v>
      </c>
      <c r="AE4" s="20"/>
      <c r="AG4" s="12"/>
      <c r="AH4" s="21" t="str">
        <f>C4</f>
        <v xml:space="preserve"> </v>
      </c>
      <c r="AI4" s="14"/>
      <c r="AJ4" s="14"/>
      <c r="AK4" s="14"/>
      <c r="AL4" s="16"/>
      <c r="AM4" s="12"/>
      <c r="AN4" s="31">
        <f ca="1">NOW()</f>
        <v>45643.480604166667</v>
      </c>
      <c r="AO4" s="12"/>
      <c r="AP4" s="34" t="s">
        <v>9</v>
      </c>
      <c r="AW4" s="35" t="s">
        <v>21</v>
      </c>
      <c r="AY4" t="s">
        <v>22</v>
      </c>
      <c r="BT4" t="s">
        <v>23</v>
      </c>
      <c r="BU4" s="36" t="s">
        <v>21</v>
      </c>
      <c r="BV4" t="s">
        <v>24</v>
      </c>
      <c r="BW4" t="s">
        <v>25</v>
      </c>
      <c r="BX4" t="s">
        <v>26</v>
      </c>
      <c r="BZ4" t="s">
        <v>23</v>
      </c>
      <c r="CA4" s="36" t="s">
        <v>21</v>
      </c>
      <c r="CB4" t="s">
        <v>24</v>
      </c>
      <c r="CC4" t="s">
        <v>25</v>
      </c>
      <c r="CD4" t="s">
        <v>26</v>
      </c>
      <c r="CM4" t="s">
        <v>27</v>
      </c>
    </row>
    <row r="5" spans="1:256" ht="9.9499999999999993" customHeight="1">
      <c r="A5" s="37" t="s">
        <v>28</v>
      </c>
      <c r="B5" s="27"/>
      <c r="I5" s="38"/>
      <c r="K5" s="38" t="s">
        <v>1183</v>
      </c>
      <c r="L5" s="368"/>
      <c r="M5" s="29"/>
      <c r="AE5" s="28" t="s">
        <v>28</v>
      </c>
      <c r="AG5" s="2"/>
      <c r="AH5" s="30"/>
      <c r="AM5" s="38"/>
      <c r="AN5" s="38" t="str">
        <f>K5</f>
        <v xml:space="preserve">                           N:\Opslag\Statik\Dalton statikark\LobrepEC_190701 </v>
      </c>
      <c r="AO5" s="28" t="s">
        <v>29</v>
      </c>
      <c r="AP5" s="29"/>
      <c r="BW5" s="39"/>
      <c r="CC5" s="39"/>
    </row>
    <row r="6" spans="1:256" ht="14.1" customHeight="1">
      <c r="A6" s="40" t="s">
        <v>30</v>
      </c>
      <c r="B6" s="12"/>
      <c r="C6" s="13" t="s">
        <v>9</v>
      </c>
      <c r="D6" s="14"/>
      <c r="E6" s="14"/>
      <c r="F6" s="14"/>
      <c r="G6" s="14"/>
      <c r="H6" s="14"/>
      <c r="I6" s="41" t="s">
        <v>31</v>
      </c>
      <c r="J6" s="42">
        <f ca="1">NOW()</f>
        <v>45643.480604166667</v>
      </c>
      <c r="K6" s="14"/>
      <c r="L6" s="43"/>
      <c r="M6" s="16"/>
      <c r="AE6" s="44" t="str">
        <f>A6</f>
        <v>Tilst</v>
      </c>
      <c r="AF6" s="14"/>
      <c r="AG6" s="12"/>
      <c r="AH6" s="21" t="str">
        <f>C6</f>
        <v xml:space="preserve"> </v>
      </c>
      <c r="AI6" s="14"/>
      <c r="AJ6" s="14"/>
      <c r="AK6" s="14"/>
      <c r="AL6" s="16"/>
      <c r="AM6" s="41" t="s">
        <v>31</v>
      </c>
      <c r="AN6" s="42">
        <f ca="1">NOW()</f>
        <v>45643.480604166667</v>
      </c>
      <c r="AO6" s="41"/>
      <c r="AP6" s="45" t="s">
        <v>9</v>
      </c>
      <c r="AW6" s="46">
        <v>0</v>
      </c>
      <c r="AY6" t="s">
        <v>32</v>
      </c>
      <c r="BK6" t="s">
        <v>33</v>
      </c>
      <c r="BL6" t="s">
        <v>34</v>
      </c>
      <c r="BT6" s="26" t="s">
        <v>35</v>
      </c>
      <c r="BU6" s="47">
        <f>J25+AW6</f>
        <v>30</v>
      </c>
      <c r="BV6" s="48">
        <f>BU6</f>
        <v>30</v>
      </c>
      <c r="BW6">
        <f>BU6</f>
        <v>30</v>
      </c>
      <c r="BX6" t="s">
        <v>36</v>
      </c>
      <c r="BZ6" s="26" t="s">
        <v>35</v>
      </c>
      <c r="CA6" s="47">
        <f>J25+AW6</f>
        <v>30</v>
      </c>
      <c r="CB6" s="48">
        <f>CA6</f>
        <v>30</v>
      </c>
      <c r="CC6">
        <f>CA6</f>
        <v>30</v>
      </c>
      <c r="CD6" t="s">
        <v>36</v>
      </c>
      <c r="CM6" s="49" t="s">
        <v>37</v>
      </c>
    </row>
    <row r="7" spans="1:256" ht="13.9" customHeight="1">
      <c r="N7" s="50">
        <f>IF(T2=1,+A!N6,IF(R4="ja",1,IF(I9=2,1,IF(I9=3,1.1,NA()))))</f>
        <v>1</v>
      </c>
      <c r="O7" t="s">
        <v>38</v>
      </c>
      <c r="AL7" s="51"/>
      <c r="AV7" t="s">
        <v>12</v>
      </c>
      <c r="BA7" t="s">
        <v>12</v>
      </c>
      <c r="BJ7" s="26" t="s">
        <v>39</v>
      </c>
      <c r="BK7" s="52" t="e">
        <f>J37</f>
        <v>#N/A</v>
      </c>
      <c r="BL7" s="52" t="e">
        <f>BL10-BL9-BL8</f>
        <v>#N/A</v>
      </c>
      <c r="BM7" t="s">
        <v>40</v>
      </c>
      <c r="BT7" s="26" t="s">
        <v>41</v>
      </c>
      <c r="BU7" s="53">
        <f>51000*BU6/(BU6+13)</f>
        <v>35581.395348837206</v>
      </c>
      <c r="BV7" s="53">
        <f>51000*BV6/(BV6+13)</f>
        <v>35581.395348837206</v>
      </c>
      <c r="BW7" s="53">
        <f>51000*BW6/(BW6+13)</f>
        <v>35581.395348837206</v>
      </c>
      <c r="BX7" t="s">
        <v>36</v>
      </c>
      <c r="BZ7" s="26" t="s">
        <v>41</v>
      </c>
      <c r="CA7" s="53">
        <f>51000*CA6/(CA6+13)</f>
        <v>35581.395348837206</v>
      </c>
      <c r="CB7" s="53">
        <f>51000*CB6/(CB6+13)</f>
        <v>35581.395348837206</v>
      </c>
      <c r="CC7" s="53">
        <f>51000*CC6/(CC6+13)</f>
        <v>35581.395348837206</v>
      </c>
      <c r="CD7" t="s">
        <v>36</v>
      </c>
      <c r="CV7" t="s">
        <v>42</v>
      </c>
    </row>
    <row r="8" spans="1:256" ht="13.9" customHeight="1">
      <c r="B8" s="54" t="s">
        <v>43</v>
      </c>
      <c r="N8" s="50">
        <f>IF(T2=1,+A!N7,IF(R4="ja",1,IF(I10="N",1,IF(I10="S",0.95,NA()))))</f>
        <v>1</v>
      </c>
      <c r="O8" t="str">
        <f>IF(CD211="ny"," = gamma3"," = gamma5")</f>
        <v xml:space="preserve"> = gamma5</v>
      </c>
      <c r="Q8" s="74">
        <v>1</v>
      </c>
      <c r="R8" s="49" t="s">
        <v>1144</v>
      </c>
      <c r="AE8" s="55" t="s">
        <v>44</v>
      </c>
      <c r="AG8" s="26" t="s">
        <v>45</v>
      </c>
      <c r="AH8" s="56" t="e">
        <f>AF29+AF30+AF31</f>
        <v>#N/A</v>
      </c>
      <c r="AI8" t="s">
        <v>46</v>
      </c>
      <c r="AJ8" s="55" t="s">
        <v>60</v>
      </c>
      <c r="AV8" t="s">
        <v>47</v>
      </c>
      <c r="BA8" t="s">
        <v>48</v>
      </c>
      <c r="BG8" s="57" t="e">
        <f>J38</f>
        <v>#N/A</v>
      </c>
      <c r="BH8" s="19" t="s">
        <v>49</v>
      </c>
      <c r="BJ8" s="26" t="s">
        <v>50</v>
      </c>
      <c r="BK8" s="52" t="e">
        <f>J34</f>
        <v>#N/A</v>
      </c>
      <c r="BL8" s="52" t="e">
        <f>J36</f>
        <v>#N/A</v>
      </c>
      <c r="BM8" t="s">
        <v>40</v>
      </c>
      <c r="BT8" s="26" t="s">
        <v>51</v>
      </c>
      <c r="BU8" s="53">
        <f>1/4*0.7*BU7</f>
        <v>6226.7441860465105</v>
      </c>
      <c r="BV8" s="53">
        <f>1/4*0.7*BV7</f>
        <v>6226.7441860465105</v>
      </c>
      <c r="BW8" s="53">
        <f>0.7*BW7</f>
        <v>24906.976744186042</v>
      </c>
      <c r="BX8" t="s">
        <v>36</v>
      </c>
      <c r="BZ8" s="26" t="s">
        <v>51</v>
      </c>
      <c r="CA8" s="53">
        <f>1/4*0.7*CA7</f>
        <v>6226.7441860465105</v>
      </c>
      <c r="CB8" s="53">
        <f>1/4*0.7*CB7</f>
        <v>6226.7441860465105</v>
      </c>
      <c r="CC8" s="53">
        <f>0.7*CC7</f>
        <v>24906.976744186042</v>
      </c>
      <c r="CD8" t="s">
        <v>36</v>
      </c>
      <c r="CN8" t="s">
        <v>52</v>
      </c>
      <c r="CO8" t="s">
        <v>53</v>
      </c>
      <c r="CV8" s="58" t="s">
        <v>54</v>
      </c>
      <c r="CW8" s="58" t="s">
        <v>55</v>
      </c>
      <c r="CX8" s="59" t="s">
        <v>55</v>
      </c>
      <c r="CY8" s="58" t="s">
        <v>0</v>
      </c>
      <c r="CZ8" s="58" t="s">
        <v>56</v>
      </c>
      <c r="DA8" s="58" t="s">
        <v>57</v>
      </c>
      <c r="DB8" s="58">
        <v>2</v>
      </c>
      <c r="DC8" s="59" t="s">
        <v>10</v>
      </c>
      <c r="DD8" s="58" t="s">
        <v>58</v>
      </c>
      <c r="IV8" s="25"/>
    </row>
    <row r="9" spans="1:256" ht="15.75">
      <c r="B9" s="60"/>
      <c r="G9" s="26" t="str">
        <f>IF(T2=0,"Konsekvensklasse"," ")</f>
        <v>Konsekvensklasse</v>
      </c>
      <c r="H9" s="26" t="str">
        <f>IF(T2=0,"CC"," ")</f>
        <v>CC</v>
      </c>
      <c r="I9" s="33">
        <v>2</v>
      </c>
      <c r="J9" s="61" t="str">
        <f>IF(K9="ikke tilladt !","Fejl !",IF(AND(T2=1,I9=" ")," ",IF(AND(T2=1,I9&gt;0),"Fejl !"," ")))</f>
        <v xml:space="preserve"> </v>
      </c>
      <c r="K9" t="str">
        <f>IF(T2=1," ",IF(I9=2,"Middel",IF(I9=3,"Høj","Ikke tilladt !")))</f>
        <v>Middel</v>
      </c>
      <c r="N9" s="53" t="e">
        <f>IF(T2=1,+A!N8,IF(AND(I11="P",MAXA(J28:J29)&lt;=10),15,IF(I11="P",25,IF(I11="M",25,IF(I11="A",35,IF(I11="E",45,NA()))))))</f>
        <v>#N/A</v>
      </c>
      <c r="O9" t="s">
        <v>59</v>
      </c>
      <c r="AE9" s="55" t="s">
        <v>1157</v>
      </c>
      <c r="AJ9" s="55" t="s">
        <v>1161</v>
      </c>
      <c r="AX9" t="s">
        <v>61</v>
      </c>
      <c r="BC9" t="s">
        <v>61</v>
      </c>
      <c r="BG9" s="10" t="e">
        <f>J35/BG8^2*((J36+J37)+J35/2)*((J34+J37)+J35/2)*(BG8-J35/2)/BG8^2</f>
        <v>#N/A</v>
      </c>
      <c r="BJ9" s="26" t="s">
        <v>62</v>
      </c>
      <c r="BK9" s="52" t="e">
        <f>BK10-BK7-BK8</f>
        <v>#N/A</v>
      </c>
      <c r="BL9" s="52" t="e">
        <f>J37</f>
        <v>#N/A</v>
      </c>
      <c r="BM9" t="s">
        <v>40</v>
      </c>
      <c r="BT9" s="26" t="s">
        <v>63</v>
      </c>
      <c r="BU9" s="47">
        <f>AA316</f>
        <v>200000</v>
      </c>
      <c r="BV9" s="62">
        <f>BU9</f>
        <v>200000</v>
      </c>
      <c r="BW9">
        <f>BU9</f>
        <v>200000</v>
      </c>
      <c r="BX9" t="s">
        <v>36</v>
      </c>
      <c r="BZ9" s="26" t="s">
        <v>63</v>
      </c>
      <c r="CA9" s="47">
        <f>AA316</f>
        <v>200000</v>
      </c>
      <c r="CB9" s="62">
        <f>CA9</f>
        <v>200000</v>
      </c>
      <c r="CC9">
        <f>CA9</f>
        <v>200000</v>
      </c>
      <c r="CD9" t="s">
        <v>36</v>
      </c>
      <c r="CM9" s="30" t="s">
        <v>64</v>
      </c>
      <c r="CN9" t="s">
        <v>65</v>
      </c>
      <c r="CO9" t="s">
        <v>66</v>
      </c>
      <c r="CV9" s="58" t="s">
        <v>67</v>
      </c>
      <c r="CW9" s="58" t="s">
        <v>19</v>
      </c>
      <c r="CX9" s="59" t="s">
        <v>19</v>
      </c>
      <c r="CY9" s="58" t="s">
        <v>68</v>
      </c>
      <c r="CZ9" s="58" t="s">
        <v>69</v>
      </c>
      <c r="DA9" s="58" t="s">
        <v>70</v>
      </c>
      <c r="DB9" s="58">
        <v>3</v>
      </c>
      <c r="DC9" s="59" t="s">
        <v>56</v>
      </c>
      <c r="DD9" s="58" t="s">
        <v>71</v>
      </c>
      <c r="IV9" s="25"/>
    </row>
    <row r="10" spans="1:256" ht="14.25" customHeight="1">
      <c r="G10" s="26" t="str">
        <f>IF(T2=0,"Kontrolklasse",+NS!G10)</f>
        <v>Kontrolklasse</v>
      </c>
      <c r="H10" s="63" t="s">
        <v>9</v>
      </c>
      <c r="I10" s="33" t="s">
        <v>56</v>
      </c>
      <c r="J10" s="61" t="str">
        <f>IF(K10="fejl !","Fejl !",IF(AND(T2=1,I10&gt;0,I10&lt;=4)," ",IF(T2=0," ","Fejl !")))</f>
        <v xml:space="preserve"> </v>
      </c>
      <c r="K10" t="str">
        <f>IF(T2=1," ",IF(I10="N","Normal",IF(I10="S","Skærpet","fejl !")))</f>
        <v>Normal</v>
      </c>
      <c r="N10" s="53">
        <v>5</v>
      </c>
      <c r="O10" t="s">
        <v>72</v>
      </c>
      <c r="AG10" s="64" t="s">
        <v>1156</v>
      </c>
      <c r="AI10" s="49" t="s">
        <v>73</v>
      </c>
      <c r="AL10" s="26" t="s">
        <v>33</v>
      </c>
      <c r="AN10" s="32" t="s">
        <v>34</v>
      </c>
      <c r="AW10" t="s">
        <v>61</v>
      </c>
      <c r="AX10" t="s">
        <v>74</v>
      </c>
      <c r="AY10" t="s">
        <v>75</v>
      </c>
      <c r="BB10" t="s">
        <v>61</v>
      </c>
      <c r="BC10" t="s">
        <v>74</v>
      </c>
      <c r="BD10" t="s">
        <v>75</v>
      </c>
      <c r="BJ10" s="26" t="s">
        <v>76</v>
      </c>
      <c r="BK10" s="52" t="e">
        <f>J38</f>
        <v>#N/A</v>
      </c>
      <c r="BL10" s="52" t="e">
        <f>BK10</f>
        <v>#N/A</v>
      </c>
      <c r="BM10" t="s">
        <v>40</v>
      </c>
      <c r="BT10" s="26" t="s">
        <v>77</v>
      </c>
      <c r="BU10" s="53">
        <f>BU9/BU8</f>
        <v>32.119514472455656</v>
      </c>
      <c r="BV10" s="53">
        <f>BV9/BV8</f>
        <v>32.119514472455656</v>
      </c>
      <c r="BW10" s="53">
        <f>BW9/BW8</f>
        <v>8.0298786181139139</v>
      </c>
      <c r="BZ10" s="26" t="s">
        <v>77</v>
      </c>
      <c r="CA10" s="53">
        <f>CA9/CA8</f>
        <v>32.119514472455656</v>
      </c>
      <c r="CB10" s="53">
        <f>CB9/CB8</f>
        <v>32.119514472455656</v>
      </c>
      <c r="CC10" s="53">
        <f>CC9/CC8</f>
        <v>8.0298786181139139</v>
      </c>
      <c r="CO10" t="s">
        <v>78</v>
      </c>
      <c r="CV10" s="58" t="s">
        <v>79</v>
      </c>
      <c r="CW10" s="19"/>
      <c r="CX10" s="19"/>
      <c r="CY10" s="58" t="s">
        <v>80</v>
      </c>
      <c r="CZ10" s="58">
        <v>1</v>
      </c>
      <c r="DA10" s="58" t="s">
        <v>0</v>
      </c>
      <c r="DB10" s="58" t="s">
        <v>9</v>
      </c>
      <c r="DC10" s="59" t="s">
        <v>69</v>
      </c>
      <c r="DD10" s="58" t="s">
        <v>81</v>
      </c>
      <c r="IV10" s="25"/>
    </row>
    <row r="11" spans="1:256" ht="15.75">
      <c r="G11" s="26" t="str">
        <f>IF(T2=0,"Miljøpåvirkning"," ")</f>
        <v>Miljøpåvirkning</v>
      </c>
      <c r="H11" s="61" t="str">
        <f>IF(AND(T2=1,H10="XC")," ",IF(AND(T2=1,H10="XD")," ",IF(AND(T2=1,H10="XS")," ",IF(T2=0," ","Fejl !"))))</f>
        <v xml:space="preserve"> </v>
      </c>
      <c r="I11" s="33" t="s">
        <v>57</v>
      </c>
      <c r="J11" s="61" t="str">
        <f>IF(K11="fejl !","Fejl",IF(AND(T2=1,I11="P"),"Fejl !",IF(AND(T2=1,I11="M"),"Fejl !",IF(AND(T2=1,I11="A"),"Fejl !",IF(AND(T2=1,I11="E"),"Fejl !"," ")))))</f>
        <v xml:space="preserve"> </v>
      </c>
      <c r="K11" t="str">
        <f>IF(T2=1," ",IF(I11="P","Passiv",IF(I11="M","Moderat",IF(I11="A","Aggressiv",IF(I11="E","Ekstra aggressiv","fejl !")))))</f>
        <v>Passiv</v>
      </c>
      <c r="N11" s="65">
        <f>IF(T2=1,+A!N10,0)</f>
        <v>0</v>
      </c>
      <c r="O11" t="s">
        <v>82</v>
      </c>
      <c r="Q11" s="55" t="e">
        <f>DÆKLAG+N11</f>
        <v>#N/A</v>
      </c>
      <c r="R11" t="s">
        <v>83</v>
      </c>
      <c r="U11" s="66">
        <f>IF(AA2=1,+A!U10,0)</f>
        <v>0</v>
      </c>
      <c r="V11" s="49"/>
      <c r="AM11" s="67" t="s">
        <v>84</v>
      </c>
      <c r="AW11" t="s">
        <v>85</v>
      </c>
      <c r="AX11" t="s">
        <v>86</v>
      </c>
      <c r="AY11" t="s">
        <v>85</v>
      </c>
      <c r="BB11" t="s">
        <v>85</v>
      </c>
      <c r="BC11" t="s">
        <v>86</v>
      </c>
      <c r="BD11" t="s">
        <v>85</v>
      </c>
      <c r="BI11" t="s">
        <v>87</v>
      </c>
      <c r="BJ11" s="26" t="s">
        <v>88</v>
      </c>
      <c r="BK11" s="52" t="e">
        <f>BK8*(BK9+BK8/2)/BK10</f>
        <v>#N/A</v>
      </c>
      <c r="BL11" s="52" t="e">
        <f>BL8*(BL9+BL8/2)/BL10</f>
        <v>#N/A</v>
      </c>
      <c r="BM11" t="s">
        <v>89</v>
      </c>
      <c r="BT11" s="26" t="s">
        <v>90</v>
      </c>
      <c r="BU11" s="47" t="e">
        <f>N9+N10+N11</f>
        <v>#N/A</v>
      </c>
      <c r="BV11" s="62" t="e">
        <f t="shared" ref="BV11:BV17" si="0">BU11</f>
        <v>#N/A</v>
      </c>
      <c r="BW11" t="e">
        <f>BU11</f>
        <v>#N/A</v>
      </c>
      <c r="BX11" t="s">
        <v>91</v>
      </c>
      <c r="BZ11" s="26" t="s">
        <v>90</v>
      </c>
      <c r="CA11" s="47" t="e">
        <f>N9+N10+N11</f>
        <v>#N/A</v>
      </c>
      <c r="CB11" s="62" t="e">
        <f t="shared" ref="CB11:CB17" si="1">CA11</f>
        <v>#N/A</v>
      </c>
      <c r="CC11" t="e">
        <f>CA11</f>
        <v>#N/A</v>
      </c>
      <c r="CD11" t="s">
        <v>91</v>
      </c>
      <c r="CM11" s="19" t="e">
        <f>IF(SUM(L60:L63)=0,1,0)</f>
        <v>#N/A</v>
      </c>
      <c r="CN11" s="19">
        <v>11</v>
      </c>
      <c r="CO11" s="68" t="s">
        <v>92</v>
      </c>
      <c r="CV11" s="69"/>
      <c r="CW11" s="19"/>
      <c r="CX11" s="19"/>
      <c r="CY11" s="58" t="s">
        <v>10</v>
      </c>
      <c r="CZ11" s="58">
        <v>2</v>
      </c>
      <c r="DA11" s="58" t="s">
        <v>93</v>
      </c>
      <c r="DB11" s="19"/>
      <c r="DC11" s="19"/>
      <c r="DD11" s="58" t="s">
        <v>9</v>
      </c>
      <c r="IV11" s="25"/>
    </row>
    <row r="12" spans="1:256" ht="15.75">
      <c r="G12" s="70" t="str">
        <f>IF(R4="nej"," ",IF(R4="ja","Beregning i ulykkessituation","Fejl"))</f>
        <v xml:space="preserve"> </v>
      </c>
      <c r="N12" s="71" t="str">
        <f>X13</f>
        <v>EC + dansk NAD</v>
      </c>
      <c r="AG12" s="72" t="s">
        <v>94</v>
      </c>
      <c r="AH12" s="56" t="e">
        <f>$J$38</f>
        <v>#N/A</v>
      </c>
      <c r="AI12" t="s">
        <v>95</v>
      </c>
      <c r="AL12" s="52" t="e">
        <f>AF32+AF29-L64</f>
        <v>#N/A</v>
      </c>
      <c r="AN12" s="52" t="e">
        <f>AM16-AL12</f>
        <v>#N/A</v>
      </c>
      <c r="AO12" t="s">
        <v>40</v>
      </c>
      <c r="AU12" s="74">
        <f>AY12</f>
        <v>8</v>
      </c>
      <c r="AV12" s="26" t="s">
        <v>96</v>
      </c>
      <c r="AW12" s="74">
        <f>IF(AW4="langtids",HLOOKUP(J25+AW6,AW42:BD44,3),IF(AW4="korttids",HLOOKUP(J25+AW6,AW42:BD44,2),NA()))</f>
        <v>30</v>
      </c>
      <c r="AX12" s="74">
        <f>AW12</f>
        <v>30</v>
      </c>
      <c r="AY12" s="74">
        <f>HLOOKUP(J25+AW6,AW42:BD44,2)</f>
        <v>8</v>
      </c>
      <c r="AZ12" t="s">
        <v>97</v>
      </c>
      <c r="BA12" t="s">
        <v>96</v>
      </c>
      <c r="BB12" s="74">
        <f>AW12</f>
        <v>30</v>
      </c>
      <c r="BC12" s="74">
        <f t="shared" ref="BC12:BC18" si="2">BB12</f>
        <v>30</v>
      </c>
      <c r="BD12" s="74">
        <f>AY12</f>
        <v>8</v>
      </c>
      <c r="BE12" t="s">
        <v>97</v>
      </c>
      <c r="BF12" s="73">
        <f>BD12</f>
        <v>8</v>
      </c>
      <c r="BI12" s="19" t="s">
        <v>98</v>
      </c>
      <c r="BJ12" s="26" t="s">
        <v>99</v>
      </c>
      <c r="BK12" s="52" t="e">
        <f>IF(BK7+BK8&lt;=BK10/2,BK11*BK10/2-BK8*(BK10/2-BK7-BK8/2),IF(AND(BK7&lt;=BK10/2,BK7+BK8&gt;BK10/2),BK11*BK10/2-(BK10/2-BK7)^2/2,BK11*BK10/2))</f>
        <v>#N/A</v>
      </c>
      <c r="BL12" s="52" t="e">
        <f>IF(BL7+BL8&lt;=BL10/2,BL11*BL10/2-BL8*(BL10/2-BL7-BL8/2),IF(AND(BL7&lt;=BL10/2,BL7+BL8&gt;BL10/2),BL11*BL10/2-(BL10/2-BL7)^2/2,BL11*BL10/2))</f>
        <v>#N/A</v>
      </c>
      <c r="BM12" t="s">
        <v>100</v>
      </c>
      <c r="BT12" s="26" t="s">
        <v>101</v>
      </c>
      <c r="BU12" s="47" t="e">
        <f>(H28*J28*L95/J23+H29*J29)/(H28*L95/J23+H29)</f>
        <v>#N/A</v>
      </c>
      <c r="BV12" s="62" t="e">
        <f t="shared" si="0"/>
        <v>#N/A</v>
      </c>
      <c r="BW12" t="e">
        <f>BU12</f>
        <v>#N/A</v>
      </c>
      <c r="BX12" t="s">
        <v>91</v>
      </c>
      <c r="BZ12" s="26" t="s">
        <v>102</v>
      </c>
      <c r="CA12" s="47" t="e">
        <f>J28</f>
        <v>#N/A</v>
      </c>
      <c r="CB12" s="62" t="e">
        <f t="shared" si="1"/>
        <v>#N/A</v>
      </c>
      <c r="CC12" t="e">
        <f>CA12</f>
        <v>#N/A</v>
      </c>
      <c r="CD12" t="s">
        <v>91</v>
      </c>
      <c r="CM12" s="19" t="e">
        <f>IF(H74&gt;L74,1,0)</f>
        <v>#N/A</v>
      </c>
      <c r="CN12" s="19">
        <v>12</v>
      </c>
      <c r="CO12" s="68" t="s">
        <v>103</v>
      </c>
      <c r="CV12" s="19"/>
      <c r="CW12" s="58" t="s">
        <v>104</v>
      </c>
      <c r="CX12" s="19"/>
      <c r="CY12" s="58" t="s">
        <v>9</v>
      </c>
      <c r="CZ12" s="58">
        <v>3</v>
      </c>
      <c r="DA12" s="58" t="s">
        <v>9</v>
      </c>
      <c r="DB12" s="58">
        <v>1</v>
      </c>
      <c r="DC12" s="19"/>
      <c r="IV12" s="25"/>
    </row>
    <row r="13" spans="1:256">
      <c r="B13" t="s">
        <v>105</v>
      </c>
      <c r="N13" s="50">
        <f>IF(T2=1,+NS!N13,IF(R4="ja",1,1.4*N8*Q8))</f>
        <v>1.4</v>
      </c>
      <c r="O13" t="s">
        <v>106</v>
      </c>
      <c r="R13" s="50">
        <f>IF(T2=1,+NS!R13,1)</f>
        <v>1</v>
      </c>
      <c r="S13" t="s">
        <v>107</v>
      </c>
      <c r="W13" t="s">
        <v>108</v>
      </c>
      <c r="X13" t="str">
        <f>IF(T2=1,+NS!X13,"EC + dansk NAD")</f>
        <v>EC + dansk NAD</v>
      </c>
      <c r="AA13" s="50" t="s">
        <v>109</v>
      </c>
      <c r="AM13" s="26" t="s">
        <v>1162</v>
      </c>
      <c r="AU13" s="53" t="e">
        <f>AW13</f>
        <v>#N/A</v>
      </c>
      <c r="AV13" s="26" t="s">
        <v>110</v>
      </c>
      <c r="AW13" s="74" t="e">
        <f>H28</f>
        <v>#N/A</v>
      </c>
      <c r="AX13" s="74" t="e">
        <f>AW13</f>
        <v>#N/A</v>
      </c>
      <c r="AY13" s="74" t="e">
        <f>AW13</f>
        <v>#N/A</v>
      </c>
      <c r="AZ13" t="s">
        <v>111</v>
      </c>
      <c r="BA13" t="s">
        <v>110</v>
      </c>
      <c r="BB13" s="74" t="e">
        <f>H28/J23*L95</f>
        <v>#N/A</v>
      </c>
      <c r="BC13" s="74" t="e">
        <f t="shared" si="2"/>
        <v>#N/A</v>
      </c>
      <c r="BD13" s="74" t="e">
        <f>BB13</f>
        <v>#N/A</v>
      </c>
      <c r="BE13" t="s">
        <v>112</v>
      </c>
      <c r="BF13" s="73" t="e">
        <f t="shared" ref="BF13:BF18" si="3">BB13</f>
        <v>#N/A</v>
      </c>
      <c r="BT13" s="26" t="s">
        <v>113</v>
      </c>
      <c r="BU13" s="76" t="e">
        <f>BB23</f>
        <v>#N/A</v>
      </c>
      <c r="BV13" s="62" t="e">
        <f t="shared" si="0"/>
        <v>#N/A</v>
      </c>
      <c r="BW13" s="53" t="e">
        <f>BU13</f>
        <v>#N/A</v>
      </c>
      <c r="BX13" t="s">
        <v>114</v>
      </c>
      <c r="BZ13" s="26" t="s">
        <v>113</v>
      </c>
      <c r="CA13" s="76" t="e">
        <f>J32</f>
        <v>#N/A</v>
      </c>
      <c r="CB13" s="62" t="e">
        <f t="shared" si="1"/>
        <v>#N/A</v>
      </c>
      <c r="CC13" s="53" t="e">
        <f>CA13</f>
        <v>#N/A</v>
      </c>
      <c r="CD13" t="s">
        <v>114</v>
      </c>
      <c r="CM13" s="19" t="e">
        <f>IF(H80&gt;L80,1,0)</f>
        <v>#N/A</v>
      </c>
      <c r="CN13" s="19">
        <v>13</v>
      </c>
      <c r="CO13" s="68" t="s">
        <v>115</v>
      </c>
      <c r="CV13" s="19"/>
      <c r="CW13" s="58" t="s">
        <v>116</v>
      </c>
      <c r="CX13" s="19"/>
      <c r="CY13" s="58" t="s">
        <v>117</v>
      </c>
      <c r="CZ13" s="58">
        <v>4</v>
      </c>
      <c r="DA13" s="19"/>
      <c r="DB13" s="58">
        <v>2</v>
      </c>
      <c r="DC13" s="361">
        <v>1</v>
      </c>
      <c r="IV13" s="25"/>
    </row>
    <row r="14" spans="1:256">
      <c r="G14" t="s">
        <v>118</v>
      </c>
      <c r="H14" t="s">
        <v>119</v>
      </c>
      <c r="I14" t="s">
        <v>120</v>
      </c>
      <c r="J14" s="65" t="e">
        <f>NA()</f>
        <v>#N/A</v>
      </c>
      <c r="K14" t="s">
        <v>91</v>
      </c>
      <c r="N14" s="50">
        <f>IF(T2=1,+NS!N14,IF(R4="ja",1,1.6*N8*Q8))</f>
        <v>1.6</v>
      </c>
      <c r="O14" t="s">
        <v>121</v>
      </c>
      <c r="R14" s="50">
        <f>IF(T2=1,+NS!R14,1)</f>
        <v>1</v>
      </c>
      <c r="S14" t="s">
        <v>122</v>
      </c>
      <c r="W14" s="26" t="s">
        <v>123</v>
      </c>
      <c r="X14" s="26"/>
      <c r="Y14" s="26"/>
      <c r="Z14" s="77" t="s">
        <v>124</v>
      </c>
      <c r="AA14" s="56" t="s">
        <v>125</v>
      </c>
      <c r="AF14" s="78" t="s">
        <v>126</v>
      </c>
      <c r="AG14" s="69" t="e">
        <f>AH8/4*(AH12-AH8/2)</f>
        <v>#N/A</v>
      </c>
      <c r="AI14" s="79" t="s">
        <v>147</v>
      </c>
      <c r="AU14" s="74" t="e">
        <f>AW14</f>
        <v>#N/A</v>
      </c>
      <c r="AV14" s="26" t="s">
        <v>127</v>
      </c>
      <c r="AW14" s="53" t="e">
        <f>J28</f>
        <v>#N/A</v>
      </c>
      <c r="AX14" s="53" t="e">
        <f>AW14</f>
        <v>#N/A</v>
      </c>
      <c r="AY14" s="53" t="e">
        <f>AW14</f>
        <v>#N/A</v>
      </c>
      <c r="AZ14" t="s">
        <v>128</v>
      </c>
      <c r="BA14" t="s">
        <v>129</v>
      </c>
      <c r="BB14" s="53" t="e">
        <f>J28</f>
        <v>#N/A</v>
      </c>
      <c r="BC14" s="53" t="e">
        <f t="shared" si="2"/>
        <v>#N/A</v>
      </c>
      <c r="BD14" s="53" t="e">
        <f>BB14</f>
        <v>#N/A</v>
      </c>
      <c r="BE14" t="s">
        <v>128</v>
      </c>
      <c r="BF14" s="75" t="e">
        <f t="shared" si="3"/>
        <v>#N/A</v>
      </c>
      <c r="BT14" s="26" t="s">
        <v>130</v>
      </c>
      <c r="BU14" s="47" t="e">
        <f>J38</f>
        <v>#N/A</v>
      </c>
      <c r="BV14" s="62" t="e">
        <f t="shared" si="0"/>
        <v>#N/A</v>
      </c>
      <c r="BW14" t="e">
        <f>BU14</f>
        <v>#N/A</v>
      </c>
      <c r="BX14" t="s">
        <v>40</v>
      </c>
      <c r="BZ14" s="26" t="s">
        <v>130</v>
      </c>
      <c r="CA14" s="47" t="e">
        <f>J38</f>
        <v>#N/A</v>
      </c>
      <c r="CB14" s="62" t="e">
        <f t="shared" si="1"/>
        <v>#N/A</v>
      </c>
      <c r="CC14" t="e">
        <f>CA14</f>
        <v>#N/A</v>
      </c>
      <c r="CD14" t="s">
        <v>40</v>
      </c>
      <c r="CM14" s="19">
        <f>IF(N136="nej",1,0)</f>
        <v>0</v>
      </c>
      <c r="CN14" s="19">
        <v>14</v>
      </c>
      <c r="CO14" s="68" t="s">
        <v>131</v>
      </c>
      <c r="CV14" s="19"/>
      <c r="CW14" s="19"/>
      <c r="CX14" s="19"/>
      <c r="CY14" s="58" t="s">
        <v>132</v>
      </c>
      <c r="CZ14" s="19"/>
      <c r="DA14" s="19"/>
      <c r="DB14" s="19"/>
      <c r="DC14" s="361">
        <v>1.2</v>
      </c>
      <c r="IV14" s="25"/>
    </row>
    <row r="15" spans="1:256" ht="15" customHeight="1">
      <c r="C15" t="s">
        <v>133</v>
      </c>
      <c r="G15" t="s">
        <v>134</v>
      </c>
      <c r="H15" t="s">
        <v>135</v>
      </c>
      <c r="I15" t="s">
        <v>120</v>
      </c>
      <c r="J15" s="65" t="e">
        <f>NA()</f>
        <v>#N/A</v>
      </c>
      <c r="K15" t="s">
        <v>91</v>
      </c>
      <c r="N15" s="50">
        <f>IF(T2=1,+NS!N15,IF(R4="ja",1,1.2*N8*Q8))</f>
        <v>1.2</v>
      </c>
      <c r="O15" t="s">
        <v>136</v>
      </c>
      <c r="V15" s="26" t="s">
        <v>137</v>
      </c>
      <c r="W15" s="50" t="e">
        <f>H49</f>
        <v>#N/A</v>
      </c>
      <c r="X15" s="50">
        <f>IF(T2=1,+NS!X15,IF(R4="ja",1,1.2*N7))</f>
        <v>1.2</v>
      </c>
      <c r="Y15" s="50">
        <f>IF(T2=1,+NS!Y15,IF(R4="ja",1,1*N7))</f>
        <v>1</v>
      </c>
      <c r="Z15" s="77" t="e">
        <f>IF(X17=MAXA(X17:Y17),+X15,+Y15)</f>
        <v>#N/A</v>
      </c>
      <c r="AA15" s="50">
        <v>0.9</v>
      </c>
      <c r="AV15" s="26"/>
      <c r="BA15" t="s">
        <v>110</v>
      </c>
      <c r="BB15" s="53" t="e">
        <f>H29</f>
        <v>#N/A</v>
      </c>
      <c r="BC15" t="e">
        <f t="shared" si="2"/>
        <v>#N/A</v>
      </c>
      <c r="BD15" s="53" t="e">
        <f>BB15</f>
        <v>#N/A</v>
      </c>
      <c r="BE15" t="s">
        <v>112</v>
      </c>
      <c r="BF15" s="75" t="e">
        <f t="shared" si="3"/>
        <v>#N/A</v>
      </c>
      <c r="BH15" t="s">
        <v>138</v>
      </c>
      <c r="BT15" s="26" t="s">
        <v>139</v>
      </c>
      <c r="BU15" s="80" t="e">
        <f>J37+J34+J35/COS(N19)+J36+J37</f>
        <v>#N/A</v>
      </c>
      <c r="BV15" s="62" t="e">
        <f t="shared" si="0"/>
        <v>#N/A</v>
      </c>
      <c r="BW15" s="50" t="e">
        <f>BU15</f>
        <v>#N/A</v>
      </c>
      <c r="BX15" t="s">
        <v>40</v>
      </c>
      <c r="BZ15" s="26" t="s">
        <v>139</v>
      </c>
      <c r="CA15" s="80" t="e">
        <f>J37+J34+J35/COS(N19)+J36+J37</f>
        <v>#N/A</v>
      </c>
      <c r="CB15" s="62" t="e">
        <f t="shared" si="1"/>
        <v>#N/A</v>
      </c>
      <c r="CC15" s="50" t="e">
        <f>CA15</f>
        <v>#N/A</v>
      </c>
      <c r="CD15" t="s">
        <v>40</v>
      </c>
      <c r="CM15" s="19" t="e">
        <f>IF(AND(N136="ja",H146&gt;L146,H147&gt;L147,H148&gt;L148),1,0)</f>
        <v>#N/A</v>
      </c>
      <c r="CN15" s="19">
        <v>15</v>
      </c>
      <c r="CO15" s="68" t="s">
        <v>140</v>
      </c>
      <c r="DB15" s="58">
        <v>8</v>
      </c>
      <c r="IV15" s="25"/>
    </row>
    <row r="16" spans="1:256" ht="15" customHeight="1">
      <c r="A16" s="81"/>
      <c r="D16" s="19" t="s">
        <v>141</v>
      </c>
      <c r="G16" t="s">
        <v>142</v>
      </c>
      <c r="H16" t="s">
        <v>143</v>
      </c>
      <c r="I16" t="s">
        <v>120</v>
      </c>
      <c r="J16" s="65">
        <v>0</v>
      </c>
      <c r="K16" t="s">
        <v>91</v>
      </c>
      <c r="N16" s="50">
        <f>IF(T2=1,+NS!N16,IF(R4="ja",1,1.1*N8*Q8))</f>
        <v>1.1000000000000001</v>
      </c>
      <c r="O16" t="s">
        <v>144</v>
      </c>
      <c r="V16" s="26" t="s">
        <v>145</v>
      </c>
      <c r="W16" s="50">
        <f>H50</f>
        <v>5</v>
      </c>
      <c r="X16" s="50">
        <f>IF(T2=1,+NS!X16,IF(R4="ja",1,0*N7))</f>
        <v>0</v>
      </c>
      <c r="Y16" s="50">
        <f>IF(T2=1,+NS!Y16,IF(R4="ja",1,1.5*N7))</f>
        <v>1.5</v>
      </c>
      <c r="Z16" s="77" t="e">
        <f>IF(X17=MAXA(X17:Y17),+X16,+Y16)</f>
        <v>#N/A</v>
      </c>
      <c r="AE16" s="184" t="s">
        <v>1158</v>
      </c>
      <c r="AG16" s="26"/>
      <c r="AK16" s="26" t="s">
        <v>1155</v>
      </c>
      <c r="AL16" s="52" t="e">
        <f>AN12/AM16</f>
        <v>#N/A</v>
      </c>
      <c r="AM16" s="69" t="e">
        <f>J38</f>
        <v>#N/A</v>
      </c>
      <c r="AN16" s="52" t="e">
        <f>AL12/AM16</f>
        <v>#N/A</v>
      </c>
      <c r="AO16" t="s">
        <v>460</v>
      </c>
      <c r="AV16" s="26"/>
      <c r="BA16" t="s">
        <v>129</v>
      </c>
      <c r="BB16" t="e">
        <f>J29</f>
        <v>#N/A</v>
      </c>
      <c r="BC16" t="e">
        <f t="shared" si="2"/>
        <v>#N/A</v>
      </c>
      <c r="BD16" s="53" t="e">
        <f>BB16</f>
        <v>#N/A</v>
      </c>
      <c r="BE16" t="s">
        <v>128</v>
      </c>
      <c r="BF16" s="75" t="e">
        <f t="shared" si="3"/>
        <v>#N/A</v>
      </c>
      <c r="BH16" s="52" t="e">
        <f>IF(AL12&lt;AM16/2,AN16*AM16/2,AL16*AM16/2)</f>
        <v>#N/A</v>
      </c>
      <c r="BT16" s="26" t="s">
        <v>146</v>
      </c>
      <c r="BU16" s="83" t="e">
        <f>BB17+0*BD17</f>
        <v>#N/A</v>
      </c>
      <c r="BV16" s="62" t="e">
        <f t="shared" si="0"/>
        <v>#N/A</v>
      </c>
      <c r="BW16" s="73" t="e">
        <f>(1-0)*BD17</f>
        <v>#N/A</v>
      </c>
      <c r="BX16" t="s">
        <v>147</v>
      </c>
      <c r="BZ16" s="26" t="s">
        <v>146</v>
      </c>
      <c r="CA16" s="83" t="e">
        <f>AW17+O89*AY17</f>
        <v>#N/A</v>
      </c>
      <c r="CB16" s="62" t="e">
        <f t="shared" si="1"/>
        <v>#N/A</v>
      </c>
      <c r="CC16" s="83" t="e">
        <f>(1-O89)*AY17</f>
        <v>#N/A</v>
      </c>
      <c r="CD16" t="s">
        <v>147</v>
      </c>
      <c r="CM16" s="19" t="e">
        <f>IF(CM15=1,0,IF(AND(N136="ja",H146&gt;L146),1,0))</f>
        <v>#N/A</v>
      </c>
      <c r="CN16" s="19">
        <v>16</v>
      </c>
      <c r="CO16" s="68" t="s">
        <v>148</v>
      </c>
      <c r="CV16">
        <v>1</v>
      </c>
      <c r="CW16" s="84" t="s">
        <v>149</v>
      </c>
      <c r="CX16" t="s">
        <v>150</v>
      </c>
      <c r="DB16" s="58">
        <v>10</v>
      </c>
      <c r="IV16" s="25"/>
    </row>
    <row r="17" spans="2:256" ht="15" customHeight="1">
      <c r="B17" s="26" t="s">
        <v>135</v>
      </c>
      <c r="C17" s="26" t="s">
        <v>151</v>
      </c>
      <c r="G17" t="s">
        <v>152</v>
      </c>
      <c r="H17" t="s">
        <v>153</v>
      </c>
      <c r="I17" t="s">
        <v>120</v>
      </c>
      <c r="J17" s="74" t="e">
        <f>180/PI()*N19</f>
        <v>#N/A</v>
      </c>
      <c r="K17" t="s">
        <v>154</v>
      </c>
      <c r="W17" s="26" t="s">
        <v>155</v>
      </c>
      <c r="X17" s="50" t="e">
        <f>W15*X15+W16*X16</f>
        <v>#N/A</v>
      </c>
      <c r="Y17" s="50" t="e">
        <f>W15*Y15+W16*Y16</f>
        <v>#N/A</v>
      </c>
      <c r="Z17" s="26" t="s">
        <v>156</v>
      </c>
      <c r="AE17" s="184" t="s">
        <v>1159</v>
      </c>
      <c r="AF17" s="82"/>
      <c r="AG17" s="19" t="s">
        <v>157</v>
      </c>
      <c r="AH17" s="19" t="s">
        <v>158</v>
      </c>
      <c r="AI17" s="19" t="s">
        <v>159</v>
      </c>
      <c r="AJ17" s="85"/>
      <c r="AU17" s="74" t="e">
        <f>AW17</f>
        <v>#N/A</v>
      </c>
      <c r="AV17" s="26" t="s">
        <v>160</v>
      </c>
      <c r="AW17" s="83" t="e">
        <f>AG14*H49*J23*10^-3</f>
        <v>#N/A</v>
      </c>
      <c r="AX17" s="74" t="e">
        <f>AW17</f>
        <v>#N/A</v>
      </c>
      <c r="AY17" s="83" t="e">
        <f>AG14*H50*J23*10^-3</f>
        <v>#N/A</v>
      </c>
      <c r="AZ17" t="s">
        <v>161</v>
      </c>
      <c r="BA17" t="s">
        <v>160</v>
      </c>
      <c r="BB17" s="83" t="e">
        <f>AG14*H49*L95*10^-3+H55*BK12+H57*BL12+H60*BH16+H62*BH19</f>
        <v>#N/A</v>
      </c>
      <c r="BC17" s="74" t="e">
        <f t="shared" si="2"/>
        <v>#N/A</v>
      </c>
      <c r="BD17" s="83" t="e">
        <f>AG14*H50*L95*10^-3+H56*BK12+H58*BL12+H61*BH16+H63*BH19</f>
        <v>#N/A</v>
      </c>
      <c r="BE17" t="s">
        <v>161</v>
      </c>
      <c r="BF17" s="73" t="e">
        <f t="shared" si="3"/>
        <v>#N/A</v>
      </c>
      <c r="BH17" s="52" t="s">
        <v>162</v>
      </c>
      <c r="BT17" s="26" t="s">
        <v>62</v>
      </c>
      <c r="BU17" s="47" t="e">
        <f>L95</f>
        <v>#N/A</v>
      </c>
      <c r="BV17" s="62" t="e">
        <f t="shared" si="0"/>
        <v>#N/A</v>
      </c>
      <c r="BW17" t="e">
        <f>BU17</f>
        <v>#N/A</v>
      </c>
      <c r="BX17" t="s">
        <v>91</v>
      </c>
      <c r="BZ17" s="26" t="s">
        <v>62</v>
      </c>
      <c r="CA17" s="47" t="e">
        <f>J23</f>
        <v>#N/A</v>
      </c>
      <c r="CB17" s="62" t="e">
        <f t="shared" si="1"/>
        <v>#N/A</v>
      </c>
      <c r="CC17" t="e">
        <f>CA17</f>
        <v>#N/A</v>
      </c>
      <c r="CD17" t="s">
        <v>91</v>
      </c>
      <c r="CM17" s="19" t="e">
        <f>IF(CM15=1,0,IF(AND(N136="ja",H147&gt;L147),1,0))</f>
        <v>#N/A</v>
      </c>
      <c r="CN17" s="19">
        <v>17</v>
      </c>
      <c r="CO17" s="68" t="s">
        <v>163</v>
      </c>
      <c r="CV17">
        <v>2</v>
      </c>
      <c r="CW17" s="84" t="s">
        <v>164</v>
      </c>
      <c r="CX17" t="s">
        <v>165</v>
      </c>
      <c r="IV17" s="25"/>
    </row>
    <row r="18" spans="2:256" ht="15" customHeight="1" thickBot="1">
      <c r="B18" t="s">
        <v>166</v>
      </c>
      <c r="D18" s="86" t="s">
        <v>167</v>
      </c>
      <c r="G18" t="s">
        <v>168</v>
      </c>
      <c r="H18" t="s">
        <v>151</v>
      </c>
      <c r="I18" t="s">
        <v>120</v>
      </c>
      <c r="J18" s="65" t="e">
        <f>NA()</f>
        <v>#N/A</v>
      </c>
      <c r="K18" t="s">
        <v>91</v>
      </c>
      <c r="N18" s="74" t="e">
        <f>SQRT(J15^2+J14^2)</f>
        <v>#N/A</v>
      </c>
      <c r="O18" t="s">
        <v>169</v>
      </c>
      <c r="P18" t="s">
        <v>170</v>
      </c>
      <c r="AA18" s="74"/>
      <c r="AE18" s="365" t="s">
        <v>1160</v>
      </c>
      <c r="AG18" s="19" t="s">
        <v>171</v>
      </c>
      <c r="AH18" s="79"/>
      <c r="AM18" s="72" t="s">
        <v>1162</v>
      </c>
      <c r="AN18" s="87" t="s">
        <v>172</v>
      </c>
      <c r="AU18" s="53" t="e">
        <f>AW18</f>
        <v>#N/A</v>
      </c>
      <c r="AV18" s="26" t="s">
        <v>173</v>
      </c>
      <c r="AW18" s="53" t="e">
        <f>J23</f>
        <v>#N/A</v>
      </c>
      <c r="AX18" s="53" t="e">
        <f>AW18</f>
        <v>#N/A</v>
      </c>
      <c r="AY18" s="53" t="e">
        <f t="shared" ref="AY18:AY23" si="4">AW18</f>
        <v>#N/A</v>
      </c>
      <c r="AZ18" t="s">
        <v>169</v>
      </c>
      <c r="BA18" t="s">
        <v>173</v>
      </c>
      <c r="BB18" s="53" t="e">
        <f>L95</f>
        <v>#N/A</v>
      </c>
      <c r="BC18" s="53" t="e">
        <f t="shared" si="2"/>
        <v>#N/A</v>
      </c>
      <c r="BD18" s="53" t="e">
        <f>BB18</f>
        <v>#N/A</v>
      </c>
      <c r="BE18" t="s">
        <v>169</v>
      </c>
      <c r="BF18" s="75" t="e">
        <f t="shared" si="3"/>
        <v>#N/A</v>
      </c>
      <c r="BH18" t="s">
        <v>174</v>
      </c>
      <c r="BT18" s="26" t="s">
        <v>175</v>
      </c>
      <c r="BU18" s="47" t="e">
        <f>J20+N10</f>
        <v>#N/A</v>
      </c>
      <c r="BV18" s="47" t="e">
        <f>J22+N10</f>
        <v>#N/A</v>
      </c>
      <c r="BW18" t="e">
        <f>BU18</f>
        <v>#N/A</v>
      </c>
      <c r="BX18" t="s">
        <v>114</v>
      </c>
      <c r="BZ18" s="26" t="s">
        <v>175</v>
      </c>
      <c r="CA18" s="47" t="e">
        <f>J20+N10</f>
        <v>#N/A</v>
      </c>
      <c r="CB18" s="47" t="e">
        <f>J22+N10</f>
        <v>#N/A</v>
      </c>
      <c r="CC18" t="e">
        <f>CA18</f>
        <v>#N/A</v>
      </c>
      <c r="CD18" t="s">
        <v>114</v>
      </c>
      <c r="CM18" s="19" t="e">
        <f>IF(CM15=1,0,IF(AND(N136="ja",H148&gt;L148),1,0))</f>
        <v>#N/A</v>
      </c>
      <c r="CN18" s="19">
        <v>18</v>
      </c>
      <c r="CO18" s="68" t="s">
        <v>176</v>
      </c>
      <c r="CV18">
        <v>3</v>
      </c>
      <c r="CW18" s="84" t="s">
        <v>177</v>
      </c>
      <c r="CX18" t="s">
        <v>178</v>
      </c>
      <c r="IV18" s="25"/>
    </row>
    <row r="19" spans="2:256" ht="15" customHeight="1">
      <c r="G19" t="s">
        <v>179</v>
      </c>
      <c r="H19" t="s">
        <v>180</v>
      </c>
      <c r="I19" t="s">
        <v>120</v>
      </c>
      <c r="J19" s="65" t="e">
        <f>NA()</f>
        <v>#N/A</v>
      </c>
      <c r="K19" t="s">
        <v>91</v>
      </c>
      <c r="N19" s="52" t="e">
        <f>ATAN(J15/J14)</f>
        <v>#N/A</v>
      </c>
      <c r="O19" t="s">
        <v>181</v>
      </c>
      <c r="P19" t="s">
        <v>182</v>
      </c>
      <c r="V19" s="88" t="s">
        <v>183</v>
      </c>
      <c r="W19" s="89"/>
      <c r="X19" s="89"/>
      <c r="Y19" s="89"/>
      <c r="Z19" s="90"/>
      <c r="AA19" s="91"/>
      <c r="AG19" s="26" t="s">
        <v>184</v>
      </c>
      <c r="AH19" s="19" t="s">
        <v>185</v>
      </c>
      <c r="AI19" t="s">
        <v>186</v>
      </c>
      <c r="AK19" s="19"/>
      <c r="AL19" s="52" t="e">
        <f>AM16-AN19</f>
        <v>#N/A</v>
      </c>
      <c r="AN19" s="52" t="e">
        <f>AF32+AF31-L65</f>
        <v>#N/A</v>
      </c>
      <c r="AO19" t="s">
        <v>40</v>
      </c>
      <c r="AU19" s="53" t="e">
        <f>AW19+AY46</f>
        <v>#N/A</v>
      </c>
      <c r="AV19" s="26" t="s">
        <v>187</v>
      </c>
      <c r="AW19" s="53" t="e">
        <f>J20+N10</f>
        <v>#N/A</v>
      </c>
      <c r="AX19" s="53" t="e">
        <f>J22+N10</f>
        <v>#N/A</v>
      </c>
      <c r="AY19" s="53" t="e">
        <f t="shared" si="4"/>
        <v>#N/A</v>
      </c>
      <c r="AZ19" t="s">
        <v>128</v>
      </c>
      <c r="BA19" t="s">
        <v>187</v>
      </c>
      <c r="BB19" s="53" t="e">
        <f>J20+N10</f>
        <v>#N/A</v>
      </c>
      <c r="BC19" s="53" t="e">
        <f>J22+N10</f>
        <v>#N/A</v>
      </c>
      <c r="BD19" s="53" t="e">
        <f>BB19</f>
        <v>#N/A</v>
      </c>
      <c r="BE19" t="s">
        <v>128</v>
      </c>
      <c r="BF19" s="75" t="e">
        <f>BB19+AY46</f>
        <v>#N/A</v>
      </c>
      <c r="BH19" s="52" t="e">
        <f>IF(AN19&lt;AM16/2,AL22*AM16/2,AN22*AM16/2)</f>
        <v>#N/A</v>
      </c>
      <c r="BT19" s="26" t="s">
        <v>188</v>
      </c>
      <c r="BU19" s="47" t="e">
        <f>J19</f>
        <v>#N/A</v>
      </c>
      <c r="BV19" s="47" t="e">
        <f>J21</f>
        <v>#N/A</v>
      </c>
      <c r="BW19" t="e">
        <f>BU19</f>
        <v>#N/A</v>
      </c>
      <c r="BX19" t="s">
        <v>114</v>
      </c>
      <c r="BZ19" s="26" t="s">
        <v>188</v>
      </c>
      <c r="CA19" s="47" t="e">
        <f>J19</f>
        <v>#N/A</v>
      </c>
      <c r="CB19" s="47" t="e">
        <f>J21</f>
        <v>#N/A</v>
      </c>
      <c r="CC19" t="e">
        <f>CA19</f>
        <v>#N/A</v>
      </c>
      <c r="CD19" t="s">
        <v>114</v>
      </c>
      <c r="CM19" s="19">
        <f>IF(J24=0,1,0)</f>
        <v>0</v>
      </c>
      <c r="CN19" s="19">
        <v>19</v>
      </c>
      <c r="CO19" s="68" t="s">
        <v>189</v>
      </c>
      <c r="CV19">
        <v>4</v>
      </c>
      <c r="CW19" s="84" t="s">
        <v>190</v>
      </c>
      <c r="CX19" t="s">
        <v>191</v>
      </c>
      <c r="IV19" s="25"/>
    </row>
    <row r="20" spans="2:256" ht="15" customHeight="1">
      <c r="C20" s="26" t="s">
        <v>192</v>
      </c>
      <c r="D20" s="26" t="s">
        <v>193</v>
      </c>
      <c r="F20" s="32" t="s">
        <v>192</v>
      </c>
      <c r="G20" t="s">
        <v>194</v>
      </c>
      <c r="H20" t="s">
        <v>195</v>
      </c>
      <c r="I20" t="s">
        <v>120</v>
      </c>
      <c r="J20" s="53" t="e">
        <f>J19-(N9+N10+MAXA(J28:J29)-MINA(J28:J29)/2+N11)</f>
        <v>#N/A</v>
      </c>
      <c r="K20" t="s">
        <v>91</v>
      </c>
      <c r="V20" s="92"/>
      <c r="W20" s="74"/>
      <c r="Y20" s="26" t="s">
        <v>196</v>
      </c>
      <c r="Z20" s="93" t="e">
        <f>IF(Y24&lt;3,Y24/10,(0.3+0.1*(Y24-3)/(7-3)))</f>
        <v>#N/A</v>
      </c>
      <c r="AA20" s="94"/>
      <c r="AF20" s="26" t="s">
        <v>33</v>
      </c>
      <c r="AG20" s="95" t="e">
        <f>A1V</f>
        <v>#N/A</v>
      </c>
      <c r="AH20" s="96" t="e">
        <f>ADV</f>
        <v>#N/A</v>
      </c>
      <c r="AI20" s="97" t="e">
        <f>A2V</f>
        <v>#N/A</v>
      </c>
      <c r="AJ20" t="s">
        <v>91</v>
      </c>
      <c r="AN20" s="67"/>
      <c r="AU20" s="53" t="e">
        <f>AW20+AY46</f>
        <v>#N/A</v>
      </c>
      <c r="AV20" s="26" t="s">
        <v>197</v>
      </c>
      <c r="AW20" s="53" t="e">
        <f>J19</f>
        <v>#N/A</v>
      </c>
      <c r="AX20" s="53" t="e">
        <f>J21</f>
        <v>#N/A</v>
      </c>
      <c r="AY20" s="53" t="e">
        <f t="shared" si="4"/>
        <v>#N/A</v>
      </c>
      <c r="AZ20" t="s">
        <v>128</v>
      </c>
      <c r="BA20" t="s">
        <v>197</v>
      </c>
      <c r="BB20" s="53" t="e">
        <f>J19</f>
        <v>#N/A</v>
      </c>
      <c r="BC20" s="53" t="e">
        <f>J21</f>
        <v>#N/A</v>
      </c>
      <c r="BD20" s="53" t="e">
        <f>BB20</f>
        <v>#N/A</v>
      </c>
      <c r="BE20" t="s">
        <v>128</v>
      </c>
      <c r="BF20" s="75" t="e">
        <f>BB20+AY46</f>
        <v>#N/A</v>
      </c>
      <c r="BH20" s="52" t="s">
        <v>162</v>
      </c>
      <c r="BT20" s="26" t="s">
        <v>198</v>
      </c>
      <c r="BU20" s="98" t="e">
        <f>BU10*BU13/(BU17*BU18)</f>
        <v>#N/A</v>
      </c>
      <c r="BV20" s="98" t="e">
        <f>BV10*BV13/(BV17*BV18)</f>
        <v>#N/A</v>
      </c>
      <c r="BW20" s="98" t="e">
        <f>BW10*BW13/(BW17*BW18)</f>
        <v>#N/A</v>
      </c>
      <c r="BZ20" s="26" t="s">
        <v>198</v>
      </c>
      <c r="CA20" s="98" t="e">
        <f>CA10*CA13/(CA17*CA18)</f>
        <v>#N/A</v>
      </c>
      <c r="CB20" s="98" t="e">
        <f>CB10*CB13/(CB17*CB18)</f>
        <v>#N/A</v>
      </c>
      <c r="CC20" s="98" t="e">
        <f>CC10*CC13/(CC17*CC18)</f>
        <v>#N/A</v>
      </c>
      <c r="CL20" s="19">
        <f>IF(OR(J40="dorn",L40="dorn"),1,0)</f>
        <v>1</v>
      </c>
      <c r="CM20" s="19">
        <f>IF(CL20=0,1,0)</f>
        <v>0</v>
      </c>
      <c r="CN20" s="19">
        <v>20</v>
      </c>
      <c r="CO20" s="68" t="s">
        <v>199</v>
      </c>
      <c r="CV20">
        <v>5</v>
      </c>
      <c r="CW20" s="84" t="s">
        <v>200</v>
      </c>
      <c r="CX20" t="s">
        <v>201</v>
      </c>
    </row>
    <row r="21" spans="2:256" ht="15" customHeight="1">
      <c r="C21" t="s">
        <v>171</v>
      </c>
      <c r="D21" s="26"/>
      <c r="F21" s="72" t="s">
        <v>184</v>
      </c>
      <c r="G21" t="s">
        <v>202</v>
      </c>
      <c r="H21" t="s">
        <v>166</v>
      </c>
      <c r="I21" t="s">
        <v>120</v>
      </c>
      <c r="J21" s="65" t="e">
        <f>NA()</f>
        <v>#N/A</v>
      </c>
      <c r="K21" t="s">
        <v>91</v>
      </c>
      <c r="M21" s="55"/>
      <c r="V21" s="92"/>
      <c r="W21" s="26" t="s">
        <v>203</v>
      </c>
      <c r="X21" s="99" t="e">
        <f>S*COS(HÆLDNRAD)-(T-TG)</f>
        <v>#N/A</v>
      </c>
      <c r="Y21" s="26" t="s">
        <v>204</v>
      </c>
      <c r="Z21" s="100" t="e">
        <f>Z20*X21</f>
        <v>#N/A</v>
      </c>
      <c r="AA21" s="101"/>
      <c r="AF21" s="102" t="s">
        <v>34</v>
      </c>
      <c r="AG21" s="95" t="e">
        <f>A1H</f>
        <v>#N/A</v>
      </c>
      <c r="AH21" s="96" t="e">
        <f>ADH</f>
        <v>#N/A</v>
      </c>
      <c r="AI21" s="97" t="e">
        <f>A2H</f>
        <v>#N/A</v>
      </c>
      <c r="AJ21" t="s">
        <v>91</v>
      </c>
      <c r="AS21" s="19"/>
      <c r="AU21" s="50" t="e">
        <f>AW21</f>
        <v>#N/A</v>
      </c>
      <c r="AV21" s="26" t="s">
        <v>205</v>
      </c>
      <c r="AW21" s="50" t="e">
        <f>J38</f>
        <v>#N/A</v>
      </c>
      <c r="AX21" s="50" t="e">
        <f>AW21</f>
        <v>#N/A</v>
      </c>
      <c r="AY21" s="50" t="e">
        <f t="shared" si="4"/>
        <v>#N/A</v>
      </c>
      <c r="AZ21" t="s">
        <v>206</v>
      </c>
      <c r="BA21" t="s">
        <v>207</v>
      </c>
      <c r="BB21" s="50" t="e">
        <f>J38</f>
        <v>#N/A</v>
      </c>
      <c r="BC21" s="50" t="e">
        <f>BB21</f>
        <v>#N/A</v>
      </c>
      <c r="BD21" s="50" t="e">
        <f>BB21</f>
        <v>#N/A</v>
      </c>
      <c r="BE21" t="s">
        <v>206</v>
      </c>
      <c r="BF21" s="57" t="e">
        <f>BB21</f>
        <v>#N/A</v>
      </c>
      <c r="BT21" s="26" t="s">
        <v>208</v>
      </c>
      <c r="BU21" s="98" t="e">
        <f>BU20*(-1+SQRT(1+2/BU20))</f>
        <v>#N/A</v>
      </c>
      <c r="BV21" s="98" t="e">
        <f>BV20*(-1+SQRT(1+2/BV20))</f>
        <v>#N/A</v>
      </c>
      <c r="BW21" s="98" t="e">
        <f>BW20*(-1+SQRT(1+2/BW20))</f>
        <v>#N/A</v>
      </c>
      <c r="BZ21" s="26" t="s">
        <v>208</v>
      </c>
      <c r="CA21" s="98" t="e">
        <f>CA20*(-1+SQRT(1+2/CA20))</f>
        <v>#N/A</v>
      </c>
      <c r="CB21" s="98" t="e">
        <f>CB20*(-1+SQRT(1+2/CB20))</f>
        <v>#N/A</v>
      </c>
      <c r="CC21" s="98" t="e">
        <f>CC20*(-1+SQRT(1+2/CC20))</f>
        <v>#N/A</v>
      </c>
      <c r="CK21" t="s">
        <v>209</v>
      </c>
      <c r="CL21" s="19">
        <f>IF(OR(J40="fast",L40="fast"),1,0)</f>
        <v>0</v>
      </c>
      <c r="CM21" s="19">
        <f>IF(CL21=0,1,0)</f>
        <v>1</v>
      </c>
      <c r="CN21" s="19">
        <v>21</v>
      </c>
      <c r="CO21" s="68" t="s">
        <v>210</v>
      </c>
      <c r="CV21">
        <v>6</v>
      </c>
      <c r="CW21" s="84" t="s">
        <v>211</v>
      </c>
      <c r="CX21" t="s">
        <v>212</v>
      </c>
    </row>
    <row r="22" spans="2:256" ht="15" customHeight="1">
      <c r="C22" t="s">
        <v>213</v>
      </c>
      <c r="D22" s="26"/>
      <c r="F22" s="72" t="s">
        <v>214</v>
      </c>
      <c r="G22" t="s">
        <v>215</v>
      </c>
      <c r="H22" t="s">
        <v>216</v>
      </c>
      <c r="I22" t="s">
        <v>120</v>
      </c>
      <c r="J22" s="65" t="e">
        <f>J21-(J19-J20)</f>
        <v>#N/A</v>
      </c>
      <c r="K22" t="s">
        <v>91</v>
      </c>
      <c r="M22" s="70" t="e">
        <f>IF(J22&lt;J20,"ikke tilladt!"," ")</f>
        <v>#N/A</v>
      </c>
      <c r="N22" s="70" t="e">
        <f>IF(J22&lt;J20," effektiv højde for rep. skal mindst være som for løb"," ")</f>
        <v>#N/A</v>
      </c>
      <c r="V22" s="92"/>
      <c r="X22" s="32"/>
      <c r="Z22" s="50"/>
      <c r="AA22" s="94"/>
      <c r="AF22" s="102" t="s">
        <v>217</v>
      </c>
      <c r="AG22" s="19" t="s">
        <v>218</v>
      </c>
      <c r="AH22" s="19" t="s">
        <v>219</v>
      </c>
      <c r="AI22" s="19" t="s">
        <v>220</v>
      </c>
      <c r="AK22" s="26" t="s">
        <v>1155</v>
      </c>
      <c r="AL22" s="52" t="e">
        <f>AN19/AM16</f>
        <v>#N/A</v>
      </c>
      <c r="AM22" s="69" t="e">
        <f>J38</f>
        <v>#N/A</v>
      </c>
      <c r="AN22" s="52" t="e">
        <f>AL19/AM16</f>
        <v>#N/A</v>
      </c>
      <c r="AO22" t="s">
        <v>460</v>
      </c>
      <c r="AU22" s="50" t="e">
        <f>AW22</f>
        <v>#N/A</v>
      </c>
      <c r="AV22" s="26" t="s">
        <v>221</v>
      </c>
      <c r="AW22" s="50" t="e">
        <f>J37+J34+J35/COS(N19)+J36+J37</f>
        <v>#N/A</v>
      </c>
      <c r="AX22" s="50" t="e">
        <f>AW22</f>
        <v>#N/A</v>
      </c>
      <c r="AY22" s="50" t="e">
        <f t="shared" si="4"/>
        <v>#N/A</v>
      </c>
      <c r="AZ22" t="s">
        <v>206</v>
      </c>
      <c r="BB22" s="50" t="e">
        <f>AW22</f>
        <v>#N/A</v>
      </c>
      <c r="BC22" s="50" t="e">
        <f>AW22</f>
        <v>#N/A</v>
      </c>
      <c r="BD22" s="50" t="e">
        <f>AW22</f>
        <v>#N/A</v>
      </c>
      <c r="BE22" t="s">
        <v>206</v>
      </c>
      <c r="BF22" s="57" t="e">
        <f>BB22</f>
        <v>#N/A</v>
      </c>
      <c r="BT22" s="26" t="s">
        <v>222</v>
      </c>
      <c r="BU22" s="98" t="e">
        <f>1-BU21/3</f>
        <v>#N/A</v>
      </c>
      <c r="BV22" s="98" t="e">
        <f>1-BV21/3</f>
        <v>#N/A</v>
      </c>
      <c r="BW22" s="98" t="e">
        <f>1-BW21/3</f>
        <v>#N/A</v>
      </c>
      <c r="BZ22" s="26" t="s">
        <v>222</v>
      </c>
      <c r="CA22" s="98" t="e">
        <f>1-CA21/3</f>
        <v>#N/A</v>
      </c>
      <c r="CB22" s="98" t="e">
        <f>1-CB21/3</f>
        <v>#N/A</v>
      </c>
      <c r="CC22" s="98" t="e">
        <f>1-CC21/3</f>
        <v>#N/A</v>
      </c>
      <c r="CM22" s="19">
        <f>IF(CL21=0,0,IF(AND(CL21=1,N380="ja"),1,0))</f>
        <v>0</v>
      </c>
      <c r="CN22" s="19">
        <v>22</v>
      </c>
      <c r="CO22" s="68" t="s">
        <v>223</v>
      </c>
      <c r="CV22">
        <v>7</v>
      </c>
      <c r="CW22" s="84" t="s">
        <v>30</v>
      </c>
      <c r="CX22" t="s">
        <v>224</v>
      </c>
    </row>
    <row r="23" spans="2:256" ht="15" customHeight="1">
      <c r="D23" s="26" t="s">
        <v>225</v>
      </c>
      <c r="F23" s="103" t="s">
        <v>186</v>
      </c>
      <c r="G23" t="s">
        <v>226</v>
      </c>
      <c r="H23" t="s">
        <v>227</v>
      </c>
      <c r="I23" t="s">
        <v>120</v>
      </c>
      <c r="J23" s="65" t="e">
        <f>NA()</f>
        <v>#N/A</v>
      </c>
      <c r="K23" t="s">
        <v>91</v>
      </c>
      <c r="N23">
        <f>CODE(I28)</f>
        <v>75</v>
      </c>
      <c r="O23">
        <f>HLOOKUP(N23,AA320:AZ330,6)</f>
        <v>500</v>
      </c>
      <c r="P23" t="s">
        <v>228</v>
      </c>
      <c r="V23" s="92"/>
      <c r="W23" s="26" t="s">
        <v>229</v>
      </c>
      <c r="X23" s="104" t="e">
        <f>T</f>
        <v>#N/A</v>
      </c>
      <c r="AA23" s="105"/>
      <c r="AF23" s="77" t="s">
        <v>230</v>
      </c>
      <c r="AG23" s="106" t="e">
        <f>1*AG20*10^-3*(AH20+AG20/2)/AH20</f>
        <v>#N/A</v>
      </c>
      <c r="AH23" s="106" t="e">
        <f>1*AH20*10^-3*AH20/2/AH20</f>
        <v>#N/A</v>
      </c>
      <c r="AI23" s="106" t="e">
        <f>-1*AI20*10^-3*AI20/2/AH20</f>
        <v>#N/A</v>
      </c>
      <c r="AP23" s="19" t="s">
        <v>231</v>
      </c>
      <c r="AU23" s="53" t="e">
        <f>AW23</f>
        <v>#N/A</v>
      </c>
      <c r="AV23" s="26" t="s">
        <v>232</v>
      </c>
      <c r="AW23" s="53" t="e">
        <f>J32</f>
        <v>#N/A</v>
      </c>
      <c r="AX23" s="53" t="e">
        <f>AW23</f>
        <v>#N/A</v>
      </c>
      <c r="AY23" s="53" t="e">
        <f t="shared" si="4"/>
        <v>#N/A</v>
      </c>
      <c r="AZ23" t="s">
        <v>128</v>
      </c>
      <c r="BA23" t="s">
        <v>232</v>
      </c>
      <c r="BB23" s="76" t="e">
        <f>J32/J23*L95+J33</f>
        <v>#N/A</v>
      </c>
      <c r="BC23" s="53" t="e">
        <f>BB23</f>
        <v>#N/A</v>
      </c>
      <c r="BD23" s="53" t="e">
        <f>BB23</f>
        <v>#N/A</v>
      </c>
      <c r="BE23" t="s">
        <v>128</v>
      </c>
      <c r="BF23" s="75" t="e">
        <f>BB23</f>
        <v>#N/A</v>
      </c>
      <c r="BT23" s="26" t="s">
        <v>233</v>
      </c>
      <c r="BU23" s="98" t="e">
        <f>BU21/2*(1-BU21/3)</f>
        <v>#N/A</v>
      </c>
      <c r="BV23" s="98" t="e">
        <f>BV21/2*(1-BV21/3)</f>
        <v>#N/A</v>
      </c>
      <c r="BW23" s="98" t="e">
        <f>BW21/2*(1-BW21/3)</f>
        <v>#N/A</v>
      </c>
      <c r="BZ23" s="26" t="s">
        <v>233</v>
      </c>
      <c r="CA23" s="98" t="e">
        <f>CA21/2*(1-CA21/3)</f>
        <v>#N/A</v>
      </c>
      <c r="CB23" s="98" t="e">
        <f>CB21/2*(1-CB21/3)</f>
        <v>#N/A</v>
      </c>
      <c r="CC23" s="98" t="e">
        <f>CC21/2*(1-CC21/3)</f>
        <v>#N/A</v>
      </c>
      <c r="CM23" s="19">
        <f>IF(CL21=0,0,IF(AND(CL21=1,N380="nej"),1,0))</f>
        <v>0</v>
      </c>
      <c r="CN23" s="19">
        <v>23</v>
      </c>
      <c r="CO23" s="68" t="s">
        <v>234</v>
      </c>
    </row>
    <row r="24" spans="2:256" ht="15" customHeight="1">
      <c r="B24" t="s">
        <v>33</v>
      </c>
      <c r="F24" s="19" t="s">
        <v>34</v>
      </c>
      <c r="G24" t="s">
        <v>235</v>
      </c>
      <c r="I24" t="s">
        <v>120</v>
      </c>
      <c r="J24" s="65">
        <v>120</v>
      </c>
      <c r="K24" t="s">
        <v>236</v>
      </c>
      <c r="N24" s="52" t="e">
        <f>IF(O24&lt;N25,0,IF(O24&lt;P25,+O24,0.5*O24*O26*(-1+SQRT(1+4*$AA$312/(O24*O26)))))</f>
        <v>#N/A</v>
      </c>
      <c r="O24" s="52" t="e">
        <f>J32*J31/(J23*J20*J26)</f>
        <v>#N/A</v>
      </c>
      <c r="P24" t="s">
        <v>237</v>
      </c>
      <c r="V24" s="92"/>
      <c r="Y24" s="93" t="e">
        <f>W25/X21</f>
        <v>#N/A</v>
      </c>
      <c r="Z24" s="49" t="s">
        <v>238</v>
      </c>
      <c r="AA24" s="105"/>
      <c r="AF24" s="77" t="s">
        <v>239</v>
      </c>
      <c r="AG24" s="106" t="e">
        <f>1*AG21*10^-3*(AH21+AG21/2)/AH21</f>
        <v>#N/A</v>
      </c>
      <c r="AH24" s="106" t="e">
        <f>1*AH21*10^-3*AH21/2/AH21</f>
        <v>#N/A</v>
      </c>
      <c r="AI24" s="106" t="e">
        <f>-1*AI21*10^-3*AI21/2/AH21</f>
        <v>#N/A</v>
      </c>
      <c r="AU24" s="98" t="e">
        <f>AU12*AU23/(AU18*AU19)</f>
        <v>#N/A</v>
      </c>
      <c r="AV24" s="26" t="s">
        <v>198</v>
      </c>
      <c r="AW24" s="98" t="e">
        <f>AW12*AW23/(AW18*AW19)</f>
        <v>#N/A</v>
      </c>
      <c r="AX24" s="98" t="e">
        <f>AX12*AX23/(AX18*AX19)</f>
        <v>#N/A</v>
      </c>
      <c r="AY24" s="98" t="e">
        <f>AY12*AY23/(AY18*AY19)</f>
        <v>#N/A</v>
      </c>
      <c r="AZ24" t="s">
        <v>97</v>
      </c>
      <c r="BA24" t="s">
        <v>198</v>
      </c>
      <c r="BB24" s="98" t="e">
        <f>BB12*BB23/(BB18*BB19)</f>
        <v>#N/A</v>
      </c>
      <c r="BC24" s="98" t="e">
        <f>BC12*BC23/(BC18*BC19)</f>
        <v>#N/A</v>
      </c>
      <c r="BD24" s="98" t="e">
        <f>BD12*BD23/(BD18*BD19)</f>
        <v>#N/A</v>
      </c>
      <c r="BE24" t="s">
        <v>97</v>
      </c>
      <c r="BF24" s="107" t="e">
        <f>BF12*BF23/(BF18*BF19)</f>
        <v>#N/A</v>
      </c>
      <c r="BT24" s="26" t="s">
        <v>240</v>
      </c>
      <c r="BU24" s="50" t="e">
        <f>BU21/(2*BU20)</f>
        <v>#N/A</v>
      </c>
      <c r="BV24" s="50" t="e">
        <f>BV21/(2*BV20)</f>
        <v>#N/A</v>
      </c>
      <c r="BW24" s="50" t="e">
        <f>BW21/(2*BW20)</f>
        <v>#N/A</v>
      </c>
      <c r="BZ24" s="26" t="s">
        <v>240</v>
      </c>
      <c r="CA24" s="50" t="e">
        <f>CA21/(2*CA20)</f>
        <v>#N/A</v>
      </c>
      <c r="CB24" s="50" t="e">
        <f>CB21/(2*CB20)</f>
        <v>#N/A</v>
      </c>
      <c r="CC24" s="50" t="e">
        <f>CC21/(2*CC20)</f>
        <v>#N/A</v>
      </c>
      <c r="CM24" s="19">
        <f>IF(CL21=0,0,IF(N380="ja",0,IF(AND(CL21=1,N380="nej",),1,0)))</f>
        <v>0</v>
      </c>
      <c r="CN24" s="19">
        <v>24</v>
      </c>
      <c r="CO24" s="68" t="s">
        <v>241</v>
      </c>
    </row>
    <row r="25" spans="2:256" ht="15" customHeight="1" thickBot="1">
      <c r="F25" t="s">
        <v>172</v>
      </c>
      <c r="G25" t="s">
        <v>242</v>
      </c>
      <c r="H25" t="s">
        <v>243</v>
      </c>
      <c r="I25" t="s">
        <v>120</v>
      </c>
      <c r="J25" s="65">
        <f>IF(T2=1,+A!S11,IF(I11="P",30,IF(I11="M",30,IF(I11="A",35,IF(I11="E",40,NA())))))</f>
        <v>30</v>
      </c>
      <c r="K25" t="s">
        <v>36</v>
      </c>
      <c r="N25" s="52">
        <f>MAXA(T25:T26)</f>
        <v>2.9286511333037436E-2</v>
      </c>
      <c r="O25" s="52">
        <f>HLOOKUP(N23,AA320:AZ330,5)</f>
        <v>4.9882794186591653E-2</v>
      </c>
      <c r="P25" s="52">
        <f>HLOOKUP(N23,AA320:AZ330,8)</f>
        <v>0.5014925373134328</v>
      </c>
      <c r="Q25" t="s">
        <v>244</v>
      </c>
      <c r="T25" s="52">
        <f>0.26*$J$27/J30*J31/$J$26</f>
        <v>2.9286511333037436E-2</v>
      </c>
      <c r="V25" s="108" t="s">
        <v>245</v>
      </c>
      <c r="W25" s="109" t="e">
        <f>N18</f>
        <v>#N/A</v>
      </c>
      <c r="X25" s="110"/>
      <c r="Y25" s="110"/>
      <c r="Z25" s="110"/>
      <c r="AA25" s="111"/>
      <c r="AU25" s="98" t="e">
        <f>AU24*(-1+SQRT(1+2/AU24))</f>
        <v>#N/A</v>
      </c>
      <c r="AV25" s="26" t="s">
        <v>208</v>
      </c>
      <c r="AW25" s="98" t="e">
        <f>AW24*(-1+SQRT(1+2/AW24))</f>
        <v>#N/A</v>
      </c>
      <c r="AX25" s="98" t="e">
        <f>AX24*(-1+SQRT(1+2/AX24))</f>
        <v>#N/A</v>
      </c>
      <c r="AY25" s="98" t="e">
        <f>AY24*(-1+SQRT(1+2/AY24))</f>
        <v>#N/A</v>
      </c>
      <c r="AZ25" t="s">
        <v>97</v>
      </c>
      <c r="BA25" t="s">
        <v>208</v>
      </c>
      <c r="BB25" s="98" t="e">
        <f>BB24*(-1+SQRT(1+2/BB24))</f>
        <v>#N/A</v>
      </c>
      <c r="BC25" s="98" t="e">
        <f>BC24*(-1+SQRT(1+2/BC24))</f>
        <v>#N/A</v>
      </c>
      <c r="BD25" s="98" t="e">
        <f>BD24*(-1+SQRT(1+2/BD24))</f>
        <v>#N/A</v>
      </c>
      <c r="BE25" t="s">
        <v>97</v>
      </c>
      <c r="BF25" s="107" t="e">
        <f>BF24*(-1+SQRT(1+2/BF24))</f>
        <v>#N/A</v>
      </c>
      <c r="BT25" s="26" t="s">
        <v>246</v>
      </c>
      <c r="BU25" s="74" t="e">
        <f>BU16*10^6/(BU23*BU17*BU18^2)</f>
        <v>#N/A</v>
      </c>
      <c r="BV25" s="74" t="e">
        <f>BV16*10^6/(BV23*BV17*BV18^2)</f>
        <v>#N/A</v>
      </c>
      <c r="BW25" s="74" t="e">
        <f>BW16*10^6/(BW23*BW17*BW18^2)</f>
        <v>#N/A</v>
      </c>
      <c r="BX25" t="s">
        <v>36</v>
      </c>
      <c r="BZ25" s="26" t="s">
        <v>246</v>
      </c>
      <c r="CA25" s="74" t="e">
        <f>CA16*10^6/(CA23*CA17*CA18^2)</f>
        <v>#N/A</v>
      </c>
      <c r="CB25" s="74" t="e">
        <f>CB16*10^6/(CB23*CB17*CB18^2)</f>
        <v>#N/A</v>
      </c>
      <c r="CC25" s="74" t="e">
        <f>CC16*10^6/(CC23*CC17*CC18^2)</f>
        <v>#N/A</v>
      </c>
      <c r="CD25" t="s">
        <v>36</v>
      </c>
      <c r="CM25" s="19">
        <f>IF(CL21=0,0,IF(N380="nej",0,IF(AND(CL21=1,N380="ja",H392=0),1,0)))</f>
        <v>0</v>
      </c>
      <c r="CN25" s="19">
        <v>25</v>
      </c>
      <c r="CO25" s="68" t="s">
        <v>247</v>
      </c>
    </row>
    <row r="26" spans="2:256" ht="15" customHeight="1">
      <c r="B26" s="32"/>
      <c r="D26" s="32" t="s">
        <v>248</v>
      </c>
      <c r="F26" s="19" t="s">
        <v>249</v>
      </c>
      <c r="H26" t="s">
        <v>250</v>
      </c>
      <c r="I26" t="s">
        <v>120</v>
      </c>
      <c r="J26" s="74">
        <f>R13*J25/N13</f>
        <v>21.428571428571431</v>
      </c>
      <c r="K26" t="s">
        <v>36</v>
      </c>
      <c r="O26" s="52">
        <f>HLOOKUP(N23,AA320:AZ330,9)</f>
        <v>1.6799999999999997</v>
      </c>
      <c r="P26" t="s">
        <v>251</v>
      </c>
      <c r="T26" s="52">
        <f>0.0013*J31/$J$26</f>
        <v>2.5277777777777774E-2</v>
      </c>
      <c r="AI26" s="112" t="s">
        <v>252</v>
      </c>
      <c r="AJ26" s="69" t="e">
        <f>$L$55/Z15*AA15</f>
        <v>#N/A</v>
      </c>
      <c r="AK26" s="69" t="e">
        <f>$L$57/Z15*AA15</f>
        <v>#N/A</v>
      </c>
      <c r="AL26" t="s">
        <v>253</v>
      </c>
      <c r="AU26" s="98" t="e">
        <f>1-AU25/3</f>
        <v>#N/A</v>
      </c>
      <c r="AV26" s="26" t="s">
        <v>222</v>
      </c>
      <c r="AW26" s="98" t="e">
        <f>1-AW25/3</f>
        <v>#N/A</v>
      </c>
      <c r="AX26" s="98" t="e">
        <f>1-AX25/3</f>
        <v>#N/A</v>
      </c>
      <c r="AY26" s="98" t="e">
        <f>1-AY25/3</f>
        <v>#N/A</v>
      </c>
      <c r="AZ26" t="s">
        <v>97</v>
      </c>
      <c r="BA26" t="s">
        <v>222</v>
      </c>
      <c r="BB26" s="98" t="e">
        <f>1-BB25/3</f>
        <v>#N/A</v>
      </c>
      <c r="BC26" s="98" t="e">
        <f>1-BC25/3</f>
        <v>#N/A</v>
      </c>
      <c r="BD26" s="98" t="e">
        <f>1-BD25/3</f>
        <v>#N/A</v>
      </c>
      <c r="BE26" t="s">
        <v>97</v>
      </c>
      <c r="BF26" s="107" t="e">
        <f>1-BF25/3</f>
        <v>#N/A</v>
      </c>
      <c r="BT26" s="26" t="s">
        <v>254</v>
      </c>
      <c r="BU26" s="53" t="e">
        <f>BU10*BU24*BU25</f>
        <v>#N/A</v>
      </c>
      <c r="BV26" s="53" t="e">
        <f>BV10*BV24*BV25</f>
        <v>#N/A</v>
      </c>
      <c r="BW26" s="53" t="e">
        <f>BW10*BW24*BW25</f>
        <v>#N/A</v>
      </c>
      <c r="BX26" t="s">
        <v>36</v>
      </c>
      <c r="BZ26" s="26" t="s">
        <v>254</v>
      </c>
      <c r="CA26" s="53" t="e">
        <f>CA10*CA24*CA25</f>
        <v>#N/A</v>
      </c>
      <c r="CB26" s="53" t="e">
        <f>CB10*CB24*CB25</f>
        <v>#N/A</v>
      </c>
      <c r="CC26" s="53" t="e">
        <f>CC10*CC24*CC25</f>
        <v>#N/A</v>
      </c>
      <c r="CD26" t="s">
        <v>36</v>
      </c>
      <c r="CM26" s="19">
        <f>IF(CL21=0,0,IF(N380="nej",0,IF(AND(CL21=1,N380="ja",H392&gt;0),1,0)))</f>
        <v>0</v>
      </c>
      <c r="CN26" s="19">
        <v>26</v>
      </c>
      <c r="CO26" s="68" t="s">
        <v>255</v>
      </c>
    </row>
    <row r="27" spans="2:256" ht="15" customHeight="1">
      <c r="B27" s="32"/>
      <c r="C27" t="s">
        <v>256</v>
      </c>
      <c r="F27" s="19" t="s">
        <v>257</v>
      </c>
      <c r="H27" t="s">
        <v>258</v>
      </c>
      <c r="I27" t="s">
        <v>120</v>
      </c>
      <c r="J27" s="50">
        <f>0.3*J25^(2/3)</f>
        <v>2.896468153816889</v>
      </c>
      <c r="K27" t="s">
        <v>36</v>
      </c>
      <c r="N27">
        <f>N23</f>
        <v>75</v>
      </c>
      <c r="O27">
        <f>O23</f>
        <v>500</v>
      </c>
      <c r="P27" t="s">
        <v>228</v>
      </c>
      <c r="AE27" s="55" t="s">
        <v>259</v>
      </c>
      <c r="AI27" s="112" t="s">
        <v>252</v>
      </c>
      <c r="AJ27" s="69" t="e">
        <f>$L$55</f>
        <v>#N/A</v>
      </c>
      <c r="AK27" s="69" t="e">
        <f>$L$57</f>
        <v>#N/A</v>
      </c>
      <c r="AL27" t="s">
        <v>260</v>
      </c>
      <c r="AM27" s="49"/>
      <c r="AU27" s="98" t="e">
        <f>AU25/2*(1-AU25/3)</f>
        <v>#N/A</v>
      </c>
      <c r="AV27" s="26" t="s">
        <v>233</v>
      </c>
      <c r="AW27" s="98" t="e">
        <f>AW25/2*(1-AW25/3)</f>
        <v>#N/A</v>
      </c>
      <c r="AX27" s="98" t="e">
        <f>AX25/2*(1-AX25/3)</f>
        <v>#N/A</v>
      </c>
      <c r="AY27" s="98" t="e">
        <f>AY25/2*(1-AY25/3)</f>
        <v>#N/A</v>
      </c>
      <c r="AZ27" t="s">
        <v>97</v>
      </c>
      <c r="BA27" t="s">
        <v>233</v>
      </c>
      <c r="BB27" s="98" t="e">
        <f>BB25/2*(1-BB25/3)</f>
        <v>#N/A</v>
      </c>
      <c r="BC27" s="98" t="e">
        <f>BC25/2*(1-BC25/3)</f>
        <v>#N/A</v>
      </c>
      <c r="BD27" s="98" t="e">
        <f>BD25/2*(1-BD25/3)</f>
        <v>#N/A</v>
      </c>
      <c r="BE27" t="s">
        <v>97</v>
      </c>
      <c r="BF27" s="107" t="e">
        <f>BF25/2*(1-BF25/3)</f>
        <v>#N/A</v>
      </c>
      <c r="BT27" s="26" t="s">
        <v>261</v>
      </c>
      <c r="BU27" s="74" t="e">
        <f>BU21*BU18</f>
        <v>#N/A</v>
      </c>
      <c r="BV27" s="74" t="e">
        <f>BV21*BV18</f>
        <v>#N/A</v>
      </c>
      <c r="BW27" s="74" t="e">
        <f>BW21*BW18</f>
        <v>#N/A</v>
      </c>
      <c r="BX27" t="s">
        <v>91</v>
      </c>
      <c r="BZ27" s="26" t="s">
        <v>261</v>
      </c>
      <c r="CA27" s="74" t="e">
        <f>CA21*CA18</f>
        <v>#N/A</v>
      </c>
      <c r="CB27" s="74" t="e">
        <f>CB21*CB18</f>
        <v>#N/A</v>
      </c>
      <c r="CC27" s="74" t="e">
        <f>CC21*CC18</f>
        <v>#N/A</v>
      </c>
      <c r="CD27" t="s">
        <v>91</v>
      </c>
      <c r="CL27" s="19">
        <f>IF(OR(J40="ende",L40="ende"),1,0)</f>
        <v>1</v>
      </c>
      <c r="CM27" s="19">
        <f>IF(CL27=0,1,0)</f>
        <v>0</v>
      </c>
      <c r="CN27" s="19">
        <v>27</v>
      </c>
      <c r="CO27" s="68" t="s">
        <v>262</v>
      </c>
    </row>
    <row r="28" spans="2:256" ht="15" customHeight="1">
      <c r="C28" t="s">
        <v>263</v>
      </c>
      <c r="F28" s="19"/>
      <c r="G28" t="s">
        <v>264</v>
      </c>
      <c r="H28" s="65" t="e">
        <f>NA()</f>
        <v>#N/A</v>
      </c>
      <c r="I28" s="113" t="s">
        <v>265</v>
      </c>
      <c r="J28" s="65" t="e">
        <f>NA()</f>
        <v>#N/A</v>
      </c>
      <c r="K28" t="s">
        <v>266</v>
      </c>
      <c r="N28" s="52" t="e">
        <f>IF(O28&lt;N29,0,IF(O28&lt;P29,+O28,0.5*O28*O30*(-1+SQRT(1+4*$AA$312/(O28*O30)))))</f>
        <v>#N/A</v>
      </c>
      <c r="O28" s="52" t="e">
        <f>O24+J33*J31/(F43*J20*J26)</f>
        <v>#N/A</v>
      </c>
      <c r="P28" t="s">
        <v>237</v>
      </c>
      <c r="AF28" s="79" t="s">
        <v>40</v>
      </c>
      <c r="AI28" s="112" t="s">
        <v>267</v>
      </c>
      <c r="AJ28" s="69" t="e">
        <f>$L$56</f>
        <v>#N/A</v>
      </c>
      <c r="AK28" s="69" t="e">
        <f>$L$58</f>
        <v>#N/A</v>
      </c>
      <c r="AL28" s="49" t="s">
        <v>268</v>
      </c>
      <c r="AR28" s="69" t="e">
        <f>AJ27+AJ28</f>
        <v>#N/A</v>
      </c>
      <c r="AS28" s="69" t="e">
        <f>AK27+AK28</f>
        <v>#N/A</v>
      </c>
      <c r="AU28" s="50" t="e">
        <f>AU25/(2*AU24)</f>
        <v>#N/A</v>
      </c>
      <c r="AV28" s="26" t="s">
        <v>240</v>
      </c>
      <c r="AW28" s="50" t="e">
        <f>AW25/(2*AW24)</f>
        <v>#N/A</v>
      </c>
      <c r="AX28" s="98" t="e">
        <f>AX25/(2*AX24)</f>
        <v>#N/A</v>
      </c>
      <c r="AY28" s="50" t="e">
        <f>AY25/(2*AY24)</f>
        <v>#N/A</v>
      </c>
      <c r="AZ28" t="s">
        <v>97</v>
      </c>
      <c r="BA28" t="s">
        <v>240</v>
      </c>
      <c r="BB28" s="50" t="e">
        <f>BB25/(2*BB24)</f>
        <v>#N/A</v>
      </c>
      <c r="BC28" s="50" t="e">
        <f>BC25/(2*BC24)</f>
        <v>#N/A</v>
      </c>
      <c r="BD28" s="50" t="e">
        <f>BD25/(2*BD24)</f>
        <v>#N/A</v>
      </c>
      <c r="BE28" t="s">
        <v>97</v>
      </c>
      <c r="BF28" s="57" t="e">
        <f>BF25/(2*BF24)</f>
        <v>#N/A</v>
      </c>
      <c r="BT28" s="26" t="s">
        <v>269</v>
      </c>
      <c r="BU28" s="53" t="e">
        <f>2.5*(BU19-BU18)</f>
        <v>#N/A</v>
      </c>
      <c r="BV28" s="53" t="e">
        <f>2.5*(BV19-BV18)</f>
        <v>#N/A</v>
      </c>
      <c r="BW28" s="53" t="e">
        <f>2.5*(BW19-BW18)</f>
        <v>#N/A</v>
      </c>
      <c r="BX28" t="s">
        <v>91</v>
      </c>
      <c r="BZ28" s="26" t="s">
        <v>269</v>
      </c>
      <c r="CA28" s="53" t="e">
        <f>2.5*(CA19-CA18)</f>
        <v>#N/A</v>
      </c>
      <c r="CB28" s="53" t="e">
        <f>2.5*(CB19-CB18)</f>
        <v>#N/A</v>
      </c>
      <c r="CC28" s="53" t="e">
        <f>2.5*(CC19-CC18)</f>
        <v>#N/A</v>
      </c>
      <c r="CD28" t="s">
        <v>91</v>
      </c>
      <c r="CM28" s="19" t="e">
        <f>IF(CL27=0,0,IF(AND(CL27=1,J34&gt;0),1,0))</f>
        <v>#N/A</v>
      </c>
      <c r="CN28" s="19">
        <v>28</v>
      </c>
      <c r="CO28" s="68" t="s">
        <v>270</v>
      </c>
    </row>
    <row r="29" spans="2:256" ht="15" customHeight="1">
      <c r="F29" s="19" t="s">
        <v>271</v>
      </c>
      <c r="G29" t="s">
        <v>272</v>
      </c>
      <c r="H29" s="65" t="e">
        <f>NA()</f>
        <v>#N/A</v>
      </c>
      <c r="I29" s="30" t="str">
        <f>I28</f>
        <v>K</v>
      </c>
      <c r="J29" s="65" t="e">
        <f>J28</f>
        <v>#N/A</v>
      </c>
      <c r="K29" t="s">
        <v>266</v>
      </c>
      <c r="N29" s="52">
        <f>MAXA(T29:T30)</f>
        <v>2.9286511333037436E-2</v>
      </c>
      <c r="O29" s="52">
        <f>O25</f>
        <v>4.9882794186591653E-2</v>
      </c>
      <c r="P29" s="52">
        <f>P25</f>
        <v>0.5014925373134328</v>
      </c>
      <c r="Q29" t="s">
        <v>244</v>
      </c>
      <c r="T29" s="52">
        <f>T25</f>
        <v>2.9286511333037436E-2</v>
      </c>
      <c r="AE29" t="s">
        <v>273</v>
      </c>
      <c r="AF29" s="50" t="e">
        <f>$J$34</f>
        <v>#N/A</v>
      </c>
      <c r="AH29" s="26" t="s">
        <v>274</v>
      </c>
      <c r="AI29" s="50" t="e">
        <f>(AJ26*AF29*(AF32+AF31+AF30+AF29/2)+AK26*AF31*(AF32+AF31/2))/AH12</f>
        <v>#N/A</v>
      </c>
      <c r="AK29" s="19" t="s">
        <v>34</v>
      </c>
      <c r="AL29" s="114"/>
      <c r="AU29" s="74" t="e">
        <f>AU17*10^6/(AU27*AU18*AU19*AU19)</f>
        <v>#N/A</v>
      </c>
      <c r="AV29" s="26" t="s">
        <v>275</v>
      </c>
      <c r="AW29" s="74" t="e">
        <f>AW17*10^6/(AW27*AW18*AW19*AW19)</f>
        <v>#N/A</v>
      </c>
      <c r="AX29" s="74" t="e">
        <f>AX17*10^6/(AX27*AX18*AX19*AX19)</f>
        <v>#N/A</v>
      </c>
      <c r="AY29" s="74" t="e">
        <f>AY17*10^6/(AY27*AY18*AY19*AY19)</f>
        <v>#N/A</v>
      </c>
      <c r="AZ29" t="s">
        <v>276</v>
      </c>
      <c r="BA29" t="s">
        <v>275</v>
      </c>
      <c r="BB29" s="74" t="e">
        <f>BB17*10^6/(BB27*BB18*BB19*BB19)</f>
        <v>#N/A</v>
      </c>
      <c r="BC29" s="74" t="e">
        <f>BC17*10^6/(BC27*BC18*BC19*BC19)</f>
        <v>#N/A</v>
      </c>
      <c r="BD29" s="74" t="e">
        <f>BD17*10^6/(BD27*BD18*BD19*BD19)</f>
        <v>#N/A</v>
      </c>
      <c r="BE29" t="s">
        <v>276</v>
      </c>
      <c r="BF29" s="73" t="e">
        <f>BF17*10^6/(BF27*BF18*BF19*BF19)</f>
        <v>#N/A</v>
      </c>
      <c r="BT29" s="26" t="s">
        <v>277</v>
      </c>
      <c r="BU29" s="53" t="e">
        <f>(BU19-BU27)/3</f>
        <v>#N/A</v>
      </c>
      <c r="BV29" s="53" t="e">
        <f>(BV19-BV27)/3</f>
        <v>#N/A</v>
      </c>
      <c r="BW29" s="53" t="e">
        <f>(BW19-BW27)/3</f>
        <v>#N/A</v>
      </c>
      <c r="BX29" t="s">
        <v>91</v>
      </c>
      <c r="BZ29" s="26" t="s">
        <v>277</v>
      </c>
      <c r="CA29" s="53" t="e">
        <f>(CA19-CA27)/3</f>
        <v>#N/A</v>
      </c>
      <c r="CB29" s="53" t="e">
        <f>(CB19-CB27)/3</f>
        <v>#N/A</v>
      </c>
      <c r="CC29" s="53" t="e">
        <f>(CC19-CC27)/3</f>
        <v>#N/A</v>
      </c>
      <c r="CD29" t="s">
        <v>91</v>
      </c>
      <c r="CM29" s="19" t="e">
        <f>IF(CL27=0,0,IF(AND(CL27=1,J36&gt;0),1,0))</f>
        <v>#N/A</v>
      </c>
      <c r="CN29" s="19">
        <v>29</v>
      </c>
      <c r="CO29" s="68" t="s">
        <v>278</v>
      </c>
    </row>
    <row r="30" spans="2:256" ht="15" customHeight="1">
      <c r="F30" s="19" t="s">
        <v>279</v>
      </c>
      <c r="H30" t="str">
        <f>IF(I29="L","f yk *","f yk")</f>
        <v>f yk</v>
      </c>
      <c r="I30" t="s">
        <v>120</v>
      </c>
      <c r="J30" s="53">
        <f>O23</f>
        <v>500</v>
      </c>
      <c r="K30" t="s">
        <v>36</v>
      </c>
      <c r="O30" s="52">
        <f>O26</f>
        <v>1.6799999999999997</v>
      </c>
      <c r="P30" t="s">
        <v>251</v>
      </c>
      <c r="T30" s="52">
        <f>T26</f>
        <v>2.5277777777777774E-2</v>
      </c>
      <c r="AE30" t="s">
        <v>280</v>
      </c>
      <c r="AF30" s="50" t="e">
        <f>$J$35</f>
        <v>#N/A</v>
      </c>
      <c r="AH30" s="26" t="s">
        <v>281</v>
      </c>
      <c r="AI30" s="50" t="e">
        <f>(AJ27*AF29*(AF32+AF31+AF30+AF29/2)+AK27*AF31*(AF32+AF31/2))/AH12</f>
        <v>#N/A</v>
      </c>
      <c r="AJ30" t="s">
        <v>33</v>
      </c>
      <c r="AL30" s="50" t="e">
        <f>AJ26*AF29+AK26*AF31-AI29</f>
        <v>#N/A</v>
      </c>
      <c r="AM30" s="49" t="s">
        <v>282</v>
      </c>
      <c r="AU30" s="53" t="e">
        <f>AU29*AU12*AU28</f>
        <v>#N/A</v>
      </c>
      <c r="AV30" s="26" t="s">
        <v>283</v>
      </c>
      <c r="AW30" s="74" t="e">
        <f>AW29*AW12*AW28</f>
        <v>#N/A</v>
      </c>
      <c r="AX30" s="74" t="e">
        <f>AX29*AX12*AX28</f>
        <v>#N/A</v>
      </c>
      <c r="AY30" s="74" t="e">
        <f>AY29*AY12*AY28</f>
        <v>#N/A</v>
      </c>
      <c r="AZ30" t="s">
        <v>276</v>
      </c>
      <c r="BA30" t="s">
        <v>283</v>
      </c>
      <c r="BB30" s="74" t="e">
        <f>BB29*BB12*BB28</f>
        <v>#N/A</v>
      </c>
      <c r="BC30" s="74" t="e">
        <f>BC29*BC12*BC28</f>
        <v>#N/A</v>
      </c>
      <c r="BD30" s="74" t="e">
        <f>BD29*BD12*BD28</f>
        <v>#N/A</v>
      </c>
      <c r="BE30" t="s">
        <v>276</v>
      </c>
      <c r="BF30" s="73" t="e">
        <f>BF29*BF12*BF28</f>
        <v>#N/A</v>
      </c>
      <c r="BT30" s="26" t="s">
        <v>284</v>
      </c>
      <c r="BU30" t="e">
        <f>BU19/2</f>
        <v>#N/A</v>
      </c>
      <c r="BV30" t="e">
        <f>BV19/2</f>
        <v>#N/A</v>
      </c>
      <c r="BW30" t="e">
        <f>BW19/2</f>
        <v>#N/A</v>
      </c>
      <c r="BX30" t="s">
        <v>91</v>
      </c>
      <c r="BZ30" s="26" t="s">
        <v>284</v>
      </c>
      <c r="CA30" t="e">
        <f>CA19/2</f>
        <v>#N/A</v>
      </c>
      <c r="CB30" t="e">
        <f>CB19/2</f>
        <v>#N/A</v>
      </c>
      <c r="CC30" t="e">
        <f>CC19/2</f>
        <v>#N/A</v>
      </c>
      <c r="CD30" t="s">
        <v>91</v>
      </c>
      <c r="CM30" s="115">
        <f>IF(CL27=0,0,IF(O269="nej",1,0))</f>
        <v>1</v>
      </c>
      <c r="CN30" s="115">
        <v>30</v>
      </c>
      <c r="CO30" s="116" t="s">
        <v>285</v>
      </c>
      <c r="CP30" s="117"/>
      <c r="CQ30" s="117"/>
    </row>
    <row r="31" spans="2:256" ht="15" customHeight="1">
      <c r="H31" t="s">
        <v>286</v>
      </c>
      <c r="I31" t="s">
        <v>120</v>
      </c>
      <c r="J31" s="53">
        <f>O23/N15</f>
        <v>416.66666666666669</v>
      </c>
      <c r="K31" t="s">
        <v>36</v>
      </c>
      <c r="AE31" t="s">
        <v>287</v>
      </c>
      <c r="AF31" s="50" t="e">
        <f>$J$36</f>
        <v>#N/A</v>
      </c>
      <c r="AH31" s="26" t="s">
        <v>288</v>
      </c>
      <c r="AI31" s="50" t="e">
        <f>(AJ28*AF29*(AF32+AF31+AF30+AF29/2)+AK28*AF31*(AF32+AF31/2))/AH12</f>
        <v>#N/A</v>
      </c>
      <c r="AL31" s="50" t="e">
        <f>AJ27*AF29+AK27*AF31-AI30</f>
        <v>#N/A</v>
      </c>
      <c r="AM31" s="49" t="s">
        <v>289</v>
      </c>
      <c r="AU31" s="74" t="e">
        <f>AU25*AU19</f>
        <v>#N/A</v>
      </c>
      <c r="AV31" s="26" t="s">
        <v>290</v>
      </c>
      <c r="AW31" s="74" t="e">
        <f>AW25*AW19</f>
        <v>#N/A</v>
      </c>
      <c r="AX31" s="74" t="e">
        <f>AX25*AX19</f>
        <v>#N/A</v>
      </c>
      <c r="AY31" s="74" t="e">
        <f>AY25*AY19</f>
        <v>#N/A</v>
      </c>
      <c r="AZ31" t="s">
        <v>169</v>
      </c>
      <c r="BA31" t="s">
        <v>290</v>
      </c>
      <c r="BB31" s="74" t="e">
        <f>BB25*BB19</f>
        <v>#N/A</v>
      </c>
      <c r="BC31" s="74" t="e">
        <f>BC25*BC19</f>
        <v>#N/A</v>
      </c>
      <c r="BD31" s="74" t="e">
        <f>BD25*BD19</f>
        <v>#N/A</v>
      </c>
      <c r="BE31" t="s">
        <v>169</v>
      </c>
      <c r="BF31" s="73" t="e">
        <f>BF25*BF19</f>
        <v>#N/A</v>
      </c>
      <c r="BT31" s="26" t="s">
        <v>291</v>
      </c>
      <c r="BU31" s="53" t="e">
        <f>MINA(BU28:BU30)</f>
        <v>#N/A</v>
      </c>
      <c r="BV31" s="53" t="e">
        <f>MINA(BV28:BV30)</f>
        <v>#N/A</v>
      </c>
      <c r="BW31" s="53" t="e">
        <f>MINA(BW28:BW30)</f>
        <v>#N/A</v>
      </c>
      <c r="BX31" t="s">
        <v>91</v>
      </c>
      <c r="BZ31" s="26" t="s">
        <v>291</v>
      </c>
      <c r="CA31" s="53" t="e">
        <f>MINA(CA28:CA30)</f>
        <v>#N/A</v>
      </c>
      <c r="CB31" s="53" t="e">
        <f>MINA(CB28:CB30)</f>
        <v>#N/A</v>
      </c>
      <c r="CC31" s="53" t="e">
        <f>MINA(CC28:CC30)</f>
        <v>#N/A</v>
      </c>
      <c r="CD31" t="s">
        <v>91</v>
      </c>
      <c r="CM31" s="19" t="e">
        <f>IF(CL27=0,0,IF(AND(CL27=1,J34&gt;0),1,0))</f>
        <v>#N/A</v>
      </c>
      <c r="CN31" s="19">
        <v>31</v>
      </c>
      <c r="CO31" s="68" t="s">
        <v>292</v>
      </c>
    </row>
    <row r="32" spans="2:256" ht="15" customHeight="1">
      <c r="H32" t="s">
        <v>293</v>
      </c>
      <c r="I32" t="s">
        <v>120</v>
      </c>
      <c r="J32" s="53" t="e">
        <f>J28^2/4*PI()*H28</f>
        <v>#N/A</v>
      </c>
      <c r="K32" t="s">
        <v>114</v>
      </c>
      <c r="AE32" t="s">
        <v>294</v>
      </c>
      <c r="AF32" s="50" t="e">
        <f>$J$37</f>
        <v>#N/A</v>
      </c>
      <c r="AI32" s="72" t="s">
        <v>295</v>
      </c>
      <c r="AK32" s="26"/>
      <c r="AL32" s="50" t="e">
        <f>AJ28*AF29+AK28*AF31-AI31</f>
        <v>#N/A</v>
      </c>
      <c r="AM32" s="49" t="s">
        <v>296</v>
      </c>
      <c r="AV32" s="26" t="s">
        <v>297</v>
      </c>
      <c r="AW32" s="53" t="e">
        <f>2*(AW20-AW19)*AW18/(AW13*AW14)</f>
        <v>#N/A</v>
      </c>
      <c r="AX32" s="53" t="e">
        <f>2*(AX20-AX19)*AX18/(AX13*AX14)</f>
        <v>#N/A</v>
      </c>
      <c r="AY32" s="53" t="e">
        <f>2*(AY20-AY19)*AY18/(AY13*AY14)</f>
        <v>#N/A</v>
      </c>
      <c r="AZ32" t="s">
        <v>97</v>
      </c>
      <c r="BA32" t="s">
        <v>297</v>
      </c>
      <c r="BB32" s="53" t="e">
        <f>2*(BB20-BB19)*BB18/(BB13*BB14+BB15*BB16)</f>
        <v>#N/A</v>
      </c>
      <c r="BC32" s="53" t="e">
        <f>2*(BC20-BC19)*BC18/(BC13*BC14+BC15*BC16)</f>
        <v>#N/A</v>
      </c>
      <c r="BD32" s="53" t="e">
        <f>2*(BD20-BD19)*BD18/(BD13*BD14+BD15*BD16)</f>
        <v>#N/A</v>
      </c>
      <c r="BE32" t="s">
        <v>97</v>
      </c>
      <c r="BT32" s="26" t="s">
        <v>298</v>
      </c>
      <c r="BU32" s="98" t="e">
        <f>BU13/(BU31*BU17)</f>
        <v>#N/A</v>
      </c>
      <c r="BV32" s="98" t="e">
        <f>BV13/(BV31*BV17)</f>
        <v>#N/A</v>
      </c>
      <c r="BW32" s="98" t="e">
        <f>BW13/(BW31*BW17)</f>
        <v>#N/A</v>
      </c>
      <c r="BZ32" s="26" t="s">
        <v>298</v>
      </c>
      <c r="CA32" s="98" t="e">
        <f>CA13/(CA31*CA17)</f>
        <v>#N/A</v>
      </c>
      <c r="CB32" s="98" t="e">
        <f>CB13/(CB31*CB17)</f>
        <v>#N/A</v>
      </c>
      <c r="CC32" s="98" t="e">
        <f>CC13/(CC31*CC17)</f>
        <v>#N/A</v>
      </c>
      <c r="CM32" s="19" t="e">
        <f>IF(CL27=0,0,IF(AND(CL27=1,J36&gt;0),1,0))</f>
        <v>#N/A</v>
      </c>
      <c r="CN32" s="19">
        <v>32</v>
      </c>
      <c r="CO32" s="68" t="s">
        <v>299</v>
      </c>
    </row>
    <row r="33" spans="1:93" ht="15" customHeight="1">
      <c r="H33" t="s">
        <v>300</v>
      </c>
      <c r="J33" s="53" t="e">
        <f>J29^2/4*PI()*H29</f>
        <v>#N/A</v>
      </c>
      <c r="K33" t="s">
        <v>114</v>
      </c>
      <c r="AJ33" t="s">
        <v>301</v>
      </c>
      <c r="AK33" t="s">
        <v>302</v>
      </c>
      <c r="AL33" t="s">
        <v>303</v>
      </c>
      <c r="AV33" s="26" t="s">
        <v>304</v>
      </c>
      <c r="AW33" s="50" t="e">
        <f>5*10^-5*AW30*SQRT(AW32)</f>
        <v>#N/A</v>
      </c>
      <c r="AX33" s="50" t="e">
        <f>5*10^-5*AX30*SQRT(AX32)</f>
        <v>#N/A</v>
      </c>
      <c r="AY33" s="50" t="e">
        <f>5*10^-5*AY30*SQRT(AY32)</f>
        <v>#N/A</v>
      </c>
      <c r="AZ33" t="s">
        <v>169</v>
      </c>
      <c r="BA33" t="s">
        <v>304</v>
      </c>
      <c r="BB33" s="50" t="e">
        <f>5*10^-5*BB30*SQRT(BB32)</f>
        <v>#N/A</v>
      </c>
      <c r="BC33" s="50" t="e">
        <f>5*10^-5*BC30*SQRT(BC32)</f>
        <v>#N/A</v>
      </c>
      <c r="BD33" s="50" t="e">
        <f>5*10^-5*BD30*SQRT(BD32)</f>
        <v>#N/A</v>
      </c>
      <c r="BE33" t="s">
        <v>169</v>
      </c>
      <c r="BT33" s="26" t="s">
        <v>305</v>
      </c>
      <c r="BU33">
        <v>0.8</v>
      </c>
      <c r="BV33">
        <v>0.8</v>
      </c>
      <c r="BW33">
        <f>BU33</f>
        <v>0.8</v>
      </c>
      <c r="BZ33" s="26" t="s">
        <v>305</v>
      </c>
      <c r="CA33">
        <v>0.8</v>
      </c>
      <c r="CB33">
        <v>0.8</v>
      </c>
      <c r="CC33">
        <f>CA33</f>
        <v>0.8</v>
      </c>
      <c r="CM33" s="19">
        <f>IF(AND(CL21=1,N352="Nej"),1,0)</f>
        <v>0</v>
      </c>
      <c r="CN33" s="19">
        <v>33</v>
      </c>
      <c r="CO33" s="68" t="s">
        <v>306</v>
      </c>
    </row>
    <row r="34" spans="1:93" ht="15" customHeight="1">
      <c r="G34" t="s">
        <v>307</v>
      </c>
      <c r="H34" t="s">
        <v>308</v>
      </c>
      <c r="I34" t="s">
        <v>120</v>
      </c>
      <c r="J34" s="118" t="e">
        <f>NA()</f>
        <v>#N/A</v>
      </c>
      <c r="K34" t="s">
        <v>40</v>
      </c>
      <c r="M34" s="70" t="e">
        <f>IF(AND(J34&lt;J14*10^-3,J34&gt;0),"Skal sættes til nul"," ")</f>
        <v>#N/A</v>
      </c>
      <c r="AU34" s="53" t="e">
        <f>AU12*AU29*AU22^2*10^6/(10*AU31*AA316)</f>
        <v>#N/A</v>
      </c>
      <c r="AV34" s="26" t="s">
        <v>309</v>
      </c>
      <c r="AW34" s="53" t="e">
        <f>AW12*AW29*AW22^2*10^6/(10*AW31*$AA$316)</f>
        <v>#N/A</v>
      </c>
      <c r="AX34" s="53" t="e">
        <f>AX12*AX29*AX22^2*10^6/(10*AX31*$AA$316)</f>
        <v>#N/A</v>
      </c>
      <c r="AY34" s="53" t="e">
        <f>AY12*AY29*AY22^2*10^6/(10*AY31*$AA$316)</f>
        <v>#N/A</v>
      </c>
      <c r="AZ34" t="s">
        <v>169</v>
      </c>
      <c r="BA34" s="32" t="s">
        <v>310</v>
      </c>
      <c r="BB34" s="53" t="e">
        <f>BB12*BB29*BB22^2*10^6/(10*BB31*$AA$316)</f>
        <v>#N/A</v>
      </c>
      <c r="BC34" s="53" t="e">
        <f>BC12*BC29*BC22^2*10^6/(10*BC31*$AA$316)</f>
        <v>#N/A</v>
      </c>
      <c r="BD34" s="53" t="e">
        <f>BD12*BD29*BD22^2*10^6/(10*BD31*$AA$316)</f>
        <v>#N/A</v>
      </c>
      <c r="BE34" t="s">
        <v>169</v>
      </c>
      <c r="BF34" s="53" t="e">
        <f>BF12*BF29*BF22^2*10^6/(10*BF31*AA316)</f>
        <v>#N/A</v>
      </c>
      <c r="BT34" s="26" t="s">
        <v>311</v>
      </c>
      <c r="BU34">
        <v>0.5</v>
      </c>
      <c r="BV34">
        <v>0.5</v>
      </c>
      <c r="BW34">
        <f>BU34</f>
        <v>0.5</v>
      </c>
      <c r="BZ34" s="26" t="s">
        <v>311</v>
      </c>
      <c r="CA34">
        <v>0.5</v>
      </c>
      <c r="CB34">
        <v>0.5</v>
      </c>
      <c r="CC34">
        <f>CA34</f>
        <v>0.5</v>
      </c>
      <c r="CM34" s="19">
        <f>IF(AND(AND(CL21=1,N352="Nej",N380="Nej")),0,1)</f>
        <v>1</v>
      </c>
      <c r="CN34" s="19">
        <v>34</v>
      </c>
      <c r="CO34" s="68" t="s">
        <v>312</v>
      </c>
    </row>
    <row r="35" spans="1:93" ht="15" customHeight="1">
      <c r="D35" s="26" t="s">
        <v>313</v>
      </c>
      <c r="G35" t="s">
        <v>314</v>
      </c>
      <c r="H35" t="s">
        <v>315</v>
      </c>
      <c r="I35" t="s">
        <v>120</v>
      </c>
      <c r="J35" s="118" t="e">
        <f>NA()</f>
        <v>#N/A</v>
      </c>
      <c r="K35" t="s">
        <v>40</v>
      </c>
      <c r="N35" s="26" t="s">
        <v>316</v>
      </c>
      <c r="O35" s="50" t="e">
        <f>J34+J35+J36</f>
        <v>#N/A</v>
      </c>
      <c r="P35" t="s">
        <v>40</v>
      </c>
      <c r="X35" s="119" t="s">
        <v>317</v>
      </c>
      <c r="AK35" s="120" t="s">
        <v>318</v>
      </c>
      <c r="AM35" s="120" t="s">
        <v>319</v>
      </c>
      <c r="AU35" t="e">
        <f>AW35</f>
        <v>#N/A</v>
      </c>
      <c r="AV35" s="26" t="s">
        <v>320</v>
      </c>
      <c r="AW35" t="e">
        <f>BE56</f>
        <v>#N/A</v>
      </c>
      <c r="AX35" t="e">
        <f>BE66</f>
        <v>#N/A</v>
      </c>
      <c r="AY35" t="e">
        <f>BE76</f>
        <v>#N/A</v>
      </c>
      <c r="AZ35" t="s">
        <v>321</v>
      </c>
      <c r="BA35" s="32" t="s">
        <v>320</v>
      </c>
      <c r="BB35" t="e">
        <f>BQ56</f>
        <v>#N/A</v>
      </c>
      <c r="BC35" t="e">
        <f>BQ66</f>
        <v>#N/A</v>
      </c>
      <c r="BD35" t="e">
        <f>BQ76</f>
        <v>#N/A</v>
      </c>
      <c r="BE35" t="s">
        <v>321</v>
      </c>
      <c r="BF35" t="e">
        <f>BB35</f>
        <v>#N/A</v>
      </c>
      <c r="BT35" s="26" t="s">
        <v>322</v>
      </c>
      <c r="BU35" s="10" t="e">
        <f>3.4*(25/BU11)^(2/3)</f>
        <v>#N/A</v>
      </c>
      <c r="BV35" s="10" t="e">
        <f>3.4*(25/BV11)^(2/3)</f>
        <v>#N/A</v>
      </c>
      <c r="BW35" t="e">
        <f>BU35</f>
        <v>#N/A</v>
      </c>
      <c r="BZ35" s="26" t="s">
        <v>322</v>
      </c>
      <c r="CA35" t="e">
        <f>3.4*(25/CA11)^(2/3)</f>
        <v>#N/A</v>
      </c>
      <c r="CB35" t="e">
        <f>3.4*(25/CB11)^(2/3)</f>
        <v>#N/A</v>
      </c>
      <c r="CC35" t="e">
        <f>CA35</f>
        <v>#N/A</v>
      </c>
      <c r="CM35" s="19">
        <f>IF(O189="Udskrives ikke",1,0)</f>
        <v>1</v>
      </c>
      <c r="CN35" s="19">
        <v>35</v>
      </c>
      <c r="CO35" s="68" t="s">
        <v>323</v>
      </c>
    </row>
    <row r="36" spans="1:93" ht="15" customHeight="1">
      <c r="C36" s="26" t="s">
        <v>324</v>
      </c>
      <c r="D36" s="26" t="s">
        <v>315</v>
      </c>
      <c r="F36" t="s">
        <v>325</v>
      </c>
      <c r="G36" t="s">
        <v>307</v>
      </c>
      <c r="H36" t="s">
        <v>326</v>
      </c>
      <c r="I36" t="s">
        <v>120</v>
      </c>
      <c r="J36" s="118" t="e">
        <f>NA()</f>
        <v>#N/A</v>
      </c>
      <c r="K36" t="s">
        <v>40</v>
      </c>
      <c r="M36" s="70" t="e">
        <f>IF(AND(J36&lt;J14*10^-3,J36&gt;0),"Skal sættes til nul"," ")</f>
        <v>#N/A</v>
      </c>
      <c r="X36" s="26" t="s">
        <v>327</v>
      </c>
      <c r="Y36">
        <v>0</v>
      </c>
      <c r="Z36" s="120" t="s">
        <v>328</v>
      </c>
      <c r="AA36" s="120" t="s">
        <v>329</v>
      </c>
      <c r="AB36" s="120" t="s">
        <v>330</v>
      </c>
      <c r="AC36" s="120" t="s">
        <v>331</v>
      </c>
      <c r="AD36" s="120" t="s">
        <v>332</v>
      </c>
      <c r="AE36" s="121" t="s">
        <v>333</v>
      </c>
      <c r="AF36" s="120" t="s">
        <v>334</v>
      </c>
      <c r="AG36" s="120" t="s">
        <v>335</v>
      </c>
      <c r="AH36" s="120" t="s">
        <v>336</v>
      </c>
      <c r="AI36" s="120" t="s">
        <v>337</v>
      </c>
      <c r="AJ36" s="120" t="s">
        <v>338</v>
      </c>
      <c r="AL36" s="120" t="s">
        <v>339</v>
      </c>
      <c r="AN36" s="120" t="s">
        <v>340</v>
      </c>
      <c r="AO36" s="120" t="s">
        <v>341</v>
      </c>
      <c r="AP36" s="120" t="s">
        <v>342</v>
      </c>
      <c r="AQ36" t="str">
        <f>X36</f>
        <v>snit, x=</v>
      </c>
      <c r="AU36" s="53">
        <f>AA316/AU12</f>
        <v>25000</v>
      </c>
      <c r="AV36" s="26" t="s">
        <v>343</v>
      </c>
      <c r="AW36" s="53">
        <f>$AA$316/AW12</f>
        <v>6666.666666666667</v>
      </c>
      <c r="AX36" s="53">
        <f>$AA$316/AX12</f>
        <v>6666.666666666667</v>
      </c>
      <c r="AY36" s="53">
        <f>$AA$316/AY12</f>
        <v>25000</v>
      </c>
      <c r="AZ36" t="s">
        <v>276</v>
      </c>
      <c r="BA36" s="32" t="s">
        <v>343</v>
      </c>
      <c r="BB36" s="53">
        <f>$AA$316/BB12</f>
        <v>6666.666666666667</v>
      </c>
      <c r="BC36" s="53">
        <f>$AA$316/BC12</f>
        <v>6666.666666666667</v>
      </c>
      <c r="BD36" s="53">
        <f>$AA$316/BD12</f>
        <v>25000</v>
      </c>
      <c r="BE36" t="s">
        <v>276</v>
      </c>
      <c r="BF36" s="53">
        <f>AA316/BF12</f>
        <v>25000</v>
      </c>
      <c r="BT36" s="26" t="s">
        <v>344</v>
      </c>
      <c r="BU36">
        <v>0.42499999999999999</v>
      </c>
      <c r="BV36">
        <v>0.42499999999999999</v>
      </c>
      <c r="BW36">
        <f>BU36</f>
        <v>0.42499999999999999</v>
      </c>
      <c r="BZ36" s="26" t="s">
        <v>344</v>
      </c>
      <c r="CA36">
        <v>0.42499999999999999</v>
      </c>
      <c r="CB36">
        <v>0.42499999999999999</v>
      </c>
      <c r="CC36">
        <f>CA36</f>
        <v>0.42499999999999999</v>
      </c>
      <c r="CN36" s="19"/>
    </row>
    <row r="37" spans="1:93" ht="15" customHeight="1">
      <c r="D37" s="26" t="s">
        <v>345</v>
      </c>
      <c r="H37" t="s">
        <v>328</v>
      </c>
      <c r="I37" t="s">
        <v>120</v>
      </c>
      <c r="J37" s="122" t="e">
        <f>(J38-SUM(J34:J36))/2</f>
        <v>#N/A</v>
      </c>
      <c r="K37" t="s">
        <v>40</v>
      </c>
      <c r="X37" s="26" t="s">
        <v>346</v>
      </c>
      <c r="Y37" s="52">
        <v>0</v>
      </c>
      <c r="Z37" s="52" t="e">
        <f>AF32</f>
        <v>#N/A</v>
      </c>
      <c r="AA37" s="52" t="e">
        <f>AF32+1/5*AF29</f>
        <v>#N/A</v>
      </c>
      <c r="AB37" s="52" t="e">
        <f>AF32+2/5*AF29</f>
        <v>#N/A</v>
      </c>
      <c r="AC37" s="52" t="e">
        <f>AF32+3/5*AF29</f>
        <v>#N/A</v>
      </c>
      <c r="AD37" s="52" t="e">
        <f>AF32+4/5*AF29</f>
        <v>#N/A</v>
      </c>
      <c r="AE37" s="52" t="e">
        <f>AF32+AF29</f>
        <v>#N/A</v>
      </c>
      <c r="AF37" s="52" t="e">
        <f>AF32+AF29+1/5*AF30</f>
        <v>#N/A</v>
      </c>
      <c r="AG37" s="52" t="e">
        <f>AF32+AF29+2/5*AF30</f>
        <v>#N/A</v>
      </c>
      <c r="AH37" s="52" t="e">
        <f>AF32+AF29+3/5*AF30</f>
        <v>#N/A</v>
      </c>
      <c r="AI37" s="52" t="e">
        <f>AF32+AF29+4/5*AF30</f>
        <v>#N/A</v>
      </c>
      <c r="AJ37" s="52" t="e">
        <f>AF32+AF29+AF30</f>
        <v>#N/A</v>
      </c>
      <c r="AK37" s="52" t="e">
        <f>AF32+AF29+AF30+1/5*AF31</f>
        <v>#N/A</v>
      </c>
      <c r="AL37" s="52" t="e">
        <f>AF32+AF29+AF30+2/5*AF31</f>
        <v>#N/A</v>
      </c>
      <c r="AM37" s="52" t="e">
        <f>AF32+AF29+AF30+3/5*AF31</f>
        <v>#N/A</v>
      </c>
      <c r="AN37" s="52" t="e">
        <f>AF32+AF29+AF30+4/5*AF31</f>
        <v>#N/A</v>
      </c>
      <c r="AO37" s="52" t="e">
        <f>AF32+AF29+AF30+AF31</f>
        <v>#N/A</v>
      </c>
      <c r="AP37" s="52" t="e">
        <f>AF32+AF29+AF30+AF31+AF32</f>
        <v>#N/A</v>
      </c>
      <c r="AQ37" t="str">
        <f t="shared" ref="AQ37:AQ57" si="5">X37</f>
        <v>snit, x= [m]</v>
      </c>
      <c r="AU37" s="74" t="e">
        <f>5/48*AU17/(AU36*10^3*AU35)*AU22^2*10^3</f>
        <v>#N/A</v>
      </c>
      <c r="AV37" s="26" t="s">
        <v>347</v>
      </c>
      <c r="AW37" s="53" t="e">
        <f>5/48*AW17/(AW36*10^3*AW35)*AW22^2*10^3</f>
        <v>#N/A</v>
      </c>
      <c r="AX37" s="53" t="e">
        <f>5/48*AX17/(AX36*10^3*AX35)*AX22^2*10^3</f>
        <v>#N/A</v>
      </c>
      <c r="AY37" s="53" t="e">
        <f>5/48*AY17/(AY36*10^3*AY35)*AY22^2*10^3</f>
        <v>#N/A</v>
      </c>
      <c r="AZ37" t="s">
        <v>169</v>
      </c>
      <c r="BA37" s="32" t="s">
        <v>347</v>
      </c>
      <c r="BB37" s="53" t="e">
        <f>5/48*BB17/(BB36*10^3*BB35)*BB22^2*10^3</f>
        <v>#N/A</v>
      </c>
      <c r="BC37" s="53" t="e">
        <f>5/48*BC17/(BC36*10^3*BC35)*BC22^2*10^3</f>
        <v>#N/A</v>
      </c>
      <c r="BD37" s="53" t="e">
        <f>5/48*BD17/(BD36*10^3*BD35)*BD22^2*10^3</f>
        <v>#N/A</v>
      </c>
      <c r="BE37" t="s">
        <v>169</v>
      </c>
      <c r="BF37" s="74" t="e">
        <f>5/48*BF17/(BF36*10^3*BF35)*BF22^2*10^3</f>
        <v>#N/A</v>
      </c>
      <c r="BT37" s="26" t="s">
        <v>348</v>
      </c>
      <c r="BU37">
        <v>0.4</v>
      </c>
      <c r="BV37">
        <v>0.4</v>
      </c>
      <c r="BW37">
        <v>0.6</v>
      </c>
      <c r="BZ37" s="26" t="s">
        <v>348</v>
      </c>
      <c r="CA37">
        <v>0.4</v>
      </c>
      <c r="CB37">
        <v>0.4</v>
      </c>
      <c r="CC37">
        <v>0.6</v>
      </c>
      <c r="CM37" s="19"/>
      <c r="CO37" s="30"/>
    </row>
    <row r="38" spans="1:93" ht="15" customHeight="1">
      <c r="G38" t="s">
        <v>207</v>
      </c>
      <c r="H38" t="s">
        <v>345</v>
      </c>
      <c r="I38" t="s">
        <v>120</v>
      </c>
      <c r="J38" s="118" t="e">
        <f>J36+J35+J34+0.2</f>
        <v>#N/A</v>
      </c>
      <c r="K38" t="s">
        <v>40</v>
      </c>
      <c r="N38" s="26" t="s">
        <v>349</v>
      </c>
      <c r="O38" s="50" t="e">
        <f>J34+J35/COS(N19)+J36+2*J37</f>
        <v>#N/A</v>
      </c>
      <c r="X38" s="26" t="s">
        <v>350</v>
      </c>
      <c r="Y38" s="52"/>
      <c r="Z38" s="52"/>
      <c r="AA38" s="52"/>
      <c r="AB38" s="52"/>
      <c r="AC38" s="52"/>
      <c r="AD38" s="52"/>
      <c r="AE38" s="52"/>
      <c r="AF38" s="52"/>
      <c r="AG38" s="52"/>
      <c r="AH38" s="52"/>
      <c r="AI38" s="52"/>
      <c r="AJ38" s="52" t="e">
        <f>AP37-AJ37</f>
        <v>#N/A</v>
      </c>
      <c r="AK38" s="52" t="e">
        <f>AP37-AK37</f>
        <v>#N/A</v>
      </c>
      <c r="AL38" s="52" t="e">
        <f>AP37-AL37</f>
        <v>#N/A</v>
      </c>
      <c r="AM38" s="52" t="e">
        <f>AP37-AM37</f>
        <v>#N/A</v>
      </c>
      <c r="AN38" s="52" t="e">
        <f>AP37-AN37</f>
        <v>#N/A</v>
      </c>
      <c r="AO38" s="52" t="e">
        <f>AP37-AO37</f>
        <v>#N/A</v>
      </c>
      <c r="AP38" s="52">
        <v>0</v>
      </c>
      <c r="AQ38" t="str">
        <f t="shared" si="5"/>
        <v>snit, l-x [m]</v>
      </c>
      <c r="AV38" s="26" t="s">
        <v>351</v>
      </c>
      <c r="AW38" s="53" t="e">
        <f>AW34*BF48+AW37*(1-BF48)</f>
        <v>#N/A</v>
      </c>
      <c r="AX38" s="53" t="e">
        <f>AX34*BF48+AX37*(1-BF48)</f>
        <v>#N/A</v>
      </c>
      <c r="AY38" s="53" t="e">
        <f>AY34*BG48+AY37*(1-BG48)</f>
        <v>#N/A</v>
      </c>
      <c r="AZ38" t="s">
        <v>169</v>
      </c>
      <c r="BB38" s="53" t="e">
        <f>BB34*BR48+BB37*(1-BR48)</f>
        <v>#N/A</v>
      </c>
      <c r="BC38" s="53" t="e">
        <f>BC34*BR48+BC37*(1-BR48)</f>
        <v>#N/A</v>
      </c>
      <c r="BD38" s="53" t="e">
        <f>BD34*BS48+BD37*(1-BS48)</f>
        <v>#N/A</v>
      </c>
      <c r="BE38" t="s">
        <v>169</v>
      </c>
      <c r="BT38" s="26" t="s">
        <v>352</v>
      </c>
      <c r="BU38" s="53" t="e">
        <f>BU11*BU35+BU33*BU34*BU36*BU12/BU32</f>
        <v>#N/A</v>
      </c>
      <c r="BV38" s="53" t="e">
        <f>BV11*BV35+BV33*BV34*BV36*BV12/BV32</f>
        <v>#N/A</v>
      </c>
      <c r="BW38" s="53" t="e">
        <f>BW11*BW35+BW33*BW34*BW36*BW12/BW32</f>
        <v>#N/A</v>
      </c>
      <c r="BX38" t="s">
        <v>91</v>
      </c>
      <c r="BZ38" s="26" t="s">
        <v>352</v>
      </c>
      <c r="CA38" s="53" t="e">
        <f>CA11*CA35+CA33*CA34*CA36*CA12/CA32</f>
        <v>#N/A</v>
      </c>
      <c r="CB38" s="53" t="e">
        <f>CB11*CB35+CB33*CB34*CB36*CB12/CB32</f>
        <v>#N/A</v>
      </c>
      <c r="CC38" s="53" t="e">
        <f>CC11*CC35+CC33*CC34*CC36*CC12/CC32</f>
        <v>#N/A</v>
      </c>
      <c r="CD38" t="s">
        <v>91</v>
      </c>
      <c r="CM38" s="19"/>
      <c r="CO38" s="30"/>
    </row>
    <row r="39" spans="1:93" ht="15" customHeight="1">
      <c r="F39" s="97" t="e">
        <f>(F42-F40)*2</f>
        <v>#N/A</v>
      </c>
      <c r="G39" t="s">
        <v>353</v>
      </c>
      <c r="J39" s="26" t="s">
        <v>354</v>
      </c>
      <c r="L39" s="19" t="s">
        <v>355</v>
      </c>
      <c r="N39" s="70" t="e">
        <f>IF(F39&lt;0,"Negativ!",IF(F39&lt;50,"Lille!"," "))</f>
        <v>#N/A</v>
      </c>
      <c r="X39" s="26" t="s">
        <v>356</v>
      </c>
      <c r="Y39" s="123" t="s">
        <v>357</v>
      </c>
      <c r="Z39" s="127" t="e">
        <f>($L$52*($F$42-$J$24/3)*10^-3)*MAXA(AD132,AD157)</f>
        <v>#N/A</v>
      </c>
      <c r="AA39" s="50" t="e">
        <f t="shared" ref="AA39:AO39" si="6">Z39</f>
        <v>#N/A</v>
      </c>
      <c r="AB39" s="50" t="e">
        <f t="shared" si="6"/>
        <v>#N/A</v>
      </c>
      <c r="AC39" s="50" t="e">
        <f t="shared" si="6"/>
        <v>#N/A</v>
      </c>
      <c r="AD39" s="50" t="e">
        <f t="shared" si="6"/>
        <v>#N/A</v>
      </c>
      <c r="AE39" s="50" t="e">
        <f t="shared" si="6"/>
        <v>#N/A</v>
      </c>
      <c r="AF39" s="50" t="e">
        <f t="shared" si="6"/>
        <v>#N/A</v>
      </c>
      <c r="AG39" s="50" t="e">
        <f t="shared" si="6"/>
        <v>#N/A</v>
      </c>
      <c r="AH39" s="50" t="e">
        <f t="shared" si="6"/>
        <v>#N/A</v>
      </c>
      <c r="AI39" s="50" t="e">
        <f t="shared" si="6"/>
        <v>#N/A</v>
      </c>
      <c r="AJ39" s="50" t="e">
        <f t="shared" si="6"/>
        <v>#N/A</v>
      </c>
      <c r="AK39" s="50" t="e">
        <f t="shared" si="6"/>
        <v>#N/A</v>
      </c>
      <c r="AL39" s="50" t="e">
        <f t="shared" si="6"/>
        <v>#N/A</v>
      </c>
      <c r="AM39" s="50" t="e">
        <f t="shared" si="6"/>
        <v>#N/A</v>
      </c>
      <c r="AN39" s="50" t="e">
        <f t="shared" si="6"/>
        <v>#N/A</v>
      </c>
      <c r="AO39" s="50" t="e">
        <f t="shared" si="6"/>
        <v>#N/A</v>
      </c>
      <c r="AP39" s="50"/>
      <c r="AQ39" t="str">
        <f t="shared" si="5"/>
        <v>pladelast [kN/m] regn.m</v>
      </c>
      <c r="AV39" s="26" t="s">
        <v>358</v>
      </c>
      <c r="AW39" s="53" t="e">
        <f>IF(BF49&lt;AW17,+BF52,BF50*AW17/BF49)</f>
        <v>#N/A</v>
      </c>
      <c r="AX39" s="53" t="e">
        <f>IF(BF59&lt;AX17,+BF62,BF60*AX17/BF59)</f>
        <v>#N/A</v>
      </c>
      <c r="AY39" s="53" t="e">
        <f>IF(BF49&lt;(AW17+AY17),+BG51*AY34+(1-BG51)*AY37,AY37)</f>
        <v>#N/A</v>
      </c>
      <c r="AZ39" t="s">
        <v>169</v>
      </c>
      <c r="BB39" s="53" t="e">
        <f>IF(BR49&lt;BB17,+BR52,BR50*BB17/BR49)</f>
        <v>#N/A</v>
      </c>
      <c r="BC39" s="53" t="e">
        <f>IF(BR59&lt;BC17,+BR62,BR60*BC17/BR59)</f>
        <v>#N/A</v>
      </c>
      <c r="BD39" s="53" t="e">
        <f>IF(BR49&lt;(BB17+BD17),+BS51*BD34+(1-BS51)*BD37,BD37)</f>
        <v>#N/A</v>
      </c>
      <c r="BE39" t="s">
        <v>169</v>
      </c>
      <c r="BT39" s="26" t="s">
        <v>359</v>
      </c>
      <c r="BU39" s="53" t="e">
        <f>1.3*(BU19-BU27)</f>
        <v>#N/A</v>
      </c>
      <c r="BV39" s="53" t="e">
        <f>1.3*(BV19-BV27)</f>
        <v>#N/A</v>
      </c>
      <c r="BW39" s="53" t="e">
        <f>1.3*(BW19-BW27)</f>
        <v>#N/A</v>
      </c>
      <c r="BX39" t="s">
        <v>91</v>
      </c>
      <c r="BZ39" s="26" t="s">
        <v>359</v>
      </c>
      <c r="CA39" s="53" t="e">
        <f>1.3*(CA19-CA27)</f>
        <v>#N/A</v>
      </c>
      <c r="CB39" s="53" t="e">
        <f>1.3*(CB19-CB27)</f>
        <v>#N/A</v>
      </c>
      <c r="CC39" s="53" t="e">
        <f>1.3*(CC19-CC27)</f>
        <v>#N/A</v>
      </c>
      <c r="CD39" t="s">
        <v>91</v>
      </c>
      <c r="CM39" s="19"/>
      <c r="CO39" s="30"/>
    </row>
    <row r="40" spans="1:93" ht="15" customHeight="1">
      <c r="F40" s="95">
        <f>J24</f>
        <v>120</v>
      </c>
      <c r="G40" s="124" t="str">
        <f>IF(AND(N40=1,O40=1)," ","Angiv  dorn,  fast  eller  ende----&gt;")</f>
        <v xml:space="preserve"> </v>
      </c>
      <c r="J40" s="33" t="s">
        <v>54</v>
      </c>
      <c r="K40" s="30"/>
      <c r="L40" s="33" t="s">
        <v>79</v>
      </c>
      <c r="M40" s="70" t="e">
        <f>IF(AND(J40="ende",J34&gt;0),"la skal være nul !",IF(AND(L40="ende",J36&gt;0),"lc skal være nul !"," "))</f>
        <v>#N/A</v>
      </c>
      <c r="N40">
        <f>IF(OR(OR(J40="dorn",J40="fast"),J40="ende"),1,0)</f>
        <v>1</v>
      </c>
      <c r="O40">
        <f>IF(OR(OR(L40="dorn",L40="fast"),L40="ende"),1,0)</f>
        <v>1</v>
      </c>
      <c r="X40" s="26" t="s">
        <v>360</v>
      </c>
      <c r="Y40" s="50">
        <v>0</v>
      </c>
      <c r="Z40" s="50" t="e">
        <f>Y41*Z37-Z39*(Z37-AF32)^2/2</f>
        <v>#N/A</v>
      </c>
      <c r="AA40" s="50" t="e">
        <f>Y41*AA37-AA39*(AA37-AF32)^2/2</f>
        <v>#N/A</v>
      </c>
      <c r="AB40" s="50" t="e">
        <f>Y41*AB37-AB39*(AB37-AF32)^2/2</f>
        <v>#N/A</v>
      </c>
      <c r="AC40" s="50" t="e">
        <f>Y41*AC37-AC39*(AC37-AF32)^2/2</f>
        <v>#N/A</v>
      </c>
      <c r="AD40" s="50" t="e">
        <f>Y41*AD37-AD39*(AD37-AF32)^2/2</f>
        <v>#N/A</v>
      </c>
      <c r="AE40" s="50" t="e">
        <f>Y41*AE37-AE39*(AE37-AF32)^2/2</f>
        <v>#N/A</v>
      </c>
      <c r="AF40" s="50" t="e">
        <f>Y41*AF37-AF39*(AF37-AF32)^2/2</f>
        <v>#N/A</v>
      </c>
      <c r="AG40" s="50" t="e">
        <f>Y41*AG37-AG39*(AG37-AF32)^2/2</f>
        <v>#N/A</v>
      </c>
      <c r="AH40" s="50" t="e">
        <f>Y41*AH37-AH39*(AH37-AF32)^2/2</f>
        <v>#N/A</v>
      </c>
      <c r="AI40" s="50" t="e">
        <f>Y41*AI37-AI39*(AI37-AF32)^2/2</f>
        <v>#N/A</v>
      </c>
      <c r="AJ40" s="50" t="e">
        <f>Y41*AJ37-AJ39*(AJ37-AF32)^2/2</f>
        <v>#N/A</v>
      </c>
      <c r="AK40" s="50" t="e">
        <f>Y41*AK37-AK39*(AK37-AF32)^2/2</f>
        <v>#N/A</v>
      </c>
      <c r="AL40" s="50" t="e">
        <f>Y41*AL37-AL39*(AL37-AF32)^2/2</f>
        <v>#N/A</v>
      </c>
      <c r="AM40" s="50" t="e">
        <f>Y41*AM37-AM39*(AM37-AF32)^2/2</f>
        <v>#N/A</v>
      </c>
      <c r="AN40" s="50" t="e">
        <f>Y41*AN37-AN39*(AN37-AF32)^2/2</f>
        <v>#N/A</v>
      </c>
      <c r="AO40" s="50" t="e">
        <f>Y41*AO37-AO39*(AO37-AF32)^2/2</f>
        <v>#N/A</v>
      </c>
      <c r="AP40" s="50">
        <v>0</v>
      </c>
      <c r="AQ40" t="str">
        <f t="shared" si="5"/>
        <v>M pladelast [kNm]</v>
      </c>
      <c r="AW40" s="53" t="e">
        <f>IF(AW4="korttids",+AW39,MAXA(AW38:AW39))</f>
        <v>#N/A</v>
      </c>
      <c r="AX40" s="53" t="e">
        <f>IF(AW4="korttids",+AX39,MAXA(AX38:AX39))</f>
        <v>#N/A</v>
      </c>
      <c r="AY40" s="53" t="e">
        <f>MAXA(AY38:AY39)</f>
        <v>#N/A</v>
      </c>
      <c r="BB40" s="53" t="e">
        <f>IF(AW4="korttids",+BB39,MAXA(BB38:BB39))</f>
        <v>#N/A</v>
      </c>
      <c r="BC40" s="53" t="e">
        <f>IF(AW4="korttids",+BC39,MAXA(BC38:BC39))</f>
        <v>#N/A</v>
      </c>
      <c r="BD40" s="53" t="e">
        <f>MAXA(BD38:BD39)</f>
        <v>#N/A</v>
      </c>
      <c r="BT40" s="26" t="s">
        <v>361</v>
      </c>
      <c r="BU40" s="53" t="e">
        <f>MAXA(BU38:BU39)</f>
        <v>#N/A</v>
      </c>
      <c r="BV40" s="53" t="e">
        <f>MAXA(BV38:BV39)</f>
        <v>#N/A</v>
      </c>
      <c r="BW40" s="53" t="e">
        <f>MAXA(BW38:BW39)</f>
        <v>#N/A</v>
      </c>
      <c r="BX40" t="s">
        <v>91</v>
      </c>
      <c r="BZ40" s="26" t="s">
        <v>361</v>
      </c>
      <c r="CA40" s="53" t="e">
        <f>MAXA(CA38:CA39)</f>
        <v>#N/A</v>
      </c>
      <c r="CB40" s="53" t="e">
        <f>MAXA(CB38:CB39)</f>
        <v>#N/A</v>
      </c>
      <c r="CC40" s="53" t="e">
        <f>MAXA(CC38:CC39)</f>
        <v>#N/A</v>
      </c>
      <c r="CD40" t="s">
        <v>91</v>
      </c>
      <c r="CM40" s="19"/>
      <c r="CO40" s="30"/>
    </row>
    <row r="41" spans="1:93" ht="15" customHeight="1" thickBot="1">
      <c r="C41" s="30" t="s">
        <v>362</v>
      </c>
      <c r="F41" s="53"/>
      <c r="G41" s="19" t="s">
        <v>363</v>
      </c>
      <c r="H41" t="s">
        <v>184</v>
      </c>
      <c r="I41" t="s">
        <v>120</v>
      </c>
      <c r="J41" s="65" t="e">
        <f>IF(J34=0,J23/4,NA())</f>
        <v>#N/A</v>
      </c>
      <c r="K41" s="30"/>
      <c r="L41" s="65" t="e">
        <f>IF(J36=0,+J23/4,NA())</f>
        <v>#N/A</v>
      </c>
      <c r="M41" t="s">
        <v>91</v>
      </c>
      <c r="N41" s="125" t="s">
        <v>364</v>
      </c>
      <c r="O41" s="85"/>
      <c r="X41" s="26" t="s">
        <v>365</v>
      </c>
      <c r="Y41" s="50" t="e">
        <f>(Z39*O35*(O35/2+AF32))/J38</f>
        <v>#N/A</v>
      </c>
      <c r="Z41" s="50" t="e">
        <f>Y41-Z39*(Z37-AF32)</f>
        <v>#N/A</v>
      </c>
      <c r="AA41" s="50" t="e">
        <f t="shared" ref="AA41:AO41" si="7">Z41-AA39*(AA37-Z37)</f>
        <v>#N/A</v>
      </c>
      <c r="AB41" s="50" t="e">
        <f t="shared" si="7"/>
        <v>#N/A</v>
      </c>
      <c r="AC41" s="50" t="e">
        <f t="shared" si="7"/>
        <v>#N/A</v>
      </c>
      <c r="AD41" s="50" t="e">
        <f t="shared" si="7"/>
        <v>#N/A</v>
      </c>
      <c r="AE41" s="50" t="e">
        <f t="shared" si="7"/>
        <v>#N/A</v>
      </c>
      <c r="AF41" s="50" t="e">
        <f t="shared" si="7"/>
        <v>#N/A</v>
      </c>
      <c r="AG41" s="50" t="e">
        <f t="shared" si="7"/>
        <v>#N/A</v>
      </c>
      <c r="AH41" s="50" t="e">
        <f t="shared" si="7"/>
        <v>#N/A</v>
      </c>
      <c r="AI41" s="50" t="e">
        <f t="shared" si="7"/>
        <v>#N/A</v>
      </c>
      <c r="AJ41" s="50" t="e">
        <f t="shared" si="7"/>
        <v>#N/A</v>
      </c>
      <c r="AK41" s="50" t="e">
        <f t="shared" si="7"/>
        <v>#N/A</v>
      </c>
      <c r="AL41" s="50" t="e">
        <f t="shared" si="7"/>
        <v>#N/A</v>
      </c>
      <c r="AM41" s="50" t="e">
        <f t="shared" si="7"/>
        <v>#N/A</v>
      </c>
      <c r="AN41" s="50" t="e">
        <f t="shared" si="7"/>
        <v>#N/A</v>
      </c>
      <c r="AO41" s="50" t="e">
        <f t="shared" si="7"/>
        <v>#N/A</v>
      </c>
      <c r="AP41" s="50" t="e">
        <f>-Y41</f>
        <v>#N/A</v>
      </c>
      <c r="AQ41" t="str">
        <f t="shared" si="5"/>
        <v>V pladelast [kN]</v>
      </c>
      <c r="AV41" t="s">
        <v>366</v>
      </c>
      <c r="BT41" s="26" t="s">
        <v>367</v>
      </c>
      <c r="BU41" s="50">
        <f>0.3*BU6^(2/3)</f>
        <v>2.896468153816889</v>
      </c>
      <c r="BV41" s="50">
        <f>0.3*BV6^(2/3)</f>
        <v>2.896468153816889</v>
      </c>
      <c r="BW41" s="50">
        <f>0.3*BW6^(2/3)</f>
        <v>2.896468153816889</v>
      </c>
      <c r="BX41" t="s">
        <v>36</v>
      </c>
      <c r="BZ41" s="26" t="s">
        <v>367</v>
      </c>
      <c r="CA41" s="50">
        <f>0.3*CA6^(2/3)</f>
        <v>2.896468153816889</v>
      </c>
      <c r="CB41" s="50">
        <f>0.3*CB6^(2/3)</f>
        <v>2.896468153816889</v>
      </c>
      <c r="CC41" s="50">
        <f>0.3*CC6^(2/3)</f>
        <v>2.896468153816889</v>
      </c>
      <c r="CD41" t="s">
        <v>36</v>
      </c>
      <c r="CM41" s="19"/>
    </row>
    <row r="42" spans="1:93" ht="15" customHeight="1">
      <c r="C42" s="30" t="s">
        <v>368</v>
      </c>
      <c r="F42" s="95" t="e">
        <f>IF(AND(N43="ja",O43="ja"),MINA(J42,L42),IF(AND(N43="nej",O43="nej"),+O45,MAXA(N44:O44)))</f>
        <v>#N/A</v>
      </c>
      <c r="G42" s="19" t="s">
        <v>369</v>
      </c>
      <c r="H42" t="s">
        <v>186</v>
      </c>
      <c r="I42" t="s">
        <v>120</v>
      </c>
      <c r="J42" s="65" t="e">
        <f>IF(J34=0,J23/4,NA())</f>
        <v>#N/A</v>
      </c>
      <c r="K42" s="30"/>
      <c r="L42" s="65" t="e">
        <f>IF(J36=0,+J23/4,NA())</f>
        <v>#N/A</v>
      </c>
      <c r="M42" t="s">
        <v>91</v>
      </c>
      <c r="N42" s="19" t="s">
        <v>370</v>
      </c>
      <c r="O42" s="19" t="s">
        <v>371</v>
      </c>
      <c r="P42" t="s">
        <v>372</v>
      </c>
      <c r="T42" s="129"/>
      <c r="U42" s="130" t="s">
        <v>382</v>
      </c>
      <c r="X42" s="26" t="s">
        <v>373</v>
      </c>
      <c r="Y42" s="52"/>
      <c r="Z42" s="52"/>
      <c r="AA42" s="52" t="e">
        <f>AF29/5</f>
        <v>#N/A</v>
      </c>
      <c r="AB42" s="52" t="e">
        <f>2/5*AF29</f>
        <v>#N/A</v>
      </c>
      <c r="AC42" s="52" t="e">
        <f>3/5*AF29</f>
        <v>#N/A</v>
      </c>
      <c r="AD42" s="52" t="e">
        <f>4/5*AF29</f>
        <v>#N/A</v>
      </c>
      <c r="AE42" s="52" t="e">
        <f>AF29</f>
        <v>#N/A</v>
      </c>
      <c r="AJ42" s="52" t="e">
        <f>AF31</f>
        <v>#N/A</v>
      </c>
      <c r="AK42" s="52" t="e">
        <f>4/5*AF31</f>
        <v>#N/A</v>
      </c>
      <c r="AL42" s="52" t="e">
        <f>3/5*AF31</f>
        <v>#N/A</v>
      </c>
      <c r="AM42" s="52" t="e">
        <f>2/5*AF31</f>
        <v>#N/A</v>
      </c>
      <c r="AN42" s="52" t="e">
        <f>1/5*AF31</f>
        <v>#N/A</v>
      </c>
      <c r="AO42" s="52"/>
      <c r="AP42" s="52"/>
      <c r="AQ42" t="str">
        <f t="shared" si="5"/>
        <v>lastbredde nabolast [m]</v>
      </c>
      <c r="AV42" t="s">
        <v>374</v>
      </c>
      <c r="AW42">
        <v>15</v>
      </c>
      <c r="AX42">
        <v>20</v>
      </c>
      <c r="AY42">
        <v>25</v>
      </c>
      <c r="AZ42">
        <v>30</v>
      </c>
      <c r="BA42">
        <v>35</v>
      </c>
      <c r="BB42">
        <v>40</v>
      </c>
      <c r="BC42">
        <v>45</v>
      </c>
      <c r="BD42">
        <v>50</v>
      </c>
      <c r="BT42" s="26" t="s">
        <v>375</v>
      </c>
      <c r="BU42" s="85" t="e">
        <f>0.6*BU26/BU9</f>
        <v>#N/A</v>
      </c>
      <c r="BV42" s="85" t="e">
        <f>0.6*BV26/BV9</f>
        <v>#N/A</v>
      </c>
      <c r="BW42" s="85" t="e">
        <f>0.6*BW26/BW9</f>
        <v>#N/A</v>
      </c>
      <c r="BZ42" s="26" t="s">
        <v>375</v>
      </c>
      <c r="CA42" s="85" t="e">
        <f>0.6*CA26/CA9</f>
        <v>#N/A</v>
      </c>
      <c r="CB42" s="85" t="e">
        <f>0.6*CB26/CB9</f>
        <v>#N/A</v>
      </c>
      <c r="CC42" s="85" t="e">
        <f>0.6*CC26/CC9</f>
        <v>#N/A</v>
      </c>
      <c r="CM42" s="19"/>
    </row>
    <row r="43" spans="1:93" ht="15" customHeight="1">
      <c r="F43" s="97" t="e">
        <f>F42*2</f>
        <v>#N/A</v>
      </c>
      <c r="G43" t="s">
        <v>376</v>
      </c>
      <c r="H43" t="s">
        <v>185</v>
      </c>
      <c r="I43" t="s">
        <v>120</v>
      </c>
      <c r="J43" s="53" t="e">
        <f>J23-J41-J42</f>
        <v>#N/A</v>
      </c>
      <c r="L43" s="53" t="e">
        <f>J23-L41-L42</f>
        <v>#N/A</v>
      </c>
      <c r="M43" t="s">
        <v>91</v>
      </c>
      <c r="N43" s="33" t="s">
        <v>55</v>
      </c>
      <c r="O43" s="126" t="s">
        <v>55</v>
      </c>
      <c r="P43" s="362" t="str">
        <f>IF(OR(AND(OR(N43="ja",N43="nej"),O43="ja"),O43="nej"),"&lt;- ja eller nej","NB! fejl")</f>
        <v>&lt;- ja eller nej</v>
      </c>
      <c r="T43" s="135" t="str">
        <f>H45</f>
        <v>karakt.</v>
      </c>
      <c r="U43" s="136" t="str">
        <f>L45</f>
        <v xml:space="preserve">   regn.m.</v>
      </c>
      <c r="X43" s="26" t="s">
        <v>377</v>
      </c>
      <c r="Y43" s="50"/>
      <c r="Z43" s="123" t="s">
        <v>378</v>
      </c>
      <c r="AA43" s="127" t="e">
        <f>(AJ27+AJ28)*AD129</f>
        <v>#N/A</v>
      </c>
      <c r="AB43" s="50" t="e">
        <f t="shared" ref="AB43:AE45" si="8">AA43</f>
        <v>#N/A</v>
      </c>
      <c r="AC43" s="50" t="e">
        <f t="shared" si="8"/>
        <v>#N/A</v>
      </c>
      <c r="AD43" s="50" t="e">
        <f t="shared" si="8"/>
        <v>#N/A</v>
      </c>
      <c r="AE43" s="50" t="e">
        <f t="shared" si="8"/>
        <v>#N/A</v>
      </c>
      <c r="AI43" s="123" t="s">
        <v>379</v>
      </c>
      <c r="AJ43" s="127" t="e">
        <f>(AK27+AK28)*AD129</f>
        <v>#N/A</v>
      </c>
      <c r="AK43" s="50" t="e">
        <f t="shared" ref="AK43:AN45" si="9">AJ43</f>
        <v>#N/A</v>
      </c>
      <c r="AL43" s="50" t="e">
        <f t="shared" si="9"/>
        <v>#N/A</v>
      </c>
      <c r="AM43" s="50" t="e">
        <f t="shared" si="9"/>
        <v>#N/A</v>
      </c>
      <c r="AN43" s="50" t="e">
        <f t="shared" si="9"/>
        <v>#N/A</v>
      </c>
      <c r="AO43" s="50"/>
      <c r="AP43" s="50"/>
      <c r="AQ43" t="str">
        <f t="shared" si="5"/>
        <v>last [kN/m] regn.m., nabolast</v>
      </c>
      <c r="AV43" t="s">
        <v>25</v>
      </c>
      <c r="AW43">
        <v>10</v>
      </c>
      <c r="AX43">
        <v>9</v>
      </c>
      <c r="AY43">
        <v>9</v>
      </c>
      <c r="AZ43">
        <v>8</v>
      </c>
      <c r="BA43">
        <v>8</v>
      </c>
      <c r="BB43">
        <v>7</v>
      </c>
      <c r="BC43">
        <v>7</v>
      </c>
      <c r="BD43">
        <v>7</v>
      </c>
      <c r="BT43" s="26" t="s">
        <v>380</v>
      </c>
      <c r="BU43" s="85" t="e">
        <f>(BU26-BU37*BU41/BU32*(1+BU10*BU32))/BU9</f>
        <v>#N/A</v>
      </c>
      <c r="BV43" s="85" t="e">
        <f>(BV26-BV37*BV41/BV32*(1+BV10*BV32))/BV9</f>
        <v>#N/A</v>
      </c>
      <c r="BW43" s="85" t="e">
        <f>(BW26-BW37*BW41/BW32*(1+BW10*BW32))/BW9</f>
        <v>#N/A</v>
      </c>
      <c r="BZ43" s="26" t="s">
        <v>380</v>
      </c>
      <c r="CA43" s="85" t="e">
        <f>(CA26-CA37*CA41/CA32*(1+CA10*CA32))/CA9</f>
        <v>#N/A</v>
      </c>
      <c r="CB43" s="85" t="e">
        <f>(CB26-CB37*CB41/CB32*(1+CB10*CB32))/CB9</f>
        <v>#N/A</v>
      </c>
      <c r="CC43" s="85" t="e">
        <f>(CC26-CC37*CC41/CC32*(1+CC10*CC32))/CC9</f>
        <v>#N/A</v>
      </c>
      <c r="CM43" s="19"/>
      <c r="CO43" s="30"/>
    </row>
    <row r="44" spans="1:93" ht="15" customHeight="1">
      <c r="B44" t="s">
        <v>381</v>
      </c>
      <c r="N44" s="128" t="e">
        <f>IF(N43="ja",+J42," ")</f>
        <v>#N/A</v>
      </c>
      <c r="O44" s="128" t="e">
        <f>IF(O43="ja",+L42," ")</f>
        <v>#N/A</v>
      </c>
      <c r="T44" s="135" t="e">
        <f>TR*10^-3*A46</f>
        <v>#N/A</v>
      </c>
      <c r="U44" s="136" t="e">
        <f>T44*Z15</f>
        <v>#N/A</v>
      </c>
      <c r="X44" s="26" t="s">
        <v>383</v>
      </c>
      <c r="Y44" s="50" t="e">
        <f>(AI30+AI31)*AD129</f>
        <v>#N/A</v>
      </c>
      <c r="Z44" s="50" t="e">
        <f>Y44</f>
        <v>#N/A</v>
      </c>
      <c r="AA44" s="50" t="e">
        <f>Z44</f>
        <v>#N/A</v>
      </c>
      <c r="AB44" s="50" t="e">
        <f t="shared" si="8"/>
        <v>#N/A</v>
      </c>
      <c r="AC44" s="50" t="e">
        <f t="shared" si="8"/>
        <v>#N/A</v>
      </c>
      <c r="AD44" s="50" t="e">
        <f t="shared" si="8"/>
        <v>#N/A</v>
      </c>
      <c r="AE44" s="50" t="e">
        <f t="shared" si="8"/>
        <v>#N/A</v>
      </c>
      <c r="AJ44" s="50" t="e">
        <f>AE44</f>
        <v>#N/A</v>
      </c>
      <c r="AK44" s="50" t="e">
        <f t="shared" si="9"/>
        <v>#N/A</v>
      </c>
      <c r="AL44" s="50" t="e">
        <f t="shared" si="9"/>
        <v>#N/A</v>
      </c>
      <c r="AM44" s="50" t="e">
        <f t="shared" si="9"/>
        <v>#N/A</v>
      </c>
      <c r="AN44" s="50" t="e">
        <f t="shared" si="9"/>
        <v>#N/A</v>
      </c>
      <c r="AO44" s="50" t="e">
        <f>AN44</f>
        <v>#N/A</v>
      </c>
      <c r="AP44" s="50" t="e">
        <f>AO44</f>
        <v>#N/A</v>
      </c>
      <c r="AQ44" t="str">
        <f t="shared" si="5"/>
        <v>Ra, nabolast</v>
      </c>
      <c r="AV44" t="s">
        <v>21</v>
      </c>
      <c r="AW44">
        <v>42</v>
      </c>
      <c r="AX44">
        <v>35</v>
      </c>
      <c r="AY44">
        <v>33</v>
      </c>
      <c r="AZ44">
        <v>30</v>
      </c>
      <c r="BA44">
        <v>27</v>
      </c>
      <c r="BB44">
        <v>25</v>
      </c>
      <c r="BC44">
        <v>25</v>
      </c>
      <c r="BD44">
        <v>25</v>
      </c>
      <c r="BT44" s="26" t="s">
        <v>384</v>
      </c>
      <c r="BU44" t="e">
        <f>MAXA(BU42:BU43)</f>
        <v>#N/A</v>
      </c>
      <c r="BV44" t="e">
        <f>MAXA(BV42:BV43)</f>
        <v>#N/A</v>
      </c>
      <c r="BW44" t="e">
        <f>MAXA(BW42:BW43)</f>
        <v>#N/A</v>
      </c>
      <c r="BZ44" s="26" t="s">
        <v>384</v>
      </c>
      <c r="CA44" t="e">
        <f>MAXA(CA42:CA43)</f>
        <v>#N/A</v>
      </c>
      <c r="CB44" t="e">
        <f>MAXA(CB42:CB43)</f>
        <v>#N/A</v>
      </c>
      <c r="CC44" t="e">
        <f>MAXA(CC42:CC43)</f>
        <v>#N/A</v>
      </c>
      <c r="CM44" s="19"/>
      <c r="CO44" s="30"/>
    </row>
    <row r="45" spans="1:93" ht="15" customHeight="1">
      <c r="B45" t="s">
        <v>385</v>
      </c>
      <c r="F45" s="131"/>
      <c r="G45" s="32"/>
      <c r="H45" t="s">
        <v>386</v>
      </c>
      <c r="J45" s="26" t="s">
        <v>124</v>
      </c>
      <c r="K45" s="132"/>
      <c r="L45" t="s">
        <v>387</v>
      </c>
      <c r="N45" s="133">
        <f>O45</f>
        <v>200</v>
      </c>
      <c r="O45" s="134">
        <v>200</v>
      </c>
      <c r="P45" s="363" t="s">
        <v>388</v>
      </c>
      <c r="T45" s="135"/>
      <c r="U45" s="139" t="e">
        <f>L47</f>
        <v>#N/A</v>
      </c>
      <c r="X45" s="26" t="s">
        <v>389</v>
      </c>
      <c r="Y45" s="50" t="e">
        <f>(AL31+AL32)*AD154</f>
        <v>#N/A</v>
      </c>
      <c r="Z45" s="50" t="e">
        <f>Y45</f>
        <v>#N/A</v>
      </c>
      <c r="AA45" s="50" t="e">
        <f>Z45</f>
        <v>#N/A</v>
      </c>
      <c r="AB45" s="50" t="e">
        <f t="shared" si="8"/>
        <v>#N/A</v>
      </c>
      <c r="AC45" s="50" t="e">
        <f t="shared" si="8"/>
        <v>#N/A</v>
      </c>
      <c r="AD45" s="50" t="e">
        <f t="shared" si="8"/>
        <v>#N/A</v>
      </c>
      <c r="AE45" s="50" t="e">
        <f t="shared" si="8"/>
        <v>#N/A</v>
      </c>
      <c r="AJ45" s="50" t="e">
        <f>AE45</f>
        <v>#N/A</v>
      </c>
      <c r="AK45" s="50" t="e">
        <f t="shared" si="9"/>
        <v>#N/A</v>
      </c>
      <c r="AL45" s="50" t="e">
        <f t="shared" si="9"/>
        <v>#N/A</v>
      </c>
      <c r="AM45" s="50" t="e">
        <f t="shared" si="9"/>
        <v>#N/A</v>
      </c>
      <c r="AN45" s="50" t="e">
        <f t="shared" si="9"/>
        <v>#N/A</v>
      </c>
      <c r="AO45" s="50" t="e">
        <f>AN45</f>
        <v>#N/A</v>
      </c>
      <c r="AP45" s="50" t="e">
        <f>AO45</f>
        <v>#N/A</v>
      </c>
      <c r="AQ45" t="str">
        <f t="shared" si="5"/>
        <v>Re, nabolast</v>
      </c>
      <c r="BT45" s="26" t="s">
        <v>390</v>
      </c>
      <c r="BU45" s="50" t="e">
        <f>BU44*BU40</f>
        <v>#N/A</v>
      </c>
      <c r="BV45" s="50" t="e">
        <f>BV44*BV40</f>
        <v>#N/A</v>
      </c>
      <c r="BW45" s="50" t="e">
        <f>BW44*BW40</f>
        <v>#N/A</v>
      </c>
      <c r="BX45" t="s">
        <v>91</v>
      </c>
      <c r="BZ45" s="26" t="s">
        <v>390</v>
      </c>
      <c r="CA45" s="50" t="e">
        <f>CA44*CA40</f>
        <v>#N/A</v>
      </c>
      <c r="CB45" s="50" t="e">
        <f>CB44*CB40</f>
        <v>#N/A</v>
      </c>
      <c r="CC45" s="50" t="e">
        <f>CC44*CC40</f>
        <v>#N/A</v>
      </c>
      <c r="CD45" t="s">
        <v>91</v>
      </c>
      <c r="CM45" s="19"/>
      <c r="CO45" s="30"/>
    </row>
    <row r="46" spans="1:93" ht="15" customHeight="1">
      <c r="A46" s="137">
        <f>IF(T2=1,25,25)</f>
        <v>25</v>
      </c>
      <c r="C46" t="s">
        <v>391</v>
      </c>
      <c r="G46" t="str">
        <f>"  "&amp;FIXED(A46,0)&amp;" kN/m3"</f>
        <v xml:space="preserve">  25 kN/m3</v>
      </c>
      <c r="H46" s="50" t="e">
        <f>(((J14+J16)*J15/2+J18*N18)*10^-6*A46)/(J14*10^-3)</f>
        <v>#N/A</v>
      </c>
      <c r="I46" t="s">
        <v>392</v>
      </c>
      <c r="J46" s="19" t="e">
        <f>IF(Z15=1,FIXED(Z15,1,TRUE),FIXED(Z15,2,TRUE))</f>
        <v>#N/A</v>
      </c>
      <c r="K46" t="s">
        <v>120</v>
      </c>
      <c r="L46" s="50" t="e">
        <f>H46*Z15</f>
        <v>#N/A</v>
      </c>
      <c r="M46" t="s">
        <v>393</v>
      </c>
      <c r="Q46" s="363" t="s">
        <v>394</v>
      </c>
      <c r="T46" s="135"/>
      <c r="U46" s="139" t="e">
        <f>L50</f>
        <v>#N/A</v>
      </c>
      <c r="X46" s="26" t="s">
        <v>395</v>
      </c>
      <c r="Y46" s="50">
        <v>0</v>
      </c>
      <c r="Z46" s="50" t="e">
        <f>Z44*Z37</f>
        <v>#N/A</v>
      </c>
      <c r="AA46" s="50" t="e">
        <f>AA44*AA37-AA43*AA42^2/2</f>
        <v>#N/A</v>
      </c>
      <c r="AB46" s="50" t="e">
        <f>AB44*AB37-AB43*AB42^2/2</f>
        <v>#N/A</v>
      </c>
      <c r="AC46" s="50" t="e">
        <f>AC44*AC37-AC43*AC42^2/2</f>
        <v>#N/A</v>
      </c>
      <c r="AD46" s="50" t="e">
        <f>AD44*AD37-AD43*AD42^2/2</f>
        <v>#N/A</v>
      </c>
      <c r="AE46" s="50" t="e">
        <f>AE44*AE37-AE43*AE42^2/2</f>
        <v>#N/A</v>
      </c>
      <c r="AF46" s="50" t="e">
        <f>AE46+(AJ46-AE46)/5</f>
        <v>#N/A</v>
      </c>
      <c r="AG46" s="50" t="e">
        <f>AF46+(AJ46-AE46)/5</f>
        <v>#N/A</v>
      </c>
      <c r="AH46" s="50" t="e">
        <f>AG46+(AJ46-AE46)/5</f>
        <v>#N/A</v>
      </c>
      <c r="AI46" s="50" t="e">
        <f>AH46+(AJ46-AE46)/5</f>
        <v>#N/A</v>
      </c>
      <c r="AJ46" s="50" t="e">
        <f>AJ45*AJ38-AJ43*AJ42^2/2</f>
        <v>#N/A</v>
      </c>
      <c r="AK46" s="50" t="e">
        <f>AK45*AK38-AK43*AK42^2/2</f>
        <v>#N/A</v>
      </c>
      <c r="AL46" s="50" t="e">
        <f>AL45*AL38-AL43*AL42^2/2</f>
        <v>#N/A</v>
      </c>
      <c r="AM46" s="50" t="e">
        <f>AM45*AM38-AM43*AM42^2/2</f>
        <v>#N/A</v>
      </c>
      <c r="AN46" s="50" t="e">
        <f>AN45*AN38-AN43*AN42^2/2</f>
        <v>#N/A</v>
      </c>
      <c r="AO46" s="50" t="e">
        <f>AO45*AO38</f>
        <v>#N/A</v>
      </c>
      <c r="AP46" s="50">
        <v>0</v>
      </c>
      <c r="AQ46" t="str">
        <f t="shared" si="5"/>
        <v>M nabolast [kNm]</v>
      </c>
      <c r="AX46" s="26" t="s">
        <v>396</v>
      </c>
      <c r="AY46" s="138" t="e">
        <f>$J$18+$J$15*COS($N$19)/3-AW20</f>
        <v>#N/A</v>
      </c>
      <c r="AZ46" t="s">
        <v>91</v>
      </c>
      <c r="BJ46" s="26"/>
      <c r="CM46" s="19"/>
      <c r="CO46" s="30"/>
    </row>
    <row r="47" spans="1:93" ht="15" customHeight="1" thickBot="1">
      <c r="C47" s="113" t="s">
        <v>397</v>
      </c>
      <c r="H47" s="118" t="e">
        <f>NA()</f>
        <v>#N/A</v>
      </c>
      <c r="I47" t="s">
        <v>392</v>
      </c>
      <c r="J47" s="19" t="e">
        <f>J46</f>
        <v>#N/A</v>
      </c>
      <c r="K47" t="s">
        <v>120</v>
      </c>
      <c r="L47" s="50" t="e">
        <f>H47*Z15</f>
        <v>#N/A</v>
      </c>
      <c r="M47" t="s">
        <v>393</v>
      </c>
      <c r="T47" s="150"/>
      <c r="U47" s="151" t="e">
        <f>SUM(U44:U46)</f>
        <v>#N/A</v>
      </c>
      <c r="X47" s="26" t="s">
        <v>398</v>
      </c>
      <c r="Y47" s="50" t="e">
        <f>Y44</f>
        <v>#N/A</v>
      </c>
      <c r="Z47" s="50" t="e">
        <f>Z44</f>
        <v>#N/A</v>
      </c>
      <c r="AA47" s="50" t="e">
        <f>AA44-AA43*AA42</f>
        <v>#N/A</v>
      </c>
      <c r="AB47" s="50" t="e">
        <f>AB44-AB43*AB42</f>
        <v>#N/A</v>
      </c>
      <c r="AC47" s="50" t="e">
        <f>AC44-AC43*AC42</f>
        <v>#N/A</v>
      </c>
      <c r="AD47" s="50" t="e">
        <f>AD44-AD43*AD42</f>
        <v>#N/A</v>
      </c>
      <c r="AE47" s="50" t="e">
        <f>AE44-AE43*AE42</f>
        <v>#N/A</v>
      </c>
      <c r="AF47" s="50" t="e">
        <f>AE47</f>
        <v>#N/A</v>
      </c>
      <c r="AG47" s="50" t="e">
        <f>AF47</f>
        <v>#N/A</v>
      </c>
      <c r="AH47" s="50" t="e">
        <f>AG47</f>
        <v>#N/A</v>
      </c>
      <c r="AI47" s="50" t="e">
        <f>AH47</f>
        <v>#N/A</v>
      </c>
      <c r="AJ47" s="50" t="e">
        <f>AI47</f>
        <v>#N/A</v>
      </c>
      <c r="AK47" s="50" t="e">
        <f>-AK45+AK43*AK42</f>
        <v>#N/A</v>
      </c>
      <c r="AL47" s="50" t="e">
        <f>-AL45+AL43*AL42</f>
        <v>#N/A</v>
      </c>
      <c r="AM47" s="50" t="e">
        <f>-AM45+AM43*AM42</f>
        <v>#N/A</v>
      </c>
      <c r="AN47" s="50" t="e">
        <f>-AN45+AN43*AN42</f>
        <v>#N/A</v>
      </c>
      <c r="AO47" s="50" t="e">
        <f>-AO45</f>
        <v>#N/A</v>
      </c>
      <c r="AP47" s="50" t="e">
        <f>-AP45</f>
        <v>#N/A</v>
      </c>
      <c r="AQ47" t="str">
        <f t="shared" si="5"/>
        <v>V nabolast [kNm]</v>
      </c>
      <c r="BF47" s="10"/>
      <c r="BG47" s="10"/>
      <c r="BH47" t="s">
        <v>399</v>
      </c>
      <c r="BL47" s="140" t="e">
        <f>Z21</f>
        <v>#N/A</v>
      </c>
      <c r="BM47" t="s">
        <v>91</v>
      </c>
      <c r="BT47" s="26" t="s">
        <v>400</v>
      </c>
      <c r="BU47" s="74" t="e">
        <f>BU10*BU25*BU15^2*10^6/(10*BU27*BU9)</f>
        <v>#N/A</v>
      </c>
      <c r="BV47" s="74" t="e">
        <f>BV10*BV25*BV15^2*10^6/(10*BV27*BV9)</f>
        <v>#N/A</v>
      </c>
      <c r="BW47" s="74" t="e">
        <f>BW10*BW25*BW15^2*10^6/(10*BW27*BW9)</f>
        <v>#N/A</v>
      </c>
      <c r="BX47" t="s">
        <v>91</v>
      </c>
      <c r="BZ47" s="26" t="s">
        <v>400</v>
      </c>
      <c r="CA47" s="74" t="e">
        <f>CA10*CA25*CA15^2*10^6/(10*CA27*CA9)</f>
        <v>#N/A</v>
      </c>
      <c r="CB47" s="74" t="e">
        <f>CB10*CB25*CB15^2*10^6/(10*CB27*CB9)</f>
        <v>#N/A</v>
      </c>
      <c r="CC47" s="74" t="e">
        <f>CC10*CC25*CC15^2*10^6/(10*CC27*CC9)</f>
        <v>#N/A</v>
      </c>
      <c r="CD47" t="s">
        <v>91</v>
      </c>
    </row>
    <row r="48" spans="1:93" ht="15" customHeight="1">
      <c r="H48" s="141" t="s">
        <v>401</v>
      </c>
      <c r="J48" s="74"/>
      <c r="L48" s="50"/>
      <c r="T48" s="366"/>
      <c r="U48" s="364" t="e">
        <f>(L60+L61)*AD129</f>
        <v>#N/A</v>
      </c>
      <c r="X48" s="26" t="s">
        <v>402</v>
      </c>
      <c r="Y48" s="367" t="s">
        <v>403</v>
      </c>
      <c r="Z48" s="50" t="e">
        <f>IF(AND(AL12&gt;Y37,AL12&lt;=Z37),+U48,0)</f>
        <v>#N/A</v>
      </c>
      <c r="AA48" s="50" t="e">
        <f>IF(AND(AL12&gt;Z37,AL12&lt;=AA37),+U48,0)</f>
        <v>#N/A</v>
      </c>
      <c r="AB48" s="50" t="e">
        <f>IF(AND(AL12&gt;AA37,AL12&lt;=AB37),+U48,0)</f>
        <v>#N/A</v>
      </c>
      <c r="AC48" s="50" t="e">
        <f>IF(AND(AL12&gt;AB37,AL12&lt;=AC37),+U48,0)</f>
        <v>#N/A</v>
      </c>
      <c r="AD48" s="50" t="e">
        <f>IF(AND(AL12&gt;AC37,AL12&lt;=AD37),+U48,0)</f>
        <v>#N/A</v>
      </c>
      <c r="AE48" s="50" t="e">
        <f>IF(AND(AL12&gt;AD37,AL12&lt;=AE37),+U48,0)</f>
        <v>#N/A</v>
      </c>
      <c r="AF48" s="50">
        <v>0</v>
      </c>
      <c r="AG48" s="50">
        <v>0</v>
      </c>
      <c r="AH48" s="50">
        <v>0</v>
      </c>
      <c r="AI48" s="50">
        <v>0</v>
      </c>
      <c r="AJ48" s="50" t="e">
        <f>IF(AND(AN19&gt;AK38,AN19&lt;=AJ38),+AR48,0)</f>
        <v>#N/A</v>
      </c>
      <c r="AK48" s="50" t="e">
        <f>IF(AND(AN19&gt;AL38,AN19&lt;=AK38),+AR48,0)</f>
        <v>#N/A</v>
      </c>
      <c r="AL48" s="50" t="e">
        <f>IF(AND(AN19&gt;AM38,AN19&lt;=AL38),+AR48,0)</f>
        <v>#N/A</v>
      </c>
      <c r="AM48" s="50" t="e">
        <f>IF(AND(AN19&gt;AN38,AN19&lt;=AM38),+AR48,0)</f>
        <v>#N/A</v>
      </c>
      <c r="AN48" s="50" t="e">
        <f>IF(AND(AN19&gt;AO38,AN19&lt;=AN38),+AR48,0)</f>
        <v>#N/A</v>
      </c>
      <c r="AO48" s="50" t="e">
        <f>IF(AND(AN19&gt;AP38,AN19&lt;=AO38),+AR48,0)</f>
        <v>#N/A</v>
      </c>
      <c r="AP48" s="142" t="s">
        <v>404</v>
      </c>
      <c r="AQ48" t="str">
        <f>X48</f>
        <v>last [kN] regn.m., nabokantlast</v>
      </c>
      <c r="AR48" s="364" t="e">
        <f>(L62+L63)*AD154</f>
        <v>#N/A</v>
      </c>
      <c r="AV48" t="s">
        <v>405</v>
      </c>
      <c r="AX48" t="str">
        <f>AW10</f>
        <v>hvilende</v>
      </c>
      <c r="BE48" s="26" t="s">
        <v>208</v>
      </c>
      <c r="BF48" s="143">
        <v>0.5</v>
      </c>
      <c r="BG48" s="143" t="e">
        <f>(0.5*AW17+1*AY17)/(AW17+AY17)</f>
        <v>#N/A</v>
      </c>
      <c r="BH48" t="str">
        <f>BU2</f>
        <v>inclusive last fra naboelem._sidekantpl.strimmel (f)</v>
      </c>
      <c r="BL48" t="s">
        <v>406</v>
      </c>
      <c r="BQ48" s="26" t="s">
        <v>208</v>
      </c>
      <c r="BR48" s="143">
        <v>0.5</v>
      </c>
      <c r="BS48" s="144" t="e">
        <f>(0.5*BB17+1*BD17)/(BB17+BD17)</f>
        <v>#N/A</v>
      </c>
    </row>
    <row r="49" spans="2:82" ht="15" customHeight="1">
      <c r="C49" t="s">
        <v>407</v>
      </c>
      <c r="H49" s="50" t="e">
        <f>H46+H47</f>
        <v>#N/A</v>
      </c>
      <c r="J49" t="s">
        <v>393</v>
      </c>
      <c r="L49" s="50"/>
      <c r="N49" s="93" t="e">
        <f>L46+L47</f>
        <v>#N/A</v>
      </c>
      <c r="O49" s="93" t="e">
        <f>(H46+H47)*AA15</f>
        <v>#N/A</v>
      </c>
      <c r="X49" s="26" t="s">
        <v>408</v>
      </c>
      <c r="Y49" s="50">
        <v>0</v>
      </c>
      <c r="Z49" s="50" t="e">
        <f>Y50*Z37-Z54</f>
        <v>#N/A</v>
      </c>
      <c r="AA49" s="50" t="e">
        <f>Y50*AA37-Z48*(AA37-Z37)-AA54</f>
        <v>#N/A</v>
      </c>
      <c r="AB49" s="50" t="e">
        <f>Y50*AB37-Z48*(AB37-Z37)-AA48*(AB37-AA37)-AB54</f>
        <v>#N/A</v>
      </c>
      <c r="AC49" s="50" t="e">
        <f>Y50*AC37-Z48*(AC37-Z37)-AA48*(AC37-AA37)-AB48*(AC37-AB37)-AC54</f>
        <v>#N/A</v>
      </c>
      <c r="AD49" s="50" t="e">
        <f>Y50*AD37-Z48*(AD37-Z37)-AA48*(AD37-AA37)-AB48*(AD37-AB37)-AC48*(AD37-AC37)-AD54</f>
        <v>#N/A</v>
      </c>
      <c r="AE49" s="50" t="e">
        <f>Y50*AE37-Z48*(AE37-Z37)-AA48*(AE37-AA37)-AB48*(AE37-AB37)-AC48*(AE37-AC37)-AD48*(AE37-AD37)-AE54</f>
        <v>#N/A</v>
      </c>
      <c r="AF49" s="50" t="e">
        <f>AE49+(AJ49-AE49)/5</f>
        <v>#N/A</v>
      </c>
      <c r="AG49" s="50" t="e">
        <f>AF49+(AJ49-AE49)/5</f>
        <v>#N/A</v>
      </c>
      <c r="AH49" s="50" t="e">
        <f>AG49+(AJ49-AE49)/5</f>
        <v>#N/A</v>
      </c>
      <c r="AI49" s="50" t="e">
        <f>AH49+(AJ49-AE49)/5</f>
        <v>#N/A</v>
      </c>
      <c r="AJ49" s="50" t="e">
        <f>-AP50*AJ38-AO48*(AJ38-AO38)-AN48*(AJ38-AN38)-AM48*(AJ38-AM38)-AL48*(AJ38-AL38)-AK48*(AJ38-AK38)-AJ54</f>
        <v>#N/A</v>
      </c>
      <c r="AK49" s="50" t="e">
        <f>-AP50*AK38-AO48*(AK38-AO38)-AN48*(AK38-AN38)-AM48*(AK38-AM38)-AL48*(AK38-AL38)-AK54</f>
        <v>#N/A</v>
      </c>
      <c r="AL49" s="50" t="e">
        <f>-AP50*AL38-AO48*(AL38-AO38)-AN48*(AL38-AN38)-AM48*(AL38-AM38)-AL54</f>
        <v>#N/A</v>
      </c>
      <c r="AM49" s="50" t="e">
        <f>-AP50*AM38-AO48*(AM38-AO38)-AN48*(AM38-AN38)-AM54</f>
        <v>#N/A</v>
      </c>
      <c r="AN49" s="50" t="e">
        <f>-AP50*AN38-AO48*(AN38-AO37)-AN54</f>
        <v>#N/A</v>
      </c>
      <c r="AO49" s="50" t="e">
        <f>-AP50*AO38-AO54</f>
        <v>#N/A</v>
      </c>
      <c r="AP49" s="50">
        <v>0</v>
      </c>
      <c r="AQ49" t="str">
        <f>X49</f>
        <v>M nabokantlast [kNm]</v>
      </c>
      <c r="AV49" s="29" t="s">
        <v>409</v>
      </c>
      <c r="AW49" s="26" t="s">
        <v>410</v>
      </c>
      <c r="AX49" s="26" t="s">
        <v>411</v>
      </c>
      <c r="AY49" s="26" t="s">
        <v>412</v>
      </c>
      <c r="AZ49" s="26" t="s">
        <v>413</v>
      </c>
      <c r="BA49" s="26" t="s">
        <v>414</v>
      </c>
      <c r="BB49" s="26" t="s">
        <v>415</v>
      </c>
      <c r="BC49" s="26" t="s">
        <v>416</v>
      </c>
      <c r="BD49" s="26" t="s">
        <v>417</v>
      </c>
      <c r="BE49" s="26" t="s">
        <v>418</v>
      </c>
      <c r="BF49" s="145" t="e">
        <f>BD56/(AY51/2-BB55)*0.3*J25^(2/3)*10^-6</f>
        <v>#N/A</v>
      </c>
      <c r="BG49" s="10"/>
      <c r="BH49" s="29" t="s">
        <v>409</v>
      </c>
      <c r="BI49" s="26" t="s">
        <v>410</v>
      </c>
      <c r="BJ49" s="26" t="s">
        <v>411</v>
      </c>
      <c r="BK49" s="26" t="s">
        <v>412</v>
      </c>
      <c r="BL49" s="26" t="s">
        <v>413</v>
      </c>
      <c r="BM49" s="26" t="s">
        <v>414</v>
      </c>
      <c r="BN49" s="26" t="s">
        <v>415</v>
      </c>
      <c r="BO49" s="26" t="s">
        <v>416</v>
      </c>
      <c r="BP49" s="26" t="s">
        <v>417</v>
      </c>
      <c r="BQ49" s="26" t="s">
        <v>418</v>
      </c>
      <c r="BR49" s="145" t="e">
        <f>BP56/(BK51/2-BN55)*0.3*J25^(2/3)*10^-6</f>
        <v>#N/A</v>
      </c>
      <c r="BS49" s="10"/>
      <c r="BT49" s="26" t="s">
        <v>320</v>
      </c>
      <c r="BU49" s="47" t="e">
        <f>BQ56</f>
        <v>#N/A</v>
      </c>
      <c r="BV49" s="47" t="e">
        <f>BQ66</f>
        <v>#N/A</v>
      </c>
      <c r="BW49" s="47" t="e">
        <f>BQ76</f>
        <v>#N/A</v>
      </c>
      <c r="BX49" t="s">
        <v>419</v>
      </c>
      <c r="BZ49" s="26" t="s">
        <v>320</v>
      </c>
      <c r="CA49" s="47" t="e">
        <f>BQ98</f>
        <v>#N/A</v>
      </c>
      <c r="CB49" s="47" t="e">
        <f>BQ108</f>
        <v>#N/A</v>
      </c>
      <c r="CC49" s="47" t="e">
        <f>BQ118</f>
        <v>#N/A</v>
      </c>
      <c r="CD49" t="s">
        <v>419</v>
      </c>
    </row>
    <row r="50" spans="2:82">
      <c r="C50" t="s">
        <v>420</v>
      </c>
      <c r="F50" s="26" t="str">
        <f>IF(T2=1,+NS!F50,"kategori")</f>
        <v>kategori</v>
      </c>
      <c r="G50" s="113" t="s">
        <v>68</v>
      </c>
      <c r="H50" s="146">
        <f>IF(T2=1,+NS!H50,IF(G50="A",3,IF(OR(OR(G50="B",G50="C"),G50="D"),5,NA())))</f>
        <v>5</v>
      </c>
      <c r="I50" t="s">
        <v>392</v>
      </c>
      <c r="J50" s="19" t="e">
        <f>IF(Z16=1,FIXED(Z16,1,TRUE),FIXED(Z16,2,TRUE))</f>
        <v>#N/A</v>
      </c>
      <c r="K50" t="s">
        <v>120</v>
      </c>
      <c r="L50" s="50" t="e">
        <f>H50*Z16</f>
        <v>#N/A</v>
      </c>
      <c r="M50" t="s">
        <v>393</v>
      </c>
      <c r="N50" t="s">
        <v>421</v>
      </c>
      <c r="O50" s="19" t="s">
        <v>125</v>
      </c>
      <c r="Q50" s="146" t="e">
        <f>IF(AC2=1,+NS!Q50,IF(P50="A",3,IF(OR(OR(P50="B",P50="C"),P50="D"),5,NA())))</f>
        <v>#N/A</v>
      </c>
      <c r="R50" s="49" t="s">
        <v>1146</v>
      </c>
      <c r="X50" s="26" t="s">
        <v>422</v>
      </c>
      <c r="Y50" s="50" t="e">
        <f>IF(AND(U48=0,AR48=0),0,+U48*AL16+AR48*AL22)</f>
        <v>#N/A</v>
      </c>
      <c r="Z50" s="50" t="e">
        <f t="shared" ref="Z50:AI50" si="10">Y50-Z48</f>
        <v>#N/A</v>
      </c>
      <c r="AA50" s="50" t="e">
        <f t="shared" si="10"/>
        <v>#N/A</v>
      </c>
      <c r="AB50" s="50" t="e">
        <f t="shared" si="10"/>
        <v>#N/A</v>
      </c>
      <c r="AC50" s="50" t="e">
        <f t="shared" si="10"/>
        <v>#N/A</v>
      </c>
      <c r="AD50" s="50" t="e">
        <f t="shared" si="10"/>
        <v>#N/A</v>
      </c>
      <c r="AE50" s="50" t="e">
        <f t="shared" si="10"/>
        <v>#N/A</v>
      </c>
      <c r="AF50" s="50" t="e">
        <f t="shared" si="10"/>
        <v>#N/A</v>
      </c>
      <c r="AG50" s="50" t="e">
        <f t="shared" si="10"/>
        <v>#N/A</v>
      </c>
      <c r="AH50" s="50" t="e">
        <f t="shared" si="10"/>
        <v>#N/A</v>
      </c>
      <c r="AI50" s="50" t="e">
        <f t="shared" si="10"/>
        <v>#N/A</v>
      </c>
      <c r="AJ50" s="50" t="e">
        <f t="shared" ref="AJ50:AN50" si="11">AK50+AJ48</f>
        <v>#N/A</v>
      </c>
      <c r="AK50" s="50" t="e">
        <f t="shared" si="11"/>
        <v>#N/A</v>
      </c>
      <c r="AL50" s="50" t="e">
        <f t="shared" si="11"/>
        <v>#N/A</v>
      </c>
      <c r="AM50" s="50" t="e">
        <f t="shared" si="11"/>
        <v>#N/A</v>
      </c>
      <c r="AN50" s="50" t="e">
        <f t="shared" si="11"/>
        <v>#N/A</v>
      </c>
      <c r="AO50" s="50" t="e">
        <f>AP50+AO48</f>
        <v>#N/A</v>
      </c>
      <c r="AP50" s="50" t="e">
        <f>IF(AND(U48=0,AR48=0),0,-U48*AN16-AR48*AN22)</f>
        <v>#N/A</v>
      </c>
      <c r="AQ50" t="str">
        <f>X50</f>
        <v>V nabokantlast [kNm]</v>
      </c>
      <c r="AV50" s="16"/>
      <c r="AW50" s="147" t="s">
        <v>423</v>
      </c>
      <c r="AX50" s="148" t="s">
        <v>91</v>
      </c>
      <c r="AY50" s="148" t="s">
        <v>91</v>
      </c>
      <c r="AZ50" s="148" t="s">
        <v>114</v>
      </c>
      <c r="BA50" s="148" t="s">
        <v>91</v>
      </c>
      <c r="BB50" s="148" t="s">
        <v>424</v>
      </c>
      <c r="BC50" s="148" t="s">
        <v>423</v>
      </c>
      <c r="BD50" s="148" t="s">
        <v>425</v>
      </c>
      <c r="BE50" s="149" t="s">
        <v>426</v>
      </c>
      <c r="BF50" s="145" t="e">
        <f>1/10*AW52*BF49*10^6/(AA316*BD56)*(AW22*10^3)^2</f>
        <v>#N/A</v>
      </c>
      <c r="BG50" s="10"/>
      <c r="BH50" s="16"/>
      <c r="BI50" s="147" t="s">
        <v>423</v>
      </c>
      <c r="BJ50" s="148" t="s">
        <v>91</v>
      </c>
      <c r="BK50" s="148" t="s">
        <v>91</v>
      </c>
      <c r="BL50" s="148" t="s">
        <v>114</v>
      </c>
      <c r="BM50" s="148" t="s">
        <v>91</v>
      </c>
      <c r="BN50" s="148" t="s">
        <v>424</v>
      </c>
      <c r="BO50" s="148" t="s">
        <v>423</v>
      </c>
      <c r="BP50" s="148" t="s">
        <v>425</v>
      </c>
      <c r="BQ50" s="149" t="s">
        <v>426</v>
      </c>
      <c r="BR50" s="145" t="e">
        <f>1/10*AW52*BR49*10^6/(AA316*BP56)*(BB22*10^3)^2</f>
        <v>#N/A</v>
      </c>
      <c r="BS50" s="10"/>
      <c r="BT50" s="26" t="s">
        <v>427</v>
      </c>
      <c r="BU50" s="74" t="e">
        <f>5/48*BU16/(BU8*10^3*BU49)*BU15^2*10^3</f>
        <v>#N/A</v>
      </c>
      <c r="BV50" s="74" t="e">
        <f>5/48*BV16/(BV8*10^3*BV49)*BV15^2*10^3</f>
        <v>#N/A</v>
      </c>
      <c r="BW50" s="74" t="e">
        <f>5/48*BW16/(BW8*10^3*BW49)*BW15^2*10^3</f>
        <v>#N/A</v>
      </c>
      <c r="BX50" s="74" t="s">
        <v>91</v>
      </c>
      <c r="BZ50" s="26" t="s">
        <v>427</v>
      </c>
      <c r="CA50" s="74" t="e">
        <f>5/48*CA16/(CA8*10^3*CA49)*CA15^2*10^3</f>
        <v>#N/A</v>
      </c>
      <c r="CB50" s="74" t="e">
        <f>5/48*CB16/(CB8*10^3*CB49)*CB15^2*10^3</f>
        <v>#N/A</v>
      </c>
      <c r="CC50" s="74" t="e">
        <f>5/48*CC16/(CC8*10^3*CC49)*CC15^2*10^3</f>
        <v>#N/A</v>
      </c>
      <c r="CD50" s="74" t="s">
        <v>91</v>
      </c>
    </row>
    <row r="51" spans="2:82">
      <c r="F51" s="30"/>
      <c r="G51" s="30"/>
      <c r="H51" s="141" t="s">
        <v>401</v>
      </c>
      <c r="J51" s="74"/>
      <c r="L51" s="141" t="s">
        <v>401</v>
      </c>
      <c r="O51" s="50" t="e">
        <f>(AJ27*AF29*(AF32+AF29/2)+AK27*AF31*(AF32+AF29+AF30+AF31/2))/AH12</f>
        <v>#N/A</v>
      </c>
      <c r="P51" t="s">
        <v>428</v>
      </c>
      <c r="X51" s="26" t="s">
        <v>429</v>
      </c>
      <c r="Y51" s="50">
        <f t="shared" ref="Y51:AP52" si="12">Y40+Y46+Y49</f>
        <v>0</v>
      </c>
      <c r="Z51" s="50" t="e">
        <f t="shared" si="12"/>
        <v>#N/A</v>
      </c>
      <c r="AA51" s="50" t="e">
        <f t="shared" si="12"/>
        <v>#N/A</v>
      </c>
      <c r="AB51" s="50" t="e">
        <f t="shared" si="12"/>
        <v>#N/A</v>
      </c>
      <c r="AC51" s="50" t="e">
        <f t="shared" si="12"/>
        <v>#N/A</v>
      </c>
      <c r="AD51" s="50" t="e">
        <f t="shared" si="12"/>
        <v>#N/A</v>
      </c>
      <c r="AE51" s="50" t="e">
        <f t="shared" si="12"/>
        <v>#N/A</v>
      </c>
      <c r="AF51" s="50" t="e">
        <f t="shared" si="12"/>
        <v>#N/A</v>
      </c>
      <c r="AG51" s="50" t="e">
        <f t="shared" si="12"/>
        <v>#N/A</v>
      </c>
      <c r="AH51" s="50" t="e">
        <f t="shared" si="12"/>
        <v>#N/A</v>
      </c>
      <c r="AI51" s="50" t="e">
        <f t="shared" si="12"/>
        <v>#N/A</v>
      </c>
      <c r="AJ51" s="50" t="e">
        <f t="shared" si="12"/>
        <v>#N/A</v>
      </c>
      <c r="AK51" s="50" t="e">
        <f t="shared" si="12"/>
        <v>#N/A</v>
      </c>
      <c r="AL51" s="50" t="e">
        <f t="shared" si="12"/>
        <v>#N/A</v>
      </c>
      <c r="AM51" s="50" t="e">
        <f t="shared" si="12"/>
        <v>#N/A</v>
      </c>
      <c r="AN51" s="50" t="e">
        <f t="shared" si="12"/>
        <v>#N/A</v>
      </c>
      <c r="AO51" s="50" t="e">
        <f t="shared" si="12"/>
        <v>#N/A</v>
      </c>
      <c r="AP51" s="50">
        <f t="shared" si="12"/>
        <v>0</v>
      </c>
      <c r="AQ51" t="str">
        <f t="shared" si="5"/>
        <v>M ialt [kNm]</v>
      </c>
      <c r="AV51" s="29" t="s">
        <v>430</v>
      </c>
      <c r="AW51">
        <v>1</v>
      </c>
      <c r="AX51" s="53" t="e">
        <f>AW18</f>
        <v>#N/A</v>
      </c>
      <c r="AY51" s="53" t="e">
        <f>AW20+AY46</f>
        <v>#N/A</v>
      </c>
      <c r="AZ51" s="53" t="e">
        <f>AW51*AX51*AY51</f>
        <v>#N/A</v>
      </c>
      <c r="BA51">
        <v>0</v>
      </c>
      <c r="BB51" t="e">
        <f>BA51*AZ51</f>
        <v>#N/A</v>
      </c>
      <c r="BC51">
        <f>1/12</f>
        <v>8.3333333333333329E-2</v>
      </c>
      <c r="BD51" s="53" t="e">
        <f>BC51*AX51*AY51^3</f>
        <v>#N/A</v>
      </c>
      <c r="BE51" s="26" t="s">
        <v>431</v>
      </c>
      <c r="BF51" s="143" t="e">
        <f>IF(BF49&gt;AW17,0,1-BF48*(BF49/AW17)^2)</f>
        <v>#N/A</v>
      </c>
      <c r="BG51" s="143" t="e">
        <f>IF(BF49&gt;(AW17+AY17),0,1-BG48*(BF49/(AW17+AY17))^2)</f>
        <v>#N/A</v>
      </c>
      <c r="BH51" s="29" t="s">
        <v>430</v>
      </c>
      <c r="BI51">
        <v>1</v>
      </c>
      <c r="BJ51" s="76" t="e">
        <f>BU17</f>
        <v>#N/A</v>
      </c>
      <c r="BK51" s="76" t="e">
        <f>J19+BL47</f>
        <v>#N/A</v>
      </c>
      <c r="BL51" s="53" t="e">
        <f>BI51*BJ51*BK51</f>
        <v>#N/A</v>
      </c>
      <c r="BM51">
        <v>0</v>
      </c>
      <c r="BN51" t="e">
        <f>BM51*BL51</f>
        <v>#N/A</v>
      </c>
      <c r="BO51">
        <f>1/12</f>
        <v>8.3333333333333329E-2</v>
      </c>
      <c r="BP51" s="53" t="e">
        <f>BO51*BJ51*BK51^3</f>
        <v>#N/A</v>
      </c>
      <c r="BQ51" s="26" t="s">
        <v>431</v>
      </c>
      <c r="BR51" s="143" t="e">
        <f>IF(BR49&gt;BB17,0,1-BR48*(BR49/BB17)^2)</f>
        <v>#N/A</v>
      </c>
      <c r="BS51" s="143" t="e">
        <f>IF(BR49&gt;(BB17+BD17),0,1-BS48*(BR49/(BB17+BD17))^2)</f>
        <v>#N/A</v>
      </c>
    </row>
    <row r="52" spans="2:82">
      <c r="C52" t="s">
        <v>432</v>
      </c>
      <c r="H52" s="50" t="e">
        <f>H49+H50</f>
        <v>#N/A</v>
      </c>
      <c r="J52" s="74" t="s">
        <v>393</v>
      </c>
      <c r="L52" s="50" t="e">
        <f>SUM(L46:L50)</f>
        <v>#N/A</v>
      </c>
      <c r="M52" t="s">
        <v>393</v>
      </c>
      <c r="O52" s="50" t="e">
        <f>(AJ28*AF29*(AF32+AF29/2)+AK28*AF31*(AF32+AF29+AF30+AF31/2))/AH12</f>
        <v>#N/A</v>
      </c>
      <c r="P52" t="s">
        <v>433</v>
      </c>
      <c r="X52" s="26" t="s">
        <v>434</v>
      </c>
      <c r="Y52" s="50" t="e">
        <f t="shared" si="12"/>
        <v>#N/A</v>
      </c>
      <c r="Z52" s="50" t="e">
        <f t="shared" si="12"/>
        <v>#N/A</v>
      </c>
      <c r="AA52" s="50" t="e">
        <f t="shared" si="12"/>
        <v>#N/A</v>
      </c>
      <c r="AB52" s="50" t="e">
        <f t="shared" si="12"/>
        <v>#N/A</v>
      </c>
      <c r="AC52" s="50" t="e">
        <f t="shared" si="12"/>
        <v>#N/A</v>
      </c>
      <c r="AD52" s="50" t="e">
        <f t="shared" si="12"/>
        <v>#N/A</v>
      </c>
      <c r="AE52" s="50" t="e">
        <f t="shared" si="12"/>
        <v>#N/A</v>
      </c>
      <c r="AF52" s="50" t="e">
        <f t="shared" si="12"/>
        <v>#N/A</v>
      </c>
      <c r="AG52" s="50" t="e">
        <f t="shared" si="12"/>
        <v>#N/A</v>
      </c>
      <c r="AH52" s="50" t="e">
        <f t="shared" si="12"/>
        <v>#N/A</v>
      </c>
      <c r="AI52" s="50" t="e">
        <f t="shared" si="12"/>
        <v>#N/A</v>
      </c>
      <c r="AJ52" s="50" t="e">
        <f t="shared" si="12"/>
        <v>#N/A</v>
      </c>
      <c r="AK52" s="50" t="e">
        <f t="shared" si="12"/>
        <v>#N/A</v>
      </c>
      <c r="AL52" s="50" t="e">
        <f t="shared" si="12"/>
        <v>#N/A</v>
      </c>
      <c r="AM52" s="50" t="e">
        <f t="shared" si="12"/>
        <v>#N/A</v>
      </c>
      <c r="AN52" s="50" t="e">
        <f t="shared" si="12"/>
        <v>#N/A</v>
      </c>
      <c r="AO52" s="50" t="e">
        <f t="shared" si="12"/>
        <v>#N/A</v>
      </c>
      <c r="AP52" s="50" t="e">
        <f t="shared" si="12"/>
        <v>#N/A</v>
      </c>
      <c r="AQ52" t="str">
        <f t="shared" si="5"/>
        <v>V ialt [kN]</v>
      </c>
      <c r="AV52" s="29" t="s">
        <v>435</v>
      </c>
      <c r="AW52">
        <f>AW12</f>
        <v>30</v>
      </c>
      <c r="AX52" s="53" t="e">
        <f>AW23</f>
        <v>#N/A</v>
      </c>
      <c r="AY52" s="53">
        <v>1</v>
      </c>
      <c r="AZ52" s="53" t="e">
        <f>AW52*AX52*AY52</f>
        <v>#N/A</v>
      </c>
      <c r="BA52" t="e">
        <f>AW19-AW20/2</f>
        <v>#N/A</v>
      </c>
      <c r="BB52" t="e">
        <f>BA52*AZ52</f>
        <v>#N/A</v>
      </c>
      <c r="BD52" s="53" t="e">
        <f>AZ52*BA52^2</f>
        <v>#N/A</v>
      </c>
      <c r="BE52" s="26" t="s">
        <v>436</v>
      </c>
      <c r="BF52" s="145" t="e">
        <f>IF(AW4="langtids",+BF51*AW34+(1-BF51)*BF50,IF(AW4="korttids",BF51*AU34+(1-BF51)*BF50,"FEJL"))</f>
        <v>#N/A</v>
      </c>
      <c r="BH52" s="29" t="s">
        <v>435</v>
      </c>
      <c r="BI52" s="47">
        <f>BU10</f>
        <v>32.119514472455656</v>
      </c>
      <c r="BJ52" s="76" t="e">
        <f>BU13</f>
        <v>#N/A</v>
      </c>
      <c r="BK52" s="53">
        <v>1</v>
      </c>
      <c r="BL52" s="53" t="e">
        <f>BI52*BJ52*BK52</f>
        <v>#N/A</v>
      </c>
      <c r="BM52" s="47" t="e">
        <f>BU18-BU19/2+BL47/2</f>
        <v>#N/A</v>
      </c>
      <c r="BN52" t="e">
        <f>BM52*BL52</f>
        <v>#N/A</v>
      </c>
      <c r="BP52" s="53" t="e">
        <f>BL52*BM52^2</f>
        <v>#N/A</v>
      </c>
      <c r="BQ52" s="26" t="s">
        <v>436</v>
      </c>
      <c r="BR52" s="145" t="e">
        <f>IF(AW4="langtids",+BR51*BB34+(1-BR51)*BR50,IF(AW4="korttids",BR51*BF34+(1-BR51)*BR50,"FEJL"))</f>
        <v>#N/A</v>
      </c>
    </row>
    <row r="53" spans="2:82">
      <c r="X53" s="26" t="s">
        <v>437</v>
      </c>
      <c r="Y53" s="50" t="e">
        <f t="shared" ref="Y53:AP53" si="13">SQRT(Y52^2)</f>
        <v>#N/A</v>
      </c>
      <c r="Z53" s="50" t="e">
        <f t="shared" si="13"/>
        <v>#N/A</v>
      </c>
      <c r="AA53" s="50" t="e">
        <f t="shared" si="13"/>
        <v>#N/A</v>
      </c>
      <c r="AB53" s="50" t="e">
        <f t="shared" si="13"/>
        <v>#N/A</v>
      </c>
      <c r="AC53" s="50" t="e">
        <f t="shared" si="13"/>
        <v>#N/A</v>
      </c>
      <c r="AD53" s="50" t="e">
        <f t="shared" si="13"/>
        <v>#N/A</v>
      </c>
      <c r="AE53" s="50" t="e">
        <f t="shared" si="13"/>
        <v>#N/A</v>
      </c>
      <c r="AF53" s="50" t="e">
        <f t="shared" si="13"/>
        <v>#N/A</v>
      </c>
      <c r="AG53" s="50" t="e">
        <f t="shared" si="13"/>
        <v>#N/A</v>
      </c>
      <c r="AH53" s="50" t="e">
        <f t="shared" si="13"/>
        <v>#N/A</v>
      </c>
      <c r="AI53" s="50" t="e">
        <f t="shared" si="13"/>
        <v>#N/A</v>
      </c>
      <c r="AJ53" s="50" t="e">
        <f t="shared" si="13"/>
        <v>#N/A</v>
      </c>
      <c r="AK53" s="50" t="e">
        <f t="shared" si="13"/>
        <v>#N/A</v>
      </c>
      <c r="AL53" s="50" t="e">
        <f t="shared" si="13"/>
        <v>#N/A</v>
      </c>
      <c r="AM53" s="50" t="e">
        <f t="shared" si="13"/>
        <v>#N/A</v>
      </c>
      <c r="AN53" s="50" t="e">
        <f t="shared" si="13"/>
        <v>#N/A</v>
      </c>
      <c r="AO53" s="50" t="e">
        <f t="shared" si="13"/>
        <v>#N/A</v>
      </c>
      <c r="AP53" s="50" t="e">
        <f t="shared" si="13"/>
        <v>#N/A</v>
      </c>
      <c r="AQ53" t="str">
        <f t="shared" si="5"/>
        <v>|V| ialt [kN]</v>
      </c>
      <c r="AV53" s="29" t="s">
        <v>438</v>
      </c>
      <c r="AW53">
        <f>AW52</f>
        <v>30</v>
      </c>
      <c r="AX53" s="53" t="e">
        <f>Q96</f>
        <v>#N/A</v>
      </c>
      <c r="AY53">
        <v>1</v>
      </c>
      <c r="AZ53" s="152" t="e">
        <f>AW53*AX53*AY53</f>
        <v>#N/A</v>
      </c>
      <c r="BA53" t="e">
        <f>-BA52</f>
        <v>#N/A</v>
      </c>
      <c r="BB53" s="14" t="e">
        <f>BA53*AZ53</f>
        <v>#N/A</v>
      </c>
      <c r="BD53" s="152" t="e">
        <f>AZ53*BA53^2</f>
        <v>#N/A</v>
      </c>
      <c r="BF53" t="str">
        <f>AW4</f>
        <v>langtids</v>
      </c>
      <c r="BH53" s="29" t="s">
        <v>438</v>
      </c>
      <c r="BI53">
        <f>BI52</f>
        <v>32.119514472455656</v>
      </c>
      <c r="BJ53" s="53" t="e">
        <f>Q96/CA17*BU17</f>
        <v>#N/A</v>
      </c>
      <c r="BK53">
        <v>1</v>
      </c>
      <c r="BL53" s="152" t="e">
        <f>BI53*BJ53*BK53</f>
        <v>#N/A</v>
      </c>
      <c r="BM53" s="47" t="e">
        <f>-(BU18-BU19/2-BL47/2)</f>
        <v>#N/A</v>
      </c>
      <c r="BN53" s="14" t="e">
        <f>BM53*BL53</f>
        <v>#N/A</v>
      </c>
      <c r="BP53" s="152" t="e">
        <f>BL53*BM53^2</f>
        <v>#N/A</v>
      </c>
      <c r="BQ53" t="s">
        <v>9</v>
      </c>
      <c r="BR53" t="str">
        <f>AW4</f>
        <v>langtids</v>
      </c>
      <c r="BT53" s="26" t="s">
        <v>208</v>
      </c>
      <c r="BU53" s="77">
        <v>0.5</v>
      </c>
      <c r="BV53" s="77">
        <v>0.5</v>
      </c>
      <c r="BW53" s="153" t="e">
        <f>(0.5*BU16+1*BW16)/(BU16+BW16)</f>
        <v>#N/A</v>
      </c>
      <c r="BZ53" s="26" t="s">
        <v>208</v>
      </c>
      <c r="CA53" s="77">
        <v>0.5</v>
      </c>
      <c r="CB53">
        <v>0.5</v>
      </c>
      <c r="CC53" s="153" t="e">
        <f>(0.5*CA16+1*CC16)/(CA16+CC16)</f>
        <v>#N/A</v>
      </c>
    </row>
    <row r="54" spans="2:82">
      <c r="B54" t="s">
        <v>439</v>
      </c>
      <c r="Z54" s="137" t="e">
        <f>IF(Z48&gt;0,Z48*(Z37-AL12),IF(AA62&gt;0,AA62,0))</f>
        <v>#N/A</v>
      </c>
      <c r="AA54" s="137" t="e">
        <f>IF(AA48&gt;0,AA48*(AA37-AL12),IF(Z54&gt;0,Z54,0))</f>
        <v>#N/A</v>
      </c>
      <c r="AB54" s="137" t="e">
        <f>IF(AB48&gt;0,AB48*(AB37-AL12),IF(AA54&gt;0,AA54,0))</f>
        <v>#N/A</v>
      </c>
      <c r="AC54" s="137" t="e">
        <f>IF(AC48&gt;0,AC48*(AC37-AL12),IF(AB54&gt;0,AB54,0))</f>
        <v>#N/A</v>
      </c>
      <c r="AD54" s="137" t="e">
        <f>IF(AD48&gt;0,AD48*(AD37-AL12),IF(AC54&gt;0,AC54,0))</f>
        <v>#N/A</v>
      </c>
      <c r="AE54" s="137" t="e">
        <f>IF(AE48&gt;0,AE48*(AE37-AL12),IF(AD54&gt;0,AD54,0))</f>
        <v>#N/A</v>
      </c>
      <c r="AJ54" s="137" t="e">
        <f>IF(AJ48&gt;0,AJ48*(AJ38-AN19),IF(AK54&gt;0,AK54,0))</f>
        <v>#N/A</v>
      </c>
      <c r="AK54" s="137" t="e">
        <f>IF(AK48&gt;0,AK48*(AK38-AN19),IF(AL54&gt;0,AL54,0))</f>
        <v>#N/A</v>
      </c>
      <c r="AL54" s="137" t="e">
        <f>IF(AL48&gt;0,AL48*(AL38-AN19),IF(AM54&gt;0,AM54,0))</f>
        <v>#N/A</v>
      </c>
      <c r="AM54" s="137" t="e">
        <f>IF(AM48&gt;0,AM48*(AM38-AN19),IF(AN54&gt;0,AN54,0))</f>
        <v>#N/A</v>
      </c>
      <c r="AN54" s="137" t="e">
        <f>IF(AN48&gt;0,AN48*(AN38-AN19),IF(AO54&gt;0,AO54,0))</f>
        <v>#N/A</v>
      </c>
      <c r="AO54" s="137" t="e">
        <f>IF(AO48&gt;0,AO48*(AO38-$AN19),IF(AR62&gt;0,AR62,0))</f>
        <v>#N/A</v>
      </c>
      <c r="AV54" s="29"/>
      <c r="AY54" s="26" t="s">
        <v>440</v>
      </c>
      <c r="AZ54" t="e">
        <f>SUM(AZ51:AZ53)</f>
        <v>#N/A</v>
      </c>
      <c r="BA54" s="26" t="s">
        <v>441</v>
      </c>
      <c r="BB54" t="e">
        <f>SUM(BB51:BB53)</f>
        <v>#N/A</v>
      </c>
      <c r="BC54" s="26" t="s">
        <v>442</v>
      </c>
      <c r="BD54" t="e">
        <f>SUM(BD51:BD53)</f>
        <v>#N/A</v>
      </c>
      <c r="BH54" s="29"/>
      <c r="BK54" s="26" t="s">
        <v>440</v>
      </c>
      <c r="BL54" t="e">
        <f>SUM(BL51:BL53)</f>
        <v>#N/A</v>
      </c>
      <c r="BM54" s="26" t="s">
        <v>441</v>
      </c>
      <c r="BN54" t="e">
        <f>SUM(BN51:BN53)</f>
        <v>#N/A</v>
      </c>
      <c r="BO54" s="26" t="s">
        <v>442</v>
      </c>
      <c r="BP54" t="e">
        <f>SUM(BP51:BP53)</f>
        <v>#N/A</v>
      </c>
      <c r="BT54" s="26" t="s">
        <v>443</v>
      </c>
      <c r="BU54" s="83" t="e">
        <f>BP86/(BU19/2-BN85)*J27*10^-6</f>
        <v>#N/A</v>
      </c>
      <c r="BW54" s="74"/>
      <c r="BX54" t="s">
        <v>147</v>
      </c>
      <c r="BZ54" s="26" t="s">
        <v>443</v>
      </c>
      <c r="CA54" s="83" t="e">
        <f>BP128/(CA19/2-BN127)*J27*10^-6</f>
        <v>#N/A</v>
      </c>
      <c r="CC54" s="74"/>
      <c r="CD54" t="s">
        <v>147</v>
      </c>
    </row>
    <row r="55" spans="2:82" ht="15.75">
      <c r="C55" t="s">
        <v>444</v>
      </c>
      <c r="H55" s="118" t="e">
        <f>IF(OR(J34=0,J24=0),0,NA())</f>
        <v>#N/A</v>
      </c>
      <c r="I55" t="s">
        <v>392</v>
      </c>
      <c r="J55" s="19" t="e">
        <f>J46</f>
        <v>#N/A</v>
      </c>
      <c r="K55" t="s">
        <v>120</v>
      </c>
      <c r="L55" s="50" t="e">
        <f>H55*Z15</f>
        <v>#N/A</v>
      </c>
      <c r="M55" t="s">
        <v>445</v>
      </c>
      <c r="X55" s="26" t="s">
        <v>346</v>
      </c>
      <c r="Y55" s="52">
        <f t="shared" ref="Y55:AP55" si="14">Y37</f>
        <v>0</v>
      </c>
      <c r="Z55" s="52" t="e">
        <f t="shared" si="14"/>
        <v>#N/A</v>
      </c>
      <c r="AA55" s="52" t="e">
        <f t="shared" si="14"/>
        <v>#N/A</v>
      </c>
      <c r="AB55" s="52" t="e">
        <f t="shared" si="14"/>
        <v>#N/A</v>
      </c>
      <c r="AC55" s="52" t="e">
        <f t="shared" si="14"/>
        <v>#N/A</v>
      </c>
      <c r="AD55" s="52" t="e">
        <f t="shared" si="14"/>
        <v>#N/A</v>
      </c>
      <c r="AE55" s="52" t="e">
        <f t="shared" si="14"/>
        <v>#N/A</v>
      </c>
      <c r="AF55" s="52" t="e">
        <f t="shared" si="14"/>
        <v>#N/A</v>
      </c>
      <c r="AG55" s="52" t="e">
        <f t="shared" si="14"/>
        <v>#N/A</v>
      </c>
      <c r="AH55" s="52" t="e">
        <f t="shared" si="14"/>
        <v>#N/A</v>
      </c>
      <c r="AI55" s="52" t="e">
        <f t="shared" si="14"/>
        <v>#N/A</v>
      </c>
      <c r="AJ55" s="52" t="e">
        <f t="shared" si="14"/>
        <v>#N/A</v>
      </c>
      <c r="AK55" s="52" t="e">
        <f t="shared" si="14"/>
        <v>#N/A</v>
      </c>
      <c r="AL55" s="52" t="e">
        <f t="shared" si="14"/>
        <v>#N/A</v>
      </c>
      <c r="AM55" s="52" t="e">
        <f t="shared" si="14"/>
        <v>#N/A</v>
      </c>
      <c r="AN55" s="52" t="e">
        <f t="shared" si="14"/>
        <v>#N/A</v>
      </c>
      <c r="AO55" s="52" t="e">
        <f t="shared" si="14"/>
        <v>#N/A</v>
      </c>
      <c r="AP55" s="52" t="e">
        <f t="shared" si="14"/>
        <v>#N/A</v>
      </c>
      <c r="AQ55" t="str">
        <f t="shared" si="5"/>
        <v>snit, x= [m]</v>
      </c>
      <c r="AV55" s="29"/>
      <c r="AX55" s="155" t="s">
        <v>446</v>
      </c>
      <c r="BA55" s="26" t="s">
        <v>447</v>
      </c>
      <c r="BB55" s="74" t="e">
        <f>BB54/AZ54</f>
        <v>#N/A</v>
      </c>
      <c r="BC55" s="26" t="s">
        <v>448</v>
      </c>
      <c r="BD55" s="14" t="e">
        <f>-AZ54*BB55^2</f>
        <v>#N/A</v>
      </c>
      <c r="BH55" s="29"/>
      <c r="BJ55" s="155" t="s">
        <v>446</v>
      </c>
      <c r="BM55" s="26" t="s">
        <v>447</v>
      </c>
      <c r="BN55" s="74" t="e">
        <f>BN54/BL54</f>
        <v>#N/A</v>
      </c>
      <c r="BO55" s="26" t="s">
        <v>448</v>
      </c>
      <c r="BP55" s="14" t="e">
        <f>-BL54*BN55^2</f>
        <v>#N/A</v>
      </c>
      <c r="BT55" s="26" t="s">
        <v>449</v>
      </c>
      <c r="BU55" s="50" t="e">
        <f>IF(BU54&gt;BU16,0,1-BU53*(BU54/BU16)^2)</f>
        <v>#N/A</v>
      </c>
      <c r="BV55" s="50" t="e">
        <f>IF(BU54&gt;BV16,0,1-BV53*(BU54/BV16)^2)</f>
        <v>#N/A</v>
      </c>
      <c r="BW55" s="156" t="e">
        <f>IF(BU54&gt;(BU16+BW16),0,1-BW53*(BU54/(BU16+BW16))^2)</f>
        <v>#N/A</v>
      </c>
      <c r="BZ55" s="26" t="s">
        <v>449</v>
      </c>
      <c r="CA55" s="50" t="e">
        <f>IF(CA54&gt;CA16,0,1-CA53*(CA54/CA16)^2)</f>
        <v>#N/A</v>
      </c>
      <c r="CB55" s="50" t="e">
        <f>IF(CA54&gt;CB16,0,1-CB53*(CA54/CB16)^2)</f>
        <v>#N/A</v>
      </c>
      <c r="CC55" s="156" t="e">
        <f>IF(CA54&gt;(CA16+CC16),0,1-CC53*(CA54/(CA16+CC16))^2)</f>
        <v>#N/A</v>
      </c>
    </row>
    <row r="56" spans="2:82">
      <c r="C56" t="s">
        <v>450</v>
      </c>
      <c r="H56" s="118" t="e">
        <f>IF(OR(J34=0,J24=0),0,NA())</f>
        <v>#N/A</v>
      </c>
      <c r="I56" t="s">
        <v>392</v>
      </c>
      <c r="J56" s="157" t="e">
        <f>J50</f>
        <v>#N/A</v>
      </c>
      <c r="K56" t="s">
        <v>120</v>
      </c>
      <c r="L56" s="50" t="e">
        <f>H56*Z16</f>
        <v>#N/A</v>
      </c>
      <c r="M56" t="s">
        <v>445</v>
      </c>
      <c r="X56" s="26" t="s">
        <v>429</v>
      </c>
      <c r="Y56" s="50">
        <f t="shared" ref="Y56:AP57" si="15">Y51</f>
        <v>0</v>
      </c>
      <c r="Z56" s="50" t="e">
        <f t="shared" si="15"/>
        <v>#N/A</v>
      </c>
      <c r="AA56" s="50" t="e">
        <f t="shared" si="15"/>
        <v>#N/A</v>
      </c>
      <c r="AB56" s="50" t="e">
        <f t="shared" si="15"/>
        <v>#N/A</v>
      </c>
      <c r="AC56" s="50" t="e">
        <f t="shared" si="15"/>
        <v>#N/A</v>
      </c>
      <c r="AD56" s="50" t="e">
        <f t="shared" si="15"/>
        <v>#N/A</v>
      </c>
      <c r="AE56" s="50" t="e">
        <f t="shared" si="15"/>
        <v>#N/A</v>
      </c>
      <c r="AF56" s="50" t="e">
        <f t="shared" si="15"/>
        <v>#N/A</v>
      </c>
      <c r="AG56" s="50" t="e">
        <f t="shared" si="15"/>
        <v>#N/A</v>
      </c>
      <c r="AH56" s="50" t="e">
        <f t="shared" si="15"/>
        <v>#N/A</v>
      </c>
      <c r="AI56" s="50" t="e">
        <f t="shared" si="15"/>
        <v>#N/A</v>
      </c>
      <c r="AJ56" s="50" t="e">
        <f t="shared" si="15"/>
        <v>#N/A</v>
      </c>
      <c r="AK56" s="50" t="e">
        <f t="shared" si="15"/>
        <v>#N/A</v>
      </c>
      <c r="AL56" s="50" t="e">
        <f t="shared" si="15"/>
        <v>#N/A</v>
      </c>
      <c r="AM56" s="50" t="e">
        <f t="shared" si="15"/>
        <v>#N/A</v>
      </c>
      <c r="AN56" s="50" t="e">
        <f t="shared" si="15"/>
        <v>#N/A</v>
      </c>
      <c r="AO56" s="50" t="e">
        <f t="shared" si="15"/>
        <v>#N/A</v>
      </c>
      <c r="AP56" s="50">
        <f t="shared" si="15"/>
        <v>0</v>
      </c>
      <c r="AQ56" t="str">
        <f t="shared" si="5"/>
        <v>M ialt [kNm]</v>
      </c>
      <c r="BC56" s="26" t="s">
        <v>451</v>
      </c>
      <c r="BD56" t="e">
        <f>BD55+BD54</f>
        <v>#N/A</v>
      </c>
      <c r="BE56" t="e">
        <f>BD56*10^-12</f>
        <v>#N/A</v>
      </c>
      <c r="BF56" t="s">
        <v>419</v>
      </c>
      <c r="BO56" s="26" t="s">
        <v>451</v>
      </c>
      <c r="BP56" t="e">
        <f>BP55+BP54</f>
        <v>#N/A</v>
      </c>
      <c r="BQ56" t="e">
        <f>BP56*10^-12</f>
        <v>#N/A</v>
      </c>
      <c r="BR56" t="s">
        <v>419</v>
      </c>
      <c r="BT56" s="26" t="s">
        <v>452</v>
      </c>
      <c r="BU56" s="74" t="e">
        <f>BU55*BU47+(1-BU55)*BU50</f>
        <v>#N/A</v>
      </c>
      <c r="BV56" s="74" t="e">
        <f>BV55*BV47+(1-BV55)*BV50</f>
        <v>#N/A</v>
      </c>
      <c r="BW56" s="73" t="e">
        <f>BW55*BW47+(1-BW55)*BW50</f>
        <v>#N/A</v>
      </c>
      <c r="BX56" t="s">
        <v>91</v>
      </c>
      <c r="BZ56" s="26" t="s">
        <v>452</v>
      </c>
      <c r="CA56" s="74" t="e">
        <f>CA55*CA47+(1-CA55)*CA50</f>
        <v>#N/A</v>
      </c>
      <c r="CB56" s="74" t="e">
        <f>CB55*CB47+(1-CB55)*CB50</f>
        <v>#N/A</v>
      </c>
      <c r="CC56" s="74" t="e">
        <f>CC55*CC47+(1-CC55)*CC50</f>
        <v>#N/A</v>
      </c>
      <c r="CD56" t="s">
        <v>91</v>
      </c>
    </row>
    <row r="57" spans="2:82">
      <c r="C57" t="s">
        <v>453</v>
      </c>
      <c r="H57" s="118" t="e">
        <f>IF(OR(J36=0,J24=0),0,NA())</f>
        <v>#N/A</v>
      </c>
      <c r="I57" t="s">
        <v>392</v>
      </c>
      <c r="J57" s="19" t="e">
        <f>J46</f>
        <v>#N/A</v>
      </c>
      <c r="K57" t="s">
        <v>120</v>
      </c>
      <c r="L57" s="50" t="e">
        <f>H57*Z15</f>
        <v>#N/A</v>
      </c>
      <c r="M57" t="s">
        <v>445</v>
      </c>
      <c r="N57" s="74"/>
      <c r="X57" s="26" t="s">
        <v>434</v>
      </c>
      <c r="Y57" s="50" t="e">
        <f t="shared" si="15"/>
        <v>#N/A</v>
      </c>
      <c r="Z57" s="50" t="e">
        <f t="shared" si="15"/>
        <v>#N/A</v>
      </c>
      <c r="AA57" s="50" t="e">
        <f t="shared" si="15"/>
        <v>#N/A</v>
      </c>
      <c r="AB57" s="50" t="e">
        <f t="shared" si="15"/>
        <v>#N/A</v>
      </c>
      <c r="AC57" s="50" t="e">
        <f t="shared" si="15"/>
        <v>#N/A</v>
      </c>
      <c r="AD57" s="50" t="e">
        <f t="shared" si="15"/>
        <v>#N/A</v>
      </c>
      <c r="AE57" s="50" t="e">
        <f t="shared" si="15"/>
        <v>#N/A</v>
      </c>
      <c r="AF57" s="50" t="e">
        <f t="shared" si="15"/>
        <v>#N/A</v>
      </c>
      <c r="AG57" s="50" t="e">
        <f t="shared" si="15"/>
        <v>#N/A</v>
      </c>
      <c r="AH57" s="50" t="e">
        <f t="shared" si="15"/>
        <v>#N/A</v>
      </c>
      <c r="AI57" s="50" t="e">
        <f t="shared" si="15"/>
        <v>#N/A</v>
      </c>
      <c r="AJ57" s="50" t="e">
        <f t="shared" si="15"/>
        <v>#N/A</v>
      </c>
      <c r="AK57" s="50" t="e">
        <f t="shared" si="15"/>
        <v>#N/A</v>
      </c>
      <c r="AL57" s="50" t="e">
        <f t="shared" si="15"/>
        <v>#N/A</v>
      </c>
      <c r="AM57" s="50" t="e">
        <f t="shared" si="15"/>
        <v>#N/A</v>
      </c>
      <c r="AN57" s="50" t="e">
        <f t="shared" si="15"/>
        <v>#N/A</v>
      </c>
      <c r="AO57" s="50" t="e">
        <f t="shared" si="15"/>
        <v>#N/A</v>
      </c>
      <c r="AP57" s="50" t="e">
        <f t="shared" si="15"/>
        <v>#N/A</v>
      </c>
      <c r="AQ57" t="str">
        <f t="shared" si="5"/>
        <v>V ialt [kN]</v>
      </c>
      <c r="BH57" t="s">
        <v>454</v>
      </c>
      <c r="BM57" t="s">
        <v>9</v>
      </c>
      <c r="BT57" s="26" t="s">
        <v>455</v>
      </c>
      <c r="BU57" s="74" t="e">
        <f>BU53*BU47+(1-BU53)*BU50</f>
        <v>#N/A</v>
      </c>
      <c r="BV57" s="74" t="e">
        <f>BV53*BV47+(1-BV53)*BV50</f>
        <v>#N/A</v>
      </c>
      <c r="BW57" s="73" t="e">
        <f>BW53*BW47+(1-BW53)*BW50</f>
        <v>#N/A</v>
      </c>
      <c r="BX57" t="s">
        <v>91</v>
      </c>
      <c r="BZ57" s="26" t="s">
        <v>455</v>
      </c>
      <c r="CA57" s="74" t="e">
        <f>CA53*CA47+(1-CA53)*CA50</f>
        <v>#N/A</v>
      </c>
      <c r="CB57" s="74" t="e">
        <f>CB53*CB47+(1-CB53)*CB50</f>
        <v>#N/A</v>
      </c>
      <c r="CC57" s="74" t="e">
        <f>CC53*CC47+(1-CC53)*CC50</f>
        <v>#N/A</v>
      </c>
      <c r="CD57" t="s">
        <v>91</v>
      </c>
    </row>
    <row r="58" spans="2:82">
      <c r="C58" t="s">
        <v>456</v>
      </c>
      <c r="H58" s="118" t="e">
        <f>IF(OR(J36=0,J24=0),0,NA())</f>
        <v>#N/A</v>
      </c>
      <c r="I58" t="s">
        <v>392</v>
      </c>
      <c r="J58" s="157" t="e">
        <f>J50</f>
        <v>#N/A</v>
      </c>
      <c r="K58" t="s">
        <v>120</v>
      </c>
      <c r="L58" s="50" t="e">
        <f>H58*Z16</f>
        <v>#N/A</v>
      </c>
      <c r="M58" t="s">
        <v>445</v>
      </c>
      <c r="N58" s="74" t="e">
        <f>1*COS(N19)</f>
        <v>#N/A</v>
      </c>
      <c r="O58" t="s">
        <v>457</v>
      </c>
      <c r="AC58" s="154"/>
      <c r="AV58" t="s">
        <v>405</v>
      </c>
      <c r="AX58" t="str">
        <f>AX9</f>
        <v>hvilende</v>
      </c>
      <c r="AY58" t="str">
        <f>AX10</f>
        <v>m. repose-</v>
      </c>
      <c r="AZ58" t="str">
        <f>AX11</f>
        <v>tykkelse</v>
      </c>
      <c r="BH58" t="str">
        <f>BH48</f>
        <v>inclusive last fra naboelem._sidekantpl.strimmel (f)</v>
      </c>
      <c r="BL58" t="str">
        <f>BL48</f>
        <v>langtidslast</v>
      </c>
    </row>
    <row r="59" spans="2:82" ht="15.75">
      <c r="B59" t="s">
        <v>458</v>
      </c>
      <c r="H59" s="30"/>
      <c r="J59" s="19"/>
      <c r="AD59" s="82" t="str">
        <f>Z43</f>
        <v>(2v)</v>
      </c>
      <c r="AF59" s="158" t="str">
        <f>AI43</f>
        <v>(2h)</v>
      </c>
      <c r="AV59" s="29" t="s">
        <v>409</v>
      </c>
      <c r="AW59" s="26" t="s">
        <v>410</v>
      </c>
      <c r="AX59" s="26" t="s">
        <v>411</v>
      </c>
      <c r="AY59" s="26" t="s">
        <v>412</v>
      </c>
      <c r="AZ59" s="26" t="s">
        <v>413</v>
      </c>
      <c r="BA59" s="26" t="s">
        <v>414</v>
      </c>
      <c r="BB59" s="26" t="s">
        <v>415</v>
      </c>
      <c r="BC59" s="26" t="s">
        <v>416</v>
      </c>
      <c r="BD59" s="26" t="s">
        <v>417</v>
      </c>
      <c r="BE59" s="26" t="s">
        <v>418</v>
      </c>
      <c r="BF59" s="157" t="e">
        <f>BD66/(AY61/2-BB65)*0.3*J25^(2/3)*10^-6</f>
        <v>#N/A</v>
      </c>
      <c r="BH59" s="29" t="s">
        <v>409</v>
      </c>
      <c r="BI59" s="26" t="s">
        <v>410</v>
      </c>
      <c r="BJ59" s="26" t="s">
        <v>411</v>
      </c>
      <c r="BK59" s="26" t="s">
        <v>412</v>
      </c>
      <c r="BL59" s="26" t="s">
        <v>413</v>
      </c>
      <c r="BM59" s="26" t="s">
        <v>414</v>
      </c>
      <c r="BN59" s="26" t="s">
        <v>415</v>
      </c>
      <c r="BO59" s="26" t="s">
        <v>416</v>
      </c>
      <c r="BP59" s="26" t="s">
        <v>417</v>
      </c>
      <c r="BQ59" s="26" t="s">
        <v>418</v>
      </c>
      <c r="BR59" s="159" t="e">
        <f>BP66/(BK61/2-BN65)*0.3*J25^(2/3)*10^-6</f>
        <v>#N/A</v>
      </c>
    </row>
    <row r="60" spans="2:82" ht="15" customHeight="1">
      <c r="C60" t="s">
        <v>459</v>
      </c>
      <c r="H60" s="118">
        <v>0</v>
      </c>
      <c r="I60" t="s">
        <v>392</v>
      </c>
      <c r="J60" s="19" t="e">
        <f>J46</f>
        <v>#N/A</v>
      </c>
      <c r="K60" t="s">
        <v>120</v>
      </c>
      <c r="L60" s="50" t="e">
        <f>H60*Z15</f>
        <v>#N/A</v>
      </c>
      <c r="M60" t="s">
        <v>460</v>
      </c>
      <c r="N60" s="93">
        <f>H60*AA15</f>
        <v>0</v>
      </c>
      <c r="O60" s="32" t="s">
        <v>461</v>
      </c>
      <c r="Y60" s="160"/>
      <c r="AE60" s="17" t="str">
        <f>Y39</f>
        <v>(1)</v>
      </c>
      <c r="AV60" s="16"/>
      <c r="AW60" s="147" t="s">
        <v>423</v>
      </c>
      <c r="AX60" s="148" t="s">
        <v>91</v>
      </c>
      <c r="AY60" s="148" t="s">
        <v>91</v>
      </c>
      <c r="AZ60" s="148" t="s">
        <v>114</v>
      </c>
      <c r="BA60" s="148" t="s">
        <v>91</v>
      </c>
      <c r="BB60" s="148" t="s">
        <v>424</v>
      </c>
      <c r="BC60" s="148" t="s">
        <v>423</v>
      </c>
      <c r="BD60" s="148" t="s">
        <v>425</v>
      </c>
      <c r="BE60" s="149" t="s">
        <v>426</v>
      </c>
      <c r="BF60" s="157" t="e">
        <f>1/10*AW62*BF59*10^6/(AA316*BD66)*(AX22*10^3)^2</f>
        <v>#N/A</v>
      </c>
      <c r="BH60" s="16"/>
      <c r="BI60" s="147" t="s">
        <v>423</v>
      </c>
      <c r="BJ60" s="148" t="s">
        <v>91</v>
      </c>
      <c r="BK60" s="148" t="s">
        <v>91</v>
      </c>
      <c r="BL60" s="148" t="s">
        <v>114</v>
      </c>
      <c r="BM60" s="148" t="s">
        <v>91</v>
      </c>
      <c r="BN60" s="148" t="s">
        <v>424</v>
      </c>
      <c r="BO60" s="148" t="s">
        <v>423</v>
      </c>
      <c r="BP60" s="148" t="s">
        <v>425</v>
      </c>
      <c r="BQ60" s="149" t="s">
        <v>426</v>
      </c>
      <c r="BR60" s="157" t="e">
        <f>1/10*AW62*BR59*10^6/(AA316*BP66)*(BC22*10^3)^2</f>
        <v>#N/A</v>
      </c>
    </row>
    <row r="61" spans="2:82" ht="15" customHeight="1">
      <c r="C61" t="s">
        <v>462</v>
      </c>
      <c r="H61" s="118">
        <v>0</v>
      </c>
      <c r="I61" t="s">
        <v>392</v>
      </c>
      <c r="J61" s="157" t="e">
        <f>J50</f>
        <v>#N/A</v>
      </c>
      <c r="K61" t="s">
        <v>120</v>
      </c>
      <c r="L61" s="50" t="e">
        <f>H61*Z16</f>
        <v>#N/A</v>
      </c>
      <c r="M61" t="s">
        <v>460</v>
      </c>
      <c r="N61" s="93"/>
      <c r="O61" s="32"/>
      <c r="AC61" s="26" t="s">
        <v>33</v>
      </c>
      <c r="AG61" s="72" t="s">
        <v>34</v>
      </c>
      <c r="AV61" s="29" t="s">
        <v>430</v>
      </c>
      <c r="AW61">
        <v>1</v>
      </c>
      <c r="AX61" t="e">
        <f>AX51</f>
        <v>#N/A</v>
      </c>
      <c r="AY61" t="e">
        <f>AX20</f>
        <v>#N/A</v>
      </c>
      <c r="AZ61" s="53" t="e">
        <f>AW61*AX61*AY61</f>
        <v>#N/A</v>
      </c>
      <c r="BA61">
        <f>BA51</f>
        <v>0</v>
      </c>
      <c r="BB61" t="e">
        <f>BA61*AZ61</f>
        <v>#N/A</v>
      </c>
      <c r="BC61">
        <f>BC51</f>
        <v>8.3333333333333329E-2</v>
      </c>
      <c r="BD61" s="53" t="e">
        <f>BC61*AX61*AY61^3</f>
        <v>#N/A</v>
      </c>
      <c r="BE61" s="26" t="s">
        <v>431</v>
      </c>
      <c r="BF61" s="143" t="e">
        <f>IF(BF59&gt;AX17,0,1-BF48*(BF59/AX17)^2)</f>
        <v>#N/A</v>
      </c>
      <c r="BH61" s="29" t="s">
        <v>430</v>
      </c>
      <c r="BI61">
        <v>1</v>
      </c>
      <c r="BJ61" t="e">
        <f>BJ51</f>
        <v>#N/A</v>
      </c>
      <c r="BK61" s="53" t="e">
        <f>J21</f>
        <v>#N/A</v>
      </c>
      <c r="BL61" s="53" t="e">
        <f>BI61*BJ61*BK61</f>
        <v>#N/A</v>
      </c>
      <c r="BM61">
        <f>BM51</f>
        <v>0</v>
      </c>
      <c r="BN61" t="e">
        <f>BM61*BL61</f>
        <v>#N/A</v>
      </c>
      <c r="BO61">
        <f>BO51</f>
        <v>8.3333333333333329E-2</v>
      </c>
      <c r="BP61" s="53" t="e">
        <f>BO61*BJ61*BK61^3</f>
        <v>#N/A</v>
      </c>
      <c r="BQ61" s="26" t="s">
        <v>431</v>
      </c>
      <c r="BR61" s="143" t="e">
        <f>IF(BR59&gt;BC17,0,1-BR48*(BR59/BB17)^2)</f>
        <v>#N/A</v>
      </c>
    </row>
    <row r="62" spans="2:82" ht="15" customHeight="1">
      <c r="C62" t="s">
        <v>463</v>
      </c>
      <c r="H62" s="118">
        <v>0</v>
      </c>
      <c r="I62" t="s">
        <v>392</v>
      </c>
      <c r="J62" s="19" t="e">
        <f>J46</f>
        <v>#N/A</v>
      </c>
      <c r="K62" t="s">
        <v>120</v>
      </c>
      <c r="L62" s="50" t="e">
        <f>H62*Z15</f>
        <v>#N/A</v>
      </c>
      <c r="M62" t="s">
        <v>460</v>
      </c>
      <c r="N62" s="93">
        <f>H62*AA15</f>
        <v>0</v>
      </c>
      <c r="O62" s="32" t="s">
        <v>461</v>
      </c>
      <c r="W62" s="64" t="s">
        <v>464</v>
      </c>
      <c r="X62" s="26" t="s">
        <v>33</v>
      </c>
      <c r="Y62" t="s">
        <v>34</v>
      </c>
      <c r="Z62" s="161" t="s">
        <v>465</v>
      </c>
      <c r="AV62" s="29" t="s">
        <v>435</v>
      </c>
      <c r="AW62">
        <f>AW52</f>
        <v>30</v>
      </c>
      <c r="AX62" s="53" t="e">
        <f>AX52</f>
        <v>#N/A</v>
      </c>
      <c r="AY62" s="53">
        <f>AY52</f>
        <v>1</v>
      </c>
      <c r="AZ62" s="53" t="e">
        <f>AW62*AX62*AY62</f>
        <v>#N/A</v>
      </c>
      <c r="BA62" s="53" t="e">
        <f>BA52</f>
        <v>#N/A</v>
      </c>
      <c r="BB62" t="e">
        <f>BA62*AZ62</f>
        <v>#N/A</v>
      </c>
      <c r="BC62" s="53"/>
      <c r="BD62" s="53" t="e">
        <f>AZ62*BA62^2</f>
        <v>#N/A</v>
      </c>
      <c r="BE62" s="26" t="s">
        <v>436</v>
      </c>
      <c r="BF62" s="157" t="e">
        <f>BF61*AX34+(1-BF61)*BF60</f>
        <v>#N/A</v>
      </c>
      <c r="BH62" s="29" t="s">
        <v>435</v>
      </c>
      <c r="BI62">
        <f>BI52</f>
        <v>32.119514472455656</v>
      </c>
      <c r="BJ62" s="53" t="e">
        <f>BJ52</f>
        <v>#N/A</v>
      </c>
      <c r="BK62" s="53">
        <v>1</v>
      </c>
      <c r="BL62" s="53" t="e">
        <f>BI62*BJ62*BK62</f>
        <v>#N/A</v>
      </c>
      <c r="BM62" s="53" t="e">
        <f>BV18-BV19/2</f>
        <v>#N/A</v>
      </c>
      <c r="BN62" t="e">
        <f>BM62*BL62</f>
        <v>#N/A</v>
      </c>
      <c r="BO62" s="53"/>
      <c r="BP62" s="53" t="e">
        <f>BL62*BM62^2</f>
        <v>#N/A</v>
      </c>
      <c r="BQ62" s="26" t="s">
        <v>436</v>
      </c>
      <c r="BR62" s="157" t="e">
        <f>BR61*BC34+(1-BR61)*BR60</f>
        <v>#N/A</v>
      </c>
      <c r="CC62" s="74"/>
    </row>
    <row r="63" spans="2:82" ht="15" customHeight="1">
      <c r="C63" t="s">
        <v>466</v>
      </c>
      <c r="H63" s="118">
        <v>0</v>
      </c>
      <c r="I63" t="s">
        <v>392</v>
      </c>
      <c r="J63" s="157" t="e">
        <f>J50</f>
        <v>#N/A</v>
      </c>
      <c r="K63" t="s">
        <v>120</v>
      </c>
      <c r="L63" s="50" t="e">
        <f>H63*Z16</f>
        <v>#N/A</v>
      </c>
      <c r="M63" t="s">
        <v>460</v>
      </c>
      <c r="W63" t="s">
        <v>467</v>
      </c>
      <c r="X63" s="162" t="e">
        <f>AD127</f>
        <v>#N/A</v>
      </c>
      <c r="Y63" s="106" t="e">
        <f>AD152</f>
        <v>#N/A</v>
      </c>
      <c r="Z63" s="163" t="str">
        <f>Y39</f>
        <v>(1)</v>
      </c>
      <c r="AA63" t="e">
        <f>FIXED(L52,2)&amp;" x "&amp;FIXED(X66,3)&amp;" x "&amp;FIXED(MAX(X69:Y69),2)&amp;" = "&amp;FIXED(Z39,2)</f>
        <v>#N/A</v>
      </c>
      <c r="AD63" t="s">
        <v>328</v>
      </c>
      <c r="AE63" s="26"/>
      <c r="AG63" s="19" t="s">
        <v>328</v>
      </c>
      <c r="AV63" s="29" t="s">
        <v>438</v>
      </c>
      <c r="AW63">
        <f>AW62</f>
        <v>30</v>
      </c>
      <c r="AX63" s="53" t="e">
        <f>AX53</f>
        <v>#N/A</v>
      </c>
      <c r="AY63" s="53">
        <f>AY53</f>
        <v>1</v>
      </c>
      <c r="AZ63" s="152" t="e">
        <f>AW63*AX63*AY63</f>
        <v>#N/A</v>
      </c>
      <c r="BA63" s="53" t="e">
        <f>BA53</f>
        <v>#N/A</v>
      </c>
      <c r="BB63" s="14" t="e">
        <f>BA63*AZ63</f>
        <v>#N/A</v>
      </c>
      <c r="BC63" s="53"/>
      <c r="BD63" s="152" t="e">
        <f>AZ63*BA63^2</f>
        <v>#N/A</v>
      </c>
      <c r="BH63" s="29" t="s">
        <v>438</v>
      </c>
      <c r="BI63">
        <f>BI62</f>
        <v>32.119514472455656</v>
      </c>
      <c r="BJ63" s="53" t="e">
        <f>BJ53</f>
        <v>#N/A</v>
      </c>
      <c r="BK63" s="53">
        <v>1</v>
      </c>
      <c r="BL63" s="152" t="e">
        <f>BI63*BJ63*BK63</f>
        <v>#N/A</v>
      </c>
      <c r="BM63" s="53" t="e">
        <f>-BM62</f>
        <v>#N/A</v>
      </c>
      <c r="BN63" s="14" t="e">
        <f>BM63*BL63</f>
        <v>#N/A</v>
      </c>
      <c r="BO63" s="53"/>
      <c r="BP63" s="152" t="e">
        <f>BL63*BM63^2</f>
        <v>#N/A</v>
      </c>
    </row>
    <row r="64" spans="2:82" ht="15" customHeight="1">
      <c r="C64" t="s">
        <v>1166</v>
      </c>
      <c r="I64" t="s">
        <v>84</v>
      </c>
      <c r="L64" s="118">
        <f>IF(SUM(H60:H61)=0,0.1,NA())</f>
        <v>0.1</v>
      </c>
      <c r="M64" t="s">
        <v>40</v>
      </c>
      <c r="N64" s="118" t="e">
        <f>IF(SUM(J60:J61)=0,0.1,NA())</f>
        <v>#N/A</v>
      </c>
      <c r="O64" s="49" t="s">
        <v>1149</v>
      </c>
      <c r="W64" t="s">
        <v>469</v>
      </c>
      <c r="X64" s="162" t="e">
        <f>AD128</f>
        <v>#N/A</v>
      </c>
      <c r="Y64" s="106" t="e">
        <f>AD153</f>
        <v>#N/A</v>
      </c>
      <c r="Z64" s="161" t="s">
        <v>470</v>
      </c>
      <c r="AD64" s="19"/>
      <c r="AE64" s="26"/>
      <c r="AG64" s="32"/>
      <c r="AV64" s="29"/>
      <c r="AY64" s="26" t="s">
        <v>440</v>
      </c>
      <c r="AZ64" t="e">
        <f>SUM(AZ61:AZ63)</f>
        <v>#N/A</v>
      </c>
      <c r="BA64" s="26" t="s">
        <v>441</v>
      </c>
      <c r="BB64" t="e">
        <f>SUM(BB61:BB63)</f>
        <v>#N/A</v>
      </c>
      <c r="BC64" s="26" t="s">
        <v>442</v>
      </c>
      <c r="BD64" t="e">
        <f>SUM(BD61:BD63)</f>
        <v>#N/A</v>
      </c>
      <c r="BH64" s="29"/>
      <c r="BK64" s="26" t="s">
        <v>440</v>
      </c>
      <c r="BL64" t="e">
        <f>SUM(BL61:BL63)</f>
        <v>#N/A</v>
      </c>
      <c r="BM64" s="26" t="s">
        <v>441</v>
      </c>
      <c r="BN64" t="e">
        <f>SUM(BN61:BN63)</f>
        <v>#N/A</v>
      </c>
      <c r="BO64" s="26" t="s">
        <v>442</v>
      </c>
      <c r="BP64" t="e">
        <f>SUM(BP61:BP63)</f>
        <v>#N/A</v>
      </c>
    </row>
    <row r="65" spans="2:70" ht="15" customHeight="1">
      <c r="C65" t="s">
        <v>1167</v>
      </c>
      <c r="I65" t="s">
        <v>172</v>
      </c>
      <c r="L65" s="118">
        <f>IF(SUM(H62:H63)=0,0.1,NA())</f>
        <v>0.1</v>
      </c>
      <c r="M65" t="s">
        <v>40</v>
      </c>
      <c r="N65" s="118" t="e">
        <f>IF(SUM(J62:J63)=0,0.1,NA())</f>
        <v>#N/A</v>
      </c>
      <c r="O65" t="str">
        <f>O64</f>
        <v>= kopi af formel i kol.L</v>
      </c>
      <c r="W65" t="s">
        <v>471</v>
      </c>
      <c r="X65" s="162" t="e">
        <f>AD131</f>
        <v>#N/A</v>
      </c>
      <c r="Y65" s="106" t="e">
        <f>AD154</f>
        <v>#N/A</v>
      </c>
      <c r="Z65" s="163" t="str">
        <f>Z43</f>
        <v>(2v)</v>
      </c>
      <c r="AA65" t="e">
        <f>"("&amp;FIXED(AJ27,2)&amp;"+"&amp;FIXED(AJ28,2)&amp;") x "&amp;FIXED(AD129,2)&amp;" = "&amp;FIXED(AA43,2)</f>
        <v>#N/A</v>
      </c>
      <c r="AD65" s="19"/>
      <c r="AG65" s="32"/>
      <c r="AV65" s="29"/>
      <c r="AX65" s="155" t="s">
        <v>446</v>
      </c>
      <c r="BA65" s="26" t="s">
        <v>447</v>
      </c>
      <c r="BB65" s="74" t="e">
        <f>BB64/AZ64</f>
        <v>#N/A</v>
      </c>
      <c r="BC65" s="26" t="s">
        <v>448</v>
      </c>
      <c r="BD65" s="14" t="e">
        <f>-AZ64*BB65^2</f>
        <v>#N/A</v>
      </c>
      <c r="BH65" s="29"/>
      <c r="BJ65" s="155" t="s">
        <v>446</v>
      </c>
      <c r="BM65" s="26" t="s">
        <v>447</v>
      </c>
      <c r="BN65" s="74" t="e">
        <f>BN64/BL64</f>
        <v>#N/A</v>
      </c>
      <c r="BO65" s="26" t="s">
        <v>448</v>
      </c>
      <c r="BP65" s="14" t="e">
        <f>-BL64*BN65^2</f>
        <v>#N/A</v>
      </c>
    </row>
    <row r="66" spans="2:70" ht="15" customHeight="1">
      <c r="W66" t="s">
        <v>472</v>
      </c>
      <c r="X66" s="162" t="e">
        <f>AF117</f>
        <v>#N/A</v>
      </c>
      <c r="Y66" s="106" t="e">
        <f>AF142</f>
        <v>#N/A</v>
      </c>
      <c r="Z66" s="163" t="str">
        <f>AI43</f>
        <v>(2h)</v>
      </c>
      <c r="AA66" t="e">
        <f>"("&amp;FIXED(AK27,2)&amp;"+"&amp;FIXED(AK28,2)&amp;") x "&amp;FIXED(AD129,2)&amp;" = "&amp;FIXED(AJ43,2)</f>
        <v>#N/A</v>
      </c>
      <c r="AD66" s="26" t="s">
        <v>308</v>
      </c>
      <c r="AE66" s="72" t="s">
        <v>315</v>
      </c>
      <c r="AF66" s="19" t="s">
        <v>326</v>
      </c>
      <c r="BC66" s="26" t="s">
        <v>451</v>
      </c>
      <c r="BD66" t="e">
        <f>BD65+BD64</f>
        <v>#N/A</v>
      </c>
      <c r="BE66" t="e">
        <f>BD66*10^-12</f>
        <v>#N/A</v>
      </c>
      <c r="BF66" t="s">
        <v>419</v>
      </c>
      <c r="BO66" s="26" t="s">
        <v>451</v>
      </c>
      <c r="BP66" t="e">
        <f>BP65+BP64</f>
        <v>#N/A</v>
      </c>
      <c r="BQ66" t="e">
        <f>BP66*10^-12</f>
        <v>#N/A</v>
      </c>
      <c r="BR66" t="s">
        <v>419</v>
      </c>
    </row>
    <row r="67" spans="2:70" ht="15" customHeight="1">
      <c r="B67" t="s">
        <v>473</v>
      </c>
      <c r="C67" s="50"/>
      <c r="H67" s="26" t="s">
        <v>474</v>
      </c>
      <c r="L67" t="s">
        <v>475</v>
      </c>
      <c r="N67" s="74"/>
      <c r="Y67" s="32" t="s">
        <v>40</v>
      </c>
      <c r="Z67" s="161" t="s">
        <v>476</v>
      </c>
      <c r="BH67" t="str">
        <f>BH47</f>
        <v>Med løbstykkelse med tillægshøjde for trinandel</v>
      </c>
    </row>
    <row r="68" spans="2:70" ht="15" customHeight="1">
      <c r="C68" t="s">
        <v>477</v>
      </c>
      <c r="H68" s="74" t="e">
        <f>(1-0.5*N24)*N24*1000*J20^2*J26*10^-6</f>
        <v>#N/A</v>
      </c>
      <c r="J68" t="s">
        <v>478</v>
      </c>
      <c r="K68" t="e">
        <f>IF(H68&gt;L68,"&gt;","&lt;")</f>
        <v>#N/A</v>
      </c>
      <c r="L68" s="74" t="e">
        <f>AG14*L52</f>
        <v>#N/A</v>
      </c>
      <c r="M68" t="e">
        <f>IF(H68&gt;L68,"accept","forkast")</f>
        <v>#N/A</v>
      </c>
      <c r="N68" s="164" t="e">
        <f>IF(M68="forkast","NB!"," ")</f>
        <v>#N/A</v>
      </c>
      <c r="R68" s="32" t="s">
        <v>479</v>
      </c>
      <c r="W68" s="26" t="s">
        <v>480</v>
      </c>
      <c r="X68" s="77" t="e">
        <f>AD129</f>
        <v>#N/A</v>
      </c>
      <c r="Y68" s="69" t="e">
        <f>AD154</f>
        <v>#N/A</v>
      </c>
      <c r="Z68" s="163" t="e">
        <f>AD48</f>
        <v>#N/A</v>
      </c>
      <c r="AA68" t="e">
        <f>"("&amp;FIXED(L60,2)&amp;"+"&amp;FIXED(L61,2)&amp;") x "&amp;FIXED(AD129,2)&amp;" = "&amp;FIXED(AE48,2)</f>
        <v>#N/A</v>
      </c>
      <c r="AV68" t="s">
        <v>405</v>
      </c>
      <c r="AX68" t="str">
        <f>AY10</f>
        <v>bevægelig</v>
      </c>
      <c r="BH68" t="str">
        <f>BH48</f>
        <v>inclusive last fra naboelem._sidekantpl.strimmel (f)</v>
      </c>
      <c r="BL68" t="s">
        <v>481</v>
      </c>
    </row>
    <row r="69" spans="2:70" ht="15" customHeight="1">
      <c r="C69" t="s">
        <v>482</v>
      </c>
      <c r="H69" s="74" t="e">
        <f>(1-0.5*N28)*N28*F43*J20^2*J26*10^-6</f>
        <v>#N/A</v>
      </c>
      <c r="J69" t="s">
        <v>147</v>
      </c>
      <c r="K69" t="e">
        <f>IF(H69&gt;L69,"&gt;","&lt;")</f>
        <v>#N/A</v>
      </c>
      <c r="L69" s="74" t="e">
        <f>MAXA(Y51:AP51)</f>
        <v>#N/A</v>
      </c>
      <c r="M69" t="e">
        <f>IF(H69&gt;L69,"accept","forkast")</f>
        <v>#N/A</v>
      </c>
      <c r="N69" s="164" t="e">
        <f>IF(M69="forkast","NB!"," ")</f>
        <v>#N/A</v>
      </c>
      <c r="R69" s="32" t="s">
        <v>483</v>
      </c>
      <c r="T69" t="e">
        <f>L52*O35/2</f>
        <v>#N/A</v>
      </c>
      <c r="U69" t="s">
        <v>484</v>
      </c>
      <c r="W69" s="26" t="s">
        <v>485</v>
      </c>
      <c r="X69" s="77" t="e">
        <f>AD132</f>
        <v>#N/A</v>
      </c>
      <c r="Y69" s="69" t="e">
        <f>AD157</f>
        <v>#N/A</v>
      </c>
      <c r="Z69" s="163" t="e">
        <f>AJ48</f>
        <v>#N/A</v>
      </c>
      <c r="AA69" t="e">
        <f>"("&amp;FIXED(L62,2)&amp;"+"&amp;FIXED(L63,2)&amp;") x "&amp;FIXED(AD154,2)&amp;" = "&amp;FIXED(AK48,2)</f>
        <v>#N/A</v>
      </c>
      <c r="AV69" s="29" t="s">
        <v>409</v>
      </c>
      <c r="AW69" s="26" t="s">
        <v>410</v>
      </c>
      <c r="AX69" s="26" t="s">
        <v>411</v>
      </c>
      <c r="AY69" s="26" t="s">
        <v>412</v>
      </c>
      <c r="AZ69" s="26" t="s">
        <v>413</v>
      </c>
      <c r="BA69" s="26" t="s">
        <v>414</v>
      </c>
      <c r="BB69" s="26" t="s">
        <v>415</v>
      </c>
      <c r="BC69" s="26" t="s">
        <v>416</v>
      </c>
      <c r="BD69" s="26" t="s">
        <v>417</v>
      </c>
      <c r="BE69" s="26"/>
      <c r="BF69" s="157"/>
      <c r="BH69" s="29" t="s">
        <v>409</v>
      </c>
      <c r="BI69" s="26" t="s">
        <v>410</v>
      </c>
      <c r="BJ69" s="26" t="s">
        <v>411</v>
      </c>
      <c r="BK69" s="26" t="s">
        <v>412</v>
      </c>
      <c r="BL69" s="26" t="s">
        <v>413</v>
      </c>
      <c r="BM69" s="26" t="s">
        <v>414</v>
      </c>
      <c r="BN69" s="26" t="s">
        <v>415</v>
      </c>
      <c r="BO69" s="26" t="s">
        <v>416</v>
      </c>
      <c r="BP69" s="26" t="s">
        <v>417</v>
      </c>
      <c r="BQ69" s="26"/>
      <c r="BR69" s="157"/>
    </row>
    <row r="70" spans="2:70" ht="15" customHeight="1">
      <c r="R70" s="19" t="s">
        <v>486</v>
      </c>
      <c r="S70" s="19" t="s">
        <v>487</v>
      </c>
      <c r="T70" s="53">
        <f>2*(8/2)^2*PI()</f>
        <v>100.53096491487338</v>
      </c>
      <c r="U70" t="s">
        <v>488</v>
      </c>
      <c r="AE70" t="s">
        <v>489</v>
      </c>
      <c r="AF70" s="166" t="e">
        <f>L69</f>
        <v>#N/A</v>
      </c>
      <c r="AV70" s="16"/>
      <c r="AW70" s="147" t="s">
        <v>423</v>
      </c>
      <c r="AX70" s="148" t="s">
        <v>91</v>
      </c>
      <c r="AY70" s="148" t="s">
        <v>91</v>
      </c>
      <c r="AZ70" s="148" t="s">
        <v>114</v>
      </c>
      <c r="BA70" s="148" t="s">
        <v>91</v>
      </c>
      <c r="BB70" s="148" t="s">
        <v>424</v>
      </c>
      <c r="BC70" s="148" t="s">
        <v>423</v>
      </c>
      <c r="BD70" s="148" t="s">
        <v>425</v>
      </c>
      <c r="BE70" s="149"/>
      <c r="BF70" s="157"/>
      <c r="BH70" s="16"/>
      <c r="BI70" s="147" t="s">
        <v>423</v>
      </c>
      <c r="BJ70" s="148" t="s">
        <v>91</v>
      </c>
      <c r="BK70" s="148" t="s">
        <v>91</v>
      </c>
      <c r="BL70" s="148" t="s">
        <v>114</v>
      </c>
      <c r="BM70" s="148" t="s">
        <v>91</v>
      </c>
      <c r="BN70" s="148" t="s">
        <v>424</v>
      </c>
      <c r="BO70" s="148" t="s">
        <v>423</v>
      </c>
      <c r="BP70" s="148" t="s">
        <v>425</v>
      </c>
      <c r="BQ70" s="149"/>
      <c r="BR70" s="157"/>
    </row>
    <row r="71" spans="2:70" ht="15" customHeight="1">
      <c r="B71" t="s">
        <v>490</v>
      </c>
      <c r="H71" s="26" t="s">
        <v>491</v>
      </c>
      <c r="N71" s="74"/>
      <c r="R71" s="50" t="e">
        <f>1+SQRT(200/T72)</f>
        <v>#N/A</v>
      </c>
      <c r="S71" s="74" t="e">
        <f>(0.18/$N$13*R72*(100*T70/(T71*T72)*$J$25)^(1/3))*T71*T72*10^-3</f>
        <v>#N/A</v>
      </c>
      <c r="T71" s="53">
        <v>1000</v>
      </c>
      <c r="U71" t="s">
        <v>492</v>
      </c>
      <c r="AC71" s="19" t="s">
        <v>493</v>
      </c>
      <c r="AV71" s="29" t="s">
        <v>430</v>
      </c>
      <c r="AW71">
        <v>1</v>
      </c>
      <c r="AX71" t="e">
        <f>AX61</f>
        <v>#N/A</v>
      </c>
      <c r="AY71" s="53" t="e">
        <f>AY51</f>
        <v>#N/A</v>
      </c>
      <c r="AZ71" s="53" t="e">
        <f>AW71*AX71*AY71</f>
        <v>#N/A</v>
      </c>
      <c r="BA71">
        <f>BA61</f>
        <v>0</v>
      </c>
      <c r="BB71" t="e">
        <f>BA71*AZ71</f>
        <v>#N/A</v>
      </c>
      <c r="BC71">
        <f>BC61</f>
        <v>8.3333333333333329E-2</v>
      </c>
      <c r="BD71" s="53" t="e">
        <f>BC71*AX71*AY71^3</f>
        <v>#N/A</v>
      </c>
      <c r="BE71" s="26"/>
      <c r="BF71" s="69"/>
      <c r="BH71" s="29" t="s">
        <v>430</v>
      </c>
      <c r="BI71">
        <v>1</v>
      </c>
      <c r="BJ71" t="e">
        <f t="shared" ref="BJ71:BK73" si="16">BJ51</f>
        <v>#N/A</v>
      </c>
      <c r="BK71" s="53" t="e">
        <f t="shared" si="16"/>
        <v>#N/A</v>
      </c>
      <c r="BL71" s="53" t="e">
        <f>BI71*BJ71*BK71</f>
        <v>#N/A</v>
      </c>
      <c r="BM71">
        <f>BM61</f>
        <v>0</v>
      </c>
      <c r="BN71" t="e">
        <f>BM71*BL71</f>
        <v>#N/A</v>
      </c>
      <c r="BO71">
        <f>BO61</f>
        <v>8.3333333333333329E-2</v>
      </c>
      <c r="BP71" s="53" t="e">
        <f>BO71*BJ71*BK71^3</f>
        <v>#N/A</v>
      </c>
      <c r="BQ71" s="26"/>
      <c r="BR71" s="69"/>
    </row>
    <row r="72" spans="2:70" ht="15" customHeight="1">
      <c r="C72" t="s">
        <v>494</v>
      </c>
      <c r="G72" s="32" t="s">
        <v>354</v>
      </c>
      <c r="H72" s="74" t="e">
        <f>MAXA(S71:S72)</f>
        <v>#N/A</v>
      </c>
      <c r="J72" t="s">
        <v>445</v>
      </c>
      <c r="K72" t="e">
        <f>IF(H72&gt;L72,"&gt;","&lt;")</f>
        <v>#N/A</v>
      </c>
      <c r="L72" s="74" t="e">
        <f>IF(J34=0,+T69*N58,+T69)</f>
        <v>#N/A</v>
      </c>
      <c r="M72" t="e">
        <f>IF(H72&gt;L72,"accept","forkast")</f>
        <v>#N/A</v>
      </c>
      <c r="N72" s="164" t="e">
        <f>IF(M72="forkast","NB!"," ")</f>
        <v>#N/A</v>
      </c>
      <c r="R72" s="50" t="e">
        <f>IF(R71&gt;2,2,R71)</f>
        <v>#N/A</v>
      </c>
      <c r="S72" s="74" t="e">
        <f>(0.035*R72^(3/2)*SQRT($J$25)*T71*T72)*10^-3</f>
        <v>#N/A</v>
      </c>
      <c r="T72" s="53" t="e">
        <f>IF(J34=0,+J20,+J22)</f>
        <v>#N/A</v>
      </c>
      <c r="U72" t="s">
        <v>495</v>
      </c>
      <c r="AC72" s="19"/>
      <c r="AD72" t="str">
        <f>V&amp;" =&gt;"</f>
        <v>dorn =&gt;</v>
      </c>
      <c r="AE72" t="e">
        <f>IF(J34=0,"|V| i alt x cos æ","|V| ialt - hi x last1+2")</f>
        <v>#N/A</v>
      </c>
      <c r="AV72" s="29" t="s">
        <v>435</v>
      </c>
      <c r="AW72">
        <f>AY12</f>
        <v>8</v>
      </c>
      <c r="AX72" s="53" t="e">
        <f>AX62</f>
        <v>#N/A</v>
      </c>
      <c r="AY72" s="53">
        <f>AY62</f>
        <v>1</v>
      </c>
      <c r="AZ72" s="53" t="e">
        <f>AW72*AX72*AY72</f>
        <v>#N/A</v>
      </c>
      <c r="BA72" s="53" t="e">
        <f>BA62</f>
        <v>#N/A</v>
      </c>
      <c r="BB72" t="e">
        <f>BA72*AZ72</f>
        <v>#N/A</v>
      </c>
      <c r="BC72" s="53"/>
      <c r="BD72" s="53" t="e">
        <f>AZ72*BA72^2</f>
        <v>#N/A</v>
      </c>
      <c r="BE72" s="26"/>
      <c r="BF72" s="157"/>
      <c r="BH72" s="29" t="s">
        <v>435</v>
      </c>
      <c r="BI72">
        <f>BW10</f>
        <v>8.0298786181139139</v>
      </c>
      <c r="BJ72" s="53" t="e">
        <f t="shared" si="16"/>
        <v>#N/A</v>
      </c>
      <c r="BK72" s="53">
        <f t="shared" si="16"/>
        <v>1</v>
      </c>
      <c r="BL72" s="53" t="e">
        <f>BI72*BJ72*BK72</f>
        <v>#N/A</v>
      </c>
      <c r="BM72" s="53" t="e">
        <f>BM52</f>
        <v>#N/A</v>
      </c>
      <c r="BN72" t="e">
        <f>BM72*BL72</f>
        <v>#N/A</v>
      </c>
      <c r="BO72" s="53"/>
      <c r="BP72" s="53" t="e">
        <f>BL72*BM72^2</f>
        <v>#N/A</v>
      </c>
      <c r="BQ72" s="26"/>
      <c r="BR72" s="157"/>
    </row>
    <row r="73" spans="2:70" ht="15" customHeight="1">
      <c r="G73" s="32" t="s">
        <v>355</v>
      </c>
      <c r="H73" s="74" t="e">
        <f>MAXA(S76:S77)</f>
        <v>#N/A</v>
      </c>
      <c r="J73" t="s">
        <v>445</v>
      </c>
      <c r="K73" t="e">
        <f>IF(H73&gt;L73,"&gt;","&lt;")</f>
        <v>#N/A</v>
      </c>
      <c r="L73" s="74" t="e">
        <f>IF(J36=0,+T74*N58,+T74)</f>
        <v>#N/A</v>
      </c>
      <c r="M73" t="e">
        <f>IF(H73&gt;L73,"accept","forkast")</f>
        <v>#N/A</v>
      </c>
      <c r="N73" s="164" t="e">
        <f>IF(M73="forkast","NB!"," ")</f>
        <v>#N/A</v>
      </c>
      <c r="O73">
        <f>HLOOKUP(N75,AA320:AZ330,6)</f>
        <v>500</v>
      </c>
      <c r="P73" t="s">
        <v>228</v>
      </c>
      <c r="T73" s="53"/>
      <c r="AC73" s="19" t="s">
        <v>496</v>
      </c>
      <c r="AE73" s="26" t="s">
        <v>497</v>
      </c>
      <c r="AF73" s="167" t="e">
        <f>IF(J34=0,FIXED(Y53,2)&amp;" x "&amp;FIXED(N58,2)&amp;" = "&amp;FIXED(L74,1),FIXED(Y53,2)&amp;" - 0,9 x "&amp;FIXED(J22,0)&amp;" x10^-3 x ("&amp;FIXED(Z39,2)&amp;"+"&amp;FIXED(AA43,2)&amp;") = "&amp;FIXED(L74,1))</f>
        <v>#N/A</v>
      </c>
      <c r="AV73" s="29" t="s">
        <v>438</v>
      </c>
      <c r="AW73">
        <f>AW72</f>
        <v>8</v>
      </c>
      <c r="AX73" s="53" t="e">
        <f>AX63</f>
        <v>#N/A</v>
      </c>
      <c r="AY73" s="53">
        <f>AY63</f>
        <v>1</v>
      </c>
      <c r="AZ73" s="152" t="e">
        <f>AW73*AX73*AY73</f>
        <v>#N/A</v>
      </c>
      <c r="BA73" s="53" t="e">
        <f>BA63</f>
        <v>#N/A</v>
      </c>
      <c r="BB73" s="14" t="e">
        <f>BA73*AZ73</f>
        <v>#N/A</v>
      </c>
      <c r="BC73" s="53"/>
      <c r="BD73" s="152" t="e">
        <f>AZ73*BA73^2</f>
        <v>#N/A</v>
      </c>
      <c r="BH73" s="29" t="s">
        <v>438</v>
      </c>
      <c r="BI73">
        <f>BI72</f>
        <v>8.0298786181139139</v>
      </c>
      <c r="BJ73" s="53" t="e">
        <f t="shared" si="16"/>
        <v>#N/A</v>
      </c>
      <c r="BK73" s="53">
        <f t="shared" si="16"/>
        <v>1</v>
      </c>
      <c r="BL73" s="152" t="e">
        <f>BI73*BJ73*BK73</f>
        <v>#N/A</v>
      </c>
      <c r="BM73" s="53" t="e">
        <f>BM53</f>
        <v>#N/A</v>
      </c>
      <c r="BN73" s="14" t="e">
        <f>BM73*BL73</f>
        <v>#N/A</v>
      </c>
      <c r="BO73" s="53"/>
      <c r="BP73" s="152" t="e">
        <f>BL73*BM73^2</f>
        <v>#N/A</v>
      </c>
    </row>
    <row r="74" spans="2:70" ht="15" customHeight="1">
      <c r="C74" t="s">
        <v>498</v>
      </c>
      <c r="G74" s="32" t="s">
        <v>354</v>
      </c>
      <c r="H74" s="74" t="e">
        <f>MAXA(S81:S82)</f>
        <v>#N/A</v>
      </c>
      <c r="J74" t="s">
        <v>460</v>
      </c>
      <c r="K74" t="e">
        <f>IF(H74&gt;L74,"&gt;","&lt;")</f>
        <v>#N/A</v>
      </c>
      <c r="L74" s="74" t="e">
        <f>IF(J34=0,+Y53*N58,+Y53-0.9*J22*10^-3*(Z39+AA43))</f>
        <v>#N/A</v>
      </c>
      <c r="M74" t="e">
        <f>IF(H74&gt;L74,"accept","=&gt; vælger")</f>
        <v>#N/A</v>
      </c>
      <c r="N74" s="164" t="e">
        <f>IF(M74="=&gt; vælger","Bøjler!"," ")</f>
        <v>#N/A</v>
      </c>
      <c r="R74" s="32" t="s">
        <v>499</v>
      </c>
      <c r="T74" s="53" t="e">
        <f>L52*O35/2</f>
        <v>#N/A</v>
      </c>
      <c r="U74" t="s">
        <v>484</v>
      </c>
      <c r="AV74" s="29"/>
      <c r="AY74" s="26" t="s">
        <v>440</v>
      </c>
      <c r="AZ74" t="e">
        <f>SUM(AZ71:AZ73)</f>
        <v>#N/A</v>
      </c>
      <c r="BA74" s="26" t="s">
        <v>441</v>
      </c>
      <c r="BB74" t="e">
        <f>SUM(BB71:BB73)</f>
        <v>#N/A</v>
      </c>
      <c r="BC74" s="26" t="s">
        <v>442</v>
      </c>
      <c r="BD74" t="e">
        <f>SUM(BD71:BD73)</f>
        <v>#N/A</v>
      </c>
      <c r="BH74" s="29"/>
      <c r="BK74" s="26" t="s">
        <v>440</v>
      </c>
      <c r="BL74" t="e">
        <f>SUM(BL71:BL73)</f>
        <v>#N/A</v>
      </c>
      <c r="BM74" s="26" t="s">
        <v>441</v>
      </c>
      <c r="BN74" t="e">
        <f>SUM(BN71:BN73)</f>
        <v>#N/A</v>
      </c>
      <c r="BO74" s="26" t="s">
        <v>442</v>
      </c>
      <c r="BP74" t="e">
        <f>SUM(BP71:BP73)</f>
        <v>#N/A</v>
      </c>
    </row>
    <row r="75" spans="2:70" ht="15" customHeight="1">
      <c r="G75" s="65">
        <v>1</v>
      </c>
      <c r="H75" s="30" t="s">
        <v>500</v>
      </c>
      <c r="I75" s="113" t="s">
        <v>265</v>
      </c>
      <c r="J75" s="65">
        <v>8</v>
      </c>
      <c r="K75" t="s">
        <v>501</v>
      </c>
      <c r="N75">
        <f>CODE(I75)</f>
        <v>75</v>
      </c>
      <c r="R75" s="19" t="s">
        <v>486</v>
      </c>
      <c r="S75" s="19" t="s">
        <v>487</v>
      </c>
      <c r="T75" s="53">
        <f>2*(8/2)^2*PI()</f>
        <v>100.53096491487338</v>
      </c>
      <c r="U75" t="s">
        <v>488</v>
      </c>
      <c r="Y75" s="79" t="s">
        <v>153</v>
      </c>
      <c r="AD75" t="str">
        <f>H&amp;" =&gt;"</f>
        <v>ende =&gt;</v>
      </c>
      <c r="AE75" t="e">
        <f>IF(J36=0,"|V| i alt x cos æ","|V| ialt - hi x last1+2")</f>
        <v>#N/A</v>
      </c>
      <c r="AV75" s="29"/>
      <c r="AX75" s="155" t="s">
        <v>446</v>
      </c>
      <c r="BA75" s="26" t="s">
        <v>447</v>
      </c>
      <c r="BB75" s="74" t="e">
        <f>BB74/AZ74</f>
        <v>#N/A</v>
      </c>
      <c r="BC75" s="26" t="s">
        <v>448</v>
      </c>
      <c r="BD75" s="14" t="e">
        <f>-AZ74*BB75^2</f>
        <v>#N/A</v>
      </c>
      <c r="BH75" s="29"/>
      <c r="BJ75" s="155" t="s">
        <v>446</v>
      </c>
      <c r="BM75" s="26" t="s">
        <v>447</v>
      </c>
      <c r="BN75" s="74" t="e">
        <f>BN74/BL74</f>
        <v>#N/A</v>
      </c>
      <c r="BO75" s="26" t="s">
        <v>448</v>
      </c>
      <c r="BP75" s="14" t="e">
        <f>-BL74*BN75^2</f>
        <v>#N/A</v>
      </c>
    </row>
    <row r="76" spans="2:70" ht="15" customHeight="1">
      <c r="G76" s="30" t="s">
        <v>502</v>
      </c>
      <c r="H76" s="66" t="e">
        <f>IF(H74&gt;L74,0,(L74-H74)/(AA39+AA43)/(J76*10^-3)+1)</f>
        <v>#N/A</v>
      </c>
      <c r="I76" s="30"/>
      <c r="J76" s="65" t="e">
        <f>TRUNC(0.75*P76/10)*10</f>
        <v>#N/A</v>
      </c>
      <c r="K76" t="e">
        <f>IF(J76&gt;0.75*P76,"NB! for stor!","stk, mm")</f>
        <v>#N/A</v>
      </c>
      <c r="N76" s="164" t="e">
        <f>IF(K76="NB! for stor!","NB!"," ")</f>
        <v>#N/A</v>
      </c>
      <c r="P76" t="e">
        <f>IF(J34=0,+J20,+J22)</f>
        <v>#N/A</v>
      </c>
      <c r="R76" s="50" t="e">
        <f>1+SQRT(200/T77)</f>
        <v>#N/A</v>
      </c>
      <c r="S76" s="74" t="e">
        <f>(0.18/$N$13*R77*(100*T75/(T76*T77)*$J$25)^(1/3))*T76*T77*10^-3</f>
        <v>#N/A</v>
      </c>
      <c r="T76" s="53">
        <v>1000</v>
      </c>
      <c r="U76" t="s">
        <v>492</v>
      </c>
      <c r="AE76" s="26" t="s">
        <v>503</v>
      </c>
      <c r="AF76" s="167" t="e">
        <f>IF(J36=0,FIXED(AP53,2)&amp;" x "&amp;FIXED(N58,2)&amp;" = "&amp;FIXED(L80,1),FIXED(AP53,2)&amp;" - 0,9 x "&amp;FIXED(J22,0)&amp;" x10^-3 x ("&amp;FIXED(AO39,2)&amp;"+"&amp;FIXED(AN43,2)&amp;") = "&amp;FIXED(L80,1))</f>
        <v>#N/A</v>
      </c>
      <c r="BC76" s="26" t="s">
        <v>451</v>
      </c>
      <c r="BD76" t="e">
        <f>BD75+BD74</f>
        <v>#N/A</v>
      </c>
      <c r="BE76" t="e">
        <f>BD76*10^-12</f>
        <v>#N/A</v>
      </c>
      <c r="BF76" t="s">
        <v>419</v>
      </c>
      <c r="BO76" s="26" t="s">
        <v>451</v>
      </c>
      <c r="BP76" t="e">
        <f>BP75+BP74</f>
        <v>#N/A</v>
      </c>
      <c r="BQ76" t="e">
        <f>BP76*10^-12</f>
        <v>#N/A</v>
      </c>
      <c r="BR76" t="s">
        <v>419</v>
      </c>
    </row>
    <row r="77" spans="2:70" ht="15" customHeight="1">
      <c r="G77" s="30"/>
      <c r="H77" s="30" t="s">
        <v>504</v>
      </c>
      <c r="I77" s="30" t="s">
        <v>120</v>
      </c>
      <c r="J77" s="66">
        <f>O73</f>
        <v>500</v>
      </c>
      <c r="K77" t="s">
        <v>36</v>
      </c>
      <c r="O77" s="74"/>
      <c r="R77" s="50" t="e">
        <f>IF(R76&gt;2,2,R76)</f>
        <v>#N/A</v>
      </c>
      <c r="S77" s="74" t="e">
        <f>(0.035*R77^(3/2)*SQRT($J$25)*T76*T77)*10^-3</f>
        <v>#N/A</v>
      </c>
      <c r="T77" s="53" t="e">
        <f>IF(J36=0,+J20,+J22)</f>
        <v>#N/A</v>
      </c>
      <c r="U77" t="s">
        <v>495</v>
      </c>
      <c r="X77" s="19"/>
      <c r="Z77" s="19" t="s">
        <v>195</v>
      </c>
      <c r="AA77" s="79" t="s">
        <v>505</v>
      </c>
      <c r="BH77" t="s">
        <v>506</v>
      </c>
    </row>
    <row r="78" spans="2:70" ht="15" customHeight="1">
      <c r="G78" s="30"/>
      <c r="H78" s="30" t="s">
        <v>507</v>
      </c>
      <c r="I78" s="30" t="s">
        <v>120</v>
      </c>
      <c r="J78" s="66">
        <f>O73/N15</f>
        <v>416.66666666666669</v>
      </c>
      <c r="K78" t="s">
        <v>36</v>
      </c>
      <c r="T78" s="53"/>
      <c r="BH78" t="str">
        <f>BH48</f>
        <v>inclusive last fra naboelem._sidekantpl.strimmel (f)</v>
      </c>
      <c r="BL78" t="str">
        <f>BL48</f>
        <v>langtidslast</v>
      </c>
    </row>
    <row r="79" spans="2:70" ht="15" customHeight="1">
      <c r="G79" s="168" t="s">
        <v>508</v>
      </c>
      <c r="H79" s="169" t="e">
        <f>G75*J75^2/4*PI()*J78/J76*J20*0.9*10^-3</f>
        <v>#N/A</v>
      </c>
      <c r="I79" s="30" t="e">
        <f>IF(H79&gt;J79,"&gt;","&lt;")</f>
        <v>#N/A</v>
      </c>
      <c r="J79" s="169" t="e">
        <f>L74</f>
        <v>#N/A</v>
      </c>
      <c r="K79" t="s">
        <v>460</v>
      </c>
      <c r="M79" t="e">
        <f>IF(M74="accept"," ",IF(H79&gt;J79,"accept","forkast"))</f>
        <v>#N/A</v>
      </c>
      <c r="N79" s="164" t="e">
        <f>IF(H74&gt;L74," ",IF(M79="forkast","NB!"," "))</f>
        <v>#N/A</v>
      </c>
      <c r="P79" s="50" t="e">
        <f>ROUND((H79-J79)*10^2,0)/10^2</f>
        <v>#N/A</v>
      </c>
      <c r="R79" s="32" t="s">
        <v>509</v>
      </c>
      <c r="T79" s="53"/>
      <c r="X79" t="s">
        <v>510</v>
      </c>
      <c r="AA79" t="s">
        <v>511</v>
      </c>
      <c r="BH79" s="29" t="s">
        <v>409</v>
      </c>
      <c r="BI79" s="26" t="s">
        <v>410</v>
      </c>
      <c r="BJ79" s="26" t="s">
        <v>411</v>
      </c>
      <c r="BK79" s="26" t="s">
        <v>412</v>
      </c>
      <c r="BL79" s="26" t="s">
        <v>413</v>
      </c>
      <c r="BM79" s="26" t="s">
        <v>414</v>
      </c>
      <c r="BN79" s="26" t="s">
        <v>415</v>
      </c>
      <c r="BO79" s="26" t="s">
        <v>416</v>
      </c>
      <c r="BP79" s="26" t="s">
        <v>417</v>
      </c>
    </row>
    <row r="80" spans="2:70" ht="15" customHeight="1">
      <c r="C80" t="s">
        <v>498</v>
      </c>
      <c r="G80" s="170" t="s">
        <v>355</v>
      </c>
      <c r="H80" s="169" t="e">
        <f>MAXA(S86:S87)</f>
        <v>#N/A</v>
      </c>
      <c r="I80" s="30"/>
      <c r="J80" s="30" t="s">
        <v>460</v>
      </c>
      <c r="K80" t="e">
        <f>IF(H80&gt;L80,"&gt;","&lt;")</f>
        <v>#N/A</v>
      </c>
      <c r="L80" s="74" t="e">
        <f>IF(J36=0,+AP53*N58,+AP53-0.9*J22*10^-3*(AO39+AN43))</f>
        <v>#N/A</v>
      </c>
      <c r="M80" t="e">
        <f>IF(H80&gt;L80,"accept","=&gt; vælger")</f>
        <v>#N/A</v>
      </c>
      <c r="N80" s="164" t="e">
        <f>IF(M80="=&gt; vælger","Bøjler!"," ")</f>
        <v>#N/A</v>
      </c>
      <c r="R80" s="19" t="s">
        <v>486</v>
      </c>
      <c r="S80" s="19" t="s">
        <v>487</v>
      </c>
      <c r="T80" s="53">
        <f>2*(8/2)^2*PI()</f>
        <v>100.53096491487338</v>
      </c>
      <c r="U80" t="s">
        <v>488</v>
      </c>
      <c r="AE80" s="55" t="s">
        <v>512</v>
      </c>
      <c r="AH80" t="s">
        <v>513</v>
      </c>
      <c r="BH80" s="16"/>
      <c r="BI80" s="147" t="s">
        <v>423</v>
      </c>
      <c r="BJ80" s="148" t="s">
        <v>91</v>
      </c>
      <c r="BK80" s="148" t="s">
        <v>91</v>
      </c>
      <c r="BL80" s="148" t="s">
        <v>114</v>
      </c>
      <c r="BM80" s="148" t="s">
        <v>91</v>
      </c>
      <c r="BN80" s="148" t="s">
        <v>424</v>
      </c>
      <c r="BO80" s="148" t="s">
        <v>423</v>
      </c>
      <c r="BP80" s="148" t="s">
        <v>425</v>
      </c>
    </row>
    <row r="81" spans="1:70" ht="15" customHeight="1">
      <c r="G81" s="65">
        <v>1</v>
      </c>
      <c r="H81" s="30" t="s">
        <v>500</v>
      </c>
      <c r="I81" s="113" t="s">
        <v>265</v>
      </c>
      <c r="J81" s="65">
        <v>8</v>
      </c>
      <c r="K81" t="s">
        <v>501</v>
      </c>
      <c r="N81">
        <f>CODE(I81)</f>
        <v>75</v>
      </c>
      <c r="R81" s="50" t="e">
        <f>1+SQRT(200/T82)</f>
        <v>#N/A</v>
      </c>
      <c r="S81" s="74" t="e">
        <f>(0.18/$N$13*R82*(100*T80/(T81*T82)*$J$25)^(1/3))*T81*T82*10^-3</f>
        <v>#N/A</v>
      </c>
      <c r="T81" s="53" t="e">
        <f>F39</f>
        <v>#N/A</v>
      </c>
      <c r="U81" t="s">
        <v>492</v>
      </c>
      <c r="AE81" t="str">
        <f>"R2 maks, venstre, "&amp;J40</f>
        <v>R2 maks, venstre, dorn</v>
      </c>
      <c r="AP81" s="19" t="s">
        <v>460</v>
      </c>
      <c r="BH81" s="29" t="s">
        <v>430</v>
      </c>
      <c r="BI81">
        <v>1</v>
      </c>
      <c r="BJ81" s="76" t="e">
        <f>BU17</f>
        <v>#N/A</v>
      </c>
      <c r="BK81" s="76" t="e">
        <f>J19</f>
        <v>#N/A</v>
      </c>
      <c r="BL81" s="53" t="e">
        <f>BI81*BJ81*BK81</f>
        <v>#N/A</v>
      </c>
      <c r="BM81">
        <v>0</v>
      </c>
      <c r="BN81" t="e">
        <f>BM81*BL81</f>
        <v>#N/A</v>
      </c>
      <c r="BO81">
        <f>1/12</f>
        <v>8.3333333333333329E-2</v>
      </c>
      <c r="BP81" s="53" t="e">
        <f>BO81*BJ81*BK81^3</f>
        <v>#N/A</v>
      </c>
    </row>
    <row r="82" spans="1:70" ht="15" customHeight="1">
      <c r="G82" s="30" t="s">
        <v>502</v>
      </c>
      <c r="H82" s="66" t="e">
        <f>IF(H80&gt;L80,0,(L80-H80)/(AN39+AN43)/(J82*10^-3)+1)</f>
        <v>#N/A</v>
      </c>
      <c r="I82" s="30"/>
      <c r="J82" s="65" t="e">
        <f>TRUNC(0.75*P82/10)*10</f>
        <v>#N/A</v>
      </c>
      <c r="K82" t="e">
        <f>IF(J82&gt;0.75*P82,"NB! for stor!","stk, mm")</f>
        <v>#N/A</v>
      </c>
      <c r="N82" s="164" t="e">
        <f>IF(K82="NB! for stor!","NB!"," ")</f>
        <v>#N/A</v>
      </c>
      <c r="P82" t="e">
        <f>IF(J36=0,+J20,+J22)</f>
        <v>#N/A</v>
      </c>
      <c r="R82" s="50" t="e">
        <f>IF(R81&gt;2,2,R81)</f>
        <v>#N/A</v>
      </c>
      <c r="S82" s="74" t="e">
        <f>(0.035*R82^(3/2)*SQRT($J$25)*T81*T82)*10^-3</f>
        <v>#N/A</v>
      </c>
      <c r="T82" s="53" t="e">
        <f>T72</f>
        <v>#N/A</v>
      </c>
      <c r="U82" t="s">
        <v>495</v>
      </c>
      <c r="AE82" s="71" t="s">
        <v>514</v>
      </c>
      <c r="AK82" s="26" t="s">
        <v>515</v>
      </c>
      <c r="BH82" s="29" t="s">
        <v>435</v>
      </c>
      <c r="BI82" s="47">
        <f>BU10</f>
        <v>32.119514472455656</v>
      </c>
      <c r="BJ82" s="76" t="e">
        <f>BU13</f>
        <v>#N/A</v>
      </c>
      <c r="BK82" s="53">
        <v>1</v>
      </c>
      <c r="BL82" s="53" t="e">
        <f>BI82*BJ82*BK82</f>
        <v>#N/A</v>
      </c>
      <c r="BM82" s="47" t="e">
        <f>BU18-BU19/2</f>
        <v>#N/A</v>
      </c>
      <c r="BN82" t="e">
        <f>BM82*BL82</f>
        <v>#N/A</v>
      </c>
      <c r="BP82" s="53" t="e">
        <f>BL82*BM82^2</f>
        <v>#N/A</v>
      </c>
    </row>
    <row r="83" spans="1:70" ht="15" customHeight="1">
      <c r="H83" t="s">
        <v>504</v>
      </c>
      <c r="I83" t="s">
        <v>120</v>
      </c>
      <c r="J83" s="53">
        <f>O83</f>
        <v>500</v>
      </c>
      <c r="K83" t="s">
        <v>36</v>
      </c>
      <c r="O83">
        <f>HLOOKUP(N81,AA320:AZ330,6)</f>
        <v>500</v>
      </c>
      <c r="P83" t="s">
        <v>228</v>
      </c>
      <c r="T83" s="53"/>
      <c r="AO83" s="77" t="e">
        <f>FIXED(L52,2)&amp;" x "&amp;FIXED(AH8,2)&amp;" / 2 x "&amp;FIXED(J23,0)&amp;" x 10^-3 x ("&amp;FIXED(J23,0)&amp;" / 2 - "&amp;FIXED(J41,0)&amp;") / "&amp;FIXED(J43,0)&amp;"="</f>
        <v>#N/A</v>
      </c>
      <c r="AP83" s="171" t="e">
        <f>L52*AH8/2*J23*10^-3*(J23/2-J41)/J43</f>
        <v>#N/A</v>
      </c>
      <c r="BH83" s="29" t="s">
        <v>438</v>
      </c>
      <c r="BI83">
        <f>BI82</f>
        <v>32.119514472455656</v>
      </c>
      <c r="BJ83" s="53" t="e">
        <f>Q96/CA17*BU17</f>
        <v>#N/A</v>
      </c>
      <c r="BK83">
        <v>1</v>
      </c>
      <c r="BL83" s="152" t="e">
        <f>BI83*BJ83*BK83</f>
        <v>#N/A</v>
      </c>
      <c r="BM83" s="47" t="e">
        <f>-BM82</f>
        <v>#N/A</v>
      </c>
      <c r="BN83" s="14" t="e">
        <f>BM83*BL83</f>
        <v>#N/A</v>
      </c>
      <c r="BP83" s="152" t="e">
        <f>BL83*BM83^2</f>
        <v>#N/A</v>
      </c>
    </row>
    <row r="84" spans="1:70" ht="15" customHeight="1">
      <c r="H84" t="s">
        <v>507</v>
      </c>
      <c r="I84" t="s">
        <v>120</v>
      </c>
      <c r="J84" s="53">
        <f>O83/N15</f>
        <v>416.66666666666669</v>
      </c>
      <c r="K84" t="s">
        <v>36</v>
      </c>
      <c r="R84" s="32" t="s">
        <v>516</v>
      </c>
      <c r="T84" s="53"/>
      <c r="AE84" s="71" t="s">
        <v>517</v>
      </c>
      <c r="AK84" s="112" t="s">
        <v>518</v>
      </c>
      <c r="BH84" s="29"/>
      <c r="BK84" s="26" t="s">
        <v>440</v>
      </c>
      <c r="BL84" t="e">
        <f>SUM(BL81:BL83)</f>
        <v>#N/A</v>
      </c>
      <c r="BM84" s="26" t="s">
        <v>441</v>
      </c>
      <c r="BN84" t="e">
        <f>SUM(BN81:BN83)</f>
        <v>#N/A</v>
      </c>
      <c r="BO84" s="26" t="s">
        <v>442</v>
      </c>
      <c r="BP84" t="e">
        <f>SUM(BP81:BP83)</f>
        <v>#N/A</v>
      </c>
    </row>
    <row r="85" spans="1:70" ht="15" customHeight="1">
      <c r="G85" s="26" t="s">
        <v>508</v>
      </c>
      <c r="H85" s="74" t="e">
        <f>G81*J81^2/4*PI()*J84/J82*J20*0.9*10^-3</f>
        <v>#N/A</v>
      </c>
      <c r="I85" t="e">
        <f>IF(H85&gt;J85,"&gt;","&lt;")</f>
        <v>#N/A</v>
      </c>
      <c r="J85" s="74" t="e">
        <f>L80</f>
        <v>#N/A</v>
      </c>
      <c r="K85" t="s">
        <v>460</v>
      </c>
      <c r="M85" t="e">
        <f>IF(M80="accept"," ",IF(H85&gt;J85,"accept","forkast"))</f>
        <v>#N/A</v>
      </c>
      <c r="N85" s="164" t="e">
        <f>IF(H80&gt;L80," ",IF(M85="forkast","NB!"," "))</f>
        <v>#N/A</v>
      </c>
      <c r="P85" s="50" t="e">
        <f>ROUND((H85-J85)*10^2,0)/10^2</f>
        <v>#N/A</v>
      </c>
      <c r="R85" s="19" t="s">
        <v>486</v>
      </c>
      <c r="S85" s="19" t="s">
        <v>487</v>
      </c>
      <c r="T85" s="53">
        <f>2*(8/2)^2*PI()</f>
        <v>100.53096491487338</v>
      </c>
      <c r="U85" t="s">
        <v>488</v>
      </c>
      <c r="AO85" s="77" t="e">
        <f>"("&amp;FIXED(AI30,2)&amp;" + "&amp;FIXED(AI31,2)&amp;" + "&amp;FIXED(AL16,3)&amp;" x ("&amp;FIXED(L60,2)&amp;" + "&amp;FIXED(L61,2)&amp;") + "&amp;FIXED(AL22,3)&amp;" x ("&amp;FIXED(L62,2)&amp;" + "&amp;FIXED(L63,2)&amp;")) x ("&amp;FIXED(J43,0)&amp;" + "&amp;FIXED(J42,0)&amp;" - "&amp;FIXED(J24,0)&amp;" / 3) / "&amp;FIXED(J43,0)&amp;"="</f>
        <v>#N/A</v>
      </c>
      <c r="AP85" s="171" t="e">
        <f>(AI30+AI31+AL16*(L60+L61)+AL22*(L62+L63))*(J43+J42-J24/3)/J43</f>
        <v>#N/A</v>
      </c>
      <c r="BH85" s="29"/>
      <c r="BJ85" s="155" t="s">
        <v>446</v>
      </c>
      <c r="BM85" s="26" t="s">
        <v>447</v>
      </c>
      <c r="BN85" s="74" t="e">
        <f>BN84/BL84</f>
        <v>#N/A</v>
      </c>
      <c r="BO85" s="26" t="s">
        <v>448</v>
      </c>
      <c r="BP85" s="14" t="e">
        <f>-BL84*BN85^2</f>
        <v>#N/A</v>
      </c>
    </row>
    <row r="86" spans="1:70" ht="15" customHeight="1">
      <c r="R86" s="50" t="e">
        <f>1+SQRT(200/T87)</f>
        <v>#N/A</v>
      </c>
      <c r="S86" s="50" t="e">
        <f>(0.18/$N$13*R87*(100*T85/(T86*T87)*$J$25)^(1/3))*T86*T87*10^-3</f>
        <v>#N/A</v>
      </c>
      <c r="T86" s="53" t="e">
        <f>F39</f>
        <v>#N/A</v>
      </c>
      <c r="U86" t="s">
        <v>492</v>
      </c>
      <c r="AE86" t="str">
        <f>"R2 maks, højre, "&amp;L40</f>
        <v>R2 maks, højre, ende</v>
      </c>
      <c r="AO86" s="26" t="s">
        <v>519</v>
      </c>
      <c r="AP86" s="171" t="e">
        <f>AP83+AP85</f>
        <v>#N/A</v>
      </c>
      <c r="BO86" s="26" t="s">
        <v>451</v>
      </c>
      <c r="BP86" t="e">
        <f>BP85+BP84</f>
        <v>#N/A</v>
      </c>
      <c r="BQ86" t="e">
        <f>BP86*10^-12</f>
        <v>#N/A</v>
      </c>
      <c r="BR86" t="s">
        <v>419</v>
      </c>
    </row>
    <row r="87" spans="1:70" ht="15" customHeight="1">
      <c r="B87" t="s">
        <v>520</v>
      </c>
      <c r="H87" t="s">
        <v>521</v>
      </c>
      <c r="J87" t="s">
        <v>522</v>
      </c>
      <c r="L87" t="s">
        <v>523</v>
      </c>
      <c r="R87" s="50" t="e">
        <f>IF(R86&gt;2,2,R86)</f>
        <v>#N/A</v>
      </c>
      <c r="S87" s="50" t="e">
        <f>(0.035*R87^(3/2)*SQRT($J$25)*T86*T87)*10^-3</f>
        <v>#N/A</v>
      </c>
      <c r="T87" s="53" t="e">
        <f>T77</f>
        <v>#N/A</v>
      </c>
      <c r="U87" t="s">
        <v>495</v>
      </c>
      <c r="AE87" s="71" t="s">
        <v>514</v>
      </c>
      <c r="AK87" s="26" t="s">
        <v>527</v>
      </c>
      <c r="AP87" s="171"/>
    </row>
    <row r="88" spans="1:70" ht="15" customHeight="1">
      <c r="C88" t="s">
        <v>524</v>
      </c>
      <c r="G88" s="26" t="s">
        <v>525</v>
      </c>
      <c r="H88" s="53" t="e">
        <f>0.2*J23*J19/J30*J27</f>
        <v>#N/A</v>
      </c>
      <c r="K88" t="e">
        <f>IF(H88&lt;L88,"&lt;","&gt;")</f>
        <v>#N/A</v>
      </c>
      <c r="L88" s="53" t="e">
        <f>J32</f>
        <v>#N/A</v>
      </c>
      <c r="M88" t="e">
        <f>IF(K88="&lt;","accept","forkast")</f>
        <v>#N/A</v>
      </c>
      <c r="N88" s="164" t="e">
        <f>IF(M88="forkast","NB!"," ")</f>
        <v>#N/A</v>
      </c>
      <c r="O88" s="172" t="s">
        <v>55</v>
      </c>
      <c r="P88" t="s">
        <v>526</v>
      </c>
      <c r="T88" s="32">
        <f>IF(OR(G50="A",G50="B"),0.2,IF(OR(G50="C",G50="D"),0.5,NA()))</f>
        <v>0.2</v>
      </c>
      <c r="AO88" s="77" t="e">
        <f>FIXED(L52,2)&amp;" x "&amp;FIXED(AH8,2)&amp;" / 2 x "&amp;FIXED(J23,0)&amp;" x 10^-3 x ("&amp;FIXED(J23,0)&amp;" / 2 - "&amp;FIXED(L41,0)&amp;") / "&amp;FIXED(L43,0)&amp;"="</f>
        <v>#N/A</v>
      </c>
      <c r="AP88" s="171" t="e">
        <f>L52*AH8/2*J23*10^-3*(J23/2-L41)/L43</f>
        <v>#N/A</v>
      </c>
    </row>
    <row r="89" spans="1:70" ht="15" customHeight="1">
      <c r="C89" t="s">
        <v>528</v>
      </c>
      <c r="F89" t="str">
        <f>IF(O88="ja",+"for e)kvasiperm. i)langtids last","for langtidslast")</f>
        <v>for e)kvasiperm. i)langtids last</v>
      </c>
      <c r="H89" s="50" t="e">
        <f>CA45</f>
        <v>#N/A</v>
      </c>
      <c r="J89" s="50" t="e">
        <f>BU45</f>
        <v>#N/A</v>
      </c>
      <c r="O89" s="169">
        <f>IF(T2=1,+NS!O89,IF(O88="ja",+T88,0))</f>
        <v>0.2</v>
      </c>
      <c r="P89" t="s">
        <v>529</v>
      </c>
      <c r="AE89" s="71" t="s">
        <v>517</v>
      </c>
      <c r="AK89" s="112" t="s">
        <v>530</v>
      </c>
      <c r="AO89" s="26"/>
      <c r="AP89" s="171"/>
      <c r="BH89" t="s">
        <v>399</v>
      </c>
      <c r="BL89" s="140" t="e">
        <f>BL47</f>
        <v>#N/A</v>
      </c>
      <c r="BM89" t="s">
        <v>91</v>
      </c>
    </row>
    <row r="90" spans="1:70" ht="15" customHeight="1">
      <c r="F90" t="str">
        <f>"for korttidslast"</f>
        <v>for korttidslast</v>
      </c>
      <c r="H90" s="50" t="e">
        <f>CC45</f>
        <v>#N/A</v>
      </c>
      <c r="J90" s="50" t="e">
        <f>BW45</f>
        <v>#N/A</v>
      </c>
      <c r="O90" s="173"/>
      <c r="S90" s="174"/>
      <c r="AO90" s="77" t="e">
        <f>"("&amp;FIXED(AL31,2)&amp;" + "&amp;FIXED(AL32,2)&amp;" + "&amp;FIXED(AN16,3)&amp;" x ("&amp;FIXED(L60,2)&amp;" + "&amp;FIXED(L61,2)&amp;") + "&amp;FIXED(AN22,3)&amp;" x ("&amp;FIXED(L62,2)&amp;" + "&amp;FIXED(L63,2)&amp;")) x ("&amp;FIXED(L43,0)&amp;" + "&amp;FIXED(L42,0)&amp;" - "&amp;FIXED(J24,0)&amp;" / 3) / "&amp;FIXED(L43,0)&amp;"="</f>
        <v>#N/A</v>
      </c>
      <c r="AP90" s="171" t="e">
        <f>(AL31+AL32+AN16*(L60+L61)+AN22*(L62+L63))*(L43+L42-J24/3)/L43</f>
        <v>#N/A</v>
      </c>
      <c r="AW90" t="s">
        <v>531</v>
      </c>
      <c r="BH90" t="str">
        <f>CA2</f>
        <v>exclusive last fra naboelem._plade (p)</v>
      </c>
      <c r="BL90" t="s">
        <v>406</v>
      </c>
    </row>
    <row r="91" spans="1:70" ht="15" customHeight="1">
      <c r="F91" t="s">
        <v>532</v>
      </c>
      <c r="G91" s="26" t="s">
        <v>91</v>
      </c>
      <c r="H91" s="50" t="e">
        <f>H90+H89</f>
        <v>#N/A</v>
      </c>
      <c r="J91" s="50" t="e">
        <f>J89+J90</f>
        <v>#N/A</v>
      </c>
      <c r="K91" t="e">
        <f>IF(MAXA(H91,J91)&lt;L91,"&lt;","&gt;")</f>
        <v>#N/A</v>
      </c>
      <c r="L91" s="118">
        <f>IF(T2=1,+NS!L91,IF(I11="E",0.2,IF(I11="A",0.3,IF(I11="M",0.4,IF(I11="P",0.4,NA())))))</f>
        <v>0.4</v>
      </c>
      <c r="M91" t="e">
        <f>IF(K91="&lt;","accept","forkast")</f>
        <v>#N/A</v>
      </c>
      <c r="N91" s="164" t="e">
        <f>IF(M91="forkast","NB!"," ")</f>
        <v>#N/A</v>
      </c>
      <c r="O91" s="30"/>
      <c r="P91" t="s">
        <v>533</v>
      </c>
      <c r="S91" s="174"/>
      <c r="T91" s="122" t="e">
        <f>IF(Z2=1,+A!T91,IF(Q11="E",0.2,IF(Q11="A",0.3,IF(Q11="M",0.4,IF(Q11="P",0.4,NA())))))</f>
        <v>#N/A</v>
      </c>
      <c r="AE91" t="str">
        <f>"R1 min, venstre, "&amp;J40</f>
        <v>R1 min, venstre, dorn</v>
      </c>
      <c r="AO91" s="26" t="s">
        <v>519</v>
      </c>
      <c r="AP91" s="171" t="e">
        <f>AP88+AP90</f>
        <v>#N/A</v>
      </c>
      <c r="AW91" s="26" t="s">
        <v>534</v>
      </c>
      <c r="AX91" t="s">
        <v>535</v>
      </c>
      <c r="BH91" s="29" t="s">
        <v>409</v>
      </c>
      <c r="BI91" s="26" t="s">
        <v>410</v>
      </c>
      <c r="BJ91" s="26" t="s">
        <v>411</v>
      </c>
      <c r="BK91" s="26" t="s">
        <v>412</v>
      </c>
      <c r="BL91" s="26" t="s">
        <v>413</v>
      </c>
      <c r="BM91" s="26" t="s">
        <v>414</v>
      </c>
      <c r="BN91" s="26" t="s">
        <v>415</v>
      </c>
      <c r="BO91" s="26" t="s">
        <v>416</v>
      </c>
      <c r="BP91" s="26" t="s">
        <v>417</v>
      </c>
    </row>
    <row r="92" spans="1:70" ht="15" customHeight="1">
      <c r="C92" t="s">
        <v>536</v>
      </c>
      <c r="F92" t="str">
        <f>F89</f>
        <v>for e)kvasiperm. i)langtids last</v>
      </c>
      <c r="H92" s="53" t="e">
        <f>ROUND(MAX(CA56:CA57)*AO213+MAX(CB56:CB57)*AO203,1)</f>
        <v>#N/A</v>
      </c>
      <c r="J92" s="53" t="e">
        <f>ROUND(MAX(BU56:BU57)*AO213+MAX(BV56:BV57)*AO203,1)</f>
        <v>#N/A</v>
      </c>
      <c r="K92" t="e">
        <f>IF(O92=0," ",IF(MAXA(H92,J92)&lt;L92,"&lt;",IF(MAXA(H92,J92)=L92,"=","&gt;")))</f>
        <v>#N/A</v>
      </c>
      <c r="L92" s="53" t="e">
        <f>IF(O92=0," ",ROUND(BU15*10^3/O92,1))</f>
        <v>#N/A</v>
      </c>
      <c r="M92" t="e">
        <f>IF(O92=0," ",IF(K92="&lt;","accept",IF(K92="=","accept","forkast")))</f>
        <v>#N/A</v>
      </c>
      <c r="N92" s="164" t="e">
        <f>IF(M92="forkast","NB!"," ")</f>
        <v>#N/A</v>
      </c>
      <c r="O92" s="113">
        <f>IF(T2=1,+NS!O92,300)</f>
        <v>300</v>
      </c>
      <c r="P92" t="s">
        <v>537</v>
      </c>
      <c r="S92" s="174"/>
      <c r="AE92" s="71" t="s">
        <v>514</v>
      </c>
      <c r="AM92" s="26" t="s">
        <v>1164</v>
      </c>
      <c r="AP92" s="171"/>
      <c r="AW92" t="e">
        <f>BQ98</f>
        <v>#N/A</v>
      </c>
      <c r="AX92" t="e">
        <f>BQ108</f>
        <v>#N/A</v>
      </c>
      <c r="AY92" t="s">
        <v>538</v>
      </c>
      <c r="BH92" s="16"/>
      <c r="BI92" s="147" t="s">
        <v>423</v>
      </c>
      <c r="BJ92" s="148" t="s">
        <v>91</v>
      </c>
      <c r="BK92" s="148" t="s">
        <v>91</v>
      </c>
      <c r="BL92" s="148" t="s">
        <v>114</v>
      </c>
      <c r="BM92" s="148" t="s">
        <v>91</v>
      </c>
      <c r="BN92" s="148" t="s">
        <v>424</v>
      </c>
      <c r="BO92" s="148" t="s">
        <v>423</v>
      </c>
      <c r="BP92" s="148" t="s">
        <v>425</v>
      </c>
    </row>
    <row r="93" spans="1:70" ht="15" customHeight="1">
      <c r="F93" t="str">
        <f>F90</f>
        <v>for korttidslast</v>
      </c>
      <c r="H93" s="53" t="e">
        <f>ROUND(MAXA(CC56:CC57),1)</f>
        <v>#N/A</v>
      </c>
      <c r="J93" s="53" t="e">
        <f>ROUND(MAXA(BW56:BW57),1)</f>
        <v>#N/A</v>
      </c>
      <c r="K93" t="e">
        <f>IF(O93=0," ",IF(MAXA(H93,J93)&lt;L93,"&lt;",IF(MAXA(H93,J93)=L93,"=","&gt;")))</f>
        <v>#N/A</v>
      </c>
      <c r="L93" s="53" t="e">
        <f>IF(O93=0," ",ROUND(BU15*10^3/O93,1))</f>
        <v>#N/A</v>
      </c>
      <c r="M93" t="e">
        <f>IF(O93=0," ",IF(K93="&lt;","accept",IF(K93="=","accept","forkast")))</f>
        <v>#N/A</v>
      </c>
      <c r="N93" s="164" t="e">
        <f>IF(M93="forkast","NB!"," ")</f>
        <v>#N/A</v>
      </c>
      <c r="O93" s="113">
        <f>IF(T2=1,+NS!O93,400)</f>
        <v>400</v>
      </c>
      <c r="P93" t="s">
        <v>537</v>
      </c>
      <c r="S93" s="175"/>
      <c r="V93" s="19" t="s">
        <v>308</v>
      </c>
      <c r="W93" s="19" t="s">
        <v>539</v>
      </c>
      <c r="X93" s="19" t="s">
        <v>326</v>
      </c>
      <c r="Y93" s="19" t="s">
        <v>313</v>
      </c>
      <c r="Z93" t="s">
        <v>195</v>
      </c>
      <c r="AF93" s="168" t="s">
        <v>461</v>
      </c>
      <c r="AO93" s="77" t="e">
        <f>FIXED(O49,2)&amp;" x "&amp;FIXED(AH8,2)&amp;" / 2 x "&amp;FIXED(J23,0)&amp;" x 10^-3 x ("&amp;FIXED(J23,0)&amp;" / 2 - "&amp;FIXED(J42,0)&amp;") / "&amp;FIXED(J43,0)&amp;" + "&amp;FIXED(L50,2)&amp;" x "&amp;FIXED(AH8,3)&amp;"/2 x "&amp;FIXED(AI23,2)&amp;"="</f>
        <v>#N/A</v>
      </c>
      <c r="AP93" s="171" t="e">
        <f>O49*AH8/2*J23*10^-3*(J23/2-J42)/J43+L50*AH8/2*AI23</f>
        <v>#N/A</v>
      </c>
      <c r="AW93" t="e">
        <f>BQ118</f>
        <v>#N/A</v>
      </c>
      <c r="AX93" t="e">
        <f>BQ138</f>
        <v>#N/A</v>
      </c>
      <c r="AY93" t="s">
        <v>540</v>
      </c>
      <c r="BH93" s="29" t="s">
        <v>430</v>
      </c>
      <c r="BI93">
        <v>1</v>
      </c>
      <c r="BJ93" s="76" t="e">
        <f>CA17</f>
        <v>#N/A</v>
      </c>
      <c r="BK93" s="76" t="e">
        <f>J19+BL89</f>
        <v>#N/A</v>
      </c>
      <c r="BL93" s="53" t="e">
        <f>BI93*BJ93*BK93</f>
        <v>#N/A</v>
      </c>
      <c r="BM93">
        <v>0</v>
      </c>
      <c r="BN93" t="e">
        <f>BM93*BL93</f>
        <v>#N/A</v>
      </c>
      <c r="BO93">
        <f>1/12</f>
        <v>8.3333333333333329E-2</v>
      </c>
      <c r="BP93" s="53" t="e">
        <f>BO93*BJ93*BK93^3</f>
        <v>#N/A</v>
      </c>
    </row>
    <row r="94" spans="1:70" ht="15" customHeight="1">
      <c r="F94" t="s">
        <v>541</v>
      </c>
      <c r="G94" s="26" t="s">
        <v>91</v>
      </c>
      <c r="H94" s="53" t="e">
        <f>H92+H93</f>
        <v>#N/A</v>
      </c>
      <c r="J94" s="53" t="e">
        <f>J92+J93</f>
        <v>#N/A</v>
      </c>
      <c r="K94" t="str">
        <f>IF(O94=0," ",IF(MAXA(H94:J94)&lt;L94,"&lt;",IF(MAXA(H94:J94)=L94,"=","&gt;")))</f>
        <v xml:space="preserve"> </v>
      </c>
      <c r="L94" s="53" t="str">
        <f>IF(O94=0," ",ROUND(BU15*10^3/O94,0))</f>
        <v xml:space="preserve"> </v>
      </c>
      <c r="M94" t="str">
        <f>IF(O94=0," ",IF(H94&lt;L94,"accept",IF(H94=L94,"accept","forkast")))</f>
        <v xml:space="preserve"> </v>
      </c>
      <c r="N94" s="164" t="str">
        <f>IF(M94="forkast","NB!"," ")</f>
        <v xml:space="preserve"> </v>
      </c>
      <c r="O94" s="113">
        <f>IF(T2=1,+NS!O94,0)</f>
        <v>0</v>
      </c>
      <c r="P94" t="s">
        <v>542</v>
      </c>
      <c r="V94" s="19" t="e">
        <f>J34</f>
        <v>#N/A</v>
      </c>
      <c r="W94" s="106" t="e">
        <f>J35/COS(N19)</f>
        <v>#N/A</v>
      </c>
      <c r="X94" s="19" t="e">
        <f>J36</f>
        <v>#N/A</v>
      </c>
      <c r="Y94" s="106" t="e">
        <f>V94+W94+X94</f>
        <v>#N/A</v>
      </c>
      <c r="Z94" t="e">
        <f>J37</f>
        <v>#N/A</v>
      </c>
      <c r="AA94" s="195" t="e">
        <f>Y94+2*Z94</f>
        <v>#N/A</v>
      </c>
      <c r="AF94" s="168" t="s">
        <v>421</v>
      </c>
      <c r="AO94" s="77" t="e">
        <f>FIXED(N49,2)&amp;" x "&amp;FIXED(AH8,2)&amp;" / 2 x "&amp;FIXED(J23,0)&amp;" x 10^-3 x ("&amp;FIXED(J23,0)&amp;" / 2 - "&amp;FIXED(J42,0)&amp;") / "&amp;FIXED(J43,0)&amp;" + "&amp;FIXED(L50,2)&amp;" x "&amp;FIXED(AH8,3)&amp;"/2 x "&amp;FIXED(AI23,2)&amp;"="</f>
        <v>#N/A</v>
      </c>
      <c r="AP94" s="171" t="e">
        <f>N49*AH8/2*J23*10^-3*(J23/2-J42)/J43+L50*AH8/2*AI23</f>
        <v>#N/A</v>
      </c>
      <c r="BH94" s="29" t="s">
        <v>435</v>
      </c>
      <c r="BI94" s="47">
        <f>CA10</f>
        <v>32.119514472455656</v>
      </c>
      <c r="BJ94" s="76" t="e">
        <f>CA13</f>
        <v>#N/A</v>
      </c>
      <c r="BK94" s="53">
        <v>1</v>
      </c>
      <c r="BL94" s="53" t="e">
        <f>BI94*BJ94*BK94</f>
        <v>#N/A</v>
      </c>
      <c r="BM94" s="47" t="e">
        <f>CA18-CA19/2+BL89/2</f>
        <v>#N/A</v>
      </c>
      <c r="BN94" t="e">
        <f>BM94*BL94</f>
        <v>#N/A</v>
      </c>
      <c r="BP94" s="53" t="e">
        <f>BL94*BM94^2</f>
        <v>#N/A</v>
      </c>
    </row>
    <row r="95" spans="1:70" ht="15" customHeight="1">
      <c r="A95" s="25" t="e">
        <f>0.131*O38*10^3+F42</f>
        <v>#N/A</v>
      </c>
      <c r="B95" s="25" t="e">
        <f>J23</f>
        <v>#N/A</v>
      </c>
      <c r="E95" t="s">
        <v>543</v>
      </c>
      <c r="L95" s="65" t="e">
        <f>MINA(A95:B95)</f>
        <v>#N/A</v>
      </c>
      <c r="M95" s="30" t="s">
        <v>91</v>
      </c>
      <c r="N95" s="65" t="e">
        <f>J23/150</f>
        <v>#N/A</v>
      </c>
      <c r="O95" s="174" t="s">
        <v>544</v>
      </c>
      <c r="P95" t="s">
        <v>545</v>
      </c>
      <c r="V95" s="95" t="e">
        <f>0.5*W97*V94*(Y94-V94)</f>
        <v>#N/A</v>
      </c>
      <c r="W95" s="19" t="e">
        <f>H93</f>
        <v>#N/A</v>
      </c>
      <c r="X95" s="97" t="e">
        <f>0.5*W97*(V94+W94)*X94</f>
        <v>#N/A</v>
      </c>
      <c r="Y95" s="19"/>
      <c r="AE95" s="71" t="s">
        <v>517</v>
      </c>
      <c r="AK95" s="112" t="s">
        <v>549</v>
      </c>
      <c r="AP95" s="171"/>
      <c r="BH95" s="29" t="s">
        <v>438</v>
      </c>
      <c r="BI95">
        <f>BI94</f>
        <v>32.119514472455656</v>
      </c>
      <c r="BJ95" s="53" t="e">
        <f>Q96</f>
        <v>#N/A</v>
      </c>
      <c r="BK95">
        <v>1</v>
      </c>
      <c r="BL95" s="152" t="e">
        <f>BI95*BJ95*BK95</f>
        <v>#N/A</v>
      </c>
      <c r="BM95" s="47" t="e">
        <f>-(CA18-CA19/2-BL89/2)</f>
        <v>#N/A</v>
      </c>
      <c r="BN95" s="14" t="e">
        <f>BM95*BL95</f>
        <v>#N/A</v>
      </c>
      <c r="BP95" s="152" t="e">
        <f>BL95*BM95^2</f>
        <v>#N/A</v>
      </c>
    </row>
    <row r="96" spans="1:70" ht="15" customHeight="1">
      <c r="L96" s="30"/>
      <c r="M96" s="30"/>
      <c r="N96" s="65">
        <v>8</v>
      </c>
      <c r="O96" s="174" t="s">
        <v>546</v>
      </c>
      <c r="P96" s="175" t="s">
        <v>120</v>
      </c>
      <c r="Q96" s="53" t="e">
        <f>N95*PI()*N96^2/4</f>
        <v>#N/A</v>
      </c>
      <c r="R96" t="s">
        <v>114</v>
      </c>
      <c r="V96" s="19"/>
      <c r="W96" s="19"/>
      <c r="X96" s="19"/>
      <c r="Y96" t="s">
        <v>547</v>
      </c>
      <c r="AF96" s="168" t="s">
        <v>461</v>
      </c>
      <c r="AO96" s="77" t="e">
        <f>"- ("&amp;FIXED(AI29,2)&amp;" + "&amp;FIXED(AI31,2)&amp;" + "&amp;FIXED(AL16,3)&amp;" x ("&amp;FIXED(N60,2)&amp;" + "&amp;FIXED(L61,2)&amp;") + "&amp;FIXED(AL22,3)&amp;" x ("&amp;FIXED(N62,2)&amp;" + "&amp;FIXED(L63,2)&amp;")) x ("&amp;FIXED(J42,0)&amp;" - "&amp;FIXED(J24,0)&amp;" / 3) / "&amp;FIXED(J43,0)&amp;"="</f>
        <v>#N/A</v>
      </c>
      <c r="AP96" s="171" t="e">
        <f>-(AI29+AI31+AL16*(N60+L61)+AL22*(N62+L63))*(J42-J24/3)/J43</f>
        <v>#N/A</v>
      </c>
      <c r="BH96" s="29"/>
      <c r="BK96" s="26" t="s">
        <v>440</v>
      </c>
      <c r="BL96" t="e">
        <f>SUM(BL93:BL95)</f>
        <v>#N/A</v>
      </c>
      <c r="BM96" s="26" t="s">
        <v>441</v>
      </c>
      <c r="BN96" t="e">
        <f>SUM(BN93:BN95)</f>
        <v>#N/A</v>
      </c>
      <c r="BO96" s="26" t="s">
        <v>442</v>
      </c>
      <c r="BP96" t="e">
        <f>SUM(BP93:BP95)</f>
        <v>#N/A</v>
      </c>
    </row>
    <row r="97" spans="2:70" ht="15" customHeight="1">
      <c r="B97" t="s">
        <v>548</v>
      </c>
      <c r="H97" t="str">
        <f>IF(SUM(H60:H64)=0," ",IF(N98="ja","INCL. LAST FRA NABOKANTSTRIMMEL","EXCL. LAST FRA NABOKANTSTRIMMEL"))</f>
        <v xml:space="preserve"> </v>
      </c>
      <c r="N97" s="70" t="str">
        <f>IF(N98="nej","Detalje incl. last fra nabokantstrimmel skal beregnes særskilt !"," ")</f>
        <v xml:space="preserve"> </v>
      </c>
      <c r="V97" s="19"/>
      <c r="W97" s="69" t="e">
        <f>W95*8/(Y94^2)</f>
        <v>#N/A</v>
      </c>
      <c r="X97" s="19"/>
      <c r="AF97" s="168" t="s">
        <v>421</v>
      </c>
      <c r="AO97" s="77" t="e">
        <f>"- ("&amp;FIXED(AI30,2)&amp;" + "&amp;FIXED(AI31,2)&amp;" + "&amp;FIXED(AL16,3)&amp;" x ("&amp;FIXED(L60,2)&amp;" + "&amp;FIXED(L61,2)&amp;") + "&amp;FIXED(AL22,3)&amp;" x ("&amp;FIXED(L62,2)&amp;" + "&amp;FIXED(L63,2)&amp;")) x ("&amp;FIXED(J42,0)&amp;" - "&amp;FIXED(J24,0)&amp;" / 3) / "&amp;FIXED(J43,0)&amp;"="</f>
        <v>#N/A</v>
      </c>
      <c r="AP97" s="171" t="e">
        <f>-(AI30+AI31+AL16*(L60+L61)+AL22*(L62+L63))*(J42-J24/3)/J43</f>
        <v>#N/A</v>
      </c>
      <c r="BH97" s="29"/>
      <c r="BJ97" s="155" t="s">
        <v>446</v>
      </c>
      <c r="BM97" s="26" t="s">
        <v>447</v>
      </c>
      <c r="BN97" s="74" t="e">
        <f>BN96/BL96</f>
        <v>#N/A</v>
      </c>
      <c r="BO97" s="26" t="s">
        <v>448</v>
      </c>
      <c r="BP97" s="14" t="e">
        <f>-BL96*BN97^2</f>
        <v>#N/A</v>
      </c>
    </row>
    <row r="98" spans="2:70" ht="15" customHeight="1">
      <c r="G98" t="s">
        <v>550</v>
      </c>
      <c r="H98" t="s">
        <v>195</v>
      </c>
      <c r="I98" t="s">
        <v>120</v>
      </c>
      <c r="J98" s="53">
        <f>F105+15-J100/2</f>
        <v>72</v>
      </c>
      <c r="K98" t="s">
        <v>91</v>
      </c>
      <c r="L98" s="154"/>
      <c r="N98" s="35" t="s">
        <v>55</v>
      </c>
      <c r="O98" s="85" t="s">
        <v>551</v>
      </c>
      <c r="AO98" s="112" t="s">
        <v>555</v>
      </c>
      <c r="AP98" s="171" t="e">
        <f>AP94+AP97</f>
        <v>#N/A</v>
      </c>
      <c r="BO98" s="26" t="s">
        <v>451</v>
      </c>
      <c r="BP98" t="e">
        <f>BP97+BP96</f>
        <v>#N/A</v>
      </c>
      <c r="BQ98" t="e">
        <f>BP98*10^-12</f>
        <v>#N/A</v>
      </c>
      <c r="BR98" t="s">
        <v>419</v>
      </c>
    </row>
    <row r="99" spans="2:70" ht="15" customHeight="1">
      <c r="G99" t="s">
        <v>552</v>
      </c>
      <c r="H99" t="s">
        <v>553</v>
      </c>
      <c r="I99" t="s">
        <v>120</v>
      </c>
      <c r="J99" s="53">
        <f>J100/2+15+20+5+2/3*(F102-20-2*5)</f>
        <v>103</v>
      </c>
      <c r="K99" t="s">
        <v>91</v>
      </c>
      <c r="AO99" s="112" t="s">
        <v>557</v>
      </c>
      <c r="AP99" s="171" t="e">
        <f>S117</f>
        <v>#N/A</v>
      </c>
      <c r="BH99" t="s">
        <v>454</v>
      </c>
      <c r="BM99" t="s">
        <v>9</v>
      </c>
    </row>
    <row r="100" spans="2:70" ht="15" customHeight="1">
      <c r="E100" t="s">
        <v>553</v>
      </c>
      <c r="G100" t="s">
        <v>554</v>
      </c>
      <c r="I100" s="113" t="s">
        <v>265</v>
      </c>
      <c r="J100" s="65">
        <v>6</v>
      </c>
      <c r="K100" t="s">
        <v>501</v>
      </c>
      <c r="N100">
        <f>CODE(I100)</f>
        <v>75</v>
      </c>
      <c r="O100">
        <f>HLOOKUP(N100,AA320:AZ330,6)</f>
        <v>500</v>
      </c>
      <c r="P100" t="s">
        <v>228</v>
      </c>
      <c r="AE100" t="str">
        <f>"R1 min, højre, "&amp;L40</f>
        <v>R1 min, højre, ende</v>
      </c>
      <c r="AP100" s="171"/>
      <c r="BH100" t="str">
        <f>BH90</f>
        <v>exclusive last fra naboelem._plade (p)</v>
      </c>
      <c r="BL100" t="str">
        <f>BL90</f>
        <v>langtidslast</v>
      </c>
    </row>
    <row r="101" spans="2:70" ht="15" customHeight="1">
      <c r="G101" t="s">
        <v>556</v>
      </c>
      <c r="I101" s="30"/>
      <c r="J101" s="65">
        <v>150</v>
      </c>
      <c r="K101" t="s">
        <v>91</v>
      </c>
      <c r="N101" s="52">
        <f>IF(O101&lt;N102,0,IF(O101&lt;P102,+O101,0.5*O101*O103*(-1+SQRT(1+4*$AA$312/(O101*O103)))))</f>
        <v>5.0905436516501278E-2</v>
      </c>
      <c r="O101" s="52">
        <f>J104*J103/(10^3*J98*J26)</f>
        <v>5.0905436516501278E-2</v>
      </c>
      <c r="P101" t="s">
        <v>237</v>
      </c>
      <c r="AE101" s="71" t="s">
        <v>514</v>
      </c>
      <c r="AJ101" s="26"/>
      <c r="AM101" s="26" t="s">
        <v>1165</v>
      </c>
      <c r="AP101" s="171"/>
      <c r="BH101" s="29" t="s">
        <v>409</v>
      </c>
      <c r="BI101" s="26" t="s">
        <v>410</v>
      </c>
      <c r="BJ101" s="26" t="s">
        <v>411</v>
      </c>
      <c r="BK101" s="26" t="s">
        <v>412</v>
      </c>
      <c r="BL101" s="26" t="s">
        <v>413</v>
      </c>
      <c r="BM101" s="26" t="s">
        <v>414</v>
      </c>
      <c r="BN101" s="26" t="s">
        <v>415</v>
      </c>
      <c r="BO101" s="26" t="s">
        <v>416</v>
      </c>
      <c r="BP101" s="26" t="s">
        <v>417</v>
      </c>
    </row>
    <row r="102" spans="2:70" ht="15" customHeight="1">
      <c r="F102" s="96">
        <v>120</v>
      </c>
      <c r="H102" t="s">
        <v>504</v>
      </c>
      <c r="I102" t="s">
        <v>120</v>
      </c>
      <c r="J102" s="53">
        <f>O100</f>
        <v>500</v>
      </c>
      <c r="K102" t="s">
        <v>36</v>
      </c>
      <c r="N102" s="52">
        <f>MAXA(T102:T103)</f>
        <v>2.9286511333037436E-2</v>
      </c>
      <c r="O102" s="52">
        <f>HLOOKUP(N100,AA320:AZ330,5)</f>
        <v>4.9882794186591653E-2</v>
      </c>
      <c r="P102" s="52">
        <f>HLOOKUP(N100,AA320:AZ330,8)</f>
        <v>0.5014925373134328</v>
      </c>
      <c r="Q102" t="s">
        <v>244</v>
      </c>
      <c r="T102" s="52">
        <f>0.26*$J$27/J102*J103/$J$26</f>
        <v>2.9286511333037436E-2</v>
      </c>
      <c r="AF102" s="168" t="s">
        <v>461</v>
      </c>
      <c r="AO102" s="77" t="e">
        <f>FIXED(O49,2)&amp;" x "&amp;FIXED(AH8,2)&amp;" / 2 x "&amp;FIXED(J23,0)&amp;" x 10^-3 x ("&amp;FIXED(J23,0)&amp;" / 2 - "&amp;FIXED(L42,0)&amp;") / "&amp;FIXED(L43,0)&amp;" + "&amp;FIXED(L50,2)&amp;" x "&amp;FIXED(AH8,3)&amp;"/2 x "&amp;FIXED(AI24,2)&amp;"="</f>
        <v>#N/A</v>
      </c>
      <c r="AP102" s="171" t="e">
        <f>O49*AH8/2*J23*10^-3*(J23/2-L42)/L43+L50*AH8/2*AI24</f>
        <v>#N/A</v>
      </c>
      <c r="BH102" s="16"/>
      <c r="BI102" s="147" t="s">
        <v>423</v>
      </c>
      <c r="BJ102" s="148" t="s">
        <v>91</v>
      </c>
      <c r="BK102" s="148" t="s">
        <v>91</v>
      </c>
      <c r="BL102" s="148" t="s">
        <v>114</v>
      </c>
      <c r="BM102" s="148" t="s">
        <v>91</v>
      </c>
      <c r="BN102" s="148" t="s">
        <v>424</v>
      </c>
      <c r="BO102" s="148" t="s">
        <v>423</v>
      </c>
      <c r="BP102" s="148" t="s">
        <v>425</v>
      </c>
    </row>
    <row r="103" spans="2:70" ht="15" customHeight="1">
      <c r="C103" s="19" t="s">
        <v>558</v>
      </c>
      <c r="H103" t="s">
        <v>286</v>
      </c>
      <c r="I103" t="s">
        <v>120</v>
      </c>
      <c r="J103" s="53">
        <f>O100/N15</f>
        <v>416.66666666666669</v>
      </c>
      <c r="K103" t="s">
        <v>36</v>
      </c>
      <c r="O103" s="52">
        <f>HLOOKUP(N100,AA320:AZ330,9)</f>
        <v>1.6799999999999997</v>
      </c>
      <c r="P103" t="s">
        <v>251</v>
      </c>
      <c r="T103" s="52">
        <f>0.0013*J103/$J$26</f>
        <v>2.5277777777777774E-2</v>
      </c>
      <c r="AF103" s="168" t="s">
        <v>421</v>
      </c>
      <c r="AO103" s="77" t="e">
        <f>FIXED(N49,2)&amp;" x "&amp;FIXED(AH8,2)&amp;" / 2 x "&amp;FIXED(J23,0)&amp;" x 10^-3 x ("&amp;FIXED(J23,0)&amp;" / 2 - "&amp;FIXED(L42,0)&amp;") / "&amp;FIXED(L43,0)&amp;" + "&amp;FIXED(L50,2)&amp;" x "&amp;FIXED(AH8,3)&amp;"/2 x "&amp;FIXED(AI24,2)&amp;"="</f>
        <v>#N/A</v>
      </c>
      <c r="AP103" s="171" t="e">
        <f>N49*AH8/2*J23*10^-3*(J23/2-L42)/L43+L50*AH8/2*AI24</f>
        <v>#N/A</v>
      </c>
      <c r="BH103" s="29" t="s">
        <v>430</v>
      </c>
      <c r="BI103">
        <v>1</v>
      </c>
      <c r="BJ103" t="e">
        <f>BJ93</f>
        <v>#N/A</v>
      </c>
      <c r="BK103" s="53" t="e">
        <f>J21</f>
        <v>#N/A</v>
      </c>
      <c r="BL103" s="53" t="e">
        <f>BI103*BJ103*BK103</f>
        <v>#N/A</v>
      </c>
      <c r="BM103">
        <f>BM93</f>
        <v>0</v>
      </c>
      <c r="BN103" t="e">
        <f>BM103*BL103</f>
        <v>#N/A</v>
      </c>
      <c r="BO103">
        <f>BO93</f>
        <v>8.3333333333333329E-2</v>
      </c>
      <c r="BP103" s="53" t="e">
        <f>BO103*BJ103*BK103^3</f>
        <v>#N/A</v>
      </c>
    </row>
    <row r="104" spans="2:70" ht="15" customHeight="1">
      <c r="H104" t="s">
        <v>293</v>
      </c>
      <c r="I104" t="s">
        <v>120</v>
      </c>
      <c r="J104" s="53">
        <f>J100^2/4*PI()*10^3/J101</f>
        <v>188.4955592153876</v>
      </c>
      <c r="K104" t="s">
        <v>559</v>
      </c>
      <c r="N104" s="52"/>
      <c r="AE104" s="71" t="s">
        <v>517</v>
      </c>
      <c r="AK104" s="112" t="s">
        <v>562</v>
      </c>
      <c r="AP104" s="171"/>
      <c r="BH104" s="29" t="s">
        <v>435</v>
      </c>
      <c r="BI104">
        <f>BI94</f>
        <v>32.119514472455656</v>
      </c>
      <c r="BJ104" s="53" t="e">
        <f>BJ94</f>
        <v>#N/A</v>
      </c>
      <c r="BK104" s="53">
        <v>1</v>
      </c>
      <c r="BL104" s="53" t="e">
        <f>BI104*BJ104*BK104</f>
        <v>#N/A</v>
      </c>
      <c r="BM104" s="53" t="e">
        <f>CB18-CB19/2</f>
        <v>#N/A</v>
      </c>
      <c r="BN104" t="e">
        <f>BM104*BL104</f>
        <v>#N/A</v>
      </c>
      <c r="BO104" s="53"/>
      <c r="BP104" s="53" t="e">
        <f>BL104*BM104^2</f>
        <v>#N/A</v>
      </c>
    </row>
    <row r="105" spans="2:70" ht="15" customHeight="1">
      <c r="C105" s="19" t="s">
        <v>357</v>
      </c>
      <c r="F105" s="134">
        <v>60</v>
      </c>
      <c r="G105" t="s">
        <v>560</v>
      </c>
      <c r="I105" t="s">
        <v>120</v>
      </c>
      <c r="J105" s="74">
        <f>J26*COS(ATAN(0.8*J98/J99))</f>
        <v>18.702746957119125</v>
      </c>
      <c r="K105" t="s">
        <v>36</v>
      </c>
      <c r="O105" s="52"/>
      <c r="T105" s="32" t="s">
        <v>479</v>
      </c>
      <c r="AF105" s="168" t="s">
        <v>461</v>
      </c>
      <c r="AO105" s="77" t="e">
        <f>"- ("&amp;FIXED(AL30,2)&amp;" + "&amp;FIXED(AL32,2)&amp;" + "&amp;FIXED(AN16,3)&amp;" x ("&amp;FIXED(N60,2)&amp;" + "&amp;FIXED(L61,2)&amp;") + "&amp;FIXED(AN22,3)&amp;" x ("&amp;FIXED(N62,2)&amp;" + "&amp;FIXED(L63,2)&amp;")) x ("&amp;FIXED(L42,0)&amp;" - "&amp;FIXED(J24,0)&amp;" / 3) / "&amp;FIXED(L43,0)&amp;"="</f>
        <v>#N/A</v>
      </c>
      <c r="AP105" s="171" t="e">
        <f>-(AL30+AL32+AN16*(N60+L61)+AN22*(N62+L63))*(L42-J24/3)/L43</f>
        <v>#N/A</v>
      </c>
      <c r="BH105" s="29" t="s">
        <v>438</v>
      </c>
      <c r="BI105">
        <f>BI104</f>
        <v>32.119514472455656</v>
      </c>
      <c r="BJ105" s="53" t="e">
        <f>BJ95</f>
        <v>#N/A</v>
      </c>
      <c r="BK105" s="53">
        <v>1</v>
      </c>
      <c r="BL105" s="152" t="e">
        <f>BI105*BJ105*BK105</f>
        <v>#N/A</v>
      </c>
      <c r="BM105" s="53" t="e">
        <f>-BM104</f>
        <v>#N/A</v>
      </c>
      <c r="BN105" s="14" t="e">
        <f>BM105*BL105</f>
        <v>#N/A</v>
      </c>
      <c r="BO105" s="53"/>
      <c r="BP105" s="152" t="e">
        <f>BL105*BM105^2</f>
        <v>#N/A</v>
      </c>
    </row>
    <row r="106" spans="2:70" ht="15" customHeight="1">
      <c r="G106" t="s">
        <v>561</v>
      </c>
      <c r="H106" s="74">
        <f>(1-0.5*N101)*N101*10^3*J98^2*J105/1000000</f>
        <v>4.8099157705764011</v>
      </c>
      <c r="J106" t="s">
        <v>478</v>
      </c>
      <c r="K106" t="e">
        <f>IF(H106&gt;L106,"&gt;","&lt;")</f>
        <v>#N/A</v>
      </c>
      <c r="L106" s="74" t="e">
        <f>L107*J99*10^-3</f>
        <v>#N/A</v>
      </c>
      <c r="M106" t="e">
        <f>IF(H106&gt;L106,"accept","forkast")</f>
        <v>#N/A</v>
      </c>
      <c r="N106" s="164" t="e">
        <f>IF(M106="forkast","NB!"," ")</f>
        <v>#N/A</v>
      </c>
      <c r="O106" s="85"/>
      <c r="P106" s="52"/>
      <c r="T106" s="32" t="str">
        <f>B97</f>
        <v>UNDERSTØTNINGER FOR NABOELEM.</v>
      </c>
      <c r="AF106" s="168" t="s">
        <v>421</v>
      </c>
      <c r="AO106" s="77" t="e">
        <f>"- ("&amp;FIXED(AL31,2)&amp;" + "&amp;FIXED(AL32,2)&amp;" + "&amp;FIXED(AN16,3)&amp;" x ("&amp;FIXED(L60,2)&amp;" + "&amp;FIXED(L61,2)&amp;") + "&amp;FIXED(AN22,3)&amp;" x ("&amp;FIXED(L62,2)&amp;" + "&amp;FIXED(L63,2)&amp;")) x ("&amp;FIXED(L42,0)&amp;" - "&amp;FIXED(J24,0)&amp;" / 3) / "&amp;FIXED(L43,0)&amp;"="</f>
        <v>#N/A</v>
      </c>
      <c r="AP106" s="171" t="e">
        <f>-(AL31+AL32+AN16*(L60+L61)+AN22*(L62+L63))*(L42-J24/3)/L43</f>
        <v>#N/A</v>
      </c>
      <c r="BH106" s="29"/>
      <c r="BK106" s="26" t="s">
        <v>440</v>
      </c>
      <c r="BL106" t="e">
        <f>SUM(BL103:BL105)</f>
        <v>#N/A</v>
      </c>
      <c r="BM106" s="26" t="s">
        <v>441</v>
      </c>
      <c r="BN106" t="e">
        <f>SUM(BN103:BN105)</f>
        <v>#N/A</v>
      </c>
      <c r="BO106" s="26" t="s">
        <v>442</v>
      </c>
      <c r="BP106" t="e">
        <f>SUM(BP103:BP105)</f>
        <v>#N/A</v>
      </c>
    </row>
    <row r="107" spans="2:70" ht="15" customHeight="1">
      <c r="F107" s="26" t="s">
        <v>563</v>
      </c>
      <c r="G107" t="s">
        <v>564</v>
      </c>
      <c r="H107" s="74">
        <f>MAXA(U108:U109)</f>
        <v>39.039672129770757</v>
      </c>
      <c r="J107" t="s">
        <v>445</v>
      </c>
      <c r="K107" t="e">
        <f>IF(H107&gt;L107,"&gt;","&lt;")</f>
        <v>#N/A</v>
      </c>
      <c r="L107" s="74" t="e">
        <f>IF(N98="ja",+MAXA(AR28:AS28)+MAXA((L60+L61)/L64/2,(L62+L63)/L65/2),MAXA(AR28:AS28))</f>
        <v>#N/A</v>
      </c>
      <c r="M107" t="e">
        <f>IF(H107&gt;L107,"accept","forkast")</f>
        <v>#N/A</v>
      </c>
      <c r="N107" s="164" t="e">
        <f>IF(M107="forkast","NB!"," ")</f>
        <v>#N/A</v>
      </c>
      <c r="P107" s="85"/>
      <c r="T107" s="19" t="s">
        <v>486</v>
      </c>
      <c r="U107" s="19" t="s">
        <v>487</v>
      </c>
      <c r="V107" s="53">
        <f>J104</f>
        <v>188.4955592153876</v>
      </c>
      <c r="W107" t="s">
        <v>488</v>
      </c>
      <c r="AO107" s="112" t="s">
        <v>555</v>
      </c>
      <c r="AP107" s="171" t="e">
        <f>AP102+AP105</f>
        <v>#N/A</v>
      </c>
      <c r="BH107" s="29"/>
      <c r="BJ107" s="155" t="s">
        <v>446</v>
      </c>
      <c r="BM107" s="26" t="s">
        <v>447</v>
      </c>
      <c r="BN107" s="74" t="e">
        <f>BN106/BL106</f>
        <v>#N/A</v>
      </c>
      <c r="BO107" s="26" t="s">
        <v>448</v>
      </c>
      <c r="BP107" s="14" t="e">
        <f>-BL106*BN107^2</f>
        <v>#N/A</v>
      </c>
    </row>
    <row r="108" spans="2:70" ht="15" customHeight="1">
      <c r="G108" t="s">
        <v>565</v>
      </c>
      <c r="H108" t="s">
        <v>564</v>
      </c>
      <c r="I108" s="113" t="s">
        <v>265</v>
      </c>
      <c r="J108" s="65">
        <f>J100</f>
        <v>6</v>
      </c>
      <c r="K108" t="s">
        <v>501</v>
      </c>
      <c r="N108">
        <f>CODE(I108)</f>
        <v>75</v>
      </c>
      <c r="O108">
        <f>HLOOKUP(N108,AA320:AZ330,6)</f>
        <v>500</v>
      </c>
      <c r="P108" t="s">
        <v>228</v>
      </c>
      <c r="T108" s="50">
        <f>1+SQRT(200/V109)</f>
        <v>2.666666666666667</v>
      </c>
      <c r="U108" s="74">
        <f>(0.18/$N$13*T109*(100*V107/(V108*V109)*$J$25)^(1/3))*V108*V109*10^-3</f>
        <v>36.801901220370041</v>
      </c>
      <c r="V108" s="53">
        <v>1000</v>
      </c>
      <c r="W108" t="s">
        <v>492</v>
      </c>
      <c r="AO108" s="112" t="s">
        <v>557</v>
      </c>
      <c r="AP108" s="171" t="e">
        <f>AP103+AP106</f>
        <v>#N/A</v>
      </c>
      <c r="BO108" s="26" t="s">
        <v>451</v>
      </c>
      <c r="BP108" t="e">
        <f>BP107+BP106</f>
        <v>#N/A</v>
      </c>
      <c r="BQ108" t="e">
        <f>BP108*10^-12</f>
        <v>#N/A</v>
      </c>
      <c r="BR108" t="s">
        <v>419</v>
      </c>
    </row>
    <row r="109" spans="2:70" ht="15" customHeight="1">
      <c r="G109" t="s">
        <v>556</v>
      </c>
      <c r="I109" s="30"/>
      <c r="J109" s="65">
        <f>J101</f>
        <v>150</v>
      </c>
      <c r="K109" t="s">
        <v>91</v>
      </c>
      <c r="N109" s="52"/>
      <c r="T109" s="50">
        <f>IF(T108&gt;2,2,T108)</f>
        <v>2</v>
      </c>
      <c r="U109" s="74">
        <f>(0.035*T109^(3/2)*SQRT($J$25)*V108*V109)*10^-3</f>
        <v>39.039672129770757</v>
      </c>
      <c r="V109" s="53">
        <f>J98</f>
        <v>72</v>
      </c>
      <c r="W109" t="s">
        <v>495</v>
      </c>
      <c r="BH109" t="str">
        <f>BH89</f>
        <v>Med løbstykkelse med tillægshøjde for trinandel</v>
      </c>
    </row>
    <row r="110" spans="2:70" ht="15" customHeight="1">
      <c r="H110" t="s">
        <v>504</v>
      </c>
      <c r="I110" t="s">
        <v>120</v>
      </c>
      <c r="J110" s="53">
        <f>O108</f>
        <v>500</v>
      </c>
      <c r="L110" s="70" t="str">
        <f>IF(J112&lt;0,"As er negativ. Reducer centerafstand og/eller forøg bjl.diam."," ")</f>
        <v xml:space="preserve"> </v>
      </c>
      <c r="O110" s="52"/>
      <c r="P110" s="52"/>
      <c r="BH110" t="str">
        <f>BH90</f>
        <v>exclusive last fra naboelem._plade (p)</v>
      </c>
      <c r="BL110" t="s">
        <v>481</v>
      </c>
    </row>
    <row r="111" spans="2:70" ht="15" customHeight="1">
      <c r="H111" t="s">
        <v>286</v>
      </c>
      <c r="I111" t="s">
        <v>120</v>
      </c>
      <c r="J111" s="53">
        <f>J110/N15</f>
        <v>416.66666666666669</v>
      </c>
      <c r="K111" t="s">
        <v>36</v>
      </c>
      <c r="O111" s="52"/>
      <c r="BH111" s="29" t="s">
        <v>409</v>
      </c>
      <c r="BI111" s="26" t="s">
        <v>410</v>
      </c>
      <c r="BJ111" s="26" t="s">
        <v>411</v>
      </c>
      <c r="BK111" s="26" t="s">
        <v>412</v>
      </c>
      <c r="BL111" s="26" t="s">
        <v>413</v>
      </c>
      <c r="BM111" s="26" t="s">
        <v>414</v>
      </c>
      <c r="BN111" s="26" t="s">
        <v>415</v>
      </c>
      <c r="BO111" s="26" t="s">
        <v>416</v>
      </c>
      <c r="BP111" s="26" t="s">
        <v>417</v>
      </c>
    </row>
    <row r="112" spans="2:70" ht="15" customHeight="1">
      <c r="H112" t="s">
        <v>293</v>
      </c>
      <c r="I112" t="s">
        <v>120</v>
      </c>
      <c r="J112" s="53">
        <f>J108^2/4*PI()*10^3/J109</f>
        <v>188.4955592153876</v>
      </c>
      <c r="K112" t="s">
        <v>114</v>
      </c>
      <c r="AG112" t="s">
        <v>566</v>
      </c>
      <c r="AK112" s="26" t="s">
        <v>567</v>
      </c>
      <c r="AL112" s="19" t="e">
        <f>IF(AF117&gt;AF123,"&gt;",IF(AF117=AF123,"=","&lt;"))</f>
        <v>#N/A</v>
      </c>
      <c r="AM112" s="19" t="e">
        <f>AL112</f>
        <v>#N/A</v>
      </c>
      <c r="AN112" s="19" t="e">
        <f>AL112</f>
        <v>#N/A</v>
      </c>
      <c r="AO112" s="19" t="e">
        <f t="shared" ref="AO112:AT112" si="17">AN112</f>
        <v>#N/A</v>
      </c>
      <c r="AP112" s="19" t="e">
        <f t="shared" si="17"/>
        <v>#N/A</v>
      </c>
      <c r="AQ112" s="19" t="e">
        <f t="shared" si="17"/>
        <v>#N/A</v>
      </c>
      <c r="AR112" s="19" t="e">
        <f t="shared" si="17"/>
        <v>#N/A</v>
      </c>
      <c r="AS112" s="19" t="e">
        <f t="shared" si="17"/>
        <v>#N/A</v>
      </c>
      <c r="AT112" s="19" t="e">
        <f t="shared" si="17"/>
        <v>#N/A</v>
      </c>
      <c r="AU112" s="155" t="s">
        <v>568</v>
      </c>
      <c r="BH112" s="16"/>
      <c r="BI112" s="147" t="s">
        <v>423</v>
      </c>
      <c r="BJ112" s="148" t="s">
        <v>91</v>
      </c>
      <c r="BK112" s="148" t="s">
        <v>91</v>
      </c>
      <c r="BL112" s="148" t="s">
        <v>114</v>
      </c>
      <c r="BM112" s="148" t="s">
        <v>91</v>
      </c>
      <c r="BN112" s="148" t="s">
        <v>424</v>
      </c>
      <c r="BO112" s="148" t="s">
        <v>423</v>
      </c>
      <c r="BP112" s="148" t="s">
        <v>425</v>
      </c>
    </row>
    <row r="113" spans="2:70" ht="15" customHeight="1">
      <c r="G113" s="32" t="s">
        <v>569</v>
      </c>
      <c r="H113" s="53" t="e">
        <f>L107*10^3/J112</f>
        <v>#N/A</v>
      </c>
      <c r="J113" t="s">
        <v>36</v>
      </c>
      <c r="K113" t="e">
        <f>IF(H113&gt;L113,"&gt;","&lt;")</f>
        <v>#N/A</v>
      </c>
      <c r="L113" s="53">
        <f>J111</f>
        <v>416.66666666666669</v>
      </c>
      <c r="M113" t="e">
        <f>IF(OR(H113&gt;L113,H113&lt;0),"forkast","accept")</f>
        <v>#N/A</v>
      </c>
      <c r="N113" s="164" t="e">
        <f>IF(M113="forkast","NB!"," ")</f>
        <v>#N/A</v>
      </c>
      <c r="O113" t="s">
        <v>570</v>
      </c>
      <c r="Q113" t="s">
        <v>571</v>
      </c>
      <c r="S113" s="19" t="s">
        <v>572</v>
      </c>
      <c r="T113" s="19" t="s">
        <v>573</v>
      </c>
      <c r="AD113" s="55" t="s">
        <v>574</v>
      </c>
      <c r="AH113" s="55" t="s">
        <v>575</v>
      </c>
      <c r="AI113" s="50"/>
      <c r="BH113" s="29" t="s">
        <v>430</v>
      </c>
      <c r="BI113">
        <v>1</v>
      </c>
      <c r="BJ113" t="e">
        <f t="shared" ref="BJ113:BK115" si="18">BJ93</f>
        <v>#N/A</v>
      </c>
      <c r="BK113" s="53" t="e">
        <f t="shared" si="18"/>
        <v>#N/A</v>
      </c>
      <c r="BL113" s="53" t="e">
        <f>BI113*BJ113*BK113</f>
        <v>#N/A</v>
      </c>
      <c r="BM113">
        <f>BM103</f>
        <v>0</v>
      </c>
      <c r="BN113" t="e">
        <f>BM113*BL113</f>
        <v>#N/A</v>
      </c>
      <c r="BO113">
        <f>BO103</f>
        <v>8.3333333333333329E-2</v>
      </c>
      <c r="BP113" s="53" t="e">
        <f>BO113*BJ113*BK113^3</f>
        <v>#N/A</v>
      </c>
    </row>
    <row r="114" spans="2:70" ht="15" customHeight="1">
      <c r="O114" s="19" t="s">
        <v>33</v>
      </c>
      <c r="P114" s="19" t="s">
        <v>34</v>
      </c>
      <c r="Q114" s="19" t="s">
        <v>33</v>
      </c>
      <c r="R114" s="19" t="s">
        <v>34</v>
      </c>
      <c r="S114" s="19" t="str">
        <f>$J$40</f>
        <v>dorn</v>
      </c>
      <c r="T114" s="19" t="str">
        <f>$L$40</f>
        <v>ende</v>
      </c>
      <c r="AE114" t="s">
        <v>576</v>
      </c>
      <c r="AH114" s="184"/>
      <c r="AI114" s="50"/>
      <c r="AJ114" t="s">
        <v>577</v>
      </c>
      <c r="AK114" t="s">
        <v>578</v>
      </c>
      <c r="AL114" t="s">
        <v>579</v>
      </c>
      <c r="AO114" t="e">
        <f>IF(AP117&gt;0,"e.kraft v","m.pkt. ")</f>
        <v>#N/A</v>
      </c>
      <c r="AP114" t="e">
        <f>IF(AP117&gt;0,"e.kraft h","m.pkt. ")</f>
        <v>#N/A</v>
      </c>
      <c r="AQ114" t="s">
        <v>577</v>
      </c>
      <c r="AR114" t="s">
        <v>578</v>
      </c>
      <c r="AS114" t="e">
        <f>IF(AT117&gt;0,"e.kraft v"," ")</f>
        <v>#N/A</v>
      </c>
      <c r="AT114" t="e">
        <f>IF(AT117&gt;0,"e.kraft h"," ")</f>
        <v>#N/A</v>
      </c>
      <c r="BH114" s="29" t="s">
        <v>435</v>
      </c>
      <c r="BI114">
        <f>CC10</f>
        <v>8.0298786181139139</v>
      </c>
      <c r="BJ114" s="53" t="e">
        <f t="shared" si="18"/>
        <v>#N/A</v>
      </c>
      <c r="BK114" s="53">
        <f t="shared" si="18"/>
        <v>1</v>
      </c>
      <c r="BL114" s="53" t="e">
        <f>BI114*BJ114*BK114</f>
        <v>#N/A</v>
      </c>
      <c r="BM114" s="53" t="e">
        <f>BM94</f>
        <v>#N/A</v>
      </c>
      <c r="BN114" t="e">
        <f>BM114*BL114</f>
        <v>#N/A</v>
      </c>
      <c r="BO114" s="53"/>
      <c r="BP114" s="53" t="e">
        <f>BL114*BM114^2</f>
        <v>#N/A</v>
      </c>
    </row>
    <row r="115" spans="2:70" ht="15" customHeight="1">
      <c r="B115" t="s">
        <v>580</v>
      </c>
      <c r="G115" t="e">
        <f>IF(J116&gt;J115,"reaktion","max. reaktion")</f>
        <v>#N/A</v>
      </c>
      <c r="H115" t="s">
        <v>581</v>
      </c>
      <c r="I115" t="s">
        <v>120</v>
      </c>
      <c r="J115" s="74" t="e">
        <f>IF(AND(S114="dorn",T114="dorn"),MAXA(S115:T115),IF(S114="dorn",S115,IF(T114="dorn",T115,NA())))</f>
        <v>#N/A</v>
      </c>
      <c r="K115" t="s">
        <v>460</v>
      </c>
      <c r="L115" s="74"/>
      <c r="N115" s="26" t="s">
        <v>582</v>
      </c>
      <c r="O115" s="50" t="e">
        <f>$L$52*$AH$8/2*$J$23*10^-3*($J$23/2-$J$41)/$J$43</f>
        <v>#N/A</v>
      </c>
      <c r="P115" s="50" t="e">
        <f>$L$52*$AH$8/2*$J$23*10^-3*($J$23/2-$L$41)/$L$43</f>
        <v>#N/A</v>
      </c>
      <c r="Q115" s="50" t="e">
        <f>($AI$30+$AI$31+$AL$16*($L$60+$L$61)+$AL$22*($L$62+$L$63))*($J$43+$J$42-$J$24/3)/$J$43</f>
        <v>#N/A</v>
      </c>
      <c r="R115" s="50" t="e">
        <f>($AL$31+$AL$32+$AN$16*($L$60+$L$61)+$AN$22*($L$62+$L$63))*($L$43+$L$42-$J$24/3)/$L$43</f>
        <v>#N/A</v>
      </c>
      <c r="S115" s="50" t="e">
        <f t="shared" ref="S115:T117" si="19">O115+Q115</f>
        <v>#N/A</v>
      </c>
      <c r="T115" s="50" t="e">
        <f t="shared" si="19"/>
        <v>#N/A</v>
      </c>
      <c r="U115" t="s">
        <v>460</v>
      </c>
      <c r="AH115" s="26" t="s">
        <v>346</v>
      </c>
      <c r="AI115" s="52">
        <v>0</v>
      </c>
      <c r="AJ115" s="52" t="e">
        <f>AD123</f>
        <v>#N/A</v>
      </c>
      <c r="AK115" s="52" t="e">
        <f>AJ115</f>
        <v>#N/A</v>
      </c>
      <c r="AL115" s="52" t="e">
        <f>AK115+(AO115-AK115)*0.25</f>
        <v>#N/A</v>
      </c>
      <c r="AM115" s="52" t="e">
        <f>AK115+(AO115-AK115)*0.5</f>
        <v>#N/A</v>
      </c>
      <c r="AN115" s="52" t="e">
        <f>AK115+(AO115-AK115)*0.75</f>
        <v>#N/A</v>
      </c>
      <c r="AO115" s="52" t="e">
        <f>IF(AO112="&gt;",+AE117,AK115+(AQ115-AK115)*0.75)</f>
        <v>#N/A</v>
      </c>
      <c r="AP115" s="52" t="e">
        <f>AO115</f>
        <v>#N/A</v>
      </c>
      <c r="AQ115" s="52" t="e">
        <f>AD123+AE123</f>
        <v>#N/A</v>
      </c>
      <c r="AR115" s="52" t="e">
        <f>AQ115</f>
        <v>#N/A</v>
      </c>
      <c r="AS115" s="52" t="e">
        <f>IF(AF123=0,+AR115,IF(AS112="&lt;",+AE117,+AU115-AF130*10^-3))</f>
        <v>#N/A</v>
      </c>
      <c r="AT115" s="52" t="e">
        <f>AS115</f>
        <v>#N/A</v>
      </c>
      <c r="AU115" s="52" t="e">
        <f>AD123+AE123+AF123</f>
        <v>#N/A</v>
      </c>
      <c r="AV115" t="str">
        <f t="shared" ref="AV115:AV122" si="20">AH115</f>
        <v>snit, x= [m]</v>
      </c>
      <c r="BH115" s="29" t="s">
        <v>438</v>
      </c>
      <c r="BI115">
        <f>BI114</f>
        <v>8.0298786181139139</v>
      </c>
      <c r="BJ115" s="53" t="e">
        <f t="shared" si="18"/>
        <v>#N/A</v>
      </c>
      <c r="BK115" s="53">
        <f t="shared" si="18"/>
        <v>1</v>
      </c>
      <c r="BL115" s="152" t="e">
        <f>BI115*BJ115*BK115</f>
        <v>#N/A</v>
      </c>
      <c r="BM115" s="53" t="e">
        <f>BM95</f>
        <v>#N/A</v>
      </c>
      <c r="BN115" s="14" t="e">
        <f>BM115*BL115</f>
        <v>#N/A</v>
      </c>
      <c r="BO115" s="53"/>
      <c r="BP115" s="152" t="e">
        <f>BL115*BM115^2</f>
        <v>#N/A</v>
      </c>
    </row>
    <row r="116" spans="2:70" ht="15" customHeight="1">
      <c r="G116" t="e">
        <f>IF(J116&gt;J115,"max. reaktion","reaktion")</f>
        <v>#N/A</v>
      </c>
      <c r="H116" t="s">
        <v>583</v>
      </c>
      <c r="I116" t="s">
        <v>120</v>
      </c>
      <c r="J116" s="74" t="e">
        <f>IF(J115=S115,MAX(S120:S121),IF(J115=T115,MAX(T120:T121),NA()))</f>
        <v>#N/A</v>
      </c>
      <c r="K116" t="s">
        <v>460</v>
      </c>
      <c r="N116" s="26" t="s">
        <v>584</v>
      </c>
      <c r="O116" s="50" t="e">
        <f>$O$49*$AH$8/2*$J$23*10^-3*($J$23/2-$J$42)/$J$43+$L$50*$AH$8/2*$AI$23</f>
        <v>#N/A</v>
      </c>
      <c r="P116" s="50" t="e">
        <f>$O$49*$AH$8/2*$J$23*10^-3*($J$23/2-$L$42)/$L$43+$L$50*$AH$8/2*$AI$24</f>
        <v>#N/A</v>
      </c>
      <c r="Q116" s="50" t="e">
        <f>-($AI$29+$AI$31+$AL$16*($N$60+$L$61)+$AL$22*($N$62+$L$63))*($J$42-$J$24/3)/$J$43</f>
        <v>#N/A</v>
      </c>
      <c r="R116" s="50" t="e">
        <f>-($AL$30+$AL$32+$AN$16*($N$60+$L$61)+$AN$22*($N$62+$L$63))*($L$42-$J$24/3)/$L$43</f>
        <v>#N/A</v>
      </c>
      <c r="S116" s="50" t="e">
        <f t="shared" si="19"/>
        <v>#N/A</v>
      </c>
      <c r="T116" s="50" t="e">
        <f t="shared" si="19"/>
        <v>#N/A</v>
      </c>
      <c r="U116" s="50" t="s">
        <v>585</v>
      </c>
      <c r="AD116" s="50" t="e">
        <f>IF(J34=0,0,+L52*O35/2)</f>
        <v>#N/A</v>
      </c>
      <c r="AE116" t="s">
        <v>445</v>
      </c>
      <c r="AF116" s="157" t="e">
        <f>IF(J34=0,0,+AF132*AD129)</f>
        <v>#N/A</v>
      </c>
      <c r="AG116" t="s">
        <v>460</v>
      </c>
      <c r="AH116" s="254" t="s">
        <v>586</v>
      </c>
      <c r="AI116" s="50"/>
      <c r="AJ116" s="50" t="e">
        <f>AD116</f>
        <v>#N/A</v>
      </c>
      <c r="AK116" s="50"/>
      <c r="AL116" s="50" t="e">
        <f>AJ116</f>
        <v>#N/A</v>
      </c>
      <c r="AM116" s="50" t="e">
        <f>AL116</f>
        <v>#N/A</v>
      </c>
      <c r="AN116" s="50" t="e">
        <f>AM116</f>
        <v>#N/A</v>
      </c>
      <c r="AO116" s="50" t="e">
        <f>AJ116</f>
        <v>#N/A</v>
      </c>
      <c r="AP116" s="50"/>
      <c r="AQ116" s="50" t="e">
        <f>IF(AQ112="&gt;",+AT116,+AO116)</f>
        <v>#N/A</v>
      </c>
      <c r="AR116" s="50"/>
      <c r="AS116" s="50" t="e">
        <f>IF(AS112="&lt;",+AQ116,+AT116)</f>
        <v>#N/A</v>
      </c>
      <c r="AT116" s="50" t="e">
        <f>AF118</f>
        <v>#N/A</v>
      </c>
      <c r="AU116" s="50" t="e">
        <f>AT116</f>
        <v>#N/A</v>
      </c>
      <c r="AV116" t="str">
        <f t="shared" si="20"/>
        <v>linielast [kN/m]</v>
      </c>
      <c r="BH116" s="29"/>
      <c r="BK116" s="26" t="s">
        <v>440</v>
      </c>
      <c r="BL116" t="e">
        <f>SUM(BL113:BL115)</f>
        <v>#N/A</v>
      </c>
      <c r="BM116" s="26" t="s">
        <v>441</v>
      </c>
      <c r="BN116" t="e">
        <f>SUM(BN113:BN115)</f>
        <v>#N/A</v>
      </c>
      <c r="BO116" s="26" t="s">
        <v>442</v>
      </c>
      <c r="BP116" t="e">
        <f>SUM(BP113:BP115)</f>
        <v>#N/A</v>
      </c>
    </row>
    <row r="117" spans="2:70" ht="15" customHeight="1">
      <c r="F117" s="176" t="str">
        <f>IF(AND(J122&gt;16,F118=300),"For lille dornlængde!"," ")</f>
        <v xml:space="preserve"> </v>
      </c>
      <c r="G117" t="s">
        <v>587</v>
      </c>
      <c r="H117" t="s">
        <v>588</v>
      </c>
      <c r="I117" t="s">
        <v>120</v>
      </c>
      <c r="J117" s="74" t="e">
        <f>IF(AND(S114="dorn",T114="dorn"),MINA(S118:T118),IF(S114="dorn",S118,IF(T114="dorn",T118,NA())))</f>
        <v>#N/A</v>
      </c>
      <c r="K117" t="s">
        <v>460</v>
      </c>
      <c r="M117" s="177" t="e">
        <f>IF(J117&lt;0,"NB! Negativ"," ")</f>
        <v>#N/A</v>
      </c>
      <c r="N117" s="26" t="s">
        <v>584</v>
      </c>
      <c r="O117" s="50" t="e">
        <f>$N$49*$AH$8/2*$J$23*10^-3*($J$23/2-$J$42)/$J$43+$L$50*$AH$8/2*$AI$23</f>
        <v>#N/A</v>
      </c>
      <c r="P117" s="50" t="e">
        <f>$N$49*$AH$8/2*$J$23*10^-3*($J$23/2-$L$42)/$L$43+$L$50*$AH$8/2*$AI$24</f>
        <v>#N/A</v>
      </c>
      <c r="Q117" s="50" t="e">
        <f>Q119</f>
        <v>#N/A</v>
      </c>
      <c r="R117" s="50" t="e">
        <f>R119</f>
        <v>#N/A</v>
      </c>
      <c r="S117" s="50" t="e">
        <f t="shared" si="19"/>
        <v>#N/A</v>
      </c>
      <c r="T117" s="50" t="e">
        <f t="shared" si="19"/>
        <v>#N/A</v>
      </c>
      <c r="U117" s="50" t="s">
        <v>589</v>
      </c>
      <c r="AE117" s="56" t="e">
        <f>AD123+AE123+AF123-AF117</f>
        <v>#N/A</v>
      </c>
      <c r="AF117" s="52" t="e">
        <f>F42*10^-3</f>
        <v>#N/A</v>
      </c>
      <c r="AG117" t="s">
        <v>40</v>
      </c>
      <c r="AH117" s="32" t="s">
        <v>590</v>
      </c>
      <c r="AI117" s="50"/>
      <c r="AJ117" s="50"/>
      <c r="AK117" s="50"/>
      <c r="AL117" s="50"/>
      <c r="AM117" s="50"/>
      <c r="AN117" s="50"/>
      <c r="AO117" s="50"/>
      <c r="AP117" s="50" t="e">
        <f>IF(AP112="&gt;",+AF116,0)</f>
        <v>#N/A</v>
      </c>
      <c r="AQ117" s="50"/>
      <c r="AR117" s="50" t="e">
        <f>IF(AR112="=",0,0)</f>
        <v>#N/A</v>
      </c>
      <c r="AS117" s="50"/>
      <c r="AT117" s="50" t="e">
        <f>IF(AT112="&lt;",+AF116,0)</f>
        <v>#N/A</v>
      </c>
      <c r="AU117" s="50"/>
      <c r="AV117" t="str">
        <f t="shared" si="20"/>
        <v>enkeltkraft [kN]</v>
      </c>
      <c r="BH117" s="29"/>
      <c r="BJ117" s="155" t="s">
        <v>446</v>
      </c>
      <c r="BM117" s="26" t="s">
        <v>447</v>
      </c>
      <c r="BN117" s="74" t="e">
        <f>BN116/BL116</f>
        <v>#N/A</v>
      </c>
      <c r="BO117" s="26" t="s">
        <v>448</v>
      </c>
      <c r="BP117" s="14" t="e">
        <f>-BL116*BN117^2</f>
        <v>#N/A</v>
      </c>
    </row>
    <row r="118" spans="2:70" ht="15" customHeight="1">
      <c r="C118" s="19"/>
      <c r="E118" s="26" t="s">
        <v>591</v>
      </c>
      <c r="F118" s="178">
        <v>300</v>
      </c>
      <c r="G118" t="s">
        <v>592</v>
      </c>
      <c r="H118" t="s">
        <v>593</v>
      </c>
      <c r="I118" t="s">
        <v>120</v>
      </c>
      <c r="J118" s="53">
        <f>C120+C119+D120</f>
        <v>143</v>
      </c>
      <c r="K118" t="s">
        <v>91</v>
      </c>
      <c r="N118" s="26" t="s">
        <v>584</v>
      </c>
      <c r="S118" s="50" t="e">
        <f>MIN(S116:S117)</f>
        <v>#N/A</v>
      </c>
      <c r="T118" s="50" t="e">
        <f>MIN(T116:T117)</f>
        <v>#N/A</v>
      </c>
      <c r="U118" s="50" t="s">
        <v>460</v>
      </c>
      <c r="AF118" s="50" t="e">
        <f>IF(J34=0,0,+L52*0.9*J22*10^-3)</f>
        <v>#N/A</v>
      </c>
      <c r="AG118" t="s">
        <v>445</v>
      </c>
      <c r="AH118" s="26" t="s">
        <v>594</v>
      </c>
      <c r="AI118" s="50"/>
      <c r="AJ118" s="50"/>
      <c r="AK118" s="50" t="e">
        <f>AE120</f>
        <v>#N/A</v>
      </c>
      <c r="AL118" s="50"/>
      <c r="AM118" s="50"/>
      <c r="AN118" s="50"/>
      <c r="AO118" s="50"/>
      <c r="AP118" s="50"/>
      <c r="AQ118" s="50"/>
      <c r="AR118" s="50" t="e">
        <f>AF120</f>
        <v>#N/A</v>
      </c>
      <c r="AS118" s="50"/>
      <c r="AT118" s="50"/>
      <c r="AU118" s="50"/>
      <c r="AV118" t="str">
        <f t="shared" si="20"/>
        <v>R [kN]</v>
      </c>
      <c r="BO118" s="26" t="s">
        <v>451</v>
      </c>
      <c r="BP118" t="e">
        <f>BP117+BP116</f>
        <v>#N/A</v>
      </c>
      <c r="BQ118" t="e">
        <f>BP118*10^-12</f>
        <v>#N/A</v>
      </c>
      <c r="BR118" t="s">
        <v>419</v>
      </c>
    </row>
    <row r="119" spans="2:70" ht="15" customHeight="1">
      <c r="C119" s="172">
        <v>50</v>
      </c>
      <c r="G119" t="s">
        <v>592</v>
      </c>
      <c r="H119" t="s">
        <v>595</v>
      </c>
      <c r="I119" t="s">
        <v>120</v>
      </c>
      <c r="J119" s="53">
        <f>-J118-C121-F121/2+F118</f>
        <v>92</v>
      </c>
      <c r="K119" t="s">
        <v>91</v>
      </c>
      <c r="L119" s="53"/>
      <c r="N119" s="26" t="s">
        <v>596</v>
      </c>
      <c r="O119" s="50" t="e">
        <f>$L$52*$AH$8/2*$J$23*10^-3*($J$23/2-$J$42)/$J$43</f>
        <v>#N/A</v>
      </c>
      <c r="P119" s="50" t="e">
        <f>$L$52*$AH$8/2*$J$23*10^-3*($J$23/2-$L$42)/$L$43</f>
        <v>#N/A</v>
      </c>
      <c r="Q119" s="50" t="e">
        <f>-($AI$30+$AI$31+$AL$16*($L$60+$L$61)+$AL$22*($L$62+$L$63))*($J$42-$J$24/3)/$J$43</f>
        <v>#N/A</v>
      </c>
      <c r="R119" s="50" t="e">
        <f>-($AL$31+$AL$32+$AN$16*($L$60+$L$61)+$AN$22*($L$62+$L$63))*($L$42-$J$24/3)/$L$43</f>
        <v>#N/A</v>
      </c>
      <c r="S119" s="50" t="e">
        <f t="shared" ref="S119:T121" si="21">O119+Q119</f>
        <v>#N/A</v>
      </c>
      <c r="T119" s="50" t="e">
        <f t="shared" si="21"/>
        <v>#N/A</v>
      </c>
      <c r="U119" t="s">
        <v>597</v>
      </c>
      <c r="AH119" s="26" t="s">
        <v>346</v>
      </c>
      <c r="AI119" s="52">
        <f t="shared" ref="AI119:AU119" si="22">AI115</f>
        <v>0</v>
      </c>
      <c r="AJ119" s="52" t="e">
        <f t="shared" si="22"/>
        <v>#N/A</v>
      </c>
      <c r="AK119" s="52" t="e">
        <f t="shared" si="22"/>
        <v>#N/A</v>
      </c>
      <c r="AL119" s="52" t="e">
        <f t="shared" si="22"/>
        <v>#N/A</v>
      </c>
      <c r="AM119" s="52" t="e">
        <f t="shared" si="22"/>
        <v>#N/A</v>
      </c>
      <c r="AN119" s="52" t="e">
        <f t="shared" si="22"/>
        <v>#N/A</v>
      </c>
      <c r="AO119" s="52" t="e">
        <f t="shared" si="22"/>
        <v>#N/A</v>
      </c>
      <c r="AP119" s="52" t="e">
        <f t="shared" si="22"/>
        <v>#N/A</v>
      </c>
      <c r="AQ119" s="52" t="e">
        <f t="shared" si="22"/>
        <v>#N/A</v>
      </c>
      <c r="AR119" s="52" t="e">
        <f t="shared" si="22"/>
        <v>#N/A</v>
      </c>
      <c r="AS119" s="52" t="e">
        <f t="shared" si="22"/>
        <v>#N/A</v>
      </c>
      <c r="AT119" s="52" t="e">
        <f t="shared" si="22"/>
        <v>#N/A</v>
      </c>
      <c r="AU119" s="52" t="e">
        <f t="shared" si="22"/>
        <v>#N/A</v>
      </c>
      <c r="AV119" t="str">
        <f t="shared" si="20"/>
        <v>snit, x= [m]</v>
      </c>
      <c r="BH119" t="s">
        <v>506</v>
      </c>
    </row>
    <row r="120" spans="2:70" ht="15" customHeight="1">
      <c r="C120" s="128">
        <v>50</v>
      </c>
      <c r="D120" s="168">
        <f>25+10+J122/2</f>
        <v>43</v>
      </c>
      <c r="F120" s="19">
        <f>G329</f>
        <v>80</v>
      </c>
      <c r="G120" s="79" t="s">
        <v>598</v>
      </c>
      <c r="H120" t="s">
        <v>599</v>
      </c>
      <c r="I120" t="s">
        <v>120</v>
      </c>
      <c r="J120" s="74" t="e">
        <f>MAXA(J115,J116)*(J118+J119)/J119</f>
        <v>#N/A</v>
      </c>
      <c r="K120" t="s">
        <v>460</v>
      </c>
      <c r="N120" s="26" t="s">
        <v>600</v>
      </c>
      <c r="O120" s="50" t="e">
        <f>$O$49*$AH$8/2*$J$23*10^-3*($J$23/2-$J$42)/$J$43+$L$50*$AH$8/2*($AG$23+$AH$23)</f>
        <v>#N/A</v>
      </c>
      <c r="P120" s="50" t="e">
        <f>$O$49*$AH$8/2*$J$23*10^-3*($J$23/2-$L$42)/$L$43+$L$50*$AH$8/2*($AG$24+$AH$24)</f>
        <v>#N/A</v>
      </c>
      <c r="Q120" s="50" t="e">
        <f>-($AI$29+$AL$16*$N$60+$AL$22*$N$62)*($J$42-$J$24/3)/$J$43</f>
        <v>#N/A</v>
      </c>
      <c r="R120" s="50" t="e">
        <f>-($AL$30+$AN$16*$N$60+$AN$22*$N$62)*($L$42-$J$24/3)/$L$43</f>
        <v>#N/A</v>
      </c>
      <c r="S120" s="50" t="e">
        <f t="shared" si="21"/>
        <v>#N/A</v>
      </c>
      <c r="T120" s="50" t="e">
        <f t="shared" si="21"/>
        <v>#N/A</v>
      </c>
      <c r="U120" s="50" t="s">
        <v>585</v>
      </c>
      <c r="AD120" s="50"/>
      <c r="AE120" s="69" t="e">
        <f>AD116*AE117+AF116+AF118*AF117-AF126-AF120</f>
        <v>#N/A</v>
      </c>
      <c r="AF120" s="77" t="e">
        <f>(AD116*AE117*(AE117/2-AD123)+AF116*(AE117-AD123)+AF118*AF117*(AE117-AD123+AF117/2))/AE123-AF126</f>
        <v>#N/A</v>
      </c>
      <c r="AG120" t="s">
        <v>460</v>
      </c>
      <c r="AH120" s="26" t="s">
        <v>601</v>
      </c>
      <c r="AI120" s="50">
        <v>0</v>
      </c>
      <c r="AJ120" s="50" t="e">
        <f>-AJ116*AJ115^2/2</f>
        <v>#N/A</v>
      </c>
      <c r="AK120" s="50" t="e">
        <f>AJ120</f>
        <v>#N/A</v>
      </c>
      <c r="AL120" s="50" t="e">
        <f>AK118*(AL115-AK115)-AL116*AL115^2/2</f>
        <v>#N/A</v>
      </c>
      <c r="AM120" s="50" t="e">
        <f>AK118*(AM115-AK115)-AM116*AM115^2/2</f>
        <v>#N/A</v>
      </c>
      <c r="AN120" s="50" t="e">
        <f>AK118*(AN115-AK115)-AN116*AN115^2/2</f>
        <v>#N/A</v>
      </c>
      <c r="AO120" s="50" t="e">
        <f>AK118*(AO115-AK115)-AO116*AO115^2/2</f>
        <v>#N/A</v>
      </c>
      <c r="AP120" s="50" t="e">
        <f>AO120</f>
        <v>#N/A</v>
      </c>
      <c r="AQ120" s="50" t="e">
        <f>IF(AQ112="&lt;",+AK118*(AQ115-AK115)-AO116*AO115*(AO115/2+(AQ115-AO115))-AQ116*(AQ115-AO115)^2/2-AP117*(AQ115-AP115),-AT116*(AU115-AQ115)^2/2)</f>
        <v>#N/A</v>
      </c>
      <c r="AR120" s="50" t="e">
        <f>AQ120</f>
        <v>#N/A</v>
      </c>
      <c r="AS120" s="50" t="e">
        <f>AT120</f>
        <v>#N/A</v>
      </c>
      <c r="AT120" s="50" t="e">
        <f>-AT116*(AU115-AT115)^2/2</f>
        <v>#N/A</v>
      </c>
      <c r="AU120" s="50">
        <v>0</v>
      </c>
      <c r="AV120" t="str">
        <f t="shared" si="20"/>
        <v>M [kNm]</v>
      </c>
      <c r="BH120" t="str">
        <f>BH90</f>
        <v>exclusive last fra naboelem._plade (p)</v>
      </c>
      <c r="BL120" t="str">
        <f>BL90</f>
        <v>langtidslast</v>
      </c>
    </row>
    <row r="121" spans="2:70" ht="15" customHeight="1">
      <c r="C121" s="170">
        <v>50</v>
      </c>
      <c r="F121" s="33">
        <v>30</v>
      </c>
      <c r="G121" s="67" t="str">
        <f>"armering "&amp;FIXED(H330,0)&amp;+I330&amp;FIXED(J330,0)</f>
        <v>armering 1K8</v>
      </c>
      <c r="H121" t="s">
        <v>602</v>
      </c>
      <c r="I121" t="s">
        <v>120</v>
      </c>
      <c r="J121" s="74" t="e">
        <f>J120*J118/(J118+J119)</f>
        <v>#N/A</v>
      </c>
      <c r="K121" t="s">
        <v>460</v>
      </c>
      <c r="N121" s="26" t="s">
        <v>600</v>
      </c>
      <c r="O121" s="50" t="e">
        <f>$N$49*$AH$8/2*$J$23*10^-3*($J$23/2-$J$42)/$J$43+$L$50*$AH$8/2*($AG$23+$AH$23)</f>
        <v>#N/A</v>
      </c>
      <c r="P121" s="50" t="e">
        <f>$N$49*$AH$8/2*$J$23*10^-3*($J$23/2-$L$42)/$L$43+$L$50*$AH$8/2*($AG$24+$AH$24)</f>
        <v>#N/A</v>
      </c>
      <c r="Q121" s="50" t="e">
        <f>-($AI$30+$AL$16*$L$60+$AL$22*$L$62)*($J$42-$J$24/3)/$J$43</f>
        <v>#N/A</v>
      </c>
      <c r="R121" s="50" t="e">
        <f>-($AL$31+$AN$16*$L$60+$AN$22*$L$62)*($L$42-$J$24/3)/$L$43</f>
        <v>#N/A</v>
      </c>
      <c r="S121" s="50" t="e">
        <f t="shared" si="21"/>
        <v>#N/A</v>
      </c>
      <c r="T121" s="50" t="e">
        <f t="shared" si="21"/>
        <v>#N/A</v>
      </c>
      <c r="U121" s="50" t="s">
        <v>589</v>
      </c>
      <c r="AD121" s="50"/>
      <c r="AE121" s="50"/>
      <c r="AF121" s="50"/>
      <c r="AH121" s="26" t="s">
        <v>603</v>
      </c>
      <c r="AI121" s="50">
        <v>0</v>
      </c>
      <c r="AJ121" s="50" t="e">
        <f>-AJ116*AJ115</f>
        <v>#N/A</v>
      </c>
      <c r="AK121" s="50" t="e">
        <f>AJ121+AK118</f>
        <v>#N/A</v>
      </c>
      <c r="AL121" s="50" t="e">
        <f>AK121-AL116*(AL115-AK115)</f>
        <v>#N/A</v>
      </c>
      <c r="AM121" s="50" t="e">
        <f>AL121-AM116*(AM115-AL115)</f>
        <v>#N/A</v>
      </c>
      <c r="AN121" s="50" t="e">
        <f>AM121-AN116*(AN115-AM115)</f>
        <v>#N/A</v>
      </c>
      <c r="AO121" s="50" t="e">
        <f>AK121-AO116*(AO115-AJ115)</f>
        <v>#N/A</v>
      </c>
      <c r="AP121" s="50" t="e">
        <f>AO121-AP117</f>
        <v>#N/A</v>
      </c>
      <c r="AQ121" s="50" t="e">
        <f>AP121-AQ116*(AQ115-AP115)</f>
        <v>#N/A</v>
      </c>
      <c r="AR121" s="50" t="e">
        <f>AQ121-AR117+AR118</f>
        <v>#N/A</v>
      </c>
      <c r="AS121" s="50" t="e">
        <f>AR121-AS116*(AS115-AR115)</f>
        <v>#N/A</v>
      </c>
      <c r="AT121" s="50" t="e">
        <f>AS121-AT117</f>
        <v>#N/A</v>
      </c>
      <c r="AU121" s="50" t="e">
        <f>AT121-AU116*(AU115-AT115)</f>
        <v>#N/A</v>
      </c>
      <c r="AV121" t="str">
        <f t="shared" si="20"/>
        <v>V [kN]</v>
      </c>
      <c r="BH121" s="29" t="s">
        <v>409</v>
      </c>
      <c r="BI121" s="26" t="s">
        <v>410</v>
      </c>
      <c r="BJ121" s="26" t="s">
        <v>411</v>
      </c>
      <c r="BK121" s="26" t="s">
        <v>412</v>
      </c>
      <c r="BL121" s="26" t="s">
        <v>413</v>
      </c>
      <c r="BM121" s="26" t="s">
        <v>414</v>
      </c>
      <c r="BN121" s="26" t="s">
        <v>415</v>
      </c>
      <c r="BO121" s="26" t="s">
        <v>416</v>
      </c>
      <c r="BP121" s="26" t="s">
        <v>417</v>
      </c>
    </row>
    <row r="122" spans="2:70" ht="15" customHeight="1">
      <c r="E122" s="19" t="s">
        <v>252</v>
      </c>
      <c r="G122" t="s">
        <v>604</v>
      </c>
      <c r="H122" s="65">
        <v>1</v>
      </c>
      <c r="I122" s="113" t="s">
        <v>599</v>
      </c>
      <c r="J122" s="65">
        <v>16</v>
      </c>
      <c r="K122" t="s">
        <v>266</v>
      </c>
      <c r="N122">
        <f>IF(OR(P122="R",P122="H"),CODE(P122),CODE(I122))</f>
        <v>72</v>
      </c>
      <c r="O122">
        <f>HLOOKUP(N122,$AA$320:$AZ$328,6)</f>
        <v>355</v>
      </c>
      <c r="P122" s="19" t="str">
        <f>IF(I122="R1","R",IF(I122="R3","H"," "))</f>
        <v>H</v>
      </c>
      <c r="AD122" s="69" t="s">
        <v>605</v>
      </c>
      <c r="AE122" s="69" t="s">
        <v>606</v>
      </c>
      <c r="AF122" s="69" t="s">
        <v>607</v>
      </c>
      <c r="AH122" s="26" t="s">
        <v>437</v>
      </c>
      <c r="AI122" s="50">
        <f t="shared" ref="AI122:AU122" si="23">SQRT(AI121^2)</f>
        <v>0</v>
      </c>
      <c r="AJ122" s="50" t="e">
        <f t="shared" si="23"/>
        <v>#N/A</v>
      </c>
      <c r="AK122" s="50" t="e">
        <f t="shared" si="23"/>
        <v>#N/A</v>
      </c>
      <c r="AL122" s="50" t="e">
        <f t="shared" si="23"/>
        <v>#N/A</v>
      </c>
      <c r="AM122" s="50" t="e">
        <f t="shared" si="23"/>
        <v>#N/A</v>
      </c>
      <c r="AN122" s="50" t="e">
        <f t="shared" si="23"/>
        <v>#N/A</v>
      </c>
      <c r="AO122" s="50" t="e">
        <f t="shared" si="23"/>
        <v>#N/A</v>
      </c>
      <c r="AP122" s="50" t="e">
        <f t="shared" si="23"/>
        <v>#N/A</v>
      </c>
      <c r="AQ122" s="50" t="e">
        <f t="shared" si="23"/>
        <v>#N/A</v>
      </c>
      <c r="AR122" s="50" t="e">
        <f t="shared" si="23"/>
        <v>#N/A</v>
      </c>
      <c r="AS122" s="50" t="e">
        <f t="shared" si="23"/>
        <v>#N/A</v>
      </c>
      <c r="AT122" s="50" t="e">
        <f t="shared" si="23"/>
        <v>#N/A</v>
      </c>
      <c r="AU122" s="50" t="e">
        <f t="shared" si="23"/>
        <v>#N/A</v>
      </c>
      <c r="AV122" t="str">
        <f t="shared" si="20"/>
        <v>|V| ialt [kN]</v>
      </c>
      <c r="BH122" s="16"/>
      <c r="BI122" s="147" t="s">
        <v>423</v>
      </c>
      <c r="BJ122" s="148" t="s">
        <v>91</v>
      </c>
      <c r="BK122" s="148" t="s">
        <v>91</v>
      </c>
      <c r="BL122" s="148" t="s">
        <v>114</v>
      </c>
      <c r="BM122" s="148" t="s">
        <v>91</v>
      </c>
      <c r="BN122" s="148" t="s">
        <v>424</v>
      </c>
      <c r="BO122" s="148" t="s">
        <v>423</v>
      </c>
      <c r="BP122" s="148" t="s">
        <v>425</v>
      </c>
    </row>
    <row r="123" spans="2:70" ht="15" customHeight="1">
      <c r="H123" t="s">
        <v>504</v>
      </c>
      <c r="I123" t="s">
        <v>120</v>
      </c>
      <c r="J123" s="53">
        <f>IF(J122&gt;16,+O122-10,+O122)</f>
        <v>355</v>
      </c>
      <c r="K123" t="s">
        <v>36</v>
      </c>
      <c r="AD123" s="56" t="e">
        <f>J41*10^-3</f>
        <v>#N/A</v>
      </c>
      <c r="AE123" s="56" t="e">
        <f>J43*10^-3</f>
        <v>#N/A</v>
      </c>
      <c r="AF123" s="56" t="e">
        <f>J42*10^-3</f>
        <v>#N/A</v>
      </c>
      <c r="AG123" t="s">
        <v>40</v>
      </c>
      <c r="AH123" s="184"/>
      <c r="AI123" s="50"/>
      <c r="BH123" s="29" t="s">
        <v>430</v>
      </c>
      <c r="BI123">
        <v>1</v>
      </c>
      <c r="BJ123" s="76" t="e">
        <f>CA17</f>
        <v>#N/A</v>
      </c>
      <c r="BK123" s="76" t="e">
        <f>CA19</f>
        <v>#N/A</v>
      </c>
      <c r="BL123" s="53" t="e">
        <f>BI123*BJ123*BK123</f>
        <v>#N/A</v>
      </c>
      <c r="BM123">
        <v>0</v>
      </c>
      <c r="BN123" t="e">
        <f>BM123*BL123</f>
        <v>#N/A</v>
      </c>
      <c r="BO123">
        <f>1/12</f>
        <v>8.3333333333333329E-2</v>
      </c>
      <c r="BP123" s="53" t="e">
        <f>BO123*BJ123*BK123^3</f>
        <v>#N/A</v>
      </c>
    </row>
    <row r="124" spans="2:70" ht="15" customHeight="1">
      <c r="F124" s="32" t="s">
        <v>608</v>
      </c>
      <c r="G124" t="s">
        <v>609</v>
      </c>
      <c r="H124" t="s">
        <v>286</v>
      </c>
      <c r="I124" t="s">
        <v>120</v>
      </c>
      <c r="J124" s="53">
        <f>J123/N15</f>
        <v>295.83333333333337</v>
      </c>
      <c r="K124" t="s">
        <v>36</v>
      </c>
      <c r="N124" s="61" t="e">
        <f>IF(M334="accept"," ","Ophængsbjl. ikke stærk nok")</f>
        <v>#N/A</v>
      </c>
      <c r="AF124" s="55" t="s">
        <v>392</v>
      </c>
      <c r="AH124" s="26"/>
      <c r="AI124" s="52"/>
      <c r="AJ124" s="52"/>
      <c r="AK124" s="52"/>
      <c r="AL124" s="52"/>
      <c r="AM124" s="52"/>
      <c r="AN124" s="52"/>
      <c r="BH124" s="29" t="s">
        <v>435</v>
      </c>
      <c r="BI124" s="47">
        <f>CA10</f>
        <v>32.119514472455656</v>
      </c>
      <c r="BJ124" s="76" t="e">
        <f>CA13</f>
        <v>#N/A</v>
      </c>
      <c r="BK124" s="53">
        <v>1</v>
      </c>
      <c r="BL124" s="53" t="e">
        <f>BI124*BJ124*BK124</f>
        <v>#N/A</v>
      </c>
      <c r="BM124" s="47" t="e">
        <f>BU18-BU19/2</f>
        <v>#N/A</v>
      </c>
      <c r="BN124" t="e">
        <f>BM124*BL124</f>
        <v>#N/A</v>
      </c>
      <c r="BP124" s="53" t="e">
        <f>BL124*BM124^2</f>
        <v>#N/A</v>
      </c>
    </row>
    <row r="125" spans="2:70" ht="15" customHeight="1">
      <c r="C125" t="e">
        <f>IF(J116&gt;J115,"R1","R2")</f>
        <v>#N/A</v>
      </c>
      <c r="H125" t="s">
        <v>293</v>
      </c>
      <c r="I125" t="s">
        <v>120</v>
      </c>
      <c r="J125" s="53">
        <f>2*J122^2/4*PI()*H122</f>
        <v>402.12385965949352</v>
      </c>
      <c r="K125" t="s">
        <v>114</v>
      </c>
      <c r="N125" s="61" t="e">
        <f>IF(M345="accept"," ","For stor stålspænding i rør")</f>
        <v>#N/A</v>
      </c>
      <c r="AB125" t="s">
        <v>1150</v>
      </c>
      <c r="AI125" s="50"/>
      <c r="AJ125" s="50"/>
      <c r="AK125" s="50"/>
      <c r="AL125" s="50"/>
      <c r="AM125" s="50"/>
      <c r="AN125" s="50"/>
      <c r="BH125" s="29" t="s">
        <v>438</v>
      </c>
      <c r="BI125">
        <f>BI124</f>
        <v>32.119514472455656</v>
      </c>
      <c r="BJ125" s="53" t="e">
        <f>Q96</f>
        <v>#N/A</v>
      </c>
      <c r="BK125">
        <v>1</v>
      </c>
      <c r="BL125" s="152" t="e">
        <f>BI125*BJ125*BK125</f>
        <v>#N/A</v>
      </c>
      <c r="BM125" s="47" t="e">
        <f>-BM124</f>
        <v>#N/A</v>
      </c>
      <c r="BN125" s="14" t="e">
        <f>BM125*BL125</f>
        <v>#N/A</v>
      </c>
      <c r="BP125" s="152" t="e">
        <f>BL125*BM125^2</f>
        <v>#N/A</v>
      </c>
    </row>
    <row r="126" spans="2:70" ht="15" customHeight="1">
      <c r="C126" s="26"/>
      <c r="E126" t="s">
        <v>599</v>
      </c>
      <c r="F126" s="19" t="s">
        <v>610</v>
      </c>
      <c r="G126" t="s">
        <v>611</v>
      </c>
      <c r="H126" s="74">
        <f>J125*J124*10^-3</f>
        <v>118.96164181593352</v>
      </c>
      <c r="J126" t="s">
        <v>460</v>
      </c>
      <c r="K126" t="e">
        <f>IF(H126&gt;L126,"&gt;","&lt;")</f>
        <v>#N/A</v>
      </c>
      <c r="L126" s="74" t="e">
        <f>J120</f>
        <v>#N/A</v>
      </c>
      <c r="M126" t="e">
        <f>IF(H126&gt;L126,"accept","forkast")</f>
        <v>#N/A</v>
      </c>
      <c r="N126" s="164" t="e">
        <f>IF(M126="forkast","NB!"," ")</f>
        <v>#N/A</v>
      </c>
      <c r="O126" s="85" t="s">
        <v>612</v>
      </c>
      <c r="P126" s="179" t="e">
        <f>L126/H126</f>
        <v>#N/A</v>
      </c>
      <c r="AB126" t="s">
        <v>1151</v>
      </c>
      <c r="AE126" s="19" t="s">
        <v>613</v>
      </c>
      <c r="AF126" s="69" t="e">
        <f>IF(AF117=AF123,+AF116,0)</f>
        <v>#N/A</v>
      </c>
      <c r="AG126" t="s">
        <v>460</v>
      </c>
      <c r="AI126" s="50"/>
      <c r="AJ126" s="50"/>
      <c r="AK126" s="50"/>
      <c r="BH126" s="29"/>
      <c r="BK126" s="26" t="s">
        <v>440</v>
      </c>
      <c r="BL126" t="e">
        <f>SUM(BL123:BL125)</f>
        <v>#N/A</v>
      </c>
      <c r="BM126" s="26" t="s">
        <v>441</v>
      </c>
      <c r="BN126" t="e">
        <f>SUM(BN123:BN125)</f>
        <v>#N/A</v>
      </c>
      <c r="BO126" s="26" t="s">
        <v>442</v>
      </c>
      <c r="BP126" t="e">
        <f>SUM(BP123:BP125)</f>
        <v>#N/A</v>
      </c>
    </row>
    <row r="127" spans="2:70" ht="15" customHeight="1">
      <c r="H127" s="180" t="str">
        <f>IF(AND(I128="RF",H128="1.4301")," ",IF(AND(I128="RF",H128="1.4462")," ",IF(I128="RF","       \/-----SKRIV 1.4301 eller 1.4462"," ")))</f>
        <v xml:space="preserve"> </v>
      </c>
      <c r="T127" s="50"/>
      <c r="W127" s="26" t="s">
        <v>614</v>
      </c>
      <c r="AC127" s="26" t="s">
        <v>615</v>
      </c>
      <c r="AD127" s="56" t="e">
        <f>AE117-AD123</f>
        <v>#N/A</v>
      </c>
      <c r="AF127" s="254"/>
      <c r="AG127" s="254" t="s">
        <v>616</v>
      </c>
      <c r="AI127" s="74"/>
      <c r="AJ127" s="74"/>
      <c r="AK127" s="74"/>
      <c r="BH127" s="29"/>
      <c r="BJ127" s="155" t="s">
        <v>446</v>
      </c>
      <c r="BM127" s="26" t="s">
        <v>447</v>
      </c>
      <c r="BN127" s="74" t="e">
        <f>BN126/BL126</f>
        <v>#N/A</v>
      </c>
      <c r="BO127" s="26" t="s">
        <v>448</v>
      </c>
      <c r="BP127" s="14" t="e">
        <f>-BL126*BN127^2</f>
        <v>#N/A</v>
      </c>
    </row>
    <row r="128" spans="2:70" ht="15" customHeight="1">
      <c r="C128" s="26" t="s">
        <v>617</v>
      </c>
      <c r="E128" s="26" t="s">
        <v>595</v>
      </c>
      <c r="G128" t="s">
        <v>618</v>
      </c>
      <c r="H128" s="181" t="str">
        <f>IF(I128="RF","1.4xxx"," ")</f>
        <v xml:space="preserve"> </v>
      </c>
      <c r="I128" s="113" t="s">
        <v>69</v>
      </c>
      <c r="J128" t="str">
        <f>IF(I128="RF","  ",IF(I128="S","355"," "))</f>
        <v>355</v>
      </c>
      <c r="K128" t="str">
        <f>"fyk = "&amp;FIXED(O128,0,TRUE)&amp;" N/mm2"</f>
        <v>fyk = 325 N/mm2</v>
      </c>
      <c r="O128" s="26">
        <f>IF(AND(I128="RF",H128="1.4462"),450,IF(AND(I128="RF",H128="1.4301"),190,IF(AND(I128="S",J129&lt;=80),325,IF(AND(I128="S",J129&gt;80),315,"FEJL"))))</f>
        <v>325</v>
      </c>
      <c r="P128" t="s">
        <v>619</v>
      </c>
      <c r="T128" s="50" t="e">
        <f>J115*10^3*J118/J130</f>
        <v>#N/A</v>
      </c>
      <c r="U128" t="s">
        <v>36</v>
      </c>
      <c r="V128" s="53">
        <f>J129^3*PI()/32</f>
        <v>26961.246327878031</v>
      </c>
      <c r="W128" s="53">
        <f>J129^3/6</f>
        <v>45770.833333333336</v>
      </c>
      <c r="X128" t="s">
        <v>424</v>
      </c>
      <c r="AC128" s="26" t="s">
        <v>1177</v>
      </c>
      <c r="AD128" s="56" t="e">
        <f>AE123+AF123-AF131</f>
        <v>#N/A</v>
      </c>
      <c r="AG128" t="s">
        <v>620</v>
      </c>
      <c r="AI128" s="52"/>
      <c r="AJ128" s="52"/>
      <c r="AK128" s="52"/>
      <c r="AL128" s="52"/>
      <c r="AM128" s="52"/>
      <c r="AN128" s="52"/>
      <c r="AO128" t="s">
        <v>621</v>
      </c>
      <c r="AS128" s="69" t="e">
        <f>MINA(AI120:AU120)</f>
        <v>#N/A</v>
      </c>
      <c r="AT128" t="s">
        <v>147</v>
      </c>
      <c r="BO128" s="26" t="s">
        <v>451</v>
      </c>
      <c r="BP128" t="e">
        <f>BP127+BP126</f>
        <v>#N/A</v>
      </c>
      <c r="BQ128" t="e">
        <f>BP128*10^-12</f>
        <v>#N/A</v>
      </c>
      <c r="BR128" t="s">
        <v>419</v>
      </c>
    </row>
    <row r="129" spans="1:70" ht="15" customHeight="1">
      <c r="G129" t="s">
        <v>622</v>
      </c>
      <c r="I129" t="s">
        <v>623</v>
      </c>
      <c r="J129" s="65">
        <v>65</v>
      </c>
      <c r="K129" t="s">
        <v>91</v>
      </c>
      <c r="T129" s="50" t="e">
        <f>J115*10^3/V129</f>
        <v>#N/A</v>
      </c>
      <c r="U129" t="s">
        <v>36</v>
      </c>
      <c r="V129" s="53">
        <f>J129^2/4*PI()</f>
        <v>3318.3072403542192</v>
      </c>
      <c r="X129" t="s">
        <v>114</v>
      </c>
      <c r="AC129" s="26" t="s">
        <v>1178</v>
      </c>
      <c r="AD129" s="69" t="e">
        <f>AD128/AD127</f>
        <v>#N/A</v>
      </c>
      <c r="AI129" s="50"/>
      <c r="AJ129" s="50"/>
      <c r="AK129" s="50"/>
      <c r="AL129" s="50"/>
      <c r="AM129" s="50"/>
      <c r="AN129" s="50"/>
      <c r="AO129" t="s">
        <v>624</v>
      </c>
      <c r="AS129" s="69" t="e">
        <f>MAXA(AI120:AU120)</f>
        <v>#N/A</v>
      </c>
      <c r="AT129" t="s">
        <v>147</v>
      </c>
      <c r="BH129" t="s">
        <v>454</v>
      </c>
      <c r="BM129" t="s">
        <v>9</v>
      </c>
    </row>
    <row r="130" spans="1:70" ht="15" customHeight="1">
      <c r="H130" t="str">
        <f>IF(N130="ja","Wplast","Welast")</f>
        <v>Welast</v>
      </c>
      <c r="I130" t="s">
        <v>120</v>
      </c>
      <c r="J130" s="100">
        <f>IF(N130="ja",+W128,IF(N130="nej",+V128,"fejl"))</f>
        <v>26961.246327878031</v>
      </c>
      <c r="K130" t="s">
        <v>424</v>
      </c>
      <c r="N130" s="172" t="str">
        <f>IF(R4="ja","ja","nej")</f>
        <v>nej</v>
      </c>
      <c r="O130" s="85" t="s">
        <v>625</v>
      </c>
      <c r="AB130" s="32" t="s">
        <v>1152</v>
      </c>
      <c r="AF130" s="52">
        <f>J24*10^-3</f>
        <v>0.12</v>
      </c>
      <c r="AG130" s="32" t="s">
        <v>40</v>
      </c>
      <c r="AI130" s="50"/>
      <c r="AJ130" s="50"/>
      <c r="AK130" s="50"/>
      <c r="AL130" s="50"/>
      <c r="AM130" s="50"/>
      <c r="AN130" s="50"/>
      <c r="AO130" t="s">
        <v>626</v>
      </c>
      <c r="AS130" s="69" t="e">
        <f>MAXA(AI122:AO122)</f>
        <v>#N/A</v>
      </c>
      <c r="AT130" t="s">
        <v>460</v>
      </c>
      <c r="BH130" t="str">
        <f>BH120</f>
        <v>exclusive last fra naboelem._plade (p)</v>
      </c>
      <c r="BL130" t="s">
        <v>481</v>
      </c>
    </row>
    <row r="131" spans="1:70" ht="15" customHeight="1">
      <c r="G131" t="s">
        <v>627</v>
      </c>
      <c r="H131" s="53" t="e">
        <f>SQRT(T128^2+3*T129^2)</f>
        <v>#N/A</v>
      </c>
      <c r="J131" s="74" t="s">
        <v>36</v>
      </c>
      <c r="K131" t="e">
        <f>IF(H131&lt;L131,"&lt;","&gt;")</f>
        <v>#N/A</v>
      </c>
      <c r="L131" s="53">
        <f>O128/N16</f>
        <v>295.45454545454544</v>
      </c>
      <c r="M131" t="e">
        <f>IF(H131&gt;L131,"forkast","accept")</f>
        <v>#N/A</v>
      </c>
      <c r="N131" s="164" t="e">
        <f>IF(M131="forkast","NB!"," ")</f>
        <v>#N/A</v>
      </c>
      <c r="O131" s="85" t="s">
        <v>628</v>
      </c>
      <c r="AC131" s="26" t="s">
        <v>471</v>
      </c>
      <c r="AD131" s="106" t="e">
        <f>AE123+AF123-AF117+(F42-(J24-20)/2)/2*10^-3</f>
        <v>#N/A</v>
      </c>
      <c r="AF131" s="52">
        <f>(AF130-0.02)/2</f>
        <v>4.9999999999999996E-2</v>
      </c>
      <c r="AG131" s="32" t="s">
        <v>40</v>
      </c>
      <c r="AI131" s="50"/>
      <c r="AJ131" s="50"/>
      <c r="AK131" s="50"/>
      <c r="AL131" s="50"/>
      <c r="AM131" s="50"/>
      <c r="AN131" s="50"/>
      <c r="AO131" t="s">
        <v>629</v>
      </c>
      <c r="AS131" s="69" t="e">
        <f>MAXA(AP122:AQ122)</f>
        <v>#N/A</v>
      </c>
      <c r="AT131" t="s">
        <v>460</v>
      </c>
      <c r="BH131" s="29" t="s">
        <v>409</v>
      </c>
      <c r="BI131" s="26" t="s">
        <v>410</v>
      </c>
      <c r="BJ131" s="26" t="s">
        <v>411</v>
      </c>
      <c r="BK131" s="26" t="s">
        <v>412</v>
      </c>
      <c r="BL131" s="26" t="s">
        <v>413</v>
      </c>
      <c r="BM131" s="26" t="s">
        <v>414</v>
      </c>
      <c r="BN131" s="26" t="s">
        <v>415</v>
      </c>
      <c r="BO131" s="26" t="s">
        <v>416</v>
      </c>
      <c r="BP131" s="26" t="s">
        <v>417</v>
      </c>
    </row>
    <row r="132" spans="1:70" ht="15" customHeight="1">
      <c r="G132" t="s">
        <v>630</v>
      </c>
      <c r="H132" t="s">
        <v>609</v>
      </c>
      <c r="I132" t="s">
        <v>120</v>
      </c>
      <c r="J132" s="65">
        <v>122</v>
      </c>
      <c r="K132" t="s">
        <v>91</v>
      </c>
      <c r="O132" s="26" t="s">
        <v>631</v>
      </c>
      <c r="P132" s="50">
        <f>SQRT((P134+0.25*F121)*J132/(J129*F121))</f>
        <v>2.055012633313217</v>
      </c>
      <c r="Q132" s="50">
        <f>0.7+0.5*P134/J129</f>
        <v>1.1615384615384614</v>
      </c>
      <c r="R132" s="50">
        <f>MAXA(P132:Q132)</f>
        <v>2.055012633313217</v>
      </c>
      <c r="AC132" s="26" t="s">
        <v>1153</v>
      </c>
      <c r="AD132" s="369" t="e">
        <f>AD131/AD127</f>
        <v>#N/A</v>
      </c>
      <c r="AF132" s="74" t="e">
        <f>IF(J34=0,0,+AI30+AI31)</f>
        <v>#N/A</v>
      </c>
      <c r="AG132" s="32" t="s">
        <v>460</v>
      </c>
      <c r="AO132" t="s">
        <v>632</v>
      </c>
      <c r="AS132" s="69" t="e">
        <f>MAXA(AR122:AU122)</f>
        <v>#N/A</v>
      </c>
      <c r="AT132" t="s">
        <v>460</v>
      </c>
      <c r="BH132" s="16"/>
      <c r="BI132" s="147" t="s">
        <v>423</v>
      </c>
      <c r="BJ132" s="148" t="s">
        <v>91</v>
      </c>
      <c r="BK132" s="148" t="s">
        <v>91</v>
      </c>
      <c r="BL132" s="148" t="s">
        <v>114</v>
      </c>
      <c r="BM132" s="148" t="s">
        <v>91</v>
      </c>
      <c r="BN132" s="148" t="s">
        <v>424</v>
      </c>
      <c r="BO132" s="148" t="s">
        <v>423</v>
      </c>
      <c r="BP132" s="148" t="s">
        <v>425</v>
      </c>
    </row>
    <row r="133" spans="1:70" ht="15" customHeight="1">
      <c r="G133" t="s">
        <v>633</v>
      </c>
      <c r="H133" s="74" t="e">
        <f>J121*10^3/(J129*F121)</f>
        <v>#N/A</v>
      </c>
      <c r="J133" t="s">
        <v>36</v>
      </c>
      <c r="K133" t="e">
        <f>IF(H133&lt;L133,"&lt;","&gt;")</f>
        <v>#N/A</v>
      </c>
      <c r="L133" s="74">
        <f>R134*J26</f>
        <v>44.035984999568939</v>
      </c>
      <c r="M133" t="e">
        <f>IF(H133&gt;L133,"forkast","accept")</f>
        <v>#N/A</v>
      </c>
      <c r="N133" s="164" t="e">
        <f>IF(M133="forkast","NB!"," ")</f>
        <v>#N/A</v>
      </c>
      <c r="O133" s="26" t="s">
        <v>634</v>
      </c>
      <c r="P133">
        <f>4*F121</f>
        <v>120</v>
      </c>
      <c r="Q133" s="26" t="s">
        <v>635</v>
      </c>
      <c r="R133" s="50">
        <f>SQRT(0.5*(2*P134+J129)*(2*P134+F121)/(J129*F121))</f>
        <v>2.6674678283691851</v>
      </c>
      <c r="AB133" t="s">
        <v>1154</v>
      </c>
      <c r="AF133" s="26"/>
      <c r="BH133" s="29" t="s">
        <v>430</v>
      </c>
      <c r="BI133">
        <v>1</v>
      </c>
      <c r="BJ133" t="e">
        <f>BJ103</f>
        <v>#N/A</v>
      </c>
      <c r="BK133" t="e">
        <f>BK103</f>
        <v>#N/A</v>
      </c>
      <c r="BL133" s="53" t="e">
        <f>BI133*BJ133*BK133</f>
        <v>#N/A</v>
      </c>
      <c r="BM133">
        <f>BM103</f>
        <v>0</v>
      </c>
      <c r="BN133" t="e">
        <f>BM133*BL133</f>
        <v>#N/A</v>
      </c>
      <c r="BO133">
        <f>BO123</f>
        <v>8.3333333333333329E-2</v>
      </c>
      <c r="BP133" s="53" t="e">
        <f>BO133*BJ133*BK133^3</f>
        <v>#N/A</v>
      </c>
    </row>
    <row r="134" spans="1:70" ht="15" customHeight="1">
      <c r="G134" t="s">
        <v>636</v>
      </c>
      <c r="H134" s="74" t="e">
        <f>J301</f>
        <v>#N/A</v>
      </c>
      <c r="J134" t="s">
        <v>460</v>
      </c>
      <c r="K134" t="e">
        <f>IF(H134&lt;L134,"&lt;","&gt;")</f>
        <v>#N/A</v>
      </c>
      <c r="L134" s="74" t="e">
        <f>L301</f>
        <v>#N/A</v>
      </c>
      <c r="M134" t="e">
        <f>IF(H134&gt;L134,"accept","forkast")</f>
        <v>#N/A</v>
      </c>
      <c r="N134" s="164" t="e">
        <f>IF(M134="forkast","NB!"," ")</f>
        <v>#N/A</v>
      </c>
      <c r="O134" s="26" t="s">
        <v>637</v>
      </c>
      <c r="P134">
        <f>P133/2</f>
        <v>60</v>
      </c>
      <c r="R134" s="50">
        <f>MINA(R132:R133)</f>
        <v>2.055012633313217</v>
      </c>
      <c r="AE134" s="50"/>
      <c r="BH134" s="29" t="s">
        <v>435</v>
      </c>
      <c r="BI134">
        <f>BI114</f>
        <v>8.0298786181139139</v>
      </c>
      <c r="BJ134" t="e">
        <f>BJ104</f>
        <v>#N/A</v>
      </c>
      <c r="BK134" s="53">
        <v>1</v>
      </c>
      <c r="BL134" s="53" t="e">
        <f>BI134*BJ134*BK134</f>
        <v>#N/A</v>
      </c>
      <c r="BM134" t="e">
        <f>BM104</f>
        <v>#N/A</v>
      </c>
      <c r="BN134" t="e">
        <f>BM134*BL134</f>
        <v>#N/A</v>
      </c>
      <c r="BO134" s="53"/>
      <c r="BP134" s="53" t="e">
        <f>BL134*BM134^2</f>
        <v>#N/A</v>
      </c>
    </row>
    <row r="135" spans="1:70" ht="15" customHeight="1">
      <c r="AH135" s="26"/>
      <c r="BH135" s="29" t="s">
        <v>438</v>
      </c>
      <c r="BI135">
        <f>BI134</f>
        <v>8.0298786181139139</v>
      </c>
      <c r="BJ135" t="e">
        <f>BJ105</f>
        <v>#N/A</v>
      </c>
      <c r="BK135" s="53">
        <v>1</v>
      </c>
      <c r="BL135" s="152" t="e">
        <f>BI135*BJ135*BK135</f>
        <v>#N/A</v>
      </c>
      <c r="BM135" t="e">
        <f>BM105</f>
        <v>#N/A</v>
      </c>
      <c r="BN135" s="14" t="e">
        <f>BM135*BL135</f>
        <v>#N/A</v>
      </c>
      <c r="BO135" s="53"/>
      <c r="BP135" s="152" t="e">
        <f>BL135*BM135^2</f>
        <v>#N/A</v>
      </c>
    </row>
    <row r="136" spans="1:70" ht="15" customHeight="1">
      <c r="B136" t="s">
        <v>638</v>
      </c>
      <c r="N136" s="182" t="s">
        <v>55</v>
      </c>
      <c r="O136" s="183" t="s">
        <v>639</v>
      </c>
      <c r="AE136" s="155"/>
      <c r="BH136" s="29"/>
      <c r="BK136" s="26" t="s">
        <v>440</v>
      </c>
      <c r="BL136" t="e">
        <f>SUM(BL133:BL135)</f>
        <v>#N/A</v>
      </c>
      <c r="BM136" s="26" t="s">
        <v>441</v>
      </c>
      <c r="BN136" t="e">
        <f>SUM(BN133:BN135)</f>
        <v>#N/A</v>
      </c>
      <c r="BO136" s="26" t="s">
        <v>442</v>
      </c>
      <c r="BP136" t="e">
        <f>SUM(BP133:BP135)</f>
        <v>#N/A</v>
      </c>
    </row>
    <row r="137" spans="1:70" ht="15" customHeight="1">
      <c r="G137" t="s">
        <v>640</v>
      </c>
      <c r="H137" s="65">
        <v>2</v>
      </c>
      <c r="I137" s="113" t="s">
        <v>265</v>
      </c>
      <c r="J137" s="65">
        <v>8</v>
      </c>
      <c r="K137" t="s">
        <v>266</v>
      </c>
      <c r="N137">
        <f>CODE(I137)</f>
        <v>75</v>
      </c>
      <c r="O137">
        <f>HLOOKUP(N137,AA320:AZ330,6)</f>
        <v>500</v>
      </c>
      <c r="P137" t="s">
        <v>228</v>
      </c>
      <c r="U137" t="s">
        <v>1173</v>
      </c>
      <c r="AG137" t="s">
        <v>566</v>
      </c>
      <c r="AK137" s="26" t="s">
        <v>567</v>
      </c>
      <c r="AL137" s="19" t="e">
        <f>IF(AF142&gt;AF148,"&gt;",IF(AF142=AF148,"=","&lt;"))</f>
        <v>#N/A</v>
      </c>
      <c r="AM137" s="19" t="e">
        <f>AL137</f>
        <v>#N/A</v>
      </c>
      <c r="AN137" s="19" t="e">
        <f>AL137</f>
        <v>#N/A</v>
      </c>
      <c r="AO137" s="19" t="e">
        <f t="shared" ref="AO137:AT137" si="24">AN137</f>
        <v>#N/A</v>
      </c>
      <c r="AP137" s="19" t="e">
        <f t="shared" si="24"/>
        <v>#N/A</v>
      </c>
      <c r="AQ137" s="19" t="e">
        <f t="shared" si="24"/>
        <v>#N/A</v>
      </c>
      <c r="AR137" s="19" t="e">
        <f t="shared" si="24"/>
        <v>#N/A</v>
      </c>
      <c r="AS137" s="19" t="e">
        <f t="shared" si="24"/>
        <v>#N/A</v>
      </c>
      <c r="AT137" s="19" t="e">
        <f t="shared" si="24"/>
        <v>#N/A</v>
      </c>
      <c r="AU137" s="155" t="s">
        <v>641</v>
      </c>
      <c r="BH137" s="29"/>
      <c r="BJ137" s="155" t="s">
        <v>446</v>
      </c>
      <c r="BM137" s="26" t="s">
        <v>447</v>
      </c>
      <c r="BN137" s="74" t="e">
        <f>BN136/BL136</f>
        <v>#N/A</v>
      </c>
      <c r="BO137" s="26" t="s">
        <v>448</v>
      </c>
      <c r="BP137" s="14" t="e">
        <f>-BL136*BN137^2</f>
        <v>#N/A</v>
      </c>
    </row>
    <row r="138" spans="1:70" ht="15" customHeight="1">
      <c r="A138" s="52" t="e">
        <f>IF(U138=0," ",U138)</f>
        <v>#N/A</v>
      </c>
      <c r="D138" s="52" t="e">
        <f>IF(X138=0," ",X138)</f>
        <v>#N/A</v>
      </c>
      <c r="F138" s="52" t="e">
        <f>IF(Z138=0," ",Z138)</f>
        <v>#N/A</v>
      </c>
      <c r="G138" s="52" t="e">
        <f>IF(AND($J$34&gt;0,$J$36&gt;0),"venstre",IF($J$34=0," ",IF($J$36=0," "," ")))</f>
        <v>#N/A</v>
      </c>
      <c r="H138" s="30" t="s">
        <v>504</v>
      </c>
      <c r="I138" s="30" t="s">
        <v>120</v>
      </c>
      <c r="J138" s="66">
        <f>O137</f>
        <v>500</v>
      </c>
      <c r="K138" t="s">
        <v>36</v>
      </c>
      <c r="N138" s="52" t="e">
        <f>IF(O138&lt;N139,0,IF(O138&lt;P139,+O138,0.5*O138*O140*(-1+SQRT(1+4*$AA$312/(O138*O140)))))</f>
        <v>#N/A</v>
      </c>
      <c r="O138" s="52" t="e">
        <f>J140*J139/(J141*J142*J26)</f>
        <v>#N/A</v>
      </c>
      <c r="P138" t="s">
        <v>237</v>
      </c>
      <c r="U138" s="52" t="e">
        <f>IF(AND($J$34&gt;0,$J$36&gt;0),+AD123,IF($J$34=0,0,IF($J$36=0,0,0)))</f>
        <v>#N/A</v>
      </c>
      <c r="V138" s="52" t="e">
        <f>J43*10^-3</f>
        <v>#N/A</v>
      </c>
      <c r="W138" s="52" t="e">
        <f>AF123</f>
        <v>#N/A</v>
      </c>
      <c r="X138" s="52" t="e">
        <f>IF(AND($J$34&gt;0,$J$36&gt;0),FIXED(AE123,3,TRUE),IF($J$34=0,0,IF($J$36=0,0,0)))</f>
        <v>#N/A</v>
      </c>
      <c r="Z138" s="52" t="e">
        <f>IF(AND($J$34&gt;0,$J$36&gt;0),+AF123,IF($J$34=0,0,IF($J$36=0,0,0)))</f>
        <v>#N/A</v>
      </c>
      <c r="AD138" s="55" t="s">
        <v>642</v>
      </c>
      <c r="AH138" s="55" t="s">
        <v>575</v>
      </c>
      <c r="AI138" s="50"/>
      <c r="BO138" s="26" t="s">
        <v>451</v>
      </c>
      <c r="BP138" t="e">
        <f>BP137+BP136</f>
        <v>#N/A</v>
      </c>
      <c r="BQ138" t="e">
        <f>BP138*10^-12</f>
        <v>#N/A</v>
      </c>
      <c r="BR138" t="s">
        <v>419</v>
      </c>
    </row>
    <row r="139" spans="1:70" ht="15" customHeight="1">
      <c r="A139" s="52" t="e">
        <f>IF(AND($J$34&gt;0,$J$36&gt;0),+AD148,IF($J$34=0,+AD148,IF($J$36=0,+AD123," ")))</f>
        <v>#N/A</v>
      </c>
      <c r="B139" s="25" t="e">
        <f>L43*10^-3</f>
        <v>#N/A</v>
      </c>
      <c r="C139" s="25" t="e">
        <f>AF148</f>
        <v>#N/A</v>
      </c>
      <c r="D139" s="52" t="e">
        <f>IF(AND($J$34&gt;0,$J$36&gt;0),FIXED(AE148,3,TRUE),IF($J$34=0,FIXED(AE148,3,TRUE),IF($J$36=0,FIXED(AE123,3,TRUE)," ")))</f>
        <v>#N/A</v>
      </c>
      <c r="F139" s="52" t="e">
        <f>IF(AND($J$34&gt;0,$J$36&gt;0),+AF148,IF($J$34=0,+AF148,IF($J$36=0,+AF123," ")))</f>
        <v>#N/A</v>
      </c>
      <c r="G139" s="52" t="e">
        <f>IF(AND($J$34&gt;0,$J$36&gt;0),"højre",IF($J$34=0,"højre",IF($J$36=0,"venstre"," ")))</f>
        <v>#N/A</v>
      </c>
      <c r="H139" s="30" t="s">
        <v>286</v>
      </c>
      <c r="I139" s="30" t="s">
        <v>120</v>
      </c>
      <c r="J139" s="66">
        <f>J138/N15</f>
        <v>416.66666666666669</v>
      </c>
      <c r="K139" t="s">
        <v>36</v>
      </c>
      <c r="N139" s="52">
        <f>MAXA(T139:T140)</f>
        <v>2.9286511333037436E-2</v>
      </c>
      <c r="O139" s="52">
        <f>HLOOKUP(N137,AA320:AZ330,5)</f>
        <v>4.9882794186591653E-2</v>
      </c>
      <c r="P139" s="52">
        <f>HLOOKUP(N137,AA320:AZ330,8)</f>
        <v>0.5014925373134328</v>
      </c>
      <c r="Q139" t="s">
        <v>244</v>
      </c>
      <c r="T139" s="52">
        <f>0.26*$J$27/J138*J139/$J$26</f>
        <v>2.9286511333037436E-2</v>
      </c>
      <c r="AE139" t="s">
        <v>576</v>
      </c>
      <c r="AH139" s="184"/>
      <c r="AI139" s="50"/>
      <c r="AJ139" t="s">
        <v>577</v>
      </c>
      <c r="AK139" t="s">
        <v>578</v>
      </c>
      <c r="AL139" t="s">
        <v>579</v>
      </c>
      <c r="AO139" t="e">
        <f>IF(AP142&gt;0,"e.kraft v","m.pkt. ")</f>
        <v>#N/A</v>
      </c>
      <c r="AP139" t="e">
        <f>IF(AP142&gt;0,"e.kraft h","m.pkt. ")</f>
        <v>#N/A</v>
      </c>
      <c r="AQ139" t="s">
        <v>577</v>
      </c>
      <c r="AR139" t="s">
        <v>578</v>
      </c>
      <c r="AS139" t="e">
        <f>IF(AT142&gt;0,"e.kraft v"," ")</f>
        <v>#N/A</v>
      </c>
      <c r="AT139" t="e">
        <f>IF(AT142&gt;0,"e.kraft h"," ")</f>
        <v>#N/A</v>
      </c>
    </row>
    <row r="140" spans="1:70" ht="15" customHeight="1">
      <c r="H140" s="30" t="s">
        <v>293</v>
      </c>
      <c r="I140" s="30" t="s">
        <v>120</v>
      </c>
      <c r="J140" s="66">
        <f>J137^2/4*PI()*H137</f>
        <v>100.53096491487338</v>
      </c>
      <c r="K140" t="s">
        <v>114</v>
      </c>
      <c r="O140" s="52">
        <f>HLOOKUP(N137,AA320:AZ330,9)</f>
        <v>1.6799999999999997</v>
      </c>
      <c r="P140" t="s">
        <v>251</v>
      </c>
      <c r="T140" s="52">
        <f>0.0013*J139/$J$26</f>
        <v>2.5277777777777774E-2</v>
      </c>
      <c r="AA140" s="50"/>
      <c r="AH140" s="26" t="s">
        <v>346</v>
      </c>
      <c r="AI140" s="52">
        <v>0</v>
      </c>
      <c r="AJ140" s="52" t="e">
        <f>AD148</f>
        <v>#N/A</v>
      </c>
      <c r="AK140" s="52" t="e">
        <f>AJ140</f>
        <v>#N/A</v>
      </c>
      <c r="AL140" s="52" t="e">
        <f>AK140+(AO140-AK140)*0.25</f>
        <v>#N/A</v>
      </c>
      <c r="AM140" s="52" t="e">
        <f>AK140+(AO140-AK140)*0.5</f>
        <v>#N/A</v>
      </c>
      <c r="AN140" s="52" t="e">
        <f>AK140+(AO140-AK140)*0.75</f>
        <v>#N/A</v>
      </c>
      <c r="AO140" s="52" t="e">
        <f>IF(AO137="&gt;",+AE142,AK140+(AQ140-AK140)*0.75)</f>
        <v>#N/A</v>
      </c>
      <c r="AP140" s="52" t="e">
        <f>AO140</f>
        <v>#N/A</v>
      </c>
      <c r="AQ140" s="52" t="e">
        <f>AD148+AE148</f>
        <v>#N/A</v>
      </c>
      <c r="AR140" s="52" t="e">
        <f>AQ140</f>
        <v>#N/A</v>
      </c>
      <c r="AS140" s="52" t="e">
        <f>IF(AF148=0,+AR140,IF(AS137="&lt;",+AE142,+AU140-AF155*10^-3))</f>
        <v>#N/A</v>
      </c>
      <c r="AT140" s="52" t="e">
        <f>AS140</f>
        <v>#N/A</v>
      </c>
      <c r="AU140" s="52" t="e">
        <f>AD148+AE148+AF148</f>
        <v>#N/A</v>
      </c>
      <c r="AV140" t="str">
        <f t="shared" ref="AV140:AV147" si="25">AH140</f>
        <v>snit, x= [m]</v>
      </c>
    </row>
    <row r="141" spans="1:70" ht="15" customHeight="1">
      <c r="D141" t="s">
        <v>643</v>
      </c>
      <c r="G141" t="s">
        <v>644</v>
      </c>
      <c r="H141" s="30"/>
      <c r="I141" s="30" t="s">
        <v>120</v>
      </c>
      <c r="J141" s="65">
        <f>IF(OR(J40="dorn",L40="dorn"),F118-SUM(C119:C121),150)</f>
        <v>150</v>
      </c>
      <c r="K141" t="s">
        <v>91</v>
      </c>
      <c r="N141" s="52"/>
      <c r="AD141" s="50" t="e">
        <f>IF(J36=0,0,+L52*O35/2)</f>
        <v>#N/A</v>
      </c>
      <c r="AE141" t="s">
        <v>445</v>
      </c>
      <c r="AF141" s="157" t="e">
        <f>IF(J36=0,0,+AF157*AD154)</f>
        <v>#N/A</v>
      </c>
      <c r="AG141" t="s">
        <v>460</v>
      </c>
      <c r="AH141" s="254" t="s">
        <v>586</v>
      </c>
      <c r="AI141" s="50"/>
      <c r="AJ141" s="50" t="e">
        <f>AD141</f>
        <v>#N/A</v>
      </c>
      <c r="AK141" s="50"/>
      <c r="AL141" s="50" t="e">
        <f>AJ141</f>
        <v>#N/A</v>
      </c>
      <c r="AM141" s="50" t="e">
        <f>AL141</f>
        <v>#N/A</v>
      </c>
      <c r="AN141" s="50" t="e">
        <f>AM141</f>
        <v>#N/A</v>
      </c>
      <c r="AO141" s="50" t="e">
        <f>AJ141</f>
        <v>#N/A</v>
      </c>
      <c r="AP141" s="50"/>
      <c r="AQ141" s="50" t="e">
        <f>IF(AQ137="&gt;",+AT141,+AO141)</f>
        <v>#N/A</v>
      </c>
      <c r="AR141" s="50"/>
      <c r="AS141" s="50" t="e">
        <f>IF(AS137="&lt;",+AQ141,+AT141)</f>
        <v>#N/A</v>
      </c>
      <c r="AT141" s="50" t="e">
        <f>AF143</f>
        <v>#N/A</v>
      </c>
      <c r="AU141" s="50" t="e">
        <f>AT141</f>
        <v>#N/A</v>
      </c>
      <c r="AV141" t="str">
        <f t="shared" si="25"/>
        <v>linielast [kN/m]</v>
      </c>
    </row>
    <row r="142" spans="1:70" ht="15" customHeight="1">
      <c r="A142" s="25" t="s">
        <v>645</v>
      </c>
      <c r="B142" s="250" t="s">
        <v>566</v>
      </c>
      <c r="C142" s="25"/>
      <c r="D142" s="25"/>
      <c r="E142" s="25"/>
      <c r="G142" t="s">
        <v>550</v>
      </c>
      <c r="H142" s="30" t="s">
        <v>195</v>
      </c>
      <c r="I142" s="30" t="s">
        <v>120</v>
      </c>
      <c r="J142" s="65" t="e">
        <f>J21-(J19-J20)-J28/2-J137/2</f>
        <v>#N/A</v>
      </c>
      <c r="K142" t="s">
        <v>91</v>
      </c>
      <c r="O142" s="52"/>
      <c r="T142" s="32" t="s">
        <v>479</v>
      </c>
      <c r="AE142" s="56" t="e">
        <f>AD148+AE148+AF148-AF142</f>
        <v>#N/A</v>
      </c>
      <c r="AF142" s="52" t="e">
        <f>F42*10^-3</f>
        <v>#N/A</v>
      </c>
      <c r="AG142" t="s">
        <v>40</v>
      </c>
      <c r="AH142" s="32" t="s">
        <v>590</v>
      </c>
      <c r="AI142" s="50"/>
      <c r="AJ142" s="50"/>
      <c r="AK142" s="50"/>
      <c r="AL142" s="50"/>
      <c r="AM142" s="50"/>
      <c r="AN142" s="50"/>
      <c r="AO142" s="50"/>
      <c r="AP142" s="50" t="e">
        <f>IF(AP137="&gt;",+AF141,0)</f>
        <v>#N/A</v>
      </c>
      <c r="AQ142" s="50"/>
      <c r="AR142" s="50" t="e">
        <f>IF(AR137="=",0,0)</f>
        <v>#N/A</v>
      </c>
      <c r="AS142" s="50"/>
      <c r="AT142" s="50" t="e">
        <f>IF(AT137="&lt;",+AF141,0)</f>
        <v>#N/A</v>
      </c>
      <c r="AU142" s="50"/>
      <c r="AV142" t="str">
        <f t="shared" si="25"/>
        <v>enkeltkraft [kN]</v>
      </c>
    </row>
    <row r="143" spans="1:70" ht="15" customHeight="1">
      <c r="A143" s="25" t="e">
        <f>AL112</f>
        <v>#N/A</v>
      </c>
      <c r="B143" s="25" t="e">
        <f>AF117</f>
        <v>#N/A</v>
      </c>
      <c r="C143" s="25" t="e">
        <f>IF(A143="&lt;",V138,V138+Z138-B143)</f>
        <v>#N/A</v>
      </c>
      <c r="D143" s="25"/>
      <c r="E143" s="251" t="e">
        <f>IF(A143="&gt;","(f)"," ")</f>
        <v>#N/A</v>
      </c>
      <c r="F143" s="250" t="e">
        <f>IF(A143="&lt;","(f)"," ")</f>
        <v>#N/A</v>
      </c>
      <c r="H143" t="s">
        <v>646</v>
      </c>
      <c r="L143" t="s">
        <v>475</v>
      </c>
      <c r="O143" s="185" t="s">
        <v>647</v>
      </c>
      <c r="P143" s="185" t="s">
        <v>648</v>
      </c>
      <c r="T143" s="165" t="str">
        <f>B136</f>
        <v>PLADESTRIMMEL V.REPOSEENDER (e)</v>
      </c>
      <c r="AF143" s="50" t="e">
        <f>IF(J36=0,0,+L52*0.9*J22*10^-3)</f>
        <v>#N/A</v>
      </c>
      <c r="AG143" t="s">
        <v>445</v>
      </c>
      <c r="AH143" s="26" t="s">
        <v>594</v>
      </c>
      <c r="AI143" s="50"/>
      <c r="AJ143" s="50"/>
      <c r="AK143" s="50" t="e">
        <f>AE145</f>
        <v>#N/A</v>
      </c>
      <c r="AL143" s="50"/>
      <c r="AM143" s="50"/>
      <c r="AN143" s="50"/>
      <c r="AO143" s="50"/>
      <c r="AP143" s="50"/>
      <c r="AQ143" s="50"/>
      <c r="AR143" s="50" t="e">
        <f>AF145</f>
        <v>#N/A</v>
      </c>
      <c r="AS143" s="50"/>
      <c r="AT143" s="50"/>
      <c r="AU143" s="50"/>
      <c r="AV143" t="str">
        <f t="shared" si="25"/>
        <v>R [kN]</v>
      </c>
    </row>
    <row r="144" spans="1:70" ht="15" customHeight="1">
      <c r="A144" s="25" t="e">
        <f>AL137</f>
        <v>#N/A</v>
      </c>
      <c r="B144" s="25" t="e">
        <f>AF142</f>
        <v>#N/A</v>
      </c>
      <c r="C144" s="25" t="e">
        <f>IF(A144="&lt;",B139,B139+F139-B144)</f>
        <v>#N/A</v>
      </c>
      <c r="D144" s="25"/>
      <c r="E144" s="251" t="e">
        <f>IF(A144="&gt;","(f)"," ")</f>
        <v>#N/A</v>
      </c>
      <c r="F144" s="250" t="e">
        <f>IF(A144="&lt;","(f)"," ")</f>
        <v>#N/A</v>
      </c>
      <c r="G144" t="s">
        <v>649</v>
      </c>
      <c r="H144" s="74" t="e">
        <f>(1-0.5*N138)*N138*J141*J142^2*J26*10^-6</f>
        <v>#N/A</v>
      </c>
      <c r="J144" t="s">
        <v>147</v>
      </c>
      <c r="K144" t="e">
        <f>IF(H144&gt;L144,"&gt;","&lt;")</f>
        <v>#N/A</v>
      </c>
      <c r="L144" s="74" t="e">
        <f>-MINA(O144:P144)</f>
        <v>#N/A</v>
      </c>
      <c r="M144" t="e">
        <f>IF(H144&gt;L144,"accept","forkast")</f>
        <v>#N/A</v>
      </c>
      <c r="N144" s="164" t="e">
        <f>IF(M144="forkast","NB!"," ")</f>
        <v>#N/A</v>
      </c>
      <c r="O144" s="74" t="e">
        <f>AS128</f>
        <v>#N/A</v>
      </c>
      <c r="P144" s="74" t="e">
        <f>AS153</f>
        <v>#N/A</v>
      </c>
      <c r="Q144" t="s">
        <v>650</v>
      </c>
      <c r="T144" s="19" t="s">
        <v>486</v>
      </c>
      <c r="U144" s="19" t="s">
        <v>487</v>
      </c>
      <c r="V144" s="53">
        <f>2*6^2/4*PI()</f>
        <v>56.548667764616276</v>
      </c>
      <c r="W144" t="s">
        <v>488</v>
      </c>
      <c r="AH144" s="26" t="s">
        <v>346</v>
      </c>
      <c r="AI144" s="52">
        <f t="shared" ref="AI144:AU144" si="26">AI140</f>
        <v>0</v>
      </c>
      <c r="AJ144" s="52" t="e">
        <f t="shared" si="26"/>
        <v>#N/A</v>
      </c>
      <c r="AK144" s="52" t="e">
        <f t="shared" si="26"/>
        <v>#N/A</v>
      </c>
      <c r="AL144" s="52" t="e">
        <f t="shared" si="26"/>
        <v>#N/A</v>
      </c>
      <c r="AM144" s="52" t="e">
        <f t="shared" si="26"/>
        <v>#N/A</v>
      </c>
      <c r="AN144" s="52" t="e">
        <f t="shared" si="26"/>
        <v>#N/A</v>
      </c>
      <c r="AO144" s="52" t="e">
        <f t="shared" si="26"/>
        <v>#N/A</v>
      </c>
      <c r="AP144" s="52" t="e">
        <f t="shared" si="26"/>
        <v>#N/A</v>
      </c>
      <c r="AQ144" s="52" t="e">
        <f t="shared" si="26"/>
        <v>#N/A</v>
      </c>
      <c r="AR144" s="52" t="e">
        <f t="shared" si="26"/>
        <v>#N/A</v>
      </c>
      <c r="AS144" s="52" t="e">
        <f t="shared" si="26"/>
        <v>#N/A</v>
      </c>
      <c r="AT144" s="52" t="e">
        <f t="shared" si="26"/>
        <v>#N/A</v>
      </c>
      <c r="AU144" s="52" t="e">
        <f t="shared" si="26"/>
        <v>#N/A</v>
      </c>
      <c r="AV144" t="str">
        <f t="shared" si="25"/>
        <v>snit, x= [m]</v>
      </c>
    </row>
    <row r="145" spans="1:48" ht="15" customHeight="1">
      <c r="A145" s="25"/>
      <c r="B145" s="25"/>
      <c r="C145" s="25"/>
      <c r="D145" s="25"/>
      <c r="E145" s="25"/>
      <c r="G145" t="s">
        <v>651</v>
      </c>
      <c r="H145" s="74" t="e">
        <f>H144</f>
        <v>#N/A</v>
      </c>
      <c r="J145" t="str">
        <f>J144</f>
        <v>kNm</v>
      </c>
      <c r="K145" t="e">
        <f>IF(H145&gt;L145,"&gt;","&lt;")</f>
        <v>#N/A</v>
      </c>
      <c r="L145" s="74" t="e">
        <f>MAXA(O145:P145)</f>
        <v>#N/A</v>
      </c>
      <c r="M145" t="e">
        <f>IF(H145&gt;L145,"accept","forkast")</f>
        <v>#N/A</v>
      </c>
      <c r="N145" s="164" t="e">
        <f>IF(M145="forkast","NB!"," ")</f>
        <v>#N/A</v>
      </c>
      <c r="O145" s="74" t="e">
        <f>AS129</f>
        <v>#N/A</v>
      </c>
      <c r="P145" s="74" t="e">
        <f>AS154</f>
        <v>#N/A</v>
      </c>
      <c r="Q145" t="s">
        <v>652</v>
      </c>
      <c r="T145" s="50" t="e">
        <f>1+SQRT(200/V146)</f>
        <v>#N/A</v>
      </c>
      <c r="U145" s="74" t="e">
        <f>(0.18/$N$13*T146*(100*V144/(V145*V146)*$J$25)^(1/3))*V145*V146*10^-3</f>
        <v>#N/A</v>
      </c>
      <c r="V145" s="53">
        <f>J141</f>
        <v>150</v>
      </c>
      <c r="W145" t="s">
        <v>492</v>
      </c>
      <c r="AE145" s="69" t="e">
        <f>AD141*AE142+AF141+AF143*AF142-AF151-AF145</f>
        <v>#N/A</v>
      </c>
      <c r="AF145" s="77" t="e">
        <f>(AD141*AE142*(AE142/2-AD148)+AF141*(AE142-AD148)+AF143*AF142*(AE142-AD148+AF142/2))/AE148-AF151</f>
        <v>#N/A</v>
      </c>
      <c r="AG145" t="s">
        <v>460</v>
      </c>
      <c r="AH145" s="26" t="s">
        <v>601</v>
      </c>
      <c r="AI145" s="50">
        <v>0</v>
      </c>
      <c r="AJ145" s="50" t="e">
        <f>-AJ141*AJ140^2/2</f>
        <v>#N/A</v>
      </c>
      <c r="AK145" s="50" t="e">
        <f>AJ145</f>
        <v>#N/A</v>
      </c>
      <c r="AL145" s="50" t="e">
        <f>AK143*(AL140-AK140)-AL141*AL140^2/2</f>
        <v>#N/A</v>
      </c>
      <c r="AM145" s="50" t="e">
        <f>AK143*(AM140-AK140)-AM141*AM140^2/2</f>
        <v>#N/A</v>
      </c>
      <c r="AN145" s="50" t="e">
        <f>AK143*(AN140-AK140)-AN141*AN140^2/2</f>
        <v>#N/A</v>
      </c>
      <c r="AO145" s="50" t="e">
        <f>AK143*(AO140-AK140)-AO141*AO140^2/2</f>
        <v>#N/A</v>
      </c>
      <c r="AP145" s="50" t="e">
        <f>AO145</f>
        <v>#N/A</v>
      </c>
      <c r="AQ145" s="50" t="e">
        <f>IF(AQ137="&lt;",+AK143*(AQ140-AK140)-AO141*AO140*(AO140/2+(AQ140-AO140))-AQ141*(AQ140-AO140)^2/2-AP142*(AQ140-AP140),-AT141*(AU140-AQ140)^2/2)</f>
        <v>#N/A</v>
      </c>
      <c r="AR145" s="50" t="e">
        <f>AQ145</f>
        <v>#N/A</v>
      </c>
      <c r="AS145" s="50" t="e">
        <f>AT145</f>
        <v>#N/A</v>
      </c>
      <c r="AT145" s="50" t="e">
        <f>-AT141*(AU140-AT140)^2/2</f>
        <v>#N/A</v>
      </c>
      <c r="AU145" s="50">
        <v>0</v>
      </c>
      <c r="AV145" t="str">
        <f t="shared" si="25"/>
        <v>M [kNm]</v>
      </c>
    </row>
    <row r="146" spans="1:48" ht="15" customHeight="1">
      <c r="A146" s="25"/>
      <c r="B146" s="25"/>
      <c r="C146" s="25"/>
      <c r="D146" s="25"/>
      <c r="E146" s="25"/>
      <c r="G146" t="s">
        <v>653</v>
      </c>
      <c r="H146" s="74" t="e">
        <f>MAXA(U145:U146)</f>
        <v>#N/A</v>
      </c>
      <c r="J146" t="s">
        <v>460</v>
      </c>
      <c r="K146" t="e">
        <f>IF(H146&gt;L146,"&gt;","&lt;")</f>
        <v>#N/A</v>
      </c>
      <c r="L146" s="74" t="e">
        <f>MAXA(O146:P146)</f>
        <v>#N/A</v>
      </c>
      <c r="M146" t="e">
        <f>IF(H146&gt;L146,"accept","=&gt; vælger")</f>
        <v>#N/A</v>
      </c>
      <c r="N146" s="164" t="e">
        <f>IF(M146="=&gt; vælger","Bøjler!"," ")</f>
        <v>#N/A</v>
      </c>
      <c r="O146" s="74" t="e">
        <f>AS130</f>
        <v>#N/A</v>
      </c>
      <c r="P146" s="74" t="e">
        <f>AS155</f>
        <v>#N/A</v>
      </c>
      <c r="Q146" t="s">
        <v>654</v>
      </c>
      <c r="T146" s="50" t="e">
        <f>IF(T145&gt;2,2,T145)</f>
        <v>#N/A</v>
      </c>
      <c r="U146" s="74" t="e">
        <f>(0.035*T146^(3/2)*SQRT($J$25)*V145*V146)*10^-3</f>
        <v>#N/A</v>
      </c>
      <c r="V146" s="53" t="e">
        <f>J142</f>
        <v>#N/A</v>
      </c>
      <c r="W146" t="s">
        <v>495</v>
      </c>
      <c r="AD146" s="50"/>
      <c r="AE146" s="157"/>
      <c r="AF146" s="157"/>
      <c r="AH146" s="26" t="s">
        <v>603</v>
      </c>
      <c r="AI146" s="50">
        <v>0</v>
      </c>
      <c r="AJ146" s="50" t="e">
        <f>-AJ141*AJ140</f>
        <v>#N/A</v>
      </c>
      <c r="AK146" s="50" t="e">
        <f>AJ146+AK143</f>
        <v>#N/A</v>
      </c>
      <c r="AL146" s="50" t="e">
        <f>AK146-AL141*(AL140-AK140)</f>
        <v>#N/A</v>
      </c>
      <c r="AM146" s="50" t="e">
        <f>AL146-AM141*(AM140-AL140)</f>
        <v>#N/A</v>
      </c>
      <c r="AN146" s="50" t="e">
        <f>AM146-AN141*(AN140-AM140)</f>
        <v>#N/A</v>
      </c>
      <c r="AO146" s="50" t="e">
        <f>AK146-AO141*(AO140-AJ140)</f>
        <v>#N/A</v>
      </c>
      <c r="AP146" s="50" t="e">
        <f>AO146-AP142</f>
        <v>#N/A</v>
      </c>
      <c r="AQ146" s="50" t="e">
        <f>AP146-AQ141*(AQ140-AP140)</f>
        <v>#N/A</v>
      </c>
      <c r="AR146" s="50" t="e">
        <f>AQ146-AR142+AR143</f>
        <v>#N/A</v>
      </c>
      <c r="AS146" s="50" t="e">
        <f>AR146-AS141*(AS140-AR140)</f>
        <v>#N/A</v>
      </c>
      <c r="AT146" s="50" t="e">
        <f>AS146-AT142</f>
        <v>#N/A</v>
      </c>
      <c r="AU146" s="50" t="e">
        <f>AT146-AU141*(AU140-AT140)</f>
        <v>#N/A</v>
      </c>
      <c r="AV146" t="str">
        <f t="shared" si="25"/>
        <v>V [kN]</v>
      </c>
    </row>
    <row r="147" spans="1:48" ht="15" customHeight="1">
      <c r="A147" s="25" t="s">
        <v>655</v>
      </c>
      <c r="B147" s="25" t="e">
        <f>C143-AD123</f>
        <v>#N/A</v>
      </c>
      <c r="C147" s="25"/>
      <c r="D147" s="25"/>
      <c r="E147" s="25"/>
      <c r="H147" s="25" t="e">
        <f>H146</f>
        <v>#N/A</v>
      </c>
      <c r="K147" t="e">
        <f>IF(H147&gt;L147,"&gt;","&lt;")</f>
        <v>#N/A</v>
      </c>
      <c r="L147" s="74" t="e">
        <f>MAXA(O147:P147)</f>
        <v>#N/A</v>
      </c>
      <c r="M147" t="e">
        <f>IF(H147&gt;L147,"accept","=&gt; vælger")</f>
        <v>#N/A</v>
      </c>
      <c r="N147" s="164" t="e">
        <f>IF(M147="=&gt; vælger","Bøjler!"," ")</f>
        <v>#N/A</v>
      </c>
      <c r="O147" s="74" t="e">
        <f>AS131</f>
        <v>#N/A</v>
      </c>
      <c r="P147" s="74" t="e">
        <f>AS156</f>
        <v>#N/A</v>
      </c>
      <c r="Q147" t="s">
        <v>656</v>
      </c>
      <c r="AD147" s="69" t="s">
        <v>657</v>
      </c>
      <c r="AE147" s="69" t="s">
        <v>658</v>
      </c>
      <c r="AF147" s="69" t="s">
        <v>659</v>
      </c>
      <c r="AH147" s="26" t="s">
        <v>437</v>
      </c>
      <c r="AI147" s="50">
        <f t="shared" ref="AI147:AU147" si="27">SQRT(AI146^2)</f>
        <v>0</v>
      </c>
      <c r="AJ147" s="50" t="e">
        <f t="shared" si="27"/>
        <v>#N/A</v>
      </c>
      <c r="AK147" s="50" t="e">
        <f t="shared" si="27"/>
        <v>#N/A</v>
      </c>
      <c r="AL147" s="50" t="e">
        <f t="shared" si="27"/>
        <v>#N/A</v>
      </c>
      <c r="AM147" s="50" t="e">
        <f t="shared" si="27"/>
        <v>#N/A</v>
      </c>
      <c r="AN147" s="50" t="e">
        <f t="shared" si="27"/>
        <v>#N/A</v>
      </c>
      <c r="AO147" s="50" t="e">
        <f t="shared" si="27"/>
        <v>#N/A</v>
      </c>
      <c r="AP147" s="50" t="e">
        <f t="shared" si="27"/>
        <v>#N/A</v>
      </c>
      <c r="AQ147" s="50" t="e">
        <f t="shared" si="27"/>
        <v>#N/A</v>
      </c>
      <c r="AR147" s="50" t="e">
        <f t="shared" si="27"/>
        <v>#N/A</v>
      </c>
      <c r="AS147" s="50" t="e">
        <f t="shared" si="27"/>
        <v>#N/A</v>
      </c>
      <c r="AT147" s="50" t="e">
        <f t="shared" si="27"/>
        <v>#N/A</v>
      </c>
      <c r="AU147" s="50" t="e">
        <f t="shared" si="27"/>
        <v>#N/A</v>
      </c>
      <c r="AV147" t="str">
        <f t="shared" si="25"/>
        <v>|V| ialt [kN]</v>
      </c>
    </row>
    <row r="148" spans="1:48" ht="15" customHeight="1">
      <c r="A148" s="25" t="e">
        <f>AD116</f>
        <v>#N/A</v>
      </c>
      <c r="B148" s="25" t="s">
        <v>33</v>
      </c>
      <c r="C148" s="25"/>
      <c r="D148" s="25"/>
      <c r="E148" s="25"/>
      <c r="H148" s="25" t="e">
        <f>H147</f>
        <v>#N/A</v>
      </c>
      <c r="K148" t="e">
        <f>IF(H148&gt;L148,"&gt;","&lt;")</f>
        <v>#N/A</v>
      </c>
      <c r="L148" s="74" t="e">
        <f>MAXA(O148:P148)</f>
        <v>#N/A</v>
      </c>
      <c r="M148" t="e">
        <f>IF(H148&gt;L148,"accept","=&gt; vælger")</f>
        <v>#N/A</v>
      </c>
      <c r="N148" s="164" t="e">
        <f>IF(M148="=&gt; vælger","Bøjler!"," ")</f>
        <v>#N/A</v>
      </c>
      <c r="O148" s="74" t="e">
        <f>AS132</f>
        <v>#N/A</v>
      </c>
      <c r="P148" s="74" t="e">
        <f>AS157</f>
        <v>#N/A</v>
      </c>
      <c r="Q148" t="s">
        <v>660</v>
      </c>
      <c r="AD148" s="56" t="e">
        <f>L41*10^-3</f>
        <v>#N/A</v>
      </c>
      <c r="AE148" s="56" t="e">
        <f>L43*10^-3</f>
        <v>#N/A</v>
      </c>
      <c r="AF148" s="56" t="e">
        <f>L42*10^-3</f>
        <v>#N/A</v>
      </c>
      <c r="AG148" t="s">
        <v>40</v>
      </c>
      <c r="AH148" s="184"/>
      <c r="AI148" s="50"/>
    </row>
    <row r="149" spans="1:48" ht="15" customHeight="1">
      <c r="A149" s="25" t="e">
        <f>AD141</f>
        <v>#N/A</v>
      </c>
      <c r="B149" s="25" t="s">
        <v>34</v>
      </c>
      <c r="C149" s="25"/>
      <c r="D149" s="25"/>
      <c r="E149" s="25"/>
      <c r="H149" t="s">
        <v>661</v>
      </c>
      <c r="I149" s="113" t="s">
        <v>265</v>
      </c>
      <c r="K149" t="s">
        <v>662</v>
      </c>
      <c r="AE149" s="26"/>
      <c r="AF149" s="55" t="s">
        <v>663</v>
      </c>
      <c r="AH149" s="26"/>
      <c r="AI149" s="52"/>
      <c r="AJ149" s="52"/>
      <c r="AK149" s="52"/>
      <c r="AL149" s="52"/>
      <c r="AM149" s="52"/>
      <c r="AN149" s="52"/>
    </row>
    <row r="150" spans="1:48" ht="15" customHeight="1">
      <c r="A150" s="25"/>
      <c r="B150" s="25"/>
      <c r="C150" s="25"/>
      <c r="D150" s="25"/>
      <c r="E150" s="25"/>
      <c r="H150" t="s">
        <v>504</v>
      </c>
      <c r="I150" t="s">
        <v>120</v>
      </c>
      <c r="J150" s="53">
        <f>O150</f>
        <v>500</v>
      </c>
      <c r="K150" t="s">
        <v>36</v>
      </c>
      <c r="N150">
        <f>CODE(I149)</f>
        <v>75</v>
      </c>
      <c r="O150">
        <f>HLOOKUP(N150,AA320:AZ330,6)</f>
        <v>500</v>
      </c>
      <c r="P150" t="s">
        <v>228</v>
      </c>
      <c r="AB150" t="s">
        <v>1150</v>
      </c>
      <c r="AH150" s="26"/>
      <c r="AI150" s="50"/>
      <c r="AJ150" s="50"/>
      <c r="AK150" s="50"/>
      <c r="AL150" s="50"/>
      <c r="AM150" s="50"/>
      <c r="AN150" s="50"/>
    </row>
    <row r="151" spans="1:48" ht="15" customHeight="1">
      <c r="A151" s="25"/>
      <c r="B151" s="25"/>
      <c r="C151" s="25"/>
      <c r="D151" s="25"/>
      <c r="E151" s="25"/>
      <c r="H151" t="s">
        <v>507</v>
      </c>
      <c r="I151" t="s">
        <v>120</v>
      </c>
      <c r="J151" s="53">
        <f>O150/N15</f>
        <v>416.66666666666669</v>
      </c>
      <c r="K151" t="s">
        <v>36</v>
      </c>
      <c r="AB151" t="s">
        <v>1151</v>
      </c>
      <c r="AF151" s="69" t="e">
        <f>IF(AF142=AF148,+AF141,0)</f>
        <v>#N/A</v>
      </c>
      <c r="AG151" t="s">
        <v>460</v>
      </c>
      <c r="AH151" s="26"/>
      <c r="AI151" s="50"/>
      <c r="AJ151" s="50"/>
      <c r="AK151" s="50"/>
    </row>
    <row r="152" spans="1:48" ht="15" customHeight="1">
      <c r="A152" s="25" t="e">
        <f>IF(H146&gt;O146,0,IF((O146-H146)/A148&lt;C143,(O146-H146)/A148/(J153*10^-3),C143/(J153*10^-3)))</f>
        <v>#N/A</v>
      </c>
      <c r="B152" s="25" t="s">
        <v>33</v>
      </c>
      <c r="C152" s="25"/>
      <c r="D152" s="25">
        <v>1</v>
      </c>
      <c r="E152" s="25" t="e">
        <f>MAXA(D152,A152)</f>
        <v>#N/A</v>
      </c>
      <c r="G152" s="113">
        <v>1</v>
      </c>
      <c r="H152" s="30" t="s">
        <v>500</v>
      </c>
      <c r="I152" s="30" t="str">
        <f>I149</f>
        <v>K</v>
      </c>
      <c r="J152" s="65">
        <v>8</v>
      </c>
      <c r="K152" t="s">
        <v>501</v>
      </c>
      <c r="AC152" s="26" t="s">
        <v>615</v>
      </c>
      <c r="AD152" s="56" t="e">
        <f>AE142-AD148</f>
        <v>#N/A</v>
      </c>
      <c r="AF152" s="254"/>
      <c r="AG152" s="254" t="s">
        <v>616</v>
      </c>
      <c r="AH152" s="26"/>
      <c r="AI152" s="74"/>
      <c r="AJ152" s="74"/>
      <c r="AK152" s="74"/>
    </row>
    <row r="153" spans="1:48" ht="15" customHeight="1">
      <c r="A153" s="25" t="e">
        <f>IF(H146&gt;P146,0,IF((P146-H146)/A149&lt;C144,(P146-H146)/A149/(J153*10^-3),C144/(J153*10^-3)))</f>
        <v>#N/A</v>
      </c>
      <c r="B153" s="25" t="s">
        <v>34</v>
      </c>
      <c r="C153" s="25"/>
      <c r="D153" s="25">
        <v>1</v>
      </c>
      <c r="E153" s="25" t="e">
        <f>MAXA(D153,A153)</f>
        <v>#N/A</v>
      </c>
      <c r="G153" s="30" t="e">
        <f>IF(AND(A152&gt;0,A153&gt;0),FIXED(E152,0,TRUE)&amp;" stk venstre, "&amp;FIXED(E153,0,TRUE)&amp;" stk højre",IF(A152&gt;0,FIXED(E152,0,TRUE)&amp;" stk venstre ",IF(A153&gt;0,FIXED(E153,0,TRUE)&amp;" stk højre"," ")))</f>
        <v>#N/A</v>
      </c>
      <c r="H153" s="30"/>
      <c r="I153" s="30"/>
      <c r="J153" s="65" t="e">
        <f>TRUNC(0.75*$J$142/10)*10</f>
        <v>#N/A</v>
      </c>
      <c r="K153" t="e">
        <f>IF(J153&gt;0.75*$J$142,"NB! for stor!",IF(A152=" ","mm","mm centerafstand"))</f>
        <v>#N/A</v>
      </c>
      <c r="AC153" s="26" t="s">
        <v>1177</v>
      </c>
      <c r="AD153" s="56" t="e">
        <f>AE148+AF148-AF156</f>
        <v>#N/A</v>
      </c>
      <c r="AG153" t="s">
        <v>620</v>
      </c>
      <c r="AI153" s="52"/>
      <c r="AJ153" s="52"/>
      <c r="AK153" s="52"/>
      <c r="AL153" s="52"/>
      <c r="AM153" s="52"/>
      <c r="AN153" s="52"/>
      <c r="AO153" t="s">
        <v>621</v>
      </c>
      <c r="AS153" s="69" t="e">
        <f>MINA(AI145:AU145)</f>
        <v>#N/A</v>
      </c>
      <c r="AT153" t="s">
        <v>147</v>
      </c>
    </row>
    <row r="154" spans="1:48" ht="15" customHeight="1">
      <c r="A154" s="25"/>
      <c r="B154" s="25"/>
      <c r="C154" s="25"/>
      <c r="D154" s="25"/>
      <c r="E154" s="25"/>
      <c r="G154" s="168" t="s">
        <v>508</v>
      </c>
      <c r="H154" s="169" t="e">
        <f>G152*J152^2/4*PI()*$J$151/J153*0.9*$J$142*10^-3</f>
        <v>#N/A</v>
      </c>
      <c r="I154" s="30" t="e">
        <f>IF(H154&gt;J154,"&gt;","&lt;")</f>
        <v>#N/A</v>
      </c>
      <c r="J154" s="169" t="e">
        <f>L146</f>
        <v>#N/A</v>
      </c>
      <c r="K154" t="s">
        <v>460</v>
      </c>
      <c r="M154" t="e">
        <f>IF(M146="accept"," ",IF(H154&gt;J154,"accept","forkast"))</f>
        <v>#N/A</v>
      </c>
      <c r="N154" s="164" t="e">
        <f>IF(M154="forkast","NB!"," ")</f>
        <v>#N/A</v>
      </c>
      <c r="AC154" s="26" t="s">
        <v>1178</v>
      </c>
      <c r="AD154" s="69" t="e">
        <f>AD153/AD152</f>
        <v>#N/A</v>
      </c>
      <c r="AI154" s="50"/>
      <c r="AJ154" s="50"/>
      <c r="AK154" s="50"/>
      <c r="AL154" s="50"/>
      <c r="AM154" s="50"/>
      <c r="AN154" s="50"/>
      <c r="AO154" t="s">
        <v>624</v>
      </c>
      <c r="AS154" s="69" t="e">
        <f>MAXA(AI145:AU145)</f>
        <v>#N/A</v>
      </c>
      <c r="AT154" t="s">
        <v>147</v>
      </c>
    </row>
    <row r="155" spans="1:48" ht="15" customHeight="1">
      <c r="A155" s="25" t="e">
        <f>IF(H147&gt;O147,0,IF(A143="&gt;",C155/(J156*10^-3),IF((O147-H147)/A148&lt;C143,(O147-H147)/A148/(J156*10^-3),+C143/(J156*10^-3))))</f>
        <v>#N/A</v>
      </c>
      <c r="B155" s="25" t="e">
        <f>IF(H147&gt;AO122,0,IF(AND(A143="&gt;",AO121&lt;0),(AO122-H147)/A148/J156,0))</f>
        <v>#N/A</v>
      </c>
      <c r="C155" s="25" t="e">
        <f>IF(A143="&gt;",B143-W138," ")</f>
        <v>#N/A</v>
      </c>
      <c r="D155" s="25">
        <v>1</v>
      </c>
      <c r="E155" s="25" t="e">
        <f>MAXA(D155,(A155+B155))</f>
        <v>#N/A</v>
      </c>
      <c r="G155" s="113">
        <v>1</v>
      </c>
      <c r="H155" s="30" t="s">
        <v>500</v>
      </c>
      <c r="I155" s="30" t="str">
        <f>I149</f>
        <v>K</v>
      </c>
      <c r="J155" s="65">
        <v>8</v>
      </c>
      <c r="K155" t="s">
        <v>664</v>
      </c>
      <c r="AB155" s="32" t="s">
        <v>1152</v>
      </c>
      <c r="AF155" s="52">
        <f>J24*10^-3</f>
        <v>0.12</v>
      </c>
      <c r="AG155" t="s">
        <v>91</v>
      </c>
      <c r="AI155" s="50"/>
      <c r="AJ155" s="50"/>
      <c r="AK155" s="50"/>
      <c r="AL155" s="50"/>
      <c r="AM155" s="50"/>
      <c r="AN155" s="50"/>
      <c r="AO155" t="s">
        <v>626</v>
      </c>
      <c r="AS155" s="69" t="e">
        <f>MAXA(AI147:AO147)</f>
        <v>#N/A</v>
      </c>
      <c r="AT155" t="s">
        <v>460</v>
      </c>
    </row>
    <row r="156" spans="1:48" ht="15" customHeight="1">
      <c r="A156" s="25" t="e">
        <f>IF(H147&gt;P147,0,IF(A144="&gt;",C156/(J156*10^-3),IF((P147-H147)/A149&lt;C144,(P147-H147)/A149/(J156*10^-3),+C144/(J156*10^-3))))</f>
        <v>#N/A</v>
      </c>
      <c r="B156" s="25" t="e">
        <f>IF(H147&gt;AO147,0,IF(AND(A144="&gt;",AO146&lt;0),(AO147-H147)/A149/J156,0))</f>
        <v>#N/A</v>
      </c>
      <c r="C156" s="25" t="e">
        <f>IF(A144="&gt;",B144-C139," ")</f>
        <v>#N/A</v>
      </c>
      <c r="D156" s="25">
        <v>1</v>
      </c>
      <c r="E156" s="25" t="e">
        <f>MAXA(D156,(A156+B156))</f>
        <v>#N/A</v>
      </c>
      <c r="G156" s="30" t="e">
        <f>IF(AND(A155&gt;0,A156&gt;0),FIXED(E155,0,TRUE)&amp;" stk venstre, "&amp;FIXED(E156,0,TRUE)&amp;" stk højre",IF(A155&gt;0,FIXED(E155,0,TRUE)&amp;" stk venstre ",IF(A156&gt;0,FIXED(E156,0,TRUE)&amp;" stk højre"," ")))</f>
        <v>#N/A</v>
      </c>
      <c r="H156" s="169"/>
      <c r="I156" s="30"/>
      <c r="J156" s="65" t="e">
        <f>TRUNC(0.75*$J$142/10)*10</f>
        <v>#N/A</v>
      </c>
      <c r="K156" t="e">
        <f>IF(J156&gt;0.75*$J$142,"NB! for stor!",IF(A154=" ","mm","mm centerafstand"))</f>
        <v>#N/A</v>
      </c>
      <c r="O156" s="74"/>
      <c r="AC156" s="26" t="s">
        <v>471</v>
      </c>
      <c r="AD156" s="106" t="e">
        <f>AE148+AF148-AF142+(F42-(J24-20)/2)/2*10^-3</f>
        <v>#N/A</v>
      </c>
      <c r="AF156" s="52">
        <f>(AF155-0.02)/2</f>
        <v>4.9999999999999996E-2</v>
      </c>
      <c r="AG156" t="s">
        <v>40</v>
      </c>
      <c r="AI156" s="50"/>
      <c r="AJ156" s="50"/>
      <c r="AK156" s="50"/>
      <c r="AL156" s="50"/>
      <c r="AM156" s="50"/>
      <c r="AN156" s="50"/>
      <c r="AO156" t="s">
        <v>629</v>
      </c>
      <c r="AS156" s="69" t="e">
        <f>MAXA(AP147:AQ147)</f>
        <v>#N/A</v>
      </c>
      <c r="AT156" t="s">
        <v>460</v>
      </c>
    </row>
    <row r="157" spans="1:48" ht="15" customHeight="1">
      <c r="A157" s="25"/>
      <c r="B157" s="25"/>
      <c r="C157" s="25"/>
      <c r="D157" s="25"/>
      <c r="E157" s="25"/>
      <c r="G157" s="168" t="s">
        <v>508</v>
      </c>
      <c r="H157" s="169" t="e">
        <f>G155*J155^2/4*PI()*$J$151/J156*0.9*$J$142*10^-3</f>
        <v>#N/A</v>
      </c>
      <c r="I157" s="30" t="e">
        <f>IF(H157&gt;J157,"&gt;","&lt;")</f>
        <v>#N/A</v>
      </c>
      <c r="J157" s="169" t="e">
        <f>L147</f>
        <v>#N/A</v>
      </c>
      <c r="K157" t="s">
        <v>460</v>
      </c>
      <c r="M157" t="e">
        <f>IF(M147="accept"," ",IF(H157&gt;J157,"accept","forkast"))</f>
        <v>#N/A</v>
      </c>
      <c r="N157" s="164" t="e">
        <f>IF(M157="forkast","NB!"," ")</f>
        <v>#N/A</v>
      </c>
      <c r="AC157" s="26" t="s">
        <v>1153</v>
      </c>
      <c r="AD157" s="369" t="e">
        <f>AD156/AD152</f>
        <v>#N/A</v>
      </c>
      <c r="AF157" s="74" t="e">
        <f>IF(J36=0,0,+AL31+AL32)</f>
        <v>#N/A</v>
      </c>
      <c r="AG157" s="254" t="s">
        <v>460</v>
      </c>
      <c r="AO157" t="s">
        <v>632</v>
      </c>
      <c r="AS157" s="69" t="e">
        <f>MAXA(AR147:AU147)</f>
        <v>#N/A</v>
      </c>
      <c r="AT157" t="s">
        <v>460</v>
      </c>
    </row>
    <row r="158" spans="1:48" ht="15" customHeight="1">
      <c r="A158" s="25" t="e">
        <f>IF(H148&gt;O148,0,+C158/(J159*10^-3)+1)</f>
        <v>#N/A</v>
      </c>
      <c r="B158" s="25" t="s">
        <v>33</v>
      </c>
      <c r="C158" s="25" t="e">
        <f>IF(A143="&lt;",W138-B143," ")</f>
        <v>#N/A</v>
      </c>
      <c r="D158" s="25">
        <v>1</v>
      </c>
      <c r="E158" s="25" t="e">
        <f>MAXA(D158,A158)</f>
        <v>#N/A</v>
      </c>
      <c r="G158" s="113">
        <v>1</v>
      </c>
      <c r="H158" s="30" t="s">
        <v>500</v>
      </c>
      <c r="I158" s="30" t="str">
        <f>I152</f>
        <v>K</v>
      </c>
      <c r="J158" s="65">
        <v>8</v>
      </c>
      <c r="K158" t="s">
        <v>664</v>
      </c>
      <c r="AB158" t="s">
        <v>1154</v>
      </c>
      <c r="AH158" s="26"/>
    </row>
    <row r="159" spans="1:48" ht="15" customHeight="1">
      <c r="A159" s="25" t="e">
        <f>IF(H148&gt;P148,0,+C159/(J159*10^-3)+1)</f>
        <v>#N/A</v>
      </c>
      <c r="B159" s="25" t="s">
        <v>34</v>
      </c>
      <c r="C159" s="25" t="e">
        <f>IF(A144="&lt;",C139-B144," ")</f>
        <v>#N/A</v>
      </c>
      <c r="D159" s="25">
        <v>1</v>
      </c>
      <c r="E159" s="25" t="e">
        <f>MAXA(D159,A159)</f>
        <v>#N/A</v>
      </c>
      <c r="G159" s="30" t="e">
        <f>IF(AND(A158&gt;0,A159&gt;0),FIXED(E158,0,TRUE)&amp;" stk venstre, "&amp;FIXED(E159,0,TRUE)&amp;" stk højre",IF(A158&gt;0,FIXED(E158,0,TRUE)&amp;" stk venstre ",IF(A159&gt;0,FIXED(E159,0,TRUE)&amp;" stk højre"," ")))</f>
        <v>#N/A</v>
      </c>
      <c r="H159" s="30"/>
      <c r="I159" s="30"/>
      <c r="J159" s="65" t="e">
        <f>TRUNC(0.75*$J$142/10)*10</f>
        <v>#N/A</v>
      </c>
      <c r="K159" t="e">
        <f>IF(J159&gt;0.75*$J$142,"NB! for stor!",IF(A157=" ","mm","mm centerafstand"))</f>
        <v>#N/A</v>
      </c>
      <c r="AH159" s="26"/>
    </row>
    <row r="160" spans="1:48" ht="15" customHeight="1">
      <c r="G160" s="168" t="s">
        <v>508</v>
      </c>
      <c r="H160" s="169" t="e">
        <f>G158*J158^2/4*PI()*$J$151/J159*0.9*$J$142*10^-3</f>
        <v>#N/A</v>
      </c>
      <c r="I160" s="30" t="e">
        <f>IF(H160&gt;J160,"&gt;","&lt;")</f>
        <v>#N/A</v>
      </c>
      <c r="J160" s="169" t="e">
        <f>L148</f>
        <v>#N/A</v>
      </c>
      <c r="K160" t="s">
        <v>460</v>
      </c>
      <c r="M160" t="e">
        <f>IF(M148="accept"," ",(IF(H160&gt;J160,"accept","forkast")))</f>
        <v>#N/A</v>
      </c>
      <c r="N160" s="164" t="e">
        <f>IF(M160="forkast","NB!"," ")</f>
        <v>#N/A</v>
      </c>
      <c r="AI160" s="184"/>
    </row>
    <row r="161" spans="1:46" ht="15" customHeight="1"/>
    <row r="162" spans="1:46" ht="15" customHeight="1">
      <c r="AJ162" t="s">
        <v>665</v>
      </c>
    </row>
    <row r="163" spans="1:46" ht="15" customHeight="1">
      <c r="B163" t="s">
        <v>666</v>
      </c>
      <c r="F163" s="186" t="str">
        <f>IF(OR(N352="ja",N380="ja"),"Der er valgt anden type fast vederlag"," ")</f>
        <v xml:space="preserve"> </v>
      </c>
      <c r="U163" t="s">
        <v>667</v>
      </c>
      <c r="W163" t="s">
        <v>668</v>
      </c>
      <c r="Y163" s="19" t="s">
        <v>572</v>
      </c>
      <c r="Z163" s="19" t="s">
        <v>573</v>
      </c>
      <c r="AK163" s="50" t="e">
        <f>J37</f>
        <v>#N/A</v>
      </c>
      <c r="AS163" s="50" t="e">
        <f>J37</f>
        <v>#N/A</v>
      </c>
    </row>
    <row r="164" spans="1:46" ht="15" customHeight="1">
      <c r="G164" t="s">
        <v>669</v>
      </c>
      <c r="H164" t="s">
        <v>670</v>
      </c>
      <c r="I164" t="s">
        <v>120</v>
      </c>
      <c r="J164" s="169" t="e">
        <f>MAX(J353:J354)</f>
        <v>#N/A</v>
      </c>
      <c r="K164" t="s">
        <v>671</v>
      </c>
      <c r="Q164" s="49"/>
      <c r="U164" s="19" t="s">
        <v>33</v>
      </c>
      <c r="V164" s="19" t="s">
        <v>34</v>
      </c>
      <c r="W164" s="19" t="s">
        <v>33</v>
      </c>
      <c r="X164" s="19" t="s">
        <v>34</v>
      </c>
      <c r="Y164" s="19" t="str">
        <f>$J$40</f>
        <v>dorn</v>
      </c>
      <c r="Z164" s="19" t="str">
        <f>$L$40</f>
        <v>ende</v>
      </c>
      <c r="AJ164" t="s">
        <v>672</v>
      </c>
      <c r="AL164" s="19" t="s">
        <v>553</v>
      </c>
      <c r="AM164" s="19"/>
      <c r="AN164" s="19" t="s">
        <v>673</v>
      </c>
      <c r="AO164" s="19"/>
      <c r="AP164" s="19" t="s">
        <v>674</v>
      </c>
      <c r="AQ164" s="19"/>
      <c r="AR164" s="19" t="s">
        <v>675</v>
      </c>
      <c r="AS164" s="19"/>
    </row>
    <row r="165" spans="1:46" ht="15" customHeight="1">
      <c r="G165" t="s">
        <v>676</v>
      </c>
      <c r="H165" t="s">
        <v>227</v>
      </c>
      <c r="I165" t="s">
        <v>120</v>
      </c>
      <c r="J165" s="65" t="e">
        <f>NA()</f>
        <v>#N/A</v>
      </c>
      <c r="K165" t="s">
        <v>91</v>
      </c>
      <c r="P165" s="55" t="s">
        <v>677</v>
      </c>
      <c r="T165" s="26" t="s">
        <v>582</v>
      </c>
      <c r="U165" s="50" t="e">
        <f>$L$52*$AH$8/2*$J$23*10^-3*($J$23/2-$J$41)/$J$43</f>
        <v>#N/A</v>
      </c>
      <c r="V165" s="50" t="e">
        <f>$L$52*$AH$8/2*$J$23*10^-3*($J$23/2-$L$41)/$L$43</f>
        <v>#N/A</v>
      </c>
      <c r="W165" s="50" t="e">
        <f>($AI$30+$AI$31+$AL$16*($L$60+$L$61)+$AL$22*($L$62+$L$63))*($J$43+$J$42-$J$24/3)/$J$43</f>
        <v>#N/A</v>
      </c>
      <c r="X165" s="50" t="e">
        <f>($AL$31+$AL$32+$AN$16*($L$60+$L$61)+$AN$22*($L$62+$L$63))*($L$43+$L$42-$J$24/3)/$L$43</f>
        <v>#N/A</v>
      </c>
      <c r="Y165" s="50" t="e">
        <f t="shared" ref="Y165:Z167" si="28">U165+W165</f>
        <v>#N/A</v>
      </c>
      <c r="Z165" s="50" t="e">
        <f t="shared" si="28"/>
        <v>#N/A</v>
      </c>
      <c r="AA165" t="s">
        <v>460</v>
      </c>
      <c r="AJ165" t="s">
        <v>26</v>
      </c>
      <c r="AK165" s="50"/>
      <c r="AL165" s="50" t="e">
        <f>U47</f>
        <v>#N/A</v>
      </c>
      <c r="AM165" s="50"/>
      <c r="AN165" s="50" t="e">
        <f>LAST_1_2_R</f>
        <v>#N/A</v>
      </c>
      <c r="AO165" s="50"/>
      <c r="AP165" s="50" t="e">
        <f>AN165</f>
        <v>#N/A</v>
      </c>
      <c r="AQ165" s="50"/>
      <c r="AR165" s="50" t="e">
        <f>AL165</f>
        <v>#N/A</v>
      </c>
      <c r="AS165" s="50"/>
      <c r="AT165" t="s">
        <v>393</v>
      </c>
    </row>
    <row r="166" spans="1:46" ht="15" customHeight="1">
      <c r="G166" t="s">
        <v>678</v>
      </c>
      <c r="H166" t="s">
        <v>180</v>
      </c>
      <c r="I166" t="s">
        <v>120</v>
      </c>
      <c r="J166" s="66" t="e">
        <f>J21</f>
        <v>#N/A</v>
      </c>
      <c r="K166" t="s">
        <v>91</v>
      </c>
      <c r="S166" s="61" t="str">
        <f>IF(O167=R167,"Fejl"," ")</f>
        <v xml:space="preserve"> </v>
      </c>
      <c r="T166" s="26" t="s">
        <v>584</v>
      </c>
      <c r="U166" s="50" t="e">
        <f>$O$49*$AH$8/2*$J$23*10^-3*($J$23/2-$J$42)/$J$43+$L$50*$AH$8/2*$AI$23</f>
        <v>#N/A</v>
      </c>
      <c r="V166" s="50" t="e">
        <f>$O$49*$AH$8/2*$J$23*10^-3*($J$23/2-$L$42)/$L$43+$L$50*$AH$8/2*$AI$24</f>
        <v>#N/A</v>
      </c>
      <c r="W166" s="50" t="e">
        <f>-($AI$29+$AI$31+$AL$16*($N$60+$L$61)+$AL$22*($N$62+$L$63))*($J$42-$J$24/3)/$J$43</f>
        <v>#N/A</v>
      </c>
      <c r="X166" s="50" t="e">
        <f>-($AL$30+$AL$32+$AN$16*($N$60+$L$61)+$AN$22*($N$62+$L$63))*($L$42-$J$24/3)/$L$43</f>
        <v>#N/A</v>
      </c>
      <c r="Y166" s="50" t="e">
        <f t="shared" si="28"/>
        <v>#N/A</v>
      </c>
      <c r="Z166" s="50" t="e">
        <f t="shared" si="28"/>
        <v>#N/A</v>
      </c>
      <c r="AA166" s="50" t="s">
        <v>585</v>
      </c>
      <c r="AE166" s="155"/>
      <c r="AJ166" t="s">
        <v>392</v>
      </c>
      <c r="AK166" s="50">
        <v>0</v>
      </c>
      <c r="AL166" s="50" t="e">
        <f>AM166-AL167/2</f>
        <v>#N/A</v>
      </c>
      <c r="AM166" s="50" t="e">
        <f>IF(J34+J37&lt;J38/2,J34+J37,J38/2)</f>
        <v>#N/A</v>
      </c>
      <c r="AN166" s="50" t="e">
        <f>AM166+(AO166-AM166)/2</f>
        <v>#N/A</v>
      </c>
      <c r="AO166" s="50" t="e">
        <f>LV/2</f>
        <v>#N/A</v>
      </c>
      <c r="AP166" s="50" t="e">
        <f>AO166+(AQ166-AO166)/2</f>
        <v>#N/A</v>
      </c>
      <c r="AQ166" s="50" t="e">
        <f>IF(J38-J36-J37&gt;J38/2,J38-J36-J37,J38/2)</f>
        <v>#N/A</v>
      </c>
      <c r="AR166" s="50" t="e">
        <f>AQ166+AR167/2</f>
        <v>#N/A</v>
      </c>
      <c r="AS166" s="50" t="e">
        <f>J38</f>
        <v>#N/A</v>
      </c>
      <c r="AT166" t="s">
        <v>40</v>
      </c>
    </row>
    <row r="167" spans="1:46" ht="15" customHeight="1">
      <c r="G167" t="s">
        <v>242</v>
      </c>
      <c r="H167" t="s">
        <v>243</v>
      </c>
      <c r="I167" t="s">
        <v>120</v>
      </c>
      <c r="J167" s="66">
        <f>FCK</f>
        <v>30</v>
      </c>
      <c r="K167" t="s">
        <v>36</v>
      </c>
      <c r="N167" s="193" t="e">
        <f>P167+P168+P169+N172+O171+P170</f>
        <v>#N/A</v>
      </c>
      <c r="O167" s="187" t="s">
        <v>55</v>
      </c>
      <c r="P167" s="188" t="e">
        <f>DÆKLAG</f>
        <v>#N/A</v>
      </c>
      <c r="Q167" s="95" t="e">
        <f>S167+S168+S169+Q172+Q171+S170</f>
        <v>#N/A</v>
      </c>
      <c r="R167" s="187" t="s">
        <v>19</v>
      </c>
      <c r="S167" s="19" t="e">
        <f>P167</f>
        <v>#N/A</v>
      </c>
      <c r="T167" s="26" t="s">
        <v>584</v>
      </c>
      <c r="U167" s="50" t="e">
        <f>$N$49*$AH$8/2*$J$23*10^-3*($J$23/2-$J$42)/$J$43+$L$50*$AH$8/2*$AI$23</f>
        <v>#N/A</v>
      </c>
      <c r="V167" s="50" t="e">
        <f>$N$49*$AH$8/2*$J$23*10^-3*($J$23/2-$L$42)/$L$43+$L$50*$AH$8/2*$AI$24</f>
        <v>#N/A</v>
      </c>
      <c r="W167" s="50" t="e">
        <f>W169</f>
        <v>#N/A</v>
      </c>
      <c r="X167" s="50" t="e">
        <f>X169</f>
        <v>#N/A</v>
      </c>
      <c r="Y167" s="50" t="e">
        <f t="shared" si="28"/>
        <v>#N/A</v>
      </c>
      <c r="Z167" s="50" t="e">
        <f t="shared" si="28"/>
        <v>#N/A</v>
      </c>
      <c r="AA167" s="50" t="s">
        <v>589</v>
      </c>
      <c r="AJ167" t="s">
        <v>679</v>
      </c>
      <c r="AK167" s="50"/>
      <c r="AL167" s="50" t="e">
        <f>AM166-AK166-AK163</f>
        <v>#N/A</v>
      </c>
      <c r="AM167" s="50"/>
      <c r="AN167" s="50" t="e">
        <f>AO166-AM166</f>
        <v>#N/A</v>
      </c>
      <c r="AO167" s="50"/>
      <c r="AP167" s="50" t="e">
        <f>AQ166-AO166</f>
        <v>#N/A</v>
      </c>
      <c r="AQ167" s="50"/>
      <c r="AR167" s="50" t="e">
        <f>AS166-AQ166-AS163</f>
        <v>#N/A</v>
      </c>
      <c r="AS167" s="50"/>
      <c r="AT167" t="s">
        <v>40</v>
      </c>
    </row>
    <row r="168" spans="1:46" ht="15" customHeight="1">
      <c r="F168" s="26" t="s">
        <v>680</v>
      </c>
      <c r="H168" t="s">
        <v>681</v>
      </c>
      <c r="I168" t="s">
        <v>120</v>
      </c>
      <c r="J168" s="74">
        <f>FCD</f>
        <v>21.428571428571431</v>
      </c>
      <c r="K168" t="s">
        <v>36</v>
      </c>
      <c r="N168" s="201" t="e">
        <f>IF(AND(O167="JA",P170=0),"U-bjl højde N171?",IF(AND(R167="JA",S170=0),"U-bjl højde R171 ?"," "))</f>
        <v>#N/A</v>
      </c>
      <c r="P168" s="189">
        <v>8</v>
      </c>
      <c r="S168" s="96">
        <f>P168</f>
        <v>8</v>
      </c>
      <c r="T168" s="26" t="s">
        <v>584</v>
      </c>
      <c r="Y168" s="50" t="e">
        <f>MIN(Y166:Y166)</f>
        <v>#N/A</v>
      </c>
      <c r="Z168" s="50" t="e">
        <f>MIN(Z166:Z166)</f>
        <v>#N/A</v>
      </c>
      <c r="AA168" s="50" t="s">
        <v>460</v>
      </c>
      <c r="AJ168" t="s">
        <v>26</v>
      </c>
      <c r="AK168" s="50"/>
      <c r="AL168" s="50" t="e">
        <f>AL165*AL167</f>
        <v>#N/A</v>
      </c>
      <c r="AM168" s="50"/>
      <c r="AN168" s="50" t="e">
        <f>AN165*AN167</f>
        <v>#N/A</v>
      </c>
      <c r="AO168" s="50"/>
      <c r="AP168" s="50" t="e">
        <f>AP165*AP167</f>
        <v>#N/A</v>
      </c>
      <c r="AQ168" s="50"/>
      <c r="AR168" s="50" t="e">
        <f>AR165*AR167</f>
        <v>#N/A</v>
      </c>
      <c r="AS168" s="50"/>
      <c r="AT168" t="s">
        <v>460</v>
      </c>
    </row>
    <row r="169" spans="1:46" ht="15" customHeight="1">
      <c r="E169" s="32" t="s">
        <v>682</v>
      </c>
      <c r="G169" s="72" t="s">
        <v>683</v>
      </c>
      <c r="H169" s="30" t="s">
        <v>684</v>
      </c>
      <c r="I169" t="s">
        <v>120</v>
      </c>
      <c r="J169" s="190">
        <v>0.8</v>
      </c>
      <c r="K169" s="49"/>
      <c r="N169" s="359" t="s">
        <v>252</v>
      </c>
      <c r="P169" s="188">
        <v>8</v>
      </c>
      <c r="Q169" s="49" t="s">
        <v>252</v>
      </c>
      <c r="S169" s="19"/>
      <c r="T169" s="26" t="s">
        <v>596</v>
      </c>
      <c r="U169" s="50" t="e">
        <f>$L$52*$AH$8/2*$J$23*10^-3*($J$23/2-$J$42)/$J$43</f>
        <v>#N/A</v>
      </c>
      <c r="V169" s="50" t="e">
        <f>$L$52*$AH$8/2*$J$23*10^-3*($J$23/2-$L$42)/$L$43</f>
        <v>#N/A</v>
      </c>
      <c r="W169" s="50" t="e">
        <f>-($AI$30+$AI$31+$AL$16*($L$60+$L$61)+$AL$22*($L$62+$L$63))*($J$42-$J$24/3)/$J$43</f>
        <v>#N/A</v>
      </c>
      <c r="X169" s="50" t="e">
        <f>-($AL$31+$AL$32+$AN$16*($L$60+$L$61)+$AN$22*($L$62+$L$63))*($L$42-$J$24/3)/$L$43</f>
        <v>#N/A</v>
      </c>
      <c r="Y169" s="50" t="e">
        <f>U169+W169</f>
        <v>#N/A</v>
      </c>
      <c r="Z169" s="50" t="e">
        <f>V169+X169</f>
        <v>#N/A</v>
      </c>
      <c r="AA169" t="s">
        <v>597</v>
      </c>
      <c r="AJ169" t="s">
        <v>670</v>
      </c>
      <c r="AK169" s="50" t="e">
        <f>(AL168*(AS166-AL166)+AN168*(AS166-AN166)+AP168*(AS166-AP166)+AR168*(AS166-AR166))/AS166</f>
        <v>#N/A</v>
      </c>
      <c r="AL169" s="50"/>
      <c r="AM169" s="50"/>
      <c r="AN169" s="50"/>
      <c r="AO169" s="50"/>
      <c r="AP169" s="50"/>
      <c r="AQ169" s="50"/>
      <c r="AR169" s="50"/>
      <c r="AS169" s="50" t="e">
        <f>(AL168*AL166+AN168*AN166+AP168*AP166+AR168*AR166)/AS166</f>
        <v>#N/A</v>
      </c>
      <c r="AT169" t="s">
        <v>445</v>
      </c>
    </row>
    <row r="170" spans="1:46" ht="15" customHeight="1">
      <c r="C170" s="191" t="s">
        <v>252</v>
      </c>
      <c r="E170" s="65" t="e">
        <f>DÆKLAG+10</f>
        <v>#N/A</v>
      </c>
      <c r="F170" s="133" t="e">
        <f>IF(R167="ja",+Q167,+N167)</f>
        <v>#N/A</v>
      </c>
      <c r="H170" s="30" t="s">
        <v>685</v>
      </c>
      <c r="I170" t="s">
        <v>120</v>
      </c>
      <c r="J170" s="74">
        <f>J168*J169</f>
        <v>17.142857142857146</v>
      </c>
      <c r="K170" t="s">
        <v>36</v>
      </c>
      <c r="N170" s="357" t="s">
        <v>558</v>
      </c>
      <c r="P170" s="96" t="e">
        <f>J166-P167-P168-P169-P174-P173-N171+N172</f>
        <v>#N/A</v>
      </c>
      <c r="Q170" s="49" t="s">
        <v>558</v>
      </c>
      <c r="S170" s="96" t="e">
        <f>J166-S167-S168-S174-S173-R171</f>
        <v>#N/A</v>
      </c>
      <c r="T170" s="26" t="s">
        <v>600</v>
      </c>
      <c r="U170" s="50" t="e">
        <f>$O$49*$AH$8/2*$J$23*10^-3*($J$23/2-$J$42)/$J$43+$L$50*$AH$8/2*($AG$23+$AH$23)</f>
        <v>#N/A</v>
      </c>
      <c r="V170" s="50" t="e">
        <f>$O$49*$AH$8/2*$J$23*10^-3*($J$23/2-$L$42)/$L$43+$L$50*$AH$8/2*($AG$24+$AH$24)</f>
        <v>#N/A</v>
      </c>
      <c r="W170" s="50" t="e">
        <f>-($AI$29+$AL$16*$N$60+$AL$22*$N$62)*($J$42-$J$24/3)/$J$43</f>
        <v>#N/A</v>
      </c>
      <c r="X170" s="50" t="e">
        <f>-($AL$30+$AN$16*$N$60+$AN$22*$N$62)*($L$42-$J$24/3)/$L$43</f>
        <v>#N/A</v>
      </c>
      <c r="Y170" s="50" t="e">
        <f>U170+W170</f>
        <v>#N/A</v>
      </c>
      <c r="Z170" s="50" t="e">
        <f>V170+X170</f>
        <v>#N/A</v>
      </c>
      <c r="AA170" s="50" t="s">
        <v>585</v>
      </c>
      <c r="AJ170" t="s">
        <v>70</v>
      </c>
      <c r="AK170" s="50">
        <v>0</v>
      </c>
      <c r="AL170" s="50"/>
      <c r="AM170" s="50" t="e">
        <f>AK169*AM166-AL168*(AM166-AL166)</f>
        <v>#N/A</v>
      </c>
      <c r="AN170" s="50"/>
      <c r="AO170" s="50" t="e">
        <f>AK169*AO166-AL168*(AO166-AL166)-AN168*(AO166-AN166)</f>
        <v>#N/A</v>
      </c>
      <c r="AP170" s="50"/>
      <c r="AQ170" s="50" t="e">
        <f>AS169*(AS166-AQ166)-AR168*(AR166-AQ166)</f>
        <v>#N/A</v>
      </c>
      <c r="AR170" s="50"/>
      <c r="AS170" s="50">
        <v>0</v>
      </c>
      <c r="AT170" t="s">
        <v>478</v>
      </c>
    </row>
    <row r="171" spans="1:46" ht="15" customHeight="1">
      <c r="C171" s="170"/>
      <c r="G171" s="72"/>
      <c r="N171" s="216" t="e">
        <f>J166-P174-P173-P167-P168-P169+N172</f>
        <v>#N/A</v>
      </c>
      <c r="O171" s="358">
        <v>10</v>
      </c>
      <c r="P171" s="96"/>
      <c r="Q171" s="192">
        <f>O171</f>
        <v>10</v>
      </c>
      <c r="R171" s="196" t="e">
        <f>J166-S167-S168-S174-S173</f>
        <v>#N/A</v>
      </c>
      <c r="S171" s="96"/>
    </row>
    <row r="172" spans="1:46" ht="15" customHeight="1">
      <c r="D172">
        <f>O171</f>
        <v>10</v>
      </c>
      <c r="E172" s="19"/>
      <c r="H172" t="s">
        <v>686</v>
      </c>
      <c r="I172" t="s">
        <v>120</v>
      </c>
      <c r="J172" s="169" t="e">
        <f>J164</f>
        <v>#N/A</v>
      </c>
      <c r="K172" t="s">
        <v>460</v>
      </c>
      <c r="N172" s="193">
        <f>J204</f>
        <v>8</v>
      </c>
      <c r="P172" s="360"/>
      <c r="Q172" s="95">
        <f>N172</f>
        <v>8</v>
      </c>
      <c r="R172" s="97"/>
      <c r="S172" s="19"/>
      <c r="U172" s="32" t="s">
        <v>479</v>
      </c>
    </row>
    <row r="173" spans="1:46" ht="15" customHeight="1">
      <c r="D173" s="194" t="s">
        <v>558</v>
      </c>
      <c r="E173" s="194" t="s">
        <v>357</v>
      </c>
      <c r="G173" s="72"/>
      <c r="H173" t="s">
        <v>687</v>
      </c>
      <c r="I173" t="s">
        <v>120</v>
      </c>
      <c r="J173" s="66" t="e">
        <f>J166-A184-A174-F170</f>
        <v>#N/A</v>
      </c>
      <c r="K173" t="s">
        <v>91</v>
      </c>
      <c r="P173" s="96" t="e">
        <f>ARMDIAM</f>
        <v>#N/A</v>
      </c>
      <c r="S173" s="96" t="e">
        <f>P173</f>
        <v>#N/A</v>
      </c>
      <c r="U173" s="165" t="str">
        <f>B352</f>
        <v>FAST VEDERLAG</v>
      </c>
      <c r="AJ173" t="s">
        <v>688</v>
      </c>
    </row>
    <row r="174" spans="1:46" ht="15" customHeight="1">
      <c r="A174" s="196" t="e">
        <f>DÆKLAG+J187+10</f>
        <v>#N/A</v>
      </c>
      <c r="E174" s="68"/>
      <c r="F174" s="32"/>
      <c r="G174" t="s">
        <v>689</v>
      </c>
      <c r="H174" t="s">
        <v>553</v>
      </c>
      <c r="I174" t="s">
        <v>120</v>
      </c>
      <c r="J174" s="66" t="e">
        <f>E170+D177+D176+2/3*A176</f>
        <v>#N/A</v>
      </c>
      <c r="K174" t="s">
        <v>91</v>
      </c>
      <c r="P174" s="96" t="e">
        <f>DÆKLAG+N11</f>
        <v>#N/A</v>
      </c>
      <c r="S174" s="96" t="e">
        <f>P174</f>
        <v>#N/A</v>
      </c>
      <c r="U174" s="19" t="s">
        <v>486</v>
      </c>
      <c r="V174" s="19" t="s">
        <v>487</v>
      </c>
      <c r="W174" s="53" t="e">
        <f>J369</f>
        <v>#N/A</v>
      </c>
      <c r="X174" t="s">
        <v>488</v>
      </c>
      <c r="AJ174" t="s">
        <v>672</v>
      </c>
      <c r="AL174" s="19" t="s">
        <v>553</v>
      </c>
      <c r="AM174" s="19"/>
      <c r="AN174" s="19" t="s">
        <v>673</v>
      </c>
      <c r="AO174" s="19"/>
      <c r="AP174" s="19" t="s">
        <v>674</v>
      </c>
      <c r="AQ174" s="19"/>
      <c r="AR174" s="19" t="s">
        <v>675</v>
      </c>
      <c r="AS174" s="19"/>
    </row>
    <row r="175" spans="1:46" ht="15" customHeight="1">
      <c r="H175" s="26" t="s">
        <v>690</v>
      </c>
      <c r="I175" t="s">
        <v>120</v>
      </c>
      <c r="J175" s="74" t="e">
        <f>N175/PI()*180</f>
        <v>#N/A</v>
      </c>
      <c r="K175" t="s">
        <v>154</v>
      </c>
      <c r="N175" s="195" t="e">
        <f>ATAN((J173-J176)/J174)</f>
        <v>#N/A</v>
      </c>
      <c r="O175" t="s">
        <v>691</v>
      </c>
      <c r="U175" s="50" t="e">
        <f>1+SQRT(200/W176)</f>
        <v>#N/A</v>
      </c>
      <c r="V175" s="74" t="e">
        <f>(0.18/$N$13*U176*(100*W174/(W175*W176)*$J$25)^(1/3))*W175*W176*10^-3</f>
        <v>#N/A</v>
      </c>
      <c r="W175" s="53" t="e">
        <f>J357</f>
        <v>#N/A</v>
      </c>
      <c r="X175" t="s">
        <v>492</v>
      </c>
      <c r="AJ175" t="s">
        <v>26</v>
      </c>
      <c r="AK175" s="50"/>
      <c r="AL175" s="50" t="e">
        <f>TR*10^-3*A46*B*10^-3</f>
        <v>#N/A</v>
      </c>
      <c r="AM175" s="50"/>
      <c r="AN175" s="50" t="e">
        <f>LAST_1_K*B*10^-3</f>
        <v>#N/A</v>
      </c>
      <c r="AO175" s="50"/>
      <c r="AP175" s="50" t="e">
        <f>AN175</f>
        <v>#N/A</v>
      </c>
      <c r="AQ175" s="50"/>
      <c r="AR175" s="50" t="e">
        <f>AL175</f>
        <v>#N/A</v>
      </c>
      <c r="AS175" s="50"/>
      <c r="AT175" t="s">
        <v>445</v>
      </c>
    </row>
    <row r="176" spans="1:46" ht="15" customHeight="1">
      <c r="A176" s="196" t="e">
        <f>NA()</f>
        <v>#N/A</v>
      </c>
      <c r="C176" s="26"/>
      <c r="D176" s="65">
        <v>10</v>
      </c>
      <c r="H176" t="s">
        <v>692</v>
      </c>
      <c r="I176" t="s">
        <v>120</v>
      </c>
      <c r="J176" s="65">
        <v>12</v>
      </c>
      <c r="K176" t="s">
        <v>91</v>
      </c>
      <c r="N176" s="197" t="str">
        <f>IF(J176=12,"h5 er default indsat til 12mm."," ")</f>
        <v>h5 er default indsat til 12mm.</v>
      </c>
      <c r="Q176" s="93" t="e">
        <f>J181-J170</f>
        <v>#N/A</v>
      </c>
      <c r="U176" s="50" t="e">
        <f>IF(U175&gt;2,2,U175)</f>
        <v>#N/A</v>
      </c>
      <c r="V176" s="74" t="e">
        <f>(0.035*U176^(3/2)*SQRT($J$25)*W175*W176)*10^-3</f>
        <v>#N/A</v>
      </c>
      <c r="W176" s="53" t="e">
        <f>J356</f>
        <v>#N/A</v>
      </c>
      <c r="X176" t="s">
        <v>495</v>
      </c>
      <c r="AJ176" t="s">
        <v>392</v>
      </c>
      <c r="AK176" s="50">
        <v>0</v>
      </c>
      <c r="AL176" s="50" t="e">
        <f>AM176/2</f>
        <v>#N/A</v>
      </c>
      <c r="AM176" s="50" t="e">
        <f>AM166</f>
        <v>#N/A</v>
      </c>
      <c r="AN176" s="50" t="e">
        <f>AM176+(AO176-AM176)/2</f>
        <v>#N/A</v>
      </c>
      <c r="AO176" s="50" t="e">
        <f>AO166</f>
        <v>#N/A</v>
      </c>
      <c r="AP176" s="50" t="e">
        <f>AO176+(AQ176-AO176)/2</f>
        <v>#N/A</v>
      </c>
      <c r="AQ176" s="50" t="e">
        <f>AQ166</f>
        <v>#N/A</v>
      </c>
      <c r="AR176" s="50" t="e">
        <f>AQ176+(AS176-AQ176)/2</f>
        <v>#N/A</v>
      </c>
      <c r="AS176" s="50" t="e">
        <f>AS166</f>
        <v>#N/A</v>
      </c>
      <c r="AT176" t="s">
        <v>40</v>
      </c>
    </row>
    <row r="177" spans="1:46" ht="15" customHeight="1">
      <c r="C177" t="s">
        <v>670</v>
      </c>
      <c r="D177" s="66">
        <f>C119</f>
        <v>50</v>
      </c>
      <c r="F177" s="19"/>
      <c r="G177" s="79" t="s">
        <v>693</v>
      </c>
      <c r="H177" t="s">
        <v>693</v>
      </c>
      <c r="I177" t="s">
        <v>120</v>
      </c>
      <c r="J177" s="53" t="e">
        <f>J176*TAN(N175)</f>
        <v>#N/A</v>
      </c>
      <c r="K177" t="s">
        <v>91</v>
      </c>
      <c r="N177" s="197" t="str">
        <f>IF(J176=12,"Når alle data er indtastet, tryk på Optimer."," ")</f>
        <v>Når alle data er indtastet, tryk på Optimer.</v>
      </c>
      <c r="AJ177" t="s">
        <v>679</v>
      </c>
      <c r="AK177" s="50"/>
      <c r="AL177" s="50" t="e">
        <f>AM176-AK176-AK163</f>
        <v>#N/A</v>
      </c>
      <c r="AM177" s="50"/>
      <c r="AN177" s="50" t="e">
        <f>AO176-AM176</f>
        <v>#N/A</v>
      </c>
      <c r="AO177" s="50"/>
      <c r="AP177" s="50" t="e">
        <f>AQ176-AO176</f>
        <v>#N/A</v>
      </c>
      <c r="AQ177" s="50"/>
      <c r="AR177" s="50" t="e">
        <f>AS176-AQ176-AS163</f>
        <v>#N/A</v>
      </c>
      <c r="AS177" s="50"/>
      <c r="AT177" t="s">
        <v>40</v>
      </c>
    </row>
    <row r="178" spans="1:46" ht="15" customHeight="1">
      <c r="G178" s="79" t="s">
        <v>694</v>
      </c>
      <c r="H178" t="s">
        <v>695</v>
      </c>
      <c r="I178" t="s">
        <v>120</v>
      </c>
      <c r="J178" s="53" t="e">
        <f>J176/COS(N175)</f>
        <v>#N/A</v>
      </c>
      <c r="K178" t="s">
        <v>91</v>
      </c>
      <c r="AJ178" t="s">
        <v>26</v>
      </c>
      <c r="AK178" s="50"/>
      <c r="AL178" s="50" t="e">
        <f>AL175*AL177</f>
        <v>#N/A</v>
      </c>
      <c r="AM178" s="50"/>
      <c r="AN178" s="50" t="e">
        <f>AN175*AN177</f>
        <v>#N/A</v>
      </c>
      <c r="AO178" s="50"/>
      <c r="AP178" s="50" t="e">
        <f>AP175*AP177</f>
        <v>#N/A</v>
      </c>
      <c r="AQ178" s="50"/>
      <c r="AR178" s="50" t="e">
        <f>AR175*AR177</f>
        <v>#N/A</v>
      </c>
      <c r="AS178" s="50"/>
      <c r="AT178" t="s">
        <v>460</v>
      </c>
    </row>
    <row r="179" spans="1:46" ht="15" customHeight="1">
      <c r="C179" s="170"/>
      <c r="H179" t="s">
        <v>132</v>
      </c>
      <c r="I179" t="s">
        <v>120</v>
      </c>
      <c r="J179" s="74" t="e">
        <f>J172/TAN(N175)</f>
        <v>#N/A</v>
      </c>
      <c r="K179" t="s">
        <v>460</v>
      </c>
      <c r="L179" t="s">
        <v>696</v>
      </c>
      <c r="N179" s="198" t="s">
        <v>697</v>
      </c>
      <c r="AB179" s="81"/>
      <c r="AJ179" t="s">
        <v>670</v>
      </c>
      <c r="AK179" s="50" t="e">
        <f>(AL178*(AS176-AL176)+AN178*(AS176-AN176)+AP178*(AS176-AP176)+AR178*(AS176-AR176))/AS176</f>
        <v>#N/A</v>
      </c>
      <c r="AL179" s="50"/>
      <c r="AM179" s="50"/>
      <c r="AN179" s="50"/>
      <c r="AO179" s="50"/>
      <c r="AP179" s="50"/>
      <c r="AQ179" s="50"/>
      <c r="AR179" s="50"/>
      <c r="AS179" s="50" t="e">
        <f>(AL178*AL176+AN178*AN176+AP178*AP176+AR178*AR176)/AS176</f>
        <v>#N/A</v>
      </c>
      <c r="AT179" t="s">
        <v>460</v>
      </c>
    </row>
    <row r="180" spans="1:46" ht="15" customHeight="1">
      <c r="G180" s="19" t="s">
        <v>132</v>
      </c>
      <c r="H180" t="s">
        <v>698</v>
      </c>
      <c r="I180" t="s">
        <v>120</v>
      </c>
      <c r="J180" s="74" t="e">
        <f>SQRT(J172^2+J179^2)</f>
        <v>#N/A</v>
      </c>
      <c r="K180" t="s">
        <v>460</v>
      </c>
      <c r="T180" s="347" t="s">
        <v>699</v>
      </c>
      <c r="U180" s="3"/>
      <c r="V180" s="3"/>
      <c r="W180" s="3" t="s">
        <v>700</v>
      </c>
      <c r="X180" s="3"/>
      <c r="Y180" s="3" t="s">
        <v>701</v>
      </c>
      <c r="Z180" s="348" t="s">
        <v>702</v>
      </c>
      <c r="AA180" s="349" t="s">
        <v>703</v>
      </c>
      <c r="AJ180" t="s">
        <v>70</v>
      </c>
      <c r="AK180" s="50">
        <v>0</v>
      </c>
      <c r="AL180" s="50"/>
      <c r="AM180" s="50" t="e">
        <f>AK179*AM176-AL178*(AM176-AL176)</f>
        <v>#N/A</v>
      </c>
      <c r="AN180" s="50"/>
      <c r="AO180" s="50" t="e">
        <f>AK179*AO176-AL178*(AO176-AL176)-AN178*(AO176-AN176)</f>
        <v>#N/A</v>
      </c>
      <c r="AP180" s="50"/>
      <c r="AQ180" s="50" t="e">
        <f>AS179*(AS176-AQ176)-AR178*(AR176-AQ176)</f>
        <v>#N/A</v>
      </c>
      <c r="AR180" s="50"/>
      <c r="AS180" s="50">
        <v>0</v>
      </c>
      <c r="AT180" t="s">
        <v>147</v>
      </c>
    </row>
    <row r="181" spans="1:46" ht="15" customHeight="1">
      <c r="B181" s="81"/>
      <c r="C181" s="81"/>
      <c r="D181" s="81"/>
      <c r="E181" s="81"/>
      <c r="F181" s="81"/>
      <c r="G181" s="103" t="s">
        <v>692</v>
      </c>
      <c r="H181" s="81" t="s">
        <v>704</v>
      </c>
      <c r="I181" s="81" t="s">
        <v>120</v>
      </c>
      <c r="J181" s="200" t="e">
        <f>P181</f>
        <v>#N/A</v>
      </c>
      <c r="K181" s="81" t="s">
        <v>36</v>
      </c>
      <c r="L181" s="81"/>
      <c r="M181" s="199" t="e">
        <f>IF(J181&lt;J170,"&lt; v fcd, accept","&gt;v fcd, forkast")</f>
        <v>#N/A</v>
      </c>
      <c r="N181" s="201" t="e">
        <f>IF(J181&gt;J170,"NB!"," ")</f>
        <v>#N/A</v>
      </c>
      <c r="O181" s="81" t="s">
        <v>705</v>
      </c>
      <c r="P181" s="200" t="e">
        <f>J172*10^3/(J165*J177)</f>
        <v>#N/A</v>
      </c>
      <c r="Q181" s="81" t="s">
        <v>36</v>
      </c>
      <c r="R181" s="81"/>
      <c r="S181" s="81"/>
      <c r="T181" s="350" t="s">
        <v>706</v>
      </c>
      <c r="U181" s="81"/>
      <c r="V181" s="81" t="s">
        <v>707</v>
      </c>
      <c r="W181" s="351" t="e">
        <f>J212</f>
        <v>#N/A</v>
      </c>
      <c r="X181" s="81" t="s">
        <v>91</v>
      </c>
      <c r="Y181" s="351" t="e">
        <f>J213</f>
        <v>#N/A</v>
      </c>
      <c r="Z181" s="351">
        <f>J187</f>
        <v>8</v>
      </c>
      <c r="AA181" s="352">
        <f>J204</f>
        <v>8</v>
      </c>
    </row>
    <row r="182" spans="1:46" ht="15" customHeight="1">
      <c r="B182" s="19"/>
      <c r="D182" s="19" t="s">
        <v>553</v>
      </c>
      <c r="E182" s="19" t="s">
        <v>687</v>
      </c>
      <c r="F182" s="79" t="s">
        <v>180</v>
      </c>
      <c r="G182" t="s">
        <v>698</v>
      </c>
      <c r="O182" t="s">
        <v>708</v>
      </c>
      <c r="P182" s="74" t="e">
        <f>J179*10^3/(J165*J176)</f>
        <v>#N/A</v>
      </c>
      <c r="Q182" t="s">
        <v>36</v>
      </c>
      <c r="T182" s="27"/>
      <c r="AA182" s="29"/>
    </row>
    <row r="183" spans="1:46" ht="15" customHeight="1">
      <c r="C183" s="26"/>
      <c r="E183" s="19"/>
      <c r="F183" s="26" t="s">
        <v>695</v>
      </c>
      <c r="G183" s="26"/>
      <c r="O183" t="s">
        <v>709</v>
      </c>
      <c r="P183" s="74" t="e">
        <f>J180*10^3/(J165*J178)</f>
        <v>#N/A</v>
      </c>
      <c r="Q183" t="s">
        <v>36</v>
      </c>
      <c r="T183" s="27" t="s">
        <v>710</v>
      </c>
      <c r="V183" t="s">
        <v>286</v>
      </c>
      <c r="W183" s="53">
        <f>J215</f>
        <v>416.66666666666669</v>
      </c>
      <c r="X183" t="s">
        <v>36</v>
      </c>
      <c r="Y183" s="53">
        <f>W183</f>
        <v>416.66666666666669</v>
      </c>
      <c r="Z183" s="53">
        <f>J189</f>
        <v>416.66666666666669</v>
      </c>
      <c r="AA183" s="353">
        <f>J206</f>
        <v>416.66666666666669</v>
      </c>
      <c r="AJ183" t="s">
        <v>711</v>
      </c>
    </row>
    <row r="184" spans="1:46" ht="15" customHeight="1">
      <c r="A184" s="196" t="e">
        <f>NA()</f>
        <v>#N/A</v>
      </c>
      <c r="C184" s="26"/>
      <c r="F184" s="26"/>
      <c r="T184" s="27" t="s">
        <v>712</v>
      </c>
      <c r="V184" t="s">
        <v>713</v>
      </c>
      <c r="W184" s="50">
        <f>J27*0.7</f>
        <v>2.0275277076718221</v>
      </c>
      <c r="X184" t="s">
        <v>36</v>
      </c>
      <c r="Y184" s="50">
        <f>W184</f>
        <v>2.0275277076718221</v>
      </c>
      <c r="Z184" s="50">
        <f>W184</f>
        <v>2.0275277076718221</v>
      </c>
      <c r="AA184" s="354">
        <f>W184</f>
        <v>2.0275277076718221</v>
      </c>
      <c r="AJ184" t="s">
        <v>672</v>
      </c>
      <c r="AL184" s="19" t="s">
        <v>553</v>
      </c>
      <c r="AM184" s="19"/>
      <c r="AN184" s="19" t="s">
        <v>673</v>
      </c>
      <c r="AO184" s="19"/>
      <c r="AP184" s="19" t="s">
        <v>674</v>
      </c>
      <c r="AQ184" s="19"/>
      <c r="AR184" s="19" t="s">
        <v>675</v>
      </c>
      <c r="AS184" s="19"/>
    </row>
    <row r="185" spans="1:46" ht="15" customHeight="1">
      <c r="C185" s="26"/>
      <c r="T185" s="27" t="s">
        <v>714</v>
      </c>
      <c r="W185" s="50">
        <f>GAMMACTRÆK</f>
        <v>1.6</v>
      </c>
      <c r="Y185" s="50">
        <f>W185</f>
        <v>1.6</v>
      </c>
      <c r="Z185" s="50">
        <f>W185</f>
        <v>1.6</v>
      </c>
      <c r="AA185" s="354">
        <f>W185</f>
        <v>1.6</v>
      </c>
      <c r="AJ185" t="s">
        <v>26</v>
      </c>
      <c r="AK185" s="50"/>
      <c r="AL185" s="50" t="e">
        <f>LAST_2_K*B*10^-3</f>
        <v>#N/A</v>
      </c>
      <c r="AM185" s="50"/>
      <c r="AN185" s="50" t="e">
        <f>AL185</f>
        <v>#N/A</v>
      </c>
      <c r="AO185" s="50"/>
      <c r="AP185" s="50" t="e">
        <f>AL185</f>
        <v>#N/A</v>
      </c>
      <c r="AQ185" s="50"/>
      <c r="AR185" s="50" t="e">
        <f>AL185</f>
        <v>#N/A</v>
      </c>
      <c r="AS185" s="50"/>
      <c r="AT185" t="s">
        <v>445</v>
      </c>
    </row>
    <row r="186" spans="1:46" ht="15" customHeight="1">
      <c r="C186" s="134">
        <v>100</v>
      </c>
      <c r="T186" s="27" t="s">
        <v>712</v>
      </c>
      <c r="V186" t="s">
        <v>715</v>
      </c>
      <c r="W186" s="50">
        <f>R14*W184/W185</f>
        <v>1.2672048172948887</v>
      </c>
      <c r="X186" t="s">
        <v>36</v>
      </c>
      <c r="Y186" s="50">
        <f>Y184/Y185</f>
        <v>1.2672048172948887</v>
      </c>
      <c r="Z186" s="50">
        <f>Z184/Z185</f>
        <v>1.2672048172948887</v>
      </c>
      <c r="AA186" s="354">
        <f>AA184/AA185</f>
        <v>1.2672048172948887</v>
      </c>
      <c r="AJ186" t="s">
        <v>392</v>
      </c>
      <c r="AK186" s="50">
        <v>0</v>
      </c>
      <c r="AL186" s="50" t="e">
        <f t="shared" ref="AL186:AS186" si="29">AL176</f>
        <v>#N/A</v>
      </c>
      <c r="AM186" s="50" t="e">
        <f t="shared" si="29"/>
        <v>#N/A</v>
      </c>
      <c r="AN186" s="50" t="e">
        <f t="shared" si="29"/>
        <v>#N/A</v>
      </c>
      <c r="AO186" s="50" t="e">
        <f t="shared" si="29"/>
        <v>#N/A</v>
      </c>
      <c r="AP186" s="50" t="e">
        <f t="shared" si="29"/>
        <v>#N/A</v>
      </c>
      <c r="AQ186" s="50" t="e">
        <f t="shared" si="29"/>
        <v>#N/A</v>
      </c>
      <c r="AR186" s="50" t="e">
        <f t="shared" si="29"/>
        <v>#N/A</v>
      </c>
      <c r="AS186" s="50" t="e">
        <f t="shared" si="29"/>
        <v>#N/A</v>
      </c>
      <c r="AT186" t="s">
        <v>40</v>
      </c>
    </row>
    <row r="187" spans="1:46" ht="15" customHeight="1">
      <c r="F187" t="s">
        <v>716</v>
      </c>
      <c r="G187" t="s">
        <v>717</v>
      </c>
      <c r="H187" s="65">
        <v>3</v>
      </c>
      <c r="I187" s="113" t="s">
        <v>265</v>
      </c>
      <c r="J187" s="65">
        <v>8</v>
      </c>
      <c r="K187" t="s">
        <v>266</v>
      </c>
      <c r="N187">
        <f>CODE(I187)</f>
        <v>75</v>
      </c>
      <c r="O187">
        <f>HLOOKUP(N187,$AA$320:$AZ$328,6)</f>
        <v>500</v>
      </c>
      <c r="P187" t="s">
        <v>228</v>
      </c>
      <c r="T187" s="27" t="s">
        <v>718</v>
      </c>
      <c r="V187" t="s">
        <v>719</v>
      </c>
      <c r="W187" s="50">
        <f>2.25*W186</f>
        <v>2.8512108389134996</v>
      </c>
      <c r="X187" t="s">
        <v>36</v>
      </c>
      <c r="Y187" s="50">
        <f>2.25*Y186</f>
        <v>2.8512108389134996</v>
      </c>
      <c r="Z187" s="50">
        <f>2.25*Z186</f>
        <v>2.8512108389134996</v>
      </c>
      <c r="AA187" s="354">
        <f>2.25*AA186</f>
        <v>2.8512108389134996</v>
      </c>
      <c r="AJ187" t="s">
        <v>679</v>
      </c>
      <c r="AK187" s="50"/>
      <c r="AL187" s="50" t="e">
        <f>AM186-AK186-AK163</f>
        <v>#N/A</v>
      </c>
      <c r="AM187" s="50"/>
      <c r="AN187" s="50" t="e">
        <f>AO186-AM186</f>
        <v>#N/A</v>
      </c>
      <c r="AO187" s="50"/>
      <c r="AP187" s="50" t="e">
        <f>AQ186-AO186</f>
        <v>#N/A</v>
      </c>
      <c r="AQ187" s="50"/>
      <c r="AR187" s="50" t="e">
        <f>AS186-AQ186-AS163</f>
        <v>#N/A</v>
      </c>
      <c r="AS187" s="50"/>
      <c r="AT187" t="s">
        <v>40</v>
      </c>
    </row>
    <row r="188" spans="1:46" ht="15" customHeight="1">
      <c r="B188" s="202"/>
      <c r="G188" s="26"/>
      <c r="H188" s="32" t="s">
        <v>720</v>
      </c>
      <c r="I188" t="s">
        <v>120</v>
      </c>
      <c r="J188" s="53">
        <f>O187</f>
        <v>500</v>
      </c>
      <c r="K188" t="s">
        <v>36</v>
      </c>
      <c r="T188" s="27" t="s">
        <v>721</v>
      </c>
      <c r="V188" t="s">
        <v>722</v>
      </c>
      <c r="W188" s="74">
        <f>W183/(4*W187)</f>
        <v>36.534185843078895</v>
      </c>
      <c r="Y188" s="74">
        <f>Y183/(4*Y187)</f>
        <v>36.534185843078895</v>
      </c>
      <c r="Z188" s="74">
        <f>Z183/(4*Z187)</f>
        <v>36.534185843078895</v>
      </c>
      <c r="AA188" s="355">
        <f>AA183/(4*AA187)</f>
        <v>36.534185843078895</v>
      </c>
      <c r="AJ188" t="s">
        <v>26</v>
      </c>
      <c r="AK188" s="50"/>
      <c r="AL188" s="50" t="e">
        <f>AL185*AL187</f>
        <v>#N/A</v>
      </c>
      <c r="AM188" s="50"/>
      <c r="AN188" s="50" t="e">
        <f>AN185*AN187</f>
        <v>#N/A</v>
      </c>
      <c r="AO188" s="50"/>
      <c r="AP188" s="50" t="e">
        <f>AP185*AP187</f>
        <v>#N/A</v>
      </c>
      <c r="AQ188" s="50"/>
      <c r="AR188" s="50" t="e">
        <f>AR185*AR187</f>
        <v>#N/A</v>
      </c>
      <c r="AS188" s="50"/>
      <c r="AT188" t="s">
        <v>460</v>
      </c>
    </row>
    <row r="189" spans="1:46" s="81" customFormat="1" ht="15" customHeight="1">
      <c r="B189" s="202"/>
      <c r="C189"/>
      <c r="D189"/>
      <c r="E189" s="194" t="s">
        <v>357</v>
      </c>
      <c r="F189"/>
      <c r="G189" s="26"/>
      <c r="H189" s="32" t="s">
        <v>286</v>
      </c>
      <c r="I189" t="s">
        <v>120</v>
      </c>
      <c r="J189" s="53">
        <f>J188/GAMMAS</f>
        <v>416.66666666666669</v>
      </c>
      <c r="K189" t="s">
        <v>36</v>
      </c>
      <c r="L189"/>
      <c r="M189"/>
      <c r="N189"/>
      <c r="O189" s="203" t="s">
        <v>116</v>
      </c>
      <c r="P189" s="198" t="s">
        <v>723</v>
      </c>
      <c r="Q189"/>
      <c r="R189"/>
      <c r="S189"/>
      <c r="T189" s="27" t="s">
        <v>724</v>
      </c>
      <c r="U189"/>
      <c r="V189" t="s">
        <v>725</v>
      </c>
      <c r="W189" s="53" t="e">
        <f>W188*W181</f>
        <v>#N/A</v>
      </c>
      <c r="X189" t="s">
        <v>91</v>
      </c>
      <c r="Y189" s="53" t="e">
        <f>Y188*Y181</f>
        <v>#N/A</v>
      </c>
      <c r="Z189" s="53">
        <f>Z188*Z181</f>
        <v>292.27348674463116</v>
      </c>
      <c r="AA189" s="353">
        <f>AA188*AA181</f>
        <v>292.27348674463116</v>
      </c>
      <c r="AJ189" s="81" t="s">
        <v>670</v>
      </c>
      <c r="AK189" s="204" t="e">
        <f>(AL188*(AS186-AL186)+AN188*(AS186-AN186)+AP188*(AS186-AP186)+AR188*(AS186-AR186))/AS186</f>
        <v>#N/A</v>
      </c>
      <c r="AL189" s="204"/>
      <c r="AM189" s="204"/>
      <c r="AN189" s="204"/>
      <c r="AO189" s="204"/>
      <c r="AP189" s="204"/>
      <c r="AQ189" s="204"/>
      <c r="AR189" s="204"/>
      <c r="AS189" s="204" t="e">
        <f>(AL188*AL186+AN188*AN186+AP188*AP186+AR188*AR186)/AS186</f>
        <v>#N/A</v>
      </c>
      <c r="AT189" s="81" t="s">
        <v>460</v>
      </c>
    </row>
    <row r="190" spans="1:46" ht="15" customHeight="1">
      <c r="B190" s="202"/>
      <c r="F190" s="160"/>
      <c r="G190" s="26"/>
      <c r="H190" s="32" t="s">
        <v>726</v>
      </c>
      <c r="I190" t="s">
        <v>120</v>
      </c>
      <c r="J190" s="53">
        <f>H187*J187^2/4*PI()</f>
        <v>150.79644737231007</v>
      </c>
      <c r="K190" t="s">
        <v>114</v>
      </c>
      <c r="P190" s="198" t="s">
        <v>727</v>
      </c>
      <c r="T190" s="27" t="s">
        <v>728</v>
      </c>
      <c r="W190" s="53" t="e">
        <f>W189*O217</f>
        <v>#N/A</v>
      </c>
      <c r="X190" t="s">
        <v>91</v>
      </c>
      <c r="Y190" s="53" t="e">
        <f>Y189*O217</f>
        <v>#N/A</v>
      </c>
      <c r="Z190" s="53" t="e">
        <f>Z189*O191</f>
        <v>#N/A</v>
      </c>
      <c r="AA190" s="353" t="e">
        <f>AA189*MAX(O208,O209)</f>
        <v>#N/A</v>
      </c>
      <c r="AJ190" t="s">
        <v>729</v>
      </c>
      <c r="AK190" s="50">
        <v>0</v>
      </c>
      <c r="AL190" s="50"/>
      <c r="AM190" s="50" t="e">
        <f>AK189*AM186-AL188*(AM186-AL186)</f>
        <v>#N/A</v>
      </c>
      <c r="AN190" s="50"/>
      <c r="AO190" s="50" t="e">
        <f>AK189*AO186-AL188*(AO186-AL186)-AN188*(AO186-AN186)</f>
        <v>#N/A</v>
      </c>
      <c r="AP190" s="50"/>
      <c r="AQ190" s="50" t="e">
        <f>AS189*(AS186-AQ186)-AR188*(AR186-AQ186)</f>
        <v>#N/A</v>
      </c>
      <c r="AR190" s="50"/>
      <c r="AS190" s="50">
        <v>0</v>
      </c>
      <c r="AT190" t="s">
        <v>147</v>
      </c>
    </row>
    <row r="191" spans="1:46" ht="15" customHeight="1">
      <c r="F191" s="72" t="e">
        <f>CEILING((MAX(Z190,Z191)+A184)/10,1)*10+C186</f>
        <v>#N/A</v>
      </c>
      <c r="G191" s="26" t="s">
        <v>730</v>
      </c>
      <c r="H191" s="74">
        <f>J190*J189*10^-3</f>
        <v>62.831853071795862</v>
      </c>
      <c r="J191" t="s">
        <v>460</v>
      </c>
      <c r="K191" t="e">
        <f>IF(H191&gt;L191,"&gt;","&lt;")</f>
        <v>#N/A</v>
      </c>
      <c r="L191" s="74" t="e">
        <f>J179</f>
        <v>#N/A</v>
      </c>
      <c r="M191" t="e">
        <f>IF(H191&gt;L191,"accept","forkast")</f>
        <v>#N/A</v>
      </c>
      <c r="N191" s="164" t="e">
        <f>IF(M191="forkast","NB!"," ")</f>
        <v>#N/A</v>
      </c>
      <c r="O191" s="93" t="e">
        <f>L191/H191</f>
        <v>#N/A</v>
      </c>
      <c r="P191" s="49" t="s">
        <v>731</v>
      </c>
      <c r="S191" s="81"/>
      <c r="T191" s="12" t="s">
        <v>732</v>
      </c>
      <c r="U191" s="14"/>
      <c r="V191" s="14" t="s">
        <v>733</v>
      </c>
      <c r="W191" s="14" t="e">
        <f>MAX(0.3*W189,10*W181,100)</f>
        <v>#N/A</v>
      </c>
      <c r="X191" s="14" t="s">
        <v>91</v>
      </c>
      <c r="Y191" s="14" t="e">
        <f>MAX(0.3*Y189,10*Y181,100)</f>
        <v>#N/A</v>
      </c>
      <c r="Z191" s="14">
        <f>MAX(0.3*Z189,10*Z181,100)</f>
        <v>100</v>
      </c>
      <c r="AA191" s="16">
        <f>MAX(0.3*AA189,10*AA181,100)</f>
        <v>100</v>
      </c>
    </row>
    <row r="192" spans="1:46" ht="15" customHeight="1">
      <c r="AJ192" t="s">
        <v>734</v>
      </c>
      <c r="AK192" s="50">
        <f>AK180+AK190</f>
        <v>0</v>
      </c>
      <c r="AM192" s="50" t="e">
        <f>AM180+AM190</f>
        <v>#N/A</v>
      </c>
      <c r="AO192" s="50" t="e">
        <f>AO180+AO190</f>
        <v>#N/A</v>
      </c>
      <c r="AQ192" s="50" t="e">
        <f>AQ180+AQ190</f>
        <v>#N/A</v>
      </c>
      <c r="AS192" s="50">
        <f>AS180+AS190</f>
        <v>0</v>
      </c>
      <c r="AT192" t="s">
        <v>147</v>
      </c>
    </row>
    <row r="193" spans="3:55" ht="15" customHeight="1">
      <c r="C193" s="74" t="e">
        <f>J164/(P195/2)</f>
        <v>#N/A</v>
      </c>
      <c r="D193" t="s">
        <v>445</v>
      </c>
      <c r="E193" s="32"/>
      <c r="G193" t="s">
        <v>735</v>
      </c>
      <c r="N193" s="161" t="s">
        <v>736</v>
      </c>
      <c r="Q193" s="32"/>
    </row>
    <row r="194" spans="3:55" ht="15" customHeight="1">
      <c r="C194" s="191"/>
      <c r="O194" s="26" t="s">
        <v>737</v>
      </c>
      <c r="P194" s="205" t="e">
        <f>S194/((J166-F199)*10^-3)</f>
        <v>#N/A</v>
      </c>
      <c r="Q194" s="32" t="s">
        <v>738</v>
      </c>
      <c r="R194" s="26" t="s">
        <v>739</v>
      </c>
      <c r="S194" s="52" t="e">
        <f>(1-N28/2)*J22*10^-3</f>
        <v>#N/A</v>
      </c>
      <c r="T194" t="s">
        <v>40</v>
      </c>
      <c r="AJ194" t="s">
        <v>740</v>
      </c>
    </row>
    <row r="195" spans="3:55" ht="15" customHeight="1">
      <c r="C195" s="170"/>
      <c r="O195" s="26" t="s">
        <v>741</v>
      </c>
      <c r="P195" s="206" t="e">
        <f>J38-2*J37</f>
        <v>#N/A</v>
      </c>
      <c r="Q195" s="32" t="s">
        <v>742</v>
      </c>
      <c r="R195" s="32"/>
      <c r="AJ195" t="s">
        <v>743</v>
      </c>
      <c r="AL195" t="e">
        <f>AX92</f>
        <v>#N/A</v>
      </c>
      <c r="AN195" t="e">
        <f>AW92</f>
        <v>#N/A</v>
      </c>
      <c r="AP195" t="e">
        <f>AN195</f>
        <v>#N/A</v>
      </c>
      <c r="AR195" t="e">
        <f>AL195</f>
        <v>#N/A</v>
      </c>
      <c r="AT195" t="s">
        <v>744</v>
      </c>
    </row>
    <row r="196" spans="3:55" ht="15" customHeight="1">
      <c r="E196" s="19"/>
      <c r="P196" s="194"/>
      <c r="Q196" s="194"/>
      <c r="AJ196" t="s">
        <v>745</v>
      </c>
      <c r="AK196" s="100" t="e">
        <f>AK192/AL195</f>
        <v>#N/A</v>
      </c>
      <c r="AL196" s="100"/>
      <c r="AM196" s="100" t="e">
        <f>AM192/AL195</f>
        <v>#N/A</v>
      </c>
      <c r="AN196" s="100" t="e">
        <f>AM192/AN195</f>
        <v>#N/A</v>
      </c>
      <c r="AO196" s="100" t="e">
        <f>AO192/AN195</f>
        <v>#N/A</v>
      </c>
      <c r="AP196" s="100" t="e">
        <f>AQ192/AP195</f>
        <v>#N/A</v>
      </c>
      <c r="AQ196" s="100" t="e">
        <f>AQ192/AR195</f>
        <v>#N/A</v>
      </c>
      <c r="AR196" s="100"/>
      <c r="AS196" s="100" t="e">
        <f>AS192/AR195</f>
        <v>#N/A</v>
      </c>
    </row>
    <row r="197" spans="3:55" ht="15" customHeight="1">
      <c r="D197" s="194"/>
      <c r="E197" s="194"/>
      <c r="F197" s="100" t="e">
        <f>P194*(J166-F199)</f>
        <v>#N/A</v>
      </c>
      <c r="O197" s="19" t="s">
        <v>328</v>
      </c>
      <c r="P197" s="19" t="s">
        <v>313</v>
      </c>
      <c r="Q197" s="19" t="s">
        <v>328</v>
      </c>
      <c r="AJ197" t="s">
        <v>746</v>
      </c>
      <c r="AK197" s="53"/>
      <c r="AL197" s="53" t="e">
        <f>(AK196+AM196)/2</f>
        <v>#N/A</v>
      </c>
      <c r="AM197" s="53"/>
      <c r="AN197" s="53" t="e">
        <f>(AN196+AO196)/2</f>
        <v>#N/A</v>
      </c>
      <c r="AO197" s="53"/>
      <c r="AP197" s="53" t="e">
        <f>(AO196+AP196)/2</f>
        <v>#N/A</v>
      </c>
      <c r="AQ197" s="53"/>
      <c r="AR197" s="53" t="e">
        <f>(AQ196+AS196)/2</f>
        <v>#N/A</v>
      </c>
      <c r="AS197" s="53"/>
    </row>
    <row r="198" spans="3:55" ht="15" customHeight="1">
      <c r="E198" s="68" t="s">
        <v>747</v>
      </c>
      <c r="F198" s="32"/>
      <c r="H198" t="s">
        <v>747</v>
      </c>
      <c r="I198" s="81" t="s">
        <v>120</v>
      </c>
      <c r="J198" s="171" t="e">
        <f>(J164*(C202+F202)*10^-3-C193*(F201*10^-3)^2/2)/(F197*10^-3)</f>
        <v>#N/A</v>
      </c>
      <c r="K198" t="s">
        <v>460</v>
      </c>
      <c r="O198" s="32"/>
      <c r="P198" s="19" t="s">
        <v>748</v>
      </c>
      <c r="Q198" s="26"/>
      <c r="R198" s="19"/>
      <c r="AJ198" t="s">
        <v>392</v>
      </c>
      <c r="AK198" s="50">
        <v>0</v>
      </c>
      <c r="AL198" s="50" t="e">
        <f t="shared" ref="AL198:AS198" si="30">AL176</f>
        <v>#N/A</v>
      </c>
      <c r="AM198" s="50" t="e">
        <f t="shared" si="30"/>
        <v>#N/A</v>
      </c>
      <c r="AN198" s="50" t="e">
        <f t="shared" si="30"/>
        <v>#N/A</v>
      </c>
      <c r="AO198" s="50" t="e">
        <f t="shared" si="30"/>
        <v>#N/A</v>
      </c>
      <c r="AP198" s="50" t="e">
        <f t="shared" si="30"/>
        <v>#N/A</v>
      </c>
      <c r="AQ198" s="50" t="e">
        <f t="shared" si="30"/>
        <v>#N/A</v>
      </c>
      <c r="AR198" s="50" t="e">
        <f t="shared" si="30"/>
        <v>#N/A</v>
      </c>
      <c r="AS198" s="50" t="e">
        <f t="shared" si="30"/>
        <v>#N/A</v>
      </c>
      <c r="AT198" t="s">
        <v>40</v>
      </c>
    </row>
    <row r="199" spans="3:55" ht="15" customHeight="1">
      <c r="F199" s="207" t="e">
        <f>DÆKLAG+N11+MAX(J28:J29)/2</f>
        <v>#N/A</v>
      </c>
      <c r="P199" s="100"/>
      <c r="AJ199" t="s">
        <v>679</v>
      </c>
      <c r="AK199" s="50"/>
      <c r="AL199" s="50" t="e">
        <f>AM198-AK198-AK163</f>
        <v>#N/A</v>
      </c>
      <c r="AM199" s="50"/>
      <c r="AN199" s="50">
        <v>0</v>
      </c>
      <c r="AO199" s="50"/>
      <c r="AP199" s="50">
        <v>0</v>
      </c>
      <c r="AQ199" s="50"/>
      <c r="AR199" s="50" t="e">
        <f>AS198-AQ198-AS163</f>
        <v>#N/A</v>
      </c>
      <c r="AS199" s="50"/>
      <c r="AT199" t="s">
        <v>40</v>
      </c>
    </row>
    <row r="200" spans="3:55" ht="15" customHeight="1">
      <c r="C200" t="s">
        <v>670</v>
      </c>
      <c r="Q200" s="100"/>
      <c r="AJ200" t="s">
        <v>26</v>
      </c>
      <c r="AK200" s="53"/>
      <c r="AL200" s="53" t="e">
        <f>AL197*AL199</f>
        <v>#N/A</v>
      </c>
      <c r="AM200" s="53"/>
      <c r="AN200" s="53" t="e">
        <f>AN197*AN199</f>
        <v>#N/A</v>
      </c>
      <c r="AO200" s="53"/>
      <c r="AP200" s="53" t="e">
        <f>AP197*AP199</f>
        <v>#N/A</v>
      </c>
      <c r="AQ200" s="53"/>
      <c r="AR200" s="53" t="e">
        <f>AR197*AR199</f>
        <v>#N/A</v>
      </c>
      <c r="AS200" s="53"/>
    </row>
    <row r="201" spans="3:55" ht="15" customHeight="1">
      <c r="D201" s="100"/>
      <c r="F201" s="208" t="e">
        <f>F202+E170</f>
        <v>#N/A</v>
      </c>
      <c r="AJ201" t="s">
        <v>670</v>
      </c>
      <c r="AK201" s="53" t="e">
        <f>(AL200*(AS198-AL198)+AN200*(AS198-AN198)+AP200*(AS198-AP198)+AR200*(AS198-AR198))/AS198</f>
        <v>#N/A</v>
      </c>
      <c r="AL201" s="53"/>
      <c r="AM201" s="53"/>
      <c r="AN201" s="53"/>
      <c r="AO201" s="53"/>
      <c r="AP201" s="53"/>
      <c r="AQ201" s="53"/>
      <c r="AR201" s="53"/>
      <c r="AS201" s="53" t="e">
        <f>(AL200*AL198+AN200*AN198+AP200*AP198+AR200*AR198)/AS198</f>
        <v>#N/A</v>
      </c>
    </row>
    <row r="202" spans="3:55" ht="15" customHeight="1">
      <c r="C202" s="209" t="e">
        <f>2/3*A176+D176+D177+E170</f>
        <v>#N/A</v>
      </c>
      <c r="F202" s="208" t="e">
        <f>F197-(1-P194)*(J166-F199)/2</f>
        <v>#N/A</v>
      </c>
      <c r="AJ202" t="s">
        <v>70</v>
      </c>
      <c r="AK202" s="53">
        <v>0</v>
      </c>
      <c r="AL202" s="53"/>
      <c r="AM202" s="53" t="e">
        <f>AK201*AM198-AL200*(AM198-AL198)</f>
        <v>#N/A</v>
      </c>
      <c r="AN202" s="53"/>
      <c r="AO202" s="53" t="e">
        <f>AK201*AO198-AL200*(AO198-AL198)-AN200*(AO198-AN198)</f>
        <v>#N/A</v>
      </c>
      <c r="AP202" s="53"/>
      <c r="AQ202" s="53" t="e">
        <f>AS201*(AS198-AQ198)-AR200*(AR198-AQ198)</f>
        <v>#N/A</v>
      </c>
      <c r="AR202" s="53"/>
      <c r="AS202" s="53">
        <v>0</v>
      </c>
    </row>
    <row r="203" spans="3:55" ht="15" customHeight="1">
      <c r="AO203" s="50" t="e">
        <f>AO202/(AO202+AO212)</f>
        <v>#N/A</v>
      </c>
    </row>
    <row r="204" spans="3:55" ht="15" customHeight="1">
      <c r="F204" t="s">
        <v>716</v>
      </c>
      <c r="G204" t="s">
        <v>749</v>
      </c>
      <c r="H204" s="65">
        <v>3</v>
      </c>
      <c r="I204" s="113" t="str">
        <f>I187</f>
        <v>K</v>
      </c>
      <c r="J204" s="65">
        <v>8</v>
      </c>
      <c r="K204" t="s">
        <v>266</v>
      </c>
      <c r="N204">
        <f>CODE(I204)</f>
        <v>75</v>
      </c>
      <c r="O204">
        <f>HLOOKUP(N204,$AA$320:$AZ$328,6)</f>
        <v>500</v>
      </c>
      <c r="P204" t="s">
        <v>228</v>
      </c>
      <c r="AJ204" t="s">
        <v>750</v>
      </c>
      <c r="BC204" s="74"/>
    </row>
    <row r="205" spans="3:55" ht="15" customHeight="1">
      <c r="H205" s="32" t="s">
        <v>720</v>
      </c>
      <c r="I205" t="s">
        <v>120</v>
      </c>
      <c r="J205" s="53">
        <f>O204</f>
        <v>500</v>
      </c>
      <c r="K205" t="s">
        <v>36</v>
      </c>
      <c r="AJ205" t="s">
        <v>743</v>
      </c>
      <c r="AL205" t="e">
        <f>AL195</f>
        <v>#N/A</v>
      </c>
      <c r="AN205" t="e">
        <f>AN195</f>
        <v>#N/A</v>
      </c>
      <c r="AP205" t="e">
        <f>AN205</f>
        <v>#N/A</v>
      </c>
      <c r="AR205" t="e">
        <f>AL205</f>
        <v>#N/A</v>
      </c>
      <c r="AT205" t="s">
        <v>744</v>
      </c>
    </row>
    <row r="206" spans="3:55" ht="15" customHeight="1">
      <c r="H206" s="32" t="s">
        <v>286</v>
      </c>
      <c r="I206" t="s">
        <v>120</v>
      </c>
      <c r="J206" s="53">
        <f>J205/GAMMAS</f>
        <v>416.66666666666669</v>
      </c>
      <c r="K206" t="s">
        <v>36</v>
      </c>
      <c r="O206" t="e">
        <f>IF(A192&gt;4*MIN(W181,Y181,Z181),A192,0)</f>
        <v>#N/A</v>
      </c>
      <c r="AJ206" t="s">
        <v>745</v>
      </c>
      <c r="AK206" s="100" t="e">
        <f>AK192/AL195</f>
        <v>#N/A</v>
      </c>
      <c r="AL206" s="100"/>
      <c r="AM206" s="100" t="e">
        <f>AM192/AL195</f>
        <v>#N/A</v>
      </c>
      <c r="AN206" s="100" t="e">
        <f>AM192/AN195</f>
        <v>#N/A</v>
      </c>
      <c r="AO206" s="100" t="e">
        <f>AO192/AN195</f>
        <v>#N/A</v>
      </c>
      <c r="AP206" s="100" t="e">
        <f>AQ192/AP195</f>
        <v>#N/A</v>
      </c>
      <c r="AQ206" s="100" t="e">
        <f>AQ192/AR195</f>
        <v>#N/A</v>
      </c>
      <c r="AR206" s="100"/>
      <c r="AS206" s="100" t="e">
        <f>AS192/AR195</f>
        <v>#N/A</v>
      </c>
      <c r="BC206" s="50"/>
    </row>
    <row r="207" spans="3:55" ht="15" customHeight="1">
      <c r="C207" s="210" t="e">
        <f>IF(O167="ja",+N171,IF(R167="ja",+R171,"fejl"))</f>
        <v>#N/A</v>
      </c>
      <c r="F207" s="211" t="s">
        <v>558</v>
      </c>
      <c r="H207" s="32" t="s">
        <v>751</v>
      </c>
      <c r="I207" t="s">
        <v>120</v>
      </c>
      <c r="J207" s="53">
        <f>H204*J204^2/4*PI()</f>
        <v>150.79644737231007</v>
      </c>
      <c r="K207" t="s">
        <v>114</v>
      </c>
      <c r="AJ207" t="s">
        <v>746</v>
      </c>
      <c r="AK207" s="53"/>
      <c r="AL207" s="53" t="e">
        <f>(AK206+AM206)/2</f>
        <v>#N/A</v>
      </c>
      <c r="AM207" s="53"/>
      <c r="AN207" s="53" t="e">
        <f>(AN206+AO206)/2</f>
        <v>#N/A</v>
      </c>
      <c r="AO207" s="53"/>
      <c r="AP207" s="53" t="e">
        <f>(AO206+AP206)/2</f>
        <v>#N/A</v>
      </c>
      <c r="AQ207" s="53"/>
      <c r="AR207" s="53" t="e">
        <f>(AQ206+AS206)/2</f>
        <v>#N/A</v>
      </c>
      <c r="AS207" s="53"/>
    </row>
    <row r="208" spans="3:55" ht="15" customHeight="1">
      <c r="G208" s="26" t="s">
        <v>752</v>
      </c>
      <c r="H208" s="74">
        <f>J207*J206*10^-3</f>
        <v>62.831853071795862</v>
      </c>
      <c r="J208" t="s">
        <v>460</v>
      </c>
      <c r="K208" t="e">
        <f>IF(H208&gt;L208,"&gt;","&lt;")</f>
        <v>#N/A</v>
      </c>
      <c r="L208" s="74" t="e">
        <f>J172</f>
        <v>#N/A</v>
      </c>
      <c r="M208" t="e">
        <f>IF(H208&gt;L208,"accept","forkast")</f>
        <v>#N/A</v>
      </c>
      <c r="N208" s="212" t="e">
        <f>IF(M208="forkast","NB!"," ")</f>
        <v>#N/A</v>
      </c>
      <c r="O208" s="93" t="e">
        <f>L208/H208</f>
        <v>#N/A</v>
      </c>
      <c r="P208" s="49" t="s">
        <v>731</v>
      </c>
      <c r="AJ208" t="s">
        <v>392</v>
      </c>
      <c r="AK208" s="50">
        <f t="shared" ref="AK208:AS208" si="31">AK176</f>
        <v>0</v>
      </c>
      <c r="AL208" s="50" t="e">
        <f t="shared" si="31"/>
        <v>#N/A</v>
      </c>
      <c r="AM208" s="50" t="e">
        <f t="shared" si="31"/>
        <v>#N/A</v>
      </c>
      <c r="AN208" s="50" t="e">
        <f t="shared" si="31"/>
        <v>#N/A</v>
      </c>
      <c r="AO208" s="50" t="e">
        <f t="shared" si="31"/>
        <v>#N/A</v>
      </c>
      <c r="AP208" s="50" t="e">
        <f t="shared" si="31"/>
        <v>#N/A</v>
      </c>
      <c r="AQ208" s="50" t="e">
        <f t="shared" si="31"/>
        <v>#N/A</v>
      </c>
      <c r="AR208" s="50" t="e">
        <f t="shared" si="31"/>
        <v>#N/A</v>
      </c>
      <c r="AS208" s="50" t="e">
        <f t="shared" si="31"/>
        <v>#N/A</v>
      </c>
      <c r="AT208" t="s">
        <v>40</v>
      </c>
    </row>
    <row r="209" spans="2:79" ht="15" customHeight="1">
      <c r="K209" t="e">
        <f>IF(H208&gt;L209,"&gt;","&lt;")</f>
        <v>#N/A</v>
      </c>
      <c r="L209" s="74" t="e">
        <f>J198</f>
        <v>#N/A</v>
      </c>
      <c r="M209" t="e">
        <f>IF(H208&gt;L209,"accept","forkast")</f>
        <v>#N/A</v>
      </c>
      <c r="N209" s="212" t="e">
        <f>IF(M209="forkast","NB!"," ")</f>
        <v>#N/A</v>
      </c>
      <c r="O209" s="93" t="e">
        <f>L209/H208</f>
        <v>#N/A</v>
      </c>
      <c r="P209" s="49" t="s">
        <v>731</v>
      </c>
      <c r="AJ209" t="s">
        <v>679</v>
      </c>
      <c r="AK209" s="50"/>
      <c r="AL209" s="50">
        <v>0</v>
      </c>
      <c r="AM209" s="50"/>
      <c r="AN209" s="50" t="e">
        <f>AO208-AM208</f>
        <v>#N/A</v>
      </c>
      <c r="AO209" s="50"/>
      <c r="AP209" s="50" t="e">
        <f>AQ208-AO208</f>
        <v>#N/A</v>
      </c>
      <c r="AQ209" s="50"/>
      <c r="AR209" s="50">
        <v>0</v>
      </c>
      <c r="AS209" s="50"/>
      <c r="AT209" t="s">
        <v>40</v>
      </c>
    </row>
    <row r="210" spans="2:79" ht="15" customHeight="1">
      <c r="F210" s="32" t="e">
        <f>CEILING(MAX(W190,Y190,AA190,W191,Y191,AA191)/10,1)*10</f>
        <v>#N/A</v>
      </c>
      <c r="AJ210" t="s">
        <v>26</v>
      </c>
      <c r="AK210" s="53"/>
      <c r="AL210" s="53" t="e">
        <f>AL207*AL209</f>
        <v>#N/A</v>
      </c>
      <c r="AM210" s="53"/>
      <c r="AN210" s="53" t="e">
        <f>AN207*AN209</f>
        <v>#N/A</v>
      </c>
      <c r="AO210" s="53"/>
      <c r="AP210" s="53" t="e">
        <f>AP207*AP209</f>
        <v>#N/A</v>
      </c>
      <c r="AQ210" s="53"/>
      <c r="AR210" s="53" t="e">
        <f>AR207*AR209</f>
        <v>#N/A</v>
      </c>
      <c r="AS210" s="53"/>
      <c r="BC210" s="52"/>
    </row>
    <row r="211" spans="2:79" ht="15" customHeight="1">
      <c r="AJ211" t="s">
        <v>670</v>
      </c>
      <c r="AK211" s="53" t="e">
        <f>(AL210*(AS208-AL208)+AN210*(AS208-AN208)+AP210*(AS208-AP208)+AR210*(AS208-AR208))/AS208</f>
        <v>#N/A</v>
      </c>
      <c r="AL211" s="53"/>
      <c r="AM211" s="53"/>
      <c r="AN211" s="53"/>
      <c r="AO211" s="53"/>
      <c r="AP211" s="53"/>
      <c r="AQ211" s="53"/>
      <c r="AR211" s="53"/>
      <c r="AS211" s="53" t="e">
        <f>(AL210*AL208+AN210*AN208+AP210*AP208+AR210*AR208)/AS208</f>
        <v>#N/A</v>
      </c>
    </row>
    <row r="212" spans="2:79" ht="15" customHeight="1">
      <c r="F212" t="s">
        <v>716</v>
      </c>
      <c r="G212" t="s">
        <v>753</v>
      </c>
      <c r="H212" s="213" t="e">
        <f>H28/J23*J165</f>
        <v>#N/A</v>
      </c>
      <c r="I212" s="30" t="str">
        <f>I28</f>
        <v>K</v>
      </c>
      <c r="J212" s="66" t="e">
        <f>J28</f>
        <v>#N/A</v>
      </c>
      <c r="K212" t="s">
        <v>266</v>
      </c>
      <c r="M212" s="19"/>
      <c r="AJ212" t="s">
        <v>70</v>
      </c>
      <c r="AK212" s="53">
        <v>0</v>
      </c>
      <c r="AL212" s="53"/>
      <c r="AM212" s="53" t="e">
        <f>AK211*AM208-AL210*(AM208-AL208)</f>
        <v>#N/A</v>
      </c>
      <c r="AN212" s="53"/>
      <c r="AO212" s="53" t="e">
        <f>AK211*AO208-AL210*(AO208-AL208)-AN210*(AO208-AN208)</f>
        <v>#N/A</v>
      </c>
      <c r="AP212" s="53"/>
      <c r="AQ212" s="53" t="e">
        <f>AS211*(AS208-AQ208)-AR210*(AR208-AQ208)</f>
        <v>#N/A</v>
      </c>
      <c r="AR212" s="53"/>
      <c r="AS212" s="53">
        <v>0</v>
      </c>
    </row>
    <row r="213" spans="2:79" ht="15" customHeight="1">
      <c r="B213" s="202"/>
      <c r="G213" s="26" t="s">
        <v>754</v>
      </c>
      <c r="H213" s="213" t="e">
        <f>IF(J353&gt;J354,H29,0)</f>
        <v>#N/A</v>
      </c>
      <c r="I213" s="30" t="str">
        <f>I28</f>
        <v>K</v>
      </c>
      <c r="J213" s="66" t="e">
        <f>ARMDIAMX</f>
        <v>#N/A</v>
      </c>
      <c r="K213" t="s">
        <v>266</v>
      </c>
      <c r="N213" s="214" t="e">
        <f>IF(J213&lt;T213,"diameter skal mindst være som svejst net"," ")</f>
        <v>#N/A</v>
      </c>
      <c r="AO213" s="50" t="e">
        <f>AO212/(AO202+AO212)</f>
        <v>#N/A</v>
      </c>
    </row>
    <row r="214" spans="2:79" ht="15" customHeight="1">
      <c r="H214" s="32" t="s">
        <v>720</v>
      </c>
      <c r="I214" t="s">
        <v>120</v>
      </c>
      <c r="J214" s="53">
        <f>O214</f>
        <v>500</v>
      </c>
      <c r="K214" t="s">
        <v>36</v>
      </c>
      <c r="N214">
        <f>CODE(I213)</f>
        <v>75</v>
      </c>
      <c r="O214">
        <f>HLOOKUP(N214,$AA$320:$AZ$328,6)</f>
        <v>500</v>
      </c>
      <c r="P214" t="s">
        <v>228</v>
      </c>
      <c r="BB214" s="74"/>
    </row>
    <row r="215" spans="2:79" ht="15" customHeight="1">
      <c r="H215" s="32" t="s">
        <v>286</v>
      </c>
      <c r="I215" t="s">
        <v>120</v>
      </c>
      <c r="J215" s="53">
        <f>J214/GAMMAS</f>
        <v>416.66666666666669</v>
      </c>
      <c r="K215" t="s">
        <v>36</v>
      </c>
    </row>
    <row r="216" spans="2:79" ht="15" customHeight="1">
      <c r="H216" t="s">
        <v>755</v>
      </c>
      <c r="I216" t="s">
        <v>120</v>
      </c>
      <c r="J216" s="53" t="e">
        <f>(H212*J212^2/4+H213*J213^2/4)*PI()</f>
        <v>#N/A</v>
      </c>
      <c r="K216" t="s">
        <v>114</v>
      </c>
      <c r="BB216" s="50"/>
    </row>
    <row r="217" spans="2:79" ht="15" customHeight="1">
      <c r="G217" s="26" t="s">
        <v>756</v>
      </c>
      <c r="H217" s="74" t="e">
        <f>J216*J215*10^-3</f>
        <v>#N/A</v>
      </c>
      <c r="J217" t="s">
        <v>460</v>
      </c>
      <c r="K217" t="e">
        <f>IF(H217&gt;L217,"&gt;","&lt;")</f>
        <v>#N/A</v>
      </c>
      <c r="L217" s="74" t="e">
        <f>J198</f>
        <v>#N/A</v>
      </c>
      <c r="M217" t="e">
        <f>IF(H217&gt;L217,"accept","forkast")</f>
        <v>#N/A</v>
      </c>
      <c r="N217" s="212" t="e">
        <f>IF(M217="forkast","NB!"," ")</f>
        <v>#N/A</v>
      </c>
      <c r="O217" s="93" t="e">
        <f>L217/H217</f>
        <v>#N/A</v>
      </c>
      <c r="P217" s="49" t="s">
        <v>731</v>
      </c>
    </row>
    <row r="218" spans="2:79" ht="15" customHeight="1"/>
    <row r="219" spans="2:79" ht="15" customHeight="1"/>
    <row r="220" spans="2:79" ht="15" customHeight="1"/>
    <row r="221" spans="2:79" ht="15" customHeight="1"/>
    <row r="222" spans="2:79" ht="15" customHeight="1">
      <c r="F222" t="s">
        <v>716</v>
      </c>
      <c r="G222" t="str">
        <f>G187</f>
        <v>i "knast" (1)</v>
      </c>
      <c r="H222" s="66">
        <f>H187</f>
        <v>3</v>
      </c>
      <c r="I222" s="30" t="str">
        <f>I187</f>
        <v>K</v>
      </c>
      <c r="J222" s="66">
        <f>J187</f>
        <v>8</v>
      </c>
      <c r="K222" t="s">
        <v>266</v>
      </c>
    </row>
    <row r="223" spans="2:79" ht="15" customHeight="1">
      <c r="F223" s="161"/>
      <c r="G223" s="26" t="s">
        <v>730</v>
      </c>
      <c r="H223" s="74">
        <f>H191</f>
        <v>62.831853071795862</v>
      </c>
      <c r="J223" t="str">
        <f>J191</f>
        <v>kN</v>
      </c>
      <c r="K223" t="e">
        <f>K191</f>
        <v>#N/A</v>
      </c>
      <c r="L223" s="74" t="e">
        <f>L191</f>
        <v>#N/A</v>
      </c>
      <c r="M223" t="e">
        <f>M191</f>
        <v>#N/A</v>
      </c>
    </row>
    <row r="224" spans="2:79" ht="15" customHeight="1">
      <c r="E224" s="194"/>
      <c r="G224" s="26" t="s">
        <v>757</v>
      </c>
      <c r="H224" s="53" t="e">
        <f>F191</f>
        <v>#N/A</v>
      </c>
      <c r="J224" s="53" t="s">
        <v>91</v>
      </c>
      <c r="N224" s="215" t="str">
        <f>IF(O189="Udskrives ikke","Udskrives i stedet for række 187 til 217","Udskrives ikke")</f>
        <v>Udskrives i stedet for række 187 til 217</v>
      </c>
      <c r="CA224" s="171" t="e">
        <f>J79-H74</f>
        <v>#N/A</v>
      </c>
    </row>
    <row r="225" spans="2:79" ht="15" customHeight="1">
      <c r="F225" s="160"/>
      <c r="G225" s="32" t="str">
        <f>G204</f>
        <v>v.knast"rod"(2)</v>
      </c>
      <c r="H225" s="97">
        <f>H204</f>
        <v>3</v>
      </c>
      <c r="I225" t="str">
        <f>I204</f>
        <v>K</v>
      </c>
      <c r="J225" s="53">
        <f>J204</f>
        <v>8</v>
      </c>
    </row>
    <row r="226" spans="2:79" ht="15" customHeight="1">
      <c r="B226" s="202"/>
      <c r="G226" s="26" t="str">
        <f>G208</f>
        <v>F Rd(2) =</v>
      </c>
      <c r="H226" s="74">
        <f>H208</f>
        <v>62.831853071795862</v>
      </c>
      <c r="J226" t="str">
        <f>J208</f>
        <v>kN</v>
      </c>
      <c r="K226" t="e">
        <f>K208</f>
        <v>#N/A</v>
      </c>
      <c r="L226" s="74" t="e">
        <f>L208</f>
        <v>#N/A</v>
      </c>
      <c r="M226" t="e">
        <f>M208</f>
        <v>#N/A</v>
      </c>
    </row>
    <row r="227" spans="2:79" ht="15" customHeight="1">
      <c r="B227" s="202"/>
      <c r="D227" t="s">
        <v>758</v>
      </c>
      <c r="G227" t="s">
        <v>759</v>
      </c>
      <c r="K227" t="e">
        <f>K209</f>
        <v>#N/A</v>
      </c>
      <c r="L227" s="74" t="e">
        <f>L209</f>
        <v>#N/A</v>
      </c>
      <c r="M227" t="e">
        <f>M209</f>
        <v>#N/A</v>
      </c>
      <c r="CA227" s="171" t="e">
        <f>J85-H80</f>
        <v>#N/A</v>
      </c>
    </row>
    <row r="228" spans="2:79" ht="15" customHeight="1">
      <c r="B228" s="202"/>
      <c r="G228" s="26" t="s">
        <v>760</v>
      </c>
      <c r="H228" s="53" t="e">
        <f>F210</f>
        <v>#N/A</v>
      </c>
      <c r="J228" t="s">
        <v>91</v>
      </c>
    </row>
    <row r="229" spans="2:79" ht="15" customHeight="1">
      <c r="G229" s="26" t="s">
        <v>761</v>
      </c>
      <c r="H229" s="53" t="e">
        <f>C207</f>
        <v>#N/A</v>
      </c>
      <c r="J229" t="s">
        <v>91</v>
      </c>
    </row>
    <row r="230" spans="2:79" ht="15" customHeight="1"/>
    <row r="231" spans="2:79" ht="15" customHeight="1"/>
    <row r="232" spans="2:79" ht="15" customHeight="1"/>
    <row r="233" spans="2:79" ht="15" customHeight="1"/>
    <row r="234" spans="2:79" ht="15" customHeight="1">
      <c r="B234" t="s">
        <v>762</v>
      </c>
    </row>
    <row r="235" spans="2:79" ht="15" customHeight="1">
      <c r="E235" s="32" t="s">
        <v>763</v>
      </c>
      <c r="G235" t="s">
        <v>550</v>
      </c>
      <c r="H235" t="s">
        <v>764</v>
      </c>
      <c r="I235" t="s">
        <v>120</v>
      </c>
      <c r="J235">
        <f>F245+15-J241/2</f>
        <v>77</v>
      </c>
      <c r="K235" t="s">
        <v>91</v>
      </c>
    </row>
    <row r="236" spans="2:79" ht="15" customHeight="1">
      <c r="G236" t="s">
        <v>765</v>
      </c>
      <c r="H236" t="s">
        <v>766</v>
      </c>
      <c r="I236" t="s">
        <v>120</v>
      </c>
      <c r="J236" t="e">
        <f>IF(J34=0,MINA(J23,2*(J41+J42)),IF(J36=0,MINA(J23,2*(L41+L42)),+J23))</f>
        <v>#N/A</v>
      </c>
      <c r="K236" t="s">
        <v>91</v>
      </c>
    </row>
    <row r="237" spans="2:79" ht="15" customHeight="1">
      <c r="F237" s="19" t="s">
        <v>767</v>
      </c>
      <c r="G237" t="s">
        <v>768</v>
      </c>
      <c r="H237" t="s">
        <v>670</v>
      </c>
      <c r="I237" t="s">
        <v>120</v>
      </c>
      <c r="J237" s="74" t="e">
        <f>IF(N237="nej",+L275*J236*10^-3,IF(J34=0,+(L275+L279/(2*L280))*J236*10^-3,IF(J36=0,+(L275+L284/(2*L285))*J236*10^-3,NA())))</f>
        <v>#N/A</v>
      </c>
      <c r="K237" t="s">
        <v>460</v>
      </c>
      <c r="N237" s="35" t="s">
        <v>55</v>
      </c>
      <c r="O237" s="85" t="s">
        <v>769</v>
      </c>
      <c r="AI237" s="50"/>
    </row>
    <row r="238" spans="2:79" ht="15" customHeight="1">
      <c r="G238" t="s">
        <v>552</v>
      </c>
      <c r="H238" t="s">
        <v>553</v>
      </c>
      <c r="I238" t="s">
        <v>120</v>
      </c>
      <c r="J238">
        <f>J241/2+15+20+5+2/3*(F241-20-2*5)</f>
        <v>103</v>
      </c>
      <c r="K238" t="s">
        <v>91</v>
      </c>
      <c r="N238" s="70" t="str">
        <f>IF(OR(N237="ja",N237="nej")," ","Skal være ja eller nej !")</f>
        <v xml:space="preserve"> </v>
      </c>
      <c r="O238" t="s">
        <v>770</v>
      </c>
      <c r="X238" t="s">
        <v>771</v>
      </c>
    </row>
    <row r="239" spans="2:79" ht="15" customHeight="1">
      <c r="C239" s="32">
        <v>2</v>
      </c>
      <c r="F239" s="19">
        <v>2</v>
      </c>
      <c r="G239" t="s">
        <v>550</v>
      </c>
      <c r="H239" t="s">
        <v>772</v>
      </c>
      <c r="I239" t="s">
        <v>120</v>
      </c>
      <c r="J239" t="e">
        <f>15+F247-J241/2</f>
        <v>#N/A</v>
      </c>
      <c r="K239" t="s">
        <v>91</v>
      </c>
      <c r="X239" s="26" t="s">
        <v>773</v>
      </c>
      <c r="Y239" s="74">
        <f>J26</f>
        <v>21.428571428571431</v>
      </c>
      <c r="Z239" t="s">
        <v>36</v>
      </c>
      <c r="AA239" s="113">
        <v>2.1</v>
      </c>
      <c r="AB239" t="s">
        <v>774</v>
      </c>
    </row>
    <row r="240" spans="2:79" ht="15" customHeight="1">
      <c r="E240" s="32" t="s">
        <v>763</v>
      </c>
      <c r="F240" t="s">
        <v>775</v>
      </c>
      <c r="G240" t="s">
        <v>776</v>
      </c>
      <c r="H240" t="s">
        <v>777</v>
      </c>
      <c r="I240" t="s">
        <v>120</v>
      </c>
      <c r="J240" t="e">
        <f>F247-J241</f>
        <v>#N/A</v>
      </c>
      <c r="K240" t="s">
        <v>91</v>
      </c>
      <c r="X240" s="26" t="s">
        <v>778</v>
      </c>
      <c r="Y240">
        <f>N15</f>
        <v>1.2</v>
      </c>
      <c r="Z240" t="s">
        <v>779</v>
      </c>
    </row>
    <row r="241" spans="2:35" ht="15" customHeight="1">
      <c r="F241" s="96">
        <v>120</v>
      </c>
      <c r="G241" t="s">
        <v>716</v>
      </c>
      <c r="H241" s="113" t="e">
        <f>H28</f>
        <v>#N/A</v>
      </c>
      <c r="I241" s="113" t="s">
        <v>265</v>
      </c>
      <c r="J241" s="113">
        <v>6</v>
      </c>
      <c r="K241" t="s">
        <v>266</v>
      </c>
      <c r="N241">
        <f>CODE(I241)</f>
        <v>75</v>
      </c>
      <c r="O241">
        <f>HLOOKUP(N241,$AA$320:$AZ$330,6)</f>
        <v>500</v>
      </c>
      <c r="P241" t="s">
        <v>228</v>
      </c>
      <c r="X241" s="26" t="s">
        <v>780</v>
      </c>
      <c r="Y241" s="26" t="str">
        <f>I392</f>
        <v>K</v>
      </c>
      <c r="Z241" s="26" t="e">
        <f>J392</f>
        <v>#N/A</v>
      </c>
      <c r="AA241" t="s">
        <v>781</v>
      </c>
      <c r="AB241" s="26">
        <f>CODE(Y241)</f>
        <v>75</v>
      </c>
      <c r="AC241">
        <f>HLOOKUP(AB241,AA320:AZ330,6)</f>
        <v>500</v>
      </c>
      <c r="AD241" t="s">
        <v>782</v>
      </c>
    </row>
    <row r="242" spans="2:35" ht="15" customHeight="1">
      <c r="D242" s="26" t="s">
        <v>783</v>
      </c>
      <c r="E242" s="19" t="s">
        <v>553</v>
      </c>
      <c r="H242" t="str">
        <f>IF(I241="L","f yk *","f yk")</f>
        <v>f yk</v>
      </c>
      <c r="I242" t="s">
        <v>120</v>
      </c>
      <c r="J242">
        <f>O241</f>
        <v>500</v>
      </c>
      <c r="K242" t="s">
        <v>36</v>
      </c>
      <c r="N242" s="52" t="e">
        <f>IF(O242/0.8&lt;N243,0,IF(O242&lt;P243,+O242,0.5*O242*O244*(-1+SQRT(1+4*$AA$312/(O242*O244)))))</f>
        <v>#N/A</v>
      </c>
      <c r="O242" s="52" t="e">
        <f>J244*J243/(J236*J235*J26)</f>
        <v>#N/A</v>
      </c>
      <c r="P242" t="s">
        <v>237</v>
      </c>
      <c r="Y242" s="26" t="s">
        <v>784</v>
      </c>
      <c r="Z242" s="53">
        <f>AC241/Y240</f>
        <v>416.66666666666669</v>
      </c>
      <c r="AA242" t="s">
        <v>36</v>
      </c>
    </row>
    <row r="243" spans="2:35" ht="15" customHeight="1">
      <c r="D243" s="26" t="s">
        <v>785</v>
      </c>
      <c r="H243" t="s">
        <v>286</v>
      </c>
      <c r="I243" t="s">
        <v>120</v>
      </c>
      <c r="J243" s="53">
        <f>O241/$N$15</f>
        <v>416.66666666666669</v>
      </c>
      <c r="K243" t="s">
        <v>36</v>
      </c>
      <c r="N243" s="52">
        <f>MAXA(T243:T244)</f>
        <v>2.9286511333037436E-2</v>
      </c>
      <c r="O243" s="52">
        <f>HLOOKUP(N241,AA320:AZ330,5)</f>
        <v>4.9882794186591653E-2</v>
      </c>
      <c r="P243" s="52">
        <f>HLOOKUP(N241,AA320:AZ330,8)</f>
        <v>0.5014925373134328</v>
      </c>
      <c r="Q243" t="s">
        <v>244</v>
      </c>
      <c r="T243" s="52">
        <f>0.26*$J$27/J242*J243/$J$26</f>
        <v>2.9286511333037436E-2</v>
      </c>
      <c r="Y243" s="26" t="s">
        <v>786</v>
      </c>
      <c r="Z243" s="113" t="e">
        <f>J393</f>
        <v>#N/A</v>
      </c>
      <c r="AA243" t="s">
        <v>91</v>
      </c>
    </row>
    <row r="244" spans="2:35" ht="15" customHeight="1">
      <c r="H244" t="s">
        <v>293</v>
      </c>
      <c r="I244" t="s">
        <v>120</v>
      </c>
      <c r="J244" s="53" t="e">
        <f>J241^2/4*PI()*H241</f>
        <v>#N/A</v>
      </c>
      <c r="K244" t="s">
        <v>114</v>
      </c>
      <c r="O244" s="52">
        <f>HLOOKUP(N241,AA320:AZ330,9)</f>
        <v>1.6799999999999997</v>
      </c>
      <c r="P244" t="s">
        <v>251</v>
      </c>
      <c r="T244" s="52">
        <f>0.0013*J243/$J$26</f>
        <v>2.5277777777777774E-2</v>
      </c>
      <c r="X244" s="26" t="s">
        <v>787</v>
      </c>
      <c r="Y244" s="26" t="str">
        <f>I394</f>
        <v>K</v>
      </c>
      <c r="Z244" s="26">
        <f>J394</f>
        <v>8</v>
      </c>
      <c r="AA244" t="s">
        <v>781</v>
      </c>
      <c r="AB244" s="26">
        <f>CODE(Y244)</f>
        <v>75</v>
      </c>
      <c r="AC244">
        <f>HLOOKUP(AB244,AA320:AZ330,6)</f>
        <v>500</v>
      </c>
      <c r="AD244" t="s">
        <v>782</v>
      </c>
    </row>
    <row r="245" spans="2:35" ht="15" customHeight="1">
      <c r="F245" s="134">
        <v>65</v>
      </c>
      <c r="G245" t="s">
        <v>788</v>
      </c>
      <c r="Y245" s="26" t="s">
        <v>784</v>
      </c>
      <c r="Z245" s="53">
        <f>AC244/Y240</f>
        <v>416.66666666666669</v>
      </c>
      <c r="AA245" t="s">
        <v>36</v>
      </c>
    </row>
    <row r="246" spans="2:35" ht="15" customHeight="1">
      <c r="F246" s="30"/>
      <c r="G246" t="s">
        <v>789</v>
      </c>
      <c r="I246" t="s">
        <v>120</v>
      </c>
      <c r="J246" s="74">
        <f>$J$26*COS(ATAN(0.8*J235/J238))</f>
        <v>18.390584002818574</v>
      </c>
      <c r="K246" t="s">
        <v>36</v>
      </c>
      <c r="Y246" s="26" t="s">
        <v>790</v>
      </c>
      <c r="Z246" s="53">
        <f>Z244^3/6</f>
        <v>85.333333333333329</v>
      </c>
      <c r="AA246" t="s">
        <v>114</v>
      </c>
    </row>
    <row r="247" spans="2:35" ht="15" customHeight="1">
      <c r="F247" s="216" t="e">
        <f>NA()</f>
        <v>#N/A</v>
      </c>
      <c r="G247" t="s">
        <v>561</v>
      </c>
      <c r="H247" s="74" t="e">
        <f>(1-0.5*N242)*N242*J236*J235^2*J246/1000000</f>
        <v>#N/A</v>
      </c>
      <c r="J247" t="s">
        <v>147</v>
      </c>
      <c r="K247" t="e">
        <f>IF(H247&gt;L247,"&gt;","&lt;")</f>
        <v>#N/A</v>
      </c>
      <c r="L247" s="74" t="e">
        <f>J237*J238/1000</f>
        <v>#N/A</v>
      </c>
      <c r="M247" t="e">
        <f>IF(H247&gt;L247,"accept","forkast")</f>
        <v>#N/A</v>
      </c>
      <c r="N247" s="164" t="e">
        <f>IF(M247="forkast","NB!"," ")</f>
        <v>#N/A</v>
      </c>
      <c r="X247" s="26" t="s">
        <v>791</v>
      </c>
      <c r="Y247" s="74">
        <f>SQRT(Z245*Z246/(0.5*Z244*AA239*Y239))*2</f>
        <v>28.10913475705226</v>
      </c>
      <c r="Z247" t="s">
        <v>792</v>
      </c>
      <c r="AA247" s="53">
        <f>Y247/2*AA239*Y239*Z244</f>
        <v>5059.6442562694074</v>
      </c>
      <c r="AB247" t="s">
        <v>793</v>
      </c>
      <c r="AD247" s="53">
        <f>3*AA247^2/(4*Z244*Z245)</f>
        <v>5760.0000000000009</v>
      </c>
      <c r="AE247" t="s">
        <v>794</v>
      </c>
    </row>
    <row r="248" spans="2:35" ht="15" customHeight="1">
      <c r="G248" t="s">
        <v>564</v>
      </c>
      <c r="H248" s="74" t="e">
        <f>MAXA(U251:U252)</f>
        <v>#N/A</v>
      </c>
      <c r="J248" t="s">
        <v>460</v>
      </c>
      <c r="K248" t="e">
        <f>IF(H248&gt;L248,"&gt;","&lt;")</f>
        <v>#N/A</v>
      </c>
      <c r="L248" s="74" t="e">
        <f>J237</f>
        <v>#N/A</v>
      </c>
      <c r="M248" t="e">
        <f>IF(H248&gt;L248,"accept","forkast")</f>
        <v>#N/A</v>
      </c>
      <c r="N248" s="164" t="e">
        <f>IF(M248="forkast","NB!"," ")</f>
        <v>#N/A</v>
      </c>
      <c r="T248" s="32" t="s">
        <v>479</v>
      </c>
      <c r="X248" s="26" t="s">
        <v>795</v>
      </c>
      <c r="Y248" s="53">
        <f>0.5*AA239*Y239*Z244*(Y247/2)^2</f>
        <v>35555.555555555562</v>
      </c>
      <c r="Z248" t="s">
        <v>796</v>
      </c>
      <c r="AB248" s="53"/>
    </row>
    <row r="249" spans="2:35" ht="15" customHeight="1">
      <c r="D249" t="s">
        <v>797</v>
      </c>
      <c r="G249" t="s">
        <v>798</v>
      </c>
      <c r="T249" s="165" t="str">
        <f>B234</f>
        <v>ENDEUNDERSTØTNING</v>
      </c>
      <c r="X249" s="26" t="s">
        <v>799</v>
      </c>
      <c r="Y249" s="53" t="e">
        <f>(Z243*Z241+(Y247-Z241)*Z244)*AA239*Y239*COS(PI()/4)*Y248/(Y248+AD247)</f>
        <v>#N/A</v>
      </c>
      <c r="Z249" t="s">
        <v>56</v>
      </c>
      <c r="AA249" t="e">
        <f>IF(Y249&gt;AB249,"&gt;Tflyd=","&lt;Tflyd")</f>
        <v>#N/A</v>
      </c>
      <c r="AB249" s="53" t="e">
        <f>Z241^2/4*PI()*Z242</f>
        <v>#N/A</v>
      </c>
      <c r="AC249" t="s">
        <v>56</v>
      </c>
      <c r="AD249" s="53" t="s">
        <v>800</v>
      </c>
      <c r="AE249" s="53" t="e">
        <f>IF(Y249&gt;AB249,+Z242,+Z242*Y249/AB249)</f>
        <v>#N/A</v>
      </c>
    </row>
    <row r="250" spans="2:35" ht="15" customHeight="1">
      <c r="G250" t="s">
        <v>569</v>
      </c>
      <c r="H250" s="53" t="e">
        <f>(1+J238/J240)*J237*1000/J244</f>
        <v>#N/A</v>
      </c>
      <c r="J250" t="s">
        <v>36</v>
      </c>
      <c r="K250" t="e">
        <f>IF(H250&gt;L250,"&gt;","&lt;")</f>
        <v>#N/A</v>
      </c>
      <c r="L250" s="53">
        <f>J243</f>
        <v>416.66666666666669</v>
      </c>
      <c r="M250" t="e">
        <f>IF(H250&gt;L250,"forkast","accept")</f>
        <v>#N/A</v>
      </c>
      <c r="N250" s="164" t="e">
        <f>IF(M250="forkast","NB!"," ")</f>
        <v>#N/A</v>
      </c>
      <c r="T250" s="19" t="s">
        <v>486</v>
      </c>
      <c r="U250" s="19" t="s">
        <v>487</v>
      </c>
      <c r="V250" s="53" t="e">
        <f>J244</f>
        <v>#N/A</v>
      </c>
      <c r="W250" t="s">
        <v>488</v>
      </c>
    </row>
    <row r="251" spans="2:35" ht="15" customHeight="1">
      <c r="T251" s="50">
        <f>1+SQRT(200/V252)</f>
        <v>2.6116459280507609</v>
      </c>
      <c r="U251" s="74" t="e">
        <f>(0.18/$N$13*T252*(100*V250/(V251*V252)*$J$25)^(1/3))*V251*V252*10^-3</f>
        <v>#N/A</v>
      </c>
      <c r="V251" s="53" t="e">
        <f>J236</f>
        <v>#N/A</v>
      </c>
      <c r="W251" t="s">
        <v>492</v>
      </c>
    </row>
    <row r="252" spans="2:35" ht="15" customHeight="1">
      <c r="T252" s="50">
        <f>IF(T251&gt;2,2,T251)</f>
        <v>2</v>
      </c>
      <c r="U252" s="74" t="e">
        <f>(0.035*T252^(3/2)*SQRT($J$25)*V251*V252)*10^-3</f>
        <v>#N/A</v>
      </c>
      <c r="V252" s="53">
        <f>J235</f>
        <v>77</v>
      </c>
      <c r="W252" t="s">
        <v>495</v>
      </c>
      <c r="X252" t="s">
        <v>801</v>
      </c>
      <c r="AE252" s="61"/>
    </row>
    <row r="253" spans="2:35" ht="15" customHeight="1">
      <c r="B253" t="s">
        <v>762</v>
      </c>
      <c r="G253" t="str">
        <f>IF(SUM(H60:H63)=0," ",IF(N237="ja","INCL. LAST FRA SIDEKANTPL.STRIMMEL","EXCL. LAST FRA SIDEKANTPL.STRIMMEL"))</f>
        <v xml:space="preserve"> </v>
      </c>
      <c r="X253" t="s">
        <v>802</v>
      </c>
    </row>
    <row r="254" spans="2:35" ht="15" customHeight="1">
      <c r="G254" t="s">
        <v>550</v>
      </c>
      <c r="H254" t="s">
        <v>764</v>
      </c>
      <c r="I254" t="s">
        <v>120</v>
      </c>
      <c r="J254">
        <f>F265+15-J258/2</f>
        <v>77</v>
      </c>
      <c r="K254" t="s">
        <v>91</v>
      </c>
      <c r="T254" s="32" t="s">
        <v>479</v>
      </c>
      <c r="Y254" t="s">
        <v>242</v>
      </c>
      <c r="AB254" s="26" t="s">
        <v>803</v>
      </c>
      <c r="AC254" s="53">
        <f>J25</f>
        <v>30</v>
      </c>
      <c r="AD254" t="s">
        <v>36</v>
      </c>
      <c r="AF254" s="217">
        <f>N13</f>
        <v>1.4</v>
      </c>
      <c r="AG254" s="3" t="s">
        <v>804</v>
      </c>
      <c r="AH254" s="3"/>
      <c r="AI254" s="9"/>
    </row>
    <row r="255" spans="2:35" ht="15" customHeight="1">
      <c r="E255" s="32" t="s">
        <v>763</v>
      </c>
      <c r="G255" t="s">
        <v>765</v>
      </c>
      <c r="H255" t="s">
        <v>766</v>
      </c>
      <c r="I255" t="s">
        <v>120</v>
      </c>
      <c r="J255" t="e">
        <f>J236</f>
        <v>#N/A</v>
      </c>
      <c r="K255" t="s">
        <v>91</v>
      </c>
      <c r="T255" s="165" t="str">
        <f>B253</f>
        <v>ENDEUNDERSTØTNING</v>
      </c>
      <c r="AB255" s="26" t="s">
        <v>805</v>
      </c>
      <c r="AC255" s="50">
        <f>SQRT(0.1*AC254)</f>
        <v>1.7320508075688772</v>
      </c>
      <c r="AD255" t="s">
        <v>36</v>
      </c>
      <c r="AF255" s="218">
        <f>N15</f>
        <v>1.2</v>
      </c>
      <c r="AG255" s="14" t="s">
        <v>136</v>
      </c>
      <c r="AH255" s="14"/>
      <c r="AI255" s="16"/>
    </row>
    <row r="256" spans="2:35" ht="15" customHeight="1">
      <c r="F256" t="s">
        <v>357</v>
      </c>
      <c r="G256" t="s">
        <v>768</v>
      </c>
      <c r="H256" t="s">
        <v>670</v>
      </c>
      <c r="I256" t="s">
        <v>120</v>
      </c>
      <c r="J256" s="74" t="e">
        <f>J237</f>
        <v>#N/A</v>
      </c>
      <c r="K256" t="s">
        <v>460</v>
      </c>
      <c r="T256" s="19" t="s">
        <v>486</v>
      </c>
      <c r="U256" s="19" t="s">
        <v>487</v>
      </c>
      <c r="V256" s="53" t="e">
        <f>J261</f>
        <v>#N/A</v>
      </c>
      <c r="W256" t="s">
        <v>488</v>
      </c>
      <c r="Y256" t="s">
        <v>806</v>
      </c>
      <c r="AA256" s="26" t="str">
        <f>I28</f>
        <v>K</v>
      </c>
      <c r="AB256" s="26">
        <f>CODE(AA256)</f>
        <v>75</v>
      </c>
      <c r="AC256">
        <f>HLOOKUP(AB256,AA320:AZ330,6)</f>
        <v>500</v>
      </c>
      <c r="AD256" t="s">
        <v>807</v>
      </c>
    </row>
    <row r="257" spans="2:37" ht="15" customHeight="1">
      <c r="G257" t="s">
        <v>552</v>
      </c>
      <c r="H257" t="s">
        <v>553</v>
      </c>
      <c r="I257" t="s">
        <v>120</v>
      </c>
      <c r="J257">
        <f>J258/2+15+20+5+2/3*(F262-20-2*5)</f>
        <v>103</v>
      </c>
      <c r="K257" t="s">
        <v>91</v>
      </c>
      <c r="N257" s="337"/>
      <c r="T257" s="50">
        <f>1+SQRT(200/V258)</f>
        <v>2.6116459280507609</v>
      </c>
      <c r="U257" s="74" t="e">
        <f>(0.18/$N$13*T258*(100*V256/(V257*V258)*$J$25)^(1/3))*V257*V258*10^-3</f>
        <v>#N/A</v>
      </c>
      <c r="V257" s="53" t="e">
        <f>J236</f>
        <v>#N/A</v>
      </c>
      <c r="W257" t="s">
        <v>492</v>
      </c>
      <c r="Z257" t="s">
        <v>546</v>
      </c>
      <c r="AB257" s="26" t="s">
        <v>808</v>
      </c>
      <c r="AC257" t="e">
        <f>J28</f>
        <v>#N/A</v>
      </c>
      <c r="AD257" t="s">
        <v>91</v>
      </c>
    </row>
    <row r="258" spans="2:37" ht="15" customHeight="1">
      <c r="F258" s="19" t="s">
        <v>767</v>
      </c>
      <c r="G258" t="s">
        <v>716</v>
      </c>
      <c r="H258" s="113" t="e">
        <f>H241</f>
        <v>#N/A</v>
      </c>
      <c r="I258" s="113" t="s">
        <v>265</v>
      </c>
      <c r="J258" s="113">
        <f>J241</f>
        <v>6</v>
      </c>
      <c r="K258" t="s">
        <v>266</v>
      </c>
      <c r="N258">
        <f>CODE(I258)</f>
        <v>75</v>
      </c>
      <c r="O258">
        <f>HLOOKUP(N258,AA320:AZ330,6)</f>
        <v>500</v>
      </c>
      <c r="P258" t="s">
        <v>228</v>
      </c>
      <c r="T258" s="50">
        <f>IF(T257&gt;2,2,T257)</f>
        <v>2</v>
      </c>
      <c r="U258" s="74" t="e">
        <f>(0.035*T258^(3/2)*SQRT($J$25)*V257*V258)*10^-3</f>
        <v>#N/A</v>
      </c>
      <c r="V258" s="53">
        <f>J254</f>
        <v>77</v>
      </c>
      <c r="W258" t="s">
        <v>495</v>
      </c>
      <c r="Z258" t="s">
        <v>809</v>
      </c>
      <c r="AB258" s="26" t="s">
        <v>810</v>
      </c>
      <c r="AC258" s="74" t="e">
        <f>HLOOKUP(AB256,AA320:AZ330,11)</f>
        <v>#N/A</v>
      </c>
    </row>
    <row r="259" spans="2:37" ht="15" customHeight="1">
      <c r="H259" t="str">
        <f>IF(I258="L","f yk *","f yk")</f>
        <v>f yk</v>
      </c>
      <c r="I259" t="s">
        <v>120</v>
      </c>
      <c r="J259">
        <f>O258</f>
        <v>500</v>
      </c>
      <c r="K259" t="s">
        <v>36</v>
      </c>
      <c r="N259" s="52" t="e">
        <f>IF(O259/0.8&lt;N260,0,IF(O259&lt;P260,+O259,0.5*O259*O261*(-1+SQRT(1+4*AA312/(O259*O261)))))</f>
        <v>#N/A</v>
      </c>
      <c r="O259" s="52" t="e">
        <f>J261*J260/(J255*J254*J26)</f>
        <v>#N/A</v>
      </c>
      <c r="P259" t="s">
        <v>237</v>
      </c>
      <c r="Y259" t="s">
        <v>811</v>
      </c>
      <c r="AA259" s="26" t="str">
        <f>AA256</f>
        <v>K</v>
      </c>
      <c r="AB259" s="26">
        <f>CODE(AA259)</f>
        <v>75</v>
      </c>
      <c r="AC259">
        <f>HLOOKUP(AB259,AA320:AZ330,6)</f>
        <v>500</v>
      </c>
      <c r="AD259" t="s">
        <v>807</v>
      </c>
    </row>
    <row r="260" spans="2:37" ht="15" customHeight="1">
      <c r="C260" s="19" t="s">
        <v>558</v>
      </c>
      <c r="H260" t="s">
        <v>286</v>
      </c>
      <c r="I260" t="s">
        <v>120</v>
      </c>
      <c r="J260" s="53">
        <f>O258/N15</f>
        <v>416.66666666666669</v>
      </c>
      <c r="K260" t="s">
        <v>36</v>
      </c>
      <c r="N260" s="52">
        <f>MAXA(T260:T261)</f>
        <v>2.9286511333037436E-2</v>
      </c>
      <c r="O260" s="52">
        <f>HLOOKUP(N258,AA320:AZ330,5)</f>
        <v>4.9882794186591653E-2</v>
      </c>
      <c r="P260" s="52">
        <f>HLOOKUP(N258,AA320:AZ330,8)</f>
        <v>0.5014925373134328</v>
      </c>
      <c r="Q260" t="s">
        <v>244</v>
      </c>
      <c r="T260" s="52">
        <f>0.26*$J$27/J259*J260/$J$26</f>
        <v>2.9286511333037436E-2</v>
      </c>
      <c r="Z260" t="s">
        <v>546</v>
      </c>
      <c r="AB260" s="26" t="s">
        <v>812</v>
      </c>
      <c r="AC260" s="113">
        <v>8</v>
      </c>
      <c r="AD260" t="s">
        <v>91</v>
      </c>
    </row>
    <row r="261" spans="2:37" ht="15" customHeight="1">
      <c r="E261" s="32" t="s">
        <v>763</v>
      </c>
      <c r="F261" t="s">
        <v>775</v>
      </c>
      <c r="H261" t="s">
        <v>293</v>
      </c>
      <c r="I261" t="s">
        <v>120</v>
      </c>
      <c r="J261" s="53" t="e">
        <f>J258^2/4*PI()*H258</f>
        <v>#N/A</v>
      </c>
      <c r="K261" t="s">
        <v>114</v>
      </c>
      <c r="O261" s="52">
        <f>HLOOKUP(N258,AA320:AZ330,9)</f>
        <v>1.6799999999999997</v>
      </c>
      <c r="P261" t="s">
        <v>251</v>
      </c>
      <c r="T261" s="52">
        <f>0.0013*J260/$J$26</f>
        <v>2.5277777777777774E-2</v>
      </c>
      <c r="Z261" t="s">
        <v>813</v>
      </c>
      <c r="AC261" s="53" t="e">
        <f>55*AC260^2/AC257</f>
        <v>#N/A</v>
      </c>
      <c r="AD261" t="s">
        <v>91</v>
      </c>
      <c r="AF261" s="8" t="s">
        <v>814</v>
      </c>
      <c r="AG261" s="3"/>
      <c r="AH261" s="3"/>
      <c r="AI261" s="3"/>
      <c r="AJ261" s="9"/>
    </row>
    <row r="262" spans="2:37" ht="15" customHeight="1">
      <c r="F262" s="96">
        <v>120</v>
      </c>
      <c r="G262" t="s">
        <v>815</v>
      </c>
      <c r="AF262" s="27"/>
      <c r="AH262" s="26" t="s">
        <v>816</v>
      </c>
      <c r="AI262" s="53">
        <v>0</v>
      </c>
      <c r="AJ262" s="29" t="s">
        <v>544</v>
      </c>
      <c r="AK262" t="s">
        <v>817</v>
      </c>
    </row>
    <row r="263" spans="2:37" ht="15" customHeight="1">
      <c r="E263" s="19" t="s">
        <v>553</v>
      </c>
      <c r="G263" t="s">
        <v>789</v>
      </c>
      <c r="I263" t="s">
        <v>120</v>
      </c>
      <c r="J263" s="74">
        <f>J26*COS(ATAN(0.8*J254/J257))</f>
        <v>18.390584002818574</v>
      </c>
      <c r="K263" t="s">
        <v>36</v>
      </c>
      <c r="Y263" t="s">
        <v>818</v>
      </c>
      <c r="AB263" s="26" t="s">
        <v>819</v>
      </c>
      <c r="AC263" s="74">
        <v>1</v>
      </c>
      <c r="AD263" s="219"/>
      <c r="AF263" s="27"/>
      <c r="AH263" s="26" t="s">
        <v>820</v>
      </c>
      <c r="AI263" s="53" t="e">
        <f>NA()</f>
        <v>#N/A</v>
      </c>
      <c r="AJ263" s="29" t="s">
        <v>544</v>
      </c>
      <c r="AK263" t="s">
        <v>821</v>
      </c>
    </row>
    <row r="264" spans="2:37" ht="15" customHeight="1">
      <c r="G264" t="s">
        <v>561</v>
      </c>
      <c r="H264" s="74" t="e">
        <f>(1-0.5*N259)*N259*J255*J254^2*J263/1000000</f>
        <v>#N/A</v>
      </c>
      <c r="J264" t="s">
        <v>147</v>
      </c>
      <c r="K264" t="e">
        <f>IF(H264&gt;L264,"&gt;","&lt;")</f>
        <v>#N/A</v>
      </c>
      <c r="L264" s="74" t="e">
        <f>J256*J257/1000</f>
        <v>#N/A</v>
      </c>
      <c r="M264" t="e">
        <f>IF(H264&gt;L264,"accept","forkast")</f>
        <v>#N/A</v>
      </c>
      <c r="N264" s="164" t="e">
        <f>IF(M264="forkast","NB!"," ")</f>
        <v>#N/A</v>
      </c>
      <c r="Y264" t="s">
        <v>822</v>
      </c>
      <c r="AB264" s="26" t="s">
        <v>823</v>
      </c>
      <c r="AC264" s="50" t="e">
        <f>IF(AND(AH269=0,AD264&gt;12),12,IF(AND(AH269&gt;0,AD264&gt;3),3,+AD264))</f>
        <v>#N/A</v>
      </c>
      <c r="AD264" s="118" t="e">
        <f>J383/(H386+H392)/AC257</f>
        <v>#N/A</v>
      </c>
      <c r="AF264" s="12"/>
      <c r="AG264" s="14"/>
      <c r="AH264" s="148" t="s">
        <v>824</v>
      </c>
      <c r="AI264" s="152" t="e">
        <f>NA()</f>
        <v>#N/A</v>
      </c>
      <c r="AJ264" s="16" t="s">
        <v>544</v>
      </c>
    </row>
    <row r="265" spans="2:37" ht="15" customHeight="1">
      <c r="F265" s="134">
        <v>65</v>
      </c>
      <c r="G265" t="s">
        <v>564</v>
      </c>
      <c r="H265" s="74" t="e">
        <f>MAXA(U257:U258)</f>
        <v>#N/A</v>
      </c>
      <c r="J265" t="s">
        <v>460</v>
      </c>
      <c r="K265" t="e">
        <f>IF(H265&gt;L265,"&gt;","&lt;")</f>
        <v>#N/A</v>
      </c>
      <c r="L265" s="74" t="e">
        <f>J256</f>
        <v>#N/A</v>
      </c>
      <c r="M265" t="e">
        <f>IF(H265&gt;L265,"accept","forkast")</f>
        <v>#N/A</v>
      </c>
      <c r="N265" s="164" t="e">
        <f>IF(M265="forkast","NB!"," ")</f>
        <v>#N/A</v>
      </c>
      <c r="Y265" t="s">
        <v>825</v>
      </c>
      <c r="AB265" s="26" t="s">
        <v>826</v>
      </c>
      <c r="AC265" s="50" t="e">
        <f>IF(AD265&gt;6,6,+AD265)</f>
        <v>#N/A</v>
      </c>
      <c r="AD265" s="118" t="e">
        <f>(N9+AC257/2)/AC257</f>
        <v>#N/A</v>
      </c>
    </row>
    <row r="266" spans="2:37" ht="15" customHeight="1">
      <c r="G266" t="s">
        <v>565</v>
      </c>
      <c r="Y266" t="s">
        <v>827</v>
      </c>
      <c r="AB266" s="26" t="s">
        <v>828</v>
      </c>
      <c r="AC266" s="50">
        <f>IF(AD266&gt;1.3*AC254/AC255,1.3*AC254/AC255,+AD266)</f>
        <v>0</v>
      </c>
      <c r="AD266" s="50">
        <f>IF(AI262=0,0,+AI262/10*(AI263/AI264)*(AC260/AC257)^2*AC259/AF255/AC255)</f>
        <v>0</v>
      </c>
      <c r="AF266" s="8" t="s">
        <v>829</v>
      </c>
      <c r="AG266" s="3"/>
      <c r="AH266" s="3"/>
      <c r="AI266" s="3"/>
      <c r="AJ266" s="9"/>
    </row>
    <row r="267" spans="2:37" ht="15" customHeight="1">
      <c r="C267" t="s">
        <v>9</v>
      </c>
      <c r="D267" t="s">
        <v>9</v>
      </c>
      <c r="E267" t="s">
        <v>830</v>
      </c>
      <c r="G267" t="s">
        <v>569</v>
      </c>
      <c r="H267" s="53" t="e">
        <f>L265*10^3/J261</f>
        <v>#N/A</v>
      </c>
      <c r="J267" t="s">
        <v>36</v>
      </c>
      <c r="K267" t="e">
        <f>IF(H267&gt;L267,"&gt;","&lt;")</f>
        <v>#N/A</v>
      </c>
      <c r="L267" s="53">
        <f>J260</f>
        <v>416.66666666666669</v>
      </c>
      <c r="M267" t="e">
        <f>IF(H267&gt;L267,"forkast","accept")</f>
        <v>#N/A</v>
      </c>
      <c r="N267" s="164" t="e">
        <f>IF(M267="forkast","NB!"," ")</f>
        <v>#N/A</v>
      </c>
      <c r="Y267" t="s">
        <v>831</v>
      </c>
      <c r="AB267" s="26" t="s">
        <v>832</v>
      </c>
      <c r="AC267" s="50">
        <f>IF(AH269=0,0,0.06*AH267/AC257*AC264*AH270/AC255)</f>
        <v>0</v>
      </c>
      <c r="AD267" s="220"/>
      <c r="AF267" s="27"/>
      <c r="AG267" s="26" t="s">
        <v>833</v>
      </c>
      <c r="AH267" s="53" t="e">
        <f>J395</f>
        <v>#N/A</v>
      </c>
      <c r="AI267" t="s">
        <v>91</v>
      </c>
      <c r="AJ267" s="29"/>
    </row>
    <row r="268" spans="2:37" ht="15" customHeight="1">
      <c r="Y268" t="s">
        <v>834</v>
      </c>
      <c r="AB268" s="26"/>
      <c r="AF268" s="27"/>
      <c r="AG268" s="26" t="s">
        <v>835</v>
      </c>
      <c r="AH268" s="53" t="e">
        <f>J383</f>
        <v>#N/A</v>
      </c>
      <c r="AI268" t="s">
        <v>91</v>
      </c>
      <c r="AJ268" s="29"/>
    </row>
    <row r="269" spans="2:37" ht="15" customHeight="1">
      <c r="B269" s="252" t="s">
        <v>836</v>
      </c>
      <c r="G269" s="253" t="s">
        <v>837</v>
      </c>
      <c r="O269" s="241" t="s">
        <v>19</v>
      </c>
      <c r="P269" s="55"/>
      <c r="Y269" s="74" t="e">
        <f>"60/"&amp;FIXED(AC258,0,TRUE)&amp;"*"&amp;FIXED(AF255,2,TRUE)&amp;"/"&amp;FIXED(AF254,2,TRUE)&amp;"*"&amp;FIXED(AC255,2,TRUE)&amp;"^2/"&amp;FIXED(AC256,0,TRUE)&amp;"*("&amp;FIXED(AC264,2,TRUE)&amp;"*"&amp;FIXED(AC265,2,TRUE)&amp;"+"&amp;FIXED(AC266,2,TRUE)&amp;"+"&amp;FIXED(AC267,2,TRUE)&amp;")="</f>
        <v>#N/A</v>
      </c>
      <c r="AC269" s="50" t="e">
        <f>60/AC258*AF255/AF254*AC255^2/AC256*(AC264*AC265+AC266+AC267)</f>
        <v>#N/A</v>
      </c>
      <c r="AD269" t="s">
        <v>36</v>
      </c>
      <c r="AF269" s="27"/>
      <c r="AG269" s="26" t="s">
        <v>838</v>
      </c>
      <c r="AH269" s="221">
        <v>0</v>
      </c>
      <c r="AI269" t="s">
        <v>460</v>
      </c>
      <c r="AJ269" s="29"/>
      <c r="AK269" t="s">
        <v>839</v>
      </c>
    </row>
    <row r="270" spans="2:37" ht="15" customHeight="1">
      <c r="O270" s="19">
        <f>IF(O269="nej",1,IF(G50="A",0.5,0.6))</f>
        <v>1</v>
      </c>
      <c r="P270" t="s">
        <v>840</v>
      </c>
      <c r="Y270" t="s">
        <v>841</v>
      </c>
      <c r="AB270" s="26"/>
      <c r="AC270" s="53" t="e">
        <f>AC256/AF255*AC257/(4*AC269)</f>
        <v>#N/A</v>
      </c>
      <c r="AD270" t="s">
        <v>91</v>
      </c>
      <c r="AF270" s="12"/>
      <c r="AG270" s="148" t="s">
        <v>842</v>
      </c>
      <c r="AH270" s="222">
        <f>IF(AI270&gt;0.7*AC254/AF254,0.7*AC254/AF254,+AI270)</f>
        <v>0</v>
      </c>
      <c r="AI270" s="222">
        <f>IF(AH269=0,0,+AH269*10^3/(AH267*AH268))</f>
        <v>0</v>
      </c>
      <c r="AJ270" s="16" t="s">
        <v>36</v>
      </c>
      <c r="AK270" t="s">
        <v>821</v>
      </c>
    </row>
    <row r="271" spans="2:37" ht="15" customHeight="1">
      <c r="B271" t="s">
        <v>843</v>
      </c>
      <c r="Z271" t="s">
        <v>844</v>
      </c>
      <c r="AC271" s="53" t="e">
        <f>IF(10*AC257*AC263*AC258&gt;100*AC263,10*AC257*AC263*AC258,100*AC263)</f>
        <v>#N/A</v>
      </c>
      <c r="AD271" t="s">
        <v>91</v>
      </c>
    </row>
    <row r="272" spans="2:37" ht="15" customHeight="1">
      <c r="C272" t="s">
        <v>845</v>
      </c>
      <c r="H272" s="26" t="s">
        <v>386</v>
      </c>
      <c r="J272" s="26" t="s">
        <v>124</v>
      </c>
      <c r="L272" t="s">
        <v>387</v>
      </c>
      <c r="Z272" t="s">
        <v>846</v>
      </c>
      <c r="AC272" s="53" t="e">
        <f>MAXA(AC270:AC271)</f>
        <v>#N/A</v>
      </c>
      <c r="AD272" t="s">
        <v>91</v>
      </c>
    </row>
    <row r="273" spans="3:31" ht="15" customHeight="1">
      <c r="G273" t="s">
        <v>61</v>
      </c>
      <c r="H273" s="50" t="e">
        <f>H49*O35/2</f>
        <v>#N/A</v>
      </c>
      <c r="I273" t="s">
        <v>392</v>
      </c>
      <c r="J273" s="50" t="e">
        <f>Z15</f>
        <v>#N/A</v>
      </c>
      <c r="K273" t="s">
        <v>120</v>
      </c>
      <c r="L273" s="50" t="e">
        <f>J273*H273</f>
        <v>#N/A</v>
      </c>
      <c r="M273" t="s">
        <v>445</v>
      </c>
      <c r="O273" t="s">
        <v>847</v>
      </c>
    </row>
    <row r="274" spans="3:31" ht="15" customHeight="1">
      <c r="G274" t="str">
        <f>IF(O269="nej","nyttelast","nyttelast #")</f>
        <v>nyttelast</v>
      </c>
      <c r="H274" s="222" t="e">
        <f>H50*O35/2*O270</f>
        <v>#N/A</v>
      </c>
      <c r="I274" t="s">
        <v>392</v>
      </c>
      <c r="J274" s="50" t="e">
        <f>Z16</f>
        <v>#N/A</v>
      </c>
      <c r="K274" t="s">
        <v>120</v>
      </c>
      <c r="L274" s="222" t="e">
        <f>J274*H274</f>
        <v>#N/A</v>
      </c>
      <c r="M274" t="s">
        <v>445</v>
      </c>
      <c r="N274" t="s">
        <v>848</v>
      </c>
      <c r="R274" t="s">
        <v>849</v>
      </c>
    </row>
    <row r="275" spans="3:31" ht="15" customHeight="1">
      <c r="G275" t="s">
        <v>541</v>
      </c>
      <c r="H275" s="50" t="e">
        <f>H273+H274</f>
        <v>#N/A</v>
      </c>
      <c r="L275" s="50" t="e">
        <f>L273+L274</f>
        <v>#N/A</v>
      </c>
      <c r="M275" t="s">
        <v>445</v>
      </c>
      <c r="N275" s="32" t="s">
        <v>850</v>
      </c>
      <c r="O275" s="223" t="s">
        <v>851</v>
      </c>
      <c r="R275" t="s">
        <v>33</v>
      </c>
      <c r="S275" t="s">
        <v>852</v>
      </c>
      <c r="AD275" s="220"/>
    </row>
    <row r="276" spans="3:31" ht="15" customHeight="1">
      <c r="C276" t="s">
        <v>853</v>
      </c>
      <c r="H276" s="50"/>
      <c r="L276" s="50"/>
      <c r="N276" s="50" t="e">
        <f>(R276*U280*(U283+U282+U281+U280/2)+S276*U282*(U283+U282/2))/U284</f>
        <v>#N/A</v>
      </c>
      <c r="O276" s="50" t="e">
        <f>R276*U280+S276*U282-N276</f>
        <v>#N/A</v>
      </c>
      <c r="P276" t="s">
        <v>854</v>
      </c>
      <c r="R276" s="50" t="e">
        <f>$H$55</f>
        <v>#N/A</v>
      </c>
      <c r="S276" s="50" t="e">
        <f>$H$57</f>
        <v>#N/A</v>
      </c>
      <c r="T276" t="s">
        <v>445</v>
      </c>
      <c r="AD276" s="220"/>
    </row>
    <row r="277" spans="3:31" ht="15" customHeight="1">
      <c r="G277" t="s">
        <v>61</v>
      </c>
      <c r="H277" s="50" t="e">
        <f>N276+H60*AL16+H62*AL22</f>
        <v>#N/A</v>
      </c>
      <c r="I277" t="s">
        <v>392</v>
      </c>
      <c r="J277" s="50" t="e">
        <f>Z15</f>
        <v>#N/A</v>
      </c>
      <c r="K277" t="s">
        <v>120</v>
      </c>
      <c r="L277" s="50" t="e">
        <f>J277*H277</f>
        <v>#N/A</v>
      </c>
      <c r="M277" t="s">
        <v>460</v>
      </c>
      <c r="N277" s="50" t="e">
        <f>(R277*U280*(U283+U282+U281+U280/2)+S277*U282*(U283+U282/2))/U284</f>
        <v>#N/A</v>
      </c>
      <c r="O277" s="50" t="e">
        <f>R277*U280+S277*U282-N277</f>
        <v>#N/A</v>
      </c>
      <c r="P277" t="s">
        <v>855</v>
      </c>
      <c r="R277" s="50" t="e">
        <f>$H$56</f>
        <v>#N/A</v>
      </c>
      <c r="S277" s="50" t="e">
        <f>$H$58</f>
        <v>#N/A</v>
      </c>
      <c r="T277" t="s">
        <v>445</v>
      </c>
      <c r="AD277" s="118" t="e">
        <f>J396/(H399+H237)/AC270</f>
        <v>#N/A</v>
      </c>
      <c r="AE277" t="s">
        <v>856</v>
      </c>
    </row>
    <row r="278" spans="3:31" ht="15" customHeight="1">
      <c r="G278" t="str">
        <f>IF(O269="nej","nyttelast","nyttelast #")</f>
        <v>nyttelast</v>
      </c>
      <c r="H278" s="222" t="e">
        <f>(N277+H61*AL16+H63*AL22)*O270</f>
        <v>#N/A</v>
      </c>
      <c r="I278" t="s">
        <v>392</v>
      </c>
      <c r="J278" s="50" t="e">
        <f>Z16</f>
        <v>#N/A</v>
      </c>
      <c r="K278" t="s">
        <v>120</v>
      </c>
      <c r="L278" s="222" t="e">
        <f>J278*H278</f>
        <v>#N/A</v>
      </c>
      <c r="M278" t="s">
        <v>460</v>
      </c>
      <c r="N278" s="50"/>
      <c r="O278" s="50"/>
      <c r="R278" s="50"/>
      <c r="S278" s="50"/>
      <c r="AD278" s="118"/>
    </row>
    <row r="279" spans="3:31" ht="15" customHeight="1">
      <c r="G279" t="s">
        <v>541</v>
      </c>
      <c r="H279" s="50" t="e">
        <f>H277+H278</f>
        <v>#N/A</v>
      </c>
      <c r="L279" s="50" t="e">
        <f>L277+L278</f>
        <v>#N/A</v>
      </c>
      <c r="M279" t="s">
        <v>460</v>
      </c>
      <c r="N279" s="50"/>
      <c r="R279" t="s">
        <v>857</v>
      </c>
      <c r="AD279" s="118" t="e">
        <f>(N25+AC271/2)/AC271</f>
        <v>#N/A</v>
      </c>
      <c r="AE279" t="s">
        <v>858</v>
      </c>
    </row>
    <row r="280" spans="3:31" ht="15" customHeight="1">
      <c r="G280" t="s">
        <v>468</v>
      </c>
      <c r="L280" s="50" t="e">
        <f>F42*10^-3</f>
        <v>#N/A</v>
      </c>
      <c r="M280" t="s">
        <v>40</v>
      </c>
      <c r="N280" s="50"/>
      <c r="R280" t="s">
        <v>859</v>
      </c>
      <c r="T280" t="s">
        <v>273</v>
      </c>
      <c r="U280" s="50" t="e">
        <f>$J$34</f>
        <v>#N/A</v>
      </c>
      <c r="V280" t="s">
        <v>40</v>
      </c>
    </row>
    <row r="281" spans="3:31" ht="15" customHeight="1">
      <c r="C281" t="s">
        <v>860</v>
      </c>
      <c r="H281" s="50"/>
      <c r="L281" s="50"/>
      <c r="Q281" t="s">
        <v>861</v>
      </c>
      <c r="T281" t="s">
        <v>280</v>
      </c>
      <c r="U281" s="50" t="e">
        <f>$J$35</f>
        <v>#N/A</v>
      </c>
      <c r="V281" t="s">
        <v>40</v>
      </c>
    </row>
    <row r="282" spans="3:31" ht="15" customHeight="1">
      <c r="G282" t="s">
        <v>61</v>
      </c>
      <c r="H282" s="50" t="e">
        <f>O276+H60*AN16+H62*AN22</f>
        <v>#N/A</v>
      </c>
      <c r="I282" t="s">
        <v>392</v>
      </c>
      <c r="J282" s="50" t="e">
        <f>Z15</f>
        <v>#N/A</v>
      </c>
      <c r="K282" t="s">
        <v>120</v>
      </c>
      <c r="L282" s="50" t="e">
        <f>J282*H282</f>
        <v>#N/A</v>
      </c>
      <c r="M282" t="s">
        <v>460</v>
      </c>
      <c r="O282" t="s">
        <v>862</v>
      </c>
      <c r="R282" t="s">
        <v>863</v>
      </c>
      <c r="S282" t="s">
        <v>864</v>
      </c>
      <c r="T282" t="s">
        <v>287</v>
      </c>
      <c r="U282" s="50" t="e">
        <f>$J$36</f>
        <v>#N/A</v>
      </c>
      <c r="V282" t="s">
        <v>40</v>
      </c>
    </row>
    <row r="283" spans="3:31" ht="15" customHeight="1">
      <c r="G283" t="str">
        <f>IF(O269="nej","nyttelast","nyttelast #")</f>
        <v>nyttelast</v>
      </c>
      <c r="H283" s="222" t="e">
        <f>(O277+H61*AN16+H63*AN22)*O270</f>
        <v>#N/A</v>
      </c>
      <c r="I283" t="s">
        <v>392</v>
      </c>
      <c r="J283" s="50" t="e">
        <f>Z16</f>
        <v>#N/A</v>
      </c>
      <c r="K283" t="s">
        <v>120</v>
      </c>
      <c r="L283" s="222" t="e">
        <f>J283*H283</f>
        <v>#N/A</v>
      </c>
      <c r="M283" t="s">
        <v>460</v>
      </c>
      <c r="N283" s="202"/>
      <c r="O283" s="50" t="e">
        <f>(R276*U280*(U283+U280/2)+S276*U282*(U283+U280+U281+U282/2))/U284</f>
        <v>#N/A</v>
      </c>
      <c r="P283" t="s">
        <v>428</v>
      </c>
      <c r="R283" t="s">
        <v>865</v>
      </c>
      <c r="S283" t="s">
        <v>866</v>
      </c>
      <c r="T283" t="s">
        <v>294</v>
      </c>
      <c r="U283" s="50" t="e">
        <f>$J$37</f>
        <v>#N/A</v>
      </c>
      <c r="V283" t="s">
        <v>40</v>
      </c>
    </row>
    <row r="284" spans="3:31" ht="15" customHeight="1">
      <c r="G284" t="s">
        <v>541</v>
      </c>
      <c r="H284" s="50" t="e">
        <f>H282+H283</f>
        <v>#N/A</v>
      </c>
      <c r="L284" s="50" t="e">
        <f>L282+L283</f>
        <v>#N/A</v>
      </c>
      <c r="M284" t="s">
        <v>460</v>
      </c>
      <c r="O284" s="50" t="e">
        <f>(R277*U280*(U283+U280/2)+S277*U282*(U283+U280+U281+U282/2))/U284</f>
        <v>#N/A</v>
      </c>
      <c r="P284" t="s">
        <v>433</v>
      </c>
      <c r="T284" t="s">
        <v>867</v>
      </c>
      <c r="U284" s="69" t="e">
        <f>$J$38</f>
        <v>#N/A</v>
      </c>
      <c r="V284" t="s">
        <v>868</v>
      </c>
    </row>
    <row r="285" spans="3:31" ht="15" customHeight="1">
      <c r="G285" t="s">
        <v>468</v>
      </c>
      <c r="L285" s="50" t="e">
        <f>F42*10^-3</f>
        <v>#N/A</v>
      </c>
      <c r="M285" t="s">
        <v>40</v>
      </c>
    </row>
    <row r="286" spans="3:31" ht="15" customHeight="1"/>
    <row r="287" spans="3:31" ht="15" customHeight="1">
      <c r="G287" t="str">
        <f>IF(O269="nej"," ","             #) reduceret for nyttelast på flere etager")</f>
        <v xml:space="preserve"> </v>
      </c>
    </row>
    <row r="288" spans="3:31" ht="15" customHeight="1"/>
    <row r="289" spans="1:16" ht="15" customHeight="1"/>
    <row r="290" spans="1:16" ht="15" customHeight="1">
      <c r="B290" s="30" t="s">
        <v>869</v>
      </c>
    </row>
    <row r="291" spans="1:16" ht="15" customHeight="1">
      <c r="H291" s="26" t="s">
        <v>602</v>
      </c>
      <c r="I291" t="s">
        <v>120</v>
      </c>
      <c r="J291" s="74" t="e">
        <f>R_4</f>
        <v>#N/A</v>
      </c>
      <c r="K291" t="s">
        <v>460</v>
      </c>
      <c r="N291" s="224" t="e">
        <f>DÆKLAG+N11</f>
        <v>#N/A</v>
      </c>
      <c r="O291" s="49" t="s">
        <v>870</v>
      </c>
    </row>
    <row r="292" spans="1:16" ht="15" customHeight="1">
      <c r="C292" s="128"/>
      <c r="D292" s="168"/>
      <c r="H292" s="26" t="s">
        <v>871</v>
      </c>
      <c r="I292" t="s">
        <v>120</v>
      </c>
      <c r="J292" s="53">
        <f>FCK</f>
        <v>30</v>
      </c>
      <c r="K292" t="s">
        <v>36</v>
      </c>
      <c r="N292" s="225" t="e">
        <f>ARMDIAM</f>
        <v>#N/A</v>
      </c>
      <c r="O292" s="49" t="s">
        <v>872</v>
      </c>
    </row>
    <row r="293" spans="1:16" ht="15" customHeight="1">
      <c r="C293" s="170"/>
      <c r="H293" s="26" t="s">
        <v>873</v>
      </c>
      <c r="I293" t="s">
        <v>120</v>
      </c>
      <c r="J293" s="50">
        <f>GAMMAC</f>
        <v>1.4</v>
      </c>
      <c r="N293" s="226">
        <v>8</v>
      </c>
      <c r="O293" s="49" t="s">
        <v>874</v>
      </c>
    </row>
    <row r="294" spans="1:16" ht="15" customHeight="1">
      <c r="E294" s="19"/>
      <c r="H294" s="26" t="s">
        <v>875</v>
      </c>
      <c r="I294" t="s">
        <v>120</v>
      </c>
      <c r="J294" s="74">
        <v>0.6</v>
      </c>
      <c r="N294" s="224">
        <f>J132</f>
        <v>122</v>
      </c>
      <c r="O294" s="49" t="s">
        <v>876</v>
      </c>
    </row>
    <row r="295" spans="1:16" ht="15" customHeight="1">
      <c r="H295" s="26" t="s">
        <v>877</v>
      </c>
      <c r="I295" t="s">
        <v>120</v>
      </c>
      <c r="J295" s="53" t="e">
        <f>(N295+N296)/2</f>
        <v>#N/A</v>
      </c>
      <c r="K295" t="s">
        <v>91</v>
      </c>
      <c r="N295" s="95" t="e">
        <f>N294-N291-N292/2</f>
        <v>#N/A</v>
      </c>
      <c r="O295" s="49" t="s">
        <v>878</v>
      </c>
    </row>
    <row r="296" spans="1:16" ht="15" customHeight="1">
      <c r="D296" s="26" t="s">
        <v>113</v>
      </c>
      <c r="F296" s="26" t="s">
        <v>195</v>
      </c>
      <c r="H296" s="26" t="s">
        <v>879</v>
      </c>
      <c r="I296" s="227">
        <v>8</v>
      </c>
      <c r="J296" s="228">
        <v>150</v>
      </c>
      <c r="K296" t="s">
        <v>880</v>
      </c>
      <c r="N296" s="95" t="e">
        <f>N294-N291-N292-N293/2</f>
        <v>#N/A</v>
      </c>
      <c r="O296" s="49" t="s">
        <v>881</v>
      </c>
    </row>
    <row r="297" spans="1:16" ht="15" customHeight="1">
      <c r="H297" s="26" t="s">
        <v>882</v>
      </c>
      <c r="J297" s="229" t="e">
        <f>I296^2/4*PI()/(J296*J295)</f>
        <v>#N/A</v>
      </c>
      <c r="N297" s="149" t="e">
        <f>0.5*J294*J292/J293*2*(F300+F302)*J295*10^-3</f>
        <v>#N/A</v>
      </c>
      <c r="O297" s="49" t="s">
        <v>883</v>
      </c>
    </row>
    <row r="298" spans="1:16" ht="15" customHeight="1">
      <c r="A298" s="230" t="e">
        <f>2*J295+F302/2</f>
        <v>#N/A</v>
      </c>
      <c r="F298" s="19" t="s">
        <v>610</v>
      </c>
      <c r="G298" s="26" t="s">
        <v>884</v>
      </c>
      <c r="H298" s="50" t="e">
        <f>1+SQRT((200/J295))</f>
        <v>#N/A</v>
      </c>
      <c r="I298" s="49" t="s">
        <v>885</v>
      </c>
      <c r="J298" s="74" t="e">
        <f>IF(H298&gt;2,2,H298)</f>
        <v>#N/A</v>
      </c>
      <c r="N298" s="102" t="e">
        <f>0.18/J293*J298*(100*J297*J292)^(1/3)</f>
        <v>#N/A</v>
      </c>
      <c r="O298" s="87" t="s">
        <v>886</v>
      </c>
    </row>
    <row r="299" spans="1:16" ht="15" customHeight="1">
      <c r="A299" s="64" t="e">
        <f>IF(AND(O304="dorn",P304="dorn"),MIN(O306:P306),MAX(O306:P306))</f>
        <v>#N/A</v>
      </c>
      <c r="B299" t="e">
        <f>IF(A298&gt;A299,"kontrolperimeter"," ")</f>
        <v>#N/A</v>
      </c>
      <c r="H299" s="26" t="s">
        <v>887</v>
      </c>
      <c r="I299" t="s">
        <v>120</v>
      </c>
      <c r="J299" s="52" t="e">
        <f>IF(N298&gt;N299,N298,N299)</f>
        <v>#N/A</v>
      </c>
      <c r="N299" s="102" t="e">
        <f>0.035*J298^(3/2)*J292^(1/2)</f>
        <v>#N/A</v>
      </c>
      <c r="O299" s="87" t="s">
        <v>888</v>
      </c>
    </row>
    <row r="300" spans="1:16" ht="15" customHeight="1">
      <c r="B300" t="e">
        <f>IF(A298&gt;A299,"løber til fri rand"," ")</f>
        <v>#N/A</v>
      </c>
      <c r="F300" s="128">
        <f>F121</f>
        <v>30</v>
      </c>
      <c r="H300" s="26" t="s">
        <v>889</v>
      </c>
      <c r="I300" t="s">
        <v>120</v>
      </c>
      <c r="J300" s="53" t="e">
        <f>IF(A298&lt;A299,+N302,N302/2+2*A299)</f>
        <v>#N/A</v>
      </c>
      <c r="K300" t="s">
        <v>91</v>
      </c>
      <c r="N300" s="149" t="e">
        <f>J299*J300*J295*10^-3</f>
        <v>#N/A</v>
      </c>
      <c r="O300" s="49" t="s">
        <v>890</v>
      </c>
    </row>
    <row r="301" spans="1:16" ht="15" customHeight="1">
      <c r="H301" s="26" t="s">
        <v>891</v>
      </c>
      <c r="I301" t="s">
        <v>120</v>
      </c>
      <c r="J301" s="74" t="e">
        <f>IF(N300&lt;N297,N300,N297)</f>
        <v>#N/A</v>
      </c>
      <c r="K301" t="e">
        <f>IF(J301&gt;L301,"kN&gt;","kN&lt;")</f>
        <v>#N/A</v>
      </c>
      <c r="L301" s="74" t="e">
        <f>J291</f>
        <v>#N/A</v>
      </c>
      <c r="M301" t="e">
        <f>IF(J301&gt;L301,"accept","forkast")</f>
        <v>#N/A</v>
      </c>
      <c r="N301" s="164" t="e">
        <f>IF(M301="forkast","NB!"," ")</f>
        <v>#N/A</v>
      </c>
    </row>
    <row r="302" spans="1:16" ht="15" customHeight="1">
      <c r="E302" s="26" t="s">
        <v>892</v>
      </c>
      <c r="F302" s="231">
        <f>DORNDIAM</f>
        <v>65</v>
      </c>
      <c r="N302" s="95" t="e">
        <f>2*(F300+F302+2*PI()*J295)</f>
        <v>#N/A</v>
      </c>
      <c r="O302" s="49" t="s">
        <v>893</v>
      </c>
    </row>
    <row r="303" spans="1:16" ht="15" customHeight="1">
      <c r="O303" t="str">
        <f>J39</f>
        <v>venstre(a)</v>
      </c>
      <c r="P303" t="str">
        <f>L39</f>
        <v>højre(c)</v>
      </c>
    </row>
    <row r="304" spans="1:16" ht="15" customHeight="1">
      <c r="F304" s="19" t="s">
        <v>328</v>
      </c>
      <c r="O304" t="str">
        <f>J40</f>
        <v>dorn</v>
      </c>
      <c r="P304" t="str">
        <f>L40</f>
        <v>ende</v>
      </c>
    </row>
    <row r="305" spans="2:53" ht="15" customHeight="1">
      <c r="O305" t="e">
        <f>A2V</f>
        <v>#N/A</v>
      </c>
      <c r="P305" t="e">
        <f>A2H</f>
        <v>#N/A</v>
      </c>
    </row>
    <row r="306" spans="2:53" ht="15" customHeight="1">
      <c r="O306" t="e">
        <f>IF(O304="dorn",O305," ")</f>
        <v>#N/A</v>
      </c>
      <c r="P306" t="str">
        <f>IF(P304="dorn",P305," ")</f>
        <v xml:space="preserve"> </v>
      </c>
    </row>
    <row r="307" spans="2:53" ht="15" customHeight="1"/>
    <row r="308" spans="2:53" ht="15" customHeight="1"/>
    <row r="309" spans="2:53" ht="15" customHeight="1"/>
    <row r="310" spans="2:53" ht="15" customHeight="1"/>
    <row r="311" spans="2:53" ht="15" customHeight="1">
      <c r="V311" t="s">
        <v>894</v>
      </c>
    </row>
    <row r="312" spans="2:53" ht="15" customHeight="1">
      <c r="V312" t="s">
        <v>895</v>
      </c>
      <c r="AA312" s="50">
        <f>4/5</f>
        <v>0.8</v>
      </c>
    </row>
    <row r="313" spans="2:53" ht="15" customHeight="1">
      <c r="B313" s="30" t="s">
        <v>896</v>
      </c>
      <c r="V313" t="s">
        <v>897</v>
      </c>
      <c r="AA313">
        <v>0.35</v>
      </c>
    </row>
    <row r="314" spans="2:53" ht="15" customHeight="1">
      <c r="B314" s="202"/>
      <c r="C314" s="202"/>
      <c r="D314" s="202"/>
      <c r="F314" s="202"/>
      <c r="G314" s="26" t="s">
        <v>898</v>
      </c>
      <c r="H314" s="72" t="s">
        <v>670</v>
      </c>
      <c r="I314" t="s">
        <v>120</v>
      </c>
      <c r="J314" s="169" t="e">
        <f>MAX(J115:J116)</f>
        <v>#N/A</v>
      </c>
      <c r="K314" t="s">
        <v>460</v>
      </c>
      <c r="V314" t="s">
        <v>9</v>
      </c>
    </row>
    <row r="315" spans="2:53" ht="15" customHeight="1">
      <c r="C315" s="19"/>
      <c r="E315" s="26" t="s">
        <v>591</v>
      </c>
      <c r="F315" s="210">
        <f>F118</f>
        <v>300</v>
      </c>
      <c r="G315" s="26" t="str">
        <f>G118</f>
        <v>afstand</v>
      </c>
      <c r="H315" s="72" t="s">
        <v>593</v>
      </c>
      <c r="I315" t="s">
        <v>120</v>
      </c>
      <c r="J315" s="53">
        <f>C317+C316+D317</f>
        <v>143</v>
      </c>
      <c r="K315" t="str">
        <f t="shared" ref="K315:K323" si="32">K118</f>
        <v>mm</v>
      </c>
      <c r="V315" t="s">
        <v>899</v>
      </c>
    </row>
    <row r="316" spans="2:53" ht="15" customHeight="1">
      <c r="C316" s="224">
        <f>C119</f>
        <v>50</v>
      </c>
      <c r="G316" s="26" t="str">
        <f>G119</f>
        <v>afstand</v>
      </c>
      <c r="H316" s="72" t="s">
        <v>595</v>
      </c>
      <c r="I316" t="s">
        <v>120</v>
      </c>
      <c r="J316" s="53">
        <f>-J315-C318-F318/2+F315</f>
        <v>92</v>
      </c>
      <c r="K316" t="str">
        <f t="shared" si="32"/>
        <v>mm</v>
      </c>
      <c r="V316" t="s">
        <v>900</v>
      </c>
      <c r="AA316" s="51">
        <f>200*10^3</f>
        <v>200000</v>
      </c>
    </row>
    <row r="317" spans="2:53" ht="15" customHeight="1">
      <c r="C317" s="133">
        <f>C120</f>
        <v>50</v>
      </c>
      <c r="D317" s="224">
        <f>D120</f>
        <v>43</v>
      </c>
      <c r="G317" s="26"/>
      <c r="H317" s="72" t="s">
        <v>599</v>
      </c>
      <c r="I317" t="s">
        <v>120</v>
      </c>
      <c r="J317" s="74" t="e">
        <f>J314*(J315+J316)/J316</f>
        <v>#N/A</v>
      </c>
      <c r="K317" t="str">
        <f t="shared" si="32"/>
        <v>kN</v>
      </c>
      <c r="V317" t="s">
        <v>9</v>
      </c>
    </row>
    <row r="318" spans="2:53" ht="15" customHeight="1">
      <c r="C318" s="210">
        <f>C121</f>
        <v>50</v>
      </c>
      <c r="F318" s="128">
        <f>F121</f>
        <v>30</v>
      </c>
      <c r="G318" s="26"/>
      <c r="H318" s="72" t="s">
        <v>602</v>
      </c>
      <c r="I318" t="s">
        <v>120</v>
      </c>
      <c r="J318" s="74" t="e">
        <f>J317-J314</f>
        <v>#N/A</v>
      </c>
      <c r="K318" t="str">
        <f t="shared" si="32"/>
        <v>kN</v>
      </c>
      <c r="N318" s="26" t="str">
        <f>IF(P318="Ø","rund ståldorn",IF(P318="F","firkantet ståldorn","FEJL skriv Ø el. F"))</f>
        <v>rund ståldorn</v>
      </c>
      <c r="P318" s="30" t="str">
        <f>I129</f>
        <v>Ø</v>
      </c>
      <c r="Q318" s="66">
        <f>DORNDIAM</f>
        <v>65</v>
      </c>
      <c r="R318" t="str">
        <f>IF(P318="Ø","mm",IF(P318="F","   x","fejl"))</f>
        <v>mm</v>
      </c>
      <c r="V318" t="s">
        <v>901</v>
      </c>
      <c r="AA318" s="26" t="s">
        <v>0</v>
      </c>
      <c r="AB318" s="26" t="s">
        <v>68</v>
      </c>
      <c r="AC318" s="26" t="s">
        <v>80</v>
      </c>
      <c r="AD318" s="26" t="s">
        <v>10</v>
      </c>
      <c r="AE318" s="26" t="s">
        <v>93</v>
      </c>
      <c r="AF318" s="26" t="s">
        <v>747</v>
      </c>
      <c r="AG318" s="26" t="s">
        <v>902</v>
      </c>
      <c r="AH318" s="26" t="s">
        <v>903</v>
      </c>
      <c r="AI318" s="26" t="s">
        <v>904</v>
      </c>
      <c r="AJ318" s="26" t="s">
        <v>905</v>
      </c>
      <c r="AK318" s="26" t="s">
        <v>265</v>
      </c>
      <c r="AL318" s="26" t="s">
        <v>748</v>
      </c>
      <c r="AM318" s="26" t="s">
        <v>70</v>
      </c>
      <c r="AN318" s="26" t="s">
        <v>56</v>
      </c>
      <c r="AO318" s="26" t="s">
        <v>906</v>
      </c>
      <c r="AP318" s="26" t="s">
        <v>57</v>
      </c>
      <c r="AQ318" s="26" t="s">
        <v>907</v>
      </c>
      <c r="AR318" s="26" t="s">
        <v>670</v>
      </c>
      <c r="AS318" s="26" t="s">
        <v>69</v>
      </c>
      <c r="AT318" s="26" t="s">
        <v>908</v>
      </c>
      <c r="AU318" s="26" t="s">
        <v>909</v>
      </c>
      <c r="AV318" s="26" t="s">
        <v>910</v>
      </c>
      <c r="AW318" s="26" t="s">
        <v>911</v>
      </c>
      <c r="AX318" s="26" t="s">
        <v>912</v>
      </c>
      <c r="AY318" s="26" t="s">
        <v>913</v>
      </c>
      <c r="AZ318" s="26" t="s">
        <v>914</v>
      </c>
    </row>
    <row r="319" spans="2:53" ht="15" customHeight="1">
      <c r="E319" s="19" t="str">
        <f>E122</f>
        <v>(3)</v>
      </c>
      <c r="G319" s="26" t="str">
        <f>G122</f>
        <v>2-snits arm.(3)</v>
      </c>
      <c r="H319" s="66">
        <f>H122</f>
        <v>1</v>
      </c>
      <c r="I319" s="30" t="str">
        <f>I122</f>
        <v>R3</v>
      </c>
      <c r="J319" s="66">
        <f>J122</f>
        <v>16</v>
      </c>
      <c r="K319" t="str">
        <f t="shared" si="32"/>
        <v>stk,type,diameter</v>
      </c>
      <c r="N319" t="str">
        <f>N130</f>
        <v>nej</v>
      </c>
      <c r="O319" t="str">
        <f>O130</f>
        <v>&lt;--plasticitetsteoretisk beregning, ja eller nej</v>
      </c>
      <c r="V319" t="s">
        <v>9</v>
      </c>
      <c r="AA319" t="s">
        <v>915</v>
      </c>
      <c r="AB319" t="s">
        <v>915</v>
      </c>
      <c r="AC319" t="s">
        <v>915</v>
      </c>
      <c r="AD319" t="s">
        <v>915</v>
      </c>
      <c r="AE319" t="s">
        <v>915</v>
      </c>
      <c r="AF319" t="s">
        <v>915</v>
      </c>
      <c r="AG319" t="s">
        <v>915</v>
      </c>
      <c r="AH319" t="s">
        <v>915</v>
      </c>
      <c r="AI319" t="s">
        <v>915</v>
      </c>
      <c r="AJ319" t="s">
        <v>915</v>
      </c>
      <c r="AK319" t="s">
        <v>915</v>
      </c>
      <c r="AL319" t="s">
        <v>915</v>
      </c>
      <c r="AM319" t="s">
        <v>915</v>
      </c>
      <c r="AN319" t="s">
        <v>915</v>
      </c>
      <c r="AO319" t="s">
        <v>915</v>
      </c>
      <c r="AP319" t="s">
        <v>915</v>
      </c>
      <c r="AQ319" t="s">
        <v>915</v>
      </c>
      <c r="AR319" t="s">
        <v>915</v>
      </c>
      <c r="AS319" t="s">
        <v>915</v>
      </c>
      <c r="AT319" t="s">
        <v>915</v>
      </c>
      <c r="AU319" t="s">
        <v>915</v>
      </c>
      <c r="AV319" t="s">
        <v>915</v>
      </c>
      <c r="AW319" t="s">
        <v>915</v>
      </c>
      <c r="AX319" t="s">
        <v>915</v>
      </c>
      <c r="AY319" t="s">
        <v>915</v>
      </c>
      <c r="AZ319" t="s">
        <v>915</v>
      </c>
      <c r="BA319" t="s">
        <v>916</v>
      </c>
    </row>
    <row r="320" spans="2:53" ht="15" customHeight="1">
      <c r="H320" s="72" t="s">
        <v>504</v>
      </c>
      <c r="I320" t="s">
        <v>120</v>
      </c>
      <c r="J320" s="53">
        <f>J123</f>
        <v>355</v>
      </c>
      <c r="K320" t="str">
        <f t="shared" si="32"/>
        <v>N/mm2</v>
      </c>
      <c r="V320" t="s">
        <v>917</v>
      </c>
      <c r="AA320">
        <f t="shared" ref="AA320:AZ320" si="33">CODE(AA318)</f>
        <v>65</v>
      </c>
      <c r="AB320">
        <f t="shared" si="33"/>
        <v>66</v>
      </c>
      <c r="AC320">
        <f t="shared" si="33"/>
        <v>67</v>
      </c>
      <c r="AD320">
        <f t="shared" si="33"/>
        <v>68</v>
      </c>
      <c r="AE320">
        <f t="shared" si="33"/>
        <v>69</v>
      </c>
      <c r="AF320">
        <f t="shared" si="33"/>
        <v>70</v>
      </c>
      <c r="AG320">
        <f t="shared" si="33"/>
        <v>71</v>
      </c>
      <c r="AH320">
        <f t="shared" si="33"/>
        <v>72</v>
      </c>
      <c r="AI320">
        <f t="shared" si="33"/>
        <v>73</v>
      </c>
      <c r="AJ320">
        <f t="shared" si="33"/>
        <v>74</v>
      </c>
      <c r="AK320">
        <f t="shared" si="33"/>
        <v>75</v>
      </c>
      <c r="AL320">
        <f t="shared" si="33"/>
        <v>76</v>
      </c>
      <c r="AM320">
        <f t="shared" si="33"/>
        <v>77</v>
      </c>
      <c r="AN320">
        <f t="shared" si="33"/>
        <v>78</v>
      </c>
      <c r="AO320">
        <f t="shared" si="33"/>
        <v>79</v>
      </c>
      <c r="AP320">
        <f t="shared" si="33"/>
        <v>80</v>
      </c>
      <c r="AQ320">
        <f t="shared" si="33"/>
        <v>81</v>
      </c>
      <c r="AR320">
        <f t="shared" si="33"/>
        <v>82</v>
      </c>
      <c r="AS320">
        <f t="shared" si="33"/>
        <v>83</v>
      </c>
      <c r="AT320">
        <f t="shared" si="33"/>
        <v>84</v>
      </c>
      <c r="AU320">
        <f t="shared" si="33"/>
        <v>85</v>
      </c>
      <c r="AV320">
        <f t="shared" si="33"/>
        <v>86</v>
      </c>
      <c r="AW320">
        <f t="shared" si="33"/>
        <v>87</v>
      </c>
      <c r="AX320">
        <f t="shared" si="33"/>
        <v>88</v>
      </c>
      <c r="AY320">
        <f t="shared" si="33"/>
        <v>89</v>
      </c>
      <c r="AZ320">
        <f t="shared" si="33"/>
        <v>90</v>
      </c>
      <c r="BA320" s="52"/>
    </row>
    <row r="321" spans="2:52" ht="15" customHeight="1">
      <c r="F321" s="32"/>
      <c r="G321" t="s">
        <v>609</v>
      </c>
      <c r="H321" s="72" t="s">
        <v>286</v>
      </c>
      <c r="I321" t="s">
        <v>120</v>
      </c>
      <c r="J321" s="53">
        <f>J124</f>
        <v>295.83333333333337</v>
      </c>
      <c r="K321" t="str">
        <f t="shared" si="32"/>
        <v>N/mm2</v>
      </c>
      <c r="V321" t="s">
        <v>918</v>
      </c>
      <c r="AA321" s="232" t="e">
        <f>NA()</f>
        <v>#N/A</v>
      </c>
      <c r="AB321" s="232">
        <v>5</v>
      </c>
      <c r="AC321" s="232" t="e">
        <f>NA()</f>
        <v>#N/A</v>
      </c>
      <c r="AD321" s="232" t="e">
        <f>NA()</f>
        <v>#N/A</v>
      </c>
      <c r="AE321" s="232" t="e">
        <f>NA()</f>
        <v>#N/A</v>
      </c>
      <c r="AF321" s="232" t="e">
        <f>NA()</f>
        <v>#N/A</v>
      </c>
      <c r="AG321" s="232" t="e">
        <f>NA()</f>
        <v>#N/A</v>
      </c>
      <c r="AH321" s="232">
        <v>20</v>
      </c>
      <c r="AI321" s="232" t="e">
        <f>NA()</f>
        <v>#N/A</v>
      </c>
      <c r="AJ321" s="232" t="e">
        <f>NA()</f>
        <v>#N/A</v>
      </c>
      <c r="AK321" s="232">
        <v>5</v>
      </c>
      <c r="AL321" s="232" t="e">
        <f>NA()</f>
        <v>#N/A</v>
      </c>
      <c r="AM321" s="232">
        <v>3</v>
      </c>
      <c r="AN321" s="232" t="e">
        <f>NA()</f>
        <v>#N/A</v>
      </c>
      <c r="AO321" s="232" t="e">
        <f>NA()</f>
        <v>#N/A</v>
      </c>
      <c r="AP321" s="232">
        <v>3</v>
      </c>
      <c r="AQ321" s="232">
        <v>5</v>
      </c>
      <c r="AR321" s="232">
        <v>20</v>
      </c>
      <c r="AS321" s="232">
        <v>8</v>
      </c>
      <c r="AT321" s="232">
        <v>3</v>
      </c>
      <c r="AU321" s="232">
        <v>3</v>
      </c>
      <c r="AV321" s="232" t="e">
        <f>NA()</f>
        <v>#N/A</v>
      </c>
      <c r="AW321" s="232" t="e">
        <f>NA()</f>
        <v>#N/A</v>
      </c>
      <c r="AX321" s="232" t="e">
        <f>NA()</f>
        <v>#N/A</v>
      </c>
      <c r="AY321" s="232">
        <v>8</v>
      </c>
      <c r="AZ321" s="232" t="e">
        <f>NA()</f>
        <v>#N/A</v>
      </c>
    </row>
    <row r="322" spans="2:52" ht="15" customHeight="1">
      <c r="C322" t="s">
        <v>775</v>
      </c>
      <c r="H322" s="72" t="s">
        <v>293</v>
      </c>
      <c r="I322" t="s">
        <v>120</v>
      </c>
      <c r="J322" s="53">
        <f>J125</f>
        <v>402.12385965949352</v>
      </c>
      <c r="K322" t="str">
        <f t="shared" si="32"/>
        <v>mm2</v>
      </c>
      <c r="V322" t="s">
        <v>919</v>
      </c>
      <c r="AA322" s="233" t="e">
        <f>NA()</f>
        <v>#N/A</v>
      </c>
      <c r="AB322" s="233">
        <f>AB325/0.95</f>
        <v>526.31578947368428</v>
      </c>
      <c r="AC322" s="233" t="e">
        <f>NA()</f>
        <v>#N/A</v>
      </c>
      <c r="AD322" s="233" t="e">
        <f>NA()</f>
        <v>#N/A</v>
      </c>
      <c r="AE322" s="233" t="e">
        <f>NA()</f>
        <v>#N/A</v>
      </c>
      <c r="AF322" s="233" t="e">
        <f>NA()</f>
        <v>#N/A</v>
      </c>
      <c r="AG322" s="233" t="e">
        <f>NA()</f>
        <v>#N/A</v>
      </c>
      <c r="AH322" s="233">
        <v>490</v>
      </c>
      <c r="AI322" s="233" t="e">
        <f>NA()</f>
        <v>#N/A</v>
      </c>
      <c r="AJ322" s="233" t="e">
        <f>NA()</f>
        <v>#N/A</v>
      </c>
      <c r="AK322" s="233">
        <f>AK325/0.95</f>
        <v>526.31578947368428</v>
      </c>
      <c r="AL322" s="233" t="e">
        <f>NA()</f>
        <v>#N/A</v>
      </c>
      <c r="AM322" s="233">
        <f>AM325/0.92</f>
        <v>543.47826086956525</v>
      </c>
      <c r="AN322" s="233" t="e">
        <f>NA()</f>
        <v>#N/A</v>
      </c>
      <c r="AO322" s="233" t="e">
        <f>NA()</f>
        <v>#N/A</v>
      </c>
      <c r="AP322" s="233">
        <f>AP325/0.92</f>
        <v>385.86956521739131</v>
      </c>
      <c r="AQ322" s="233">
        <f>AQ325/0.92</f>
        <v>597.82608695652175</v>
      </c>
      <c r="AR322" s="233">
        <v>370</v>
      </c>
      <c r="AS322" s="233">
        <v>590</v>
      </c>
      <c r="AT322" s="233">
        <v>610</v>
      </c>
      <c r="AU322" s="233">
        <f>AU325/0.95</f>
        <v>526.31578947368428</v>
      </c>
      <c r="AV322" s="233" t="e">
        <f>NA()</f>
        <v>#N/A</v>
      </c>
      <c r="AW322" s="233" t="e">
        <f>NA()</f>
        <v>#N/A</v>
      </c>
      <c r="AX322" s="233" t="e">
        <f>NA()</f>
        <v>#N/A</v>
      </c>
      <c r="AY322" s="233">
        <f>AY325/0.92</f>
        <v>597.82608695652175</v>
      </c>
      <c r="AZ322" s="232" t="e">
        <f>NA()</f>
        <v>#N/A</v>
      </c>
    </row>
    <row r="323" spans="2:52" ht="15" customHeight="1">
      <c r="C323" s="26"/>
      <c r="E323" t="s">
        <v>599</v>
      </c>
      <c r="F323" s="19" t="s">
        <v>610</v>
      </c>
      <c r="G323" s="26" t="str">
        <f>G126</f>
        <v>bæreevne (3)</v>
      </c>
      <c r="H323" s="74">
        <f>H126</f>
        <v>118.96164181593352</v>
      </c>
      <c r="J323" t="s">
        <v>460</v>
      </c>
      <c r="K323" t="e">
        <f t="shared" si="32"/>
        <v>#N/A</v>
      </c>
      <c r="L323" s="74" t="e">
        <f>L126</f>
        <v>#N/A</v>
      </c>
      <c r="M323" t="e">
        <f>M126</f>
        <v>#N/A</v>
      </c>
      <c r="N323" s="85" t="str">
        <f>O126</f>
        <v>Udnyt.-&gt;</v>
      </c>
      <c r="O323" s="179" t="e">
        <f>P126</f>
        <v>#N/A</v>
      </c>
      <c r="V323" s="50" t="s">
        <v>920</v>
      </c>
      <c r="AA323" s="74" t="e">
        <f t="shared" ref="AA323:AZ323" si="34">AA321+AA322/$AA$316*100</f>
        <v>#N/A</v>
      </c>
      <c r="AB323" s="74">
        <f t="shared" si="34"/>
        <v>5.2631578947368425</v>
      </c>
      <c r="AC323" s="74" t="e">
        <f t="shared" si="34"/>
        <v>#N/A</v>
      </c>
      <c r="AD323" s="74" t="e">
        <f t="shared" si="34"/>
        <v>#N/A</v>
      </c>
      <c r="AE323" s="74" t="e">
        <f t="shared" si="34"/>
        <v>#N/A</v>
      </c>
      <c r="AF323" s="74" t="e">
        <f t="shared" si="34"/>
        <v>#N/A</v>
      </c>
      <c r="AG323" s="74" t="e">
        <f t="shared" si="34"/>
        <v>#N/A</v>
      </c>
      <c r="AH323" s="74">
        <f t="shared" si="34"/>
        <v>20.245000000000001</v>
      </c>
      <c r="AI323" s="74" t="e">
        <f t="shared" si="34"/>
        <v>#N/A</v>
      </c>
      <c r="AJ323" s="74" t="e">
        <f t="shared" si="34"/>
        <v>#N/A</v>
      </c>
      <c r="AK323" s="74">
        <f t="shared" si="34"/>
        <v>5.2631578947368425</v>
      </c>
      <c r="AL323" s="74" t="e">
        <f t="shared" si="34"/>
        <v>#N/A</v>
      </c>
      <c r="AM323" s="74">
        <f t="shared" si="34"/>
        <v>3.2717391304347827</v>
      </c>
      <c r="AN323" s="74" t="e">
        <f t="shared" si="34"/>
        <v>#N/A</v>
      </c>
      <c r="AO323" s="74" t="e">
        <f t="shared" si="34"/>
        <v>#N/A</v>
      </c>
      <c r="AP323" s="74">
        <f t="shared" si="34"/>
        <v>3.1929347826086958</v>
      </c>
      <c r="AQ323" s="74">
        <f t="shared" si="34"/>
        <v>5.2989130434782608</v>
      </c>
      <c r="AR323" s="74">
        <f t="shared" si="34"/>
        <v>20.184999999999999</v>
      </c>
      <c r="AS323" s="74">
        <f t="shared" si="34"/>
        <v>8.2949999999999999</v>
      </c>
      <c r="AT323" s="74">
        <f t="shared" si="34"/>
        <v>3.3050000000000002</v>
      </c>
      <c r="AU323" s="74">
        <f t="shared" si="34"/>
        <v>3.263157894736842</v>
      </c>
      <c r="AV323" s="74" t="e">
        <f t="shared" si="34"/>
        <v>#N/A</v>
      </c>
      <c r="AW323" s="74" t="e">
        <f t="shared" si="34"/>
        <v>#N/A</v>
      </c>
      <c r="AX323" s="74" t="e">
        <f t="shared" si="34"/>
        <v>#N/A</v>
      </c>
      <c r="AY323" s="74">
        <f t="shared" si="34"/>
        <v>8.2989130434782616</v>
      </c>
      <c r="AZ323" s="74" t="e">
        <f t="shared" si="34"/>
        <v>#N/A</v>
      </c>
    </row>
    <row r="324" spans="2:52" ht="15" customHeight="1">
      <c r="V324" t="s">
        <v>921</v>
      </c>
      <c r="AA324" s="52" t="e">
        <f t="shared" ref="AA324:AZ324" si="35">$AA$312*$AA$313/($AA$313+AA323)</f>
        <v>#N/A</v>
      </c>
      <c r="AB324" s="52">
        <f t="shared" si="35"/>
        <v>4.9882794186591653E-2</v>
      </c>
      <c r="AC324" s="52" t="e">
        <f t="shared" si="35"/>
        <v>#N/A</v>
      </c>
      <c r="AD324" s="52" t="e">
        <f t="shared" si="35"/>
        <v>#N/A</v>
      </c>
      <c r="AE324" s="52" t="e">
        <f t="shared" si="35"/>
        <v>#N/A</v>
      </c>
      <c r="AF324" s="52" t="e">
        <f t="shared" si="35"/>
        <v>#N/A</v>
      </c>
      <c r="AG324" s="52" t="e">
        <f t="shared" si="35"/>
        <v>#N/A</v>
      </c>
      <c r="AH324" s="52">
        <f t="shared" si="35"/>
        <v>1.359553289633406E-2</v>
      </c>
      <c r="AI324" s="52" t="e">
        <f t="shared" si="35"/>
        <v>#N/A</v>
      </c>
      <c r="AJ324" s="52" t="e">
        <f t="shared" si="35"/>
        <v>#N/A</v>
      </c>
      <c r="AK324" s="52">
        <f t="shared" si="35"/>
        <v>4.9882794186591653E-2</v>
      </c>
      <c r="AL324" s="52" t="e">
        <f t="shared" si="35"/>
        <v>#N/A</v>
      </c>
      <c r="AM324" s="52">
        <f t="shared" si="35"/>
        <v>7.7310924369747888E-2</v>
      </c>
      <c r="AN324" s="52" t="e">
        <f t="shared" si="35"/>
        <v>#N/A</v>
      </c>
      <c r="AO324" s="52" t="e">
        <f t="shared" si="35"/>
        <v>#N/A</v>
      </c>
      <c r="AP324" s="52">
        <f t="shared" si="35"/>
        <v>7.9030526154318131E-2</v>
      </c>
      <c r="AQ324" s="52">
        <f t="shared" si="35"/>
        <v>4.9567057918029629E-2</v>
      </c>
      <c r="AR324" s="52">
        <f t="shared" si="35"/>
        <v>1.363525687850012E-2</v>
      </c>
      <c r="AS324" s="52">
        <f t="shared" si="35"/>
        <v>3.2388663967611336E-2</v>
      </c>
      <c r="AT324" s="52">
        <f t="shared" si="35"/>
        <v>7.6607387140902858E-2</v>
      </c>
      <c r="AU324" s="52">
        <f t="shared" si="35"/>
        <v>7.749453750910415E-2</v>
      </c>
      <c r="AV324" s="52" t="e">
        <f t="shared" si="35"/>
        <v>#N/A</v>
      </c>
      <c r="AW324" s="52" t="e">
        <f t="shared" si="35"/>
        <v>#N/A</v>
      </c>
      <c r="AX324" s="52" t="e">
        <f t="shared" si="35"/>
        <v>#N/A</v>
      </c>
      <c r="AY324" s="52">
        <f t="shared" si="35"/>
        <v>3.2374010305391478E-2</v>
      </c>
      <c r="AZ324" s="52" t="e">
        <f t="shared" si="35"/>
        <v>#N/A</v>
      </c>
    </row>
    <row r="325" spans="2:52" ht="15" customHeight="1">
      <c r="C325" s="26" t="s">
        <v>617</v>
      </c>
      <c r="E325" s="26" t="s">
        <v>595</v>
      </c>
      <c r="V325" t="s">
        <v>922</v>
      </c>
      <c r="AA325" s="233" t="e">
        <f>NA()</f>
        <v>#N/A</v>
      </c>
      <c r="AB325" s="233">
        <v>500</v>
      </c>
      <c r="AC325" s="233" t="e">
        <f>NA()</f>
        <v>#N/A</v>
      </c>
      <c r="AD325" s="233" t="e">
        <f>NA()</f>
        <v>#N/A</v>
      </c>
      <c r="AE325" s="233" t="e">
        <f>NA()</f>
        <v>#N/A</v>
      </c>
      <c r="AF325" s="233" t="e">
        <f>NA()</f>
        <v>#N/A</v>
      </c>
      <c r="AG325" s="233" t="e">
        <f>NA()</f>
        <v>#N/A</v>
      </c>
      <c r="AH325" s="233">
        <v>355</v>
      </c>
      <c r="AI325" s="233" t="e">
        <f>NA()</f>
        <v>#N/A</v>
      </c>
      <c r="AJ325" s="233" t="e">
        <f>NA()</f>
        <v>#N/A</v>
      </c>
      <c r="AK325" s="233">
        <v>500</v>
      </c>
      <c r="AL325" s="233" t="e">
        <f>NA()</f>
        <v>#N/A</v>
      </c>
      <c r="AM325" s="233">
        <v>500</v>
      </c>
      <c r="AN325" s="233" t="e">
        <f>NA()</f>
        <v>#N/A</v>
      </c>
      <c r="AO325" s="233" t="e">
        <f>NA()</f>
        <v>#N/A</v>
      </c>
      <c r="AP325" s="233">
        <v>355</v>
      </c>
      <c r="AQ325" s="233">
        <v>550</v>
      </c>
      <c r="AR325" s="233">
        <v>235</v>
      </c>
      <c r="AS325" s="233">
        <v>410</v>
      </c>
      <c r="AT325" s="233">
        <v>550</v>
      </c>
      <c r="AU325" s="233">
        <v>500</v>
      </c>
      <c r="AV325" s="233" t="e">
        <f>NA()</f>
        <v>#N/A</v>
      </c>
      <c r="AW325" s="233" t="e">
        <f>NA()</f>
        <v>#N/A</v>
      </c>
      <c r="AX325" s="233" t="e">
        <f>NA()</f>
        <v>#N/A</v>
      </c>
      <c r="AY325" s="233">
        <v>550</v>
      </c>
      <c r="AZ325" s="233" t="e">
        <f>NA()</f>
        <v>#N/A</v>
      </c>
    </row>
    <row r="326" spans="2:52" ht="15" customHeight="1">
      <c r="V326" t="s">
        <v>923</v>
      </c>
      <c r="AA326" s="50" t="e">
        <f t="shared" ref="AA326:AZ326" si="36">(AA325/$N$15)/$AA$316*100</f>
        <v>#N/A</v>
      </c>
      <c r="AB326" s="50">
        <f t="shared" si="36"/>
        <v>0.20833333333333334</v>
      </c>
      <c r="AC326" s="50" t="e">
        <f t="shared" si="36"/>
        <v>#N/A</v>
      </c>
      <c r="AD326" s="50" t="e">
        <f t="shared" si="36"/>
        <v>#N/A</v>
      </c>
      <c r="AE326" s="50" t="e">
        <f t="shared" si="36"/>
        <v>#N/A</v>
      </c>
      <c r="AF326" s="50" t="e">
        <f t="shared" si="36"/>
        <v>#N/A</v>
      </c>
      <c r="AG326" s="50" t="e">
        <f t="shared" si="36"/>
        <v>#N/A</v>
      </c>
      <c r="AH326" s="50">
        <f t="shared" si="36"/>
        <v>0.1479166666666667</v>
      </c>
      <c r="AI326" s="50" t="e">
        <f t="shared" si="36"/>
        <v>#N/A</v>
      </c>
      <c r="AJ326" s="50" t="e">
        <f t="shared" si="36"/>
        <v>#N/A</v>
      </c>
      <c r="AK326" s="50">
        <f t="shared" si="36"/>
        <v>0.20833333333333334</v>
      </c>
      <c r="AL326" s="50" t="e">
        <f t="shared" si="36"/>
        <v>#N/A</v>
      </c>
      <c r="AM326" s="50">
        <f t="shared" si="36"/>
        <v>0.20833333333333334</v>
      </c>
      <c r="AN326" s="50" t="e">
        <f t="shared" si="36"/>
        <v>#N/A</v>
      </c>
      <c r="AO326" s="50" t="e">
        <f t="shared" si="36"/>
        <v>#N/A</v>
      </c>
      <c r="AP326" s="50">
        <f t="shared" si="36"/>
        <v>0.1479166666666667</v>
      </c>
      <c r="AQ326" s="50">
        <f t="shared" si="36"/>
        <v>0.22916666666666666</v>
      </c>
      <c r="AR326" s="50">
        <f t="shared" si="36"/>
        <v>9.791666666666668E-2</v>
      </c>
      <c r="AS326" s="50">
        <f t="shared" si="36"/>
        <v>0.17083333333333334</v>
      </c>
      <c r="AT326" s="50">
        <f t="shared" si="36"/>
        <v>0.22916666666666666</v>
      </c>
      <c r="AU326" s="50">
        <f t="shared" si="36"/>
        <v>0.20833333333333334</v>
      </c>
      <c r="AV326" s="50" t="e">
        <f t="shared" si="36"/>
        <v>#N/A</v>
      </c>
      <c r="AW326" s="50" t="e">
        <f t="shared" si="36"/>
        <v>#N/A</v>
      </c>
      <c r="AX326" s="50" t="e">
        <f t="shared" si="36"/>
        <v>#N/A</v>
      </c>
      <c r="AY326" s="50">
        <f t="shared" si="36"/>
        <v>0.22916666666666666</v>
      </c>
      <c r="AZ326" s="50" t="e">
        <f t="shared" si="36"/>
        <v>#N/A</v>
      </c>
    </row>
    <row r="327" spans="2:52" ht="15" customHeight="1">
      <c r="V327" t="s">
        <v>924</v>
      </c>
      <c r="AA327" s="52" t="e">
        <f t="shared" ref="AA327:AZ327" si="37">$AA$312*$AA$313/($AA$313+AA326)</f>
        <v>#N/A</v>
      </c>
      <c r="AB327" s="52">
        <f t="shared" si="37"/>
        <v>0.5014925373134328</v>
      </c>
      <c r="AC327" s="52" t="e">
        <f t="shared" si="37"/>
        <v>#N/A</v>
      </c>
      <c r="AD327" s="52" t="e">
        <f t="shared" si="37"/>
        <v>#N/A</v>
      </c>
      <c r="AE327" s="52" t="e">
        <f t="shared" si="37"/>
        <v>#N/A</v>
      </c>
      <c r="AF327" s="52" t="e">
        <f t="shared" si="37"/>
        <v>#N/A</v>
      </c>
      <c r="AG327" s="52" t="e">
        <f t="shared" si="37"/>
        <v>#N/A</v>
      </c>
      <c r="AH327" s="52">
        <f t="shared" si="37"/>
        <v>0.56234309623430956</v>
      </c>
      <c r="AI327" s="52" t="e">
        <f t="shared" si="37"/>
        <v>#N/A</v>
      </c>
      <c r="AJ327" s="52" t="e">
        <f t="shared" si="37"/>
        <v>#N/A</v>
      </c>
      <c r="AK327" s="52">
        <f t="shared" si="37"/>
        <v>0.5014925373134328</v>
      </c>
      <c r="AL327" s="52" t="e">
        <f t="shared" si="37"/>
        <v>#N/A</v>
      </c>
      <c r="AM327" s="52">
        <f t="shared" si="37"/>
        <v>0.5014925373134328</v>
      </c>
      <c r="AN327" s="52" t="e">
        <f t="shared" si="37"/>
        <v>#N/A</v>
      </c>
      <c r="AO327" s="52" t="e">
        <f t="shared" si="37"/>
        <v>#N/A</v>
      </c>
      <c r="AP327" s="52">
        <f t="shared" si="37"/>
        <v>0.56234309623430956</v>
      </c>
      <c r="AQ327" s="52">
        <f t="shared" si="37"/>
        <v>0.48345323741007196</v>
      </c>
      <c r="AR327" s="52">
        <f t="shared" si="37"/>
        <v>0.62511627906976741</v>
      </c>
      <c r="AS327" s="52">
        <f t="shared" si="37"/>
        <v>0.53759999999999997</v>
      </c>
      <c r="AT327" s="52">
        <f t="shared" si="37"/>
        <v>0.48345323741007196</v>
      </c>
      <c r="AU327" s="52">
        <f t="shared" si="37"/>
        <v>0.5014925373134328</v>
      </c>
      <c r="AV327" s="52" t="e">
        <f t="shared" si="37"/>
        <v>#N/A</v>
      </c>
      <c r="AW327" s="52" t="e">
        <f t="shared" si="37"/>
        <v>#N/A</v>
      </c>
      <c r="AX327" s="52" t="e">
        <f t="shared" si="37"/>
        <v>#N/A</v>
      </c>
      <c r="AY327" s="52">
        <f t="shared" si="37"/>
        <v>0.48345323741007196</v>
      </c>
      <c r="AZ327" s="52" t="e">
        <f t="shared" si="37"/>
        <v>#N/A</v>
      </c>
    </row>
    <row r="328" spans="2:52" ht="15" customHeight="1">
      <c r="B328" s="30" t="s">
        <v>925</v>
      </c>
      <c r="O328">
        <f>FCK</f>
        <v>30</v>
      </c>
      <c r="P328" s="49" t="s">
        <v>926</v>
      </c>
      <c r="V328" t="s">
        <v>927</v>
      </c>
      <c r="AA328" s="50" t="e">
        <f t="shared" ref="AA328:AZ328" si="38">$AA$313/AA326</f>
        <v>#N/A</v>
      </c>
      <c r="AB328" s="50">
        <f t="shared" si="38"/>
        <v>1.6799999999999997</v>
      </c>
      <c r="AC328" s="50" t="e">
        <f t="shared" si="38"/>
        <v>#N/A</v>
      </c>
      <c r="AD328" s="50" t="e">
        <f t="shared" si="38"/>
        <v>#N/A</v>
      </c>
      <c r="AE328" s="50" t="e">
        <f t="shared" si="38"/>
        <v>#N/A</v>
      </c>
      <c r="AF328" s="50" t="e">
        <f t="shared" si="38"/>
        <v>#N/A</v>
      </c>
      <c r="AG328" s="50" t="e">
        <f t="shared" si="38"/>
        <v>#N/A</v>
      </c>
      <c r="AH328" s="50">
        <f t="shared" si="38"/>
        <v>2.3661971830985911</v>
      </c>
      <c r="AI328" s="50" t="e">
        <f t="shared" si="38"/>
        <v>#N/A</v>
      </c>
      <c r="AJ328" s="50" t="e">
        <f t="shared" si="38"/>
        <v>#N/A</v>
      </c>
      <c r="AK328" s="50">
        <f>$AA$313/AK326</f>
        <v>1.6799999999999997</v>
      </c>
      <c r="AL328" s="50" t="e">
        <f t="shared" si="38"/>
        <v>#N/A</v>
      </c>
      <c r="AM328" s="50">
        <f t="shared" si="38"/>
        <v>1.6799999999999997</v>
      </c>
      <c r="AN328" s="50" t="e">
        <f t="shared" si="38"/>
        <v>#N/A</v>
      </c>
      <c r="AO328" s="50" t="e">
        <f t="shared" si="38"/>
        <v>#N/A</v>
      </c>
      <c r="AP328" s="50">
        <f t="shared" si="38"/>
        <v>2.3661971830985911</v>
      </c>
      <c r="AQ328" s="50">
        <f t="shared" si="38"/>
        <v>1.5272727272727273</v>
      </c>
      <c r="AR328" s="50">
        <f t="shared" si="38"/>
        <v>3.5744680851063824</v>
      </c>
      <c r="AS328" s="50">
        <f t="shared" si="38"/>
        <v>2.0487804878048781</v>
      </c>
      <c r="AT328" s="50">
        <f t="shared" si="38"/>
        <v>1.5272727272727273</v>
      </c>
      <c r="AU328" s="50">
        <f t="shared" si="38"/>
        <v>1.6799999999999997</v>
      </c>
      <c r="AV328" s="50" t="e">
        <f t="shared" si="38"/>
        <v>#N/A</v>
      </c>
      <c r="AW328" s="50" t="e">
        <f t="shared" si="38"/>
        <v>#N/A</v>
      </c>
      <c r="AX328" s="50" t="e">
        <f t="shared" si="38"/>
        <v>#N/A</v>
      </c>
      <c r="AY328" s="50">
        <f t="shared" si="38"/>
        <v>1.5272727272727273</v>
      </c>
      <c r="AZ328" s="50" t="e">
        <f t="shared" si="38"/>
        <v>#N/A</v>
      </c>
    </row>
    <row r="329" spans="2:52" ht="15" customHeight="1">
      <c r="C329" s="170"/>
      <c r="F329" s="33"/>
      <c r="G329" s="234">
        <v>80</v>
      </c>
      <c r="O329" s="53">
        <f>J330+H330</f>
        <v>9</v>
      </c>
      <c r="P329" s="49" t="s">
        <v>928</v>
      </c>
      <c r="V329" t="s">
        <v>929</v>
      </c>
      <c r="AA329" s="235" t="e">
        <f>NA()</f>
        <v>#N/A</v>
      </c>
      <c r="AB329" s="235">
        <v>0.6</v>
      </c>
      <c r="AC329" s="235" t="e">
        <f>NA()</f>
        <v>#N/A</v>
      </c>
      <c r="AD329" s="235" t="e">
        <f>NA()</f>
        <v>#N/A</v>
      </c>
      <c r="AE329" s="235" t="e">
        <f>NA()</f>
        <v>#N/A</v>
      </c>
      <c r="AF329" s="235" t="e">
        <f>NA()</f>
        <v>#N/A</v>
      </c>
      <c r="AG329" s="235" t="e">
        <f>NA()</f>
        <v>#N/A</v>
      </c>
      <c r="AH329" s="235" t="e">
        <f>NA()</f>
        <v>#N/A</v>
      </c>
      <c r="AI329" s="235" t="e">
        <f>NA()</f>
        <v>#N/A</v>
      </c>
      <c r="AJ329" s="235" t="e">
        <f>NA()</f>
        <v>#N/A</v>
      </c>
      <c r="AK329" s="235">
        <v>0.6</v>
      </c>
      <c r="AL329" s="235" t="e">
        <f>NA()</f>
        <v>#N/A</v>
      </c>
      <c r="AM329" s="235">
        <v>0.8</v>
      </c>
      <c r="AN329" s="235" t="e">
        <f>NA()</f>
        <v>#N/A</v>
      </c>
      <c r="AO329" s="235" t="e">
        <f>NA()</f>
        <v>#N/A</v>
      </c>
      <c r="AP329" s="235">
        <v>0.4</v>
      </c>
      <c r="AQ329" s="235">
        <v>0.6</v>
      </c>
      <c r="AR329" s="235">
        <v>0</v>
      </c>
      <c r="AS329" s="235">
        <v>0.8</v>
      </c>
      <c r="AT329" s="235">
        <v>0.8</v>
      </c>
      <c r="AU329" s="235">
        <v>0.8</v>
      </c>
      <c r="AV329" s="235" t="e">
        <f>NA()</f>
        <v>#N/A</v>
      </c>
      <c r="AW329" s="235" t="e">
        <f>NA()</f>
        <v>#N/A</v>
      </c>
      <c r="AX329" s="235" t="e">
        <f>NA()</f>
        <v>#N/A</v>
      </c>
      <c r="AY329" s="235">
        <v>0.8</v>
      </c>
      <c r="AZ329" s="235" t="e">
        <f>NA()</f>
        <v>#N/A</v>
      </c>
    </row>
    <row r="330" spans="2:52" ht="15" customHeight="1">
      <c r="E330" s="19"/>
      <c r="G330" s="26" t="s">
        <v>930</v>
      </c>
      <c r="H330" s="227">
        <v>1</v>
      </c>
      <c r="I330" s="19" t="s">
        <v>265</v>
      </c>
      <c r="J330" s="227">
        <v>8</v>
      </c>
      <c r="K330" t="s">
        <v>931</v>
      </c>
      <c r="N330" s="186" t="str">
        <f>IF(H330=2,"bundtet/bundet så 'ben' i bøjler ligger ved siden af hinanden"," ")</f>
        <v xml:space="preserve"> </v>
      </c>
      <c r="S330" s="236" t="str">
        <f>IF(H330=2,"..    .."," ")</f>
        <v xml:space="preserve"> </v>
      </c>
      <c r="V330" t="s">
        <v>932</v>
      </c>
      <c r="AA330" s="232" t="e">
        <f>NA()</f>
        <v>#N/A</v>
      </c>
      <c r="AB330" s="232" t="e">
        <f>NA()</f>
        <v>#N/A</v>
      </c>
      <c r="AC330" s="232" t="e">
        <f>NA()</f>
        <v>#N/A</v>
      </c>
      <c r="AD330" s="232" t="e">
        <f>NA()</f>
        <v>#N/A</v>
      </c>
      <c r="AE330" s="232" t="e">
        <f>NA()</f>
        <v>#N/A</v>
      </c>
      <c r="AF330" s="232" t="e">
        <f>NA()</f>
        <v>#N/A</v>
      </c>
      <c r="AG330" s="232" t="e">
        <f>NA()</f>
        <v>#N/A</v>
      </c>
      <c r="AH330" s="232" t="e">
        <f>NA()</f>
        <v>#N/A</v>
      </c>
      <c r="AI330" s="232" t="e">
        <f>NA()</f>
        <v>#N/A</v>
      </c>
      <c r="AJ330" s="232" t="e">
        <f>NA()</f>
        <v>#N/A</v>
      </c>
      <c r="AK330" s="232" t="e">
        <f>NA()</f>
        <v>#N/A</v>
      </c>
      <c r="AL330" s="232" t="e">
        <f>NA()</f>
        <v>#N/A</v>
      </c>
      <c r="AM330" s="232">
        <v>1</v>
      </c>
      <c r="AN330" s="232" t="e">
        <f>NA()</f>
        <v>#N/A</v>
      </c>
      <c r="AO330" s="232" t="e">
        <f>NA()</f>
        <v>#N/A</v>
      </c>
      <c r="AP330" s="232">
        <v>2.9</v>
      </c>
      <c r="AQ330" s="232">
        <v>2.9</v>
      </c>
      <c r="AR330" s="232">
        <v>3</v>
      </c>
      <c r="AS330" s="232" t="e">
        <f>NA()</f>
        <v>#N/A</v>
      </c>
      <c r="AT330" s="232">
        <v>1</v>
      </c>
      <c r="AU330" s="232">
        <v>1</v>
      </c>
      <c r="AV330" s="232" t="e">
        <f>NA()</f>
        <v>#N/A</v>
      </c>
      <c r="AW330" s="232" t="e">
        <f>NA()</f>
        <v>#N/A</v>
      </c>
      <c r="AX330" s="232" t="e">
        <f>NA()</f>
        <v>#N/A</v>
      </c>
      <c r="AY330" s="232">
        <v>1</v>
      </c>
      <c r="AZ330" s="232" t="e">
        <f>NA()</f>
        <v>#N/A</v>
      </c>
    </row>
    <row r="331" spans="2:52" ht="15" customHeight="1">
      <c r="K331" s="26" t="str">
        <f>IF(H330=2,"bundtet armering"," ")</f>
        <v xml:space="preserve"> </v>
      </c>
      <c r="L331" s="237" t="str">
        <f>IF(H330=2,+S330," ")</f>
        <v xml:space="preserve"> </v>
      </c>
      <c r="O331" t="s">
        <v>933</v>
      </c>
      <c r="R331" s="55" t="str">
        <f>IF(T2=0," ","Dansk")</f>
        <v xml:space="preserve"> </v>
      </c>
      <c r="V331" t="s">
        <v>934</v>
      </c>
    </row>
    <row r="332" spans="2:52" ht="15" customHeight="1">
      <c r="F332" s="32"/>
      <c r="G332" s="26" t="s">
        <v>592</v>
      </c>
      <c r="H332" s="72" t="s">
        <v>935</v>
      </c>
      <c r="I332" t="s">
        <v>120</v>
      </c>
      <c r="J332" s="66">
        <f>J316+F318/2+C316+C317+C318-G329</f>
        <v>177</v>
      </c>
      <c r="K332" t="s">
        <v>91</v>
      </c>
      <c r="O332" s="26" t="s">
        <v>936</v>
      </c>
      <c r="P332">
        <v>9</v>
      </c>
      <c r="Q332">
        <v>10</v>
      </c>
      <c r="R332">
        <v>11</v>
      </c>
      <c r="S332">
        <v>12</v>
      </c>
    </row>
    <row r="333" spans="2:52" ht="15" customHeight="1">
      <c r="C333" t="s">
        <v>775</v>
      </c>
      <c r="G333" s="26" t="s">
        <v>768</v>
      </c>
      <c r="H333" s="72" t="s">
        <v>937</v>
      </c>
      <c r="I333" t="s">
        <v>120</v>
      </c>
      <c r="J333" s="74" t="e">
        <f>J314*(J315+J332)/J332</f>
        <v>#N/A</v>
      </c>
      <c r="K333" t="s">
        <v>460</v>
      </c>
      <c r="O333" s="26"/>
      <c r="P333" s="26" t="s">
        <v>938</v>
      </c>
      <c r="Q333" s="26" t="s">
        <v>939</v>
      </c>
      <c r="R333" s="26" t="s">
        <v>940</v>
      </c>
      <c r="S333" s="26" t="s">
        <v>941</v>
      </c>
    </row>
    <row r="334" spans="2:52" ht="15" customHeight="1">
      <c r="C334" s="26"/>
      <c r="E334" t="s">
        <v>937</v>
      </c>
      <c r="F334" s="26" t="s">
        <v>942</v>
      </c>
      <c r="G334" s="26" t="s">
        <v>768</v>
      </c>
      <c r="H334" s="72" t="s">
        <v>943</v>
      </c>
      <c r="I334" t="s">
        <v>120</v>
      </c>
      <c r="J334" s="74" t="e">
        <f>J314*J315/J332</f>
        <v>#N/A</v>
      </c>
      <c r="K334" t="e">
        <f>IF(J334&lt;L334,"&lt;","&gt;")</f>
        <v>#N/A</v>
      </c>
      <c r="L334">
        <f>IF(O328=30,HLOOKUP(O329,P332:S336,3),IF(O328=35,HLOOKUP(O329,P332:S336,4),IF(O328=40,HLOOKUP(O329,P332:S336,5))))</f>
        <v>26</v>
      </c>
      <c r="M334" t="e">
        <f>IF(J334&lt;L334,"accept","forkast")</f>
        <v>#N/A</v>
      </c>
      <c r="N334" s="164" t="e">
        <f>IF(M334="forkast","NB!"," ")</f>
        <v>#N/A</v>
      </c>
      <c r="O334" s="26" t="s">
        <v>944</v>
      </c>
      <c r="P334" s="171">
        <v>26</v>
      </c>
      <c r="Q334" s="171">
        <v>37.5</v>
      </c>
      <c r="R334" s="171">
        <v>32.5</v>
      </c>
      <c r="S334" s="171">
        <v>48.2</v>
      </c>
      <c r="T334" t="s">
        <v>460</v>
      </c>
      <c r="V334" s="238"/>
    </row>
    <row r="335" spans="2:52" ht="15" customHeight="1">
      <c r="C335" s="26" t="s">
        <v>617</v>
      </c>
      <c r="F335" t="s">
        <v>935</v>
      </c>
      <c r="G335" s="26"/>
      <c r="O335" s="26" t="s">
        <v>945</v>
      </c>
      <c r="P335" s="171">
        <v>30.3</v>
      </c>
      <c r="Q335" s="171">
        <v>37.5</v>
      </c>
      <c r="R335" s="171">
        <v>37.9</v>
      </c>
      <c r="S335" s="171">
        <v>56.4</v>
      </c>
      <c r="T335" t="s">
        <v>460</v>
      </c>
    </row>
    <row r="336" spans="2:52" ht="15" customHeight="1">
      <c r="G336" s="26" t="s">
        <v>611</v>
      </c>
      <c r="H336" s="74">
        <f>H323</f>
        <v>118.96164181593352</v>
      </c>
      <c r="J336" t="s">
        <v>460</v>
      </c>
      <c r="K336" t="e">
        <f>IF(H336&lt;L336,"&lt;","&gt;")</f>
        <v>#N/A</v>
      </c>
      <c r="L336" s="74" t="e">
        <f>J333</f>
        <v>#N/A</v>
      </c>
      <c r="M336" t="e">
        <f>IF(H336&gt;L336,"accept","forkast")</f>
        <v>#N/A</v>
      </c>
      <c r="N336" s="164" t="e">
        <f>IF(M336="forkast","NB!"," ")</f>
        <v>#N/A</v>
      </c>
      <c r="O336" s="26" t="s">
        <v>946</v>
      </c>
      <c r="P336" s="171">
        <v>34.6</v>
      </c>
      <c r="Q336" s="171">
        <v>37.5</v>
      </c>
      <c r="R336" s="171">
        <v>43.3</v>
      </c>
      <c r="S336" s="171">
        <v>58.5</v>
      </c>
      <c r="T336" t="s">
        <v>460</v>
      </c>
    </row>
    <row r="337" spans="2:15" ht="15" customHeight="1">
      <c r="C337" s="170"/>
    </row>
    <row r="338" spans="2:15" ht="15" customHeight="1">
      <c r="E338" s="19"/>
      <c r="F338" s="239" t="s">
        <v>602</v>
      </c>
      <c r="G338" s="26" t="s">
        <v>592</v>
      </c>
      <c r="H338" s="72" t="s">
        <v>947</v>
      </c>
      <c r="I338" t="s">
        <v>120</v>
      </c>
      <c r="J338" s="240">
        <f>J332-J316</f>
        <v>85</v>
      </c>
      <c r="K338" t="s">
        <v>91</v>
      </c>
    </row>
    <row r="339" spans="2:15" ht="15" customHeight="1">
      <c r="H339" s="26" t="s">
        <v>948</v>
      </c>
      <c r="I339" t="s">
        <v>120</v>
      </c>
      <c r="J339" s="169">
        <f>IF(Q318=65,75.3,IF(Q318=80,87.9,NA()))</f>
        <v>75.3</v>
      </c>
      <c r="K339" t="s">
        <v>91</v>
      </c>
    </row>
    <row r="340" spans="2:15" ht="15" customHeight="1">
      <c r="F340" s="32"/>
      <c r="H340" s="26" t="s">
        <v>949</v>
      </c>
      <c r="I340" t="s">
        <v>120</v>
      </c>
      <c r="J340" s="169">
        <f>IF(Q318=65,4.5,IF(Q318=80,3.2,NA()))</f>
        <v>4.5</v>
      </c>
      <c r="K340" t="s">
        <v>91</v>
      </c>
    </row>
    <row r="341" spans="2:15" ht="15" customHeight="1">
      <c r="E341" t="s">
        <v>595</v>
      </c>
      <c r="F341" s="161" t="s">
        <v>947</v>
      </c>
      <c r="H341" s="26" t="s">
        <v>950</v>
      </c>
      <c r="I341" t="s">
        <v>120</v>
      </c>
      <c r="J341" s="74">
        <f>J339-2*J340</f>
        <v>66.3</v>
      </c>
      <c r="K341" t="s">
        <v>91</v>
      </c>
    </row>
    <row r="342" spans="2:15" ht="15" customHeight="1">
      <c r="C342" s="26"/>
      <c r="F342" s="26"/>
      <c r="H342" s="26" t="s">
        <v>951</v>
      </c>
      <c r="I342" s="26" t="s">
        <v>69</v>
      </c>
      <c r="J342" s="32">
        <v>195</v>
      </c>
      <c r="K342" t="s">
        <v>1143</v>
      </c>
      <c r="M342" s="19">
        <v>235</v>
      </c>
    </row>
    <row r="343" spans="2:15" ht="15" customHeight="1">
      <c r="D343" t="s">
        <v>952</v>
      </c>
      <c r="H343" s="26" t="s">
        <v>953</v>
      </c>
      <c r="I343" t="s">
        <v>120</v>
      </c>
      <c r="J343" s="53">
        <f>IF(N319="ja",1/6*(J339^3-J341^3),IF(N319="nej",PI()/32*(J339^4-J341^4)/J339,"fejl"))</f>
        <v>16724.691479926005</v>
      </c>
      <c r="K343" t="s">
        <v>424</v>
      </c>
    </row>
    <row r="344" spans="2:15" ht="15" customHeight="1">
      <c r="H344" s="26" t="s">
        <v>954</v>
      </c>
      <c r="I344" t="s">
        <v>120</v>
      </c>
      <c r="J344" s="74" t="e">
        <f>J334*J338/10^3</f>
        <v>#N/A</v>
      </c>
      <c r="K344" t="s">
        <v>147</v>
      </c>
    </row>
    <row r="345" spans="2:15" ht="15" customHeight="1">
      <c r="G345" s="26" t="s">
        <v>955</v>
      </c>
      <c r="H345" s="53" t="e">
        <f>J344*10^6/J343</f>
        <v>#N/A</v>
      </c>
      <c r="J345" t="s">
        <v>36</v>
      </c>
      <c r="K345" t="e">
        <f>IF(H345&lt;L345,"&lt;","&gt;")</f>
        <v>#N/A</v>
      </c>
      <c r="L345" s="53">
        <f>M342/GAMMADORN</f>
        <v>213.63636363636363</v>
      </c>
      <c r="M345" t="e">
        <f>IF(H345&gt;L345,"forkast","accept")</f>
        <v>#N/A</v>
      </c>
      <c r="N345" s="164" t="e">
        <f>IF(M345="forkast","NB!"," ")</f>
        <v>#N/A</v>
      </c>
    </row>
    <row r="346" spans="2:15" ht="15" customHeight="1"/>
    <row r="347" spans="2:15" ht="15" customHeight="1"/>
    <row r="348" spans="2:15" ht="15" customHeight="1"/>
    <row r="349" spans="2:15" ht="15" customHeight="1"/>
    <row r="350" spans="2:15" ht="15" customHeight="1"/>
    <row r="351" spans="2:15" ht="15" customHeight="1"/>
    <row r="352" spans="2:15" ht="15" customHeight="1">
      <c r="B352" t="s">
        <v>666</v>
      </c>
      <c r="N352" s="241" t="s">
        <v>19</v>
      </c>
      <c r="O352" s="183" t="s">
        <v>956</v>
      </c>
    </row>
    <row r="353" spans="2:38" ht="15" customHeight="1">
      <c r="G353" t="e">
        <f>IF(J354&gt;J353,"reaktion","max. reaktion")</f>
        <v>#N/A</v>
      </c>
      <c r="H353" t="s">
        <v>213</v>
      </c>
      <c r="I353" t="s">
        <v>120</v>
      </c>
      <c r="J353" s="74" t="e">
        <f>IF(AND(Y164="fast",Z164="fast"),MAXA(Y165:Z165),IF(Y164="fast",Y165,IF(Z164="fast",Z165,NA())))</f>
        <v>#N/A</v>
      </c>
      <c r="K353" t="s">
        <v>460</v>
      </c>
      <c r="O353" s="183" t="s">
        <v>957</v>
      </c>
    </row>
    <row r="354" spans="2:38" ht="15" customHeight="1">
      <c r="E354" t="s">
        <v>958</v>
      </c>
      <c r="G354" t="e">
        <f>IF(J354&gt;J353,"max. reaktion","samtidig reaktion")</f>
        <v>#N/A</v>
      </c>
      <c r="H354" t="s">
        <v>171</v>
      </c>
      <c r="I354" t="s">
        <v>120</v>
      </c>
      <c r="J354" s="74" t="e">
        <f>IF(J353=Y165,MAX(Y169:Y170),IF(J353=Z165,MAX(Z169:Z170),NA()))</f>
        <v>#N/A</v>
      </c>
      <c r="K354" t="s">
        <v>460</v>
      </c>
      <c r="M354" s="124"/>
    </row>
    <row r="355" spans="2:38" ht="15" customHeight="1">
      <c r="C355" s="26" t="s">
        <v>84</v>
      </c>
      <c r="G355" t="s">
        <v>587</v>
      </c>
      <c r="H355" t="s">
        <v>171</v>
      </c>
      <c r="I355" t="s">
        <v>120</v>
      </c>
      <c r="J355" s="74" t="e">
        <f>IF(AND($Y$164="fast",$Z$164="fast"),MINA($Y$168:$Z$168),IF($Y$164="fast",$Y$168,IF($Z$164="fast",$Z$168,NA())))</f>
        <v>#N/A</v>
      </c>
      <c r="K355" t="s">
        <v>460</v>
      </c>
      <c r="M355" s="124" t="e">
        <f>IF(J355&lt;0,"NB! Negativ"," ")</f>
        <v>#N/A</v>
      </c>
    </row>
    <row r="356" spans="2:38" ht="15" customHeight="1">
      <c r="G356" t="s">
        <v>550</v>
      </c>
      <c r="H356" t="s">
        <v>195</v>
      </c>
      <c r="I356" t="s">
        <v>120</v>
      </c>
      <c r="J356" s="65" t="e">
        <f>NA()</f>
        <v>#N/A</v>
      </c>
      <c r="K356" t="s">
        <v>91</v>
      </c>
    </row>
    <row r="357" spans="2:38" ht="15" customHeight="1">
      <c r="B357" s="26" t="s">
        <v>195</v>
      </c>
      <c r="D357" t="s">
        <v>959</v>
      </c>
      <c r="F357" t="s">
        <v>172</v>
      </c>
      <c r="G357" t="s">
        <v>960</v>
      </c>
      <c r="I357" t="s">
        <v>120</v>
      </c>
      <c r="J357" s="65" t="e">
        <f>NA()</f>
        <v>#N/A</v>
      </c>
      <c r="K357" t="s">
        <v>91</v>
      </c>
    </row>
    <row r="358" spans="2:38" ht="15" customHeight="1">
      <c r="G358" t="s">
        <v>552</v>
      </c>
      <c r="H358" t="s">
        <v>553</v>
      </c>
      <c r="I358" t="s">
        <v>120</v>
      </c>
      <c r="J358" s="65" t="e">
        <f>NA()</f>
        <v>#N/A</v>
      </c>
      <c r="K358" t="s">
        <v>91</v>
      </c>
    </row>
    <row r="359" spans="2:38" ht="15" customHeight="1">
      <c r="G359" t="s">
        <v>961</v>
      </c>
      <c r="H359" s="65" t="e">
        <f>NA()</f>
        <v>#N/A</v>
      </c>
      <c r="I359" s="113" t="s">
        <v>265</v>
      </c>
      <c r="J359" s="65" t="e">
        <f>NA()</f>
        <v>#N/A</v>
      </c>
      <c r="K359" t="s">
        <v>266</v>
      </c>
    </row>
    <row r="360" spans="2:38" ht="15" customHeight="1">
      <c r="H360" t="s">
        <v>504</v>
      </c>
      <c r="I360" t="s">
        <v>120</v>
      </c>
      <c r="J360" s="53">
        <f>P360</f>
        <v>500</v>
      </c>
      <c r="K360" t="s">
        <v>36</v>
      </c>
      <c r="O360">
        <f>CODE(I359)</f>
        <v>75</v>
      </c>
      <c r="P360">
        <f>HLOOKUP(O360,AA320:AZ330,6)</f>
        <v>500</v>
      </c>
      <c r="W360" t="s">
        <v>962</v>
      </c>
      <c r="AF360" t="s">
        <v>963</v>
      </c>
    </row>
    <row r="361" spans="2:38" ht="15" customHeight="1">
      <c r="C361" s="19" t="e">
        <f>IF(J354&gt;J353,"R1","R2")</f>
        <v>#N/A</v>
      </c>
      <c r="H361" t="s">
        <v>286</v>
      </c>
      <c r="I361" t="s">
        <v>120</v>
      </c>
      <c r="J361" s="53">
        <f>J360/N15</f>
        <v>416.66666666666669</v>
      </c>
      <c r="K361" t="s">
        <v>36</v>
      </c>
      <c r="W361" s="26" t="s">
        <v>773</v>
      </c>
      <c r="X361" s="74">
        <f>J26</f>
        <v>21.428571428571431</v>
      </c>
      <c r="Y361" t="s">
        <v>36</v>
      </c>
      <c r="Z361" s="113">
        <v>2.1</v>
      </c>
      <c r="AA361" t="s">
        <v>774</v>
      </c>
      <c r="AF361" s="26" t="s">
        <v>773</v>
      </c>
      <c r="AG361" s="74">
        <f>J26</f>
        <v>21.428571428571431</v>
      </c>
      <c r="AH361" t="s">
        <v>36</v>
      </c>
      <c r="AI361" s="113">
        <v>2.1</v>
      </c>
      <c r="AJ361" t="s">
        <v>774</v>
      </c>
    </row>
    <row r="362" spans="2:38" ht="15" customHeight="1">
      <c r="D362" s="19" t="s">
        <v>553</v>
      </c>
      <c r="H362" s="26" t="s">
        <v>964</v>
      </c>
      <c r="I362" s="113" t="s">
        <v>265</v>
      </c>
      <c r="J362" s="33" t="e">
        <f>NA()</f>
        <v>#N/A</v>
      </c>
      <c r="K362" t="s">
        <v>885</v>
      </c>
      <c r="L362" t="e">
        <f>"red.fyd= "&amp;FIXED(N362,0,TRUE)&amp;" N/mm2"</f>
        <v>#N/A</v>
      </c>
      <c r="N362" s="95" t="e">
        <f>AD371</f>
        <v>#N/A</v>
      </c>
      <c r="W362" s="26" t="s">
        <v>778</v>
      </c>
      <c r="X362">
        <f>N15</f>
        <v>1.2</v>
      </c>
      <c r="Y362" t="s">
        <v>779</v>
      </c>
      <c r="AF362" s="26" t="s">
        <v>778</v>
      </c>
      <c r="AG362">
        <f>N15</f>
        <v>1.2</v>
      </c>
      <c r="AH362" t="s">
        <v>779</v>
      </c>
    </row>
    <row r="363" spans="2:38" ht="15" customHeight="1">
      <c r="H363" t="s">
        <v>965</v>
      </c>
      <c r="I363" s="30" t="s">
        <v>120</v>
      </c>
      <c r="J363" s="66" t="e">
        <f>H359*J359^2/4*PI()</f>
        <v>#N/A</v>
      </c>
      <c r="K363" t="s">
        <v>114</v>
      </c>
      <c r="N363" s="164" t="e">
        <f>IF(J369&gt;J363,"for lille"," ")</f>
        <v>#N/A</v>
      </c>
      <c r="O363">
        <f>CODE(I365)</f>
        <v>75</v>
      </c>
      <c r="P363">
        <f>HLOOKUP(O363,AA320:AZ330,6)</f>
        <v>500</v>
      </c>
      <c r="Q363" t="s">
        <v>228</v>
      </c>
      <c r="W363" s="26" t="s">
        <v>780</v>
      </c>
      <c r="X363" s="26" t="str">
        <f>I359</f>
        <v>K</v>
      </c>
      <c r="Y363" s="26" t="e">
        <f>J359</f>
        <v>#N/A</v>
      </c>
      <c r="Z363" t="s">
        <v>781</v>
      </c>
      <c r="AA363" s="26">
        <f>CODE(X363)</f>
        <v>75</v>
      </c>
      <c r="AB363">
        <f>HLOOKUP(AA363,AA320:AZ330,6)</f>
        <v>500</v>
      </c>
      <c r="AC363" t="s">
        <v>782</v>
      </c>
      <c r="AF363" s="26" t="s">
        <v>780</v>
      </c>
      <c r="AG363" s="26" t="str">
        <f>I365</f>
        <v>K</v>
      </c>
      <c r="AH363" s="26" t="e">
        <f>J365</f>
        <v>#N/A</v>
      </c>
      <c r="AI363" t="s">
        <v>781</v>
      </c>
      <c r="AJ363" s="26">
        <f>CODE(AG363)</f>
        <v>75</v>
      </c>
      <c r="AK363">
        <f>HLOOKUP(AJ363,AA320:AZ330,6)</f>
        <v>500</v>
      </c>
      <c r="AL363" t="s">
        <v>782</v>
      </c>
    </row>
    <row r="364" spans="2:38" ht="15" customHeight="1">
      <c r="G364" t="s">
        <v>569</v>
      </c>
      <c r="H364" s="53" t="e">
        <f>L372*10^3/J363</f>
        <v>#N/A</v>
      </c>
      <c r="I364" s="30"/>
      <c r="J364" s="30" t="s">
        <v>36</v>
      </c>
      <c r="K364" t="e">
        <f>IF(H364&gt;L364,"&gt;","&lt;")</f>
        <v>#N/A</v>
      </c>
      <c r="L364" s="53" t="e">
        <f>N362</f>
        <v>#N/A</v>
      </c>
      <c r="M364" t="e">
        <f>IF(H364&gt;L364,"forkast","accept")</f>
        <v>#N/A</v>
      </c>
      <c r="N364" s="164" t="e">
        <f>IF(M364="forkast","NB!"," ")</f>
        <v>#N/A</v>
      </c>
      <c r="O364" s="52" t="e">
        <f>IF(P364&lt;O365,0,IF(P364&lt;Q365,+P364,0.5*P364*P366*(-1+SQRT(1+4*$AA$312/(P364*P366)))))</f>
        <v>#N/A</v>
      </c>
      <c r="P364" s="52" t="e">
        <f>J369*N368/(J357*J356*J26)</f>
        <v>#N/A</v>
      </c>
      <c r="Q364" t="s">
        <v>237</v>
      </c>
      <c r="X364" s="26" t="s">
        <v>784</v>
      </c>
      <c r="Y364" s="53">
        <f>AB363/X362</f>
        <v>416.66666666666669</v>
      </c>
      <c r="Z364" t="s">
        <v>36</v>
      </c>
      <c r="AG364" s="26" t="s">
        <v>784</v>
      </c>
      <c r="AH364" s="53">
        <f>AK363/AG362</f>
        <v>416.66666666666669</v>
      </c>
      <c r="AI364" t="s">
        <v>36</v>
      </c>
    </row>
    <row r="365" spans="2:38" ht="15" customHeight="1">
      <c r="G365" t="s">
        <v>966</v>
      </c>
      <c r="H365" s="65" t="e">
        <f>H359</f>
        <v>#N/A</v>
      </c>
      <c r="I365" s="113" t="s">
        <v>265</v>
      </c>
      <c r="J365" s="65" t="e">
        <f>J359</f>
        <v>#N/A</v>
      </c>
      <c r="K365" t="s">
        <v>266</v>
      </c>
      <c r="O365" s="52">
        <f>MAXA(U365:U366)</f>
        <v>2.9286511333037436E-2</v>
      </c>
      <c r="P365" s="52">
        <f>HLOOKUP(O363,AA320:AZ330,5)</f>
        <v>4.9882794186591653E-2</v>
      </c>
      <c r="Q365" s="52">
        <f>HLOOKUP(O363,AA320:AZ330,8)</f>
        <v>0.5014925373134328</v>
      </c>
      <c r="R365" t="s">
        <v>244</v>
      </c>
      <c r="U365" s="52">
        <f>0.26*$J$27/J366*J367/$J$26</f>
        <v>2.9286511333037436E-2</v>
      </c>
      <c r="X365" s="26" t="s">
        <v>786</v>
      </c>
      <c r="Y365" s="113" t="e">
        <f>4*Y363</f>
        <v>#N/A</v>
      </c>
      <c r="Z365" t="s">
        <v>91</v>
      </c>
      <c r="AG365" s="26" t="s">
        <v>786</v>
      </c>
      <c r="AH365" s="113" t="e">
        <f>4*AH363</f>
        <v>#N/A</v>
      </c>
      <c r="AI365" t="s">
        <v>91</v>
      </c>
    </row>
    <row r="366" spans="2:38" ht="15" customHeight="1">
      <c r="H366" t="s">
        <v>504</v>
      </c>
      <c r="I366" t="s">
        <v>120</v>
      </c>
      <c r="J366" s="53">
        <f>P363</f>
        <v>500</v>
      </c>
      <c r="K366" t="s">
        <v>36</v>
      </c>
      <c r="P366" s="52">
        <f>HLOOKUP(O363,AA320:AZ330,9)</f>
        <v>1.6799999999999997</v>
      </c>
      <c r="Q366" t="s">
        <v>251</v>
      </c>
      <c r="U366" s="52">
        <f>0.0013*J367/$J$26</f>
        <v>2.5277777777777774E-2</v>
      </c>
      <c r="W366" s="26" t="s">
        <v>787</v>
      </c>
      <c r="X366" s="26" t="str">
        <f>I362</f>
        <v>K</v>
      </c>
      <c r="Y366" s="26" t="e">
        <f>J362</f>
        <v>#N/A</v>
      </c>
      <c r="Z366" t="s">
        <v>781</v>
      </c>
      <c r="AA366" s="26">
        <f>CODE(X366)</f>
        <v>75</v>
      </c>
      <c r="AB366">
        <f>HLOOKUP(AA366,AA320:AZ330,6)</f>
        <v>500</v>
      </c>
      <c r="AC366" t="s">
        <v>782</v>
      </c>
      <c r="AF366" s="26" t="s">
        <v>787</v>
      </c>
      <c r="AG366" s="26" t="str">
        <f>I368</f>
        <v>K</v>
      </c>
      <c r="AH366" s="26" t="e">
        <f>J368</f>
        <v>#N/A</v>
      </c>
      <c r="AI366" t="s">
        <v>781</v>
      </c>
      <c r="AJ366" s="26">
        <f>CODE(AG366)</f>
        <v>75</v>
      </c>
      <c r="AK366">
        <f>HLOOKUP(AJ366,AA320:AZ330,6)</f>
        <v>500</v>
      </c>
      <c r="AL366" t="s">
        <v>782</v>
      </c>
    </row>
    <row r="367" spans="2:38" ht="15" customHeight="1">
      <c r="H367" t="s">
        <v>286</v>
      </c>
      <c r="I367" t="s">
        <v>120</v>
      </c>
      <c r="J367" s="53">
        <f>J366/N15</f>
        <v>416.66666666666669</v>
      </c>
      <c r="K367" t="s">
        <v>36</v>
      </c>
      <c r="O367" s="52"/>
      <c r="X367" s="26" t="s">
        <v>784</v>
      </c>
      <c r="Y367" s="53">
        <f>AB366/X362</f>
        <v>416.66666666666669</v>
      </c>
      <c r="Z367" t="s">
        <v>36</v>
      </c>
      <c r="AG367" s="26" t="s">
        <v>784</v>
      </c>
      <c r="AH367" s="53">
        <f>AK366/AG362</f>
        <v>416.66666666666669</v>
      </c>
      <c r="AI367" t="s">
        <v>36</v>
      </c>
    </row>
    <row r="368" spans="2:38" ht="15" customHeight="1">
      <c r="H368" s="26" t="s">
        <v>967</v>
      </c>
      <c r="I368" t="str">
        <f>I362</f>
        <v>K</v>
      </c>
      <c r="J368" s="33" t="e">
        <f>NA()</f>
        <v>#N/A</v>
      </c>
      <c r="K368" t="s">
        <v>885</v>
      </c>
      <c r="L368" t="e">
        <f>"red.fyd= "&amp;FIXED(N368,0,TRUE)&amp;" N/mm2"</f>
        <v>#N/A</v>
      </c>
      <c r="N368" s="95" t="e">
        <f>AM371</f>
        <v>#N/A</v>
      </c>
      <c r="X368" s="26" t="s">
        <v>790</v>
      </c>
      <c r="Y368" s="53" t="e">
        <f>Y366^3/6</f>
        <v>#N/A</v>
      </c>
      <c r="Z368" t="s">
        <v>114</v>
      </c>
      <c r="AG368" s="26" t="s">
        <v>790</v>
      </c>
      <c r="AH368" s="53" t="e">
        <f>AH366^3/6</f>
        <v>#N/A</v>
      </c>
      <c r="AI368" t="s">
        <v>114</v>
      </c>
    </row>
    <row r="369" spans="2:39" ht="15" customHeight="1">
      <c r="H369" t="s">
        <v>968</v>
      </c>
      <c r="I369" t="s">
        <v>120</v>
      </c>
      <c r="J369" s="53" t="e">
        <f>H365*J365^2/4*PI()</f>
        <v>#N/A</v>
      </c>
      <c r="K369" t="s">
        <v>559</v>
      </c>
      <c r="O369" s="52"/>
      <c r="W369" s="26" t="s">
        <v>791</v>
      </c>
      <c r="X369" s="74" t="e">
        <f>SQRT(Y367*Y368/(0.5*Y366*Z361*X361))*2</f>
        <v>#N/A</v>
      </c>
      <c r="Y369" t="s">
        <v>792</v>
      </c>
      <c r="Z369" s="53" t="e">
        <f>X369/2*Z361*X361*Y366</f>
        <v>#N/A</v>
      </c>
      <c r="AA369" t="s">
        <v>793</v>
      </c>
      <c r="AC369" s="53" t="e">
        <f>3*Z369^2/(4*Y366*Y367)</f>
        <v>#N/A</v>
      </c>
      <c r="AD369" t="s">
        <v>794</v>
      </c>
      <c r="AF369" s="26" t="s">
        <v>791</v>
      </c>
      <c r="AG369" s="74" t="e">
        <f>SQRT(AH367*AH368/(0.5*AH366*AI361*AG361))*2</f>
        <v>#N/A</v>
      </c>
      <c r="AH369" t="s">
        <v>792</v>
      </c>
      <c r="AI369" s="53" t="e">
        <f>AG369/2*AI361*AG361*AH366</f>
        <v>#N/A</v>
      </c>
      <c r="AJ369" t="s">
        <v>793</v>
      </c>
      <c r="AL369" s="53" t="e">
        <f>3*AI369^2/(4*AH366*AH367)</f>
        <v>#N/A</v>
      </c>
      <c r="AM369" t="s">
        <v>794</v>
      </c>
    </row>
    <row r="370" spans="2:39" ht="15" customHeight="1">
      <c r="G370" t="s">
        <v>789</v>
      </c>
      <c r="I370" t="s">
        <v>120</v>
      </c>
      <c r="J370" s="74" t="e">
        <f>J26*COS(ATAN(0.8*J356/J358))</f>
        <v>#N/A</v>
      </c>
      <c r="K370" t="s">
        <v>36</v>
      </c>
      <c r="O370" s="85"/>
      <c r="P370" s="52"/>
      <c r="W370" s="26" t="s">
        <v>795</v>
      </c>
      <c r="X370" t="e">
        <f>0.5*Z361*X361*Y366*(X369/2)^2</f>
        <v>#N/A</v>
      </c>
      <c r="Y370" t="s">
        <v>796</v>
      </c>
      <c r="AA370" s="53"/>
      <c r="AF370" s="26" t="s">
        <v>795</v>
      </c>
      <c r="AG370" t="e">
        <f>0.5*AI361*AG361*AH366*(AG369/2)^2</f>
        <v>#N/A</v>
      </c>
      <c r="AH370" t="s">
        <v>796</v>
      </c>
      <c r="AJ370" s="53"/>
    </row>
    <row r="371" spans="2:39" ht="15" customHeight="1">
      <c r="G371" t="s">
        <v>561</v>
      </c>
      <c r="H371" s="74" t="e">
        <f>(1-0.5*O364)*O364*J357*J356^2*J370*10^-6</f>
        <v>#N/A</v>
      </c>
      <c r="J371" t="s">
        <v>147</v>
      </c>
      <c r="K371" t="e">
        <f>IF(H371&gt;L371,"&gt;","&lt;")</f>
        <v>#N/A</v>
      </c>
      <c r="L371" s="74" t="e">
        <f>L372*(J358+0.9*J356)*10^-3</f>
        <v>#N/A</v>
      </c>
      <c r="M371" t="e">
        <f>IF(H371&gt;L371,"accept","forkast")</f>
        <v>#N/A</v>
      </c>
      <c r="N371" s="164" t="e">
        <f>IF(M371="forkast","NB!"," ")</f>
        <v>#N/A</v>
      </c>
      <c r="O371">
        <f>CODE(I373)</f>
        <v>75</v>
      </c>
      <c r="P371">
        <f>HLOOKUP(O371,AA320:AZ330,6)</f>
        <v>500</v>
      </c>
      <c r="W371" s="26" t="s">
        <v>799</v>
      </c>
      <c r="X371" s="53" t="e">
        <f>(Y365*Y363+(X369-Y363)*Y366)*Z361*X361*COS(PI()/4)*X370/(X370+AC369)</f>
        <v>#N/A</v>
      </c>
      <c r="Y371" t="s">
        <v>56</v>
      </c>
      <c r="Z371" t="e">
        <f>IF(X371&gt;AA371,"&gt;Tflyd=","&lt;Tflyd")</f>
        <v>#N/A</v>
      </c>
      <c r="AA371" s="53" t="e">
        <f>Y363^2/4*PI()*Y364</f>
        <v>#N/A</v>
      </c>
      <c r="AB371" t="s">
        <v>56</v>
      </c>
      <c r="AC371" s="53" t="s">
        <v>800</v>
      </c>
      <c r="AD371" s="53" t="e">
        <f>IF(X371&gt;AA371,+Y364,+Y364*X371/AA371)</f>
        <v>#N/A</v>
      </c>
      <c r="AF371" s="26" t="s">
        <v>799</v>
      </c>
      <c r="AG371" s="53" t="e">
        <f>(AH365*AH363+(AG369-AH363)*AH366)*AI361*AG361*COS(PI()/4)*AG370/(AG370+AL369)</f>
        <v>#N/A</v>
      </c>
      <c r="AH371" t="s">
        <v>56</v>
      </c>
      <c r="AI371" t="e">
        <f>IF(AG371&gt;AJ371,"&gt;Tflyd=","&lt;Tflyd")</f>
        <v>#N/A</v>
      </c>
      <c r="AJ371" s="53" t="e">
        <f>AH363^2/4*PI()*AH364</f>
        <v>#N/A</v>
      </c>
      <c r="AK371" t="s">
        <v>56</v>
      </c>
      <c r="AL371" s="53" t="s">
        <v>800</v>
      </c>
      <c r="AM371" s="53" t="e">
        <f>IF(AG371&gt;AJ371,+AH364,+AH364*AG371/AJ371)</f>
        <v>#N/A</v>
      </c>
    </row>
    <row r="372" spans="2:39" ht="15" customHeight="1">
      <c r="G372" t="s">
        <v>564</v>
      </c>
      <c r="H372" s="74" t="e">
        <f>MAXA(V175:V176)</f>
        <v>#N/A</v>
      </c>
      <c r="J372" t="s">
        <v>460</v>
      </c>
      <c r="K372" t="e">
        <f>IF(H372&gt;L372,"&gt;","&lt;")</f>
        <v>#N/A</v>
      </c>
      <c r="L372" s="74" t="e">
        <f>MAXA(J353:J354)</f>
        <v>#N/A</v>
      </c>
      <c r="M372" t="e">
        <f>IF(H372&gt;L372,"accept","=&gt; vælger")</f>
        <v>#N/A</v>
      </c>
      <c r="N372" s="164" t="e">
        <f>IF(M372="=&gt; vælger","Bøjler!"," ")</f>
        <v>#N/A</v>
      </c>
    </row>
    <row r="373" spans="2:39" ht="15" customHeight="1">
      <c r="G373" s="113">
        <v>2</v>
      </c>
      <c r="H373" s="30" t="s">
        <v>500</v>
      </c>
      <c r="I373" s="113" t="s">
        <v>265</v>
      </c>
      <c r="J373" s="65">
        <v>0</v>
      </c>
      <c r="K373" t="s">
        <v>501</v>
      </c>
      <c r="T373" s="32"/>
    </row>
    <row r="374" spans="2:39" ht="15" customHeight="1">
      <c r="G374" s="30" t="s">
        <v>556</v>
      </c>
      <c r="H374" s="30"/>
      <c r="I374" s="30"/>
      <c r="J374" s="65" t="e">
        <f>TRUNC(0.75*J356/10)*10</f>
        <v>#N/A</v>
      </c>
      <c r="K374" t="e">
        <f>IF(J374&gt;0.75*J356,"NB! for stor!","mm")</f>
        <v>#N/A</v>
      </c>
      <c r="N374" s="164" t="e">
        <f>IF(K374="NB! for stor!","NB!"," ")</f>
        <v>#N/A</v>
      </c>
      <c r="T374" s="32"/>
    </row>
    <row r="375" spans="2:39" ht="15" customHeight="1">
      <c r="H375" t="s">
        <v>504</v>
      </c>
      <c r="I375" t="s">
        <v>120</v>
      </c>
      <c r="J375" s="53">
        <f>P371</f>
        <v>500</v>
      </c>
      <c r="K375" t="s">
        <v>36</v>
      </c>
      <c r="T375" s="19"/>
      <c r="U375" s="19"/>
      <c r="V375" s="53"/>
    </row>
    <row r="376" spans="2:39" ht="15" customHeight="1">
      <c r="H376" t="s">
        <v>507</v>
      </c>
      <c r="I376" t="s">
        <v>120</v>
      </c>
      <c r="J376" s="53">
        <f>J375/N15</f>
        <v>416.66666666666669</v>
      </c>
      <c r="K376" t="s">
        <v>36</v>
      </c>
      <c r="T376" s="50"/>
      <c r="U376" s="74"/>
      <c r="V376" s="53"/>
    </row>
    <row r="377" spans="2:39" ht="15" customHeight="1">
      <c r="G377" s="26" t="s">
        <v>508</v>
      </c>
      <c r="H377" s="74" t="e">
        <f>G373*J373^2/4*PI()*J376/J374*0.9*J356*10^-3</f>
        <v>#N/A</v>
      </c>
      <c r="I377" t="e">
        <f>IF(H377&gt;J377,"&gt;","&lt;")</f>
        <v>#N/A</v>
      </c>
      <c r="J377" s="74" t="e">
        <f>L372</f>
        <v>#N/A</v>
      </c>
      <c r="K377" t="s">
        <v>460</v>
      </c>
      <c r="M377" t="e">
        <f>IF(M372="accept"," ",IF(H377&gt;J377,"accept","forkast"))</f>
        <v>#N/A</v>
      </c>
      <c r="N377" s="164" t="e">
        <f>IF(M377="forkast","NB!"," ")</f>
        <v>#N/A</v>
      </c>
      <c r="T377" s="50"/>
      <c r="U377" s="74"/>
      <c r="V377" s="53"/>
    </row>
    <row r="378" spans="2:39" ht="15" customHeight="1"/>
    <row r="379" spans="2:39" ht="15" customHeight="1">
      <c r="Y379" s="347" t="s">
        <v>699</v>
      </c>
      <c r="Z379" s="3"/>
      <c r="AA379" s="3"/>
      <c r="AB379" s="3" t="s">
        <v>700</v>
      </c>
      <c r="AC379" s="3"/>
      <c r="AD379" s="9" t="s">
        <v>969</v>
      </c>
    </row>
    <row r="380" spans="2:39" ht="15" customHeight="1">
      <c r="B380" t="s">
        <v>666</v>
      </c>
      <c r="N380" s="182" t="s">
        <v>19</v>
      </c>
      <c r="O380" s="183" t="s">
        <v>970</v>
      </c>
      <c r="T380" s="32" t="s">
        <v>479</v>
      </c>
      <c r="Y380" s="27" t="s">
        <v>706</v>
      </c>
      <c r="AA380" t="s">
        <v>707</v>
      </c>
      <c r="AB380" t="e">
        <f>J386</f>
        <v>#N/A</v>
      </c>
      <c r="AC380" t="s">
        <v>91</v>
      </c>
      <c r="AD380" s="29" t="e">
        <f>J28</f>
        <v>#N/A</v>
      </c>
    </row>
    <row r="381" spans="2:39" ht="15" customHeight="1">
      <c r="G381" t="s">
        <v>898</v>
      </c>
      <c r="H381" t="e">
        <f>IF(J354&gt;J353,+H354,+H353)</f>
        <v>#N/A</v>
      </c>
      <c r="I381" t="s">
        <v>120</v>
      </c>
      <c r="J381" s="74" t="e">
        <f>IF(J354&gt;J353,+J354,+J353)</f>
        <v>#N/A</v>
      </c>
      <c r="K381" t="s">
        <v>671</v>
      </c>
      <c r="O381" s="183" t="s">
        <v>957</v>
      </c>
      <c r="T381" s="32" t="str">
        <f>B380</f>
        <v>FAST VEDERLAG</v>
      </c>
      <c r="Y381" s="27"/>
      <c r="AD381" s="29"/>
    </row>
    <row r="382" spans="2:39" ht="15" customHeight="1">
      <c r="G382" t="s">
        <v>550</v>
      </c>
      <c r="H382" t="s">
        <v>195</v>
      </c>
      <c r="I382" t="s">
        <v>120</v>
      </c>
      <c r="J382" s="65" t="e">
        <f>NA()</f>
        <v>#N/A</v>
      </c>
      <c r="K382" t="s">
        <v>91</v>
      </c>
      <c r="T382" s="19" t="s">
        <v>486</v>
      </c>
      <c r="U382" s="19" t="s">
        <v>487</v>
      </c>
      <c r="V382" s="53">
        <v>0</v>
      </c>
      <c r="W382" t="s">
        <v>488</v>
      </c>
      <c r="Y382" s="27" t="s">
        <v>710</v>
      </c>
      <c r="AA382" t="s">
        <v>286</v>
      </c>
      <c r="AB382" s="53">
        <f>J389</f>
        <v>416.66666666666669</v>
      </c>
      <c r="AC382" t="s">
        <v>36</v>
      </c>
      <c r="AD382" s="353">
        <f>AB382</f>
        <v>416.66666666666669</v>
      </c>
    </row>
    <row r="383" spans="2:39" ht="15" customHeight="1">
      <c r="G383" t="s">
        <v>676</v>
      </c>
      <c r="H383" t="s">
        <v>227</v>
      </c>
      <c r="I383" t="s">
        <v>120</v>
      </c>
      <c r="J383" s="65" t="e">
        <f>NA()</f>
        <v>#N/A</v>
      </c>
      <c r="K383" t="s">
        <v>91</v>
      </c>
      <c r="T383" s="50" t="e">
        <f>1+SQRT(200/V384)</f>
        <v>#N/A</v>
      </c>
      <c r="U383" s="74" t="e">
        <f>(0.18/$N$13*T384*(100*V382/(V383*V384)*$J$25)^(1/3))*V383*V384*10^-3</f>
        <v>#N/A</v>
      </c>
      <c r="V383" s="53" t="e">
        <f>J383</f>
        <v>#N/A</v>
      </c>
      <c r="W383" t="s">
        <v>492</v>
      </c>
      <c r="Y383" s="27" t="s">
        <v>712</v>
      </c>
      <c r="AA383" t="s">
        <v>713</v>
      </c>
      <c r="AB383" s="50">
        <f>J27*0.7</f>
        <v>2.0275277076718221</v>
      </c>
      <c r="AC383" t="s">
        <v>36</v>
      </c>
      <c r="AD383" s="354">
        <f>AB383</f>
        <v>2.0275277076718221</v>
      </c>
    </row>
    <row r="384" spans="2:39" ht="15" customHeight="1">
      <c r="G384" t="s">
        <v>242</v>
      </c>
      <c r="H384" t="s">
        <v>243</v>
      </c>
      <c r="I384" t="s">
        <v>120</v>
      </c>
      <c r="J384" s="53">
        <f>J25</f>
        <v>30</v>
      </c>
      <c r="K384" t="s">
        <v>36</v>
      </c>
      <c r="T384" s="50" t="e">
        <f>IF(T383&gt;2,2,T383)</f>
        <v>#N/A</v>
      </c>
      <c r="U384" s="74" t="e">
        <f>(0.035*T384^(3/2)*SQRT($J$25)*V383*V384)*10^-3</f>
        <v>#N/A</v>
      </c>
      <c r="V384" s="53" t="e">
        <f>J382</f>
        <v>#N/A</v>
      </c>
      <c r="W384" t="s">
        <v>495</v>
      </c>
      <c r="Y384" s="27" t="s">
        <v>714</v>
      </c>
      <c r="AB384" s="50">
        <f>N14</f>
        <v>1.6</v>
      </c>
      <c r="AD384" s="354">
        <f>AB384</f>
        <v>1.6</v>
      </c>
    </row>
    <row r="385" spans="1:30" ht="15" customHeight="1">
      <c r="H385" t="s">
        <v>250</v>
      </c>
      <c r="I385" t="s">
        <v>120</v>
      </c>
      <c r="J385" s="74">
        <f>J384/N13</f>
        <v>21.428571428571431</v>
      </c>
      <c r="K385" t="s">
        <v>36</v>
      </c>
      <c r="Y385" s="27" t="s">
        <v>712</v>
      </c>
      <c r="AA385" t="s">
        <v>715</v>
      </c>
      <c r="AB385" s="50">
        <f>R14*AB383/AB384</f>
        <v>1.2672048172948887</v>
      </c>
      <c r="AC385" t="s">
        <v>36</v>
      </c>
      <c r="AD385" s="354">
        <f>AD383/AD384</f>
        <v>1.2672048172948887</v>
      </c>
    </row>
    <row r="386" spans="1:30" ht="15" customHeight="1">
      <c r="G386" t="s">
        <v>264</v>
      </c>
      <c r="H386" s="65" t="e">
        <f>IF(J28=J29,TRUNC(H28/J23*J383),+H29)</f>
        <v>#N/A</v>
      </c>
      <c r="I386" s="53" t="str">
        <f>I29</f>
        <v>K</v>
      </c>
      <c r="J386" s="53" t="e">
        <f>J29</f>
        <v>#N/A</v>
      </c>
      <c r="K386" t="s">
        <v>266</v>
      </c>
      <c r="N386" s="164" t="e">
        <f>IF(AND(J396&gt;-J395/2,H386&gt;0),"Hovedarmering skal føres ud i 'knast', hvilket skal fremgå tydeligt af tegning"," ")</f>
        <v>#N/A</v>
      </c>
      <c r="Y386" s="27" t="s">
        <v>718</v>
      </c>
      <c r="AA386" t="s">
        <v>719</v>
      </c>
      <c r="AB386" s="50">
        <f>2.25*AB385</f>
        <v>2.8512108389134996</v>
      </c>
      <c r="AC386" t="s">
        <v>36</v>
      </c>
      <c r="AD386" s="354">
        <f>2.25*AD385</f>
        <v>2.8512108389134996</v>
      </c>
    </row>
    <row r="387" spans="1:30" ht="15" customHeight="1">
      <c r="G387" t="e">
        <f>IF(J28=J29," ","suppleret med")</f>
        <v>#N/A</v>
      </c>
      <c r="H387" t="e">
        <f>IF(J28=J29," ",TRUNC(H28/J23*J383))</f>
        <v>#N/A</v>
      </c>
      <c r="I387" t="e">
        <f>IF(J28=J29," ",+I28)</f>
        <v>#N/A</v>
      </c>
      <c r="J387" t="e">
        <f>IF(J28=J29," ",+J28)</f>
        <v>#N/A</v>
      </c>
      <c r="K387" t="e">
        <f>IF(J28=J29," ","stk,type,diameter")</f>
        <v>#N/A</v>
      </c>
      <c r="Y387" s="27" t="s">
        <v>721</v>
      </c>
      <c r="AA387" t="s">
        <v>722</v>
      </c>
      <c r="AB387" s="74">
        <f>AB382/(4*AB386)</f>
        <v>36.534185843078895</v>
      </c>
      <c r="AD387" s="355">
        <f>AD382/(4*AD386)</f>
        <v>36.534185843078895</v>
      </c>
    </row>
    <row r="388" spans="1:30" ht="15" customHeight="1">
      <c r="H388" t="s">
        <v>504</v>
      </c>
      <c r="I388" t="s">
        <v>120</v>
      </c>
      <c r="J388">
        <f>T391</f>
        <v>500</v>
      </c>
      <c r="K388" t="s">
        <v>36</v>
      </c>
      <c r="Y388" s="27" t="s">
        <v>724</v>
      </c>
      <c r="AA388" t="s">
        <v>725</v>
      </c>
      <c r="AB388" s="53" t="e">
        <f>AB387*AB380</f>
        <v>#N/A</v>
      </c>
      <c r="AC388" t="s">
        <v>91</v>
      </c>
      <c r="AD388" s="353" t="e">
        <f>AD387*AD380</f>
        <v>#N/A</v>
      </c>
    </row>
    <row r="389" spans="1:30" ht="15" customHeight="1">
      <c r="H389" t="s">
        <v>286</v>
      </c>
      <c r="I389" t="s">
        <v>120</v>
      </c>
      <c r="J389" s="53">
        <f>T391/N15</f>
        <v>416.66666666666669</v>
      </c>
      <c r="K389" t="s">
        <v>36</v>
      </c>
      <c r="Y389" s="27" t="s">
        <v>971</v>
      </c>
      <c r="AA389" t="s">
        <v>972</v>
      </c>
      <c r="AB389" s="53" t="e">
        <f>0.3*AB388</f>
        <v>#N/A</v>
      </c>
      <c r="AC389" t="s">
        <v>91</v>
      </c>
      <c r="AD389" s="353" t="e">
        <f>0.3*AD388</f>
        <v>#N/A</v>
      </c>
    </row>
    <row r="390" spans="1:30" ht="15" customHeight="1">
      <c r="H390" t="s">
        <v>113</v>
      </c>
      <c r="I390" t="s">
        <v>120</v>
      </c>
      <c r="J390" s="53" t="e">
        <f>IF(J28=J29,J386^2/4*PI()*H386,J386^2/4*PI()*H386+J387^2/4*PI()*H387)</f>
        <v>#N/A</v>
      </c>
      <c r="K390" t="s">
        <v>114</v>
      </c>
      <c r="Y390" s="27" t="s">
        <v>971</v>
      </c>
      <c r="AA390" t="s">
        <v>973</v>
      </c>
      <c r="AB390" s="53" t="e">
        <f>10*AB380</f>
        <v>#N/A</v>
      </c>
      <c r="AC390" t="s">
        <v>91</v>
      </c>
      <c r="AD390" s="353" t="e">
        <f>10*AD380</f>
        <v>#N/A</v>
      </c>
    </row>
    <row r="391" spans="1:30" ht="15" customHeight="1">
      <c r="A391" s="19" t="s">
        <v>974</v>
      </c>
      <c r="G391" t="s">
        <v>724</v>
      </c>
      <c r="H391" t="s">
        <v>725</v>
      </c>
      <c r="J391" s="53" t="e">
        <f>IF(H386&gt;0,MAXA(AB388,AD388),AD388)</f>
        <v>#N/A</v>
      </c>
      <c r="K391" t="s">
        <v>91</v>
      </c>
      <c r="S391">
        <f>CODE(I386)</f>
        <v>75</v>
      </c>
      <c r="T391">
        <f>HLOOKUP(S391,AA320:AZ330,6)</f>
        <v>500</v>
      </c>
      <c r="U391" t="s">
        <v>228</v>
      </c>
      <c r="Y391" s="27" t="s">
        <v>971</v>
      </c>
      <c r="AA391" t="s">
        <v>975</v>
      </c>
      <c r="AB391" s="53">
        <v>100</v>
      </c>
      <c r="AC391" t="s">
        <v>91</v>
      </c>
      <c r="AD391" s="353">
        <v>100</v>
      </c>
    </row>
    <row r="392" spans="1:30" ht="15" customHeight="1">
      <c r="A392" s="19" t="s">
        <v>976</v>
      </c>
      <c r="G392" t="s">
        <v>977</v>
      </c>
      <c r="H392" s="65" t="e">
        <f>NA()</f>
        <v>#N/A</v>
      </c>
      <c r="I392" s="113" t="s">
        <v>265</v>
      </c>
      <c r="J392" s="65" t="e">
        <f>NA()</f>
        <v>#N/A</v>
      </c>
      <c r="K392" t="s">
        <v>978</v>
      </c>
      <c r="N392" s="70" t="e">
        <f>IF(Q395*Q394&gt;J390*J389,"Asxfyd U.bjl.&gt;Asxfyd Længdearmering! Ikke tilladt"," ")</f>
        <v>#N/A</v>
      </c>
      <c r="Y392" s="27" t="s">
        <v>979</v>
      </c>
      <c r="AA392" t="s">
        <v>980</v>
      </c>
      <c r="AB392" s="53" t="e">
        <f>MAXA(AB389:AB391)</f>
        <v>#N/A</v>
      </c>
      <c r="AC392" t="s">
        <v>91</v>
      </c>
      <c r="AD392" s="353" t="e">
        <f>MAXA(AD389:AD391)</f>
        <v>#N/A</v>
      </c>
    </row>
    <row r="393" spans="1:30" ht="15" customHeight="1">
      <c r="A393" s="113" t="e">
        <f>SUM(N9:N11)</f>
        <v>#N/A</v>
      </c>
      <c r="B393" t="s">
        <v>91</v>
      </c>
      <c r="G393" s="242" t="e">
        <f>IF(H392=0,"udskriver figur uden U-bøjler"," ")</f>
        <v>#N/A</v>
      </c>
      <c r="H393" s="30"/>
      <c r="I393" s="30"/>
      <c r="J393" s="65" t="e">
        <f>4*J392</f>
        <v>#N/A</v>
      </c>
      <c r="K393" t="s">
        <v>981</v>
      </c>
      <c r="N393" s="70" t="e">
        <f>IF(J393&lt;3*J392,"Skal min. være 3 x d"," ")</f>
        <v>#N/A</v>
      </c>
      <c r="Y393" s="27"/>
      <c r="AD393" s="29"/>
    </row>
    <row r="394" spans="1:30" ht="15" customHeight="1">
      <c r="H394" s="168" t="s">
        <v>982</v>
      </c>
      <c r="I394" s="113" t="s">
        <v>265</v>
      </c>
      <c r="J394" s="196">
        <v>8</v>
      </c>
      <c r="K394" t="s">
        <v>885</v>
      </c>
      <c r="L394" t="e">
        <f>"red.fyd= "&amp;FIXED(N394,0,TRUE)&amp;" N/mm2"</f>
        <v>#N/A</v>
      </c>
      <c r="N394" s="95" t="e">
        <f>AE249</f>
        <v>#N/A</v>
      </c>
      <c r="O394">
        <f>CODE(I392)</f>
        <v>75</v>
      </c>
      <c r="P394" s="26" t="s">
        <v>983</v>
      </c>
      <c r="Q394" s="53">
        <f>HLOOKUP(O394,AA320:AZ330,6)/N15</f>
        <v>416.66666666666669</v>
      </c>
      <c r="R394" t="s">
        <v>36</v>
      </c>
      <c r="S394">
        <f>AA239</f>
        <v>2.1</v>
      </c>
      <c r="T394" t="s">
        <v>984</v>
      </c>
      <c r="Y394" s="27" t="s">
        <v>985</v>
      </c>
      <c r="AA394" t="s">
        <v>670</v>
      </c>
      <c r="AB394" s="74" t="e">
        <f>J381</f>
        <v>#N/A</v>
      </c>
      <c r="AC394" t="s">
        <v>460</v>
      </c>
      <c r="AD394" s="355" t="e">
        <f>AB394</f>
        <v>#N/A</v>
      </c>
    </row>
    <row r="395" spans="1:30" ht="15" customHeight="1">
      <c r="G395" t="s">
        <v>986</v>
      </c>
      <c r="J395" s="113" t="e">
        <f>NA()</f>
        <v>#N/A</v>
      </c>
      <c r="K395" t="s">
        <v>91</v>
      </c>
      <c r="P395" t="s">
        <v>987</v>
      </c>
      <c r="Q395" s="53" t="e">
        <f>(H392*J392^2/4+2*H495*J495^2/4)*PI()</f>
        <v>#N/A</v>
      </c>
      <c r="R395" t="s">
        <v>114</v>
      </c>
      <c r="S395" s="74" t="e">
        <f>J392^2/4*PI()*H392*AE249*10^-3</f>
        <v>#N/A</v>
      </c>
      <c r="T395" t="s">
        <v>988</v>
      </c>
      <c r="Y395" s="27" t="s">
        <v>676</v>
      </c>
      <c r="AA395" t="s">
        <v>227</v>
      </c>
      <c r="AB395" s="53" t="e">
        <f>J383</f>
        <v>#N/A</v>
      </c>
      <c r="AC395" t="s">
        <v>91</v>
      </c>
      <c r="AD395" s="353" t="e">
        <f>AB395</f>
        <v>#N/A</v>
      </c>
    </row>
    <row r="396" spans="1:30" ht="15" customHeight="1">
      <c r="G396" t="s">
        <v>989</v>
      </c>
      <c r="J396" s="113" t="e">
        <f>NA()</f>
        <v>#N/A</v>
      </c>
      <c r="K396" t="s">
        <v>990</v>
      </c>
      <c r="N396" s="164"/>
      <c r="S396" s="74">
        <v>0</v>
      </c>
      <c r="T396" t="s">
        <v>991</v>
      </c>
      <c r="Y396" s="27" t="s">
        <v>986</v>
      </c>
      <c r="AB396" s="53" t="e">
        <f>J395</f>
        <v>#N/A</v>
      </c>
      <c r="AC396" t="s">
        <v>91</v>
      </c>
      <c r="AD396" s="353" t="e">
        <f>AB396</f>
        <v>#N/A</v>
      </c>
    </row>
    <row r="397" spans="1:30" ht="15" customHeight="1">
      <c r="C397" t="s">
        <v>992</v>
      </c>
      <c r="G397" t="e">
        <f>IF(J396&lt;-J395/2," ","forankringslængde")</f>
        <v>#N/A</v>
      </c>
      <c r="H397" t="e">
        <f>IF(J396&lt;-J395/2," ",IF(J396&gt;J395/2,+J396+J395/2,IF(AND(J396&lt;=J395/2,J396&gt;=-J395/2),J395/2+J396,0)))</f>
        <v>#N/A</v>
      </c>
      <c r="J397" t="e">
        <f>IF(J396&lt;-J395/2," ","mm")</f>
        <v>#N/A</v>
      </c>
      <c r="K397" t="e">
        <f>IF(J396&lt;-J395/2," ",IF(H397&gt;L397,"&gt;","&lt;"))</f>
        <v>#N/A</v>
      </c>
      <c r="L397" s="53" t="e">
        <f>IF(J396&lt;-J395/2," ",+MAXA(AB392,AD392))</f>
        <v>#N/A</v>
      </c>
      <c r="M397" t="e">
        <f>IF(J396&lt;-J395/2," ",IF(H397&gt;L397,"accept","forkast"))</f>
        <v>#N/A</v>
      </c>
      <c r="N397" s="164" t="e">
        <f>IF(M397="forkast","NB!"," ")</f>
        <v>#N/A</v>
      </c>
      <c r="P397" t="s">
        <v>993</v>
      </c>
      <c r="Q397" s="53" t="e">
        <f>0.9*J382</f>
        <v>#N/A</v>
      </c>
      <c r="R397" t="s">
        <v>91</v>
      </c>
      <c r="S397" s="74" t="e">
        <f>S395+S396</f>
        <v>#N/A</v>
      </c>
      <c r="T397" t="s">
        <v>994</v>
      </c>
      <c r="Y397" s="27" t="s">
        <v>995</v>
      </c>
      <c r="AA397" t="s">
        <v>996</v>
      </c>
      <c r="AB397" s="50" t="e">
        <f>AB394*10^3/(AB395*AB396)</f>
        <v>#N/A</v>
      </c>
      <c r="AC397" t="s">
        <v>36</v>
      </c>
      <c r="AD397" s="354" t="e">
        <f>AD394*10^3/(AD395*AD396)</f>
        <v>#N/A</v>
      </c>
    </row>
    <row r="398" spans="1:30" ht="15" customHeight="1">
      <c r="H398" t="s">
        <v>646</v>
      </c>
      <c r="L398" t="s">
        <v>475</v>
      </c>
      <c r="P398" t="s">
        <v>997</v>
      </c>
      <c r="Q398" s="74">
        <v>0</v>
      </c>
      <c r="R398" t="s">
        <v>460</v>
      </c>
      <c r="S398" s="74" t="e">
        <f>Q395*Q394*10^-3</f>
        <v>#N/A</v>
      </c>
      <c r="T398" t="s">
        <v>998</v>
      </c>
      <c r="Y398" s="27" t="s">
        <v>999</v>
      </c>
      <c r="AA398" t="s">
        <v>1000</v>
      </c>
      <c r="AB398" s="50" t="e">
        <f>IF(1-0.04*AB397&gt;0.7,1-0.04*AB397,0.7)</f>
        <v>#N/A</v>
      </c>
      <c r="AD398" s="354" t="e">
        <f>IF(1-0.04*AD397&gt;0.7,1-0.04*AD397,0.7)</f>
        <v>#N/A</v>
      </c>
    </row>
    <row r="399" spans="1:30" ht="15" customHeight="1">
      <c r="G399" s="32" t="s">
        <v>1001</v>
      </c>
      <c r="H399" s="74" t="e">
        <f>IF(J396&lt;-J395/2,+S401,IF(AND(J396&lt;=J395/2,J396&gt;=-J395/2),+J390*J389*10^-3*((J395/2+J396)/J391)+S401,J390*J389*10^-3*((J396-J395/2)/J391+J395/(J391*AB404))+S401))</f>
        <v>#N/A</v>
      </c>
      <c r="J399" t="s">
        <v>460</v>
      </c>
      <c r="K399" t="e">
        <f>IF(H399&gt;L399,"&gt;","&lt;")</f>
        <v>#N/A</v>
      </c>
      <c r="L399" s="74" t="e">
        <f>Q400</f>
        <v>#N/A</v>
      </c>
      <c r="M399" t="e">
        <f>IF(H399&gt;L399,"accept","forkast")</f>
        <v>#N/A</v>
      </c>
      <c r="N399" s="164" t="e">
        <f>IF(M399="forkast","NB!"," ")</f>
        <v>#N/A</v>
      </c>
      <c r="P399" t="s">
        <v>1002</v>
      </c>
      <c r="Q399" s="74">
        <v>0</v>
      </c>
      <c r="R399" t="s">
        <v>460</v>
      </c>
      <c r="S399" s="74" t="e">
        <f>MINA(S397:S398)</f>
        <v>#N/A</v>
      </c>
      <c r="T399" t="s">
        <v>1003</v>
      </c>
      <c r="Y399" s="27"/>
      <c r="AB399" s="50"/>
      <c r="AD399" s="354"/>
    </row>
    <row r="400" spans="1:30" ht="15" customHeight="1">
      <c r="G400" s="32" t="s">
        <v>653</v>
      </c>
      <c r="H400" s="74" t="e">
        <f>MAXA(U383:U384)</f>
        <v>#N/A</v>
      </c>
      <c r="J400" t="s">
        <v>460</v>
      </c>
      <c r="K400" t="e">
        <f>IF(H400&gt;L400,"&gt;","&lt;")</f>
        <v>#N/A</v>
      </c>
      <c r="L400" s="74" t="e">
        <f>J381</f>
        <v>#N/A</v>
      </c>
      <c r="M400" t="e">
        <f>IF(H400&gt;L400,"accept","forkast")</f>
        <v>#N/A</v>
      </c>
      <c r="N400" s="164" t="e">
        <f>IF(M400="forkast","NB!"," ")</f>
        <v>#N/A</v>
      </c>
      <c r="O400" t="s">
        <v>1004</v>
      </c>
      <c r="Q400" s="74" t="e">
        <f>IF(Q401&gt;J381,J381,IF(Q401&lt;J381/2,J381/2,Q401))</f>
        <v>#N/A</v>
      </c>
      <c r="R400" t="s">
        <v>460</v>
      </c>
      <c r="S400" s="74" t="e">
        <f>J390*J389*10^-3</f>
        <v>#N/A</v>
      </c>
      <c r="T400" t="s">
        <v>1005</v>
      </c>
      <c r="Y400" s="27" t="s">
        <v>1006</v>
      </c>
      <c r="AA400" t="s">
        <v>1007</v>
      </c>
      <c r="AB400" s="53" t="e">
        <f>A393</f>
        <v>#N/A</v>
      </c>
      <c r="AC400" t="s">
        <v>91</v>
      </c>
      <c r="AD400" s="353" t="e">
        <f>AB400</f>
        <v>#N/A</v>
      </c>
    </row>
    <row r="401" spans="2:30" ht="15" customHeight="1">
      <c r="C401" s="155"/>
      <c r="Q401" s="74" t="e">
        <f>(J381*(Q397+J395/2)-Q399*Q397/2)/Q397</f>
        <v>#N/A</v>
      </c>
      <c r="R401" t="s">
        <v>460</v>
      </c>
      <c r="S401" s="50" t="e">
        <f>IF(S399&lt;S400,S399,S400)</f>
        <v>#N/A</v>
      </c>
      <c r="T401" t="s">
        <v>1008</v>
      </c>
      <c r="Y401" s="27" t="s">
        <v>1009</v>
      </c>
      <c r="AA401" t="s">
        <v>1010</v>
      </c>
      <c r="AB401" s="50" t="e">
        <f>IF(1-0.15*(AB400-AB380)/AB380&gt;0.7,1-0.15*(AB400-AB380)/AB380,0.7)</f>
        <v>#N/A</v>
      </c>
      <c r="AD401" s="354" t="e">
        <f>IF(1-0.15*(AD400-AD380)/AD380&gt;0.7,1-0.15*(AD400-AD380)/AD380,0.7)</f>
        <v>#N/A</v>
      </c>
    </row>
    <row r="402" spans="2:30" ht="15" customHeight="1">
      <c r="Y402" s="27"/>
      <c r="AD402" s="29"/>
    </row>
    <row r="403" spans="2:30" ht="15" customHeight="1">
      <c r="Y403" s="27" t="s">
        <v>1011</v>
      </c>
      <c r="AB403" s="50" t="e">
        <f>(AB398*0.7+AB401*(1+0.7)/2)/(AB398+AB401)</f>
        <v>#N/A</v>
      </c>
      <c r="AD403" s="354" t="e">
        <f>(AD398*0.7+AD401*(1+0.7)/2)/(AD398+AD401)</f>
        <v>#N/A</v>
      </c>
    </row>
    <row r="404" spans="2:30" ht="15" customHeight="1">
      <c r="Y404" s="12" t="s">
        <v>1012</v>
      </c>
      <c r="Z404" s="14"/>
      <c r="AA404" s="14" t="s">
        <v>1013</v>
      </c>
      <c r="AB404" s="222" t="e">
        <f>IF(AB398*AB401&gt;AB403,AB398*(1+AB401)/2,AB403)</f>
        <v>#N/A</v>
      </c>
      <c r="AC404" s="14"/>
      <c r="AD404" s="356" t="e">
        <f>IF(AD398*AD401&gt;AD403,AD398*(1+AD401)/2,AD403)</f>
        <v>#N/A</v>
      </c>
    </row>
    <row r="405" spans="2:30" ht="15" customHeight="1"/>
    <row r="406" spans="2:30" ht="15" customHeight="1"/>
    <row r="407" spans="2:30" ht="15" customHeight="1"/>
    <row r="408" spans="2:30" ht="15" customHeight="1"/>
    <row r="409" spans="2:30" ht="15" customHeight="1"/>
    <row r="410" spans="2:30" ht="15" customHeight="1">
      <c r="B410" t="str">
        <f>B380</f>
        <v>FAST VEDERLAG</v>
      </c>
    </row>
    <row r="411" spans="2:30" ht="15" customHeight="1">
      <c r="G411" t="str">
        <f t="shared" ref="G411:K414" si="39">G381</f>
        <v>max. reaktion</v>
      </c>
      <c r="H411" t="e">
        <f t="shared" si="39"/>
        <v>#N/A</v>
      </c>
      <c r="I411" t="str">
        <f t="shared" si="39"/>
        <v>=</v>
      </c>
      <c r="J411" s="74" t="e">
        <f t="shared" si="39"/>
        <v>#N/A</v>
      </c>
      <c r="K411" t="str">
        <f t="shared" si="39"/>
        <v>kN jævnt fordelt på b</v>
      </c>
    </row>
    <row r="412" spans="2:30" ht="15" customHeight="1">
      <c r="G412" t="str">
        <f t="shared" si="39"/>
        <v>effektiv højde</v>
      </c>
      <c r="H412" t="str">
        <f t="shared" si="39"/>
        <v>d</v>
      </c>
      <c r="I412" t="str">
        <f t="shared" si="39"/>
        <v>=</v>
      </c>
      <c r="J412" s="53" t="e">
        <f t="shared" si="39"/>
        <v>#N/A</v>
      </c>
      <c r="K412" t="str">
        <f t="shared" si="39"/>
        <v>mm</v>
      </c>
    </row>
    <row r="413" spans="2:30" ht="15" customHeight="1">
      <c r="G413" t="str">
        <f t="shared" si="39"/>
        <v>vederlagsbredde</v>
      </c>
      <c r="H413" t="str">
        <f t="shared" si="39"/>
        <v>b</v>
      </c>
      <c r="I413" t="str">
        <f t="shared" si="39"/>
        <v>=</v>
      </c>
      <c r="J413" s="53" t="e">
        <f t="shared" si="39"/>
        <v>#N/A</v>
      </c>
      <c r="K413" t="str">
        <f t="shared" si="39"/>
        <v>mm</v>
      </c>
    </row>
    <row r="414" spans="2:30" ht="15" customHeight="1">
      <c r="G414" t="str">
        <f t="shared" si="39"/>
        <v>betonstyrke</v>
      </c>
      <c r="H414" t="str">
        <f t="shared" si="39"/>
        <v>f ck</v>
      </c>
      <c r="I414" t="str">
        <f t="shared" si="39"/>
        <v>=</v>
      </c>
      <c r="J414" s="53">
        <f t="shared" si="39"/>
        <v>30</v>
      </c>
      <c r="K414" t="str">
        <f t="shared" si="39"/>
        <v>N/mm2</v>
      </c>
    </row>
    <row r="415" spans="2:30" ht="15" customHeight="1">
      <c r="H415" t="str">
        <f>H385</f>
        <v>f cd</v>
      </c>
      <c r="I415" t="str">
        <f>I385</f>
        <v>=</v>
      </c>
      <c r="J415" s="74">
        <f>J385</f>
        <v>21.428571428571431</v>
      </c>
      <c r="K415" t="str">
        <f>K385</f>
        <v>N/mm2</v>
      </c>
    </row>
    <row r="416" spans="2:30" ht="15" customHeight="1">
      <c r="G416" t="str">
        <f>G386</f>
        <v>hovedarmering</v>
      </c>
    </row>
    <row r="417" spans="1:12" ht="15" customHeight="1">
      <c r="H417" s="53" t="e">
        <f>H386</f>
        <v>#N/A</v>
      </c>
      <c r="I417" t="str">
        <f>I386</f>
        <v>K</v>
      </c>
      <c r="J417" s="53" t="e">
        <f>J386</f>
        <v>#N/A</v>
      </c>
      <c r="K417" t="str">
        <f>K386</f>
        <v>stk,type,diameter</v>
      </c>
    </row>
    <row r="418" spans="1:12" ht="15" customHeight="1">
      <c r="H418" t="str">
        <f t="shared" ref="H418:K420" si="40">H388</f>
        <v>f yk</v>
      </c>
      <c r="I418" t="str">
        <f t="shared" si="40"/>
        <v>=</v>
      </c>
      <c r="J418" s="53">
        <f t="shared" si="40"/>
        <v>500</v>
      </c>
      <c r="K418" t="str">
        <f t="shared" si="40"/>
        <v>N/mm2</v>
      </c>
    </row>
    <row r="419" spans="1:12" ht="15" customHeight="1">
      <c r="H419" t="str">
        <f t="shared" si="40"/>
        <v>f yd</v>
      </c>
      <c r="I419" t="str">
        <f t="shared" si="40"/>
        <v>=</v>
      </c>
      <c r="J419" s="53">
        <f t="shared" si="40"/>
        <v>416.66666666666669</v>
      </c>
      <c r="K419" t="str">
        <f t="shared" si="40"/>
        <v>N/mm2</v>
      </c>
    </row>
    <row r="420" spans="1:12" ht="15" customHeight="1">
      <c r="H420" t="str">
        <f t="shared" si="40"/>
        <v>As</v>
      </c>
      <c r="I420" t="str">
        <f t="shared" si="40"/>
        <v>=</v>
      </c>
      <c r="J420" s="53" t="e">
        <f t="shared" si="40"/>
        <v>#N/A</v>
      </c>
      <c r="K420" t="str">
        <f t="shared" si="40"/>
        <v>mm2</v>
      </c>
    </row>
    <row r="421" spans="1:12" ht="15" customHeight="1">
      <c r="A421" s="19" t="s">
        <v>974</v>
      </c>
      <c r="G421" t="str">
        <f>G391</f>
        <v>basisforankr.lgd</v>
      </c>
      <c r="H421" t="str">
        <f>H391</f>
        <v>l b,rqd</v>
      </c>
      <c r="J421" s="53" t="e">
        <f>J391</f>
        <v>#N/A</v>
      </c>
      <c r="K421" t="str">
        <f>K391</f>
        <v>mm</v>
      </c>
    </row>
    <row r="422" spans="1:12" ht="15" customHeight="1">
      <c r="A422" s="19" t="s">
        <v>976</v>
      </c>
    </row>
    <row r="423" spans="1:12" ht="15" customHeight="1">
      <c r="A423" s="113" t="e">
        <f>A393</f>
        <v>#N/A</v>
      </c>
      <c r="B423" t="s">
        <v>91</v>
      </c>
      <c r="G423" t="str">
        <f>G395</f>
        <v>vederlagsdybde</v>
      </c>
      <c r="J423" s="53" t="e">
        <f t="shared" ref="J423:K425" si="41">J395</f>
        <v>#N/A</v>
      </c>
      <c r="K423" t="str">
        <f t="shared" si="41"/>
        <v>mm</v>
      </c>
    </row>
    <row r="424" spans="1:12" ht="15" customHeight="1">
      <c r="G424" t="str">
        <f>G396</f>
        <v>hovedarmering slutter</v>
      </c>
      <c r="J424" s="53" t="e">
        <f t="shared" si="41"/>
        <v>#N/A</v>
      </c>
      <c r="K424" t="str">
        <f t="shared" si="41"/>
        <v>mm fra CL.vederlag</v>
      </c>
    </row>
    <row r="425" spans="1:12" ht="15" customHeight="1">
      <c r="C425" t="s">
        <v>992</v>
      </c>
      <c r="G425" t="e">
        <f>G397</f>
        <v>#N/A</v>
      </c>
      <c r="H425" s="53" t="e">
        <f>H397</f>
        <v>#N/A</v>
      </c>
      <c r="J425" t="e">
        <f t="shared" si="41"/>
        <v>#N/A</v>
      </c>
      <c r="K425" t="e">
        <f t="shared" si="41"/>
        <v>#N/A</v>
      </c>
      <c r="L425" s="53" t="e">
        <f>L397</f>
        <v>#N/A</v>
      </c>
    </row>
    <row r="426" spans="1:12" ht="15" customHeight="1">
      <c r="H426" t="str">
        <f>H398</f>
        <v>bæreevne</v>
      </c>
      <c r="L426" t="str">
        <f>L398</f>
        <v xml:space="preserve"> snitkraft</v>
      </c>
    </row>
    <row r="427" spans="1:12" ht="15" customHeight="1">
      <c r="G427" t="str">
        <f>G399</f>
        <v>forankring</v>
      </c>
      <c r="H427" s="74" t="e">
        <f>H399</f>
        <v>#N/A</v>
      </c>
      <c r="J427" t="str">
        <f>J399</f>
        <v>kN</v>
      </c>
      <c r="K427" t="e">
        <f>K399</f>
        <v>#N/A</v>
      </c>
      <c r="L427" s="74" t="e">
        <f>L399</f>
        <v>#N/A</v>
      </c>
    </row>
    <row r="428" spans="1:12" ht="15" customHeight="1">
      <c r="G428" t="str">
        <f>G400</f>
        <v>forskydning V Rd,c</v>
      </c>
      <c r="H428" s="74" t="e">
        <f>H400</f>
        <v>#N/A</v>
      </c>
      <c r="J428" t="str">
        <f>J400</f>
        <v>kN</v>
      </c>
      <c r="K428" t="e">
        <f>K400</f>
        <v>#N/A</v>
      </c>
      <c r="L428" s="74" t="e">
        <f>L400</f>
        <v>#N/A</v>
      </c>
    </row>
    <row r="429" spans="1:12" ht="15" customHeight="1"/>
    <row r="430" spans="1:12" ht="15" customHeight="1"/>
    <row r="431" spans="1:12" ht="15" customHeight="1"/>
    <row r="432" spans="1:1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spans="2:12" ht="15" customHeight="1"/>
    <row r="466" spans="2:12" ht="15" customHeight="1"/>
    <row r="467" spans="2:12" ht="15" customHeight="1"/>
    <row r="468" spans="2:12" ht="15" customHeight="1"/>
    <row r="469" spans="2:12" ht="15" customHeight="1"/>
    <row r="472" spans="2:12">
      <c r="B472" t="s">
        <v>1014</v>
      </c>
    </row>
    <row r="474" spans="2:12">
      <c r="G474" t="s">
        <v>627</v>
      </c>
      <c r="H474" s="53" t="e">
        <f>H131</f>
        <v>#N/A</v>
      </c>
      <c r="J474" s="53" t="str">
        <f>J131</f>
        <v>N/mm2</v>
      </c>
      <c r="K474" s="53" t="e">
        <f>K131</f>
        <v>#N/A</v>
      </c>
      <c r="L474" s="53">
        <f>L131</f>
        <v>295.45454545454544</v>
      </c>
    </row>
    <row r="475" spans="2:12" ht="19.5">
      <c r="I475" s="26" t="s">
        <v>1015</v>
      </c>
      <c r="J475" s="53" t="e">
        <f>H474/L474*100</f>
        <v>#N/A</v>
      </c>
      <c r="K475" t="s">
        <v>1016</v>
      </c>
      <c r="L475" s="243" t="e">
        <f>IF(J475&gt;100,"fejl"," ")</f>
        <v>#N/A</v>
      </c>
    </row>
    <row r="477" spans="2:12">
      <c r="D477" s="242"/>
    </row>
    <row r="482" spans="14:21">
      <c r="P482" s="95" t="s">
        <v>1017</v>
      </c>
    </row>
    <row r="483" spans="14:21">
      <c r="N483" s="26" t="s">
        <v>1018</v>
      </c>
      <c r="O483" s="26" t="s">
        <v>1019</v>
      </c>
      <c r="P483" s="26" t="s">
        <v>1020</v>
      </c>
    </row>
    <row r="484" spans="14:21">
      <c r="N484">
        <v>0</v>
      </c>
      <c r="O484" s="52">
        <v>1</v>
      </c>
      <c r="P484" s="50" t="e">
        <f>J475/100</f>
        <v>#N/A</v>
      </c>
      <c r="R484" t="e">
        <f t="shared" ref="R484:R497" si="42">P484-O484</f>
        <v>#N/A</v>
      </c>
      <c r="S484" t="e">
        <f t="shared" ref="S484:S497" si="43">IF(R484&gt;=0,1,0)</f>
        <v>#N/A</v>
      </c>
    </row>
    <row r="485" spans="14:21">
      <c r="N485">
        <v>20</v>
      </c>
      <c r="O485" s="52">
        <v>1</v>
      </c>
      <c r="P485" s="50" t="e">
        <f t="shared" ref="P485:P497" si="44">P484</f>
        <v>#N/A</v>
      </c>
      <c r="R485" t="e">
        <f t="shared" si="42"/>
        <v>#N/A</v>
      </c>
      <c r="S485" t="e">
        <f t="shared" si="43"/>
        <v>#N/A</v>
      </c>
      <c r="T485" t="e">
        <f t="shared" ref="T485:T497" si="45">IF(S485-S484=1,1,0)</f>
        <v>#N/A</v>
      </c>
      <c r="U485" t="e">
        <f t="shared" ref="U485:U497" si="46">IF(T485=1,+N485,0)</f>
        <v>#N/A</v>
      </c>
    </row>
    <row r="486" spans="14:21">
      <c r="N486">
        <v>100</v>
      </c>
      <c r="O486" s="52">
        <v>1</v>
      </c>
      <c r="P486" s="50" t="e">
        <f t="shared" si="44"/>
        <v>#N/A</v>
      </c>
      <c r="R486" t="e">
        <f t="shared" si="42"/>
        <v>#N/A</v>
      </c>
      <c r="S486" t="e">
        <f t="shared" si="43"/>
        <v>#N/A</v>
      </c>
      <c r="T486" t="e">
        <f t="shared" si="45"/>
        <v>#N/A</v>
      </c>
      <c r="U486" t="e">
        <f t="shared" si="46"/>
        <v>#N/A</v>
      </c>
    </row>
    <row r="487" spans="14:21">
      <c r="N487">
        <v>200</v>
      </c>
      <c r="O487" s="52">
        <v>1</v>
      </c>
      <c r="P487" s="50" t="e">
        <f t="shared" si="44"/>
        <v>#N/A</v>
      </c>
      <c r="R487" t="e">
        <f t="shared" si="42"/>
        <v>#N/A</v>
      </c>
      <c r="S487" t="e">
        <f t="shared" si="43"/>
        <v>#N/A</v>
      </c>
      <c r="T487" t="e">
        <f t="shared" si="45"/>
        <v>#N/A</v>
      </c>
      <c r="U487" t="e">
        <f t="shared" si="46"/>
        <v>#N/A</v>
      </c>
    </row>
    <row r="488" spans="14:21">
      <c r="N488">
        <v>300</v>
      </c>
      <c r="O488" s="52">
        <v>1</v>
      </c>
      <c r="P488" s="50" t="e">
        <f t="shared" si="44"/>
        <v>#N/A</v>
      </c>
      <c r="R488" t="e">
        <f t="shared" si="42"/>
        <v>#N/A</v>
      </c>
      <c r="S488" t="e">
        <f t="shared" si="43"/>
        <v>#N/A</v>
      </c>
      <c r="T488" t="e">
        <f t="shared" si="45"/>
        <v>#N/A</v>
      </c>
      <c r="U488" t="e">
        <f t="shared" si="46"/>
        <v>#N/A</v>
      </c>
    </row>
    <row r="489" spans="14:21">
      <c r="N489">
        <v>400</v>
      </c>
      <c r="O489" s="52">
        <v>1</v>
      </c>
      <c r="P489" s="50" t="e">
        <f t="shared" si="44"/>
        <v>#N/A</v>
      </c>
      <c r="R489" t="e">
        <f t="shared" si="42"/>
        <v>#N/A</v>
      </c>
      <c r="S489" t="e">
        <f t="shared" si="43"/>
        <v>#N/A</v>
      </c>
      <c r="T489" t="e">
        <f t="shared" si="45"/>
        <v>#N/A</v>
      </c>
      <c r="U489" t="e">
        <f t="shared" si="46"/>
        <v>#N/A</v>
      </c>
    </row>
    <row r="490" spans="14:21">
      <c r="N490">
        <v>500</v>
      </c>
      <c r="O490" s="52">
        <v>0.78</v>
      </c>
      <c r="P490" s="50" t="e">
        <f t="shared" si="44"/>
        <v>#N/A</v>
      </c>
      <c r="R490" t="e">
        <f t="shared" si="42"/>
        <v>#N/A</v>
      </c>
      <c r="S490" t="e">
        <f t="shared" si="43"/>
        <v>#N/A</v>
      </c>
      <c r="T490" t="e">
        <f t="shared" si="45"/>
        <v>#N/A</v>
      </c>
      <c r="U490" t="e">
        <f t="shared" si="46"/>
        <v>#N/A</v>
      </c>
    </row>
    <row r="491" spans="14:21">
      <c r="N491">
        <v>600</v>
      </c>
      <c r="O491" s="52">
        <v>0.47</v>
      </c>
      <c r="P491" s="50" t="e">
        <f t="shared" si="44"/>
        <v>#N/A</v>
      </c>
      <c r="R491" t="e">
        <f t="shared" si="42"/>
        <v>#N/A</v>
      </c>
      <c r="S491" t="e">
        <f t="shared" si="43"/>
        <v>#N/A</v>
      </c>
      <c r="T491" t="e">
        <f t="shared" si="45"/>
        <v>#N/A</v>
      </c>
      <c r="U491" t="e">
        <f t="shared" si="46"/>
        <v>#N/A</v>
      </c>
    </row>
    <row r="492" spans="14:21">
      <c r="N492">
        <v>700</v>
      </c>
      <c r="O492" s="52">
        <v>0.23</v>
      </c>
      <c r="P492" s="50" t="e">
        <f t="shared" si="44"/>
        <v>#N/A</v>
      </c>
      <c r="R492" t="e">
        <f t="shared" si="42"/>
        <v>#N/A</v>
      </c>
      <c r="S492" t="e">
        <f t="shared" si="43"/>
        <v>#N/A</v>
      </c>
      <c r="T492" t="e">
        <f t="shared" si="45"/>
        <v>#N/A</v>
      </c>
      <c r="U492" t="e">
        <f t="shared" si="46"/>
        <v>#N/A</v>
      </c>
    </row>
    <row r="493" spans="14:21">
      <c r="N493">
        <v>800</v>
      </c>
      <c r="O493" s="52">
        <v>0.11</v>
      </c>
      <c r="P493" s="50" t="e">
        <f t="shared" si="44"/>
        <v>#N/A</v>
      </c>
      <c r="R493" t="e">
        <f t="shared" si="42"/>
        <v>#N/A</v>
      </c>
      <c r="S493" t="e">
        <f t="shared" si="43"/>
        <v>#N/A</v>
      </c>
      <c r="T493" t="e">
        <f t="shared" si="45"/>
        <v>#N/A</v>
      </c>
      <c r="U493" t="e">
        <f t="shared" si="46"/>
        <v>#N/A</v>
      </c>
    </row>
    <row r="494" spans="14:21">
      <c r="N494">
        <v>900</v>
      </c>
      <c r="O494" s="52">
        <v>0.06</v>
      </c>
      <c r="P494" s="50" t="e">
        <f t="shared" si="44"/>
        <v>#N/A</v>
      </c>
      <c r="R494" t="e">
        <f t="shared" si="42"/>
        <v>#N/A</v>
      </c>
      <c r="S494" t="e">
        <f t="shared" si="43"/>
        <v>#N/A</v>
      </c>
      <c r="T494" t="e">
        <f t="shared" si="45"/>
        <v>#N/A</v>
      </c>
      <c r="U494" t="e">
        <f t="shared" si="46"/>
        <v>#N/A</v>
      </c>
    </row>
    <row r="495" spans="14:21">
      <c r="N495">
        <v>1000</v>
      </c>
      <c r="O495" s="52">
        <v>0.04</v>
      </c>
      <c r="P495" s="50" t="e">
        <f t="shared" si="44"/>
        <v>#N/A</v>
      </c>
      <c r="R495" t="e">
        <f t="shared" si="42"/>
        <v>#N/A</v>
      </c>
      <c r="S495" t="e">
        <f t="shared" si="43"/>
        <v>#N/A</v>
      </c>
      <c r="T495" t="e">
        <f t="shared" si="45"/>
        <v>#N/A</v>
      </c>
      <c r="U495" t="e">
        <f t="shared" si="46"/>
        <v>#N/A</v>
      </c>
    </row>
    <row r="496" spans="14:21">
      <c r="N496">
        <v>1100</v>
      </c>
      <c r="O496" s="52">
        <v>0.02</v>
      </c>
      <c r="P496" s="50" t="e">
        <f t="shared" si="44"/>
        <v>#N/A</v>
      </c>
      <c r="R496" t="e">
        <f t="shared" si="42"/>
        <v>#N/A</v>
      </c>
      <c r="S496" t="e">
        <f t="shared" si="43"/>
        <v>#N/A</v>
      </c>
      <c r="T496" t="e">
        <f t="shared" si="45"/>
        <v>#N/A</v>
      </c>
      <c r="U496" t="e">
        <f t="shared" si="46"/>
        <v>#N/A</v>
      </c>
    </row>
    <row r="497" spans="4:21">
      <c r="N497">
        <v>1200</v>
      </c>
      <c r="O497" s="52">
        <v>0</v>
      </c>
      <c r="P497" s="50" t="e">
        <f t="shared" si="44"/>
        <v>#N/A</v>
      </c>
      <c r="R497" t="e">
        <f t="shared" si="42"/>
        <v>#N/A</v>
      </c>
      <c r="S497" t="e">
        <f t="shared" si="43"/>
        <v>#N/A</v>
      </c>
      <c r="T497" t="e">
        <f t="shared" si="45"/>
        <v>#N/A</v>
      </c>
      <c r="U497" t="e">
        <f t="shared" si="46"/>
        <v>#N/A</v>
      </c>
    </row>
    <row r="500" spans="4:21">
      <c r="I500" s="26" t="s">
        <v>1021</v>
      </c>
      <c r="J500" s="53" t="e">
        <f>N502</f>
        <v>#N/A</v>
      </c>
      <c r="L500" t="s">
        <v>1022</v>
      </c>
      <c r="O500" s="26" t="s">
        <v>1023</v>
      </c>
    </row>
    <row r="501" spans="4:21">
      <c r="G501" s="242"/>
      <c r="N501" t="e">
        <f>N503-100</f>
        <v>#N/A</v>
      </c>
      <c r="O501" t="e">
        <f>VLOOKUP(N501,N484:P497,2)</f>
        <v>#N/A</v>
      </c>
    </row>
    <row r="502" spans="4:21">
      <c r="D502" s="65">
        <v>30</v>
      </c>
      <c r="E502" s="32" t="s">
        <v>1024</v>
      </c>
      <c r="N502" s="53" t="e">
        <f>N501+(N503-N501)/(O501-O503)*(O501-O502)</f>
        <v>#N/A</v>
      </c>
      <c r="O502" s="50" t="e">
        <f>J475/100</f>
        <v>#N/A</v>
      </c>
    </row>
    <row r="503" spans="4:21">
      <c r="I503" s="26" t="s">
        <v>1025</v>
      </c>
      <c r="J503" s="65" t="e">
        <f>NA()</f>
        <v>#N/A</v>
      </c>
      <c r="L503" t="s">
        <v>1026</v>
      </c>
      <c r="N503" t="e">
        <f>MAXA(U485:U497)</f>
        <v>#N/A</v>
      </c>
      <c r="O503" t="e">
        <f>VLOOKUP(N503,N484:P497,2)</f>
        <v>#N/A</v>
      </c>
    </row>
    <row r="504" spans="4:21">
      <c r="G504" t="e">
        <f>IF(J503=" "," ",IF(J503&lt;J500,"   =&gt; accept, brandbeskyttelse er ikke nødvendig","   =&gt; forkast, det er nødvendigt at brandbeskytte dorn"))</f>
        <v>#N/A</v>
      </c>
      <c r="N504" s="85"/>
      <c r="O504" s="85"/>
    </row>
    <row r="505" spans="4:21" ht="19.5">
      <c r="D505" s="243" t="str">
        <f>IF(OR(D502=30,D502=60)," ","fejl i indtastning minutter brand")</f>
        <v xml:space="preserve"> </v>
      </c>
      <c r="N505" s="85"/>
      <c r="O505" s="85"/>
    </row>
    <row r="506" spans="4:21" ht="15.75">
      <c r="D506" s="242" t="str">
        <f>IF(AND(R4="ja",N130="nej"),"Du har anvendt elasticitetsteoretisk beregning for ståldorn !"," ")</f>
        <v xml:space="preserve"> </v>
      </c>
      <c r="N506" s="244" t="s">
        <v>1027</v>
      </c>
      <c r="O506" s="245"/>
      <c r="P506" s="246"/>
      <c r="Q506" s="247" t="s">
        <v>1028</v>
      </c>
    </row>
    <row r="507" spans="4:21" ht="19.5">
      <c r="D507" s="243" t="str">
        <f>IF(J129&lt;65,"dorn skal være min. Ø65 !"," ")</f>
        <v xml:space="preserve"> </v>
      </c>
      <c r="I507" s="26"/>
      <c r="J507" s="202"/>
      <c r="N507" s="248" t="s">
        <v>1029</v>
      </c>
      <c r="O507" s="248" t="s">
        <v>1030</v>
      </c>
      <c r="P507" s="248" t="s">
        <v>1031</v>
      </c>
      <c r="Q507" s="249" t="s">
        <v>1032</v>
      </c>
    </row>
    <row r="508" spans="4:21" ht="19.5">
      <c r="D508" s="243"/>
      <c r="J508" s="202"/>
      <c r="L508" s="202"/>
      <c r="N508" s="248" t="s">
        <v>1033</v>
      </c>
      <c r="O508" s="248" t="s">
        <v>1034</v>
      </c>
      <c r="P508" s="248" t="s">
        <v>1035</v>
      </c>
      <c r="Q508" s="248" t="s">
        <v>1036</v>
      </c>
    </row>
    <row r="509" spans="4:21">
      <c r="N509" s="248" t="s">
        <v>1037</v>
      </c>
      <c r="O509" s="248" t="s">
        <v>1034</v>
      </c>
      <c r="P509" s="248" t="s">
        <v>1035</v>
      </c>
      <c r="Q509" s="248" t="s">
        <v>1038</v>
      </c>
    </row>
    <row r="510" spans="4:21">
      <c r="N510" s="248" t="s">
        <v>1037</v>
      </c>
      <c r="O510" s="248" t="s">
        <v>1034</v>
      </c>
      <c r="P510" s="248" t="s">
        <v>1039</v>
      </c>
      <c r="Q510" s="248" t="s">
        <v>1040</v>
      </c>
    </row>
    <row r="511" spans="4:21" ht="15.75">
      <c r="F511" s="55" t="s">
        <v>1041</v>
      </c>
      <c r="N511" s="248" t="s">
        <v>1037</v>
      </c>
      <c r="O511" s="248" t="s">
        <v>1042</v>
      </c>
      <c r="P511" s="248" t="s">
        <v>1039</v>
      </c>
      <c r="Q511" s="248" t="s">
        <v>1043</v>
      </c>
    </row>
    <row r="512" spans="4:21">
      <c r="N512" s="10"/>
      <c r="O512" s="10"/>
      <c r="P512" s="10"/>
      <c r="Q512" s="10"/>
    </row>
    <row r="513" spans="14:17" ht="15.75">
      <c r="N513" s="244" t="s">
        <v>1044</v>
      </c>
      <c r="O513" s="245"/>
      <c r="P513" s="246"/>
      <c r="Q513" s="247" t="s">
        <v>1028</v>
      </c>
    </row>
    <row r="514" spans="14:17">
      <c r="N514" s="248" t="s">
        <v>1029</v>
      </c>
      <c r="O514" s="248" t="s">
        <v>1030</v>
      </c>
      <c r="P514" s="248" t="s">
        <v>1031</v>
      </c>
      <c r="Q514" s="249" t="s">
        <v>1032</v>
      </c>
    </row>
    <row r="515" spans="14:17">
      <c r="N515" s="248" t="s">
        <v>1033</v>
      </c>
      <c r="O515" s="248" t="s">
        <v>1034</v>
      </c>
      <c r="P515" s="248" t="s">
        <v>1035</v>
      </c>
      <c r="Q515" s="248" t="s">
        <v>1045</v>
      </c>
    </row>
    <row r="516" spans="14:17">
      <c r="N516" s="248" t="s">
        <v>1037</v>
      </c>
      <c r="O516" s="248" t="s">
        <v>1034</v>
      </c>
      <c r="P516" s="248" t="s">
        <v>1035</v>
      </c>
      <c r="Q516" s="248" t="s">
        <v>1046</v>
      </c>
    </row>
    <row r="517" spans="14:17">
      <c r="N517" s="248" t="s">
        <v>1037</v>
      </c>
      <c r="O517" s="248" t="s">
        <v>1034</v>
      </c>
      <c r="P517" s="248" t="s">
        <v>1039</v>
      </c>
      <c r="Q517" s="248" t="s">
        <v>1047</v>
      </c>
    </row>
    <row r="518" spans="14:17">
      <c r="N518" s="248" t="s">
        <v>1037</v>
      </c>
      <c r="O518" s="248" t="s">
        <v>1042</v>
      </c>
      <c r="P518" s="248" t="s">
        <v>1039</v>
      </c>
      <c r="Q518" s="248" t="s">
        <v>1048</v>
      </c>
    </row>
  </sheetData>
  <sheetProtection algorithmName="SHA-512" hashValue="TCtm8WPP85kGKXNPGG5po2AbIIewXtMiYXnZ2S2mNrKseMWl/Ucdck+zYqu1HyHm2MRQiaUeHueGRmX38bK3Yw==" saltValue="wQektfQmr1fBqkxDdhYygQ==" spinCount="100000" sheet="1" objects="1" scenarios="1"/>
  <dataValidations disablePrompts="1" count="24">
    <dataValidation type="list" allowBlank="1" showInputMessage="1" showErrorMessage="1" sqref="WVW983229 JK189 TG189 ADC189 AMY189 AWU189 BGQ189 BQM189 CAI189 CKE189 CUA189 DDW189 DNS189 DXO189 EHK189 ERG189 FBC189 FKY189 FUU189 GEQ189 GOM189 GYI189 HIE189 HSA189 IBW189 ILS189 IVO189 JFK189 JPG189 JZC189 KIY189 KSU189 LCQ189 LMM189 LWI189 MGE189 MQA189 MZW189 NJS189 NTO189 ODK189 ONG189 OXC189 PGY189 PQU189 QAQ189 QKM189 QUI189 REE189 ROA189 RXW189 SHS189 SRO189 TBK189 TLG189 TVC189 UEY189 UOU189 UYQ189 VIM189 VSI189 WCE189 WMA189 WVW189 O65725 JK65725 TG65725 ADC65725 AMY65725 AWU65725 BGQ65725 BQM65725 CAI65725 CKE65725 CUA65725 DDW65725 DNS65725 DXO65725 EHK65725 ERG65725 FBC65725 FKY65725 FUU65725 GEQ65725 GOM65725 GYI65725 HIE65725 HSA65725 IBW65725 ILS65725 IVO65725 JFK65725 JPG65725 JZC65725 KIY65725 KSU65725 LCQ65725 LMM65725 LWI65725 MGE65725 MQA65725 MZW65725 NJS65725 NTO65725 ODK65725 ONG65725 OXC65725 PGY65725 PQU65725 QAQ65725 QKM65725 QUI65725 REE65725 ROA65725 RXW65725 SHS65725 SRO65725 TBK65725 TLG65725 TVC65725 UEY65725 UOU65725 UYQ65725 VIM65725 VSI65725 WCE65725 WMA65725 WVW65725 O131261 JK131261 TG131261 ADC131261 AMY131261 AWU131261 BGQ131261 BQM131261 CAI131261 CKE131261 CUA131261 DDW131261 DNS131261 DXO131261 EHK131261 ERG131261 FBC131261 FKY131261 FUU131261 GEQ131261 GOM131261 GYI131261 HIE131261 HSA131261 IBW131261 ILS131261 IVO131261 JFK131261 JPG131261 JZC131261 KIY131261 KSU131261 LCQ131261 LMM131261 LWI131261 MGE131261 MQA131261 MZW131261 NJS131261 NTO131261 ODK131261 ONG131261 OXC131261 PGY131261 PQU131261 QAQ131261 QKM131261 QUI131261 REE131261 ROA131261 RXW131261 SHS131261 SRO131261 TBK131261 TLG131261 TVC131261 UEY131261 UOU131261 UYQ131261 VIM131261 VSI131261 WCE131261 WMA131261 WVW131261 O196797 JK196797 TG196797 ADC196797 AMY196797 AWU196797 BGQ196797 BQM196797 CAI196797 CKE196797 CUA196797 DDW196797 DNS196797 DXO196797 EHK196797 ERG196797 FBC196797 FKY196797 FUU196797 GEQ196797 GOM196797 GYI196797 HIE196797 HSA196797 IBW196797 ILS196797 IVO196797 JFK196797 JPG196797 JZC196797 KIY196797 KSU196797 LCQ196797 LMM196797 LWI196797 MGE196797 MQA196797 MZW196797 NJS196797 NTO196797 ODK196797 ONG196797 OXC196797 PGY196797 PQU196797 QAQ196797 QKM196797 QUI196797 REE196797 ROA196797 RXW196797 SHS196797 SRO196797 TBK196797 TLG196797 TVC196797 UEY196797 UOU196797 UYQ196797 VIM196797 VSI196797 WCE196797 WMA196797 WVW196797 O262333 JK262333 TG262333 ADC262333 AMY262333 AWU262333 BGQ262333 BQM262333 CAI262333 CKE262333 CUA262333 DDW262333 DNS262333 DXO262333 EHK262333 ERG262333 FBC262333 FKY262333 FUU262333 GEQ262333 GOM262333 GYI262333 HIE262333 HSA262333 IBW262333 ILS262333 IVO262333 JFK262333 JPG262333 JZC262333 KIY262333 KSU262333 LCQ262333 LMM262333 LWI262333 MGE262333 MQA262333 MZW262333 NJS262333 NTO262333 ODK262333 ONG262333 OXC262333 PGY262333 PQU262333 QAQ262333 QKM262333 QUI262333 REE262333 ROA262333 RXW262333 SHS262333 SRO262333 TBK262333 TLG262333 TVC262333 UEY262333 UOU262333 UYQ262333 VIM262333 VSI262333 WCE262333 WMA262333 WVW262333 O327869 JK327869 TG327869 ADC327869 AMY327869 AWU327869 BGQ327869 BQM327869 CAI327869 CKE327869 CUA327869 DDW327869 DNS327869 DXO327869 EHK327869 ERG327869 FBC327869 FKY327869 FUU327869 GEQ327869 GOM327869 GYI327869 HIE327869 HSA327869 IBW327869 ILS327869 IVO327869 JFK327869 JPG327869 JZC327869 KIY327869 KSU327869 LCQ327869 LMM327869 LWI327869 MGE327869 MQA327869 MZW327869 NJS327869 NTO327869 ODK327869 ONG327869 OXC327869 PGY327869 PQU327869 QAQ327869 QKM327869 QUI327869 REE327869 ROA327869 RXW327869 SHS327869 SRO327869 TBK327869 TLG327869 TVC327869 UEY327869 UOU327869 UYQ327869 VIM327869 VSI327869 WCE327869 WMA327869 WVW327869 O393405 JK393405 TG393405 ADC393405 AMY393405 AWU393405 BGQ393405 BQM393405 CAI393405 CKE393405 CUA393405 DDW393405 DNS393405 DXO393405 EHK393405 ERG393405 FBC393405 FKY393405 FUU393405 GEQ393405 GOM393405 GYI393405 HIE393405 HSA393405 IBW393405 ILS393405 IVO393405 JFK393405 JPG393405 JZC393405 KIY393405 KSU393405 LCQ393405 LMM393405 LWI393405 MGE393405 MQA393405 MZW393405 NJS393405 NTO393405 ODK393405 ONG393405 OXC393405 PGY393405 PQU393405 QAQ393405 QKM393405 QUI393405 REE393405 ROA393405 RXW393405 SHS393405 SRO393405 TBK393405 TLG393405 TVC393405 UEY393405 UOU393405 UYQ393405 VIM393405 VSI393405 WCE393405 WMA393405 WVW393405 O458941 JK458941 TG458941 ADC458941 AMY458941 AWU458941 BGQ458941 BQM458941 CAI458941 CKE458941 CUA458941 DDW458941 DNS458941 DXO458941 EHK458941 ERG458941 FBC458941 FKY458941 FUU458941 GEQ458941 GOM458941 GYI458941 HIE458941 HSA458941 IBW458941 ILS458941 IVO458941 JFK458941 JPG458941 JZC458941 KIY458941 KSU458941 LCQ458941 LMM458941 LWI458941 MGE458941 MQA458941 MZW458941 NJS458941 NTO458941 ODK458941 ONG458941 OXC458941 PGY458941 PQU458941 QAQ458941 QKM458941 QUI458941 REE458941 ROA458941 RXW458941 SHS458941 SRO458941 TBK458941 TLG458941 TVC458941 UEY458941 UOU458941 UYQ458941 VIM458941 VSI458941 WCE458941 WMA458941 WVW458941 O524477 JK524477 TG524477 ADC524477 AMY524477 AWU524477 BGQ524477 BQM524477 CAI524477 CKE524477 CUA524477 DDW524477 DNS524477 DXO524477 EHK524477 ERG524477 FBC524477 FKY524477 FUU524477 GEQ524477 GOM524477 GYI524477 HIE524477 HSA524477 IBW524477 ILS524477 IVO524477 JFK524477 JPG524477 JZC524477 KIY524477 KSU524477 LCQ524477 LMM524477 LWI524477 MGE524477 MQA524477 MZW524477 NJS524477 NTO524477 ODK524477 ONG524477 OXC524477 PGY524477 PQU524477 QAQ524477 QKM524477 QUI524477 REE524477 ROA524477 RXW524477 SHS524477 SRO524477 TBK524477 TLG524477 TVC524477 UEY524477 UOU524477 UYQ524477 VIM524477 VSI524477 WCE524477 WMA524477 WVW524477 O590013 JK590013 TG590013 ADC590013 AMY590013 AWU590013 BGQ590013 BQM590013 CAI590013 CKE590013 CUA590013 DDW590013 DNS590013 DXO590013 EHK590013 ERG590013 FBC590013 FKY590013 FUU590013 GEQ590013 GOM590013 GYI590013 HIE590013 HSA590013 IBW590013 ILS590013 IVO590013 JFK590013 JPG590013 JZC590013 KIY590013 KSU590013 LCQ590013 LMM590013 LWI590013 MGE590013 MQA590013 MZW590013 NJS590013 NTO590013 ODK590013 ONG590013 OXC590013 PGY590013 PQU590013 QAQ590013 QKM590013 QUI590013 REE590013 ROA590013 RXW590013 SHS590013 SRO590013 TBK590013 TLG590013 TVC590013 UEY590013 UOU590013 UYQ590013 VIM590013 VSI590013 WCE590013 WMA590013 WVW590013 O655549 JK655549 TG655549 ADC655549 AMY655549 AWU655549 BGQ655549 BQM655549 CAI655549 CKE655549 CUA655549 DDW655549 DNS655549 DXO655549 EHK655549 ERG655549 FBC655549 FKY655549 FUU655549 GEQ655549 GOM655549 GYI655549 HIE655549 HSA655549 IBW655549 ILS655549 IVO655549 JFK655549 JPG655549 JZC655549 KIY655549 KSU655549 LCQ655549 LMM655549 LWI655549 MGE655549 MQA655549 MZW655549 NJS655549 NTO655549 ODK655549 ONG655549 OXC655549 PGY655549 PQU655549 QAQ655549 QKM655549 QUI655549 REE655549 ROA655549 RXW655549 SHS655549 SRO655549 TBK655549 TLG655549 TVC655549 UEY655549 UOU655549 UYQ655549 VIM655549 VSI655549 WCE655549 WMA655549 WVW655549 O721085 JK721085 TG721085 ADC721085 AMY721085 AWU721085 BGQ721085 BQM721085 CAI721085 CKE721085 CUA721085 DDW721085 DNS721085 DXO721085 EHK721085 ERG721085 FBC721085 FKY721085 FUU721085 GEQ721085 GOM721085 GYI721085 HIE721085 HSA721085 IBW721085 ILS721085 IVO721085 JFK721085 JPG721085 JZC721085 KIY721085 KSU721085 LCQ721085 LMM721085 LWI721085 MGE721085 MQA721085 MZW721085 NJS721085 NTO721085 ODK721085 ONG721085 OXC721085 PGY721085 PQU721085 QAQ721085 QKM721085 QUI721085 REE721085 ROA721085 RXW721085 SHS721085 SRO721085 TBK721085 TLG721085 TVC721085 UEY721085 UOU721085 UYQ721085 VIM721085 VSI721085 WCE721085 WMA721085 WVW721085 O786621 JK786621 TG786621 ADC786621 AMY786621 AWU786621 BGQ786621 BQM786621 CAI786621 CKE786621 CUA786621 DDW786621 DNS786621 DXO786621 EHK786621 ERG786621 FBC786621 FKY786621 FUU786621 GEQ786621 GOM786621 GYI786621 HIE786621 HSA786621 IBW786621 ILS786621 IVO786621 JFK786621 JPG786621 JZC786621 KIY786621 KSU786621 LCQ786621 LMM786621 LWI786621 MGE786621 MQA786621 MZW786621 NJS786621 NTO786621 ODK786621 ONG786621 OXC786621 PGY786621 PQU786621 QAQ786621 QKM786621 QUI786621 REE786621 ROA786621 RXW786621 SHS786621 SRO786621 TBK786621 TLG786621 TVC786621 UEY786621 UOU786621 UYQ786621 VIM786621 VSI786621 WCE786621 WMA786621 WVW786621 O852157 JK852157 TG852157 ADC852157 AMY852157 AWU852157 BGQ852157 BQM852157 CAI852157 CKE852157 CUA852157 DDW852157 DNS852157 DXO852157 EHK852157 ERG852157 FBC852157 FKY852157 FUU852157 GEQ852157 GOM852157 GYI852157 HIE852157 HSA852157 IBW852157 ILS852157 IVO852157 JFK852157 JPG852157 JZC852157 KIY852157 KSU852157 LCQ852157 LMM852157 LWI852157 MGE852157 MQA852157 MZW852157 NJS852157 NTO852157 ODK852157 ONG852157 OXC852157 PGY852157 PQU852157 QAQ852157 QKM852157 QUI852157 REE852157 ROA852157 RXW852157 SHS852157 SRO852157 TBK852157 TLG852157 TVC852157 UEY852157 UOU852157 UYQ852157 VIM852157 VSI852157 WCE852157 WMA852157 WVW852157 O917693 JK917693 TG917693 ADC917693 AMY917693 AWU917693 BGQ917693 BQM917693 CAI917693 CKE917693 CUA917693 DDW917693 DNS917693 DXO917693 EHK917693 ERG917693 FBC917693 FKY917693 FUU917693 GEQ917693 GOM917693 GYI917693 HIE917693 HSA917693 IBW917693 ILS917693 IVO917693 JFK917693 JPG917693 JZC917693 KIY917693 KSU917693 LCQ917693 LMM917693 LWI917693 MGE917693 MQA917693 MZW917693 NJS917693 NTO917693 ODK917693 ONG917693 OXC917693 PGY917693 PQU917693 QAQ917693 QKM917693 QUI917693 REE917693 ROA917693 RXW917693 SHS917693 SRO917693 TBK917693 TLG917693 TVC917693 UEY917693 UOU917693 UYQ917693 VIM917693 VSI917693 WCE917693 WMA917693 WVW917693 O983229 JK983229 TG983229 ADC983229 AMY983229 AWU983229 BGQ983229 BQM983229 CAI983229 CKE983229 CUA983229 DDW983229 DNS983229 DXO983229 EHK983229 ERG983229 FBC983229 FKY983229 FUU983229 GEQ983229 GOM983229 GYI983229 HIE983229 HSA983229 IBW983229 ILS983229 IVO983229 JFK983229 JPG983229 JZC983229 KIY983229 KSU983229 LCQ983229 LMM983229 LWI983229 MGE983229 MQA983229 MZW983229 NJS983229 NTO983229 ODK983229 ONG983229 OXC983229 PGY983229 PQU983229 QAQ983229 QKM983229 QUI983229 REE983229 ROA983229 RXW983229 SHS983229 SRO983229 TBK983229 TLG983229 TVC983229 UEY983229 UOU983229 UYQ983229 VIM983229 VSI983229 WCE983229 WMA983229" xr:uid="{00000000-0002-0000-0000-000000000000}">
      <formula1>Udskrives?</formula1>
    </dataValidation>
    <dataValidation type="list" allowBlank="1" showInputMessage="1" showErrorMessage="1" sqref="WVO983090 JC50 SY50 ACU50 AMQ50 AWM50 BGI50 BQE50 CAA50 CJW50 CTS50 DDO50 DNK50 DXG50 EHC50 EQY50 FAU50 FKQ50 FUM50 GEI50 GOE50 GYA50 HHW50 HRS50 IBO50 ILK50 IVG50 JFC50 JOY50 JYU50 KIQ50 KSM50 LCI50 LME50 LWA50 MFW50 MPS50 MZO50 NJK50 NTG50 ODC50 OMY50 OWU50 PGQ50 PQM50 QAI50 QKE50 QUA50 RDW50 RNS50 RXO50 SHK50 SRG50 TBC50 TKY50 TUU50 UEQ50 UOM50 UYI50 VIE50 VSA50 WBW50 WLS50 WVO50 G65586 JC65586 SY65586 ACU65586 AMQ65586 AWM65586 BGI65586 BQE65586 CAA65586 CJW65586 CTS65586 DDO65586 DNK65586 DXG65586 EHC65586 EQY65586 FAU65586 FKQ65586 FUM65586 GEI65586 GOE65586 GYA65586 HHW65586 HRS65586 IBO65586 ILK65586 IVG65586 JFC65586 JOY65586 JYU65586 KIQ65586 KSM65586 LCI65586 LME65586 LWA65586 MFW65586 MPS65586 MZO65586 NJK65586 NTG65586 ODC65586 OMY65586 OWU65586 PGQ65586 PQM65586 QAI65586 QKE65586 QUA65586 RDW65586 RNS65586 RXO65586 SHK65586 SRG65586 TBC65586 TKY65586 TUU65586 UEQ65586 UOM65586 UYI65586 VIE65586 VSA65586 WBW65586 WLS65586 WVO65586 G131122 JC131122 SY131122 ACU131122 AMQ131122 AWM131122 BGI131122 BQE131122 CAA131122 CJW131122 CTS131122 DDO131122 DNK131122 DXG131122 EHC131122 EQY131122 FAU131122 FKQ131122 FUM131122 GEI131122 GOE131122 GYA131122 HHW131122 HRS131122 IBO131122 ILK131122 IVG131122 JFC131122 JOY131122 JYU131122 KIQ131122 KSM131122 LCI131122 LME131122 LWA131122 MFW131122 MPS131122 MZO131122 NJK131122 NTG131122 ODC131122 OMY131122 OWU131122 PGQ131122 PQM131122 QAI131122 QKE131122 QUA131122 RDW131122 RNS131122 RXO131122 SHK131122 SRG131122 TBC131122 TKY131122 TUU131122 UEQ131122 UOM131122 UYI131122 VIE131122 VSA131122 WBW131122 WLS131122 WVO131122 G196658 JC196658 SY196658 ACU196658 AMQ196658 AWM196658 BGI196658 BQE196658 CAA196658 CJW196658 CTS196658 DDO196658 DNK196658 DXG196658 EHC196658 EQY196658 FAU196658 FKQ196658 FUM196658 GEI196658 GOE196658 GYA196658 HHW196658 HRS196658 IBO196658 ILK196658 IVG196658 JFC196658 JOY196658 JYU196658 KIQ196658 KSM196658 LCI196658 LME196658 LWA196658 MFW196658 MPS196658 MZO196658 NJK196658 NTG196658 ODC196658 OMY196658 OWU196658 PGQ196658 PQM196658 QAI196658 QKE196658 QUA196658 RDW196658 RNS196658 RXO196658 SHK196658 SRG196658 TBC196658 TKY196658 TUU196658 UEQ196658 UOM196658 UYI196658 VIE196658 VSA196658 WBW196658 WLS196658 WVO196658 G262194 JC262194 SY262194 ACU262194 AMQ262194 AWM262194 BGI262194 BQE262194 CAA262194 CJW262194 CTS262194 DDO262194 DNK262194 DXG262194 EHC262194 EQY262194 FAU262194 FKQ262194 FUM262194 GEI262194 GOE262194 GYA262194 HHW262194 HRS262194 IBO262194 ILK262194 IVG262194 JFC262194 JOY262194 JYU262194 KIQ262194 KSM262194 LCI262194 LME262194 LWA262194 MFW262194 MPS262194 MZO262194 NJK262194 NTG262194 ODC262194 OMY262194 OWU262194 PGQ262194 PQM262194 QAI262194 QKE262194 QUA262194 RDW262194 RNS262194 RXO262194 SHK262194 SRG262194 TBC262194 TKY262194 TUU262194 UEQ262194 UOM262194 UYI262194 VIE262194 VSA262194 WBW262194 WLS262194 WVO262194 G327730 JC327730 SY327730 ACU327730 AMQ327730 AWM327730 BGI327730 BQE327730 CAA327730 CJW327730 CTS327730 DDO327730 DNK327730 DXG327730 EHC327730 EQY327730 FAU327730 FKQ327730 FUM327730 GEI327730 GOE327730 GYA327730 HHW327730 HRS327730 IBO327730 ILK327730 IVG327730 JFC327730 JOY327730 JYU327730 KIQ327730 KSM327730 LCI327730 LME327730 LWA327730 MFW327730 MPS327730 MZO327730 NJK327730 NTG327730 ODC327730 OMY327730 OWU327730 PGQ327730 PQM327730 QAI327730 QKE327730 QUA327730 RDW327730 RNS327730 RXO327730 SHK327730 SRG327730 TBC327730 TKY327730 TUU327730 UEQ327730 UOM327730 UYI327730 VIE327730 VSA327730 WBW327730 WLS327730 WVO327730 G393266 JC393266 SY393266 ACU393266 AMQ393266 AWM393266 BGI393266 BQE393266 CAA393266 CJW393266 CTS393266 DDO393266 DNK393266 DXG393266 EHC393266 EQY393266 FAU393266 FKQ393266 FUM393266 GEI393266 GOE393266 GYA393266 HHW393266 HRS393266 IBO393266 ILK393266 IVG393266 JFC393266 JOY393266 JYU393266 KIQ393266 KSM393266 LCI393266 LME393266 LWA393266 MFW393266 MPS393266 MZO393266 NJK393266 NTG393266 ODC393266 OMY393266 OWU393266 PGQ393266 PQM393266 QAI393266 QKE393266 QUA393266 RDW393266 RNS393266 RXO393266 SHK393266 SRG393266 TBC393266 TKY393266 TUU393266 UEQ393266 UOM393266 UYI393266 VIE393266 VSA393266 WBW393266 WLS393266 WVO393266 G458802 JC458802 SY458802 ACU458802 AMQ458802 AWM458802 BGI458802 BQE458802 CAA458802 CJW458802 CTS458802 DDO458802 DNK458802 DXG458802 EHC458802 EQY458802 FAU458802 FKQ458802 FUM458802 GEI458802 GOE458802 GYA458802 HHW458802 HRS458802 IBO458802 ILK458802 IVG458802 JFC458802 JOY458802 JYU458802 KIQ458802 KSM458802 LCI458802 LME458802 LWA458802 MFW458802 MPS458802 MZO458802 NJK458802 NTG458802 ODC458802 OMY458802 OWU458802 PGQ458802 PQM458802 QAI458802 QKE458802 QUA458802 RDW458802 RNS458802 RXO458802 SHK458802 SRG458802 TBC458802 TKY458802 TUU458802 UEQ458802 UOM458802 UYI458802 VIE458802 VSA458802 WBW458802 WLS458802 WVO458802 G524338 JC524338 SY524338 ACU524338 AMQ524338 AWM524338 BGI524338 BQE524338 CAA524338 CJW524338 CTS524338 DDO524338 DNK524338 DXG524338 EHC524338 EQY524338 FAU524338 FKQ524338 FUM524338 GEI524338 GOE524338 GYA524338 HHW524338 HRS524338 IBO524338 ILK524338 IVG524338 JFC524338 JOY524338 JYU524338 KIQ524338 KSM524338 LCI524338 LME524338 LWA524338 MFW524338 MPS524338 MZO524338 NJK524338 NTG524338 ODC524338 OMY524338 OWU524338 PGQ524338 PQM524338 QAI524338 QKE524338 QUA524338 RDW524338 RNS524338 RXO524338 SHK524338 SRG524338 TBC524338 TKY524338 TUU524338 UEQ524338 UOM524338 UYI524338 VIE524338 VSA524338 WBW524338 WLS524338 WVO524338 G589874 JC589874 SY589874 ACU589874 AMQ589874 AWM589874 BGI589874 BQE589874 CAA589874 CJW589874 CTS589874 DDO589874 DNK589874 DXG589874 EHC589874 EQY589874 FAU589874 FKQ589874 FUM589874 GEI589874 GOE589874 GYA589874 HHW589874 HRS589874 IBO589874 ILK589874 IVG589874 JFC589874 JOY589874 JYU589874 KIQ589874 KSM589874 LCI589874 LME589874 LWA589874 MFW589874 MPS589874 MZO589874 NJK589874 NTG589874 ODC589874 OMY589874 OWU589874 PGQ589874 PQM589874 QAI589874 QKE589874 QUA589874 RDW589874 RNS589874 RXO589874 SHK589874 SRG589874 TBC589874 TKY589874 TUU589874 UEQ589874 UOM589874 UYI589874 VIE589874 VSA589874 WBW589874 WLS589874 WVO589874 G655410 JC655410 SY655410 ACU655410 AMQ655410 AWM655410 BGI655410 BQE655410 CAA655410 CJW655410 CTS655410 DDO655410 DNK655410 DXG655410 EHC655410 EQY655410 FAU655410 FKQ655410 FUM655410 GEI655410 GOE655410 GYA655410 HHW655410 HRS655410 IBO655410 ILK655410 IVG655410 JFC655410 JOY655410 JYU655410 KIQ655410 KSM655410 LCI655410 LME655410 LWA655410 MFW655410 MPS655410 MZO655410 NJK655410 NTG655410 ODC655410 OMY655410 OWU655410 PGQ655410 PQM655410 QAI655410 QKE655410 QUA655410 RDW655410 RNS655410 RXO655410 SHK655410 SRG655410 TBC655410 TKY655410 TUU655410 UEQ655410 UOM655410 UYI655410 VIE655410 VSA655410 WBW655410 WLS655410 WVO655410 G720946 JC720946 SY720946 ACU720946 AMQ720946 AWM720946 BGI720946 BQE720946 CAA720946 CJW720946 CTS720946 DDO720946 DNK720946 DXG720946 EHC720946 EQY720946 FAU720946 FKQ720946 FUM720946 GEI720946 GOE720946 GYA720946 HHW720946 HRS720946 IBO720946 ILK720946 IVG720946 JFC720946 JOY720946 JYU720946 KIQ720946 KSM720946 LCI720946 LME720946 LWA720946 MFW720946 MPS720946 MZO720946 NJK720946 NTG720946 ODC720946 OMY720946 OWU720946 PGQ720946 PQM720946 QAI720946 QKE720946 QUA720946 RDW720946 RNS720946 RXO720946 SHK720946 SRG720946 TBC720946 TKY720946 TUU720946 UEQ720946 UOM720946 UYI720946 VIE720946 VSA720946 WBW720946 WLS720946 WVO720946 G786482 JC786482 SY786482 ACU786482 AMQ786482 AWM786482 BGI786482 BQE786482 CAA786482 CJW786482 CTS786482 DDO786482 DNK786482 DXG786482 EHC786482 EQY786482 FAU786482 FKQ786482 FUM786482 GEI786482 GOE786482 GYA786482 HHW786482 HRS786482 IBO786482 ILK786482 IVG786482 JFC786482 JOY786482 JYU786482 KIQ786482 KSM786482 LCI786482 LME786482 LWA786482 MFW786482 MPS786482 MZO786482 NJK786482 NTG786482 ODC786482 OMY786482 OWU786482 PGQ786482 PQM786482 QAI786482 QKE786482 QUA786482 RDW786482 RNS786482 RXO786482 SHK786482 SRG786482 TBC786482 TKY786482 TUU786482 UEQ786482 UOM786482 UYI786482 VIE786482 VSA786482 WBW786482 WLS786482 WVO786482 G852018 JC852018 SY852018 ACU852018 AMQ852018 AWM852018 BGI852018 BQE852018 CAA852018 CJW852018 CTS852018 DDO852018 DNK852018 DXG852018 EHC852018 EQY852018 FAU852018 FKQ852018 FUM852018 GEI852018 GOE852018 GYA852018 HHW852018 HRS852018 IBO852018 ILK852018 IVG852018 JFC852018 JOY852018 JYU852018 KIQ852018 KSM852018 LCI852018 LME852018 LWA852018 MFW852018 MPS852018 MZO852018 NJK852018 NTG852018 ODC852018 OMY852018 OWU852018 PGQ852018 PQM852018 QAI852018 QKE852018 QUA852018 RDW852018 RNS852018 RXO852018 SHK852018 SRG852018 TBC852018 TKY852018 TUU852018 UEQ852018 UOM852018 UYI852018 VIE852018 VSA852018 WBW852018 WLS852018 WVO852018 G917554 JC917554 SY917554 ACU917554 AMQ917554 AWM917554 BGI917554 BQE917554 CAA917554 CJW917554 CTS917554 DDO917554 DNK917554 DXG917554 EHC917554 EQY917554 FAU917554 FKQ917554 FUM917554 GEI917554 GOE917554 GYA917554 HHW917554 HRS917554 IBO917554 ILK917554 IVG917554 JFC917554 JOY917554 JYU917554 KIQ917554 KSM917554 LCI917554 LME917554 LWA917554 MFW917554 MPS917554 MZO917554 NJK917554 NTG917554 ODC917554 OMY917554 OWU917554 PGQ917554 PQM917554 QAI917554 QKE917554 QUA917554 RDW917554 RNS917554 RXO917554 SHK917554 SRG917554 TBC917554 TKY917554 TUU917554 UEQ917554 UOM917554 UYI917554 VIE917554 VSA917554 WBW917554 WLS917554 WVO917554 G983090 JC983090 SY983090 ACU983090 AMQ983090 AWM983090 BGI983090 BQE983090 CAA983090 CJW983090 CTS983090 DDO983090 DNK983090 DXG983090 EHC983090 EQY983090 FAU983090 FKQ983090 FUM983090 GEI983090 GOE983090 GYA983090 HHW983090 HRS983090 IBO983090 ILK983090 IVG983090 JFC983090 JOY983090 JYU983090 KIQ983090 KSM983090 LCI983090 LME983090 LWA983090 MFW983090 MPS983090 MZO983090 NJK983090 NTG983090 ODC983090 OMY983090 OWU983090 PGQ983090 PQM983090 QAI983090 QKE983090 QUA983090 RDW983090 RNS983090 RXO983090 SHK983090 SRG983090 TBC983090 TKY983090 TUU983090 UEQ983090 UOM983090 UYI983090 VIE983090 VSA983090 WBW983090 WLS983090" xr:uid="{00000000-0002-0000-0000-000001000000}">
      <formula1>nyttelastkategori</formula1>
    </dataValidation>
    <dataValidation type="list" allowBlank="1" showInputMessage="1" showErrorMessage="1" sqref="WVQ983051 JE11 TA11 ACW11 AMS11 AWO11 BGK11 BQG11 CAC11 CJY11 CTU11 DDQ11 DNM11 DXI11 EHE11 ERA11 FAW11 FKS11 FUO11 GEK11 GOG11 GYC11 HHY11 HRU11 IBQ11 ILM11 IVI11 JFE11 JPA11 JYW11 KIS11 KSO11 LCK11 LMG11 LWC11 MFY11 MPU11 MZQ11 NJM11 NTI11 ODE11 ONA11 OWW11 PGS11 PQO11 QAK11 QKG11 QUC11 RDY11 RNU11 RXQ11 SHM11 SRI11 TBE11 TLA11 TUW11 UES11 UOO11 UYK11 VIG11 VSC11 WBY11 WLU11 WVQ11 I65547 JE65547 TA65547 ACW65547 AMS65547 AWO65547 BGK65547 BQG65547 CAC65547 CJY65547 CTU65547 DDQ65547 DNM65547 DXI65547 EHE65547 ERA65547 FAW65547 FKS65547 FUO65547 GEK65547 GOG65547 GYC65547 HHY65547 HRU65547 IBQ65547 ILM65547 IVI65547 JFE65547 JPA65547 JYW65547 KIS65547 KSO65547 LCK65547 LMG65547 LWC65547 MFY65547 MPU65547 MZQ65547 NJM65547 NTI65547 ODE65547 ONA65547 OWW65547 PGS65547 PQO65547 QAK65547 QKG65547 QUC65547 RDY65547 RNU65547 RXQ65547 SHM65547 SRI65547 TBE65547 TLA65547 TUW65547 UES65547 UOO65547 UYK65547 VIG65547 VSC65547 WBY65547 WLU65547 WVQ65547 I131083 JE131083 TA131083 ACW131083 AMS131083 AWO131083 BGK131083 BQG131083 CAC131083 CJY131083 CTU131083 DDQ131083 DNM131083 DXI131083 EHE131083 ERA131083 FAW131083 FKS131083 FUO131083 GEK131083 GOG131083 GYC131083 HHY131083 HRU131083 IBQ131083 ILM131083 IVI131083 JFE131083 JPA131083 JYW131083 KIS131083 KSO131083 LCK131083 LMG131083 LWC131083 MFY131083 MPU131083 MZQ131083 NJM131083 NTI131083 ODE131083 ONA131083 OWW131083 PGS131083 PQO131083 QAK131083 QKG131083 QUC131083 RDY131083 RNU131083 RXQ131083 SHM131083 SRI131083 TBE131083 TLA131083 TUW131083 UES131083 UOO131083 UYK131083 VIG131083 VSC131083 WBY131083 WLU131083 WVQ131083 I196619 JE196619 TA196619 ACW196619 AMS196619 AWO196619 BGK196619 BQG196619 CAC196619 CJY196619 CTU196619 DDQ196619 DNM196619 DXI196619 EHE196619 ERA196619 FAW196619 FKS196619 FUO196619 GEK196619 GOG196619 GYC196619 HHY196619 HRU196619 IBQ196619 ILM196619 IVI196619 JFE196619 JPA196619 JYW196619 KIS196619 KSO196619 LCK196619 LMG196619 LWC196619 MFY196619 MPU196619 MZQ196619 NJM196619 NTI196619 ODE196619 ONA196619 OWW196619 PGS196619 PQO196619 QAK196619 QKG196619 QUC196619 RDY196619 RNU196619 RXQ196619 SHM196619 SRI196619 TBE196619 TLA196619 TUW196619 UES196619 UOO196619 UYK196619 VIG196619 VSC196619 WBY196619 WLU196619 WVQ196619 I262155 JE262155 TA262155 ACW262155 AMS262155 AWO262155 BGK262155 BQG262155 CAC262155 CJY262155 CTU262155 DDQ262155 DNM262155 DXI262155 EHE262155 ERA262155 FAW262155 FKS262155 FUO262155 GEK262155 GOG262155 GYC262155 HHY262155 HRU262155 IBQ262155 ILM262155 IVI262155 JFE262155 JPA262155 JYW262155 KIS262155 KSO262155 LCK262155 LMG262155 LWC262155 MFY262155 MPU262155 MZQ262155 NJM262155 NTI262155 ODE262155 ONA262155 OWW262155 PGS262155 PQO262155 QAK262155 QKG262155 QUC262155 RDY262155 RNU262155 RXQ262155 SHM262155 SRI262155 TBE262155 TLA262155 TUW262155 UES262155 UOO262155 UYK262155 VIG262155 VSC262155 WBY262155 WLU262155 WVQ262155 I327691 JE327691 TA327691 ACW327691 AMS327691 AWO327691 BGK327691 BQG327691 CAC327691 CJY327691 CTU327691 DDQ327691 DNM327691 DXI327691 EHE327691 ERA327691 FAW327691 FKS327691 FUO327691 GEK327691 GOG327691 GYC327691 HHY327691 HRU327691 IBQ327691 ILM327691 IVI327691 JFE327691 JPA327691 JYW327691 KIS327691 KSO327691 LCK327691 LMG327691 LWC327691 MFY327691 MPU327691 MZQ327691 NJM327691 NTI327691 ODE327691 ONA327691 OWW327691 PGS327691 PQO327691 QAK327691 QKG327691 QUC327691 RDY327691 RNU327691 RXQ327691 SHM327691 SRI327691 TBE327691 TLA327691 TUW327691 UES327691 UOO327691 UYK327691 VIG327691 VSC327691 WBY327691 WLU327691 WVQ327691 I393227 JE393227 TA393227 ACW393227 AMS393227 AWO393227 BGK393227 BQG393227 CAC393227 CJY393227 CTU393227 DDQ393227 DNM393227 DXI393227 EHE393227 ERA393227 FAW393227 FKS393227 FUO393227 GEK393227 GOG393227 GYC393227 HHY393227 HRU393227 IBQ393227 ILM393227 IVI393227 JFE393227 JPA393227 JYW393227 KIS393227 KSO393227 LCK393227 LMG393227 LWC393227 MFY393227 MPU393227 MZQ393227 NJM393227 NTI393227 ODE393227 ONA393227 OWW393227 PGS393227 PQO393227 QAK393227 QKG393227 QUC393227 RDY393227 RNU393227 RXQ393227 SHM393227 SRI393227 TBE393227 TLA393227 TUW393227 UES393227 UOO393227 UYK393227 VIG393227 VSC393227 WBY393227 WLU393227 WVQ393227 I458763 JE458763 TA458763 ACW458763 AMS458763 AWO458763 BGK458763 BQG458763 CAC458763 CJY458763 CTU458763 DDQ458763 DNM458763 DXI458763 EHE458763 ERA458763 FAW458763 FKS458763 FUO458763 GEK458763 GOG458763 GYC458763 HHY458763 HRU458763 IBQ458763 ILM458763 IVI458763 JFE458763 JPA458763 JYW458763 KIS458763 KSO458763 LCK458763 LMG458763 LWC458763 MFY458763 MPU458763 MZQ458763 NJM458763 NTI458763 ODE458763 ONA458763 OWW458763 PGS458763 PQO458763 QAK458763 QKG458763 QUC458763 RDY458763 RNU458763 RXQ458763 SHM458763 SRI458763 TBE458763 TLA458763 TUW458763 UES458763 UOO458763 UYK458763 VIG458763 VSC458763 WBY458763 WLU458763 WVQ458763 I524299 JE524299 TA524299 ACW524299 AMS524299 AWO524299 BGK524299 BQG524299 CAC524299 CJY524299 CTU524299 DDQ524299 DNM524299 DXI524299 EHE524299 ERA524299 FAW524299 FKS524299 FUO524299 GEK524299 GOG524299 GYC524299 HHY524299 HRU524299 IBQ524299 ILM524299 IVI524299 JFE524299 JPA524299 JYW524299 KIS524299 KSO524299 LCK524299 LMG524299 LWC524299 MFY524299 MPU524299 MZQ524299 NJM524299 NTI524299 ODE524299 ONA524299 OWW524299 PGS524299 PQO524299 QAK524299 QKG524299 QUC524299 RDY524299 RNU524299 RXQ524299 SHM524299 SRI524299 TBE524299 TLA524299 TUW524299 UES524299 UOO524299 UYK524299 VIG524299 VSC524299 WBY524299 WLU524299 WVQ524299 I589835 JE589835 TA589835 ACW589835 AMS589835 AWO589835 BGK589835 BQG589835 CAC589835 CJY589835 CTU589835 DDQ589835 DNM589835 DXI589835 EHE589835 ERA589835 FAW589835 FKS589835 FUO589835 GEK589835 GOG589835 GYC589835 HHY589835 HRU589835 IBQ589835 ILM589835 IVI589835 JFE589835 JPA589835 JYW589835 KIS589835 KSO589835 LCK589835 LMG589835 LWC589835 MFY589835 MPU589835 MZQ589835 NJM589835 NTI589835 ODE589835 ONA589835 OWW589835 PGS589835 PQO589835 QAK589835 QKG589835 QUC589835 RDY589835 RNU589835 RXQ589835 SHM589835 SRI589835 TBE589835 TLA589835 TUW589835 UES589835 UOO589835 UYK589835 VIG589835 VSC589835 WBY589835 WLU589835 WVQ589835 I655371 JE655371 TA655371 ACW655371 AMS655371 AWO655371 BGK655371 BQG655371 CAC655371 CJY655371 CTU655371 DDQ655371 DNM655371 DXI655371 EHE655371 ERA655371 FAW655371 FKS655371 FUO655371 GEK655371 GOG655371 GYC655371 HHY655371 HRU655371 IBQ655371 ILM655371 IVI655371 JFE655371 JPA655371 JYW655371 KIS655371 KSO655371 LCK655371 LMG655371 LWC655371 MFY655371 MPU655371 MZQ655371 NJM655371 NTI655371 ODE655371 ONA655371 OWW655371 PGS655371 PQO655371 QAK655371 QKG655371 QUC655371 RDY655371 RNU655371 RXQ655371 SHM655371 SRI655371 TBE655371 TLA655371 TUW655371 UES655371 UOO655371 UYK655371 VIG655371 VSC655371 WBY655371 WLU655371 WVQ655371 I720907 JE720907 TA720907 ACW720907 AMS720907 AWO720907 BGK720907 BQG720907 CAC720907 CJY720907 CTU720907 DDQ720907 DNM720907 DXI720907 EHE720907 ERA720907 FAW720907 FKS720907 FUO720907 GEK720907 GOG720907 GYC720907 HHY720907 HRU720907 IBQ720907 ILM720907 IVI720907 JFE720907 JPA720907 JYW720907 KIS720907 KSO720907 LCK720907 LMG720907 LWC720907 MFY720907 MPU720907 MZQ720907 NJM720907 NTI720907 ODE720907 ONA720907 OWW720907 PGS720907 PQO720907 QAK720907 QKG720907 QUC720907 RDY720907 RNU720907 RXQ720907 SHM720907 SRI720907 TBE720907 TLA720907 TUW720907 UES720907 UOO720907 UYK720907 VIG720907 VSC720907 WBY720907 WLU720907 WVQ720907 I786443 JE786443 TA786443 ACW786443 AMS786443 AWO786443 BGK786443 BQG786443 CAC786443 CJY786443 CTU786443 DDQ786443 DNM786443 DXI786443 EHE786443 ERA786443 FAW786443 FKS786443 FUO786443 GEK786443 GOG786443 GYC786443 HHY786443 HRU786443 IBQ786443 ILM786443 IVI786443 JFE786443 JPA786443 JYW786443 KIS786443 KSO786443 LCK786443 LMG786443 LWC786443 MFY786443 MPU786443 MZQ786443 NJM786443 NTI786443 ODE786443 ONA786443 OWW786443 PGS786443 PQO786443 QAK786443 QKG786443 QUC786443 RDY786443 RNU786443 RXQ786443 SHM786443 SRI786443 TBE786443 TLA786443 TUW786443 UES786443 UOO786443 UYK786443 VIG786443 VSC786443 WBY786443 WLU786443 WVQ786443 I851979 JE851979 TA851979 ACW851979 AMS851979 AWO851979 BGK851979 BQG851979 CAC851979 CJY851979 CTU851979 DDQ851979 DNM851979 DXI851979 EHE851979 ERA851979 FAW851979 FKS851979 FUO851979 GEK851979 GOG851979 GYC851979 HHY851979 HRU851979 IBQ851979 ILM851979 IVI851979 JFE851979 JPA851979 JYW851979 KIS851979 KSO851979 LCK851979 LMG851979 LWC851979 MFY851979 MPU851979 MZQ851979 NJM851979 NTI851979 ODE851979 ONA851979 OWW851979 PGS851979 PQO851979 QAK851979 QKG851979 QUC851979 RDY851979 RNU851979 RXQ851979 SHM851979 SRI851979 TBE851979 TLA851979 TUW851979 UES851979 UOO851979 UYK851979 VIG851979 VSC851979 WBY851979 WLU851979 WVQ851979 I917515 JE917515 TA917515 ACW917515 AMS917515 AWO917515 BGK917515 BQG917515 CAC917515 CJY917515 CTU917515 DDQ917515 DNM917515 DXI917515 EHE917515 ERA917515 FAW917515 FKS917515 FUO917515 GEK917515 GOG917515 GYC917515 HHY917515 HRU917515 IBQ917515 ILM917515 IVI917515 JFE917515 JPA917515 JYW917515 KIS917515 KSO917515 LCK917515 LMG917515 LWC917515 MFY917515 MPU917515 MZQ917515 NJM917515 NTI917515 ODE917515 ONA917515 OWW917515 PGS917515 PQO917515 QAK917515 QKG917515 QUC917515 RDY917515 RNU917515 RXQ917515 SHM917515 SRI917515 TBE917515 TLA917515 TUW917515 UES917515 UOO917515 UYK917515 VIG917515 VSC917515 WBY917515 WLU917515 WVQ917515 I983051 JE983051 TA983051 ACW983051 AMS983051 AWO983051 BGK983051 BQG983051 CAC983051 CJY983051 CTU983051 DDQ983051 DNM983051 DXI983051 EHE983051 ERA983051 FAW983051 FKS983051 FUO983051 GEK983051 GOG983051 GYC983051 HHY983051 HRU983051 IBQ983051 ILM983051 IVI983051 JFE983051 JPA983051 JYW983051 KIS983051 KSO983051 LCK983051 LMG983051 LWC983051 MFY983051 MPU983051 MZQ983051 NJM983051 NTI983051 ODE983051 ONA983051 OWW983051 PGS983051 PQO983051 QAK983051 QKG983051 QUC983051 RDY983051 RNU983051 RXQ983051 SHM983051 SRI983051 TBE983051 TLA983051 TUW983051 UES983051 UOO983051 UYK983051 VIG983051 VSC983051 WBY983051 WLU983051" xr:uid="{00000000-0002-0000-0000-000002000000}">
      <formula1>miljøklasse</formula1>
    </dataValidation>
    <dataValidation type="list" allowBlank="1" showInputMessage="1" showErrorMessage="1" sqref="WVQ983049 JE9 TA9 ACW9 AMS9 AWO9 BGK9 BQG9 CAC9 CJY9 CTU9 DDQ9 DNM9 DXI9 EHE9 ERA9 FAW9 FKS9 FUO9 GEK9 GOG9 GYC9 HHY9 HRU9 IBQ9 ILM9 IVI9 JFE9 JPA9 JYW9 KIS9 KSO9 LCK9 LMG9 LWC9 MFY9 MPU9 MZQ9 NJM9 NTI9 ODE9 ONA9 OWW9 PGS9 PQO9 QAK9 QKG9 QUC9 RDY9 RNU9 RXQ9 SHM9 SRI9 TBE9 TLA9 TUW9 UES9 UOO9 UYK9 VIG9 VSC9 WBY9 WLU9 WVQ9 I65545 JE65545 TA65545 ACW65545 AMS65545 AWO65545 BGK65545 BQG65545 CAC65545 CJY65545 CTU65545 DDQ65545 DNM65545 DXI65545 EHE65545 ERA65545 FAW65545 FKS65545 FUO65545 GEK65545 GOG65545 GYC65545 HHY65545 HRU65545 IBQ65545 ILM65545 IVI65545 JFE65545 JPA65545 JYW65545 KIS65545 KSO65545 LCK65545 LMG65545 LWC65545 MFY65545 MPU65545 MZQ65545 NJM65545 NTI65545 ODE65545 ONA65545 OWW65545 PGS65545 PQO65545 QAK65545 QKG65545 QUC65545 RDY65545 RNU65545 RXQ65545 SHM65545 SRI65545 TBE65545 TLA65545 TUW65545 UES65545 UOO65545 UYK65545 VIG65545 VSC65545 WBY65545 WLU65545 WVQ65545 I131081 JE131081 TA131081 ACW131081 AMS131081 AWO131081 BGK131081 BQG131081 CAC131081 CJY131081 CTU131081 DDQ131081 DNM131081 DXI131081 EHE131081 ERA131081 FAW131081 FKS131081 FUO131081 GEK131081 GOG131081 GYC131081 HHY131081 HRU131081 IBQ131081 ILM131081 IVI131081 JFE131081 JPA131081 JYW131081 KIS131081 KSO131081 LCK131081 LMG131081 LWC131081 MFY131081 MPU131081 MZQ131081 NJM131081 NTI131081 ODE131081 ONA131081 OWW131081 PGS131081 PQO131081 QAK131081 QKG131081 QUC131081 RDY131081 RNU131081 RXQ131081 SHM131081 SRI131081 TBE131081 TLA131081 TUW131081 UES131081 UOO131081 UYK131081 VIG131081 VSC131081 WBY131081 WLU131081 WVQ131081 I196617 JE196617 TA196617 ACW196617 AMS196617 AWO196617 BGK196617 BQG196617 CAC196617 CJY196617 CTU196617 DDQ196617 DNM196617 DXI196617 EHE196617 ERA196617 FAW196617 FKS196617 FUO196617 GEK196617 GOG196617 GYC196617 HHY196617 HRU196617 IBQ196617 ILM196617 IVI196617 JFE196617 JPA196617 JYW196617 KIS196617 KSO196617 LCK196617 LMG196617 LWC196617 MFY196617 MPU196617 MZQ196617 NJM196617 NTI196617 ODE196617 ONA196617 OWW196617 PGS196617 PQO196617 QAK196617 QKG196617 QUC196617 RDY196617 RNU196617 RXQ196617 SHM196617 SRI196617 TBE196617 TLA196617 TUW196617 UES196617 UOO196617 UYK196617 VIG196617 VSC196617 WBY196617 WLU196617 WVQ196617 I262153 JE262153 TA262153 ACW262153 AMS262153 AWO262153 BGK262153 BQG262153 CAC262153 CJY262153 CTU262153 DDQ262153 DNM262153 DXI262153 EHE262153 ERA262153 FAW262153 FKS262153 FUO262153 GEK262153 GOG262153 GYC262153 HHY262153 HRU262153 IBQ262153 ILM262153 IVI262153 JFE262153 JPA262153 JYW262153 KIS262153 KSO262153 LCK262153 LMG262153 LWC262153 MFY262153 MPU262153 MZQ262153 NJM262153 NTI262153 ODE262153 ONA262153 OWW262153 PGS262153 PQO262153 QAK262153 QKG262153 QUC262153 RDY262153 RNU262153 RXQ262153 SHM262153 SRI262153 TBE262153 TLA262153 TUW262153 UES262153 UOO262153 UYK262153 VIG262153 VSC262153 WBY262153 WLU262153 WVQ262153 I327689 JE327689 TA327689 ACW327689 AMS327689 AWO327689 BGK327689 BQG327689 CAC327689 CJY327689 CTU327689 DDQ327689 DNM327689 DXI327689 EHE327689 ERA327689 FAW327689 FKS327689 FUO327689 GEK327689 GOG327689 GYC327689 HHY327689 HRU327689 IBQ327689 ILM327689 IVI327689 JFE327689 JPA327689 JYW327689 KIS327689 KSO327689 LCK327689 LMG327689 LWC327689 MFY327689 MPU327689 MZQ327689 NJM327689 NTI327689 ODE327689 ONA327689 OWW327689 PGS327689 PQO327689 QAK327689 QKG327689 QUC327689 RDY327689 RNU327689 RXQ327689 SHM327689 SRI327689 TBE327689 TLA327689 TUW327689 UES327689 UOO327689 UYK327689 VIG327689 VSC327689 WBY327689 WLU327689 WVQ327689 I393225 JE393225 TA393225 ACW393225 AMS393225 AWO393225 BGK393225 BQG393225 CAC393225 CJY393225 CTU393225 DDQ393225 DNM393225 DXI393225 EHE393225 ERA393225 FAW393225 FKS393225 FUO393225 GEK393225 GOG393225 GYC393225 HHY393225 HRU393225 IBQ393225 ILM393225 IVI393225 JFE393225 JPA393225 JYW393225 KIS393225 KSO393225 LCK393225 LMG393225 LWC393225 MFY393225 MPU393225 MZQ393225 NJM393225 NTI393225 ODE393225 ONA393225 OWW393225 PGS393225 PQO393225 QAK393225 QKG393225 QUC393225 RDY393225 RNU393225 RXQ393225 SHM393225 SRI393225 TBE393225 TLA393225 TUW393225 UES393225 UOO393225 UYK393225 VIG393225 VSC393225 WBY393225 WLU393225 WVQ393225 I458761 JE458761 TA458761 ACW458761 AMS458761 AWO458761 BGK458761 BQG458761 CAC458761 CJY458761 CTU458761 DDQ458761 DNM458761 DXI458761 EHE458761 ERA458761 FAW458761 FKS458761 FUO458761 GEK458761 GOG458761 GYC458761 HHY458761 HRU458761 IBQ458761 ILM458761 IVI458761 JFE458761 JPA458761 JYW458761 KIS458761 KSO458761 LCK458761 LMG458761 LWC458761 MFY458761 MPU458761 MZQ458761 NJM458761 NTI458761 ODE458761 ONA458761 OWW458761 PGS458761 PQO458761 QAK458761 QKG458761 QUC458761 RDY458761 RNU458761 RXQ458761 SHM458761 SRI458761 TBE458761 TLA458761 TUW458761 UES458761 UOO458761 UYK458761 VIG458761 VSC458761 WBY458761 WLU458761 WVQ458761 I524297 JE524297 TA524297 ACW524297 AMS524297 AWO524297 BGK524297 BQG524297 CAC524297 CJY524297 CTU524297 DDQ524297 DNM524297 DXI524297 EHE524297 ERA524297 FAW524297 FKS524297 FUO524297 GEK524297 GOG524297 GYC524297 HHY524297 HRU524297 IBQ524297 ILM524297 IVI524297 JFE524297 JPA524297 JYW524297 KIS524297 KSO524297 LCK524297 LMG524297 LWC524297 MFY524297 MPU524297 MZQ524297 NJM524297 NTI524297 ODE524297 ONA524297 OWW524297 PGS524297 PQO524297 QAK524297 QKG524297 QUC524297 RDY524297 RNU524297 RXQ524297 SHM524297 SRI524297 TBE524297 TLA524297 TUW524297 UES524297 UOO524297 UYK524297 VIG524297 VSC524297 WBY524297 WLU524297 WVQ524297 I589833 JE589833 TA589833 ACW589833 AMS589833 AWO589833 BGK589833 BQG589833 CAC589833 CJY589833 CTU589833 DDQ589833 DNM589833 DXI589833 EHE589833 ERA589833 FAW589833 FKS589833 FUO589833 GEK589833 GOG589833 GYC589833 HHY589833 HRU589833 IBQ589833 ILM589833 IVI589833 JFE589833 JPA589833 JYW589833 KIS589833 KSO589833 LCK589833 LMG589833 LWC589833 MFY589833 MPU589833 MZQ589833 NJM589833 NTI589833 ODE589833 ONA589833 OWW589833 PGS589833 PQO589833 QAK589833 QKG589833 QUC589833 RDY589833 RNU589833 RXQ589833 SHM589833 SRI589833 TBE589833 TLA589833 TUW589833 UES589833 UOO589833 UYK589833 VIG589833 VSC589833 WBY589833 WLU589833 WVQ589833 I655369 JE655369 TA655369 ACW655369 AMS655369 AWO655369 BGK655369 BQG655369 CAC655369 CJY655369 CTU655369 DDQ655369 DNM655369 DXI655369 EHE655369 ERA655369 FAW655369 FKS655369 FUO655369 GEK655369 GOG655369 GYC655369 HHY655369 HRU655369 IBQ655369 ILM655369 IVI655369 JFE655369 JPA655369 JYW655369 KIS655369 KSO655369 LCK655369 LMG655369 LWC655369 MFY655369 MPU655369 MZQ655369 NJM655369 NTI655369 ODE655369 ONA655369 OWW655369 PGS655369 PQO655369 QAK655369 QKG655369 QUC655369 RDY655369 RNU655369 RXQ655369 SHM655369 SRI655369 TBE655369 TLA655369 TUW655369 UES655369 UOO655369 UYK655369 VIG655369 VSC655369 WBY655369 WLU655369 WVQ655369 I720905 JE720905 TA720905 ACW720905 AMS720905 AWO720905 BGK720905 BQG720905 CAC720905 CJY720905 CTU720905 DDQ720905 DNM720905 DXI720905 EHE720905 ERA720905 FAW720905 FKS720905 FUO720905 GEK720905 GOG720905 GYC720905 HHY720905 HRU720905 IBQ720905 ILM720905 IVI720905 JFE720905 JPA720905 JYW720905 KIS720905 KSO720905 LCK720905 LMG720905 LWC720905 MFY720905 MPU720905 MZQ720905 NJM720905 NTI720905 ODE720905 ONA720905 OWW720905 PGS720905 PQO720905 QAK720905 QKG720905 QUC720905 RDY720905 RNU720905 RXQ720905 SHM720905 SRI720905 TBE720905 TLA720905 TUW720905 UES720905 UOO720905 UYK720905 VIG720905 VSC720905 WBY720905 WLU720905 WVQ720905 I786441 JE786441 TA786441 ACW786441 AMS786441 AWO786441 BGK786441 BQG786441 CAC786441 CJY786441 CTU786441 DDQ786441 DNM786441 DXI786441 EHE786441 ERA786441 FAW786441 FKS786441 FUO786441 GEK786441 GOG786441 GYC786441 HHY786441 HRU786441 IBQ786441 ILM786441 IVI786441 JFE786441 JPA786441 JYW786441 KIS786441 KSO786441 LCK786441 LMG786441 LWC786441 MFY786441 MPU786441 MZQ786441 NJM786441 NTI786441 ODE786441 ONA786441 OWW786441 PGS786441 PQO786441 QAK786441 QKG786441 QUC786441 RDY786441 RNU786441 RXQ786441 SHM786441 SRI786441 TBE786441 TLA786441 TUW786441 UES786441 UOO786441 UYK786441 VIG786441 VSC786441 WBY786441 WLU786441 WVQ786441 I851977 JE851977 TA851977 ACW851977 AMS851977 AWO851977 BGK851977 BQG851977 CAC851977 CJY851977 CTU851977 DDQ851977 DNM851977 DXI851977 EHE851977 ERA851977 FAW851977 FKS851977 FUO851977 GEK851977 GOG851977 GYC851977 HHY851977 HRU851977 IBQ851977 ILM851977 IVI851977 JFE851977 JPA851977 JYW851977 KIS851977 KSO851977 LCK851977 LMG851977 LWC851977 MFY851977 MPU851977 MZQ851977 NJM851977 NTI851977 ODE851977 ONA851977 OWW851977 PGS851977 PQO851977 QAK851977 QKG851977 QUC851977 RDY851977 RNU851977 RXQ851977 SHM851977 SRI851977 TBE851977 TLA851977 TUW851977 UES851977 UOO851977 UYK851977 VIG851977 VSC851977 WBY851977 WLU851977 WVQ851977 I917513 JE917513 TA917513 ACW917513 AMS917513 AWO917513 BGK917513 BQG917513 CAC917513 CJY917513 CTU917513 DDQ917513 DNM917513 DXI917513 EHE917513 ERA917513 FAW917513 FKS917513 FUO917513 GEK917513 GOG917513 GYC917513 HHY917513 HRU917513 IBQ917513 ILM917513 IVI917513 JFE917513 JPA917513 JYW917513 KIS917513 KSO917513 LCK917513 LMG917513 LWC917513 MFY917513 MPU917513 MZQ917513 NJM917513 NTI917513 ODE917513 ONA917513 OWW917513 PGS917513 PQO917513 QAK917513 QKG917513 QUC917513 RDY917513 RNU917513 RXQ917513 SHM917513 SRI917513 TBE917513 TLA917513 TUW917513 UES917513 UOO917513 UYK917513 VIG917513 VSC917513 WBY917513 WLU917513 WVQ917513 I983049 JE983049 TA983049 ACW983049 AMS983049 AWO983049 BGK983049 BQG983049 CAC983049 CJY983049 CTU983049 DDQ983049 DNM983049 DXI983049 EHE983049 ERA983049 FAW983049 FKS983049 FUO983049 GEK983049 GOG983049 GYC983049 HHY983049 HRU983049 IBQ983049 ILM983049 IVI983049 JFE983049 JPA983049 JYW983049 KIS983049 KSO983049 LCK983049 LMG983049 LWC983049 MFY983049 MPU983049 MZQ983049 NJM983049 NTI983049 ODE983049 ONA983049 OWW983049 PGS983049 PQO983049 QAK983049 QKG983049 QUC983049 RDY983049 RNU983049 RXQ983049 SHM983049 SRI983049 TBE983049 TLA983049 TUW983049 UES983049 UOO983049 UYK983049 VIG983049 VSC983049 WBY983049 WLU983049" xr:uid="{00000000-0002-0000-0000-000003000000}">
      <formula1>konsekvensklasse</formula1>
    </dataValidation>
    <dataValidation type="list" allowBlank="1" showInputMessage="1" showErrorMessage="1" sqref="WVQ98305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I65546 JE65546 TA65546 ACW65546 AMS65546 AWO65546 BGK65546 BQG65546 CAC65546 CJY65546 CTU65546 DDQ65546 DNM65546 DXI65546 EHE65546 ERA65546 FAW65546 FKS65546 FUO65546 GEK65546 GOG65546 GYC65546 HHY65546 HRU65546 IBQ65546 ILM65546 IVI65546 JFE65546 JPA65546 JYW65546 KIS65546 KSO65546 LCK65546 LMG65546 LWC65546 MFY65546 MPU65546 MZQ65546 NJM65546 NTI65546 ODE65546 ONA65546 OWW65546 PGS65546 PQO65546 QAK65546 QKG65546 QUC65546 RDY65546 RNU65546 RXQ65546 SHM65546 SRI65546 TBE65546 TLA65546 TUW65546 UES65546 UOO65546 UYK65546 VIG65546 VSC65546 WBY65546 WLU65546 WVQ65546 I131082 JE131082 TA131082 ACW131082 AMS131082 AWO131082 BGK131082 BQG131082 CAC131082 CJY131082 CTU131082 DDQ131082 DNM131082 DXI131082 EHE131082 ERA131082 FAW131082 FKS131082 FUO131082 GEK131082 GOG131082 GYC131082 HHY131082 HRU131082 IBQ131082 ILM131082 IVI131082 JFE131082 JPA131082 JYW131082 KIS131082 KSO131082 LCK131082 LMG131082 LWC131082 MFY131082 MPU131082 MZQ131082 NJM131082 NTI131082 ODE131082 ONA131082 OWW131082 PGS131082 PQO131082 QAK131082 QKG131082 QUC131082 RDY131082 RNU131082 RXQ131082 SHM131082 SRI131082 TBE131082 TLA131082 TUW131082 UES131082 UOO131082 UYK131082 VIG131082 VSC131082 WBY131082 WLU131082 WVQ131082 I196618 JE196618 TA196618 ACW196618 AMS196618 AWO196618 BGK196618 BQG196618 CAC196618 CJY196618 CTU196618 DDQ196618 DNM196618 DXI196618 EHE196618 ERA196618 FAW196618 FKS196618 FUO196618 GEK196618 GOG196618 GYC196618 HHY196618 HRU196618 IBQ196618 ILM196618 IVI196618 JFE196618 JPA196618 JYW196618 KIS196618 KSO196618 LCK196618 LMG196618 LWC196618 MFY196618 MPU196618 MZQ196618 NJM196618 NTI196618 ODE196618 ONA196618 OWW196618 PGS196618 PQO196618 QAK196618 QKG196618 QUC196618 RDY196618 RNU196618 RXQ196618 SHM196618 SRI196618 TBE196618 TLA196618 TUW196618 UES196618 UOO196618 UYK196618 VIG196618 VSC196618 WBY196618 WLU196618 WVQ196618 I262154 JE262154 TA262154 ACW262154 AMS262154 AWO262154 BGK262154 BQG262154 CAC262154 CJY262154 CTU262154 DDQ262154 DNM262154 DXI262154 EHE262154 ERA262154 FAW262154 FKS262154 FUO262154 GEK262154 GOG262154 GYC262154 HHY262154 HRU262154 IBQ262154 ILM262154 IVI262154 JFE262154 JPA262154 JYW262154 KIS262154 KSO262154 LCK262154 LMG262154 LWC262154 MFY262154 MPU262154 MZQ262154 NJM262154 NTI262154 ODE262154 ONA262154 OWW262154 PGS262154 PQO262154 QAK262154 QKG262154 QUC262154 RDY262154 RNU262154 RXQ262154 SHM262154 SRI262154 TBE262154 TLA262154 TUW262154 UES262154 UOO262154 UYK262154 VIG262154 VSC262154 WBY262154 WLU262154 WVQ262154 I327690 JE327690 TA327690 ACW327690 AMS327690 AWO327690 BGK327690 BQG327690 CAC327690 CJY327690 CTU327690 DDQ327690 DNM327690 DXI327690 EHE327690 ERA327690 FAW327690 FKS327690 FUO327690 GEK327690 GOG327690 GYC327690 HHY327690 HRU327690 IBQ327690 ILM327690 IVI327690 JFE327690 JPA327690 JYW327690 KIS327690 KSO327690 LCK327690 LMG327690 LWC327690 MFY327690 MPU327690 MZQ327690 NJM327690 NTI327690 ODE327690 ONA327690 OWW327690 PGS327690 PQO327690 QAK327690 QKG327690 QUC327690 RDY327690 RNU327690 RXQ327690 SHM327690 SRI327690 TBE327690 TLA327690 TUW327690 UES327690 UOO327690 UYK327690 VIG327690 VSC327690 WBY327690 WLU327690 WVQ327690 I393226 JE393226 TA393226 ACW393226 AMS393226 AWO393226 BGK393226 BQG393226 CAC393226 CJY393226 CTU393226 DDQ393226 DNM393226 DXI393226 EHE393226 ERA393226 FAW393226 FKS393226 FUO393226 GEK393226 GOG393226 GYC393226 HHY393226 HRU393226 IBQ393226 ILM393226 IVI393226 JFE393226 JPA393226 JYW393226 KIS393226 KSO393226 LCK393226 LMG393226 LWC393226 MFY393226 MPU393226 MZQ393226 NJM393226 NTI393226 ODE393226 ONA393226 OWW393226 PGS393226 PQO393226 QAK393226 QKG393226 QUC393226 RDY393226 RNU393226 RXQ393226 SHM393226 SRI393226 TBE393226 TLA393226 TUW393226 UES393226 UOO393226 UYK393226 VIG393226 VSC393226 WBY393226 WLU393226 WVQ393226 I458762 JE458762 TA458762 ACW458762 AMS458762 AWO458762 BGK458762 BQG458762 CAC458762 CJY458762 CTU458762 DDQ458762 DNM458762 DXI458762 EHE458762 ERA458762 FAW458762 FKS458762 FUO458762 GEK458762 GOG458762 GYC458762 HHY458762 HRU458762 IBQ458762 ILM458762 IVI458762 JFE458762 JPA458762 JYW458762 KIS458762 KSO458762 LCK458762 LMG458762 LWC458762 MFY458762 MPU458762 MZQ458762 NJM458762 NTI458762 ODE458762 ONA458762 OWW458762 PGS458762 PQO458762 QAK458762 QKG458762 QUC458762 RDY458762 RNU458762 RXQ458762 SHM458762 SRI458762 TBE458762 TLA458762 TUW458762 UES458762 UOO458762 UYK458762 VIG458762 VSC458762 WBY458762 WLU458762 WVQ458762 I524298 JE524298 TA524298 ACW524298 AMS524298 AWO524298 BGK524298 BQG524298 CAC524298 CJY524298 CTU524298 DDQ524298 DNM524298 DXI524298 EHE524298 ERA524298 FAW524298 FKS524298 FUO524298 GEK524298 GOG524298 GYC524298 HHY524298 HRU524298 IBQ524298 ILM524298 IVI524298 JFE524298 JPA524298 JYW524298 KIS524298 KSO524298 LCK524298 LMG524298 LWC524298 MFY524298 MPU524298 MZQ524298 NJM524298 NTI524298 ODE524298 ONA524298 OWW524298 PGS524298 PQO524298 QAK524298 QKG524298 QUC524298 RDY524298 RNU524298 RXQ524298 SHM524298 SRI524298 TBE524298 TLA524298 TUW524298 UES524298 UOO524298 UYK524298 VIG524298 VSC524298 WBY524298 WLU524298 WVQ524298 I589834 JE589834 TA589834 ACW589834 AMS589834 AWO589834 BGK589834 BQG589834 CAC589834 CJY589834 CTU589834 DDQ589834 DNM589834 DXI589834 EHE589834 ERA589834 FAW589834 FKS589834 FUO589834 GEK589834 GOG589834 GYC589834 HHY589834 HRU589834 IBQ589834 ILM589834 IVI589834 JFE589834 JPA589834 JYW589834 KIS589834 KSO589834 LCK589834 LMG589834 LWC589834 MFY589834 MPU589834 MZQ589834 NJM589834 NTI589834 ODE589834 ONA589834 OWW589834 PGS589834 PQO589834 QAK589834 QKG589834 QUC589834 RDY589834 RNU589834 RXQ589834 SHM589834 SRI589834 TBE589834 TLA589834 TUW589834 UES589834 UOO589834 UYK589834 VIG589834 VSC589834 WBY589834 WLU589834 WVQ589834 I655370 JE655370 TA655370 ACW655370 AMS655370 AWO655370 BGK655370 BQG655370 CAC655370 CJY655370 CTU655370 DDQ655370 DNM655370 DXI655370 EHE655370 ERA655370 FAW655370 FKS655370 FUO655370 GEK655370 GOG655370 GYC655370 HHY655370 HRU655370 IBQ655370 ILM655370 IVI655370 JFE655370 JPA655370 JYW655370 KIS655370 KSO655370 LCK655370 LMG655370 LWC655370 MFY655370 MPU655370 MZQ655370 NJM655370 NTI655370 ODE655370 ONA655370 OWW655370 PGS655370 PQO655370 QAK655370 QKG655370 QUC655370 RDY655370 RNU655370 RXQ655370 SHM655370 SRI655370 TBE655370 TLA655370 TUW655370 UES655370 UOO655370 UYK655370 VIG655370 VSC655370 WBY655370 WLU655370 WVQ655370 I720906 JE720906 TA720906 ACW720906 AMS720906 AWO720906 BGK720906 BQG720906 CAC720906 CJY720906 CTU720906 DDQ720906 DNM720906 DXI720906 EHE720906 ERA720906 FAW720906 FKS720906 FUO720906 GEK720906 GOG720906 GYC720906 HHY720906 HRU720906 IBQ720906 ILM720906 IVI720906 JFE720906 JPA720906 JYW720906 KIS720906 KSO720906 LCK720906 LMG720906 LWC720906 MFY720906 MPU720906 MZQ720906 NJM720906 NTI720906 ODE720906 ONA720906 OWW720906 PGS720906 PQO720906 QAK720906 QKG720906 QUC720906 RDY720906 RNU720906 RXQ720906 SHM720906 SRI720906 TBE720906 TLA720906 TUW720906 UES720906 UOO720906 UYK720906 VIG720906 VSC720906 WBY720906 WLU720906 WVQ720906 I786442 JE786442 TA786442 ACW786442 AMS786442 AWO786442 BGK786442 BQG786442 CAC786442 CJY786442 CTU786442 DDQ786442 DNM786442 DXI786442 EHE786442 ERA786442 FAW786442 FKS786442 FUO786442 GEK786442 GOG786442 GYC786442 HHY786442 HRU786442 IBQ786442 ILM786442 IVI786442 JFE786442 JPA786442 JYW786442 KIS786442 KSO786442 LCK786442 LMG786442 LWC786442 MFY786442 MPU786442 MZQ786442 NJM786442 NTI786442 ODE786442 ONA786442 OWW786442 PGS786442 PQO786442 QAK786442 QKG786442 QUC786442 RDY786442 RNU786442 RXQ786442 SHM786442 SRI786442 TBE786442 TLA786442 TUW786442 UES786442 UOO786442 UYK786442 VIG786442 VSC786442 WBY786442 WLU786442 WVQ786442 I851978 JE851978 TA851978 ACW851978 AMS851978 AWO851978 BGK851978 BQG851978 CAC851978 CJY851978 CTU851978 DDQ851978 DNM851978 DXI851978 EHE851978 ERA851978 FAW851978 FKS851978 FUO851978 GEK851978 GOG851978 GYC851978 HHY851978 HRU851978 IBQ851978 ILM851978 IVI851978 JFE851978 JPA851978 JYW851978 KIS851978 KSO851978 LCK851978 LMG851978 LWC851978 MFY851978 MPU851978 MZQ851978 NJM851978 NTI851978 ODE851978 ONA851978 OWW851978 PGS851978 PQO851978 QAK851978 QKG851978 QUC851978 RDY851978 RNU851978 RXQ851978 SHM851978 SRI851978 TBE851978 TLA851978 TUW851978 UES851978 UOO851978 UYK851978 VIG851978 VSC851978 WBY851978 WLU851978 WVQ851978 I917514 JE917514 TA917514 ACW917514 AMS917514 AWO917514 BGK917514 BQG917514 CAC917514 CJY917514 CTU917514 DDQ917514 DNM917514 DXI917514 EHE917514 ERA917514 FAW917514 FKS917514 FUO917514 GEK917514 GOG917514 GYC917514 HHY917514 HRU917514 IBQ917514 ILM917514 IVI917514 JFE917514 JPA917514 JYW917514 KIS917514 KSO917514 LCK917514 LMG917514 LWC917514 MFY917514 MPU917514 MZQ917514 NJM917514 NTI917514 ODE917514 ONA917514 OWW917514 PGS917514 PQO917514 QAK917514 QKG917514 QUC917514 RDY917514 RNU917514 RXQ917514 SHM917514 SRI917514 TBE917514 TLA917514 TUW917514 UES917514 UOO917514 UYK917514 VIG917514 VSC917514 WBY917514 WLU917514 WVQ917514 I983050 JE983050 TA983050 ACW983050 AMS983050 AWO983050 BGK983050 BQG983050 CAC983050 CJY983050 CTU983050 DDQ983050 DNM983050 DXI983050 EHE983050 ERA983050 FAW983050 FKS983050 FUO983050 GEK983050 GOG983050 GYC983050 HHY983050 HRU983050 IBQ983050 ILM983050 IVI983050 JFE983050 JPA983050 JYW983050 KIS983050 KSO983050 LCK983050 LMG983050 LWC983050 MFY983050 MPU983050 MZQ983050 NJM983050 NTI983050 ODE983050 ONA983050 OWW983050 PGS983050 PQO983050 QAK983050 QKG983050 QUC983050 RDY983050 RNU983050 RXQ983050 SHM983050 SRI983050 TBE983050 TLA983050 TUW983050 UES983050 UOO983050 UYK983050 VIG983050 VSC983050 WBY983050 WLU983050" xr:uid="{00000000-0002-0000-0000-000004000000}">
      <formula1>kontrolellereksponeringsklasse</formula1>
    </dataValidation>
    <dataValidation type="list" allowBlank="1" showInputMessage="1" showErrorMessage="1" sqref="WVP983050 JD10 SZ10 ACV10 AMR10 AWN10 BGJ10 BQF10 CAB10 CJX10 CTT10 DDP10 DNL10 DXH10 EHD10 EQZ10 FAV10 FKR10 FUN10 GEJ10 GOF10 GYB10 HHX10 HRT10 IBP10 ILL10 IVH10 JFD10 JOZ10 JYV10 KIR10 KSN10 LCJ10 LMF10 LWB10 MFX10 MPT10 MZP10 NJL10 NTH10 ODD10 OMZ10 OWV10 PGR10 PQN10 QAJ10 QKF10 QUB10 RDX10 RNT10 RXP10 SHL10 SRH10 TBD10 TKZ10 TUV10 UER10 UON10 UYJ10 VIF10 VSB10 WBX10 WLT10 WVP10 H65546 JD65546 SZ65546 ACV65546 AMR65546 AWN65546 BGJ65546 BQF65546 CAB65546 CJX65546 CTT65546 DDP65546 DNL65546 DXH65546 EHD65546 EQZ65546 FAV65546 FKR65546 FUN65546 GEJ65546 GOF65546 GYB65546 HHX65546 HRT65546 IBP65546 ILL65546 IVH65546 JFD65546 JOZ65546 JYV65546 KIR65546 KSN65546 LCJ65546 LMF65546 LWB65546 MFX65546 MPT65546 MZP65546 NJL65546 NTH65546 ODD65546 OMZ65546 OWV65546 PGR65546 PQN65546 QAJ65546 QKF65546 QUB65546 RDX65546 RNT65546 RXP65546 SHL65546 SRH65546 TBD65546 TKZ65546 TUV65546 UER65546 UON65546 UYJ65546 VIF65546 VSB65546 WBX65546 WLT65546 WVP65546 H131082 JD131082 SZ131082 ACV131082 AMR131082 AWN131082 BGJ131082 BQF131082 CAB131082 CJX131082 CTT131082 DDP131082 DNL131082 DXH131082 EHD131082 EQZ131082 FAV131082 FKR131082 FUN131082 GEJ131082 GOF131082 GYB131082 HHX131082 HRT131082 IBP131082 ILL131082 IVH131082 JFD131082 JOZ131082 JYV131082 KIR131082 KSN131082 LCJ131082 LMF131082 LWB131082 MFX131082 MPT131082 MZP131082 NJL131082 NTH131082 ODD131082 OMZ131082 OWV131082 PGR131082 PQN131082 QAJ131082 QKF131082 QUB131082 RDX131082 RNT131082 RXP131082 SHL131082 SRH131082 TBD131082 TKZ131082 TUV131082 UER131082 UON131082 UYJ131082 VIF131082 VSB131082 WBX131082 WLT131082 WVP131082 H196618 JD196618 SZ196618 ACV196618 AMR196618 AWN196618 BGJ196618 BQF196618 CAB196618 CJX196618 CTT196618 DDP196618 DNL196618 DXH196618 EHD196618 EQZ196618 FAV196618 FKR196618 FUN196618 GEJ196618 GOF196618 GYB196618 HHX196618 HRT196618 IBP196618 ILL196618 IVH196618 JFD196618 JOZ196618 JYV196618 KIR196618 KSN196618 LCJ196618 LMF196618 LWB196618 MFX196618 MPT196618 MZP196618 NJL196618 NTH196618 ODD196618 OMZ196618 OWV196618 PGR196618 PQN196618 QAJ196618 QKF196618 QUB196618 RDX196618 RNT196618 RXP196618 SHL196618 SRH196618 TBD196618 TKZ196618 TUV196618 UER196618 UON196618 UYJ196618 VIF196618 VSB196618 WBX196618 WLT196618 WVP196618 H262154 JD262154 SZ262154 ACV262154 AMR262154 AWN262154 BGJ262154 BQF262154 CAB262154 CJX262154 CTT262154 DDP262154 DNL262154 DXH262154 EHD262154 EQZ262154 FAV262154 FKR262154 FUN262154 GEJ262154 GOF262154 GYB262154 HHX262154 HRT262154 IBP262154 ILL262154 IVH262154 JFD262154 JOZ262154 JYV262154 KIR262154 KSN262154 LCJ262154 LMF262154 LWB262154 MFX262154 MPT262154 MZP262154 NJL262154 NTH262154 ODD262154 OMZ262154 OWV262154 PGR262154 PQN262154 QAJ262154 QKF262154 QUB262154 RDX262154 RNT262154 RXP262154 SHL262154 SRH262154 TBD262154 TKZ262154 TUV262154 UER262154 UON262154 UYJ262154 VIF262154 VSB262154 WBX262154 WLT262154 WVP262154 H327690 JD327690 SZ327690 ACV327690 AMR327690 AWN327690 BGJ327690 BQF327690 CAB327690 CJX327690 CTT327690 DDP327690 DNL327690 DXH327690 EHD327690 EQZ327690 FAV327690 FKR327690 FUN327690 GEJ327690 GOF327690 GYB327690 HHX327690 HRT327690 IBP327690 ILL327690 IVH327690 JFD327690 JOZ327690 JYV327690 KIR327690 KSN327690 LCJ327690 LMF327690 LWB327690 MFX327690 MPT327690 MZP327690 NJL327690 NTH327690 ODD327690 OMZ327690 OWV327690 PGR327690 PQN327690 QAJ327690 QKF327690 QUB327690 RDX327690 RNT327690 RXP327690 SHL327690 SRH327690 TBD327690 TKZ327690 TUV327690 UER327690 UON327690 UYJ327690 VIF327690 VSB327690 WBX327690 WLT327690 WVP327690 H393226 JD393226 SZ393226 ACV393226 AMR393226 AWN393226 BGJ393226 BQF393226 CAB393226 CJX393226 CTT393226 DDP393226 DNL393226 DXH393226 EHD393226 EQZ393226 FAV393226 FKR393226 FUN393226 GEJ393226 GOF393226 GYB393226 HHX393226 HRT393226 IBP393226 ILL393226 IVH393226 JFD393226 JOZ393226 JYV393226 KIR393226 KSN393226 LCJ393226 LMF393226 LWB393226 MFX393226 MPT393226 MZP393226 NJL393226 NTH393226 ODD393226 OMZ393226 OWV393226 PGR393226 PQN393226 QAJ393226 QKF393226 QUB393226 RDX393226 RNT393226 RXP393226 SHL393226 SRH393226 TBD393226 TKZ393226 TUV393226 UER393226 UON393226 UYJ393226 VIF393226 VSB393226 WBX393226 WLT393226 WVP393226 H458762 JD458762 SZ458762 ACV458762 AMR458762 AWN458762 BGJ458762 BQF458762 CAB458762 CJX458762 CTT458762 DDP458762 DNL458762 DXH458762 EHD458762 EQZ458762 FAV458762 FKR458762 FUN458762 GEJ458762 GOF458762 GYB458762 HHX458762 HRT458762 IBP458762 ILL458762 IVH458762 JFD458762 JOZ458762 JYV458762 KIR458762 KSN458762 LCJ458762 LMF458762 LWB458762 MFX458762 MPT458762 MZP458762 NJL458762 NTH458762 ODD458762 OMZ458762 OWV458762 PGR458762 PQN458762 QAJ458762 QKF458762 QUB458762 RDX458762 RNT458762 RXP458762 SHL458762 SRH458762 TBD458762 TKZ458762 TUV458762 UER458762 UON458762 UYJ458762 VIF458762 VSB458762 WBX458762 WLT458762 WVP458762 H524298 JD524298 SZ524298 ACV524298 AMR524298 AWN524298 BGJ524298 BQF524298 CAB524298 CJX524298 CTT524298 DDP524298 DNL524298 DXH524298 EHD524298 EQZ524298 FAV524298 FKR524298 FUN524298 GEJ524298 GOF524298 GYB524298 HHX524298 HRT524298 IBP524298 ILL524298 IVH524298 JFD524298 JOZ524298 JYV524298 KIR524298 KSN524298 LCJ524298 LMF524298 LWB524298 MFX524298 MPT524298 MZP524298 NJL524298 NTH524298 ODD524298 OMZ524298 OWV524298 PGR524298 PQN524298 QAJ524298 QKF524298 QUB524298 RDX524298 RNT524298 RXP524298 SHL524298 SRH524298 TBD524298 TKZ524298 TUV524298 UER524298 UON524298 UYJ524298 VIF524298 VSB524298 WBX524298 WLT524298 WVP524298 H589834 JD589834 SZ589834 ACV589834 AMR589834 AWN589834 BGJ589834 BQF589834 CAB589834 CJX589834 CTT589834 DDP589834 DNL589834 DXH589834 EHD589834 EQZ589834 FAV589834 FKR589834 FUN589834 GEJ589834 GOF589834 GYB589834 HHX589834 HRT589834 IBP589834 ILL589834 IVH589834 JFD589834 JOZ589834 JYV589834 KIR589834 KSN589834 LCJ589834 LMF589834 LWB589834 MFX589834 MPT589834 MZP589834 NJL589834 NTH589834 ODD589834 OMZ589834 OWV589834 PGR589834 PQN589834 QAJ589834 QKF589834 QUB589834 RDX589834 RNT589834 RXP589834 SHL589834 SRH589834 TBD589834 TKZ589834 TUV589834 UER589834 UON589834 UYJ589834 VIF589834 VSB589834 WBX589834 WLT589834 WVP589834 H655370 JD655370 SZ655370 ACV655370 AMR655370 AWN655370 BGJ655370 BQF655370 CAB655370 CJX655370 CTT655370 DDP655370 DNL655370 DXH655370 EHD655370 EQZ655370 FAV655370 FKR655370 FUN655370 GEJ655370 GOF655370 GYB655370 HHX655370 HRT655370 IBP655370 ILL655370 IVH655370 JFD655370 JOZ655370 JYV655370 KIR655370 KSN655370 LCJ655370 LMF655370 LWB655370 MFX655370 MPT655370 MZP655370 NJL655370 NTH655370 ODD655370 OMZ655370 OWV655370 PGR655370 PQN655370 QAJ655370 QKF655370 QUB655370 RDX655370 RNT655370 RXP655370 SHL655370 SRH655370 TBD655370 TKZ655370 TUV655370 UER655370 UON655370 UYJ655370 VIF655370 VSB655370 WBX655370 WLT655370 WVP655370 H720906 JD720906 SZ720906 ACV720906 AMR720906 AWN720906 BGJ720906 BQF720906 CAB720906 CJX720906 CTT720906 DDP720906 DNL720906 DXH720906 EHD720906 EQZ720906 FAV720906 FKR720906 FUN720906 GEJ720906 GOF720906 GYB720906 HHX720906 HRT720906 IBP720906 ILL720906 IVH720906 JFD720906 JOZ720906 JYV720906 KIR720906 KSN720906 LCJ720906 LMF720906 LWB720906 MFX720906 MPT720906 MZP720906 NJL720906 NTH720906 ODD720906 OMZ720906 OWV720906 PGR720906 PQN720906 QAJ720906 QKF720906 QUB720906 RDX720906 RNT720906 RXP720906 SHL720906 SRH720906 TBD720906 TKZ720906 TUV720906 UER720906 UON720906 UYJ720906 VIF720906 VSB720906 WBX720906 WLT720906 WVP720906 H786442 JD786442 SZ786442 ACV786442 AMR786442 AWN786442 BGJ786442 BQF786442 CAB786442 CJX786442 CTT786442 DDP786442 DNL786442 DXH786442 EHD786442 EQZ786442 FAV786442 FKR786442 FUN786442 GEJ786442 GOF786442 GYB786442 HHX786442 HRT786442 IBP786442 ILL786442 IVH786442 JFD786442 JOZ786442 JYV786442 KIR786442 KSN786442 LCJ786442 LMF786442 LWB786442 MFX786442 MPT786442 MZP786442 NJL786442 NTH786442 ODD786442 OMZ786442 OWV786442 PGR786442 PQN786442 QAJ786442 QKF786442 QUB786442 RDX786442 RNT786442 RXP786442 SHL786442 SRH786442 TBD786442 TKZ786442 TUV786442 UER786442 UON786442 UYJ786442 VIF786442 VSB786442 WBX786442 WLT786442 WVP786442 H851978 JD851978 SZ851978 ACV851978 AMR851978 AWN851978 BGJ851978 BQF851978 CAB851978 CJX851978 CTT851978 DDP851978 DNL851978 DXH851978 EHD851978 EQZ851978 FAV851978 FKR851978 FUN851978 GEJ851978 GOF851978 GYB851978 HHX851978 HRT851978 IBP851978 ILL851978 IVH851978 JFD851978 JOZ851978 JYV851978 KIR851978 KSN851978 LCJ851978 LMF851978 LWB851978 MFX851978 MPT851978 MZP851978 NJL851978 NTH851978 ODD851978 OMZ851978 OWV851978 PGR851978 PQN851978 QAJ851978 QKF851978 QUB851978 RDX851978 RNT851978 RXP851978 SHL851978 SRH851978 TBD851978 TKZ851978 TUV851978 UER851978 UON851978 UYJ851978 VIF851978 VSB851978 WBX851978 WLT851978 WVP851978 H917514 JD917514 SZ917514 ACV917514 AMR917514 AWN917514 BGJ917514 BQF917514 CAB917514 CJX917514 CTT917514 DDP917514 DNL917514 DXH917514 EHD917514 EQZ917514 FAV917514 FKR917514 FUN917514 GEJ917514 GOF917514 GYB917514 HHX917514 HRT917514 IBP917514 ILL917514 IVH917514 JFD917514 JOZ917514 JYV917514 KIR917514 KSN917514 LCJ917514 LMF917514 LWB917514 MFX917514 MPT917514 MZP917514 NJL917514 NTH917514 ODD917514 OMZ917514 OWV917514 PGR917514 PQN917514 QAJ917514 QKF917514 QUB917514 RDX917514 RNT917514 RXP917514 SHL917514 SRH917514 TBD917514 TKZ917514 TUV917514 UER917514 UON917514 UYJ917514 VIF917514 VSB917514 WBX917514 WLT917514 WVP917514 H983050 JD983050 SZ983050 ACV983050 AMR983050 AWN983050 BGJ983050 BQF983050 CAB983050 CJX983050 CTT983050 DDP983050 DNL983050 DXH983050 EHD983050 EQZ983050 FAV983050 FKR983050 FUN983050 GEJ983050 GOF983050 GYB983050 HHX983050 HRT983050 IBP983050 ILL983050 IVH983050 JFD983050 JOZ983050 JYV983050 KIR983050 KSN983050 LCJ983050 LMF983050 LWB983050 MFX983050 MPT983050 MZP983050 NJL983050 NTH983050 ODD983050 OMZ983050 OWV983050 PGR983050 PQN983050 QAJ983050 QKF983050 QUB983050 RDX983050 RNT983050 RXP983050 SHL983050 SRH983050 TBD983050 TKZ983050 TUV983050 UER983050 UON983050 UYJ983050 VIF983050 VSB983050 WBX983050 WLT983050" xr:uid="{00000000-0002-0000-0000-000005000000}">
      <formula1>eksponeringsklasse</formula1>
    </dataValidation>
    <dataValidation type="list" allowBlank="1" showInputMessage="1" showErrorMessage="1" sqref="WVV983042 JJ2 TF2 ADB2 AMX2 AWT2 BGP2 BQL2 CAH2 CKD2 CTZ2 DDV2 DNR2 DXN2 EHJ2 ERF2 FBB2 FKX2 FUT2 GEP2 GOL2 GYH2 HID2 HRZ2 IBV2 ILR2 IVN2 JFJ2 JPF2 JZB2 KIX2 KST2 LCP2 LML2 LWH2 MGD2 MPZ2 MZV2 NJR2 NTN2 ODJ2 ONF2 OXB2 PGX2 PQT2 QAP2 QKL2 QUH2 RED2 RNZ2 RXV2 SHR2 SRN2 TBJ2 TLF2 TVB2 UEX2 UOT2 UYP2 VIL2 VSH2 WCD2 WLZ2 WVV2 N65538 JJ65538 TF65538 ADB65538 AMX65538 AWT65538 BGP65538 BQL65538 CAH65538 CKD65538 CTZ65538 DDV65538 DNR65538 DXN65538 EHJ65538 ERF65538 FBB65538 FKX65538 FUT65538 GEP65538 GOL65538 GYH65538 HID65538 HRZ65538 IBV65538 ILR65538 IVN65538 JFJ65538 JPF65538 JZB65538 KIX65538 KST65538 LCP65538 LML65538 LWH65538 MGD65538 MPZ65538 MZV65538 NJR65538 NTN65538 ODJ65538 ONF65538 OXB65538 PGX65538 PQT65538 QAP65538 QKL65538 QUH65538 RED65538 RNZ65538 RXV65538 SHR65538 SRN65538 TBJ65538 TLF65538 TVB65538 UEX65538 UOT65538 UYP65538 VIL65538 VSH65538 WCD65538 WLZ65538 WVV65538 N131074 JJ131074 TF131074 ADB131074 AMX131074 AWT131074 BGP131074 BQL131074 CAH131074 CKD131074 CTZ131074 DDV131074 DNR131074 DXN131074 EHJ131074 ERF131074 FBB131074 FKX131074 FUT131074 GEP131074 GOL131074 GYH131074 HID131074 HRZ131074 IBV131074 ILR131074 IVN131074 JFJ131074 JPF131074 JZB131074 KIX131074 KST131074 LCP131074 LML131074 LWH131074 MGD131074 MPZ131074 MZV131074 NJR131074 NTN131074 ODJ131074 ONF131074 OXB131074 PGX131074 PQT131074 QAP131074 QKL131074 QUH131074 RED131074 RNZ131074 RXV131074 SHR131074 SRN131074 TBJ131074 TLF131074 TVB131074 UEX131074 UOT131074 UYP131074 VIL131074 VSH131074 WCD131074 WLZ131074 WVV131074 N196610 JJ196610 TF196610 ADB196610 AMX196610 AWT196610 BGP196610 BQL196610 CAH196610 CKD196610 CTZ196610 DDV196610 DNR196610 DXN196610 EHJ196610 ERF196610 FBB196610 FKX196610 FUT196610 GEP196610 GOL196610 GYH196610 HID196610 HRZ196610 IBV196610 ILR196610 IVN196610 JFJ196610 JPF196610 JZB196610 KIX196610 KST196610 LCP196610 LML196610 LWH196610 MGD196610 MPZ196610 MZV196610 NJR196610 NTN196610 ODJ196610 ONF196610 OXB196610 PGX196610 PQT196610 QAP196610 QKL196610 QUH196610 RED196610 RNZ196610 RXV196610 SHR196610 SRN196610 TBJ196610 TLF196610 TVB196610 UEX196610 UOT196610 UYP196610 VIL196610 VSH196610 WCD196610 WLZ196610 WVV196610 N262146 JJ262146 TF262146 ADB262146 AMX262146 AWT262146 BGP262146 BQL262146 CAH262146 CKD262146 CTZ262146 DDV262146 DNR262146 DXN262146 EHJ262146 ERF262146 FBB262146 FKX262146 FUT262146 GEP262146 GOL262146 GYH262146 HID262146 HRZ262146 IBV262146 ILR262146 IVN262146 JFJ262146 JPF262146 JZB262146 KIX262146 KST262146 LCP262146 LML262146 LWH262146 MGD262146 MPZ262146 MZV262146 NJR262146 NTN262146 ODJ262146 ONF262146 OXB262146 PGX262146 PQT262146 QAP262146 QKL262146 QUH262146 RED262146 RNZ262146 RXV262146 SHR262146 SRN262146 TBJ262146 TLF262146 TVB262146 UEX262146 UOT262146 UYP262146 VIL262146 VSH262146 WCD262146 WLZ262146 WVV262146 N327682 JJ327682 TF327682 ADB327682 AMX327682 AWT327682 BGP327682 BQL327682 CAH327682 CKD327682 CTZ327682 DDV327682 DNR327682 DXN327682 EHJ327682 ERF327682 FBB327682 FKX327682 FUT327682 GEP327682 GOL327682 GYH327682 HID327682 HRZ327682 IBV327682 ILR327682 IVN327682 JFJ327682 JPF327682 JZB327682 KIX327682 KST327682 LCP327682 LML327682 LWH327682 MGD327682 MPZ327682 MZV327682 NJR327682 NTN327682 ODJ327682 ONF327682 OXB327682 PGX327682 PQT327682 QAP327682 QKL327682 QUH327682 RED327682 RNZ327682 RXV327682 SHR327682 SRN327682 TBJ327682 TLF327682 TVB327682 UEX327682 UOT327682 UYP327682 VIL327682 VSH327682 WCD327682 WLZ327682 WVV327682 N393218 JJ393218 TF393218 ADB393218 AMX393218 AWT393218 BGP393218 BQL393218 CAH393218 CKD393218 CTZ393218 DDV393218 DNR393218 DXN393218 EHJ393218 ERF393218 FBB393218 FKX393218 FUT393218 GEP393218 GOL393218 GYH393218 HID393218 HRZ393218 IBV393218 ILR393218 IVN393218 JFJ393218 JPF393218 JZB393218 KIX393218 KST393218 LCP393218 LML393218 LWH393218 MGD393218 MPZ393218 MZV393218 NJR393218 NTN393218 ODJ393218 ONF393218 OXB393218 PGX393218 PQT393218 QAP393218 QKL393218 QUH393218 RED393218 RNZ393218 RXV393218 SHR393218 SRN393218 TBJ393218 TLF393218 TVB393218 UEX393218 UOT393218 UYP393218 VIL393218 VSH393218 WCD393218 WLZ393218 WVV393218 N458754 JJ458754 TF458754 ADB458754 AMX458754 AWT458754 BGP458754 BQL458754 CAH458754 CKD458754 CTZ458754 DDV458754 DNR458754 DXN458754 EHJ458754 ERF458754 FBB458754 FKX458754 FUT458754 GEP458754 GOL458754 GYH458754 HID458754 HRZ458754 IBV458754 ILR458754 IVN458754 JFJ458754 JPF458754 JZB458754 KIX458754 KST458754 LCP458754 LML458754 LWH458754 MGD458754 MPZ458754 MZV458754 NJR458754 NTN458754 ODJ458754 ONF458754 OXB458754 PGX458754 PQT458754 QAP458754 QKL458754 QUH458754 RED458754 RNZ458754 RXV458754 SHR458754 SRN458754 TBJ458754 TLF458754 TVB458754 UEX458754 UOT458754 UYP458754 VIL458754 VSH458754 WCD458754 WLZ458754 WVV458754 N524290 JJ524290 TF524290 ADB524290 AMX524290 AWT524290 BGP524290 BQL524290 CAH524290 CKD524290 CTZ524290 DDV524290 DNR524290 DXN524290 EHJ524290 ERF524290 FBB524290 FKX524290 FUT524290 GEP524290 GOL524290 GYH524290 HID524290 HRZ524290 IBV524290 ILR524290 IVN524290 JFJ524290 JPF524290 JZB524290 KIX524290 KST524290 LCP524290 LML524290 LWH524290 MGD524290 MPZ524290 MZV524290 NJR524290 NTN524290 ODJ524290 ONF524290 OXB524290 PGX524290 PQT524290 QAP524290 QKL524290 QUH524290 RED524290 RNZ524290 RXV524290 SHR524290 SRN524290 TBJ524290 TLF524290 TVB524290 UEX524290 UOT524290 UYP524290 VIL524290 VSH524290 WCD524290 WLZ524290 WVV524290 N589826 JJ589826 TF589826 ADB589826 AMX589826 AWT589826 BGP589826 BQL589826 CAH589826 CKD589826 CTZ589826 DDV589826 DNR589826 DXN589826 EHJ589826 ERF589826 FBB589826 FKX589826 FUT589826 GEP589826 GOL589826 GYH589826 HID589826 HRZ589826 IBV589826 ILR589826 IVN589826 JFJ589826 JPF589826 JZB589826 KIX589826 KST589826 LCP589826 LML589826 LWH589826 MGD589826 MPZ589826 MZV589826 NJR589826 NTN589826 ODJ589826 ONF589826 OXB589826 PGX589826 PQT589826 QAP589826 QKL589826 QUH589826 RED589826 RNZ589826 RXV589826 SHR589826 SRN589826 TBJ589826 TLF589826 TVB589826 UEX589826 UOT589826 UYP589826 VIL589826 VSH589826 WCD589826 WLZ589826 WVV589826 N655362 JJ655362 TF655362 ADB655362 AMX655362 AWT655362 BGP655362 BQL655362 CAH655362 CKD655362 CTZ655362 DDV655362 DNR655362 DXN655362 EHJ655362 ERF655362 FBB655362 FKX655362 FUT655362 GEP655362 GOL655362 GYH655362 HID655362 HRZ655362 IBV655362 ILR655362 IVN655362 JFJ655362 JPF655362 JZB655362 KIX655362 KST655362 LCP655362 LML655362 LWH655362 MGD655362 MPZ655362 MZV655362 NJR655362 NTN655362 ODJ655362 ONF655362 OXB655362 PGX655362 PQT655362 QAP655362 QKL655362 QUH655362 RED655362 RNZ655362 RXV655362 SHR655362 SRN655362 TBJ655362 TLF655362 TVB655362 UEX655362 UOT655362 UYP655362 VIL655362 VSH655362 WCD655362 WLZ655362 WVV655362 N720898 JJ720898 TF720898 ADB720898 AMX720898 AWT720898 BGP720898 BQL720898 CAH720898 CKD720898 CTZ720898 DDV720898 DNR720898 DXN720898 EHJ720898 ERF720898 FBB720898 FKX720898 FUT720898 GEP720898 GOL720898 GYH720898 HID720898 HRZ720898 IBV720898 ILR720898 IVN720898 JFJ720898 JPF720898 JZB720898 KIX720898 KST720898 LCP720898 LML720898 LWH720898 MGD720898 MPZ720898 MZV720898 NJR720898 NTN720898 ODJ720898 ONF720898 OXB720898 PGX720898 PQT720898 QAP720898 QKL720898 QUH720898 RED720898 RNZ720898 RXV720898 SHR720898 SRN720898 TBJ720898 TLF720898 TVB720898 UEX720898 UOT720898 UYP720898 VIL720898 VSH720898 WCD720898 WLZ720898 WVV720898 N786434 JJ786434 TF786434 ADB786434 AMX786434 AWT786434 BGP786434 BQL786434 CAH786434 CKD786434 CTZ786434 DDV786434 DNR786434 DXN786434 EHJ786434 ERF786434 FBB786434 FKX786434 FUT786434 GEP786434 GOL786434 GYH786434 HID786434 HRZ786434 IBV786434 ILR786434 IVN786434 JFJ786434 JPF786434 JZB786434 KIX786434 KST786434 LCP786434 LML786434 LWH786434 MGD786434 MPZ786434 MZV786434 NJR786434 NTN786434 ODJ786434 ONF786434 OXB786434 PGX786434 PQT786434 QAP786434 QKL786434 QUH786434 RED786434 RNZ786434 RXV786434 SHR786434 SRN786434 TBJ786434 TLF786434 TVB786434 UEX786434 UOT786434 UYP786434 VIL786434 VSH786434 WCD786434 WLZ786434 WVV786434 N851970 JJ851970 TF851970 ADB851970 AMX851970 AWT851970 BGP851970 BQL851970 CAH851970 CKD851970 CTZ851970 DDV851970 DNR851970 DXN851970 EHJ851970 ERF851970 FBB851970 FKX851970 FUT851970 GEP851970 GOL851970 GYH851970 HID851970 HRZ851970 IBV851970 ILR851970 IVN851970 JFJ851970 JPF851970 JZB851970 KIX851970 KST851970 LCP851970 LML851970 LWH851970 MGD851970 MPZ851970 MZV851970 NJR851970 NTN851970 ODJ851970 ONF851970 OXB851970 PGX851970 PQT851970 QAP851970 QKL851970 QUH851970 RED851970 RNZ851970 RXV851970 SHR851970 SRN851970 TBJ851970 TLF851970 TVB851970 UEX851970 UOT851970 UYP851970 VIL851970 VSH851970 WCD851970 WLZ851970 WVV851970 N917506 JJ917506 TF917506 ADB917506 AMX917506 AWT917506 BGP917506 BQL917506 CAH917506 CKD917506 CTZ917506 DDV917506 DNR917506 DXN917506 EHJ917506 ERF917506 FBB917506 FKX917506 FUT917506 GEP917506 GOL917506 GYH917506 HID917506 HRZ917506 IBV917506 ILR917506 IVN917506 JFJ917506 JPF917506 JZB917506 KIX917506 KST917506 LCP917506 LML917506 LWH917506 MGD917506 MPZ917506 MZV917506 NJR917506 NTN917506 ODJ917506 ONF917506 OXB917506 PGX917506 PQT917506 QAP917506 QKL917506 QUH917506 RED917506 RNZ917506 RXV917506 SHR917506 SRN917506 TBJ917506 TLF917506 TVB917506 UEX917506 UOT917506 UYP917506 VIL917506 VSH917506 WCD917506 WLZ917506 WVV917506 N983042 JJ983042 TF983042 ADB983042 AMX983042 AWT983042 BGP983042 BQL983042 CAH983042 CKD983042 CTZ983042 DDV983042 DNR983042 DXN983042 EHJ983042 ERF983042 FBB983042 FKX983042 FUT983042 GEP983042 GOL983042 GYH983042 HID983042 HRZ983042 IBV983042 ILR983042 IVN983042 JFJ983042 JPF983042 JZB983042 KIX983042 KST983042 LCP983042 LML983042 LWH983042 MGD983042 MPZ983042 MZV983042 NJR983042 NTN983042 ODJ983042 ONF983042 OXB983042 PGX983042 PQT983042 QAP983042 QKL983042 QUH983042 RED983042 RNZ983042 RXV983042 SHR983042 SRN983042 TBJ983042 TLF983042 TVB983042 UEX983042 UOT983042 UYP983042 VIL983042 VSH983042 WCD983042 WLZ983042" xr:uid="{00000000-0002-0000-0000-000006000000}">
      <formula1>DNS</formula1>
    </dataValidation>
    <dataValidation type="list" allowBlank="1" showInputMessage="1" showErrorMessage="1" sqref="J40 JF40 TB40 ACX40 AMT40 AWP40 BGL40 BQH40 CAD40 CJZ40 CTV40 DDR40 DNN40 DXJ40 EHF40 ERB40 FAX40 FKT40 FUP40 GEL40 GOH40 GYD40 HHZ40 HRV40 IBR40 ILN40 IVJ40 JFF40 JPB40 JYX40 KIT40 KSP40 LCL40 LMH40 LWD40 MFZ40 MPV40 MZR40 NJN40 NTJ40 ODF40 ONB40 OWX40 PGT40 PQP40 QAL40 QKH40 QUD40 RDZ40 RNV40 RXR40 SHN40 SRJ40 TBF40 TLB40 TUX40 UET40 UOP40 UYL40 VIH40 VSD40 WBZ40 WLV40 WVR40 J65576 JF65576 TB65576 ACX65576 AMT65576 AWP65576 BGL65576 BQH65576 CAD65576 CJZ65576 CTV65576 DDR65576 DNN65576 DXJ65576 EHF65576 ERB65576 FAX65576 FKT65576 FUP65576 GEL65576 GOH65576 GYD65576 HHZ65576 HRV65576 IBR65576 ILN65576 IVJ65576 JFF65576 JPB65576 JYX65576 KIT65576 KSP65576 LCL65576 LMH65576 LWD65576 MFZ65576 MPV65576 MZR65576 NJN65576 NTJ65576 ODF65576 ONB65576 OWX65576 PGT65576 PQP65576 QAL65576 QKH65576 QUD65576 RDZ65576 RNV65576 RXR65576 SHN65576 SRJ65576 TBF65576 TLB65576 TUX65576 UET65576 UOP65576 UYL65576 VIH65576 VSD65576 WBZ65576 WLV65576 WVR65576 J131112 JF131112 TB131112 ACX131112 AMT131112 AWP131112 BGL131112 BQH131112 CAD131112 CJZ131112 CTV131112 DDR131112 DNN131112 DXJ131112 EHF131112 ERB131112 FAX131112 FKT131112 FUP131112 GEL131112 GOH131112 GYD131112 HHZ131112 HRV131112 IBR131112 ILN131112 IVJ131112 JFF131112 JPB131112 JYX131112 KIT131112 KSP131112 LCL131112 LMH131112 LWD131112 MFZ131112 MPV131112 MZR131112 NJN131112 NTJ131112 ODF131112 ONB131112 OWX131112 PGT131112 PQP131112 QAL131112 QKH131112 QUD131112 RDZ131112 RNV131112 RXR131112 SHN131112 SRJ131112 TBF131112 TLB131112 TUX131112 UET131112 UOP131112 UYL131112 VIH131112 VSD131112 WBZ131112 WLV131112 WVR131112 J196648 JF196648 TB196648 ACX196648 AMT196648 AWP196648 BGL196648 BQH196648 CAD196648 CJZ196648 CTV196648 DDR196648 DNN196648 DXJ196648 EHF196648 ERB196648 FAX196648 FKT196648 FUP196648 GEL196648 GOH196648 GYD196648 HHZ196648 HRV196648 IBR196648 ILN196648 IVJ196648 JFF196648 JPB196648 JYX196648 KIT196648 KSP196648 LCL196648 LMH196648 LWD196648 MFZ196648 MPV196648 MZR196648 NJN196648 NTJ196648 ODF196648 ONB196648 OWX196648 PGT196648 PQP196648 QAL196648 QKH196648 QUD196648 RDZ196648 RNV196648 RXR196648 SHN196648 SRJ196648 TBF196648 TLB196648 TUX196648 UET196648 UOP196648 UYL196648 VIH196648 VSD196648 WBZ196648 WLV196648 WVR196648 J262184 JF262184 TB262184 ACX262184 AMT262184 AWP262184 BGL262184 BQH262184 CAD262184 CJZ262184 CTV262184 DDR262184 DNN262184 DXJ262184 EHF262184 ERB262184 FAX262184 FKT262184 FUP262184 GEL262184 GOH262184 GYD262184 HHZ262184 HRV262184 IBR262184 ILN262184 IVJ262184 JFF262184 JPB262184 JYX262184 KIT262184 KSP262184 LCL262184 LMH262184 LWD262184 MFZ262184 MPV262184 MZR262184 NJN262184 NTJ262184 ODF262184 ONB262184 OWX262184 PGT262184 PQP262184 QAL262184 QKH262184 QUD262184 RDZ262184 RNV262184 RXR262184 SHN262184 SRJ262184 TBF262184 TLB262184 TUX262184 UET262184 UOP262184 UYL262184 VIH262184 VSD262184 WBZ262184 WLV262184 WVR262184 J327720 JF327720 TB327720 ACX327720 AMT327720 AWP327720 BGL327720 BQH327720 CAD327720 CJZ327720 CTV327720 DDR327720 DNN327720 DXJ327720 EHF327720 ERB327720 FAX327720 FKT327720 FUP327720 GEL327720 GOH327720 GYD327720 HHZ327720 HRV327720 IBR327720 ILN327720 IVJ327720 JFF327720 JPB327720 JYX327720 KIT327720 KSP327720 LCL327720 LMH327720 LWD327720 MFZ327720 MPV327720 MZR327720 NJN327720 NTJ327720 ODF327720 ONB327720 OWX327720 PGT327720 PQP327720 QAL327720 QKH327720 QUD327720 RDZ327720 RNV327720 RXR327720 SHN327720 SRJ327720 TBF327720 TLB327720 TUX327720 UET327720 UOP327720 UYL327720 VIH327720 VSD327720 WBZ327720 WLV327720 WVR327720 J393256 JF393256 TB393256 ACX393256 AMT393256 AWP393256 BGL393256 BQH393256 CAD393256 CJZ393256 CTV393256 DDR393256 DNN393256 DXJ393256 EHF393256 ERB393256 FAX393256 FKT393256 FUP393256 GEL393256 GOH393256 GYD393256 HHZ393256 HRV393256 IBR393256 ILN393256 IVJ393256 JFF393256 JPB393256 JYX393256 KIT393256 KSP393256 LCL393256 LMH393256 LWD393256 MFZ393256 MPV393256 MZR393256 NJN393256 NTJ393256 ODF393256 ONB393256 OWX393256 PGT393256 PQP393256 QAL393256 QKH393256 QUD393256 RDZ393256 RNV393256 RXR393256 SHN393256 SRJ393256 TBF393256 TLB393256 TUX393256 UET393256 UOP393256 UYL393256 VIH393256 VSD393256 WBZ393256 WLV393256 WVR393256 J458792 JF458792 TB458792 ACX458792 AMT458792 AWP458792 BGL458792 BQH458792 CAD458792 CJZ458792 CTV458792 DDR458792 DNN458792 DXJ458792 EHF458792 ERB458792 FAX458792 FKT458792 FUP458792 GEL458792 GOH458792 GYD458792 HHZ458792 HRV458792 IBR458792 ILN458792 IVJ458792 JFF458792 JPB458792 JYX458792 KIT458792 KSP458792 LCL458792 LMH458792 LWD458792 MFZ458792 MPV458792 MZR458792 NJN458792 NTJ458792 ODF458792 ONB458792 OWX458792 PGT458792 PQP458792 QAL458792 QKH458792 QUD458792 RDZ458792 RNV458792 RXR458792 SHN458792 SRJ458792 TBF458792 TLB458792 TUX458792 UET458792 UOP458792 UYL458792 VIH458792 VSD458792 WBZ458792 WLV458792 WVR458792 J524328 JF524328 TB524328 ACX524328 AMT524328 AWP524328 BGL524328 BQH524328 CAD524328 CJZ524328 CTV524328 DDR524328 DNN524328 DXJ524328 EHF524328 ERB524328 FAX524328 FKT524328 FUP524328 GEL524328 GOH524328 GYD524328 HHZ524328 HRV524328 IBR524328 ILN524328 IVJ524328 JFF524328 JPB524328 JYX524328 KIT524328 KSP524328 LCL524328 LMH524328 LWD524328 MFZ524328 MPV524328 MZR524328 NJN524328 NTJ524328 ODF524328 ONB524328 OWX524328 PGT524328 PQP524328 QAL524328 QKH524328 QUD524328 RDZ524328 RNV524328 RXR524328 SHN524328 SRJ524328 TBF524328 TLB524328 TUX524328 UET524328 UOP524328 UYL524328 VIH524328 VSD524328 WBZ524328 WLV524328 WVR524328 J589864 JF589864 TB589864 ACX589864 AMT589864 AWP589864 BGL589864 BQH589864 CAD589864 CJZ589864 CTV589864 DDR589864 DNN589864 DXJ589864 EHF589864 ERB589864 FAX589864 FKT589864 FUP589864 GEL589864 GOH589864 GYD589864 HHZ589864 HRV589864 IBR589864 ILN589864 IVJ589864 JFF589864 JPB589864 JYX589864 KIT589864 KSP589864 LCL589864 LMH589864 LWD589864 MFZ589864 MPV589864 MZR589864 NJN589864 NTJ589864 ODF589864 ONB589864 OWX589864 PGT589864 PQP589864 QAL589864 QKH589864 QUD589864 RDZ589864 RNV589864 RXR589864 SHN589864 SRJ589864 TBF589864 TLB589864 TUX589864 UET589864 UOP589864 UYL589864 VIH589864 VSD589864 WBZ589864 WLV589864 WVR589864 J655400 JF655400 TB655400 ACX655400 AMT655400 AWP655400 BGL655400 BQH655400 CAD655400 CJZ655400 CTV655400 DDR655400 DNN655400 DXJ655400 EHF655400 ERB655400 FAX655400 FKT655400 FUP655400 GEL655400 GOH655400 GYD655400 HHZ655400 HRV655400 IBR655400 ILN655400 IVJ655400 JFF655400 JPB655400 JYX655400 KIT655400 KSP655400 LCL655400 LMH655400 LWD655400 MFZ655400 MPV655400 MZR655400 NJN655400 NTJ655400 ODF655400 ONB655400 OWX655400 PGT655400 PQP655400 QAL655400 QKH655400 QUD655400 RDZ655400 RNV655400 RXR655400 SHN655400 SRJ655400 TBF655400 TLB655400 TUX655400 UET655400 UOP655400 UYL655400 VIH655400 VSD655400 WBZ655400 WLV655400 WVR655400 J720936 JF720936 TB720936 ACX720936 AMT720936 AWP720936 BGL720936 BQH720936 CAD720936 CJZ720936 CTV720936 DDR720936 DNN720936 DXJ720936 EHF720936 ERB720936 FAX720936 FKT720936 FUP720936 GEL720936 GOH720936 GYD720936 HHZ720936 HRV720936 IBR720936 ILN720936 IVJ720936 JFF720936 JPB720936 JYX720936 KIT720936 KSP720936 LCL720936 LMH720936 LWD720936 MFZ720936 MPV720936 MZR720936 NJN720936 NTJ720936 ODF720936 ONB720936 OWX720936 PGT720936 PQP720936 QAL720936 QKH720936 QUD720936 RDZ720936 RNV720936 RXR720936 SHN720936 SRJ720936 TBF720936 TLB720936 TUX720936 UET720936 UOP720936 UYL720936 VIH720936 VSD720936 WBZ720936 WLV720936 WVR720936 J786472 JF786472 TB786472 ACX786472 AMT786472 AWP786472 BGL786472 BQH786472 CAD786472 CJZ786472 CTV786472 DDR786472 DNN786472 DXJ786472 EHF786472 ERB786472 FAX786472 FKT786472 FUP786472 GEL786472 GOH786472 GYD786472 HHZ786472 HRV786472 IBR786472 ILN786472 IVJ786472 JFF786472 JPB786472 JYX786472 KIT786472 KSP786472 LCL786472 LMH786472 LWD786472 MFZ786472 MPV786472 MZR786472 NJN786472 NTJ786472 ODF786472 ONB786472 OWX786472 PGT786472 PQP786472 QAL786472 QKH786472 QUD786472 RDZ786472 RNV786472 RXR786472 SHN786472 SRJ786472 TBF786472 TLB786472 TUX786472 UET786472 UOP786472 UYL786472 VIH786472 VSD786472 WBZ786472 WLV786472 WVR786472 J852008 JF852008 TB852008 ACX852008 AMT852008 AWP852008 BGL852008 BQH852008 CAD852008 CJZ852008 CTV852008 DDR852008 DNN852008 DXJ852008 EHF852008 ERB852008 FAX852008 FKT852008 FUP852008 GEL852008 GOH852008 GYD852008 HHZ852008 HRV852008 IBR852008 ILN852008 IVJ852008 JFF852008 JPB852008 JYX852008 KIT852008 KSP852008 LCL852008 LMH852008 LWD852008 MFZ852008 MPV852008 MZR852008 NJN852008 NTJ852008 ODF852008 ONB852008 OWX852008 PGT852008 PQP852008 QAL852008 QKH852008 QUD852008 RDZ852008 RNV852008 RXR852008 SHN852008 SRJ852008 TBF852008 TLB852008 TUX852008 UET852008 UOP852008 UYL852008 VIH852008 VSD852008 WBZ852008 WLV852008 WVR852008 J917544 JF917544 TB917544 ACX917544 AMT917544 AWP917544 BGL917544 BQH917544 CAD917544 CJZ917544 CTV917544 DDR917544 DNN917544 DXJ917544 EHF917544 ERB917544 FAX917544 FKT917544 FUP917544 GEL917544 GOH917544 GYD917544 HHZ917544 HRV917544 IBR917544 ILN917544 IVJ917544 JFF917544 JPB917544 JYX917544 KIT917544 KSP917544 LCL917544 LMH917544 LWD917544 MFZ917544 MPV917544 MZR917544 NJN917544 NTJ917544 ODF917544 ONB917544 OWX917544 PGT917544 PQP917544 QAL917544 QKH917544 QUD917544 RDZ917544 RNV917544 RXR917544 SHN917544 SRJ917544 TBF917544 TLB917544 TUX917544 UET917544 UOP917544 UYL917544 VIH917544 VSD917544 WBZ917544 WLV917544 WVR917544 J983080 JF983080 TB983080 ACX983080 AMT983080 AWP983080 BGL983080 BQH983080 CAD983080 CJZ983080 CTV983080 DDR983080 DNN983080 DXJ983080 EHF983080 ERB983080 FAX983080 FKT983080 FUP983080 GEL983080 GOH983080 GYD983080 HHZ983080 HRV983080 IBR983080 ILN983080 IVJ983080 JFF983080 JPB983080 JYX983080 KIT983080 KSP983080 LCL983080 LMH983080 LWD983080 MFZ983080 MPV983080 MZR983080 NJN983080 NTJ983080 ODF983080 ONB983080 OWX983080 PGT983080 PQP983080 QAL983080 QKH983080 QUD983080 RDZ983080 RNV983080 RXR983080 SHN983080 SRJ983080 TBF983080 TLB983080 TUX983080 UET983080 UOP983080 UYL983080 VIH983080 VSD983080 WBZ983080 WLV983080 WVR983080 L40 JH40 TD40 ACZ40 AMV40 AWR40 BGN40 BQJ40 CAF40 CKB40 CTX40 DDT40 DNP40 DXL40 EHH40 ERD40 FAZ40 FKV40 FUR40 GEN40 GOJ40 GYF40 HIB40 HRX40 IBT40 ILP40 IVL40 JFH40 JPD40 JYZ40 KIV40 KSR40 LCN40 LMJ40 LWF40 MGB40 MPX40 MZT40 NJP40 NTL40 ODH40 OND40 OWZ40 PGV40 PQR40 QAN40 QKJ40 QUF40 REB40 RNX40 RXT40 SHP40 SRL40 TBH40 TLD40 TUZ40 UEV40 UOR40 UYN40 VIJ40 VSF40 WCB40 WLX40 WVT40 L65576 JH65576 TD65576 ACZ65576 AMV65576 AWR65576 BGN65576 BQJ65576 CAF65576 CKB65576 CTX65576 DDT65576 DNP65576 DXL65576 EHH65576 ERD65576 FAZ65576 FKV65576 FUR65576 GEN65576 GOJ65576 GYF65576 HIB65576 HRX65576 IBT65576 ILP65576 IVL65576 JFH65576 JPD65576 JYZ65576 KIV65576 KSR65576 LCN65576 LMJ65576 LWF65576 MGB65576 MPX65576 MZT65576 NJP65576 NTL65576 ODH65576 OND65576 OWZ65576 PGV65576 PQR65576 QAN65576 QKJ65576 QUF65576 REB65576 RNX65576 RXT65576 SHP65576 SRL65576 TBH65576 TLD65576 TUZ65576 UEV65576 UOR65576 UYN65576 VIJ65576 VSF65576 WCB65576 WLX65576 WVT65576 L131112 JH131112 TD131112 ACZ131112 AMV131112 AWR131112 BGN131112 BQJ131112 CAF131112 CKB131112 CTX131112 DDT131112 DNP131112 DXL131112 EHH131112 ERD131112 FAZ131112 FKV131112 FUR131112 GEN131112 GOJ131112 GYF131112 HIB131112 HRX131112 IBT131112 ILP131112 IVL131112 JFH131112 JPD131112 JYZ131112 KIV131112 KSR131112 LCN131112 LMJ131112 LWF131112 MGB131112 MPX131112 MZT131112 NJP131112 NTL131112 ODH131112 OND131112 OWZ131112 PGV131112 PQR131112 QAN131112 QKJ131112 QUF131112 REB131112 RNX131112 RXT131112 SHP131112 SRL131112 TBH131112 TLD131112 TUZ131112 UEV131112 UOR131112 UYN131112 VIJ131112 VSF131112 WCB131112 WLX131112 WVT131112 L196648 JH196648 TD196648 ACZ196648 AMV196648 AWR196648 BGN196648 BQJ196648 CAF196648 CKB196648 CTX196648 DDT196648 DNP196648 DXL196648 EHH196648 ERD196648 FAZ196648 FKV196648 FUR196648 GEN196648 GOJ196648 GYF196648 HIB196648 HRX196648 IBT196648 ILP196648 IVL196648 JFH196648 JPD196648 JYZ196648 KIV196648 KSR196648 LCN196648 LMJ196648 LWF196648 MGB196648 MPX196648 MZT196648 NJP196648 NTL196648 ODH196648 OND196648 OWZ196648 PGV196648 PQR196648 QAN196648 QKJ196648 QUF196648 REB196648 RNX196648 RXT196648 SHP196648 SRL196648 TBH196648 TLD196648 TUZ196648 UEV196648 UOR196648 UYN196648 VIJ196648 VSF196648 WCB196648 WLX196648 WVT196648 L262184 JH262184 TD262184 ACZ262184 AMV262184 AWR262184 BGN262184 BQJ262184 CAF262184 CKB262184 CTX262184 DDT262184 DNP262184 DXL262184 EHH262184 ERD262184 FAZ262184 FKV262184 FUR262184 GEN262184 GOJ262184 GYF262184 HIB262184 HRX262184 IBT262184 ILP262184 IVL262184 JFH262184 JPD262184 JYZ262184 KIV262184 KSR262184 LCN262184 LMJ262184 LWF262184 MGB262184 MPX262184 MZT262184 NJP262184 NTL262184 ODH262184 OND262184 OWZ262184 PGV262184 PQR262184 QAN262184 QKJ262184 QUF262184 REB262184 RNX262184 RXT262184 SHP262184 SRL262184 TBH262184 TLD262184 TUZ262184 UEV262184 UOR262184 UYN262184 VIJ262184 VSF262184 WCB262184 WLX262184 WVT262184 L327720 JH327720 TD327720 ACZ327720 AMV327720 AWR327720 BGN327720 BQJ327720 CAF327720 CKB327720 CTX327720 DDT327720 DNP327720 DXL327720 EHH327720 ERD327720 FAZ327720 FKV327720 FUR327720 GEN327720 GOJ327720 GYF327720 HIB327720 HRX327720 IBT327720 ILP327720 IVL327720 JFH327720 JPD327720 JYZ327720 KIV327720 KSR327720 LCN327720 LMJ327720 LWF327720 MGB327720 MPX327720 MZT327720 NJP327720 NTL327720 ODH327720 OND327720 OWZ327720 PGV327720 PQR327720 QAN327720 QKJ327720 QUF327720 REB327720 RNX327720 RXT327720 SHP327720 SRL327720 TBH327720 TLD327720 TUZ327720 UEV327720 UOR327720 UYN327720 VIJ327720 VSF327720 WCB327720 WLX327720 WVT327720 L393256 JH393256 TD393256 ACZ393256 AMV393256 AWR393256 BGN393256 BQJ393256 CAF393256 CKB393256 CTX393256 DDT393256 DNP393256 DXL393256 EHH393256 ERD393256 FAZ393256 FKV393256 FUR393256 GEN393256 GOJ393256 GYF393256 HIB393256 HRX393256 IBT393256 ILP393256 IVL393256 JFH393256 JPD393256 JYZ393256 KIV393256 KSR393256 LCN393256 LMJ393256 LWF393256 MGB393256 MPX393256 MZT393256 NJP393256 NTL393256 ODH393256 OND393256 OWZ393256 PGV393256 PQR393256 QAN393256 QKJ393256 QUF393256 REB393256 RNX393256 RXT393256 SHP393256 SRL393256 TBH393256 TLD393256 TUZ393256 UEV393256 UOR393256 UYN393256 VIJ393256 VSF393256 WCB393256 WLX393256 WVT393256 L458792 JH458792 TD458792 ACZ458792 AMV458792 AWR458792 BGN458792 BQJ458792 CAF458792 CKB458792 CTX458792 DDT458792 DNP458792 DXL458792 EHH458792 ERD458792 FAZ458792 FKV458792 FUR458792 GEN458792 GOJ458792 GYF458792 HIB458792 HRX458792 IBT458792 ILP458792 IVL458792 JFH458792 JPD458792 JYZ458792 KIV458792 KSR458792 LCN458792 LMJ458792 LWF458792 MGB458792 MPX458792 MZT458792 NJP458792 NTL458792 ODH458792 OND458792 OWZ458792 PGV458792 PQR458792 QAN458792 QKJ458792 QUF458792 REB458792 RNX458792 RXT458792 SHP458792 SRL458792 TBH458792 TLD458792 TUZ458792 UEV458792 UOR458792 UYN458792 VIJ458792 VSF458792 WCB458792 WLX458792 WVT458792 L524328 JH524328 TD524328 ACZ524328 AMV524328 AWR524328 BGN524328 BQJ524328 CAF524328 CKB524328 CTX524328 DDT524328 DNP524328 DXL524328 EHH524328 ERD524328 FAZ524328 FKV524328 FUR524328 GEN524328 GOJ524328 GYF524328 HIB524328 HRX524328 IBT524328 ILP524328 IVL524328 JFH524328 JPD524328 JYZ524328 KIV524328 KSR524328 LCN524328 LMJ524328 LWF524328 MGB524328 MPX524328 MZT524328 NJP524328 NTL524328 ODH524328 OND524328 OWZ524328 PGV524328 PQR524328 QAN524328 QKJ524328 QUF524328 REB524328 RNX524328 RXT524328 SHP524328 SRL524328 TBH524328 TLD524328 TUZ524328 UEV524328 UOR524328 UYN524328 VIJ524328 VSF524328 WCB524328 WLX524328 WVT524328 L589864 JH589864 TD589864 ACZ589864 AMV589864 AWR589864 BGN589864 BQJ589864 CAF589864 CKB589864 CTX589864 DDT589864 DNP589864 DXL589864 EHH589864 ERD589864 FAZ589864 FKV589864 FUR589864 GEN589864 GOJ589864 GYF589864 HIB589864 HRX589864 IBT589864 ILP589864 IVL589864 JFH589864 JPD589864 JYZ589864 KIV589864 KSR589864 LCN589864 LMJ589864 LWF589864 MGB589864 MPX589864 MZT589864 NJP589864 NTL589864 ODH589864 OND589864 OWZ589864 PGV589864 PQR589864 QAN589864 QKJ589864 QUF589864 REB589864 RNX589864 RXT589864 SHP589864 SRL589864 TBH589864 TLD589864 TUZ589864 UEV589864 UOR589864 UYN589864 VIJ589864 VSF589864 WCB589864 WLX589864 WVT589864 L655400 JH655400 TD655400 ACZ655400 AMV655400 AWR655400 BGN655400 BQJ655400 CAF655400 CKB655400 CTX655400 DDT655400 DNP655400 DXL655400 EHH655400 ERD655400 FAZ655400 FKV655400 FUR655400 GEN655400 GOJ655400 GYF655400 HIB655400 HRX655400 IBT655400 ILP655400 IVL655400 JFH655400 JPD655400 JYZ655400 KIV655400 KSR655400 LCN655400 LMJ655400 LWF655400 MGB655400 MPX655400 MZT655400 NJP655400 NTL655400 ODH655400 OND655400 OWZ655400 PGV655400 PQR655400 QAN655400 QKJ655400 QUF655400 REB655400 RNX655400 RXT655400 SHP655400 SRL655400 TBH655400 TLD655400 TUZ655400 UEV655400 UOR655400 UYN655400 VIJ655400 VSF655400 WCB655400 WLX655400 WVT655400 L720936 JH720936 TD720936 ACZ720936 AMV720936 AWR720936 BGN720936 BQJ720936 CAF720936 CKB720936 CTX720936 DDT720936 DNP720936 DXL720936 EHH720936 ERD720936 FAZ720936 FKV720936 FUR720936 GEN720936 GOJ720936 GYF720936 HIB720936 HRX720936 IBT720936 ILP720936 IVL720936 JFH720936 JPD720936 JYZ720936 KIV720936 KSR720936 LCN720936 LMJ720936 LWF720936 MGB720936 MPX720936 MZT720936 NJP720936 NTL720936 ODH720936 OND720936 OWZ720936 PGV720936 PQR720936 QAN720936 QKJ720936 QUF720936 REB720936 RNX720936 RXT720936 SHP720936 SRL720936 TBH720936 TLD720936 TUZ720936 UEV720936 UOR720936 UYN720936 VIJ720936 VSF720936 WCB720936 WLX720936 WVT720936 L786472 JH786472 TD786472 ACZ786472 AMV786472 AWR786472 BGN786472 BQJ786472 CAF786472 CKB786472 CTX786472 DDT786472 DNP786472 DXL786472 EHH786472 ERD786472 FAZ786472 FKV786472 FUR786472 GEN786472 GOJ786472 GYF786472 HIB786472 HRX786472 IBT786472 ILP786472 IVL786472 JFH786472 JPD786472 JYZ786472 KIV786472 KSR786472 LCN786472 LMJ786472 LWF786472 MGB786472 MPX786472 MZT786472 NJP786472 NTL786472 ODH786472 OND786472 OWZ786472 PGV786472 PQR786472 QAN786472 QKJ786472 QUF786472 REB786472 RNX786472 RXT786472 SHP786472 SRL786472 TBH786472 TLD786472 TUZ786472 UEV786472 UOR786472 UYN786472 VIJ786472 VSF786472 WCB786472 WLX786472 WVT786472 L852008 JH852008 TD852008 ACZ852008 AMV852008 AWR852008 BGN852008 BQJ852008 CAF852008 CKB852008 CTX852008 DDT852008 DNP852008 DXL852008 EHH852008 ERD852008 FAZ852008 FKV852008 FUR852008 GEN852008 GOJ852008 GYF852008 HIB852008 HRX852008 IBT852008 ILP852008 IVL852008 JFH852008 JPD852008 JYZ852008 KIV852008 KSR852008 LCN852008 LMJ852008 LWF852008 MGB852008 MPX852008 MZT852008 NJP852008 NTL852008 ODH852008 OND852008 OWZ852008 PGV852008 PQR852008 QAN852008 QKJ852008 QUF852008 REB852008 RNX852008 RXT852008 SHP852008 SRL852008 TBH852008 TLD852008 TUZ852008 UEV852008 UOR852008 UYN852008 VIJ852008 VSF852008 WCB852008 WLX852008 WVT852008 L917544 JH917544 TD917544 ACZ917544 AMV917544 AWR917544 BGN917544 BQJ917544 CAF917544 CKB917544 CTX917544 DDT917544 DNP917544 DXL917544 EHH917544 ERD917544 FAZ917544 FKV917544 FUR917544 GEN917544 GOJ917544 GYF917544 HIB917544 HRX917544 IBT917544 ILP917544 IVL917544 JFH917544 JPD917544 JYZ917544 KIV917544 KSR917544 LCN917544 LMJ917544 LWF917544 MGB917544 MPX917544 MZT917544 NJP917544 NTL917544 ODH917544 OND917544 OWZ917544 PGV917544 PQR917544 QAN917544 QKJ917544 QUF917544 REB917544 RNX917544 RXT917544 SHP917544 SRL917544 TBH917544 TLD917544 TUZ917544 UEV917544 UOR917544 UYN917544 VIJ917544 VSF917544 WCB917544 WLX917544 WVT917544 L983080 JH983080 TD983080 ACZ983080 AMV983080 AWR983080 BGN983080 BQJ983080 CAF983080 CKB983080 CTX983080 DDT983080 DNP983080 DXL983080 EHH983080 ERD983080 FAZ983080 FKV983080 FUR983080 GEN983080 GOJ983080 GYF983080 HIB983080 HRX983080 IBT983080 ILP983080 IVL983080 JFH983080 JPD983080 JYZ983080 KIV983080 KSR983080 LCN983080 LMJ983080 LWF983080 MGB983080 MPX983080 MZT983080 NJP983080 NTL983080 ODH983080 OND983080 OWZ983080 PGV983080 PQR983080 QAN983080 QKJ983080 QUF983080 REB983080 RNX983080 RXT983080 SHP983080 SRL983080 TBH983080 TLD983080 TUZ983080 UEV983080 UOR983080 UYN983080 VIJ983080 VSF983080 WCB983080 WLX983080 WVT983080" xr:uid="{00000000-0002-0000-0000-000007000000}">
      <formula1>$CV$8:$CV$10</formula1>
    </dataValidation>
    <dataValidation type="list" allowBlank="1" showInputMessage="1" showErrorMessage="1" sqref="R4 JN4 TJ4 ADF4 ANB4 AWX4 BGT4 BQP4 CAL4 CKH4 CUD4 DDZ4 DNV4 DXR4 EHN4 ERJ4 FBF4 FLB4 FUX4 GET4 GOP4 GYL4 HIH4 HSD4 IBZ4 ILV4 IVR4 JFN4 JPJ4 JZF4 KJB4 KSX4 LCT4 LMP4 LWL4 MGH4 MQD4 MZZ4 NJV4 NTR4 ODN4 ONJ4 OXF4 PHB4 PQX4 QAT4 QKP4 QUL4 REH4 ROD4 RXZ4 SHV4 SRR4 TBN4 TLJ4 TVF4 UFB4 UOX4 UYT4 VIP4 VSL4 WCH4 WMD4 WVZ4 R65540 JN65540 TJ65540 ADF65540 ANB65540 AWX65540 BGT65540 BQP65540 CAL65540 CKH65540 CUD65540 DDZ65540 DNV65540 DXR65540 EHN65540 ERJ65540 FBF65540 FLB65540 FUX65540 GET65540 GOP65540 GYL65540 HIH65540 HSD65540 IBZ65540 ILV65540 IVR65540 JFN65540 JPJ65540 JZF65540 KJB65540 KSX65540 LCT65540 LMP65540 LWL65540 MGH65540 MQD65540 MZZ65540 NJV65540 NTR65540 ODN65540 ONJ65540 OXF65540 PHB65540 PQX65540 QAT65540 QKP65540 QUL65540 REH65540 ROD65540 RXZ65540 SHV65540 SRR65540 TBN65540 TLJ65540 TVF65540 UFB65540 UOX65540 UYT65540 VIP65540 VSL65540 WCH65540 WMD65540 WVZ65540 R131076 JN131076 TJ131076 ADF131076 ANB131076 AWX131076 BGT131076 BQP131076 CAL131076 CKH131076 CUD131076 DDZ131076 DNV131076 DXR131076 EHN131076 ERJ131076 FBF131076 FLB131076 FUX131076 GET131076 GOP131076 GYL131076 HIH131076 HSD131076 IBZ131076 ILV131076 IVR131076 JFN131076 JPJ131076 JZF131076 KJB131076 KSX131076 LCT131076 LMP131076 LWL131076 MGH131076 MQD131076 MZZ131076 NJV131076 NTR131076 ODN131076 ONJ131076 OXF131076 PHB131076 PQX131076 QAT131076 QKP131076 QUL131076 REH131076 ROD131076 RXZ131076 SHV131076 SRR131076 TBN131076 TLJ131076 TVF131076 UFB131076 UOX131076 UYT131076 VIP131076 VSL131076 WCH131076 WMD131076 WVZ131076 R196612 JN196612 TJ196612 ADF196612 ANB196612 AWX196612 BGT196612 BQP196612 CAL196612 CKH196612 CUD196612 DDZ196612 DNV196612 DXR196612 EHN196612 ERJ196612 FBF196612 FLB196612 FUX196612 GET196612 GOP196612 GYL196612 HIH196612 HSD196612 IBZ196612 ILV196612 IVR196612 JFN196612 JPJ196612 JZF196612 KJB196612 KSX196612 LCT196612 LMP196612 LWL196612 MGH196612 MQD196612 MZZ196612 NJV196612 NTR196612 ODN196612 ONJ196612 OXF196612 PHB196612 PQX196612 QAT196612 QKP196612 QUL196612 REH196612 ROD196612 RXZ196612 SHV196612 SRR196612 TBN196612 TLJ196612 TVF196612 UFB196612 UOX196612 UYT196612 VIP196612 VSL196612 WCH196612 WMD196612 WVZ196612 R262148 JN262148 TJ262148 ADF262148 ANB262148 AWX262148 BGT262148 BQP262148 CAL262148 CKH262148 CUD262148 DDZ262148 DNV262148 DXR262148 EHN262148 ERJ262148 FBF262148 FLB262148 FUX262148 GET262148 GOP262148 GYL262148 HIH262148 HSD262148 IBZ262148 ILV262148 IVR262148 JFN262148 JPJ262148 JZF262148 KJB262148 KSX262148 LCT262148 LMP262148 LWL262148 MGH262148 MQD262148 MZZ262148 NJV262148 NTR262148 ODN262148 ONJ262148 OXF262148 PHB262148 PQX262148 QAT262148 QKP262148 QUL262148 REH262148 ROD262148 RXZ262148 SHV262148 SRR262148 TBN262148 TLJ262148 TVF262148 UFB262148 UOX262148 UYT262148 VIP262148 VSL262148 WCH262148 WMD262148 WVZ262148 R327684 JN327684 TJ327684 ADF327684 ANB327684 AWX327684 BGT327684 BQP327684 CAL327684 CKH327684 CUD327684 DDZ327684 DNV327684 DXR327684 EHN327684 ERJ327684 FBF327684 FLB327684 FUX327684 GET327684 GOP327684 GYL327684 HIH327684 HSD327684 IBZ327684 ILV327684 IVR327684 JFN327684 JPJ327684 JZF327684 KJB327684 KSX327684 LCT327684 LMP327684 LWL327684 MGH327684 MQD327684 MZZ327684 NJV327684 NTR327684 ODN327684 ONJ327684 OXF327684 PHB327684 PQX327684 QAT327684 QKP327684 QUL327684 REH327684 ROD327684 RXZ327684 SHV327684 SRR327684 TBN327684 TLJ327684 TVF327684 UFB327684 UOX327684 UYT327684 VIP327684 VSL327684 WCH327684 WMD327684 WVZ327684 R393220 JN393220 TJ393220 ADF393220 ANB393220 AWX393220 BGT393220 BQP393220 CAL393220 CKH393220 CUD393220 DDZ393220 DNV393220 DXR393220 EHN393220 ERJ393220 FBF393220 FLB393220 FUX393220 GET393220 GOP393220 GYL393220 HIH393220 HSD393220 IBZ393220 ILV393220 IVR393220 JFN393220 JPJ393220 JZF393220 KJB393220 KSX393220 LCT393220 LMP393220 LWL393220 MGH393220 MQD393220 MZZ393220 NJV393220 NTR393220 ODN393220 ONJ393220 OXF393220 PHB393220 PQX393220 QAT393220 QKP393220 QUL393220 REH393220 ROD393220 RXZ393220 SHV393220 SRR393220 TBN393220 TLJ393220 TVF393220 UFB393220 UOX393220 UYT393220 VIP393220 VSL393220 WCH393220 WMD393220 WVZ393220 R458756 JN458756 TJ458756 ADF458756 ANB458756 AWX458756 BGT458756 BQP458756 CAL458756 CKH458756 CUD458756 DDZ458756 DNV458756 DXR458756 EHN458756 ERJ458756 FBF458756 FLB458756 FUX458756 GET458756 GOP458756 GYL458756 HIH458756 HSD458756 IBZ458756 ILV458756 IVR458756 JFN458756 JPJ458756 JZF458756 KJB458756 KSX458756 LCT458756 LMP458756 LWL458756 MGH458756 MQD458756 MZZ458756 NJV458756 NTR458756 ODN458756 ONJ458756 OXF458756 PHB458756 PQX458756 QAT458756 QKP458756 QUL458756 REH458756 ROD458756 RXZ458756 SHV458756 SRR458756 TBN458756 TLJ458756 TVF458756 UFB458756 UOX458756 UYT458756 VIP458756 VSL458756 WCH458756 WMD458756 WVZ458756 R524292 JN524292 TJ524292 ADF524292 ANB524292 AWX524292 BGT524292 BQP524292 CAL524292 CKH524292 CUD524292 DDZ524292 DNV524292 DXR524292 EHN524292 ERJ524292 FBF524292 FLB524292 FUX524292 GET524292 GOP524292 GYL524292 HIH524292 HSD524292 IBZ524292 ILV524292 IVR524292 JFN524292 JPJ524292 JZF524292 KJB524292 KSX524292 LCT524292 LMP524292 LWL524292 MGH524292 MQD524292 MZZ524292 NJV524292 NTR524292 ODN524292 ONJ524292 OXF524292 PHB524292 PQX524292 QAT524292 QKP524292 QUL524292 REH524292 ROD524292 RXZ524292 SHV524292 SRR524292 TBN524292 TLJ524292 TVF524292 UFB524292 UOX524292 UYT524292 VIP524292 VSL524292 WCH524292 WMD524292 WVZ524292 R589828 JN589828 TJ589828 ADF589828 ANB589828 AWX589828 BGT589828 BQP589828 CAL589828 CKH589828 CUD589828 DDZ589828 DNV589828 DXR589828 EHN589828 ERJ589828 FBF589828 FLB589828 FUX589828 GET589828 GOP589828 GYL589828 HIH589828 HSD589828 IBZ589828 ILV589828 IVR589828 JFN589828 JPJ589828 JZF589828 KJB589828 KSX589828 LCT589828 LMP589828 LWL589828 MGH589828 MQD589828 MZZ589828 NJV589828 NTR589828 ODN589828 ONJ589828 OXF589828 PHB589828 PQX589828 QAT589828 QKP589828 QUL589828 REH589828 ROD589828 RXZ589828 SHV589828 SRR589828 TBN589828 TLJ589828 TVF589828 UFB589828 UOX589828 UYT589828 VIP589828 VSL589828 WCH589828 WMD589828 WVZ589828 R655364 JN655364 TJ655364 ADF655364 ANB655364 AWX655364 BGT655364 BQP655364 CAL655364 CKH655364 CUD655364 DDZ655364 DNV655364 DXR655364 EHN655364 ERJ655364 FBF655364 FLB655364 FUX655364 GET655364 GOP655364 GYL655364 HIH655364 HSD655364 IBZ655364 ILV655364 IVR655364 JFN655364 JPJ655364 JZF655364 KJB655364 KSX655364 LCT655364 LMP655364 LWL655364 MGH655364 MQD655364 MZZ655364 NJV655364 NTR655364 ODN655364 ONJ655364 OXF655364 PHB655364 PQX655364 QAT655364 QKP655364 QUL655364 REH655364 ROD655364 RXZ655364 SHV655364 SRR655364 TBN655364 TLJ655364 TVF655364 UFB655364 UOX655364 UYT655364 VIP655364 VSL655364 WCH655364 WMD655364 WVZ655364 R720900 JN720900 TJ720900 ADF720900 ANB720900 AWX720900 BGT720900 BQP720900 CAL720900 CKH720900 CUD720900 DDZ720900 DNV720900 DXR720900 EHN720900 ERJ720900 FBF720900 FLB720900 FUX720900 GET720900 GOP720900 GYL720900 HIH720900 HSD720900 IBZ720900 ILV720900 IVR720900 JFN720900 JPJ720900 JZF720900 KJB720900 KSX720900 LCT720900 LMP720900 LWL720900 MGH720900 MQD720900 MZZ720900 NJV720900 NTR720900 ODN720900 ONJ720900 OXF720900 PHB720900 PQX720900 QAT720900 QKP720900 QUL720900 REH720900 ROD720900 RXZ720900 SHV720900 SRR720900 TBN720900 TLJ720900 TVF720900 UFB720900 UOX720900 UYT720900 VIP720900 VSL720900 WCH720900 WMD720900 WVZ720900 R786436 JN786436 TJ786436 ADF786436 ANB786436 AWX786436 BGT786436 BQP786436 CAL786436 CKH786436 CUD786436 DDZ786436 DNV786436 DXR786436 EHN786436 ERJ786436 FBF786436 FLB786436 FUX786436 GET786436 GOP786436 GYL786436 HIH786436 HSD786436 IBZ786436 ILV786436 IVR786436 JFN786436 JPJ786436 JZF786436 KJB786436 KSX786436 LCT786436 LMP786436 LWL786436 MGH786436 MQD786436 MZZ786436 NJV786436 NTR786436 ODN786436 ONJ786436 OXF786436 PHB786436 PQX786436 QAT786436 QKP786436 QUL786436 REH786436 ROD786436 RXZ786436 SHV786436 SRR786436 TBN786436 TLJ786436 TVF786436 UFB786436 UOX786436 UYT786436 VIP786436 VSL786436 WCH786436 WMD786436 WVZ786436 R851972 JN851972 TJ851972 ADF851972 ANB851972 AWX851972 BGT851972 BQP851972 CAL851972 CKH851972 CUD851972 DDZ851972 DNV851972 DXR851972 EHN851972 ERJ851972 FBF851972 FLB851972 FUX851972 GET851972 GOP851972 GYL851972 HIH851972 HSD851972 IBZ851972 ILV851972 IVR851972 JFN851972 JPJ851972 JZF851972 KJB851972 KSX851972 LCT851972 LMP851972 LWL851972 MGH851972 MQD851972 MZZ851972 NJV851972 NTR851972 ODN851972 ONJ851972 OXF851972 PHB851972 PQX851972 QAT851972 QKP851972 QUL851972 REH851972 ROD851972 RXZ851972 SHV851972 SRR851972 TBN851972 TLJ851972 TVF851972 UFB851972 UOX851972 UYT851972 VIP851972 VSL851972 WCH851972 WMD851972 WVZ851972 R917508 JN917508 TJ917508 ADF917508 ANB917508 AWX917508 BGT917508 BQP917508 CAL917508 CKH917508 CUD917508 DDZ917508 DNV917508 DXR917508 EHN917508 ERJ917508 FBF917508 FLB917508 FUX917508 GET917508 GOP917508 GYL917508 HIH917508 HSD917508 IBZ917508 ILV917508 IVR917508 JFN917508 JPJ917508 JZF917508 KJB917508 KSX917508 LCT917508 LMP917508 LWL917508 MGH917508 MQD917508 MZZ917508 NJV917508 NTR917508 ODN917508 ONJ917508 OXF917508 PHB917508 PQX917508 QAT917508 QKP917508 QUL917508 REH917508 ROD917508 RXZ917508 SHV917508 SRR917508 TBN917508 TLJ917508 TVF917508 UFB917508 UOX917508 UYT917508 VIP917508 VSL917508 WCH917508 WMD917508 WVZ917508 R983044 JN983044 TJ983044 ADF983044 ANB983044 AWX983044 BGT983044 BQP983044 CAL983044 CKH983044 CUD983044 DDZ983044 DNV983044 DXR983044 EHN983044 ERJ983044 FBF983044 FLB983044 FUX983044 GET983044 GOP983044 GYL983044 HIH983044 HSD983044 IBZ983044 ILV983044 IVR983044 JFN983044 JPJ983044 JZF983044 KJB983044 KSX983044 LCT983044 LMP983044 LWL983044 MGH983044 MQD983044 MZZ983044 NJV983044 NTR983044 ODN983044 ONJ983044 OXF983044 PHB983044 PQX983044 QAT983044 QKP983044 QUL983044 REH983044 ROD983044 RXZ983044 SHV983044 SRR983044 TBN983044 TLJ983044 TVF983044 UFB983044 UOX983044 UYT983044 VIP983044 VSL983044 WCH983044 WMD983044 WVZ983044 N130 JJ130 TF130 ADB130 AMX130 AWT130 BGP130 BQL130 CAH130 CKD130 CTZ130 DDV130 DNR130 DXN130 EHJ130 ERF130 FBB130 FKX130 FUT130 GEP130 GOL130 GYH130 HID130 HRZ130 IBV130 ILR130 IVN130 JFJ130 JPF130 JZB130 KIX130 KST130 LCP130 LML130 LWH130 MGD130 MPZ130 MZV130 NJR130 NTN130 ODJ130 ONF130 OXB130 PGX130 PQT130 QAP130 QKL130 QUH130 RED130 RNZ130 RXV130 SHR130 SRN130 TBJ130 TLF130 TVB130 UEX130 UOT130 UYP130 VIL130 VSH130 WCD130 WLZ130 WVV130 N65666 JJ65666 TF65666 ADB65666 AMX65666 AWT65666 BGP65666 BQL65666 CAH65666 CKD65666 CTZ65666 DDV65666 DNR65666 DXN65666 EHJ65666 ERF65666 FBB65666 FKX65666 FUT65666 GEP65666 GOL65666 GYH65666 HID65666 HRZ65666 IBV65666 ILR65666 IVN65666 JFJ65666 JPF65666 JZB65666 KIX65666 KST65666 LCP65666 LML65666 LWH65666 MGD65666 MPZ65666 MZV65666 NJR65666 NTN65666 ODJ65666 ONF65666 OXB65666 PGX65666 PQT65666 QAP65666 QKL65666 QUH65666 RED65666 RNZ65666 RXV65666 SHR65666 SRN65666 TBJ65666 TLF65666 TVB65666 UEX65666 UOT65666 UYP65666 VIL65666 VSH65666 WCD65666 WLZ65666 WVV65666 N131202 JJ131202 TF131202 ADB131202 AMX131202 AWT131202 BGP131202 BQL131202 CAH131202 CKD131202 CTZ131202 DDV131202 DNR131202 DXN131202 EHJ131202 ERF131202 FBB131202 FKX131202 FUT131202 GEP131202 GOL131202 GYH131202 HID131202 HRZ131202 IBV131202 ILR131202 IVN131202 JFJ131202 JPF131202 JZB131202 KIX131202 KST131202 LCP131202 LML131202 LWH131202 MGD131202 MPZ131202 MZV131202 NJR131202 NTN131202 ODJ131202 ONF131202 OXB131202 PGX131202 PQT131202 QAP131202 QKL131202 QUH131202 RED131202 RNZ131202 RXV131202 SHR131202 SRN131202 TBJ131202 TLF131202 TVB131202 UEX131202 UOT131202 UYP131202 VIL131202 VSH131202 WCD131202 WLZ131202 WVV131202 N196738 JJ196738 TF196738 ADB196738 AMX196738 AWT196738 BGP196738 BQL196738 CAH196738 CKD196738 CTZ196738 DDV196738 DNR196738 DXN196738 EHJ196738 ERF196738 FBB196738 FKX196738 FUT196738 GEP196738 GOL196738 GYH196738 HID196738 HRZ196738 IBV196738 ILR196738 IVN196738 JFJ196738 JPF196738 JZB196738 KIX196738 KST196738 LCP196738 LML196738 LWH196738 MGD196738 MPZ196738 MZV196738 NJR196738 NTN196738 ODJ196738 ONF196738 OXB196738 PGX196738 PQT196738 QAP196738 QKL196738 QUH196738 RED196738 RNZ196738 RXV196738 SHR196738 SRN196738 TBJ196738 TLF196738 TVB196738 UEX196738 UOT196738 UYP196738 VIL196738 VSH196738 WCD196738 WLZ196738 WVV196738 N262274 JJ262274 TF262274 ADB262274 AMX262274 AWT262274 BGP262274 BQL262274 CAH262274 CKD262274 CTZ262274 DDV262274 DNR262274 DXN262274 EHJ262274 ERF262274 FBB262274 FKX262274 FUT262274 GEP262274 GOL262274 GYH262274 HID262274 HRZ262274 IBV262274 ILR262274 IVN262274 JFJ262274 JPF262274 JZB262274 KIX262274 KST262274 LCP262274 LML262274 LWH262274 MGD262274 MPZ262274 MZV262274 NJR262274 NTN262274 ODJ262274 ONF262274 OXB262274 PGX262274 PQT262274 QAP262274 QKL262274 QUH262274 RED262274 RNZ262274 RXV262274 SHR262274 SRN262274 TBJ262274 TLF262274 TVB262274 UEX262274 UOT262274 UYP262274 VIL262274 VSH262274 WCD262274 WLZ262274 WVV262274 N327810 JJ327810 TF327810 ADB327810 AMX327810 AWT327810 BGP327810 BQL327810 CAH327810 CKD327810 CTZ327810 DDV327810 DNR327810 DXN327810 EHJ327810 ERF327810 FBB327810 FKX327810 FUT327810 GEP327810 GOL327810 GYH327810 HID327810 HRZ327810 IBV327810 ILR327810 IVN327810 JFJ327810 JPF327810 JZB327810 KIX327810 KST327810 LCP327810 LML327810 LWH327810 MGD327810 MPZ327810 MZV327810 NJR327810 NTN327810 ODJ327810 ONF327810 OXB327810 PGX327810 PQT327810 QAP327810 QKL327810 QUH327810 RED327810 RNZ327810 RXV327810 SHR327810 SRN327810 TBJ327810 TLF327810 TVB327810 UEX327810 UOT327810 UYP327810 VIL327810 VSH327810 WCD327810 WLZ327810 WVV327810 N393346 JJ393346 TF393346 ADB393346 AMX393346 AWT393346 BGP393346 BQL393346 CAH393346 CKD393346 CTZ393346 DDV393346 DNR393346 DXN393346 EHJ393346 ERF393346 FBB393346 FKX393346 FUT393346 GEP393346 GOL393346 GYH393346 HID393346 HRZ393346 IBV393346 ILR393346 IVN393346 JFJ393346 JPF393346 JZB393346 KIX393346 KST393346 LCP393346 LML393346 LWH393346 MGD393346 MPZ393346 MZV393346 NJR393346 NTN393346 ODJ393346 ONF393346 OXB393346 PGX393346 PQT393346 QAP393346 QKL393346 QUH393346 RED393346 RNZ393346 RXV393346 SHR393346 SRN393346 TBJ393346 TLF393346 TVB393346 UEX393346 UOT393346 UYP393346 VIL393346 VSH393346 WCD393346 WLZ393346 WVV393346 N458882 JJ458882 TF458882 ADB458882 AMX458882 AWT458882 BGP458882 BQL458882 CAH458882 CKD458882 CTZ458882 DDV458882 DNR458882 DXN458882 EHJ458882 ERF458882 FBB458882 FKX458882 FUT458882 GEP458882 GOL458882 GYH458882 HID458882 HRZ458882 IBV458882 ILR458882 IVN458882 JFJ458882 JPF458882 JZB458882 KIX458882 KST458882 LCP458882 LML458882 LWH458882 MGD458882 MPZ458882 MZV458882 NJR458882 NTN458882 ODJ458882 ONF458882 OXB458882 PGX458882 PQT458882 QAP458882 QKL458882 QUH458882 RED458882 RNZ458882 RXV458882 SHR458882 SRN458882 TBJ458882 TLF458882 TVB458882 UEX458882 UOT458882 UYP458882 VIL458882 VSH458882 WCD458882 WLZ458882 WVV458882 N524418 JJ524418 TF524418 ADB524418 AMX524418 AWT524418 BGP524418 BQL524418 CAH524418 CKD524418 CTZ524418 DDV524418 DNR524418 DXN524418 EHJ524418 ERF524418 FBB524418 FKX524418 FUT524418 GEP524418 GOL524418 GYH524418 HID524418 HRZ524418 IBV524418 ILR524418 IVN524418 JFJ524418 JPF524418 JZB524418 KIX524418 KST524418 LCP524418 LML524418 LWH524418 MGD524418 MPZ524418 MZV524418 NJR524418 NTN524418 ODJ524418 ONF524418 OXB524418 PGX524418 PQT524418 QAP524418 QKL524418 QUH524418 RED524418 RNZ524418 RXV524418 SHR524418 SRN524418 TBJ524418 TLF524418 TVB524418 UEX524418 UOT524418 UYP524418 VIL524418 VSH524418 WCD524418 WLZ524418 WVV524418 N589954 JJ589954 TF589954 ADB589954 AMX589954 AWT589954 BGP589954 BQL589954 CAH589954 CKD589954 CTZ589954 DDV589954 DNR589954 DXN589954 EHJ589954 ERF589954 FBB589954 FKX589954 FUT589954 GEP589954 GOL589954 GYH589954 HID589954 HRZ589954 IBV589954 ILR589954 IVN589954 JFJ589954 JPF589954 JZB589954 KIX589954 KST589954 LCP589954 LML589954 LWH589954 MGD589954 MPZ589954 MZV589954 NJR589954 NTN589954 ODJ589954 ONF589954 OXB589954 PGX589954 PQT589954 QAP589954 QKL589954 QUH589954 RED589954 RNZ589954 RXV589954 SHR589954 SRN589954 TBJ589954 TLF589954 TVB589954 UEX589954 UOT589954 UYP589954 VIL589954 VSH589954 WCD589954 WLZ589954 WVV589954 N655490 JJ655490 TF655490 ADB655490 AMX655490 AWT655490 BGP655490 BQL655490 CAH655490 CKD655490 CTZ655490 DDV655490 DNR655490 DXN655490 EHJ655490 ERF655490 FBB655490 FKX655490 FUT655490 GEP655490 GOL655490 GYH655490 HID655490 HRZ655490 IBV655490 ILR655490 IVN655490 JFJ655490 JPF655490 JZB655490 KIX655490 KST655490 LCP655490 LML655490 LWH655490 MGD655490 MPZ655490 MZV655490 NJR655490 NTN655490 ODJ655490 ONF655490 OXB655490 PGX655490 PQT655490 QAP655490 QKL655490 QUH655490 RED655490 RNZ655490 RXV655490 SHR655490 SRN655490 TBJ655490 TLF655490 TVB655490 UEX655490 UOT655490 UYP655490 VIL655490 VSH655490 WCD655490 WLZ655490 WVV655490 N721026 JJ721026 TF721026 ADB721026 AMX721026 AWT721026 BGP721026 BQL721026 CAH721026 CKD721026 CTZ721026 DDV721026 DNR721026 DXN721026 EHJ721026 ERF721026 FBB721026 FKX721026 FUT721026 GEP721026 GOL721026 GYH721026 HID721026 HRZ721026 IBV721026 ILR721026 IVN721026 JFJ721026 JPF721026 JZB721026 KIX721026 KST721026 LCP721026 LML721026 LWH721026 MGD721026 MPZ721026 MZV721026 NJR721026 NTN721026 ODJ721026 ONF721026 OXB721026 PGX721026 PQT721026 QAP721026 QKL721026 QUH721026 RED721026 RNZ721026 RXV721026 SHR721026 SRN721026 TBJ721026 TLF721026 TVB721026 UEX721026 UOT721026 UYP721026 VIL721026 VSH721026 WCD721026 WLZ721026 WVV721026 N786562 JJ786562 TF786562 ADB786562 AMX786562 AWT786562 BGP786562 BQL786562 CAH786562 CKD786562 CTZ786562 DDV786562 DNR786562 DXN786562 EHJ786562 ERF786562 FBB786562 FKX786562 FUT786562 GEP786562 GOL786562 GYH786562 HID786562 HRZ786562 IBV786562 ILR786562 IVN786562 JFJ786562 JPF786562 JZB786562 KIX786562 KST786562 LCP786562 LML786562 LWH786562 MGD786562 MPZ786562 MZV786562 NJR786562 NTN786562 ODJ786562 ONF786562 OXB786562 PGX786562 PQT786562 QAP786562 QKL786562 QUH786562 RED786562 RNZ786562 RXV786562 SHR786562 SRN786562 TBJ786562 TLF786562 TVB786562 UEX786562 UOT786562 UYP786562 VIL786562 VSH786562 WCD786562 WLZ786562 WVV786562 N852098 JJ852098 TF852098 ADB852098 AMX852098 AWT852098 BGP852098 BQL852098 CAH852098 CKD852098 CTZ852098 DDV852098 DNR852098 DXN852098 EHJ852098 ERF852098 FBB852098 FKX852098 FUT852098 GEP852098 GOL852098 GYH852098 HID852098 HRZ852098 IBV852098 ILR852098 IVN852098 JFJ852098 JPF852098 JZB852098 KIX852098 KST852098 LCP852098 LML852098 LWH852098 MGD852098 MPZ852098 MZV852098 NJR852098 NTN852098 ODJ852098 ONF852098 OXB852098 PGX852098 PQT852098 QAP852098 QKL852098 QUH852098 RED852098 RNZ852098 RXV852098 SHR852098 SRN852098 TBJ852098 TLF852098 TVB852098 UEX852098 UOT852098 UYP852098 VIL852098 VSH852098 WCD852098 WLZ852098 WVV852098 N917634 JJ917634 TF917634 ADB917634 AMX917634 AWT917634 BGP917634 BQL917634 CAH917634 CKD917634 CTZ917634 DDV917634 DNR917634 DXN917634 EHJ917634 ERF917634 FBB917634 FKX917634 FUT917634 GEP917634 GOL917634 GYH917634 HID917634 HRZ917634 IBV917634 ILR917634 IVN917634 JFJ917634 JPF917634 JZB917634 KIX917634 KST917634 LCP917634 LML917634 LWH917634 MGD917634 MPZ917634 MZV917634 NJR917634 NTN917634 ODJ917634 ONF917634 OXB917634 PGX917634 PQT917634 QAP917634 QKL917634 QUH917634 RED917634 RNZ917634 RXV917634 SHR917634 SRN917634 TBJ917634 TLF917634 TVB917634 UEX917634 UOT917634 UYP917634 VIL917634 VSH917634 WCD917634 WLZ917634 WVV917634 N983170 JJ983170 TF983170 ADB983170 AMX983170 AWT983170 BGP983170 BQL983170 CAH983170 CKD983170 CTZ983170 DDV983170 DNR983170 DXN983170 EHJ983170 ERF983170 FBB983170 FKX983170 FUT983170 GEP983170 GOL983170 GYH983170 HID983170 HRZ983170 IBV983170 ILR983170 IVN983170 JFJ983170 JPF983170 JZB983170 KIX983170 KST983170 LCP983170 LML983170 LWH983170 MGD983170 MPZ983170 MZV983170 NJR983170 NTN983170 ODJ983170 ONF983170 OXB983170 PGX983170 PQT983170 QAP983170 QKL983170 QUH983170 RED983170 RNZ983170 RXV983170 SHR983170 SRN983170 TBJ983170 TLF983170 TVB983170 UEX983170 UOT983170 UYP983170 VIL983170 VSH983170 WCD983170 WLZ983170 WVV983170 O88 JK88 TG88 ADC88 AMY88 AWU88 BGQ88 BQM88 CAI88 CKE88 CUA88 DDW88 DNS88 DXO88 EHK88 ERG88 FBC88 FKY88 FUU88 GEQ88 GOM88 GYI88 HIE88 HSA88 IBW88 ILS88 IVO88 JFK88 JPG88 JZC88 KIY88 KSU88 LCQ88 LMM88 LWI88 MGE88 MQA88 MZW88 NJS88 NTO88 ODK88 ONG88 OXC88 PGY88 PQU88 QAQ88 QKM88 QUI88 REE88 ROA88 RXW88 SHS88 SRO88 TBK88 TLG88 TVC88 UEY88 UOU88 UYQ88 VIM88 VSI88 WCE88 WMA88 WVW88 O65624 JK65624 TG65624 ADC65624 AMY65624 AWU65624 BGQ65624 BQM65624 CAI65624 CKE65624 CUA65624 DDW65624 DNS65624 DXO65624 EHK65624 ERG65624 FBC65624 FKY65624 FUU65624 GEQ65624 GOM65624 GYI65624 HIE65624 HSA65624 IBW65624 ILS65624 IVO65624 JFK65624 JPG65624 JZC65624 KIY65624 KSU65624 LCQ65624 LMM65624 LWI65624 MGE65624 MQA65624 MZW65624 NJS65624 NTO65624 ODK65624 ONG65624 OXC65624 PGY65624 PQU65624 QAQ65624 QKM65624 QUI65624 REE65624 ROA65624 RXW65624 SHS65624 SRO65624 TBK65624 TLG65624 TVC65624 UEY65624 UOU65624 UYQ65624 VIM65624 VSI65624 WCE65624 WMA65624 WVW65624 O131160 JK131160 TG131160 ADC131160 AMY131160 AWU131160 BGQ131160 BQM131160 CAI131160 CKE131160 CUA131160 DDW131160 DNS131160 DXO131160 EHK131160 ERG131160 FBC131160 FKY131160 FUU131160 GEQ131160 GOM131160 GYI131160 HIE131160 HSA131160 IBW131160 ILS131160 IVO131160 JFK131160 JPG131160 JZC131160 KIY131160 KSU131160 LCQ131160 LMM131160 LWI131160 MGE131160 MQA131160 MZW131160 NJS131160 NTO131160 ODK131160 ONG131160 OXC131160 PGY131160 PQU131160 QAQ131160 QKM131160 QUI131160 REE131160 ROA131160 RXW131160 SHS131160 SRO131160 TBK131160 TLG131160 TVC131160 UEY131160 UOU131160 UYQ131160 VIM131160 VSI131160 WCE131160 WMA131160 WVW131160 O196696 JK196696 TG196696 ADC196696 AMY196696 AWU196696 BGQ196696 BQM196696 CAI196696 CKE196696 CUA196696 DDW196696 DNS196696 DXO196696 EHK196696 ERG196696 FBC196696 FKY196696 FUU196696 GEQ196696 GOM196696 GYI196696 HIE196696 HSA196696 IBW196696 ILS196696 IVO196696 JFK196696 JPG196696 JZC196696 KIY196696 KSU196696 LCQ196696 LMM196696 LWI196696 MGE196696 MQA196696 MZW196696 NJS196696 NTO196696 ODK196696 ONG196696 OXC196696 PGY196696 PQU196696 QAQ196696 QKM196696 QUI196696 REE196696 ROA196696 RXW196696 SHS196696 SRO196696 TBK196696 TLG196696 TVC196696 UEY196696 UOU196696 UYQ196696 VIM196696 VSI196696 WCE196696 WMA196696 WVW196696 O262232 JK262232 TG262232 ADC262232 AMY262232 AWU262232 BGQ262232 BQM262232 CAI262232 CKE262232 CUA262232 DDW262232 DNS262232 DXO262232 EHK262232 ERG262232 FBC262232 FKY262232 FUU262232 GEQ262232 GOM262232 GYI262232 HIE262232 HSA262232 IBW262232 ILS262232 IVO262232 JFK262232 JPG262232 JZC262232 KIY262232 KSU262232 LCQ262232 LMM262232 LWI262232 MGE262232 MQA262232 MZW262232 NJS262232 NTO262232 ODK262232 ONG262232 OXC262232 PGY262232 PQU262232 QAQ262232 QKM262232 QUI262232 REE262232 ROA262232 RXW262232 SHS262232 SRO262232 TBK262232 TLG262232 TVC262232 UEY262232 UOU262232 UYQ262232 VIM262232 VSI262232 WCE262232 WMA262232 WVW262232 O327768 JK327768 TG327768 ADC327768 AMY327768 AWU327768 BGQ327768 BQM327768 CAI327768 CKE327768 CUA327768 DDW327768 DNS327768 DXO327768 EHK327768 ERG327768 FBC327768 FKY327768 FUU327768 GEQ327768 GOM327768 GYI327768 HIE327768 HSA327768 IBW327768 ILS327768 IVO327768 JFK327768 JPG327768 JZC327768 KIY327768 KSU327768 LCQ327768 LMM327768 LWI327768 MGE327768 MQA327768 MZW327768 NJS327768 NTO327768 ODK327768 ONG327768 OXC327768 PGY327768 PQU327768 QAQ327768 QKM327768 QUI327768 REE327768 ROA327768 RXW327768 SHS327768 SRO327768 TBK327768 TLG327768 TVC327768 UEY327768 UOU327768 UYQ327768 VIM327768 VSI327768 WCE327768 WMA327768 WVW327768 O393304 JK393304 TG393304 ADC393304 AMY393304 AWU393304 BGQ393304 BQM393304 CAI393304 CKE393304 CUA393304 DDW393304 DNS393304 DXO393304 EHK393304 ERG393304 FBC393304 FKY393304 FUU393304 GEQ393304 GOM393304 GYI393304 HIE393304 HSA393304 IBW393304 ILS393304 IVO393304 JFK393304 JPG393304 JZC393304 KIY393304 KSU393304 LCQ393304 LMM393304 LWI393304 MGE393304 MQA393304 MZW393304 NJS393304 NTO393304 ODK393304 ONG393304 OXC393304 PGY393304 PQU393304 QAQ393304 QKM393304 QUI393304 REE393304 ROA393304 RXW393304 SHS393304 SRO393304 TBK393304 TLG393304 TVC393304 UEY393304 UOU393304 UYQ393304 VIM393304 VSI393304 WCE393304 WMA393304 WVW393304 O458840 JK458840 TG458840 ADC458840 AMY458840 AWU458840 BGQ458840 BQM458840 CAI458840 CKE458840 CUA458840 DDW458840 DNS458840 DXO458840 EHK458840 ERG458840 FBC458840 FKY458840 FUU458840 GEQ458840 GOM458840 GYI458840 HIE458840 HSA458840 IBW458840 ILS458840 IVO458840 JFK458840 JPG458840 JZC458840 KIY458840 KSU458840 LCQ458840 LMM458840 LWI458840 MGE458840 MQA458840 MZW458840 NJS458840 NTO458840 ODK458840 ONG458840 OXC458840 PGY458840 PQU458840 QAQ458840 QKM458840 QUI458840 REE458840 ROA458840 RXW458840 SHS458840 SRO458840 TBK458840 TLG458840 TVC458840 UEY458840 UOU458840 UYQ458840 VIM458840 VSI458840 WCE458840 WMA458840 WVW458840 O524376 JK524376 TG524376 ADC524376 AMY524376 AWU524376 BGQ524376 BQM524376 CAI524376 CKE524376 CUA524376 DDW524376 DNS524376 DXO524376 EHK524376 ERG524376 FBC524376 FKY524376 FUU524376 GEQ524376 GOM524376 GYI524376 HIE524376 HSA524376 IBW524376 ILS524376 IVO524376 JFK524376 JPG524376 JZC524376 KIY524376 KSU524376 LCQ524376 LMM524376 LWI524376 MGE524376 MQA524376 MZW524376 NJS524376 NTO524376 ODK524376 ONG524376 OXC524376 PGY524376 PQU524376 QAQ524376 QKM524376 QUI524376 REE524376 ROA524376 RXW524376 SHS524376 SRO524376 TBK524376 TLG524376 TVC524376 UEY524376 UOU524376 UYQ524376 VIM524376 VSI524376 WCE524376 WMA524376 WVW524376 O589912 JK589912 TG589912 ADC589912 AMY589912 AWU589912 BGQ589912 BQM589912 CAI589912 CKE589912 CUA589912 DDW589912 DNS589912 DXO589912 EHK589912 ERG589912 FBC589912 FKY589912 FUU589912 GEQ589912 GOM589912 GYI589912 HIE589912 HSA589912 IBW589912 ILS589912 IVO589912 JFK589912 JPG589912 JZC589912 KIY589912 KSU589912 LCQ589912 LMM589912 LWI589912 MGE589912 MQA589912 MZW589912 NJS589912 NTO589912 ODK589912 ONG589912 OXC589912 PGY589912 PQU589912 QAQ589912 QKM589912 QUI589912 REE589912 ROA589912 RXW589912 SHS589912 SRO589912 TBK589912 TLG589912 TVC589912 UEY589912 UOU589912 UYQ589912 VIM589912 VSI589912 WCE589912 WMA589912 WVW589912 O655448 JK655448 TG655448 ADC655448 AMY655448 AWU655448 BGQ655448 BQM655448 CAI655448 CKE655448 CUA655448 DDW655448 DNS655448 DXO655448 EHK655448 ERG655448 FBC655448 FKY655448 FUU655448 GEQ655448 GOM655448 GYI655448 HIE655448 HSA655448 IBW655448 ILS655448 IVO655448 JFK655448 JPG655448 JZC655448 KIY655448 KSU655448 LCQ655448 LMM655448 LWI655448 MGE655448 MQA655448 MZW655448 NJS655448 NTO655448 ODK655448 ONG655448 OXC655448 PGY655448 PQU655448 QAQ655448 QKM655448 QUI655448 REE655448 ROA655448 RXW655448 SHS655448 SRO655448 TBK655448 TLG655448 TVC655448 UEY655448 UOU655448 UYQ655448 VIM655448 VSI655448 WCE655448 WMA655448 WVW655448 O720984 JK720984 TG720984 ADC720984 AMY720984 AWU720984 BGQ720984 BQM720984 CAI720984 CKE720984 CUA720984 DDW720984 DNS720984 DXO720984 EHK720984 ERG720984 FBC720984 FKY720984 FUU720984 GEQ720984 GOM720984 GYI720984 HIE720984 HSA720984 IBW720984 ILS720984 IVO720984 JFK720984 JPG720984 JZC720984 KIY720984 KSU720984 LCQ720984 LMM720984 LWI720984 MGE720984 MQA720984 MZW720984 NJS720984 NTO720984 ODK720984 ONG720984 OXC720984 PGY720984 PQU720984 QAQ720984 QKM720984 QUI720984 REE720984 ROA720984 RXW720984 SHS720984 SRO720984 TBK720984 TLG720984 TVC720984 UEY720984 UOU720984 UYQ720984 VIM720984 VSI720984 WCE720984 WMA720984 WVW720984 O786520 JK786520 TG786520 ADC786520 AMY786520 AWU786520 BGQ786520 BQM786520 CAI786520 CKE786520 CUA786520 DDW786520 DNS786520 DXO786520 EHK786520 ERG786520 FBC786520 FKY786520 FUU786520 GEQ786520 GOM786520 GYI786520 HIE786520 HSA786520 IBW786520 ILS786520 IVO786520 JFK786520 JPG786520 JZC786520 KIY786520 KSU786520 LCQ786520 LMM786520 LWI786520 MGE786520 MQA786520 MZW786520 NJS786520 NTO786520 ODK786520 ONG786520 OXC786520 PGY786520 PQU786520 QAQ786520 QKM786520 QUI786520 REE786520 ROA786520 RXW786520 SHS786520 SRO786520 TBK786520 TLG786520 TVC786520 UEY786520 UOU786520 UYQ786520 VIM786520 VSI786520 WCE786520 WMA786520 WVW786520 O852056 JK852056 TG852056 ADC852056 AMY852056 AWU852056 BGQ852056 BQM852056 CAI852056 CKE852056 CUA852056 DDW852056 DNS852056 DXO852056 EHK852056 ERG852056 FBC852056 FKY852056 FUU852056 GEQ852056 GOM852056 GYI852056 HIE852056 HSA852056 IBW852056 ILS852056 IVO852056 JFK852056 JPG852056 JZC852056 KIY852056 KSU852056 LCQ852056 LMM852056 LWI852056 MGE852056 MQA852056 MZW852056 NJS852056 NTO852056 ODK852056 ONG852056 OXC852056 PGY852056 PQU852056 QAQ852056 QKM852056 QUI852056 REE852056 ROA852056 RXW852056 SHS852056 SRO852056 TBK852056 TLG852056 TVC852056 UEY852056 UOU852056 UYQ852056 VIM852056 VSI852056 WCE852056 WMA852056 WVW852056 O917592 JK917592 TG917592 ADC917592 AMY917592 AWU917592 BGQ917592 BQM917592 CAI917592 CKE917592 CUA917592 DDW917592 DNS917592 DXO917592 EHK917592 ERG917592 FBC917592 FKY917592 FUU917592 GEQ917592 GOM917592 GYI917592 HIE917592 HSA917592 IBW917592 ILS917592 IVO917592 JFK917592 JPG917592 JZC917592 KIY917592 KSU917592 LCQ917592 LMM917592 LWI917592 MGE917592 MQA917592 MZW917592 NJS917592 NTO917592 ODK917592 ONG917592 OXC917592 PGY917592 PQU917592 QAQ917592 QKM917592 QUI917592 REE917592 ROA917592 RXW917592 SHS917592 SRO917592 TBK917592 TLG917592 TVC917592 UEY917592 UOU917592 UYQ917592 VIM917592 VSI917592 WCE917592 WMA917592 WVW917592 O983128 JK983128 TG983128 ADC983128 AMY983128 AWU983128 BGQ983128 BQM983128 CAI983128 CKE983128 CUA983128 DDW983128 DNS983128 DXO983128 EHK983128 ERG983128 FBC983128 FKY983128 FUU983128 GEQ983128 GOM983128 GYI983128 HIE983128 HSA983128 IBW983128 ILS983128 IVO983128 JFK983128 JPG983128 JZC983128 KIY983128 KSU983128 LCQ983128 LMM983128 LWI983128 MGE983128 MQA983128 MZW983128 NJS983128 NTO983128 ODK983128 ONG983128 OXC983128 PGY983128 PQU983128 QAQ983128 QKM983128 QUI983128 REE983128 ROA983128 RXW983128 SHS983128 SRO983128 TBK983128 TLG983128 TVC983128 UEY983128 UOU983128 UYQ983128 VIM983128 VSI983128 WCE983128 WMA983128 WVW983128 N43:O43 JJ43:JK43 TF43:TG43 ADB43:ADC43 AMX43:AMY43 AWT43:AWU43 BGP43:BGQ43 BQL43:BQM43 CAH43:CAI43 CKD43:CKE43 CTZ43:CUA43 DDV43:DDW43 DNR43:DNS43 DXN43:DXO43 EHJ43:EHK43 ERF43:ERG43 FBB43:FBC43 FKX43:FKY43 FUT43:FUU43 GEP43:GEQ43 GOL43:GOM43 GYH43:GYI43 HID43:HIE43 HRZ43:HSA43 IBV43:IBW43 ILR43:ILS43 IVN43:IVO43 JFJ43:JFK43 JPF43:JPG43 JZB43:JZC43 KIX43:KIY43 KST43:KSU43 LCP43:LCQ43 LML43:LMM43 LWH43:LWI43 MGD43:MGE43 MPZ43:MQA43 MZV43:MZW43 NJR43:NJS43 NTN43:NTO43 ODJ43:ODK43 ONF43:ONG43 OXB43:OXC43 PGX43:PGY43 PQT43:PQU43 QAP43:QAQ43 QKL43:QKM43 QUH43:QUI43 RED43:REE43 RNZ43:ROA43 RXV43:RXW43 SHR43:SHS43 SRN43:SRO43 TBJ43:TBK43 TLF43:TLG43 TVB43:TVC43 UEX43:UEY43 UOT43:UOU43 UYP43:UYQ43 VIL43:VIM43 VSH43:VSI43 WCD43:WCE43 WLZ43:WMA43 WVV43:WVW43 N65579:O65579 JJ65579:JK65579 TF65579:TG65579 ADB65579:ADC65579 AMX65579:AMY65579 AWT65579:AWU65579 BGP65579:BGQ65579 BQL65579:BQM65579 CAH65579:CAI65579 CKD65579:CKE65579 CTZ65579:CUA65579 DDV65579:DDW65579 DNR65579:DNS65579 DXN65579:DXO65579 EHJ65579:EHK65579 ERF65579:ERG65579 FBB65579:FBC65579 FKX65579:FKY65579 FUT65579:FUU65579 GEP65579:GEQ65579 GOL65579:GOM65579 GYH65579:GYI65579 HID65579:HIE65579 HRZ65579:HSA65579 IBV65579:IBW65579 ILR65579:ILS65579 IVN65579:IVO65579 JFJ65579:JFK65579 JPF65579:JPG65579 JZB65579:JZC65579 KIX65579:KIY65579 KST65579:KSU65579 LCP65579:LCQ65579 LML65579:LMM65579 LWH65579:LWI65579 MGD65579:MGE65579 MPZ65579:MQA65579 MZV65579:MZW65579 NJR65579:NJS65579 NTN65579:NTO65579 ODJ65579:ODK65579 ONF65579:ONG65579 OXB65579:OXC65579 PGX65579:PGY65579 PQT65579:PQU65579 QAP65579:QAQ65579 QKL65579:QKM65579 QUH65579:QUI65579 RED65579:REE65579 RNZ65579:ROA65579 RXV65579:RXW65579 SHR65579:SHS65579 SRN65579:SRO65579 TBJ65579:TBK65579 TLF65579:TLG65579 TVB65579:TVC65579 UEX65579:UEY65579 UOT65579:UOU65579 UYP65579:UYQ65579 VIL65579:VIM65579 VSH65579:VSI65579 WCD65579:WCE65579 WLZ65579:WMA65579 WVV65579:WVW65579 N131115:O131115 JJ131115:JK131115 TF131115:TG131115 ADB131115:ADC131115 AMX131115:AMY131115 AWT131115:AWU131115 BGP131115:BGQ131115 BQL131115:BQM131115 CAH131115:CAI131115 CKD131115:CKE131115 CTZ131115:CUA131115 DDV131115:DDW131115 DNR131115:DNS131115 DXN131115:DXO131115 EHJ131115:EHK131115 ERF131115:ERG131115 FBB131115:FBC131115 FKX131115:FKY131115 FUT131115:FUU131115 GEP131115:GEQ131115 GOL131115:GOM131115 GYH131115:GYI131115 HID131115:HIE131115 HRZ131115:HSA131115 IBV131115:IBW131115 ILR131115:ILS131115 IVN131115:IVO131115 JFJ131115:JFK131115 JPF131115:JPG131115 JZB131115:JZC131115 KIX131115:KIY131115 KST131115:KSU131115 LCP131115:LCQ131115 LML131115:LMM131115 LWH131115:LWI131115 MGD131115:MGE131115 MPZ131115:MQA131115 MZV131115:MZW131115 NJR131115:NJS131115 NTN131115:NTO131115 ODJ131115:ODK131115 ONF131115:ONG131115 OXB131115:OXC131115 PGX131115:PGY131115 PQT131115:PQU131115 QAP131115:QAQ131115 QKL131115:QKM131115 QUH131115:QUI131115 RED131115:REE131115 RNZ131115:ROA131115 RXV131115:RXW131115 SHR131115:SHS131115 SRN131115:SRO131115 TBJ131115:TBK131115 TLF131115:TLG131115 TVB131115:TVC131115 UEX131115:UEY131115 UOT131115:UOU131115 UYP131115:UYQ131115 VIL131115:VIM131115 VSH131115:VSI131115 WCD131115:WCE131115 WLZ131115:WMA131115 WVV131115:WVW131115 N196651:O196651 JJ196651:JK196651 TF196651:TG196651 ADB196651:ADC196651 AMX196651:AMY196651 AWT196651:AWU196651 BGP196651:BGQ196651 BQL196651:BQM196651 CAH196651:CAI196651 CKD196651:CKE196651 CTZ196651:CUA196651 DDV196651:DDW196651 DNR196651:DNS196651 DXN196651:DXO196651 EHJ196651:EHK196651 ERF196651:ERG196651 FBB196651:FBC196651 FKX196651:FKY196651 FUT196651:FUU196651 GEP196651:GEQ196651 GOL196651:GOM196651 GYH196651:GYI196651 HID196651:HIE196651 HRZ196651:HSA196651 IBV196651:IBW196651 ILR196651:ILS196651 IVN196651:IVO196651 JFJ196651:JFK196651 JPF196651:JPG196651 JZB196651:JZC196651 KIX196651:KIY196651 KST196651:KSU196651 LCP196651:LCQ196651 LML196651:LMM196651 LWH196651:LWI196651 MGD196651:MGE196651 MPZ196651:MQA196651 MZV196651:MZW196651 NJR196651:NJS196651 NTN196651:NTO196651 ODJ196651:ODK196651 ONF196651:ONG196651 OXB196651:OXC196651 PGX196651:PGY196651 PQT196651:PQU196651 QAP196651:QAQ196651 QKL196651:QKM196651 QUH196651:QUI196651 RED196651:REE196651 RNZ196651:ROA196651 RXV196651:RXW196651 SHR196651:SHS196651 SRN196651:SRO196651 TBJ196651:TBK196651 TLF196651:TLG196651 TVB196651:TVC196651 UEX196651:UEY196651 UOT196651:UOU196651 UYP196651:UYQ196651 VIL196651:VIM196651 VSH196651:VSI196651 WCD196651:WCE196651 WLZ196651:WMA196651 WVV196651:WVW196651 N262187:O262187 JJ262187:JK262187 TF262187:TG262187 ADB262187:ADC262187 AMX262187:AMY262187 AWT262187:AWU262187 BGP262187:BGQ262187 BQL262187:BQM262187 CAH262187:CAI262187 CKD262187:CKE262187 CTZ262187:CUA262187 DDV262187:DDW262187 DNR262187:DNS262187 DXN262187:DXO262187 EHJ262187:EHK262187 ERF262187:ERG262187 FBB262187:FBC262187 FKX262187:FKY262187 FUT262187:FUU262187 GEP262187:GEQ262187 GOL262187:GOM262187 GYH262187:GYI262187 HID262187:HIE262187 HRZ262187:HSA262187 IBV262187:IBW262187 ILR262187:ILS262187 IVN262187:IVO262187 JFJ262187:JFK262187 JPF262187:JPG262187 JZB262187:JZC262187 KIX262187:KIY262187 KST262187:KSU262187 LCP262187:LCQ262187 LML262187:LMM262187 LWH262187:LWI262187 MGD262187:MGE262187 MPZ262187:MQA262187 MZV262187:MZW262187 NJR262187:NJS262187 NTN262187:NTO262187 ODJ262187:ODK262187 ONF262187:ONG262187 OXB262187:OXC262187 PGX262187:PGY262187 PQT262187:PQU262187 QAP262187:QAQ262187 QKL262187:QKM262187 QUH262187:QUI262187 RED262187:REE262187 RNZ262187:ROA262187 RXV262187:RXW262187 SHR262187:SHS262187 SRN262187:SRO262187 TBJ262187:TBK262187 TLF262187:TLG262187 TVB262187:TVC262187 UEX262187:UEY262187 UOT262187:UOU262187 UYP262187:UYQ262187 VIL262187:VIM262187 VSH262187:VSI262187 WCD262187:WCE262187 WLZ262187:WMA262187 WVV262187:WVW262187 N327723:O327723 JJ327723:JK327723 TF327723:TG327723 ADB327723:ADC327723 AMX327723:AMY327723 AWT327723:AWU327723 BGP327723:BGQ327723 BQL327723:BQM327723 CAH327723:CAI327723 CKD327723:CKE327723 CTZ327723:CUA327723 DDV327723:DDW327723 DNR327723:DNS327723 DXN327723:DXO327723 EHJ327723:EHK327723 ERF327723:ERG327723 FBB327723:FBC327723 FKX327723:FKY327723 FUT327723:FUU327723 GEP327723:GEQ327723 GOL327723:GOM327723 GYH327723:GYI327723 HID327723:HIE327723 HRZ327723:HSA327723 IBV327723:IBW327723 ILR327723:ILS327723 IVN327723:IVO327723 JFJ327723:JFK327723 JPF327723:JPG327723 JZB327723:JZC327723 KIX327723:KIY327723 KST327723:KSU327723 LCP327723:LCQ327723 LML327723:LMM327723 LWH327723:LWI327723 MGD327723:MGE327723 MPZ327723:MQA327723 MZV327723:MZW327723 NJR327723:NJS327723 NTN327723:NTO327723 ODJ327723:ODK327723 ONF327723:ONG327723 OXB327723:OXC327723 PGX327723:PGY327723 PQT327723:PQU327723 QAP327723:QAQ327723 QKL327723:QKM327723 QUH327723:QUI327723 RED327723:REE327723 RNZ327723:ROA327723 RXV327723:RXW327723 SHR327723:SHS327723 SRN327723:SRO327723 TBJ327723:TBK327723 TLF327723:TLG327723 TVB327723:TVC327723 UEX327723:UEY327723 UOT327723:UOU327723 UYP327723:UYQ327723 VIL327723:VIM327723 VSH327723:VSI327723 WCD327723:WCE327723 WLZ327723:WMA327723 WVV327723:WVW327723 N393259:O393259 JJ393259:JK393259 TF393259:TG393259 ADB393259:ADC393259 AMX393259:AMY393259 AWT393259:AWU393259 BGP393259:BGQ393259 BQL393259:BQM393259 CAH393259:CAI393259 CKD393259:CKE393259 CTZ393259:CUA393259 DDV393259:DDW393259 DNR393259:DNS393259 DXN393259:DXO393259 EHJ393259:EHK393259 ERF393259:ERG393259 FBB393259:FBC393259 FKX393259:FKY393259 FUT393259:FUU393259 GEP393259:GEQ393259 GOL393259:GOM393259 GYH393259:GYI393259 HID393259:HIE393259 HRZ393259:HSA393259 IBV393259:IBW393259 ILR393259:ILS393259 IVN393259:IVO393259 JFJ393259:JFK393259 JPF393259:JPG393259 JZB393259:JZC393259 KIX393259:KIY393259 KST393259:KSU393259 LCP393259:LCQ393259 LML393259:LMM393259 LWH393259:LWI393259 MGD393259:MGE393259 MPZ393259:MQA393259 MZV393259:MZW393259 NJR393259:NJS393259 NTN393259:NTO393259 ODJ393259:ODK393259 ONF393259:ONG393259 OXB393259:OXC393259 PGX393259:PGY393259 PQT393259:PQU393259 QAP393259:QAQ393259 QKL393259:QKM393259 QUH393259:QUI393259 RED393259:REE393259 RNZ393259:ROA393259 RXV393259:RXW393259 SHR393259:SHS393259 SRN393259:SRO393259 TBJ393259:TBK393259 TLF393259:TLG393259 TVB393259:TVC393259 UEX393259:UEY393259 UOT393259:UOU393259 UYP393259:UYQ393259 VIL393259:VIM393259 VSH393259:VSI393259 WCD393259:WCE393259 WLZ393259:WMA393259 WVV393259:WVW393259 N458795:O458795 JJ458795:JK458795 TF458795:TG458795 ADB458795:ADC458795 AMX458795:AMY458795 AWT458795:AWU458795 BGP458795:BGQ458795 BQL458795:BQM458795 CAH458795:CAI458795 CKD458795:CKE458795 CTZ458795:CUA458795 DDV458795:DDW458795 DNR458795:DNS458795 DXN458795:DXO458795 EHJ458795:EHK458795 ERF458795:ERG458795 FBB458795:FBC458795 FKX458795:FKY458795 FUT458795:FUU458795 GEP458795:GEQ458795 GOL458795:GOM458795 GYH458795:GYI458795 HID458795:HIE458795 HRZ458795:HSA458795 IBV458795:IBW458795 ILR458795:ILS458795 IVN458795:IVO458795 JFJ458795:JFK458795 JPF458795:JPG458795 JZB458795:JZC458795 KIX458795:KIY458795 KST458795:KSU458795 LCP458795:LCQ458795 LML458795:LMM458795 LWH458795:LWI458795 MGD458795:MGE458795 MPZ458795:MQA458795 MZV458795:MZW458795 NJR458795:NJS458795 NTN458795:NTO458795 ODJ458795:ODK458795 ONF458795:ONG458795 OXB458795:OXC458795 PGX458795:PGY458795 PQT458795:PQU458795 QAP458795:QAQ458795 QKL458795:QKM458795 QUH458795:QUI458795 RED458795:REE458795 RNZ458795:ROA458795 RXV458795:RXW458795 SHR458795:SHS458795 SRN458795:SRO458795 TBJ458795:TBK458795 TLF458795:TLG458795 TVB458795:TVC458795 UEX458795:UEY458795 UOT458795:UOU458795 UYP458795:UYQ458795 VIL458795:VIM458795 VSH458795:VSI458795 WCD458795:WCE458795 WLZ458795:WMA458795 WVV458795:WVW458795 N524331:O524331 JJ524331:JK524331 TF524331:TG524331 ADB524331:ADC524331 AMX524331:AMY524331 AWT524331:AWU524331 BGP524331:BGQ524331 BQL524331:BQM524331 CAH524331:CAI524331 CKD524331:CKE524331 CTZ524331:CUA524331 DDV524331:DDW524331 DNR524331:DNS524331 DXN524331:DXO524331 EHJ524331:EHK524331 ERF524331:ERG524331 FBB524331:FBC524331 FKX524331:FKY524331 FUT524331:FUU524331 GEP524331:GEQ524331 GOL524331:GOM524331 GYH524331:GYI524331 HID524331:HIE524331 HRZ524331:HSA524331 IBV524331:IBW524331 ILR524331:ILS524331 IVN524331:IVO524331 JFJ524331:JFK524331 JPF524331:JPG524331 JZB524331:JZC524331 KIX524331:KIY524331 KST524331:KSU524331 LCP524331:LCQ524331 LML524331:LMM524331 LWH524331:LWI524331 MGD524331:MGE524331 MPZ524331:MQA524331 MZV524331:MZW524331 NJR524331:NJS524331 NTN524331:NTO524331 ODJ524331:ODK524331 ONF524331:ONG524331 OXB524331:OXC524331 PGX524331:PGY524331 PQT524331:PQU524331 QAP524331:QAQ524331 QKL524331:QKM524331 QUH524331:QUI524331 RED524331:REE524331 RNZ524331:ROA524331 RXV524331:RXW524331 SHR524331:SHS524331 SRN524331:SRO524331 TBJ524331:TBK524331 TLF524331:TLG524331 TVB524331:TVC524331 UEX524331:UEY524331 UOT524331:UOU524331 UYP524331:UYQ524331 VIL524331:VIM524331 VSH524331:VSI524331 WCD524331:WCE524331 WLZ524331:WMA524331 WVV524331:WVW524331 N589867:O589867 JJ589867:JK589867 TF589867:TG589867 ADB589867:ADC589867 AMX589867:AMY589867 AWT589867:AWU589867 BGP589867:BGQ589867 BQL589867:BQM589867 CAH589867:CAI589867 CKD589867:CKE589867 CTZ589867:CUA589867 DDV589867:DDW589867 DNR589867:DNS589867 DXN589867:DXO589867 EHJ589867:EHK589867 ERF589867:ERG589867 FBB589867:FBC589867 FKX589867:FKY589867 FUT589867:FUU589867 GEP589867:GEQ589867 GOL589867:GOM589867 GYH589867:GYI589867 HID589867:HIE589867 HRZ589867:HSA589867 IBV589867:IBW589867 ILR589867:ILS589867 IVN589867:IVO589867 JFJ589867:JFK589867 JPF589867:JPG589867 JZB589867:JZC589867 KIX589867:KIY589867 KST589867:KSU589867 LCP589867:LCQ589867 LML589867:LMM589867 LWH589867:LWI589867 MGD589867:MGE589867 MPZ589867:MQA589867 MZV589867:MZW589867 NJR589867:NJS589867 NTN589867:NTO589867 ODJ589867:ODK589867 ONF589867:ONG589867 OXB589867:OXC589867 PGX589867:PGY589867 PQT589867:PQU589867 QAP589867:QAQ589867 QKL589867:QKM589867 QUH589867:QUI589867 RED589867:REE589867 RNZ589867:ROA589867 RXV589867:RXW589867 SHR589867:SHS589867 SRN589867:SRO589867 TBJ589867:TBK589867 TLF589867:TLG589867 TVB589867:TVC589867 UEX589867:UEY589867 UOT589867:UOU589867 UYP589867:UYQ589867 VIL589867:VIM589867 VSH589867:VSI589867 WCD589867:WCE589867 WLZ589867:WMA589867 WVV589867:WVW589867 N655403:O655403 JJ655403:JK655403 TF655403:TG655403 ADB655403:ADC655403 AMX655403:AMY655403 AWT655403:AWU655403 BGP655403:BGQ655403 BQL655403:BQM655403 CAH655403:CAI655403 CKD655403:CKE655403 CTZ655403:CUA655403 DDV655403:DDW655403 DNR655403:DNS655403 DXN655403:DXO655403 EHJ655403:EHK655403 ERF655403:ERG655403 FBB655403:FBC655403 FKX655403:FKY655403 FUT655403:FUU655403 GEP655403:GEQ655403 GOL655403:GOM655403 GYH655403:GYI655403 HID655403:HIE655403 HRZ655403:HSA655403 IBV655403:IBW655403 ILR655403:ILS655403 IVN655403:IVO655403 JFJ655403:JFK655403 JPF655403:JPG655403 JZB655403:JZC655403 KIX655403:KIY655403 KST655403:KSU655403 LCP655403:LCQ655403 LML655403:LMM655403 LWH655403:LWI655403 MGD655403:MGE655403 MPZ655403:MQA655403 MZV655403:MZW655403 NJR655403:NJS655403 NTN655403:NTO655403 ODJ655403:ODK655403 ONF655403:ONG655403 OXB655403:OXC655403 PGX655403:PGY655403 PQT655403:PQU655403 QAP655403:QAQ655403 QKL655403:QKM655403 QUH655403:QUI655403 RED655403:REE655403 RNZ655403:ROA655403 RXV655403:RXW655403 SHR655403:SHS655403 SRN655403:SRO655403 TBJ655403:TBK655403 TLF655403:TLG655403 TVB655403:TVC655403 UEX655403:UEY655403 UOT655403:UOU655403 UYP655403:UYQ655403 VIL655403:VIM655403 VSH655403:VSI655403 WCD655403:WCE655403 WLZ655403:WMA655403 WVV655403:WVW655403 N720939:O720939 JJ720939:JK720939 TF720939:TG720939 ADB720939:ADC720939 AMX720939:AMY720939 AWT720939:AWU720939 BGP720939:BGQ720939 BQL720939:BQM720939 CAH720939:CAI720939 CKD720939:CKE720939 CTZ720939:CUA720939 DDV720939:DDW720939 DNR720939:DNS720939 DXN720939:DXO720939 EHJ720939:EHK720939 ERF720939:ERG720939 FBB720939:FBC720939 FKX720939:FKY720939 FUT720939:FUU720939 GEP720939:GEQ720939 GOL720939:GOM720939 GYH720939:GYI720939 HID720939:HIE720939 HRZ720939:HSA720939 IBV720939:IBW720939 ILR720939:ILS720939 IVN720939:IVO720939 JFJ720939:JFK720939 JPF720939:JPG720939 JZB720939:JZC720939 KIX720939:KIY720939 KST720939:KSU720939 LCP720939:LCQ720939 LML720939:LMM720939 LWH720939:LWI720939 MGD720939:MGE720939 MPZ720939:MQA720939 MZV720939:MZW720939 NJR720939:NJS720939 NTN720939:NTO720939 ODJ720939:ODK720939 ONF720939:ONG720939 OXB720939:OXC720939 PGX720939:PGY720939 PQT720939:PQU720939 QAP720939:QAQ720939 QKL720939:QKM720939 QUH720939:QUI720939 RED720939:REE720939 RNZ720939:ROA720939 RXV720939:RXW720939 SHR720939:SHS720939 SRN720939:SRO720939 TBJ720939:TBK720939 TLF720939:TLG720939 TVB720939:TVC720939 UEX720939:UEY720939 UOT720939:UOU720939 UYP720939:UYQ720939 VIL720939:VIM720939 VSH720939:VSI720939 WCD720939:WCE720939 WLZ720939:WMA720939 WVV720939:WVW720939 N786475:O786475 JJ786475:JK786475 TF786475:TG786475 ADB786475:ADC786475 AMX786475:AMY786475 AWT786475:AWU786475 BGP786475:BGQ786475 BQL786475:BQM786475 CAH786475:CAI786475 CKD786475:CKE786475 CTZ786475:CUA786475 DDV786475:DDW786475 DNR786475:DNS786475 DXN786475:DXO786475 EHJ786475:EHK786475 ERF786475:ERG786475 FBB786475:FBC786475 FKX786475:FKY786475 FUT786475:FUU786475 GEP786475:GEQ786475 GOL786475:GOM786475 GYH786475:GYI786475 HID786475:HIE786475 HRZ786475:HSA786475 IBV786475:IBW786475 ILR786475:ILS786475 IVN786475:IVO786475 JFJ786475:JFK786475 JPF786475:JPG786475 JZB786475:JZC786475 KIX786475:KIY786475 KST786475:KSU786475 LCP786475:LCQ786475 LML786475:LMM786475 LWH786475:LWI786475 MGD786475:MGE786475 MPZ786475:MQA786475 MZV786475:MZW786475 NJR786475:NJS786475 NTN786475:NTO786475 ODJ786475:ODK786475 ONF786475:ONG786475 OXB786475:OXC786475 PGX786475:PGY786475 PQT786475:PQU786475 QAP786475:QAQ786475 QKL786475:QKM786475 QUH786475:QUI786475 RED786475:REE786475 RNZ786475:ROA786475 RXV786475:RXW786475 SHR786475:SHS786475 SRN786475:SRO786475 TBJ786475:TBK786475 TLF786475:TLG786475 TVB786475:TVC786475 UEX786475:UEY786475 UOT786475:UOU786475 UYP786475:UYQ786475 VIL786475:VIM786475 VSH786475:VSI786475 WCD786475:WCE786475 WLZ786475:WMA786475 WVV786475:WVW786475 N852011:O852011 JJ852011:JK852011 TF852011:TG852011 ADB852011:ADC852011 AMX852011:AMY852011 AWT852011:AWU852011 BGP852011:BGQ852011 BQL852011:BQM852011 CAH852011:CAI852011 CKD852011:CKE852011 CTZ852011:CUA852011 DDV852011:DDW852011 DNR852011:DNS852011 DXN852011:DXO852011 EHJ852011:EHK852011 ERF852011:ERG852011 FBB852011:FBC852011 FKX852011:FKY852011 FUT852011:FUU852011 GEP852011:GEQ852011 GOL852011:GOM852011 GYH852011:GYI852011 HID852011:HIE852011 HRZ852011:HSA852011 IBV852011:IBW852011 ILR852011:ILS852011 IVN852011:IVO852011 JFJ852011:JFK852011 JPF852011:JPG852011 JZB852011:JZC852011 KIX852011:KIY852011 KST852011:KSU852011 LCP852011:LCQ852011 LML852011:LMM852011 LWH852011:LWI852011 MGD852011:MGE852011 MPZ852011:MQA852011 MZV852011:MZW852011 NJR852011:NJS852011 NTN852011:NTO852011 ODJ852011:ODK852011 ONF852011:ONG852011 OXB852011:OXC852011 PGX852011:PGY852011 PQT852011:PQU852011 QAP852011:QAQ852011 QKL852011:QKM852011 QUH852011:QUI852011 RED852011:REE852011 RNZ852011:ROA852011 RXV852011:RXW852011 SHR852011:SHS852011 SRN852011:SRO852011 TBJ852011:TBK852011 TLF852011:TLG852011 TVB852011:TVC852011 UEX852011:UEY852011 UOT852011:UOU852011 UYP852011:UYQ852011 VIL852011:VIM852011 VSH852011:VSI852011 WCD852011:WCE852011 WLZ852011:WMA852011 WVV852011:WVW852011 N917547:O917547 JJ917547:JK917547 TF917547:TG917547 ADB917547:ADC917547 AMX917547:AMY917547 AWT917547:AWU917547 BGP917547:BGQ917547 BQL917547:BQM917547 CAH917547:CAI917547 CKD917547:CKE917547 CTZ917547:CUA917547 DDV917547:DDW917547 DNR917547:DNS917547 DXN917547:DXO917547 EHJ917547:EHK917547 ERF917547:ERG917547 FBB917547:FBC917547 FKX917547:FKY917547 FUT917547:FUU917547 GEP917547:GEQ917547 GOL917547:GOM917547 GYH917547:GYI917547 HID917547:HIE917547 HRZ917547:HSA917547 IBV917547:IBW917547 ILR917547:ILS917547 IVN917547:IVO917547 JFJ917547:JFK917547 JPF917547:JPG917547 JZB917547:JZC917547 KIX917547:KIY917547 KST917547:KSU917547 LCP917547:LCQ917547 LML917547:LMM917547 LWH917547:LWI917547 MGD917547:MGE917547 MPZ917547:MQA917547 MZV917547:MZW917547 NJR917547:NJS917547 NTN917547:NTO917547 ODJ917547:ODK917547 ONF917547:ONG917547 OXB917547:OXC917547 PGX917547:PGY917547 PQT917547:PQU917547 QAP917547:QAQ917547 QKL917547:QKM917547 QUH917547:QUI917547 RED917547:REE917547 RNZ917547:ROA917547 RXV917547:RXW917547 SHR917547:SHS917547 SRN917547:SRO917547 TBJ917547:TBK917547 TLF917547:TLG917547 TVB917547:TVC917547 UEX917547:UEY917547 UOT917547:UOU917547 UYP917547:UYQ917547 VIL917547:VIM917547 VSH917547:VSI917547 WCD917547:WCE917547 WLZ917547:WMA917547 WVV917547:WVW917547 N983083:O983083 JJ983083:JK983083 TF983083:TG983083 ADB983083:ADC983083 AMX983083:AMY983083 AWT983083:AWU983083 BGP983083:BGQ983083 BQL983083:BQM983083 CAH983083:CAI983083 CKD983083:CKE983083 CTZ983083:CUA983083 DDV983083:DDW983083 DNR983083:DNS983083 DXN983083:DXO983083 EHJ983083:EHK983083 ERF983083:ERG983083 FBB983083:FBC983083 FKX983083:FKY983083 FUT983083:FUU983083 GEP983083:GEQ983083 GOL983083:GOM983083 GYH983083:GYI983083 HID983083:HIE983083 HRZ983083:HSA983083 IBV983083:IBW983083 ILR983083:ILS983083 IVN983083:IVO983083 JFJ983083:JFK983083 JPF983083:JPG983083 JZB983083:JZC983083 KIX983083:KIY983083 KST983083:KSU983083 LCP983083:LCQ983083 LML983083:LMM983083 LWH983083:LWI983083 MGD983083:MGE983083 MPZ983083:MQA983083 MZV983083:MZW983083 NJR983083:NJS983083 NTN983083:NTO983083 ODJ983083:ODK983083 ONF983083:ONG983083 OXB983083:OXC983083 PGX983083:PGY983083 PQT983083:PQU983083 QAP983083:QAQ983083 QKL983083:QKM983083 QUH983083:QUI983083 RED983083:REE983083 RNZ983083:ROA983083 RXV983083:RXW983083 SHR983083:SHS983083 SRN983083:SRO983083 TBJ983083:TBK983083 TLF983083:TLG983083 TVB983083:TVC983083 UEX983083:UEY983083 UOT983083:UOU983083 UYP983083:UYQ983083 VIL983083:VIM983083 VSH983083:VSI983083 WCD983083:WCE983083 WLZ983083:WMA983083 WVV983083:WVW983083" xr:uid="{00000000-0002-0000-0000-000008000000}">
      <formula1>$CW$8:$CW$9</formula1>
    </dataValidation>
    <dataValidation type="list" allowBlank="1" showInputMessage="1" showErrorMessage="1" sqref="WVI983046 IW6 SS6 ACO6 AMK6 AWG6 BGC6 BPY6 BZU6 CJQ6 CTM6 DDI6 DNE6 DXA6 EGW6 EQS6 FAO6 FKK6 FUG6 GEC6 GNY6 GXU6 HHQ6 HRM6 IBI6 ILE6 IVA6 JEW6 JOS6 JYO6 KIK6 KSG6 LCC6 LLY6 LVU6 MFQ6 MPM6 MZI6 NJE6 NTA6 OCW6 OMS6 OWO6 PGK6 PQG6 QAC6 QJY6 QTU6 RDQ6 RNM6 RXI6 SHE6 SRA6 TAW6 TKS6 TUO6 UEK6 UOG6 UYC6 VHY6 VRU6 WBQ6 WLM6 WVI6 A65542 IW65542 SS65542 ACO65542 AMK65542 AWG65542 BGC65542 BPY65542 BZU65542 CJQ65542 CTM65542 DDI65542 DNE65542 DXA65542 EGW65542 EQS65542 FAO65542 FKK65542 FUG65542 GEC65542 GNY65542 GXU65542 HHQ65542 HRM65542 IBI65542 ILE65542 IVA65542 JEW65542 JOS65542 JYO65542 KIK65542 KSG65542 LCC65542 LLY65542 LVU65542 MFQ65542 MPM65542 MZI65542 NJE65542 NTA65542 OCW65542 OMS65542 OWO65542 PGK65542 PQG65542 QAC65542 QJY65542 QTU65542 RDQ65542 RNM65542 RXI65542 SHE65542 SRA65542 TAW65542 TKS65542 TUO65542 UEK65542 UOG65542 UYC65542 VHY65542 VRU65542 WBQ65542 WLM65542 WVI65542 A131078 IW131078 SS131078 ACO131078 AMK131078 AWG131078 BGC131078 BPY131078 BZU131078 CJQ131078 CTM131078 DDI131078 DNE131078 DXA131078 EGW131078 EQS131078 FAO131078 FKK131078 FUG131078 GEC131078 GNY131078 GXU131078 HHQ131078 HRM131078 IBI131078 ILE131078 IVA131078 JEW131078 JOS131078 JYO131078 KIK131078 KSG131078 LCC131078 LLY131078 LVU131078 MFQ131078 MPM131078 MZI131078 NJE131078 NTA131078 OCW131078 OMS131078 OWO131078 PGK131078 PQG131078 QAC131078 QJY131078 QTU131078 RDQ131078 RNM131078 RXI131078 SHE131078 SRA131078 TAW131078 TKS131078 TUO131078 UEK131078 UOG131078 UYC131078 VHY131078 VRU131078 WBQ131078 WLM131078 WVI131078 A196614 IW196614 SS196614 ACO196614 AMK196614 AWG196614 BGC196614 BPY196614 BZU196614 CJQ196614 CTM196614 DDI196614 DNE196614 DXA196614 EGW196614 EQS196614 FAO196614 FKK196614 FUG196614 GEC196614 GNY196614 GXU196614 HHQ196614 HRM196614 IBI196614 ILE196614 IVA196614 JEW196614 JOS196614 JYO196614 KIK196614 KSG196614 LCC196614 LLY196614 LVU196614 MFQ196614 MPM196614 MZI196614 NJE196614 NTA196614 OCW196614 OMS196614 OWO196614 PGK196614 PQG196614 QAC196614 QJY196614 QTU196614 RDQ196614 RNM196614 RXI196614 SHE196614 SRA196614 TAW196614 TKS196614 TUO196614 UEK196614 UOG196614 UYC196614 VHY196614 VRU196614 WBQ196614 WLM196614 WVI196614 A262150 IW262150 SS262150 ACO262150 AMK262150 AWG262150 BGC262150 BPY262150 BZU262150 CJQ262150 CTM262150 DDI262150 DNE262150 DXA262150 EGW262150 EQS262150 FAO262150 FKK262150 FUG262150 GEC262150 GNY262150 GXU262150 HHQ262150 HRM262150 IBI262150 ILE262150 IVA262150 JEW262150 JOS262150 JYO262150 KIK262150 KSG262150 LCC262150 LLY262150 LVU262150 MFQ262150 MPM262150 MZI262150 NJE262150 NTA262150 OCW262150 OMS262150 OWO262150 PGK262150 PQG262150 QAC262150 QJY262150 QTU262150 RDQ262150 RNM262150 RXI262150 SHE262150 SRA262150 TAW262150 TKS262150 TUO262150 UEK262150 UOG262150 UYC262150 VHY262150 VRU262150 WBQ262150 WLM262150 WVI262150 A327686 IW327686 SS327686 ACO327686 AMK327686 AWG327686 BGC327686 BPY327686 BZU327686 CJQ327686 CTM327686 DDI327686 DNE327686 DXA327686 EGW327686 EQS327686 FAO327686 FKK327686 FUG327686 GEC327686 GNY327686 GXU327686 HHQ327686 HRM327686 IBI327686 ILE327686 IVA327686 JEW327686 JOS327686 JYO327686 KIK327686 KSG327686 LCC327686 LLY327686 LVU327686 MFQ327686 MPM327686 MZI327686 NJE327686 NTA327686 OCW327686 OMS327686 OWO327686 PGK327686 PQG327686 QAC327686 QJY327686 QTU327686 RDQ327686 RNM327686 RXI327686 SHE327686 SRA327686 TAW327686 TKS327686 TUO327686 UEK327686 UOG327686 UYC327686 VHY327686 VRU327686 WBQ327686 WLM327686 WVI327686 A393222 IW393222 SS393222 ACO393222 AMK393222 AWG393222 BGC393222 BPY393222 BZU393222 CJQ393222 CTM393222 DDI393222 DNE393222 DXA393222 EGW393222 EQS393222 FAO393222 FKK393222 FUG393222 GEC393222 GNY393222 GXU393222 HHQ393222 HRM393222 IBI393222 ILE393222 IVA393222 JEW393222 JOS393222 JYO393222 KIK393222 KSG393222 LCC393222 LLY393222 LVU393222 MFQ393222 MPM393222 MZI393222 NJE393222 NTA393222 OCW393222 OMS393222 OWO393222 PGK393222 PQG393222 QAC393222 QJY393222 QTU393222 RDQ393222 RNM393222 RXI393222 SHE393222 SRA393222 TAW393222 TKS393222 TUO393222 UEK393222 UOG393222 UYC393222 VHY393222 VRU393222 WBQ393222 WLM393222 WVI393222 A458758 IW458758 SS458758 ACO458758 AMK458758 AWG458758 BGC458758 BPY458758 BZU458758 CJQ458758 CTM458758 DDI458758 DNE458758 DXA458758 EGW458758 EQS458758 FAO458758 FKK458758 FUG458758 GEC458758 GNY458758 GXU458758 HHQ458758 HRM458758 IBI458758 ILE458758 IVA458758 JEW458758 JOS458758 JYO458758 KIK458758 KSG458758 LCC458758 LLY458758 LVU458758 MFQ458758 MPM458758 MZI458758 NJE458758 NTA458758 OCW458758 OMS458758 OWO458758 PGK458758 PQG458758 QAC458758 QJY458758 QTU458758 RDQ458758 RNM458758 RXI458758 SHE458758 SRA458758 TAW458758 TKS458758 TUO458758 UEK458758 UOG458758 UYC458758 VHY458758 VRU458758 WBQ458758 WLM458758 WVI458758 A524294 IW524294 SS524294 ACO524294 AMK524294 AWG524294 BGC524294 BPY524294 BZU524294 CJQ524294 CTM524294 DDI524294 DNE524294 DXA524294 EGW524294 EQS524294 FAO524294 FKK524294 FUG524294 GEC524294 GNY524294 GXU524294 HHQ524294 HRM524294 IBI524294 ILE524294 IVA524294 JEW524294 JOS524294 JYO524294 KIK524294 KSG524294 LCC524294 LLY524294 LVU524294 MFQ524294 MPM524294 MZI524294 NJE524294 NTA524294 OCW524294 OMS524294 OWO524294 PGK524294 PQG524294 QAC524294 QJY524294 QTU524294 RDQ524294 RNM524294 RXI524294 SHE524294 SRA524294 TAW524294 TKS524294 TUO524294 UEK524294 UOG524294 UYC524294 VHY524294 VRU524294 WBQ524294 WLM524294 WVI524294 A589830 IW589830 SS589830 ACO589830 AMK589830 AWG589830 BGC589830 BPY589830 BZU589830 CJQ589830 CTM589830 DDI589830 DNE589830 DXA589830 EGW589830 EQS589830 FAO589830 FKK589830 FUG589830 GEC589830 GNY589830 GXU589830 HHQ589830 HRM589830 IBI589830 ILE589830 IVA589830 JEW589830 JOS589830 JYO589830 KIK589830 KSG589830 LCC589830 LLY589830 LVU589830 MFQ589830 MPM589830 MZI589830 NJE589830 NTA589830 OCW589830 OMS589830 OWO589830 PGK589830 PQG589830 QAC589830 QJY589830 QTU589830 RDQ589830 RNM589830 RXI589830 SHE589830 SRA589830 TAW589830 TKS589830 TUO589830 UEK589830 UOG589830 UYC589830 VHY589830 VRU589830 WBQ589830 WLM589830 WVI589830 A655366 IW655366 SS655366 ACO655366 AMK655366 AWG655366 BGC655366 BPY655366 BZU655366 CJQ655366 CTM655366 DDI655366 DNE655366 DXA655366 EGW655366 EQS655366 FAO655366 FKK655366 FUG655366 GEC655366 GNY655366 GXU655366 HHQ655366 HRM655366 IBI655366 ILE655366 IVA655366 JEW655366 JOS655366 JYO655366 KIK655366 KSG655366 LCC655366 LLY655366 LVU655366 MFQ655366 MPM655366 MZI655366 NJE655366 NTA655366 OCW655366 OMS655366 OWO655366 PGK655366 PQG655366 QAC655366 QJY655366 QTU655366 RDQ655366 RNM655366 RXI655366 SHE655366 SRA655366 TAW655366 TKS655366 TUO655366 UEK655366 UOG655366 UYC655366 VHY655366 VRU655366 WBQ655366 WLM655366 WVI655366 A720902 IW720902 SS720902 ACO720902 AMK720902 AWG720902 BGC720902 BPY720902 BZU720902 CJQ720902 CTM720902 DDI720902 DNE720902 DXA720902 EGW720902 EQS720902 FAO720902 FKK720902 FUG720902 GEC720902 GNY720902 GXU720902 HHQ720902 HRM720902 IBI720902 ILE720902 IVA720902 JEW720902 JOS720902 JYO720902 KIK720902 KSG720902 LCC720902 LLY720902 LVU720902 MFQ720902 MPM720902 MZI720902 NJE720902 NTA720902 OCW720902 OMS720902 OWO720902 PGK720902 PQG720902 QAC720902 QJY720902 QTU720902 RDQ720902 RNM720902 RXI720902 SHE720902 SRA720902 TAW720902 TKS720902 TUO720902 UEK720902 UOG720902 UYC720902 VHY720902 VRU720902 WBQ720902 WLM720902 WVI720902 A786438 IW786438 SS786438 ACO786438 AMK786438 AWG786438 BGC786438 BPY786438 BZU786438 CJQ786438 CTM786438 DDI786438 DNE786438 DXA786438 EGW786438 EQS786438 FAO786438 FKK786438 FUG786438 GEC786438 GNY786438 GXU786438 HHQ786438 HRM786438 IBI786438 ILE786438 IVA786438 JEW786438 JOS786438 JYO786438 KIK786438 KSG786438 LCC786438 LLY786438 LVU786438 MFQ786438 MPM786438 MZI786438 NJE786438 NTA786438 OCW786438 OMS786438 OWO786438 PGK786438 PQG786438 QAC786438 QJY786438 QTU786438 RDQ786438 RNM786438 RXI786438 SHE786438 SRA786438 TAW786438 TKS786438 TUO786438 UEK786438 UOG786438 UYC786438 VHY786438 VRU786438 WBQ786438 WLM786438 WVI786438 A851974 IW851974 SS851974 ACO851974 AMK851974 AWG851974 BGC851974 BPY851974 BZU851974 CJQ851974 CTM851974 DDI851974 DNE851974 DXA851974 EGW851974 EQS851974 FAO851974 FKK851974 FUG851974 GEC851974 GNY851974 GXU851974 HHQ851974 HRM851974 IBI851974 ILE851974 IVA851974 JEW851974 JOS851974 JYO851974 KIK851974 KSG851974 LCC851974 LLY851974 LVU851974 MFQ851974 MPM851974 MZI851974 NJE851974 NTA851974 OCW851974 OMS851974 OWO851974 PGK851974 PQG851974 QAC851974 QJY851974 QTU851974 RDQ851974 RNM851974 RXI851974 SHE851974 SRA851974 TAW851974 TKS851974 TUO851974 UEK851974 UOG851974 UYC851974 VHY851974 VRU851974 WBQ851974 WLM851974 WVI851974 A917510 IW917510 SS917510 ACO917510 AMK917510 AWG917510 BGC917510 BPY917510 BZU917510 CJQ917510 CTM917510 DDI917510 DNE917510 DXA917510 EGW917510 EQS917510 FAO917510 FKK917510 FUG917510 GEC917510 GNY917510 GXU917510 HHQ917510 HRM917510 IBI917510 ILE917510 IVA917510 JEW917510 JOS917510 JYO917510 KIK917510 KSG917510 LCC917510 LLY917510 LVU917510 MFQ917510 MPM917510 MZI917510 NJE917510 NTA917510 OCW917510 OMS917510 OWO917510 PGK917510 PQG917510 QAC917510 QJY917510 QTU917510 RDQ917510 RNM917510 RXI917510 SHE917510 SRA917510 TAW917510 TKS917510 TUO917510 UEK917510 UOG917510 UYC917510 VHY917510 VRU917510 WBQ917510 WLM917510 WVI917510 A983046 IW983046 SS983046 ACO983046 AMK983046 AWG983046 BGC983046 BPY983046 BZU983046 CJQ983046 CTM983046 DDI983046 DNE983046 DXA983046 EGW983046 EQS983046 FAO983046 FKK983046 FUG983046 GEC983046 GNY983046 GXU983046 HHQ983046 HRM983046 IBI983046 ILE983046 IVA983046 JEW983046 JOS983046 JYO983046 KIK983046 KSG983046 LCC983046 LLY983046 LVU983046 MFQ983046 MPM983046 MZI983046 NJE983046 NTA983046 OCW983046 OMS983046 OWO983046 PGK983046 PQG983046 QAC983046 QJY983046 QTU983046 RDQ983046 RNM983046 RXI983046 SHE983046 SRA983046 TAW983046 TKS983046 TUO983046 UEK983046 UOG983046 UYC983046 VHY983046 VRU983046 WBQ983046 WLM983046 A6" xr:uid="{00000000-0002-0000-0000-000009000000}">
      <formula1>$CW$16:$CW$22</formula1>
    </dataValidation>
    <dataValidation type="list" allowBlank="1" showInputMessage="1" showErrorMessage="1" sqref="WVR983370 JF330 TB330 ACX330 AMT330 AWP330 BGL330 BQH330 CAD330 CJZ330 CTV330 DDR330 DNN330 DXJ330 EHF330 ERB330 FAX330 FKT330 FUP330 GEL330 GOH330 GYD330 HHZ330 HRV330 IBR330 ILN330 IVJ330 JFF330 JPB330 JYX330 KIT330 KSP330 LCL330 LMH330 LWD330 MFZ330 MPV330 MZR330 NJN330 NTJ330 ODF330 ONB330 OWX330 PGT330 PQP330 QAL330 QKH330 QUD330 RDZ330 RNV330 RXR330 SHN330 SRJ330 TBF330 TLB330 TUX330 UET330 UOP330 UYL330 VIH330 VSD330 WBZ330 WLV330 WVR330 J65866 JF65866 TB65866 ACX65866 AMT65866 AWP65866 BGL65866 BQH65866 CAD65866 CJZ65866 CTV65866 DDR65866 DNN65866 DXJ65866 EHF65866 ERB65866 FAX65866 FKT65866 FUP65866 GEL65866 GOH65866 GYD65866 HHZ65866 HRV65866 IBR65866 ILN65866 IVJ65866 JFF65866 JPB65866 JYX65866 KIT65866 KSP65866 LCL65866 LMH65866 LWD65866 MFZ65866 MPV65866 MZR65866 NJN65866 NTJ65866 ODF65866 ONB65866 OWX65866 PGT65866 PQP65866 QAL65866 QKH65866 QUD65866 RDZ65866 RNV65866 RXR65866 SHN65866 SRJ65866 TBF65866 TLB65866 TUX65866 UET65866 UOP65866 UYL65866 VIH65866 VSD65866 WBZ65866 WLV65866 WVR65866 J131402 JF131402 TB131402 ACX131402 AMT131402 AWP131402 BGL131402 BQH131402 CAD131402 CJZ131402 CTV131402 DDR131402 DNN131402 DXJ131402 EHF131402 ERB131402 FAX131402 FKT131402 FUP131402 GEL131402 GOH131402 GYD131402 HHZ131402 HRV131402 IBR131402 ILN131402 IVJ131402 JFF131402 JPB131402 JYX131402 KIT131402 KSP131402 LCL131402 LMH131402 LWD131402 MFZ131402 MPV131402 MZR131402 NJN131402 NTJ131402 ODF131402 ONB131402 OWX131402 PGT131402 PQP131402 QAL131402 QKH131402 QUD131402 RDZ131402 RNV131402 RXR131402 SHN131402 SRJ131402 TBF131402 TLB131402 TUX131402 UET131402 UOP131402 UYL131402 VIH131402 VSD131402 WBZ131402 WLV131402 WVR131402 J196938 JF196938 TB196938 ACX196938 AMT196938 AWP196938 BGL196938 BQH196938 CAD196938 CJZ196938 CTV196938 DDR196938 DNN196938 DXJ196938 EHF196938 ERB196938 FAX196938 FKT196938 FUP196938 GEL196938 GOH196938 GYD196938 HHZ196938 HRV196938 IBR196938 ILN196938 IVJ196938 JFF196938 JPB196938 JYX196938 KIT196938 KSP196938 LCL196938 LMH196938 LWD196938 MFZ196938 MPV196938 MZR196938 NJN196938 NTJ196938 ODF196938 ONB196938 OWX196938 PGT196938 PQP196938 QAL196938 QKH196938 QUD196938 RDZ196938 RNV196938 RXR196938 SHN196938 SRJ196938 TBF196938 TLB196938 TUX196938 UET196938 UOP196938 UYL196938 VIH196938 VSD196938 WBZ196938 WLV196938 WVR196938 J262474 JF262474 TB262474 ACX262474 AMT262474 AWP262474 BGL262474 BQH262474 CAD262474 CJZ262474 CTV262474 DDR262474 DNN262474 DXJ262474 EHF262474 ERB262474 FAX262474 FKT262474 FUP262474 GEL262474 GOH262474 GYD262474 HHZ262474 HRV262474 IBR262474 ILN262474 IVJ262474 JFF262474 JPB262474 JYX262474 KIT262474 KSP262474 LCL262474 LMH262474 LWD262474 MFZ262474 MPV262474 MZR262474 NJN262474 NTJ262474 ODF262474 ONB262474 OWX262474 PGT262474 PQP262474 QAL262474 QKH262474 QUD262474 RDZ262474 RNV262474 RXR262474 SHN262474 SRJ262474 TBF262474 TLB262474 TUX262474 UET262474 UOP262474 UYL262474 VIH262474 VSD262474 WBZ262474 WLV262474 WVR262474 J328010 JF328010 TB328010 ACX328010 AMT328010 AWP328010 BGL328010 BQH328010 CAD328010 CJZ328010 CTV328010 DDR328010 DNN328010 DXJ328010 EHF328010 ERB328010 FAX328010 FKT328010 FUP328010 GEL328010 GOH328010 GYD328010 HHZ328010 HRV328010 IBR328010 ILN328010 IVJ328010 JFF328010 JPB328010 JYX328010 KIT328010 KSP328010 LCL328010 LMH328010 LWD328010 MFZ328010 MPV328010 MZR328010 NJN328010 NTJ328010 ODF328010 ONB328010 OWX328010 PGT328010 PQP328010 QAL328010 QKH328010 QUD328010 RDZ328010 RNV328010 RXR328010 SHN328010 SRJ328010 TBF328010 TLB328010 TUX328010 UET328010 UOP328010 UYL328010 VIH328010 VSD328010 WBZ328010 WLV328010 WVR328010 J393546 JF393546 TB393546 ACX393546 AMT393546 AWP393546 BGL393546 BQH393546 CAD393546 CJZ393546 CTV393546 DDR393546 DNN393546 DXJ393546 EHF393546 ERB393546 FAX393546 FKT393546 FUP393546 GEL393546 GOH393546 GYD393546 HHZ393546 HRV393546 IBR393546 ILN393546 IVJ393546 JFF393546 JPB393546 JYX393546 KIT393546 KSP393546 LCL393546 LMH393546 LWD393546 MFZ393546 MPV393546 MZR393546 NJN393546 NTJ393546 ODF393546 ONB393546 OWX393546 PGT393546 PQP393546 QAL393546 QKH393546 QUD393546 RDZ393546 RNV393546 RXR393546 SHN393546 SRJ393546 TBF393546 TLB393546 TUX393546 UET393546 UOP393546 UYL393546 VIH393546 VSD393546 WBZ393546 WLV393546 WVR393546 J459082 JF459082 TB459082 ACX459082 AMT459082 AWP459082 BGL459082 BQH459082 CAD459082 CJZ459082 CTV459082 DDR459082 DNN459082 DXJ459082 EHF459082 ERB459082 FAX459082 FKT459082 FUP459082 GEL459082 GOH459082 GYD459082 HHZ459082 HRV459082 IBR459082 ILN459082 IVJ459082 JFF459082 JPB459082 JYX459082 KIT459082 KSP459082 LCL459082 LMH459082 LWD459082 MFZ459082 MPV459082 MZR459082 NJN459082 NTJ459082 ODF459082 ONB459082 OWX459082 PGT459082 PQP459082 QAL459082 QKH459082 QUD459082 RDZ459082 RNV459082 RXR459082 SHN459082 SRJ459082 TBF459082 TLB459082 TUX459082 UET459082 UOP459082 UYL459082 VIH459082 VSD459082 WBZ459082 WLV459082 WVR459082 J524618 JF524618 TB524618 ACX524618 AMT524618 AWP524618 BGL524618 BQH524618 CAD524618 CJZ524618 CTV524618 DDR524618 DNN524618 DXJ524618 EHF524618 ERB524618 FAX524618 FKT524618 FUP524618 GEL524618 GOH524618 GYD524618 HHZ524618 HRV524618 IBR524618 ILN524618 IVJ524618 JFF524618 JPB524618 JYX524618 KIT524618 KSP524618 LCL524618 LMH524618 LWD524618 MFZ524618 MPV524618 MZR524618 NJN524618 NTJ524618 ODF524618 ONB524618 OWX524618 PGT524618 PQP524618 QAL524618 QKH524618 QUD524618 RDZ524618 RNV524618 RXR524618 SHN524618 SRJ524618 TBF524618 TLB524618 TUX524618 UET524618 UOP524618 UYL524618 VIH524618 VSD524618 WBZ524618 WLV524618 WVR524618 J590154 JF590154 TB590154 ACX590154 AMT590154 AWP590154 BGL590154 BQH590154 CAD590154 CJZ590154 CTV590154 DDR590154 DNN590154 DXJ590154 EHF590154 ERB590154 FAX590154 FKT590154 FUP590154 GEL590154 GOH590154 GYD590154 HHZ590154 HRV590154 IBR590154 ILN590154 IVJ590154 JFF590154 JPB590154 JYX590154 KIT590154 KSP590154 LCL590154 LMH590154 LWD590154 MFZ590154 MPV590154 MZR590154 NJN590154 NTJ590154 ODF590154 ONB590154 OWX590154 PGT590154 PQP590154 QAL590154 QKH590154 QUD590154 RDZ590154 RNV590154 RXR590154 SHN590154 SRJ590154 TBF590154 TLB590154 TUX590154 UET590154 UOP590154 UYL590154 VIH590154 VSD590154 WBZ590154 WLV590154 WVR590154 J655690 JF655690 TB655690 ACX655690 AMT655690 AWP655690 BGL655690 BQH655690 CAD655690 CJZ655690 CTV655690 DDR655690 DNN655690 DXJ655690 EHF655690 ERB655690 FAX655690 FKT655690 FUP655690 GEL655690 GOH655690 GYD655690 HHZ655690 HRV655690 IBR655690 ILN655690 IVJ655690 JFF655690 JPB655690 JYX655690 KIT655690 KSP655690 LCL655690 LMH655690 LWD655690 MFZ655690 MPV655690 MZR655690 NJN655690 NTJ655690 ODF655690 ONB655690 OWX655690 PGT655690 PQP655690 QAL655690 QKH655690 QUD655690 RDZ655690 RNV655690 RXR655690 SHN655690 SRJ655690 TBF655690 TLB655690 TUX655690 UET655690 UOP655690 UYL655690 VIH655690 VSD655690 WBZ655690 WLV655690 WVR655690 J721226 JF721226 TB721226 ACX721226 AMT721226 AWP721226 BGL721226 BQH721226 CAD721226 CJZ721226 CTV721226 DDR721226 DNN721226 DXJ721226 EHF721226 ERB721226 FAX721226 FKT721226 FUP721226 GEL721226 GOH721226 GYD721226 HHZ721226 HRV721226 IBR721226 ILN721226 IVJ721226 JFF721226 JPB721226 JYX721226 KIT721226 KSP721226 LCL721226 LMH721226 LWD721226 MFZ721226 MPV721226 MZR721226 NJN721226 NTJ721226 ODF721226 ONB721226 OWX721226 PGT721226 PQP721226 QAL721226 QKH721226 QUD721226 RDZ721226 RNV721226 RXR721226 SHN721226 SRJ721226 TBF721226 TLB721226 TUX721226 UET721226 UOP721226 UYL721226 VIH721226 VSD721226 WBZ721226 WLV721226 WVR721226 J786762 JF786762 TB786762 ACX786762 AMT786762 AWP786762 BGL786762 BQH786762 CAD786762 CJZ786762 CTV786762 DDR786762 DNN786762 DXJ786762 EHF786762 ERB786762 FAX786762 FKT786762 FUP786762 GEL786762 GOH786762 GYD786762 HHZ786762 HRV786762 IBR786762 ILN786762 IVJ786762 JFF786762 JPB786762 JYX786762 KIT786762 KSP786762 LCL786762 LMH786762 LWD786762 MFZ786762 MPV786762 MZR786762 NJN786762 NTJ786762 ODF786762 ONB786762 OWX786762 PGT786762 PQP786762 QAL786762 QKH786762 QUD786762 RDZ786762 RNV786762 RXR786762 SHN786762 SRJ786762 TBF786762 TLB786762 TUX786762 UET786762 UOP786762 UYL786762 VIH786762 VSD786762 WBZ786762 WLV786762 WVR786762 J852298 JF852298 TB852298 ACX852298 AMT852298 AWP852298 BGL852298 BQH852298 CAD852298 CJZ852298 CTV852298 DDR852298 DNN852298 DXJ852298 EHF852298 ERB852298 FAX852298 FKT852298 FUP852298 GEL852298 GOH852298 GYD852298 HHZ852298 HRV852298 IBR852298 ILN852298 IVJ852298 JFF852298 JPB852298 JYX852298 KIT852298 KSP852298 LCL852298 LMH852298 LWD852298 MFZ852298 MPV852298 MZR852298 NJN852298 NTJ852298 ODF852298 ONB852298 OWX852298 PGT852298 PQP852298 QAL852298 QKH852298 QUD852298 RDZ852298 RNV852298 RXR852298 SHN852298 SRJ852298 TBF852298 TLB852298 TUX852298 UET852298 UOP852298 UYL852298 VIH852298 VSD852298 WBZ852298 WLV852298 WVR852298 J917834 JF917834 TB917834 ACX917834 AMT917834 AWP917834 BGL917834 BQH917834 CAD917834 CJZ917834 CTV917834 DDR917834 DNN917834 DXJ917834 EHF917834 ERB917834 FAX917834 FKT917834 FUP917834 GEL917834 GOH917834 GYD917834 HHZ917834 HRV917834 IBR917834 ILN917834 IVJ917834 JFF917834 JPB917834 JYX917834 KIT917834 KSP917834 LCL917834 LMH917834 LWD917834 MFZ917834 MPV917834 MZR917834 NJN917834 NTJ917834 ODF917834 ONB917834 OWX917834 PGT917834 PQP917834 QAL917834 QKH917834 QUD917834 RDZ917834 RNV917834 RXR917834 SHN917834 SRJ917834 TBF917834 TLB917834 TUX917834 UET917834 UOP917834 UYL917834 VIH917834 VSD917834 WBZ917834 WLV917834 WVR917834 J983370 JF983370 TB983370 ACX983370 AMT983370 AWP983370 BGL983370 BQH983370 CAD983370 CJZ983370 CTV983370 DDR983370 DNN983370 DXJ983370 EHF983370 ERB983370 FAX983370 FKT983370 FUP983370 GEL983370 GOH983370 GYD983370 HHZ983370 HRV983370 IBR983370 ILN983370 IVJ983370 JFF983370 JPB983370 JYX983370 KIT983370 KSP983370 LCL983370 LMH983370 LWD983370 MFZ983370 MPV983370 MZR983370 NJN983370 NTJ983370 ODF983370 ONB983370 OWX983370 PGT983370 PQP983370 QAL983370 QKH983370 QUD983370 RDZ983370 RNV983370 RXR983370 SHN983370 SRJ983370 TBF983370 TLB983370 TUX983370 UET983370 UOP983370 UYL983370 VIH983370 VSD983370 WBZ983370 WLV983370" xr:uid="{00000000-0002-0000-0000-00000A000000}">
      <formula1>dimophbjl</formula1>
    </dataValidation>
    <dataValidation type="list" allowBlank="1" showInputMessage="1" showErrorMessage="1" sqref="WVP983370 JD330 SZ330 ACV330 AMR330 AWN330 BGJ330 BQF330 CAB330 CJX330 CTT330 DDP330 DNL330 DXH330 EHD330 EQZ330 FAV330 FKR330 FUN330 GEJ330 GOF330 GYB330 HHX330 HRT330 IBP330 ILL330 IVH330 JFD330 JOZ330 JYV330 KIR330 KSN330 LCJ330 LMF330 LWB330 MFX330 MPT330 MZP330 NJL330 NTH330 ODD330 OMZ330 OWV330 PGR330 PQN330 QAJ330 QKF330 QUB330 RDX330 RNT330 RXP330 SHL330 SRH330 TBD330 TKZ330 TUV330 UER330 UON330 UYJ330 VIF330 VSB330 WBX330 WLT330 WVP330 H65866 JD65866 SZ65866 ACV65866 AMR65866 AWN65866 BGJ65866 BQF65866 CAB65866 CJX65866 CTT65866 DDP65866 DNL65866 DXH65866 EHD65866 EQZ65866 FAV65866 FKR65866 FUN65866 GEJ65866 GOF65866 GYB65866 HHX65866 HRT65866 IBP65866 ILL65866 IVH65866 JFD65866 JOZ65866 JYV65866 KIR65866 KSN65866 LCJ65866 LMF65866 LWB65866 MFX65866 MPT65866 MZP65866 NJL65866 NTH65866 ODD65866 OMZ65866 OWV65866 PGR65866 PQN65866 QAJ65866 QKF65866 QUB65866 RDX65866 RNT65866 RXP65866 SHL65866 SRH65866 TBD65866 TKZ65866 TUV65866 UER65866 UON65866 UYJ65866 VIF65866 VSB65866 WBX65866 WLT65866 WVP65866 H131402 JD131402 SZ131402 ACV131402 AMR131402 AWN131402 BGJ131402 BQF131402 CAB131402 CJX131402 CTT131402 DDP131402 DNL131402 DXH131402 EHD131402 EQZ131402 FAV131402 FKR131402 FUN131402 GEJ131402 GOF131402 GYB131402 HHX131402 HRT131402 IBP131402 ILL131402 IVH131402 JFD131402 JOZ131402 JYV131402 KIR131402 KSN131402 LCJ131402 LMF131402 LWB131402 MFX131402 MPT131402 MZP131402 NJL131402 NTH131402 ODD131402 OMZ131402 OWV131402 PGR131402 PQN131402 QAJ131402 QKF131402 QUB131402 RDX131402 RNT131402 RXP131402 SHL131402 SRH131402 TBD131402 TKZ131402 TUV131402 UER131402 UON131402 UYJ131402 VIF131402 VSB131402 WBX131402 WLT131402 WVP131402 H196938 JD196938 SZ196938 ACV196938 AMR196938 AWN196938 BGJ196938 BQF196938 CAB196938 CJX196938 CTT196938 DDP196938 DNL196938 DXH196938 EHD196938 EQZ196938 FAV196938 FKR196938 FUN196938 GEJ196938 GOF196938 GYB196938 HHX196938 HRT196938 IBP196938 ILL196938 IVH196938 JFD196938 JOZ196938 JYV196938 KIR196938 KSN196938 LCJ196938 LMF196938 LWB196938 MFX196938 MPT196938 MZP196938 NJL196938 NTH196938 ODD196938 OMZ196938 OWV196938 PGR196938 PQN196938 QAJ196938 QKF196938 QUB196938 RDX196938 RNT196938 RXP196938 SHL196938 SRH196938 TBD196938 TKZ196938 TUV196938 UER196938 UON196938 UYJ196938 VIF196938 VSB196938 WBX196938 WLT196938 WVP196938 H262474 JD262474 SZ262474 ACV262474 AMR262474 AWN262474 BGJ262474 BQF262474 CAB262474 CJX262474 CTT262474 DDP262474 DNL262474 DXH262474 EHD262474 EQZ262474 FAV262474 FKR262474 FUN262474 GEJ262474 GOF262474 GYB262474 HHX262474 HRT262474 IBP262474 ILL262474 IVH262474 JFD262474 JOZ262474 JYV262474 KIR262474 KSN262474 LCJ262474 LMF262474 LWB262474 MFX262474 MPT262474 MZP262474 NJL262474 NTH262474 ODD262474 OMZ262474 OWV262474 PGR262474 PQN262474 QAJ262474 QKF262474 QUB262474 RDX262474 RNT262474 RXP262474 SHL262474 SRH262474 TBD262474 TKZ262474 TUV262474 UER262474 UON262474 UYJ262474 VIF262474 VSB262474 WBX262474 WLT262474 WVP262474 H328010 JD328010 SZ328010 ACV328010 AMR328010 AWN328010 BGJ328010 BQF328010 CAB328010 CJX328010 CTT328010 DDP328010 DNL328010 DXH328010 EHD328010 EQZ328010 FAV328010 FKR328010 FUN328010 GEJ328010 GOF328010 GYB328010 HHX328010 HRT328010 IBP328010 ILL328010 IVH328010 JFD328010 JOZ328010 JYV328010 KIR328010 KSN328010 LCJ328010 LMF328010 LWB328010 MFX328010 MPT328010 MZP328010 NJL328010 NTH328010 ODD328010 OMZ328010 OWV328010 PGR328010 PQN328010 QAJ328010 QKF328010 QUB328010 RDX328010 RNT328010 RXP328010 SHL328010 SRH328010 TBD328010 TKZ328010 TUV328010 UER328010 UON328010 UYJ328010 VIF328010 VSB328010 WBX328010 WLT328010 WVP328010 H393546 JD393546 SZ393546 ACV393546 AMR393546 AWN393546 BGJ393546 BQF393546 CAB393546 CJX393546 CTT393546 DDP393546 DNL393546 DXH393546 EHD393546 EQZ393546 FAV393546 FKR393546 FUN393546 GEJ393546 GOF393546 GYB393546 HHX393546 HRT393546 IBP393546 ILL393546 IVH393546 JFD393546 JOZ393546 JYV393546 KIR393546 KSN393546 LCJ393546 LMF393546 LWB393546 MFX393546 MPT393546 MZP393546 NJL393546 NTH393546 ODD393546 OMZ393546 OWV393546 PGR393546 PQN393546 QAJ393546 QKF393546 QUB393546 RDX393546 RNT393546 RXP393546 SHL393546 SRH393546 TBD393546 TKZ393546 TUV393546 UER393546 UON393546 UYJ393546 VIF393546 VSB393546 WBX393546 WLT393546 WVP393546 H459082 JD459082 SZ459082 ACV459082 AMR459082 AWN459082 BGJ459082 BQF459082 CAB459082 CJX459082 CTT459082 DDP459082 DNL459082 DXH459082 EHD459082 EQZ459082 FAV459082 FKR459082 FUN459082 GEJ459082 GOF459082 GYB459082 HHX459082 HRT459082 IBP459082 ILL459082 IVH459082 JFD459082 JOZ459082 JYV459082 KIR459082 KSN459082 LCJ459082 LMF459082 LWB459082 MFX459082 MPT459082 MZP459082 NJL459082 NTH459082 ODD459082 OMZ459082 OWV459082 PGR459082 PQN459082 QAJ459082 QKF459082 QUB459082 RDX459082 RNT459082 RXP459082 SHL459082 SRH459082 TBD459082 TKZ459082 TUV459082 UER459082 UON459082 UYJ459082 VIF459082 VSB459082 WBX459082 WLT459082 WVP459082 H524618 JD524618 SZ524618 ACV524618 AMR524618 AWN524618 BGJ524618 BQF524618 CAB524618 CJX524618 CTT524618 DDP524618 DNL524618 DXH524618 EHD524618 EQZ524618 FAV524618 FKR524618 FUN524618 GEJ524618 GOF524618 GYB524618 HHX524618 HRT524618 IBP524618 ILL524618 IVH524618 JFD524618 JOZ524618 JYV524618 KIR524618 KSN524618 LCJ524618 LMF524618 LWB524618 MFX524618 MPT524618 MZP524618 NJL524618 NTH524618 ODD524618 OMZ524618 OWV524618 PGR524618 PQN524618 QAJ524618 QKF524618 QUB524618 RDX524618 RNT524618 RXP524618 SHL524618 SRH524618 TBD524618 TKZ524618 TUV524618 UER524618 UON524618 UYJ524618 VIF524618 VSB524618 WBX524618 WLT524618 WVP524618 H590154 JD590154 SZ590154 ACV590154 AMR590154 AWN590154 BGJ590154 BQF590154 CAB590154 CJX590154 CTT590154 DDP590154 DNL590154 DXH590154 EHD590154 EQZ590154 FAV590154 FKR590154 FUN590154 GEJ590154 GOF590154 GYB590154 HHX590154 HRT590154 IBP590154 ILL590154 IVH590154 JFD590154 JOZ590154 JYV590154 KIR590154 KSN590154 LCJ590154 LMF590154 LWB590154 MFX590154 MPT590154 MZP590154 NJL590154 NTH590154 ODD590154 OMZ590154 OWV590154 PGR590154 PQN590154 QAJ590154 QKF590154 QUB590154 RDX590154 RNT590154 RXP590154 SHL590154 SRH590154 TBD590154 TKZ590154 TUV590154 UER590154 UON590154 UYJ590154 VIF590154 VSB590154 WBX590154 WLT590154 WVP590154 H655690 JD655690 SZ655690 ACV655690 AMR655690 AWN655690 BGJ655690 BQF655690 CAB655690 CJX655690 CTT655690 DDP655690 DNL655690 DXH655690 EHD655690 EQZ655690 FAV655690 FKR655690 FUN655690 GEJ655690 GOF655690 GYB655690 HHX655690 HRT655690 IBP655690 ILL655690 IVH655690 JFD655690 JOZ655690 JYV655690 KIR655690 KSN655690 LCJ655690 LMF655690 LWB655690 MFX655690 MPT655690 MZP655690 NJL655690 NTH655690 ODD655690 OMZ655690 OWV655690 PGR655690 PQN655690 QAJ655690 QKF655690 QUB655690 RDX655690 RNT655690 RXP655690 SHL655690 SRH655690 TBD655690 TKZ655690 TUV655690 UER655690 UON655690 UYJ655690 VIF655690 VSB655690 WBX655690 WLT655690 WVP655690 H721226 JD721226 SZ721226 ACV721226 AMR721226 AWN721226 BGJ721226 BQF721226 CAB721226 CJX721226 CTT721226 DDP721226 DNL721226 DXH721226 EHD721226 EQZ721226 FAV721226 FKR721226 FUN721226 GEJ721226 GOF721226 GYB721226 HHX721226 HRT721226 IBP721226 ILL721226 IVH721226 JFD721226 JOZ721226 JYV721226 KIR721226 KSN721226 LCJ721226 LMF721226 LWB721226 MFX721226 MPT721226 MZP721226 NJL721226 NTH721226 ODD721226 OMZ721226 OWV721226 PGR721226 PQN721226 QAJ721226 QKF721226 QUB721226 RDX721226 RNT721226 RXP721226 SHL721226 SRH721226 TBD721226 TKZ721226 TUV721226 UER721226 UON721226 UYJ721226 VIF721226 VSB721226 WBX721226 WLT721226 WVP721226 H786762 JD786762 SZ786762 ACV786762 AMR786762 AWN786762 BGJ786762 BQF786762 CAB786762 CJX786762 CTT786762 DDP786762 DNL786762 DXH786762 EHD786762 EQZ786762 FAV786762 FKR786762 FUN786762 GEJ786762 GOF786762 GYB786762 HHX786762 HRT786762 IBP786762 ILL786762 IVH786762 JFD786762 JOZ786762 JYV786762 KIR786762 KSN786762 LCJ786762 LMF786762 LWB786762 MFX786762 MPT786762 MZP786762 NJL786762 NTH786762 ODD786762 OMZ786762 OWV786762 PGR786762 PQN786762 QAJ786762 QKF786762 QUB786762 RDX786762 RNT786762 RXP786762 SHL786762 SRH786762 TBD786762 TKZ786762 TUV786762 UER786762 UON786762 UYJ786762 VIF786762 VSB786762 WBX786762 WLT786762 WVP786762 H852298 JD852298 SZ852298 ACV852298 AMR852298 AWN852298 BGJ852298 BQF852298 CAB852298 CJX852298 CTT852298 DDP852298 DNL852298 DXH852298 EHD852298 EQZ852298 FAV852298 FKR852298 FUN852298 GEJ852298 GOF852298 GYB852298 HHX852298 HRT852298 IBP852298 ILL852298 IVH852298 JFD852298 JOZ852298 JYV852298 KIR852298 KSN852298 LCJ852298 LMF852298 LWB852298 MFX852298 MPT852298 MZP852298 NJL852298 NTH852298 ODD852298 OMZ852298 OWV852298 PGR852298 PQN852298 QAJ852298 QKF852298 QUB852298 RDX852298 RNT852298 RXP852298 SHL852298 SRH852298 TBD852298 TKZ852298 TUV852298 UER852298 UON852298 UYJ852298 VIF852298 VSB852298 WBX852298 WLT852298 WVP852298 H917834 JD917834 SZ917834 ACV917834 AMR917834 AWN917834 BGJ917834 BQF917834 CAB917834 CJX917834 CTT917834 DDP917834 DNL917834 DXH917834 EHD917834 EQZ917834 FAV917834 FKR917834 FUN917834 GEJ917834 GOF917834 GYB917834 HHX917834 HRT917834 IBP917834 ILL917834 IVH917834 JFD917834 JOZ917834 JYV917834 KIR917834 KSN917834 LCJ917834 LMF917834 LWB917834 MFX917834 MPT917834 MZP917834 NJL917834 NTH917834 ODD917834 OMZ917834 OWV917834 PGR917834 PQN917834 QAJ917834 QKF917834 QUB917834 RDX917834 RNT917834 RXP917834 SHL917834 SRH917834 TBD917834 TKZ917834 TUV917834 UER917834 UON917834 UYJ917834 VIF917834 VSB917834 WBX917834 WLT917834 WVP917834 H983370 JD983370 SZ983370 ACV983370 AMR983370 AWN983370 BGJ983370 BQF983370 CAB983370 CJX983370 CTT983370 DDP983370 DNL983370 DXH983370 EHD983370 EQZ983370 FAV983370 FKR983370 FUN983370 GEJ983370 GOF983370 GYB983370 HHX983370 HRT983370 IBP983370 ILL983370 IVH983370 JFD983370 JOZ983370 JYV983370 KIR983370 KSN983370 LCJ983370 LMF983370 LWB983370 MFX983370 MPT983370 MZP983370 NJL983370 NTH983370 ODD983370 OMZ983370 OWV983370 PGR983370 PQN983370 QAJ983370 QKF983370 QUB983370 RDX983370 RNT983370 RXP983370 SHL983370 SRH983370 TBD983370 TKZ983370 TUV983370 UER983370 UON983370 UYJ983370 VIF983370 VSB983370 WBX983370 WLT983370" xr:uid="{00000000-0002-0000-0000-00000B000000}">
      <formula1>stkophbjl</formula1>
    </dataValidation>
    <dataValidation type="list" allowBlank="1" showInputMessage="1" showErrorMessage="1" sqref="N237 JJ237 TF237 ADB237 AMX237 AWT237 BGP237 BQL237 CAH237 CKD237 CTZ237 DDV237 DNR237 DXN237 EHJ237 ERF237 FBB237 FKX237 FUT237 GEP237 GOL237 GYH237 HID237 HRZ237 IBV237 ILR237 IVN237 JFJ237 JPF237 JZB237 KIX237 KST237 LCP237 LML237 LWH237 MGD237 MPZ237 MZV237 NJR237 NTN237 ODJ237 ONF237 OXB237 PGX237 PQT237 QAP237 QKL237 QUH237 RED237 RNZ237 RXV237 SHR237 SRN237 TBJ237 TLF237 TVB237 UEX237 UOT237 UYP237 VIL237 VSH237 WCD237 WLZ237 WVV237 N65773 JJ65773 TF65773 ADB65773 AMX65773 AWT65773 BGP65773 BQL65773 CAH65773 CKD65773 CTZ65773 DDV65773 DNR65773 DXN65773 EHJ65773 ERF65773 FBB65773 FKX65773 FUT65773 GEP65773 GOL65773 GYH65773 HID65773 HRZ65773 IBV65773 ILR65773 IVN65773 JFJ65773 JPF65773 JZB65773 KIX65773 KST65773 LCP65773 LML65773 LWH65773 MGD65773 MPZ65773 MZV65773 NJR65773 NTN65773 ODJ65773 ONF65773 OXB65773 PGX65773 PQT65773 QAP65773 QKL65773 QUH65773 RED65773 RNZ65773 RXV65773 SHR65773 SRN65773 TBJ65773 TLF65773 TVB65773 UEX65773 UOT65773 UYP65773 VIL65773 VSH65773 WCD65773 WLZ65773 WVV65773 N131309 JJ131309 TF131309 ADB131309 AMX131309 AWT131309 BGP131309 BQL131309 CAH131309 CKD131309 CTZ131309 DDV131309 DNR131309 DXN131309 EHJ131309 ERF131309 FBB131309 FKX131309 FUT131309 GEP131309 GOL131309 GYH131309 HID131309 HRZ131309 IBV131309 ILR131309 IVN131309 JFJ131309 JPF131309 JZB131309 KIX131309 KST131309 LCP131309 LML131309 LWH131309 MGD131309 MPZ131309 MZV131309 NJR131309 NTN131309 ODJ131309 ONF131309 OXB131309 PGX131309 PQT131309 QAP131309 QKL131309 QUH131309 RED131309 RNZ131309 RXV131309 SHR131309 SRN131309 TBJ131309 TLF131309 TVB131309 UEX131309 UOT131309 UYP131309 VIL131309 VSH131309 WCD131309 WLZ131309 WVV131309 N196845 JJ196845 TF196845 ADB196845 AMX196845 AWT196845 BGP196845 BQL196845 CAH196845 CKD196845 CTZ196845 DDV196845 DNR196845 DXN196845 EHJ196845 ERF196845 FBB196845 FKX196845 FUT196845 GEP196845 GOL196845 GYH196845 HID196845 HRZ196845 IBV196845 ILR196845 IVN196845 JFJ196845 JPF196845 JZB196845 KIX196845 KST196845 LCP196845 LML196845 LWH196845 MGD196845 MPZ196845 MZV196845 NJR196845 NTN196845 ODJ196845 ONF196845 OXB196845 PGX196845 PQT196845 QAP196845 QKL196845 QUH196845 RED196845 RNZ196845 RXV196845 SHR196845 SRN196845 TBJ196845 TLF196845 TVB196845 UEX196845 UOT196845 UYP196845 VIL196845 VSH196845 WCD196845 WLZ196845 WVV196845 N262381 JJ262381 TF262381 ADB262381 AMX262381 AWT262381 BGP262381 BQL262381 CAH262381 CKD262381 CTZ262381 DDV262381 DNR262381 DXN262381 EHJ262381 ERF262381 FBB262381 FKX262381 FUT262381 GEP262381 GOL262381 GYH262381 HID262381 HRZ262381 IBV262381 ILR262381 IVN262381 JFJ262381 JPF262381 JZB262381 KIX262381 KST262381 LCP262381 LML262381 LWH262381 MGD262381 MPZ262381 MZV262381 NJR262381 NTN262381 ODJ262381 ONF262381 OXB262381 PGX262381 PQT262381 QAP262381 QKL262381 QUH262381 RED262381 RNZ262381 RXV262381 SHR262381 SRN262381 TBJ262381 TLF262381 TVB262381 UEX262381 UOT262381 UYP262381 VIL262381 VSH262381 WCD262381 WLZ262381 WVV262381 N327917 JJ327917 TF327917 ADB327917 AMX327917 AWT327917 BGP327917 BQL327917 CAH327917 CKD327917 CTZ327917 DDV327917 DNR327917 DXN327917 EHJ327917 ERF327917 FBB327917 FKX327917 FUT327917 GEP327917 GOL327917 GYH327917 HID327917 HRZ327917 IBV327917 ILR327917 IVN327917 JFJ327917 JPF327917 JZB327917 KIX327917 KST327917 LCP327917 LML327917 LWH327917 MGD327917 MPZ327917 MZV327917 NJR327917 NTN327917 ODJ327917 ONF327917 OXB327917 PGX327917 PQT327917 QAP327917 QKL327917 QUH327917 RED327917 RNZ327917 RXV327917 SHR327917 SRN327917 TBJ327917 TLF327917 TVB327917 UEX327917 UOT327917 UYP327917 VIL327917 VSH327917 WCD327917 WLZ327917 WVV327917 N393453 JJ393453 TF393453 ADB393453 AMX393453 AWT393453 BGP393453 BQL393453 CAH393453 CKD393453 CTZ393453 DDV393453 DNR393453 DXN393453 EHJ393453 ERF393453 FBB393453 FKX393453 FUT393453 GEP393453 GOL393453 GYH393453 HID393453 HRZ393453 IBV393453 ILR393453 IVN393453 JFJ393453 JPF393453 JZB393453 KIX393453 KST393453 LCP393453 LML393453 LWH393453 MGD393453 MPZ393453 MZV393453 NJR393453 NTN393453 ODJ393453 ONF393453 OXB393453 PGX393453 PQT393453 QAP393453 QKL393453 QUH393453 RED393453 RNZ393453 RXV393453 SHR393453 SRN393453 TBJ393453 TLF393453 TVB393453 UEX393453 UOT393453 UYP393453 VIL393453 VSH393453 WCD393453 WLZ393453 WVV393453 N458989 JJ458989 TF458989 ADB458989 AMX458989 AWT458989 BGP458989 BQL458989 CAH458989 CKD458989 CTZ458989 DDV458989 DNR458989 DXN458989 EHJ458989 ERF458989 FBB458989 FKX458989 FUT458989 GEP458989 GOL458989 GYH458989 HID458989 HRZ458989 IBV458989 ILR458989 IVN458989 JFJ458989 JPF458989 JZB458989 KIX458989 KST458989 LCP458989 LML458989 LWH458989 MGD458989 MPZ458989 MZV458989 NJR458989 NTN458989 ODJ458989 ONF458989 OXB458989 PGX458989 PQT458989 QAP458989 QKL458989 QUH458989 RED458989 RNZ458989 RXV458989 SHR458989 SRN458989 TBJ458989 TLF458989 TVB458989 UEX458989 UOT458989 UYP458989 VIL458989 VSH458989 WCD458989 WLZ458989 WVV458989 N524525 JJ524525 TF524525 ADB524525 AMX524525 AWT524525 BGP524525 BQL524525 CAH524525 CKD524525 CTZ524525 DDV524525 DNR524525 DXN524525 EHJ524525 ERF524525 FBB524525 FKX524525 FUT524525 GEP524525 GOL524525 GYH524525 HID524525 HRZ524525 IBV524525 ILR524525 IVN524525 JFJ524525 JPF524525 JZB524525 KIX524525 KST524525 LCP524525 LML524525 LWH524525 MGD524525 MPZ524525 MZV524525 NJR524525 NTN524525 ODJ524525 ONF524525 OXB524525 PGX524525 PQT524525 QAP524525 QKL524525 QUH524525 RED524525 RNZ524525 RXV524525 SHR524525 SRN524525 TBJ524525 TLF524525 TVB524525 UEX524525 UOT524525 UYP524525 VIL524525 VSH524525 WCD524525 WLZ524525 WVV524525 N590061 JJ590061 TF590061 ADB590061 AMX590061 AWT590061 BGP590061 BQL590061 CAH590061 CKD590061 CTZ590061 DDV590061 DNR590061 DXN590061 EHJ590061 ERF590061 FBB590061 FKX590061 FUT590061 GEP590061 GOL590061 GYH590061 HID590061 HRZ590061 IBV590061 ILR590061 IVN590061 JFJ590061 JPF590061 JZB590061 KIX590061 KST590061 LCP590061 LML590061 LWH590061 MGD590061 MPZ590061 MZV590061 NJR590061 NTN590061 ODJ590061 ONF590061 OXB590061 PGX590061 PQT590061 QAP590061 QKL590061 QUH590061 RED590061 RNZ590061 RXV590061 SHR590061 SRN590061 TBJ590061 TLF590061 TVB590061 UEX590061 UOT590061 UYP590061 VIL590061 VSH590061 WCD590061 WLZ590061 WVV590061 N655597 JJ655597 TF655597 ADB655597 AMX655597 AWT655597 BGP655597 BQL655597 CAH655597 CKD655597 CTZ655597 DDV655597 DNR655597 DXN655597 EHJ655597 ERF655597 FBB655597 FKX655597 FUT655597 GEP655597 GOL655597 GYH655597 HID655597 HRZ655597 IBV655597 ILR655597 IVN655597 JFJ655597 JPF655597 JZB655597 KIX655597 KST655597 LCP655597 LML655597 LWH655597 MGD655597 MPZ655597 MZV655597 NJR655597 NTN655597 ODJ655597 ONF655597 OXB655597 PGX655597 PQT655597 QAP655597 QKL655597 QUH655597 RED655597 RNZ655597 RXV655597 SHR655597 SRN655597 TBJ655597 TLF655597 TVB655597 UEX655597 UOT655597 UYP655597 VIL655597 VSH655597 WCD655597 WLZ655597 WVV655597 N721133 JJ721133 TF721133 ADB721133 AMX721133 AWT721133 BGP721133 BQL721133 CAH721133 CKD721133 CTZ721133 DDV721133 DNR721133 DXN721133 EHJ721133 ERF721133 FBB721133 FKX721133 FUT721133 GEP721133 GOL721133 GYH721133 HID721133 HRZ721133 IBV721133 ILR721133 IVN721133 JFJ721133 JPF721133 JZB721133 KIX721133 KST721133 LCP721133 LML721133 LWH721133 MGD721133 MPZ721133 MZV721133 NJR721133 NTN721133 ODJ721133 ONF721133 OXB721133 PGX721133 PQT721133 QAP721133 QKL721133 QUH721133 RED721133 RNZ721133 RXV721133 SHR721133 SRN721133 TBJ721133 TLF721133 TVB721133 UEX721133 UOT721133 UYP721133 VIL721133 VSH721133 WCD721133 WLZ721133 WVV721133 N786669 JJ786669 TF786669 ADB786669 AMX786669 AWT786669 BGP786669 BQL786669 CAH786669 CKD786669 CTZ786669 DDV786669 DNR786669 DXN786669 EHJ786669 ERF786669 FBB786669 FKX786669 FUT786669 GEP786669 GOL786669 GYH786669 HID786669 HRZ786669 IBV786669 ILR786669 IVN786669 JFJ786669 JPF786669 JZB786669 KIX786669 KST786669 LCP786669 LML786669 LWH786669 MGD786669 MPZ786669 MZV786669 NJR786669 NTN786669 ODJ786669 ONF786669 OXB786669 PGX786669 PQT786669 QAP786669 QKL786669 QUH786669 RED786669 RNZ786669 RXV786669 SHR786669 SRN786669 TBJ786669 TLF786669 TVB786669 UEX786669 UOT786669 UYP786669 VIL786669 VSH786669 WCD786669 WLZ786669 WVV786669 N852205 JJ852205 TF852205 ADB852205 AMX852205 AWT852205 BGP852205 BQL852205 CAH852205 CKD852205 CTZ852205 DDV852205 DNR852205 DXN852205 EHJ852205 ERF852205 FBB852205 FKX852205 FUT852205 GEP852205 GOL852205 GYH852205 HID852205 HRZ852205 IBV852205 ILR852205 IVN852205 JFJ852205 JPF852205 JZB852205 KIX852205 KST852205 LCP852205 LML852205 LWH852205 MGD852205 MPZ852205 MZV852205 NJR852205 NTN852205 ODJ852205 ONF852205 OXB852205 PGX852205 PQT852205 QAP852205 QKL852205 QUH852205 RED852205 RNZ852205 RXV852205 SHR852205 SRN852205 TBJ852205 TLF852205 TVB852205 UEX852205 UOT852205 UYP852205 VIL852205 VSH852205 WCD852205 WLZ852205 WVV852205 N917741 JJ917741 TF917741 ADB917741 AMX917741 AWT917741 BGP917741 BQL917741 CAH917741 CKD917741 CTZ917741 DDV917741 DNR917741 DXN917741 EHJ917741 ERF917741 FBB917741 FKX917741 FUT917741 GEP917741 GOL917741 GYH917741 HID917741 HRZ917741 IBV917741 ILR917741 IVN917741 JFJ917741 JPF917741 JZB917741 KIX917741 KST917741 LCP917741 LML917741 LWH917741 MGD917741 MPZ917741 MZV917741 NJR917741 NTN917741 ODJ917741 ONF917741 OXB917741 PGX917741 PQT917741 QAP917741 QKL917741 QUH917741 RED917741 RNZ917741 RXV917741 SHR917741 SRN917741 TBJ917741 TLF917741 TVB917741 UEX917741 UOT917741 UYP917741 VIL917741 VSH917741 WCD917741 WLZ917741 WVV917741 N983277 JJ983277 TF983277 ADB983277 AMX983277 AWT983277 BGP983277 BQL983277 CAH983277 CKD983277 CTZ983277 DDV983277 DNR983277 DXN983277 EHJ983277 ERF983277 FBB983277 FKX983277 FUT983277 GEP983277 GOL983277 GYH983277 HID983277 HRZ983277 IBV983277 ILR983277 IVN983277 JFJ983277 JPF983277 JZB983277 KIX983277 KST983277 LCP983277 LML983277 LWH983277 MGD983277 MPZ983277 MZV983277 NJR983277 NTN983277 ODJ983277 ONF983277 OXB983277 PGX983277 PQT983277 QAP983277 QKL983277 QUH983277 RED983277 RNZ983277 RXV983277 SHR983277 SRN983277 TBJ983277 TLF983277 TVB983277 UEX983277 UOT983277 UYP983277 VIL983277 VSH983277 WCD983277 WLZ983277 WVV983277 O269 JK269 TG269 ADC269 AMY269 AWU269 BGQ269 BQM269 CAI269 CKE269 CUA269 DDW269 DNS269 DXO269 EHK269 ERG269 FBC269 FKY269 FUU269 GEQ269 GOM269 GYI269 HIE269 HSA269 IBW269 ILS269 IVO269 JFK269 JPG269 JZC269 KIY269 KSU269 LCQ269 LMM269 LWI269 MGE269 MQA269 MZW269 NJS269 NTO269 ODK269 ONG269 OXC269 PGY269 PQU269 QAQ269 QKM269 QUI269 REE269 ROA269 RXW269 SHS269 SRO269 TBK269 TLG269 TVC269 UEY269 UOU269 UYQ269 VIM269 VSI269 WCE269 WMA269 WVW269 O65805 JK65805 TG65805 ADC65805 AMY65805 AWU65805 BGQ65805 BQM65805 CAI65805 CKE65805 CUA65805 DDW65805 DNS65805 DXO65805 EHK65805 ERG65805 FBC65805 FKY65805 FUU65805 GEQ65805 GOM65805 GYI65805 HIE65805 HSA65805 IBW65805 ILS65805 IVO65805 JFK65805 JPG65805 JZC65805 KIY65805 KSU65805 LCQ65805 LMM65805 LWI65805 MGE65805 MQA65805 MZW65805 NJS65805 NTO65805 ODK65805 ONG65805 OXC65805 PGY65805 PQU65805 QAQ65805 QKM65805 QUI65805 REE65805 ROA65805 RXW65805 SHS65805 SRO65805 TBK65805 TLG65805 TVC65805 UEY65805 UOU65805 UYQ65805 VIM65805 VSI65805 WCE65805 WMA65805 WVW65805 O131341 JK131341 TG131341 ADC131341 AMY131341 AWU131341 BGQ131341 BQM131341 CAI131341 CKE131341 CUA131341 DDW131341 DNS131341 DXO131341 EHK131341 ERG131341 FBC131341 FKY131341 FUU131341 GEQ131341 GOM131341 GYI131341 HIE131341 HSA131341 IBW131341 ILS131341 IVO131341 JFK131341 JPG131341 JZC131341 KIY131341 KSU131341 LCQ131341 LMM131341 LWI131341 MGE131341 MQA131341 MZW131341 NJS131341 NTO131341 ODK131341 ONG131341 OXC131341 PGY131341 PQU131341 QAQ131341 QKM131341 QUI131341 REE131341 ROA131341 RXW131341 SHS131341 SRO131341 TBK131341 TLG131341 TVC131341 UEY131341 UOU131341 UYQ131341 VIM131341 VSI131341 WCE131341 WMA131341 WVW131341 O196877 JK196877 TG196877 ADC196877 AMY196877 AWU196877 BGQ196877 BQM196877 CAI196877 CKE196877 CUA196877 DDW196877 DNS196877 DXO196877 EHK196877 ERG196877 FBC196877 FKY196877 FUU196877 GEQ196877 GOM196877 GYI196877 HIE196877 HSA196877 IBW196877 ILS196877 IVO196877 JFK196877 JPG196877 JZC196877 KIY196877 KSU196877 LCQ196877 LMM196877 LWI196877 MGE196877 MQA196877 MZW196877 NJS196877 NTO196877 ODK196877 ONG196877 OXC196877 PGY196877 PQU196877 QAQ196877 QKM196877 QUI196877 REE196877 ROA196877 RXW196877 SHS196877 SRO196877 TBK196877 TLG196877 TVC196877 UEY196877 UOU196877 UYQ196877 VIM196877 VSI196877 WCE196877 WMA196877 WVW196877 O262413 JK262413 TG262413 ADC262413 AMY262413 AWU262413 BGQ262413 BQM262413 CAI262413 CKE262413 CUA262413 DDW262413 DNS262413 DXO262413 EHK262413 ERG262413 FBC262413 FKY262413 FUU262413 GEQ262413 GOM262413 GYI262413 HIE262413 HSA262413 IBW262413 ILS262413 IVO262413 JFK262413 JPG262413 JZC262413 KIY262413 KSU262413 LCQ262413 LMM262413 LWI262413 MGE262413 MQA262413 MZW262413 NJS262413 NTO262413 ODK262413 ONG262413 OXC262413 PGY262413 PQU262413 QAQ262413 QKM262413 QUI262413 REE262413 ROA262413 RXW262413 SHS262413 SRO262413 TBK262413 TLG262413 TVC262413 UEY262413 UOU262413 UYQ262413 VIM262413 VSI262413 WCE262413 WMA262413 WVW262413 O327949 JK327949 TG327949 ADC327949 AMY327949 AWU327949 BGQ327949 BQM327949 CAI327949 CKE327949 CUA327949 DDW327949 DNS327949 DXO327949 EHK327949 ERG327949 FBC327949 FKY327949 FUU327949 GEQ327949 GOM327949 GYI327949 HIE327949 HSA327949 IBW327949 ILS327949 IVO327949 JFK327949 JPG327949 JZC327949 KIY327949 KSU327949 LCQ327949 LMM327949 LWI327949 MGE327949 MQA327949 MZW327949 NJS327949 NTO327949 ODK327949 ONG327949 OXC327949 PGY327949 PQU327949 QAQ327949 QKM327949 QUI327949 REE327949 ROA327949 RXW327949 SHS327949 SRO327949 TBK327949 TLG327949 TVC327949 UEY327949 UOU327949 UYQ327949 VIM327949 VSI327949 WCE327949 WMA327949 WVW327949 O393485 JK393485 TG393485 ADC393485 AMY393485 AWU393485 BGQ393485 BQM393485 CAI393485 CKE393485 CUA393485 DDW393485 DNS393485 DXO393485 EHK393485 ERG393485 FBC393485 FKY393485 FUU393485 GEQ393485 GOM393485 GYI393485 HIE393485 HSA393485 IBW393485 ILS393485 IVO393485 JFK393485 JPG393485 JZC393485 KIY393485 KSU393485 LCQ393485 LMM393485 LWI393485 MGE393485 MQA393485 MZW393485 NJS393485 NTO393485 ODK393485 ONG393485 OXC393485 PGY393485 PQU393485 QAQ393485 QKM393485 QUI393485 REE393485 ROA393485 RXW393485 SHS393485 SRO393485 TBK393485 TLG393485 TVC393485 UEY393485 UOU393485 UYQ393485 VIM393485 VSI393485 WCE393485 WMA393485 WVW393485 O459021 JK459021 TG459021 ADC459021 AMY459021 AWU459021 BGQ459021 BQM459021 CAI459021 CKE459021 CUA459021 DDW459021 DNS459021 DXO459021 EHK459021 ERG459021 FBC459021 FKY459021 FUU459021 GEQ459021 GOM459021 GYI459021 HIE459021 HSA459021 IBW459021 ILS459021 IVO459021 JFK459021 JPG459021 JZC459021 KIY459021 KSU459021 LCQ459021 LMM459021 LWI459021 MGE459021 MQA459021 MZW459021 NJS459021 NTO459021 ODK459021 ONG459021 OXC459021 PGY459021 PQU459021 QAQ459021 QKM459021 QUI459021 REE459021 ROA459021 RXW459021 SHS459021 SRO459021 TBK459021 TLG459021 TVC459021 UEY459021 UOU459021 UYQ459021 VIM459021 VSI459021 WCE459021 WMA459021 WVW459021 O524557 JK524557 TG524557 ADC524557 AMY524557 AWU524557 BGQ524557 BQM524557 CAI524557 CKE524557 CUA524557 DDW524557 DNS524557 DXO524557 EHK524557 ERG524557 FBC524557 FKY524557 FUU524557 GEQ524557 GOM524557 GYI524557 HIE524557 HSA524557 IBW524557 ILS524557 IVO524557 JFK524557 JPG524557 JZC524557 KIY524557 KSU524557 LCQ524557 LMM524557 LWI524557 MGE524557 MQA524557 MZW524557 NJS524557 NTO524557 ODK524557 ONG524557 OXC524557 PGY524557 PQU524557 QAQ524557 QKM524557 QUI524557 REE524557 ROA524557 RXW524557 SHS524557 SRO524557 TBK524557 TLG524557 TVC524557 UEY524557 UOU524557 UYQ524557 VIM524557 VSI524557 WCE524557 WMA524557 WVW524557 O590093 JK590093 TG590093 ADC590093 AMY590093 AWU590093 BGQ590093 BQM590093 CAI590093 CKE590093 CUA590093 DDW590093 DNS590093 DXO590093 EHK590093 ERG590093 FBC590093 FKY590093 FUU590093 GEQ590093 GOM590093 GYI590093 HIE590093 HSA590093 IBW590093 ILS590093 IVO590093 JFK590093 JPG590093 JZC590093 KIY590093 KSU590093 LCQ590093 LMM590093 LWI590093 MGE590093 MQA590093 MZW590093 NJS590093 NTO590093 ODK590093 ONG590093 OXC590093 PGY590093 PQU590093 QAQ590093 QKM590093 QUI590093 REE590093 ROA590093 RXW590093 SHS590093 SRO590093 TBK590093 TLG590093 TVC590093 UEY590093 UOU590093 UYQ590093 VIM590093 VSI590093 WCE590093 WMA590093 WVW590093 O655629 JK655629 TG655629 ADC655629 AMY655629 AWU655629 BGQ655629 BQM655629 CAI655629 CKE655629 CUA655629 DDW655629 DNS655629 DXO655629 EHK655629 ERG655629 FBC655629 FKY655629 FUU655629 GEQ655629 GOM655629 GYI655629 HIE655629 HSA655629 IBW655629 ILS655629 IVO655629 JFK655629 JPG655629 JZC655629 KIY655629 KSU655629 LCQ655629 LMM655629 LWI655629 MGE655629 MQA655629 MZW655629 NJS655629 NTO655629 ODK655629 ONG655629 OXC655629 PGY655629 PQU655629 QAQ655629 QKM655629 QUI655629 REE655629 ROA655629 RXW655629 SHS655629 SRO655629 TBK655629 TLG655629 TVC655629 UEY655629 UOU655629 UYQ655629 VIM655629 VSI655629 WCE655629 WMA655629 WVW655629 O721165 JK721165 TG721165 ADC721165 AMY721165 AWU721165 BGQ721165 BQM721165 CAI721165 CKE721165 CUA721165 DDW721165 DNS721165 DXO721165 EHK721165 ERG721165 FBC721165 FKY721165 FUU721165 GEQ721165 GOM721165 GYI721165 HIE721165 HSA721165 IBW721165 ILS721165 IVO721165 JFK721165 JPG721165 JZC721165 KIY721165 KSU721165 LCQ721165 LMM721165 LWI721165 MGE721165 MQA721165 MZW721165 NJS721165 NTO721165 ODK721165 ONG721165 OXC721165 PGY721165 PQU721165 QAQ721165 QKM721165 QUI721165 REE721165 ROA721165 RXW721165 SHS721165 SRO721165 TBK721165 TLG721165 TVC721165 UEY721165 UOU721165 UYQ721165 VIM721165 VSI721165 WCE721165 WMA721165 WVW721165 O786701 JK786701 TG786701 ADC786701 AMY786701 AWU786701 BGQ786701 BQM786701 CAI786701 CKE786701 CUA786701 DDW786701 DNS786701 DXO786701 EHK786701 ERG786701 FBC786701 FKY786701 FUU786701 GEQ786701 GOM786701 GYI786701 HIE786701 HSA786701 IBW786701 ILS786701 IVO786701 JFK786701 JPG786701 JZC786701 KIY786701 KSU786701 LCQ786701 LMM786701 LWI786701 MGE786701 MQA786701 MZW786701 NJS786701 NTO786701 ODK786701 ONG786701 OXC786701 PGY786701 PQU786701 QAQ786701 QKM786701 QUI786701 REE786701 ROA786701 RXW786701 SHS786701 SRO786701 TBK786701 TLG786701 TVC786701 UEY786701 UOU786701 UYQ786701 VIM786701 VSI786701 WCE786701 WMA786701 WVW786701 O852237 JK852237 TG852237 ADC852237 AMY852237 AWU852237 BGQ852237 BQM852237 CAI852237 CKE852237 CUA852237 DDW852237 DNS852237 DXO852237 EHK852237 ERG852237 FBC852237 FKY852237 FUU852237 GEQ852237 GOM852237 GYI852237 HIE852237 HSA852237 IBW852237 ILS852237 IVO852237 JFK852237 JPG852237 JZC852237 KIY852237 KSU852237 LCQ852237 LMM852237 LWI852237 MGE852237 MQA852237 MZW852237 NJS852237 NTO852237 ODK852237 ONG852237 OXC852237 PGY852237 PQU852237 QAQ852237 QKM852237 QUI852237 REE852237 ROA852237 RXW852237 SHS852237 SRO852237 TBK852237 TLG852237 TVC852237 UEY852237 UOU852237 UYQ852237 VIM852237 VSI852237 WCE852237 WMA852237 WVW852237 O917773 JK917773 TG917773 ADC917773 AMY917773 AWU917773 BGQ917773 BQM917773 CAI917773 CKE917773 CUA917773 DDW917773 DNS917773 DXO917773 EHK917773 ERG917773 FBC917773 FKY917773 FUU917773 GEQ917773 GOM917773 GYI917773 HIE917773 HSA917773 IBW917773 ILS917773 IVO917773 JFK917773 JPG917773 JZC917773 KIY917773 KSU917773 LCQ917773 LMM917773 LWI917773 MGE917773 MQA917773 MZW917773 NJS917773 NTO917773 ODK917773 ONG917773 OXC917773 PGY917773 PQU917773 QAQ917773 QKM917773 QUI917773 REE917773 ROA917773 RXW917773 SHS917773 SRO917773 TBK917773 TLG917773 TVC917773 UEY917773 UOU917773 UYQ917773 VIM917773 VSI917773 WCE917773 WMA917773 WVW917773 O983309 JK983309 TG983309 ADC983309 AMY983309 AWU983309 BGQ983309 BQM983309 CAI983309 CKE983309 CUA983309 DDW983309 DNS983309 DXO983309 EHK983309 ERG983309 FBC983309 FKY983309 FUU983309 GEQ983309 GOM983309 GYI983309 HIE983309 HSA983309 IBW983309 ILS983309 IVO983309 JFK983309 JPG983309 JZC983309 KIY983309 KSU983309 LCQ983309 LMM983309 LWI983309 MGE983309 MQA983309 MZW983309 NJS983309 NTO983309 ODK983309 ONG983309 OXC983309 PGY983309 PQU983309 QAQ983309 QKM983309 QUI983309 REE983309 ROA983309 RXW983309 SHS983309 SRO983309 TBK983309 TLG983309 TVC983309 UEY983309 UOU983309 UYQ983309 VIM983309 VSI983309 WCE983309 WMA983309 WVW983309 N136 JJ136 TF136 ADB136 AMX136 AWT136 BGP136 BQL136 CAH136 CKD136 CTZ136 DDV136 DNR136 DXN136 EHJ136 ERF136 FBB136 FKX136 FUT136 GEP136 GOL136 GYH136 HID136 HRZ136 IBV136 ILR136 IVN136 JFJ136 JPF136 JZB136 KIX136 KST136 LCP136 LML136 LWH136 MGD136 MPZ136 MZV136 NJR136 NTN136 ODJ136 ONF136 OXB136 PGX136 PQT136 QAP136 QKL136 QUH136 RED136 RNZ136 RXV136 SHR136 SRN136 TBJ136 TLF136 TVB136 UEX136 UOT136 UYP136 VIL136 VSH136 WCD136 WLZ136 WVV136 N65672 JJ65672 TF65672 ADB65672 AMX65672 AWT65672 BGP65672 BQL65672 CAH65672 CKD65672 CTZ65672 DDV65672 DNR65672 DXN65672 EHJ65672 ERF65672 FBB65672 FKX65672 FUT65672 GEP65672 GOL65672 GYH65672 HID65672 HRZ65672 IBV65672 ILR65672 IVN65672 JFJ65672 JPF65672 JZB65672 KIX65672 KST65672 LCP65672 LML65672 LWH65672 MGD65672 MPZ65672 MZV65672 NJR65672 NTN65672 ODJ65672 ONF65672 OXB65672 PGX65672 PQT65672 QAP65672 QKL65672 QUH65672 RED65672 RNZ65672 RXV65672 SHR65672 SRN65672 TBJ65672 TLF65672 TVB65672 UEX65672 UOT65672 UYP65672 VIL65672 VSH65672 WCD65672 WLZ65672 WVV65672 N131208 JJ131208 TF131208 ADB131208 AMX131208 AWT131208 BGP131208 BQL131208 CAH131208 CKD131208 CTZ131208 DDV131208 DNR131208 DXN131208 EHJ131208 ERF131208 FBB131208 FKX131208 FUT131208 GEP131208 GOL131208 GYH131208 HID131208 HRZ131208 IBV131208 ILR131208 IVN131208 JFJ131208 JPF131208 JZB131208 KIX131208 KST131208 LCP131208 LML131208 LWH131208 MGD131208 MPZ131208 MZV131208 NJR131208 NTN131208 ODJ131208 ONF131208 OXB131208 PGX131208 PQT131208 QAP131208 QKL131208 QUH131208 RED131208 RNZ131208 RXV131208 SHR131208 SRN131208 TBJ131208 TLF131208 TVB131208 UEX131208 UOT131208 UYP131208 VIL131208 VSH131208 WCD131208 WLZ131208 WVV131208 N196744 JJ196744 TF196744 ADB196744 AMX196744 AWT196744 BGP196744 BQL196744 CAH196744 CKD196744 CTZ196744 DDV196744 DNR196744 DXN196744 EHJ196744 ERF196744 FBB196744 FKX196744 FUT196744 GEP196744 GOL196744 GYH196744 HID196744 HRZ196744 IBV196744 ILR196744 IVN196744 JFJ196744 JPF196744 JZB196744 KIX196744 KST196744 LCP196744 LML196744 LWH196744 MGD196744 MPZ196744 MZV196744 NJR196744 NTN196744 ODJ196744 ONF196744 OXB196744 PGX196744 PQT196744 QAP196744 QKL196744 QUH196744 RED196744 RNZ196744 RXV196744 SHR196744 SRN196744 TBJ196744 TLF196744 TVB196744 UEX196744 UOT196744 UYP196744 VIL196744 VSH196744 WCD196744 WLZ196744 WVV196744 N262280 JJ262280 TF262280 ADB262280 AMX262280 AWT262280 BGP262280 BQL262280 CAH262280 CKD262280 CTZ262280 DDV262280 DNR262280 DXN262280 EHJ262280 ERF262280 FBB262280 FKX262280 FUT262280 GEP262280 GOL262280 GYH262280 HID262280 HRZ262280 IBV262280 ILR262280 IVN262280 JFJ262280 JPF262280 JZB262280 KIX262280 KST262280 LCP262280 LML262280 LWH262280 MGD262280 MPZ262280 MZV262280 NJR262280 NTN262280 ODJ262280 ONF262280 OXB262280 PGX262280 PQT262280 QAP262280 QKL262280 QUH262280 RED262280 RNZ262280 RXV262280 SHR262280 SRN262280 TBJ262280 TLF262280 TVB262280 UEX262280 UOT262280 UYP262280 VIL262280 VSH262280 WCD262280 WLZ262280 WVV262280 N327816 JJ327816 TF327816 ADB327816 AMX327816 AWT327816 BGP327816 BQL327816 CAH327816 CKD327816 CTZ327816 DDV327816 DNR327816 DXN327816 EHJ327816 ERF327816 FBB327816 FKX327816 FUT327816 GEP327816 GOL327816 GYH327816 HID327816 HRZ327816 IBV327816 ILR327816 IVN327816 JFJ327816 JPF327816 JZB327816 KIX327816 KST327816 LCP327816 LML327816 LWH327816 MGD327816 MPZ327816 MZV327816 NJR327816 NTN327816 ODJ327816 ONF327816 OXB327816 PGX327816 PQT327816 QAP327816 QKL327816 QUH327816 RED327816 RNZ327816 RXV327816 SHR327816 SRN327816 TBJ327816 TLF327816 TVB327816 UEX327816 UOT327816 UYP327816 VIL327816 VSH327816 WCD327816 WLZ327816 WVV327816 N393352 JJ393352 TF393352 ADB393352 AMX393352 AWT393352 BGP393352 BQL393352 CAH393352 CKD393352 CTZ393352 DDV393352 DNR393352 DXN393352 EHJ393352 ERF393352 FBB393352 FKX393352 FUT393352 GEP393352 GOL393352 GYH393352 HID393352 HRZ393352 IBV393352 ILR393352 IVN393352 JFJ393352 JPF393352 JZB393352 KIX393352 KST393352 LCP393352 LML393352 LWH393352 MGD393352 MPZ393352 MZV393352 NJR393352 NTN393352 ODJ393352 ONF393352 OXB393352 PGX393352 PQT393352 QAP393352 QKL393352 QUH393352 RED393352 RNZ393352 RXV393352 SHR393352 SRN393352 TBJ393352 TLF393352 TVB393352 UEX393352 UOT393352 UYP393352 VIL393352 VSH393352 WCD393352 WLZ393352 WVV393352 N458888 JJ458888 TF458888 ADB458888 AMX458888 AWT458888 BGP458888 BQL458888 CAH458888 CKD458888 CTZ458888 DDV458888 DNR458888 DXN458888 EHJ458888 ERF458888 FBB458888 FKX458888 FUT458888 GEP458888 GOL458888 GYH458888 HID458888 HRZ458888 IBV458888 ILR458888 IVN458888 JFJ458888 JPF458888 JZB458888 KIX458888 KST458888 LCP458888 LML458888 LWH458888 MGD458888 MPZ458888 MZV458888 NJR458888 NTN458888 ODJ458888 ONF458888 OXB458888 PGX458888 PQT458888 QAP458888 QKL458888 QUH458888 RED458888 RNZ458888 RXV458888 SHR458888 SRN458888 TBJ458888 TLF458888 TVB458888 UEX458888 UOT458888 UYP458888 VIL458888 VSH458888 WCD458888 WLZ458888 WVV458888 N524424 JJ524424 TF524424 ADB524424 AMX524424 AWT524424 BGP524424 BQL524424 CAH524424 CKD524424 CTZ524424 DDV524424 DNR524424 DXN524424 EHJ524424 ERF524424 FBB524424 FKX524424 FUT524424 GEP524424 GOL524424 GYH524424 HID524424 HRZ524424 IBV524424 ILR524424 IVN524424 JFJ524424 JPF524424 JZB524424 KIX524424 KST524424 LCP524424 LML524424 LWH524424 MGD524424 MPZ524424 MZV524424 NJR524424 NTN524424 ODJ524424 ONF524424 OXB524424 PGX524424 PQT524424 QAP524424 QKL524424 QUH524424 RED524424 RNZ524424 RXV524424 SHR524424 SRN524424 TBJ524424 TLF524424 TVB524424 UEX524424 UOT524424 UYP524424 VIL524424 VSH524424 WCD524424 WLZ524424 WVV524424 N589960 JJ589960 TF589960 ADB589960 AMX589960 AWT589960 BGP589960 BQL589960 CAH589960 CKD589960 CTZ589960 DDV589960 DNR589960 DXN589960 EHJ589960 ERF589960 FBB589960 FKX589960 FUT589960 GEP589960 GOL589960 GYH589960 HID589960 HRZ589960 IBV589960 ILR589960 IVN589960 JFJ589960 JPF589960 JZB589960 KIX589960 KST589960 LCP589960 LML589960 LWH589960 MGD589960 MPZ589960 MZV589960 NJR589960 NTN589960 ODJ589960 ONF589960 OXB589960 PGX589960 PQT589960 QAP589960 QKL589960 QUH589960 RED589960 RNZ589960 RXV589960 SHR589960 SRN589960 TBJ589960 TLF589960 TVB589960 UEX589960 UOT589960 UYP589960 VIL589960 VSH589960 WCD589960 WLZ589960 WVV589960 N655496 JJ655496 TF655496 ADB655496 AMX655496 AWT655496 BGP655496 BQL655496 CAH655496 CKD655496 CTZ655496 DDV655496 DNR655496 DXN655496 EHJ655496 ERF655496 FBB655496 FKX655496 FUT655496 GEP655496 GOL655496 GYH655496 HID655496 HRZ655496 IBV655496 ILR655496 IVN655496 JFJ655496 JPF655496 JZB655496 KIX655496 KST655496 LCP655496 LML655496 LWH655496 MGD655496 MPZ655496 MZV655496 NJR655496 NTN655496 ODJ655496 ONF655496 OXB655496 PGX655496 PQT655496 QAP655496 QKL655496 QUH655496 RED655496 RNZ655496 RXV655496 SHR655496 SRN655496 TBJ655496 TLF655496 TVB655496 UEX655496 UOT655496 UYP655496 VIL655496 VSH655496 WCD655496 WLZ655496 WVV655496 N721032 JJ721032 TF721032 ADB721032 AMX721032 AWT721032 BGP721032 BQL721032 CAH721032 CKD721032 CTZ721032 DDV721032 DNR721032 DXN721032 EHJ721032 ERF721032 FBB721032 FKX721032 FUT721032 GEP721032 GOL721032 GYH721032 HID721032 HRZ721032 IBV721032 ILR721032 IVN721032 JFJ721032 JPF721032 JZB721032 KIX721032 KST721032 LCP721032 LML721032 LWH721032 MGD721032 MPZ721032 MZV721032 NJR721032 NTN721032 ODJ721032 ONF721032 OXB721032 PGX721032 PQT721032 QAP721032 QKL721032 QUH721032 RED721032 RNZ721032 RXV721032 SHR721032 SRN721032 TBJ721032 TLF721032 TVB721032 UEX721032 UOT721032 UYP721032 VIL721032 VSH721032 WCD721032 WLZ721032 WVV721032 N786568 JJ786568 TF786568 ADB786568 AMX786568 AWT786568 BGP786568 BQL786568 CAH786568 CKD786568 CTZ786568 DDV786568 DNR786568 DXN786568 EHJ786568 ERF786568 FBB786568 FKX786568 FUT786568 GEP786568 GOL786568 GYH786568 HID786568 HRZ786568 IBV786568 ILR786568 IVN786568 JFJ786568 JPF786568 JZB786568 KIX786568 KST786568 LCP786568 LML786568 LWH786568 MGD786568 MPZ786568 MZV786568 NJR786568 NTN786568 ODJ786568 ONF786568 OXB786568 PGX786568 PQT786568 QAP786568 QKL786568 QUH786568 RED786568 RNZ786568 RXV786568 SHR786568 SRN786568 TBJ786568 TLF786568 TVB786568 UEX786568 UOT786568 UYP786568 VIL786568 VSH786568 WCD786568 WLZ786568 WVV786568 N852104 JJ852104 TF852104 ADB852104 AMX852104 AWT852104 BGP852104 BQL852104 CAH852104 CKD852104 CTZ852104 DDV852104 DNR852104 DXN852104 EHJ852104 ERF852104 FBB852104 FKX852104 FUT852104 GEP852104 GOL852104 GYH852104 HID852104 HRZ852104 IBV852104 ILR852104 IVN852104 JFJ852104 JPF852104 JZB852104 KIX852104 KST852104 LCP852104 LML852104 LWH852104 MGD852104 MPZ852104 MZV852104 NJR852104 NTN852104 ODJ852104 ONF852104 OXB852104 PGX852104 PQT852104 QAP852104 QKL852104 QUH852104 RED852104 RNZ852104 RXV852104 SHR852104 SRN852104 TBJ852104 TLF852104 TVB852104 UEX852104 UOT852104 UYP852104 VIL852104 VSH852104 WCD852104 WLZ852104 WVV852104 N917640 JJ917640 TF917640 ADB917640 AMX917640 AWT917640 BGP917640 BQL917640 CAH917640 CKD917640 CTZ917640 DDV917640 DNR917640 DXN917640 EHJ917640 ERF917640 FBB917640 FKX917640 FUT917640 GEP917640 GOL917640 GYH917640 HID917640 HRZ917640 IBV917640 ILR917640 IVN917640 JFJ917640 JPF917640 JZB917640 KIX917640 KST917640 LCP917640 LML917640 LWH917640 MGD917640 MPZ917640 MZV917640 NJR917640 NTN917640 ODJ917640 ONF917640 OXB917640 PGX917640 PQT917640 QAP917640 QKL917640 QUH917640 RED917640 RNZ917640 RXV917640 SHR917640 SRN917640 TBJ917640 TLF917640 TVB917640 UEX917640 UOT917640 UYP917640 VIL917640 VSH917640 WCD917640 WLZ917640 WVV917640 N983176 JJ983176 TF983176 ADB983176 AMX983176 AWT983176 BGP983176 BQL983176 CAH983176 CKD983176 CTZ983176 DDV983176 DNR983176 DXN983176 EHJ983176 ERF983176 FBB983176 FKX983176 FUT983176 GEP983176 GOL983176 GYH983176 HID983176 HRZ983176 IBV983176 ILR983176 IVN983176 JFJ983176 JPF983176 JZB983176 KIX983176 KST983176 LCP983176 LML983176 LWH983176 MGD983176 MPZ983176 MZV983176 NJR983176 NTN983176 ODJ983176 ONF983176 OXB983176 PGX983176 PQT983176 QAP983176 QKL983176 QUH983176 RED983176 RNZ983176 RXV983176 SHR983176 SRN983176 TBJ983176 TLF983176 TVB983176 UEX983176 UOT983176 UYP983176 VIL983176 VSH983176 WCD983176 WLZ983176 WVV983176 N98 JJ98 TF98 ADB98 AMX98 AWT98 BGP98 BQL98 CAH98 CKD98 CTZ98 DDV98 DNR98 DXN98 EHJ98 ERF98 FBB98 FKX98 FUT98 GEP98 GOL98 GYH98 HID98 HRZ98 IBV98 ILR98 IVN98 JFJ98 JPF98 JZB98 KIX98 KST98 LCP98 LML98 LWH98 MGD98 MPZ98 MZV98 NJR98 NTN98 ODJ98 ONF98 OXB98 PGX98 PQT98 QAP98 QKL98 QUH98 RED98 RNZ98 RXV98 SHR98 SRN98 TBJ98 TLF98 TVB98 UEX98 UOT98 UYP98 VIL98 VSH98 WCD98 WLZ98 WVV98 N65634 JJ65634 TF65634 ADB65634 AMX65634 AWT65634 BGP65634 BQL65634 CAH65634 CKD65634 CTZ65634 DDV65634 DNR65634 DXN65634 EHJ65634 ERF65634 FBB65634 FKX65634 FUT65634 GEP65634 GOL65634 GYH65634 HID65634 HRZ65634 IBV65634 ILR65634 IVN65634 JFJ65634 JPF65634 JZB65634 KIX65634 KST65634 LCP65634 LML65634 LWH65634 MGD65634 MPZ65634 MZV65634 NJR65634 NTN65634 ODJ65634 ONF65634 OXB65634 PGX65634 PQT65634 QAP65634 QKL65634 QUH65634 RED65634 RNZ65634 RXV65634 SHR65634 SRN65634 TBJ65634 TLF65634 TVB65634 UEX65634 UOT65634 UYP65634 VIL65634 VSH65634 WCD65634 WLZ65634 WVV65634 N131170 JJ131170 TF131170 ADB131170 AMX131170 AWT131170 BGP131170 BQL131170 CAH131170 CKD131170 CTZ131170 DDV131170 DNR131170 DXN131170 EHJ131170 ERF131170 FBB131170 FKX131170 FUT131170 GEP131170 GOL131170 GYH131170 HID131170 HRZ131170 IBV131170 ILR131170 IVN131170 JFJ131170 JPF131170 JZB131170 KIX131170 KST131170 LCP131170 LML131170 LWH131170 MGD131170 MPZ131170 MZV131170 NJR131170 NTN131170 ODJ131170 ONF131170 OXB131170 PGX131170 PQT131170 QAP131170 QKL131170 QUH131170 RED131170 RNZ131170 RXV131170 SHR131170 SRN131170 TBJ131170 TLF131170 TVB131170 UEX131170 UOT131170 UYP131170 VIL131170 VSH131170 WCD131170 WLZ131170 WVV131170 N196706 JJ196706 TF196706 ADB196706 AMX196706 AWT196706 BGP196706 BQL196706 CAH196706 CKD196706 CTZ196706 DDV196706 DNR196706 DXN196706 EHJ196706 ERF196706 FBB196706 FKX196706 FUT196706 GEP196706 GOL196706 GYH196706 HID196706 HRZ196706 IBV196706 ILR196706 IVN196706 JFJ196706 JPF196706 JZB196706 KIX196706 KST196706 LCP196706 LML196706 LWH196706 MGD196706 MPZ196706 MZV196706 NJR196706 NTN196706 ODJ196706 ONF196706 OXB196706 PGX196706 PQT196706 QAP196706 QKL196706 QUH196706 RED196706 RNZ196706 RXV196706 SHR196706 SRN196706 TBJ196706 TLF196706 TVB196706 UEX196706 UOT196706 UYP196706 VIL196706 VSH196706 WCD196706 WLZ196706 WVV196706 N262242 JJ262242 TF262242 ADB262242 AMX262242 AWT262242 BGP262242 BQL262242 CAH262242 CKD262242 CTZ262242 DDV262242 DNR262242 DXN262242 EHJ262242 ERF262242 FBB262242 FKX262242 FUT262242 GEP262242 GOL262242 GYH262242 HID262242 HRZ262242 IBV262242 ILR262242 IVN262242 JFJ262242 JPF262242 JZB262242 KIX262242 KST262242 LCP262242 LML262242 LWH262242 MGD262242 MPZ262242 MZV262242 NJR262242 NTN262242 ODJ262242 ONF262242 OXB262242 PGX262242 PQT262242 QAP262242 QKL262242 QUH262242 RED262242 RNZ262242 RXV262242 SHR262242 SRN262242 TBJ262242 TLF262242 TVB262242 UEX262242 UOT262242 UYP262242 VIL262242 VSH262242 WCD262242 WLZ262242 WVV262242 N327778 JJ327778 TF327778 ADB327778 AMX327778 AWT327778 BGP327778 BQL327778 CAH327778 CKD327778 CTZ327778 DDV327778 DNR327778 DXN327778 EHJ327778 ERF327778 FBB327778 FKX327778 FUT327778 GEP327778 GOL327778 GYH327778 HID327778 HRZ327778 IBV327778 ILR327778 IVN327778 JFJ327778 JPF327778 JZB327778 KIX327778 KST327778 LCP327778 LML327778 LWH327778 MGD327778 MPZ327778 MZV327778 NJR327778 NTN327778 ODJ327778 ONF327778 OXB327778 PGX327778 PQT327778 QAP327778 QKL327778 QUH327778 RED327778 RNZ327778 RXV327778 SHR327778 SRN327778 TBJ327778 TLF327778 TVB327778 UEX327778 UOT327778 UYP327778 VIL327778 VSH327778 WCD327778 WLZ327778 WVV327778 N393314 JJ393314 TF393314 ADB393314 AMX393314 AWT393314 BGP393314 BQL393314 CAH393314 CKD393314 CTZ393314 DDV393314 DNR393314 DXN393314 EHJ393314 ERF393314 FBB393314 FKX393314 FUT393314 GEP393314 GOL393314 GYH393314 HID393314 HRZ393314 IBV393314 ILR393314 IVN393314 JFJ393314 JPF393314 JZB393314 KIX393314 KST393314 LCP393314 LML393314 LWH393314 MGD393314 MPZ393314 MZV393314 NJR393314 NTN393314 ODJ393314 ONF393314 OXB393314 PGX393314 PQT393314 QAP393314 QKL393314 QUH393314 RED393314 RNZ393314 RXV393314 SHR393314 SRN393314 TBJ393314 TLF393314 TVB393314 UEX393314 UOT393314 UYP393314 VIL393314 VSH393314 WCD393314 WLZ393314 WVV393314 N458850 JJ458850 TF458850 ADB458850 AMX458850 AWT458850 BGP458850 BQL458850 CAH458850 CKD458850 CTZ458850 DDV458850 DNR458850 DXN458850 EHJ458850 ERF458850 FBB458850 FKX458850 FUT458850 GEP458850 GOL458850 GYH458850 HID458850 HRZ458850 IBV458850 ILR458850 IVN458850 JFJ458850 JPF458850 JZB458850 KIX458850 KST458850 LCP458850 LML458850 LWH458850 MGD458850 MPZ458850 MZV458850 NJR458850 NTN458850 ODJ458850 ONF458850 OXB458850 PGX458850 PQT458850 QAP458850 QKL458850 QUH458850 RED458850 RNZ458850 RXV458850 SHR458850 SRN458850 TBJ458850 TLF458850 TVB458850 UEX458850 UOT458850 UYP458850 VIL458850 VSH458850 WCD458850 WLZ458850 WVV458850 N524386 JJ524386 TF524386 ADB524386 AMX524386 AWT524386 BGP524386 BQL524386 CAH524386 CKD524386 CTZ524386 DDV524386 DNR524386 DXN524386 EHJ524386 ERF524386 FBB524386 FKX524386 FUT524386 GEP524386 GOL524386 GYH524386 HID524386 HRZ524386 IBV524386 ILR524386 IVN524386 JFJ524386 JPF524386 JZB524386 KIX524386 KST524386 LCP524386 LML524386 LWH524386 MGD524386 MPZ524386 MZV524386 NJR524386 NTN524386 ODJ524386 ONF524386 OXB524386 PGX524386 PQT524386 QAP524386 QKL524386 QUH524386 RED524386 RNZ524386 RXV524386 SHR524386 SRN524386 TBJ524386 TLF524386 TVB524386 UEX524386 UOT524386 UYP524386 VIL524386 VSH524386 WCD524386 WLZ524386 WVV524386 N589922 JJ589922 TF589922 ADB589922 AMX589922 AWT589922 BGP589922 BQL589922 CAH589922 CKD589922 CTZ589922 DDV589922 DNR589922 DXN589922 EHJ589922 ERF589922 FBB589922 FKX589922 FUT589922 GEP589922 GOL589922 GYH589922 HID589922 HRZ589922 IBV589922 ILR589922 IVN589922 JFJ589922 JPF589922 JZB589922 KIX589922 KST589922 LCP589922 LML589922 LWH589922 MGD589922 MPZ589922 MZV589922 NJR589922 NTN589922 ODJ589922 ONF589922 OXB589922 PGX589922 PQT589922 QAP589922 QKL589922 QUH589922 RED589922 RNZ589922 RXV589922 SHR589922 SRN589922 TBJ589922 TLF589922 TVB589922 UEX589922 UOT589922 UYP589922 VIL589922 VSH589922 WCD589922 WLZ589922 WVV589922 N655458 JJ655458 TF655458 ADB655458 AMX655458 AWT655458 BGP655458 BQL655458 CAH655458 CKD655458 CTZ655458 DDV655458 DNR655458 DXN655458 EHJ655458 ERF655458 FBB655458 FKX655458 FUT655458 GEP655458 GOL655458 GYH655458 HID655458 HRZ655458 IBV655458 ILR655458 IVN655458 JFJ655458 JPF655458 JZB655458 KIX655458 KST655458 LCP655458 LML655458 LWH655458 MGD655458 MPZ655458 MZV655458 NJR655458 NTN655458 ODJ655458 ONF655458 OXB655458 PGX655458 PQT655458 QAP655458 QKL655458 QUH655458 RED655458 RNZ655458 RXV655458 SHR655458 SRN655458 TBJ655458 TLF655458 TVB655458 UEX655458 UOT655458 UYP655458 VIL655458 VSH655458 WCD655458 WLZ655458 WVV655458 N720994 JJ720994 TF720994 ADB720994 AMX720994 AWT720994 BGP720994 BQL720994 CAH720994 CKD720994 CTZ720994 DDV720994 DNR720994 DXN720994 EHJ720994 ERF720994 FBB720994 FKX720994 FUT720994 GEP720994 GOL720994 GYH720994 HID720994 HRZ720994 IBV720994 ILR720994 IVN720994 JFJ720994 JPF720994 JZB720994 KIX720994 KST720994 LCP720994 LML720994 LWH720994 MGD720994 MPZ720994 MZV720994 NJR720994 NTN720994 ODJ720994 ONF720994 OXB720994 PGX720994 PQT720994 QAP720994 QKL720994 QUH720994 RED720994 RNZ720994 RXV720994 SHR720994 SRN720994 TBJ720994 TLF720994 TVB720994 UEX720994 UOT720994 UYP720994 VIL720994 VSH720994 WCD720994 WLZ720994 WVV720994 N786530 JJ786530 TF786530 ADB786530 AMX786530 AWT786530 BGP786530 BQL786530 CAH786530 CKD786530 CTZ786530 DDV786530 DNR786530 DXN786530 EHJ786530 ERF786530 FBB786530 FKX786530 FUT786530 GEP786530 GOL786530 GYH786530 HID786530 HRZ786530 IBV786530 ILR786530 IVN786530 JFJ786530 JPF786530 JZB786530 KIX786530 KST786530 LCP786530 LML786530 LWH786530 MGD786530 MPZ786530 MZV786530 NJR786530 NTN786530 ODJ786530 ONF786530 OXB786530 PGX786530 PQT786530 QAP786530 QKL786530 QUH786530 RED786530 RNZ786530 RXV786530 SHR786530 SRN786530 TBJ786530 TLF786530 TVB786530 UEX786530 UOT786530 UYP786530 VIL786530 VSH786530 WCD786530 WLZ786530 WVV786530 N852066 JJ852066 TF852066 ADB852066 AMX852066 AWT852066 BGP852066 BQL852066 CAH852066 CKD852066 CTZ852066 DDV852066 DNR852066 DXN852066 EHJ852066 ERF852066 FBB852066 FKX852066 FUT852066 GEP852066 GOL852066 GYH852066 HID852066 HRZ852066 IBV852066 ILR852066 IVN852066 JFJ852066 JPF852066 JZB852066 KIX852066 KST852066 LCP852066 LML852066 LWH852066 MGD852066 MPZ852066 MZV852066 NJR852066 NTN852066 ODJ852066 ONF852066 OXB852066 PGX852066 PQT852066 QAP852066 QKL852066 QUH852066 RED852066 RNZ852066 RXV852066 SHR852066 SRN852066 TBJ852066 TLF852066 TVB852066 UEX852066 UOT852066 UYP852066 VIL852066 VSH852066 WCD852066 WLZ852066 WVV852066 N917602 JJ917602 TF917602 ADB917602 AMX917602 AWT917602 BGP917602 BQL917602 CAH917602 CKD917602 CTZ917602 DDV917602 DNR917602 DXN917602 EHJ917602 ERF917602 FBB917602 FKX917602 FUT917602 GEP917602 GOL917602 GYH917602 HID917602 HRZ917602 IBV917602 ILR917602 IVN917602 JFJ917602 JPF917602 JZB917602 KIX917602 KST917602 LCP917602 LML917602 LWH917602 MGD917602 MPZ917602 MZV917602 NJR917602 NTN917602 ODJ917602 ONF917602 OXB917602 PGX917602 PQT917602 QAP917602 QKL917602 QUH917602 RED917602 RNZ917602 RXV917602 SHR917602 SRN917602 TBJ917602 TLF917602 TVB917602 UEX917602 UOT917602 UYP917602 VIL917602 VSH917602 WCD917602 WLZ917602 WVV917602 N983138 JJ983138 TF983138 ADB983138 AMX983138 AWT983138 BGP983138 BQL983138 CAH983138 CKD983138 CTZ983138 DDV983138 DNR983138 DXN983138 EHJ983138 ERF983138 FBB983138 FKX983138 FUT983138 GEP983138 GOL983138 GYH983138 HID983138 HRZ983138 IBV983138 ILR983138 IVN983138 JFJ983138 JPF983138 JZB983138 KIX983138 KST983138 LCP983138 LML983138 LWH983138 MGD983138 MPZ983138 MZV983138 NJR983138 NTN983138 ODJ983138 ONF983138 OXB983138 PGX983138 PQT983138 QAP983138 QKL983138 QUH983138 RED983138 RNZ983138 RXV983138 SHR983138 SRN983138 TBJ983138 TLF983138 TVB983138 UEX983138 UOT983138 UYP983138 VIL983138 VSH983138 WCD983138 WLZ983138 WVV983138 N380 JJ380 TF380 ADB380 AMX380 AWT380 BGP380 BQL380 CAH380 CKD380 CTZ380 DDV380 DNR380 DXN380 EHJ380 ERF380 FBB380 FKX380 FUT380 GEP380 GOL380 GYH380 HID380 HRZ380 IBV380 ILR380 IVN380 JFJ380 JPF380 JZB380 KIX380 KST380 LCP380 LML380 LWH380 MGD380 MPZ380 MZV380 NJR380 NTN380 ODJ380 ONF380 OXB380 PGX380 PQT380 QAP380 QKL380 QUH380 RED380 RNZ380 RXV380 SHR380 SRN380 TBJ380 TLF380 TVB380 UEX380 UOT380 UYP380 VIL380 VSH380 WCD380 WLZ380 WVV380 N65916 JJ65916 TF65916 ADB65916 AMX65916 AWT65916 BGP65916 BQL65916 CAH65916 CKD65916 CTZ65916 DDV65916 DNR65916 DXN65916 EHJ65916 ERF65916 FBB65916 FKX65916 FUT65916 GEP65916 GOL65916 GYH65916 HID65916 HRZ65916 IBV65916 ILR65916 IVN65916 JFJ65916 JPF65916 JZB65916 KIX65916 KST65916 LCP65916 LML65916 LWH65916 MGD65916 MPZ65916 MZV65916 NJR65916 NTN65916 ODJ65916 ONF65916 OXB65916 PGX65916 PQT65916 QAP65916 QKL65916 QUH65916 RED65916 RNZ65916 RXV65916 SHR65916 SRN65916 TBJ65916 TLF65916 TVB65916 UEX65916 UOT65916 UYP65916 VIL65916 VSH65916 WCD65916 WLZ65916 WVV65916 N131452 JJ131452 TF131452 ADB131452 AMX131452 AWT131452 BGP131452 BQL131452 CAH131452 CKD131452 CTZ131452 DDV131452 DNR131452 DXN131452 EHJ131452 ERF131452 FBB131452 FKX131452 FUT131452 GEP131452 GOL131452 GYH131452 HID131452 HRZ131452 IBV131452 ILR131452 IVN131452 JFJ131452 JPF131452 JZB131452 KIX131452 KST131452 LCP131452 LML131452 LWH131452 MGD131452 MPZ131452 MZV131452 NJR131452 NTN131452 ODJ131452 ONF131452 OXB131452 PGX131452 PQT131452 QAP131452 QKL131452 QUH131452 RED131452 RNZ131452 RXV131452 SHR131452 SRN131452 TBJ131452 TLF131452 TVB131452 UEX131452 UOT131452 UYP131452 VIL131452 VSH131452 WCD131452 WLZ131452 WVV131452 N196988 JJ196988 TF196988 ADB196988 AMX196988 AWT196988 BGP196988 BQL196988 CAH196988 CKD196988 CTZ196988 DDV196988 DNR196988 DXN196988 EHJ196988 ERF196988 FBB196988 FKX196988 FUT196988 GEP196988 GOL196988 GYH196988 HID196988 HRZ196988 IBV196988 ILR196988 IVN196988 JFJ196988 JPF196988 JZB196988 KIX196988 KST196988 LCP196988 LML196988 LWH196988 MGD196988 MPZ196988 MZV196988 NJR196988 NTN196988 ODJ196988 ONF196988 OXB196988 PGX196988 PQT196988 QAP196988 QKL196988 QUH196988 RED196988 RNZ196988 RXV196988 SHR196988 SRN196988 TBJ196988 TLF196988 TVB196988 UEX196988 UOT196988 UYP196988 VIL196988 VSH196988 WCD196988 WLZ196988 WVV196988 N262524 JJ262524 TF262524 ADB262524 AMX262524 AWT262524 BGP262524 BQL262524 CAH262524 CKD262524 CTZ262524 DDV262524 DNR262524 DXN262524 EHJ262524 ERF262524 FBB262524 FKX262524 FUT262524 GEP262524 GOL262524 GYH262524 HID262524 HRZ262524 IBV262524 ILR262524 IVN262524 JFJ262524 JPF262524 JZB262524 KIX262524 KST262524 LCP262524 LML262524 LWH262524 MGD262524 MPZ262524 MZV262524 NJR262524 NTN262524 ODJ262524 ONF262524 OXB262524 PGX262524 PQT262524 QAP262524 QKL262524 QUH262524 RED262524 RNZ262524 RXV262524 SHR262524 SRN262524 TBJ262524 TLF262524 TVB262524 UEX262524 UOT262524 UYP262524 VIL262524 VSH262524 WCD262524 WLZ262524 WVV262524 N328060 JJ328060 TF328060 ADB328060 AMX328060 AWT328060 BGP328060 BQL328060 CAH328060 CKD328060 CTZ328060 DDV328060 DNR328060 DXN328060 EHJ328060 ERF328060 FBB328060 FKX328060 FUT328060 GEP328060 GOL328060 GYH328060 HID328060 HRZ328060 IBV328060 ILR328060 IVN328060 JFJ328060 JPF328060 JZB328060 KIX328060 KST328060 LCP328060 LML328060 LWH328060 MGD328060 MPZ328060 MZV328060 NJR328060 NTN328060 ODJ328060 ONF328060 OXB328060 PGX328060 PQT328060 QAP328060 QKL328060 QUH328060 RED328060 RNZ328060 RXV328060 SHR328060 SRN328060 TBJ328060 TLF328060 TVB328060 UEX328060 UOT328060 UYP328060 VIL328060 VSH328060 WCD328060 WLZ328060 WVV328060 N393596 JJ393596 TF393596 ADB393596 AMX393596 AWT393596 BGP393596 BQL393596 CAH393596 CKD393596 CTZ393596 DDV393596 DNR393596 DXN393596 EHJ393596 ERF393596 FBB393596 FKX393596 FUT393596 GEP393596 GOL393596 GYH393596 HID393596 HRZ393596 IBV393596 ILR393596 IVN393596 JFJ393596 JPF393596 JZB393596 KIX393596 KST393596 LCP393596 LML393596 LWH393596 MGD393596 MPZ393596 MZV393596 NJR393596 NTN393596 ODJ393596 ONF393596 OXB393596 PGX393596 PQT393596 QAP393596 QKL393596 QUH393596 RED393596 RNZ393596 RXV393596 SHR393596 SRN393596 TBJ393596 TLF393596 TVB393596 UEX393596 UOT393596 UYP393596 VIL393596 VSH393596 WCD393596 WLZ393596 WVV393596 N459132 JJ459132 TF459132 ADB459132 AMX459132 AWT459132 BGP459132 BQL459132 CAH459132 CKD459132 CTZ459132 DDV459132 DNR459132 DXN459132 EHJ459132 ERF459132 FBB459132 FKX459132 FUT459132 GEP459132 GOL459132 GYH459132 HID459132 HRZ459132 IBV459132 ILR459132 IVN459132 JFJ459132 JPF459132 JZB459132 KIX459132 KST459132 LCP459132 LML459132 LWH459132 MGD459132 MPZ459132 MZV459132 NJR459132 NTN459132 ODJ459132 ONF459132 OXB459132 PGX459132 PQT459132 QAP459132 QKL459132 QUH459132 RED459132 RNZ459132 RXV459132 SHR459132 SRN459132 TBJ459132 TLF459132 TVB459132 UEX459132 UOT459132 UYP459132 VIL459132 VSH459132 WCD459132 WLZ459132 WVV459132 N524668 JJ524668 TF524668 ADB524668 AMX524668 AWT524668 BGP524668 BQL524668 CAH524668 CKD524668 CTZ524668 DDV524668 DNR524668 DXN524668 EHJ524668 ERF524668 FBB524668 FKX524668 FUT524668 GEP524668 GOL524668 GYH524668 HID524668 HRZ524668 IBV524668 ILR524668 IVN524668 JFJ524668 JPF524668 JZB524668 KIX524668 KST524668 LCP524668 LML524668 LWH524668 MGD524668 MPZ524668 MZV524668 NJR524668 NTN524668 ODJ524668 ONF524668 OXB524668 PGX524668 PQT524668 QAP524668 QKL524668 QUH524668 RED524668 RNZ524668 RXV524668 SHR524668 SRN524668 TBJ524668 TLF524668 TVB524668 UEX524668 UOT524668 UYP524668 VIL524668 VSH524668 WCD524668 WLZ524668 WVV524668 N590204 JJ590204 TF590204 ADB590204 AMX590204 AWT590204 BGP590204 BQL590204 CAH590204 CKD590204 CTZ590204 DDV590204 DNR590204 DXN590204 EHJ590204 ERF590204 FBB590204 FKX590204 FUT590204 GEP590204 GOL590204 GYH590204 HID590204 HRZ590204 IBV590204 ILR590204 IVN590204 JFJ590204 JPF590204 JZB590204 KIX590204 KST590204 LCP590204 LML590204 LWH590204 MGD590204 MPZ590204 MZV590204 NJR590204 NTN590204 ODJ590204 ONF590204 OXB590204 PGX590204 PQT590204 QAP590204 QKL590204 QUH590204 RED590204 RNZ590204 RXV590204 SHR590204 SRN590204 TBJ590204 TLF590204 TVB590204 UEX590204 UOT590204 UYP590204 VIL590204 VSH590204 WCD590204 WLZ590204 WVV590204 N655740 JJ655740 TF655740 ADB655740 AMX655740 AWT655740 BGP655740 BQL655740 CAH655740 CKD655740 CTZ655740 DDV655740 DNR655740 DXN655740 EHJ655740 ERF655740 FBB655740 FKX655740 FUT655740 GEP655740 GOL655740 GYH655740 HID655740 HRZ655740 IBV655740 ILR655740 IVN655740 JFJ655740 JPF655740 JZB655740 KIX655740 KST655740 LCP655740 LML655740 LWH655740 MGD655740 MPZ655740 MZV655740 NJR655740 NTN655740 ODJ655740 ONF655740 OXB655740 PGX655740 PQT655740 QAP655740 QKL655740 QUH655740 RED655740 RNZ655740 RXV655740 SHR655740 SRN655740 TBJ655740 TLF655740 TVB655740 UEX655740 UOT655740 UYP655740 VIL655740 VSH655740 WCD655740 WLZ655740 WVV655740 N721276 JJ721276 TF721276 ADB721276 AMX721276 AWT721276 BGP721276 BQL721276 CAH721276 CKD721276 CTZ721276 DDV721276 DNR721276 DXN721276 EHJ721276 ERF721276 FBB721276 FKX721276 FUT721276 GEP721276 GOL721276 GYH721276 HID721276 HRZ721276 IBV721276 ILR721276 IVN721276 JFJ721276 JPF721276 JZB721276 KIX721276 KST721276 LCP721276 LML721276 LWH721276 MGD721276 MPZ721276 MZV721276 NJR721276 NTN721276 ODJ721276 ONF721276 OXB721276 PGX721276 PQT721276 QAP721276 QKL721276 QUH721276 RED721276 RNZ721276 RXV721276 SHR721276 SRN721276 TBJ721276 TLF721276 TVB721276 UEX721276 UOT721276 UYP721276 VIL721276 VSH721276 WCD721276 WLZ721276 WVV721276 N786812 JJ786812 TF786812 ADB786812 AMX786812 AWT786812 BGP786812 BQL786812 CAH786812 CKD786812 CTZ786812 DDV786812 DNR786812 DXN786812 EHJ786812 ERF786812 FBB786812 FKX786812 FUT786812 GEP786812 GOL786812 GYH786812 HID786812 HRZ786812 IBV786812 ILR786812 IVN786812 JFJ786812 JPF786812 JZB786812 KIX786812 KST786812 LCP786812 LML786812 LWH786812 MGD786812 MPZ786812 MZV786812 NJR786812 NTN786812 ODJ786812 ONF786812 OXB786812 PGX786812 PQT786812 QAP786812 QKL786812 QUH786812 RED786812 RNZ786812 RXV786812 SHR786812 SRN786812 TBJ786812 TLF786812 TVB786812 UEX786812 UOT786812 UYP786812 VIL786812 VSH786812 WCD786812 WLZ786812 WVV786812 N852348 JJ852348 TF852348 ADB852348 AMX852348 AWT852348 BGP852348 BQL852348 CAH852348 CKD852348 CTZ852348 DDV852348 DNR852348 DXN852348 EHJ852348 ERF852348 FBB852348 FKX852348 FUT852348 GEP852348 GOL852348 GYH852348 HID852348 HRZ852348 IBV852348 ILR852348 IVN852348 JFJ852348 JPF852348 JZB852348 KIX852348 KST852348 LCP852348 LML852348 LWH852348 MGD852348 MPZ852348 MZV852348 NJR852348 NTN852348 ODJ852348 ONF852348 OXB852348 PGX852348 PQT852348 QAP852348 QKL852348 QUH852348 RED852348 RNZ852348 RXV852348 SHR852348 SRN852348 TBJ852348 TLF852348 TVB852348 UEX852348 UOT852348 UYP852348 VIL852348 VSH852348 WCD852348 WLZ852348 WVV852348 N917884 JJ917884 TF917884 ADB917884 AMX917884 AWT917884 BGP917884 BQL917884 CAH917884 CKD917884 CTZ917884 DDV917884 DNR917884 DXN917884 EHJ917884 ERF917884 FBB917884 FKX917884 FUT917884 GEP917884 GOL917884 GYH917884 HID917884 HRZ917884 IBV917884 ILR917884 IVN917884 JFJ917884 JPF917884 JZB917884 KIX917884 KST917884 LCP917884 LML917884 LWH917884 MGD917884 MPZ917884 MZV917884 NJR917884 NTN917884 ODJ917884 ONF917884 OXB917884 PGX917884 PQT917884 QAP917884 QKL917884 QUH917884 RED917884 RNZ917884 RXV917884 SHR917884 SRN917884 TBJ917884 TLF917884 TVB917884 UEX917884 UOT917884 UYP917884 VIL917884 VSH917884 WCD917884 WLZ917884 WVV917884 N983420 JJ983420 TF983420 ADB983420 AMX983420 AWT983420 BGP983420 BQL983420 CAH983420 CKD983420 CTZ983420 DDV983420 DNR983420 DXN983420 EHJ983420 ERF983420 FBB983420 FKX983420 FUT983420 GEP983420 GOL983420 GYH983420 HID983420 HRZ983420 IBV983420 ILR983420 IVN983420 JFJ983420 JPF983420 JZB983420 KIX983420 KST983420 LCP983420 LML983420 LWH983420 MGD983420 MPZ983420 MZV983420 NJR983420 NTN983420 ODJ983420 ONF983420 OXB983420 PGX983420 PQT983420 QAP983420 QKL983420 QUH983420 RED983420 RNZ983420 RXV983420 SHR983420 SRN983420 TBJ983420 TLF983420 TVB983420 UEX983420 UOT983420 UYP983420 VIL983420 VSH983420 WCD983420 WLZ983420 WVV983420 N352 O167 R167" xr:uid="{00000000-0002-0000-0000-00000C000000}">
      <formula1>$CX$8:$CX$9</formula1>
    </dataValidation>
    <dataValidation type="list" allowBlank="1" showInputMessage="1" showErrorMessage="1" sqref="WMD983207 JK167 TG167 ADC167 AMY167 AWU167 BGQ167 BQM167 CAI167 CKE167 CUA167 DDW167 DNS167 DXO167 EHK167 ERG167 FBC167 FKY167 FUU167 GEQ167 GOM167 GYI167 HIE167 HSA167 IBW167 ILS167 IVO167 JFK167 JPG167 JZC167 KIY167 KSU167 LCQ167 LMM167 LWI167 MGE167 MQA167 MZW167 NJS167 NTO167 ODK167 ONG167 OXC167 PGY167 PQU167 QAQ167 QKM167 QUI167 REE167 ROA167 RXW167 SHS167 SRO167 TBK167 TLG167 TVC167 UEY167 UOU167 UYQ167 VIM167 VSI167 WCE167 WMA167 WVW167 O65703 JK65703 TG65703 ADC65703 AMY65703 AWU65703 BGQ65703 BQM65703 CAI65703 CKE65703 CUA65703 DDW65703 DNS65703 DXO65703 EHK65703 ERG65703 FBC65703 FKY65703 FUU65703 GEQ65703 GOM65703 GYI65703 HIE65703 HSA65703 IBW65703 ILS65703 IVO65703 JFK65703 JPG65703 JZC65703 KIY65703 KSU65703 LCQ65703 LMM65703 LWI65703 MGE65703 MQA65703 MZW65703 NJS65703 NTO65703 ODK65703 ONG65703 OXC65703 PGY65703 PQU65703 QAQ65703 QKM65703 QUI65703 REE65703 ROA65703 RXW65703 SHS65703 SRO65703 TBK65703 TLG65703 TVC65703 UEY65703 UOU65703 UYQ65703 VIM65703 VSI65703 WCE65703 WMA65703 WVW65703 O131239 JK131239 TG131239 ADC131239 AMY131239 AWU131239 BGQ131239 BQM131239 CAI131239 CKE131239 CUA131239 DDW131239 DNS131239 DXO131239 EHK131239 ERG131239 FBC131239 FKY131239 FUU131239 GEQ131239 GOM131239 GYI131239 HIE131239 HSA131239 IBW131239 ILS131239 IVO131239 JFK131239 JPG131239 JZC131239 KIY131239 KSU131239 LCQ131239 LMM131239 LWI131239 MGE131239 MQA131239 MZW131239 NJS131239 NTO131239 ODK131239 ONG131239 OXC131239 PGY131239 PQU131239 QAQ131239 QKM131239 QUI131239 REE131239 ROA131239 RXW131239 SHS131239 SRO131239 TBK131239 TLG131239 TVC131239 UEY131239 UOU131239 UYQ131239 VIM131239 VSI131239 WCE131239 WMA131239 WVW131239 O196775 JK196775 TG196775 ADC196775 AMY196775 AWU196775 BGQ196775 BQM196775 CAI196775 CKE196775 CUA196775 DDW196775 DNS196775 DXO196775 EHK196775 ERG196775 FBC196775 FKY196775 FUU196775 GEQ196775 GOM196775 GYI196775 HIE196775 HSA196775 IBW196775 ILS196775 IVO196775 JFK196775 JPG196775 JZC196775 KIY196775 KSU196775 LCQ196775 LMM196775 LWI196775 MGE196775 MQA196775 MZW196775 NJS196775 NTO196775 ODK196775 ONG196775 OXC196775 PGY196775 PQU196775 QAQ196775 QKM196775 QUI196775 REE196775 ROA196775 RXW196775 SHS196775 SRO196775 TBK196775 TLG196775 TVC196775 UEY196775 UOU196775 UYQ196775 VIM196775 VSI196775 WCE196775 WMA196775 WVW196775 O262311 JK262311 TG262311 ADC262311 AMY262311 AWU262311 BGQ262311 BQM262311 CAI262311 CKE262311 CUA262311 DDW262311 DNS262311 DXO262311 EHK262311 ERG262311 FBC262311 FKY262311 FUU262311 GEQ262311 GOM262311 GYI262311 HIE262311 HSA262311 IBW262311 ILS262311 IVO262311 JFK262311 JPG262311 JZC262311 KIY262311 KSU262311 LCQ262311 LMM262311 LWI262311 MGE262311 MQA262311 MZW262311 NJS262311 NTO262311 ODK262311 ONG262311 OXC262311 PGY262311 PQU262311 QAQ262311 QKM262311 QUI262311 REE262311 ROA262311 RXW262311 SHS262311 SRO262311 TBK262311 TLG262311 TVC262311 UEY262311 UOU262311 UYQ262311 VIM262311 VSI262311 WCE262311 WMA262311 WVW262311 O327847 JK327847 TG327847 ADC327847 AMY327847 AWU327847 BGQ327847 BQM327847 CAI327847 CKE327847 CUA327847 DDW327847 DNS327847 DXO327847 EHK327847 ERG327847 FBC327847 FKY327847 FUU327847 GEQ327847 GOM327847 GYI327847 HIE327847 HSA327847 IBW327847 ILS327847 IVO327847 JFK327847 JPG327847 JZC327847 KIY327847 KSU327847 LCQ327847 LMM327847 LWI327847 MGE327847 MQA327847 MZW327847 NJS327847 NTO327847 ODK327847 ONG327847 OXC327847 PGY327847 PQU327847 QAQ327847 QKM327847 QUI327847 REE327847 ROA327847 RXW327847 SHS327847 SRO327847 TBK327847 TLG327847 TVC327847 UEY327847 UOU327847 UYQ327847 VIM327847 VSI327847 WCE327847 WMA327847 WVW327847 O393383 JK393383 TG393383 ADC393383 AMY393383 AWU393383 BGQ393383 BQM393383 CAI393383 CKE393383 CUA393383 DDW393383 DNS393383 DXO393383 EHK393383 ERG393383 FBC393383 FKY393383 FUU393383 GEQ393383 GOM393383 GYI393383 HIE393383 HSA393383 IBW393383 ILS393383 IVO393383 JFK393383 JPG393383 JZC393383 KIY393383 KSU393383 LCQ393383 LMM393383 LWI393383 MGE393383 MQA393383 MZW393383 NJS393383 NTO393383 ODK393383 ONG393383 OXC393383 PGY393383 PQU393383 QAQ393383 QKM393383 QUI393383 REE393383 ROA393383 RXW393383 SHS393383 SRO393383 TBK393383 TLG393383 TVC393383 UEY393383 UOU393383 UYQ393383 VIM393383 VSI393383 WCE393383 WMA393383 WVW393383 O458919 JK458919 TG458919 ADC458919 AMY458919 AWU458919 BGQ458919 BQM458919 CAI458919 CKE458919 CUA458919 DDW458919 DNS458919 DXO458919 EHK458919 ERG458919 FBC458919 FKY458919 FUU458919 GEQ458919 GOM458919 GYI458919 HIE458919 HSA458919 IBW458919 ILS458919 IVO458919 JFK458919 JPG458919 JZC458919 KIY458919 KSU458919 LCQ458919 LMM458919 LWI458919 MGE458919 MQA458919 MZW458919 NJS458919 NTO458919 ODK458919 ONG458919 OXC458919 PGY458919 PQU458919 QAQ458919 QKM458919 QUI458919 REE458919 ROA458919 RXW458919 SHS458919 SRO458919 TBK458919 TLG458919 TVC458919 UEY458919 UOU458919 UYQ458919 VIM458919 VSI458919 WCE458919 WMA458919 WVW458919 O524455 JK524455 TG524455 ADC524455 AMY524455 AWU524455 BGQ524455 BQM524455 CAI524455 CKE524455 CUA524455 DDW524455 DNS524455 DXO524455 EHK524455 ERG524455 FBC524455 FKY524455 FUU524455 GEQ524455 GOM524455 GYI524455 HIE524455 HSA524455 IBW524455 ILS524455 IVO524455 JFK524455 JPG524455 JZC524455 KIY524455 KSU524455 LCQ524455 LMM524455 LWI524455 MGE524455 MQA524455 MZW524455 NJS524455 NTO524455 ODK524455 ONG524455 OXC524455 PGY524455 PQU524455 QAQ524455 QKM524455 QUI524455 REE524455 ROA524455 RXW524455 SHS524455 SRO524455 TBK524455 TLG524455 TVC524455 UEY524455 UOU524455 UYQ524455 VIM524455 VSI524455 WCE524455 WMA524455 WVW524455 O589991 JK589991 TG589991 ADC589991 AMY589991 AWU589991 BGQ589991 BQM589991 CAI589991 CKE589991 CUA589991 DDW589991 DNS589991 DXO589991 EHK589991 ERG589991 FBC589991 FKY589991 FUU589991 GEQ589991 GOM589991 GYI589991 HIE589991 HSA589991 IBW589991 ILS589991 IVO589991 JFK589991 JPG589991 JZC589991 KIY589991 KSU589991 LCQ589991 LMM589991 LWI589991 MGE589991 MQA589991 MZW589991 NJS589991 NTO589991 ODK589991 ONG589991 OXC589991 PGY589991 PQU589991 QAQ589991 QKM589991 QUI589991 REE589991 ROA589991 RXW589991 SHS589991 SRO589991 TBK589991 TLG589991 TVC589991 UEY589991 UOU589991 UYQ589991 VIM589991 VSI589991 WCE589991 WMA589991 WVW589991 O655527 JK655527 TG655527 ADC655527 AMY655527 AWU655527 BGQ655527 BQM655527 CAI655527 CKE655527 CUA655527 DDW655527 DNS655527 DXO655527 EHK655527 ERG655527 FBC655527 FKY655527 FUU655527 GEQ655527 GOM655527 GYI655527 HIE655527 HSA655527 IBW655527 ILS655527 IVO655527 JFK655527 JPG655527 JZC655527 KIY655527 KSU655527 LCQ655527 LMM655527 LWI655527 MGE655527 MQA655527 MZW655527 NJS655527 NTO655527 ODK655527 ONG655527 OXC655527 PGY655527 PQU655527 QAQ655527 QKM655527 QUI655527 REE655527 ROA655527 RXW655527 SHS655527 SRO655527 TBK655527 TLG655527 TVC655527 UEY655527 UOU655527 UYQ655527 VIM655527 VSI655527 WCE655527 WMA655527 WVW655527 O721063 JK721063 TG721063 ADC721063 AMY721063 AWU721063 BGQ721063 BQM721063 CAI721063 CKE721063 CUA721063 DDW721063 DNS721063 DXO721063 EHK721063 ERG721063 FBC721063 FKY721063 FUU721063 GEQ721063 GOM721063 GYI721063 HIE721063 HSA721063 IBW721063 ILS721063 IVO721063 JFK721063 JPG721063 JZC721063 KIY721063 KSU721063 LCQ721063 LMM721063 LWI721063 MGE721063 MQA721063 MZW721063 NJS721063 NTO721063 ODK721063 ONG721063 OXC721063 PGY721063 PQU721063 QAQ721063 QKM721063 QUI721063 REE721063 ROA721063 RXW721063 SHS721063 SRO721063 TBK721063 TLG721063 TVC721063 UEY721063 UOU721063 UYQ721063 VIM721063 VSI721063 WCE721063 WMA721063 WVW721063 O786599 JK786599 TG786599 ADC786599 AMY786599 AWU786599 BGQ786599 BQM786599 CAI786599 CKE786599 CUA786599 DDW786599 DNS786599 DXO786599 EHK786599 ERG786599 FBC786599 FKY786599 FUU786599 GEQ786599 GOM786599 GYI786599 HIE786599 HSA786599 IBW786599 ILS786599 IVO786599 JFK786599 JPG786599 JZC786599 KIY786599 KSU786599 LCQ786599 LMM786599 LWI786599 MGE786599 MQA786599 MZW786599 NJS786599 NTO786599 ODK786599 ONG786599 OXC786599 PGY786599 PQU786599 QAQ786599 QKM786599 QUI786599 REE786599 ROA786599 RXW786599 SHS786599 SRO786599 TBK786599 TLG786599 TVC786599 UEY786599 UOU786599 UYQ786599 VIM786599 VSI786599 WCE786599 WMA786599 WVW786599 O852135 JK852135 TG852135 ADC852135 AMY852135 AWU852135 BGQ852135 BQM852135 CAI852135 CKE852135 CUA852135 DDW852135 DNS852135 DXO852135 EHK852135 ERG852135 FBC852135 FKY852135 FUU852135 GEQ852135 GOM852135 GYI852135 HIE852135 HSA852135 IBW852135 ILS852135 IVO852135 JFK852135 JPG852135 JZC852135 KIY852135 KSU852135 LCQ852135 LMM852135 LWI852135 MGE852135 MQA852135 MZW852135 NJS852135 NTO852135 ODK852135 ONG852135 OXC852135 PGY852135 PQU852135 QAQ852135 QKM852135 QUI852135 REE852135 ROA852135 RXW852135 SHS852135 SRO852135 TBK852135 TLG852135 TVC852135 UEY852135 UOU852135 UYQ852135 VIM852135 VSI852135 WCE852135 WMA852135 WVW852135 O917671 JK917671 TG917671 ADC917671 AMY917671 AWU917671 BGQ917671 BQM917671 CAI917671 CKE917671 CUA917671 DDW917671 DNS917671 DXO917671 EHK917671 ERG917671 FBC917671 FKY917671 FUU917671 GEQ917671 GOM917671 GYI917671 HIE917671 HSA917671 IBW917671 ILS917671 IVO917671 JFK917671 JPG917671 JZC917671 KIY917671 KSU917671 LCQ917671 LMM917671 LWI917671 MGE917671 MQA917671 MZW917671 NJS917671 NTO917671 ODK917671 ONG917671 OXC917671 PGY917671 PQU917671 QAQ917671 QKM917671 QUI917671 REE917671 ROA917671 RXW917671 SHS917671 SRO917671 TBK917671 TLG917671 TVC917671 UEY917671 UOU917671 UYQ917671 VIM917671 VSI917671 WCE917671 WMA917671 WVW917671 O983207 JK983207 TG983207 ADC983207 AMY983207 AWU983207 BGQ983207 BQM983207 CAI983207 CKE983207 CUA983207 DDW983207 DNS983207 DXO983207 EHK983207 ERG983207 FBC983207 FKY983207 FUU983207 GEQ983207 GOM983207 GYI983207 HIE983207 HSA983207 IBW983207 ILS983207 IVO983207 JFK983207 JPG983207 JZC983207 KIY983207 KSU983207 LCQ983207 LMM983207 LWI983207 MGE983207 MQA983207 MZW983207 NJS983207 NTO983207 ODK983207 ONG983207 OXC983207 PGY983207 PQU983207 QAQ983207 QKM983207 QUI983207 REE983207 ROA983207 RXW983207 SHS983207 SRO983207 TBK983207 TLG983207 TVC983207 UEY983207 UOU983207 UYQ983207 VIM983207 VSI983207 WCE983207 WMA983207 WVW983207 WVZ983207 JJ352 TF352 ADB352 AMX352 AWT352 BGP352 BQL352 CAH352 CKD352 CTZ352 DDV352 DNR352 DXN352 EHJ352 ERF352 FBB352 FKX352 FUT352 GEP352 GOL352 GYH352 HID352 HRZ352 IBV352 ILR352 IVN352 JFJ352 JPF352 JZB352 KIX352 KST352 LCP352 LML352 LWH352 MGD352 MPZ352 MZV352 NJR352 NTN352 ODJ352 ONF352 OXB352 PGX352 PQT352 QAP352 QKL352 QUH352 RED352 RNZ352 RXV352 SHR352 SRN352 TBJ352 TLF352 TVB352 UEX352 UOT352 UYP352 VIL352 VSH352 WCD352 WLZ352 WVV352 N65888 JJ65888 TF65888 ADB65888 AMX65888 AWT65888 BGP65888 BQL65888 CAH65888 CKD65888 CTZ65888 DDV65888 DNR65888 DXN65888 EHJ65888 ERF65888 FBB65888 FKX65888 FUT65888 GEP65888 GOL65888 GYH65888 HID65888 HRZ65888 IBV65888 ILR65888 IVN65888 JFJ65888 JPF65888 JZB65888 KIX65888 KST65888 LCP65888 LML65888 LWH65888 MGD65888 MPZ65888 MZV65888 NJR65888 NTN65888 ODJ65888 ONF65888 OXB65888 PGX65888 PQT65888 QAP65888 QKL65888 QUH65888 RED65888 RNZ65888 RXV65888 SHR65888 SRN65888 TBJ65888 TLF65888 TVB65888 UEX65888 UOT65888 UYP65888 VIL65888 VSH65888 WCD65888 WLZ65888 WVV65888 N131424 JJ131424 TF131424 ADB131424 AMX131424 AWT131424 BGP131424 BQL131424 CAH131424 CKD131424 CTZ131424 DDV131424 DNR131424 DXN131424 EHJ131424 ERF131424 FBB131424 FKX131424 FUT131424 GEP131424 GOL131424 GYH131424 HID131424 HRZ131424 IBV131424 ILR131424 IVN131424 JFJ131424 JPF131424 JZB131424 KIX131424 KST131424 LCP131424 LML131424 LWH131424 MGD131424 MPZ131424 MZV131424 NJR131424 NTN131424 ODJ131424 ONF131424 OXB131424 PGX131424 PQT131424 QAP131424 QKL131424 QUH131424 RED131424 RNZ131424 RXV131424 SHR131424 SRN131424 TBJ131424 TLF131424 TVB131424 UEX131424 UOT131424 UYP131424 VIL131424 VSH131424 WCD131424 WLZ131424 WVV131424 N196960 JJ196960 TF196960 ADB196960 AMX196960 AWT196960 BGP196960 BQL196960 CAH196960 CKD196960 CTZ196960 DDV196960 DNR196960 DXN196960 EHJ196960 ERF196960 FBB196960 FKX196960 FUT196960 GEP196960 GOL196960 GYH196960 HID196960 HRZ196960 IBV196960 ILR196960 IVN196960 JFJ196960 JPF196960 JZB196960 KIX196960 KST196960 LCP196960 LML196960 LWH196960 MGD196960 MPZ196960 MZV196960 NJR196960 NTN196960 ODJ196960 ONF196960 OXB196960 PGX196960 PQT196960 QAP196960 QKL196960 QUH196960 RED196960 RNZ196960 RXV196960 SHR196960 SRN196960 TBJ196960 TLF196960 TVB196960 UEX196960 UOT196960 UYP196960 VIL196960 VSH196960 WCD196960 WLZ196960 WVV196960 N262496 JJ262496 TF262496 ADB262496 AMX262496 AWT262496 BGP262496 BQL262496 CAH262496 CKD262496 CTZ262496 DDV262496 DNR262496 DXN262496 EHJ262496 ERF262496 FBB262496 FKX262496 FUT262496 GEP262496 GOL262496 GYH262496 HID262496 HRZ262496 IBV262496 ILR262496 IVN262496 JFJ262496 JPF262496 JZB262496 KIX262496 KST262496 LCP262496 LML262496 LWH262496 MGD262496 MPZ262496 MZV262496 NJR262496 NTN262496 ODJ262496 ONF262496 OXB262496 PGX262496 PQT262496 QAP262496 QKL262496 QUH262496 RED262496 RNZ262496 RXV262496 SHR262496 SRN262496 TBJ262496 TLF262496 TVB262496 UEX262496 UOT262496 UYP262496 VIL262496 VSH262496 WCD262496 WLZ262496 WVV262496 N328032 JJ328032 TF328032 ADB328032 AMX328032 AWT328032 BGP328032 BQL328032 CAH328032 CKD328032 CTZ328032 DDV328032 DNR328032 DXN328032 EHJ328032 ERF328032 FBB328032 FKX328032 FUT328032 GEP328032 GOL328032 GYH328032 HID328032 HRZ328032 IBV328032 ILR328032 IVN328032 JFJ328032 JPF328032 JZB328032 KIX328032 KST328032 LCP328032 LML328032 LWH328032 MGD328032 MPZ328032 MZV328032 NJR328032 NTN328032 ODJ328032 ONF328032 OXB328032 PGX328032 PQT328032 QAP328032 QKL328032 QUH328032 RED328032 RNZ328032 RXV328032 SHR328032 SRN328032 TBJ328032 TLF328032 TVB328032 UEX328032 UOT328032 UYP328032 VIL328032 VSH328032 WCD328032 WLZ328032 WVV328032 N393568 JJ393568 TF393568 ADB393568 AMX393568 AWT393568 BGP393568 BQL393568 CAH393568 CKD393568 CTZ393568 DDV393568 DNR393568 DXN393568 EHJ393568 ERF393568 FBB393568 FKX393568 FUT393568 GEP393568 GOL393568 GYH393568 HID393568 HRZ393568 IBV393568 ILR393568 IVN393568 JFJ393568 JPF393568 JZB393568 KIX393568 KST393568 LCP393568 LML393568 LWH393568 MGD393568 MPZ393568 MZV393568 NJR393568 NTN393568 ODJ393568 ONF393568 OXB393568 PGX393568 PQT393568 QAP393568 QKL393568 QUH393568 RED393568 RNZ393568 RXV393568 SHR393568 SRN393568 TBJ393568 TLF393568 TVB393568 UEX393568 UOT393568 UYP393568 VIL393568 VSH393568 WCD393568 WLZ393568 WVV393568 N459104 JJ459104 TF459104 ADB459104 AMX459104 AWT459104 BGP459104 BQL459104 CAH459104 CKD459104 CTZ459104 DDV459104 DNR459104 DXN459104 EHJ459104 ERF459104 FBB459104 FKX459104 FUT459104 GEP459104 GOL459104 GYH459104 HID459104 HRZ459104 IBV459104 ILR459104 IVN459104 JFJ459104 JPF459104 JZB459104 KIX459104 KST459104 LCP459104 LML459104 LWH459104 MGD459104 MPZ459104 MZV459104 NJR459104 NTN459104 ODJ459104 ONF459104 OXB459104 PGX459104 PQT459104 QAP459104 QKL459104 QUH459104 RED459104 RNZ459104 RXV459104 SHR459104 SRN459104 TBJ459104 TLF459104 TVB459104 UEX459104 UOT459104 UYP459104 VIL459104 VSH459104 WCD459104 WLZ459104 WVV459104 N524640 JJ524640 TF524640 ADB524640 AMX524640 AWT524640 BGP524640 BQL524640 CAH524640 CKD524640 CTZ524640 DDV524640 DNR524640 DXN524640 EHJ524640 ERF524640 FBB524640 FKX524640 FUT524640 GEP524640 GOL524640 GYH524640 HID524640 HRZ524640 IBV524640 ILR524640 IVN524640 JFJ524640 JPF524640 JZB524640 KIX524640 KST524640 LCP524640 LML524640 LWH524640 MGD524640 MPZ524640 MZV524640 NJR524640 NTN524640 ODJ524640 ONF524640 OXB524640 PGX524640 PQT524640 QAP524640 QKL524640 QUH524640 RED524640 RNZ524640 RXV524640 SHR524640 SRN524640 TBJ524640 TLF524640 TVB524640 UEX524640 UOT524640 UYP524640 VIL524640 VSH524640 WCD524640 WLZ524640 WVV524640 N590176 JJ590176 TF590176 ADB590176 AMX590176 AWT590176 BGP590176 BQL590176 CAH590176 CKD590176 CTZ590176 DDV590176 DNR590176 DXN590176 EHJ590176 ERF590176 FBB590176 FKX590176 FUT590176 GEP590176 GOL590176 GYH590176 HID590176 HRZ590176 IBV590176 ILR590176 IVN590176 JFJ590176 JPF590176 JZB590176 KIX590176 KST590176 LCP590176 LML590176 LWH590176 MGD590176 MPZ590176 MZV590176 NJR590176 NTN590176 ODJ590176 ONF590176 OXB590176 PGX590176 PQT590176 QAP590176 QKL590176 QUH590176 RED590176 RNZ590176 RXV590176 SHR590176 SRN590176 TBJ590176 TLF590176 TVB590176 UEX590176 UOT590176 UYP590176 VIL590176 VSH590176 WCD590176 WLZ590176 WVV590176 N655712 JJ655712 TF655712 ADB655712 AMX655712 AWT655712 BGP655712 BQL655712 CAH655712 CKD655712 CTZ655712 DDV655712 DNR655712 DXN655712 EHJ655712 ERF655712 FBB655712 FKX655712 FUT655712 GEP655712 GOL655712 GYH655712 HID655712 HRZ655712 IBV655712 ILR655712 IVN655712 JFJ655712 JPF655712 JZB655712 KIX655712 KST655712 LCP655712 LML655712 LWH655712 MGD655712 MPZ655712 MZV655712 NJR655712 NTN655712 ODJ655712 ONF655712 OXB655712 PGX655712 PQT655712 QAP655712 QKL655712 QUH655712 RED655712 RNZ655712 RXV655712 SHR655712 SRN655712 TBJ655712 TLF655712 TVB655712 UEX655712 UOT655712 UYP655712 VIL655712 VSH655712 WCD655712 WLZ655712 WVV655712 N721248 JJ721248 TF721248 ADB721248 AMX721248 AWT721248 BGP721248 BQL721248 CAH721248 CKD721248 CTZ721248 DDV721248 DNR721248 DXN721248 EHJ721248 ERF721248 FBB721248 FKX721248 FUT721248 GEP721248 GOL721248 GYH721248 HID721248 HRZ721248 IBV721248 ILR721248 IVN721248 JFJ721248 JPF721248 JZB721248 KIX721248 KST721248 LCP721248 LML721248 LWH721248 MGD721248 MPZ721248 MZV721248 NJR721248 NTN721248 ODJ721248 ONF721248 OXB721248 PGX721248 PQT721248 QAP721248 QKL721248 QUH721248 RED721248 RNZ721248 RXV721248 SHR721248 SRN721248 TBJ721248 TLF721248 TVB721248 UEX721248 UOT721248 UYP721248 VIL721248 VSH721248 WCD721248 WLZ721248 WVV721248 N786784 JJ786784 TF786784 ADB786784 AMX786784 AWT786784 BGP786784 BQL786784 CAH786784 CKD786784 CTZ786784 DDV786784 DNR786784 DXN786784 EHJ786784 ERF786784 FBB786784 FKX786784 FUT786784 GEP786784 GOL786784 GYH786784 HID786784 HRZ786784 IBV786784 ILR786784 IVN786784 JFJ786784 JPF786784 JZB786784 KIX786784 KST786784 LCP786784 LML786784 LWH786784 MGD786784 MPZ786784 MZV786784 NJR786784 NTN786784 ODJ786784 ONF786784 OXB786784 PGX786784 PQT786784 QAP786784 QKL786784 QUH786784 RED786784 RNZ786784 RXV786784 SHR786784 SRN786784 TBJ786784 TLF786784 TVB786784 UEX786784 UOT786784 UYP786784 VIL786784 VSH786784 WCD786784 WLZ786784 WVV786784 N852320 JJ852320 TF852320 ADB852320 AMX852320 AWT852320 BGP852320 BQL852320 CAH852320 CKD852320 CTZ852320 DDV852320 DNR852320 DXN852320 EHJ852320 ERF852320 FBB852320 FKX852320 FUT852320 GEP852320 GOL852320 GYH852320 HID852320 HRZ852320 IBV852320 ILR852320 IVN852320 JFJ852320 JPF852320 JZB852320 KIX852320 KST852320 LCP852320 LML852320 LWH852320 MGD852320 MPZ852320 MZV852320 NJR852320 NTN852320 ODJ852320 ONF852320 OXB852320 PGX852320 PQT852320 QAP852320 QKL852320 QUH852320 RED852320 RNZ852320 RXV852320 SHR852320 SRN852320 TBJ852320 TLF852320 TVB852320 UEX852320 UOT852320 UYP852320 VIL852320 VSH852320 WCD852320 WLZ852320 WVV852320 N917856 JJ917856 TF917856 ADB917856 AMX917856 AWT917856 BGP917856 BQL917856 CAH917856 CKD917856 CTZ917856 DDV917856 DNR917856 DXN917856 EHJ917856 ERF917856 FBB917856 FKX917856 FUT917856 GEP917856 GOL917856 GYH917856 HID917856 HRZ917856 IBV917856 ILR917856 IVN917856 JFJ917856 JPF917856 JZB917856 KIX917856 KST917856 LCP917856 LML917856 LWH917856 MGD917856 MPZ917856 MZV917856 NJR917856 NTN917856 ODJ917856 ONF917856 OXB917856 PGX917856 PQT917856 QAP917856 QKL917856 QUH917856 RED917856 RNZ917856 RXV917856 SHR917856 SRN917856 TBJ917856 TLF917856 TVB917856 UEX917856 UOT917856 UYP917856 VIL917856 VSH917856 WCD917856 WLZ917856 WVV917856 N983392 JJ983392 TF983392 ADB983392 AMX983392 AWT983392 BGP983392 BQL983392 CAH983392 CKD983392 CTZ983392 DDV983392 DNR983392 DXN983392 EHJ983392 ERF983392 FBB983392 FKX983392 FUT983392 GEP983392 GOL983392 GYH983392 HID983392 HRZ983392 IBV983392 ILR983392 IVN983392 JFJ983392 JPF983392 JZB983392 KIX983392 KST983392 LCP983392 LML983392 LWH983392 MGD983392 MPZ983392 MZV983392 NJR983392 NTN983392 ODJ983392 ONF983392 OXB983392 PGX983392 PQT983392 QAP983392 QKL983392 QUH983392 RED983392 RNZ983392 RXV983392 SHR983392 SRN983392 TBJ983392 TLF983392 TVB983392 UEX983392 UOT983392 UYP983392 VIL983392 VSH983392 WCD983392 WLZ983392 WVV983392 WCH983207 JN167 TJ167 ADF167 ANB167 AWX167 BGT167 BQP167 CAL167 CKH167 CUD167 DDZ167 DNV167 DXR167 EHN167 ERJ167 FBF167 FLB167 FUX167 GET167 GOP167 GYL167 HIH167 HSD167 IBZ167 ILV167 IVR167 JFN167 JPJ167 JZF167 KJB167 KSX167 LCT167 LMP167 LWL167 MGH167 MQD167 MZZ167 NJV167 NTR167 ODN167 ONJ167 OXF167 PHB167 PQX167 QAT167 QKP167 QUL167 REH167 ROD167 RXZ167 SHV167 SRR167 TBN167 TLJ167 TVF167 UFB167 UOX167 UYT167 VIP167 VSL167 WCH167 WMD167 WVZ167 R65703 JN65703 TJ65703 ADF65703 ANB65703 AWX65703 BGT65703 BQP65703 CAL65703 CKH65703 CUD65703 DDZ65703 DNV65703 DXR65703 EHN65703 ERJ65703 FBF65703 FLB65703 FUX65703 GET65703 GOP65703 GYL65703 HIH65703 HSD65703 IBZ65703 ILV65703 IVR65703 JFN65703 JPJ65703 JZF65703 KJB65703 KSX65703 LCT65703 LMP65703 LWL65703 MGH65703 MQD65703 MZZ65703 NJV65703 NTR65703 ODN65703 ONJ65703 OXF65703 PHB65703 PQX65703 QAT65703 QKP65703 QUL65703 REH65703 ROD65703 RXZ65703 SHV65703 SRR65703 TBN65703 TLJ65703 TVF65703 UFB65703 UOX65703 UYT65703 VIP65703 VSL65703 WCH65703 WMD65703 WVZ65703 R131239 JN131239 TJ131239 ADF131239 ANB131239 AWX131239 BGT131239 BQP131239 CAL131239 CKH131239 CUD131239 DDZ131239 DNV131239 DXR131239 EHN131239 ERJ131239 FBF131239 FLB131239 FUX131239 GET131239 GOP131239 GYL131239 HIH131239 HSD131239 IBZ131239 ILV131239 IVR131239 JFN131239 JPJ131239 JZF131239 KJB131239 KSX131239 LCT131239 LMP131239 LWL131239 MGH131239 MQD131239 MZZ131239 NJV131239 NTR131239 ODN131239 ONJ131239 OXF131239 PHB131239 PQX131239 QAT131239 QKP131239 QUL131239 REH131239 ROD131239 RXZ131239 SHV131239 SRR131239 TBN131239 TLJ131239 TVF131239 UFB131239 UOX131239 UYT131239 VIP131239 VSL131239 WCH131239 WMD131239 WVZ131239 R196775 JN196775 TJ196775 ADF196775 ANB196775 AWX196775 BGT196775 BQP196775 CAL196775 CKH196775 CUD196775 DDZ196775 DNV196775 DXR196775 EHN196775 ERJ196775 FBF196775 FLB196775 FUX196775 GET196775 GOP196775 GYL196775 HIH196775 HSD196775 IBZ196775 ILV196775 IVR196775 JFN196775 JPJ196775 JZF196775 KJB196775 KSX196775 LCT196775 LMP196775 LWL196775 MGH196775 MQD196775 MZZ196775 NJV196775 NTR196775 ODN196775 ONJ196775 OXF196775 PHB196775 PQX196775 QAT196775 QKP196775 QUL196775 REH196775 ROD196775 RXZ196775 SHV196775 SRR196775 TBN196775 TLJ196775 TVF196775 UFB196775 UOX196775 UYT196775 VIP196775 VSL196775 WCH196775 WMD196775 WVZ196775 R262311 JN262311 TJ262311 ADF262311 ANB262311 AWX262311 BGT262311 BQP262311 CAL262311 CKH262311 CUD262311 DDZ262311 DNV262311 DXR262311 EHN262311 ERJ262311 FBF262311 FLB262311 FUX262311 GET262311 GOP262311 GYL262311 HIH262311 HSD262311 IBZ262311 ILV262311 IVR262311 JFN262311 JPJ262311 JZF262311 KJB262311 KSX262311 LCT262311 LMP262311 LWL262311 MGH262311 MQD262311 MZZ262311 NJV262311 NTR262311 ODN262311 ONJ262311 OXF262311 PHB262311 PQX262311 QAT262311 QKP262311 QUL262311 REH262311 ROD262311 RXZ262311 SHV262311 SRR262311 TBN262311 TLJ262311 TVF262311 UFB262311 UOX262311 UYT262311 VIP262311 VSL262311 WCH262311 WMD262311 WVZ262311 R327847 JN327847 TJ327847 ADF327847 ANB327847 AWX327847 BGT327847 BQP327847 CAL327847 CKH327847 CUD327847 DDZ327847 DNV327847 DXR327847 EHN327847 ERJ327847 FBF327847 FLB327847 FUX327847 GET327847 GOP327847 GYL327847 HIH327847 HSD327847 IBZ327847 ILV327847 IVR327847 JFN327847 JPJ327847 JZF327847 KJB327847 KSX327847 LCT327847 LMP327847 LWL327847 MGH327847 MQD327847 MZZ327847 NJV327847 NTR327847 ODN327847 ONJ327847 OXF327847 PHB327847 PQX327847 QAT327847 QKP327847 QUL327847 REH327847 ROD327847 RXZ327847 SHV327847 SRR327847 TBN327847 TLJ327847 TVF327847 UFB327847 UOX327847 UYT327847 VIP327847 VSL327847 WCH327847 WMD327847 WVZ327847 R393383 JN393383 TJ393383 ADF393383 ANB393383 AWX393383 BGT393383 BQP393383 CAL393383 CKH393383 CUD393383 DDZ393383 DNV393383 DXR393383 EHN393383 ERJ393383 FBF393383 FLB393383 FUX393383 GET393383 GOP393383 GYL393383 HIH393383 HSD393383 IBZ393383 ILV393383 IVR393383 JFN393383 JPJ393383 JZF393383 KJB393383 KSX393383 LCT393383 LMP393383 LWL393383 MGH393383 MQD393383 MZZ393383 NJV393383 NTR393383 ODN393383 ONJ393383 OXF393383 PHB393383 PQX393383 QAT393383 QKP393383 QUL393383 REH393383 ROD393383 RXZ393383 SHV393383 SRR393383 TBN393383 TLJ393383 TVF393383 UFB393383 UOX393383 UYT393383 VIP393383 VSL393383 WCH393383 WMD393383 WVZ393383 R458919 JN458919 TJ458919 ADF458919 ANB458919 AWX458919 BGT458919 BQP458919 CAL458919 CKH458919 CUD458919 DDZ458919 DNV458919 DXR458919 EHN458919 ERJ458919 FBF458919 FLB458919 FUX458919 GET458919 GOP458919 GYL458919 HIH458919 HSD458919 IBZ458919 ILV458919 IVR458919 JFN458919 JPJ458919 JZF458919 KJB458919 KSX458919 LCT458919 LMP458919 LWL458919 MGH458919 MQD458919 MZZ458919 NJV458919 NTR458919 ODN458919 ONJ458919 OXF458919 PHB458919 PQX458919 QAT458919 QKP458919 QUL458919 REH458919 ROD458919 RXZ458919 SHV458919 SRR458919 TBN458919 TLJ458919 TVF458919 UFB458919 UOX458919 UYT458919 VIP458919 VSL458919 WCH458919 WMD458919 WVZ458919 R524455 JN524455 TJ524455 ADF524455 ANB524455 AWX524455 BGT524455 BQP524455 CAL524455 CKH524455 CUD524455 DDZ524455 DNV524455 DXR524455 EHN524455 ERJ524455 FBF524455 FLB524455 FUX524455 GET524455 GOP524455 GYL524455 HIH524455 HSD524455 IBZ524455 ILV524455 IVR524455 JFN524455 JPJ524455 JZF524455 KJB524455 KSX524455 LCT524455 LMP524455 LWL524455 MGH524455 MQD524455 MZZ524455 NJV524455 NTR524455 ODN524455 ONJ524455 OXF524455 PHB524455 PQX524455 QAT524455 QKP524455 QUL524455 REH524455 ROD524455 RXZ524455 SHV524455 SRR524455 TBN524455 TLJ524455 TVF524455 UFB524455 UOX524455 UYT524455 VIP524455 VSL524455 WCH524455 WMD524455 WVZ524455 R589991 JN589991 TJ589991 ADF589991 ANB589991 AWX589991 BGT589991 BQP589991 CAL589991 CKH589991 CUD589991 DDZ589991 DNV589991 DXR589991 EHN589991 ERJ589991 FBF589991 FLB589991 FUX589991 GET589991 GOP589991 GYL589991 HIH589991 HSD589991 IBZ589991 ILV589991 IVR589991 JFN589991 JPJ589991 JZF589991 KJB589991 KSX589991 LCT589991 LMP589991 LWL589991 MGH589991 MQD589991 MZZ589991 NJV589991 NTR589991 ODN589991 ONJ589991 OXF589991 PHB589991 PQX589991 QAT589991 QKP589991 QUL589991 REH589991 ROD589991 RXZ589991 SHV589991 SRR589991 TBN589991 TLJ589991 TVF589991 UFB589991 UOX589991 UYT589991 VIP589991 VSL589991 WCH589991 WMD589991 WVZ589991 R655527 JN655527 TJ655527 ADF655527 ANB655527 AWX655527 BGT655527 BQP655527 CAL655527 CKH655527 CUD655527 DDZ655527 DNV655527 DXR655527 EHN655527 ERJ655527 FBF655527 FLB655527 FUX655527 GET655527 GOP655527 GYL655527 HIH655527 HSD655527 IBZ655527 ILV655527 IVR655527 JFN655527 JPJ655527 JZF655527 KJB655527 KSX655527 LCT655527 LMP655527 LWL655527 MGH655527 MQD655527 MZZ655527 NJV655527 NTR655527 ODN655527 ONJ655527 OXF655527 PHB655527 PQX655527 QAT655527 QKP655527 QUL655527 REH655527 ROD655527 RXZ655527 SHV655527 SRR655527 TBN655527 TLJ655527 TVF655527 UFB655527 UOX655527 UYT655527 VIP655527 VSL655527 WCH655527 WMD655527 WVZ655527 R721063 JN721063 TJ721063 ADF721063 ANB721063 AWX721063 BGT721063 BQP721063 CAL721063 CKH721063 CUD721063 DDZ721063 DNV721063 DXR721063 EHN721063 ERJ721063 FBF721063 FLB721063 FUX721063 GET721063 GOP721063 GYL721063 HIH721063 HSD721063 IBZ721063 ILV721063 IVR721063 JFN721063 JPJ721063 JZF721063 KJB721063 KSX721063 LCT721063 LMP721063 LWL721063 MGH721063 MQD721063 MZZ721063 NJV721063 NTR721063 ODN721063 ONJ721063 OXF721063 PHB721063 PQX721063 QAT721063 QKP721063 QUL721063 REH721063 ROD721063 RXZ721063 SHV721063 SRR721063 TBN721063 TLJ721063 TVF721063 UFB721063 UOX721063 UYT721063 VIP721063 VSL721063 WCH721063 WMD721063 WVZ721063 R786599 JN786599 TJ786599 ADF786599 ANB786599 AWX786599 BGT786599 BQP786599 CAL786599 CKH786599 CUD786599 DDZ786599 DNV786599 DXR786599 EHN786599 ERJ786599 FBF786599 FLB786599 FUX786599 GET786599 GOP786599 GYL786599 HIH786599 HSD786599 IBZ786599 ILV786599 IVR786599 JFN786599 JPJ786599 JZF786599 KJB786599 KSX786599 LCT786599 LMP786599 LWL786599 MGH786599 MQD786599 MZZ786599 NJV786599 NTR786599 ODN786599 ONJ786599 OXF786599 PHB786599 PQX786599 QAT786599 QKP786599 QUL786599 REH786599 ROD786599 RXZ786599 SHV786599 SRR786599 TBN786599 TLJ786599 TVF786599 UFB786599 UOX786599 UYT786599 VIP786599 VSL786599 WCH786599 WMD786599 WVZ786599 R852135 JN852135 TJ852135 ADF852135 ANB852135 AWX852135 BGT852135 BQP852135 CAL852135 CKH852135 CUD852135 DDZ852135 DNV852135 DXR852135 EHN852135 ERJ852135 FBF852135 FLB852135 FUX852135 GET852135 GOP852135 GYL852135 HIH852135 HSD852135 IBZ852135 ILV852135 IVR852135 JFN852135 JPJ852135 JZF852135 KJB852135 KSX852135 LCT852135 LMP852135 LWL852135 MGH852135 MQD852135 MZZ852135 NJV852135 NTR852135 ODN852135 ONJ852135 OXF852135 PHB852135 PQX852135 QAT852135 QKP852135 QUL852135 REH852135 ROD852135 RXZ852135 SHV852135 SRR852135 TBN852135 TLJ852135 TVF852135 UFB852135 UOX852135 UYT852135 VIP852135 VSL852135 WCH852135 WMD852135 WVZ852135 R917671 JN917671 TJ917671 ADF917671 ANB917671 AWX917671 BGT917671 BQP917671 CAL917671 CKH917671 CUD917671 DDZ917671 DNV917671 DXR917671 EHN917671 ERJ917671 FBF917671 FLB917671 FUX917671 GET917671 GOP917671 GYL917671 HIH917671 HSD917671 IBZ917671 ILV917671 IVR917671 JFN917671 JPJ917671 JZF917671 KJB917671 KSX917671 LCT917671 LMP917671 LWL917671 MGH917671 MQD917671 MZZ917671 NJV917671 NTR917671 ODN917671 ONJ917671 OXF917671 PHB917671 PQX917671 QAT917671 QKP917671 QUL917671 REH917671 ROD917671 RXZ917671 SHV917671 SRR917671 TBN917671 TLJ917671 TVF917671 UFB917671 UOX917671 UYT917671 VIP917671 VSL917671 WCH917671 WMD917671 WVZ917671 R983207 JN983207 TJ983207 ADF983207 ANB983207 AWX983207 BGT983207 BQP983207 CAL983207 CKH983207 CUD983207 DDZ983207 DNV983207 DXR983207 EHN983207 ERJ983207 FBF983207 FLB983207 FUX983207 GET983207 GOP983207 GYL983207 HIH983207 HSD983207 IBZ983207 ILV983207 IVR983207 JFN983207 JPJ983207 JZF983207 KJB983207 KSX983207 LCT983207 LMP983207 LWL983207 MGH983207 MQD983207 MZZ983207 NJV983207 NTR983207 ODN983207 ONJ983207 OXF983207 PHB983207 PQX983207 QAT983207 QKP983207 QUL983207 REH983207 ROD983207 RXZ983207 SHV983207 SRR983207 TBN983207 TLJ983207 TVF983207 UFB983207 UOX983207 UYT983207 VIP983207 VSL983207" xr:uid="{00000000-0002-0000-0000-00000D000000}">
      <formula1>janejfed</formula1>
    </dataValidation>
    <dataValidation type="list" allowBlank="1" showInputMessage="1" showErrorMessage="1" sqref="I9" xr:uid="{00000000-0002-0000-0000-00000E000000}">
      <formula1>$DB$8:$DB$10</formula1>
    </dataValidation>
    <dataValidation type="list" allowBlank="1" showInputMessage="1" showErrorMessage="1" sqref="I10" xr:uid="{00000000-0002-0000-0000-00000F000000}">
      <formula1>$CZ$8:$CZ$13</formula1>
    </dataValidation>
    <dataValidation type="list" allowBlank="1" showInputMessage="1" showErrorMessage="1" sqref="I11" xr:uid="{00000000-0002-0000-0000-000010000000}">
      <formula1>$DA$8:$DA$12</formula1>
    </dataValidation>
    <dataValidation type="list" allowBlank="1" showInputMessage="1" showErrorMessage="1" sqref="G50" xr:uid="{00000000-0002-0000-0000-000011000000}">
      <formula1>$CY$8:$CY$14</formula1>
    </dataValidation>
    <dataValidation type="list" allowBlank="1" showInputMessage="1" showErrorMessage="1" sqref="O189" xr:uid="{00000000-0002-0000-0000-000012000000}">
      <formula1>$CW$12:$CW$13</formula1>
    </dataValidation>
    <dataValidation type="list" allowBlank="1" showInputMessage="1" showErrorMessage="1" sqref="H330" xr:uid="{00000000-0002-0000-0000-000013000000}">
      <formula1>$DB$12:$DB$13</formula1>
    </dataValidation>
    <dataValidation type="list" allowBlank="1" showInputMessage="1" showErrorMessage="1" sqref="J330" xr:uid="{00000000-0002-0000-0000-000014000000}">
      <formula1>$DB$15:$DB$16</formula1>
    </dataValidation>
    <dataValidation type="list" allowBlank="1" showInputMessage="1" showErrorMessage="1" sqref="H10" xr:uid="{00000000-0002-0000-0000-000015000000}">
      <formula1>$DD$8:$DD$11</formula1>
    </dataValidation>
    <dataValidation type="list" allowBlank="1" showInputMessage="1" showErrorMessage="1" sqref="N2" xr:uid="{00000000-0002-0000-0000-000016000000}">
      <formula1>$DC$8:$DC$10</formula1>
    </dataValidation>
    <dataValidation type="list" allowBlank="1" showInputMessage="1" showErrorMessage="1" sqref="Q8" xr:uid="{00000000-0002-0000-0000-000017000000}">
      <formula1>$DC$13:$DC$14</formula1>
    </dataValidation>
  </dataValidations>
  <printOptions horizontalCentered="1"/>
  <pageMargins left="0.39370078740157483" right="0.39370078740157483" top="0.9055118110236221" bottom="0.19685039370078741" header="0" footer="0"/>
  <pageSetup paperSize="9" scale="75"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Line="0" autoPict="0" macro="[0]!UDSKRIV">
                <anchor moveWithCells="1" sizeWithCells="1">
                  <from>
                    <xdr:col>11</xdr:col>
                    <xdr:colOff>381000</xdr:colOff>
                    <xdr:row>7</xdr:row>
                    <xdr:rowOff>76200</xdr:rowOff>
                  </from>
                  <to>
                    <xdr:col>13</xdr:col>
                    <xdr:colOff>104775</xdr:colOff>
                    <xdr:row>10</xdr:row>
                    <xdr:rowOff>76200</xdr:rowOff>
                  </to>
                </anchor>
              </controlPr>
            </control>
          </mc:Choice>
        </mc:AlternateContent>
        <mc:AlternateContent xmlns:mc="http://schemas.openxmlformats.org/markup-compatibility/2006">
          <mc:Choice Requires="x14">
            <control shapeId="1026" r:id="rId5" name="Button 2">
              <controlPr locked="0" defaultSize="0" print="0" autoFill="0" autoLine="0" autoPict="0" macro="[0]!UDSKRBRAND">
                <anchor moveWithCells="1" sizeWithCells="1">
                  <from>
                    <xdr:col>2</xdr:col>
                    <xdr:colOff>247650</xdr:colOff>
                    <xdr:row>472</xdr:row>
                    <xdr:rowOff>95250</xdr:rowOff>
                  </from>
                  <to>
                    <xdr:col>5</xdr:col>
                    <xdr:colOff>495300</xdr:colOff>
                    <xdr:row>474</xdr:row>
                    <xdr:rowOff>19050</xdr:rowOff>
                  </to>
                </anchor>
              </controlPr>
            </control>
          </mc:Choice>
        </mc:AlternateContent>
        <mc:AlternateContent xmlns:mc="http://schemas.openxmlformats.org/markup-compatibility/2006">
          <mc:Choice Requires="x14">
            <control shapeId="1027" r:id="rId6" name="Button 3">
              <controlPr locked="0" defaultSize="0" print="0" autoFill="0" autoLine="0" autoPict="0" macro="[0]!LÅSARK">
                <anchor moveWithCells="1" sizeWithCells="1">
                  <from>
                    <xdr:col>0</xdr:col>
                    <xdr:colOff>57150</xdr:colOff>
                    <xdr:row>0</xdr:row>
                    <xdr:rowOff>38100</xdr:rowOff>
                  </from>
                  <to>
                    <xdr:col>0</xdr:col>
                    <xdr:colOff>219075</xdr:colOff>
                    <xdr:row>1</xdr:row>
                    <xdr:rowOff>47625</xdr:rowOff>
                  </to>
                </anchor>
              </controlPr>
            </control>
          </mc:Choice>
        </mc:AlternateContent>
        <mc:AlternateContent xmlns:mc="http://schemas.openxmlformats.org/markup-compatibility/2006">
          <mc:Choice Requires="x14">
            <control shapeId="1028" r:id="rId7" name="Button 4">
              <controlPr locked="0" defaultSize="0" autoFill="0" autoLine="0" autoPict="0" macro="[0]!SÆTLUFT30">
                <anchor moveWithCells="1" sizeWithCells="1">
                  <from>
                    <xdr:col>11</xdr:col>
                    <xdr:colOff>142875</xdr:colOff>
                    <xdr:row>117</xdr:row>
                    <xdr:rowOff>47625</xdr:rowOff>
                  </from>
                  <to>
                    <xdr:col>12</xdr:col>
                    <xdr:colOff>819150</xdr:colOff>
                    <xdr:row>118</xdr:row>
                    <xdr:rowOff>66675</xdr:rowOff>
                  </to>
                </anchor>
              </controlPr>
            </control>
          </mc:Choice>
        </mc:AlternateContent>
        <mc:AlternateContent xmlns:mc="http://schemas.openxmlformats.org/markup-compatibility/2006">
          <mc:Choice Requires="x14">
            <control shapeId="1029" r:id="rId8" name="Button 5">
              <controlPr locked="0" defaultSize="0" autoFill="0" autoLine="0" autoPict="0" macro="[0]!LÅSDORNMÅLOP">
                <anchor moveWithCells="1" sizeWithCells="1">
                  <from>
                    <xdr:col>0</xdr:col>
                    <xdr:colOff>142875</xdr:colOff>
                    <xdr:row>118</xdr:row>
                    <xdr:rowOff>76200</xdr:rowOff>
                  </from>
                  <to>
                    <xdr:col>0</xdr:col>
                    <xdr:colOff>1066800</xdr:colOff>
                    <xdr:row>119</xdr:row>
                    <xdr:rowOff>104775</xdr:rowOff>
                  </to>
                </anchor>
              </controlPr>
            </control>
          </mc:Choice>
        </mc:AlternateContent>
        <mc:AlternateContent xmlns:mc="http://schemas.openxmlformats.org/markup-compatibility/2006">
          <mc:Choice Requires="x14">
            <control shapeId="1030" r:id="rId9" name="Button 6">
              <controlPr locked="0" defaultSize="0" autoFill="0" autoLine="0" autoPict="0" macro="[1]!ModuleI.RUSTFRIDORN">
                <anchor moveWithCells="1" sizeWithCells="1">
                  <from>
                    <xdr:col>12</xdr:col>
                    <xdr:colOff>590550</xdr:colOff>
                    <xdr:row>127</xdr:row>
                    <xdr:rowOff>9525</xdr:rowOff>
                  </from>
                  <to>
                    <xdr:col>13</xdr:col>
                    <xdr:colOff>666750</xdr:colOff>
                    <xdr:row>128</xdr:row>
                    <xdr:rowOff>0</xdr:rowOff>
                  </to>
                </anchor>
              </controlPr>
            </control>
          </mc:Choice>
        </mc:AlternateContent>
        <mc:AlternateContent xmlns:mc="http://schemas.openxmlformats.org/markup-compatibility/2006">
          <mc:Choice Requires="x14">
            <control shapeId="1031" r:id="rId10" name="Button 7">
              <controlPr locked="0" defaultSize="0" autoFill="0" autoLine="0" autoPict="0" macro="[0]!LÅSHEFUOP">
                <anchor moveWithCells="1" sizeWithCells="1">
                  <from>
                    <xdr:col>7</xdr:col>
                    <xdr:colOff>495300</xdr:colOff>
                    <xdr:row>97</xdr:row>
                    <xdr:rowOff>38100</xdr:rowOff>
                  </from>
                  <to>
                    <xdr:col>7</xdr:col>
                    <xdr:colOff>609600</xdr:colOff>
                    <xdr:row>97</xdr:row>
                    <xdr:rowOff>142875</xdr:rowOff>
                  </to>
                </anchor>
              </controlPr>
            </control>
          </mc:Choice>
        </mc:AlternateContent>
        <mc:AlternateContent xmlns:mc="http://schemas.openxmlformats.org/markup-compatibility/2006">
          <mc:Choice Requires="x14">
            <control shapeId="1032" r:id="rId11" name="Button 8">
              <controlPr locked="0" defaultSize="0" autoFill="0" autoLine="0" autoPict="0" macro="[0]!LÅSAUOP">
                <anchor moveWithCells="1" sizeWithCells="1">
                  <from>
                    <xdr:col>7</xdr:col>
                    <xdr:colOff>495300</xdr:colOff>
                    <xdr:row>98</xdr:row>
                    <xdr:rowOff>28575</xdr:rowOff>
                  </from>
                  <to>
                    <xdr:col>7</xdr:col>
                    <xdr:colOff>609600</xdr:colOff>
                    <xdr:row>98</xdr:row>
                    <xdr:rowOff>171450</xdr:rowOff>
                  </to>
                </anchor>
              </controlPr>
            </control>
          </mc:Choice>
        </mc:AlternateContent>
        <mc:AlternateContent xmlns:mc="http://schemas.openxmlformats.org/markup-compatibility/2006">
          <mc:Choice Requires="x14">
            <control shapeId="1033" r:id="rId12" name="Button 9">
              <controlPr locked="0" defaultSize="0" autoFill="0" autoLine="0" autoPict="0" macro="[0]!LÅSHEF1TOP">
                <anchor moveWithCells="1" sizeWithCells="1">
                  <from>
                    <xdr:col>7</xdr:col>
                    <xdr:colOff>495300</xdr:colOff>
                    <xdr:row>234</xdr:row>
                    <xdr:rowOff>85725</xdr:rowOff>
                  </from>
                  <to>
                    <xdr:col>7</xdr:col>
                    <xdr:colOff>600075</xdr:colOff>
                    <xdr:row>235</xdr:row>
                    <xdr:rowOff>9525</xdr:rowOff>
                  </to>
                </anchor>
              </controlPr>
            </control>
          </mc:Choice>
        </mc:AlternateContent>
        <mc:AlternateContent xmlns:mc="http://schemas.openxmlformats.org/markup-compatibility/2006">
          <mc:Choice Requires="x14">
            <control shapeId="1034" r:id="rId13" name="Button 10">
              <controlPr locked="0" defaultSize="0" autoFill="0" autoLine="0" autoPict="0" macro="[0]!LÅSKBTOP">
                <anchor moveWithCells="1" sizeWithCells="1">
                  <from>
                    <xdr:col>7</xdr:col>
                    <xdr:colOff>495300</xdr:colOff>
                    <xdr:row>235</xdr:row>
                    <xdr:rowOff>85725</xdr:rowOff>
                  </from>
                  <to>
                    <xdr:col>7</xdr:col>
                    <xdr:colOff>600075</xdr:colOff>
                    <xdr:row>236</xdr:row>
                    <xdr:rowOff>9525</xdr:rowOff>
                  </to>
                </anchor>
              </controlPr>
            </control>
          </mc:Choice>
        </mc:AlternateContent>
        <mc:AlternateContent xmlns:mc="http://schemas.openxmlformats.org/markup-compatibility/2006">
          <mc:Choice Requires="x14">
            <control shapeId="1035" r:id="rId14" name="Button 11">
              <controlPr locked="0" defaultSize="0" autoFill="0" autoLine="0" autoPict="0" macro="[0]!LÅSATOP">
                <anchor moveWithCells="1" sizeWithCells="1">
                  <from>
                    <xdr:col>7</xdr:col>
                    <xdr:colOff>485775</xdr:colOff>
                    <xdr:row>237</xdr:row>
                    <xdr:rowOff>66675</xdr:rowOff>
                  </from>
                  <to>
                    <xdr:col>7</xdr:col>
                    <xdr:colOff>590550</xdr:colOff>
                    <xdr:row>237</xdr:row>
                    <xdr:rowOff>171450</xdr:rowOff>
                  </to>
                </anchor>
              </controlPr>
            </control>
          </mc:Choice>
        </mc:AlternateContent>
        <mc:AlternateContent xmlns:mc="http://schemas.openxmlformats.org/markup-compatibility/2006">
          <mc:Choice Requires="x14">
            <control shapeId="1036" r:id="rId15" name="Button 12">
              <controlPr locked="0" defaultSize="0" autoFill="0" autoLine="0" autoPict="0" macro="[0]!LÅSHEF2TOP">
                <anchor moveWithCells="1" sizeWithCells="1">
                  <from>
                    <xdr:col>7</xdr:col>
                    <xdr:colOff>485775</xdr:colOff>
                    <xdr:row>238</xdr:row>
                    <xdr:rowOff>76200</xdr:rowOff>
                  </from>
                  <to>
                    <xdr:col>7</xdr:col>
                    <xdr:colOff>590550</xdr:colOff>
                    <xdr:row>239</xdr:row>
                    <xdr:rowOff>0</xdr:rowOff>
                  </to>
                </anchor>
              </controlPr>
            </control>
          </mc:Choice>
        </mc:AlternateContent>
        <mc:AlternateContent xmlns:mc="http://schemas.openxmlformats.org/markup-compatibility/2006">
          <mc:Choice Requires="x14">
            <control shapeId="1037" r:id="rId16" name="Button 13">
              <controlPr locked="0" defaultSize="0" autoFill="0" autoLine="0" autoPict="0" macro="[0]!LÅSHEF1BDOP">
                <anchor moveWithCells="1" sizeWithCells="1">
                  <from>
                    <xdr:col>7</xdr:col>
                    <xdr:colOff>485775</xdr:colOff>
                    <xdr:row>253</xdr:row>
                    <xdr:rowOff>76200</xdr:rowOff>
                  </from>
                  <to>
                    <xdr:col>7</xdr:col>
                    <xdr:colOff>590550</xdr:colOff>
                    <xdr:row>254</xdr:row>
                    <xdr:rowOff>0</xdr:rowOff>
                  </to>
                </anchor>
              </controlPr>
            </control>
          </mc:Choice>
        </mc:AlternateContent>
        <mc:AlternateContent xmlns:mc="http://schemas.openxmlformats.org/markup-compatibility/2006">
          <mc:Choice Requires="x14">
            <control shapeId="1038" r:id="rId17" name="Button 14">
              <controlPr locked="0" defaultSize="0" autoFill="0" autoLine="0" autoPict="0" macro="[0]!LÅSKBBDOP">
                <anchor moveWithCells="1" sizeWithCells="1">
                  <from>
                    <xdr:col>7</xdr:col>
                    <xdr:colOff>485775</xdr:colOff>
                    <xdr:row>254</xdr:row>
                    <xdr:rowOff>76200</xdr:rowOff>
                  </from>
                  <to>
                    <xdr:col>7</xdr:col>
                    <xdr:colOff>590550</xdr:colOff>
                    <xdr:row>255</xdr:row>
                    <xdr:rowOff>0</xdr:rowOff>
                  </to>
                </anchor>
              </controlPr>
            </control>
          </mc:Choice>
        </mc:AlternateContent>
        <mc:AlternateContent xmlns:mc="http://schemas.openxmlformats.org/markup-compatibility/2006">
          <mc:Choice Requires="x14">
            <control shapeId="1039" r:id="rId18" name="Button 15">
              <controlPr locked="0" defaultSize="0" autoFill="0" autoLine="0" autoPict="0" macro="[0]!LÅSABDOP">
                <anchor moveWithCells="1" sizeWithCells="1">
                  <from>
                    <xdr:col>7</xdr:col>
                    <xdr:colOff>485775</xdr:colOff>
                    <xdr:row>256</xdr:row>
                    <xdr:rowOff>66675</xdr:rowOff>
                  </from>
                  <to>
                    <xdr:col>7</xdr:col>
                    <xdr:colOff>590550</xdr:colOff>
                    <xdr:row>256</xdr:row>
                    <xdr:rowOff>152400</xdr:rowOff>
                  </to>
                </anchor>
              </controlPr>
            </control>
          </mc:Choice>
        </mc:AlternateContent>
        <mc:AlternateContent xmlns:mc="http://schemas.openxmlformats.org/markup-compatibility/2006">
          <mc:Choice Requires="x14">
            <control shapeId="1040" r:id="rId19" name="Button 16">
              <controlPr locked="0" defaultSize="0" autoFill="0" autoLine="0" autoPict="0" macro="[0]!LÅS120TOP">
                <anchor moveWithCells="1" sizeWithCells="1">
                  <from>
                    <xdr:col>5</xdr:col>
                    <xdr:colOff>571500</xdr:colOff>
                    <xdr:row>240</xdr:row>
                    <xdr:rowOff>47625</xdr:rowOff>
                  </from>
                  <to>
                    <xdr:col>5</xdr:col>
                    <xdr:colOff>676275</xdr:colOff>
                    <xdr:row>240</xdr:row>
                    <xdr:rowOff>171450</xdr:rowOff>
                  </to>
                </anchor>
              </controlPr>
            </control>
          </mc:Choice>
        </mc:AlternateContent>
        <mc:AlternateContent xmlns:mc="http://schemas.openxmlformats.org/markup-compatibility/2006">
          <mc:Choice Requires="x14">
            <control shapeId="1041" r:id="rId20" name="Button 17">
              <controlPr locked="0" defaultSize="0" autoFill="0" autoLine="0" autoPict="0" macro="[0]!LÅS120BDOP">
                <anchor moveWithCells="1" sizeWithCells="1">
                  <from>
                    <xdr:col>5</xdr:col>
                    <xdr:colOff>581025</xdr:colOff>
                    <xdr:row>261</xdr:row>
                    <xdr:rowOff>28575</xdr:rowOff>
                  </from>
                  <to>
                    <xdr:col>5</xdr:col>
                    <xdr:colOff>685800</xdr:colOff>
                    <xdr:row>261</xdr:row>
                    <xdr:rowOff>142875</xdr:rowOff>
                  </to>
                </anchor>
              </controlPr>
            </control>
          </mc:Choice>
        </mc:AlternateContent>
        <mc:AlternateContent xmlns:mc="http://schemas.openxmlformats.org/markup-compatibility/2006">
          <mc:Choice Requires="x14">
            <control shapeId="1042" r:id="rId21" name="Button 18">
              <controlPr locked="0" defaultSize="0" autoFill="0" autoLine="0" autoPict="0" macro="[0]!LÅS120UOP">
                <anchor moveWithCells="1" sizeWithCells="1">
                  <from>
                    <xdr:col>5</xdr:col>
                    <xdr:colOff>571500</xdr:colOff>
                    <xdr:row>101</xdr:row>
                    <xdr:rowOff>28575</xdr:rowOff>
                  </from>
                  <to>
                    <xdr:col>5</xdr:col>
                    <xdr:colOff>695325</xdr:colOff>
                    <xdr:row>101</xdr:row>
                    <xdr:rowOff>142875</xdr:rowOff>
                  </to>
                </anchor>
              </controlPr>
            </control>
          </mc:Choice>
        </mc:AlternateContent>
        <mc:AlternateContent xmlns:mc="http://schemas.openxmlformats.org/markup-compatibility/2006">
          <mc:Choice Requires="x14">
            <control shapeId="1043" r:id="rId22" name="Button 19">
              <controlPr locked="0" defaultSize="0" autoFill="0" autoLine="0" autoPict="0" macro="[0]!LÅSFYKDORNOP">
                <anchor moveWithCells="1" sizeWithCells="1">
                  <from>
                    <xdr:col>14</xdr:col>
                    <xdr:colOff>57150</xdr:colOff>
                    <xdr:row>127</xdr:row>
                    <xdr:rowOff>38100</xdr:rowOff>
                  </from>
                  <to>
                    <xdr:col>14</xdr:col>
                    <xdr:colOff>200025</xdr:colOff>
                    <xdr:row>127</xdr:row>
                    <xdr:rowOff>142875</xdr:rowOff>
                  </to>
                </anchor>
              </controlPr>
            </control>
          </mc:Choice>
        </mc:AlternateContent>
        <mc:AlternateContent xmlns:mc="http://schemas.openxmlformats.org/markup-compatibility/2006">
          <mc:Choice Requires="x14">
            <control shapeId="1044" r:id="rId23" name="Button 20">
              <controlPr locked="0" defaultSize="0" autoFill="0" autoLine="0" autoPict="0" macro="[1]!LÅSASPLADEVOP">
                <anchor moveWithCells="1" sizeWithCells="1">
                  <from>
                    <xdr:col>20</xdr:col>
                    <xdr:colOff>495300</xdr:colOff>
                    <xdr:row>69</xdr:row>
                    <xdr:rowOff>38100</xdr:rowOff>
                  </from>
                  <to>
                    <xdr:col>20</xdr:col>
                    <xdr:colOff>609600</xdr:colOff>
                    <xdr:row>69</xdr:row>
                    <xdr:rowOff>142875</xdr:rowOff>
                  </to>
                </anchor>
              </controlPr>
            </control>
          </mc:Choice>
        </mc:AlternateContent>
        <mc:AlternateContent xmlns:mc="http://schemas.openxmlformats.org/markup-compatibility/2006">
          <mc:Choice Requires="x14">
            <control shapeId="1045" r:id="rId24" name="Button 21">
              <controlPr locked="0" defaultSize="0" autoFill="0" autoLine="0" autoPict="0" macro="[1]!LÅSASPLADEHOP">
                <anchor moveWithCells="1" sizeWithCells="1">
                  <from>
                    <xdr:col>20</xdr:col>
                    <xdr:colOff>495300</xdr:colOff>
                    <xdr:row>74</xdr:row>
                    <xdr:rowOff>38100</xdr:rowOff>
                  </from>
                  <to>
                    <xdr:col>20</xdr:col>
                    <xdr:colOff>609600</xdr:colOff>
                    <xdr:row>74</xdr:row>
                    <xdr:rowOff>152400</xdr:rowOff>
                  </to>
                </anchor>
              </controlPr>
            </control>
          </mc:Choice>
        </mc:AlternateContent>
        <mc:AlternateContent xmlns:mc="http://schemas.openxmlformats.org/markup-compatibility/2006">
          <mc:Choice Requires="x14">
            <control shapeId="1046" r:id="rId25" name="Button 22">
              <controlPr locked="0" defaultSize="0" autoFill="0" autoLine="0" autoPict="0" macro="[1]!LÅSASPLSTRIMVOP">
                <anchor moveWithCells="1" sizeWithCells="1">
                  <from>
                    <xdr:col>20</xdr:col>
                    <xdr:colOff>495300</xdr:colOff>
                    <xdr:row>79</xdr:row>
                    <xdr:rowOff>38100</xdr:rowOff>
                  </from>
                  <to>
                    <xdr:col>20</xdr:col>
                    <xdr:colOff>609600</xdr:colOff>
                    <xdr:row>79</xdr:row>
                    <xdr:rowOff>142875</xdr:rowOff>
                  </to>
                </anchor>
              </controlPr>
            </control>
          </mc:Choice>
        </mc:AlternateContent>
        <mc:AlternateContent xmlns:mc="http://schemas.openxmlformats.org/markup-compatibility/2006">
          <mc:Choice Requires="x14">
            <control shapeId="1047" r:id="rId26" name="Button 23">
              <controlPr locked="0" defaultSize="0" autoFill="0" autoLine="0" autoPict="0" macro="[1]!LÅSASPLSTRIMHOP">
                <anchor moveWithCells="1" sizeWithCells="1">
                  <from>
                    <xdr:col>20</xdr:col>
                    <xdr:colOff>495300</xdr:colOff>
                    <xdr:row>84</xdr:row>
                    <xdr:rowOff>38100</xdr:rowOff>
                  </from>
                  <to>
                    <xdr:col>20</xdr:col>
                    <xdr:colOff>609600</xdr:colOff>
                    <xdr:row>84</xdr:row>
                    <xdr:rowOff>142875</xdr:rowOff>
                  </to>
                </anchor>
              </controlPr>
            </control>
          </mc:Choice>
        </mc:AlternateContent>
        <mc:AlternateContent xmlns:mc="http://schemas.openxmlformats.org/markup-compatibility/2006">
          <mc:Choice Requires="x14">
            <control shapeId="1048" r:id="rId27" name="Button 24">
              <controlPr locked="0" defaultSize="0" autoFill="0" autoLine="0" autoPict="0" macro="[0]!LÅSASPSTIMENDOP">
                <anchor moveWithCells="1" sizeWithCells="1">
                  <from>
                    <xdr:col>22</xdr:col>
                    <xdr:colOff>495300</xdr:colOff>
                    <xdr:row>143</xdr:row>
                    <xdr:rowOff>38100</xdr:rowOff>
                  </from>
                  <to>
                    <xdr:col>22</xdr:col>
                    <xdr:colOff>609600</xdr:colOff>
                    <xdr:row>143</xdr:row>
                    <xdr:rowOff>142875</xdr:rowOff>
                  </to>
                </anchor>
              </controlPr>
            </control>
          </mc:Choice>
        </mc:AlternateContent>
        <mc:AlternateContent xmlns:mc="http://schemas.openxmlformats.org/markup-compatibility/2006">
          <mc:Choice Requires="x14">
            <control shapeId="1049" r:id="rId28" name="Button 25">
              <controlPr locked="0" defaultSize="0" autoFill="0" autoLine="0" autoPict="0" macro="[1]!LÅSASUSTØTNOP">
                <anchor moveWithCells="1" sizeWithCells="1">
                  <from>
                    <xdr:col>22</xdr:col>
                    <xdr:colOff>495300</xdr:colOff>
                    <xdr:row>106</xdr:row>
                    <xdr:rowOff>38100</xdr:rowOff>
                  </from>
                  <to>
                    <xdr:col>22</xdr:col>
                    <xdr:colOff>609600</xdr:colOff>
                    <xdr:row>106</xdr:row>
                    <xdr:rowOff>142875</xdr:rowOff>
                  </to>
                </anchor>
              </controlPr>
            </control>
          </mc:Choice>
        </mc:AlternateContent>
        <mc:AlternateContent xmlns:mc="http://schemas.openxmlformats.org/markup-compatibility/2006">
          <mc:Choice Requires="x14">
            <control shapeId="1050" r:id="rId29" name="Button 26">
              <controlPr locked="0" defaultSize="0" autoFill="0" autoLine="0" autoPict="0" macro="[0]!OPTIMERFBREDDEV">
                <anchor moveWithCells="1" sizeWithCells="1">
                  <from>
                    <xdr:col>12</xdr:col>
                    <xdr:colOff>771525</xdr:colOff>
                    <xdr:row>45</xdr:row>
                    <xdr:rowOff>38100</xdr:rowOff>
                  </from>
                  <to>
                    <xdr:col>15</xdr:col>
                    <xdr:colOff>742950</xdr:colOff>
                    <xdr:row>46</xdr:row>
                    <xdr:rowOff>66675</xdr:rowOff>
                  </to>
                </anchor>
              </controlPr>
            </control>
          </mc:Choice>
        </mc:AlternateContent>
        <mc:AlternateContent xmlns:mc="http://schemas.openxmlformats.org/markup-compatibility/2006">
          <mc:Choice Requires="x14">
            <control shapeId="1051" r:id="rId30" name="Button 27">
              <controlPr locked="0" defaultSize="0" autoFill="0" autoLine="0" autoPict="0" macro="[0]!OPTIMERFBREDDEH">
                <anchor moveWithCells="1" sizeWithCells="1">
                  <from>
                    <xdr:col>12</xdr:col>
                    <xdr:colOff>781050</xdr:colOff>
                    <xdr:row>46</xdr:row>
                    <xdr:rowOff>123825</xdr:rowOff>
                  </from>
                  <to>
                    <xdr:col>15</xdr:col>
                    <xdr:colOff>752475</xdr:colOff>
                    <xdr:row>47</xdr:row>
                    <xdr:rowOff>142875</xdr:rowOff>
                  </to>
                </anchor>
              </controlPr>
            </control>
          </mc:Choice>
        </mc:AlternateContent>
        <mc:AlternateContent xmlns:mc="http://schemas.openxmlformats.org/markup-compatibility/2006">
          <mc:Choice Requires="x14">
            <control shapeId="1052" r:id="rId31" name="Button 28">
              <controlPr locked="0" defaultSize="0" print="0" autoFill="0" autoLine="0" autoPict="0" macro="[0]!RETURUDSKRIFTSARKA">
                <anchor moveWithCells="1" sizeWithCells="1">
                  <from>
                    <xdr:col>11</xdr:col>
                    <xdr:colOff>381000</xdr:colOff>
                    <xdr:row>10</xdr:row>
                    <xdr:rowOff>104775</xdr:rowOff>
                  </from>
                  <to>
                    <xdr:col>13</xdr:col>
                    <xdr:colOff>95250</xdr:colOff>
                    <xdr:row>13</xdr:row>
                    <xdr:rowOff>19050</xdr:rowOff>
                  </to>
                </anchor>
              </controlPr>
            </control>
          </mc:Choice>
        </mc:AlternateContent>
        <mc:AlternateContent xmlns:mc="http://schemas.openxmlformats.org/markup-compatibility/2006">
          <mc:Choice Requires="x14">
            <control shapeId="1055" r:id="rId32" name="Button 31">
              <controlPr locked="0" defaultSize="0" print="0" autoFill="0" autoLine="0" autoPict="0" macro="[0]!LÅSDNSop">
                <anchor moveWithCells="1" sizeWithCells="1">
                  <from>
                    <xdr:col>13</xdr:col>
                    <xdr:colOff>819150</xdr:colOff>
                    <xdr:row>0</xdr:row>
                    <xdr:rowOff>9525</xdr:rowOff>
                  </from>
                  <to>
                    <xdr:col>13</xdr:col>
                    <xdr:colOff>1038225</xdr:colOff>
                    <xdr:row>0</xdr:row>
                    <xdr:rowOff>104775</xdr:rowOff>
                  </to>
                </anchor>
              </controlPr>
            </control>
          </mc:Choice>
        </mc:AlternateContent>
        <mc:AlternateContent xmlns:mc="http://schemas.openxmlformats.org/markup-compatibility/2006">
          <mc:Choice Requires="x14">
            <control shapeId="1056" r:id="rId33" name="Button 32">
              <controlPr locked="0" defaultSize="0" print="0" autoFill="0" autoLine="0" autoPict="0" macro="[0]!LÅSDNSigen">
                <anchor moveWithCells="1" sizeWithCells="1">
                  <from>
                    <xdr:col>14</xdr:col>
                    <xdr:colOff>38100</xdr:colOff>
                    <xdr:row>0</xdr:row>
                    <xdr:rowOff>9525</xdr:rowOff>
                  </from>
                  <to>
                    <xdr:col>14</xdr:col>
                    <xdr:colOff>257175</xdr:colOff>
                    <xdr:row>0</xdr:row>
                    <xdr:rowOff>104775</xdr:rowOff>
                  </to>
                </anchor>
              </controlPr>
            </control>
          </mc:Choice>
        </mc:AlternateContent>
        <mc:AlternateContent xmlns:mc="http://schemas.openxmlformats.org/markup-compatibility/2006">
          <mc:Choice Requires="x14">
            <control shapeId="1057" r:id="rId34" name="Button 33">
              <controlPr locked="0" defaultSize="0" autoFill="0" autoLine="0" autoPict="0" macro="[0]!GÅTILarkNS">
                <anchor moveWithCells="1" sizeWithCells="1">
                  <from>
                    <xdr:col>14</xdr:col>
                    <xdr:colOff>647700</xdr:colOff>
                    <xdr:row>0</xdr:row>
                    <xdr:rowOff>0</xdr:rowOff>
                  </from>
                  <to>
                    <xdr:col>16</xdr:col>
                    <xdr:colOff>57150</xdr:colOff>
                    <xdr:row>1</xdr:row>
                    <xdr:rowOff>19050</xdr:rowOff>
                  </to>
                </anchor>
              </controlPr>
            </control>
          </mc:Choice>
        </mc:AlternateContent>
        <mc:AlternateContent xmlns:mc="http://schemas.openxmlformats.org/markup-compatibility/2006">
          <mc:Choice Requires="x14">
            <control shapeId="1058" r:id="rId35" name="Button 34">
              <controlPr locked="0" defaultSize="0" print="0" autoFill="0" autoLine="0" autoPict="0" macro="[0]!Genindsætformelekstradæklag">
                <anchor moveWithCells="1" sizeWithCells="1">
                  <from>
                    <xdr:col>21</xdr:col>
                    <xdr:colOff>28575</xdr:colOff>
                    <xdr:row>9</xdr:row>
                    <xdr:rowOff>161925</xdr:rowOff>
                  </from>
                  <to>
                    <xdr:col>22</xdr:col>
                    <xdr:colOff>438150</xdr:colOff>
                    <xdr:row>11</xdr:row>
                    <xdr:rowOff>76200</xdr:rowOff>
                  </to>
                </anchor>
              </controlPr>
            </control>
          </mc:Choice>
        </mc:AlternateContent>
        <mc:AlternateContent xmlns:mc="http://schemas.openxmlformats.org/markup-compatibility/2006">
          <mc:Choice Requires="x14">
            <control shapeId="1059" r:id="rId36" name="Button 35">
              <controlPr locked="0" defaultSize="0" print="0" autoFill="0" autoLine="0" autoPict="0" macro="[0]!Genindsætformelrevneviddeialt">
                <anchor moveWithCells="1" sizeWithCells="1">
                  <from>
                    <xdr:col>19</xdr:col>
                    <xdr:colOff>828675</xdr:colOff>
                    <xdr:row>89</xdr:row>
                    <xdr:rowOff>142875</xdr:rowOff>
                  </from>
                  <to>
                    <xdr:col>21</xdr:col>
                    <xdr:colOff>190500</xdr:colOff>
                    <xdr:row>91</xdr:row>
                    <xdr:rowOff>47625</xdr:rowOff>
                  </to>
                </anchor>
              </controlPr>
            </control>
          </mc:Choice>
        </mc:AlternateContent>
        <mc:AlternateContent xmlns:mc="http://schemas.openxmlformats.org/markup-compatibility/2006">
          <mc:Choice Requires="x14">
            <control shapeId="1061" r:id="rId37" name="Button 37">
              <controlPr locked="0" defaultSize="0" print="0" autoFill="0" autoLine="0" autoPict="0" macro="[0]!UdskriftHjælpestatikogReaktioner">
                <anchor moveWithCells="1" sizeWithCells="1">
                  <from>
                    <xdr:col>26</xdr:col>
                    <xdr:colOff>704850</xdr:colOff>
                    <xdr:row>0</xdr:row>
                    <xdr:rowOff>66675</xdr:rowOff>
                  </from>
                  <to>
                    <xdr:col>29</xdr:col>
                    <xdr:colOff>676275</xdr:colOff>
                    <xdr:row>1</xdr:row>
                    <xdr:rowOff>171450</xdr:rowOff>
                  </to>
                </anchor>
              </controlPr>
            </control>
          </mc:Choice>
        </mc:AlternateContent>
        <mc:AlternateContent xmlns:mc="http://schemas.openxmlformats.org/markup-compatibility/2006">
          <mc:Choice Requires="x14">
            <control shapeId="1062" r:id="rId38" name="Button 38">
              <controlPr locked="0" defaultSize="0" print="0" autoFill="0" autoLine="0" autoPict="0" macro="[0]!ReturUdskrifterHøjDokKlasse">
                <anchor moveWithCells="1" sizeWithCells="1">
                  <from>
                    <xdr:col>30</xdr:col>
                    <xdr:colOff>57150</xdr:colOff>
                    <xdr:row>1</xdr:row>
                    <xdr:rowOff>19050</xdr:rowOff>
                  </from>
                  <to>
                    <xdr:col>30</xdr:col>
                    <xdr:colOff>571500</xdr:colOff>
                    <xdr:row>3</xdr:row>
                    <xdr:rowOff>66675</xdr:rowOff>
                  </to>
                </anchor>
              </controlPr>
            </control>
          </mc:Choice>
        </mc:AlternateContent>
        <mc:AlternateContent xmlns:mc="http://schemas.openxmlformats.org/markup-compatibility/2006">
          <mc:Choice Requires="x14">
            <control shapeId="1063" r:id="rId39" name="Button 39">
              <controlPr locked="0" defaultSize="0" print="0" autoFill="0" autoLine="0" autoPict="0" macro="[0]!UdskriftSnitkræfterForkantPladeStrimmel">
                <anchor moveWithCells="1" sizeWithCells="1">
                  <from>
                    <xdr:col>26</xdr:col>
                    <xdr:colOff>561975</xdr:colOff>
                    <xdr:row>2</xdr:row>
                    <xdr:rowOff>47625</xdr:rowOff>
                  </from>
                  <to>
                    <xdr:col>29</xdr:col>
                    <xdr:colOff>666750</xdr:colOff>
                    <xdr:row>3</xdr:row>
                    <xdr:rowOff>133350</xdr:rowOff>
                  </to>
                </anchor>
              </controlPr>
            </control>
          </mc:Choice>
        </mc:AlternateContent>
        <mc:AlternateContent xmlns:mc="http://schemas.openxmlformats.org/markup-compatibility/2006">
          <mc:Choice Requires="x14">
            <control shapeId="1064" r:id="rId40" name="Button 40">
              <controlPr locked="0" defaultSize="0" print="0" autoFill="0" autoLine="0" autoPict="0" macro="[0]!UdskriftPladestrimlerVedReposeEnder">
                <anchor moveWithCells="1" sizeWithCells="1">
                  <from>
                    <xdr:col>26</xdr:col>
                    <xdr:colOff>0</xdr:colOff>
                    <xdr:row>4</xdr:row>
                    <xdr:rowOff>9525</xdr:rowOff>
                  </from>
                  <to>
                    <xdr:col>29</xdr:col>
                    <xdr:colOff>657225</xdr:colOff>
                    <xdr:row>5</xdr:row>
                    <xdr:rowOff>85725</xdr:rowOff>
                  </to>
                </anchor>
              </controlPr>
            </control>
          </mc:Choice>
        </mc:AlternateContent>
        <mc:AlternateContent xmlns:mc="http://schemas.openxmlformats.org/markup-compatibility/2006">
          <mc:Choice Requires="x14">
            <control shapeId="747" r:id="rId41" name="Button 41">
              <controlPr locked="0" defaultSize="0" print="0" autoFill="0" autoLine="0" autoPict="0" macro="[0]!OPTIMERdorntrykh5KONSOL">
                <anchor moveWithCells="1" sizeWithCells="1">
                  <from>
                    <xdr:col>11</xdr:col>
                    <xdr:colOff>28575</xdr:colOff>
                    <xdr:row>175</xdr:row>
                    <xdr:rowOff>28575</xdr:rowOff>
                  </from>
                  <to>
                    <xdr:col>12</xdr:col>
                    <xdr:colOff>257175</xdr:colOff>
                    <xdr:row>176</xdr:row>
                    <xdr:rowOff>57150</xdr:rowOff>
                  </to>
                </anchor>
              </controlPr>
            </control>
          </mc:Choice>
        </mc:AlternateContent>
        <mc:AlternateContent xmlns:mc="http://schemas.openxmlformats.org/markup-compatibility/2006">
          <mc:Choice Requires="x14">
            <control shapeId="748" r:id="rId42" name="Button 42">
              <controlPr locked="0" defaultSize="0" print="0" autoFill="0" autoLine="0" autoPict="0" macro="[0]!Gåtilandretyperfastvederlag">
                <anchor moveWithCells="1" sizeWithCells="1">
                  <from>
                    <xdr:col>13</xdr:col>
                    <xdr:colOff>28575</xdr:colOff>
                    <xdr:row>163</xdr:row>
                    <xdr:rowOff>85725</xdr:rowOff>
                  </from>
                  <to>
                    <xdr:col>14</xdr:col>
                    <xdr:colOff>466725</xdr:colOff>
                    <xdr:row>165</xdr:row>
                    <xdr:rowOff>123825</xdr:rowOff>
                  </to>
                </anchor>
              </controlPr>
            </control>
          </mc:Choice>
        </mc:AlternateContent>
        <mc:AlternateContent xmlns:mc="http://schemas.openxmlformats.org/markup-compatibility/2006">
          <mc:Choice Requires="x14">
            <control shapeId="749" r:id="rId43" name="Button 43">
              <controlPr locked="0" defaultSize="0" print="0" autoFill="0" autoLine="0" autoPict="0" macro="[0]!UDSKRBRAND">
                <anchor moveWithCells="1" sizeWithCells="1">
                  <from>
                    <xdr:col>16</xdr:col>
                    <xdr:colOff>828675</xdr:colOff>
                    <xdr:row>4</xdr:row>
                    <xdr:rowOff>76200</xdr:rowOff>
                  </from>
                  <to>
                    <xdr:col>18</xdr:col>
                    <xdr:colOff>676275</xdr:colOff>
                    <xdr:row>6</xdr:row>
                    <xdr:rowOff>47625</xdr:rowOff>
                  </to>
                </anchor>
              </controlPr>
            </control>
          </mc:Choice>
        </mc:AlternateContent>
        <mc:AlternateContent xmlns:mc="http://schemas.openxmlformats.org/markup-compatibility/2006">
          <mc:Choice Requires="x14">
            <control shapeId="750" r:id="rId44" name="Button 44">
              <controlPr locked="0" defaultSize="0" print="0" autoFill="0" autoLine="0" autoPict="0" macro="[0]!GåTilBrand">
                <anchor moveWithCells="1" sizeWithCells="1">
                  <from>
                    <xdr:col>15</xdr:col>
                    <xdr:colOff>466725</xdr:colOff>
                    <xdr:row>4</xdr:row>
                    <xdr:rowOff>85725</xdr:rowOff>
                  </from>
                  <to>
                    <xdr:col>16</xdr:col>
                    <xdr:colOff>657225</xdr:colOff>
                    <xdr:row>6</xdr:row>
                    <xdr:rowOff>66675</xdr:rowOff>
                  </to>
                </anchor>
              </controlPr>
            </control>
          </mc:Choice>
        </mc:AlternateContent>
        <mc:AlternateContent xmlns:mc="http://schemas.openxmlformats.org/markup-compatibility/2006">
          <mc:Choice Requires="x14">
            <control shapeId="753" r:id="rId45" name="Button 45">
              <controlPr locked="0" defaultSize="0" print="0" autoFill="0" autoLine="0" autoPict="0" macro="[0]!GÅTILBAGETILarkA">
                <anchor moveWithCells="1" sizeWithCells="1">
                  <from>
                    <xdr:col>2</xdr:col>
                    <xdr:colOff>247650</xdr:colOff>
                    <xdr:row>474</xdr:row>
                    <xdr:rowOff>123825</xdr:rowOff>
                  </from>
                  <to>
                    <xdr:col>5</xdr:col>
                    <xdr:colOff>495300</xdr:colOff>
                    <xdr:row>477</xdr:row>
                    <xdr:rowOff>19050</xdr:rowOff>
                  </to>
                </anchor>
              </controlPr>
            </control>
          </mc:Choice>
        </mc:AlternateContent>
        <mc:AlternateContent xmlns:mc="http://schemas.openxmlformats.org/markup-compatibility/2006">
          <mc:Choice Requires="x14">
            <control shapeId="755" r:id="rId46" name="Button 46">
              <controlPr locked="0" defaultSize="0" print="0" autoFill="0" autoLine="0" autoPict="0" macro="[0]!LÅSOProbusthedsfaktor">
                <anchor moveWithCells="1" sizeWithCells="1">
                  <from>
                    <xdr:col>18</xdr:col>
                    <xdr:colOff>523875</xdr:colOff>
                    <xdr:row>7</xdr:row>
                    <xdr:rowOff>66675</xdr:rowOff>
                  </from>
                  <to>
                    <xdr:col>18</xdr:col>
                    <xdr:colOff>742950</xdr:colOff>
                    <xdr:row>7</xdr:row>
                    <xdr:rowOff>171450</xdr:rowOff>
                  </to>
                </anchor>
              </controlPr>
            </control>
          </mc:Choice>
        </mc:AlternateContent>
        <mc:AlternateContent xmlns:mc="http://schemas.openxmlformats.org/markup-compatibility/2006">
          <mc:Choice Requires="x14">
            <control shapeId="757" r:id="rId47" name="Button 47">
              <controlPr locked="0" defaultSize="0" print="0" autoFill="0" autoLine="0" autoPict="0" macro="[0]!LÅSNYTTELASTOP">
                <anchor moveWithCells="1" sizeWithCells="1">
                  <from>
                    <xdr:col>1</xdr:col>
                    <xdr:colOff>47625</xdr:colOff>
                    <xdr:row>49</xdr:row>
                    <xdr:rowOff>28575</xdr:rowOff>
                  </from>
                  <to>
                    <xdr:col>1</xdr:col>
                    <xdr:colOff>190500</xdr:colOff>
                    <xdr:row>50</xdr:row>
                    <xdr:rowOff>0</xdr:rowOff>
                  </to>
                </anchor>
              </controlPr>
            </control>
          </mc:Choice>
        </mc:AlternateContent>
        <mc:AlternateContent xmlns:mc="http://schemas.openxmlformats.org/markup-compatibility/2006">
          <mc:Choice Requires="x14">
            <control shapeId="758" r:id="rId48" name="Button 48">
              <controlPr locked="0" defaultSize="0" print="0" autoFill="0" autoLine="0" autoPict="0" macro="[0]!GenindsætFormelNyttelastH50">
                <anchor moveWithCells="1" sizeWithCells="1">
                  <from>
                    <xdr:col>16</xdr:col>
                    <xdr:colOff>9525</xdr:colOff>
                    <xdr:row>47</xdr:row>
                    <xdr:rowOff>180975</xdr:rowOff>
                  </from>
                  <to>
                    <xdr:col>17</xdr:col>
                    <xdr:colOff>514350</xdr:colOff>
                    <xdr:row>49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M65"/>
  <sheetViews>
    <sheetView topLeftCell="A14" zoomScale="87" zoomScaleNormal="87" workbookViewId="0">
      <selection activeCell="T42" sqref="T42"/>
    </sheetView>
  </sheetViews>
  <sheetFormatPr defaultColWidth="9.77734375"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251" max="255"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507" max="511"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763" max="767"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1019" max="1023"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275" max="1279"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531" max="1535"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787" max="1791"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2043" max="2047"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299" max="2303"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555" max="2559"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811" max="2815"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3067" max="3071"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323" max="3327"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579" max="3583"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835" max="3839"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4091" max="4095"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347" max="4351"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603" max="4607"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859" max="4863"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5115" max="5119"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371" max="5375"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627" max="5631"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883" max="5887"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6139" max="6143"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395" max="6399"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651" max="6655"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907" max="6911"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7163" max="7167"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419" max="7423"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675" max="7679"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931" max="7935"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8187" max="8191"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443" max="8447"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699" max="8703"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955" max="8959"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9211" max="9215"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467" max="9471"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723" max="9727"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979" max="9983"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10235" max="10239"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491" max="10495"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747" max="10751"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1003" max="11007"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259" max="11263"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515" max="11519"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771" max="11775"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2027" max="12031"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283" max="12287"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539" max="12543"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795" max="12799"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3051" max="13055"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307" max="13311"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563" max="13567"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819" max="13823"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4075" max="14079"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331" max="14335"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587" max="14591"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843" max="14847"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5099" max="15103"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355" max="15359"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611" max="15615"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867" max="15871"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6123" max="16127"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379" max="16383" width="9.77734375" customWidth="1"/>
  </cols>
  <sheetData>
    <row r="1" spans="1:13" ht="9.9499999999999993" customHeight="1">
      <c r="A1" s="8"/>
      <c r="B1" s="2" t="s">
        <v>1</v>
      </c>
      <c r="C1" s="3"/>
      <c r="D1" s="3"/>
      <c r="E1" s="3"/>
      <c r="F1" s="3"/>
      <c r="G1" s="3"/>
      <c r="H1" s="3"/>
      <c r="I1" s="2" t="s">
        <v>2</v>
      </c>
      <c r="J1" s="4"/>
      <c r="K1" s="4"/>
      <c r="L1" s="5" t="s">
        <v>3</v>
      </c>
      <c r="M1" s="370"/>
    </row>
    <row r="2" spans="1:13" ht="15" customHeight="1">
      <c r="A2" s="11" t="str">
        <f>A!A2</f>
        <v>kriptologia</v>
      </c>
      <c r="B2" s="12" t="s">
        <v>7</v>
      </c>
      <c r="C2" s="13" t="str">
        <f>A!C2</f>
        <v xml:space="preserve"> </v>
      </c>
      <c r="D2" s="14"/>
      <c r="E2" s="14"/>
      <c r="F2" s="14"/>
      <c r="G2" s="14"/>
      <c r="H2" s="14"/>
      <c r="I2" s="12"/>
      <c r="J2" s="15" t="str">
        <f>A!J2</f>
        <v xml:space="preserve"> </v>
      </c>
      <c r="K2" s="14"/>
      <c r="L2" s="14"/>
      <c r="M2" s="16"/>
    </row>
    <row r="3" spans="1:13" ht="9.9499999999999993" customHeight="1">
      <c r="A3" s="27"/>
      <c r="B3" s="2" t="s">
        <v>15</v>
      </c>
      <c r="D3" s="3"/>
      <c r="E3" s="3"/>
      <c r="I3" s="264" t="s">
        <v>16</v>
      </c>
      <c r="L3" s="368"/>
      <c r="M3" s="29"/>
    </row>
    <row r="4" spans="1:13" ht="15" customHeight="1">
      <c r="A4" s="20"/>
      <c r="B4" s="12"/>
      <c r="C4" s="13" t="str">
        <f>A!C4</f>
        <v xml:space="preserve"> </v>
      </c>
      <c r="D4" s="14"/>
      <c r="E4" s="14"/>
      <c r="F4" s="14"/>
      <c r="G4" s="14"/>
      <c r="H4" s="14"/>
      <c r="I4" s="12"/>
      <c r="J4" s="31">
        <f ca="1">NOW()</f>
        <v>45643.480604166667</v>
      </c>
      <c r="K4" s="14"/>
      <c r="L4" s="14" t="s">
        <v>7</v>
      </c>
      <c r="M4" s="16"/>
    </row>
    <row r="5" spans="1:13" ht="9.9499999999999993" customHeight="1">
      <c r="A5" s="37" t="s">
        <v>28</v>
      </c>
      <c r="B5" s="27"/>
      <c r="H5" s="265"/>
      <c r="I5" s="26"/>
      <c r="J5" s="266"/>
      <c r="K5" s="267" t="str">
        <f>A!K5</f>
        <v xml:space="preserve">                           N:\Opslag\Statik\Dalton statikark\LobrepEC_190701 </v>
      </c>
      <c r="L5" s="368"/>
      <c r="M5" s="29"/>
    </row>
    <row r="6" spans="1:13">
      <c r="A6" s="40" t="str">
        <f>A!A6</f>
        <v>Tilst</v>
      </c>
      <c r="B6" s="12"/>
      <c r="C6" s="13" t="str">
        <f>A!C6</f>
        <v xml:space="preserve"> </v>
      </c>
      <c r="D6" s="14"/>
      <c r="E6" s="14"/>
      <c r="F6" s="14"/>
      <c r="G6" s="14"/>
      <c r="H6" s="14"/>
      <c r="I6" s="41" t="s">
        <v>31</v>
      </c>
      <c r="J6" s="268">
        <f ca="1">NOW()</f>
        <v>45643.480604166667</v>
      </c>
      <c r="K6" s="14"/>
      <c r="L6" s="43"/>
      <c r="M6" s="16"/>
    </row>
    <row r="9" spans="1:13">
      <c r="G9" s="19" t="s">
        <v>54</v>
      </c>
    </row>
    <row r="10" spans="1:13">
      <c r="F10" t="s">
        <v>1083</v>
      </c>
    </row>
    <row r="12" spans="1:13">
      <c r="F12" t="s">
        <v>193</v>
      </c>
      <c r="G12" t="s">
        <v>1084</v>
      </c>
    </row>
    <row r="13" spans="1:13">
      <c r="G13" s="19" t="s">
        <v>1085</v>
      </c>
    </row>
    <row r="15" spans="1:13">
      <c r="F15" t="s">
        <v>1083</v>
      </c>
    </row>
    <row r="16" spans="1:13">
      <c r="D16" t="s">
        <v>1086</v>
      </c>
      <c r="G16" s="19" t="s">
        <v>54</v>
      </c>
    </row>
    <row r="20" spans="3:13">
      <c r="C20" s="50" t="e">
        <f>A!L52</f>
        <v>#N/A</v>
      </c>
      <c r="D20" t="s">
        <v>1087</v>
      </c>
      <c r="J20" s="50" t="e">
        <f>J26+2*M26</f>
        <v>#N/A</v>
      </c>
    </row>
    <row r="21" spans="3:13">
      <c r="M21" s="269">
        <v>0.06</v>
      </c>
    </row>
    <row r="22" spans="3:13">
      <c r="M22" s="270"/>
    </row>
    <row r="23" spans="3:13">
      <c r="M23" s="270"/>
    </row>
    <row r="24" spans="3:13">
      <c r="M24" s="270"/>
    </row>
    <row r="25" spans="3:13">
      <c r="M25" s="271" t="e">
        <f>NA()</f>
        <v>#N/A</v>
      </c>
    </row>
    <row r="26" spans="3:13">
      <c r="F26" s="26" t="s">
        <v>1088</v>
      </c>
      <c r="J26" s="271" t="e">
        <f>NA()</f>
        <v>#N/A</v>
      </c>
      <c r="M26" s="271" t="e">
        <f>NA()</f>
        <v>#N/A</v>
      </c>
    </row>
    <row r="27" spans="3:13">
      <c r="M27" s="254"/>
    </row>
    <row r="28" spans="3:13">
      <c r="D28" t="s">
        <v>1089</v>
      </c>
      <c r="L28" t="s">
        <v>1088</v>
      </c>
    </row>
    <row r="29" spans="3:13">
      <c r="F29" s="69" t="e">
        <f>F30-G29</f>
        <v>#N/A</v>
      </c>
      <c r="G29" s="69" t="e">
        <f>M26+J26/2-M21</f>
        <v>#N/A</v>
      </c>
    </row>
    <row r="30" spans="3:13">
      <c r="F30" s="272" t="e">
        <f>NA()</f>
        <v>#N/A</v>
      </c>
      <c r="G30" s="272" t="e">
        <f>NA()</f>
        <v>#N/A</v>
      </c>
      <c r="J30" t="s">
        <v>1090</v>
      </c>
    </row>
    <row r="32" spans="3:13">
      <c r="G32" s="74" t="e">
        <f>0.5*C20*G30</f>
        <v>#N/A</v>
      </c>
      <c r="H32" t="s">
        <v>1091</v>
      </c>
    </row>
    <row r="34" spans="3:13">
      <c r="C34" s="50" t="e">
        <f>C20</f>
        <v>#N/A</v>
      </c>
      <c r="D34" t="s">
        <v>393</v>
      </c>
    </row>
    <row r="35" spans="3:13">
      <c r="G35" s="26" t="s">
        <v>1092</v>
      </c>
      <c r="H35" s="157" t="e">
        <f>C20*F30^2/2/F29+G32*(F30/F29)</f>
        <v>#N/A</v>
      </c>
      <c r="I35" t="s">
        <v>445</v>
      </c>
    </row>
    <row r="38" spans="3:13">
      <c r="G38" s="26" t="s">
        <v>1093</v>
      </c>
      <c r="H38" s="157" t="e">
        <f>G32*G29+0.5*C34*G29^2</f>
        <v>#N/A</v>
      </c>
      <c r="I38" t="s">
        <v>478</v>
      </c>
    </row>
    <row r="39" spans="3:13">
      <c r="G39" s="26" t="s">
        <v>1094</v>
      </c>
      <c r="H39" s="157" t="e">
        <f>G32+C34*G29</f>
        <v>#N/A</v>
      </c>
      <c r="I39" t="s">
        <v>445</v>
      </c>
    </row>
    <row r="40" spans="3:13">
      <c r="C40" t="e">
        <f>C20*F30+G32-H35</f>
        <v>#N/A</v>
      </c>
      <c r="D40" t="s">
        <v>1095</v>
      </c>
    </row>
    <row r="42" spans="3:13">
      <c r="F42" t="s">
        <v>1096</v>
      </c>
    </row>
    <row r="43" spans="3:13">
      <c r="F43" t="s">
        <v>1097</v>
      </c>
    </row>
    <row r="44" spans="3:13">
      <c r="F44" s="157" t="e">
        <f>L55/J20</f>
        <v>#N/A</v>
      </c>
      <c r="G44" t="s">
        <v>445</v>
      </c>
    </row>
    <row r="45" spans="3:13">
      <c r="K45" t="s">
        <v>1098</v>
      </c>
    </row>
    <row r="47" spans="3:13">
      <c r="L47" s="74" t="e">
        <f>H35</f>
        <v>#N/A</v>
      </c>
      <c r="M47" t="s">
        <v>445</v>
      </c>
    </row>
    <row r="50" spans="3:13">
      <c r="J50" s="273">
        <v>0.1</v>
      </c>
      <c r="K50" s="122"/>
      <c r="L50" s="272" t="e">
        <f>A!J23*10^-3</f>
        <v>#N/A</v>
      </c>
      <c r="M50" s="272">
        <v>0.1</v>
      </c>
    </row>
    <row r="51" spans="3:13">
      <c r="F51" s="69" t="e">
        <f>J20-2*M25</f>
        <v>#N/A</v>
      </c>
      <c r="J51" s="50"/>
      <c r="K51" s="50"/>
      <c r="L51" s="69" t="e">
        <f>L50+J50+M50</f>
        <v>#N/A</v>
      </c>
      <c r="M51" s="50"/>
    </row>
    <row r="52" spans="3:13">
      <c r="F52" s="254" t="e">
        <f>F53-G52-F51</f>
        <v>#N/A</v>
      </c>
      <c r="G52" s="69" t="e">
        <f>M25</f>
        <v>#N/A</v>
      </c>
    </row>
    <row r="53" spans="3:13">
      <c r="F53" s="69" t="e">
        <f>F30+M21-M25</f>
        <v>#N/A</v>
      </c>
    </row>
    <row r="54" spans="3:13">
      <c r="K54" s="26" t="s">
        <v>146</v>
      </c>
      <c r="L54" s="74" t="e">
        <f>L50/4*(L51-L50/2)*L47</f>
        <v>#N/A</v>
      </c>
      <c r="M54" t="s">
        <v>147</v>
      </c>
    </row>
    <row r="55" spans="3:13">
      <c r="G55" t="s">
        <v>1090</v>
      </c>
      <c r="K55" s="26" t="s">
        <v>1099</v>
      </c>
      <c r="L55" s="74" t="e">
        <f>0.5*L47*L50</f>
        <v>#N/A</v>
      </c>
      <c r="M55" t="s">
        <v>460</v>
      </c>
    </row>
    <row r="57" spans="3:13">
      <c r="C57" t="s">
        <v>1100</v>
      </c>
    </row>
    <row r="58" spans="3:13">
      <c r="G58" s="157" t="e">
        <f>F44*F51/F53^2*(G52+F51/2)*(F52+F51/2)*(F53-F51/2)</f>
        <v>#N/A</v>
      </c>
      <c r="M58" s="19"/>
    </row>
    <row r="59" spans="3:13">
      <c r="C59" s="149" t="e">
        <f>F44*F51-G62</f>
        <v>#N/A</v>
      </c>
    </row>
    <row r="61" spans="3:13">
      <c r="C61" t="s">
        <v>1101</v>
      </c>
    </row>
    <row r="62" spans="3:13">
      <c r="G62" s="157" t="e">
        <f>F44*F51*(F52+F51/2)/F53</f>
        <v>#N/A</v>
      </c>
    </row>
    <row r="65" spans="7:9">
      <c r="G65" t="s">
        <v>1102</v>
      </c>
      <c r="H65" s="74" t="e">
        <f>L55*F29/F53</f>
        <v>#N/A</v>
      </c>
      <c r="I65" t="s">
        <v>460</v>
      </c>
    </row>
  </sheetData>
  <sheetProtection algorithmName="SHA-512" hashValue="gGlgQBdic9zQi8mndYOHavema4yGDUABPT68LwI3ILW8Yp3QnFHY3JnwpVsWAd4VOWbSWFeSJ2yZ/as5m/yljA==" saltValue="pFoTnuBJapVfOfB5TqcWzA==" spinCount="100000" sheet="1" objects="1" scenarios="1"/>
  <pageMargins left="0.98425196850393704" right="0.39370078740157483" top="0.39370078740157483" bottom="0.19685039370078741" header="0" footer="0"/>
  <pageSetup paperSize="9" scale="78"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locked="0" defaultSize="0" print="0" autoFill="0" autoLine="0" autoPict="0" macro="[0]!LÅSARK">
                <anchor moveWithCells="1" sizeWithCells="1">
                  <from>
                    <xdr:col>0</xdr:col>
                    <xdr:colOff>57150</xdr:colOff>
                    <xdr:row>0</xdr:row>
                    <xdr:rowOff>38100</xdr:rowOff>
                  </from>
                  <to>
                    <xdr:col>0</xdr:col>
                    <xdr:colOff>219075</xdr:colOff>
                    <xdr:row>1</xdr:row>
                    <xdr:rowOff>47625</xdr:rowOff>
                  </to>
                </anchor>
              </controlPr>
            </control>
          </mc:Choice>
        </mc:AlternateContent>
        <mc:AlternateContent xmlns:mc="http://schemas.openxmlformats.org/markup-compatibility/2006">
          <mc:Choice Requires="x14">
            <control shapeId="7170" r:id="rId5" name="Button 2">
              <controlPr locked="0" defaultSize="0" print="0" autoFill="0" autoLine="0" autoPict="0" macro="[0]!UDSKRIVB">
                <anchor moveWithCells="1" sizeWithCells="1">
                  <from>
                    <xdr:col>11</xdr:col>
                    <xdr:colOff>514350</xdr:colOff>
                    <xdr:row>7</xdr:row>
                    <xdr:rowOff>0</xdr:rowOff>
                  </from>
                  <to>
                    <xdr:col>12</xdr:col>
                    <xdr:colOff>781050</xdr:colOff>
                    <xdr:row>8</xdr:row>
                    <xdr:rowOff>38100</xdr:rowOff>
                  </to>
                </anchor>
              </controlPr>
            </control>
          </mc:Choice>
        </mc:AlternateContent>
        <mc:AlternateContent xmlns:mc="http://schemas.openxmlformats.org/markup-compatibility/2006">
          <mc:Choice Requires="x14">
            <control shapeId="7171" r:id="rId6" name="Button 3">
              <controlPr locked="0" defaultSize="0" print="0" autoFill="0" autoLine="0" autoPict="0" macro="[0]!RETUR">
                <anchor moveWithCells="1" sizeWithCells="1">
                  <from>
                    <xdr:col>11</xdr:col>
                    <xdr:colOff>523875</xdr:colOff>
                    <xdr:row>8</xdr:row>
                    <xdr:rowOff>123825</xdr:rowOff>
                  </from>
                  <to>
                    <xdr:col>12</xdr:col>
                    <xdr:colOff>790575</xdr:colOff>
                    <xdr:row>9</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pageSetUpPr fitToPage="1"/>
  </sheetPr>
  <dimension ref="A1:M398"/>
  <sheetViews>
    <sheetView topLeftCell="A20" zoomScale="87" zoomScaleNormal="87" workbookViewId="0">
      <selection activeCell="Q55" sqref="Q55"/>
    </sheetView>
  </sheetViews>
  <sheetFormatPr defaultRowHeight="15"/>
  <cols>
    <col min="1" max="1" width="13.33203125" customWidth="1"/>
    <col min="2" max="2" width="2.777343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257" max="257" width="13.33203125" customWidth="1"/>
    <col min="258" max="258" width="2.777343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513" max="513" width="13.33203125" customWidth="1"/>
    <col min="514" max="514" width="2.777343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769" max="769" width="13.33203125" customWidth="1"/>
    <col min="770" max="770" width="2.777343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1025" max="1025" width="13.33203125" customWidth="1"/>
    <col min="1026" max="1026" width="2.777343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281" max="1281" width="13.33203125" customWidth="1"/>
    <col min="1282" max="1282" width="2.777343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537" max="1537" width="13.33203125" customWidth="1"/>
    <col min="1538" max="1538" width="2.777343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793" max="1793" width="13.33203125" customWidth="1"/>
    <col min="1794" max="1794" width="2.777343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2049" max="2049" width="13.33203125" customWidth="1"/>
    <col min="2050" max="2050" width="2.777343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305" max="2305" width="13.33203125" customWidth="1"/>
    <col min="2306" max="2306" width="2.777343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561" max="2561" width="13.33203125" customWidth="1"/>
    <col min="2562" max="2562" width="2.777343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817" max="2817" width="13.33203125" customWidth="1"/>
    <col min="2818" max="2818" width="2.777343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3073" max="3073" width="13.33203125" customWidth="1"/>
    <col min="3074" max="3074" width="2.777343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329" max="3329" width="13.33203125" customWidth="1"/>
    <col min="3330" max="3330" width="2.777343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585" max="3585" width="13.33203125" customWidth="1"/>
    <col min="3586" max="3586" width="2.777343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841" max="3841" width="13.33203125" customWidth="1"/>
    <col min="3842" max="3842" width="2.777343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4097" max="4097" width="13.33203125" customWidth="1"/>
    <col min="4098" max="4098" width="2.777343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353" max="4353" width="13.33203125" customWidth="1"/>
    <col min="4354" max="4354" width="2.777343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609" max="4609" width="13.33203125" customWidth="1"/>
    <col min="4610" max="4610" width="2.777343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865" max="4865" width="13.33203125" customWidth="1"/>
    <col min="4866" max="4866" width="2.777343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5121" max="5121" width="13.33203125" customWidth="1"/>
    <col min="5122" max="5122" width="2.777343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377" max="5377" width="13.33203125" customWidth="1"/>
    <col min="5378" max="5378" width="2.777343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633" max="5633" width="13.33203125" customWidth="1"/>
    <col min="5634" max="5634" width="2.777343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889" max="5889" width="13.33203125" customWidth="1"/>
    <col min="5890" max="5890" width="2.777343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6145" max="6145" width="13.33203125" customWidth="1"/>
    <col min="6146" max="6146" width="2.777343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401" max="6401" width="13.33203125" customWidth="1"/>
    <col min="6402" max="6402" width="2.777343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657" max="6657" width="13.33203125" customWidth="1"/>
    <col min="6658" max="6658" width="2.777343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913" max="6913" width="13.33203125" customWidth="1"/>
    <col min="6914" max="6914" width="2.777343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7169" max="7169" width="13.33203125" customWidth="1"/>
    <col min="7170" max="7170" width="2.777343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425" max="7425" width="13.33203125" customWidth="1"/>
    <col min="7426" max="7426" width="2.777343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681" max="7681" width="13.33203125" customWidth="1"/>
    <col min="7682" max="7682" width="2.777343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937" max="7937" width="13.33203125" customWidth="1"/>
    <col min="7938" max="7938" width="2.777343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8193" max="8193" width="13.33203125" customWidth="1"/>
    <col min="8194" max="8194" width="2.777343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449" max="8449" width="13.33203125" customWidth="1"/>
    <col min="8450" max="8450" width="2.777343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705" max="8705" width="13.33203125" customWidth="1"/>
    <col min="8706" max="8706" width="2.777343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961" max="8961" width="13.33203125" customWidth="1"/>
    <col min="8962" max="8962" width="2.777343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9217" max="9217" width="13.33203125" customWidth="1"/>
    <col min="9218" max="9218" width="2.777343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473" max="9473" width="13.33203125" customWidth="1"/>
    <col min="9474" max="9474" width="2.777343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729" max="9729" width="13.33203125" customWidth="1"/>
    <col min="9730" max="9730" width="2.777343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985" max="9985" width="13.33203125" customWidth="1"/>
    <col min="9986" max="9986" width="2.777343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10241" max="10241" width="13.33203125" customWidth="1"/>
    <col min="10242" max="10242" width="2.777343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497" max="10497" width="13.33203125" customWidth="1"/>
    <col min="10498" max="10498" width="2.777343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753" max="10753" width="13.33203125" customWidth="1"/>
    <col min="10754" max="10754" width="2.777343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1009" max="11009" width="13.33203125" customWidth="1"/>
    <col min="11010" max="11010" width="2.777343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265" max="11265" width="13.33203125" customWidth="1"/>
    <col min="11266" max="11266" width="2.777343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521" max="11521" width="13.33203125" customWidth="1"/>
    <col min="11522" max="11522" width="2.777343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777" max="11777" width="13.33203125" customWidth="1"/>
    <col min="11778" max="11778" width="2.777343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2033" max="12033" width="13.33203125" customWidth="1"/>
    <col min="12034" max="12034" width="2.777343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289" max="12289" width="13.33203125" customWidth="1"/>
    <col min="12290" max="12290" width="2.777343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545" max="12545" width="13.33203125" customWidth="1"/>
    <col min="12546" max="12546" width="2.777343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801" max="12801" width="13.33203125" customWidth="1"/>
    <col min="12802" max="12802" width="2.777343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3057" max="13057" width="13.33203125" customWidth="1"/>
    <col min="13058" max="13058" width="2.777343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313" max="13313" width="13.33203125" customWidth="1"/>
    <col min="13314" max="13314" width="2.777343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569" max="13569" width="13.33203125" customWidth="1"/>
    <col min="13570" max="13570" width="2.777343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825" max="13825" width="13.33203125" customWidth="1"/>
    <col min="13826" max="13826" width="2.777343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4081" max="14081" width="13.33203125" customWidth="1"/>
    <col min="14082" max="14082" width="2.777343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337" max="14337" width="13.33203125" customWidth="1"/>
    <col min="14338" max="14338" width="2.777343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593" max="14593" width="13.33203125" customWidth="1"/>
    <col min="14594" max="14594" width="2.777343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849" max="14849" width="13.33203125" customWidth="1"/>
    <col min="14850" max="14850" width="2.777343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5105" max="15105" width="13.33203125" customWidth="1"/>
    <col min="15106" max="15106" width="2.777343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361" max="15361" width="13.33203125" customWidth="1"/>
    <col min="15362" max="15362" width="2.777343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617" max="15617" width="13.33203125" customWidth="1"/>
    <col min="15618" max="15618" width="2.777343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873" max="15873" width="13.33203125" customWidth="1"/>
    <col min="15874" max="15874" width="2.777343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6129" max="16129" width="13.33203125" customWidth="1"/>
    <col min="16130" max="16130" width="2.777343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s>
  <sheetData>
    <row r="1" spans="1:13" ht="9.9499999999999993" customHeight="1">
      <c r="A1" s="310"/>
      <c r="B1" s="2" t="s">
        <v>1</v>
      </c>
      <c r="C1" s="311"/>
      <c r="D1" s="311"/>
      <c r="E1" s="311"/>
      <c r="F1" s="311"/>
      <c r="G1" s="311"/>
      <c r="H1" s="311"/>
      <c r="I1" s="2" t="s">
        <v>2</v>
      </c>
      <c r="J1" s="4"/>
      <c r="K1" s="4"/>
      <c r="L1" s="5" t="s">
        <v>3</v>
      </c>
      <c r="M1" s="370"/>
    </row>
    <row r="2" spans="1:13" ht="15" customHeight="1">
      <c r="A2" s="312" t="str">
        <f>A!A2</f>
        <v>kriptologia</v>
      </c>
      <c r="B2" s="313" t="s">
        <v>7</v>
      </c>
      <c r="C2" s="314" t="str">
        <f>A!$C$2</f>
        <v xml:space="preserve"> </v>
      </c>
      <c r="D2" s="21"/>
      <c r="E2" s="21"/>
      <c r="F2" s="21"/>
      <c r="G2" s="21"/>
      <c r="H2" s="21"/>
      <c r="I2" s="313"/>
      <c r="J2" s="315" t="str">
        <f>A!J2</f>
        <v xml:space="preserve"> </v>
      </c>
      <c r="K2" s="21"/>
      <c r="L2" s="21"/>
      <c r="M2" s="316"/>
    </row>
    <row r="3" spans="1:13" ht="9.9499999999999993" customHeight="1">
      <c r="A3" s="317"/>
      <c r="B3" s="2" t="s">
        <v>15</v>
      </c>
      <c r="C3" s="30"/>
      <c r="D3" s="311"/>
      <c r="E3" s="311"/>
      <c r="F3" s="30"/>
      <c r="G3" s="30"/>
      <c r="H3" s="30"/>
      <c r="I3" s="264" t="s">
        <v>16</v>
      </c>
      <c r="J3" s="30"/>
      <c r="K3" s="30"/>
      <c r="L3" s="368"/>
      <c r="M3" s="318"/>
    </row>
    <row r="4" spans="1:13" ht="15" customHeight="1">
      <c r="A4" s="20"/>
      <c r="B4" s="313"/>
      <c r="C4" s="314" t="str">
        <f>A!$C$4</f>
        <v xml:space="preserve"> </v>
      </c>
      <c r="D4" s="21"/>
      <c r="E4" s="21"/>
      <c r="F4" s="21"/>
      <c r="G4" s="21"/>
      <c r="H4" s="21"/>
      <c r="I4" s="313"/>
      <c r="J4" s="31">
        <f ca="1">NOW()</f>
        <v>45643.480604166667</v>
      </c>
      <c r="K4" s="21"/>
      <c r="L4" s="21" t="s">
        <v>7</v>
      </c>
      <c r="M4" s="316"/>
    </row>
    <row r="5" spans="1:13" ht="9.9499999999999993" customHeight="1">
      <c r="A5" s="37" t="s">
        <v>28</v>
      </c>
      <c r="B5" s="317"/>
      <c r="C5" s="30"/>
      <c r="D5" s="30"/>
      <c r="E5" s="30"/>
      <c r="F5" s="30"/>
      <c r="H5" s="30"/>
      <c r="I5" s="38"/>
      <c r="K5" s="38" t="str">
        <f>A!K5</f>
        <v xml:space="preserve">                           N:\Opslag\Statik\Dalton statikark\LobrepEC_190701 </v>
      </c>
      <c r="L5" s="368"/>
      <c r="M5" s="318"/>
    </row>
    <row r="6" spans="1:13">
      <c r="A6" s="319" t="str">
        <f>A!A6</f>
        <v>Tilst</v>
      </c>
      <c r="B6" s="313"/>
      <c r="C6" s="314" t="str">
        <f>A!$C$6</f>
        <v xml:space="preserve"> </v>
      </c>
      <c r="D6" s="21"/>
      <c r="E6" s="21"/>
      <c r="F6" s="21"/>
      <c r="G6" s="21"/>
      <c r="H6" s="21"/>
      <c r="I6" s="41" t="s">
        <v>31</v>
      </c>
      <c r="J6" s="277">
        <f ca="1">NOW()</f>
        <v>45643.480604166667</v>
      </c>
      <c r="K6" s="21"/>
      <c r="L6" s="43"/>
      <c r="M6" s="316"/>
    </row>
    <row r="7" spans="1:13">
      <c r="A7" s="30"/>
      <c r="B7" s="30"/>
      <c r="C7" s="30"/>
      <c r="D7" s="30"/>
      <c r="E7" s="30"/>
      <c r="F7" s="30"/>
      <c r="G7" s="30"/>
      <c r="H7" s="30"/>
      <c r="I7" s="30"/>
      <c r="J7" s="30"/>
      <c r="K7" s="30"/>
      <c r="L7" s="30"/>
      <c r="M7" s="30"/>
    </row>
    <row r="8" spans="1:13" ht="15" customHeight="1">
      <c r="A8" s="30"/>
      <c r="B8" s="322" t="str">
        <f>A!$B$8</f>
        <v>LØB MED REPOSE I ENDE(R)</v>
      </c>
      <c r="C8" s="30"/>
      <c r="D8" s="30"/>
      <c r="E8" s="30"/>
      <c r="F8" s="30"/>
      <c r="G8" s="30"/>
      <c r="H8" s="30"/>
      <c r="I8" s="30"/>
      <c r="K8" s="30"/>
      <c r="L8" s="30"/>
      <c r="M8" s="30"/>
    </row>
    <row r="9" spans="1:13" ht="15" customHeight="1">
      <c r="A9" s="30"/>
      <c r="B9" s="30"/>
      <c r="C9" s="30"/>
      <c r="D9" s="30"/>
      <c r="E9" s="30"/>
      <c r="F9" s="30"/>
      <c r="G9" s="168" t="str">
        <f>A!G9</f>
        <v>Konsekvensklasse</v>
      </c>
      <c r="H9" s="168" t="str">
        <f>A!H9</f>
        <v>CC</v>
      </c>
      <c r="I9" s="128">
        <f>A!I9</f>
        <v>2</v>
      </c>
      <c r="K9" s="30" t="str">
        <f>A!K9</f>
        <v>Middel</v>
      </c>
      <c r="L9" s="30"/>
      <c r="M9" s="30"/>
    </row>
    <row r="10" spans="1:13" ht="15" customHeight="1">
      <c r="A10" s="30"/>
      <c r="B10" s="322"/>
      <c r="C10" s="30"/>
      <c r="D10" s="30"/>
      <c r="E10" s="30"/>
      <c r="F10" s="30"/>
      <c r="G10" s="168" t="str">
        <f>A!G10</f>
        <v>Kontrolklasse</v>
      </c>
      <c r="H10" s="168" t="str">
        <f>IF(A!T2=0," ",+NS!H10)</f>
        <v xml:space="preserve"> </v>
      </c>
      <c r="I10" s="128" t="str">
        <f>A!I10</f>
        <v>N</v>
      </c>
      <c r="K10" s="30" t="str">
        <f>A!K10</f>
        <v>Normal</v>
      </c>
      <c r="L10" s="30"/>
      <c r="M10" s="30"/>
    </row>
    <row r="11" spans="1:13" ht="15" customHeight="1">
      <c r="A11" s="30"/>
      <c r="B11" s="30"/>
      <c r="C11" s="30"/>
      <c r="D11" s="30"/>
      <c r="E11" s="30"/>
      <c r="F11" s="30"/>
      <c r="G11" s="168" t="str">
        <f>A!G11</f>
        <v>Miljøpåvirkning</v>
      </c>
      <c r="H11" s="30"/>
      <c r="I11" s="128" t="str">
        <f>A!I11</f>
        <v>P</v>
      </c>
      <c r="K11" s="30" t="str">
        <f>A!K11</f>
        <v>Passiv</v>
      </c>
      <c r="L11" s="30"/>
      <c r="M11" s="30"/>
    </row>
    <row r="12" spans="1:13" ht="15" customHeight="1">
      <c r="A12" s="30"/>
      <c r="B12" s="30"/>
      <c r="C12" s="30"/>
      <c r="D12" s="30"/>
      <c r="E12" s="30"/>
      <c r="F12" s="30"/>
      <c r="G12" s="119" t="str">
        <f>A!$G$12</f>
        <v xml:space="preserve"> </v>
      </c>
      <c r="H12" s="30"/>
      <c r="I12" s="30"/>
      <c r="K12" s="30"/>
      <c r="L12" s="30"/>
      <c r="M12" s="30"/>
    </row>
    <row r="13" spans="1:13" ht="15" customHeight="1">
      <c r="A13" s="30"/>
      <c r="B13" s="30" t="str">
        <f>A!$B$13</f>
        <v>GEOMETRI, STYRKETAL OG TVÆRSNITSDATA</v>
      </c>
      <c r="C13" s="30"/>
      <c r="D13" s="30"/>
      <c r="E13" s="30"/>
      <c r="F13" s="30"/>
      <c r="G13" s="30"/>
      <c r="H13" s="30"/>
      <c r="I13" s="30"/>
      <c r="J13" s="30"/>
      <c r="K13" s="30"/>
      <c r="L13" s="30"/>
      <c r="M13" s="30"/>
    </row>
    <row r="14" spans="1:13" ht="15" customHeight="1">
      <c r="A14" s="30"/>
      <c r="B14" s="30"/>
      <c r="C14" s="30"/>
      <c r="D14" s="30"/>
      <c r="E14" s="30"/>
      <c r="F14" s="30"/>
      <c r="G14" s="30" t="str">
        <f>A!G14</f>
        <v>løbsgrund</v>
      </c>
      <c r="H14" s="30" t="str">
        <f>A!H14</f>
        <v>g</v>
      </c>
      <c r="I14" s="30" t="s">
        <v>120</v>
      </c>
      <c r="J14" s="323" t="e">
        <f>A!J14</f>
        <v>#N/A</v>
      </c>
      <c r="K14" s="30" t="str">
        <f>A!K14</f>
        <v>mm</v>
      </c>
      <c r="L14" s="30"/>
      <c r="M14" s="30"/>
    </row>
    <row r="15" spans="1:13" ht="15" customHeight="1">
      <c r="A15" s="30"/>
      <c r="B15" s="30"/>
      <c r="C15" s="30" t="str">
        <f>A!$C$15</f>
        <v xml:space="preserve">   f    g</v>
      </c>
      <c r="D15" s="30"/>
      <c r="E15" s="30"/>
      <c r="F15" s="30"/>
      <c r="G15" s="30" t="str">
        <f>A!G15</f>
        <v>løbsstigning</v>
      </c>
      <c r="H15" s="30" t="str">
        <f>A!H15</f>
        <v>s</v>
      </c>
      <c r="I15" s="30" t="s">
        <v>120</v>
      </c>
      <c r="J15" s="323" t="e">
        <f>A!J15</f>
        <v>#N/A</v>
      </c>
      <c r="K15" s="30" t="str">
        <f>A!K15</f>
        <v>mm</v>
      </c>
      <c r="L15" s="30"/>
      <c r="M15" s="30"/>
    </row>
    <row r="16" spans="1:13" ht="15" customHeight="1">
      <c r="A16" s="324"/>
      <c r="B16" s="30"/>
      <c r="C16" s="30"/>
      <c r="D16" s="128" t="str">
        <f>A!$D$16</f>
        <v xml:space="preserve"> t</v>
      </c>
      <c r="E16" s="30"/>
      <c r="F16" s="30"/>
      <c r="G16" s="30" t="str">
        <f>A!G16</f>
        <v>forkant"hældning"</v>
      </c>
      <c r="H16" s="30" t="str">
        <f>A!H16</f>
        <v>f</v>
      </c>
      <c r="I16" s="30" t="s">
        <v>120</v>
      </c>
      <c r="J16" s="323">
        <f>A!J16</f>
        <v>0</v>
      </c>
      <c r="K16" s="30" t="str">
        <f>A!K16</f>
        <v>mm</v>
      </c>
      <c r="L16" s="30"/>
      <c r="M16" s="30"/>
    </row>
    <row r="17" spans="1:13" ht="15" customHeight="1">
      <c r="A17" s="30"/>
      <c r="B17" s="168" t="str">
        <f>A!$B$17</f>
        <v>s</v>
      </c>
      <c r="C17" s="168" t="str">
        <f>A!$C$17</f>
        <v>tg</v>
      </c>
      <c r="D17" s="30"/>
      <c r="E17" s="30"/>
      <c r="F17" s="30"/>
      <c r="G17" s="30" t="str">
        <f>A!G17</f>
        <v>=&gt;løbshældning</v>
      </c>
      <c r="H17" s="30" t="str">
        <f>A!H17</f>
        <v>æ</v>
      </c>
      <c r="I17" s="30" t="s">
        <v>120</v>
      </c>
      <c r="J17" s="169" t="e">
        <f>A!J17</f>
        <v>#N/A</v>
      </c>
      <c r="K17" s="30" t="str">
        <f>A!K17</f>
        <v>grader</v>
      </c>
      <c r="L17" s="30"/>
      <c r="M17" s="30"/>
    </row>
    <row r="18" spans="1:13" ht="15" customHeight="1">
      <c r="A18" s="30"/>
      <c r="B18" s="30" t="str">
        <f>A!$B$18</f>
        <v>tr</v>
      </c>
      <c r="C18" s="30"/>
      <c r="D18" s="86" t="str">
        <f>A!$D$18</f>
        <v>detailudsnit</v>
      </c>
      <c r="E18" s="30"/>
      <c r="F18" s="30"/>
      <c r="G18" s="30" t="str">
        <f>A!G18</f>
        <v>tykkelse mht. vægt</v>
      </c>
      <c r="H18" s="30" t="str">
        <f>A!H18</f>
        <v>tg</v>
      </c>
      <c r="I18" s="30" t="s">
        <v>120</v>
      </c>
      <c r="J18" s="323" t="e">
        <f>A!J18</f>
        <v>#N/A</v>
      </c>
      <c r="K18" s="30" t="str">
        <f>A!K18</f>
        <v>mm</v>
      </c>
      <c r="L18" s="30"/>
      <c r="M18" s="30"/>
    </row>
    <row r="19" spans="1:13" ht="15" customHeight="1">
      <c r="A19" s="30"/>
      <c r="B19" s="30"/>
      <c r="C19" s="30"/>
      <c r="D19" s="30"/>
      <c r="E19" s="30"/>
      <c r="F19" s="30"/>
      <c r="G19" s="30" t="str">
        <f>A!G19</f>
        <v>løbstykkelse</v>
      </c>
      <c r="H19" s="30" t="str">
        <f>A!H19</f>
        <v>t</v>
      </c>
      <c r="I19" s="30" t="s">
        <v>120</v>
      </c>
      <c r="J19" s="323" t="e">
        <f>A!J19</f>
        <v>#N/A</v>
      </c>
      <c r="K19" s="30" t="str">
        <f>A!K19</f>
        <v>mm</v>
      </c>
      <c r="L19" s="30"/>
      <c r="M19" s="30"/>
    </row>
    <row r="20" spans="1:13" ht="15" customHeight="1">
      <c r="A20" s="30"/>
      <c r="B20" s="30"/>
      <c r="C20" s="168" t="str">
        <f>A!C20</f>
        <v>(e)</v>
      </c>
      <c r="D20" s="168" t="str">
        <f>A!D20</f>
        <v>(p)</v>
      </c>
      <c r="E20" s="30"/>
      <c r="F20" s="170" t="str">
        <f>A!F20</f>
        <v>(e)</v>
      </c>
      <c r="G20" s="30" t="str">
        <f>A!G20</f>
        <v>effektiv højde løb</v>
      </c>
      <c r="H20" s="30" t="str">
        <f>A!H20</f>
        <v>d</v>
      </c>
      <c r="I20" s="30" t="s">
        <v>120</v>
      </c>
      <c r="J20" s="66" t="e">
        <f>A!J20</f>
        <v>#N/A</v>
      </c>
      <c r="K20" s="30" t="str">
        <f>A!K20</f>
        <v>mm</v>
      </c>
      <c r="L20" s="30"/>
      <c r="M20" s="30"/>
    </row>
    <row r="21" spans="1:13" ht="15" customHeight="1">
      <c r="A21" s="30"/>
      <c r="B21" s="30"/>
      <c r="C21" s="30" t="str">
        <f>A!C21</f>
        <v>R1</v>
      </c>
      <c r="D21" s="168"/>
      <c r="E21" s="30"/>
      <c r="F21" s="345" t="str">
        <f>A!F21</f>
        <v>a1</v>
      </c>
      <c r="G21" s="30" t="str">
        <f>A!G21</f>
        <v>reposetykkelse</v>
      </c>
      <c r="H21" s="30" t="str">
        <f>A!H21</f>
        <v>tr</v>
      </c>
      <c r="I21" s="30" t="s">
        <v>120</v>
      </c>
      <c r="J21" s="323" t="e">
        <f>A!J21</f>
        <v>#N/A</v>
      </c>
      <c r="K21" s="30" t="str">
        <f>A!K21</f>
        <v>mm</v>
      </c>
      <c r="L21" s="30"/>
      <c r="M21" s="55"/>
    </row>
    <row r="22" spans="1:13" ht="15" customHeight="1">
      <c r="A22" s="30"/>
      <c r="B22" s="30"/>
      <c r="C22" s="30" t="str">
        <f>A!C22</f>
        <v>R2</v>
      </c>
      <c r="D22" s="168"/>
      <c r="E22" s="30"/>
      <c r="F22" s="345" t="str">
        <f>A!F22</f>
        <v xml:space="preserve">        ad</v>
      </c>
      <c r="G22" s="30" t="str">
        <f>A!G22</f>
        <v>effektiv højde rep.</v>
      </c>
      <c r="H22" s="30" t="str">
        <f>A!H22</f>
        <v>dr</v>
      </c>
      <c r="I22" s="30" t="s">
        <v>120</v>
      </c>
      <c r="J22" s="323" t="e">
        <f>A!J22</f>
        <v>#N/A</v>
      </c>
      <c r="K22" s="30" t="str">
        <f>A!K22</f>
        <v>mm</v>
      </c>
      <c r="L22" s="30"/>
      <c r="M22" s="119"/>
    </row>
    <row r="23" spans="1:13" ht="15" customHeight="1">
      <c r="A23" s="30"/>
      <c r="B23" s="30"/>
      <c r="C23" s="30"/>
      <c r="D23" s="168" t="s">
        <v>225</v>
      </c>
      <c r="E23" s="30"/>
      <c r="F23" s="345" t="str">
        <f>A!F23</f>
        <v>a2</v>
      </c>
      <c r="G23" s="30" t="str">
        <f>A!G23</f>
        <v>bredde</v>
      </c>
      <c r="H23" s="30" t="str">
        <f>A!H23</f>
        <v>b</v>
      </c>
      <c r="I23" s="30" t="s">
        <v>120</v>
      </c>
      <c r="J23" s="323" t="e">
        <f>A!J23</f>
        <v>#N/A</v>
      </c>
      <c r="K23" s="30" t="str">
        <f>A!K23</f>
        <v>mm</v>
      </c>
      <c r="L23" s="30"/>
      <c r="M23" s="30"/>
    </row>
    <row r="24" spans="1:13" ht="15" customHeight="1">
      <c r="A24" s="30"/>
      <c r="B24" t="str">
        <f>A!$B$24</f>
        <v>venstre</v>
      </c>
      <c r="C24" s="30"/>
      <c r="D24" s="30"/>
      <c r="E24" s="30"/>
      <c r="F24" s="19" t="str">
        <f>A!$F$24</f>
        <v>højre</v>
      </c>
      <c r="G24" t="str">
        <f>A!G24</f>
        <v>løb-/naboelem.udsp., nu</v>
      </c>
      <c r="H24" s="30"/>
      <c r="I24" s="30" t="s">
        <v>120</v>
      </c>
      <c r="J24" s="323">
        <f>A!J24</f>
        <v>120</v>
      </c>
      <c r="K24" s="30" t="str">
        <f>A!K24</f>
        <v>mm dybde</v>
      </c>
      <c r="L24" s="30"/>
      <c r="M24" s="30"/>
    </row>
    <row r="25" spans="1:13" ht="15" customHeight="1">
      <c r="A25" s="30"/>
      <c r="B25" s="30"/>
      <c r="C25" s="30"/>
      <c r="D25" s="30"/>
      <c r="E25" s="30"/>
      <c r="F25" s="30" t="str">
        <f>A!F25</f>
        <v>(8)</v>
      </c>
      <c r="G25" s="30" t="str">
        <f>A!G25</f>
        <v>betonstyrke</v>
      </c>
      <c r="H25" s="30" t="str">
        <f>A!H25</f>
        <v>f ck</v>
      </c>
      <c r="I25" s="30" t="s">
        <v>120</v>
      </c>
      <c r="J25" s="323">
        <f>A!J25</f>
        <v>30</v>
      </c>
      <c r="K25" s="30" t="str">
        <f>A!K25</f>
        <v>N/mm2</v>
      </c>
      <c r="L25" s="30"/>
      <c r="M25" s="30"/>
    </row>
    <row r="26" spans="1:13" ht="15" customHeight="1">
      <c r="A26" s="30"/>
      <c r="B26" s="170"/>
      <c r="C26" s="30"/>
      <c r="D26" s="170" t="s">
        <v>248</v>
      </c>
      <c r="E26" s="30"/>
      <c r="F26" s="128" t="str">
        <f>A!F26</f>
        <v xml:space="preserve">(6)  </v>
      </c>
      <c r="G26" s="30"/>
      <c r="H26" s="30" t="str">
        <f>A!H26</f>
        <v>f cd</v>
      </c>
      <c r="I26" s="30" t="s">
        <v>120</v>
      </c>
      <c r="J26" s="169">
        <f>A!J26</f>
        <v>21.428571428571431</v>
      </c>
      <c r="K26" s="30" t="str">
        <f>A!K26</f>
        <v>N/mm2</v>
      </c>
      <c r="L26" s="30"/>
      <c r="M26" s="30"/>
    </row>
    <row r="27" spans="1:13" ht="15" customHeight="1">
      <c r="A27" s="30"/>
      <c r="B27" s="170"/>
      <c r="C27" s="30" t="str">
        <f>A!C27</f>
        <v xml:space="preserve">  (4)</v>
      </c>
      <c r="D27" s="30"/>
      <c r="E27" s="30"/>
      <c r="F27" s="128" t="str">
        <f>A!F27</f>
        <v xml:space="preserve">(5)  </v>
      </c>
      <c r="G27" s="30"/>
      <c r="H27" s="30" t="str">
        <f>A!H27</f>
        <v>f ctm</v>
      </c>
      <c r="I27" s="30" t="s">
        <v>120</v>
      </c>
      <c r="J27" s="122">
        <f>A!J27</f>
        <v>2.896468153816889</v>
      </c>
      <c r="K27" s="30" t="str">
        <f>A!K27</f>
        <v>N/mm2</v>
      </c>
      <c r="L27" s="30"/>
      <c r="M27" s="30"/>
    </row>
    <row r="28" spans="1:13" ht="15" customHeight="1">
      <c r="A28" s="30"/>
      <c r="B28" s="30"/>
      <c r="C28" s="30" t="str">
        <f>A!C28</f>
        <v xml:space="preserve">  (3)</v>
      </c>
      <c r="D28" s="30"/>
      <c r="E28" s="30"/>
      <c r="F28" s="128"/>
      <c r="G28" s="30" t="str">
        <f>A!G28</f>
        <v>hovedarmering</v>
      </c>
      <c r="H28" s="323" t="e">
        <f>A!H28</f>
        <v>#N/A</v>
      </c>
      <c r="I28" s="325" t="str">
        <f>A!I28</f>
        <v>K</v>
      </c>
      <c r="J28" s="323" t="e">
        <f>A!J28</f>
        <v>#N/A</v>
      </c>
      <c r="K28" s="30" t="str">
        <f>A!K28</f>
        <v>stk,type,diameter</v>
      </c>
      <c r="L28" s="30"/>
      <c r="M28" s="30"/>
    </row>
    <row r="29" spans="1:13" ht="15" customHeight="1">
      <c r="A29" s="30"/>
      <c r="B29" s="30"/>
      <c r="C29" s="30"/>
      <c r="D29" s="30"/>
      <c r="E29" s="30"/>
      <c r="F29" s="128" t="str">
        <f>A!F29</f>
        <v xml:space="preserve">(2)  </v>
      </c>
      <c r="G29" s="30" t="str">
        <f>A!G29</f>
        <v>+ ekstra v.sidekant</v>
      </c>
      <c r="H29" s="323" t="e">
        <f>A!H29</f>
        <v>#N/A</v>
      </c>
      <c r="I29" s="30" t="str">
        <f>A!I29</f>
        <v>K</v>
      </c>
      <c r="J29" s="323" t="e">
        <f>A!J29</f>
        <v>#N/A</v>
      </c>
      <c r="K29" s="30" t="str">
        <f>A!K29</f>
        <v>stk,type,diameter</v>
      </c>
      <c r="L29" s="30"/>
      <c r="M29" s="30"/>
    </row>
    <row r="30" spans="1:13" ht="15" customHeight="1">
      <c r="A30" s="30"/>
      <c r="B30" s="30"/>
      <c r="C30" s="30"/>
      <c r="D30" s="30"/>
      <c r="E30" s="30"/>
      <c r="F30" s="128" t="str">
        <f>A!F30</f>
        <v xml:space="preserve">(1)  </v>
      </c>
      <c r="G30" s="30"/>
      <c r="H30" s="30" t="str">
        <f>A!H30</f>
        <v>f yk</v>
      </c>
      <c r="I30" s="30" t="s">
        <v>120</v>
      </c>
      <c r="J30" s="66">
        <f>A!J30</f>
        <v>500</v>
      </c>
      <c r="K30" s="30" t="str">
        <f>A!K30</f>
        <v>N/mm2</v>
      </c>
      <c r="L30" s="30"/>
      <c r="M30" s="30"/>
    </row>
    <row r="31" spans="1:13" ht="15" customHeight="1">
      <c r="A31" s="30"/>
      <c r="B31" s="30"/>
      <c r="C31" s="30"/>
      <c r="D31" s="30"/>
      <c r="E31" s="30"/>
      <c r="F31" s="30"/>
      <c r="G31" s="30"/>
      <c r="H31" s="30" t="str">
        <f>A!H31</f>
        <v>f yd</v>
      </c>
      <c r="I31" s="30" t="s">
        <v>120</v>
      </c>
      <c r="J31" s="66">
        <f>A!J31</f>
        <v>416.66666666666669</v>
      </c>
      <c r="K31" s="30" t="str">
        <f>A!K31</f>
        <v>N/mm2</v>
      </c>
      <c r="L31" s="30"/>
      <c r="M31" s="30"/>
    </row>
    <row r="32" spans="1:13" ht="15" customHeight="1">
      <c r="A32" s="30"/>
      <c r="B32" s="30"/>
      <c r="C32" s="30"/>
      <c r="D32" s="30"/>
      <c r="E32" s="30"/>
      <c r="F32" s="30"/>
      <c r="G32" s="30"/>
      <c r="H32" s="30" t="str">
        <f>A!H32</f>
        <v>A s</v>
      </c>
      <c r="I32" s="30" t="s">
        <v>120</v>
      </c>
      <c r="J32" s="66" t="e">
        <f>A!J32</f>
        <v>#N/A</v>
      </c>
      <c r="K32" s="30" t="str">
        <f>A!K32</f>
        <v>mm2</v>
      </c>
      <c r="L32" s="30"/>
      <c r="M32" s="30"/>
    </row>
    <row r="33" spans="1:13" ht="15" customHeight="1">
      <c r="A33" s="30"/>
      <c r="B33" s="30"/>
      <c r="C33" s="30"/>
      <c r="D33" s="30"/>
      <c r="E33" s="30"/>
      <c r="F33" s="30"/>
      <c r="G33" s="30"/>
      <c r="H33" s="30" t="str">
        <f>A!H33</f>
        <v>+ ekstra</v>
      </c>
      <c r="I33" s="30"/>
      <c r="J33" s="66" t="e">
        <f>A!J33</f>
        <v>#N/A</v>
      </c>
      <c r="K33" s="30" t="str">
        <f>A!K33</f>
        <v>mm2</v>
      </c>
      <c r="L33" s="30"/>
      <c r="M33" s="30"/>
    </row>
    <row r="34" spans="1:13" ht="15" customHeight="1">
      <c r="A34" s="30"/>
      <c r="B34" s="30"/>
      <c r="C34" s="30"/>
      <c r="D34" s="30"/>
      <c r="E34" s="30"/>
      <c r="F34" s="30"/>
      <c r="G34" s="30" t="str">
        <f>A!G34</f>
        <v>reposedybde</v>
      </c>
      <c r="H34" s="30" t="str">
        <f>A!H34</f>
        <v>la</v>
      </c>
      <c r="I34" s="30" t="s">
        <v>120</v>
      </c>
      <c r="J34" s="326" t="e">
        <f>A!J34</f>
        <v>#N/A</v>
      </c>
      <c r="K34" s="30" t="str">
        <f>A!K34</f>
        <v>m</v>
      </c>
      <c r="L34" s="30"/>
      <c r="M34" s="119"/>
    </row>
    <row r="35" spans="1:13" ht="15" customHeight="1">
      <c r="A35" s="30"/>
      <c r="B35" s="30"/>
      <c r="C35" s="30"/>
      <c r="D35" s="168" t="str">
        <f>A!D35</f>
        <v>l</v>
      </c>
      <c r="E35" s="30"/>
      <c r="F35" s="30"/>
      <c r="G35" s="30" t="str">
        <f>A!G35</f>
        <v>løbs"dybde"</v>
      </c>
      <c r="H35" s="30" t="str">
        <f>A!H35</f>
        <v>lb</v>
      </c>
      <c r="I35" s="30" t="s">
        <v>120</v>
      </c>
      <c r="J35" s="326" t="e">
        <f>A!J35</f>
        <v>#N/A</v>
      </c>
      <c r="K35" s="30" t="str">
        <f>A!K35</f>
        <v>m</v>
      </c>
      <c r="L35" s="30"/>
      <c r="M35" s="30"/>
    </row>
    <row r="36" spans="1:13" ht="15" customHeight="1">
      <c r="A36" s="30"/>
      <c r="B36" s="30"/>
      <c r="C36" s="168" t="str">
        <f>A!C36</f>
        <v xml:space="preserve">u     la </v>
      </c>
      <c r="D36" s="168" t="str">
        <f>A!D36</f>
        <v>lb</v>
      </c>
      <c r="E36" s="30"/>
      <c r="F36" s="30" t="str">
        <f>A!F36</f>
        <v>lc     u</v>
      </c>
      <c r="G36" s="30" t="str">
        <f>A!G36</f>
        <v>reposedybde</v>
      </c>
      <c r="H36" s="30" t="str">
        <f>A!H36</f>
        <v>lc</v>
      </c>
      <c r="I36" s="30" t="s">
        <v>120</v>
      </c>
      <c r="J36" s="326" t="e">
        <f>A!J36</f>
        <v>#N/A</v>
      </c>
      <c r="K36" s="30" t="str">
        <f>A!K36</f>
        <v>m</v>
      </c>
      <c r="L36" s="30"/>
      <c r="M36" s="119"/>
    </row>
    <row r="37" spans="1:13" ht="15" customHeight="1">
      <c r="A37" s="30"/>
      <c r="B37" s="30"/>
      <c r="C37" s="30"/>
      <c r="D37" s="168" t="str">
        <f>A!D37</f>
        <v>Lv</v>
      </c>
      <c r="E37" s="30"/>
      <c r="F37" s="30"/>
      <c r="G37" s="30"/>
      <c r="H37" s="30" t="str">
        <f>A!H37</f>
        <v>u</v>
      </c>
      <c r="I37" s="30" t="s">
        <v>120</v>
      </c>
      <c r="J37" s="122" t="e">
        <f>A!J37</f>
        <v>#N/A</v>
      </c>
      <c r="K37" s="30" t="str">
        <f>A!K37</f>
        <v>m</v>
      </c>
      <c r="L37" s="30"/>
      <c r="M37" s="30"/>
    </row>
    <row r="38" spans="1:13" ht="15" customHeight="1">
      <c r="A38" s="30"/>
      <c r="B38" s="30"/>
      <c r="C38" s="30"/>
      <c r="D38" s="30"/>
      <c r="E38" s="30"/>
      <c r="F38" s="30"/>
      <c r="G38" s="30" t="str">
        <f>A!G38</f>
        <v>spændvidde</v>
      </c>
      <c r="H38" s="30" t="str">
        <f>A!H38</f>
        <v>Lv</v>
      </c>
      <c r="I38" s="30" t="s">
        <v>120</v>
      </c>
      <c r="J38" s="326" t="e">
        <f>A!J38</f>
        <v>#N/A</v>
      </c>
      <c r="K38" s="30" t="str">
        <f>A!K38</f>
        <v>m</v>
      </c>
      <c r="L38" s="30"/>
      <c r="M38" s="30"/>
    </row>
    <row r="39" spans="1:13" ht="15" customHeight="1">
      <c r="A39" s="30"/>
      <c r="B39" s="30"/>
      <c r="C39" s="30"/>
      <c r="D39" s="30"/>
      <c r="E39" s="30"/>
      <c r="F39" s="210" t="e">
        <f>A!$F$39</f>
        <v>#N/A</v>
      </c>
      <c r="G39" s="30" t="str">
        <f>A!G39</f>
        <v>bredde mht. V</v>
      </c>
      <c r="H39" s="30"/>
      <c r="I39" s="30"/>
      <c r="J39" s="168" t="str">
        <f>A!J39</f>
        <v>venstre(a)</v>
      </c>
      <c r="K39" s="30"/>
      <c r="L39" s="128" t="str">
        <f>A!L39</f>
        <v>højre(c)</v>
      </c>
      <c r="M39" s="30"/>
    </row>
    <row r="40" spans="1:13" ht="15" customHeight="1">
      <c r="A40" s="30"/>
      <c r="B40" s="30"/>
      <c r="C40" s="30"/>
      <c r="D40" s="30"/>
      <c r="E40" s="30"/>
      <c r="F40" s="224">
        <f>J24</f>
        <v>120</v>
      </c>
      <c r="G40" t="str">
        <f>A!G40</f>
        <v xml:space="preserve"> </v>
      </c>
      <c r="H40" s="30"/>
      <c r="I40" s="30"/>
      <c r="J40" s="327" t="str">
        <f>A!J40</f>
        <v>dorn</v>
      </c>
      <c r="K40" s="30"/>
      <c r="L40" s="327" t="str">
        <f>A!L40</f>
        <v>ende</v>
      </c>
      <c r="M40" s="119"/>
    </row>
    <row r="41" spans="1:13" ht="15" customHeight="1">
      <c r="A41" s="30"/>
      <c r="B41" s="30"/>
      <c r="C41" s="30" t="s">
        <v>362</v>
      </c>
      <c r="D41" s="30"/>
      <c r="E41" s="30"/>
      <c r="F41" s="66"/>
      <c r="G41" s="128" t="str">
        <f>A!G41</f>
        <v xml:space="preserve">  t mht. M,</v>
      </c>
      <c r="H41" s="30" t="str">
        <f>A!H41</f>
        <v>a1</v>
      </c>
      <c r="I41" s="30" t="s">
        <v>120</v>
      </c>
      <c r="J41" s="323" t="e">
        <f>A!J41</f>
        <v>#N/A</v>
      </c>
      <c r="K41" s="30"/>
      <c r="L41" s="323" t="e">
        <f>A!L41</f>
        <v>#N/A</v>
      </c>
      <c r="M41" s="30" t="str">
        <f>A!M41</f>
        <v>mm</v>
      </c>
    </row>
    <row r="42" spans="1:13" ht="15" customHeight="1">
      <c r="A42" s="30"/>
      <c r="B42" s="30"/>
      <c r="C42" s="30" t="s">
        <v>368</v>
      </c>
      <c r="D42" s="30"/>
      <c r="E42" s="30"/>
      <c r="F42" s="224" t="e">
        <f>A!$F$42</f>
        <v>#N/A</v>
      </c>
      <c r="G42" s="128" t="str">
        <f>A!G42</f>
        <v>tr mht. V</v>
      </c>
      <c r="H42" s="30" t="str">
        <f>A!H42</f>
        <v>a2</v>
      </c>
      <c r="I42" s="30" t="s">
        <v>120</v>
      </c>
      <c r="J42" s="323" t="e">
        <f>A!J42</f>
        <v>#N/A</v>
      </c>
      <c r="K42" s="30"/>
      <c r="L42" s="323" t="e">
        <f>A!L42</f>
        <v>#N/A</v>
      </c>
      <c r="M42" s="30" t="str">
        <f>A!M42</f>
        <v>mm</v>
      </c>
    </row>
    <row r="43" spans="1:13" ht="15" customHeight="1">
      <c r="A43" s="30"/>
      <c r="B43" s="30"/>
      <c r="C43" s="30"/>
      <c r="D43" s="30"/>
      <c r="E43" s="30"/>
      <c r="F43" s="210" t="e">
        <f>A!$F$43</f>
        <v>#N/A</v>
      </c>
      <c r="G43" s="30" t="str">
        <f>A!G43</f>
        <v>bredde mht. M</v>
      </c>
      <c r="H43" s="30" t="str">
        <f>A!H43</f>
        <v>ad</v>
      </c>
      <c r="I43" s="30" t="s">
        <v>120</v>
      </c>
      <c r="J43" s="66" t="e">
        <f>A!J43</f>
        <v>#N/A</v>
      </c>
      <c r="K43" s="30"/>
      <c r="L43" s="66" t="e">
        <f>A!L43</f>
        <v>#N/A</v>
      </c>
      <c r="M43" s="30" t="str">
        <f>A!M43</f>
        <v>mm</v>
      </c>
    </row>
    <row r="44" spans="1:13" ht="15" customHeight="1">
      <c r="A44" s="30"/>
      <c r="B44" s="30" t="str">
        <f>A!$B$44</f>
        <v>LASTE</v>
      </c>
      <c r="C44" s="30"/>
      <c r="D44" s="30"/>
      <c r="E44" s="30"/>
      <c r="F44" s="30"/>
      <c r="G44" s="30"/>
      <c r="H44" s="30"/>
      <c r="I44" s="30"/>
      <c r="J44" s="30"/>
      <c r="K44" s="30"/>
      <c r="L44" s="30"/>
      <c r="M44" s="30"/>
    </row>
    <row r="45" spans="1:13" ht="15" customHeight="1">
      <c r="A45" s="30"/>
      <c r="B45" s="30" t="str">
        <f>A!$B$45</f>
        <v xml:space="preserve"> -jævnt fordelt</v>
      </c>
      <c r="C45" s="30"/>
      <c r="D45" s="30"/>
      <c r="E45" s="30"/>
      <c r="F45" s="131"/>
      <c r="G45" s="170"/>
      <c r="H45" s="30" t="str">
        <f>A!H45</f>
        <v>karakt.</v>
      </c>
      <c r="I45" s="30"/>
      <c r="J45" s="168" t="str">
        <f>A!J45</f>
        <v>lastfaktor</v>
      </c>
      <c r="K45" s="132"/>
      <c r="L45" s="30" t="str">
        <f>A!L45</f>
        <v xml:space="preserve">   regn.m.</v>
      </c>
      <c r="M45" s="30"/>
    </row>
    <row r="46" spans="1:13" ht="15" customHeight="1">
      <c r="A46" s="30"/>
      <c r="B46" s="30"/>
      <c r="C46" s="30" t="str">
        <f>A!C46</f>
        <v>egenvægt (løbstværsnit)</v>
      </c>
      <c r="D46" s="30"/>
      <c r="E46" s="30"/>
      <c r="F46" s="30"/>
      <c r="G46" s="30" t="str">
        <f>A!G46</f>
        <v xml:space="preserve">  25 kN/m3</v>
      </c>
      <c r="H46" s="122" t="e">
        <f>A!H46</f>
        <v>#N/A</v>
      </c>
      <c r="I46" s="30" t="s">
        <v>392</v>
      </c>
      <c r="J46" s="128" t="e">
        <f>A!J46</f>
        <v>#N/A</v>
      </c>
      <c r="K46" s="30" t="s">
        <v>120</v>
      </c>
      <c r="L46" s="122" t="e">
        <f>A!L46</f>
        <v>#N/A</v>
      </c>
      <c r="M46" s="30" t="str">
        <f>A!M46</f>
        <v>kN/m2</v>
      </c>
    </row>
    <row r="47" spans="1:13" ht="15" customHeight="1">
      <c r="A47" s="30"/>
      <c r="B47" s="30"/>
      <c r="C47" s="30" t="str">
        <f>A!C47</f>
        <v xml:space="preserve">permanent udover egenvægt    </v>
      </c>
      <c r="D47" s="30"/>
      <c r="E47" s="30"/>
      <c r="F47" s="30"/>
      <c r="G47" s="30"/>
      <c r="H47" s="328" t="e">
        <f>A!H47</f>
        <v>#N/A</v>
      </c>
      <c r="I47" s="30" t="s">
        <v>392</v>
      </c>
      <c r="J47" s="128" t="e">
        <f>A!J47</f>
        <v>#N/A</v>
      </c>
      <c r="K47" s="30" t="s">
        <v>120</v>
      </c>
      <c r="L47" s="122" t="e">
        <f>A!L47</f>
        <v>#N/A</v>
      </c>
      <c r="M47" s="30" t="str">
        <f>A!M47</f>
        <v>kN/m2</v>
      </c>
    </row>
    <row r="48" spans="1:13" ht="15" customHeight="1">
      <c r="A48" s="30"/>
      <c r="B48" s="30"/>
      <c r="C48" s="30" t="str">
        <f>A!C49</f>
        <v>permanent ialt  (1)</v>
      </c>
      <c r="D48" s="30"/>
      <c r="E48" s="30"/>
      <c r="F48" s="30"/>
      <c r="G48" s="30"/>
      <c r="H48" s="122" t="e">
        <f>A!H49</f>
        <v>#N/A</v>
      </c>
      <c r="I48" s="30"/>
      <c r="J48" s="30" t="str">
        <f>A!$J$49</f>
        <v>kN/m2</v>
      </c>
      <c r="K48" s="30"/>
      <c r="L48" s="122"/>
      <c r="M48" s="30"/>
    </row>
    <row r="49" spans="1:13" ht="15" customHeight="1">
      <c r="A49" s="30"/>
      <c r="B49" s="30"/>
      <c r="C49" s="30" t="str">
        <f>A!C50</f>
        <v>nyttelast  (2)</v>
      </c>
      <c r="D49" s="30"/>
      <c r="E49" s="30"/>
      <c r="F49" s="30" t="s">
        <v>1139</v>
      </c>
      <c r="G49" s="325" t="str">
        <f>A!$G$50</f>
        <v>B</v>
      </c>
      <c r="H49" s="329">
        <f>A!H50</f>
        <v>5</v>
      </c>
      <c r="I49" s="30" t="s">
        <v>392</v>
      </c>
      <c r="J49" s="128" t="e">
        <f>A!$J$50</f>
        <v>#N/A</v>
      </c>
      <c r="K49" s="30" t="s">
        <v>120</v>
      </c>
      <c r="L49" s="329" t="e">
        <f>A!$L$50</f>
        <v>#N/A</v>
      </c>
      <c r="M49" s="30" t="str">
        <f>A!$M$50</f>
        <v>kN/m2</v>
      </c>
    </row>
    <row r="50" spans="1:13" ht="15" customHeight="1">
      <c r="A50" s="30"/>
      <c r="B50" s="30"/>
      <c r="C50" s="30" t="str">
        <f>A!C52</f>
        <v>ialt  (1+2)</v>
      </c>
      <c r="D50" s="30"/>
      <c r="E50" s="30"/>
      <c r="F50" s="30"/>
      <c r="G50" s="30"/>
      <c r="H50" s="122" t="e">
        <f>A!$H$52</f>
        <v>#N/A</v>
      </c>
      <c r="I50" s="30"/>
      <c r="J50" s="169" t="str">
        <f>A!$J$52</f>
        <v>kN/m2</v>
      </c>
      <c r="K50" s="30"/>
      <c r="L50" s="122" t="e">
        <f>A!L52</f>
        <v>#N/A</v>
      </c>
      <c r="M50" s="30" t="str">
        <f>A!M52</f>
        <v>kN/m2</v>
      </c>
    </row>
    <row r="51" spans="1:13" ht="15" customHeight="1">
      <c r="A51" s="30"/>
      <c r="B51" s="30"/>
      <c r="C51" s="30"/>
      <c r="D51" s="30"/>
      <c r="E51" s="30"/>
      <c r="F51" s="30"/>
      <c r="G51" s="30"/>
      <c r="H51" s="330"/>
      <c r="I51" s="30"/>
      <c r="J51" s="169"/>
      <c r="K51" s="30"/>
      <c r="L51" s="330"/>
      <c r="M51" s="30"/>
    </row>
    <row r="52" spans="1:13" ht="15" customHeight="1">
      <c r="A52" s="30"/>
      <c r="B52" s="30" t="str">
        <f>A!$B$54</f>
        <v xml:space="preserve"> -fra løb/naboelementer</v>
      </c>
      <c r="C52" s="122"/>
      <c r="D52" s="30"/>
      <c r="E52" s="30"/>
      <c r="F52" s="30"/>
      <c r="G52" s="30"/>
      <c r="H52" s="30"/>
      <c r="I52" s="30"/>
      <c r="J52" s="30"/>
      <c r="K52" s="30"/>
      <c r="L52" s="30"/>
      <c r="M52" s="30"/>
    </row>
    <row r="53" spans="1:13" ht="15" customHeight="1">
      <c r="A53" s="30"/>
      <c r="B53" s="30"/>
      <c r="C53" s="122" t="str">
        <f>A!C55</f>
        <v>permanent  repose a  (3)</v>
      </c>
      <c r="D53" s="30"/>
      <c r="E53" s="30"/>
      <c r="F53" s="30"/>
      <c r="G53" s="30"/>
      <c r="H53" s="326" t="e">
        <f>A!H55</f>
        <v>#N/A</v>
      </c>
      <c r="I53" s="30" t="s">
        <v>392</v>
      </c>
      <c r="J53" s="128" t="e">
        <f>A!J55</f>
        <v>#N/A</v>
      </c>
      <c r="K53" s="30" t="s">
        <v>120</v>
      </c>
      <c r="L53" s="122" t="e">
        <f>A!L55</f>
        <v>#N/A</v>
      </c>
      <c r="M53" s="30" t="str">
        <f>A!M55</f>
        <v>kN/m</v>
      </c>
    </row>
    <row r="54" spans="1:13" ht="15" customHeight="1">
      <c r="A54" s="30"/>
      <c r="B54" s="30"/>
      <c r="C54" s="122" t="str">
        <f>A!C56</f>
        <v>nyttelast repose a  (4)</v>
      </c>
      <c r="D54" s="30"/>
      <c r="E54" s="30"/>
      <c r="F54" s="30"/>
      <c r="G54" s="30"/>
      <c r="H54" s="326" t="e">
        <f>A!H56</f>
        <v>#N/A</v>
      </c>
      <c r="I54" s="30" t="s">
        <v>392</v>
      </c>
      <c r="J54" s="331" t="e">
        <f>A!J56</f>
        <v>#N/A</v>
      </c>
      <c r="K54" s="30" t="s">
        <v>120</v>
      </c>
      <c r="L54" s="122" t="e">
        <f>A!L56</f>
        <v>#N/A</v>
      </c>
      <c r="M54" s="30" t="str">
        <f>A!M56</f>
        <v>kN/m</v>
      </c>
    </row>
    <row r="55" spans="1:13" ht="15" customHeight="1">
      <c r="A55" s="30"/>
      <c r="B55" s="30"/>
      <c r="C55" s="122" t="str">
        <f>A!C57</f>
        <v xml:space="preserve">permanent repose c  (5)  </v>
      </c>
      <c r="D55" s="30"/>
      <c r="E55" s="30"/>
      <c r="F55" s="30"/>
      <c r="G55" s="30"/>
      <c r="H55" s="326" t="e">
        <f>A!H57</f>
        <v>#N/A</v>
      </c>
      <c r="I55" s="30" t="s">
        <v>392</v>
      </c>
      <c r="J55" s="128" t="e">
        <f>A!J57</f>
        <v>#N/A</v>
      </c>
      <c r="K55" s="30" t="s">
        <v>120</v>
      </c>
      <c r="L55" s="122" t="e">
        <f>A!L57</f>
        <v>#N/A</v>
      </c>
      <c r="M55" s="30" t="str">
        <f>A!M57</f>
        <v>kN/m</v>
      </c>
    </row>
    <row r="56" spans="1:13" ht="15" customHeight="1">
      <c r="A56" s="30"/>
      <c r="B56" s="30"/>
      <c r="C56" s="122" t="str">
        <f>A!C58</f>
        <v>nyttelast repose c  (6)</v>
      </c>
      <c r="D56" s="30"/>
      <c r="E56" s="30"/>
      <c r="F56" s="30"/>
      <c r="G56" s="30"/>
      <c r="H56" s="326" t="e">
        <f>A!H58</f>
        <v>#N/A</v>
      </c>
      <c r="I56" s="30" t="s">
        <v>392</v>
      </c>
      <c r="J56" s="331" t="e">
        <f>A!J58</f>
        <v>#N/A</v>
      </c>
      <c r="K56" s="30" t="s">
        <v>120</v>
      </c>
      <c r="L56" s="122" t="e">
        <f>A!L58</f>
        <v>#N/A</v>
      </c>
      <c r="M56" s="30" t="str">
        <f>A!M58</f>
        <v>kN/m</v>
      </c>
    </row>
    <row r="57" spans="1:13" ht="15" customHeight="1">
      <c r="A57" s="30"/>
      <c r="B57" s="30" t="str">
        <f>A!$B$59</f>
        <v xml:space="preserve"> -fra løbs/naboelementers sidekantpladestrimler</v>
      </c>
      <c r="C57" s="122"/>
      <c r="D57" s="30"/>
      <c r="E57" s="30"/>
      <c r="F57" s="30"/>
      <c r="G57" s="30"/>
      <c r="H57" s="30"/>
      <c r="I57" s="30"/>
      <c r="J57" s="128"/>
      <c r="K57" s="30"/>
      <c r="L57" s="30"/>
      <c r="M57" s="30"/>
    </row>
    <row r="58" spans="1:13" ht="15" customHeight="1">
      <c r="A58" s="30"/>
      <c r="B58" s="30"/>
      <c r="C58" s="122" t="str">
        <f>A!C60</f>
        <v>permanent repose a  (7)</v>
      </c>
      <c r="D58" s="30"/>
      <c r="E58" s="30"/>
      <c r="F58" s="30"/>
      <c r="G58" s="30"/>
      <c r="H58" s="326">
        <f>A!H60</f>
        <v>0</v>
      </c>
      <c r="I58" s="30" t="s">
        <v>392</v>
      </c>
      <c r="J58" s="128" t="e">
        <f>A!J60</f>
        <v>#N/A</v>
      </c>
      <c r="K58" s="30" t="s">
        <v>120</v>
      </c>
      <c r="L58" s="122" t="e">
        <f>A!L60</f>
        <v>#N/A</v>
      </c>
      <c r="M58" s="30" t="str">
        <f>A!M60</f>
        <v>kN</v>
      </c>
    </row>
    <row r="59" spans="1:13" ht="15" customHeight="1">
      <c r="A59" s="30"/>
      <c r="B59" s="30"/>
      <c r="C59" s="122" t="str">
        <f>A!C61</f>
        <v>nyttelast repose a  (7)</v>
      </c>
      <c r="D59" s="30"/>
      <c r="E59" s="30"/>
      <c r="F59" s="30"/>
      <c r="G59" s="30"/>
      <c r="H59" s="326">
        <f>A!H61</f>
        <v>0</v>
      </c>
      <c r="I59" s="30" t="s">
        <v>392</v>
      </c>
      <c r="J59" s="331" t="e">
        <f>A!J61</f>
        <v>#N/A</v>
      </c>
      <c r="K59" s="30" t="s">
        <v>120</v>
      </c>
      <c r="L59" s="122" t="e">
        <f>A!L61</f>
        <v>#N/A</v>
      </c>
      <c r="M59" s="30" t="str">
        <f>A!M61</f>
        <v>kN</v>
      </c>
    </row>
    <row r="60" spans="1:13" ht="15" customHeight="1">
      <c r="A60" s="30"/>
      <c r="B60" s="30"/>
      <c r="C60" s="122" t="str">
        <f>A!C62</f>
        <v xml:space="preserve">permanent repose c  (8) </v>
      </c>
      <c r="D60" s="30"/>
      <c r="E60" s="30"/>
      <c r="F60" s="30"/>
      <c r="G60" s="30"/>
      <c r="H60" s="326">
        <f>A!H62</f>
        <v>0</v>
      </c>
      <c r="I60" s="30" t="s">
        <v>392</v>
      </c>
      <c r="J60" s="128" t="e">
        <f>A!J62</f>
        <v>#N/A</v>
      </c>
      <c r="K60" s="30" t="s">
        <v>120</v>
      </c>
      <c r="L60" s="122" t="e">
        <f>A!L62</f>
        <v>#N/A</v>
      </c>
      <c r="M60" s="30" t="str">
        <f>A!M62</f>
        <v>kN</v>
      </c>
    </row>
    <row r="61" spans="1:13" ht="15" customHeight="1">
      <c r="A61" s="30"/>
      <c r="B61" s="30"/>
      <c r="C61" s="122" t="str">
        <f>A!C63</f>
        <v>nyttelast repose c  (8)</v>
      </c>
      <c r="D61" s="30"/>
      <c r="E61" s="30"/>
      <c r="F61" s="30"/>
      <c r="G61" s="30"/>
      <c r="H61" s="326">
        <f>A!H63</f>
        <v>0</v>
      </c>
      <c r="I61" s="30" t="s">
        <v>392</v>
      </c>
      <c r="J61" s="331" t="e">
        <f>A!J63</f>
        <v>#N/A</v>
      </c>
      <c r="K61" s="30" t="s">
        <v>120</v>
      </c>
      <c r="L61" s="122" t="e">
        <f>A!L63</f>
        <v>#N/A</v>
      </c>
      <c r="M61" s="30" t="str">
        <f>A!M63</f>
        <v>kN</v>
      </c>
    </row>
    <row r="62" spans="1:13" ht="15" customHeight="1">
      <c r="A62" s="30"/>
      <c r="B62" s="30"/>
      <c r="C62" s="122" t="str">
        <f>A!C64</f>
        <v>placeret i afstand fra knækpunkt u+la</v>
      </c>
      <c r="D62" s="30"/>
      <c r="E62" s="30"/>
      <c r="F62" s="30"/>
      <c r="G62" s="30"/>
      <c r="H62" s="30"/>
      <c r="I62" s="30" t="s">
        <v>84</v>
      </c>
      <c r="J62" s="30"/>
      <c r="K62" s="30"/>
      <c r="L62" s="326">
        <f>A!L64</f>
        <v>0.1</v>
      </c>
      <c r="M62" s="30" t="str">
        <f>A!M64</f>
        <v>m</v>
      </c>
    </row>
    <row r="63" spans="1:13" ht="15" customHeight="1">
      <c r="A63" s="30"/>
      <c r="B63" s="30"/>
      <c r="C63" s="30"/>
      <c r="D63" s="30"/>
      <c r="E63" s="30"/>
      <c r="F63" s="30"/>
      <c r="G63" s="30"/>
      <c r="H63" s="30"/>
      <c r="I63" s="30" t="s">
        <v>172</v>
      </c>
      <c r="J63" s="30"/>
      <c r="K63" s="30"/>
      <c r="L63" s="326">
        <f>A!L65</f>
        <v>0.1</v>
      </c>
      <c r="M63" s="30" t="str">
        <f>A!M65</f>
        <v>m</v>
      </c>
    </row>
    <row r="64" spans="1:13" ht="15" customHeight="1">
      <c r="C64" t="e">
        <f>IF(A!CM11=1,"(7) og (8)"," ")</f>
        <v>#N/A</v>
      </c>
      <c r="L64" s="50" t="e">
        <f>IF(A!CM11=1,0," ")</f>
        <v>#N/A</v>
      </c>
      <c r="M64" t="e">
        <f>IF(A!CM11=1,"kN"," ")</f>
        <v>#N/A</v>
      </c>
    </row>
    <row r="65" spans="1:13" ht="15" customHeight="1">
      <c r="L65" s="50"/>
    </row>
    <row r="66" spans="1:13">
      <c r="A66" s="30"/>
      <c r="B66" s="30"/>
      <c r="C66" s="30"/>
      <c r="D66" s="30"/>
      <c r="E66" s="30"/>
      <c r="F66" s="30"/>
      <c r="G66" s="30"/>
      <c r="H66" s="30"/>
      <c r="I66" s="30"/>
      <c r="J66" s="30"/>
      <c r="K66" s="30"/>
      <c r="L66" s="30"/>
      <c r="M66" s="30"/>
    </row>
    <row r="67" spans="1:13">
      <c r="A67" s="30"/>
      <c r="B67" s="30" t="str">
        <f>A!$B$67</f>
        <v>MOMENT</v>
      </c>
      <c r="C67" s="122"/>
      <c r="D67" s="30"/>
      <c r="E67" s="30"/>
      <c r="F67" s="30"/>
      <c r="G67" s="30"/>
      <c r="H67" s="168" t="str">
        <f>A!$H$67</f>
        <v>bæreevne  M Rd</v>
      </c>
      <c r="I67" s="30"/>
      <c r="J67" s="30"/>
      <c r="K67" s="30"/>
      <c r="L67" s="30" t="str">
        <f>A!$L$67</f>
        <v xml:space="preserve"> snitkraft</v>
      </c>
      <c r="M67" s="30"/>
    </row>
    <row r="68" spans="1:13">
      <c r="A68" s="30"/>
      <c r="B68" s="30"/>
      <c r="C68" s="30" t="str">
        <f>A!C68</f>
        <v>ved jævnt fordelt last, plade (p)</v>
      </c>
      <c r="D68" s="30"/>
      <c r="E68" s="30"/>
      <c r="F68" s="30"/>
      <c r="G68" s="30"/>
      <c r="H68" s="169" t="e">
        <f>A!H68</f>
        <v>#N/A</v>
      </c>
      <c r="I68" s="30"/>
      <c r="J68" s="30" t="str">
        <f>A!J68</f>
        <v>kNm/m</v>
      </c>
      <c r="K68" s="30" t="e">
        <f>A!K68</f>
        <v>#N/A</v>
      </c>
      <c r="L68" s="169" t="e">
        <f>A!L68</f>
        <v>#N/A</v>
      </c>
      <c r="M68" s="30" t="e">
        <f>A!M68</f>
        <v>#N/A</v>
      </c>
    </row>
    <row r="69" spans="1:13">
      <c r="A69" s="30"/>
      <c r="B69" s="30"/>
      <c r="C69" s="30" t="str">
        <f>A!C69</f>
        <v>incl. last fra naboelem., sidekantpl.strimmel (f)</v>
      </c>
      <c r="D69" s="30"/>
      <c r="E69" s="30"/>
      <c r="F69" s="30"/>
      <c r="G69" s="30"/>
      <c r="H69" s="169" t="e">
        <f>A!H69</f>
        <v>#N/A</v>
      </c>
      <c r="I69" s="30"/>
      <c r="J69" s="30" t="str">
        <f>A!J69</f>
        <v>kNm</v>
      </c>
      <c r="K69" s="30" t="e">
        <f>A!K69</f>
        <v>#N/A</v>
      </c>
      <c r="L69" s="169" t="e">
        <f>A!L69</f>
        <v>#N/A</v>
      </c>
      <c r="M69" s="30" t="e">
        <f>A!M69</f>
        <v>#N/A</v>
      </c>
    </row>
    <row r="70" spans="1:13">
      <c r="A70" s="30"/>
      <c r="B70" s="30"/>
      <c r="C70" s="30"/>
      <c r="D70" s="30"/>
      <c r="E70" s="30"/>
      <c r="F70" s="30"/>
      <c r="G70" s="30"/>
      <c r="H70" s="30"/>
      <c r="I70" s="30"/>
      <c r="J70" s="30"/>
      <c r="K70" s="30"/>
      <c r="L70" s="30"/>
      <c r="M70" s="30"/>
    </row>
    <row r="71" spans="1:13">
      <c r="A71" s="30"/>
      <c r="B71" s="30" t="str">
        <f>A!$B$71</f>
        <v>FORSKYDNING</v>
      </c>
      <c r="C71" s="30"/>
      <c r="D71" s="30"/>
      <c r="E71" s="30"/>
      <c r="F71" s="30"/>
      <c r="G71" s="30"/>
      <c r="H71" s="168" t="str">
        <f>A!$H$71</f>
        <v>bæreevne  V Rd,c</v>
      </c>
      <c r="I71" s="30"/>
      <c r="J71" s="30"/>
      <c r="K71" s="30"/>
      <c r="L71" s="30"/>
      <c r="M71" s="30"/>
    </row>
    <row r="72" spans="1:13" ht="15" customHeight="1">
      <c r="A72" s="30"/>
      <c r="B72" s="30"/>
      <c r="C72" s="30" t="s">
        <v>494</v>
      </c>
      <c r="D72" s="30"/>
      <c r="E72" s="30"/>
      <c r="F72" s="30"/>
      <c r="G72" s="170" t="str">
        <f>A!G72</f>
        <v>venstre(a)</v>
      </c>
      <c r="H72" s="169" t="e">
        <f>A!H72</f>
        <v>#N/A</v>
      </c>
      <c r="I72" s="30"/>
      <c r="J72" s="30" t="str">
        <f>A!J72</f>
        <v>kN/m</v>
      </c>
      <c r="K72" s="30" t="e">
        <f>A!K72</f>
        <v>#N/A</v>
      </c>
      <c r="L72" s="169" t="e">
        <f>A!L72</f>
        <v>#N/A</v>
      </c>
      <c r="M72" s="30" t="e">
        <f>A!M72</f>
        <v>#N/A</v>
      </c>
    </row>
    <row r="73" spans="1:13" ht="15" customHeight="1">
      <c r="A73" s="30"/>
      <c r="B73" s="30"/>
      <c r="C73" s="30"/>
      <c r="D73" s="30"/>
      <c r="E73" s="30"/>
      <c r="F73" s="30"/>
      <c r="G73" s="170" t="str">
        <f>A!G73</f>
        <v>højre(c)</v>
      </c>
      <c r="H73" s="169" t="e">
        <f>A!H73</f>
        <v>#N/A</v>
      </c>
      <c r="I73" s="30"/>
      <c r="J73" s="30" t="str">
        <f>A!J73</f>
        <v>kN/m</v>
      </c>
      <c r="K73" s="30" t="e">
        <f>A!K73</f>
        <v>#N/A</v>
      </c>
      <c r="L73" s="169" t="e">
        <f>A!L73</f>
        <v>#N/A</v>
      </c>
      <c r="M73" s="30" t="e">
        <f>A!M73</f>
        <v>#N/A</v>
      </c>
    </row>
    <row r="74" spans="1:13" ht="15" customHeight="1">
      <c r="A74" s="30"/>
      <c r="B74" s="30"/>
      <c r="C74" s="30" t="str">
        <f>A!$C$74</f>
        <v>sidekantpladestrimmel (f)</v>
      </c>
      <c r="D74" s="30"/>
      <c r="E74" s="30"/>
      <c r="F74" s="30"/>
      <c r="G74" s="170" t="str">
        <f>A!G74</f>
        <v>venstre(a)</v>
      </c>
      <c r="H74" s="169" t="e">
        <f>A!H74</f>
        <v>#N/A</v>
      </c>
      <c r="I74" s="30"/>
      <c r="J74" s="30" t="str">
        <f>A!J74</f>
        <v>kN</v>
      </c>
      <c r="K74" s="30" t="e">
        <f>A!K74</f>
        <v>#N/A</v>
      </c>
      <c r="L74" s="169" t="e">
        <f>A!L74</f>
        <v>#N/A</v>
      </c>
      <c r="M74" s="30" t="e">
        <f>A!M74</f>
        <v>#N/A</v>
      </c>
    </row>
    <row r="75" spans="1:13" ht="15" customHeight="1">
      <c r="A75" s="30"/>
      <c r="B75" s="30"/>
      <c r="C75" s="30"/>
      <c r="D75" s="30"/>
      <c r="E75" s="30"/>
      <c r="F75" s="30"/>
      <c r="G75" s="323">
        <f>A!G75</f>
        <v>1</v>
      </c>
      <c r="H75" s="30" t="str">
        <f>A!H75</f>
        <v>-snits bjl.</v>
      </c>
      <c r="I75" s="325" t="str">
        <f>A!$I$75</f>
        <v>K</v>
      </c>
      <c r="J75" s="323">
        <f>A!J75</f>
        <v>8</v>
      </c>
      <c r="K75" s="30" t="str">
        <f>A!K75</f>
        <v>type,diameter</v>
      </c>
      <c r="L75" s="30"/>
      <c r="M75" s="30"/>
    </row>
    <row r="76" spans="1:13" ht="15" customHeight="1">
      <c r="A76" s="30"/>
      <c r="B76" s="30"/>
      <c r="C76" s="30"/>
      <c r="D76" s="30"/>
      <c r="E76" s="30"/>
      <c r="F76" s="30"/>
      <c r="G76" s="30" t="str">
        <f>A!$G$76</f>
        <v>antal,  centerafst.</v>
      </c>
      <c r="H76" s="66" t="e">
        <f>A!H76</f>
        <v>#N/A</v>
      </c>
      <c r="I76" s="30"/>
      <c r="J76" s="323" t="e">
        <f>A!J76</f>
        <v>#N/A</v>
      </c>
      <c r="K76" s="30" t="e">
        <f>A!K76</f>
        <v>#N/A</v>
      </c>
      <c r="L76" s="30"/>
      <c r="M76" s="30"/>
    </row>
    <row r="77" spans="1:13" ht="15" customHeight="1">
      <c r="A77" s="30"/>
      <c r="B77" s="30"/>
      <c r="C77" s="30"/>
      <c r="D77" s="30"/>
      <c r="E77" s="30"/>
      <c r="F77" s="30"/>
      <c r="G77" s="30"/>
      <c r="H77" s="30" t="str">
        <f>A!H77</f>
        <v>f yk</v>
      </c>
      <c r="I77" s="30" t="s">
        <v>120</v>
      </c>
      <c r="J77" s="66">
        <f>A!J77</f>
        <v>500</v>
      </c>
      <c r="K77" s="30" t="str">
        <f>A!K77</f>
        <v>N/mm2</v>
      </c>
      <c r="L77" s="30"/>
      <c r="M77" s="30"/>
    </row>
    <row r="78" spans="1:13" ht="15" customHeight="1">
      <c r="A78" s="30"/>
      <c r="B78" s="30"/>
      <c r="C78" s="30"/>
      <c r="D78" s="30"/>
      <c r="E78" s="30"/>
      <c r="F78" s="30"/>
      <c r="G78" s="30"/>
      <c r="H78" s="30" t="str">
        <f>A!H78</f>
        <v>f ywd</v>
      </c>
      <c r="I78" s="30" t="s">
        <v>120</v>
      </c>
      <c r="J78" s="66">
        <f>A!J78</f>
        <v>416.66666666666669</v>
      </c>
      <c r="K78" s="30" t="str">
        <f>A!K78</f>
        <v>N/mm2</v>
      </c>
      <c r="L78" s="30"/>
      <c r="M78" s="30"/>
    </row>
    <row r="79" spans="1:13" ht="15" customHeight="1">
      <c r="A79" s="30"/>
      <c r="B79" s="30"/>
      <c r="C79" s="30"/>
      <c r="D79" s="30"/>
      <c r="E79" s="30"/>
      <c r="F79" s="30"/>
      <c r="G79" s="168" t="str">
        <f>A!$G$79</f>
        <v>V Rd,s =</v>
      </c>
      <c r="H79" s="169" t="e">
        <f>A!H79</f>
        <v>#N/A</v>
      </c>
      <c r="I79" s="30" t="e">
        <f>A!$I$79</f>
        <v>#N/A</v>
      </c>
      <c r="J79" s="169" t="e">
        <f>A!J79</f>
        <v>#N/A</v>
      </c>
      <c r="K79" s="30" t="str">
        <f>A!K79</f>
        <v>kN</v>
      </c>
      <c r="L79" s="30"/>
      <c r="M79" s="30" t="e">
        <f>A!M79</f>
        <v>#N/A</v>
      </c>
    </row>
    <row r="80" spans="1:13" ht="15" customHeight="1">
      <c r="A80" s="30"/>
      <c r="B80" s="30"/>
      <c r="C80" s="30" t="str">
        <f>A!$C$80</f>
        <v>sidekantpladestrimmel (f)</v>
      </c>
      <c r="D80" s="30"/>
      <c r="E80" s="30"/>
      <c r="F80" s="30"/>
      <c r="G80" s="170" t="str">
        <f>A!$G$80</f>
        <v>højre(c)</v>
      </c>
      <c r="H80" s="169" t="e">
        <f>A!H80</f>
        <v>#N/A</v>
      </c>
      <c r="I80" s="30"/>
      <c r="J80" s="30" t="str">
        <f>A!J80</f>
        <v>kN</v>
      </c>
      <c r="K80" s="30" t="e">
        <f>A!K80</f>
        <v>#N/A</v>
      </c>
      <c r="L80" s="169" t="e">
        <f>A!$L$80</f>
        <v>#N/A</v>
      </c>
      <c r="M80" s="30" t="e">
        <f>A!M80</f>
        <v>#N/A</v>
      </c>
    </row>
    <row r="81" spans="1:13" ht="15" customHeight="1">
      <c r="A81" s="30"/>
      <c r="B81" s="30"/>
      <c r="C81" s="30"/>
      <c r="D81" s="30"/>
      <c r="E81" s="30"/>
      <c r="F81" s="30"/>
      <c r="G81" s="323">
        <f>A!G81</f>
        <v>1</v>
      </c>
      <c r="H81" s="30" t="str">
        <f>A!H81</f>
        <v>-snits bjl.</v>
      </c>
      <c r="I81" s="325" t="str">
        <f>A!$I$81</f>
        <v>K</v>
      </c>
      <c r="J81" s="323">
        <f>A!J81</f>
        <v>8</v>
      </c>
      <c r="K81" s="30" t="str">
        <f>A!K81</f>
        <v>type,diameter</v>
      </c>
      <c r="L81" s="30"/>
      <c r="M81" s="30"/>
    </row>
    <row r="82" spans="1:13" ht="15" customHeight="1">
      <c r="A82" s="30"/>
      <c r="B82" s="30"/>
      <c r="C82" s="30"/>
      <c r="D82" s="30"/>
      <c r="E82" s="30"/>
      <c r="F82" s="30"/>
      <c r="G82" s="30" t="str">
        <f>A!G82</f>
        <v>antal,  centerafst.</v>
      </c>
      <c r="H82" s="66" t="e">
        <f>A!H82</f>
        <v>#N/A</v>
      </c>
      <c r="I82" s="30"/>
      <c r="J82" s="323" t="e">
        <f>A!J82</f>
        <v>#N/A</v>
      </c>
      <c r="K82" s="30" t="e">
        <f>A!K82</f>
        <v>#N/A</v>
      </c>
      <c r="L82" s="30"/>
      <c r="M82" s="30"/>
    </row>
    <row r="83" spans="1:13" ht="15" customHeight="1">
      <c r="A83" s="30"/>
      <c r="B83" s="30"/>
      <c r="C83" s="30"/>
      <c r="D83" s="30"/>
      <c r="E83" s="30"/>
      <c r="F83" s="30"/>
      <c r="G83" s="30"/>
      <c r="H83" s="30" t="str">
        <f>A!H83</f>
        <v>f yk</v>
      </c>
      <c r="I83" s="30" t="s">
        <v>120</v>
      </c>
      <c r="J83" s="66">
        <f>A!J83</f>
        <v>500</v>
      </c>
      <c r="K83" s="30" t="str">
        <f>A!K83</f>
        <v>N/mm2</v>
      </c>
      <c r="L83" s="30"/>
      <c r="M83" s="30"/>
    </row>
    <row r="84" spans="1:13" ht="15" customHeight="1">
      <c r="A84" s="30"/>
      <c r="B84" s="30"/>
      <c r="C84" s="30"/>
      <c r="D84" s="30"/>
      <c r="E84" s="30"/>
      <c r="F84" s="30"/>
      <c r="G84" s="30"/>
      <c r="H84" s="30" t="str">
        <f>A!H84</f>
        <v>f ywd</v>
      </c>
      <c r="I84" s="30" t="s">
        <v>120</v>
      </c>
      <c r="J84" s="66">
        <f>A!J84</f>
        <v>416.66666666666669</v>
      </c>
      <c r="K84" s="30" t="str">
        <f>A!K84</f>
        <v>N/mm2</v>
      </c>
      <c r="L84" s="30"/>
      <c r="M84" s="30"/>
    </row>
    <row r="85" spans="1:13" ht="15" customHeight="1">
      <c r="A85" s="30"/>
      <c r="B85" s="30"/>
      <c r="C85" s="30"/>
      <c r="D85" s="30"/>
      <c r="E85" s="30"/>
      <c r="F85" s="30"/>
      <c r="G85" s="168" t="str">
        <f>A!$G$85</f>
        <v>V Rd,s =</v>
      </c>
      <c r="H85" s="169" t="e">
        <f>A!H85</f>
        <v>#N/A</v>
      </c>
      <c r="I85" s="30" t="e">
        <f>A!$I$85</f>
        <v>#N/A</v>
      </c>
      <c r="J85" s="169" t="e">
        <f>A!J85</f>
        <v>#N/A</v>
      </c>
      <c r="K85" s="30" t="str">
        <f>A!K85</f>
        <v>kN</v>
      </c>
      <c r="L85" s="30"/>
      <c r="M85" s="30" t="e">
        <f>A!$M$85</f>
        <v>#N/A</v>
      </c>
    </row>
    <row r="86" spans="1:13" ht="15" customHeight="1">
      <c r="A86" s="30"/>
      <c r="B86" s="30"/>
      <c r="C86" s="30"/>
      <c r="D86" s="30"/>
      <c r="E86" s="30"/>
      <c r="F86" s="30"/>
      <c r="G86" s="30"/>
      <c r="H86" s="30"/>
      <c r="I86" s="30"/>
      <c r="J86" s="30"/>
      <c r="K86" s="30"/>
      <c r="L86" s="30"/>
      <c r="M86" s="30"/>
    </row>
    <row r="87" spans="1:13" ht="15" customHeight="1">
      <c r="A87" s="30"/>
      <c r="B87" s="30" t="str">
        <f>A!$B$136</f>
        <v>PLADESTRIMMEL V.REPOSEENDER (e)</v>
      </c>
      <c r="C87" s="30"/>
      <c r="D87" s="30"/>
      <c r="E87" s="30"/>
      <c r="F87" s="30"/>
      <c r="G87" s="30"/>
      <c r="H87" s="30"/>
      <c r="I87" s="30"/>
      <c r="J87" s="30"/>
      <c r="K87" s="30"/>
      <c r="L87" s="30"/>
      <c r="M87" s="30"/>
    </row>
    <row r="88" spans="1:13" ht="15" customHeight="1">
      <c r="A88" s="30"/>
      <c r="B88" s="30"/>
      <c r="C88" s="30"/>
      <c r="D88" s="30"/>
      <c r="E88" s="30"/>
      <c r="F88" s="30"/>
      <c r="G88" s="30" t="str">
        <f>A!G137</f>
        <v>armering (5)</v>
      </c>
      <c r="H88" s="323">
        <f>A!H137</f>
        <v>2</v>
      </c>
      <c r="I88" s="325" t="str">
        <f>A!$I$137</f>
        <v>K</v>
      </c>
      <c r="J88" s="323">
        <f>A!J137</f>
        <v>8</v>
      </c>
      <c r="K88" s="30" t="str">
        <f>A!K137</f>
        <v>stk,type,diameter</v>
      </c>
      <c r="L88" s="30"/>
      <c r="M88" s="30"/>
    </row>
    <row r="89" spans="1:13" ht="15" customHeight="1">
      <c r="A89" s="332" t="e">
        <f>A!A138</f>
        <v>#N/A</v>
      </c>
      <c r="B89" s="333"/>
      <c r="C89" s="333">
        <f>AF74</f>
        <v>0</v>
      </c>
      <c r="D89" s="332" t="e">
        <f>A!D138</f>
        <v>#N/A</v>
      </c>
      <c r="E89" s="30"/>
      <c r="F89" s="332" t="e">
        <f>A!F138</f>
        <v>#N/A</v>
      </c>
      <c r="G89" s="332" t="e">
        <f>A!G138</f>
        <v>#N/A</v>
      </c>
      <c r="H89" s="30" t="str">
        <f>A!H138</f>
        <v>f yk</v>
      </c>
      <c r="I89" s="30" t="s">
        <v>120</v>
      </c>
      <c r="J89" s="66">
        <f>A!J138</f>
        <v>500</v>
      </c>
      <c r="K89" s="30" t="str">
        <f>A!K138</f>
        <v>N/mm2</v>
      </c>
      <c r="L89" s="30"/>
      <c r="M89" s="30"/>
    </row>
    <row r="90" spans="1:13" ht="15" customHeight="1">
      <c r="A90" s="332" t="e">
        <f>A!A139</f>
        <v>#N/A</v>
      </c>
      <c r="B90" s="333"/>
      <c r="C90" s="333">
        <f>AF99</f>
        <v>0</v>
      </c>
      <c r="D90" s="332" t="e">
        <f>A!D139</f>
        <v>#N/A</v>
      </c>
      <c r="E90" s="30"/>
      <c r="F90" s="332" t="e">
        <f>A!F139</f>
        <v>#N/A</v>
      </c>
      <c r="G90" s="332" t="e">
        <f>A!G139</f>
        <v>#N/A</v>
      </c>
      <c r="H90" s="30" t="str">
        <f>A!H139</f>
        <v>f yd</v>
      </c>
      <c r="I90" s="30" t="s">
        <v>120</v>
      </c>
      <c r="J90" s="66">
        <f>A!J139</f>
        <v>416.66666666666669</v>
      </c>
      <c r="K90" s="30" t="str">
        <f>A!K139</f>
        <v>N/mm2</v>
      </c>
      <c r="L90" s="30"/>
      <c r="M90" s="30"/>
    </row>
    <row r="91" spans="1:13" ht="15" customHeight="1">
      <c r="B91" s="30"/>
      <c r="C91" s="30"/>
      <c r="D91" s="30"/>
      <c r="E91" s="30"/>
      <c r="F91" s="30"/>
      <c r="G91" s="30"/>
      <c r="H91" s="30" t="str">
        <f>A!H140</f>
        <v>A s</v>
      </c>
      <c r="I91" s="30" t="s">
        <v>120</v>
      </c>
      <c r="J91" s="66">
        <f>A!J140</f>
        <v>100.53096491487338</v>
      </c>
      <c r="K91" s="30" t="str">
        <f>A!K140</f>
        <v>mm2</v>
      </c>
      <c r="L91" s="30"/>
      <c r="M91" s="30"/>
    </row>
    <row r="92" spans="1:13" ht="15" customHeight="1">
      <c r="C92" s="30"/>
      <c r="D92" s="30" t="str">
        <f>A!$D$141</f>
        <v xml:space="preserve"> (5)</v>
      </c>
      <c r="E92" s="30"/>
      <c r="F92" s="30"/>
      <c r="G92" s="30" t="s">
        <v>644</v>
      </c>
      <c r="H92" s="30"/>
      <c r="I92" s="30" t="s">
        <v>120</v>
      </c>
      <c r="J92" s="323">
        <f>A!J141</f>
        <v>150</v>
      </c>
      <c r="K92" s="30" t="str">
        <f>A!K141</f>
        <v>mm</v>
      </c>
      <c r="L92" s="30"/>
      <c r="M92" s="30"/>
    </row>
    <row r="93" spans="1:13" ht="15" customHeight="1">
      <c r="C93" s="333"/>
      <c r="D93" s="333"/>
      <c r="E93" s="333"/>
      <c r="F93" s="30"/>
      <c r="G93" s="30" t="s">
        <v>550</v>
      </c>
      <c r="H93" s="30" t="str">
        <f>A!H142</f>
        <v>d</v>
      </c>
      <c r="I93" s="30" t="s">
        <v>120</v>
      </c>
      <c r="J93" s="323" t="e">
        <f>A!J142</f>
        <v>#N/A</v>
      </c>
      <c r="K93" s="30" t="str">
        <f>A!K142</f>
        <v>mm</v>
      </c>
      <c r="L93" s="30"/>
      <c r="M93" s="30"/>
    </row>
    <row r="94" spans="1:13" ht="15" customHeight="1">
      <c r="G94" s="30"/>
      <c r="H94" s="30" t="str">
        <f>A!H143</f>
        <v>bæreevne</v>
      </c>
      <c r="I94" s="30"/>
      <c r="J94" s="30"/>
      <c r="K94" s="30"/>
      <c r="L94" s="30" t="str">
        <f>A!$L$143</f>
        <v xml:space="preserve"> snitkraft</v>
      </c>
      <c r="M94" s="30"/>
    </row>
    <row r="95" spans="1:13" ht="15" customHeight="1">
      <c r="G95" s="30" t="s">
        <v>649</v>
      </c>
      <c r="H95" s="169" t="e">
        <f>A!H144</f>
        <v>#N/A</v>
      </c>
      <c r="I95" s="30"/>
      <c r="J95" s="30" t="str">
        <f>A!J144</f>
        <v>kNm</v>
      </c>
      <c r="K95" s="30" t="e">
        <f>A!K144</f>
        <v>#N/A</v>
      </c>
      <c r="L95" s="169" t="e">
        <f>A!L144</f>
        <v>#N/A</v>
      </c>
      <c r="M95" s="30" t="e">
        <f>A!M144</f>
        <v>#N/A</v>
      </c>
    </row>
    <row r="96" spans="1:13" ht="15" customHeight="1">
      <c r="G96" s="30" t="s">
        <v>651</v>
      </c>
      <c r="H96" s="169" t="e">
        <f>A!H145</f>
        <v>#N/A</v>
      </c>
      <c r="I96" s="30"/>
      <c r="J96" s="30" t="str">
        <f>A!J145</f>
        <v>kNm</v>
      </c>
      <c r="K96" s="30" t="e">
        <f>A!K145</f>
        <v>#N/A</v>
      </c>
      <c r="L96" s="169" t="e">
        <f>A!L145</f>
        <v>#N/A</v>
      </c>
      <c r="M96" s="30" t="e">
        <f>A!M145</f>
        <v>#N/A</v>
      </c>
    </row>
    <row r="97" spans="7:13" ht="15" customHeight="1">
      <c r="G97" s="30" t="s">
        <v>653</v>
      </c>
      <c r="H97" s="169" t="e">
        <f>A!H146</f>
        <v>#N/A</v>
      </c>
      <c r="I97" s="30"/>
      <c r="J97" s="30" t="str">
        <f>A!J146</f>
        <v>kN</v>
      </c>
      <c r="K97" s="30" t="e">
        <f>A!K146</f>
        <v>#N/A</v>
      </c>
      <c r="L97" s="169" t="e">
        <f>A!L146</f>
        <v>#N/A</v>
      </c>
      <c r="M97" s="30" t="e">
        <f>A!M146</f>
        <v>#N/A</v>
      </c>
    </row>
    <row r="98" spans="7:13" ht="15" customHeight="1">
      <c r="H98" s="333" t="e">
        <f>A!H147</f>
        <v>#N/A</v>
      </c>
      <c r="I98" s="30"/>
      <c r="J98" s="30"/>
      <c r="K98" s="30" t="e">
        <f>A!K147</f>
        <v>#N/A</v>
      </c>
      <c r="L98" s="169" t="e">
        <f>A!L147</f>
        <v>#N/A</v>
      </c>
      <c r="M98" s="30" t="e">
        <f>A!M147</f>
        <v>#N/A</v>
      </c>
    </row>
    <row r="99" spans="7:13" ht="15" customHeight="1">
      <c r="H99" s="333" t="e">
        <f>A!H148</f>
        <v>#N/A</v>
      </c>
      <c r="I99" s="30"/>
      <c r="J99" s="30"/>
      <c r="K99" s="30" t="e">
        <f>A!K148</f>
        <v>#N/A</v>
      </c>
      <c r="L99" s="169" t="e">
        <f>A!L148</f>
        <v>#N/A</v>
      </c>
      <c r="M99" s="30" t="e">
        <f>A!M148</f>
        <v>#N/A</v>
      </c>
    </row>
    <row r="100" spans="7:13" ht="15" customHeight="1">
      <c r="H100" s="30" t="str">
        <f>A!H149</f>
        <v>bøjler</v>
      </c>
      <c r="I100" s="325" t="str">
        <f>A!$I$149</f>
        <v>K</v>
      </c>
      <c r="J100" s="30"/>
      <c r="K100" s="30" t="str">
        <f>A!$K$149</f>
        <v>type</v>
      </c>
      <c r="L100" s="30"/>
      <c r="M100" s="30"/>
    </row>
    <row r="101" spans="7:13" ht="15" customHeight="1">
      <c r="H101" s="30" t="str">
        <f>A!H150</f>
        <v>f yk</v>
      </c>
      <c r="I101" s="30" t="s">
        <v>120</v>
      </c>
      <c r="J101" s="66">
        <f>A!J150</f>
        <v>500</v>
      </c>
      <c r="K101" s="30" t="str">
        <f>A!K150</f>
        <v>N/mm2</v>
      </c>
      <c r="L101" s="30"/>
      <c r="M101" s="30"/>
    </row>
    <row r="102" spans="7:13" ht="15" customHeight="1">
      <c r="H102" s="30" t="str">
        <f>A!H151</f>
        <v>f ywd</v>
      </c>
      <c r="I102" s="30" t="s">
        <v>120</v>
      </c>
      <c r="J102" s="66">
        <f>A!J151</f>
        <v>416.66666666666669</v>
      </c>
      <c r="K102" s="30" t="str">
        <f>A!K151</f>
        <v>N/mm2</v>
      </c>
      <c r="L102" s="30"/>
      <c r="M102" s="30"/>
    </row>
    <row r="103" spans="7:13" ht="15" customHeight="1">
      <c r="G103" s="325">
        <f>A!$G$152</f>
        <v>1</v>
      </c>
      <c r="H103" s="30" t="str">
        <f>A!H152</f>
        <v>-snits bjl.</v>
      </c>
      <c r="I103" s="30" t="str">
        <f>A!$I$152</f>
        <v>K</v>
      </c>
      <c r="J103" s="323">
        <f>A!J152</f>
        <v>8</v>
      </c>
      <c r="K103" s="30" t="str">
        <f>A!K152</f>
        <v>type,diameter</v>
      </c>
      <c r="L103" s="30"/>
      <c r="M103" s="30"/>
    </row>
    <row r="104" spans="7:13" ht="15" customHeight="1">
      <c r="G104" s="30" t="e">
        <f>A!$G$153</f>
        <v>#N/A</v>
      </c>
      <c r="H104" s="30"/>
      <c r="I104" s="30"/>
      <c r="J104" s="323" t="e">
        <f>A!J153</f>
        <v>#N/A</v>
      </c>
      <c r="K104" s="323" t="e">
        <f>A!K153</f>
        <v>#N/A</v>
      </c>
      <c r="L104" s="30"/>
      <c r="M104" s="30"/>
    </row>
    <row r="105" spans="7:13" ht="15" customHeight="1">
      <c r="G105" s="168" t="str">
        <f>A!G154</f>
        <v>V Rd,s =</v>
      </c>
      <c r="H105" s="169" t="e">
        <f>A!H154</f>
        <v>#N/A</v>
      </c>
      <c r="I105" s="30" t="e">
        <f>A!I154</f>
        <v>#N/A</v>
      </c>
      <c r="J105" s="169" t="e">
        <f>A!J154</f>
        <v>#N/A</v>
      </c>
      <c r="K105" s="30" t="str">
        <f>A!K154</f>
        <v>kN</v>
      </c>
      <c r="L105" s="30"/>
      <c r="M105" s="30" t="e">
        <f>A!M154</f>
        <v>#N/A</v>
      </c>
    </row>
    <row r="106" spans="7:13" ht="15" customHeight="1">
      <c r="G106" s="325">
        <f>A!$G$155</f>
        <v>1</v>
      </c>
      <c r="H106" s="30" t="str">
        <f>A!H155</f>
        <v>-snits bjl.</v>
      </c>
      <c r="I106" s="30" t="str">
        <f>A!$I$152</f>
        <v>K</v>
      </c>
      <c r="J106" s="323">
        <f>A!J155</f>
        <v>8</v>
      </c>
      <c r="K106" s="30" t="str">
        <f>A!K155</f>
        <v>type, diameter</v>
      </c>
      <c r="L106" s="30"/>
      <c r="M106" s="30"/>
    </row>
    <row r="107" spans="7:13" ht="15" customHeight="1">
      <c r="G107" s="30" t="e">
        <f>A!$G$156</f>
        <v>#N/A</v>
      </c>
      <c r="H107" s="169"/>
      <c r="I107" s="30"/>
      <c r="J107" s="323" t="e">
        <f>A!J156</f>
        <v>#N/A</v>
      </c>
      <c r="K107" s="323" t="e">
        <f>A!K156</f>
        <v>#N/A</v>
      </c>
      <c r="L107" s="30"/>
      <c r="M107" s="30"/>
    </row>
    <row r="108" spans="7:13" ht="15" customHeight="1">
      <c r="G108" s="168" t="str">
        <f>A!G157</f>
        <v>V Rd,s =</v>
      </c>
      <c r="H108" s="169" t="e">
        <f>A!H157</f>
        <v>#N/A</v>
      </c>
      <c r="I108" s="30" t="e">
        <f>A!I157</f>
        <v>#N/A</v>
      </c>
      <c r="J108" s="169" t="e">
        <f>A!J157</f>
        <v>#N/A</v>
      </c>
      <c r="K108" s="30" t="str">
        <f>A!K157</f>
        <v>kN</v>
      </c>
      <c r="L108" s="30"/>
      <c r="M108" s="30" t="e">
        <f>A!M157</f>
        <v>#N/A</v>
      </c>
    </row>
    <row r="109" spans="7:13" ht="15" customHeight="1">
      <c r="G109" s="325">
        <f>A!$G$158</f>
        <v>1</v>
      </c>
      <c r="H109" s="30" t="str">
        <f>A!H158</f>
        <v>-snits bjl.</v>
      </c>
      <c r="I109" s="30" t="str">
        <f>A!$I$152</f>
        <v>K</v>
      </c>
      <c r="J109" s="323">
        <f>A!J158</f>
        <v>8</v>
      </c>
      <c r="K109" s="30" t="str">
        <f>A!K158</f>
        <v>type, diameter</v>
      </c>
      <c r="L109" s="30"/>
      <c r="M109" s="30"/>
    </row>
    <row r="110" spans="7:13" ht="15" customHeight="1">
      <c r="G110" s="30" t="e">
        <f>A!$G$159</f>
        <v>#N/A</v>
      </c>
      <c r="H110" s="30"/>
      <c r="I110" s="30"/>
      <c r="J110" s="323" t="e">
        <f>A!J159</f>
        <v>#N/A</v>
      </c>
      <c r="K110" s="323" t="e">
        <f>A!K159</f>
        <v>#N/A</v>
      </c>
      <c r="L110" s="30"/>
      <c r="M110" s="30"/>
    </row>
    <row r="111" spans="7:13" ht="15" customHeight="1">
      <c r="G111" s="168" t="str">
        <f>A!G160</f>
        <v>V Rd,s =</v>
      </c>
      <c r="H111" s="169" t="e">
        <f>A!H160</f>
        <v>#N/A</v>
      </c>
      <c r="I111" s="30" t="e">
        <f>A!I160</f>
        <v>#N/A</v>
      </c>
      <c r="J111" s="169" t="e">
        <f>A!J160</f>
        <v>#N/A</v>
      </c>
      <c r="K111" s="30" t="str">
        <f>A!K160</f>
        <v>kN</v>
      </c>
      <c r="L111" s="30"/>
      <c r="M111" s="30" t="e">
        <f>A!M160</f>
        <v>#N/A</v>
      </c>
    </row>
    <row r="112" spans="7:13" ht="15" customHeight="1">
      <c r="G112" s="30"/>
      <c r="H112" s="30"/>
      <c r="I112" s="30"/>
      <c r="J112" s="30"/>
      <c r="K112" s="30"/>
      <c r="L112" s="30"/>
      <c r="M112" s="30"/>
    </row>
    <row r="113" spans="1:13" ht="15" customHeight="1">
      <c r="A113" s="30"/>
      <c r="B113" s="30" t="str">
        <f>A!$B$87</f>
        <v>ANVENDELSESGRÆNSETILSTAND</v>
      </c>
      <c r="C113" s="30"/>
      <c r="D113" s="30"/>
      <c r="E113" s="30"/>
      <c r="F113" s="30"/>
      <c r="G113" s="30"/>
      <c r="H113" s="30" t="str">
        <f>A!H87</f>
        <v xml:space="preserve"> excl.- e)</v>
      </c>
      <c r="I113" s="30"/>
      <c r="J113" s="30" t="str">
        <f>A!J87</f>
        <v xml:space="preserve"> incl.- i) #</v>
      </c>
      <c r="K113" s="30"/>
      <c r="L113" s="30" t="str">
        <f>A!L87</f>
        <v xml:space="preserve">  last fra naboelem.</v>
      </c>
      <c r="M113" s="30"/>
    </row>
    <row r="114" spans="1:13" ht="15" customHeight="1">
      <c r="A114" s="30"/>
      <c r="B114" s="30"/>
      <c r="C114" s="30" t="str">
        <f>A!C88</f>
        <v>kontrol af min.armering</v>
      </c>
      <c r="D114" s="30"/>
      <c r="E114" s="30"/>
      <c r="F114" s="30"/>
      <c r="G114" s="168" t="str">
        <f>A!G88</f>
        <v>As min, mm2 =</v>
      </c>
      <c r="H114" s="66" t="e">
        <f>A!H88</f>
        <v>#N/A</v>
      </c>
      <c r="I114" s="30"/>
      <c r="J114" s="30"/>
      <c r="K114" s="30" t="e">
        <f>A!K88</f>
        <v>#N/A</v>
      </c>
      <c r="L114" s="66" t="e">
        <f>A!L88</f>
        <v>#N/A</v>
      </c>
      <c r="M114" s="30" t="e">
        <f>A!M88</f>
        <v>#N/A</v>
      </c>
    </row>
    <row r="115" spans="1:13" ht="15" customHeight="1">
      <c r="A115" s="30"/>
      <c r="B115" s="30"/>
      <c r="C115" s="30" t="str">
        <f>A!C89</f>
        <v>revnevidde</v>
      </c>
      <c r="D115" s="30"/>
      <c r="E115" s="30"/>
      <c r="F115" s="122" t="str">
        <f>A!F89</f>
        <v>for e)kvasiperm. i)langtids last</v>
      </c>
      <c r="G115" s="30"/>
      <c r="H115" s="122" t="e">
        <f>A!H89</f>
        <v>#N/A</v>
      </c>
      <c r="I115" s="30"/>
      <c r="J115" s="122" t="e">
        <f>A!J89</f>
        <v>#N/A</v>
      </c>
      <c r="K115" s="30"/>
      <c r="L115" s="30"/>
      <c r="M115" s="30"/>
    </row>
    <row r="116" spans="1:13" ht="15" customHeight="1">
      <c r="A116" s="30"/>
      <c r="B116" s="30"/>
      <c r="C116" s="30"/>
      <c r="D116" s="30"/>
      <c r="E116" s="30"/>
      <c r="F116" s="30" t="str">
        <f>A!F90</f>
        <v>for korttidslast</v>
      </c>
      <c r="G116" s="30"/>
      <c r="H116" s="122" t="e">
        <f>A!H90</f>
        <v>#N/A</v>
      </c>
      <c r="I116" s="30"/>
      <c r="J116" s="122" t="e">
        <f>A!J90</f>
        <v>#N/A</v>
      </c>
      <c r="K116" s="30"/>
      <c r="L116" s="30"/>
      <c r="M116" s="30"/>
    </row>
    <row r="117" spans="1:13" ht="15" customHeight="1">
      <c r="A117" s="30"/>
      <c r="B117" s="30"/>
      <c r="C117" s="30"/>
      <c r="D117" s="30"/>
      <c r="E117" s="30"/>
      <c r="F117" s="30" t="str">
        <f>A!F91</f>
        <v>i alt</v>
      </c>
      <c r="G117" s="168" t="str">
        <f>A!$G$91</f>
        <v>mm</v>
      </c>
      <c r="H117" s="122" t="e">
        <f>A!H91</f>
        <v>#N/A</v>
      </c>
      <c r="I117" s="30"/>
      <c r="J117" s="122" t="e">
        <f>A!J91</f>
        <v>#N/A</v>
      </c>
      <c r="K117" s="30" t="e">
        <f>A!K91</f>
        <v>#N/A</v>
      </c>
      <c r="L117" s="326">
        <f>A!L91</f>
        <v>0.4</v>
      </c>
      <c r="M117" s="30" t="e">
        <f>A!M91</f>
        <v>#N/A</v>
      </c>
    </row>
    <row r="118" spans="1:13" ht="15" customHeight="1">
      <c r="A118" s="30"/>
      <c r="B118" s="30"/>
      <c r="C118" s="30" t="str">
        <f>A!C92</f>
        <v>nedbøjning</v>
      </c>
      <c r="D118" s="30"/>
      <c r="E118" s="30"/>
      <c r="F118" s="334" t="str">
        <f>A!F92</f>
        <v>for e)kvasiperm. i)langtids last</v>
      </c>
      <c r="G118" s="30"/>
      <c r="H118" s="66" t="e">
        <f>A!H92</f>
        <v>#N/A</v>
      </c>
      <c r="I118" s="30"/>
      <c r="J118" s="66" t="e">
        <f>A!J92</f>
        <v>#N/A</v>
      </c>
      <c r="K118" s="30" t="e">
        <f>A!K92</f>
        <v>#N/A</v>
      </c>
      <c r="L118" s="66" t="e">
        <f>A!L92</f>
        <v>#N/A</v>
      </c>
      <c r="M118" s="30" t="e">
        <f>A!M92</f>
        <v>#N/A</v>
      </c>
    </row>
    <row r="119" spans="1:13" ht="15" customHeight="1">
      <c r="A119" s="30"/>
      <c r="B119" s="30"/>
      <c r="D119" s="30"/>
      <c r="E119" s="30"/>
      <c r="F119" s="30" t="str">
        <f>A!F93</f>
        <v>for korttidslast</v>
      </c>
      <c r="G119" s="30"/>
      <c r="H119" s="66" t="e">
        <f>A!H93</f>
        <v>#N/A</v>
      </c>
      <c r="I119" s="30"/>
      <c r="J119" s="66" t="e">
        <f>A!J93</f>
        <v>#N/A</v>
      </c>
      <c r="K119" s="30" t="e">
        <f>A!K93</f>
        <v>#N/A</v>
      </c>
      <c r="L119" s="66" t="e">
        <f>A!L93</f>
        <v>#N/A</v>
      </c>
      <c r="M119" s="30" t="e">
        <f>A!M93</f>
        <v>#N/A</v>
      </c>
    </row>
    <row r="120" spans="1:13" ht="15" customHeight="1">
      <c r="A120" s="30"/>
      <c r="B120" s="30"/>
      <c r="C120" s="30"/>
      <c r="D120" s="30"/>
      <c r="E120" s="30"/>
      <c r="F120" s="30" t="str">
        <f>A!F94</f>
        <v>ialt</v>
      </c>
      <c r="G120" s="168" t="str">
        <f>A!$G$94</f>
        <v>mm</v>
      </c>
      <c r="H120" s="66" t="e">
        <f>A!H94</f>
        <v>#N/A</v>
      </c>
      <c r="I120" s="30"/>
      <c r="J120" s="66" t="e">
        <f>A!J94</f>
        <v>#N/A</v>
      </c>
      <c r="K120" s="30" t="str">
        <f>A!K94</f>
        <v xml:space="preserve"> </v>
      </c>
      <c r="L120" s="66" t="str">
        <f>A!L94</f>
        <v xml:space="preserve"> </v>
      </c>
      <c r="M120" s="30" t="str">
        <f>A!M94</f>
        <v xml:space="preserve"> </v>
      </c>
    </row>
    <row r="121" spans="1:13" ht="15" customHeight="1">
      <c r="A121" s="333">
        <f>0.131*O64*10^3+F68</f>
        <v>0</v>
      </c>
      <c r="B121" s="333" t="str">
        <f>J48</f>
        <v>kN/m2</v>
      </c>
      <c r="C121" s="30"/>
      <c r="D121" s="30"/>
      <c r="E121" s="30" t="str">
        <f>A!$E$95</f>
        <v>#) regnet fordelt på en bredde nærmest sidekant (f)</v>
      </c>
      <c r="F121" s="30"/>
      <c r="G121" s="30"/>
      <c r="H121" s="30"/>
      <c r="I121" s="30"/>
      <c r="J121" s="30"/>
      <c r="K121" s="30"/>
      <c r="L121" s="323" t="e">
        <f>A!L95</f>
        <v>#N/A</v>
      </c>
      <c r="M121" s="30" t="str">
        <f>A!M95</f>
        <v>mm</v>
      </c>
    </row>
    <row r="122" spans="1:13" ht="15" customHeight="1">
      <c r="A122" s="30"/>
      <c r="B122" s="30"/>
      <c r="C122" s="30"/>
      <c r="D122" s="30"/>
      <c r="E122" s="30"/>
      <c r="F122" s="30"/>
      <c r="G122" s="30"/>
      <c r="H122" s="30"/>
      <c r="I122" s="30"/>
      <c r="J122" s="30"/>
      <c r="K122" s="30"/>
      <c r="L122" s="30"/>
      <c r="M122" s="30"/>
    </row>
    <row r="123" spans="1:13" ht="15" customHeight="1">
      <c r="A123" s="30"/>
      <c r="B123" s="30" t="str">
        <f>A!$B$97</f>
        <v>UNDERSTØTNINGER FOR NABOELEM.</v>
      </c>
      <c r="C123" s="30"/>
      <c r="D123" s="30"/>
      <c r="E123" s="30"/>
      <c r="F123" s="30"/>
      <c r="G123" s="30"/>
      <c r="H123" s="30"/>
      <c r="I123" s="30"/>
      <c r="J123" s="30"/>
      <c r="K123" s="30"/>
      <c r="L123" s="30"/>
      <c r="M123" s="30"/>
    </row>
    <row r="124" spans="1:13" ht="15" customHeight="1">
      <c r="A124" s="30"/>
      <c r="B124" s="30"/>
      <c r="C124" s="30"/>
      <c r="D124" s="30"/>
      <c r="E124" s="30"/>
      <c r="F124" s="30"/>
      <c r="G124" s="30" t="str">
        <f>A!G98</f>
        <v>effektiv højde</v>
      </c>
      <c r="H124" s="30" t="str">
        <f>A!H98</f>
        <v>d</v>
      </c>
      <c r="I124" s="30" t="s">
        <v>120</v>
      </c>
      <c r="J124" s="66">
        <f>A!J98</f>
        <v>72</v>
      </c>
      <c r="K124" s="30" t="str">
        <f>A!K98</f>
        <v>mm</v>
      </c>
      <c r="L124" s="335"/>
      <c r="M124" s="30"/>
    </row>
    <row r="125" spans="1:13" ht="15" customHeight="1">
      <c r="A125" s="30"/>
      <c r="B125" s="30"/>
      <c r="C125" s="30"/>
      <c r="D125" s="30"/>
      <c r="E125" s="30"/>
      <c r="F125" s="30"/>
      <c r="G125" s="30" t="str">
        <f>A!G99</f>
        <v>momentarm</v>
      </c>
      <c r="H125" s="30" t="str">
        <f>A!H99</f>
        <v>a</v>
      </c>
      <c r="I125" s="30" t="s">
        <v>120</v>
      </c>
      <c r="J125" s="66">
        <f>A!J99</f>
        <v>103</v>
      </c>
      <c r="K125" s="30" t="str">
        <f>A!K99</f>
        <v>mm</v>
      </c>
      <c r="L125" s="30"/>
      <c r="M125" s="30"/>
    </row>
    <row r="126" spans="1:13" ht="15" customHeight="1">
      <c r="A126" s="30"/>
      <c r="B126" s="30"/>
      <c r="C126" s="30"/>
      <c r="D126" s="30"/>
      <c r="E126" s="30" t="str">
        <f>A!$E$100</f>
        <v>a</v>
      </c>
      <c r="F126" s="30"/>
      <c r="G126" s="30" t="str">
        <f>A!G100</f>
        <v>armering (1)</v>
      </c>
      <c r="H126" s="30"/>
      <c r="I126" s="325" t="str">
        <f>A!$I$100</f>
        <v>K</v>
      </c>
      <c r="J126" s="323">
        <f>A!J100</f>
        <v>6</v>
      </c>
      <c r="K126" s="30" t="str">
        <f>A!K100</f>
        <v>type,diameter</v>
      </c>
      <c r="L126" s="30"/>
      <c r="M126" s="30"/>
    </row>
    <row r="127" spans="1:13" ht="15" customHeight="1">
      <c r="A127" s="30"/>
      <c r="B127" s="30"/>
      <c r="C127" s="30"/>
      <c r="D127" s="30"/>
      <c r="E127" s="30"/>
      <c r="F127" s="30"/>
      <c r="G127" s="30" t="str">
        <f>A!G101</f>
        <v xml:space="preserve">             centerafst.</v>
      </c>
      <c r="H127" s="30"/>
      <c r="I127" s="30"/>
      <c r="J127" s="323">
        <f>A!J101</f>
        <v>150</v>
      </c>
      <c r="K127" s="30" t="str">
        <f>A!K101</f>
        <v>mm</v>
      </c>
      <c r="L127" s="30"/>
      <c r="M127" s="30"/>
    </row>
    <row r="128" spans="1:13" ht="15" customHeight="1">
      <c r="A128" s="30"/>
      <c r="B128" s="30"/>
      <c r="C128" s="30"/>
      <c r="D128" s="30"/>
      <c r="E128" s="30"/>
      <c r="F128" s="133">
        <f>A!$F$102</f>
        <v>120</v>
      </c>
      <c r="G128" s="30"/>
      <c r="H128" s="30" t="str">
        <f>A!H102</f>
        <v>f yk</v>
      </c>
      <c r="I128" s="30" t="s">
        <v>120</v>
      </c>
      <c r="J128" s="66">
        <f>A!J102</f>
        <v>500</v>
      </c>
      <c r="K128" s="30" t="str">
        <f>A!K102</f>
        <v>N/mm2</v>
      </c>
      <c r="L128" s="30"/>
      <c r="M128" s="30"/>
    </row>
    <row r="129" spans="1:13" ht="15" customHeight="1">
      <c r="A129" s="30"/>
      <c r="B129" s="30"/>
      <c r="C129" s="128" t="str">
        <f>A!C103</f>
        <v>(2)</v>
      </c>
      <c r="D129" s="30"/>
      <c r="E129" s="30"/>
      <c r="F129" s="30"/>
      <c r="G129" s="30"/>
      <c r="H129" s="30" t="str">
        <f>A!H103</f>
        <v>f yd</v>
      </c>
      <c r="I129" s="30" t="s">
        <v>120</v>
      </c>
      <c r="J129" s="66">
        <f>A!J103</f>
        <v>416.66666666666669</v>
      </c>
      <c r="K129" s="30" t="str">
        <f>A!K103</f>
        <v>N/mm2</v>
      </c>
      <c r="L129" s="30"/>
      <c r="M129" s="30"/>
    </row>
    <row r="130" spans="1:13" ht="15" customHeight="1">
      <c r="A130" s="30"/>
      <c r="B130" s="30"/>
      <c r="C130" s="30"/>
      <c r="D130" s="30"/>
      <c r="E130" s="30"/>
      <c r="F130" s="30"/>
      <c r="G130" s="30"/>
      <c r="H130" s="30" t="str">
        <f>A!H104</f>
        <v>A s</v>
      </c>
      <c r="I130" s="30" t="s">
        <v>120</v>
      </c>
      <c r="J130" s="66">
        <f>A!J104</f>
        <v>188.4955592153876</v>
      </c>
      <c r="K130" s="30" t="str">
        <f>A!K104</f>
        <v>mm2/m</v>
      </c>
      <c r="L130" s="30"/>
      <c r="M130" s="30"/>
    </row>
    <row r="131" spans="1:13" ht="15" customHeight="1">
      <c r="A131" s="30"/>
      <c r="B131" s="30"/>
      <c r="C131" s="128" t="str">
        <f>A!C105</f>
        <v>(1)</v>
      </c>
      <c r="D131" s="30"/>
      <c r="E131" s="30"/>
      <c r="F131" s="336">
        <f>A!$F$105</f>
        <v>60</v>
      </c>
      <c r="G131" s="30" t="str">
        <f>A!G105</f>
        <v>reduc. fcd</v>
      </c>
      <c r="H131" s="30"/>
      <c r="I131" s="30" t="s">
        <v>120</v>
      </c>
      <c r="J131" s="169">
        <f>A!J105</f>
        <v>18.702746957119125</v>
      </c>
      <c r="K131" s="30" t="str">
        <f>A!K105</f>
        <v>N/mm2</v>
      </c>
      <c r="L131" s="30"/>
      <c r="M131" s="30"/>
    </row>
    <row r="132" spans="1:13" ht="15" customHeight="1">
      <c r="A132" s="30"/>
      <c r="B132" s="30"/>
      <c r="C132" s="30"/>
      <c r="D132" s="30"/>
      <c r="E132" s="30"/>
      <c r="F132" s="30"/>
      <c r="G132" s="30" t="str">
        <f>A!G106</f>
        <v>M Rd =</v>
      </c>
      <c r="H132" s="169">
        <f>A!H106</f>
        <v>4.8099157705764011</v>
      </c>
      <c r="I132" s="30"/>
      <c r="J132" s="30" t="str">
        <f>A!J106</f>
        <v>kNm/m</v>
      </c>
      <c r="K132" s="30" t="e">
        <f>A!K106</f>
        <v>#N/A</v>
      </c>
      <c r="L132" s="169" t="e">
        <f>A!L106</f>
        <v>#N/A</v>
      </c>
      <c r="M132" s="30" t="e">
        <f>A!M106</f>
        <v>#N/A</v>
      </c>
    </row>
    <row r="133" spans="1:13" ht="15" customHeight="1">
      <c r="A133" s="30"/>
      <c r="B133" s="30"/>
      <c r="C133" s="30"/>
      <c r="D133" s="30"/>
      <c r="E133" s="30"/>
      <c r="F133" s="168" t="str">
        <f>A!$F$107</f>
        <v xml:space="preserve">d    </v>
      </c>
      <c r="G133" s="30" t="str">
        <f>A!G107</f>
        <v>V Rd,c =</v>
      </c>
      <c r="H133" s="169">
        <f>A!H107</f>
        <v>39.039672129770757</v>
      </c>
      <c r="I133" s="30"/>
      <c r="J133" s="30" t="str">
        <f>A!J107</f>
        <v>kN/m</v>
      </c>
      <c r="K133" s="30" t="e">
        <f>A!K107</f>
        <v>#N/A</v>
      </c>
      <c r="L133" s="169" t="e">
        <f>A!L107</f>
        <v>#N/A</v>
      </c>
      <c r="M133" s="30" t="e">
        <f>A!M107</f>
        <v>#N/A</v>
      </c>
    </row>
    <row r="134" spans="1:13" ht="15" customHeight="1">
      <c r="A134" s="30"/>
      <c r="B134" s="30"/>
      <c r="C134" s="30"/>
      <c r="D134" s="30"/>
      <c r="E134" s="30"/>
      <c r="F134" s="30"/>
      <c r="G134" s="30" t="str">
        <f>A!G108</f>
        <v>armering (2)</v>
      </c>
      <c r="H134" s="30" t="str">
        <f>A!H108</f>
        <v>V Rd,c =</v>
      </c>
      <c r="I134" s="325" t="str">
        <f>A!$I$108</f>
        <v>K</v>
      </c>
      <c r="J134" s="323">
        <f>A!J108</f>
        <v>6</v>
      </c>
      <c r="K134" s="30" t="str">
        <f>A!K108</f>
        <v>type,diameter</v>
      </c>
      <c r="L134" s="30"/>
      <c r="M134" s="30"/>
    </row>
    <row r="135" spans="1:13" ht="15" customHeight="1">
      <c r="A135" s="30"/>
      <c r="B135" s="30"/>
      <c r="C135" s="30"/>
      <c r="D135" s="30"/>
      <c r="E135" s="30"/>
      <c r="F135" s="30"/>
      <c r="G135" s="30" t="str">
        <f>A!G109</f>
        <v xml:space="preserve">             centerafst.</v>
      </c>
      <c r="H135" s="30"/>
      <c r="I135" s="30"/>
      <c r="J135" s="323">
        <f>A!J109</f>
        <v>150</v>
      </c>
      <c r="K135" s="30" t="str">
        <f>A!K109</f>
        <v>mm</v>
      </c>
      <c r="L135" s="30"/>
      <c r="M135" s="30"/>
    </row>
    <row r="136" spans="1:13" ht="15" customHeight="1">
      <c r="A136" s="30"/>
      <c r="B136" s="30"/>
      <c r="C136" s="30"/>
      <c r="D136" s="30"/>
      <c r="E136" s="30"/>
      <c r="F136" s="30"/>
      <c r="G136" s="30"/>
      <c r="H136" s="30" t="str">
        <f>A!H110</f>
        <v>f yk</v>
      </c>
      <c r="I136" s="30" t="s">
        <v>120</v>
      </c>
      <c r="J136" s="66">
        <f>A!J110</f>
        <v>500</v>
      </c>
      <c r="K136" s="30">
        <f>A!K110</f>
        <v>0</v>
      </c>
      <c r="L136" s="119" t="str">
        <f>IF(J138&lt;0,"As er negativ. Reducer centerafstand og/eller forøg bjl.diam."," ")</f>
        <v xml:space="preserve"> </v>
      </c>
      <c r="M136" s="30"/>
    </row>
    <row r="137" spans="1:13" ht="15" customHeight="1">
      <c r="A137" s="30"/>
      <c r="B137" s="30"/>
      <c r="C137" s="30"/>
      <c r="D137" s="30"/>
      <c r="E137" s="30"/>
      <c r="F137" s="30"/>
      <c r="G137" s="30"/>
      <c r="H137" s="30" t="str">
        <f>A!H111</f>
        <v>f yd</v>
      </c>
      <c r="I137" s="30" t="s">
        <v>120</v>
      </c>
      <c r="J137" s="66">
        <f>A!J111</f>
        <v>416.66666666666669</v>
      </c>
      <c r="K137" s="30" t="str">
        <f>A!K111</f>
        <v>N/mm2</v>
      </c>
      <c r="L137" s="30"/>
      <c r="M137" s="30"/>
    </row>
    <row r="138" spans="1:13" ht="15" customHeight="1">
      <c r="A138" s="30"/>
      <c r="B138" s="30"/>
      <c r="C138" s="30"/>
      <c r="D138" s="30"/>
      <c r="E138" s="30"/>
      <c r="F138" s="30"/>
      <c r="G138" s="30"/>
      <c r="H138" s="30" t="str">
        <f>A!H112</f>
        <v>A s</v>
      </c>
      <c r="I138" s="30" t="s">
        <v>120</v>
      </c>
      <c r="J138" s="66">
        <f>A!J112</f>
        <v>188.4955592153876</v>
      </c>
      <c r="K138" s="30" t="str">
        <f>A!K112</f>
        <v>mm2</v>
      </c>
      <c r="L138" s="30"/>
      <c r="M138" s="30"/>
    </row>
    <row r="139" spans="1:13" ht="15" customHeight="1">
      <c r="A139" s="30"/>
      <c r="B139" s="30"/>
      <c r="C139" s="30"/>
      <c r="D139" s="30"/>
      <c r="E139" s="30"/>
      <c r="F139" s="30"/>
      <c r="G139" s="170" t="str">
        <f>A!$G$113</f>
        <v>sigma s</v>
      </c>
      <c r="H139" s="66" t="e">
        <f>A!H113</f>
        <v>#N/A</v>
      </c>
      <c r="I139" s="30"/>
      <c r="J139" s="30" t="str">
        <f>A!J113</f>
        <v>N/mm2</v>
      </c>
      <c r="K139" s="30" t="e">
        <f>A!K113</f>
        <v>#N/A</v>
      </c>
      <c r="L139" s="66">
        <f>A!L113</f>
        <v>416.66666666666669</v>
      </c>
      <c r="M139" s="30" t="e">
        <f>A!M113</f>
        <v>#N/A</v>
      </c>
    </row>
    <row r="140" spans="1:13" ht="15" customHeight="1">
      <c r="A140" s="30"/>
      <c r="B140" s="30"/>
      <c r="C140" s="30"/>
      <c r="D140" s="30"/>
      <c r="E140" s="30"/>
      <c r="F140" s="30"/>
      <c r="G140" s="30"/>
      <c r="H140" s="30"/>
      <c r="I140" s="30"/>
      <c r="J140" s="30"/>
      <c r="K140" s="30"/>
      <c r="L140" s="30"/>
      <c r="M140" s="30"/>
    </row>
    <row r="141" spans="1:13" ht="15" customHeight="1">
      <c r="A141" s="30"/>
      <c r="B141" s="30" t="str">
        <f>A!$B$115</f>
        <v>DORNE</v>
      </c>
      <c r="C141" s="30"/>
      <c r="D141" s="30"/>
      <c r="E141" s="30"/>
      <c r="F141" s="30"/>
      <c r="G141" s="30" t="e">
        <f>A!G115</f>
        <v>#N/A</v>
      </c>
      <c r="H141" s="30" t="str">
        <f>A!H115</f>
        <v>R2 maks</v>
      </c>
      <c r="I141" s="30" t="s">
        <v>120</v>
      </c>
      <c r="J141" s="169" t="e">
        <f>A!J115</f>
        <v>#N/A</v>
      </c>
      <c r="K141" s="30" t="str">
        <f>A!K115</f>
        <v>kN</v>
      </c>
      <c r="L141" s="169"/>
      <c r="M141" s="30"/>
    </row>
    <row r="142" spans="1:13" ht="15" customHeight="1">
      <c r="A142" s="30"/>
      <c r="B142" s="30"/>
      <c r="C142" s="30"/>
      <c r="D142" s="30"/>
      <c r="E142" s="30"/>
      <c r="F142" s="30"/>
      <c r="G142" s="30" t="e">
        <f>A!G116</f>
        <v>#N/A</v>
      </c>
      <c r="H142" s="30" t="str">
        <f>A!H116</f>
        <v>R1 maks</v>
      </c>
      <c r="I142" s="30" t="s">
        <v>120</v>
      </c>
      <c r="J142" s="169" t="e">
        <f>A!J116</f>
        <v>#N/A</v>
      </c>
      <c r="K142" s="30" t="str">
        <f>A!K116</f>
        <v>kN</v>
      </c>
      <c r="L142" s="30"/>
      <c r="M142" s="30"/>
    </row>
    <row r="143" spans="1:13" ht="15" customHeight="1">
      <c r="A143" s="30"/>
      <c r="B143" s="30"/>
      <c r="C143" s="30"/>
      <c r="D143" s="30"/>
      <c r="E143" s="30"/>
      <c r="F143" s="30"/>
      <c r="G143" s="30" t="str">
        <f>A!G117</f>
        <v>min. reaktion</v>
      </c>
      <c r="H143" s="30" t="str">
        <f>A!H117</f>
        <v>R1 min</v>
      </c>
      <c r="I143" s="30" t="s">
        <v>120</v>
      </c>
      <c r="J143" s="169" t="e">
        <f>A!J117</f>
        <v>#N/A</v>
      </c>
      <c r="K143" s="30" t="str">
        <f>A!K117</f>
        <v>kN</v>
      </c>
      <c r="L143" s="30"/>
      <c r="M143" s="337" t="e">
        <f>A!$M$117</f>
        <v>#N/A</v>
      </c>
    </row>
    <row r="144" spans="1:13" ht="15" customHeight="1">
      <c r="A144" s="30"/>
      <c r="B144" s="30"/>
      <c r="C144" s="128"/>
      <c r="D144" s="30"/>
      <c r="E144" s="168" t="str">
        <f>A!E118</f>
        <v xml:space="preserve">dornlængde  </v>
      </c>
      <c r="F144" s="338">
        <f>A!F118</f>
        <v>300</v>
      </c>
      <c r="G144" s="30" t="str">
        <f>A!G118</f>
        <v>afstand</v>
      </c>
      <c r="H144" s="30" t="str">
        <f>A!H118</f>
        <v>a3</v>
      </c>
      <c r="I144" s="30" t="s">
        <v>120</v>
      </c>
      <c r="J144" s="66">
        <f>A!J118</f>
        <v>143</v>
      </c>
      <c r="K144" s="30" t="str">
        <f>A!K118</f>
        <v>mm</v>
      </c>
      <c r="L144" s="30"/>
      <c r="M144" s="30"/>
    </row>
    <row r="145" spans="1:13" ht="15" customHeight="1">
      <c r="A145" s="30"/>
      <c r="B145" s="30"/>
      <c r="C145" s="339">
        <f>A!C119</f>
        <v>50</v>
      </c>
      <c r="D145" s="30"/>
      <c r="E145" s="30"/>
      <c r="F145" s="30"/>
      <c r="G145" s="30" t="str">
        <f>A!G119</f>
        <v>afstand</v>
      </c>
      <c r="H145" s="30" t="str">
        <f>A!H119</f>
        <v>a4</v>
      </c>
      <c r="I145" s="30" t="s">
        <v>120</v>
      </c>
      <c r="J145" s="66">
        <f>A!J119</f>
        <v>92</v>
      </c>
      <c r="K145" s="30" t="str">
        <f>A!K119</f>
        <v>mm</v>
      </c>
      <c r="L145" s="66"/>
      <c r="M145" s="30"/>
    </row>
    <row r="146" spans="1:13" ht="15" customHeight="1">
      <c r="A146" s="30"/>
      <c r="B146" s="30"/>
      <c r="C146" s="128">
        <f>A!C120</f>
        <v>50</v>
      </c>
      <c r="D146" s="168">
        <f>A!$D$120</f>
        <v>43</v>
      </c>
      <c r="E146" s="30"/>
      <c r="F146" s="128">
        <f>A!F120</f>
        <v>80</v>
      </c>
      <c r="G146" s="239" t="str">
        <f>A!G120</f>
        <v>ophængs-</v>
      </c>
      <c r="H146" s="30" t="str">
        <f>A!H120</f>
        <v>R3</v>
      </c>
      <c r="I146" s="30" t="s">
        <v>120</v>
      </c>
      <c r="J146" s="169" t="e">
        <f>A!J120</f>
        <v>#N/A</v>
      </c>
      <c r="K146" s="30" t="str">
        <f>A!K120</f>
        <v>kN</v>
      </c>
      <c r="L146" s="30"/>
      <c r="M146" s="30"/>
    </row>
    <row r="147" spans="1:13" ht="15" customHeight="1">
      <c r="A147" s="30"/>
      <c r="B147" s="30"/>
      <c r="C147" s="170">
        <f>A!C121</f>
        <v>50</v>
      </c>
      <c r="D147" s="30"/>
      <c r="E147" s="30"/>
      <c r="F147" s="327">
        <f>A!F121</f>
        <v>30</v>
      </c>
      <c r="G147" s="239" t="str">
        <f>A!G121</f>
        <v>armering 1K8</v>
      </c>
      <c r="H147" s="30" t="str">
        <f>A!H121</f>
        <v>R4</v>
      </c>
      <c r="I147" s="30" t="s">
        <v>120</v>
      </c>
      <c r="J147" s="169" t="e">
        <f>A!J121</f>
        <v>#N/A</v>
      </c>
      <c r="K147" s="30" t="str">
        <f>A!K121</f>
        <v>kN</v>
      </c>
      <c r="L147" s="30"/>
      <c r="M147" s="30"/>
    </row>
    <row r="148" spans="1:13" ht="15" customHeight="1">
      <c r="A148" s="30"/>
      <c r="B148" s="30"/>
      <c r="C148" s="30"/>
      <c r="D148" s="30"/>
      <c r="E148" s="128" t="str">
        <f>A!$E$122</f>
        <v>(3)</v>
      </c>
      <c r="F148" s="30"/>
      <c r="G148" s="30" t="str">
        <f>A!G122</f>
        <v>2-snits arm.(3)</v>
      </c>
      <c r="H148" s="323">
        <f>A!H122</f>
        <v>1</v>
      </c>
      <c r="I148" s="325" t="str">
        <f>A!$I$122</f>
        <v>R3</v>
      </c>
      <c r="J148" s="323">
        <f>A!J122</f>
        <v>16</v>
      </c>
      <c r="K148" s="30" t="str">
        <f>A!K122</f>
        <v>stk,type,diameter</v>
      </c>
      <c r="L148" s="30"/>
      <c r="M148" s="30"/>
    </row>
    <row r="149" spans="1:13" ht="15" customHeight="1">
      <c r="A149" s="30"/>
      <c r="B149" s="30"/>
      <c r="C149" s="30"/>
      <c r="D149" s="30"/>
      <c r="E149" s="30"/>
      <c r="F149" s="30"/>
      <c r="G149" s="30"/>
      <c r="H149" s="30" t="str">
        <f>A!H123</f>
        <v>f yk</v>
      </c>
      <c r="I149" s="30" t="s">
        <v>120</v>
      </c>
      <c r="J149" s="66">
        <f>A!J123</f>
        <v>355</v>
      </c>
      <c r="K149" s="30" t="str">
        <f>A!K123</f>
        <v>N/mm2</v>
      </c>
      <c r="L149" s="30"/>
      <c r="M149" s="30"/>
    </row>
    <row r="150" spans="1:13" ht="15" customHeight="1">
      <c r="A150" s="30"/>
      <c r="B150" s="30"/>
      <c r="C150" s="30"/>
      <c r="D150" s="30"/>
      <c r="E150" s="30"/>
      <c r="F150" s="170" t="str">
        <f>A!$F$124</f>
        <v xml:space="preserve"> (4)</v>
      </c>
      <c r="G150" s="30" t="str">
        <f>A!G124</f>
        <v>h</v>
      </c>
      <c r="H150" s="30" t="str">
        <f>A!H124</f>
        <v>f yd</v>
      </c>
      <c r="I150" s="30" t="s">
        <v>120</v>
      </c>
      <c r="J150" s="66">
        <f>A!J124</f>
        <v>295.83333333333337</v>
      </c>
      <c r="K150" s="30" t="str">
        <f>A!K124</f>
        <v>N/mm2</v>
      </c>
      <c r="L150" s="30"/>
      <c r="M150" s="30"/>
    </row>
    <row r="151" spans="1:13" ht="15" customHeight="1">
      <c r="A151" s="30"/>
      <c r="B151" s="30"/>
      <c r="C151" s="30" t="e">
        <f>A!$C$125</f>
        <v>#N/A</v>
      </c>
      <c r="D151" s="30"/>
      <c r="E151" s="30"/>
      <c r="F151" s="30"/>
      <c r="G151" s="30"/>
      <c r="H151" s="30" t="str">
        <f>A!H125</f>
        <v>A s</v>
      </c>
      <c r="I151" s="30" t="s">
        <v>120</v>
      </c>
      <c r="J151" s="66">
        <f>A!J125</f>
        <v>402.12385965949352</v>
      </c>
      <c r="K151" s="30" t="str">
        <f>A!K125</f>
        <v>mm2</v>
      </c>
      <c r="L151" s="30"/>
      <c r="M151" s="30"/>
    </row>
    <row r="152" spans="1:13" ht="15" customHeight="1">
      <c r="A152" s="30"/>
      <c r="B152" s="30"/>
      <c r="C152" s="168"/>
      <c r="D152" s="30"/>
      <c r="E152" s="30" t="str">
        <f>A!E126</f>
        <v>R3</v>
      </c>
      <c r="F152" s="128" t="str">
        <f>A!F126</f>
        <v xml:space="preserve">R4    </v>
      </c>
      <c r="G152" s="30" t="str">
        <f>A!G126</f>
        <v>bæreevne (3)</v>
      </c>
      <c r="H152" s="169">
        <f>A!H126</f>
        <v>118.96164181593352</v>
      </c>
      <c r="I152" s="30"/>
      <c r="J152" s="30" t="str">
        <f>A!J126</f>
        <v>kN</v>
      </c>
      <c r="K152" s="30" t="e">
        <f>A!K126</f>
        <v>#N/A</v>
      </c>
      <c r="L152" s="169" t="e">
        <f>A!L126</f>
        <v>#N/A</v>
      </c>
      <c r="M152" s="30" t="e">
        <f>A!M126</f>
        <v>#N/A</v>
      </c>
    </row>
    <row r="153" spans="1:13" ht="15" customHeight="1">
      <c r="A153" s="30"/>
      <c r="B153" s="30"/>
      <c r="C153" s="30"/>
      <c r="D153" s="30"/>
      <c r="E153" s="30"/>
      <c r="F153" s="30"/>
      <c r="G153" s="30" t="str">
        <f>A!G128</f>
        <v>dorn i stålkvalitet</v>
      </c>
      <c r="H153" s="340" t="str">
        <f>A!H128</f>
        <v xml:space="preserve"> </v>
      </c>
      <c r="I153" s="325" t="str">
        <f>A!I128</f>
        <v>S</v>
      </c>
      <c r="J153" s="30" t="str">
        <f>A!J128</f>
        <v>355</v>
      </c>
      <c r="K153" s="30" t="str">
        <f>A!K128</f>
        <v>fyk = 325 N/mm2</v>
      </c>
      <c r="L153" s="30"/>
      <c r="M153" s="30"/>
    </row>
    <row r="154" spans="1:13" ht="15" customHeight="1">
      <c r="A154" s="30"/>
      <c r="B154" s="30"/>
      <c r="C154" s="168" t="str">
        <f>A!C128</f>
        <v xml:space="preserve">   a3</v>
      </c>
      <c r="D154" s="30"/>
      <c r="E154" s="168" t="str">
        <f>A!E128</f>
        <v>a4</v>
      </c>
      <c r="F154" s="30"/>
      <c r="G154" s="30" t="str">
        <f>A!G129</f>
        <v>dimension</v>
      </c>
      <c r="H154" s="30"/>
      <c r="I154" s="30" t="str">
        <f>A!I129</f>
        <v>Ø</v>
      </c>
      <c r="J154" s="323">
        <f>A!J129</f>
        <v>65</v>
      </c>
      <c r="K154" s="30" t="str">
        <f>A!K129</f>
        <v>mm</v>
      </c>
      <c r="L154" s="30"/>
      <c r="M154" s="30"/>
    </row>
    <row r="155" spans="1:13" ht="15" customHeight="1">
      <c r="A155" s="30"/>
      <c r="B155" s="30"/>
      <c r="C155" s="30"/>
      <c r="D155" s="30"/>
      <c r="E155" s="30"/>
      <c r="F155" s="30"/>
      <c r="G155" s="30"/>
      <c r="H155" s="30" t="str">
        <f>A!H130</f>
        <v>Welast</v>
      </c>
      <c r="I155" s="30" t="s">
        <v>120</v>
      </c>
      <c r="J155" s="341">
        <f>A!J130</f>
        <v>26961.246327878031</v>
      </c>
      <c r="K155" s="30" t="str">
        <f>A!K130</f>
        <v>mm3</v>
      </c>
      <c r="L155" s="30"/>
      <c r="M155" s="30"/>
    </row>
    <row r="156" spans="1:13" ht="15" customHeight="1">
      <c r="A156" s="30"/>
      <c r="B156" s="30"/>
      <c r="C156" s="30"/>
      <c r="D156" s="30"/>
      <c r="E156" s="30"/>
      <c r="F156" s="30"/>
      <c r="G156" s="30" t="str">
        <f>A!G131</f>
        <v>stålspænding</v>
      </c>
      <c r="H156" s="66" t="e">
        <f>A!H131</f>
        <v>#N/A</v>
      </c>
      <c r="I156" s="30"/>
      <c r="J156" s="169" t="str">
        <f>A!J131</f>
        <v>N/mm2</v>
      </c>
      <c r="K156" s="30" t="e">
        <f>A!K131</f>
        <v>#N/A</v>
      </c>
      <c r="L156" s="66">
        <f>A!L131</f>
        <v>295.45454545454544</v>
      </c>
      <c r="M156" s="30" t="e">
        <f>A!M131</f>
        <v>#N/A</v>
      </c>
    </row>
    <row r="157" spans="1:13" ht="15" customHeight="1">
      <c r="A157" s="30"/>
      <c r="B157" s="30"/>
      <c r="C157" s="30"/>
      <c r="D157" s="30"/>
      <c r="E157" s="30"/>
      <c r="F157" s="30"/>
      <c r="G157" s="30" t="str">
        <f>A!G132</f>
        <v xml:space="preserve">dornplacering </v>
      </c>
      <c r="H157" s="30" t="str">
        <f>A!H132</f>
        <v>h</v>
      </c>
      <c r="I157" s="30" t="s">
        <v>120</v>
      </c>
      <c r="J157" s="323">
        <f>A!J132</f>
        <v>122</v>
      </c>
      <c r="K157" s="30" t="str">
        <f>A!K132</f>
        <v>mm</v>
      </c>
      <c r="L157" s="30"/>
      <c r="M157" s="30"/>
    </row>
    <row r="158" spans="1:13" ht="15" customHeight="1">
      <c r="A158" s="30"/>
      <c r="B158" s="30"/>
      <c r="C158" s="30"/>
      <c r="D158" s="30"/>
      <c r="E158" s="30"/>
      <c r="F158" s="30"/>
      <c r="G158" s="30" t="str">
        <f>A!G133</f>
        <v>trykspænding (4)</v>
      </c>
      <c r="H158" s="169" t="e">
        <f>A!H133</f>
        <v>#N/A</v>
      </c>
      <c r="I158" s="30"/>
      <c r="J158" s="30" t="str">
        <f>A!J133</f>
        <v>N/mm2</v>
      </c>
      <c r="K158" s="30" t="e">
        <f>A!K133</f>
        <v>#N/A</v>
      </c>
      <c r="L158" s="169">
        <f>A!L133</f>
        <v>44.035984999568939</v>
      </c>
      <c r="M158" s="30" t="e">
        <f>A!M133</f>
        <v>#N/A</v>
      </c>
    </row>
    <row r="159" spans="1:13" ht="15" customHeight="1">
      <c r="A159" s="30"/>
      <c r="B159" s="30"/>
      <c r="C159" s="30"/>
      <c r="D159" s="30"/>
      <c r="E159" s="30"/>
      <c r="F159" s="30"/>
      <c r="G159" s="30" t="str">
        <f>A!G134</f>
        <v>gennemlokn. V Rd</v>
      </c>
      <c r="H159" s="169" t="e">
        <f>A!H134</f>
        <v>#N/A</v>
      </c>
      <c r="I159" s="30"/>
      <c r="J159" s="30" t="str">
        <f>A!J134</f>
        <v>kN</v>
      </c>
      <c r="K159" s="30" t="e">
        <f>A!K134</f>
        <v>#N/A</v>
      </c>
      <c r="L159" s="169" t="e">
        <f>A!L134</f>
        <v>#N/A</v>
      </c>
      <c r="M159" s="30" t="e">
        <f>A!M134</f>
        <v>#N/A</v>
      </c>
    </row>
    <row r="160" spans="1:13" ht="15" customHeight="1">
      <c r="A160" s="30"/>
      <c r="B160" s="30"/>
      <c r="C160" s="30"/>
      <c r="D160" s="30"/>
      <c r="E160" s="30"/>
      <c r="F160" s="30"/>
    </row>
    <row r="161" spans="1:13" ht="15" customHeight="1">
      <c r="A161" s="30"/>
      <c r="B161" s="30"/>
      <c r="C161" s="30"/>
      <c r="D161" s="30"/>
      <c r="E161" s="30"/>
      <c r="F161" s="30"/>
      <c r="G161" s="30"/>
      <c r="H161" s="30"/>
      <c r="I161" s="30"/>
      <c r="J161" s="30"/>
      <c r="K161" s="30"/>
      <c r="L161" s="30"/>
      <c r="M161" s="30"/>
    </row>
    <row r="162" spans="1:13" ht="15" customHeight="1"/>
    <row r="163" spans="1:13" ht="15" customHeight="1">
      <c r="B163" t="str">
        <f>A!$B$163</f>
        <v>FAST VEDERLAG</v>
      </c>
    </row>
    <row r="164" spans="1:13" ht="15" customHeight="1">
      <c r="G164" t="str">
        <f>A!G164</f>
        <v>Reaktion</v>
      </c>
      <c r="H164" t="str">
        <f>A!H164</f>
        <v>R</v>
      </c>
      <c r="I164" s="30" t="s">
        <v>120</v>
      </c>
      <c r="J164" s="169" t="e">
        <f>A!J164</f>
        <v>#N/A</v>
      </c>
      <c r="K164" t="str">
        <f>A!K164</f>
        <v>kN jævnt fordelt på b</v>
      </c>
    </row>
    <row r="165" spans="1:13" ht="15" customHeight="1">
      <c r="G165" t="str">
        <f>A!G165</f>
        <v>vederlagsbredde</v>
      </c>
      <c r="H165" t="str">
        <f>A!H165</f>
        <v>b</v>
      </c>
      <c r="I165" s="30" t="s">
        <v>120</v>
      </c>
      <c r="J165" s="66" t="e">
        <f>A!J165</f>
        <v>#N/A</v>
      </c>
      <c r="K165" t="str">
        <f>A!K165</f>
        <v>mm</v>
      </c>
    </row>
    <row r="166" spans="1:13" ht="15" customHeight="1">
      <c r="G166" t="str">
        <f>A!G166</f>
        <v>pladetykkelse</v>
      </c>
      <c r="H166" t="str">
        <f>A!H166</f>
        <v>t</v>
      </c>
      <c r="I166" s="30" t="s">
        <v>120</v>
      </c>
      <c r="J166" s="66" t="e">
        <f>A!J166</f>
        <v>#N/A</v>
      </c>
      <c r="K166" t="str">
        <f>A!K166</f>
        <v>mm</v>
      </c>
    </row>
    <row r="167" spans="1:13" ht="15" customHeight="1">
      <c r="G167" t="str">
        <f>A!G167</f>
        <v>betonstyrke</v>
      </c>
      <c r="H167" t="str">
        <f>A!H167</f>
        <v>f ck</v>
      </c>
      <c r="I167" s="30" t="s">
        <v>120</v>
      </c>
      <c r="J167" s="66">
        <f>A!J167</f>
        <v>30</v>
      </c>
      <c r="K167" t="str">
        <f>A!K167</f>
        <v>N/mm2</v>
      </c>
    </row>
    <row r="168" spans="1:13" ht="15" customHeight="1">
      <c r="F168" s="26" t="str">
        <f>A!$F$168</f>
        <v>uk.(3)</v>
      </c>
      <c r="H168" t="str">
        <f>A!H168</f>
        <v>fcd</v>
      </c>
      <c r="I168" s="30" t="s">
        <v>120</v>
      </c>
      <c r="J168" s="74">
        <f>A!J168</f>
        <v>21.428571428571431</v>
      </c>
      <c r="K168" t="str">
        <f>A!K168</f>
        <v>N/mm2</v>
      </c>
    </row>
    <row r="169" spans="1:13" ht="15" customHeight="1">
      <c r="E169" s="32" t="str">
        <f>A!E169</f>
        <v xml:space="preserve">cl.(2)    </v>
      </c>
      <c r="G169" s="72" t="str">
        <f>A!G169</f>
        <v>effektivitetsfaktor</v>
      </c>
      <c r="H169" s="30" t="str">
        <f>A!H169</f>
        <v>ν</v>
      </c>
      <c r="I169" s="30" t="s">
        <v>120</v>
      </c>
      <c r="J169" s="169">
        <f>A!J169</f>
        <v>0.8</v>
      </c>
      <c r="K169" s="49"/>
    </row>
    <row r="170" spans="1:13">
      <c r="C170" s="191" t="str">
        <f>A!C170</f>
        <v>(3)</v>
      </c>
      <c r="E170" s="66" t="e">
        <f>A!E170</f>
        <v>#N/A</v>
      </c>
      <c r="F170" s="133" t="e">
        <f>A!F170</f>
        <v>#N/A</v>
      </c>
      <c r="H170" s="30" t="str">
        <f>A!H170</f>
        <v>ν fcd</v>
      </c>
      <c r="I170" s="30" t="s">
        <v>120</v>
      </c>
      <c r="J170" s="74">
        <f>A!J170</f>
        <v>17.142857142857146</v>
      </c>
      <c r="K170" t="str">
        <f>A!K170</f>
        <v>N/mm2</v>
      </c>
    </row>
    <row r="171" spans="1:13">
      <c r="C171" s="170"/>
      <c r="G171" s="72"/>
    </row>
    <row r="172" spans="1:13">
      <c r="D172">
        <f>A!D172</f>
        <v>10</v>
      </c>
      <c r="E172" s="19"/>
      <c r="H172" t="str">
        <f>A!H172</f>
        <v xml:space="preserve">C4 = R </v>
      </c>
      <c r="I172" s="30" t="s">
        <v>120</v>
      </c>
      <c r="J172" s="169" t="e">
        <f>A!J172</f>
        <v>#N/A</v>
      </c>
      <c r="K172" t="str">
        <f>A!K172</f>
        <v>kN</v>
      </c>
    </row>
    <row r="173" spans="1:13">
      <c r="D173" s="194" t="str">
        <f>A!$D$173</f>
        <v>(2)</v>
      </c>
      <c r="E173" s="194" t="str">
        <f>A!$E$173</f>
        <v>(1)</v>
      </c>
      <c r="G173" s="72"/>
      <c r="H173" t="str">
        <f>A!H173</f>
        <v>hs</v>
      </c>
      <c r="I173" s="30" t="s">
        <v>120</v>
      </c>
      <c r="J173" s="66" t="e">
        <f>A!J173</f>
        <v>#N/A</v>
      </c>
      <c r="K173" t="str">
        <f>A!K173</f>
        <v>mm</v>
      </c>
    </row>
    <row r="174" spans="1:13">
      <c r="A174" s="26" t="e">
        <f>A!$A$174</f>
        <v>#N/A</v>
      </c>
      <c r="E174" s="68"/>
      <c r="F174" s="32"/>
      <c r="G174" t="str">
        <f>A!$G$174</f>
        <v>i plade (pl)</v>
      </c>
      <c r="H174" t="str">
        <f>A!H174</f>
        <v>a</v>
      </c>
      <c r="I174" s="30" t="s">
        <v>120</v>
      </c>
      <c r="J174" s="66" t="e">
        <f>A!J174</f>
        <v>#N/A</v>
      </c>
      <c r="K174" t="str">
        <f>A!K174</f>
        <v>mm</v>
      </c>
    </row>
    <row r="175" spans="1:13">
      <c r="H175" s="26" t="str">
        <f>A!H175</f>
        <v>hældning af trykstringer</v>
      </c>
      <c r="I175" s="30" t="s">
        <v>120</v>
      </c>
      <c r="J175" s="74" t="e">
        <f>A!J175</f>
        <v>#N/A</v>
      </c>
      <c r="K175" t="str">
        <f>A!K175</f>
        <v>grader</v>
      </c>
    </row>
    <row r="176" spans="1:13">
      <c r="A176" s="26" t="e">
        <f>A!$A$176</f>
        <v>#N/A</v>
      </c>
      <c r="C176" s="26"/>
      <c r="D176" s="66">
        <f>A!D176</f>
        <v>10</v>
      </c>
      <c r="H176" t="str">
        <f>A!H176</f>
        <v>h5</v>
      </c>
      <c r="I176" s="30" t="s">
        <v>120</v>
      </c>
      <c r="J176" s="66">
        <f>A!J176</f>
        <v>12</v>
      </c>
      <c r="K176" t="str">
        <f>A!K176</f>
        <v>mm</v>
      </c>
    </row>
    <row r="177" spans="1:13">
      <c r="C177" t="str">
        <f>A!$C$177</f>
        <v>R</v>
      </c>
      <c r="D177" s="66">
        <f>A!D177</f>
        <v>50</v>
      </c>
      <c r="F177" s="19"/>
      <c r="G177" s="79" t="str">
        <f>A!$G$177</f>
        <v>h4</v>
      </c>
      <c r="H177" t="str">
        <f>A!H177</f>
        <v>h4</v>
      </c>
      <c r="I177" s="30" t="s">
        <v>120</v>
      </c>
      <c r="J177" s="53" t="e">
        <f>A!J177</f>
        <v>#N/A</v>
      </c>
      <c r="K177" t="str">
        <f>A!K177</f>
        <v>mm</v>
      </c>
    </row>
    <row r="178" spans="1:13">
      <c r="G178" s="79" t="str">
        <f>A!$G$178</f>
        <v>C4</v>
      </c>
      <c r="H178" t="str">
        <f>A!H178</f>
        <v>h6</v>
      </c>
      <c r="I178" s="30" t="s">
        <v>120</v>
      </c>
      <c r="J178" s="53" t="e">
        <f>A!J178</f>
        <v>#N/A</v>
      </c>
      <c r="K178" t="str">
        <f>A!K178</f>
        <v>mm</v>
      </c>
    </row>
    <row r="179" spans="1:13">
      <c r="C179" s="170"/>
      <c r="H179" t="str">
        <f>A!H179</f>
        <v>C5</v>
      </c>
      <c r="I179" s="30" t="s">
        <v>120</v>
      </c>
      <c r="J179" s="74" t="e">
        <f>A!J179</f>
        <v>#N/A</v>
      </c>
      <c r="K179" t="str">
        <f>A!K179</f>
        <v>kN</v>
      </c>
      <c r="L179" t="s">
        <v>696</v>
      </c>
    </row>
    <row r="180" spans="1:13">
      <c r="G180" s="19" t="str">
        <f>A!$G$180</f>
        <v>C5</v>
      </c>
      <c r="H180" t="str">
        <f>A!H180</f>
        <v>C6</v>
      </c>
      <c r="I180" s="30" t="s">
        <v>120</v>
      </c>
      <c r="J180" s="74" t="e">
        <f>A!J180</f>
        <v>#N/A</v>
      </c>
      <c r="K180" t="str">
        <f>A!K180</f>
        <v>kN</v>
      </c>
    </row>
    <row r="181" spans="1:13" ht="15" customHeight="1">
      <c r="B181" s="81"/>
      <c r="C181" s="81"/>
      <c r="D181" s="81"/>
      <c r="E181" s="81"/>
      <c r="F181" s="81"/>
      <c r="G181" s="199" t="str">
        <f>A!$G$181</f>
        <v>h5</v>
      </c>
      <c r="H181" s="81" t="s">
        <v>704</v>
      </c>
      <c r="I181" s="30" t="s">
        <v>120</v>
      </c>
      <c r="J181" s="200" t="e">
        <f>A!J181</f>
        <v>#N/A</v>
      </c>
      <c r="K181" s="81" t="str">
        <f>A!K181</f>
        <v>N/mm2</v>
      </c>
      <c r="L181" s="81"/>
      <c r="M181" s="199" t="e">
        <f>A!$M$181</f>
        <v>#N/A</v>
      </c>
    </row>
    <row r="182" spans="1:13">
      <c r="B182" s="19"/>
      <c r="D182" s="19" t="str">
        <f>A!D182</f>
        <v>a</v>
      </c>
      <c r="E182" s="19" t="str">
        <f>A!E182</f>
        <v>hs</v>
      </c>
      <c r="F182" s="79" t="str">
        <f>A!F182</f>
        <v>t</v>
      </c>
      <c r="G182" t="str">
        <f>A!$G$182</f>
        <v>C6</v>
      </c>
    </row>
    <row r="183" spans="1:13">
      <c r="C183" s="26"/>
      <c r="E183" s="19"/>
      <c r="F183" s="26" t="str">
        <f>A!$F$183</f>
        <v>h6</v>
      </c>
      <c r="G183" s="26"/>
    </row>
    <row r="184" spans="1:13">
      <c r="A184" s="224" t="e">
        <f>A!$A$184</f>
        <v>#N/A</v>
      </c>
      <c r="C184" s="26"/>
      <c r="F184" s="26"/>
    </row>
    <row r="185" spans="1:13">
      <c r="C185" s="26"/>
    </row>
    <row r="186" spans="1:13">
      <c r="C186" s="133">
        <f>A!$C$186</f>
        <v>100</v>
      </c>
    </row>
    <row r="187" spans="1:13">
      <c r="F187" t="str">
        <f>A!$F$187</f>
        <v>armering</v>
      </c>
      <c r="G187" t="str">
        <f>A!G187</f>
        <v>i "knast" (1)</v>
      </c>
      <c r="H187" s="66">
        <f>A!H187</f>
        <v>3</v>
      </c>
      <c r="I187" s="30" t="str">
        <f>A!I187</f>
        <v>K</v>
      </c>
      <c r="J187" s="66">
        <f>A!J187</f>
        <v>8</v>
      </c>
      <c r="K187" t="str">
        <f>A!K187</f>
        <v>stk,type,diameter</v>
      </c>
    </row>
    <row r="188" spans="1:13">
      <c r="B188" s="202"/>
      <c r="G188" s="26"/>
      <c r="H188" s="32" t="str">
        <f>A!H188</f>
        <v>fyk</v>
      </c>
      <c r="I188" s="30" t="str">
        <f>A!I188</f>
        <v>=</v>
      </c>
      <c r="J188" s="53">
        <f>A!J188</f>
        <v>500</v>
      </c>
      <c r="K188" t="str">
        <f>A!K188</f>
        <v>N/mm2</v>
      </c>
    </row>
    <row r="189" spans="1:13">
      <c r="A189" s="81"/>
      <c r="B189" s="202"/>
      <c r="E189" s="194" t="str">
        <f>A!E189</f>
        <v>(1)</v>
      </c>
      <c r="G189" s="26"/>
      <c r="H189" s="32" t="str">
        <f>A!H189</f>
        <v>f yd</v>
      </c>
      <c r="I189" s="30" t="str">
        <f>A!I189</f>
        <v>=</v>
      </c>
      <c r="J189" s="53">
        <f>A!J189</f>
        <v>416.66666666666669</v>
      </c>
      <c r="K189" t="str">
        <f>A!K189</f>
        <v>N/mm2</v>
      </c>
    </row>
    <row r="190" spans="1:13">
      <c r="B190" s="202"/>
      <c r="F190" s="160"/>
      <c r="G190" s="26"/>
      <c r="H190" s="32" t="str">
        <f>A!H190</f>
        <v>As(1)</v>
      </c>
      <c r="I190" s="30" t="str">
        <f>A!I190</f>
        <v>=</v>
      </c>
      <c r="J190" s="53">
        <f>A!J190</f>
        <v>150.79644737231007</v>
      </c>
      <c r="K190" t="str">
        <f>A!K190</f>
        <v>mm2</v>
      </c>
    </row>
    <row r="191" spans="1:13">
      <c r="F191" s="72" t="e">
        <f>A!$F$191</f>
        <v>#N/A</v>
      </c>
      <c r="G191" s="26" t="str">
        <f>A!$G$191</f>
        <v>F Rd(1) =</v>
      </c>
      <c r="H191" s="74">
        <f>A!H191</f>
        <v>62.831853071795862</v>
      </c>
      <c r="J191" t="str">
        <f>A!J191</f>
        <v>kN</v>
      </c>
      <c r="K191" t="e">
        <f>A!K191</f>
        <v>#N/A</v>
      </c>
      <c r="L191" s="74" t="e">
        <f>A!L191</f>
        <v>#N/A</v>
      </c>
      <c r="M191" t="e">
        <f>A!M191</f>
        <v>#N/A</v>
      </c>
    </row>
    <row r="192" spans="1:13">
      <c r="A192" s="224"/>
    </row>
    <row r="193" spans="3:13">
      <c r="C193" s="74" t="e">
        <f>A!C193</f>
        <v>#N/A</v>
      </c>
      <c r="D193" t="str">
        <f>A!D193</f>
        <v>kN/m</v>
      </c>
      <c r="E193" s="32"/>
      <c r="G193" t="str">
        <f>A!$G$193</f>
        <v>Forankring af hovedarmering (pl)</v>
      </c>
    </row>
    <row r="194" spans="3:13">
      <c r="C194" s="191"/>
    </row>
    <row r="195" spans="3:13">
      <c r="C195" s="170"/>
    </row>
    <row r="196" spans="3:13">
      <c r="E196" s="19"/>
    </row>
    <row r="197" spans="3:13">
      <c r="D197" s="194"/>
      <c r="E197" s="194"/>
      <c r="F197" s="100" t="e">
        <f>A!F197</f>
        <v>#N/A</v>
      </c>
    </row>
    <row r="198" spans="3:13">
      <c r="E198" s="68" t="str">
        <f>A!$E$198</f>
        <v>F</v>
      </c>
      <c r="F198" s="342"/>
      <c r="H198" t="str">
        <f>A!H198</f>
        <v>F</v>
      </c>
      <c r="I198" s="30" t="str">
        <f>A!I198</f>
        <v>=</v>
      </c>
      <c r="J198" s="171" t="e">
        <f>A!J198</f>
        <v>#N/A</v>
      </c>
      <c r="K198" t="str">
        <f>A!K198</f>
        <v>kN</v>
      </c>
    </row>
    <row r="199" spans="3:13">
      <c r="F199" s="207" t="e">
        <f>A!F199</f>
        <v>#N/A</v>
      </c>
    </row>
    <row r="200" spans="3:13">
      <c r="C200" t="str">
        <f>A!$C$200</f>
        <v>R</v>
      </c>
      <c r="F200" s="100"/>
    </row>
    <row r="201" spans="3:13">
      <c r="D201" s="100"/>
      <c r="F201" s="208" t="e">
        <f>A!F201</f>
        <v>#N/A</v>
      </c>
    </row>
    <row r="202" spans="3:13">
      <c r="C202" s="209" t="e">
        <f>A!$C$202</f>
        <v>#N/A</v>
      </c>
      <c r="F202" s="208" t="e">
        <f>A!F202</f>
        <v>#N/A</v>
      </c>
    </row>
    <row r="204" spans="3:13">
      <c r="F204" t="str">
        <f>A!$F$204</f>
        <v>armering</v>
      </c>
      <c r="G204" t="str">
        <f>A!G204</f>
        <v>v.knast"rod"(2)</v>
      </c>
      <c r="H204" s="65">
        <f>A!H204</f>
        <v>3</v>
      </c>
      <c r="I204" s="113" t="str">
        <f>A!I204</f>
        <v>K</v>
      </c>
      <c r="J204" s="65">
        <f>A!J204</f>
        <v>8</v>
      </c>
      <c r="K204" t="str">
        <f>A!K204</f>
        <v>stk,type,diameter</v>
      </c>
    </row>
    <row r="205" spans="3:13">
      <c r="H205" s="32" t="str">
        <f>A!H205</f>
        <v>fyk</v>
      </c>
      <c r="I205" s="30" t="s">
        <v>120</v>
      </c>
      <c r="J205" s="53">
        <f>A!J205</f>
        <v>500</v>
      </c>
      <c r="K205" t="str">
        <f>A!K205</f>
        <v>N/mm2</v>
      </c>
    </row>
    <row r="206" spans="3:13">
      <c r="H206" s="32" t="str">
        <f>A!H206</f>
        <v>f yd</v>
      </c>
      <c r="I206" s="30" t="s">
        <v>120</v>
      </c>
      <c r="J206" s="53">
        <f>A!J206</f>
        <v>416.66666666666669</v>
      </c>
      <c r="K206" t="str">
        <f>A!K206</f>
        <v>N/mm2</v>
      </c>
    </row>
    <row r="207" spans="3:13">
      <c r="F207" s="211" t="s">
        <v>558</v>
      </c>
      <c r="H207" s="32" t="str">
        <f>A!H207</f>
        <v>As(2)</v>
      </c>
      <c r="I207" s="30" t="s">
        <v>120</v>
      </c>
      <c r="J207" s="53">
        <f>A!J207</f>
        <v>150.79644737231007</v>
      </c>
      <c r="K207" t="str">
        <f>A!K207</f>
        <v>mm2</v>
      </c>
    </row>
    <row r="208" spans="3:13">
      <c r="G208" s="26" t="str">
        <f>A!$G$208</f>
        <v>F Rd(2) =</v>
      </c>
      <c r="H208" s="74">
        <f>A!H208</f>
        <v>62.831853071795862</v>
      </c>
      <c r="J208" t="str">
        <f>A!J208</f>
        <v>kN</v>
      </c>
      <c r="K208" t="e">
        <f>A!K208</f>
        <v>#N/A</v>
      </c>
      <c r="L208" s="74" t="e">
        <f>A!L208</f>
        <v>#N/A</v>
      </c>
      <c r="M208" t="e">
        <f>A!M208</f>
        <v>#N/A</v>
      </c>
    </row>
    <row r="209" spans="2:13">
      <c r="K209" t="e">
        <f>A!K209</f>
        <v>#N/A</v>
      </c>
      <c r="L209" s="74" t="e">
        <f>A!L209</f>
        <v>#N/A</v>
      </c>
      <c r="M209" t="e">
        <f>A!M209</f>
        <v>#N/A</v>
      </c>
    </row>
    <row r="210" spans="2:13">
      <c r="F210" s="32" t="e">
        <f>A!$F$210</f>
        <v>#N/A</v>
      </c>
    </row>
    <row r="212" spans="2:13">
      <c r="F212" t="str">
        <f>A!$F$212</f>
        <v>armering</v>
      </c>
      <c r="G212" t="str">
        <f>A!G212</f>
        <v>i plade udfor b</v>
      </c>
      <c r="H212" s="149" t="e">
        <f>A!H212</f>
        <v>#N/A</v>
      </c>
      <c r="I212" t="str">
        <f>A!I212</f>
        <v>K</v>
      </c>
      <c r="J212" s="128" t="e">
        <f>A!J212</f>
        <v>#N/A</v>
      </c>
      <c r="K212" t="str">
        <f>A!K212</f>
        <v>stk,type,diameter</v>
      </c>
      <c r="M212" s="19"/>
    </row>
    <row r="213" spans="2:13">
      <c r="B213" s="202"/>
      <c r="G213" s="26" t="str">
        <f>A!$G$213</f>
        <v>suppleret med</v>
      </c>
      <c r="H213" s="213" t="e">
        <f>A!H213</f>
        <v>#N/A</v>
      </c>
      <c r="I213" s="30" t="str">
        <f>A!I213</f>
        <v>K</v>
      </c>
      <c r="J213" s="66" t="e">
        <f>A!J213</f>
        <v>#N/A</v>
      </c>
      <c r="K213" t="str">
        <f>A!K213</f>
        <v>stk,type,diameter</v>
      </c>
    </row>
    <row r="214" spans="2:13">
      <c r="H214" s="32" t="str">
        <f>A!H214</f>
        <v>fyk</v>
      </c>
      <c r="I214" s="30" t="str">
        <f>A!I214</f>
        <v>=</v>
      </c>
      <c r="J214" s="53">
        <f>A!J214</f>
        <v>500</v>
      </c>
      <c r="K214" t="str">
        <f>A!K214</f>
        <v>N/mm2</v>
      </c>
    </row>
    <row r="215" spans="2:13">
      <c r="H215" s="32" t="str">
        <f>A!H215</f>
        <v>f yd</v>
      </c>
      <c r="I215" s="30" t="str">
        <f>A!I215</f>
        <v>=</v>
      </c>
      <c r="J215" s="53">
        <f>A!J215</f>
        <v>416.66666666666669</v>
      </c>
      <c r="K215" t="str">
        <f>A!K215</f>
        <v>N/mm2</v>
      </c>
    </row>
    <row r="216" spans="2:13">
      <c r="H216" t="str">
        <f>A!H216</f>
        <v>As(pl)</v>
      </c>
      <c r="I216" s="30" t="str">
        <f>A!I216</f>
        <v>=</v>
      </c>
      <c r="J216" s="53" t="e">
        <f>A!J216</f>
        <v>#N/A</v>
      </c>
      <c r="K216" t="str">
        <f>A!K216</f>
        <v>mm2</v>
      </c>
    </row>
    <row r="217" spans="2:13">
      <c r="G217" s="26" t="str">
        <f>A!$G$217</f>
        <v>F Rd(pl) =</v>
      </c>
      <c r="H217" s="74" t="e">
        <f>A!H217</f>
        <v>#N/A</v>
      </c>
      <c r="J217" t="str">
        <f>A!J217</f>
        <v>kN</v>
      </c>
      <c r="K217" t="e">
        <f>A!K217</f>
        <v>#N/A</v>
      </c>
      <c r="L217" s="74" t="e">
        <f>A!L217</f>
        <v>#N/A</v>
      </c>
      <c r="M217" t="e">
        <f>A!M217</f>
        <v>#N/A</v>
      </c>
    </row>
    <row r="222" spans="2:13">
      <c r="F222" t="str">
        <f>A!$F$222</f>
        <v>armering</v>
      </c>
      <c r="G222" t="str">
        <f>A!G222</f>
        <v>i "knast" (1)</v>
      </c>
      <c r="H222" s="66">
        <f>A!H222</f>
        <v>3</v>
      </c>
      <c r="I222" s="30" t="str">
        <f>A!$I$222</f>
        <v>K</v>
      </c>
      <c r="J222" s="66">
        <f>A!J222</f>
        <v>8</v>
      </c>
      <c r="K222" t="str">
        <f>A!K222</f>
        <v>stk,type,diameter</v>
      </c>
    </row>
    <row r="223" spans="2:13">
      <c r="F223" s="161"/>
      <c r="G223" s="26" t="str">
        <f>A!G223</f>
        <v>F Rd(1) =</v>
      </c>
      <c r="H223" s="74">
        <f>A!H223</f>
        <v>62.831853071795862</v>
      </c>
      <c r="J223" t="str">
        <f>A!J223</f>
        <v>kN</v>
      </c>
      <c r="K223" t="e">
        <f>A!K223</f>
        <v>#N/A</v>
      </c>
      <c r="L223" s="74" t="e">
        <f>A!L223</f>
        <v>#N/A</v>
      </c>
      <c r="M223" t="e">
        <f>A!M223</f>
        <v>#N/A</v>
      </c>
    </row>
    <row r="224" spans="2:13">
      <c r="E224" s="194"/>
      <c r="G224" s="26" t="str">
        <f>A!G224</f>
        <v>benlængde(1) =</v>
      </c>
      <c r="H224" s="53" t="e">
        <f>A!H224</f>
        <v>#N/A</v>
      </c>
      <c r="J224" s="53" t="str">
        <f>A!J224</f>
        <v>mm</v>
      </c>
    </row>
    <row r="225" spans="1:13">
      <c r="F225" s="160"/>
      <c r="G225" s="32" t="str">
        <f>A!G225</f>
        <v>v.knast"rod"(2)</v>
      </c>
      <c r="H225" s="53">
        <f>A!H225</f>
        <v>3</v>
      </c>
      <c r="I225" t="str">
        <f>A!$I$225</f>
        <v>K</v>
      </c>
      <c r="J225" s="53">
        <f>A!J225</f>
        <v>8</v>
      </c>
    </row>
    <row r="226" spans="1:13">
      <c r="B226" s="202"/>
      <c r="G226" s="26" t="str">
        <f>A!G226</f>
        <v>F Rd(2) =</v>
      </c>
      <c r="H226" s="74">
        <f>A!H226</f>
        <v>62.831853071795862</v>
      </c>
      <c r="J226" t="str">
        <f>A!J226</f>
        <v>kN</v>
      </c>
      <c r="K226" t="e">
        <f>A!K226</f>
        <v>#N/A</v>
      </c>
      <c r="L226" s="74" t="e">
        <f>A!L226</f>
        <v>#N/A</v>
      </c>
      <c r="M226" t="e">
        <f>A!M226</f>
        <v>#N/A</v>
      </c>
    </row>
    <row r="227" spans="1:13">
      <c r="B227" s="202"/>
      <c r="D227" t="str">
        <f>A!$D$227</f>
        <v>benlængde</v>
      </c>
      <c r="G227" t="str">
        <f>A!G227</f>
        <v xml:space="preserve">     "   for forankring(pl)</v>
      </c>
      <c r="K227" t="e">
        <f>A!K227</f>
        <v>#N/A</v>
      </c>
      <c r="L227" s="74" t="e">
        <f>A!L227</f>
        <v>#N/A</v>
      </c>
      <c r="M227" t="e">
        <f>A!M227</f>
        <v>#N/A</v>
      </c>
    </row>
    <row r="228" spans="1:13">
      <c r="B228" s="202"/>
      <c r="G228" s="26" t="str">
        <f>A!G228</f>
        <v>benlængde(2) =</v>
      </c>
      <c r="H228" t="e">
        <f>A!H228</f>
        <v>#N/A</v>
      </c>
      <c r="J228" t="str">
        <f>A!J228</f>
        <v>mm</v>
      </c>
    </row>
    <row r="229" spans="1:13">
      <c r="G229" s="26" t="str">
        <f>A!G229</f>
        <v>højde U-bjl(2) =</v>
      </c>
      <c r="H229" t="e">
        <f>A!H229</f>
        <v>#N/A</v>
      </c>
      <c r="J229" t="str">
        <f>A!J229</f>
        <v>mm</v>
      </c>
    </row>
    <row r="232" spans="1:13">
      <c r="B232" s="30" t="str">
        <f>A!$B$352</f>
        <v>FAST VEDERLAG</v>
      </c>
    </row>
    <row r="233" spans="1:13">
      <c r="A233" s="30"/>
      <c r="C233" s="30"/>
      <c r="D233" s="30"/>
      <c r="E233" s="30"/>
      <c r="F233" s="30"/>
      <c r="G233" s="30" t="e">
        <f>A!G353</f>
        <v>#N/A</v>
      </c>
      <c r="H233" s="30" t="str">
        <f>A!H353</f>
        <v>R2</v>
      </c>
      <c r="I233" s="30" t="s">
        <v>120</v>
      </c>
      <c r="J233" s="169" t="e">
        <f>A!J353</f>
        <v>#N/A</v>
      </c>
      <c r="K233" s="30" t="str">
        <f>A!K353</f>
        <v>kN</v>
      </c>
      <c r="L233" s="30"/>
      <c r="M233" s="30"/>
    </row>
    <row r="234" spans="1:13">
      <c r="A234" s="30"/>
      <c r="B234" s="30"/>
      <c r="C234" s="30"/>
      <c r="D234" s="30"/>
      <c r="E234" s="30" t="str">
        <f>A!$E$354</f>
        <v>(6)</v>
      </c>
      <c r="F234" s="30"/>
      <c r="G234" s="30" t="e">
        <f>A!G354</f>
        <v>#N/A</v>
      </c>
      <c r="H234" s="30" t="str">
        <f>A!H354</f>
        <v>R1</v>
      </c>
      <c r="I234" s="30" t="s">
        <v>120</v>
      </c>
      <c r="J234" s="169" t="e">
        <f>A!J354</f>
        <v>#N/A</v>
      </c>
      <c r="K234" s="30" t="str">
        <f>A!K354</f>
        <v>kN</v>
      </c>
      <c r="L234" s="30"/>
      <c r="M234" s="337"/>
    </row>
    <row r="235" spans="1:13">
      <c r="A235" s="30"/>
      <c r="B235" s="30"/>
      <c r="C235" s="168" t="str">
        <f>A!$C$355</f>
        <v>(7)</v>
      </c>
      <c r="D235" s="30"/>
      <c r="E235" s="30"/>
      <c r="F235" s="30"/>
      <c r="G235" s="30" t="str">
        <f>A!G355</f>
        <v>min. reaktion</v>
      </c>
      <c r="H235" s="30" t="str">
        <f>A!H355</f>
        <v>R1</v>
      </c>
      <c r="I235" s="30" t="s">
        <v>120</v>
      </c>
      <c r="J235" s="169" t="e">
        <f>A!J355</f>
        <v>#N/A</v>
      </c>
      <c r="K235" s="30" t="str">
        <f>A!K355</f>
        <v>kN</v>
      </c>
      <c r="L235" s="30"/>
      <c r="M235" s="337" t="e">
        <f>A!$M$355</f>
        <v>#N/A</v>
      </c>
    </row>
    <row r="236" spans="1:13">
      <c r="A236" s="30"/>
      <c r="B236" s="30"/>
      <c r="C236" s="30"/>
      <c r="D236" s="30"/>
      <c r="E236" s="30"/>
      <c r="F236" s="30"/>
      <c r="G236" s="30" t="str">
        <f>A!G356</f>
        <v>effektiv højde</v>
      </c>
      <c r="H236" s="30" t="str">
        <f>A!H356</f>
        <v>d</v>
      </c>
      <c r="I236" s="30" t="s">
        <v>120</v>
      </c>
      <c r="J236" s="323" t="e">
        <f>A!J356</f>
        <v>#N/A</v>
      </c>
      <c r="K236" s="30" t="str">
        <f>A!K356</f>
        <v>mm</v>
      </c>
      <c r="L236" s="30"/>
      <c r="M236" s="30"/>
    </row>
    <row r="237" spans="1:13">
      <c r="A237" s="30"/>
      <c r="B237" s="168" t="str">
        <f>A!$B$357</f>
        <v>d</v>
      </c>
      <c r="C237" s="30"/>
      <c r="D237" s="30" t="str">
        <f>A!D357</f>
        <v>(9)</v>
      </c>
      <c r="E237" s="30"/>
      <c r="F237" s="30" t="str">
        <f>A!F357</f>
        <v>(8)</v>
      </c>
      <c r="G237" s="30" t="str">
        <f>A!G357</f>
        <v>"knast"bredde</v>
      </c>
      <c r="H237" s="30"/>
      <c r="I237" s="30" t="s">
        <v>120</v>
      </c>
      <c r="J237" s="323" t="e">
        <f>A!J357</f>
        <v>#N/A</v>
      </c>
      <c r="K237" s="30" t="str">
        <f>A!K357</f>
        <v>mm</v>
      </c>
      <c r="L237" s="30"/>
      <c r="M237" s="30"/>
    </row>
    <row r="238" spans="1:13">
      <c r="A238" s="30"/>
      <c r="B238" s="30"/>
      <c r="C238" s="30"/>
      <c r="D238" s="30"/>
      <c r="E238" s="30"/>
      <c r="F238" s="30"/>
      <c r="G238" s="30" t="str">
        <f>A!G358</f>
        <v>momentarm</v>
      </c>
      <c r="H238" s="30" t="str">
        <f>A!H358</f>
        <v>a</v>
      </c>
      <c r="I238" s="30" t="s">
        <v>120</v>
      </c>
      <c r="J238" s="323" t="e">
        <f>A!J358</f>
        <v>#N/A</v>
      </c>
      <c r="K238" s="30" t="str">
        <f>A!K358</f>
        <v>mm</v>
      </c>
      <c r="L238" s="30"/>
      <c r="M238" s="30"/>
    </row>
    <row r="239" spans="1:13">
      <c r="A239" s="30"/>
      <c r="B239" s="30"/>
      <c r="C239" s="30"/>
      <c r="D239" s="30"/>
      <c r="E239" s="30"/>
      <c r="F239" s="30"/>
      <c r="G239" s="30" t="str">
        <f>A!G359</f>
        <v>v.knast"rod"(6)</v>
      </c>
      <c r="H239" s="323" t="e">
        <f>A!H359</f>
        <v>#N/A</v>
      </c>
      <c r="I239" s="325" t="str">
        <f>A!$I$359</f>
        <v>K</v>
      </c>
      <c r="J239" s="323" t="e">
        <f>A!J359</f>
        <v>#N/A</v>
      </c>
      <c r="K239" s="30" t="str">
        <f>A!K359</f>
        <v>stk,type,diameter</v>
      </c>
      <c r="L239" s="30"/>
      <c r="M239" s="30"/>
    </row>
    <row r="240" spans="1:13">
      <c r="A240" s="30"/>
      <c r="B240" s="30"/>
      <c r="C240" s="30"/>
      <c r="D240" s="30"/>
      <c r="E240" s="30"/>
      <c r="F240" s="30"/>
      <c r="G240" s="30"/>
      <c r="H240" s="30" t="str">
        <f>A!H360</f>
        <v>f yk</v>
      </c>
      <c r="I240" s="30" t="s">
        <v>120</v>
      </c>
      <c r="J240" s="66">
        <f>A!J360</f>
        <v>500</v>
      </c>
      <c r="K240" s="30" t="str">
        <f>A!K360</f>
        <v>N/mm2</v>
      </c>
      <c r="L240" s="30"/>
      <c r="M240" s="30"/>
    </row>
    <row r="241" spans="1:13">
      <c r="A241" s="30"/>
      <c r="B241" s="30"/>
      <c r="C241" s="128" t="e">
        <f>A!$C$361</f>
        <v>#N/A</v>
      </c>
      <c r="D241" s="30"/>
      <c r="E241" s="30"/>
      <c r="F241" s="30"/>
      <c r="G241" s="30"/>
      <c r="H241" s="30" t="str">
        <f>A!H361</f>
        <v>f yd</v>
      </c>
      <c r="I241" s="30" t="s">
        <v>120</v>
      </c>
      <c r="J241" s="66">
        <f>A!J361</f>
        <v>416.66666666666669</v>
      </c>
      <c r="K241" s="30" t="str">
        <f>A!K361</f>
        <v>N/mm2</v>
      </c>
      <c r="L241" s="30"/>
      <c r="M241" s="30"/>
    </row>
    <row r="242" spans="1:13">
      <c r="A242" s="30"/>
      <c r="B242" s="30"/>
      <c r="C242" s="30"/>
      <c r="D242" s="128" t="str">
        <f>A!$D$362</f>
        <v>a</v>
      </c>
      <c r="E242" s="30"/>
      <c r="F242" s="30"/>
      <c r="G242" s="30"/>
      <c r="H242" s="168" t="str">
        <f>A!H362</f>
        <v>hjørnearm.(8) inde i U-bjl.</v>
      </c>
      <c r="I242" s="325" t="str">
        <f>A!$I$362</f>
        <v>K</v>
      </c>
      <c r="J242" s="327" t="e">
        <f>A!J362</f>
        <v>#N/A</v>
      </c>
      <c r="K242" s="30" t="str">
        <f>A!K362</f>
        <v>=&gt;</v>
      </c>
      <c r="L242" s="30" t="e">
        <f>A!L362</f>
        <v>#N/A</v>
      </c>
    </row>
    <row r="243" spans="1:13">
      <c r="A243" s="30"/>
      <c r="B243" s="30"/>
      <c r="C243" s="30"/>
      <c r="D243" s="30"/>
      <c r="E243" s="30"/>
      <c r="F243" s="30"/>
      <c r="G243" s="30"/>
      <c r="H243" s="30" t="str">
        <f>A!H363</f>
        <v>As (6)</v>
      </c>
      <c r="I243" s="30" t="s">
        <v>120</v>
      </c>
      <c r="J243" s="66" t="e">
        <f>A!J363</f>
        <v>#N/A</v>
      </c>
      <c r="K243" s="30" t="str">
        <f>A!K363</f>
        <v>mm2</v>
      </c>
      <c r="L243" s="30"/>
      <c r="M243" s="30"/>
    </row>
    <row r="244" spans="1:13">
      <c r="A244" s="30"/>
      <c r="B244" s="30"/>
      <c r="C244" s="30"/>
      <c r="D244" s="30"/>
      <c r="E244" s="30"/>
      <c r="F244" s="30"/>
      <c r="G244" s="30" t="str">
        <f>A!G364</f>
        <v>sigma s</v>
      </c>
      <c r="H244" s="66" t="e">
        <f>A!H364</f>
        <v>#N/A</v>
      </c>
      <c r="I244" s="30"/>
      <c r="J244" s="30" t="str">
        <f>A!J364</f>
        <v>N/mm2</v>
      </c>
      <c r="K244" s="30" t="e">
        <f>A!K364</f>
        <v>#N/A</v>
      </c>
      <c r="L244" s="66" t="e">
        <f>A!L364</f>
        <v>#N/A</v>
      </c>
      <c r="M244" s="30" t="e">
        <f>A!M364</f>
        <v>#N/A</v>
      </c>
    </row>
    <row r="245" spans="1:13">
      <c r="A245" s="30"/>
      <c r="B245" s="30"/>
      <c r="C245" s="30"/>
      <c r="D245" s="30"/>
      <c r="E245" s="30"/>
      <c r="F245" s="30"/>
      <c r="G245" s="30" t="str">
        <f>A!G365</f>
        <v>i "knast" (7)</v>
      </c>
      <c r="H245" s="323" t="e">
        <f>A!H365</f>
        <v>#N/A</v>
      </c>
      <c r="I245" s="325" t="str">
        <f>A!$I$365</f>
        <v>K</v>
      </c>
      <c r="J245" s="323" t="e">
        <f>A!J365</f>
        <v>#N/A</v>
      </c>
      <c r="K245" s="30" t="str">
        <f>A!K365</f>
        <v>stk,type,diameter</v>
      </c>
      <c r="L245" s="30"/>
      <c r="M245" s="30"/>
    </row>
    <row r="246" spans="1:13">
      <c r="A246" s="30"/>
      <c r="B246" s="30"/>
      <c r="C246" s="30"/>
      <c r="D246" s="30"/>
      <c r="E246" s="30"/>
      <c r="F246" s="30"/>
      <c r="G246" s="30"/>
      <c r="H246" s="30" t="str">
        <f>A!H366</f>
        <v>f yk</v>
      </c>
      <c r="I246" s="30" t="s">
        <v>120</v>
      </c>
      <c r="J246" s="66">
        <f>A!J366</f>
        <v>500</v>
      </c>
      <c r="K246" s="30" t="str">
        <f>A!K366</f>
        <v>N/mm2</v>
      </c>
      <c r="L246" s="30"/>
      <c r="M246" s="30"/>
    </row>
    <row r="247" spans="1:13">
      <c r="A247" s="30"/>
      <c r="B247" s="30"/>
      <c r="C247" s="30"/>
      <c r="D247" s="30"/>
      <c r="E247" s="30"/>
      <c r="F247" s="30"/>
      <c r="G247" s="30"/>
      <c r="H247" s="30" t="str">
        <f>A!H367</f>
        <v>f yd</v>
      </c>
      <c r="I247" s="30" t="s">
        <v>120</v>
      </c>
      <c r="J247" s="66">
        <f>A!J367</f>
        <v>416.66666666666669</v>
      </c>
      <c r="K247" s="30" t="str">
        <f>A!K367</f>
        <v>N/mm2</v>
      </c>
      <c r="L247" s="30"/>
      <c r="M247" s="30"/>
    </row>
    <row r="248" spans="1:13">
      <c r="A248" s="30"/>
      <c r="B248" s="30"/>
      <c r="C248" s="30"/>
      <c r="D248" s="30"/>
      <c r="E248" s="30"/>
      <c r="F248" s="30"/>
      <c r="G248" s="30"/>
      <c r="H248" s="168" t="str">
        <f>A!H368</f>
        <v>hjørnearm.(9) inde i U-bjl.</v>
      </c>
      <c r="I248" s="30" t="str">
        <f>A!$I$368</f>
        <v>K</v>
      </c>
      <c r="J248" s="327" t="e">
        <f>A!J368</f>
        <v>#N/A</v>
      </c>
      <c r="K248" s="30" t="str">
        <f>A!K368</f>
        <v>=&gt;</v>
      </c>
      <c r="L248" s="30" t="e">
        <f>A!L368</f>
        <v>#N/A</v>
      </c>
    </row>
    <row r="249" spans="1:13">
      <c r="A249" s="30"/>
      <c r="B249" s="30"/>
      <c r="C249" s="30"/>
      <c r="D249" s="30"/>
      <c r="E249" s="30"/>
      <c r="F249" s="30"/>
      <c r="G249" s="30"/>
      <c r="H249" s="30" t="str">
        <f>A!H369</f>
        <v>As (7)</v>
      </c>
      <c r="I249" s="30" t="s">
        <v>120</v>
      </c>
      <c r="J249" s="66" t="e">
        <f>A!J369</f>
        <v>#N/A</v>
      </c>
      <c r="K249" s="30" t="str">
        <f>A!K369</f>
        <v>mm2/m</v>
      </c>
      <c r="L249" s="30"/>
      <c r="M249" s="30"/>
    </row>
    <row r="250" spans="1:13">
      <c r="A250" s="30"/>
      <c r="B250" s="30"/>
      <c r="C250" s="30"/>
      <c r="D250" s="30"/>
      <c r="E250" s="30"/>
      <c r="F250" s="30"/>
      <c r="G250" s="30" t="str">
        <f>A!G370</f>
        <v>reduc. f cd</v>
      </c>
      <c r="H250" s="30"/>
      <c r="I250" s="30" t="s">
        <v>120</v>
      </c>
      <c r="J250" s="169" t="e">
        <f>A!J370</f>
        <v>#N/A</v>
      </c>
      <c r="K250" s="30" t="str">
        <f>A!K370</f>
        <v>N/mm2</v>
      </c>
      <c r="L250" s="30"/>
      <c r="M250" s="30"/>
    </row>
    <row r="251" spans="1:13">
      <c r="A251" s="30"/>
      <c r="B251" s="30"/>
      <c r="C251" s="30"/>
      <c r="D251" s="30"/>
      <c r="E251" s="30"/>
      <c r="F251" s="30"/>
      <c r="G251" s="30" t="str">
        <f>A!G371</f>
        <v>M Rd =</v>
      </c>
      <c r="H251" s="169" t="e">
        <f>A!H371</f>
        <v>#N/A</v>
      </c>
      <c r="I251" s="30"/>
      <c r="J251" s="30" t="str">
        <f>A!J371</f>
        <v>kNm</v>
      </c>
      <c r="K251" s="30" t="e">
        <f>A!K371</f>
        <v>#N/A</v>
      </c>
      <c r="L251" s="169" t="e">
        <f>A!L371</f>
        <v>#N/A</v>
      </c>
      <c r="M251" s="30" t="e">
        <f>A!M371</f>
        <v>#N/A</v>
      </c>
    </row>
    <row r="252" spans="1:13">
      <c r="A252" s="30"/>
      <c r="B252" s="30"/>
      <c r="C252" s="30"/>
      <c r="D252" s="30"/>
      <c r="E252" s="30"/>
      <c r="F252" s="30"/>
      <c r="G252" s="30" t="str">
        <f>A!G372</f>
        <v>V Rd,c =</v>
      </c>
      <c r="H252" s="169" t="e">
        <f>A!H372</f>
        <v>#N/A</v>
      </c>
      <c r="I252" s="30"/>
      <c r="J252" s="30" t="str">
        <f>A!J372</f>
        <v>kN</v>
      </c>
      <c r="K252" s="30" t="e">
        <f>A!K372</f>
        <v>#N/A</v>
      </c>
      <c r="L252" s="169" t="e">
        <f>A!L372</f>
        <v>#N/A</v>
      </c>
      <c r="M252" s="30" t="e">
        <f>A!M372</f>
        <v>#N/A</v>
      </c>
    </row>
    <row r="253" spans="1:13">
      <c r="A253" s="30"/>
      <c r="B253" s="30"/>
      <c r="C253" s="30"/>
      <c r="D253" s="30"/>
      <c r="E253" s="30"/>
      <c r="F253" s="30"/>
      <c r="G253" s="325">
        <f>A!G373</f>
        <v>2</v>
      </c>
      <c r="H253" s="30" t="str">
        <f>A!H373</f>
        <v>-snits bjl.</v>
      </c>
      <c r="I253" s="325" t="str">
        <f>A!$I$373</f>
        <v>K</v>
      </c>
      <c r="J253" s="323">
        <f>A!J373</f>
        <v>0</v>
      </c>
      <c r="K253" s="30" t="str">
        <f>A!K373</f>
        <v>type,diameter</v>
      </c>
      <c r="L253" s="30"/>
      <c r="M253" s="30"/>
    </row>
    <row r="254" spans="1:13">
      <c r="A254" s="30"/>
      <c r="B254" s="30"/>
      <c r="C254" s="30"/>
      <c r="D254" s="30"/>
      <c r="E254" s="30"/>
      <c r="F254" s="30"/>
      <c r="G254" s="30" t="str">
        <f>A!G374</f>
        <v xml:space="preserve">             centerafst.</v>
      </c>
      <c r="H254" s="30"/>
      <c r="I254" s="30"/>
      <c r="J254" s="323" t="e">
        <f>A!J374</f>
        <v>#N/A</v>
      </c>
      <c r="K254" s="30" t="e">
        <f>A!K374</f>
        <v>#N/A</v>
      </c>
      <c r="L254" s="30"/>
      <c r="M254" s="30"/>
    </row>
    <row r="255" spans="1:13">
      <c r="A255" s="30"/>
      <c r="B255" s="30"/>
      <c r="C255" s="30"/>
      <c r="D255" s="30"/>
      <c r="E255" s="30"/>
      <c r="F255" s="30"/>
      <c r="G255" s="30"/>
      <c r="H255" s="30" t="str">
        <f>A!H375</f>
        <v>f yk</v>
      </c>
      <c r="I255" s="30" t="s">
        <v>120</v>
      </c>
      <c r="J255" s="66">
        <f>A!J375</f>
        <v>500</v>
      </c>
      <c r="K255" s="30" t="str">
        <f>A!K375</f>
        <v>N/mm2</v>
      </c>
      <c r="L255" s="30"/>
      <c r="M255" s="30"/>
    </row>
    <row r="256" spans="1:13">
      <c r="A256" s="30"/>
      <c r="B256" s="30"/>
      <c r="C256" s="30"/>
      <c r="D256" s="30"/>
      <c r="E256" s="30"/>
      <c r="F256" s="30"/>
      <c r="G256" s="30"/>
      <c r="H256" s="30" t="str">
        <f>A!H376</f>
        <v>f ywd</v>
      </c>
      <c r="I256" s="30" t="s">
        <v>120</v>
      </c>
      <c r="J256" s="66">
        <f>A!J376</f>
        <v>416.66666666666669</v>
      </c>
      <c r="K256" s="30" t="str">
        <f>A!K376</f>
        <v>N/mm2</v>
      </c>
      <c r="L256" s="30"/>
      <c r="M256" s="30"/>
    </row>
    <row r="257" spans="1:13">
      <c r="A257" s="30"/>
      <c r="B257" s="30"/>
      <c r="C257" s="30"/>
      <c r="D257" s="30"/>
      <c r="E257" s="30"/>
      <c r="F257" s="30"/>
      <c r="G257" s="168" t="str">
        <f>A!G377</f>
        <v>V Rd,s =</v>
      </c>
      <c r="H257" s="169" t="e">
        <f>A!H377</f>
        <v>#N/A</v>
      </c>
      <c r="I257" s="30" t="e">
        <f>A!$I$377</f>
        <v>#N/A</v>
      </c>
      <c r="J257" s="169" t="e">
        <f>A!J377</f>
        <v>#N/A</v>
      </c>
      <c r="K257" s="30" t="str">
        <f>A!K377</f>
        <v>kN</v>
      </c>
      <c r="L257" s="30"/>
      <c r="M257" s="30" t="e">
        <f>A!$M$377</f>
        <v>#N/A</v>
      </c>
    </row>
    <row r="258" spans="1:13">
      <c r="A258" s="30"/>
      <c r="B258" s="30"/>
      <c r="C258" s="30"/>
      <c r="D258" s="30"/>
      <c r="E258" s="30"/>
      <c r="F258" s="30"/>
      <c r="G258" s="30"/>
      <c r="H258" s="30"/>
      <c r="I258" s="30"/>
      <c r="J258" s="30"/>
      <c r="K258" s="30"/>
      <c r="L258" s="30"/>
      <c r="M258" s="30"/>
    </row>
    <row r="259" spans="1:13">
      <c r="A259" s="30"/>
      <c r="B259" s="30" t="str">
        <f>A!$B$380</f>
        <v>FAST VEDERLAG</v>
      </c>
      <c r="C259" s="30"/>
      <c r="D259" s="30"/>
      <c r="E259" s="30"/>
      <c r="F259" s="30"/>
      <c r="G259" s="30"/>
      <c r="H259" s="30"/>
      <c r="I259" s="30"/>
      <c r="J259" s="30"/>
      <c r="K259" s="30"/>
      <c r="L259" s="30"/>
      <c r="M259" s="30"/>
    </row>
    <row r="260" spans="1:13" ht="15" customHeight="1">
      <c r="A260" s="30"/>
      <c r="B260" s="30"/>
      <c r="C260" s="30"/>
      <c r="D260" s="30"/>
      <c r="E260" s="30"/>
      <c r="F260" s="30"/>
      <c r="G260" s="30" t="str">
        <f>A!G381</f>
        <v>max. reaktion</v>
      </c>
      <c r="H260" s="30" t="e">
        <f>A!H381</f>
        <v>#N/A</v>
      </c>
      <c r="I260" s="30" t="s">
        <v>120</v>
      </c>
      <c r="J260" s="169" t="e">
        <f>A!J381</f>
        <v>#N/A</v>
      </c>
      <c r="K260" s="30" t="str">
        <f>A!K381</f>
        <v>kN jævnt fordelt på b</v>
      </c>
      <c r="L260" s="30"/>
      <c r="M260" s="30"/>
    </row>
    <row r="261" spans="1:13" ht="15" customHeight="1">
      <c r="A261" s="30"/>
      <c r="B261" s="30"/>
      <c r="C261" s="30"/>
      <c r="D261" s="30"/>
      <c r="E261" s="30"/>
      <c r="F261" s="30"/>
      <c r="G261" s="30" t="str">
        <f>A!G382</f>
        <v>effektiv højde</v>
      </c>
      <c r="H261" s="30" t="str">
        <f>A!H382</f>
        <v>d</v>
      </c>
      <c r="I261" s="30" t="s">
        <v>120</v>
      </c>
      <c r="J261" s="323" t="e">
        <f>A!J382</f>
        <v>#N/A</v>
      </c>
      <c r="K261" s="30" t="str">
        <f>A!K382</f>
        <v>mm</v>
      </c>
      <c r="L261" s="30"/>
      <c r="M261" s="30"/>
    </row>
    <row r="262" spans="1:13" ht="15" customHeight="1">
      <c r="A262" s="30"/>
      <c r="B262" s="30"/>
      <c r="C262" s="30"/>
      <c r="D262" s="30"/>
      <c r="E262" s="30"/>
      <c r="F262" s="30"/>
      <c r="G262" s="30" t="str">
        <f>A!G383</f>
        <v>vederlagsbredde</v>
      </c>
      <c r="H262" s="30" t="str">
        <f>A!H383</f>
        <v>b</v>
      </c>
      <c r="I262" s="30" t="s">
        <v>120</v>
      </c>
      <c r="J262" s="323" t="e">
        <f>A!J383</f>
        <v>#N/A</v>
      </c>
      <c r="K262" s="30" t="str">
        <f>A!K383</f>
        <v>mm</v>
      </c>
      <c r="L262" s="30"/>
      <c r="M262" s="30"/>
    </row>
    <row r="263" spans="1:13" ht="15" customHeight="1">
      <c r="G263" s="30" t="str">
        <f>A!G384</f>
        <v>betonstyrke</v>
      </c>
      <c r="H263" s="30" t="str">
        <f>A!H384</f>
        <v>f ck</v>
      </c>
      <c r="I263" s="30" t="s">
        <v>120</v>
      </c>
      <c r="J263" s="66">
        <f>A!J384</f>
        <v>30</v>
      </c>
      <c r="K263" s="30" t="str">
        <f>A!K384</f>
        <v>N/mm2</v>
      </c>
      <c r="L263" s="30"/>
      <c r="M263" s="30"/>
    </row>
    <row r="264" spans="1:13" ht="15" customHeight="1">
      <c r="H264" s="30" t="str">
        <f>A!H385</f>
        <v>f cd</v>
      </c>
      <c r="I264" s="30" t="s">
        <v>120</v>
      </c>
      <c r="J264" s="169">
        <f>A!J385</f>
        <v>21.428571428571431</v>
      </c>
      <c r="K264" s="30" t="str">
        <f>A!K385</f>
        <v>N/mm2</v>
      </c>
      <c r="L264" s="30"/>
    </row>
    <row r="265" spans="1:13" ht="15" customHeight="1">
      <c r="G265" s="30" t="str">
        <f>A!G386</f>
        <v>hovedarmering</v>
      </c>
      <c r="H265" s="323" t="e">
        <f>A!H386</f>
        <v>#N/A</v>
      </c>
      <c r="I265" s="66" t="str">
        <f>I26</f>
        <v>=</v>
      </c>
      <c r="J265" s="66" t="e">
        <f>A!J386</f>
        <v>#N/A</v>
      </c>
      <c r="K265" s="30" t="str">
        <f>A!K386</f>
        <v>stk,type,diameter</v>
      </c>
      <c r="L265" s="30"/>
    </row>
    <row r="266" spans="1:13" ht="15" customHeight="1">
      <c r="G266" s="30" t="e">
        <f>A!G387</f>
        <v>#N/A</v>
      </c>
      <c r="H266" s="30" t="e">
        <f>A!H387</f>
        <v>#N/A</v>
      </c>
      <c r="I266" s="30" t="str">
        <f>IF(J25=J26," ",+I25)</f>
        <v>=</v>
      </c>
      <c r="J266" s="30" t="e">
        <f>A!J387</f>
        <v>#N/A</v>
      </c>
      <c r="K266" s="30" t="e">
        <f>A!K387</f>
        <v>#N/A</v>
      </c>
      <c r="L266" s="30"/>
    </row>
    <row r="267" spans="1:13" ht="15" customHeight="1">
      <c r="H267" s="30" t="str">
        <f>A!H388</f>
        <v>f yk</v>
      </c>
      <c r="I267" s="30" t="s">
        <v>120</v>
      </c>
      <c r="J267" s="30">
        <f>A!J388</f>
        <v>500</v>
      </c>
      <c r="K267" s="30" t="str">
        <f>A!K388</f>
        <v>N/mm2</v>
      </c>
      <c r="L267" s="30"/>
    </row>
    <row r="268" spans="1:13" ht="15" customHeight="1">
      <c r="H268" s="30" t="str">
        <f>A!H389</f>
        <v>f yd</v>
      </c>
      <c r="I268" s="30" t="s">
        <v>120</v>
      </c>
      <c r="J268" s="66">
        <f>A!J389</f>
        <v>416.66666666666669</v>
      </c>
      <c r="K268" s="30" t="str">
        <f>A!K389</f>
        <v>N/mm2</v>
      </c>
      <c r="L268" s="30"/>
    </row>
    <row r="269" spans="1:13" ht="15" customHeight="1">
      <c r="H269" s="30" t="str">
        <f>A!H390</f>
        <v>As</v>
      </c>
      <c r="I269" s="30" t="s">
        <v>120</v>
      </c>
      <c r="J269" s="66" t="e">
        <f>A!J390</f>
        <v>#N/A</v>
      </c>
      <c r="K269" s="30" t="str">
        <f>A!K390</f>
        <v>mm2</v>
      </c>
      <c r="L269" s="30"/>
    </row>
    <row r="270" spans="1:13" ht="15" customHeight="1">
      <c r="A270" s="128" t="str">
        <f>A!A391</f>
        <v>dæklag på</v>
      </c>
      <c r="G270" s="30" t="str">
        <f>A!G391</f>
        <v>basisforankr.lgd</v>
      </c>
      <c r="H270" s="30" t="str">
        <f>A!H391</f>
        <v>l b,rqd</v>
      </c>
      <c r="I270" s="30"/>
      <c r="J270" s="66" t="e">
        <f>A!J391</f>
        <v>#N/A</v>
      </c>
      <c r="K270" s="30" t="str">
        <f>A!K391</f>
        <v>mm</v>
      </c>
      <c r="L270" s="30"/>
    </row>
    <row r="271" spans="1:13" ht="15" customHeight="1">
      <c r="A271" s="128" t="str">
        <f>A!A392</f>
        <v>hovedarm.</v>
      </c>
      <c r="G271" s="30" t="str">
        <f>A!G392</f>
        <v>U-bøjler</v>
      </c>
      <c r="H271" s="323" t="e">
        <f>A!H392</f>
        <v>#N/A</v>
      </c>
      <c r="I271" s="325" t="str">
        <f>A!$I$392</f>
        <v>K</v>
      </c>
      <c r="J271" s="323" t="e">
        <f>A!J392</f>
        <v>#N/A</v>
      </c>
      <c r="K271" s="30" t="str">
        <f>A!K392</f>
        <v>stk/m,type,diameter</v>
      </c>
      <c r="L271" s="30"/>
    </row>
    <row r="272" spans="1:13" ht="15" customHeight="1">
      <c r="A272" s="325" t="e">
        <f>A!A393</f>
        <v>#N/A</v>
      </c>
      <c r="B272" s="30" t="str">
        <f>A!$B$393</f>
        <v>mm</v>
      </c>
      <c r="G272" t="e">
        <f>A!G393</f>
        <v>#N/A</v>
      </c>
      <c r="H272" s="30"/>
      <c r="I272" s="30"/>
      <c r="J272" s="323" t="e">
        <f>A!J393</f>
        <v>#N/A</v>
      </c>
      <c r="K272" s="30" t="str">
        <f>A!K393</f>
        <v>mm bukkediameter</v>
      </c>
      <c r="L272" s="30"/>
    </row>
    <row r="273" spans="1:13" ht="15" customHeight="1">
      <c r="G273" s="30"/>
      <c r="H273" s="168" t="str">
        <f>A!H394</f>
        <v>hjørnearmering inde i U-bjl.buk.</v>
      </c>
      <c r="I273" s="325" t="str">
        <f>A!$I$394</f>
        <v>K</v>
      </c>
      <c r="J273" s="346">
        <f>A!J394</f>
        <v>8</v>
      </c>
      <c r="K273" s="30" t="str">
        <f>A!K394</f>
        <v>=&gt;</v>
      </c>
      <c r="L273" s="30" t="e">
        <f>A!L394</f>
        <v>#N/A</v>
      </c>
    </row>
    <row r="274" spans="1:13" ht="15" customHeight="1">
      <c r="G274" s="30" t="str">
        <f>A!G395</f>
        <v>vederlagsdybde</v>
      </c>
      <c r="H274" s="30"/>
      <c r="I274" s="30"/>
      <c r="J274" s="325" t="e">
        <f>A!J395</f>
        <v>#N/A</v>
      </c>
      <c r="K274" s="30" t="str">
        <f>A!K395</f>
        <v>mm</v>
      </c>
      <c r="L274" s="30"/>
    </row>
    <row r="275" spans="1:13" ht="15" customHeight="1">
      <c r="G275" s="30" t="str">
        <f>A!G396</f>
        <v>hovedarmering slutter</v>
      </c>
      <c r="H275" s="30"/>
      <c r="I275" s="30"/>
      <c r="J275" s="325" t="e">
        <f>A!J396</f>
        <v>#N/A</v>
      </c>
      <c r="K275" s="30" t="str">
        <f>A!K396</f>
        <v>mm fra CL.vederlag</v>
      </c>
      <c r="L275" s="30"/>
      <c r="M275" s="30"/>
    </row>
    <row r="276" spans="1:13" ht="15" customHeight="1">
      <c r="G276" s="30" t="e">
        <f>A!G397</f>
        <v>#N/A</v>
      </c>
      <c r="H276" s="30" t="e">
        <f>A!H397</f>
        <v>#N/A</v>
      </c>
      <c r="I276" s="30"/>
      <c r="J276" s="30" t="e">
        <f>A!J397</f>
        <v>#N/A</v>
      </c>
      <c r="K276" s="30" t="e">
        <f>A!K397</f>
        <v>#N/A</v>
      </c>
      <c r="L276" s="66" t="e">
        <f>A!L397</f>
        <v>#N/A</v>
      </c>
      <c r="M276" s="30" t="e">
        <f>A!M397</f>
        <v>#N/A</v>
      </c>
    </row>
    <row r="277" spans="1:13" ht="15" customHeight="1">
      <c r="G277" s="30"/>
      <c r="H277" s="30" t="str">
        <f>A!H398</f>
        <v>bæreevne</v>
      </c>
      <c r="I277" s="30"/>
      <c r="J277" s="30"/>
      <c r="K277" s="30"/>
      <c r="L277" s="30" t="str">
        <f>A!L398</f>
        <v xml:space="preserve"> snitkraft</v>
      </c>
      <c r="M277" s="30"/>
    </row>
    <row r="278" spans="1:13" ht="15" customHeight="1">
      <c r="G278" s="170" t="str">
        <f>A!G399</f>
        <v>forankring</v>
      </c>
      <c r="H278" s="169" t="e">
        <f>A!H399</f>
        <v>#N/A</v>
      </c>
      <c r="I278" s="30"/>
      <c r="J278" s="30" t="str">
        <f>A!J399</f>
        <v>kN</v>
      </c>
      <c r="K278" s="30" t="e">
        <f>A!K399</f>
        <v>#N/A</v>
      </c>
      <c r="L278" s="169" t="e">
        <f>A!L399</f>
        <v>#N/A</v>
      </c>
      <c r="M278" s="30" t="e">
        <f>A!M399</f>
        <v>#N/A</v>
      </c>
    </row>
    <row r="279" spans="1:13">
      <c r="G279" s="170" t="str">
        <f>A!G400</f>
        <v>forskydning V Rd,c</v>
      </c>
      <c r="H279" s="169" t="e">
        <f>A!H400</f>
        <v>#N/A</v>
      </c>
      <c r="I279" s="30"/>
      <c r="J279" s="30" t="str">
        <f>A!J400</f>
        <v>kN</v>
      </c>
      <c r="K279" s="30" t="e">
        <f>A!K400</f>
        <v>#N/A</v>
      </c>
      <c r="L279" s="169" t="e">
        <f>A!L400</f>
        <v>#N/A</v>
      </c>
      <c r="M279" s="30" t="e">
        <f>A!M400</f>
        <v>#N/A</v>
      </c>
    </row>
    <row r="280" spans="1:13">
      <c r="A280" s="30"/>
      <c r="B280" s="30"/>
      <c r="C280" s="30"/>
      <c r="D280" s="30"/>
      <c r="E280" s="30"/>
      <c r="F280" s="30"/>
      <c r="G280" s="30"/>
      <c r="H280" s="30"/>
      <c r="I280" s="30"/>
      <c r="J280" s="30"/>
      <c r="K280" s="30"/>
      <c r="L280" s="30"/>
      <c r="M280" s="30"/>
    </row>
    <row r="281" spans="1:13">
      <c r="A281" s="30"/>
      <c r="B281" s="30" t="str">
        <f>A!$B$410</f>
        <v>FAST VEDERLAG</v>
      </c>
      <c r="C281" s="30"/>
      <c r="D281" s="30"/>
      <c r="E281" s="30"/>
      <c r="F281" s="30"/>
      <c r="G281" s="30"/>
      <c r="H281" s="30"/>
      <c r="I281" s="30"/>
      <c r="J281" s="30"/>
      <c r="K281" s="30"/>
      <c r="L281" s="30"/>
      <c r="M281" s="30"/>
    </row>
    <row r="282" spans="1:13">
      <c r="A282" s="30"/>
      <c r="B282" s="30"/>
      <c r="C282" s="30"/>
      <c r="D282" s="30"/>
      <c r="E282" s="30"/>
      <c r="F282" s="30"/>
      <c r="G282" s="30" t="str">
        <f>A!G411</f>
        <v>max. reaktion</v>
      </c>
      <c r="H282" s="30" t="e">
        <f>A!H411</f>
        <v>#N/A</v>
      </c>
      <c r="I282" s="30" t="s">
        <v>120</v>
      </c>
      <c r="J282" s="169" t="e">
        <f>A!J411</f>
        <v>#N/A</v>
      </c>
      <c r="K282" s="30" t="str">
        <f>A!K411</f>
        <v>kN jævnt fordelt på b</v>
      </c>
      <c r="L282" s="30"/>
      <c r="M282" s="30"/>
    </row>
    <row r="283" spans="1:13">
      <c r="A283" s="30"/>
      <c r="B283" s="30"/>
      <c r="C283" s="30"/>
      <c r="D283" s="30"/>
      <c r="E283" s="30"/>
      <c r="F283" s="30"/>
      <c r="G283" s="30" t="str">
        <f>A!G412</f>
        <v>effektiv højde</v>
      </c>
      <c r="H283" s="30" t="str">
        <f>A!H412</f>
        <v>d</v>
      </c>
      <c r="I283" s="30" t="s">
        <v>120</v>
      </c>
      <c r="J283" s="66" t="e">
        <f>A!J412</f>
        <v>#N/A</v>
      </c>
      <c r="K283" s="30" t="str">
        <f>A!K412</f>
        <v>mm</v>
      </c>
      <c r="L283" s="30"/>
      <c r="M283" s="30"/>
    </row>
    <row r="284" spans="1:13">
      <c r="A284" s="30"/>
      <c r="B284" s="30"/>
      <c r="C284" s="30"/>
      <c r="D284" s="30"/>
      <c r="E284" s="30"/>
      <c r="F284" s="30"/>
      <c r="G284" s="30" t="str">
        <f>A!G413</f>
        <v>vederlagsbredde</v>
      </c>
      <c r="H284" s="30" t="str">
        <f>A!H413</f>
        <v>b</v>
      </c>
      <c r="I284" s="30" t="s">
        <v>120</v>
      </c>
      <c r="J284" s="66" t="e">
        <f>A!J413</f>
        <v>#N/A</v>
      </c>
      <c r="K284" s="30" t="str">
        <f>A!K413</f>
        <v>mm</v>
      </c>
      <c r="L284" s="30"/>
      <c r="M284" s="30"/>
    </row>
    <row r="285" spans="1:13">
      <c r="A285" s="30"/>
      <c r="B285" s="30"/>
      <c r="C285" s="30"/>
      <c r="D285" s="30"/>
      <c r="E285" s="30"/>
      <c r="F285" s="30"/>
      <c r="G285" s="30" t="str">
        <f>A!G414</f>
        <v>betonstyrke</v>
      </c>
      <c r="H285" s="30" t="str">
        <f>A!H414</f>
        <v>f ck</v>
      </c>
      <c r="I285" s="30" t="s">
        <v>120</v>
      </c>
      <c r="J285" s="66">
        <f>A!J414</f>
        <v>30</v>
      </c>
      <c r="K285" s="30" t="str">
        <f>A!K414</f>
        <v>N/mm2</v>
      </c>
      <c r="L285" s="30"/>
      <c r="M285" s="30"/>
    </row>
    <row r="286" spans="1:13">
      <c r="A286" s="30"/>
      <c r="B286" s="30"/>
      <c r="C286" s="30"/>
      <c r="D286" s="30"/>
      <c r="E286" s="30"/>
      <c r="F286" s="30"/>
      <c r="G286" s="30"/>
      <c r="H286" s="30" t="str">
        <f>A!H415</f>
        <v>f cd</v>
      </c>
      <c r="I286" s="30" t="s">
        <v>120</v>
      </c>
      <c r="J286" s="169">
        <f>A!J415</f>
        <v>21.428571428571431</v>
      </c>
      <c r="K286" s="30" t="str">
        <f>A!K415</f>
        <v>N/mm2</v>
      </c>
      <c r="L286" s="30"/>
      <c r="M286" s="30"/>
    </row>
    <row r="287" spans="1:13">
      <c r="A287" s="30"/>
      <c r="B287" s="30"/>
      <c r="C287" s="30"/>
      <c r="D287" s="30"/>
      <c r="E287" s="30"/>
      <c r="F287" s="30"/>
      <c r="G287" s="30" t="str">
        <f>A!G416</f>
        <v>hovedarmering</v>
      </c>
      <c r="H287" s="30"/>
      <c r="I287" s="30"/>
      <c r="J287" s="30"/>
      <c r="K287" s="30"/>
      <c r="L287" s="30"/>
      <c r="M287" s="30"/>
    </row>
    <row r="288" spans="1:13">
      <c r="A288" s="30"/>
      <c r="B288" s="30"/>
      <c r="C288" s="30"/>
      <c r="D288" s="30"/>
      <c r="E288" s="30"/>
      <c r="F288" s="30"/>
      <c r="G288" s="30"/>
      <c r="H288" s="66" t="e">
        <f>A!H417</f>
        <v>#N/A</v>
      </c>
      <c r="I288" s="30" t="str">
        <f>A!I417</f>
        <v>K</v>
      </c>
      <c r="J288" s="66" t="e">
        <f>A!J417</f>
        <v>#N/A</v>
      </c>
      <c r="K288" s="30" t="str">
        <f>A!K417</f>
        <v>stk,type,diameter</v>
      </c>
      <c r="L288" s="30"/>
      <c r="M288" s="30"/>
    </row>
    <row r="289" spans="1:13">
      <c r="A289" s="30"/>
      <c r="B289" s="30"/>
      <c r="C289" s="30"/>
      <c r="D289" s="30"/>
      <c r="E289" s="30"/>
      <c r="F289" s="30"/>
      <c r="G289" s="30"/>
      <c r="H289" s="30" t="str">
        <f>A!H418</f>
        <v>f yk</v>
      </c>
      <c r="I289" s="30" t="s">
        <v>120</v>
      </c>
      <c r="J289" s="66">
        <f>A!J418</f>
        <v>500</v>
      </c>
      <c r="K289" s="30" t="str">
        <f>A!K418</f>
        <v>N/mm2</v>
      </c>
      <c r="L289" s="30"/>
      <c r="M289" s="30"/>
    </row>
    <row r="290" spans="1:13">
      <c r="A290" s="30"/>
      <c r="B290" s="30"/>
      <c r="C290" s="30"/>
      <c r="D290" s="30"/>
      <c r="E290" s="30"/>
      <c r="F290" s="30"/>
      <c r="G290" s="30"/>
      <c r="H290" s="30" t="str">
        <f>A!H419</f>
        <v>f yd</v>
      </c>
      <c r="I290" s="30" t="s">
        <v>120</v>
      </c>
      <c r="J290" s="66">
        <f>A!J419</f>
        <v>416.66666666666669</v>
      </c>
      <c r="K290" s="30" t="str">
        <f>A!K419</f>
        <v>N/mm2</v>
      </c>
      <c r="L290" s="30"/>
      <c r="M290" s="30"/>
    </row>
    <row r="291" spans="1:13">
      <c r="A291" s="30"/>
      <c r="B291" s="30"/>
      <c r="C291" s="30"/>
      <c r="D291" s="30"/>
      <c r="E291" s="30"/>
      <c r="F291" s="30"/>
      <c r="G291" s="30"/>
      <c r="H291" s="30" t="str">
        <f>A!H420</f>
        <v>As</v>
      </c>
      <c r="I291" s="30" t="s">
        <v>120</v>
      </c>
      <c r="J291" s="66" t="e">
        <f>A!J420</f>
        <v>#N/A</v>
      </c>
      <c r="K291" s="30" t="str">
        <f>A!K420</f>
        <v>mm2</v>
      </c>
      <c r="L291" s="30"/>
      <c r="M291" s="30"/>
    </row>
    <row r="292" spans="1:13">
      <c r="A292" s="128" t="str">
        <f>A!A421</f>
        <v>dæklag på</v>
      </c>
      <c r="B292" s="30"/>
      <c r="C292" s="30"/>
      <c r="D292" s="30"/>
      <c r="E292" s="30"/>
      <c r="F292" s="30"/>
      <c r="G292" s="30" t="str">
        <f>A!G421</f>
        <v>basisforankr.lgd</v>
      </c>
      <c r="H292" s="30" t="str">
        <f>A!H421</f>
        <v>l b,rqd</v>
      </c>
      <c r="I292" s="30"/>
      <c r="J292" s="66" t="e">
        <f>A!J421</f>
        <v>#N/A</v>
      </c>
      <c r="K292" s="30" t="str">
        <f>A!K421</f>
        <v>mm</v>
      </c>
      <c r="L292" s="30"/>
      <c r="M292" s="30"/>
    </row>
    <row r="293" spans="1:13">
      <c r="A293" s="128" t="str">
        <f>A!A422</f>
        <v>hovedarm.</v>
      </c>
      <c r="B293" s="30"/>
      <c r="C293" s="30"/>
      <c r="D293" s="30"/>
      <c r="E293" s="30"/>
      <c r="F293" s="30"/>
      <c r="G293" s="30"/>
      <c r="H293" s="30"/>
      <c r="I293" s="30"/>
      <c r="J293" s="30"/>
      <c r="K293" s="30"/>
      <c r="L293" s="30"/>
      <c r="M293" s="30"/>
    </row>
    <row r="294" spans="1:13">
      <c r="A294" s="325" t="e">
        <f>A!A423</f>
        <v>#N/A</v>
      </c>
      <c r="B294" s="30" t="str">
        <f>A!$B$423</f>
        <v>mm</v>
      </c>
      <c r="C294" s="30"/>
      <c r="D294" s="30"/>
      <c r="E294" s="30"/>
      <c r="F294" s="30"/>
      <c r="G294" s="30" t="str">
        <f>A!G423</f>
        <v>vederlagsdybde</v>
      </c>
      <c r="H294" s="30"/>
      <c r="I294" s="30"/>
      <c r="J294" s="66" t="e">
        <f>A!J423</f>
        <v>#N/A</v>
      </c>
      <c r="K294" s="30" t="str">
        <f>A!K423</f>
        <v>mm</v>
      </c>
      <c r="L294" s="30"/>
      <c r="M294" s="30"/>
    </row>
    <row r="295" spans="1:13">
      <c r="A295" s="30"/>
      <c r="B295" s="30"/>
      <c r="C295" s="30"/>
      <c r="D295" s="30"/>
      <c r="E295" s="30"/>
      <c r="F295" s="30"/>
      <c r="G295" s="30" t="str">
        <f>A!G424</f>
        <v>hovedarmering slutter</v>
      </c>
      <c r="H295" s="30"/>
      <c r="I295" s="30"/>
      <c r="J295" s="66" t="e">
        <f>A!J424</f>
        <v>#N/A</v>
      </c>
      <c r="K295" s="30" t="str">
        <f>A!K424</f>
        <v>mm fra CL.vederlag</v>
      </c>
      <c r="L295" s="30"/>
      <c r="M295" s="30"/>
    </row>
    <row r="296" spans="1:13">
      <c r="A296" s="30"/>
      <c r="B296" s="30"/>
      <c r="C296" s="30" t="s">
        <v>992</v>
      </c>
      <c r="D296" s="30"/>
      <c r="E296" s="30"/>
      <c r="F296" s="30"/>
      <c r="G296" s="30" t="e">
        <f>A!G425</f>
        <v>#N/A</v>
      </c>
      <c r="H296" s="66" t="e">
        <f>A!H425</f>
        <v>#N/A</v>
      </c>
      <c r="I296" s="30"/>
      <c r="J296" s="30" t="e">
        <f>A!J425</f>
        <v>#N/A</v>
      </c>
      <c r="K296" s="30" t="e">
        <f>A!K425</f>
        <v>#N/A</v>
      </c>
      <c r="L296" s="66" t="e">
        <f>A!L425</f>
        <v>#N/A</v>
      </c>
      <c r="M296" s="30"/>
    </row>
    <row r="297" spans="1:13">
      <c r="A297" s="30"/>
      <c r="B297" s="30"/>
      <c r="C297" s="30"/>
      <c r="D297" s="30"/>
      <c r="E297" s="30"/>
      <c r="F297" s="30"/>
      <c r="G297" s="30"/>
      <c r="H297" s="30" t="str">
        <f>A!H426</f>
        <v>bæreevne</v>
      </c>
      <c r="I297" s="30"/>
      <c r="J297" s="30"/>
      <c r="K297" s="30"/>
      <c r="L297" s="30" t="str">
        <f>A!L426</f>
        <v xml:space="preserve"> snitkraft</v>
      </c>
      <c r="M297" s="30"/>
    </row>
    <row r="298" spans="1:13">
      <c r="A298" s="30"/>
      <c r="B298" s="30"/>
      <c r="C298" s="30"/>
      <c r="D298" s="30"/>
      <c r="E298" s="30"/>
      <c r="F298" s="30"/>
      <c r="G298" s="30" t="str">
        <f>A!G427</f>
        <v>forankring</v>
      </c>
      <c r="H298" s="169" t="e">
        <f>A!H427</f>
        <v>#N/A</v>
      </c>
      <c r="I298" s="30"/>
      <c r="J298" s="30" t="str">
        <f>A!J427</f>
        <v>kN</v>
      </c>
      <c r="K298" s="30" t="e">
        <f>A!K427</f>
        <v>#N/A</v>
      </c>
      <c r="L298" s="169" t="e">
        <f>A!L427</f>
        <v>#N/A</v>
      </c>
      <c r="M298" s="30"/>
    </row>
    <row r="299" spans="1:13">
      <c r="A299" s="30"/>
      <c r="B299" s="30"/>
      <c r="C299" s="30"/>
      <c r="D299" s="30"/>
      <c r="E299" s="30"/>
      <c r="F299" s="30"/>
      <c r="G299" s="30" t="str">
        <f>A!G428</f>
        <v>forskydning V Rd,c</v>
      </c>
      <c r="H299" s="169" t="e">
        <f>A!H428</f>
        <v>#N/A</v>
      </c>
      <c r="I299" s="30"/>
      <c r="J299" s="30" t="str">
        <f>A!J428</f>
        <v>kN</v>
      </c>
      <c r="K299" s="30" t="e">
        <f>A!K428</f>
        <v>#N/A</v>
      </c>
      <c r="L299" s="169" t="e">
        <f>A!L428</f>
        <v>#N/A</v>
      </c>
      <c r="M299" s="30"/>
    </row>
    <row r="300" spans="1:13" ht="15.75">
      <c r="A300" s="30"/>
      <c r="B300" s="30"/>
      <c r="C300" s="155"/>
      <c r="D300" s="30"/>
      <c r="E300" s="30"/>
      <c r="F300" s="30"/>
      <c r="G300" s="30"/>
      <c r="H300" s="30"/>
      <c r="I300" s="30"/>
      <c r="J300" s="30"/>
      <c r="K300" s="30"/>
      <c r="L300" s="30"/>
      <c r="M300" s="30"/>
    </row>
    <row r="301" spans="1:13">
      <c r="A301" s="30"/>
      <c r="B301" s="30" t="str">
        <f>A!$B$234</f>
        <v>ENDEUNDERSTØTNING</v>
      </c>
      <c r="C301" s="30"/>
      <c r="D301" s="30"/>
      <c r="E301" s="30"/>
      <c r="F301" s="30"/>
      <c r="G301" s="30"/>
      <c r="H301" s="30"/>
      <c r="I301" s="30"/>
      <c r="J301" s="30"/>
      <c r="K301" s="30"/>
      <c r="L301" s="30"/>
      <c r="M301" s="30"/>
    </row>
    <row r="302" spans="1:13">
      <c r="A302" s="30"/>
      <c r="B302" s="30"/>
      <c r="C302" s="30"/>
      <c r="D302" s="30"/>
      <c r="E302" s="170" t="str">
        <f>A!$E$235</f>
        <v xml:space="preserve"> 1</v>
      </c>
      <c r="F302" s="30"/>
      <c r="G302" s="30" t="str">
        <f>A!G235</f>
        <v>effektiv højde</v>
      </c>
      <c r="H302" s="30" t="str">
        <f>A!H235</f>
        <v>d1</v>
      </c>
      <c r="I302" s="30" t="s">
        <v>120</v>
      </c>
      <c r="J302" s="66">
        <f>A!J235</f>
        <v>77</v>
      </c>
      <c r="K302" s="30" t="str">
        <f>A!K235</f>
        <v>mm</v>
      </c>
      <c r="L302" s="30"/>
      <c r="M302" s="30"/>
    </row>
    <row r="303" spans="1:13">
      <c r="A303" s="30"/>
      <c r="B303" s="30"/>
      <c r="C303" s="30"/>
      <c r="D303" s="30"/>
      <c r="E303" s="30"/>
      <c r="F303" s="30"/>
      <c r="G303" s="30" t="str">
        <f>A!G236</f>
        <v>knastbredde</v>
      </c>
      <c r="H303" s="30" t="str">
        <f>A!H236</f>
        <v>kb</v>
      </c>
      <c r="I303" s="30" t="s">
        <v>120</v>
      </c>
      <c r="J303" s="66" t="e">
        <f>A!J236</f>
        <v>#N/A</v>
      </c>
      <c r="K303" s="30" t="str">
        <f>A!K236</f>
        <v>mm</v>
      </c>
      <c r="L303" s="30"/>
      <c r="M303" s="30"/>
    </row>
    <row r="304" spans="1:13">
      <c r="A304" s="30"/>
      <c r="B304" s="30"/>
      <c r="C304" s="30"/>
      <c r="D304" s="30"/>
      <c r="E304" s="30"/>
      <c r="F304" s="128" t="str">
        <f>A!$F$237</f>
        <v xml:space="preserve">   d1</v>
      </c>
      <c r="G304" s="30" t="str">
        <f>A!G237</f>
        <v>reaktion</v>
      </c>
      <c r="H304" s="30" t="str">
        <f>A!H237</f>
        <v>R</v>
      </c>
      <c r="I304" s="30" t="s">
        <v>120</v>
      </c>
      <c r="J304" s="169" t="e">
        <f>A!J237</f>
        <v>#N/A</v>
      </c>
      <c r="K304" s="30" t="str">
        <f>A!K237</f>
        <v>kN</v>
      </c>
      <c r="L304" s="30"/>
      <c r="M304" s="30"/>
    </row>
    <row r="305" spans="1:13">
      <c r="A305" s="30"/>
      <c r="B305" s="30"/>
      <c r="C305" s="30"/>
      <c r="D305" s="30"/>
      <c r="E305" s="30"/>
      <c r="F305" s="30"/>
      <c r="G305" s="30" t="str">
        <f>A!G238</f>
        <v>momentarm</v>
      </c>
      <c r="H305" s="30" t="str">
        <f>A!H238</f>
        <v>a</v>
      </c>
      <c r="I305" s="30" t="s">
        <v>120</v>
      </c>
      <c r="J305" s="66">
        <f>A!J238</f>
        <v>103</v>
      </c>
      <c r="K305" s="30" t="str">
        <f>A!K238</f>
        <v>mm</v>
      </c>
      <c r="L305" s="30"/>
      <c r="M305" s="30"/>
    </row>
    <row r="306" spans="1:13">
      <c r="A306" s="30"/>
      <c r="B306" s="30"/>
      <c r="C306" s="170">
        <f>A!$C$239</f>
        <v>2</v>
      </c>
      <c r="D306" s="30"/>
      <c r="E306" s="30"/>
      <c r="F306" s="128">
        <f>A!F239</f>
        <v>2</v>
      </c>
      <c r="G306" s="30" t="str">
        <f>A!G239</f>
        <v>effektiv højde</v>
      </c>
      <c r="H306" s="30" t="str">
        <f>A!H239</f>
        <v>d2</v>
      </c>
      <c r="I306" s="30" t="s">
        <v>120</v>
      </c>
      <c r="J306" s="66" t="e">
        <f>A!J239</f>
        <v>#N/A</v>
      </c>
      <c r="K306" s="30" t="str">
        <f>A!K239</f>
        <v>mm</v>
      </c>
      <c r="L306" s="30"/>
      <c r="M306" s="30"/>
    </row>
    <row r="307" spans="1:13">
      <c r="A307" s="30"/>
      <c r="B307" s="30"/>
      <c r="C307" s="30"/>
      <c r="D307" s="30"/>
      <c r="E307" s="170" t="str">
        <f>A!$E$240</f>
        <v xml:space="preserve"> 1</v>
      </c>
      <c r="F307" s="30" t="str">
        <f>A!F240</f>
        <v xml:space="preserve"> R</v>
      </c>
      <c r="G307" s="30" t="str">
        <f>A!G240</f>
        <v>indre mom.arm</v>
      </c>
      <c r="H307" s="30" t="str">
        <f>A!H240</f>
        <v>z2</v>
      </c>
      <c r="I307" s="30" t="s">
        <v>120</v>
      </c>
      <c r="J307" s="66" t="e">
        <f>A!J240</f>
        <v>#N/A</v>
      </c>
      <c r="K307" s="30" t="str">
        <f>A!K240</f>
        <v>mm</v>
      </c>
      <c r="L307" s="30"/>
      <c r="M307" s="30"/>
    </row>
    <row r="308" spans="1:13">
      <c r="A308" s="30"/>
      <c r="B308" s="30"/>
      <c r="C308" s="30"/>
      <c r="D308" s="30"/>
      <c r="E308" s="30"/>
      <c r="F308" s="133">
        <f>A!F241</f>
        <v>120</v>
      </c>
      <c r="G308" s="30" t="str">
        <f>A!G241</f>
        <v>armering</v>
      </c>
      <c r="H308" s="325" t="e">
        <f>A!H241</f>
        <v>#N/A</v>
      </c>
      <c r="I308" s="325" t="str">
        <f>A!$I$241</f>
        <v>K</v>
      </c>
      <c r="J308" s="325">
        <f>A!J241</f>
        <v>6</v>
      </c>
      <c r="K308" s="30" t="str">
        <f>A!K241</f>
        <v>stk,type,diameter</v>
      </c>
      <c r="L308" s="30"/>
      <c r="M308" s="30"/>
    </row>
    <row r="309" spans="1:13">
      <c r="A309" s="30"/>
      <c r="B309" s="30"/>
      <c r="C309" s="30"/>
      <c r="D309" s="168" t="str">
        <f>A!D242</f>
        <v xml:space="preserve">z2   </v>
      </c>
      <c r="E309" s="128" t="str">
        <f>A!E242</f>
        <v>a</v>
      </c>
      <c r="F309" s="30"/>
      <c r="G309" s="30"/>
      <c r="H309" s="30" t="str">
        <f>A!H242</f>
        <v>f yk</v>
      </c>
      <c r="I309" s="30" t="s">
        <v>120</v>
      </c>
      <c r="J309" s="30">
        <f>A!J242</f>
        <v>500</v>
      </c>
      <c r="K309" s="30" t="str">
        <f>A!K242</f>
        <v>N/mm2</v>
      </c>
      <c r="L309" s="30"/>
      <c r="M309" s="30"/>
    </row>
    <row r="310" spans="1:13">
      <c r="A310" s="30"/>
      <c r="B310" s="30"/>
      <c r="C310" s="30"/>
      <c r="D310" s="168" t="str">
        <f>A!D243</f>
        <v xml:space="preserve">d2  </v>
      </c>
      <c r="E310" s="30"/>
      <c r="F310" s="30"/>
      <c r="G310" s="30"/>
      <c r="H310" s="30" t="str">
        <f>A!H243</f>
        <v>f yd</v>
      </c>
      <c r="I310" s="30" t="s">
        <v>120</v>
      </c>
      <c r="J310" s="66">
        <f>A!J243</f>
        <v>416.66666666666669</v>
      </c>
      <c r="K310" s="30" t="str">
        <f>A!K243</f>
        <v>N/mm2</v>
      </c>
      <c r="L310" s="30"/>
      <c r="M310" s="30"/>
    </row>
    <row r="311" spans="1:13">
      <c r="A311" s="30"/>
      <c r="B311" s="30"/>
      <c r="C311" s="30"/>
      <c r="D311" s="30"/>
      <c r="E311" s="30"/>
      <c r="F311" s="30"/>
      <c r="G311" s="30"/>
      <c r="H311" s="30" t="str">
        <f>A!H244</f>
        <v>A s</v>
      </c>
      <c r="I311" s="30" t="s">
        <v>120</v>
      </c>
      <c r="J311" s="66" t="e">
        <f>A!J244</f>
        <v>#N/A</v>
      </c>
      <c r="K311" s="30" t="str">
        <f>A!K244</f>
        <v>mm2</v>
      </c>
      <c r="L311" s="30"/>
      <c r="M311" s="30"/>
    </row>
    <row r="312" spans="1:13">
      <c r="A312" s="30"/>
      <c r="B312" s="30"/>
      <c r="C312" s="30"/>
      <c r="D312" s="30"/>
      <c r="E312" s="30"/>
      <c r="F312" s="336">
        <f>A!$F$245</f>
        <v>65</v>
      </c>
      <c r="G312" s="30" t="str">
        <f>A!G245</f>
        <v>snit 1-1:</v>
      </c>
      <c r="H312" s="30"/>
      <c r="I312" s="30"/>
      <c r="J312" s="30"/>
      <c r="K312" s="30"/>
      <c r="L312" s="30"/>
      <c r="M312" s="30"/>
    </row>
    <row r="313" spans="1:13">
      <c r="A313" s="30"/>
      <c r="B313" s="30"/>
      <c r="C313" s="30"/>
      <c r="D313" s="30"/>
      <c r="E313" s="30"/>
      <c r="F313" s="30"/>
      <c r="G313" s="30" t="str">
        <f>A!G246</f>
        <v>reduc. f cd</v>
      </c>
      <c r="H313" s="30"/>
      <c r="I313" s="30" t="s">
        <v>120</v>
      </c>
      <c r="J313" s="169">
        <f>A!J246</f>
        <v>18.390584002818574</v>
      </c>
      <c r="K313" s="30" t="str">
        <f>A!K246</f>
        <v>N/mm2</v>
      </c>
      <c r="L313" s="30"/>
      <c r="M313" s="30"/>
    </row>
    <row r="314" spans="1:13">
      <c r="A314" s="30"/>
      <c r="B314" s="30"/>
      <c r="C314" s="30"/>
      <c r="D314" s="30"/>
      <c r="E314" s="30"/>
      <c r="F314" s="343" t="e">
        <f>A!$F$247</f>
        <v>#N/A</v>
      </c>
      <c r="G314" s="30" t="str">
        <f>A!G247</f>
        <v>M Rd =</v>
      </c>
      <c r="H314" s="169" t="e">
        <f>A!H247</f>
        <v>#N/A</v>
      </c>
      <c r="I314" s="30"/>
      <c r="J314" s="30" t="str">
        <f>A!J247</f>
        <v>kNm</v>
      </c>
      <c r="K314" s="30" t="e">
        <f>A!K247</f>
        <v>#N/A</v>
      </c>
      <c r="L314" s="169" t="e">
        <f>A!L247</f>
        <v>#N/A</v>
      </c>
      <c r="M314" s="30" t="e">
        <f>A!M247</f>
        <v>#N/A</v>
      </c>
    </row>
    <row r="315" spans="1:13" ht="15" customHeight="1">
      <c r="A315" s="30"/>
      <c r="B315" s="30"/>
      <c r="C315" s="30"/>
      <c r="D315" s="30"/>
      <c r="E315" s="30"/>
      <c r="F315" s="30"/>
      <c r="G315" s="30" t="str">
        <f>A!G248</f>
        <v>V Rd,c =</v>
      </c>
      <c r="H315" s="169" t="e">
        <f>A!H248</f>
        <v>#N/A</v>
      </c>
      <c r="I315" s="30"/>
      <c r="J315" s="30" t="str">
        <f>A!J248</f>
        <v>kN</v>
      </c>
      <c r="K315" s="30" t="e">
        <f>A!K248</f>
        <v>#N/A</v>
      </c>
      <c r="L315" s="169" t="e">
        <f>A!L248</f>
        <v>#N/A</v>
      </c>
      <c r="M315" s="30" t="e">
        <f>A!M248</f>
        <v>#N/A</v>
      </c>
    </row>
    <row r="316" spans="1:13">
      <c r="A316" s="30"/>
      <c r="B316" s="30"/>
      <c r="C316" s="30"/>
      <c r="D316" s="30" t="str">
        <f>A!$D$249</f>
        <v>bøjlemål (udv.)</v>
      </c>
      <c r="E316" s="30"/>
      <c r="F316" s="30"/>
      <c r="G316" s="30" t="str">
        <f>A!G249</f>
        <v>snit 2-2:</v>
      </c>
      <c r="H316" s="30"/>
      <c r="I316" s="30"/>
      <c r="J316" s="30"/>
      <c r="K316" s="30"/>
      <c r="L316" s="30"/>
      <c r="M316" s="30"/>
    </row>
    <row r="317" spans="1:13" ht="15" customHeight="1">
      <c r="A317" s="30"/>
      <c r="B317" s="30"/>
      <c r="C317" s="30"/>
      <c r="D317" s="30"/>
      <c r="E317" s="30"/>
      <c r="F317" s="30"/>
      <c r="G317" s="30" t="str">
        <f>A!G250</f>
        <v>sigma s</v>
      </c>
      <c r="H317" s="66" t="e">
        <f>A!H250</f>
        <v>#N/A</v>
      </c>
      <c r="I317" s="30"/>
      <c r="J317" s="30" t="str">
        <f>A!J250</f>
        <v>N/mm2</v>
      </c>
      <c r="K317" s="30" t="e">
        <f>A!K250</f>
        <v>#N/A</v>
      </c>
      <c r="L317" s="66">
        <f>A!L250</f>
        <v>416.66666666666669</v>
      </c>
      <c r="M317" s="30" t="e">
        <f>A!M250</f>
        <v>#N/A</v>
      </c>
    </row>
    <row r="318" spans="1:13" ht="15" customHeight="1">
      <c r="A318" s="30"/>
      <c r="B318" s="30"/>
      <c r="C318" s="30"/>
      <c r="D318" s="30"/>
      <c r="E318" s="30"/>
      <c r="F318" s="30"/>
      <c r="G318" s="30"/>
      <c r="H318" s="30"/>
      <c r="I318" s="30"/>
      <c r="J318" s="30"/>
      <c r="K318" s="30"/>
      <c r="L318" s="30"/>
      <c r="M318" s="30"/>
    </row>
    <row r="319" spans="1:13">
      <c r="A319" s="30"/>
      <c r="B319" s="30" t="str">
        <f>A!$B$253</f>
        <v>ENDEUNDERSTØTNING</v>
      </c>
      <c r="C319" s="30"/>
      <c r="D319" s="30"/>
      <c r="E319" s="30"/>
      <c r="F319" s="30"/>
      <c r="G319" s="30"/>
      <c r="H319" s="30"/>
      <c r="I319" s="30"/>
      <c r="J319" s="30"/>
      <c r="K319" s="30"/>
      <c r="L319" s="30"/>
      <c r="M319" s="30"/>
    </row>
    <row r="320" spans="1:13" ht="15" customHeight="1">
      <c r="A320" s="30"/>
      <c r="B320" s="30"/>
      <c r="C320" s="30"/>
      <c r="D320" s="30"/>
      <c r="E320" s="30"/>
      <c r="F320" s="30"/>
      <c r="G320" s="30" t="str">
        <f>A!G254</f>
        <v>effektiv højde</v>
      </c>
      <c r="H320" s="30" t="str">
        <f>A!H254</f>
        <v>d1</v>
      </c>
      <c r="I320" s="30" t="s">
        <v>120</v>
      </c>
      <c r="J320" s="30">
        <f>A!J254</f>
        <v>77</v>
      </c>
      <c r="K320" s="30" t="str">
        <f>A!K254</f>
        <v>mm</v>
      </c>
      <c r="L320" s="30"/>
      <c r="M320" s="30"/>
    </row>
    <row r="321" spans="1:13">
      <c r="A321" s="30"/>
      <c r="B321" s="30"/>
      <c r="C321" s="30"/>
      <c r="D321" s="30"/>
      <c r="E321" s="170" t="str">
        <f>A!$E$255</f>
        <v xml:space="preserve"> 1</v>
      </c>
      <c r="F321" s="30"/>
      <c r="G321" s="30" t="str">
        <f>A!G255</f>
        <v>knastbredde</v>
      </c>
      <c r="H321" s="30" t="str">
        <f>A!H255</f>
        <v>kb</v>
      </c>
      <c r="I321" s="30" t="s">
        <v>120</v>
      </c>
      <c r="J321" s="30" t="e">
        <f>A!J255</f>
        <v>#N/A</v>
      </c>
      <c r="K321" s="30" t="str">
        <f>A!K255</f>
        <v>mm</v>
      </c>
      <c r="L321" s="30"/>
      <c r="M321" s="30"/>
    </row>
    <row r="322" spans="1:13">
      <c r="A322" s="30"/>
      <c r="B322" s="30"/>
      <c r="C322" s="30"/>
      <c r="D322" s="30"/>
      <c r="E322" s="30"/>
      <c r="F322" s="30" t="str">
        <f>A!$F$256</f>
        <v>(1)</v>
      </c>
      <c r="G322" s="30" t="str">
        <f>A!G256</f>
        <v>reaktion</v>
      </c>
      <c r="H322" s="30" t="str">
        <f>A!H256</f>
        <v>R</v>
      </c>
      <c r="I322" s="30" t="s">
        <v>120</v>
      </c>
      <c r="J322" s="169" t="e">
        <f>A!J256</f>
        <v>#N/A</v>
      </c>
      <c r="K322" s="30" t="str">
        <f>A!K256</f>
        <v>kN</v>
      </c>
      <c r="L322" s="30"/>
      <c r="M322" s="30"/>
    </row>
    <row r="323" spans="1:13">
      <c r="A323" s="30"/>
      <c r="B323" s="30"/>
      <c r="C323" s="30"/>
      <c r="D323" s="30"/>
      <c r="E323" s="30"/>
      <c r="F323" s="30"/>
      <c r="G323" s="30" t="str">
        <f>A!G257</f>
        <v>momentarm</v>
      </c>
      <c r="H323" s="30" t="str">
        <f>A!H257</f>
        <v>a</v>
      </c>
      <c r="I323" s="30" t="s">
        <v>120</v>
      </c>
      <c r="J323" s="30">
        <f>A!J257</f>
        <v>103</v>
      </c>
      <c r="K323" s="30" t="str">
        <f>A!K257</f>
        <v>mm</v>
      </c>
      <c r="L323" s="30"/>
      <c r="M323" s="30"/>
    </row>
    <row r="324" spans="1:13">
      <c r="A324" s="30"/>
      <c r="B324" s="30"/>
      <c r="C324" s="30"/>
      <c r="D324" s="30"/>
      <c r="E324" s="30"/>
      <c r="F324" s="128" t="str">
        <f>A!$F$258</f>
        <v xml:space="preserve">   d1</v>
      </c>
      <c r="G324" s="30" t="str">
        <f>A!G258</f>
        <v>armering</v>
      </c>
      <c r="H324" s="325" t="e">
        <f>A!H258</f>
        <v>#N/A</v>
      </c>
      <c r="I324" s="325" t="str">
        <f>A!$I$258</f>
        <v>K</v>
      </c>
      <c r="J324" s="325">
        <f>A!J258</f>
        <v>6</v>
      </c>
      <c r="K324" s="30" t="str">
        <f>A!K258</f>
        <v>stk,type,diameter</v>
      </c>
      <c r="L324" s="30"/>
      <c r="M324" s="30"/>
    </row>
    <row r="325" spans="1:13">
      <c r="A325" s="30"/>
      <c r="B325" s="30"/>
      <c r="C325" s="30"/>
      <c r="D325" s="30"/>
      <c r="E325" s="30"/>
      <c r="F325" s="30"/>
      <c r="G325" s="30"/>
      <c r="H325" s="30" t="str">
        <f>A!H259</f>
        <v>f yk</v>
      </c>
      <c r="I325" s="30" t="s">
        <v>120</v>
      </c>
      <c r="J325" s="30">
        <f>A!J259</f>
        <v>500</v>
      </c>
      <c r="K325" s="30" t="str">
        <f>A!K259</f>
        <v>N/mm2</v>
      </c>
      <c r="L325" s="30"/>
      <c r="M325" s="30"/>
    </row>
    <row r="326" spans="1:13">
      <c r="A326" s="30"/>
      <c r="B326" s="30"/>
      <c r="C326" s="128" t="s">
        <v>558</v>
      </c>
      <c r="D326" s="30"/>
      <c r="E326" s="30"/>
      <c r="F326" s="30"/>
      <c r="G326" s="30"/>
      <c r="H326" s="30" t="str">
        <f>A!H260</f>
        <v>f yd</v>
      </c>
      <c r="I326" s="30" t="s">
        <v>120</v>
      </c>
      <c r="J326" s="66">
        <f>A!J260</f>
        <v>416.66666666666669</v>
      </c>
      <c r="K326" s="30" t="str">
        <f>A!K260</f>
        <v>N/mm2</v>
      </c>
      <c r="L326" s="30"/>
      <c r="M326" s="30"/>
    </row>
    <row r="327" spans="1:13">
      <c r="A327" s="30"/>
      <c r="B327" s="30"/>
      <c r="C327" s="30"/>
      <c r="D327" s="30"/>
      <c r="E327" s="170" t="str">
        <f>A!E261</f>
        <v xml:space="preserve"> 1</v>
      </c>
      <c r="F327" s="30" t="str">
        <f>A!F261</f>
        <v xml:space="preserve"> R</v>
      </c>
      <c r="G327" s="30"/>
      <c r="H327" s="30" t="str">
        <f>A!H261</f>
        <v>A s</v>
      </c>
      <c r="I327" s="30" t="s">
        <v>120</v>
      </c>
      <c r="J327" s="66" t="e">
        <f>A!J261</f>
        <v>#N/A</v>
      </c>
      <c r="K327" s="30" t="str">
        <f>A!K261</f>
        <v>mm2</v>
      </c>
      <c r="L327" s="30"/>
      <c r="M327" s="30"/>
    </row>
    <row r="328" spans="1:13">
      <c r="A328" s="30"/>
      <c r="B328" s="30"/>
      <c r="C328" s="30"/>
      <c r="D328" s="30"/>
      <c r="E328" s="30"/>
      <c r="F328" s="133">
        <f>A!$F$262</f>
        <v>120</v>
      </c>
      <c r="G328" s="30" t="str">
        <f>A!G262</f>
        <v>snit 1-1</v>
      </c>
      <c r="H328" s="30"/>
      <c r="I328" s="30"/>
      <c r="J328" s="30"/>
      <c r="K328" s="30"/>
      <c r="L328" s="30"/>
      <c r="M328" s="30"/>
    </row>
    <row r="329" spans="1:13">
      <c r="A329" s="30"/>
      <c r="B329" s="30"/>
      <c r="C329" s="30"/>
      <c r="D329" s="30"/>
      <c r="E329" s="128" t="str">
        <f>A!$E$263</f>
        <v>a</v>
      </c>
      <c r="F329" s="30"/>
      <c r="G329" s="30" t="str">
        <f>A!G263</f>
        <v>reduc. f cd</v>
      </c>
      <c r="H329" s="30"/>
      <c r="I329" s="30" t="s">
        <v>120</v>
      </c>
      <c r="J329" s="169">
        <f>A!J263</f>
        <v>18.390584002818574</v>
      </c>
      <c r="K329" s="30" t="str">
        <f>A!K263</f>
        <v>N/mm2</v>
      </c>
      <c r="L329" s="30"/>
      <c r="M329" s="30"/>
    </row>
    <row r="330" spans="1:13">
      <c r="A330" s="30"/>
      <c r="B330" s="30"/>
      <c r="C330" s="30"/>
      <c r="D330" s="30"/>
      <c r="E330" s="30"/>
      <c r="F330" s="30"/>
      <c r="G330" s="30" t="str">
        <f>A!G264</f>
        <v>M Rd =</v>
      </c>
      <c r="H330" s="169" t="e">
        <f>A!H264</f>
        <v>#N/A</v>
      </c>
      <c r="I330" s="30"/>
      <c r="J330" s="30" t="str">
        <f>A!J264</f>
        <v>kNm</v>
      </c>
      <c r="K330" s="30" t="e">
        <f>A!K264</f>
        <v>#N/A</v>
      </c>
      <c r="L330" s="169" t="e">
        <f>A!L264</f>
        <v>#N/A</v>
      </c>
      <c r="M330" s="30" t="e">
        <f>A!M264</f>
        <v>#N/A</v>
      </c>
    </row>
    <row r="331" spans="1:13">
      <c r="A331" s="30"/>
      <c r="B331" s="30"/>
      <c r="C331" s="30"/>
      <c r="D331" s="30"/>
      <c r="E331" s="30"/>
      <c r="F331" s="336">
        <f>A!$F$265</f>
        <v>65</v>
      </c>
      <c r="G331" s="30" t="str">
        <f>A!G265</f>
        <v>V Rd,c =</v>
      </c>
      <c r="H331" s="169" t="e">
        <f>A!H265</f>
        <v>#N/A</v>
      </c>
      <c r="I331" s="30"/>
      <c r="J331" s="30" t="str">
        <f>A!J265</f>
        <v>kN</v>
      </c>
      <c r="K331" s="30" t="e">
        <f>A!K265</f>
        <v>#N/A</v>
      </c>
      <c r="L331" s="169" t="e">
        <f>A!L265</f>
        <v>#N/A</v>
      </c>
      <c r="M331" s="30" t="e">
        <f>A!M265</f>
        <v>#N/A</v>
      </c>
    </row>
    <row r="332" spans="1:13">
      <c r="A332" s="30"/>
      <c r="B332" s="30"/>
      <c r="C332" s="30"/>
      <c r="D332" s="30"/>
      <c r="E332" s="30"/>
      <c r="F332" s="30"/>
      <c r="G332" s="30" t="str">
        <f>A!G266</f>
        <v>armering (2)</v>
      </c>
      <c r="H332" s="30"/>
      <c r="I332" s="30"/>
      <c r="J332" s="30"/>
      <c r="K332" s="30"/>
      <c r="L332" s="30"/>
      <c r="M332" s="30"/>
    </row>
    <row r="333" spans="1:13">
      <c r="A333" s="30"/>
      <c r="B333" s="30"/>
      <c r="C333" s="30" t="s">
        <v>9</v>
      </c>
      <c r="D333" s="30" t="s">
        <v>9</v>
      </c>
      <c r="E333" s="30" t="str">
        <f>A!$E$267</f>
        <v>bjl.mål(udv.)</v>
      </c>
      <c r="F333" s="30"/>
      <c r="G333" s="30" t="str">
        <f>A!G267</f>
        <v>sigma s</v>
      </c>
      <c r="H333" s="66" t="e">
        <f>A!H267</f>
        <v>#N/A</v>
      </c>
      <c r="I333" s="30"/>
      <c r="J333" s="30" t="str">
        <f>A!J267</f>
        <v>N/mm2</v>
      </c>
      <c r="K333" s="30" t="e">
        <f>A!K267</f>
        <v>#N/A</v>
      </c>
      <c r="L333" s="66">
        <f>A!L267</f>
        <v>416.66666666666669</v>
      </c>
      <c r="M333" s="30" t="e">
        <f>A!M267</f>
        <v>#N/A</v>
      </c>
    </row>
    <row r="334" spans="1:13">
      <c r="A334" s="30"/>
      <c r="B334" s="30"/>
      <c r="C334" s="30"/>
      <c r="D334" s="30"/>
      <c r="E334" s="30"/>
      <c r="F334" s="30"/>
      <c r="G334" s="30"/>
      <c r="H334" s="30"/>
      <c r="I334" s="30"/>
      <c r="J334" s="30"/>
      <c r="K334" s="30"/>
      <c r="L334" s="30"/>
      <c r="M334" s="30"/>
    </row>
    <row r="335" spans="1:13">
      <c r="A335" s="30"/>
      <c r="B335" s="30" t="str">
        <f>A!$B$271</f>
        <v>REAKTIONER ENDEUNDERSTØTNING (=last på naboelem./-konstruktion)</v>
      </c>
      <c r="C335" s="30"/>
      <c r="D335" s="30"/>
      <c r="E335" s="30"/>
      <c r="F335" s="30"/>
      <c r="G335" s="30"/>
      <c r="H335" s="30"/>
      <c r="I335" s="30"/>
      <c r="J335" s="30"/>
      <c r="K335" s="30"/>
      <c r="L335" s="30"/>
      <c r="M335" s="30"/>
    </row>
    <row r="336" spans="1:13">
      <c r="A336" s="30"/>
      <c r="B336" s="30"/>
      <c r="C336" s="30" t="str">
        <f>A!$C$272</f>
        <v>fra jævnt fordelt last, plade (p), begge ender</v>
      </c>
      <c r="D336" s="30"/>
      <c r="E336" s="30"/>
      <c r="F336" s="30"/>
      <c r="G336" s="30"/>
      <c r="H336" s="168" t="str">
        <f>A!H272</f>
        <v>karakt.</v>
      </c>
      <c r="I336" s="30"/>
      <c r="J336" s="26" t="str">
        <f>A!J272</f>
        <v>lastfaktor</v>
      </c>
      <c r="K336" s="30"/>
      <c r="L336" s="30" t="str">
        <f>A!L272</f>
        <v xml:space="preserve">   regn.m.</v>
      </c>
      <c r="M336" s="30"/>
    </row>
    <row r="337" spans="1:13">
      <c r="A337" s="30"/>
      <c r="B337" s="30"/>
      <c r="C337" s="30"/>
      <c r="D337" s="30"/>
      <c r="E337" s="30"/>
      <c r="F337" s="30"/>
      <c r="G337" s="30" t="str">
        <f>A!G273</f>
        <v>hvilende</v>
      </c>
      <c r="H337" s="122" t="e">
        <f>A!H273</f>
        <v>#N/A</v>
      </c>
      <c r="I337" s="30" t="s">
        <v>392</v>
      </c>
      <c r="J337" s="122" t="e">
        <f>A!J273</f>
        <v>#N/A</v>
      </c>
      <c r="K337" s="30" t="s">
        <v>120</v>
      </c>
      <c r="L337" s="122" t="e">
        <f>A!L273</f>
        <v>#N/A</v>
      </c>
      <c r="M337" s="30" t="str">
        <f>A!M273</f>
        <v>kN/m</v>
      </c>
    </row>
    <row r="338" spans="1:13">
      <c r="A338" s="30"/>
      <c r="B338" s="30"/>
      <c r="C338" s="30"/>
      <c r="D338" s="30"/>
      <c r="E338" s="30"/>
      <c r="F338" s="30"/>
      <c r="G338" s="30" t="str">
        <f>A!G274</f>
        <v>nyttelast</v>
      </c>
      <c r="H338" s="344" t="e">
        <f>A!H274</f>
        <v>#N/A</v>
      </c>
      <c r="I338" s="30" t="s">
        <v>392</v>
      </c>
      <c r="J338" s="122" t="e">
        <f>A!J274</f>
        <v>#N/A</v>
      </c>
      <c r="K338" s="30" t="s">
        <v>120</v>
      </c>
      <c r="L338" s="344" t="e">
        <f>A!L274</f>
        <v>#N/A</v>
      </c>
      <c r="M338" s="30" t="str">
        <f>A!M274</f>
        <v>kN/m</v>
      </c>
    </row>
    <row r="339" spans="1:13">
      <c r="A339" s="30"/>
      <c r="B339" s="30"/>
      <c r="C339" s="30"/>
      <c r="D339" s="30"/>
      <c r="E339" s="30"/>
      <c r="F339" s="30"/>
      <c r="G339" s="30" t="str">
        <f>A!G275</f>
        <v>ialt</v>
      </c>
      <c r="H339" s="122" t="e">
        <f>A!H275</f>
        <v>#N/A</v>
      </c>
      <c r="I339" s="30"/>
      <c r="J339" s="30"/>
      <c r="K339" s="30"/>
      <c r="L339" s="122" t="e">
        <f>A!L275</f>
        <v>#N/A</v>
      </c>
      <c r="M339" s="30" t="str">
        <f>A!M275</f>
        <v>kN/m</v>
      </c>
    </row>
    <row r="340" spans="1:13">
      <c r="A340" s="30"/>
      <c r="B340" s="30"/>
      <c r="C340" s="30" t="str">
        <f>A!$C$276</f>
        <v>fra sidekantpladestrimmel (f), venstre ende</v>
      </c>
      <c r="D340" s="30"/>
      <c r="E340" s="30"/>
      <c r="F340" s="30"/>
      <c r="G340" s="30"/>
      <c r="H340" s="122"/>
      <c r="I340" s="30"/>
      <c r="J340" s="30"/>
      <c r="K340" s="30"/>
      <c r="L340" s="122"/>
      <c r="M340" s="30"/>
    </row>
    <row r="341" spans="1:13">
      <c r="A341" s="30"/>
      <c r="B341" s="30"/>
      <c r="C341" s="30"/>
      <c r="D341" s="30"/>
      <c r="E341" s="30"/>
      <c r="F341" s="30"/>
      <c r="G341" s="30" t="str">
        <f>A!G277</f>
        <v>hvilende</v>
      </c>
      <c r="H341" s="122" t="e">
        <f>A!H277</f>
        <v>#N/A</v>
      </c>
      <c r="I341" s="30" t="s">
        <v>392</v>
      </c>
      <c r="J341" s="122" t="e">
        <f>A!J277</f>
        <v>#N/A</v>
      </c>
      <c r="K341" s="30" t="s">
        <v>120</v>
      </c>
      <c r="L341" s="122" t="e">
        <f>A!L277</f>
        <v>#N/A</v>
      </c>
      <c r="M341" s="30" t="str">
        <f>A!M277</f>
        <v>kN</v>
      </c>
    </row>
    <row r="342" spans="1:13">
      <c r="A342" s="30"/>
      <c r="B342" s="30"/>
      <c r="C342" s="30"/>
      <c r="D342" s="30"/>
      <c r="E342" s="30"/>
      <c r="F342" s="30"/>
      <c r="G342" s="30" t="str">
        <f>A!G278</f>
        <v>nyttelast</v>
      </c>
      <c r="H342" s="344" t="e">
        <f>A!H278</f>
        <v>#N/A</v>
      </c>
      <c r="I342" s="30" t="s">
        <v>392</v>
      </c>
      <c r="J342" s="122" t="e">
        <f>A!J278</f>
        <v>#N/A</v>
      </c>
      <c r="K342" s="30" t="s">
        <v>120</v>
      </c>
      <c r="L342" s="344" t="e">
        <f>A!L278</f>
        <v>#N/A</v>
      </c>
      <c r="M342" s="30" t="str">
        <f>A!M278</f>
        <v>kN</v>
      </c>
    </row>
    <row r="343" spans="1:13">
      <c r="A343" s="30"/>
      <c r="B343" s="30"/>
      <c r="C343" s="30"/>
      <c r="D343" s="30"/>
      <c r="E343" s="30"/>
      <c r="F343" s="30"/>
      <c r="G343" s="30" t="str">
        <f>A!G279</f>
        <v>ialt</v>
      </c>
      <c r="H343" s="122" t="e">
        <f>A!H279</f>
        <v>#N/A</v>
      </c>
      <c r="I343" s="30"/>
      <c r="J343" s="30"/>
      <c r="K343" s="30"/>
      <c r="L343" s="122" t="e">
        <f>A!L279</f>
        <v>#N/A</v>
      </c>
      <c r="M343" s="30" t="str">
        <f>A!M279</f>
        <v>kN</v>
      </c>
    </row>
    <row r="344" spans="1:13">
      <c r="A344" s="30"/>
      <c r="B344" s="30"/>
      <c r="C344" s="30"/>
      <c r="D344" s="30"/>
      <c r="E344" s="30"/>
      <c r="F344" s="30"/>
      <c r="G344" s="30" t="str">
        <f>A!G280</f>
        <v>placeret i afstand fra kant mod durchsicht</v>
      </c>
      <c r="H344" s="30"/>
      <c r="I344" s="30"/>
      <c r="J344" s="30"/>
      <c r="K344" s="30"/>
      <c r="L344" s="122" t="e">
        <f>A!L280</f>
        <v>#N/A</v>
      </c>
      <c r="M344" s="30" t="str">
        <f>A!M280</f>
        <v>m</v>
      </c>
    </row>
    <row r="345" spans="1:13">
      <c r="A345" s="30"/>
      <c r="B345" s="30"/>
      <c r="C345" s="30" t="str">
        <f>A!$C$281</f>
        <v>fra sidekantpladestrimmel (f), højre ende</v>
      </c>
      <c r="D345" s="30"/>
      <c r="E345" s="30"/>
      <c r="F345" s="30"/>
      <c r="G345" s="30"/>
      <c r="H345" s="122"/>
      <c r="I345" s="30"/>
      <c r="J345" s="30"/>
      <c r="K345" s="30"/>
      <c r="L345" s="122"/>
      <c r="M345" s="30"/>
    </row>
    <row r="346" spans="1:13">
      <c r="A346" s="30"/>
      <c r="B346" s="30"/>
      <c r="C346" s="30"/>
      <c r="D346" s="30"/>
      <c r="E346" s="30"/>
      <c r="F346" s="30"/>
      <c r="G346" s="30" t="str">
        <f>A!G282</f>
        <v>hvilende</v>
      </c>
      <c r="H346" s="122" t="e">
        <f>A!H282</f>
        <v>#N/A</v>
      </c>
      <c r="I346" s="30" t="s">
        <v>392</v>
      </c>
      <c r="J346" s="122" t="e">
        <f>A!J282</f>
        <v>#N/A</v>
      </c>
      <c r="K346" s="30" t="s">
        <v>120</v>
      </c>
      <c r="L346" s="122" t="e">
        <f>A!L282</f>
        <v>#N/A</v>
      </c>
      <c r="M346" s="30" t="str">
        <f>A!M282</f>
        <v>kN</v>
      </c>
    </row>
    <row r="347" spans="1:13">
      <c r="A347" s="30"/>
      <c r="B347" s="30"/>
      <c r="C347" s="30"/>
      <c r="D347" s="30"/>
      <c r="E347" s="30"/>
      <c r="F347" s="30"/>
      <c r="G347" s="30" t="str">
        <f>A!G283</f>
        <v>nyttelast</v>
      </c>
      <c r="H347" s="344" t="e">
        <f>A!H283</f>
        <v>#N/A</v>
      </c>
      <c r="I347" s="30" t="s">
        <v>392</v>
      </c>
      <c r="J347" s="122" t="e">
        <f>A!J283</f>
        <v>#N/A</v>
      </c>
      <c r="K347" s="30" t="s">
        <v>120</v>
      </c>
      <c r="L347" s="344" t="e">
        <f>A!L283</f>
        <v>#N/A</v>
      </c>
      <c r="M347" s="30" t="str">
        <f>A!M283</f>
        <v>kN</v>
      </c>
    </row>
    <row r="348" spans="1:13">
      <c r="A348" s="30"/>
      <c r="B348" s="30"/>
      <c r="C348" s="30"/>
      <c r="D348" s="30"/>
      <c r="E348" s="30"/>
      <c r="F348" s="30"/>
      <c r="G348" s="30" t="str">
        <f>A!G284</f>
        <v>ialt</v>
      </c>
      <c r="H348" s="122" t="e">
        <f>A!H284</f>
        <v>#N/A</v>
      </c>
      <c r="I348" s="30"/>
      <c r="J348" s="30"/>
      <c r="K348" s="30"/>
      <c r="L348" s="122" t="e">
        <f>A!L284</f>
        <v>#N/A</v>
      </c>
      <c r="M348" s="30" t="str">
        <f>A!M284</f>
        <v>kN</v>
      </c>
    </row>
    <row r="349" spans="1:13">
      <c r="A349" s="30"/>
      <c r="B349" s="30"/>
      <c r="C349" s="30"/>
      <c r="D349" s="30"/>
      <c r="E349" s="30"/>
      <c r="F349" s="30"/>
      <c r="G349" s="30" t="str">
        <f>A!G285</f>
        <v>placeret i afstand fra kant mod durchsicht</v>
      </c>
      <c r="H349" s="30"/>
      <c r="I349" s="30"/>
      <c r="J349" s="30"/>
      <c r="K349" s="30"/>
      <c r="L349" s="122" t="e">
        <f>A!L285</f>
        <v>#N/A</v>
      </c>
      <c r="M349" s="30" t="str">
        <f>A!M285</f>
        <v>m</v>
      </c>
    </row>
    <row r="350" spans="1:13">
      <c r="A350" s="30"/>
      <c r="B350" s="30"/>
      <c r="C350" s="30"/>
      <c r="D350" s="30"/>
      <c r="E350" s="30"/>
      <c r="F350" s="30"/>
      <c r="G350" s="30"/>
      <c r="H350" s="30"/>
      <c r="I350" s="30"/>
      <c r="J350" s="30"/>
      <c r="K350" s="30"/>
      <c r="L350" s="30"/>
      <c r="M350" s="30"/>
    </row>
    <row r="351" spans="1:13">
      <c r="G351" t="str">
        <f>A!$G$287</f>
        <v xml:space="preserve"> </v>
      </c>
    </row>
    <row r="363" spans="2:12">
      <c r="B363" t="str">
        <f>A!$B$472</f>
        <v>ULYKKESSITUATION BRAND, STÅLDORNE</v>
      </c>
    </row>
    <row r="365" spans="2:12">
      <c r="G365" t="str">
        <f>A!G474</f>
        <v>stålspænding</v>
      </c>
      <c r="H365" s="53" t="e">
        <f>A!H474</f>
        <v>#N/A</v>
      </c>
      <c r="J365" s="53" t="str">
        <f>A!J474</f>
        <v>N/mm2</v>
      </c>
      <c r="K365" s="53" t="e">
        <f>A!K474</f>
        <v>#N/A</v>
      </c>
      <c r="L365" s="53">
        <f>A!L474</f>
        <v>295.45454545454544</v>
      </c>
    </row>
    <row r="366" spans="2:12" ht="19.5">
      <c r="I366" s="26" t="str">
        <f>A!I475</f>
        <v>=&gt; udnyttelsesgrad</v>
      </c>
      <c r="J366" s="53" t="e">
        <f>A!J475</f>
        <v>#N/A</v>
      </c>
      <c r="K366" t="str">
        <f>A!K475</f>
        <v>%</v>
      </c>
      <c r="L366" s="243" t="e">
        <f>A!L475</f>
        <v>#N/A</v>
      </c>
    </row>
    <row r="368" spans="2:12">
      <c r="D368" s="242"/>
    </row>
    <row r="391" spans="4:12">
      <c r="I391" s="26" t="s">
        <v>1021</v>
      </c>
      <c r="J391" s="53" t="e">
        <f>A!J500</f>
        <v>#N/A</v>
      </c>
      <c r="L391" t="str">
        <f>A!L500</f>
        <v>gr.C.</v>
      </c>
    </row>
    <row r="392" spans="4:12">
      <c r="G392" s="242"/>
    </row>
    <row r="393" spans="4:12">
      <c r="D393" s="53">
        <f>A!D502</f>
        <v>30</v>
      </c>
      <c r="E393" s="32" t="str">
        <f>A!E502</f>
        <v>minutters standardbrand excl. afkølingsfase</v>
      </c>
    </row>
    <row r="394" spans="4:12">
      <c r="I394" s="26" t="str">
        <f>A!I503</f>
        <v>medfører maks. temperatur i ståldorn ca.</v>
      </c>
      <c r="J394" s="66" t="e">
        <f>A!J503</f>
        <v>#N/A</v>
      </c>
      <c r="L394" t="str">
        <f>A!L503</f>
        <v>gr.C</v>
      </c>
    </row>
    <row r="395" spans="4:12">
      <c r="G395" t="e">
        <f>A!G504</f>
        <v>#N/A</v>
      </c>
    </row>
    <row r="396" spans="4:12" ht="19.5">
      <c r="D396" s="243" t="str">
        <f>A!D505</f>
        <v xml:space="preserve"> </v>
      </c>
    </row>
    <row r="397" spans="4:12">
      <c r="D397" s="242" t="str">
        <f>A!D506</f>
        <v xml:space="preserve"> </v>
      </c>
    </row>
    <row r="398" spans="4:12" ht="19.5">
      <c r="D398" s="243" t="str">
        <f>A!D507</f>
        <v xml:space="preserve"> </v>
      </c>
      <c r="I398" s="26"/>
      <c r="J398" s="202"/>
    </row>
  </sheetData>
  <sheetProtection algorithmName="SHA-512" hashValue="WnRv/PPeaUD960aAgcmKWz1ZwI3cswWeCdEqjAWsrIuB23jriQmP9VYIG+bcZTg1TywrHijunIPzDTeh2M43Xw==" saltValue="zBIkevyRe6+8j5xqFI8ong==" spinCount="100000" sheet="1" objects="1" scenarios="1"/>
  <pageMargins left="0.94488188976377963" right="0.39370078740157483" top="0.39370078740157483" bottom="0.19685039370078741" header="0" footer="0"/>
  <pageSetup paperSize="9" scale="79"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locked="0" defaultSize="0" print="0" autoFill="0" autoLine="0" autoPict="0" macro="[0]!LÅSARK">
                <anchor moveWithCells="1" sizeWithCells="1">
                  <from>
                    <xdr:col>0</xdr:col>
                    <xdr:colOff>57150</xdr:colOff>
                    <xdr:row>0</xdr:row>
                    <xdr:rowOff>28575</xdr:rowOff>
                  </from>
                  <to>
                    <xdr:col>0</xdr:col>
                    <xdr:colOff>219075</xdr:colOff>
                    <xdr:row>1</xdr:row>
                    <xdr:rowOff>38100</xdr:rowOff>
                  </to>
                </anchor>
              </controlPr>
            </control>
          </mc:Choice>
        </mc:AlternateContent>
        <mc:AlternateContent xmlns:mc="http://schemas.openxmlformats.org/markup-compatibility/2006">
          <mc:Choice Requires="x14">
            <control shapeId="12290" r:id="rId5" name="Button 2">
              <controlPr locked="0" defaultSize="0" print="0" autoFill="0" autoLine="0" autoPict="0" macro="[0]!GÅTILBAGETILarkA">
                <anchor moveWithCells="1" sizeWithCells="1">
                  <from>
                    <xdr:col>11</xdr:col>
                    <xdr:colOff>381000</xdr:colOff>
                    <xdr:row>7</xdr:row>
                    <xdr:rowOff>76200</xdr:rowOff>
                  </from>
                  <to>
                    <xdr:col>12</xdr:col>
                    <xdr:colOff>714375</xdr:colOff>
                    <xdr:row>10</xdr:row>
                    <xdr:rowOff>104775</xdr:rowOff>
                  </to>
                </anchor>
              </controlPr>
            </control>
          </mc:Choice>
        </mc:AlternateContent>
        <mc:AlternateContent xmlns:mc="http://schemas.openxmlformats.org/markup-compatibility/2006">
          <mc:Choice Requires="x14">
            <control shapeId="12291" r:id="rId6" name="Button 3">
              <controlPr locked="0" defaultSize="0" print="0" autoFill="0" autoLine="0" autoPict="0" macro="[0]!UDSKRBRAND">
                <anchor moveWithCells="1" sizeWithCells="1">
                  <from>
                    <xdr:col>2</xdr:col>
                    <xdr:colOff>95250</xdr:colOff>
                    <xdr:row>364</xdr:row>
                    <xdr:rowOff>66675</xdr:rowOff>
                  </from>
                  <to>
                    <xdr:col>5</xdr:col>
                    <xdr:colOff>342900</xdr:colOff>
                    <xdr:row>366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4">
    <pageSetUpPr fitToPage="1"/>
  </sheetPr>
  <dimension ref="A1:M60"/>
  <sheetViews>
    <sheetView zoomScale="87" zoomScaleNormal="87" workbookViewId="0">
      <selection activeCell="Q15" sqref="Q15"/>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4.21875" customWidth="1"/>
    <col min="12" max="12" width="7.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4.21875" customWidth="1"/>
    <col min="268" max="268" width="7.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4.21875" customWidth="1"/>
    <col min="524" max="524" width="7.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4.21875" customWidth="1"/>
    <col min="780" max="780" width="7.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4.21875" customWidth="1"/>
    <col min="1036" max="1036" width="7.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4.21875" customWidth="1"/>
    <col min="1292" max="1292" width="7.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4.21875" customWidth="1"/>
    <col min="1548" max="1548" width="7.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4.21875" customWidth="1"/>
    <col min="1804" max="1804" width="7.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4.21875" customWidth="1"/>
    <col min="2060" max="2060" width="7.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4.21875" customWidth="1"/>
    <col min="2316" max="2316" width="7.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4.21875" customWidth="1"/>
    <col min="2572" max="2572" width="7.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4.21875" customWidth="1"/>
    <col min="2828" max="2828" width="7.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4.21875" customWidth="1"/>
    <col min="3084" max="3084" width="7.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4.21875" customWidth="1"/>
    <col min="3340" max="3340" width="7.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4.21875" customWidth="1"/>
    <col min="3596" max="3596" width="7.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4.21875" customWidth="1"/>
    <col min="3852" max="3852" width="7.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4.21875" customWidth="1"/>
    <col min="4108" max="4108" width="7.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4.21875" customWidth="1"/>
    <col min="4364" max="4364" width="7.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4.21875" customWidth="1"/>
    <col min="4620" max="4620" width="7.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4.21875" customWidth="1"/>
    <col min="4876" max="4876" width="7.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4.21875" customWidth="1"/>
    <col min="5132" max="5132" width="7.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4.21875" customWidth="1"/>
    <col min="5388" max="5388" width="7.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4.21875" customWidth="1"/>
    <col min="5644" max="5644" width="7.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4.21875" customWidth="1"/>
    <col min="5900" max="5900" width="7.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4.21875" customWidth="1"/>
    <col min="6156" max="6156" width="7.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4.21875" customWidth="1"/>
    <col min="6412" max="6412" width="7.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4.21875" customWidth="1"/>
    <col min="6668" max="6668" width="7.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4.21875" customWidth="1"/>
    <col min="6924" max="6924" width="7.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4.21875" customWidth="1"/>
    <col min="7180" max="7180" width="7.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4.21875" customWidth="1"/>
    <col min="7436" max="7436" width="7.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4.21875" customWidth="1"/>
    <col min="7692" max="7692" width="7.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4.21875" customWidth="1"/>
    <col min="7948" max="7948" width="7.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4.21875" customWidth="1"/>
    <col min="8204" max="8204" width="7.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4.21875" customWidth="1"/>
    <col min="8460" max="8460" width="7.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4.21875" customWidth="1"/>
    <col min="8716" max="8716" width="7.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4.21875" customWidth="1"/>
    <col min="8972" max="8972" width="7.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4.21875" customWidth="1"/>
    <col min="9228" max="9228" width="7.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4.21875" customWidth="1"/>
    <col min="9484" max="9484" width="7.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4.21875" customWidth="1"/>
    <col min="9740" max="9740" width="7.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4.21875" customWidth="1"/>
    <col min="9996" max="9996" width="7.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4.21875" customWidth="1"/>
    <col min="10252" max="10252" width="7.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4.21875" customWidth="1"/>
    <col min="10508" max="10508" width="7.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4.21875" customWidth="1"/>
    <col min="10764" max="10764" width="7.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4.21875" customWidth="1"/>
    <col min="11020" max="11020" width="7.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4.21875" customWidth="1"/>
    <col min="11276" max="11276" width="7.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4.21875" customWidth="1"/>
    <col min="11532" max="11532" width="7.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4.21875" customWidth="1"/>
    <col min="11788" max="11788" width="7.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4.21875" customWidth="1"/>
    <col min="12044" max="12044" width="7.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4.21875" customWidth="1"/>
    <col min="12300" max="12300" width="7.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4.21875" customWidth="1"/>
    <col min="12556" max="12556" width="7.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4.21875" customWidth="1"/>
    <col min="12812" max="12812" width="7.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4.21875" customWidth="1"/>
    <col min="13068" max="13068" width="7.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4.21875" customWidth="1"/>
    <col min="13324" max="13324" width="7.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4.21875" customWidth="1"/>
    <col min="13580" max="13580" width="7.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4.21875" customWidth="1"/>
    <col min="13836" max="13836" width="7.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4.21875" customWidth="1"/>
    <col min="14092" max="14092" width="7.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4.21875" customWidth="1"/>
    <col min="14348" max="14348" width="7.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4.21875" customWidth="1"/>
    <col min="14604" max="14604" width="7.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4.21875" customWidth="1"/>
    <col min="14860" max="14860" width="7.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4.21875" customWidth="1"/>
    <col min="15116" max="15116" width="7.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4.21875" customWidth="1"/>
    <col min="15372" max="15372" width="7.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4.21875" customWidth="1"/>
    <col min="15628" max="15628" width="7.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4.21875" customWidth="1"/>
    <col min="15884" max="15884" width="7.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4.21875" customWidth="1"/>
    <col min="16140" max="16140" width="7.77734375" customWidth="1"/>
  </cols>
  <sheetData>
    <row r="1" spans="1:13" ht="9.9499999999999993" customHeight="1">
      <c r="A1" s="310"/>
      <c r="B1" s="2" t="s">
        <v>1</v>
      </c>
      <c r="C1" s="311"/>
      <c r="D1" s="311"/>
      <c r="E1" s="311"/>
      <c r="F1" s="311"/>
      <c r="G1" s="311"/>
      <c r="H1" s="311"/>
      <c r="I1" s="2" t="s">
        <v>2</v>
      </c>
      <c r="J1" s="4"/>
      <c r="K1" s="4"/>
      <c r="L1" s="5" t="s">
        <v>3</v>
      </c>
      <c r="M1" s="370"/>
    </row>
    <row r="2" spans="1:13">
      <c r="A2" s="312" t="str">
        <f>A!A2</f>
        <v>kriptologia</v>
      </c>
      <c r="B2" s="313" t="s">
        <v>7</v>
      </c>
      <c r="C2" s="314" t="str">
        <f>A!$C$2</f>
        <v xml:space="preserve"> </v>
      </c>
      <c r="D2" s="21"/>
      <c r="E2" s="21"/>
      <c r="F2" s="21"/>
      <c r="G2" s="21"/>
      <c r="H2" s="21"/>
      <c r="I2" s="313"/>
      <c r="J2" s="315" t="str">
        <f>A!J2</f>
        <v xml:space="preserve"> </v>
      </c>
      <c r="K2" s="21"/>
      <c r="L2" s="21"/>
      <c r="M2" s="316"/>
    </row>
    <row r="3" spans="1:13" ht="9.9499999999999993" customHeight="1">
      <c r="A3" s="317"/>
      <c r="B3" s="2" t="s">
        <v>15</v>
      </c>
      <c r="C3" s="30"/>
      <c r="D3" s="311"/>
      <c r="E3" s="311"/>
      <c r="F3" s="30"/>
      <c r="G3" s="30"/>
      <c r="H3" s="30"/>
      <c r="I3" s="264" t="s">
        <v>16</v>
      </c>
      <c r="J3" s="30"/>
      <c r="K3" s="30"/>
      <c r="L3" s="368"/>
      <c r="M3" s="318"/>
    </row>
    <row r="4" spans="1:13" ht="15" customHeight="1">
      <c r="A4" s="20"/>
      <c r="B4" s="313"/>
      <c r="C4" s="314" t="str">
        <f>A!$C$4</f>
        <v xml:space="preserve"> </v>
      </c>
      <c r="D4" s="21"/>
      <c r="E4" s="21"/>
      <c r="F4" s="21"/>
      <c r="G4" s="21"/>
      <c r="H4" s="21"/>
      <c r="I4" s="313"/>
      <c r="J4" s="31">
        <f ca="1">NOW()</f>
        <v>45643.480604166667</v>
      </c>
      <c r="K4" s="21"/>
      <c r="L4" s="21" t="s">
        <v>7</v>
      </c>
      <c r="M4" s="316"/>
    </row>
    <row r="5" spans="1:13" ht="9.9499999999999993" customHeight="1">
      <c r="A5" s="37" t="s">
        <v>28</v>
      </c>
      <c r="B5" s="317"/>
      <c r="C5" s="30"/>
      <c r="D5" s="30"/>
      <c r="E5" s="30"/>
      <c r="F5" s="30"/>
      <c r="H5" s="30"/>
      <c r="I5" s="38"/>
      <c r="K5" s="38" t="str">
        <f>A!K5</f>
        <v xml:space="preserve">                           N:\Opslag\Statik\Dalton statikark\LobrepEC_190701 </v>
      </c>
      <c r="L5" s="368"/>
      <c r="M5" s="318"/>
    </row>
    <row r="6" spans="1:13">
      <c r="A6" s="319" t="str">
        <f>A!A6</f>
        <v>Tilst</v>
      </c>
      <c r="B6" s="313"/>
      <c r="C6" s="314" t="str">
        <f>A!$C$6</f>
        <v xml:space="preserve"> </v>
      </c>
      <c r="D6" s="21"/>
      <c r="E6" s="21"/>
      <c r="F6" s="21"/>
      <c r="G6" s="21"/>
      <c r="H6" s="21"/>
      <c r="I6" s="41" t="s">
        <v>31</v>
      </c>
      <c r="J6" s="277">
        <f ca="1">NOW()</f>
        <v>45643.480604166667</v>
      </c>
      <c r="K6" s="21"/>
      <c r="L6" s="43"/>
      <c r="M6" s="316"/>
    </row>
    <row r="8" spans="1:13">
      <c r="C8" t="s">
        <v>1134</v>
      </c>
    </row>
    <row r="9" spans="1:13">
      <c r="C9" t="s">
        <v>1135</v>
      </c>
    </row>
    <row r="10" spans="1:13">
      <c r="C10" t="s">
        <v>1136</v>
      </c>
    </row>
    <row r="11" spans="1:13">
      <c r="C11" t="s">
        <v>1137</v>
      </c>
    </row>
    <row r="12" spans="1:13">
      <c r="C12" t="s">
        <v>1138</v>
      </c>
    </row>
    <row r="14" spans="1:13">
      <c r="C14" s="320" t="str">
        <f>A!$B$313</f>
        <v>DORNE UDEN STÅLRØR OG UDEN OPHÆNGSBØJLE</v>
      </c>
    </row>
    <row r="16" spans="1:13">
      <c r="G16" t="str">
        <f>A!G314</f>
        <v>max. reaktion</v>
      </c>
      <c r="H16" t="str">
        <f>A!H314</f>
        <v>R</v>
      </c>
      <c r="I16" s="30" t="s">
        <v>120</v>
      </c>
      <c r="J16" s="74" t="e">
        <f>A!J314</f>
        <v>#N/A</v>
      </c>
      <c r="K16" t="str">
        <f>A!K314</f>
        <v>kN</v>
      </c>
      <c r="L16" s="74"/>
    </row>
    <row r="17" spans="3:13">
      <c r="C17" s="128"/>
      <c r="D17" s="30"/>
      <c r="E17" s="168" t="str">
        <f>A!E315</f>
        <v xml:space="preserve">dornlængde  </v>
      </c>
      <c r="F17" s="170">
        <f>A!F315</f>
        <v>300</v>
      </c>
      <c r="G17" t="str">
        <f>A!G315</f>
        <v>afstand</v>
      </c>
      <c r="H17" t="str">
        <f>A!H315</f>
        <v>a3</v>
      </c>
      <c r="I17" s="30" t="s">
        <v>120</v>
      </c>
      <c r="J17" s="53">
        <f>A!J315</f>
        <v>143</v>
      </c>
      <c r="K17" t="str">
        <f>A!K315</f>
        <v>mm</v>
      </c>
    </row>
    <row r="18" spans="3:13">
      <c r="C18" s="168">
        <f>A!C316</f>
        <v>50</v>
      </c>
      <c r="D18" s="30"/>
      <c r="E18" s="30"/>
      <c r="F18" s="30"/>
      <c r="G18" t="str">
        <f>A!G316</f>
        <v>afstand</v>
      </c>
      <c r="H18" t="str">
        <f>A!H316</f>
        <v>a4</v>
      </c>
      <c r="I18" s="30" t="s">
        <v>120</v>
      </c>
      <c r="J18" s="53">
        <f>A!J316</f>
        <v>92</v>
      </c>
      <c r="K18" t="str">
        <f>A!K316</f>
        <v>mm</v>
      </c>
      <c r="L18" s="53"/>
    </row>
    <row r="19" spans="3:13">
      <c r="C19" s="128">
        <f>A!C317</f>
        <v>50</v>
      </c>
      <c r="D19" s="168">
        <f>A!D317</f>
        <v>43</v>
      </c>
      <c r="E19" s="30"/>
      <c r="F19" s="30"/>
      <c r="H19" t="str">
        <f>A!H317</f>
        <v>R3</v>
      </c>
      <c r="I19" s="30" t="s">
        <v>120</v>
      </c>
      <c r="J19" s="74" t="e">
        <f>A!J317</f>
        <v>#N/A</v>
      </c>
      <c r="K19" t="str">
        <f>A!K317</f>
        <v>kN</v>
      </c>
    </row>
    <row r="20" spans="3:13">
      <c r="C20" s="170">
        <f>A!C318</f>
        <v>50</v>
      </c>
      <c r="D20" s="30"/>
      <c r="E20" s="30"/>
      <c r="F20" s="128">
        <f>A!$F$318</f>
        <v>30</v>
      </c>
      <c r="H20" t="str">
        <f>A!H318</f>
        <v>R4</v>
      </c>
      <c r="I20" s="30" t="s">
        <v>120</v>
      </c>
      <c r="J20" s="74" t="e">
        <f>A!J318</f>
        <v>#N/A</v>
      </c>
      <c r="K20" t="str">
        <f>A!K318</f>
        <v>kN</v>
      </c>
    </row>
    <row r="21" spans="3:13">
      <c r="E21" s="19" t="str">
        <f>A!$E$319</f>
        <v>(3)</v>
      </c>
      <c r="G21" t="str">
        <f>A!G319</f>
        <v>2-snits arm.(3)</v>
      </c>
      <c r="H21" s="66">
        <f>A!H319</f>
        <v>1</v>
      </c>
      <c r="I21" s="30" t="str">
        <f>A!$I$319</f>
        <v>R3</v>
      </c>
      <c r="J21" s="66">
        <f>A!J319</f>
        <v>16</v>
      </c>
      <c r="K21" t="str">
        <f>A!K319</f>
        <v>stk,type,diameter</v>
      </c>
    </row>
    <row r="22" spans="3:13">
      <c r="H22" t="str">
        <f>A!H320</f>
        <v>f yk</v>
      </c>
      <c r="I22" s="30" t="s">
        <v>120</v>
      </c>
      <c r="J22" s="53">
        <f>A!J320</f>
        <v>355</v>
      </c>
      <c r="K22" t="str">
        <f>A!K320</f>
        <v>N/mm2</v>
      </c>
    </row>
    <row r="23" spans="3:13">
      <c r="F23" s="32"/>
      <c r="G23" t="str">
        <f>A!G321</f>
        <v>h</v>
      </c>
      <c r="H23" t="str">
        <f>A!H321</f>
        <v>f yd</v>
      </c>
      <c r="I23" s="30" t="s">
        <v>120</v>
      </c>
      <c r="J23" s="53">
        <f>A!J321</f>
        <v>295.83333333333337</v>
      </c>
      <c r="K23" t="str">
        <f>A!K321</f>
        <v>N/mm2</v>
      </c>
    </row>
    <row r="24" spans="3:13">
      <c r="C24" t="str">
        <f>A!$C$322</f>
        <v xml:space="preserve"> R</v>
      </c>
      <c r="H24" t="str">
        <f>A!H322</f>
        <v>A s</v>
      </c>
      <c r="I24" s="30" t="s">
        <v>120</v>
      </c>
      <c r="J24" s="53">
        <f>A!J322</f>
        <v>402.12385965949352</v>
      </c>
      <c r="K24" t="str">
        <f>A!K322</f>
        <v>mm2</v>
      </c>
    </row>
    <row r="25" spans="3:13">
      <c r="C25" s="26"/>
      <c r="E25" t="str">
        <f>A!E323</f>
        <v>R3</v>
      </c>
      <c r="F25" s="19" t="str">
        <f>A!F323</f>
        <v xml:space="preserve">R4    </v>
      </c>
      <c r="G25" t="str">
        <f>A!G323</f>
        <v>bæreevne (3)</v>
      </c>
      <c r="H25" s="74">
        <f>A!H323</f>
        <v>118.96164181593352</v>
      </c>
      <c r="J25" t="str">
        <f>A!J323</f>
        <v>kN</v>
      </c>
      <c r="K25" t="e">
        <f>A!K323</f>
        <v>#N/A</v>
      </c>
      <c r="L25" s="74" t="e">
        <f>A!L323</f>
        <v>#N/A</v>
      </c>
      <c r="M25" t="e">
        <f>A!M323</f>
        <v>#N/A</v>
      </c>
    </row>
    <row r="27" spans="3:13">
      <c r="C27" s="26" t="str">
        <f>A!C325</f>
        <v xml:space="preserve">   a3</v>
      </c>
      <c r="E27" s="26" t="str">
        <f>A!E325</f>
        <v>a4</v>
      </c>
      <c r="G27" t="str">
        <f>A!G134</f>
        <v>gennemlokn. V Rd</v>
      </c>
      <c r="H27" s="74" t="e">
        <f>A!H134</f>
        <v>#N/A</v>
      </c>
      <c r="J27" t="str">
        <f>A!J134</f>
        <v>kN</v>
      </c>
      <c r="K27" t="e">
        <f>A!K134</f>
        <v>#N/A</v>
      </c>
      <c r="L27" s="74" t="e">
        <f>A!L134</f>
        <v>#N/A</v>
      </c>
      <c r="M27" t="e">
        <f>A!M134</f>
        <v>#N/A</v>
      </c>
    </row>
    <row r="29" spans="3:13">
      <c r="C29" s="30" t="str">
        <f>A!$B$290</f>
        <v>DORN, GENNEMLOKNING</v>
      </c>
      <c r="H29" s="26" t="str">
        <f>A!H291</f>
        <v>R4</v>
      </c>
      <c r="I29" s="30" t="s">
        <v>120</v>
      </c>
      <c r="J29" s="74" t="e">
        <f>A!J291</f>
        <v>#N/A</v>
      </c>
      <c r="K29" t="str">
        <f>A!K291</f>
        <v>kN</v>
      </c>
    </row>
    <row r="30" spans="3:13">
      <c r="C30" s="128"/>
      <c r="D30" s="168"/>
      <c r="H30" s="26" t="str">
        <f>A!H292</f>
        <v>fck</v>
      </c>
      <c r="I30" s="30" t="s">
        <v>120</v>
      </c>
      <c r="J30" s="53">
        <f>A!J292</f>
        <v>30</v>
      </c>
      <c r="K30" t="str">
        <f>A!K292</f>
        <v>N/mm2</v>
      </c>
    </row>
    <row r="31" spans="3:13">
      <c r="C31" s="170"/>
      <c r="H31" s="26" t="str">
        <f>A!H293</f>
        <v>gamma C</v>
      </c>
      <c r="I31" s="30" t="s">
        <v>120</v>
      </c>
      <c r="J31" s="50">
        <f>A!J293</f>
        <v>1.4</v>
      </c>
    </row>
    <row r="32" spans="3:13">
      <c r="E32" s="19"/>
      <c r="H32" s="26" t="str">
        <f>A!H294</f>
        <v>effektivitetsfaktor v</v>
      </c>
      <c r="I32" s="30" t="s">
        <v>120</v>
      </c>
      <c r="J32" s="74">
        <f>A!J294</f>
        <v>0.6</v>
      </c>
    </row>
    <row r="33" spans="1:13">
      <c r="H33" s="26" t="str">
        <f>A!H295</f>
        <v>nyttehøjde d</v>
      </c>
      <c r="I33" s="30" t="s">
        <v>120</v>
      </c>
      <c r="J33" s="53" t="e">
        <f>A!J295</f>
        <v>#N/A</v>
      </c>
      <c r="K33" t="str">
        <f>A!K295</f>
        <v>mm</v>
      </c>
    </row>
    <row r="34" spans="1:13">
      <c r="D34" s="26" t="str">
        <f>A!$D$296</f>
        <v>As</v>
      </c>
      <c r="F34" s="26" t="str">
        <f>A!$F$296</f>
        <v>d</v>
      </c>
      <c r="H34" s="26" t="str">
        <f>A!H296</f>
        <v>As, diam. centerafst.</v>
      </c>
      <c r="I34" s="66">
        <f>A!I296</f>
        <v>8</v>
      </c>
      <c r="J34" s="321">
        <f>A!J296</f>
        <v>150</v>
      </c>
      <c r="K34" t="str">
        <f>A!K296</f>
        <v>mm i begge retn.</v>
      </c>
    </row>
    <row r="35" spans="1:13">
      <c r="H35" s="26" t="str">
        <f>A!H297</f>
        <v>armeringsfohold</v>
      </c>
      <c r="J35" s="229" t="e">
        <f>A!J297</f>
        <v>#N/A</v>
      </c>
    </row>
    <row r="36" spans="1:13">
      <c r="A36" s="230" t="e">
        <f>A!A298</f>
        <v>#N/A</v>
      </c>
      <c r="B36" s="100"/>
      <c r="F36" s="19" t="str">
        <f>A!$F$298</f>
        <v xml:space="preserve">R4    </v>
      </c>
      <c r="G36" s="26" t="s">
        <v>884</v>
      </c>
      <c r="H36" s="50" t="e">
        <f>A!H298</f>
        <v>#N/A</v>
      </c>
      <c r="I36" s="49" t="str">
        <f>A!I298</f>
        <v>=&gt;</v>
      </c>
      <c r="J36" s="74" t="e">
        <f>A!J298</f>
        <v>#N/A</v>
      </c>
    </row>
    <row r="37" spans="1:13">
      <c r="A37" s="230" t="e">
        <f>A!A299</f>
        <v>#N/A</v>
      </c>
      <c r="B37" s="100" t="e">
        <f>A!B299</f>
        <v>#N/A</v>
      </c>
      <c r="H37" s="26" t="str">
        <f>A!H299</f>
        <v>vRd,C</v>
      </c>
      <c r="I37" s="30" t="s">
        <v>120</v>
      </c>
      <c r="J37" s="52" t="e">
        <f>A!J299</f>
        <v>#N/A</v>
      </c>
    </row>
    <row r="38" spans="1:13">
      <c r="A38" s="100"/>
      <c r="B38" s="100" t="e">
        <f>A!B300</f>
        <v>#N/A</v>
      </c>
      <c r="F38" s="128">
        <f>A!$F$300</f>
        <v>30</v>
      </c>
      <c r="H38" s="26" t="str">
        <f>A!H300</f>
        <v>primær kontrolperimeter u</v>
      </c>
      <c r="I38" s="30" t="s">
        <v>120</v>
      </c>
      <c r="J38" s="53" t="e">
        <f>A!J300</f>
        <v>#N/A</v>
      </c>
      <c r="K38" t="str">
        <f>A!K300</f>
        <v>mm</v>
      </c>
    </row>
    <row r="39" spans="1:13">
      <c r="H39" s="26" t="str">
        <f>A!H301</f>
        <v>bæreevne V Rd</v>
      </c>
      <c r="I39" s="30" t="s">
        <v>120</v>
      </c>
      <c r="J39" s="74" t="e">
        <f>A!J301</f>
        <v>#N/A</v>
      </c>
      <c r="K39" t="e">
        <f>A!K301</f>
        <v>#N/A</v>
      </c>
      <c r="L39" s="74" t="e">
        <f>A!$L$301</f>
        <v>#N/A</v>
      </c>
      <c r="M39" t="e">
        <f>A!M301</f>
        <v>#N/A</v>
      </c>
    </row>
    <row r="40" spans="1:13">
      <c r="E40" s="26" t="str">
        <f>A!E302</f>
        <v>2d</v>
      </c>
      <c r="F40" s="168">
        <f>A!F302</f>
        <v>65</v>
      </c>
    </row>
    <row r="41" spans="1:13">
      <c r="G41" t="str">
        <f>A!$F$304</f>
        <v>u</v>
      </c>
    </row>
    <row r="42" spans="1:13">
      <c r="F42" s="19"/>
    </row>
    <row r="43" spans="1:13">
      <c r="C43" s="30" t="str">
        <f>A!$B$328</f>
        <v>DORNE MED STÅLRØR OG OPHÆNGSBØJLE</v>
      </c>
    </row>
    <row r="44" spans="1:13">
      <c r="C44" s="170"/>
      <c r="F44" s="33"/>
      <c r="G44" s="239">
        <f>A!$G$329</f>
        <v>80</v>
      </c>
    </row>
    <row r="45" spans="1:13">
      <c r="E45" s="19"/>
      <c r="G45" s="26" t="str">
        <f>A!G330</f>
        <v>bøjle</v>
      </c>
      <c r="H45" s="72">
        <f>A!H330</f>
        <v>1</v>
      </c>
      <c r="I45" t="str">
        <f>A!$I$330</f>
        <v>K</v>
      </c>
      <c r="J45">
        <f>A!J330</f>
        <v>8</v>
      </c>
      <c r="K45" t="str">
        <f>A!K330</f>
        <v>stk, type, diam.</v>
      </c>
    </row>
    <row r="46" spans="1:13" ht="15" customHeight="1">
      <c r="K46" s="26" t="str">
        <f>A!K331</f>
        <v xml:space="preserve"> </v>
      </c>
      <c r="L46" s="237" t="str">
        <f>A!L331</f>
        <v xml:space="preserve"> </v>
      </c>
    </row>
    <row r="47" spans="1:13">
      <c r="F47" s="32"/>
      <c r="G47" s="26" t="str">
        <f>A!G332</f>
        <v>afstand</v>
      </c>
      <c r="H47" s="72" t="str">
        <f>A!H332</f>
        <v>a5</v>
      </c>
      <c r="I47" s="30" t="s">
        <v>120</v>
      </c>
      <c r="J47" s="66">
        <f>A!J332</f>
        <v>177</v>
      </c>
      <c r="K47" t="str">
        <f>A!K332</f>
        <v>mm</v>
      </c>
    </row>
    <row r="48" spans="1:13">
      <c r="C48" t="str">
        <f>A!$C$333</f>
        <v xml:space="preserve"> R</v>
      </c>
      <c r="G48" s="26" t="str">
        <f>A!G333</f>
        <v>reaktion</v>
      </c>
      <c r="H48" s="72" t="str">
        <f>A!H333</f>
        <v>R5</v>
      </c>
      <c r="I48" s="30" t="s">
        <v>120</v>
      </c>
      <c r="J48" s="74" t="e">
        <f>A!J333</f>
        <v>#N/A</v>
      </c>
      <c r="K48" t="str">
        <f>A!K333</f>
        <v>kN</v>
      </c>
    </row>
    <row r="49" spans="3:13">
      <c r="C49" s="26"/>
      <c r="E49" t="str">
        <f>A!E334</f>
        <v>R5</v>
      </c>
      <c r="F49" s="26" t="str">
        <f>A!F334</f>
        <v xml:space="preserve">R6  </v>
      </c>
      <c r="G49" s="26" t="str">
        <f>A!G334</f>
        <v>reaktion</v>
      </c>
      <c r="H49" s="72" t="str">
        <f>A!H334</f>
        <v>R6</v>
      </c>
      <c r="I49" s="30" t="s">
        <v>120</v>
      </c>
      <c r="J49" s="74" t="e">
        <f>A!J334</f>
        <v>#N/A</v>
      </c>
      <c r="K49" t="e">
        <f>A!K334</f>
        <v>#N/A</v>
      </c>
      <c r="L49">
        <f>A!L334</f>
        <v>26</v>
      </c>
      <c r="M49" t="e">
        <f>A!M334</f>
        <v>#N/A</v>
      </c>
    </row>
    <row r="50" spans="3:13">
      <c r="C50" s="26" t="str">
        <f>A!$C$335</f>
        <v xml:space="preserve">   a3</v>
      </c>
      <c r="F50" t="str">
        <f>A!$F$335</f>
        <v>a5</v>
      </c>
      <c r="G50" s="26"/>
      <c r="H50" s="74"/>
      <c r="L50" s="74"/>
    </row>
    <row r="51" spans="3:13">
      <c r="G51" t="str">
        <f>A!G336</f>
        <v>bæreevne (3)</v>
      </c>
      <c r="H51" s="74">
        <f>A!H336</f>
        <v>118.96164181593352</v>
      </c>
      <c r="J51" t="str">
        <f>A!J336</f>
        <v>kN</v>
      </c>
      <c r="K51" t="e">
        <f>A!K336</f>
        <v>#N/A</v>
      </c>
      <c r="L51" s="74" t="e">
        <f>A!L336</f>
        <v>#N/A</v>
      </c>
      <c r="M51" t="e">
        <f>A!M336</f>
        <v>#N/A</v>
      </c>
    </row>
    <row r="52" spans="3:13">
      <c r="E52" s="19"/>
      <c r="F52" s="239" t="str">
        <f>A!$F$338</f>
        <v>R4</v>
      </c>
      <c r="G52" s="26"/>
      <c r="H52" s="72"/>
      <c r="I52" s="30" t="s">
        <v>120</v>
      </c>
      <c r="J52" s="66"/>
    </row>
    <row r="53" spans="3:13">
      <c r="G53" t="str">
        <f>A!G338</f>
        <v>afstand</v>
      </c>
      <c r="H53" s="26" t="str">
        <f>A!H338</f>
        <v>a7</v>
      </c>
      <c r="I53" s="30" t="s">
        <v>120</v>
      </c>
      <c r="J53" s="169">
        <f>A!J338</f>
        <v>85</v>
      </c>
      <c r="K53" t="str">
        <f>A!K338</f>
        <v>mm</v>
      </c>
    </row>
    <row r="54" spans="3:13">
      <c r="F54" s="32"/>
      <c r="H54" s="26" t="str">
        <f>A!H339</f>
        <v>udvendig rørdiameter</v>
      </c>
      <c r="I54" s="30" t="s">
        <v>120</v>
      </c>
      <c r="J54" s="169">
        <f>A!J339</f>
        <v>75.3</v>
      </c>
      <c r="K54" t="str">
        <f>A!K339</f>
        <v>mm</v>
      </c>
    </row>
    <row r="55" spans="3:13">
      <c r="E55" t="str">
        <f>A!E341</f>
        <v>a4</v>
      </c>
      <c r="F55" s="161" t="str">
        <f>A!F341</f>
        <v>a7</v>
      </c>
      <c r="H55" s="26" t="str">
        <f>A!H340</f>
        <v>rørtykkelse</v>
      </c>
      <c r="I55" s="30" t="s">
        <v>120</v>
      </c>
      <c r="J55" s="74">
        <f>A!J340</f>
        <v>4.5</v>
      </c>
      <c r="K55" t="str">
        <f>A!K340</f>
        <v>mm</v>
      </c>
    </row>
    <row r="56" spans="3:13">
      <c r="C56" s="26"/>
      <c r="F56" s="26"/>
      <c r="H56" s="26" t="str">
        <f>A!H341</f>
        <v>indvendig rørdiameter</v>
      </c>
      <c r="J56" s="32">
        <f>A!J341</f>
        <v>66.3</v>
      </c>
      <c r="K56" t="str">
        <f>A!K341</f>
        <v>mm</v>
      </c>
    </row>
    <row r="57" spans="3:13">
      <c r="D57" t="str">
        <f>A!$D$343</f>
        <v>STÅLRØR ALENE</v>
      </c>
      <c r="H57" s="26" t="str">
        <f>A!H342</f>
        <v>rør i stålkvalitet</v>
      </c>
      <c r="I57" s="26" t="str">
        <f>A!$I$342</f>
        <v>S</v>
      </c>
      <c r="J57" s="97">
        <f>A!J342</f>
        <v>195</v>
      </c>
      <c r="K57" t="str">
        <f>A!K342</f>
        <v>fyk N/mm2 =</v>
      </c>
      <c r="M57" s="79">
        <f>A!$M$342</f>
        <v>235</v>
      </c>
    </row>
    <row r="58" spans="3:13">
      <c r="H58" s="26" t="str">
        <f>A!H343</f>
        <v>modstandsmoment rør</v>
      </c>
      <c r="I58" s="30" t="s">
        <v>120</v>
      </c>
      <c r="J58" s="53">
        <f>A!J343</f>
        <v>16724.691479926005</v>
      </c>
      <c r="K58" t="str">
        <f>A!K343</f>
        <v>mm3</v>
      </c>
    </row>
    <row r="59" spans="3:13">
      <c r="G59" s="26"/>
      <c r="H59" s="53" t="str">
        <f>A!H344</f>
        <v>moment</v>
      </c>
      <c r="J59" s="50" t="e">
        <f>A!J344</f>
        <v>#N/A</v>
      </c>
      <c r="K59" t="str">
        <f>A!K344</f>
        <v>kNm</v>
      </c>
      <c r="L59" s="53"/>
    </row>
    <row r="60" spans="3:13">
      <c r="G60" t="str">
        <f>A!G345</f>
        <v>stålspænding i rør</v>
      </c>
      <c r="H60" s="53" t="e">
        <f>A!H345</f>
        <v>#N/A</v>
      </c>
      <c r="J60" t="str">
        <f>A!J345</f>
        <v>N/mm2</v>
      </c>
      <c r="K60" t="e">
        <f>A!K345</f>
        <v>#N/A</v>
      </c>
      <c r="L60" s="53">
        <f>A!L345</f>
        <v>213.63636363636363</v>
      </c>
      <c r="M60" t="e">
        <f>A!M345</f>
        <v>#N/A</v>
      </c>
    </row>
  </sheetData>
  <sheetProtection algorithmName="SHA-512" hashValue="FVPuRNZ3EtKvdeUQ565yRFIz3Qv7FpI6FK4dh+0ro83LYEQIEqUn5MGoYmkfCHJaFjmRoJfnMMUHRPEMrZx60w==" saltValue="skkpEKAW7inqI2uB6xYt8Q==" spinCount="100000" sheet="1" objects="1" scenarios="1"/>
  <pageMargins left="0.98425196850393704" right="0.39370078740157483" top="0.39370078740157483" bottom="0.19685039370078741" header="0" footer="0"/>
  <pageSetup paperSize="9" scale="77"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locked="0" defaultSize="0" print="0" autoFill="0" autoLine="0" autoPict="0" macro="[0]!LÅSARK">
                <anchor moveWithCells="1" sizeWithCells="1">
                  <from>
                    <xdr:col>0</xdr:col>
                    <xdr:colOff>57150</xdr:colOff>
                    <xdr:row>0</xdr:row>
                    <xdr:rowOff>28575</xdr:rowOff>
                  </from>
                  <to>
                    <xdr:col>0</xdr:col>
                    <xdr:colOff>219075</xdr:colOff>
                    <xdr:row>1</xdr:row>
                    <xdr:rowOff>38100</xdr:rowOff>
                  </to>
                </anchor>
              </controlPr>
            </control>
          </mc:Choice>
        </mc:AlternateContent>
        <mc:AlternateContent xmlns:mc="http://schemas.openxmlformats.org/markup-compatibility/2006">
          <mc:Choice Requires="x14">
            <control shapeId="11266" r:id="rId5" name="Button 2">
              <controlPr locked="0" defaultSize="0" print="0" autoFill="0" autoLine="0" autoPict="0" macro="[0]!GÅTILBAGETILarkA">
                <anchor moveWithCells="1" sizeWithCells="1">
                  <from>
                    <xdr:col>13</xdr:col>
                    <xdr:colOff>57150</xdr:colOff>
                    <xdr:row>8</xdr:row>
                    <xdr:rowOff>95250</xdr:rowOff>
                  </from>
                  <to>
                    <xdr:col>14</xdr:col>
                    <xdr:colOff>295275</xdr:colOff>
                    <xdr:row>11</xdr:row>
                    <xdr:rowOff>28575</xdr:rowOff>
                  </to>
                </anchor>
              </controlPr>
            </control>
          </mc:Choice>
        </mc:AlternateContent>
        <mc:AlternateContent xmlns:mc="http://schemas.openxmlformats.org/markup-compatibility/2006">
          <mc:Choice Requires="x14">
            <control shapeId="11267" r:id="rId6" name="Button 3">
              <controlPr locked="0" defaultSize="0" print="0" autoFill="0" autoLine="0" autoPict="0" macro="[0]!UDSKRIVDorn">
                <anchor moveWithCells="1" sizeWithCells="1">
                  <from>
                    <xdr:col>13</xdr:col>
                    <xdr:colOff>76200</xdr:colOff>
                    <xdr:row>4</xdr:row>
                    <xdr:rowOff>76200</xdr:rowOff>
                  </from>
                  <to>
                    <xdr:col>14</xdr:col>
                    <xdr:colOff>228600</xdr:colOff>
                    <xdr:row>6</xdr:row>
                    <xdr:rowOff>28575</xdr:rowOff>
                  </to>
                </anchor>
              </controlPr>
            </control>
          </mc:Choice>
        </mc:AlternateContent>
        <mc:AlternateContent xmlns:mc="http://schemas.openxmlformats.org/markup-compatibility/2006">
          <mc:Choice Requires="x14">
            <control shapeId="11268" r:id="rId7" name="Button 4">
              <controlPr locked="0" defaultSize="0" print="0" autoFill="0" autoLine="0" autoPict="0" macro="[0]!RETUR">
                <anchor moveWithCells="1" sizeWithCells="1">
                  <from>
                    <xdr:col>13</xdr:col>
                    <xdr:colOff>85725</xdr:colOff>
                    <xdr:row>6</xdr:row>
                    <xdr:rowOff>123825</xdr:rowOff>
                  </from>
                  <to>
                    <xdr:col>14</xdr:col>
                    <xdr:colOff>238125</xdr:colOff>
                    <xdr:row>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1"/>
  <dimension ref="A1:AA94"/>
  <sheetViews>
    <sheetView zoomScale="87" zoomScaleNormal="87" workbookViewId="0">
      <selection activeCell="C2" sqref="C2"/>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4" max="14" width="11.77734375" customWidth="1"/>
    <col min="17" max="17" width="11.21875" customWidth="1"/>
    <col min="22" max="22" width="7.77734375" customWidth="1"/>
    <col min="23" max="23" width="8.77734375" customWidth="1"/>
    <col min="24" max="24" width="10.77734375" customWidth="1"/>
    <col min="25" max="28" width="8.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70" max="270" width="11.77734375" customWidth="1"/>
    <col min="273" max="273" width="11.21875" customWidth="1"/>
    <col min="278" max="278" width="7.77734375" customWidth="1"/>
    <col min="279" max="279" width="8.77734375" customWidth="1"/>
    <col min="280" max="280" width="10.77734375" customWidth="1"/>
    <col min="281" max="284" width="8.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6" max="526" width="11.77734375" customWidth="1"/>
    <col min="529" max="529" width="11.21875" customWidth="1"/>
    <col min="534" max="534" width="7.77734375" customWidth="1"/>
    <col min="535" max="535" width="8.77734375" customWidth="1"/>
    <col min="536" max="536" width="10.77734375" customWidth="1"/>
    <col min="537" max="540" width="8.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2" max="782" width="11.77734375" customWidth="1"/>
    <col min="785" max="785" width="11.21875" customWidth="1"/>
    <col min="790" max="790" width="7.77734375" customWidth="1"/>
    <col min="791" max="791" width="8.77734375" customWidth="1"/>
    <col min="792" max="792" width="10.77734375" customWidth="1"/>
    <col min="793" max="796" width="8.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8" max="1038" width="11.77734375" customWidth="1"/>
    <col min="1041" max="1041" width="11.21875" customWidth="1"/>
    <col min="1046" max="1046" width="7.77734375" customWidth="1"/>
    <col min="1047" max="1047" width="8.77734375" customWidth="1"/>
    <col min="1048" max="1048" width="10.77734375" customWidth="1"/>
    <col min="1049" max="1052" width="8.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4" max="1294" width="11.77734375" customWidth="1"/>
    <col min="1297" max="1297" width="11.21875" customWidth="1"/>
    <col min="1302" max="1302" width="7.77734375" customWidth="1"/>
    <col min="1303" max="1303" width="8.77734375" customWidth="1"/>
    <col min="1304" max="1304" width="10.77734375" customWidth="1"/>
    <col min="1305" max="1308" width="8.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50" max="1550" width="11.77734375" customWidth="1"/>
    <col min="1553" max="1553" width="11.21875" customWidth="1"/>
    <col min="1558" max="1558" width="7.77734375" customWidth="1"/>
    <col min="1559" max="1559" width="8.77734375" customWidth="1"/>
    <col min="1560" max="1560" width="10.77734375" customWidth="1"/>
    <col min="1561" max="1564" width="8.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6" max="1806" width="11.77734375" customWidth="1"/>
    <col min="1809" max="1809" width="11.21875" customWidth="1"/>
    <col min="1814" max="1814" width="7.77734375" customWidth="1"/>
    <col min="1815" max="1815" width="8.77734375" customWidth="1"/>
    <col min="1816" max="1816" width="10.77734375" customWidth="1"/>
    <col min="1817" max="1820" width="8.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2" max="2062" width="11.77734375" customWidth="1"/>
    <col min="2065" max="2065" width="11.21875" customWidth="1"/>
    <col min="2070" max="2070" width="7.77734375" customWidth="1"/>
    <col min="2071" max="2071" width="8.77734375" customWidth="1"/>
    <col min="2072" max="2072" width="10.77734375" customWidth="1"/>
    <col min="2073" max="2076" width="8.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8" max="2318" width="11.77734375" customWidth="1"/>
    <col min="2321" max="2321" width="11.21875" customWidth="1"/>
    <col min="2326" max="2326" width="7.77734375" customWidth="1"/>
    <col min="2327" max="2327" width="8.77734375" customWidth="1"/>
    <col min="2328" max="2328" width="10.77734375" customWidth="1"/>
    <col min="2329" max="2332" width="8.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4" max="2574" width="11.77734375" customWidth="1"/>
    <col min="2577" max="2577" width="11.21875" customWidth="1"/>
    <col min="2582" max="2582" width="7.77734375" customWidth="1"/>
    <col min="2583" max="2583" width="8.77734375" customWidth="1"/>
    <col min="2584" max="2584" width="10.77734375" customWidth="1"/>
    <col min="2585" max="2588" width="8.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30" max="2830" width="11.77734375" customWidth="1"/>
    <col min="2833" max="2833" width="11.21875" customWidth="1"/>
    <col min="2838" max="2838" width="7.77734375" customWidth="1"/>
    <col min="2839" max="2839" width="8.77734375" customWidth="1"/>
    <col min="2840" max="2840" width="10.77734375" customWidth="1"/>
    <col min="2841" max="2844" width="8.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6" max="3086" width="11.77734375" customWidth="1"/>
    <col min="3089" max="3089" width="11.21875" customWidth="1"/>
    <col min="3094" max="3094" width="7.77734375" customWidth="1"/>
    <col min="3095" max="3095" width="8.77734375" customWidth="1"/>
    <col min="3096" max="3096" width="10.77734375" customWidth="1"/>
    <col min="3097" max="3100" width="8.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2" max="3342" width="11.77734375" customWidth="1"/>
    <col min="3345" max="3345" width="11.21875" customWidth="1"/>
    <col min="3350" max="3350" width="7.77734375" customWidth="1"/>
    <col min="3351" max="3351" width="8.77734375" customWidth="1"/>
    <col min="3352" max="3352" width="10.77734375" customWidth="1"/>
    <col min="3353" max="3356" width="8.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8" max="3598" width="11.77734375" customWidth="1"/>
    <col min="3601" max="3601" width="11.21875" customWidth="1"/>
    <col min="3606" max="3606" width="7.77734375" customWidth="1"/>
    <col min="3607" max="3607" width="8.77734375" customWidth="1"/>
    <col min="3608" max="3608" width="10.77734375" customWidth="1"/>
    <col min="3609" max="3612" width="8.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4" max="3854" width="11.77734375" customWidth="1"/>
    <col min="3857" max="3857" width="11.21875" customWidth="1"/>
    <col min="3862" max="3862" width="7.77734375" customWidth="1"/>
    <col min="3863" max="3863" width="8.77734375" customWidth="1"/>
    <col min="3864" max="3864" width="10.77734375" customWidth="1"/>
    <col min="3865" max="3868" width="8.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10" max="4110" width="11.77734375" customWidth="1"/>
    <col min="4113" max="4113" width="11.21875" customWidth="1"/>
    <col min="4118" max="4118" width="7.77734375" customWidth="1"/>
    <col min="4119" max="4119" width="8.77734375" customWidth="1"/>
    <col min="4120" max="4120" width="10.77734375" customWidth="1"/>
    <col min="4121" max="4124" width="8.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6" max="4366" width="11.77734375" customWidth="1"/>
    <col min="4369" max="4369" width="11.21875" customWidth="1"/>
    <col min="4374" max="4374" width="7.77734375" customWidth="1"/>
    <col min="4375" max="4375" width="8.77734375" customWidth="1"/>
    <col min="4376" max="4376" width="10.77734375" customWidth="1"/>
    <col min="4377" max="4380" width="8.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2" max="4622" width="11.77734375" customWidth="1"/>
    <col min="4625" max="4625" width="11.21875" customWidth="1"/>
    <col min="4630" max="4630" width="7.77734375" customWidth="1"/>
    <col min="4631" max="4631" width="8.77734375" customWidth="1"/>
    <col min="4632" max="4632" width="10.77734375" customWidth="1"/>
    <col min="4633" max="4636" width="8.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8" max="4878" width="11.77734375" customWidth="1"/>
    <col min="4881" max="4881" width="11.21875" customWidth="1"/>
    <col min="4886" max="4886" width="7.77734375" customWidth="1"/>
    <col min="4887" max="4887" width="8.77734375" customWidth="1"/>
    <col min="4888" max="4888" width="10.77734375" customWidth="1"/>
    <col min="4889" max="4892" width="8.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4" max="5134" width="11.77734375" customWidth="1"/>
    <col min="5137" max="5137" width="11.21875" customWidth="1"/>
    <col min="5142" max="5142" width="7.77734375" customWidth="1"/>
    <col min="5143" max="5143" width="8.77734375" customWidth="1"/>
    <col min="5144" max="5144" width="10.77734375" customWidth="1"/>
    <col min="5145" max="5148" width="8.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90" max="5390" width="11.77734375" customWidth="1"/>
    <col min="5393" max="5393" width="11.21875" customWidth="1"/>
    <col min="5398" max="5398" width="7.77734375" customWidth="1"/>
    <col min="5399" max="5399" width="8.77734375" customWidth="1"/>
    <col min="5400" max="5400" width="10.77734375" customWidth="1"/>
    <col min="5401" max="5404" width="8.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6" max="5646" width="11.77734375" customWidth="1"/>
    <col min="5649" max="5649" width="11.21875" customWidth="1"/>
    <col min="5654" max="5654" width="7.77734375" customWidth="1"/>
    <col min="5655" max="5655" width="8.77734375" customWidth="1"/>
    <col min="5656" max="5656" width="10.77734375" customWidth="1"/>
    <col min="5657" max="5660" width="8.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2" max="5902" width="11.77734375" customWidth="1"/>
    <col min="5905" max="5905" width="11.21875" customWidth="1"/>
    <col min="5910" max="5910" width="7.77734375" customWidth="1"/>
    <col min="5911" max="5911" width="8.77734375" customWidth="1"/>
    <col min="5912" max="5912" width="10.77734375" customWidth="1"/>
    <col min="5913" max="5916" width="8.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8" max="6158" width="11.77734375" customWidth="1"/>
    <col min="6161" max="6161" width="11.21875" customWidth="1"/>
    <col min="6166" max="6166" width="7.77734375" customWidth="1"/>
    <col min="6167" max="6167" width="8.77734375" customWidth="1"/>
    <col min="6168" max="6168" width="10.77734375" customWidth="1"/>
    <col min="6169" max="6172" width="8.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4" max="6414" width="11.77734375" customWidth="1"/>
    <col min="6417" max="6417" width="11.21875" customWidth="1"/>
    <col min="6422" max="6422" width="7.77734375" customWidth="1"/>
    <col min="6423" max="6423" width="8.77734375" customWidth="1"/>
    <col min="6424" max="6424" width="10.77734375" customWidth="1"/>
    <col min="6425" max="6428" width="8.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70" max="6670" width="11.77734375" customWidth="1"/>
    <col min="6673" max="6673" width="11.21875" customWidth="1"/>
    <col min="6678" max="6678" width="7.77734375" customWidth="1"/>
    <col min="6679" max="6679" width="8.77734375" customWidth="1"/>
    <col min="6680" max="6680" width="10.77734375" customWidth="1"/>
    <col min="6681" max="6684" width="8.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6" max="6926" width="11.77734375" customWidth="1"/>
    <col min="6929" max="6929" width="11.21875" customWidth="1"/>
    <col min="6934" max="6934" width="7.77734375" customWidth="1"/>
    <col min="6935" max="6935" width="8.77734375" customWidth="1"/>
    <col min="6936" max="6936" width="10.77734375" customWidth="1"/>
    <col min="6937" max="6940" width="8.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2" max="7182" width="11.77734375" customWidth="1"/>
    <col min="7185" max="7185" width="11.21875" customWidth="1"/>
    <col min="7190" max="7190" width="7.77734375" customWidth="1"/>
    <col min="7191" max="7191" width="8.77734375" customWidth="1"/>
    <col min="7192" max="7192" width="10.77734375" customWidth="1"/>
    <col min="7193" max="7196" width="8.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8" max="7438" width="11.77734375" customWidth="1"/>
    <col min="7441" max="7441" width="11.21875" customWidth="1"/>
    <col min="7446" max="7446" width="7.77734375" customWidth="1"/>
    <col min="7447" max="7447" width="8.77734375" customWidth="1"/>
    <col min="7448" max="7448" width="10.77734375" customWidth="1"/>
    <col min="7449" max="7452" width="8.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4" max="7694" width="11.77734375" customWidth="1"/>
    <col min="7697" max="7697" width="11.21875" customWidth="1"/>
    <col min="7702" max="7702" width="7.77734375" customWidth="1"/>
    <col min="7703" max="7703" width="8.77734375" customWidth="1"/>
    <col min="7704" max="7704" width="10.77734375" customWidth="1"/>
    <col min="7705" max="7708" width="8.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50" max="7950" width="11.77734375" customWidth="1"/>
    <col min="7953" max="7953" width="11.21875" customWidth="1"/>
    <col min="7958" max="7958" width="7.77734375" customWidth="1"/>
    <col min="7959" max="7959" width="8.77734375" customWidth="1"/>
    <col min="7960" max="7960" width="10.77734375" customWidth="1"/>
    <col min="7961" max="7964" width="8.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6" max="8206" width="11.77734375" customWidth="1"/>
    <col min="8209" max="8209" width="11.21875" customWidth="1"/>
    <col min="8214" max="8214" width="7.77734375" customWidth="1"/>
    <col min="8215" max="8215" width="8.77734375" customWidth="1"/>
    <col min="8216" max="8216" width="10.77734375" customWidth="1"/>
    <col min="8217" max="8220" width="8.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2" max="8462" width="11.77734375" customWidth="1"/>
    <col min="8465" max="8465" width="11.21875" customWidth="1"/>
    <col min="8470" max="8470" width="7.77734375" customWidth="1"/>
    <col min="8471" max="8471" width="8.77734375" customWidth="1"/>
    <col min="8472" max="8472" width="10.77734375" customWidth="1"/>
    <col min="8473" max="8476" width="8.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8" max="8718" width="11.77734375" customWidth="1"/>
    <col min="8721" max="8721" width="11.21875" customWidth="1"/>
    <col min="8726" max="8726" width="7.77734375" customWidth="1"/>
    <col min="8727" max="8727" width="8.77734375" customWidth="1"/>
    <col min="8728" max="8728" width="10.77734375" customWidth="1"/>
    <col min="8729" max="8732" width="8.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4" max="8974" width="11.77734375" customWidth="1"/>
    <col min="8977" max="8977" width="11.21875" customWidth="1"/>
    <col min="8982" max="8982" width="7.77734375" customWidth="1"/>
    <col min="8983" max="8983" width="8.77734375" customWidth="1"/>
    <col min="8984" max="8984" width="10.77734375" customWidth="1"/>
    <col min="8985" max="8988" width="8.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30" max="9230" width="11.77734375" customWidth="1"/>
    <col min="9233" max="9233" width="11.21875" customWidth="1"/>
    <col min="9238" max="9238" width="7.77734375" customWidth="1"/>
    <col min="9239" max="9239" width="8.77734375" customWidth="1"/>
    <col min="9240" max="9240" width="10.77734375" customWidth="1"/>
    <col min="9241" max="9244" width="8.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6" max="9486" width="11.77734375" customWidth="1"/>
    <col min="9489" max="9489" width="11.21875" customWidth="1"/>
    <col min="9494" max="9494" width="7.77734375" customWidth="1"/>
    <col min="9495" max="9495" width="8.77734375" customWidth="1"/>
    <col min="9496" max="9496" width="10.77734375" customWidth="1"/>
    <col min="9497" max="9500" width="8.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2" max="9742" width="11.77734375" customWidth="1"/>
    <col min="9745" max="9745" width="11.21875" customWidth="1"/>
    <col min="9750" max="9750" width="7.77734375" customWidth="1"/>
    <col min="9751" max="9751" width="8.77734375" customWidth="1"/>
    <col min="9752" max="9752" width="10.77734375" customWidth="1"/>
    <col min="9753" max="9756" width="8.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8" max="9998" width="11.77734375" customWidth="1"/>
    <col min="10001" max="10001" width="11.21875" customWidth="1"/>
    <col min="10006" max="10006" width="7.77734375" customWidth="1"/>
    <col min="10007" max="10007" width="8.77734375" customWidth="1"/>
    <col min="10008" max="10008" width="10.77734375" customWidth="1"/>
    <col min="10009" max="10012" width="8.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4" max="10254" width="11.77734375" customWidth="1"/>
    <col min="10257" max="10257" width="11.21875" customWidth="1"/>
    <col min="10262" max="10262" width="7.77734375" customWidth="1"/>
    <col min="10263" max="10263" width="8.77734375" customWidth="1"/>
    <col min="10264" max="10264" width="10.77734375" customWidth="1"/>
    <col min="10265" max="10268" width="8.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10" max="10510" width="11.77734375" customWidth="1"/>
    <col min="10513" max="10513" width="11.21875" customWidth="1"/>
    <col min="10518" max="10518" width="7.77734375" customWidth="1"/>
    <col min="10519" max="10519" width="8.77734375" customWidth="1"/>
    <col min="10520" max="10520" width="10.77734375" customWidth="1"/>
    <col min="10521" max="10524" width="8.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6" max="10766" width="11.77734375" customWidth="1"/>
    <col min="10769" max="10769" width="11.21875" customWidth="1"/>
    <col min="10774" max="10774" width="7.77734375" customWidth="1"/>
    <col min="10775" max="10775" width="8.77734375" customWidth="1"/>
    <col min="10776" max="10776" width="10.77734375" customWidth="1"/>
    <col min="10777" max="10780" width="8.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2" max="11022" width="11.77734375" customWidth="1"/>
    <col min="11025" max="11025" width="11.21875" customWidth="1"/>
    <col min="11030" max="11030" width="7.77734375" customWidth="1"/>
    <col min="11031" max="11031" width="8.77734375" customWidth="1"/>
    <col min="11032" max="11032" width="10.77734375" customWidth="1"/>
    <col min="11033" max="11036" width="8.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8" max="11278" width="11.77734375" customWidth="1"/>
    <col min="11281" max="11281" width="11.21875" customWidth="1"/>
    <col min="11286" max="11286" width="7.77734375" customWidth="1"/>
    <col min="11287" max="11287" width="8.77734375" customWidth="1"/>
    <col min="11288" max="11288" width="10.77734375" customWidth="1"/>
    <col min="11289" max="11292" width="8.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4" max="11534" width="11.77734375" customWidth="1"/>
    <col min="11537" max="11537" width="11.21875" customWidth="1"/>
    <col min="11542" max="11542" width="7.77734375" customWidth="1"/>
    <col min="11543" max="11543" width="8.77734375" customWidth="1"/>
    <col min="11544" max="11544" width="10.77734375" customWidth="1"/>
    <col min="11545" max="11548" width="8.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90" max="11790" width="11.77734375" customWidth="1"/>
    <col min="11793" max="11793" width="11.21875" customWidth="1"/>
    <col min="11798" max="11798" width="7.77734375" customWidth="1"/>
    <col min="11799" max="11799" width="8.77734375" customWidth="1"/>
    <col min="11800" max="11800" width="10.77734375" customWidth="1"/>
    <col min="11801" max="11804" width="8.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6" max="12046" width="11.77734375" customWidth="1"/>
    <col min="12049" max="12049" width="11.21875" customWidth="1"/>
    <col min="12054" max="12054" width="7.77734375" customWidth="1"/>
    <col min="12055" max="12055" width="8.77734375" customWidth="1"/>
    <col min="12056" max="12056" width="10.77734375" customWidth="1"/>
    <col min="12057" max="12060" width="8.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2" max="12302" width="11.77734375" customWidth="1"/>
    <col min="12305" max="12305" width="11.21875" customWidth="1"/>
    <col min="12310" max="12310" width="7.77734375" customWidth="1"/>
    <col min="12311" max="12311" width="8.77734375" customWidth="1"/>
    <col min="12312" max="12312" width="10.77734375" customWidth="1"/>
    <col min="12313" max="12316" width="8.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8" max="12558" width="11.77734375" customWidth="1"/>
    <col min="12561" max="12561" width="11.21875" customWidth="1"/>
    <col min="12566" max="12566" width="7.77734375" customWidth="1"/>
    <col min="12567" max="12567" width="8.77734375" customWidth="1"/>
    <col min="12568" max="12568" width="10.77734375" customWidth="1"/>
    <col min="12569" max="12572" width="8.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4" max="12814" width="11.77734375" customWidth="1"/>
    <col min="12817" max="12817" width="11.21875" customWidth="1"/>
    <col min="12822" max="12822" width="7.77734375" customWidth="1"/>
    <col min="12823" max="12823" width="8.77734375" customWidth="1"/>
    <col min="12824" max="12824" width="10.77734375" customWidth="1"/>
    <col min="12825" max="12828" width="8.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70" max="13070" width="11.77734375" customWidth="1"/>
    <col min="13073" max="13073" width="11.21875" customWidth="1"/>
    <col min="13078" max="13078" width="7.77734375" customWidth="1"/>
    <col min="13079" max="13079" width="8.77734375" customWidth="1"/>
    <col min="13080" max="13080" width="10.77734375" customWidth="1"/>
    <col min="13081" max="13084" width="8.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6" max="13326" width="11.77734375" customWidth="1"/>
    <col min="13329" max="13329" width="11.21875" customWidth="1"/>
    <col min="13334" max="13334" width="7.77734375" customWidth="1"/>
    <col min="13335" max="13335" width="8.77734375" customWidth="1"/>
    <col min="13336" max="13336" width="10.77734375" customWidth="1"/>
    <col min="13337" max="13340" width="8.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2" max="13582" width="11.77734375" customWidth="1"/>
    <col min="13585" max="13585" width="11.21875" customWidth="1"/>
    <col min="13590" max="13590" width="7.77734375" customWidth="1"/>
    <col min="13591" max="13591" width="8.77734375" customWidth="1"/>
    <col min="13592" max="13592" width="10.77734375" customWidth="1"/>
    <col min="13593" max="13596" width="8.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8" max="13838" width="11.77734375" customWidth="1"/>
    <col min="13841" max="13841" width="11.21875" customWidth="1"/>
    <col min="13846" max="13846" width="7.77734375" customWidth="1"/>
    <col min="13847" max="13847" width="8.77734375" customWidth="1"/>
    <col min="13848" max="13848" width="10.77734375" customWidth="1"/>
    <col min="13849" max="13852" width="8.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4" max="14094" width="11.77734375" customWidth="1"/>
    <col min="14097" max="14097" width="11.21875" customWidth="1"/>
    <col min="14102" max="14102" width="7.77734375" customWidth="1"/>
    <col min="14103" max="14103" width="8.77734375" customWidth="1"/>
    <col min="14104" max="14104" width="10.77734375" customWidth="1"/>
    <col min="14105" max="14108" width="8.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50" max="14350" width="11.77734375" customWidth="1"/>
    <col min="14353" max="14353" width="11.21875" customWidth="1"/>
    <col min="14358" max="14358" width="7.77734375" customWidth="1"/>
    <col min="14359" max="14359" width="8.77734375" customWidth="1"/>
    <col min="14360" max="14360" width="10.77734375" customWidth="1"/>
    <col min="14361" max="14364" width="8.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6" max="14606" width="11.77734375" customWidth="1"/>
    <col min="14609" max="14609" width="11.21875" customWidth="1"/>
    <col min="14614" max="14614" width="7.77734375" customWidth="1"/>
    <col min="14615" max="14615" width="8.77734375" customWidth="1"/>
    <col min="14616" max="14616" width="10.77734375" customWidth="1"/>
    <col min="14617" max="14620" width="8.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2" max="14862" width="11.77734375" customWidth="1"/>
    <col min="14865" max="14865" width="11.21875" customWidth="1"/>
    <col min="14870" max="14870" width="7.77734375" customWidth="1"/>
    <col min="14871" max="14871" width="8.77734375" customWidth="1"/>
    <col min="14872" max="14872" width="10.77734375" customWidth="1"/>
    <col min="14873" max="14876" width="8.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8" max="15118" width="11.77734375" customWidth="1"/>
    <col min="15121" max="15121" width="11.21875" customWidth="1"/>
    <col min="15126" max="15126" width="7.77734375" customWidth="1"/>
    <col min="15127" max="15127" width="8.77734375" customWidth="1"/>
    <col min="15128" max="15128" width="10.77734375" customWidth="1"/>
    <col min="15129" max="15132" width="8.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4" max="15374" width="11.77734375" customWidth="1"/>
    <col min="15377" max="15377" width="11.21875" customWidth="1"/>
    <col min="15382" max="15382" width="7.77734375" customWidth="1"/>
    <col min="15383" max="15383" width="8.77734375" customWidth="1"/>
    <col min="15384" max="15384" width="10.77734375" customWidth="1"/>
    <col min="15385" max="15388" width="8.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30" max="15630" width="11.77734375" customWidth="1"/>
    <col min="15633" max="15633" width="11.21875" customWidth="1"/>
    <col min="15638" max="15638" width="7.77734375" customWidth="1"/>
    <col min="15639" max="15639" width="8.77734375" customWidth="1"/>
    <col min="15640" max="15640" width="10.77734375" customWidth="1"/>
    <col min="15641" max="15644" width="8.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6" max="15886" width="11.77734375" customWidth="1"/>
    <col min="15889" max="15889" width="11.21875" customWidth="1"/>
    <col min="15894" max="15894" width="7.77734375" customWidth="1"/>
    <col min="15895" max="15895" width="8.77734375" customWidth="1"/>
    <col min="15896" max="15896" width="10.77734375" customWidth="1"/>
    <col min="15897" max="15900" width="8.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2" max="16142" width="11.77734375" customWidth="1"/>
    <col min="16145" max="16145" width="11.21875" customWidth="1"/>
    <col min="16150" max="16150" width="7.77734375" customWidth="1"/>
    <col min="16151" max="16151" width="8.77734375" customWidth="1"/>
    <col min="16152" max="16152" width="10.77734375" customWidth="1"/>
    <col min="16153" max="16156" width="8.77734375" customWidth="1"/>
  </cols>
  <sheetData>
    <row r="1" spans="1:26" ht="9.9499999999999993" customHeight="1">
      <c r="A1" s="1"/>
      <c r="B1" s="2" t="s">
        <v>1</v>
      </c>
      <c r="C1" s="3"/>
      <c r="D1" s="3"/>
      <c r="E1" s="3"/>
      <c r="F1" s="3"/>
      <c r="G1" s="3"/>
      <c r="H1" s="3"/>
      <c r="I1" s="2" t="s">
        <v>2</v>
      </c>
      <c r="J1" s="4"/>
      <c r="K1" s="4"/>
      <c r="L1" s="5" t="s">
        <v>3</v>
      </c>
      <c r="M1" s="370"/>
    </row>
    <row r="2" spans="1:26" ht="15" customHeight="1">
      <c r="A2" s="137" t="str">
        <f>A!A2</f>
        <v>kriptologia</v>
      </c>
      <c r="B2" s="12" t="s">
        <v>7</v>
      </c>
      <c r="C2" s="21" t="str">
        <f>A!C2</f>
        <v xml:space="preserve"> </v>
      </c>
      <c r="D2" s="14"/>
      <c r="E2" s="14"/>
      <c r="F2" s="14"/>
      <c r="G2" s="14"/>
      <c r="H2" s="14"/>
      <c r="I2" s="12"/>
      <c r="J2" s="274" t="str">
        <f>A!J2</f>
        <v xml:space="preserve"> </v>
      </c>
      <c r="K2" s="14"/>
      <c r="L2" s="14"/>
      <c r="M2" s="16"/>
      <c r="N2" s="17" t="str">
        <f>A!N2</f>
        <v>D</v>
      </c>
      <c r="O2" s="55" t="str">
        <f>A!O2</f>
        <v>&lt;---- efter Dansk(D)-, Norsk(N)- eller Svensk(S)- NA</v>
      </c>
      <c r="T2">
        <f>A!T2</f>
        <v>0</v>
      </c>
    </row>
    <row r="3" spans="1:26" ht="9.9499999999999993" customHeight="1">
      <c r="A3" s="27"/>
      <c r="B3" s="2" t="s">
        <v>15</v>
      </c>
      <c r="C3" s="30"/>
      <c r="D3" s="3"/>
      <c r="E3" s="3"/>
      <c r="I3" s="28" t="s">
        <v>16</v>
      </c>
      <c r="L3" s="368"/>
      <c r="M3" s="29"/>
    </row>
    <row r="4" spans="1:26" ht="15" customHeight="1">
      <c r="A4" s="20"/>
      <c r="B4" s="12"/>
      <c r="C4" s="21" t="str">
        <f>A!C4</f>
        <v xml:space="preserve"> </v>
      </c>
      <c r="D4" s="14"/>
      <c r="E4" s="14"/>
      <c r="F4" s="14"/>
      <c r="G4" s="14"/>
      <c r="H4" s="14"/>
      <c r="I4" s="12"/>
      <c r="J4" s="275">
        <f ca="1">A!J4</f>
        <v>45643.480604166667</v>
      </c>
      <c r="K4" s="14"/>
      <c r="L4" s="14" t="s">
        <v>7</v>
      </c>
      <c r="M4" s="16"/>
      <c r="O4" s="32" t="s">
        <v>18</v>
      </c>
      <c r="R4" s="128" t="str">
        <f>A!R4</f>
        <v>nej</v>
      </c>
      <c r="S4" t="s">
        <v>20</v>
      </c>
    </row>
    <row r="5" spans="1:26" ht="9.9499999999999993" customHeight="1">
      <c r="A5" s="37" t="s">
        <v>28</v>
      </c>
      <c r="B5" s="27"/>
      <c r="C5" s="30"/>
      <c r="H5" s="10"/>
      <c r="I5" s="38"/>
      <c r="K5" s="38" t="str">
        <f>A!K5</f>
        <v xml:space="preserve">                           N:\Opslag\Statik\Dalton statikark\LobrepEC_190701 </v>
      </c>
      <c r="L5" s="368"/>
      <c r="M5" s="29"/>
    </row>
    <row r="6" spans="1:26" ht="15" customHeight="1">
      <c r="A6" s="40" t="str">
        <f>A!A6</f>
        <v>Tilst</v>
      </c>
      <c r="B6" s="12"/>
      <c r="C6" s="21" t="str">
        <f>A!C6</f>
        <v xml:space="preserve"> </v>
      </c>
      <c r="D6" s="14"/>
      <c r="E6" s="14"/>
      <c r="F6" s="14"/>
      <c r="G6" s="276"/>
      <c r="H6" s="14"/>
      <c r="I6" s="41" t="s">
        <v>31</v>
      </c>
      <c r="J6" s="277">
        <f ca="1">A!J6</f>
        <v>45643.480604166667</v>
      </c>
      <c r="K6" s="14"/>
      <c r="L6" s="43"/>
      <c r="M6" s="16"/>
      <c r="N6" s="50">
        <f>IF(R4="ja",1,IF(S6=2,1,IF(S6=3,1.1,NA())))</f>
        <v>1</v>
      </c>
      <c r="O6" t="s">
        <v>38</v>
      </c>
      <c r="Q6" s="278" t="s">
        <v>1103</v>
      </c>
      <c r="R6" s="279" t="s">
        <v>1104</v>
      </c>
      <c r="S6" s="280">
        <v>2</v>
      </c>
      <c r="T6" s="280"/>
      <c r="U6" s="280" t="str">
        <f>IF(S6=2,"Middel",IF(S6=3,"Høj","Ikke tilladt !"))</f>
        <v>Middel</v>
      </c>
    </row>
    <row r="7" spans="1:26" ht="15" customHeight="1">
      <c r="N7" s="281">
        <f>IF(R4="ja",1,IF(S7="N",1,IF(S7="S",0.95,NA())))</f>
        <v>1</v>
      </c>
      <c r="O7" s="278" t="str">
        <f>IF(CD211="ny"," = gamma3"," = gamma5")</f>
        <v xml:space="preserve"> = gamma5</v>
      </c>
      <c r="Q7" s="278" t="s">
        <v>1105</v>
      </c>
      <c r="R7" s="280"/>
      <c r="S7" s="280" t="s">
        <v>56</v>
      </c>
      <c r="T7" s="282" t="str">
        <f>IF(OR(S6=2,S6=3)," ","NB !")</f>
        <v xml:space="preserve"> </v>
      </c>
      <c r="U7" s="280" t="str">
        <f>IF(S7="N","Normal",IF(S7="S","Skærpet","fejl !"))</f>
        <v>Normal</v>
      </c>
    </row>
    <row r="8" spans="1:26" ht="15" customHeight="1">
      <c r="B8" s="283" t="str">
        <f>A!B8</f>
        <v>LØB MED REPOSE I ENDE(R)</v>
      </c>
      <c r="N8" s="284" t="e">
        <f>IF(I9="N",+S8,IF(I9="S",+S9,NA()))</f>
        <v>#N/A</v>
      </c>
      <c r="O8" s="285" t="s">
        <v>59</v>
      </c>
      <c r="S8" s="286">
        <f>IF(AND(H10="XC",I10=1),15+N9,IF(H10="XC",25+N9,40+N9))</f>
        <v>45</v>
      </c>
      <c r="T8" s="280" t="s">
        <v>1106</v>
      </c>
    </row>
    <row r="9" spans="1:26" ht="15" customHeight="1">
      <c r="D9" s="287"/>
      <c r="E9" s="287"/>
      <c r="F9" s="287"/>
      <c r="G9" s="288" t="str">
        <f>IF(OR(I9="N",I9="S"),"N for Norge, S for Sverige -----------------&gt;"," ")</f>
        <v xml:space="preserve"> </v>
      </c>
      <c r="H9" s="289"/>
      <c r="I9" s="290" t="str">
        <f>A!N2</f>
        <v>D</v>
      </c>
      <c r="J9" s="287"/>
      <c r="K9" s="287" t="str">
        <f>IF(I9="N","Norge",IF(I9="S","Sverige","Fejl"))</f>
        <v>Fejl</v>
      </c>
      <c r="L9" s="287"/>
      <c r="N9" s="280">
        <v>5</v>
      </c>
      <c r="O9" t="s">
        <v>72</v>
      </c>
      <c r="S9" s="286">
        <f>IF(AND(H10="XC",I10=1),10+N9,IF(H10="XC",20+N9,IF(AND(H10="XS",I10=1),25+N9,IF(AND(H10="XD",I10=1),25+N9,40+N9))))</f>
        <v>45</v>
      </c>
      <c r="T9" s="280" t="s">
        <v>1107</v>
      </c>
    </row>
    <row r="10" spans="1:26" ht="15" customHeight="1">
      <c r="D10" s="287"/>
      <c r="E10" s="287"/>
      <c r="F10" s="287"/>
      <c r="G10" s="291" t="s">
        <v>1108</v>
      </c>
      <c r="H10" s="292" t="str">
        <f>A!H10</f>
        <v xml:space="preserve"> </v>
      </c>
      <c r="I10" s="292" t="str">
        <f>A!I10</f>
        <v>N</v>
      </c>
      <c r="J10" s="293" t="str">
        <f>IF(AND(H10="XC",I10&lt;=4)," ",IF(AND(H10="XD",I10&lt;=3)," ",IF(AND(H10="XS",I10=1)," ","Fejl")))</f>
        <v>Fejl</v>
      </c>
      <c r="K10" s="287"/>
      <c r="L10" s="287"/>
      <c r="N10" s="294" t="e">
        <f>IF(AND(MAXA(A!J28:'A'!J29)&gt;10,N8=15),10,IF(N8=20,5,IF(N8=30,5,IF(N8=40,5,0))))</f>
        <v>#N/A</v>
      </c>
      <c r="O10" s="280" t="s">
        <v>82</v>
      </c>
      <c r="S10" s="286" t="str">
        <f>IF(AND(H10="XC",I10=1),"P",IF(H10="XC","M",IF(AND(H10="XD",I10=1),"A",IF(AND(H10="XS",I10=1),"A","E"))))</f>
        <v>E</v>
      </c>
      <c r="T10" s="280" t="s">
        <v>1109</v>
      </c>
    </row>
    <row r="11" spans="1:26" ht="15" customHeight="1">
      <c r="B11" s="295"/>
      <c r="D11" s="287"/>
      <c r="E11" s="287"/>
      <c r="F11" s="287"/>
      <c r="G11" s="291" t="s">
        <v>1169</v>
      </c>
      <c r="H11" s="289"/>
      <c r="I11" s="292" t="str">
        <f>S10</f>
        <v>E</v>
      </c>
      <c r="J11" s="287"/>
      <c r="K11" s="287" t="str">
        <f>IF(I11="P","Passiv",IF(I11="M","Moderat",IF(I11="A","Aggressiv",IF(I11="E","Ekstra aggressiv","fejl !"))))</f>
        <v>Ekstra aggressiv</v>
      </c>
      <c r="L11" s="287"/>
      <c r="N11" s="296" t="e">
        <f>N8+N10</f>
        <v>#N/A</v>
      </c>
      <c r="O11" s="280" t="s">
        <v>83</v>
      </c>
      <c r="S11" s="297">
        <f>IF(S10="P",30,IF(S10="M",30,IF(S10="A",35,IF(S10="E",40,NA()))))</f>
        <v>40</v>
      </c>
      <c r="T11" s="298" t="s">
        <v>1110</v>
      </c>
    </row>
    <row r="12" spans="1:26" ht="15" customHeight="1">
      <c r="N12" s="299" t="str">
        <f>IF(I9="N","           Efter EC + norsk NA",IF(I9="S","           Efter EC + svensk NA","Fejl"))</f>
        <v>Fejl</v>
      </c>
      <c r="O12" s="280"/>
    </row>
    <row r="13" spans="1:26" ht="15" customHeight="1">
      <c r="N13" s="300">
        <f>IF(R4="ja",1.2,1.5*N7)</f>
        <v>1.5</v>
      </c>
      <c r="O13" s="280" t="s">
        <v>106</v>
      </c>
      <c r="R13" s="300" t="e">
        <f>IF(R4="ja",1,IF(I9="N",0.85,IF(I9="S",1,NA())))</f>
        <v>#N/A</v>
      </c>
      <c r="S13" s="280" t="s">
        <v>107</v>
      </c>
      <c r="V13" s="278"/>
      <c r="W13" s="278" t="s">
        <v>108</v>
      </c>
      <c r="X13" s="280" t="str">
        <f>IF(I9="N","EC + norsk NA",IF(I9="S","EC + svensk NA","Fejl"))</f>
        <v>Fejl</v>
      </c>
      <c r="Y13" s="280"/>
      <c r="Z13" s="278"/>
    </row>
    <row r="14" spans="1:26">
      <c r="N14" s="300">
        <f>IF(R4="ja",1.2,1.5*N7)</f>
        <v>1.5</v>
      </c>
      <c r="O14" s="280" t="s">
        <v>121</v>
      </c>
      <c r="R14" s="300" t="e">
        <f>IF(R4="ja",1,IF(I9="N",0.85,IF(I9="S",1,NA())))</f>
        <v>#N/A</v>
      </c>
      <c r="S14" s="280" t="s">
        <v>122</v>
      </c>
      <c r="V14" s="278"/>
      <c r="W14" s="301" t="s">
        <v>123</v>
      </c>
      <c r="X14" s="279"/>
      <c r="Y14" s="279"/>
      <c r="Z14" s="302" t="s">
        <v>124</v>
      </c>
    </row>
    <row r="15" spans="1:26">
      <c r="N15" s="300">
        <f>IF(R4="ja",1,1.15*N7)</f>
        <v>1.1499999999999999</v>
      </c>
      <c r="O15" s="280" t="s">
        <v>136</v>
      </c>
      <c r="V15" s="301" t="s">
        <v>137</v>
      </c>
      <c r="W15" s="281" t="e">
        <f>H49</f>
        <v>#N/A</v>
      </c>
      <c r="X15" s="300">
        <f>IF(R4="ja",1,1.35)</f>
        <v>1.35</v>
      </c>
      <c r="Y15" s="300">
        <f>IF(R4="ja",1,1.2)</f>
        <v>1.2</v>
      </c>
      <c r="Z15" s="302" t="e">
        <f>IF(X17=MAXA(X17:Y17),+X15,+Y15)</f>
        <v>#N/A</v>
      </c>
    </row>
    <row r="16" spans="1:26">
      <c r="C16" s="198" t="s">
        <v>1111</v>
      </c>
      <c r="N16" s="300" t="e">
        <f>IF(R4="ja",1,IF(I9="N",1.05,IF(I9="S",1,NA())))</f>
        <v>#N/A</v>
      </c>
      <c r="O16" s="280" t="s">
        <v>144</v>
      </c>
      <c r="V16" s="301" t="s">
        <v>145</v>
      </c>
      <c r="W16" s="281">
        <f>H50</f>
        <v>3</v>
      </c>
      <c r="X16" s="300">
        <f>IF(R4="ja",1,1.5*0.7)</f>
        <v>1.0499999999999998</v>
      </c>
      <c r="Y16" s="300">
        <f>IF(R4="ja",1,1.5)</f>
        <v>1.5</v>
      </c>
      <c r="Z16" s="302" t="e">
        <f>IF(X17=MAXA(X17:Y17),+X16,+Y16)</f>
        <v>#N/A</v>
      </c>
    </row>
    <row r="17" spans="3:26" ht="15" customHeight="1">
      <c r="C17" s="198" t="s">
        <v>1112</v>
      </c>
      <c r="V17" s="278"/>
      <c r="W17" s="301" t="s">
        <v>155</v>
      </c>
      <c r="X17" s="281" t="e">
        <f>W15*X15+W16*X16</f>
        <v>#N/A</v>
      </c>
      <c r="Y17" s="281" t="e">
        <f>W15*Y15+W16*Y16</f>
        <v>#N/A</v>
      </c>
      <c r="Z17" s="301" t="s">
        <v>156</v>
      </c>
    </row>
    <row r="18" spans="3:26">
      <c r="C18" s="198" t="s">
        <v>1113</v>
      </c>
    </row>
    <row r="19" spans="3:26" ht="15.75">
      <c r="H19" s="26"/>
      <c r="I19" s="303">
        <v>2</v>
      </c>
      <c r="J19" s="61" t="s">
        <v>1114</v>
      </c>
    </row>
    <row r="20" spans="3:26" ht="15.75">
      <c r="G20" s="26" t="s">
        <v>1108</v>
      </c>
      <c r="H20" s="304" t="s">
        <v>9</v>
      </c>
      <c r="I20" s="303" t="s">
        <v>56</v>
      </c>
      <c r="J20" s="61" t="s">
        <v>1114</v>
      </c>
    </row>
    <row r="21" spans="3:26" ht="15.75">
      <c r="G21" s="26"/>
      <c r="H21" s="61" t="s">
        <v>1114</v>
      </c>
      <c r="I21" s="303" t="s">
        <v>57</v>
      </c>
      <c r="J21" s="61" t="s">
        <v>1114</v>
      </c>
    </row>
    <row r="22" spans="3:26">
      <c r="C22" s="305" t="s">
        <v>1115</v>
      </c>
    </row>
    <row r="24" spans="3:26">
      <c r="C24" s="305" t="s">
        <v>1116</v>
      </c>
    </row>
    <row r="25" spans="3:26">
      <c r="C25" s="198" t="s">
        <v>1117</v>
      </c>
    </row>
    <row r="26" spans="3:26">
      <c r="C26" s="305" t="s">
        <v>1118</v>
      </c>
    </row>
    <row r="27" spans="3:26">
      <c r="C27" s="198" t="s">
        <v>1119</v>
      </c>
    </row>
    <row r="28" spans="3:26">
      <c r="C28" s="305" t="s">
        <v>1120</v>
      </c>
    </row>
    <row r="30" spans="3:26">
      <c r="C30" s="198" t="s">
        <v>1121</v>
      </c>
    </row>
    <row r="31" spans="3:26">
      <c r="C31" s="305" t="s">
        <v>1122</v>
      </c>
    </row>
    <row r="33" spans="1:7">
      <c r="C33" s="198" t="s">
        <v>1123</v>
      </c>
    </row>
    <row r="34" spans="1:7">
      <c r="C34" s="198" t="s">
        <v>1124</v>
      </c>
    </row>
    <row r="44" spans="1:7">
      <c r="B44" t="s">
        <v>381</v>
      </c>
    </row>
    <row r="45" spans="1:7">
      <c r="B45" t="s">
        <v>1125</v>
      </c>
      <c r="C45" t="s">
        <v>1126</v>
      </c>
    </row>
    <row r="46" spans="1:7">
      <c r="A46">
        <f>A!A46</f>
        <v>25</v>
      </c>
      <c r="C46" t="s">
        <v>1127</v>
      </c>
      <c r="G46" t="str">
        <f>A!G46</f>
        <v xml:space="preserve">  25 kN/m3</v>
      </c>
    </row>
    <row r="49" spans="3:19">
      <c r="H49" t="e">
        <f>LAST_1_K</f>
        <v>#N/A</v>
      </c>
    </row>
    <row r="50" spans="3:19">
      <c r="C50" t="s">
        <v>420</v>
      </c>
      <c r="F50" s="291" t="str">
        <f>IF(I9="S","kategori"," ")</f>
        <v xml:space="preserve"> </v>
      </c>
      <c r="G50" s="289" t="str">
        <f>A!G50</f>
        <v>B</v>
      </c>
      <c r="H50" s="306">
        <f>IF(I9="S",R50,3)</f>
        <v>3</v>
      </c>
      <c r="R50" s="307">
        <f>IF(G50="A",2,IF(G50="C5",5,3))</f>
        <v>3</v>
      </c>
      <c r="S50" s="280" t="s">
        <v>1128</v>
      </c>
    </row>
    <row r="52" spans="3:19" hidden="1"/>
    <row r="53" spans="3:19" hidden="1"/>
    <row r="54" spans="3:19" hidden="1"/>
    <row r="55" spans="3:19" hidden="1"/>
    <row r="56" spans="3:19" hidden="1"/>
    <row r="57" spans="3:19" hidden="1"/>
    <row r="58" spans="3:19" hidden="1"/>
    <row r="59" spans="3:19" hidden="1"/>
    <row r="60" spans="3:19" hidden="1"/>
    <row r="61" spans="3:19" hidden="1"/>
    <row r="62" spans="3:19" hidden="1"/>
    <row r="63" spans="3:19" hidden="1"/>
    <row r="64" spans="3:19" hidden="1"/>
    <row r="65" hidden="1"/>
    <row r="66" hidden="1"/>
    <row r="67" hidden="1"/>
    <row r="68" hidden="1"/>
    <row r="69" hidden="1"/>
    <row r="70" hidden="1"/>
    <row r="71" hidden="1"/>
    <row r="72" hidden="1"/>
    <row r="73" hidden="1"/>
    <row r="74" hidden="1"/>
    <row r="75" hidden="1"/>
    <row r="76" hidden="1"/>
    <row r="77" hidden="1"/>
    <row r="78" hidden="1"/>
    <row r="79" hidden="1"/>
    <row r="80" hidden="1"/>
    <row r="81" spans="2:27" hidden="1"/>
    <row r="82" spans="2:27" hidden="1"/>
    <row r="83" spans="2:27" hidden="1"/>
    <row r="84" spans="2:27" hidden="1"/>
    <row r="85" spans="2:27" hidden="1"/>
    <row r="87" spans="2:27">
      <c r="B87" t="s">
        <v>520</v>
      </c>
    </row>
    <row r="88" spans="2:27">
      <c r="O88" s="26" t="str">
        <f>A!O88</f>
        <v>ja</v>
      </c>
      <c r="P88" s="10" t="s">
        <v>526</v>
      </c>
      <c r="T88" s="308">
        <f>IF(H50&lt;=3,0.3,0.6)</f>
        <v>0.3</v>
      </c>
      <c r="U88" s="285" t="s">
        <v>1129</v>
      </c>
    </row>
    <row r="89" spans="2:27">
      <c r="C89" t="s">
        <v>528</v>
      </c>
      <c r="O89" s="307">
        <f>IF(AND(O88="ja",I9="N"),+T88,IF(AND(O88="ja",I9="S"),+T89,0))</f>
        <v>0</v>
      </c>
      <c r="P89" t="s">
        <v>529</v>
      </c>
      <c r="T89" s="308">
        <f>IF(G50="A",0.3,IF(G50="B",0.3,0.6))</f>
        <v>0.3</v>
      </c>
      <c r="U89" s="285" t="s">
        <v>1130</v>
      </c>
    </row>
    <row r="91" spans="2:27">
      <c r="F91" t="s">
        <v>541</v>
      </c>
      <c r="G91" s="26" t="s">
        <v>91</v>
      </c>
      <c r="L91" s="300" t="e">
        <f>IF(I9="N",+U91,IF(I9="S",+U92,NA()))</f>
        <v>#N/A</v>
      </c>
      <c r="U91" s="309" t="e">
        <f>0.3*MINA(Y91:Z91)</f>
        <v>#N/A</v>
      </c>
      <c r="V91" s="287" t="s">
        <v>1131</v>
      </c>
      <c r="W91" s="287"/>
      <c r="X91" s="287"/>
      <c r="Y91" s="309" t="e">
        <f>(N11-N9)/(N8-N9)</f>
        <v>#N/A</v>
      </c>
      <c r="Z91" s="309">
        <v>1.3</v>
      </c>
      <c r="AA91" s="287" t="s">
        <v>1132</v>
      </c>
    </row>
    <row r="92" spans="2:27">
      <c r="O92" s="284" t="e">
        <f>IF(I9="N",0,IF(I9="S",300,NA()))</f>
        <v>#N/A</v>
      </c>
      <c r="P92" t="s">
        <v>537</v>
      </c>
      <c r="U92" s="309">
        <f>IF(AND(H10="XC",I10&lt;3),0.45,IF(AND(H10="XC",I10&gt;2),0.4,IF(AND(H10="XS",I10&lt;3),0.3,IF(AND(H10="XD",I10&lt;3),0.3,0.2))))</f>
        <v>0.2</v>
      </c>
      <c r="V92" s="287" t="s">
        <v>1133</v>
      </c>
      <c r="W92" s="287"/>
      <c r="X92" s="287"/>
      <c r="Y92" s="10"/>
      <c r="Z92" s="10"/>
      <c r="AA92" s="10"/>
    </row>
    <row r="93" spans="2:27">
      <c r="O93" s="284" t="e">
        <f>IF(I9="N",0,IF(I9="S",400,NA()))</f>
        <v>#N/A</v>
      </c>
      <c r="P93" t="s">
        <v>537</v>
      </c>
    </row>
    <row r="94" spans="2:27">
      <c r="O94" s="284" t="e">
        <f>IF(I9="N",200,IF(I9="S",0,NA()))</f>
        <v>#N/A</v>
      </c>
      <c r="P94" t="s">
        <v>542</v>
      </c>
    </row>
  </sheetData>
  <sheetProtection algorithmName="SHA-512" hashValue="HY+Yn32vPZAC8ilUpjLtCono6+CcucCicHZrQabhoDnbcF8wDgOdd3UP4/JVRGeOlL39MwLcfP9LfT0na0cG5w==" saltValue="GyopVACmh6QbJhOrD5Mw2g=="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locked="0" defaultSize="0" autoFill="0" autoLine="0" autoPict="0">
                <anchor moveWithCells="1" sizeWithCells="1">
                  <from>
                    <xdr:col>0</xdr:col>
                    <xdr:colOff>95250</xdr:colOff>
                    <xdr:row>0</xdr:row>
                    <xdr:rowOff>76200</xdr:rowOff>
                  </from>
                  <to>
                    <xdr:col>0</xdr:col>
                    <xdr:colOff>257175</xdr:colOff>
                    <xdr:row>1</xdr:row>
                    <xdr:rowOff>85725</xdr:rowOff>
                  </to>
                </anchor>
              </controlPr>
            </control>
          </mc:Choice>
        </mc:AlternateContent>
        <mc:AlternateContent xmlns:mc="http://schemas.openxmlformats.org/markup-compatibility/2006">
          <mc:Choice Requires="x14">
            <control shapeId="9218" r:id="rId5" name="Button 2">
              <controlPr locked="0" defaultSize="0" print="0" autoFill="0" autoLine="0" autoPict="0" macro="[0]!LÅSARK">
                <anchor moveWithCells="1" sizeWithCells="1">
                  <from>
                    <xdr:col>0</xdr:col>
                    <xdr:colOff>95250</xdr:colOff>
                    <xdr:row>0</xdr:row>
                    <xdr:rowOff>76200</xdr:rowOff>
                  </from>
                  <to>
                    <xdr:col>0</xdr:col>
                    <xdr:colOff>257175</xdr:colOff>
                    <xdr:row>1</xdr:row>
                    <xdr:rowOff>85725</xdr:rowOff>
                  </to>
                </anchor>
              </controlPr>
            </control>
          </mc:Choice>
        </mc:AlternateContent>
        <mc:AlternateContent xmlns:mc="http://schemas.openxmlformats.org/markup-compatibility/2006">
          <mc:Choice Requires="x14">
            <control shapeId="9219" r:id="rId6" name="Button 3">
              <controlPr locked="0" defaultSize="0" autoFill="0" autoLine="0" autoPict="0" macro="[0]!GÅTILBAGETILarkA">
                <anchor moveWithCells="1" sizeWithCells="1">
                  <from>
                    <xdr:col>0</xdr:col>
                    <xdr:colOff>190500</xdr:colOff>
                    <xdr:row>14</xdr:row>
                    <xdr:rowOff>28575</xdr:rowOff>
                  </from>
                  <to>
                    <xdr:col>0</xdr:col>
                    <xdr:colOff>1162050</xdr:colOff>
                    <xdr:row>17</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6"/>
  <dimension ref="A2:F64"/>
  <sheetViews>
    <sheetView zoomScale="87" zoomScaleNormal="87" workbookViewId="0">
      <selection activeCell="C2" sqref="C2"/>
    </sheetView>
  </sheetViews>
  <sheetFormatPr defaultRowHeight="15"/>
  <cols>
    <col min="1" max="1" width="8.88671875" style="30"/>
    <col min="2" max="2" width="16.6640625" style="30" customWidth="1"/>
    <col min="3" max="3" width="79.21875" style="256" customWidth="1"/>
    <col min="4" max="257" width="8.88671875" style="30"/>
    <col min="258" max="258" width="16.6640625" style="30" customWidth="1"/>
    <col min="259" max="259" width="79.21875" style="30" customWidth="1"/>
    <col min="260" max="513" width="8.88671875" style="30"/>
    <col min="514" max="514" width="16.6640625" style="30" customWidth="1"/>
    <col min="515" max="515" width="79.21875" style="30" customWidth="1"/>
    <col min="516" max="769" width="8.88671875" style="30"/>
    <col min="770" max="770" width="16.6640625" style="30" customWidth="1"/>
    <col min="771" max="771" width="79.21875" style="30" customWidth="1"/>
    <col min="772" max="1025" width="8.88671875" style="30"/>
    <col min="1026" max="1026" width="16.6640625" style="30" customWidth="1"/>
    <col min="1027" max="1027" width="79.21875" style="30" customWidth="1"/>
    <col min="1028" max="1281" width="8.88671875" style="30"/>
    <col min="1282" max="1282" width="16.6640625" style="30" customWidth="1"/>
    <col min="1283" max="1283" width="79.21875" style="30" customWidth="1"/>
    <col min="1284" max="1537" width="8.88671875" style="30"/>
    <col min="1538" max="1538" width="16.6640625" style="30" customWidth="1"/>
    <col min="1539" max="1539" width="79.21875" style="30" customWidth="1"/>
    <col min="1540" max="1793" width="8.88671875" style="30"/>
    <col min="1794" max="1794" width="16.6640625" style="30" customWidth="1"/>
    <col min="1795" max="1795" width="79.21875" style="30" customWidth="1"/>
    <col min="1796" max="2049" width="8.88671875" style="30"/>
    <col min="2050" max="2050" width="16.6640625" style="30" customWidth="1"/>
    <col min="2051" max="2051" width="79.21875" style="30" customWidth="1"/>
    <col min="2052" max="2305" width="8.88671875" style="30"/>
    <col min="2306" max="2306" width="16.6640625" style="30" customWidth="1"/>
    <col min="2307" max="2307" width="79.21875" style="30" customWidth="1"/>
    <col min="2308" max="2561" width="8.88671875" style="30"/>
    <col min="2562" max="2562" width="16.6640625" style="30" customWidth="1"/>
    <col min="2563" max="2563" width="79.21875" style="30" customWidth="1"/>
    <col min="2564" max="2817" width="8.88671875" style="30"/>
    <col min="2818" max="2818" width="16.6640625" style="30" customWidth="1"/>
    <col min="2819" max="2819" width="79.21875" style="30" customWidth="1"/>
    <col min="2820" max="3073" width="8.88671875" style="30"/>
    <col min="3074" max="3074" width="16.6640625" style="30" customWidth="1"/>
    <col min="3075" max="3075" width="79.21875" style="30" customWidth="1"/>
    <col min="3076" max="3329" width="8.88671875" style="30"/>
    <col min="3330" max="3330" width="16.6640625" style="30" customWidth="1"/>
    <col min="3331" max="3331" width="79.21875" style="30" customWidth="1"/>
    <col min="3332" max="3585" width="8.88671875" style="30"/>
    <col min="3586" max="3586" width="16.6640625" style="30" customWidth="1"/>
    <col min="3587" max="3587" width="79.21875" style="30" customWidth="1"/>
    <col min="3588" max="3841" width="8.88671875" style="30"/>
    <col min="3842" max="3842" width="16.6640625" style="30" customWidth="1"/>
    <col min="3843" max="3843" width="79.21875" style="30" customWidth="1"/>
    <col min="3844" max="4097" width="8.88671875" style="30"/>
    <col min="4098" max="4098" width="16.6640625" style="30" customWidth="1"/>
    <col min="4099" max="4099" width="79.21875" style="30" customWidth="1"/>
    <col min="4100" max="4353" width="8.88671875" style="30"/>
    <col min="4354" max="4354" width="16.6640625" style="30" customWidth="1"/>
    <col min="4355" max="4355" width="79.21875" style="30" customWidth="1"/>
    <col min="4356" max="4609" width="8.88671875" style="30"/>
    <col min="4610" max="4610" width="16.6640625" style="30" customWidth="1"/>
    <col min="4611" max="4611" width="79.21875" style="30" customWidth="1"/>
    <col min="4612" max="4865" width="8.88671875" style="30"/>
    <col min="4866" max="4866" width="16.6640625" style="30" customWidth="1"/>
    <col min="4867" max="4867" width="79.21875" style="30" customWidth="1"/>
    <col min="4868" max="5121" width="8.88671875" style="30"/>
    <col min="5122" max="5122" width="16.6640625" style="30" customWidth="1"/>
    <col min="5123" max="5123" width="79.21875" style="30" customWidth="1"/>
    <col min="5124" max="5377" width="8.88671875" style="30"/>
    <col min="5378" max="5378" width="16.6640625" style="30" customWidth="1"/>
    <col min="5379" max="5379" width="79.21875" style="30" customWidth="1"/>
    <col min="5380" max="5633" width="8.88671875" style="30"/>
    <col min="5634" max="5634" width="16.6640625" style="30" customWidth="1"/>
    <col min="5635" max="5635" width="79.21875" style="30" customWidth="1"/>
    <col min="5636" max="5889" width="8.88671875" style="30"/>
    <col min="5890" max="5890" width="16.6640625" style="30" customWidth="1"/>
    <col min="5891" max="5891" width="79.21875" style="30" customWidth="1"/>
    <col min="5892" max="6145" width="8.88671875" style="30"/>
    <col min="6146" max="6146" width="16.6640625" style="30" customWidth="1"/>
    <col min="6147" max="6147" width="79.21875" style="30" customWidth="1"/>
    <col min="6148" max="6401" width="8.88671875" style="30"/>
    <col min="6402" max="6402" width="16.6640625" style="30" customWidth="1"/>
    <col min="6403" max="6403" width="79.21875" style="30" customWidth="1"/>
    <col min="6404" max="6657" width="8.88671875" style="30"/>
    <col min="6658" max="6658" width="16.6640625" style="30" customWidth="1"/>
    <col min="6659" max="6659" width="79.21875" style="30" customWidth="1"/>
    <col min="6660" max="6913" width="8.88671875" style="30"/>
    <col min="6914" max="6914" width="16.6640625" style="30" customWidth="1"/>
    <col min="6915" max="6915" width="79.21875" style="30" customWidth="1"/>
    <col min="6916" max="7169" width="8.88671875" style="30"/>
    <col min="7170" max="7170" width="16.6640625" style="30" customWidth="1"/>
    <col min="7171" max="7171" width="79.21875" style="30" customWidth="1"/>
    <col min="7172" max="7425" width="8.88671875" style="30"/>
    <col min="7426" max="7426" width="16.6640625" style="30" customWidth="1"/>
    <col min="7427" max="7427" width="79.21875" style="30" customWidth="1"/>
    <col min="7428" max="7681" width="8.88671875" style="30"/>
    <col min="7682" max="7682" width="16.6640625" style="30" customWidth="1"/>
    <col min="7683" max="7683" width="79.21875" style="30" customWidth="1"/>
    <col min="7684" max="7937" width="8.88671875" style="30"/>
    <col min="7938" max="7938" width="16.6640625" style="30" customWidth="1"/>
    <col min="7939" max="7939" width="79.21875" style="30" customWidth="1"/>
    <col min="7940" max="8193" width="8.88671875" style="30"/>
    <col min="8194" max="8194" width="16.6640625" style="30" customWidth="1"/>
    <col min="8195" max="8195" width="79.21875" style="30" customWidth="1"/>
    <col min="8196" max="8449" width="8.88671875" style="30"/>
    <col min="8450" max="8450" width="16.6640625" style="30" customWidth="1"/>
    <col min="8451" max="8451" width="79.21875" style="30" customWidth="1"/>
    <col min="8452" max="8705" width="8.88671875" style="30"/>
    <col min="8706" max="8706" width="16.6640625" style="30" customWidth="1"/>
    <col min="8707" max="8707" width="79.21875" style="30" customWidth="1"/>
    <col min="8708" max="8961" width="8.88671875" style="30"/>
    <col min="8962" max="8962" width="16.6640625" style="30" customWidth="1"/>
    <col min="8963" max="8963" width="79.21875" style="30" customWidth="1"/>
    <col min="8964" max="9217" width="8.88671875" style="30"/>
    <col min="9218" max="9218" width="16.6640625" style="30" customWidth="1"/>
    <col min="9219" max="9219" width="79.21875" style="30" customWidth="1"/>
    <col min="9220" max="9473" width="8.88671875" style="30"/>
    <col min="9474" max="9474" width="16.6640625" style="30" customWidth="1"/>
    <col min="9475" max="9475" width="79.21875" style="30" customWidth="1"/>
    <col min="9476" max="9729" width="8.88671875" style="30"/>
    <col min="9730" max="9730" width="16.6640625" style="30" customWidth="1"/>
    <col min="9731" max="9731" width="79.21875" style="30" customWidth="1"/>
    <col min="9732" max="9985" width="8.88671875" style="30"/>
    <col min="9986" max="9986" width="16.6640625" style="30" customWidth="1"/>
    <col min="9987" max="9987" width="79.21875" style="30" customWidth="1"/>
    <col min="9988" max="10241" width="8.88671875" style="30"/>
    <col min="10242" max="10242" width="16.6640625" style="30" customWidth="1"/>
    <col min="10243" max="10243" width="79.21875" style="30" customWidth="1"/>
    <col min="10244" max="10497" width="8.88671875" style="30"/>
    <col min="10498" max="10498" width="16.6640625" style="30" customWidth="1"/>
    <col min="10499" max="10499" width="79.21875" style="30" customWidth="1"/>
    <col min="10500" max="10753" width="8.88671875" style="30"/>
    <col min="10754" max="10754" width="16.6640625" style="30" customWidth="1"/>
    <col min="10755" max="10755" width="79.21875" style="30" customWidth="1"/>
    <col min="10756" max="11009" width="8.88671875" style="30"/>
    <col min="11010" max="11010" width="16.6640625" style="30" customWidth="1"/>
    <col min="11011" max="11011" width="79.21875" style="30" customWidth="1"/>
    <col min="11012" max="11265" width="8.88671875" style="30"/>
    <col min="11266" max="11266" width="16.6640625" style="30" customWidth="1"/>
    <col min="11267" max="11267" width="79.21875" style="30" customWidth="1"/>
    <col min="11268" max="11521" width="8.88671875" style="30"/>
    <col min="11522" max="11522" width="16.6640625" style="30" customWidth="1"/>
    <col min="11523" max="11523" width="79.21875" style="30" customWidth="1"/>
    <col min="11524" max="11777" width="8.88671875" style="30"/>
    <col min="11778" max="11778" width="16.6640625" style="30" customWidth="1"/>
    <col min="11779" max="11779" width="79.21875" style="30" customWidth="1"/>
    <col min="11780" max="12033" width="8.88671875" style="30"/>
    <col min="12034" max="12034" width="16.6640625" style="30" customWidth="1"/>
    <col min="12035" max="12035" width="79.21875" style="30" customWidth="1"/>
    <col min="12036" max="12289" width="8.88671875" style="30"/>
    <col min="12290" max="12290" width="16.6640625" style="30" customWidth="1"/>
    <col min="12291" max="12291" width="79.21875" style="30" customWidth="1"/>
    <col min="12292" max="12545" width="8.88671875" style="30"/>
    <col min="12546" max="12546" width="16.6640625" style="30" customWidth="1"/>
    <col min="12547" max="12547" width="79.21875" style="30" customWidth="1"/>
    <col min="12548" max="12801" width="8.88671875" style="30"/>
    <col min="12802" max="12802" width="16.6640625" style="30" customWidth="1"/>
    <col min="12803" max="12803" width="79.21875" style="30" customWidth="1"/>
    <col min="12804" max="13057" width="8.88671875" style="30"/>
    <col min="13058" max="13058" width="16.6640625" style="30" customWidth="1"/>
    <col min="13059" max="13059" width="79.21875" style="30" customWidth="1"/>
    <col min="13060" max="13313" width="8.88671875" style="30"/>
    <col min="13314" max="13314" width="16.6640625" style="30" customWidth="1"/>
    <col min="13315" max="13315" width="79.21875" style="30" customWidth="1"/>
    <col min="13316" max="13569" width="8.88671875" style="30"/>
    <col min="13570" max="13570" width="16.6640625" style="30" customWidth="1"/>
    <col min="13571" max="13571" width="79.21875" style="30" customWidth="1"/>
    <col min="13572" max="13825" width="8.88671875" style="30"/>
    <col min="13826" max="13826" width="16.6640625" style="30" customWidth="1"/>
    <col min="13827" max="13827" width="79.21875" style="30" customWidth="1"/>
    <col min="13828" max="14081" width="8.88671875" style="30"/>
    <col min="14082" max="14082" width="16.6640625" style="30" customWidth="1"/>
    <col min="14083" max="14083" width="79.21875" style="30" customWidth="1"/>
    <col min="14084" max="14337" width="8.88671875" style="30"/>
    <col min="14338" max="14338" width="16.6640625" style="30" customWidth="1"/>
    <col min="14339" max="14339" width="79.21875" style="30" customWidth="1"/>
    <col min="14340" max="14593" width="8.88671875" style="30"/>
    <col min="14594" max="14594" width="16.6640625" style="30" customWidth="1"/>
    <col min="14595" max="14595" width="79.21875" style="30" customWidth="1"/>
    <col min="14596" max="14849" width="8.88671875" style="30"/>
    <col min="14850" max="14850" width="16.6640625" style="30" customWidth="1"/>
    <col min="14851" max="14851" width="79.21875" style="30" customWidth="1"/>
    <col min="14852" max="15105" width="8.88671875" style="30"/>
    <col min="15106" max="15106" width="16.6640625" style="30" customWidth="1"/>
    <col min="15107" max="15107" width="79.21875" style="30" customWidth="1"/>
    <col min="15108" max="15361" width="8.88671875" style="30"/>
    <col min="15362" max="15362" width="16.6640625" style="30" customWidth="1"/>
    <col min="15363" max="15363" width="79.21875" style="30" customWidth="1"/>
    <col min="15364" max="15617" width="8.88671875" style="30"/>
    <col min="15618" max="15618" width="16.6640625" style="30" customWidth="1"/>
    <col min="15619" max="15619" width="79.21875" style="30" customWidth="1"/>
    <col min="15620" max="15873" width="8.88671875" style="30"/>
    <col min="15874" max="15874" width="16.6640625" style="30" customWidth="1"/>
    <col min="15875" max="15875" width="79.21875" style="30" customWidth="1"/>
    <col min="15876" max="16129" width="8.88671875" style="30"/>
    <col min="16130" max="16130" width="16.6640625" style="30" customWidth="1"/>
    <col min="16131" max="16131" width="79.21875" style="30" customWidth="1"/>
    <col min="16132" max="16384" width="8.88671875" style="30"/>
  </cols>
  <sheetData>
    <row r="2" spans="1:4">
      <c r="A2" s="255" t="str">
        <f>A!A2</f>
        <v>kriptologia</v>
      </c>
    </row>
    <row r="3" spans="1:4">
      <c r="A3" s="30" t="s">
        <v>1049</v>
      </c>
      <c r="B3" s="30" t="s">
        <v>1050</v>
      </c>
      <c r="C3" s="256" t="s">
        <v>1051</v>
      </c>
      <c r="D3" s="30" t="s">
        <v>1052</v>
      </c>
    </row>
    <row r="4" spans="1:4" ht="66" customHeight="1">
      <c r="A4" s="373">
        <v>150727</v>
      </c>
      <c r="B4" s="373" t="s">
        <v>0</v>
      </c>
      <c r="C4" s="257" t="s">
        <v>1053</v>
      </c>
      <c r="D4" s="373" t="s">
        <v>1054</v>
      </c>
    </row>
    <row r="5" spans="1:4" ht="30">
      <c r="A5" s="373"/>
      <c r="B5" s="373"/>
      <c r="C5" s="257" t="s">
        <v>1055</v>
      </c>
      <c r="D5" s="373"/>
    </row>
    <row r="6" spans="1:4">
      <c r="A6" s="373"/>
      <c r="B6" s="373"/>
      <c r="C6" s="257" t="s">
        <v>1056</v>
      </c>
      <c r="D6" s="373"/>
    </row>
    <row r="7" spans="1:4" ht="30">
      <c r="A7" s="374"/>
      <c r="B7" s="258" t="s">
        <v>1057</v>
      </c>
      <c r="C7" s="257" t="s">
        <v>1058</v>
      </c>
      <c r="D7" s="373"/>
    </row>
    <row r="8" spans="1:4">
      <c r="A8" s="374"/>
      <c r="B8" s="258" t="s">
        <v>1059</v>
      </c>
      <c r="C8" s="257" t="s">
        <v>1060</v>
      </c>
      <c r="D8" s="373"/>
    </row>
    <row r="9" spans="1:4" ht="30">
      <c r="A9" s="258">
        <v>150804</v>
      </c>
      <c r="B9" s="258" t="s">
        <v>0</v>
      </c>
      <c r="C9" s="256" t="s">
        <v>1061</v>
      </c>
      <c r="D9" s="258" t="s">
        <v>1054</v>
      </c>
    </row>
    <row r="10" spans="1:4" ht="45">
      <c r="A10" s="373">
        <v>150809</v>
      </c>
      <c r="B10" s="258" t="s">
        <v>0</v>
      </c>
      <c r="C10" s="256" t="s">
        <v>1062</v>
      </c>
      <c r="D10" s="373" t="s">
        <v>1054</v>
      </c>
    </row>
    <row r="11" spans="1:4">
      <c r="A11" s="373"/>
      <c r="B11" s="258" t="s">
        <v>1057</v>
      </c>
      <c r="C11" s="256" t="s">
        <v>1063</v>
      </c>
      <c r="D11" s="373"/>
    </row>
    <row r="12" spans="1:4" ht="30">
      <c r="A12" s="258">
        <v>150826</v>
      </c>
      <c r="B12" s="258" t="s">
        <v>0</v>
      </c>
      <c r="C12" s="256" t="s">
        <v>1064</v>
      </c>
      <c r="D12" s="258" t="s">
        <v>1054</v>
      </c>
    </row>
    <row r="13" spans="1:4" ht="45">
      <c r="A13" s="373">
        <v>150827</v>
      </c>
      <c r="B13" s="258" t="s">
        <v>0</v>
      </c>
      <c r="C13" s="257" t="s">
        <v>1065</v>
      </c>
      <c r="D13" s="373" t="s">
        <v>1054</v>
      </c>
    </row>
    <row r="14" spans="1:4" ht="30">
      <c r="A14" s="373"/>
      <c r="B14" s="258" t="s">
        <v>1057</v>
      </c>
      <c r="C14" s="257" t="s">
        <v>1066</v>
      </c>
      <c r="D14" s="373"/>
    </row>
    <row r="15" spans="1:4">
      <c r="A15" s="258">
        <v>150828</v>
      </c>
      <c r="B15" s="259" t="s">
        <v>0</v>
      </c>
      <c r="C15" s="260" t="s">
        <v>1067</v>
      </c>
      <c r="D15" s="259" t="s">
        <v>1054</v>
      </c>
    </row>
    <row r="16" spans="1:4" ht="60">
      <c r="A16" s="258">
        <v>150903</v>
      </c>
      <c r="B16" s="258" t="s">
        <v>0</v>
      </c>
      <c r="C16" s="256" t="s">
        <v>1068</v>
      </c>
      <c r="D16" s="258" t="s">
        <v>1054</v>
      </c>
    </row>
    <row r="17" spans="1:4">
      <c r="A17" s="258">
        <v>150911</v>
      </c>
      <c r="B17" s="258" t="s">
        <v>1057</v>
      </c>
      <c r="C17" s="261" t="s">
        <v>1069</v>
      </c>
      <c r="D17" s="259" t="s">
        <v>1054</v>
      </c>
    </row>
    <row r="18" spans="1:4">
      <c r="A18" s="258">
        <v>150916</v>
      </c>
      <c r="B18" s="258" t="s">
        <v>1057</v>
      </c>
      <c r="C18" s="261" t="s">
        <v>1070</v>
      </c>
      <c r="D18" s="259" t="s">
        <v>1054</v>
      </c>
    </row>
    <row r="19" spans="1:4">
      <c r="A19" s="258">
        <v>160305</v>
      </c>
      <c r="B19" s="258" t="s">
        <v>0</v>
      </c>
      <c r="C19" s="256" t="s">
        <v>1071</v>
      </c>
      <c r="D19" s="258" t="s">
        <v>1054</v>
      </c>
    </row>
    <row r="20" spans="1:4">
      <c r="A20" s="373">
        <v>160510</v>
      </c>
      <c r="B20" s="258" t="s">
        <v>1072</v>
      </c>
      <c r="C20" s="261" t="s">
        <v>1073</v>
      </c>
      <c r="D20" s="373" t="s">
        <v>1054</v>
      </c>
    </row>
    <row r="21" spans="1:4" ht="30">
      <c r="A21" s="373"/>
      <c r="B21" s="258" t="s">
        <v>0</v>
      </c>
      <c r="C21" s="256" t="s">
        <v>1074</v>
      </c>
      <c r="D21" s="372"/>
    </row>
    <row r="22" spans="1:4" ht="60">
      <c r="A22" s="374"/>
      <c r="B22" s="258" t="s">
        <v>1075</v>
      </c>
      <c r="C22" s="256" t="s">
        <v>1076</v>
      </c>
      <c r="D22" s="372"/>
    </row>
    <row r="23" spans="1:4" ht="30">
      <c r="A23" s="258">
        <v>160522</v>
      </c>
      <c r="B23" s="258" t="s">
        <v>0</v>
      </c>
      <c r="C23" s="256" t="s">
        <v>1077</v>
      </c>
      <c r="D23" s="258" t="s">
        <v>1054</v>
      </c>
    </row>
    <row r="24" spans="1:4">
      <c r="A24" s="258">
        <v>160620</v>
      </c>
      <c r="B24" s="258" t="s">
        <v>1072</v>
      </c>
      <c r="C24" s="256" t="s">
        <v>1078</v>
      </c>
      <c r="D24" s="258" t="s">
        <v>1054</v>
      </c>
    </row>
    <row r="25" spans="1:4" ht="30">
      <c r="A25" s="258">
        <v>161018</v>
      </c>
      <c r="B25" s="258" t="s">
        <v>0</v>
      </c>
      <c r="C25" s="256" t="s">
        <v>1079</v>
      </c>
      <c r="D25" s="258" t="s">
        <v>1054</v>
      </c>
    </row>
    <row r="26" spans="1:4">
      <c r="A26" s="258">
        <v>170418</v>
      </c>
      <c r="B26" s="258" t="s">
        <v>0</v>
      </c>
      <c r="C26" s="256" t="s">
        <v>1080</v>
      </c>
      <c r="D26" s="258" t="s">
        <v>1054</v>
      </c>
    </row>
    <row r="27" spans="1:4" ht="60" customHeight="1">
      <c r="A27" s="257">
        <v>170531</v>
      </c>
      <c r="B27" s="257" t="s">
        <v>0</v>
      </c>
      <c r="C27" s="256" t="s">
        <v>1081</v>
      </c>
      <c r="D27" s="257" t="s">
        <v>1054</v>
      </c>
    </row>
    <row r="28" spans="1:4" ht="30.75">
      <c r="A28" s="373">
        <v>180112</v>
      </c>
      <c r="B28" s="262" t="s">
        <v>1082</v>
      </c>
      <c r="C28" s="263" t="s">
        <v>1141</v>
      </c>
      <c r="D28" s="371" t="s">
        <v>1054</v>
      </c>
    </row>
    <row r="29" spans="1:4">
      <c r="A29" s="374"/>
      <c r="B29" s="373" t="s">
        <v>0</v>
      </c>
      <c r="C29" s="256" t="s">
        <v>1140</v>
      </c>
      <c r="D29" s="372"/>
    </row>
    <row r="30" spans="1:4" ht="45">
      <c r="A30" s="374"/>
      <c r="B30" s="374"/>
      <c r="C30" s="256" t="s">
        <v>1142</v>
      </c>
      <c r="D30" s="372"/>
    </row>
    <row r="31" spans="1:4">
      <c r="A31" s="258">
        <v>180205</v>
      </c>
      <c r="B31" s="258" t="s">
        <v>1057</v>
      </c>
      <c r="C31" s="256" t="s">
        <v>1145</v>
      </c>
      <c r="D31" s="30" t="s">
        <v>1054</v>
      </c>
    </row>
    <row r="32" spans="1:4" ht="30">
      <c r="A32" s="258">
        <v>180211</v>
      </c>
      <c r="B32" s="257" t="s">
        <v>1147</v>
      </c>
      <c r="C32" s="256" t="s">
        <v>1148</v>
      </c>
      <c r="D32" s="30" t="s">
        <v>1054</v>
      </c>
    </row>
    <row r="33" spans="1:6" ht="75">
      <c r="A33" s="373">
        <v>180514</v>
      </c>
      <c r="B33" s="257" t="s">
        <v>0</v>
      </c>
      <c r="C33" s="256" t="s">
        <v>1163</v>
      </c>
      <c r="D33" s="371" t="s">
        <v>1054</v>
      </c>
    </row>
    <row r="34" spans="1:6" ht="30">
      <c r="A34" s="374"/>
      <c r="B34" s="260" t="s">
        <v>1072</v>
      </c>
      <c r="C34" s="256" t="s">
        <v>1168</v>
      </c>
      <c r="D34" s="372"/>
    </row>
    <row r="35" spans="1:6">
      <c r="A35" s="373">
        <v>181216</v>
      </c>
      <c r="B35" s="257" t="s">
        <v>1170</v>
      </c>
      <c r="C35" s="256" t="s">
        <v>1171</v>
      </c>
      <c r="D35" s="371" t="s">
        <v>1054</v>
      </c>
    </row>
    <row r="36" spans="1:6">
      <c r="A36" s="374"/>
      <c r="B36" s="257" t="s">
        <v>1172</v>
      </c>
      <c r="C36" s="256" t="s">
        <v>1180</v>
      </c>
      <c r="D36" s="372"/>
    </row>
    <row r="37" spans="1:6" ht="45">
      <c r="A37" s="374"/>
      <c r="B37" s="257" t="s">
        <v>0</v>
      </c>
      <c r="C37" s="256" t="s">
        <v>1174</v>
      </c>
      <c r="D37" s="372"/>
    </row>
    <row r="38" spans="1:6">
      <c r="A38" s="374"/>
      <c r="B38" s="257" t="s">
        <v>1057</v>
      </c>
      <c r="C38" s="256" t="s">
        <v>1175</v>
      </c>
      <c r="D38" s="372"/>
    </row>
    <row r="39" spans="1:6" ht="30">
      <c r="A39" s="258">
        <v>181217</v>
      </c>
      <c r="B39" s="257" t="s">
        <v>0</v>
      </c>
      <c r="C39" s="256" t="s">
        <v>1176</v>
      </c>
      <c r="D39" s="30" t="s">
        <v>1054</v>
      </c>
    </row>
    <row r="40" spans="1:6" ht="60">
      <c r="A40" s="258">
        <v>181218</v>
      </c>
      <c r="B40" s="257" t="s">
        <v>1172</v>
      </c>
      <c r="C40" s="256" t="s">
        <v>1179</v>
      </c>
      <c r="D40" s="30" t="s">
        <v>1054</v>
      </c>
    </row>
    <row r="41" spans="1:6">
      <c r="A41" s="258">
        <v>190119</v>
      </c>
      <c r="B41" s="257" t="s">
        <v>0</v>
      </c>
      <c r="C41" s="256" t="s">
        <v>1181</v>
      </c>
      <c r="D41" s="30" t="s">
        <v>1054</v>
      </c>
    </row>
    <row r="42" spans="1:6">
      <c r="A42" s="258">
        <v>190701</v>
      </c>
      <c r="B42" s="257" t="s">
        <v>0</v>
      </c>
      <c r="C42" s="256" t="s">
        <v>1182</v>
      </c>
      <c r="D42" s="30" t="s">
        <v>1054</v>
      </c>
    </row>
    <row r="43" spans="1:6">
      <c r="A43" s="258"/>
      <c r="B43" s="257"/>
    </row>
    <row r="44" spans="1:6">
      <c r="A44" s="258"/>
      <c r="B44" s="257"/>
    </row>
    <row r="45" spans="1:6">
      <c r="A45" s="258"/>
      <c r="B45" s="257"/>
    </row>
    <row r="46" spans="1:6">
      <c r="A46" s="258"/>
      <c r="B46" s="257"/>
      <c r="F46" s="30" t="s">
        <v>9</v>
      </c>
    </row>
    <row r="47" spans="1:6">
      <c r="A47" s="258"/>
      <c r="B47" s="257"/>
    </row>
    <row r="48" spans="1:6">
      <c r="A48" s="258"/>
      <c r="B48" s="257"/>
    </row>
    <row r="49" spans="1:2">
      <c r="A49" s="258"/>
      <c r="B49" s="257"/>
    </row>
    <row r="50" spans="1:2">
      <c r="A50" s="258"/>
      <c r="B50" s="257"/>
    </row>
    <row r="51" spans="1:2">
      <c r="A51" s="258"/>
      <c r="B51" s="257"/>
    </row>
    <row r="52" spans="1:2">
      <c r="A52" s="258"/>
      <c r="B52" s="257"/>
    </row>
    <row r="53" spans="1:2">
      <c r="A53" s="258"/>
      <c r="B53" s="257"/>
    </row>
    <row r="54" spans="1:2">
      <c r="A54" s="258"/>
      <c r="B54" s="257"/>
    </row>
    <row r="55" spans="1:2">
      <c r="B55" s="256"/>
    </row>
    <row r="56" spans="1:2">
      <c r="B56" s="256"/>
    </row>
    <row r="57" spans="1:2">
      <c r="B57" s="256"/>
    </row>
    <row r="58" spans="1:2">
      <c r="B58" s="256"/>
    </row>
    <row r="59" spans="1:2">
      <c r="B59" s="256"/>
    </row>
    <row r="60" spans="1:2">
      <c r="B60" s="256"/>
    </row>
    <row r="61" spans="1:2">
      <c r="B61" s="256"/>
    </row>
    <row r="62" spans="1:2">
      <c r="B62" s="256"/>
    </row>
    <row r="63" spans="1:2">
      <c r="B63" s="256"/>
    </row>
    <row r="64" spans="1:2">
      <c r="B64" s="256"/>
    </row>
  </sheetData>
  <sheetProtection algorithmName="SHA-512" hashValue="tgAlyQKRsf/dTipmmzr1Sv2jbX51udTFYH2FvOqHVhW2uZqSYb3du5G0fLrcRdEAk+Dk90fC2PWtnhXJz0kepA==" saltValue="FsIp2UKTv9SxXXvMeQ6dBA==" spinCount="100000" sheet="1" objects="1" scenarios="1"/>
  <mergeCells count="16">
    <mergeCell ref="A4:A8"/>
    <mergeCell ref="B4:B6"/>
    <mergeCell ref="D4:D8"/>
    <mergeCell ref="A10:A11"/>
    <mergeCell ref="D10:D11"/>
    <mergeCell ref="D35:D38"/>
    <mergeCell ref="A35:A38"/>
    <mergeCell ref="A20:A22"/>
    <mergeCell ref="D20:D22"/>
    <mergeCell ref="A13:A14"/>
    <mergeCell ref="D13:D14"/>
    <mergeCell ref="D33:D34"/>
    <mergeCell ref="A33:A34"/>
    <mergeCell ref="A28:A30"/>
    <mergeCell ref="B29:B30"/>
    <mergeCell ref="D28:D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locked="0" defaultSize="0" print="0" autoFill="0" autoLine="0" autoPict="0" macro="[0]!LÅSARK">
                <anchor moveWithCells="1" sizeWithCells="1">
                  <from>
                    <xdr:col>0</xdr:col>
                    <xdr:colOff>133350</xdr:colOff>
                    <xdr:row>0</xdr:row>
                    <xdr:rowOff>57150</xdr:rowOff>
                  </from>
                  <to>
                    <xdr:col>0</xdr:col>
                    <xdr:colOff>276225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6</vt:i4>
      </vt:variant>
      <vt:variant>
        <vt:lpstr>Navngivne områder</vt:lpstr>
      </vt:variant>
      <vt:variant>
        <vt:i4>37</vt:i4>
      </vt:variant>
    </vt:vector>
  </HeadingPairs>
  <TitlesOfParts>
    <vt:vector size="43" baseType="lpstr">
      <vt:lpstr>A</vt:lpstr>
      <vt:lpstr>m.sidedorne</vt:lpstr>
      <vt:lpstr>UdskriftsarkA</vt:lpstr>
      <vt:lpstr>UdskriftsarkDorn</vt:lpstr>
      <vt:lpstr>NS</vt:lpstr>
      <vt:lpstr>Logbog</vt:lpstr>
      <vt:lpstr>A1H</vt:lpstr>
      <vt:lpstr>A1V</vt:lpstr>
      <vt:lpstr>A2H</vt:lpstr>
      <vt:lpstr>A2V</vt:lpstr>
      <vt:lpstr>ADH</vt:lpstr>
      <vt:lpstr>ADV</vt:lpstr>
      <vt:lpstr>ARMDIAM</vt:lpstr>
      <vt:lpstr>ARMDIAMX</vt:lpstr>
      <vt:lpstr>B</vt:lpstr>
      <vt:lpstr>DORNDIAM</vt:lpstr>
      <vt:lpstr>DÆKLAG</vt:lpstr>
      <vt:lpstr>FCD</vt:lpstr>
      <vt:lpstr>FCK</vt:lpstr>
      <vt:lpstr>GAMMAC</vt:lpstr>
      <vt:lpstr>GAMMACTRÆK</vt:lpstr>
      <vt:lpstr>GAMMADORN</vt:lpstr>
      <vt:lpstr>GAMMAS</vt:lpstr>
      <vt:lpstr>H</vt:lpstr>
      <vt:lpstr>HÆLDNRAD</vt:lpstr>
      <vt:lpstr>LAST_1_2_R</vt:lpstr>
      <vt:lpstr>LAST_1_K</vt:lpstr>
      <vt:lpstr>LAST_2_K</vt:lpstr>
      <vt:lpstr>LV</vt:lpstr>
      <vt:lpstr>R_4</vt:lpstr>
      <vt:lpstr>S</vt:lpstr>
      <vt:lpstr>T</vt:lpstr>
      <vt:lpstr>TG</vt:lpstr>
      <vt:lpstr>TR</vt:lpstr>
      <vt:lpstr>A!Udskriftsområde</vt:lpstr>
      <vt:lpstr>m.sidedorne!Udskriftsområde</vt:lpstr>
      <vt:lpstr>UdskriftsarkA!Udskriftsområde</vt:lpstr>
      <vt:lpstr>UdskriftsarkDorn!Udskriftsområde</vt:lpstr>
      <vt:lpstr>A!Udskriftstitler</vt:lpstr>
      <vt:lpstr>m.sidedorne!Udskriftstitler</vt:lpstr>
      <vt:lpstr>UdskriftsarkA!Udskriftstitler</vt:lpstr>
      <vt:lpstr>UdskriftsarkDorn!Udskriftstitler</vt:lpstr>
      <vt:lpstr>V</vt:lpstr>
    </vt:vector>
  </TitlesOfParts>
  <Company>CRH Denmark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Søren F. Johansen</dc:creator>
  <cp:lastModifiedBy>Laugesen, Kristian Damgaard</cp:lastModifiedBy>
  <cp:lastPrinted>2018-01-11T11:35:06Z</cp:lastPrinted>
  <dcterms:created xsi:type="dcterms:W3CDTF">2018-01-06T13:21:38Z</dcterms:created>
  <dcterms:modified xsi:type="dcterms:W3CDTF">2024-12-17T10:32:09Z</dcterms:modified>
</cp:coreProperties>
</file>