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trlProps/ctrlProp43.xml" ContentType="application/vnd.ms-excel.controlproperties+xml"/>
  <Override PartName="/xl/drawings/drawing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4.xml" ContentType="application/vnd.openxmlformats-officedocument.drawing+xml"/>
  <Override PartName="/xl/ctrlProps/ctrlProp49.xml" ContentType="application/vnd.ms-excel.controlproperties+xml"/>
  <Override PartName="/xl/ctrlProps/ctrlProp50.xml" ContentType="application/vnd.ms-excel.controlproperties+xml"/>
  <Override PartName="/xl/charts/chart7.xml" ContentType="application/vnd.openxmlformats-officedocument.drawingml.chart+xml"/>
  <Override PartName="/xl/drawings/drawing5.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6.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7.xml" ContentType="application/vnd.openxmlformats-officedocument.drawing+xml"/>
  <Override PartName="/xl/ctrlProps/ctrlProp5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updateLinks="never" codeName="Denne_projektmappe"/>
  <mc:AlternateContent xmlns:mc="http://schemas.openxmlformats.org/markup-compatibility/2006">
    <mc:Choice Requires="x15">
      <x15ac:absPath xmlns:x15ac="http://schemas.microsoft.com/office/spreadsheetml/2010/11/ac" url="https://crhemea-my.sharepoint.com/personal/kdl_crhconcrete_dk/Documents/Dokumenter/Udvikling/Dalton_Trapper/Dalton_Trapper/TrappeApp/Model/Projektering tab/Beregningsark/"/>
    </mc:Choice>
  </mc:AlternateContent>
  <xr:revisionPtr revIDLastSave="16" documentId="13_ncr:1_{202F449B-A178-4C60-851A-0BC488A990F8}" xr6:coauthVersionLast="47" xr6:coauthVersionMax="47" xr10:uidLastSave="{D4D7C872-E3F4-4ACD-A5E6-5B7A13E5BDA0}"/>
  <workbookProtection workbookAlgorithmName="SHA-512" workbookHashValue="mu9zCqx1UXtMIM3y2hfGBJn5bpq47quaxNTv5zyVHzr7OeUd07W7njWziInNZul5ugnyCAbrQdVWIKIsLP0Vcg==" workbookSaltValue="h5a9x/jt3VH5hMVr9xX4kg==" workbookSpinCount="100000" lockStructure="1"/>
  <bookViews>
    <workbookView xWindow="22932" yWindow="-108" windowWidth="23256" windowHeight="13896" xr2:uid="{00000000-000D-0000-FFFF-FFFF00000000}"/>
  </bookViews>
  <sheets>
    <sheet name="A" sheetId="1" r:id="rId1"/>
    <sheet name="oversidearmer." sheetId="2" r:id="rId2"/>
    <sheet name="forsk.forkant" sheetId="9" r:id="rId3"/>
    <sheet name="UdskriftsarkA" sheetId="3" r:id="rId4"/>
    <sheet name="UdskriftsarkDorn" sheetId="5" r:id="rId5"/>
    <sheet name="NS" sheetId="6" r:id="rId6"/>
    <sheet name="Logbog" sheetId="7" r:id="rId7"/>
  </sheets>
  <definedNames>
    <definedName name="ARMDIAM">A!$J$28</definedName>
    <definedName name="BPLADE">A!$J$19</definedName>
    <definedName name="DORNDIAM">A!$J$117</definedName>
    <definedName name="DÆKLAG">A!$N$9</definedName>
    <definedName name="FCD">A!$J$23</definedName>
    <definedName name="FCK">A!$J$22</definedName>
    <definedName name="FYD">A!$J$29</definedName>
    <definedName name="GAMMAC">A!$N$17</definedName>
    <definedName name="GAMMACTRÆK">A!$N$18</definedName>
    <definedName name="GAMMADORN">A!$N$20</definedName>
    <definedName name="GAMMAS">A!$N$19</definedName>
    <definedName name="H">A!$L$34</definedName>
    <definedName name="L">A!$J$32</definedName>
    <definedName name="R_4">A!$J$109</definedName>
    <definedName name="REPL">A!$J$16</definedName>
    <definedName name="T">A!$J$14</definedName>
    <definedName name="_xlnm.Print_Area" localSheetId="2">forsk.forkant!$A$1:$M$138</definedName>
    <definedName name="_xlnm.Print_Area" localSheetId="1">oversidearmer.!$A$1:$M$68</definedName>
    <definedName name="_xlnm.Print_Area" localSheetId="3">UdskriftsarkA!$A$1:$M$399</definedName>
    <definedName name="_xlnm.Print_Area" localSheetId="4">UdskriftsarkDorn!$A$1:$M$61</definedName>
    <definedName name="_xlnm.Print_Titles" localSheetId="0">A!$1:$6</definedName>
    <definedName name="_xlnm.Print_Titles" localSheetId="2">forsk.forkant!$1:$7</definedName>
    <definedName name="_xlnm.Print_Titles" localSheetId="1">oversidearmer.!$1:$7</definedName>
    <definedName name="_xlnm.Print_Titles" localSheetId="3">UdskriftsarkA!$1:$7</definedName>
    <definedName name="_xlnm.Print_Titles" localSheetId="4">UdskriftsarkDorn!$1:$7</definedName>
    <definedName name="V">A!$J$34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92" i="1" l="1"/>
  <c r="J14" i="1" l="1"/>
  <c r="D129" i="9" l="1"/>
  <c r="D128" i="9"/>
  <c r="D127" i="9"/>
  <c r="D126" i="9"/>
  <c r="D125" i="9"/>
  <c r="D124" i="9"/>
  <c r="D123" i="9"/>
  <c r="J21" i="9" l="1"/>
  <c r="J81" i="9" s="1"/>
  <c r="J12" i="9" l="1"/>
  <c r="C15" i="9" s="1"/>
  <c r="C84" i="9" s="1"/>
  <c r="AB72" i="1" l="1"/>
  <c r="AB71" i="1"/>
  <c r="AC101" i="1" l="1"/>
  <c r="AC102" i="1" s="1"/>
  <c r="AC126" i="1"/>
  <c r="AC127" i="1" s="1"/>
  <c r="C266" i="3" l="1"/>
  <c r="C286" i="3"/>
  <c r="P44" i="1" l="1"/>
  <c r="U41" i="1" l="1"/>
  <c r="T41" i="1"/>
  <c r="F297" i="3" l="1"/>
  <c r="U46" i="1" l="1"/>
  <c r="S46" i="1"/>
  <c r="U43" i="1"/>
  <c r="S43" i="1"/>
  <c r="S52" i="1" s="1"/>
  <c r="V42" i="1"/>
  <c r="U42" i="1"/>
  <c r="T42" i="1"/>
  <c r="S42" i="1"/>
  <c r="U52" i="1" l="1"/>
  <c r="V43" i="1"/>
  <c r="V52" i="1" s="1"/>
  <c r="CG21" i="1"/>
  <c r="J357" i="1" l="1"/>
  <c r="J356" i="1"/>
  <c r="J374" i="1" l="1"/>
  <c r="H359" i="1"/>
  <c r="A176" i="1"/>
  <c r="J120" i="1"/>
  <c r="H41" i="1"/>
  <c r="H187" i="1" l="1"/>
  <c r="H204" i="1" s="1"/>
  <c r="C186" i="1"/>
  <c r="A184" i="1"/>
  <c r="J166" i="1"/>
  <c r="J129" i="1"/>
  <c r="H125" i="1"/>
  <c r="J51" i="1"/>
  <c r="J49" i="1"/>
  <c r="J50" i="1" s="1"/>
  <c r="J48" i="1"/>
  <c r="H51" i="1"/>
  <c r="H48" i="1"/>
  <c r="H50" i="1" s="1"/>
  <c r="L36" i="1"/>
  <c r="L35" i="1"/>
  <c r="J36" i="1"/>
  <c r="J35" i="1"/>
  <c r="J26" i="1"/>
  <c r="H27" i="1"/>
  <c r="H26" i="1"/>
  <c r="J17" i="1"/>
  <c r="J16" i="1"/>
  <c r="H49" i="1" l="1"/>
  <c r="N49" i="1" s="1"/>
  <c r="J41" i="9"/>
  <c r="J24" i="9"/>
  <c r="G142" i="3" l="1"/>
  <c r="I142" i="3"/>
  <c r="I143" i="3"/>
  <c r="K143" i="3"/>
  <c r="G144" i="3"/>
  <c r="J144" i="3"/>
  <c r="G145" i="3"/>
  <c r="H145" i="3"/>
  <c r="I145" i="3"/>
  <c r="J145" i="3"/>
  <c r="K145" i="3"/>
  <c r="G146" i="3"/>
  <c r="J146" i="3"/>
  <c r="G147" i="3"/>
  <c r="J147" i="3"/>
  <c r="J44" i="3"/>
  <c r="M44" i="3"/>
  <c r="D393" i="3" l="1"/>
  <c r="E393" i="3"/>
  <c r="I394" i="3"/>
  <c r="L394" i="3"/>
  <c r="L391" i="3"/>
  <c r="I391" i="3"/>
  <c r="G365" i="3"/>
  <c r="J365" i="3"/>
  <c r="G366" i="3"/>
  <c r="K366" i="3"/>
  <c r="B363" i="3"/>
  <c r="C289" i="3"/>
  <c r="E189" i="3"/>
  <c r="L179" i="3"/>
  <c r="F118" i="3"/>
  <c r="F120" i="3"/>
  <c r="C120" i="3"/>
  <c r="C118" i="3"/>
  <c r="F117" i="3"/>
  <c r="E115" i="3"/>
  <c r="K91" i="3"/>
  <c r="J91" i="3"/>
  <c r="H91" i="3"/>
  <c r="G91" i="3"/>
  <c r="C58" i="3"/>
  <c r="C32" i="3"/>
  <c r="D31" i="3"/>
  <c r="C31" i="3"/>
  <c r="A285" i="3"/>
  <c r="A286" i="3"/>
  <c r="D297" i="3"/>
  <c r="E294" i="3"/>
  <c r="C295" i="3"/>
  <c r="B297" i="3"/>
  <c r="D302" i="3"/>
  <c r="G294" i="3"/>
  <c r="H294" i="3"/>
  <c r="I294" i="3"/>
  <c r="J294" i="3"/>
  <c r="K294" i="3"/>
  <c r="G295" i="3"/>
  <c r="I295" i="3"/>
  <c r="J295" i="3"/>
  <c r="K295" i="3"/>
  <c r="G296" i="3"/>
  <c r="H296" i="3"/>
  <c r="I296" i="3"/>
  <c r="J296" i="3"/>
  <c r="K296" i="3"/>
  <c r="G297" i="3"/>
  <c r="H297" i="3"/>
  <c r="I297" i="3"/>
  <c r="J297" i="3"/>
  <c r="K297" i="3"/>
  <c r="H298" i="3"/>
  <c r="I298" i="3"/>
  <c r="K298" i="3"/>
  <c r="H299" i="3"/>
  <c r="I299" i="3"/>
  <c r="K299" i="3"/>
  <c r="H300" i="3"/>
  <c r="I300" i="3"/>
  <c r="J300" i="3"/>
  <c r="K300" i="3"/>
  <c r="H301" i="3"/>
  <c r="I301" i="3"/>
  <c r="K301" i="3"/>
  <c r="G302" i="3"/>
  <c r="J302" i="3"/>
  <c r="G303" i="3"/>
  <c r="I303" i="3"/>
  <c r="K303" i="3"/>
  <c r="H304" i="3"/>
  <c r="I304" i="3"/>
  <c r="K304" i="3"/>
  <c r="H305" i="3"/>
  <c r="I305" i="3"/>
  <c r="K305" i="3"/>
  <c r="H306" i="3"/>
  <c r="J306" i="3"/>
  <c r="K306" i="3"/>
  <c r="H307" i="3"/>
  <c r="I307" i="3"/>
  <c r="K307" i="3"/>
  <c r="G308" i="3"/>
  <c r="I308" i="3"/>
  <c r="K308" i="3"/>
  <c r="G309" i="3"/>
  <c r="J309" i="3"/>
  <c r="G310" i="3"/>
  <c r="J310" i="3"/>
  <c r="G311" i="3"/>
  <c r="H311" i="3"/>
  <c r="I311" i="3"/>
  <c r="J311" i="3"/>
  <c r="K311" i="3"/>
  <c r="G312" i="3"/>
  <c r="J312" i="3"/>
  <c r="H313" i="3"/>
  <c r="I313" i="3"/>
  <c r="K313" i="3"/>
  <c r="H314" i="3"/>
  <c r="I314" i="3"/>
  <c r="K314" i="3"/>
  <c r="G315" i="3"/>
  <c r="K315" i="3"/>
  <c r="G288" i="3"/>
  <c r="A265" i="3"/>
  <c r="A264" i="3"/>
  <c r="G255" i="3"/>
  <c r="H255" i="3"/>
  <c r="I255" i="3"/>
  <c r="K255" i="3"/>
  <c r="G256" i="3"/>
  <c r="H256" i="3"/>
  <c r="I256" i="3"/>
  <c r="K256" i="3"/>
  <c r="G257" i="3"/>
  <c r="H257" i="3"/>
  <c r="I257" i="3"/>
  <c r="K257" i="3"/>
  <c r="H258" i="3"/>
  <c r="I258" i="3"/>
  <c r="K258" i="3"/>
  <c r="G259" i="3"/>
  <c r="K260" i="3"/>
  <c r="H261" i="3"/>
  <c r="I261" i="3"/>
  <c r="K261" i="3"/>
  <c r="H262" i="3"/>
  <c r="I262" i="3"/>
  <c r="K262" i="3"/>
  <c r="H263" i="3"/>
  <c r="I263" i="3"/>
  <c r="K263" i="3"/>
  <c r="G264" i="3"/>
  <c r="H264" i="3"/>
  <c r="K264" i="3"/>
  <c r="G265" i="3"/>
  <c r="I265" i="3"/>
  <c r="K265" i="3"/>
  <c r="K266" i="3"/>
  <c r="H267" i="3"/>
  <c r="I267" i="3"/>
  <c r="J267" i="3"/>
  <c r="K267" i="3"/>
  <c r="G268" i="3"/>
  <c r="K268" i="3"/>
  <c r="G269" i="3"/>
  <c r="K269" i="3"/>
  <c r="H271" i="3"/>
  <c r="L271" i="3"/>
  <c r="G272" i="3"/>
  <c r="J272" i="3"/>
  <c r="G273" i="3"/>
  <c r="J273" i="3"/>
  <c r="H252" i="3"/>
  <c r="I252" i="3"/>
  <c r="K252" i="3"/>
  <c r="H253" i="3"/>
  <c r="I253" i="3"/>
  <c r="K253" i="3"/>
  <c r="B251" i="3"/>
  <c r="D227" i="3"/>
  <c r="F222" i="3"/>
  <c r="K222" i="3"/>
  <c r="G223" i="3"/>
  <c r="G224" i="3"/>
  <c r="J224" i="3"/>
  <c r="G227" i="3"/>
  <c r="G228" i="3"/>
  <c r="J228" i="3"/>
  <c r="G229" i="3"/>
  <c r="J229" i="3"/>
  <c r="K213" i="3"/>
  <c r="H214" i="3"/>
  <c r="I214" i="3"/>
  <c r="K214" i="3"/>
  <c r="H215" i="3"/>
  <c r="I215" i="3"/>
  <c r="K215" i="3"/>
  <c r="H216" i="3"/>
  <c r="I216" i="3"/>
  <c r="K216" i="3"/>
  <c r="J217" i="3"/>
  <c r="G217" i="3"/>
  <c r="F212" i="3"/>
  <c r="G212" i="3"/>
  <c r="H198" i="3"/>
  <c r="I198" i="3"/>
  <c r="K198" i="3"/>
  <c r="J208" i="3"/>
  <c r="H204" i="3"/>
  <c r="I204" i="3"/>
  <c r="J204" i="3"/>
  <c r="K204" i="3"/>
  <c r="H205" i="3"/>
  <c r="I205" i="3"/>
  <c r="K205" i="3"/>
  <c r="H206" i="3"/>
  <c r="I206" i="3"/>
  <c r="K206" i="3"/>
  <c r="H207" i="3"/>
  <c r="I207" i="3"/>
  <c r="K207" i="3"/>
  <c r="F207" i="3"/>
  <c r="G208" i="3"/>
  <c r="G204" i="3"/>
  <c r="F204" i="3"/>
  <c r="C200" i="3"/>
  <c r="D193" i="3"/>
  <c r="G193" i="3"/>
  <c r="J191" i="3"/>
  <c r="H187" i="3"/>
  <c r="I187" i="3"/>
  <c r="J187" i="3"/>
  <c r="K187" i="3"/>
  <c r="H188" i="3"/>
  <c r="I188" i="3"/>
  <c r="K188" i="3"/>
  <c r="H189" i="3"/>
  <c r="I189" i="3"/>
  <c r="K189" i="3"/>
  <c r="H190" i="3"/>
  <c r="I190" i="3"/>
  <c r="K190" i="3"/>
  <c r="G191" i="3"/>
  <c r="G187" i="3"/>
  <c r="F187" i="3"/>
  <c r="H176" i="3"/>
  <c r="I176" i="3"/>
  <c r="J176" i="3"/>
  <c r="K176" i="3"/>
  <c r="H177" i="3"/>
  <c r="I177" i="3"/>
  <c r="K177" i="3"/>
  <c r="H178" i="3"/>
  <c r="I178" i="3"/>
  <c r="K178" i="3"/>
  <c r="H179" i="3"/>
  <c r="I179" i="3"/>
  <c r="K179" i="3"/>
  <c r="H180" i="3"/>
  <c r="I180" i="3"/>
  <c r="K180" i="3"/>
  <c r="H181" i="3"/>
  <c r="I181" i="3"/>
  <c r="K181" i="3"/>
  <c r="G164" i="3"/>
  <c r="I164" i="3"/>
  <c r="K164" i="3"/>
  <c r="G166" i="3"/>
  <c r="H166" i="3"/>
  <c r="I166" i="3"/>
  <c r="J166" i="3"/>
  <c r="K166" i="3"/>
  <c r="G167" i="3"/>
  <c r="H167" i="3"/>
  <c r="I167" i="3"/>
  <c r="K167" i="3"/>
  <c r="G168" i="3"/>
  <c r="H168" i="3"/>
  <c r="I168" i="3"/>
  <c r="K168" i="3"/>
  <c r="H169" i="3"/>
  <c r="I169" i="3"/>
  <c r="K169" i="3"/>
  <c r="G170" i="3"/>
  <c r="H170" i="3"/>
  <c r="I170" i="3"/>
  <c r="J170" i="3"/>
  <c r="H171" i="3"/>
  <c r="I171" i="3"/>
  <c r="K171" i="3"/>
  <c r="H172" i="3"/>
  <c r="I172" i="3"/>
  <c r="K172" i="3"/>
  <c r="H173" i="3"/>
  <c r="I173" i="3"/>
  <c r="K173" i="3"/>
  <c r="G174" i="3"/>
  <c r="H174" i="3"/>
  <c r="I174" i="3"/>
  <c r="K174" i="3"/>
  <c r="H175" i="3"/>
  <c r="I175" i="3"/>
  <c r="K175" i="3"/>
  <c r="G177" i="3"/>
  <c r="G178" i="3"/>
  <c r="G180" i="3"/>
  <c r="G181" i="3"/>
  <c r="G182" i="3"/>
  <c r="F183" i="3"/>
  <c r="F182" i="3"/>
  <c r="E182" i="3"/>
  <c r="D182" i="3"/>
  <c r="C186" i="3"/>
  <c r="A184" i="3"/>
  <c r="C177" i="3"/>
  <c r="D176" i="3"/>
  <c r="A176" i="3"/>
  <c r="D173" i="3"/>
  <c r="E173" i="3"/>
  <c r="C170" i="3"/>
  <c r="C169" i="3"/>
  <c r="F169" i="3"/>
  <c r="B163" i="3"/>
  <c r="C136" i="3"/>
  <c r="C135" i="3"/>
  <c r="C134" i="3"/>
  <c r="F136" i="3"/>
  <c r="F133" i="3"/>
  <c r="E133" i="3"/>
  <c r="E137" i="3"/>
  <c r="G139" i="3"/>
  <c r="F139" i="3"/>
  <c r="E141" i="3"/>
  <c r="F141" i="3"/>
  <c r="E143" i="3"/>
  <c r="C143" i="3"/>
  <c r="G141" i="3"/>
  <c r="J141" i="3"/>
  <c r="H138" i="3"/>
  <c r="K138" i="3"/>
  <c r="H139" i="3"/>
  <c r="K139" i="3"/>
  <c r="H140" i="3"/>
  <c r="K140" i="3"/>
  <c r="H137" i="3"/>
  <c r="I137" i="3"/>
  <c r="J137" i="3"/>
  <c r="K137" i="3"/>
  <c r="G137" i="3"/>
  <c r="H130" i="3"/>
  <c r="K130" i="3"/>
  <c r="H131" i="3"/>
  <c r="K131" i="3"/>
  <c r="G133" i="3"/>
  <c r="H133" i="3"/>
  <c r="K133" i="3"/>
  <c r="G134" i="3"/>
  <c r="H134" i="3"/>
  <c r="K134" i="3"/>
  <c r="G135" i="3"/>
  <c r="H135" i="3"/>
  <c r="K135" i="3"/>
  <c r="H136" i="3"/>
  <c r="K136" i="3"/>
  <c r="B130" i="3"/>
  <c r="G123" i="3"/>
  <c r="I123" i="3"/>
  <c r="K123" i="3"/>
  <c r="G124" i="3"/>
  <c r="K124" i="3"/>
  <c r="H125" i="3"/>
  <c r="H126" i="3"/>
  <c r="K126" i="3"/>
  <c r="H127" i="3"/>
  <c r="K127" i="3"/>
  <c r="G128" i="3"/>
  <c r="J128" i="3"/>
  <c r="K120" i="3"/>
  <c r="J121" i="3"/>
  <c r="J122" i="3"/>
  <c r="G120" i="3"/>
  <c r="G121" i="3"/>
  <c r="G122" i="3"/>
  <c r="H113" i="3"/>
  <c r="K113" i="3"/>
  <c r="H114" i="3"/>
  <c r="K114" i="3"/>
  <c r="I115" i="3"/>
  <c r="J115" i="3"/>
  <c r="K115" i="3"/>
  <c r="J116" i="3"/>
  <c r="K116" i="3"/>
  <c r="H117" i="3"/>
  <c r="K117" i="3"/>
  <c r="H118" i="3"/>
  <c r="K118" i="3"/>
  <c r="H119" i="3"/>
  <c r="K119" i="3"/>
  <c r="G113" i="3"/>
  <c r="G114" i="3"/>
  <c r="G115" i="3"/>
  <c r="G116" i="3"/>
  <c r="B112" i="3"/>
  <c r="E110" i="3"/>
  <c r="M110" i="3"/>
  <c r="L102" i="3"/>
  <c r="J102" i="3"/>
  <c r="H102" i="3"/>
  <c r="G109" i="3"/>
  <c r="G106" i="3"/>
  <c r="F106" i="3"/>
  <c r="F109" i="3"/>
  <c r="G103" i="3"/>
  <c r="C103" i="3"/>
  <c r="C104" i="3"/>
  <c r="C107" i="3"/>
  <c r="B102" i="3"/>
  <c r="G93" i="3" l="1"/>
  <c r="K93" i="3"/>
  <c r="G94" i="3"/>
  <c r="H94" i="3"/>
  <c r="J94" i="3"/>
  <c r="K94" i="3"/>
  <c r="G96" i="3"/>
  <c r="K96" i="3"/>
  <c r="G97" i="3"/>
  <c r="H97" i="3"/>
  <c r="K97" i="3"/>
  <c r="G99" i="3"/>
  <c r="K99" i="3"/>
  <c r="H89" i="3"/>
  <c r="I89" i="3"/>
  <c r="K89" i="3"/>
  <c r="H90" i="3"/>
  <c r="I90" i="3"/>
  <c r="K90" i="3"/>
  <c r="I86" i="3"/>
  <c r="J86" i="3"/>
  <c r="I87" i="3"/>
  <c r="J87" i="3"/>
  <c r="H88" i="3"/>
  <c r="I88" i="3"/>
  <c r="K88" i="3"/>
  <c r="G83" i="3"/>
  <c r="J83" i="3"/>
  <c r="G84" i="3"/>
  <c r="G85" i="3"/>
  <c r="J85" i="3"/>
  <c r="L82" i="3"/>
  <c r="H82" i="3"/>
  <c r="G76" i="3"/>
  <c r="H76" i="3"/>
  <c r="I76" i="3"/>
  <c r="J76" i="3"/>
  <c r="K76" i="3"/>
  <c r="G77" i="3"/>
  <c r="H77" i="3"/>
  <c r="I77" i="3"/>
  <c r="K77" i="3"/>
  <c r="G78" i="3"/>
  <c r="H78" i="3"/>
  <c r="I78" i="3"/>
  <c r="K78" i="3"/>
  <c r="H79" i="3"/>
  <c r="I79" i="3"/>
  <c r="K79" i="3"/>
  <c r="G80" i="3"/>
  <c r="I80" i="3"/>
  <c r="K80" i="3"/>
  <c r="G81" i="3"/>
  <c r="H81" i="3"/>
  <c r="I81" i="3"/>
  <c r="K81" i="3"/>
  <c r="D80" i="3"/>
  <c r="B75" i="3"/>
  <c r="G69" i="3"/>
  <c r="H69" i="3"/>
  <c r="I69" i="3"/>
  <c r="J69" i="3"/>
  <c r="K69" i="3"/>
  <c r="G70" i="3"/>
  <c r="J70" i="3"/>
  <c r="H71" i="3"/>
  <c r="I71" i="3"/>
  <c r="K71" i="3"/>
  <c r="H72" i="3"/>
  <c r="I72" i="3"/>
  <c r="K72" i="3"/>
  <c r="G73" i="3"/>
  <c r="K73" i="3"/>
  <c r="C67" i="3"/>
  <c r="C68" i="3"/>
  <c r="J67" i="3"/>
  <c r="J68" i="3"/>
  <c r="L66" i="3"/>
  <c r="H66" i="3"/>
  <c r="B66" i="3"/>
  <c r="C63" i="3"/>
  <c r="J63" i="3"/>
  <c r="C64" i="3"/>
  <c r="J64" i="3"/>
  <c r="B62" i="3"/>
  <c r="H62" i="3"/>
  <c r="L62" i="3"/>
  <c r="K55" i="3"/>
  <c r="H56" i="3"/>
  <c r="J56" i="3"/>
  <c r="K56" i="3"/>
  <c r="H57" i="3"/>
  <c r="J57" i="3"/>
  <c r="K57" i="3"/>
  <c r="K58" i="3"/>
  <c r="H54" i="3"/>
  <c r="J54" i="3"/>
  <c r="C55" i="3"/>
  <c r="C56" i="3"/>
  <c r="C57" i="3"/>
  <c r="B54" i="3"/>
  <c r="H47" i="3"/>
  <c r="J47" i="3"/>
  <c r="K47" i="3"/>
  <c r="J48" i="3"/>
  <c r="K48" i="3"/>
  <c r="K49" i="3"/>
  <c r="H50" i="3"/>
  <c r="J50" i="3"/>
  <c r="K50" i="3"/>
  <c r="K51" i="3"/>
  <c r="K52" i="3"/>
  <c r="K53" i="3"/>
  <c r="C47" i="3"/>
  <c r="C48" i="3"/>
  <c r="C49" i="3"/>
  <c r="C50" i="3"/>
  <c r="C51" i="3"/>
  <c r="C52" i="3"/>
  <c r="C53" i="3"/>
  <c r="J46" i="3"/>
  <c r="H46" i="3"/>
  <c r="B46" i="3"/>
  <c r="G43" i="3"/>
  <c r="C44" i="3"/>
  <c r="C42" i="3"/>
  <c r="C43" i="3"/>
  <c r="G40" i="3"/>
  <c r="C40" i="3"/>
  <c r="C41" i="3"/>
  <c r="I40" i="3"/>
  <c r="K40" i="3"/>
  <c r="M40" i="3"/>
  <c r="H41" i="3"/>
  <c r="I41" i="3"/>
  <c r="K41" i="3"/>
  <c r="M41" i="3"/>
  <c r="J42" i="3"/>
  <c r="I43" i="3"/>
  <c r="K43" i="3"/>
  <c r="M43" i="3"/>
  <c r="H39" i="3"/>
  <c r="J39" i="3"/>
  <c r="L39" i="3"/>
  <c r="B39" i="3"/>
  <c r="B38" i="3"/>
  <c r="J33" i="3"/>
  <c r="L33" i="3"/>
  <c r="J34" i="3"/>
  <c r="L34" i="3"/>
  <c r="H35" i="3"/>
  <c r="J35" i="3"/>
  <c r="L35" i="3"/>
  <c r="M35" i="3"/>
  <c r="H36" i="3"/>
  <c r="J36" i="3"/>
  <c r="L36" i="3"/>
  <c r="M36" i="3"/>
  <c r="H37" i="3"/>
  <c r="M37" i="3"/>
  <c r="H38" i="3"/>
  <c r="M38" i="3"/>
  <c r="G30" i="3"/>
  <c r="H30" i="3"/>
  <c r="K30" i="3"/>
  <c r="G31" i="3"/>
  <c r="K31" i="3"/>
  <c r="G32" i="3"/>
  <c r="H32" i="3"/>
  <c r="K32" i="3"/>
  <c r="H28" i="3"/>
  <c r="K28" i="3"/>
  <c r="H29" i="3"/>
  <c r="K29" i="3"/>
  <c r="G25" i="3"/>
  <c r="H26" i="3"/>
  <c r="I26" i="3"/>
  <c r="J26" i="3"/>
  <c r="K26" i="3"/>
  <c r="G27" i="3"/>
  <c r="H27" i="3"/>
  <c r="K27" i="3"/>
  <c r="H23" i="3"/>
  <c r="I23" i="3"/>
  <c r="K23" i="3"/>
  <c r="H24" i="3"/>
  <c r="I24" i="3"/>
  <c r="K24" i="3"/>
  <c r="G14" i="3"/>
  <c r="H14" i="3"/>
  <c r="J14" i="3"/>
  <c r="K14" i="3"/>
  <c r="G15" i="3"/>
  <c r="H15" i="3"/>
  <c r="K15" i="3"/>
  <c r="G16" i="3"/>
  <c r="H16" i="3"/>
  <c r="J16" i="3"/>
  <c r="K16" i="3"/>
  <c r="G17" i="3"/>
  <c r="H17" i="3"/>
  <c r="J17" i="3"/>
  <c r="K17" i="3"/>
  <c r="G18" i="3"/>
  <c r="J18" i="3"/>
  <c r="K18" i="3"/>
  <c r="G19" i="3"/>
  <c r="K19" i="3"/>
  <c r="G20" i="3"/>
  <c r="J20" i="3"/>
  <c r="K20" i="3"/>
  <c r="G21" i="3"/>
  <c r="J21" i="3"/>
  <c r="K21" i="3"/>
  <c r="G22" i="3"/>
  <c r="H22" i="3"/>
  <c r="K22" i="3"/>
  <c r="D23" i="3"/>
  <c r="C23" i="3"/>
  <c r="F23" i="3"/>
  <c r="B13" i="3"/>
  <c r="I9" i="3"/>
  <c r="H10" i="3"/>
  <c r="I10" i="3"/>
  <c r="I11" i="3"/>
  <c r="B8" i="3"/>
  <c r="K5" i="3"/>
  <c r="J2" i="3"/>
  <c r="C6" i="3"/>
  <c r="C4" i="3"/>
  <c r="C2" i="3"/>
  <c r="A6" i="3"/>
  <c r="A2" i="3"/>
  <c r="O76" i="6" l="1"/>
  <c r="F77" i="6" s="1"/>
  <c r="F80" i="6" s="1"/>
  <c r="H10" i="6"/>
  <c r="O2" i="6"/>
  <c r="N9" i="6"/>
  <c r="G44" i="6"/>
  <c r="T77" i="6" s="1"/>
  <c r="I10" i="6"/>
  <c r="I9" i="6"/>
  <c r="N8" i="6" s="1"/>
  <c r="N10" i="6" s="1"/>
  <c r="R4" i="6"/>
  <c r="X19" i="6" s="1"/>
  <c r="N2" i="6"/>
  <c r="J2" i="6"/>
  <c r="K5" i="6"/>
  <c r="A2" i="6"/>
  <c r="A6" i="6"/>
  <c r="C6" i="6"/>
  <c r="C4" i="6"/>
  <c r="C2" i="6"/>
  <c r="N82" i="6"/>
  <c r="N81" i="6"/>
  <c r="N80" i="6"/>
  <c r="F78" i="6"/>
  <c r="F81" i="6" s="1"/>
  <c r="T43" i="6"/>
  <c r="X7" i="6"/>
  <c r="W7" i="6"/>
  <c r="V7" i="6"/>
  <c r="N7" i="6"/>
  <c r="W6" i="6"/>
  <c r="G52" i="5"/>
  <c r="H52" i="5"/>
  <c r="K52" i="5"/>
  <c r="H53" i="5"/>
  <c r="K53" i="5"/>
  <c r="H54" i="5"/>
  <c r="K54" i="5"/>
  <c r="H55" i="5"/>
  <c r="K55" i="5"/>
  <c r="H56" i="5"/>
  <c r="I56" i="5"/>
  <c r="J56" i="5"/>
  <c r="K56" i="5"/>
  <c r="M56" i="5"/>
  <c r="H57" i="5"/>
  <c r="K57" i="5"/>
  <c r="H58" i="5"/>
  <c r="K58" i="5"/>
  <c r="G59" i="5"/>
  <c r="J59" i="5"/>
  <c r="G50" i="5"/>
  <c r="J50" i="5"/>
  <c r="G47" i="5"/>
  <c r="H47" i="5"/>
  <c r="K47" i="5"/>
  <c r="G48" i="5"/>
  <c r="H48" i="5"/>
  <c r="K48" i="5"/>
  <c r="G49" i="5"/>
  <c r="H49" i="5"/>
  <c r="G45" i="5"/>
  <c r="H45" i="5"/>
  <c r="I45" i="5"/>
  <c r="J45" i="5"/>
  <c r="K45" i="5"/>
  <c r="E55" i="5"/>
  <c r="F55" i="5"/>
  <c r="F52" i="5"/>
  <c r="F50" i="5"/>
  <c r="C48" i="5"/>
  <c r="C50" i="5"/>
  <c r="E49" i="5"/>
  <c r="F49" i="5"/>
  <c r="G44" i="5"/>
  <c r="C43" i="5"/>
  <c r="G36" i="5"/>
  <c r="G41" i="5"/>
  <c r="E40" i="5"/>
  <c r="H39" i="5"/>
  <c r="H29" i="5"/>
  <c r="K29" i="5"/>
  <c r="H30" i="5"/>
  <c r="K30" i="5"/>
  <c r="H31" i="5"/>
  <c r="H32" i="5"/>
  <c r="J32" i="5"/>
  <c r="H33" i="5"/>
  <c r="K33" i="5"/>
  <c r="H34" i="5"/>
  <c r="I34" i="5"/>
  <c r="J34" i="5"/>
  <c r="K34" i="5"/>
  <c r="H35" i="5"/>
  <c r="I36" i="5"/>
  <c r="H37" i="5"/>
  <c r="H38" i="5"/>
  <c r="K38" i="5"/>
  <c r="G27" i="5"/>
  <c r="J27" i="5"/>
  <c r="J25" i="5"/>
  <c r="G23" i="5"/>
  <c r="H22" i="5"/>
  <c r="H23" i="5"/>
  <c r="H24" i="5"/>
  <c r="H19" i="5"/>
  <c r="I19" i="5"/>
  <c r="H20" i="5"/>
  <c r="I20" i="5"/>
  <c r="G16" i="5"/>
  <c r="H16" i="5"/>
  <c r="K16" i="5"/>
  <c r="H17" i="5"/>
  <c r="H18" i="5"/>
  <c r="J2" i="5"/>
  <c r="K5" i="5"/>
  <c r="C6" i="5"/>
  <c r="C4" i="5"/>
  <c r="C2" i="5"/>
  <c r="A6" i="5"/>
  <c r="A2" i="5"/>
  <c r="E27" i="5"/>
  <c r="C27" i="5"/>
  <c r="C24" i="5"/>
  <c r="E25" i="5"/>
  <c r="F25" i="5"/>
  <c r="F20" i="5"/>
  <c r="C20" i="5"/>
  <c r="C19" i="5"/>
  <c r="C18" i="5"/>
  <c r="E17" i="5"/>
  <c r="F17" i="5"/>
  <c r="C14" i="5"/>
  <c r="R44" i="6" l="1"/>
  <c r="J10" i="6"/>
  <c r="O82" i="6"/>
  <c r="O77" i="6"/>
  <c r="N20" i="6"/>
  <c r="S10" i="6"/>
  <c r="I11" i="6" s="1"/>
  <c r="K11" i="6" s="1"/>
  <c r="N16" i="6"/>
  <c r="K9" i="6"/>
  <c r="N18" i="6"/>
  <c r="S8" i="6"/>
  <c r="N17" i="6"/>
  <c r="R18" i="6"/>
  <c r="Y19" i="6"/>
  <c r="X20" i="6"/>
  <c r="F44" i="6"/>
  <c r="O80" i="6"/>
  <c r="L80" i="6" s="1"/>
  <c r="N6" i="6"/>
  <c r="G9" i="6"/>
  <c r="S9" i="6"/>
  <c r="N11" i="6"/>
  <c r="Y79" i="6" s="1"/>
  <c r="U79" i="6" s="1"/>
  <c r="R17" i="6"/>
  <c r="N19" i="6"/>
  <c r="Y20" i="6"/>
  <c r="Z21" i="6"/>
  <c r="U80" i="6"/>
  <c r="O81" i="6"/>
  <c r="L81" i="6" s="1"/>
  <c r="X17" i="6"/>
  <c r="H44" i="6"/>
  <c r="L79" i="6"/>
  <c r="C14" i="9"/>
  <c r="S11" i="6" l="1"/>
  <c r="W20" i="6"/>
  <c r="T76" i="6"/>
  <c r="O32" i="9"/>
  <c r="G37" i="9"/>
  <c r="G107" i="9" s="1"/>
  <c r="J37" i="9"/>
  <c r="J107" i="9" s="1"/>
  <c r="J25" i="9"/>
  <c r="J97" i="9" s="1"/>
  <c r="H20" i="9"/>
  <c r="H89" i="9" s="1"/>
  <c r="G20" i="9"/>
  <c r="G89" i="9" s="1"/>
  <c r="J20" i="9"/>
  <c r="J89" i="9" s="1"/>
  <c r="J18" i="9"/>
  <c r="J91" i="9" s="1"/>
  <c r="J17" i="9"/>
  <c r="J90" i="9" s="1"/>
  <c r="K5" i="9"/>
  <c r="J2" i="9"/>
  <c r="C4" i="9"/>
  <c r="C2" i="9"/>
  <c r="A2" i="9"/>
  <c r="A6" i="9"/>
  <c r="A76" i="9"/>
  <c r="J114" i="9"/>
  <c r="J23" i="9"/>
  <c r="J95" i="9" s="1"/>
  <c r="K89" i="9"/>
  <c r="I89" i="9"/>
  <c r="A18" i="9"/>
  <c r="J16" i="9"/>
  <c r="J88" i="9" s="1"/>
  <c r="C85" i="9"/>
  <c r="A15" i="9"/>
  <c r="F8" i="9"/>
  <c r="R7" i="9"/>
  <c r="J93" i="9" l="1"/>
  <c r="F17" i="9"/>
  <c r="F82" i="9" s="1"/>
  <c r="J42" i="9"/>
  <c r="J115" i="9" s="1"/>
  <c r="J96" i="9"/>
  <c r="J40" i="9"/>
  <c r="J113" i="9" s="1"/>
  <c r="A2" i="7" l="1"/>
  <c r="G355" i="1" l="1"/>
  <c r="G254" i="3" s="1"/>
  <c r="Z58" i="1" l="1"/>
  <c r="U11" i="1" l="1"/>
  <c r="I355" i="1" l="1"/>
  <c r="I254" i="3" s="1"/>
  <c r="H355" i="1"/>
  <c r="H254" i="3" s="1"/>
  <c r="G105" i="1"/>
  <c r="G132" i="3" s="1"/>
  <c r="I165" i="1" l="1"/>
  <c r="I165" i="3" s="1"/>
  <c r="H165" i="1"/>
  <c r="H165" i="3" s="1"/>
  <c r="G165" i="1"/>
  <c r="G165" i="3" s="1"/>
  <c r="I105" i="1"/>
  <c r="H105" i="1"/>
  <c r="H132" i="3" s="1"/>
  <c r="K5" i="2" l="1"/>
  <c r="I18" i="2" l="1"/>
  <c r="J14" i="2" l="1"/>
  <c r="J12" i="2"/>
  <c r="J11" i="2"/>
  <c r="J10" i="2"/>
  <c r="J9" i="2"/>
  <c r="J2" i="2" l="1"/>
  <c r="C2" i="2"/>
  <c r="A6" i="2"/>
  <c r="A2" i="2"/>
  <c r="F68" i="2" l="1"/>
  <c r="BC61" i="2"/>
  <c r="L61" i="2"/>
  <c r="F61" i="2"/>
  <c r="F52" i="2"/>
  <c r="BC51" i="2"/>
  <c r="F45" i="2"/>
  <c r="K43" i="2"/>
  <c r="J29" i="2"/>
  <c r="L29" i="2" s="1"/>
  <c r="J28" i="2"/>
  <c r="M21" i="2"/>
  <c r="J19" i="2"/>
  <c r="N16" i="2" s="1"/>
  <c r="I19" i="2"/>
  <c r="H19" i="2"/>
  <c r="AZ13" i="2" s="1"/>
  <c r="BA13" i="2" s="1"/>
  <c r="F19" i="2"/>
  <c r="J18" i="2"/>
  <c r="H18" i="2"/>
  <c r="F18" i="2"/>
  <c r="O17" i="2"/>
  <c r="K17" i="2"/>
  <c r="J17" i="2"/>
  <c r="H17" i="2"/>
  <c r="AW13" i="2"/>
  <c r="AX13" i="2" s="1"/>
  <c r="AW12" i="2"/>
  <c r="AX12" i="2" s="1"/>
  <c r="J13" i="2"/>
  <c r="O12" i="2" s="1"/>
  <c r="O10" i="2"/>
  <c r="AZ20" i="2"/>
  <c r="BA20" i="2" s="1"/>
  <c r="BI14" i="2"/>
  <c r="Q8" i="2"/>
  <c r="N7" i="2"/>
  <c r="BO5" i="2"/>
  <c r="BN5" i="2"/>
  <c r="N14" i="2" l="1"/>
  <c r="AZ14" i="2"/>
  <c r="BA14" i="2" s="1"/>
  <c r="BJ12" i="2"/>
  <c r="BO12" i="2" s="1"/>
  <c r="AZ12" i="2"/>
  <c r="BA12" i="2" s="1"/>
  <c r="J25" i="2"/>
  <c r="BJ18" i="2" s="1"/>
  <c r="BJ11" i="2"/>
  <c r="BJ35" i="2" s="1"/>
  <c r="O13" i="2"/>
  <c r="AZ11" i="2" s="1"/>
  <c r="BA11" i="2" s="1"/>
  <c r="N15" i="2"/>
  <c r="O11" i="2" s="1"/>
  <c r="BI15" i="2"/>
  <c r="BN14" i="2"/>
  <c r="BN15" i="2" s="1"/>
  <c r="BI12" i="2"/>
  <c r="BN12" i="2" s="1"/>
  <c r="AW14" i="2"/>
  <c r="AX14" i="2" s="1"/>
  <c r="L45" i="2"/>
  <c r="AZ17" i="2"/>
  <c r="BA17" i="2" s="1"/>
  <c r="BA16" i="2" s="1"/>
  <c r="AW20" i="2"/>
  <c r="AX20" i="2" s="1"/>
  <c r="BJ14" i="2"/>
  <c r="BI17" i="2"/>
  <c r="L52" i="2"/>
  <c r="L68" i="2"/>
  <c r="AY61" i="2"/>
  <c r="AY51" i="2"/>
  <c r="BI19" i="2"/>
  <c r="AW19" i="2"/>
  <c r="AW17" i="2"/>
  <c r="AX17" i="2" s="1"/>
  <c r="BJ17" i="2"/>
  <c r="D507" i="1"/>
  <c r="D398" i="3" s="1"/>
  <c r="D506" i="1"/>
  <c r="D397" i="3" s="1"/>
  <c r="D505" i="1"/>
  <c r="D396" i="3" s="1"/>
  <c r="J503" i="1"/>
  <c r="AH438" i="1"/>
  <c r="AB435" i="1"/>
  <c r="AC434" i="1"/>
  <c r="AH431" i="1"/>
  <c r="J428" i="1"/>
  <c r="J292" i="3" s="1"/>
  <c r="G428" i="1"/>
  <c r="G292" i="3" s="1"/>
  <c r="J427" i="1"/>
  <c r="J291" i="3" s="1"/>
  <c r="G427" i="1"/>
  <c r="G291" i="3" s="1"/>
  <c r="L426" i="1"/>
  <c r="L290" i="3" s="1"/>
  <c r="H426" i="1"/>
  <c r="H290" i="3" s="1"/>
  <c r="K424" i="1"/>
  <c r="K288" i="3" s="1"/>
  <c r="K423" i="1"/>
  <c r="K287" i="3" s="1"/>
  <c r="G423" i="1"/>
  <c r="G287" i="3" s="1"/>
  <c r="B423" i="1"/>
  <c r="B287" i="3" s="1"/>
  <c r="K421" i="1"/>
  <c r="K285" i="3" s="1"/>
  <c r="H421" i="1"/>
  <c r="H285" i="3" s="1"/>
  <c r="G421" i="1"/>
  <c r="G285" i="3" s="1"/>
  <c r="K420" i="1"/>
  <c r="K284" i="3" s="1"/>
  <c r="I420" i="1"/>
  <c r="I284" i="3" s="1"/>
  <c r="H420" i="1"/>
  <c r="H284" i="3" s="1"/>
  <c r="K419" i="1"/>
  <c r="K283" i="3" s="1"/>
  <c r="I419" i="1"/>
  <c r="I283" i="3" s="1"/>
  <c r="H419" i="1"/>
  <c r="H283" i="3" s="1"/>
  <c r="K418" i="1"/>
  <c r="K282" i="3" s="1"/>
  <c r="I418" i="1"/>
  <c r="I282" i="3" s="1"/>
  <c r="H418" i="1"/>
  <c r="H282" i="3" s="1"/>
  <c r="K417" i="1"/>
  <c r="K281" i="3" s="1"/>
  <c r="G417" i="1"/>
  <c r="G281" i="3" s="1"/>
  <c r="G416" i="1"/>
  <c r="G280" i="3" s="1"/>
  <c r="K415" i="1"/>
  <c r="K279" i="3" s="1"/>
  <c r="I415" i="1"/>
  <c r="I279" i="3" s="1"/>
  <c r="H415" i="1"/>
  <c r="H279" i="3" s="1"/>
  <c r="K414" i="1"/>
  <c r="K278" i="3" s="1"/>
  <c r="I414" i="1"/>
  <c r="I278" i="3" s="1"/>
  <c r="H414" i="1"/>
  <c r="H278" i="3" s="1"/>
  <c r="G414" i="1"/>
  <c r="G278" i="3" s="1"/>
  <c r="K413" i="1"/>
  <c r="K277" i="3" s="1"/>
  <c r="I413" i="1"/>
  <c r="I277" i="3" s="1"/>
  <c r="H413" i="1"/>
  <c r="H277" i="3" s="1"/>
  <c r="G413" i="1"/>
  <c r="G277" i="3" s="1"/>
  <c r="Y412" i="1"/>
  <c r="Y414" i="1" s="1"/>
  <c r="X412" i="1"/>
  <c r="AA412" i="1" s="1"/>
  <c r="K412" i="1"/>
  <c r="K276" i="3" s="1"/>
  <c r="I412" i="1"/>
  <c r="I276" i="3" s="1"/>
  <c r="H412" i="1"/>
  <c r="H276" i="3" s="1"/>
  <c r="G412" i="1"/>
  <c r="G276" i="3" s="1"/>
  <c r="K411" i="1"/>
  <c r="I411" i="1"/>
  <c r="G411" i="1"/>
  <c r="X409" i="1"/>
  <c r="AA409" i="1" s="1"/>
  <c r="J396" i="1"/>
  <c r="W395" i="1"/>
  <c r="J395" i="1"/>
  <c r="O394" i="1"/>
  <c r="J392" i="1"/>
  <c r="H392" i="1"/>
  <c r="P387" i="1"/>
  <c r="N387" i="1"/>
  <c r="G387" i="1" s="1"/>
  <c r="G260" i="3" s="1"/>
  <c r="I387" i="1"/>
  <c r="H387" i="1"/>
  <c r="H260" i="3" s="1"/>
  <c r="J383" i="1"/>
  <c r="J382" i="1"/>
  <c r="J255" i="3" s="1"/>
  <c r="B380" i="1"/>
  <c r="B410" i="1" s="1"/>
  <c r="K374" i="1"/>
  <c r="AG373" i="1"/>
  <c r="AG375" i="1" s="1"/>
  <c r="X373" i="1"/>
  <c r="X375" i="1" s="1"/>
  <c r="W373" i="1"/>
  <c r="Z373" i="1" s="1"/>
  <c r="O373" i="1"/>
  <c r="AF370" i="1"/>
  <c r="AI370" i="1" s="1"/>
  <c r="X370" i="1"/>
  <c r="X372" i="1" s="1"/>
  <c r="W370" i="1"/>
  <c r="Z370" i="1" s="1"/>
  <c r="I368" i="1"/>
  <c r="I306" i="3" s="1"/>
  <c r="J365" i="1"/>
  <c r="H365" i="1"/>
  <c r="X363" i="1"/>
  <c r="V362" i="1" s="1"/>
  <c r="V363" i="1" s="1"/>
  <c r="O363" i="1"/>
  <c r="J363" i="1"/>
  <c r="J301" i="3" s="1"/>
  <c r="X362" i="1"/>
  <c r="V360" i="1"/>
  <c r="N360" i="1"/>
  <c r="L331" i="1"/>
  <c r="L46" i="5" s="1"/>
  <c r="K331" i="1"/>
  <c r="K46" i="5" s="1"/>
  <c r="N330" i="1"/>
  <c r="O329" i="1"/>
  <c r="N323" i="1"/>
  <c r="G323" i="1"/>
  <c r="G25" i="5" s="1"/>
  <c r="K322" i="1"/>
  <c r="K24" i="5" s="1"/>
  <c r="K321" i="1"/>
  <c r="K23" i="5" s="1"/>
  <c r="AZ320" i="1"/>
  <c r="AX320" i="1"/>
  <c r="AW320" i="1"/>
  <c r="AV320" i="1"/>
  <c r="AS320" i="1"/>
  <c r="AO320" i="1"/>
  <c r="AN320" i="1"/>
  <c r="AL320" i="1"/>
  <c r="AK320" i="1"/>
  <c r="AJ320" i="1"/>
  <c r="AI320" i="1"/>
  <c r="AH320" i="1"/>
  <c r="AG320" i="1"/>
  <c r="AF320" i="1"/>
  <c r="AE320" i="1"/>
  <c r="AD320" i="1"/>
  <c r="AC320" i="1"/>
  <c r="AB320" i="1"/>
  <c r="AA320" i="1"/>
  <c r="K320" i="1"/>
  <c r="K22" i="5" s="1"/>
  <c r="AZ319" i="1"/>
  <c r="AX319" i="1"/>
  <c r="AW319" i="1"/>
  <c r="AV319" i="1"/>
  <c r="AO319" i="1"/>
  <c r="AN319" i="1"/>
  <c r="AL319" i="1"/>
  <c r="AJ319" i="1"/>
  <c r="AI319" i="1"/>
  <c r="AH319" i="1"/>
  <c r="AG319" i="1"/>
  <c r="AF319" i="1"/>
  <c r="AE319" i="1"/>
  <c r="AD319" i="1"/>
  <c r="AC319" i="1"/>
  <c r="AA319" i="1"/>
  <c r="O319" i="1"/>
  <c r="N319" i="1"/>
  <c r="K319" i="1"/>
  <c r="K21" i="5" s="1"/>
  <c r="J319" i="1"/>
  <c r="J21" i="5" s="1"/>
  <c r="I319" i="1"/>
  <c r="I21" i="5" s="1"/>
  <c r="H319" i="1"/>
  <c r="H21" i="5" s="1"/>
  <c r="G319" i="1"/>
  <c r="G21" i="5" s="1"/>
  <c r="E319" i="1"/>
  <c r="Q318" i="1"/>
  <c r="J340" i="1" s="1"/>
  <c r="J54" i="5" s="1"/>
  <c r="P318" i="1"/>
  <c r="N318" i="1" s="1"/>
  <c r="K318" i="1"/>
  <c r="K20" i="5" s="1"/>
  <c r="F318" i="1"/>
  <c r="C318" i="1"/>
  <c r="K317" i="1"/>
  <c r="K19" i="5" s="1"/>
  <c r="C317" i="1"/>
  <c r="K316" i="1"/>
  <c r="K18" i="5" s="1"/>
  <c r="G316" i="1"/>
  <c r="G18" i="5" s="1"/>
  <c r="C316" i="1"/>
  <c r="AZ315" i="1"/>
  <c r="AX315" i="1"/>
  <c r="AW315" i="1"/>
  <c r="AV315" i="1"/>
  <c r="AO315" i="1"/>
  <c r="AN315" i="1"/>
  <c r="AL315" i="1"/>
  <c r="AJ315" i="1"/>
  <c r="AI315" i="1"/>
  <c r="AG315" i="1"/>
  <c r="AF315" i="1"/>
  <c r="AE315" i="1"/>
  <c r="AD315" i="1"/>
  <c r="AC315" i="1"/>
  <c r="AA315" i="1"/>
  <c r="K315" i="1"/>
  <c r="K17" i="5" s="1"/>
  <c r="G315" i="1"/>
  <c r="G17" i="5" s="1"/>
  <c r="F315" i="1"/>
  <c r="AZ312" i="1"/>
  <c r="AY312" i="1"/>
  <c r="AX312" i="1"/>
  <c r="AW312" i="1"/>
  <c r="AV312" i="1"/>
  <c r="AU312" i="1"/>
  <c r="AQ312" i="1"/>
  <c r="AP312" i="1"/>
  <c r="AO312" i="1"/>
  <c r="AN312" i="1"/>
  <c r="AM312" i="1"/>
  <c r="AL312" i="1"/>
  <c r="AK312" i="1"/>
  <c r="AJ312" i="1"/>
  <c r="AI312" i="1"/>
  <c r="AG312" i="1"/>
  <c r="AF312" i="1"/>
  <c r="AE312" i="1"/>
  <c r="AD312" i="1"/>
  <c r="AC312" i="1"/>
  <c r="AB312" i="1"/>
  <c r="AA312" i="1"/>
  <c r="AZ311" i="1"/>
  <c r="AX311" i="1"/>
  <c r="AW311" i="1"/>
  <c r="AV311" i="1"/>
  <c r="AO311" i="1"/>
  <c r="AN311" i="1"/>
  <c r="AL311" i="1"/>
  <c r="AJ311" i="1"/>
  <c r="AI311" i="1"/>
  <c r="AG311" i="1"/>
  <c r="AF311" i="1"/>
  <c r="AE311" i="1"/>
  <c r="AD311" i="1"/>
  <c r="AC311" i="1"/>
  <c r="AA311" i="1"/>
  <c r="AZ310" i="1"/>
  <c r="AY310" i="1"/>
  <c r="AX310" i="1"/>
  <c r="AW310" i="1"/>
  <c r="AV310" i="1"/>
  <c r="AU310" i="1"/>
  <c r="AT310" i="1"/>
  <c r="AS310" i="1"/>
  <c r="AR310" i="1"/>
  <c r="AQ310" i="1"/>
  <c r="AP310" i="1"/>
  <c r="AO310" i="1"/>
  <c r="AN310" i="1"/>
  <c r="AM310" i="1"/>
  <c r="AL310" i="1"/>
  <c r="AK310" i="1"/>
  <c r="AJ310" i="1"/>
  <c r="AI310" i="1"/>
  <c r="AH310" i="1"/>
  <c r="AG310" i="1"/>
  <c r="AF310" i="1"/>
  <c r="AE310" i="1"/>
  <c r="AD310" i="1"/>
  <c r="AC310" i="1"/>
  <c r="AB310" i="1"/>
  <c r="AA310" i="1"/>
  <c r="AA306" i="1"/>
  <c r="BN9" i="1" s="1"/>
  <c r="P304" i="1"/>
  <c r="P306" i="1" s="1"/>
  <c r="O304" i="1"/>
  <c r="P303" i="1"/>
  <c r="O303" i="1"/>
  <c r="AA302" i="1"/>
  <c r="F302" i="1"/>
  <c r="F40" i="5" s="1"/>
  <c r="F300" i="1"/>
  <c r="F38" i="5" s="1"/>
  <c r="J226" i="1"/>
  <c r="J226" i="3" s="1"/>
  <c r="G226" i="1"/>
  <c r="G226" i="3" s="1"/>
  <c r="G225" i="1"/>
  <c r="G225" i="3" s="1"/>
  <c r="N224" i="1"/>
  <c r="J223" i="1"/>
  <c r="J223" i="3" s="1"/>
  <c r="J222" i="1"/>
  <c r="J222" i="3" s="1"/>
  <c r="I222" i="1"/>
  <c r="I222" i="3" s="1"/>
  <c r="G222" i="1"/>
  <c r="G222" i="3" s="1"/>
  <c r="V213" i="1"/>
  <c r="T213" i="1"/>
  <c r="K212" i="1" s="1"/>
  <c r="K212" i="3" s="1"/>
  <c r="I213" i="1"/>
  <c r="J225" i="1"/>
  <c r="J225" i="3" s="1"/>
  <c r="I204" i="1"/>
  <c r="I225" i="1" s="1"/>
  <c r="I225" i="3" s="1"/>
  <c r="N187" i="1"/>
  <c r="H222" i="1"/>
  <c r="H222" i="3" s="1"/>
  <c r="AA181" i="1"/>
  <c r="Z181" i="1"/>
  <c r="N177" i="1"/>
  <c r="D177" i="1"/>
  <c r="D177" i="3" s="1"/>
  <c r="N176" i="1"/>
  <c r="D172" i="1"/>
  <c r="D172" i="3" s="1"/>
  <c r="Q171" i="1"/>
  <c r="S168" i="1"/>
  <c r="T167" i="1"/>
  <c r="U214" i="1"/>
  <c r="N163" i="1"/>
  <c r="AG156" i="1"/>
  <c r="T152" i="1"/>
  <c r="S152" i="1"/>
  <c r="AG147" i="1"/>
  <c r="I143" i="1"/>
  <c r="I94" i="3" s="1"/>
  <c r="AG141" i="1"/>
  <c r="I140" i="1"/>
  <c r="N138" i="1"/>
  <c r="Q136" i="1"/>
  <c r="AG135" i="1"/>
  <c r="Q135" i="1"/>
  <c r="Q134" i="1"/>
  <c r="W133" i="1"/>
  <c r="Q133" i="1"/>
  <c r="J133" i="1"/>
  <c r="J84" i="3" s="1"/>
  <c r="U132" i="1"/>
  <c r="Q132" i="1"/>
  <c r="P131" i="1"/>
  <c r="O131" i="1"/>
  <c r="N125" i="1"/>
  <c r="J128" i="1"/>
  <c r="J79" i="3" s="1"/>
  <c r="P121" i="1"/>
  <c r="P122" i="1" s="1"/>
  <c r="N294" i="1"/>
  <c r="AS118" i="1"/>
  <c r="AF118" i="1"/>
  <c r="V118" i="1"/>
  <c r="H118" i="1"/>
  <c r="H143" i="3" s="1"/>
  <c r="AS117" i="1"/>
  <c r="W117" i="1"/>
  <c r="V117" i="1"/>
  <c r="J118" i="1" s="1"/>
  <c r="J143" i="3" s="1"/>
  <c r="AS116" i="1"/>
  <c r="J116" i="1"/>
  <c r="J142" i="3" s="1"/>
  <c r="H116" i="1"/>
  <c r="O116" i="1" s="1"/>
  <c r="AS115" i="1"/>
  <c r="AF115" i="1"/>
  <c r="AS114" i="1"/>
  <c r="AS113" i="1"/>
  <c r="J113" i="1"/>
  <c r="AS112" i="1"/>
  <c r="AS111" i="1"/>
  <c r="P111" i="1"/>
  <c r="N111" i="1" s="1"/>
  <c r="G109" i="1"/>
  <c r="G136" i="3" s="1"/>
  <c r="F108" i="1"/>
  <c r="F135" i="3" s="1"/>
  <c r="D108" i="1"/>
  <c r="J106" i="1" s="1"/>
  <c r="J133" i="3" s="1"/>
  <c r="F105" i="1"/>
  <c r="T102" i="1"/>
  <c r="S102" i="1"/>
  <c r="N97" i="1"/>
  <c r="J97" i="1"/>
  <c r="J124" i="3" s="1"/>
  <c r="J96" i="1"/>
  <c r="AS93" i="1"/>
  <c r="AF93" i="1"/>
  <c r="P93" i="1"/>
  <c r="O93" i="1"/>
  <c r="AS92" i="1"/>
  <c r="J92" i="1"/>
  <c r="J119" i="3" s="1"/>
  <c r="AS91" i="1"/>
  <c r="AS90" i="1"/>
  <c r="AF90" i="1"/>
  <c r="N90" i="1"/>
  <c r="AS89" i="1"/>
  <c r="N89" i="1"/>
  <c r="AS88" i="1"/>
  <c r="P88" i="1"/>
  <c r="N88" i="1"/>
  <c r="AS87" i="1"/>
  <c r="J87" i="1"/>
  <c r="J114" i="3" s="1"/>
  <c r="AS86" i="1"/>
  <c r="J86" i="1"/>
  <c r="U84" i="1"/>
  <c r="AY83" i="1"/>
  <c r="AY82" i="1"/>
  <c r="BA81" i="1"/>
  <c r="AZ78" i="1"/>
  <c r="F78" i="1"/>
  <c r="F105" i="3" s="1"/>
  <c r="F77" i="1"/>
  <c r="F104" i="3" s="1"/>
  <c r="T76" i="1"/>
  <c r="V72" i="1"/>
  <c r="BC71" i="1"/>
  <c r="T71" i="1"/>
  <c r="P71" i="1"/>
  <c r="AB69" i="1"/>
  <c r="AZ68" i="1"/>
  <c r="AV68" i="1"/>
  <c r="AV78" i="1" s="1"/>
  <c r="AB68" i="1"/>
  <c r="V68" i="1"/>
  <c r="T67" i="1"/>
  <c r="AB66" i="1"/>
  <c r="AY63" i="1"/>
  <c r="AH64" i="1"/>
  <c r="AY62" i="1"/>
  <c r="AI63" i="1"/>
  <c r="AH63" i="1"/>
  <c r="BA61" i="1"/>
  <c r="AS61" i="1"/>
  <c r="AS60" i="1"/>
  <c r="AS59" i="1"/>
  <c r="AR59" i="1"/>
  <c r="AA59" i="1"/>
  <c r="S58" i="1" s="1"/>
  <c r="AS57" i="1"/>
  <c r="AS56" i="1"/>
  <c r="O56" i="1"/>
  <c r="N56" i="1"/>
  <c r="AS55" i="1"/>
  <c r="AS54" i="1"/>
  <c r="AS53" i="1"/>
  <c r="AS52" i="1"/>
  <c r="AS58" i="1" s="1"/>
  <c r="AA52" i="1"/>
  <c r="AA58" i="1" s="1"/>
  <c r="BC51" i="1"/>
  <c r="BC61" i="1" s="1"/>
  <c r="AS51" i="1"/>
  <c r="AS50" i="1"/>
  <c r="AS49" i="1"/>
  <c r="J49" i="3"/>
  <c r="AV48" i="1"/>
  <c r="AV58" i="1" s="1"/>
  <c r="AS48" i="1"/>
  <c r="P96" i="1"/>
  <c r="O96" i="1"/>
  <c r="AS47" i="1"/>
  <c r="AS46" i="1"/>
  <c r="AS45" i="1"/>
  <c r="AS44" i="1"/>
  <c r="AS43" i="1"/>
  <c r="AS42" i="1"/>
  <c r="N39" i="1"/>
  <c r="P37" i="1"/>
  <c r="P38" i="1" s="1"/>
  <c r="BO36" i="1"/>
  <c r="BJ36" i="1"/>
  <c r="F36" i="1"/>
  <c r="G35" i="1"/>
  <c r="BO34" i="1"/>
  <c r="BJ34" i="1"/>
  <c r="M34" i="1"/>
  <c r="M34" i="3" s="1"/>
  <c r="F34" i="1"/>
  <c r="F34" i="3" s="1"/>
  <c r="BO33" i="1"/>
  <c r="BJ33" i="1"/>
  <c r="AJ33" i="1"/>
  <c r="AL48" i="1" s="1"/>
  <c r="Y31" i="1"/>
  <c r="I27" i="1"/>
  <c r="I27" i="3" s="1"/>
  <c r="X29" i="1"/>
  <c r="N26" i="1"/>
  <c r="G26" i="1"/>
  <c r="G26" i="3" s="1"/>
  <c r="CG25" i="1"/>
  <c r="N25" i="1"/>
  <c r="K25" i="1"/>
  <c r="K25" i="3" s="1"/>
  <c r="J25" i="1"/>
  <c r="J25" i="3" s="1"/>
  <c r="H25" i="1"/>
  <c r="H25" i="3" s="1"/>
  <c r="AK23" i="1"/>
  <c r="AI23" i="1"/>
  <c r="AK22" i="1"/>
  <c r="AI22" i="1"/>
  <c r="Z21" i="1"/>
  <c r="Q21" i="1"/>
  <c r="CG20" i="1"/>
  <c r="CG24" i="1" s="1"/>
  <c r="BD18" i="1"/>
  <c r="BF22" i="1" s="1"/>
  <c r="M18" i="1"/>
  <c r="CG17" i="1"/>
  <c r="CG23" i="1" s="1"/>
  <c r="BN17" i="1"/>
  <c r="AX71" i="1" s="1"/>
  <c r="BF17" i="1"/>
  <c r="CG16" i="1"/>
  <c r="BC15" i="1"/>
  <c r="AW15" i="1"/>
  <c r="AX15" i="1" s="1"/>
  <c r="BD15" i="1" s="1"/>
  <c r="T15" i="1"/>
  <c r="Q15" i="1"/>
  <c r="AW14" i="1"/>
  <c r="AX14" i="1" s="1"/>
  <c r="T14" i="1"/>
  <c r="AW20" i="1"/>
  <c r="BF13" i="1"/>
  <c r="BF11" i="1" s="1"/>
  <c r="BC13" i="1"/>
  <c r="BD13" i="1" s="1"/>
  <c r="AZ13" i="1"/>
  <c r="AZ11" i="1" s="1"/>
  <c r="AW13" i="1"/>
  <c r="AX13" i="1" s="1"/>
  <c r="CZ12" i="1"/>
  <c r="BN12" i="1"/>
  <c r="BO12" i="1" s="1"/>
  <c r="BI12" i="1"/>
  <c r="BJ12" i="1" s="1"/>
  <c r="BC12" i="1"/>
  <c r="BD12" i="1" s="1"/>
  <c r="AW12" i="1"/>
  <c r="AX12" i="1" s="1"/>
  <c r="AH12" i="1"/>
  <c r="G12" i="1"/>
  <c r="AP6" i="1"/>
  <c r="AJ6" i="1"/>
  <c r="AG6" i="1"/>
  <c r="AP5" i="1"/>
  <c r="AP4" i="1"/>
  <c r="AJ4" i="1"/>
  <c r="AP2" i="1"/>
  <c r="AJ2" i="1"/>
  <c r="T2" i="1"/>
  <c r="G11" i="1" s="1"/>
  <c r="L397" i="1" l="1"/>
  <c r="O26" i="1"/>
  <c r="O31" i="1" s="1"/>
  <c r="J386" i="1"/>
  <c r="J259" i="3" s="1"/>
  <c r="CG19" i="1"/>
  <c r="P17" i="2"/>
  <c r="J20" i="2" s="1"/>
  <c r="O8" i="2" s="1"/>
  <c r="BI9" i="1"/>
  <c r="BJ9" i="1" s="1"/>
  <c r="Q88" i="1"/>
  <c r="O111" i="1"/>
  <c r="J111" i="1" s="1"/>
  <c r="J138" i="3" s="1"/>
  <c r="AJ370" i="1"/>
  <c r="Q71" i="1"/>
  <c r="J71" i="1" s="1"/>
  <c r="J71" i="3" s="1"/>
  <c r="F80" i="1"/>
  <c r="F107" i="3" s="1"/>
  <c r="K386" i="1"/>
  <c r="W85" i="1"/>
  <c r="O138" i="1"/>
  <c r="J138" i="1" s="1"/>
  <c r="J89" i="3" s="1"/>
  <c r="AA313" i="1"/>
  <c r="AF313" i="1"/>
  <c r="AL313" i="1"/>
  <c r="AL314" i="1" s="1"/>
  <c r="AW313" i="1"/>
  <c r="AB313" i="1"/>
  <c r="AK313" i="1"/>
  <c r="AK314" i="1" s="1"/>
  <c r="O127" i="1" s="1"/>
  <c r="AA370" i="1"/>
  <c r="I417" i="1"/>
  <c r="I281" i="3" s="1"/>
  <c r="I260" i="3"/>
  <c r="G393" i="1"/>
  <c r="G266" i="3" s="1"/>
  <c r="H265" i="3"/>
  <c r="N204" i="1"/>
  <c r="O204" i="1" s="1"/>
  <c r="J205" i="1" s="1"/>
  <c r="AS313" i="1"/>
  <c r="AS314" i="1" s="1"/>
  <c r="BI9" i="2"/>
  <c r="AC313" i="1"/>
  <c r="AC314" i="1" s="1"/>
  <c r="AG313" i="1"/>
  <c r="AN313" i="1"/>
  <c r="AN314" i="1" s="1"/>
  <c r="AX313" i="1"/>
  <c r="AX314" i="1" s="1"/>
  <c r="AP313" i="1"/>
  <c r="AP314" i="1" s="1"/>
  <c r="O360" i="1"/>
  <c r="J360" i="1" s="1"/>
  <c r="J298" i="3" s="1"/>
  <c r="K416" i="1"/>
  <c r="K280" i="3" s="1"/>
  <c r="K259" i="3"/>
  <c r="Q395" i="1"/>
  <c r="J265" i="3"/>
  <c r="J424" i="1"/>
  <c r="J288" i="3" s="1"/>
  <c r="J269" i="3"/>
  <c r="M397" i="1"/>
  <c r="M425" i="1" s="1"/>
  <c r="M289" i="3" s="1"/>
  <c r="G504" i="1"/>
  <c r="G395" i="3" s="1"/>
  <c r="J394" i="3"/>
  <c r="J100" i="1"/>
  <c r="J127" i="3" s="1"/>
  <c r="J123" i="3"/>
  <c r="J416" i="1"/>
  <c r="J280" i="3" s="1"/>
  <c r="T2" i="6"/>
  <c r="F44" i="1"/>
  <c r="F43" i="3" s="1"/>
  <c r="N9" i="1"/>
  <c r="A174" i="1" s="1"/>
  <c r="A174" i="3" s="1"/>
  <c r="N8" i="1"/>
  <c r="N18" i="1" s="1"/>
  <c r="N7" i="1"/>
  <c r="Y20" i="1" s="1"/>
  <c r="X17" i="1"/>
  <c r="N16" i="1" s="1"/>
  <c r="X19" i="1"/>
  <c r="O82" i="1"/>
  <c r="O80" i="1"/>
  <c r="O81" i="1"/>
  <c r="N11" i="1"/>
  <c r="F40" i="1"/>
  <c r="O77" i="1"/>
  <c r="H44" i="1"/>
  <c r="L79" i="1"/>
  <c r="L106" i="3" s="1"/>
  <c r="G10" i="1"/>
  <c r="G10" i="3" s="1"/>
  <c r="R18" i="1"/>
  <c r="N17" i="1"/>
  <c r="R17" i="1"/>
  <c r="N19" i="1"/>
  <c r="N20" i="1"/>
  <c r="J22" i="1"/>
  <c r="J22" i="3" s="1"/>
  <c r="F81" i="1"/>
  <c r="F108" i="3" s="1"/>
  <c r="O97" i="1"/>
  <c r="J98" i="1" s="1"/>
  <c r="J125" i="3" s="1"/>
  <c r="H115" i="1"/>
  <c r="I146" i="1"/>
  <c r="I97" i="3" s="1"/>
  <c r="I91" i="3"/>
  <c r="U215" i="1"/>
  <c r="Y181" i="1"/>
  <c r="O187" i="1"/>
  <c r="J188" i="1" s="1"/>
  <c r="J188" i="3" s="1"/>
  <c r="P363" i="1"/>
  <c r="J366" i="1" s="1"/>
  <c r="J304" i="3" s="1"/>
  <c r="AD313" i="1"/>
  <c r="AD314" i="1" s="1"/>
  <c r="AI313" i="1"/>
  <c r="AI314" i="1" s="1"/>
  <c r="AO313" i="1"/>
  <c r="AO314" i="1" s="1"/>
  <c r="AZ313" i="1"/>
  <c r="AZ314" i="1" s="1"/>
  <c r="AM313" i="1"/>
  <c r="AM314" i="1" s="1"/>
  <c r="AQ313" i="1"/>
  <c r="AF373" i="1"/>
  <c r="AI373" i="1" s="1"/>
  <c r="AJ373" i="1" s="1"/>
  <c r="G397" i="1"/>
  <c r="H399" i="1"/>
  <c r="H427" i="1" s="1"/>
  <c r="H291" i="3" s="1"/>
  <c r="W87" i="1"/>
  <c r="U86" i="1" s="1"/>
  <c r="U87" i="1" s="1"/>
  <c r="J113" i="3"/>
  <c r="V27" i="1"/>
  <c r="N214" i="1"/>
  <c r="O214" i="1" s="1"/>
  <c r="J214" i="1" s="1"/>
  <c r="J214" i="3" s="1"/>
  <c r="I213" i="3"/>
  <c r="AE313" i="1"/>
  <c r="AJ313" i="1"/>
  <c r="AJ314" i="1" s="1"/>
  <c r="AV313" i="1"/>
  <c r="AV314" i="1" s="1"/>
  <c r="AU313" i="1"/>
  <c r="AY313" i="1"/>
  <c r="AG436" i="1"/>
  <c r="J256" i="3"/>
  <c r="S391" i="1"/>
  <c r="R421" i="1"/>
  <c r="T421" i="1" s="1"/>
  <c r="J268" i="3"/>
  <c r="H397" i="1"/>
  <c r="AG370" i="1"/>
  <c r="AG372" i="1" s="1"/>
  <c r="J303" i="3"/>
  <c r="J369" i="1"/>
  <c r="J307" i="3" s="1"/>
  <c r="H303" i="3"/>
  <c r="N374" i="1"/>
  <c r="K312" i="3"/>
  <c r="N172" i="1"/>
  <c r="Q172" i="1" s="1"/>
  <c r="J322" i="1"/>
  <c r="J24" i="5" s="1"/>
  <c r="J140" i="3"/>
  <c r="D317" i="1"/>
  <c r="J315" i="1" s="1"/>
  <c r="D135" i="3"/>
  <c r="D19" i="5"/>
  <c r="W134" i="1"/>
  <c r="J80" i="3"/>
  <c r="F36" i="3"/>
  <c r="C17" i="9"/>
  <c r="L425" i="1"/>
  <c r="L289" i="3" s="1"/>
  <c r="L270" i="3"/>
  <c r="J23" i="2"/>
  <c r="AZ21" i="2" s="1"/>
  <c r="BA21" i="2" s="1"/>
  <c r="J6" i="5"/>
  <c r="J6" i="6"/>
  <c r="J4" i="5"/>
  <c r="J4" i="6"/>
  <c r="J24" i="2"/>
  <c r="BI18" i="2" s="1"/>
  <c r="BI28" i="2" s="1"/>
  <c r="BI31" i="2" s="1"/>
  <c r="BI11" i="2"/>
  <c r="J6" i="2"/>
  <c r="J4" i="2"/>
  <c r="BO11" i="2"/>
  <c r="BO35" i="2" s="1"/>
  <c r="AX16" i="2"/>
  <c r="AX19" i="2"/>
  <c r="AZ19" i="2"/>
  <c r="AX61" i="2"/>
  <c r="BO17" i="2"/>
  <c r="BI30" i="2"/>
  <c r="BN19" i="2"/>
  <c r="BJ19" i="2"/>
  <c r="AX51" i="2"/>
  <c r="BN17" i="2"/>
  <c r="BN16" i="2" s="1"/>
  <c r="BO14" i="2"/>
  <c r="BO15" i="2" s="1"/>
  <c r="BJ15" i="2"/>
  <c r="AZ18" i="2"/>
  <c r="BA18" i="2" s="1"/>
  <c r="J22" i="2"/>
  <c r="AW11" i="2"/>
  <c r="AX11" i="2" s="1"/>
  <c r="AX20" i="1"/>
  <c r="G9" i="1"/>
  <c r="G9" i="3" s="1"/>
  <c r="BO9" i="1"/>
  <c r="K11" i="1"/>
  <c r="L37" i="1"/>
  <c r="J37" i="1"/>
  <c r="AX81" i="1"/>
  <c r="AX73" i="1"/>
  <c r="AX83" i="1" s="1"/>
  <c r="AC113" i="1"/>
  <c r="AC88" i="1"/>
  <c r="F37" i="1"/>
  <c r="F33" i="1"/>
  <c r="F33" i="3" s="1"/>
  <c r="H9" i="1"/>
  <c r="H9" i="3" s="1"/>
  <c r="G11" i="3"/>
  <c r="BO17" i="1"/>
  <c r="CG18" i="1"/>
  <c r="BN19" i="1"/>
  <c r="CG22" i="1"/>
  <c r="H11" i="1"/>
  <c r="H11" i="3" s="1"/>
  <c r="J167" i="1"/>
  <c r="O83" i="1"/>
  <c r="K70" i="1"/>
  <c r="J19" i="1"/>
  <c r="J387" i="1"/>
  <c r="J260" i="3" s="1"/>
  <c r="J213" i="1"/>
  <c r="J213" i="3" s="1"/>
  <c r="N292" i="1"/>
  <c r="P173" i="1"/>
  <c r="S173" i="1" s="1"/>
  <c r="J27" i="1"/>
  <c r="J27" i="3" s="1"/>
  <c r="R331" i="1"/>
  <c r="K9" i="1"/>
  <c r="K10" i="1"/>
  <c r="P195" i="1"/>
  <c r="P83" i="1"/>
  <c r="BI19" i="1"/>
  <c r="BC20" i="1"/>
  <c r="O27" i="1"/>
  <c r="N31" i="1"/>
  <c r="J32" i="1"/>
  <c r="J32" i="3" s="1"/>
  <c r="R121" i="1"/>
  <c r="Q120" i="1"/>
  <c r="P120" i="1"/>
  <c r="R120" i="1" s="1"/>
  <c r="R122" i="1" s="1"/>
  <c r="H48" i="3"/>
  <c r="H49" i="3"/>
  <c r="BC81" i="1"/>
  <c r="A126" i="1"/>
  <c r="A77" i="3" s="1"/>
  <c r="AA94" i="1"/>
  <c r="O305" i="1"/>
  <c r="O306" i="1" s="1"/>
  <c r="A299" i="1" s="1"/>
  <c r="A37" i="5" s="1"/>
  <c r="AC94" i="1"/>
  <c r="AP86" i="1" s="1"/>
  <c r="F126" i="1"/>
  <c r="F77" i="3" s="1"/>
  <c r="N83" i="1"/>
  <c r="N38" i="1"/>
  <c r="J90" i="1"/>
  <c r="J117" i="3" s="1"/>
  <c r="AA119" i="1"/>
  <c r="A127" i="1"/>
  <c r="A78" i="3" s="1"/>
  <c r="P305" i="1"/>
  <c r="F127" i="1"/>
  <c r="F78" i="3" s="1"/>
  <c r="AC119" i="1"/>
  <c r="AP111" i="1" s="1"/>
  <c r="O38" i="1"/>
  <c r="O125" i="1"/>
  <c r="K116" i="1"/>
  <c r="K142" i="3" s="1"/>
  <c r="J107" i="1"/>
  <c r="J134" i="3" s="1"/>
  <c r="J190" i="1"/>
  <c r="W212" i="1"/>
  <c r="H212" i="1"/>
  <c r="H212" i="3" s="1"/>
  <c r="G213" i="1"/>
  <c r="G213" i="3" s="1"/>
  <c r="J212" i="1"/>
  <c r="J212" i="3" s="1"/>
  <c r="N363" i="1"/>
  <c r="AH313" i="1"/>
  <c r="AH314" i="1" s="1"/>
  <c r="AT313" i="1"/>
  <c r="AT314" i="1" s="1"/>
  <c r="AA314" i="1"/>
  <c r="AE314" i="1"/>
  <c r="AQ314" i="1"/>
  <c r="AU314" i="1"/>
  <c r="AY314" i="1"/>
  <c r="R318" i="1"/>
  <c r="J339" i="1"/>
  <c r="AA373" i="1"/>
  <c r="J412" i="1"/>
  <c r="J276" i="3" s="1"/>
  <c r="Q397" i="1"/>
  <c r="T385" i="1"/>
  <c r="R384" i="1" s="1"/>
  <c r="R385" i="1" s="1"/>
  <c r="AB314" i="1"/>
  <c r="AF314" i="1"/>
  <c r="R382" i="1"/>
  <c r="AR313" i="1"/>
  <c r="AR314" i="1" s="1"/>
  <c r="AG314" i="1"/>
  <c r="AW314" i="1"/>
  <c r="AB425" i="1"/>
  <c r="AH432" i="1"/>
  <c r="J391" i="1"/>
  <c r="H417" i="1"/>
  <c r="H281" i="3" s="1"/>
  <c r="Z424" i="1"/>
  <c r="T391" i="1"/>
  <c r="AB409" i="1"/>
  <c r="AB412" i="1"/>
  <c r="P373" i="1"/>
  <c r="T384" i="1"/>
  <c r="J397" i="1"/>
  <c r="G403" i="1"/>
  <c r="Y409" i="1"/>
  <c r="J423" i="1"/>
  <c r="J287" i="3" s="1"/>
  <c r="AG435" i="1"/>
  <c r="H386" i="1"/>
  <c r="Q386" i="1"/>
  <c r="O388" i="1"/>
  <c r="O389" i="1" s="1"/>
  <c r="K397" i="1"/>
  <c r="J413" i="1"/>
  <c r="J277" i="3" s="1"/>
  <c r="R420" i="1"/>
  <c r="T420" i="1" s="1"/>
  <c r="J393" i="1"/>
  <c r="J266" i="3" s="1"/>
  <c r="G402" i="1"/>
  <c r="T405" i="1"/>
  <c r="T415" i="1" s="1"/>
  <c r="J15" i="2" l="1"/>
  <c r="J16" i="2" s="1"/>
  <c r="J320" i="1"/>
  <c r="J22" i="5" s="1"/>
  <c r="L58" i="2"/>
  <c r="L65" i="2" s="1"/>
  <c r="J28" i="1"/>
  <c r="J28" i="3" s="1"/>
  <c r="X361" i="1"/>
  <c r="W363" i="1"/>
  <c r="C82" i="9"/>
  <c r="O30" i="9"/>
  <c r="P30" i="9" s="1"/>
  <c r="X20" i="1"/>
  <c r="N397" i="1"/>
  <c r="U212" i="1"/>
  <c r="H272" i="3"/>
  <c r="M270" i="3"/>
  <c r="J205" i="3"/>
  <c r="Y19" i="1"/>
  <c r="J425" i="1"/>
  <c r="J289" i="3" s="1"/>
  <c r="J270" i="3"/>
  <c r="G425" i="1"/>
  <c r="G289" i="3" s="1"/>
  <c r="G270" i="3"/>
  <c r="J9" i="1"/>
  <c r="J9" i="3" s="1"/>
  <c r="K9" i="3"/>
  <c r="J10" i="1"/>
  <c r="J10" i="3" s="1"/>
  <c r="K10" i="3"/>
  <c r="J11" i="1"/>
  <c r="J11" i="3" s="1"/>
  <c r="K11" i="3"/>
  <c r="F40" i="3"/>
  <c r="C28" i="2"/>
  <c r="H416" i="1"/>
  <c r="H280" i="3" s="1"/>
  <c r="H259" i="3"/>
  <c r="J14" i="9"/>
  <c r="J85" i="9" s="1"/>
  <c r="H43" i="3"/>
  <c r="H425" i="1"/>
  <c r="H289" i="3" s="1"/>
  <c r="H270" i="3"/>
  <c r="P22" i="2"/>
  <c r="BO9" i="2"/>
  <c r="BN9" i="2"/>
  <c r="BJ9" i="2"/>
  <c r="P19" i="2"/>
  <c r="BJ13" i="2"/>
  <c r="AX62" i="2" s="1"/>
  <c r="AX63" i="2" s="1"/>
  <c r="J167" i="3"/>
  <c r="O21" i="1"/>
  <c r="J190" i="3"/>
  <c r="J207" i="3"/>
  <c r="J316" i="1"/>
  <c r="J17" i="5"/>
  <c r="L83" i="1"/>
  <c r="L110" i="3" s="1"/>
  <c r="W29" i="1"/>
  <c r="W31" i="1" s="1"/>
  <c r="F37" i="3"/>
  <c r="AW18" i="2"/>
  <c r="AX18" i="2" s="1"/>
  <c r="AX30" i="2" s="1"/>
  <c r="J421" i="1"/>
  <c r="J285" i="3" s="1"/>
  <c r="J264" i="3"/>
  <c r="K425" i="1"/>
  <c r="K289" i="3" s="1"/>
  <c r="K270" i="3"/>
  <c r="J38" i="3"/>
  <c r="J37" i="3"/>
  <c r="O23" i="1"/>
  <c r="O24" i="1" s="1"/>
  <c r="BC11" i="1" s="1"/>
  <c r="J19" i="3"/>
  <c r="L37" i="3"/>
  <c r="L38" i="3"/>
  <c r="J19" i="9"/>
  <c r="P29" i="9" s="1"/>
  <c r="M70" i="1"/>
  <c r="N70" i="1" s="1"/>
  <c r="K70" i="3"/>
  <c r="J341" i="1"/>
  <c r="J53" i="5"/>
  <c r="BN11" i="2"/>
  <c r="BN35" i="2" s="1"/>
  <c r="BI35" i="2"/>
  <c r="V87" i="1"/>
  <c r="H40" i="1"/>
  <c r="H28" i="2"/>
  <c r="AW10" i="2"/>
  <c r="H34" i="2"/>
  <c r="J21" i="2"/>
  <c r="P18" i="2" s="1"/>
  <c r="AW21" i="2"/>
  <c r="BI13" i="2"/>
  <c r="BO16" i="2"/>
  <c r="AZ30" i="2"/>
  <c r="BA19" i="2"/>
  <c r="BA30" i="2" s="1"/>
  <c r="BA62" i="2"/>
  <c r="BO18" i="2"/>
  <c r="BD51" i="2"/>
  <c r="AZ51" i="2"/>
  <c r="BO19" i="2"/>
  <c r="BJ30" i="2"/>
  <c r="BJ28" i="2"/>
  <c r="BJ31" i="2" s="1"/>
  <c r="BD61" i="2"/>
  <c r="AZ61" i="2"/>
  <c r="BA52" i="2"/>
  <c r="BN18" i="2"/>
  <c r="BN28" i="2" s="1"/>
  <c r="BN31" i="2" s="1"/>
  <c r="BN30" i="2"/>
  <c r="AZ316" i="1"/>
  <c r="AZ318" i="1" s="1"/>
  <c r="AF316" i="1"/>
  <c r="AF318" i="1" s="1"/>
  <c r="AJ316" i="1"/>
  <c r="AJ318" i="1" s="1"/>
  <c r="J367" i="1"/>
  <c r="J305" i="3" s="1"/>
  <c r="AX316" i="1"/>
  <c r="AX318" i="1" s="1"/>
  <c r="AO316" i="1"/>
  <c r="J189" i="1"/>
  <c r="J91" i="1"/>
  <c r="J118" i="3" s="1"/>
  <c r="J361" i="1"/>
  <c r="J299" i="3" s="1"/>
  <c r="AE316" i="1"/>
  <c r="AN316" i="1"/>
  <c r="J206" i="1"/>
  <c r="AA183" i="1" s="1"/>
  <c r="J99" i="1"/>
  <c r="AI316" i="1"/>
  <c r="AG316" i="1"/>
  <c r="AW316" i="1"/>
  <c r="J139" i="1"/>
  <c r="J90" i="3" s="1"/>
  <c r="AA316" i="1"/>
  <c r="J72" i="1"/>
  <c r="J72" i="3" s="1"/>
  <c r="Q394" i="1"/>
  <c r="W399" i="1" s="1"/>
  <c r="AV316" i="1"/>
  <c r="AD316" i="1"/>
  <c r="AC316" i="1"/>
  <c r="AL316" i="1"/>
  <c r="J112" i="1"/>
  <c r="J139" i="3" s="1"/>
  <c r="J390" i="1"/>
  <c r="J263" i="3" s="1"/>
  <c r="AC432" i="1"/>
  <c r="AB432" i="1" s="1"/>
  <c r="L345" i="1"/>
  <c r="L59" i="5" s="1"/>
  <c r="L119" i="1"/>
  <c r="H225" i="1"/>
  <c r="H225" i="3" s="1"/>
  <c r="J207" i="1"/>
  <c r="J127" i="1"/>
  <c r="J78" i="3" s="1"/>
  <c r="J126" i="1"/>
  <c r="J77" i="3" s="1"/>
  <c r="AG111" i="1"/>
  <c r="M82" i="1"/>
  <c r="L82" i="1"/>
  <c r="L109" i="3" s="1"/>
  <c r="K82" i="1"/>
  <c r="K109" i="3" s="1"/>
  <c r="N213" i="1"/>
  <c r="W181" i="1"/>
  <c r="O206" i="1" s="1"/>
  <c r="J23" i="1"/>
  <c r="J23" i="3" s="1"/>
  <c r="N34" i="1"/>
  <c r="V73" i="1"/>
  <c r="O29" i="1"/>
  <c r="O33" i="1" s="1"/>
  <c r="AB94" i="1"/>
  <c r="AA102" i="1" s="1"/>
  <c r="C126" i="1"/>
  <c r="D126" i="1" s="1"/>
  <c r="D77" i="3" s="1"/>
  <c r="AJ22" i="1"/>
  <c r="N393" i="1"/>
  <c r="Y411" i="1"/>
  <c r="J376" i="1"/>
  <c r="J375" i="1"/>
  <c r="J313" i="3" s="1"/>
  <c r="J389" i="1"/>
  <c r="J262" i="3" s="1"/>
  <c r="J388" i="1"/>
  <c r="J261" i="3" s="1"/>
  <c r="P365" i="1"/>
  <c r="Q90" i="1"/>
  <c r="AY51" i="1"/>
  <c r="AY61" i="1" s="1"/>
  <c r="BI30" i="1"/>
  <c r="BJ19" i="1"/>
  <c r="L80" i="1"/>
  <c r="L107" i="3" s="1"/>
  <c r="J31" i="1"/>
  <c r="J31" i="3" s="1"/>
  <c r="X30" i="1"/>
  <c r="X31" i="1" s="1"/>
  <c r="J417" i="1"/>
  <c r="J281" i="3" s="1"/>
  <c r="R405" i="1"/>
  <c r="R415" i="1" s="1"/>
  <c r="N390" i="1"/>
  <c r="C127" i="1"/>
  <c r="D127" i="1" s="1"/>
  <c r="D78" i="3" s="1"/>
  <c r="AB119" i="1"/>
  <c r="AA127" i="1" s="1"/>
  <c r="AJ23" i="1"/>
  <c r="AA424" i="1"/>
  <c r="Z427" i="1"/>
  <c r="AA427" i="1" s="1"/>
  <c r="AB427" i="1" s="1"/>
  <c r="AB429" i="1"/>
  <c r="S385" i="1"/>
  <c r="AJ31" i="1"/>
  <c r="AG48" i="1" s="1"/>
  <c r="CY12" i="1"/>
  <c r="AW21" i="1"/>
  <c r="AX21" i="1" s="1"/>
  <c r="BD21" i="1" s="1"/>
  <c r="AI15" i="1"/>
  <c r="BD16" i="1" s="1"/>
  <c r="BD17" i="1" s="1"/>
  <c r="CZ14" i="1"/>
  <c r="BN14" i="1"/>
  <c r="AH14" i="1"/>
  <c r="AJ30" i="1" s="1"/>
  <c r="AO22" i="1"/>
  <c r="BC21" i="1"/>
  <c r="AO17" i="1"/>
  <c r="CY14" i="1"/>
  <c r="L32" i="1"/>
  <c r="L32" i="3" s="1"/>
  <c r="BI14" i="1"/>
  <c r="AH13" i="1"/>
  <c r="AE423" i="1"/>
  <c r="X408" i="1"/>
  <c r="Y410" i="1" s="1"/>
  <c r="AA417" i="1" s="1"/>
  <c r="W369" i="1"/>
  <c r="X371" i="1" s="1"/>
  <c r="Z378" i="1" s="1"/>
  <c r="AS316" i="1"/>
  <c r="AK316" i="1"/>
  <c r="AR316" i="1"/>
  <c r="AB316" i="1"/>
  <c r="AY316" i="1"/>
  <c r="AU316" i="1"/>
  <c r="AQ316" i="1"/>
  <c r="AM316" i="1"/>
  <c r="AF369" i="1"/>
  <c r="AG371" i="1" s="1"/>
  <c r="AI378" i="1" s="1"/>
  <c r="AT316" i="1"/>
  <c r="AP316" i="1"/>
  <c r="AH316" i="1"/>
  <c r="L81" i="1"/>
  <c r="L108" i="3" s="1"/>
  <c r="B131" i="1"/>
  <c r="AI83" i="1"/>
  <c r="Z69" i="1"/>
  <c r="AB422" i="1"/>
  <c r="J384" i="1"/>
  <c r="J257" i="3" s="1"/>
  <c r="O328" i="1"/>
  <c r="L334" i="1" s="1"/>
  <c r="L49" i="5" s="1"/>
  <c r="J292" i="1"/>
  <c r="J30" i="5" s="1"/>
  <c r="J168" i="1"/>
  <c r="J168" i="3" s="1"/>
  <c r="BC9" i="1"/>
  <c r="BI6" i="1"/>
  <c r="AW9" i="1"/>
  <c r="J24" i="1"/>
  <c r="J24" i="3" s="1"/>
  <c r="BN6" i="1"/>
  <c r="AC433" i="1"/>
  <c r="AB433" i="1" s="1"/>
  <c r="A393" i="1"/>
  <c r="A266" i="3" s="1"/>
  <c r="N291" i="1"/>
  <c r="E170" i="1"/>
  <c r="E170" i="3" s="1"/>
  <c r="P174" i="1"/>
  <c r="S174" i="1" s="1"/>
  <c r="F199" i="1"/>
  <c r="F199" i="3" s="1"/>
  <c r="P167" i="1"/>
  <c r="BI11" i="1"/>
  <c r="Q11" i="1"/>
  <c r="T79" i="1" s="1"/>
  <c r="BN11" i="1"/>
  <c r="R15" i="1"/>
  <c r="AG86" i="1"/>
  <c r="H52" i="1"/>
  <c r="H51" i="3" s="1"/>
  <c r="W20" i="1"/>
  <c r="Q14" i="1"/>
  <c r="AY71" i="1"/>
  <c r="BN30" i="1"/>
  <c r="BO19" i="1"/>
  <c r="B132" i="1"/>
  <c r="AI108" i="1"/>
  <c r="AA69" i="1"/>
  <c r="BD20" i="1"/>
  <c r="H36" i="2" l="1"/>
  <c r="BI6" i="2"/>
  <c r="J92" i="9"/>
  <c r="O29" i="9"/>
  <c r="O28" i="9"/>
  <c r="P28" i="9" s="1"/>
  <c r="AR86" i="1"/>
  <c r="AR90" i="1" s="1"/>
  <c r="BJ32" i="2"/>
  <c r="BJ38" i="2" s="1"/>
  <c r="BJ40" i="2" s="1"/>
  <c r="BO13" i="2"/>
  <c r="N171" i="1"/>
  <c r="C207" i="1" s="1"/>
  <c r="C207" i="3" s="1"/>
  <c r="Y413" i="1"/>
  <c r="AX317" i="1"/>
  <c r="H377" i="1"/>
  <c r="H315" i="3" s="1"/>
  <c r="J314" i="3"/>
  <c r="Z183" i="1"/>
  <c r="J206" i="3"/>
  <c r="J189" i="3"/>
  <c r="L474" i="1"/>
  <c r="L365" i="3" s="1"/>
  <c r="L144" i="3"/>
  <c r="L101" i="1"/>
  <c r="L128" i="3" s="1"/>
  <c r="J126" i="3"/>
  <c r="AW30" i="2"/>
  <c r="AN86" i="1"/>
  <c r="AN90" i="1" s="1"/>
  <c r="AW18" i="1"/>
  <c r="BI17" i="1" s="1"/>
  <c r="BJ17" i="1" s="1"/>
  <c r="J332" i="1"/>
  <c r="J18" i="5"/>
  <c r="J30" i="1"/>
  <c r="AW11" i="1"/>
  <c r="AX11" i="1" s="1"/>
  <c r="AB88" i="1"/>
  <c r="AA98" i="1" s="1"/>
  <c r="Z66" i="1" s="1"/>
  <c r="N82" i="1"/>
  <c r="M109" i="3"/>
  <c r="O43" i="1"/>
  <c r="H40" i="3"/>
  <c r="J55" i="5"/>
  <c r="J343" i="1"/>
  <c r="J57" i="5" s="1"/>
  <c r="H43" i="1"/>
  <c r="AJ317" i="1"/>
  <c r="H191" i="1"/>
  <c r="H223" i="1" s="1"/>
  <c r="H223" i="3" s="1"/>
  <c r="J29" i="1"/>
  <c r="J215" i="1"/>
  <c r="AG374" i="1"/>
  <c r="H208" i="1"/>
  <c r="H226" i="1" s="1"/>
  <c r="H226" i="3" s="1"/>
  <c r="AF317" i="1"/>
  <c r="AX10" i="2"/>
  <c r="AX33" i="2" s="1"/>
  <c r="AZ10" i="2"/>
  <c r="L28" i="2"/>
  <c r="L30" i="2" s="1"/>
  <c r="H30" i="2"/>
  <c r="BI16" i="2"/>
  <c r="AZ16" i="2"/>
  <c r="AZ33" i="2" s="1"/>
  <c r="AW16" i="2"/>
  <c r="AW33" i="2" s="1"/>
  <c r="BJ16" i="2"/>
  <c r="AZ317" i="1"/>
  <c r="AW15" i="2"/>
  <c r="P21" i="2"/>
  <c r="BI41" i="2"/>
  <c r="BI7" i="2"/>
  <c r="BI8" i="2" s="1"/>
  <c r="BI10" i="2" s="1"/>
  <c r="AW52" i="2" s="1"/>
  <c r="BJ6" i="2"/>
  <c r="BN6" i="2"/>
  <c r="BB51" i="2"/>
  <c r="BO30" i="2"/>
  <c r="BO28" i="2"/>
  <c r="BO31" i="2" s="1"/>
  <c r="AX52" i="2"/>
  <c r="BI32" i="2"/>
  <c r="BI38" i="2" s="1"/>
  <c r="BI40" i="2" s="1"/>
  <c r="BN13" i="2"/>
  <c r="BB61" i="2"/>
  <c r="AX21" i="2"/>
  <c r="AW22" i="2"/>
  <c r="AW23" i="2" s="1"/>
  <c r="N392" i="1"/>
  <c r="U366" i="1"/>
  <c r="V91" i="1"/>
  <c r="L121" i="1"/>
  <c r="L146" i="3" s="1"/>
  <c r="J321" i="1"/>
  <c r="J23" i="5" s="1"/>
  <c r="H114" i="1"/>
  <c r="AN318" i="1"/>
  <c r="AN317" i="1"/>
  <c r="AL318" i="1"/>
  <c r="AL317" i="1"/>
  <c r="AW318" i="1"/>
  <c r="AW317" i="1"/>
  <c r="AE318" i="1"/>
  <c r="AE317" i="1"/>
  <c r="AC318" i="1"/>
  <c r="AC317" i="1"/>
  <c r="AG318" i="1"/>
  <c r="AG317" i="1"/>
  <c r="AV318" i="1"/>
  <c r="AV317" i="1"/>
  <c r="AD318" i="1"/>
  <c r="AD317" i="1"/>
  <c r="AA318" i="1"/>
  <c r="AA317" i="1"/>
  <c r="AI318" i="1"/>
  <c r="AI317" i="1"/>
  <c r="AO318" i="1"/>
  <c r="AO317" i="1"/>
  <c r="AG43" i="1"/>
  <c r="AG52" i="1" s="1"/>
  <c r="AG58" i="1" s="1"/>
  <c r="AB43" i="1"/>
  <c r="AB52" i="1" s="1"/>
  <c r="AB58" i="1" s="1"/>
  <c r="A132" i="1"/>
  <c r="AJ108" i="1"/>
  <c r="AK108" i="1"/>
  <c r="AL108" i="1" s="1"/>
  <c r="AY81" i="1"/>
  <c r="AZ71" i="1"/>
  <c r="BD71" i="1"/>
  <c r="BN35" i="1"/>
  <c r="BO35" i="1" s="1"/>
  <c r="BO11" i="1"/>
  <c r="S167" i="1"/>
  <c r="N296" i="1"/>
  <c r="N295" i="1"/>
  <c r="BN41" i="1"/>
  <c r="BN7" i="1"/>
  <c r="BN8" i="1" s="1"/>
  <c r="BN10" i="1" s="1"/>
  <c r="BO6" i="1"/>
  <c r="BC10" i="1"/>
  <c r="BD9" i="1"/>
  <c r="BD10" i="1" s="1"/>
  <c r="J414" i="1"/>
  <c r="J278" i="3" s="1"/>
  <c r="J385" i="1"/>
  <c r="AY318" i="1"/>
  <c r="AY317" i="1"/>
  <c r="AS318" i="1"/>
  <c r="AS317" i="1"/>
  <c r="BO14" i="1"/>
  <c r="BN15" i="1"/>
  <c r="BO15" i="1" s="1"/>
  <c r="AA124" i="1"/>
  <c r="X374" i="1"/>
  <c r="R409" i="1"/>
  <c r="T409" i="1" s="1"/>
  <c r="W185" i="1"/>
  <c r="AE422" i="1"/>
  <c r="AG438" i="1" s="1"/>
  <c r="W362" i="1"/>
  <c r="H372" i="1" s="1"/>
  <c r="H310" i="3" s="1"/>
  <c r="J293" i="1"/>
  <c r="J31" i="5" s="1"/>
  <c r="S384" i="1"/>
  <c r="H400" i="1" s="1"/>
  <c r="H273" i="3" s="1"/>
  <c r="V86" i="1"/>
  <c r="H95" i="1" s="1"/>
  <c r="H122" i="3" s="1"/>
  <c r="AN111" i="1"/>
  <c r="J52" i="1"/>
  <c r="R425" i="1"/>
  <c r="A423" i="1"/>
  <c r="A287" i="3" s="1"/>
  <c r="R408" i="1"/>
  <c r="U365" i="1"/>
  <c r="W184" i="1"/>
  <c r="T127" i="1"/>
  <c r="V90" i="1"/>
  <c r="AB423" i="1"/>
  <c r="AB434" i="1" s="1"/>
  <c r="AH318" i="1"/>
  <c r="AH317" i="1"/>
  <c r="AM318" i="1"/>
  <c r="AM317" i="1"/>
  <c r="AB318" i="1"/>
  <c r="AB317" i="1"/>
  <c r="BJ14" i="1"/>
  <c r="BI15" i="1"/>
  <c r="BJ15" i="1" s="1"/>
  <c r="AB424" i="1"/>
  <c r="AB426" i="1"/>
  <c r="AJ25" i="1"/>
  <c r="AI25" i="1"/>
  <c r="AK25" i="1"/>
  <c r="X407" i="1"/>
  <c r="X415" i="1" s="1"/>
  <c r="Z415" i="1" s="1"/>
  <c r="AC415" i="1" s="1"/>
  <c r="J370" i="1"/>
  <c r="J308" i="3" s="1"/>
  <c r="AF368" i="1"/>
  <c r="W368" i="1"/>
  <c r="J169" i="1"/>
  <c r="J93" i="1"/>
  <c r="J120" i="3" s="1"/>
  <c r="AR111" i="1"/>
  <c r="AR115" i="1" s="1"/>
  <c r="BO30" i="1"/>
  <c r="BC22" i="1"/>
  <c r="BD11" i="1"/>
  <c r="BI35" i="1"/>
  <c r="BJ35" i="1" s="1"/>
  <c r="BJ11" i="1"/>
  <c r="AX9" i="1"/>
  <c r="AX10" i="1" s="1"/>
  <c r="AW10" i="1"/>
  <c r="AP318" i="1"/>
  <c r="AP317" i="1"/>
  <c r="AQ318" i="1"/>
  <c r="AQ317" i="1"/>
  <c r="AR318" i="1"/>
  <c r="AR317" i="1"/>
  <c r="J418" i="1"/>
  <c r="J282" i="3" s="1"/>
  <c r="O386" i="1"/>
  <c r="AH111" i="1"/>
  <c r="AG115" i="1"/>
  <c r="T128" i="1"/>
  <c r="J420" i="1"/>
  <c r="J284" i="3" s="1"/>
  <c r="W401" i="1"/>
  <c r="Q89" i="1"/>
  <c r="N12" i="1"/>
  <c r="R14" i="1"/>
  <c r="N13" i="1" s="1"/>
  <c r="AG90" i="1"/>
  <c r="AH86" i="1"/>
  <c r="J174" i="1"/>
  <c r="J174" i="3" s="1"/>
  <c r="C202" i="1"/>
  <c r="C202" i="3" s="1"/>
  <c r="H76" i="1"/>
  <c r="H103" i="3" s="1"/>
  <c r="BI41" i="1"/>
  <c r="BI7" i="1"/>
  <c r="BI8" i="1" s="1"/>
  <c r="BI10" i="1" s="1"/>
  <c r="BJ6" i="1"/>
  <c r="A131" i="1"/>
  <c r="AK83" i="1"/>
  <c r="AL83" i="1" s="1"/>
  <c r="AJ83" i="1"/>
  <c r="BO16" i="1"/>
  <c r="AT318" i="1"/>
  <c r="AT317" i="1"/>
  <c r="AU318" i="1"/>
  <c r="AU317" i="1"/>
  <c r="AK318" i="1"/>
  <c r="AK317" i="1"/>
  <c r="CZ13" i="1"/>
  <c r="CZ15" i="1" s="1"/>
  <c r="AJ34" i="1"/>
  <c r="AJ26" i="1"/>
  <c r="AK26" i="1"/>
  <c r="AI26" i="1"/>
  <c r="BJ30" i="1"/>
  <c r="CY11" i="1"/>
  <c r="R407" i="1"/>
  <c r="J419" i="1"/>
  <c r="J283" i="3" s="1"/>
  <c r="AA99" i="1"/>
  <c r="AB113" i="1"/>
  <c r="AA123" i="1" s="1"/>
  <c r="AA66" i="1" s="1"/>
  <c r="BO32" i="2" l="1"/>
  <c r="BO38" i="2" s="1"/>
  <c r="BO40" i="2" s="1"/>
  <c r="J30" i="3"/>
  <c r="AX53" i="2"/>
  <c r="P110" i="1"/>
  <c r="O110" i="1"/>
  <c r="O160" i="1"/>
  <c r="P160" i="1"/>
  <c r="AZ14" i="1"/>
  <c r="AW22" i="1" s="1"/>
  <c r="AX22" i="1" s="1"/>
  <c r="H229" i="1"/>
  <c r="H229" i="3" s="1"/>
  <c r="P170" i="1"/>
  <c r="R171" i="1"/>
  <c r="S170" i="1" s="1"/>
  <c r="Q167" i="1" s="1"/>
  <c r="AX22" i="2"/>
  <c r="AX23" i="2" s="1"/>
  <c r="AX25" i="2" s="1"/>
  <c r="AX27" i="2" s="1"/>
  <c r="J26" i="9"/>
  <c r="J43" i="9" s="1"/>
  <c r="J116" i="9" s="1"/>
  <c r="J51" i="3"/>
  <c r="J171" i="1"/>
  <c r="J171" i="3" s="1"/>
  <c r="J169" i="3"/>
  <c r="W183" i="1"/>
  <c r="Y183" i="1" s="1"/>
  <c r="J215" i="3"/>
  <c r="J415" i="1"/>
  <c r="J279" i="3" s="1"/>
  <c r="J258" i="3"/>
  <c r="T29" i="1"/>
  <c r="U19" i="2" s="1"/>
  <c r="U22" i="2" s="1"/>
  <c r="J29" i="3"/>
  <c r="AF376" i="1"/>
  <c r="AH376" i="1" s="1"/>
  <c r="AK376" i="1" s="1"/>
  <c r="AO86" i="1"/>
  <c r="AO90" i="1" s="1"/>
  <c r="L76" i="1"/>
  <c r="L103" i="3" s="1"/>
  <c r="AX51" i="1"/>
  <c r="AX61" i="1" s="1"/>
  <c r="H46" i="1"/>
  <c r="H44" i="3" s="1"/>
  <c r="AZ17" i="1"/>
  <c r="AX18" i="1"/>
  <c r="AZ22" i="1"/>
  <c r="W19" i="1"/>
  <c r="Y21" i="1" s="1"/>
  <c r="BC16" i="1"/>
  <c r="BC17" i="1" s="1"/>
  <c r="BN16" i="1" s="1"/>
  <c r="H191" i="3"/>
  <c r="H208" i="3"/>
  <c r="H323" i="1"/>
  <c r="H336" i="1" s="1"/>
  <c r="H50" i="5" s="1"/>
  <c r="H141" i="3"/>
  <c r="J338" i="1"/>
  <c r="J52" i="5" s="1"/>
  <c r="J47" i="5"/>
  <c r="J15" i="1"/>
  <c r="J13" i="9"/>
  <c r="J84" i="9" s="1"/>
  <c r="H42" i="3"/>
  <c r="H43" i="6"/>
  <c r="W19" i="6" s="1"/>
  <c r="T30" i="1"/>
  <c r="T34" i="1" s="1"/>
  <c r="BI20" i="2"/>
  <c r="BI21" i="2" s="1"/>
  <c r="BI22" i="2" s="1"/>
  <c r="O365" i="1"/>
  <c r="AZ52" i="2"/>
  <c r="L33" i="2"/>
  <c r="L35" i="2"/>
  <c r="P23" i="2"/>
  <c r="P20" i="2"/>
  <c r="P90" i="1"/>
  <c r="BJ41" i="2"/>
  <c r="BJ7" i="2"/>
  <c r="BJ8" i="2" s="1"/>
  <c r="BJ10" i="2" s="1"/>
  <c r="BJ20" i="2" s="1"/>
  <c r="BJ21" i="2" s="1"/>
  <c r="AX15" i="2"/>
  <c r="AZ15" i="2"/>
  <c r="BA15" i="2" s="1"/>
  <c r="BA10" i="2"/>
  <c r="AZ22" i="2"/>
  <c r="AZ23" i="2" s="1"/>
  <c r="BN41" i="2"/>
  <c r="BN7" i="2"/>
  <c r="BN8" i="2" s="1"/>
  <c r="BN10" i="2" s="1"/>
  <c r="BN20" i="2" s="1"/>
  <c r="BN21" i="2" s="1"/>
  <c r="BO6" i="2"/>
  <c r="AW62" i="2"/>
  <c r="AW53" i="2"/>
  <c r="AZ53" i="2" s="1"/>
  <c r="Q22" i="2"/>
  <c r="Q19" i="2"/>
  <c r="AW26" i="2"/>
  <c r="AW25" i="2"/>
  <c r="AW27" i="2" s="1"/>
  <c r="AW24" i="2"/>
  <c r="AW29" i="2"/>
  <c r="BN32" i="2"/>
  <c r="BN38" i="2" s="1"/>
  <c r="BN40" i="2" s="1"/>
  <c r="J295" i="1"/>
  <c r="X21" i="1"/>
  <c r="AA103" i="1"/>
  <c r="Z72" i="1" s="1"/>
  <c r="Z68" i="1"/>
  <c r="Q91" i="1"/>
  <c r="O30" i="1"/>
  <c r="O34" i="1" s="1"/>
  <c r="O128" i="1"/>
  <c r="P366" i="1"/>
  <c r="C146" i="1"/>
  <c r="C143" i="1"/>
  <c r="F131" i="1"/>
  <c r="E131" i="1"/>
  <c r="C131" i="1"/>
  <c r="BD22" i="1"/>
  <c r="BN13" i="1"/>
  <c r="CZ11" i="1"/>
  <c r="CZ16" i="1" s="1"/>
  <c r="AO111" i="1"/>
  <c r="AO115" i="1" s="1"/>
  <c r="AN115" i="1"/>
  <c r="AA125" i="1"/>
  <c r="AA71" i="1" s="1"/>
  <c r="AA67" i="1"/>
  <c r="BD81" i="1"/>
  <c r="AZ81" i="1"/>
  <c r="BJ41" i="1"/>
  <c r="BJ7" i="1"/>
  <c r="BJ8" i="1" s="1"/>
  <c r="BJ10" i="1" s="1"/>
  <c r="X416" i="1"/>
  <c r="X417" i="1" s="1"/>
  <c r="T408" i="1"/>
  <c r="T410" i="1" s="1"/>
  <c r="T411" i="1" s="1"/>
  <c r="R410" i="1"/>
  <c r="R411" i="1" s="1"/>
  <c r="R412" i="1" s="1"/>
  <c r="H428" i="1"/>
  <c r="H292" i="3" s="1"/>
  <c r="Y185" i="1"/>
  <c r="AA185" i="1"/>
  <c r="Z185" i="1"/>
  <c r="AA128" i="1"/>
  <c r="AA72" i="1" s="1"/>
  <c r="AA68" i="1"/>
  <c r="AL111" i="1"/>
  <c r="AK111" i="1" s="1"/>
  <c r="AK115" i="1" s="1"/>
  <c r="AM108" i="1"/>
  <c r="AJ32" i="1"/>
  <c r="CY13" i="1"/>
  <c r="CY15" i="1" s="1"/>
  <c r="CY16" i="1" s="1"/>
  <c r="AW52" i="1"/>
  <c r="AB437" i="1"/>
  <c r="AB438" i="1" s="1"/>
  <c r="AB440" i="1" s="1"/>
  <c r="X437" i="1"/>
  <c r="AB439" i="1"/>
  <c r="AC446" i="1" s="1"/>
  <c r="N127" i="1"/>
  <c r="BO41" i="1"/>
  <c r="BO7" i="1"/>
  <c r="BO8" i="1" s="1"/>
  <c r="BO10" i="1" s="1"/>
  <c r="AA100" i="1"/>
  <c r="Z71" i="1" s="1"/>
  <c r="Z67" i="1"/>
  <c r="T407" i="1"/>
  <c r="P127" i="1"/>
  <c r="P29" i="1"/>
  <c r="P33" i="1" s="1"/>
  <c r="R90" i="1"/>
  <c r="Q365" i="1"/>
  <c r="AL86" i="1"/>
  <c r="AI86" i="1" s="1"/>
  <c r="AI90" i="1" s="1"/>
  <c r="AM83" i="1"/>
  <c r="AH90" i="1"/>
  <c r="AH115" i="1"/>
  <c r="Y184" i="1"/>
  <c r="AA184" i="1"/>
  <c r="Z184" i="1"/>
  <c r="W186" i="1"/>
  <c r="W187" i="1" s="1"/>
  <c r="R426" i="1"/>
  <c r="T425" i="1"/>
  <c r="T426" i="1" s="1"/>
  <c r="W376" i="1"/>
  <c r="AW72" i="1"/>
  <c r="BB71" i="1"/>
  <c r="C147" i="1"/>
  <c r="C132" i="1"/>
  <c r="C144" i="1"/>
  <c r="F132" i="1"/>
  <c r="E132" i="1"/>
  <c r="BI13" i="1" l="1"/>
  <c r="BD51" i="1"/>
  <c r="J15" i="3"/>
  <c r="BA63" i="2"/>
  <c r="BA53" i="2"/>
  <c r="BB53" i="2" s="1"/>
  <c r="J98" i="9"/>
  <c r="AX26" i="2"/>
  <c r="AX29" i="2"/>
  <c r="AX32" i="2" s="1"/>
  <c r="H60" i="2" s="1"/>
  <c r="W188" i="1"/>
  <c r="W189" i="1" s="1"/>
  <c r="W191" i="1" s="1"/>
  <c r="T33" i="1"/>
  <c r="N168" i="1"/>
  <c r="N167" i="1"/>
  <c r="F170" i="1" s="1"/>
  <c r="J173" i="1" s="1"/>
  <c r="K76" i="1"/>
  <c r="K103" i="3" s="1"/>
  <c r="AX24" i="2"/>
  <c r="H25" i="5"/>
  <c r="N29" i="1"/>
  <c r="N33" i="1" s="1"/>
  <c r="AF377" i="1"/>
  <c r="AF378" i="1" s="1"/>
  <c r="AH378" i="1" s="1"/>
  <c r="Y186" i="1"/>
  <c r="Y187" i="1" s="1"/>
  <c r="Y188" i="1" s="1"/>
  <c r="Y189" i="1" s="1"/>
  <c r="Y191" i="1" s="1"/>
  <c r="U20" i="2"/>
  <c r="AZ51" i="1"/>
  <c r="BB51" i="1" s="1"/>
  <c r="AX53" i="1"/>
  <c r="AX63" i="1" s="1"/>
  <c r="V70" i="1"/>
  <c r="V74" i="1" s="1"/>
  <c r="T73" i="1" s="1"/>
  <c r="T74" i="1" s="1"/>
  <c r="BI18" i="1"/>
  <c r="BA52" i="1" s="1"/>
  <c r="BC19" i="1"/>
  <c r="BC31" i="1" s="1"/>
  <c r="O72" i="1"/>
  <c r="BN18" i="1"/>
  <c r="BA72" i="1" s="1"/>
  <c r="J130" i="1"/>
  <c r="J147" i="1" s="1"/>
  <c r="H73" i="1"/>
  <c r="H73" i="3" s="1"/>
  <c r="AW19" i="1"/>
  <c r="AX19" i="1" s="1"/>
  <c r="AI111" i="1"/>
  <c r="AI115" i="1" s="1"/>
  <c r="AJ111" i="1"/>
  <c r="AJ115" i="1" s="1"/>
  <c r="O28" i="1"/>
  <c r="O32" i="1" s="1"/>
  <c r="N32" i="1" s="1"/>
  <c r="AJ86" i="1"/>
  <c r="AJ90" i="1" s="1"/>
  <c r="BI24" i="2"/>
  <c r="BI27" i="2"/>
  <c r="BI39" i="2" s="1"/>
  <c r="BD52" i="2"/>
  <c r="BD54" i="2" s="1"/>
  <c r="AZ54" i="2"/>
  <c r="AK86" i="1"/>
  <c r="AK90" i="1" s="1"/>
  <c r="X21" i="6"/>
  <c r="Y21" i="6"/>
  <c r="BI23" i="2"/>
  <c r="BI25" i="2" s="1"/>
  <c r="N297" i="1"/>
  <c r="J33" i="5"/>
  <c r="H298" i="1"/>
  <c r="BB52" i="2"/>
  <c r="BB54" i="2" s="1"/>
  <c r="Z186" i="1"/>
  <c r="Z187" i="1" s="1"/>
  <c r="Z188" i="1" s="1"/>
  <c r="Z189" i="1" s="1"/>
  <c r="Z191" i="1" s="1"/>
  <c r="N302" i="1"/>
  <c r="P89" i="1"/>
  <c r="H94" i="1" s="1"/>
  <c r="H121" i="3" s="1"/>
  <c r="A298" i="1"/>
  <c r="A36" i="5" s="1"/>
  <c r="BA33" i="2"/>
  <c r="BA22" i="2"/>
  <c r="BA23" i="2" s="1"/>
  <c r="J297" i="1"/>
  <c r="BD53" i="2"/>
  <c r="BO7" i="2"/>
  <c r="BO8" i="2" s="1"/>
  <c r="BO10" i="2" s="1"/>
  <c r="BO20" i="2" s="1"/>
  <c r="BO21" i="2" s="1"/>
  <c r="BO41" i="2"/>
  <c r="AW63" i="2"/>
  <c r="AZ63" i="2" s="1"/>
  <c r="AZ62" i="2"/>
  <c r="AZ64" i="2" s="1"/>
  <c r="AZ26" i="2"/>
  <c r="AZ25" i="2"/>
  <c r="AZ27" i="2" s="1"/>
  <c r="AZ29" i="2"/>
  <c r="AZ24" i="2"/>
  <c r="BJ23" i="2"/>
  <c r="BJ25" i="2" s="1"/>
  <c r="BJ27" i="2"/>
  <c r="BJ24" i="2"/>
  <c r="BJ22" i="2"/>
  <c r="AX28" i="2"/>
  <c r="AX31" i="2" s="1"/>
  <c r="H57" i="2" s="1"/>
  <c r="BN23" i="2"/>
  <c r="BN25" i="2" s="1"/>
  <c r="BN27" i="2"/>
  <c r="BN24" i="2"/>
  <c r="BN22" i="2"/>
  <c r="AW28" i="2"/>
  <c r="AW31" i="2" s="1"/>
  <c r="H56" i="2" s="1"/>
  <c r="AW32" i="2"/>
  <c r="H59" i="2" s="1"/>
  <c r="T412" i="1"/>
  <c r="T413" i="1" s="1"/>
  <c r="T414" i="1" s="1"/>
  <c r="T417" i="1" s="1"/>
  <c r="AA186" i="1"/>
  <c r="AA187" i="1" s="1"/>
  <c r="AA188" i="1" s="1"/>
  <c r="AA189" i="1" s="1"/>
  <c r="AA191" i="1" s="1"/>
  <c r="J98" i="3"/>
  <c r="W135" i="1"/>
  <c r="U134" i="1" s="1"/>
  <c r="U135" i="1" s="1"/>
  <c r="R413" i="1"/>
  <c r="R414" i="1" s="1"/>
  <c r="R417" i="1" s="1"/>
  <c r="Y32" i="1"/>
  <c r="Y33" i="1" s="1"/>
  <c r="Y34" i="1" s="1"/>
  <c r="Y36" i="1" s="1"/>
  <c r="Y37" i="1" s="1"/>
  <c r="X32" i="1"/>
  <c r="X33" i="1" s="1"/>
  <c r="X34" i="1" s="1"/>
  <c r="X36" i="1" s="1"/>
  <c r="X37" i="1" s="1"/>
  <c r="W32" i="1"/>
  <c r="W33" i="1" s="1"/>
  <c r="W34" i="1" s="1"/>
  <c r="W36" i="1" s="1"/>
  <c r="AW82" i="1"/>
  <c r="AN108" i="1"/>
  <c r="AM113" i="1"/>
  <c r="AD417" i="1"/>
  <c r="Z417" i="1"/>
  <c r="AM88" i="1"/>
  <c r="AN83" i="1"/>
  <c r="AL115" i="1"/>
  <c r="AM111" i="1"/>
  <c r="AM115" i="1" s="1"/>
  <c r="AW62" i="1"/>
  <c r="AW73" i="1"/>
  <c r="AZ73" i="1" s="1"/>
  <c r="AX52" i="1"/>
  <c r="AX62" i="1" s="1"/>
  <c r="BJ13" i="1"/>
  <c r="AL90" i="1"/>
  <c r="AM86" i="1"/>
  <c r="AM90" i="1" s="1"/>
  <c r="AW53" i="1"/>
  <c r="BO53" i="1"/>
  <c r="AC445" i="1"/>
  <c r="BB81" i="1"/>
  <c r="AX72" i="1"/>
  <c r="AX82" i="1" s="1"/>
  <c r="BO13" i="1"/>
  <c r="Z19" i="1"/>
  <c r="Z20" i="1"/>
  <c r="Y376" i="1"/>
  <c r="AB376" i="1" s="1"/>
  <c r="W377" i="1"/>
  <c r="AZ61" i="1"/>
  <c r="BD61" i="1"/>
  <c r="L49" i="1"/>
  <c r="AH43" i="1"/>
  <c r="AH52" i="1" s="1"/>
  <c r="AH58" i="1" s="1"/>
  <c r="AJ43" i="1"/>
  <c r="AJ52" i="1" s="1"/>
  <c r="AJ58" i="1" s="1"/>
  <c r="AQ43" i="1"/>
  <c r="AK43" i="1"/>
  <c r="AK52" i="1" s="1"/>
  <c r="AK58" i="1" s="1"/>
  <c r="AI43" i="1"/>
  <c r="AI52" i="1" s="1"/>
  <c r="AI58" i="1" s="1"/>
  <c r="AL43" i="1"/>
  <c r="AL52" i="1" s="1"/>
  <c r="AL58" i="1" s="1"/>
  <c r="AR43" i="1"/>
  <c r="BI47" i="2" l="1"/>
  <c r="M76" i="1"/>
  <c r="U49" i="1"/>
  <c r="U48" i="1"/>
  <c r="F170" i="3"/>
  <c r="BN20" i="1"/>
  <c r="BN21" i="1" s="1"/>
  <c r="BN27" i="1" s="1"/>
  <c r="BN29" i="1" s="1"/>
  <c r="J81" i="3"/>
  <c r="J141" i="1"/>
  <c r="J92" i="3" s="1"/>
  <c r="J97" i="3"/>
  <c r="J144" i="1"/>
  <c r="J95" i="3" s="1"/>
  <c r="U23" i="2"/>
  <c r="O22" i="2" s="1"/>
  <c r="O21" i="2" s="1"/>
  <c r="H35" i="2" s="1"/>
  <c r="K35" i="2" s="1"/>
  <c r="O19" i="2"/>
  <c r="O18" i="2" s="1"/>
  <c r="H33" i="2" s="1"/>
  <c r="BJ18" i="1"/>
  <c r="BJ28" i="1" s="1"/>
  <c r="BI20" i="1"/>
  <c r="BI21" i="1" s="1"/>
  <c r="BI23" i="1" s="1"/>
  <c r="BI28" i="1"/>
  <c r="O126" i="1"/>
  <c r="N126" i="1" s="1"/>
  <c r="H132" i="1" s="1"/>
  <c r="H83" i="3" s="1"/>
  <c r="T69" i="1"/>
  <c r="T70" i="1" s="1"/>
  <c r="U70" i="1" s="1"/>
  <c r="AZ53" i="1"/>
  <c r="BI29" i="2"/>
  <c r="BN28" i="1"/>
  <c r="AW23" i="1"/>
  <c r="AW24" i="1" s="1"/>
  <c r="AW27" i="1" s="1"/>
  <c r="AW31" i="1"/>
  <c r="BO18" i="1"/>
  <c r="BO28" i="1" s="1"/>
  <c r="BC23" i="1"/>
  <c r="BC24" i="1" s="1"/>
  <c r="BC25" i="1" s="1"/>
  <c r="N28" i="1"/>
  <c r="H63" i="1" s="1"/>
  <c r="H63" i="3" s="1"/>
  <c r="B299" i="1"/>
  <c r="B37" i="5" s="1"/>
  <c r="BB55" i="2"/>
  <c r="BD55" i="2" s="1"/>
  <c r="BD56" i="2" s="1"/>
  <c r="BI26" i="2"/>
  <c r="BI43" i="2" s="1"/>
  <c r="N76" i="1"/>
  <c r="M103" i="3"/>
  <c r="Z20" i="6"/>
  <c r="Z19" i="6"/>
  <c r="J300" i="1"/>
  <c r="J38" i="5" s="1"/>
  <c r="B300" i="1"/>
  <c r="B38" i="5" s="1"/>
  <c r="J35" i="5"/>
  <c r="J298" i="1"/>
  <c r="H36" i="5"/>
  <c r="J44" i="9"/>
  <c r="J27" i="9"/>
  <c r="AZ52" i="1"/>
  <c r="BN47" i="2"/>
  <c r="J61" i="2"/>
  <c r="M61" i="2" s="1"/>
  <c r="BJ26" i="2"/>
  <c r="BJ47" i="2"/>
  <c r="BD62" i="2"/>
  <c r="BD64" i="2" s="1"/>
  <c r="BB62" i="2"/>
  <c r="BB64" i="2" s="1"/>
  <c r="BB65" i="2" s="1"/>
  <c r="BD65" i="2" s="1"/>
  <c r="BD63" i="2"/>
  <c r="BB63" i="2"/>
  <c r="BJ39" i="2"/>
  <c r="BJ29" i="2"/>
  <c r="AZ28" i="2"/>
  <c r="AZ31" i="2" s="1"/>
  <c r="AZ32" i="2"/>
  <c r="BO27" i="2"/>
  <c r="BO24" i="2"/>
  <c r="BO22" i="2"/>
  <c r="BO23" i="2"/>
  <c r="BO25" i="2" s="1"/>
  <c r="BA25" i="2"/>
  <c r="BA27" i="2" s="1"/>
  <c r="BA24" i="2"/>
  <c r="BA26" i="2"/>
  <c r="BA29" i="2"/>
  <c r="BN26" i="2"/>
  <c r="BN42" i="2" s="1"/>
  <c r="BN44" i="2" s="1"/>
  <c r="BN45" i="2" s="1"/>
  <c r="H41" i="2" s="1"/>
  <c r="BN39" i="2"/>
  <c r="BN29" i="2"/>
  <c r="J58" i="2"/>
  <c r="W378" i="1"/>
  <c r="Y378" i="1" s="1"/>
  <c r="AL378" i="1"/>
  <c r="N368" i="1" s="1"/>
  <c r="L368" i="1" s="1"/>
  <c r="L306" i="3" s="1"/>
  <c r="AQ44" i="1"/>
  <c r="AL44" i="1"/>
  <c r="AR52" i="1"/>
  <c r="AR58" i="1" s="1"/>
  <c r="AQ52" i="1"/>
  <c r="AQ58" i="1" s="1"/>
  <c r="N59" i="1"/>
  <c r="O59" i="1"/>
  <c r="J44" i="1"/>
  <c r="J43" i="3" s="1"/>
  <c r="L44" i="1"/>
  <c r="H54" i="1"/>
  <c r="J54" i="1"/>
  <c r="BA62" i="1"/>
  <c r="BA53" i="1"/>
  <c r="BD19" i="1"/>
  <c r="AX31" i="1"/>
  <c r="N394" i="1"/>
  <c r="L394" i="1" s="1"/>
  <c r="L267" i="3" s="1"/>
  <c r="W396" i="1"/>
  <c r="W398" i="1" s="1"/>
  <c r="W400" i="1" s="1"/>
  <c r="W402" i="1" s="1"/>
  <c r="AM110" i="1"/>
  <c r="AL110" i="1"/>
  <c r="V135" i="1"/>
  <c r="V134" i="1"/>
  <c r="BB61" i="1"/>
  <c r="J59" i="1"/>
  <c r="O57" i="1"/>
  <c r="H59" i="1"/>
  <c r="N57" i="1"/>
  <c r="J40" i="1"/>
  <c r="J53" i="1"/>
  <c r="J52" i="3" s="1"/>
  <c r="L41" i="1"/>
  <c r="L41" i="3" s="1"/>
  <c r="H53" i="1"/>
  <c r="H52" i="3" s="1"/>
  <c r="L40" i="1"/>
  <c r="U74" i="1"/>
  <c r="U73" i="1"/>
  <c r="H68" i="1" s="1"/>
  <c r="H68" i="3" s="1"/>
  <c r="AO83" i="1"/>
  <c r="AO108" i="1"/>
  <c r="AW83" i="1"/>
  <c r="AZ83" i="1" s="1"/>
  <c r="AZ82" i="1"/>
  <c r="AZ84" i="1" s="1"/>
  <c r="K147" i="1"/>
  <c r="H148" i="1"/>
  <c r="H99" i="3" s="1"/>
  <c r="BA82" i="1"/>
  <c r="BA73" i="1"/>
  <c r="BD73" i="1" s="1"/>
  <c r="AC39" i="1"/>
  <c r="AP43" i="1" s="1"/>
  <c r="H64" i="1"/>
  <c r="H64" i="3" s="1"/>
  <c r="AZ72" i="1"/>
  <c r="AZ62" i="1"/>
  <c r="AZ64" i="1" s="1"/>
  <c r="AW63" i="1"/>
  <c r="AZ63" i="1" s="1"/>
  <c r="AM85" i="1"/>
  <c r="AL85" i="1"/>
  <c r="W37" i="1"/>
  <c r="Z36" i="1"/>
  <c r="Z37" i="1" s="1"/>
  <c r="Y25" i="1"/>
  <c r="T43" i="1" s="1"/>
  <c r="AX23" i="1"/>
  <c r="AX24" i="1" s="1"/>
  <c r="BC30" i="1" l="1"/>
  <c r="BN39" i="1"/>
  <c r="P104" i="1"/>
  <c r="O108" i="1"/>
  <c r="P108" i="1"/>
  <c r="O104" i="1"/>
  <c r="H58" i="3"/>
  <c r="H56" i="1"/>
  <c r="W55" i="1"/>
  <c r="L40" i="3"/>
  <c r="P109" i="1"/>
  <c r="O109" i="1"/>
  <c r="J58" i="3"/>
  <c r="J56" i="1"/>
  <c r="AT55" i="1"/>
  <c r="T48" i="1"/>
  <c r="T52" i="1"/>
  <c r="T49" i="1"/>
  <c r="L43" i="3"/>
  <c r="AQ158" i="1"/>
  <c r="AQ149" i="1"/>
  <c r="M35" i="2"/>
  <c r="N36" i="2"/>
  <c r="J173" i="3"/>
  <c r="N175" i="1"/>
  <c r="BN22" i="1"/>
  <c r="H142" i="1"/>
  <c r="H93" i="3" s="1"/>
  <c r="BJ20" i="1"/>
  <c r="BJ21" i="1" s="1"/>
  <c r="BJ22" i="1" s="1"/>
  <c r="K141" i="1"/>
  <c r="N141" i="1" s="1"/>
  <c r="BN24" i="1"/>
  <c r="BN23" i="1"/>
  <c r="BN25" i="1" s="1"/>
  <c r="BN47" i="1" s="1"/>
  <c r="BI22" i="1"/>
  <c r="AW25" i="1"/>
  <c r="U69" i="1"/>
  <c r="H67" i="1" s="1"/>
  <c r="H67" i="3" s="1"/>
  <c r="H145" i="1"/>
  <c r="H96" i="3" s="1"/>
  <c r="K144" i="1"/>
  <c r="K95" i="3" s="1"/>
  <c r="BD53" i="1"/>
  <c r="BI24" i="1"/>
  <c r="BI27" i="1"/>
  <c r="BI29" i="1" s="1"/>
  <c r="BI31" i="1" s="1"/>
  <c r="BI32" i="1" s="1"/>
  <c r="BI38" i="1" s="1"/>
  <c r="N34" i="2"/>
  <c r="K33" i="2"/>
  <c r="M33" i="2"/>
  <c r="H133" i="1"/>
  <c r="H84" i="3" s="1"/>
  <c r="BC26" i="1"/>
  <c r="BC28" i="1" s="1"/>
  <c r="BC33" i="1" s="1"/>
  <c r="BC27" i="1"/>
  <c r="BN31" i="1"/>
  <c r="BN32" i="1" s="1"/>
  <c r="BN38" i="1" s="1"/>
  <c r="BN40" i="1" s="1"/>
  <c r="AW26" i="1"/>
  <c r="AW30" i="1"/>
  <c r="BO20" i="1"/>
  <c r="BO21" i="1" s="1"/>
  <c r="BO22" i="1" s="1"/>
  <c r="H134" i="1"/>
  <c r="H85" i="3" s="1"/>
  <c r="BI42" i="2"/>
  <c r="BI44" i="2" s="1"/>
  <c r="BI45" i="2" s="1"/>
  <c r="H40" i="2" s="1"/>
  <c r="J42" i="2" s="1"/>
  <c r="BD66" i="2"/>
  <c r="BO49" i="2" s="1"/>
  <c r="K61" i="2"/>
  <c r="BD52" i="1"/>
  <c r="BD54" i="1" s="1"/>
  <c r="AZ54" i="1"/>
  <c r="BD62" i="1"/>
  <c r="BD72" i="1"/>
  <c r="BD74" i="1" s="1"/>
  <c r="AZ74" i="1"/>
  <c r="BN49" i="2"/>
  <c r="BE56" i="2"/>
  <c r="BI49" i="2"/>
  <c r="N147" i="1"/>
  <c r="K98" i="3"/>
  <c r="J41" i="1"/>
  <c r="J41" i="3" s="1"/>
  <c r="J40" i="3"/>
  <c r="AN30" i="1"/>
  <c r="J53" i="3"/>
  <c r="AM30" i="1"/>
  <c r="H53" i="3"/>
  <c r="BB52" i="1"/>
  <c r="BB72" i="1"/>
  <c r="N299" i="1"/>
  <c r="J36" i="5"/>
  <c r="J99" i="9"/>
  <c r="J117" i="9"/>
  <c r="N298" i="1"/>
  <c r="BD82" i="1"/>
  <c r="AC378" i="1"/>
  <c r="N362" i="1" s="1"/>
  <c r="L364" i="1" s="1"/>
  <c r="L302" i="3" s="1"/>
  <c r="BO47" i="2"/>
  <c r="BJ42" i="2"/>
  <c r="BJ44" i="2" s="1"/>
  <c r="BJ45" i="2" s="1"/>
  <c r="H47" i="2" s="1"/>
  <c r="BJ43" i="2"/>
  <c r="H63" i="2"/>
  <c r="H64" i="2"/>
  <c r="BO26" i="2"/>
  <c r="BA28" i="2"/>
  <c r="BA31" i="2" s="1"/>
  <c r="BA32" i="2"/>
  <c r="BO29" i="2"/>
  <c r="BO39" i="2"/>
  <c r="BN43" i="2"/>
  <c r="M58" i="2"/>
  <c r="K58" i="2"/>
  <c r="P364" i="1"/>
  <c r="O364" i="1" s="1"/>
  <c r="H371" i="1" s="1"/>
  <c r="H309" i="3" s="1"/>
  <c r="AX27" i="1"/>
  <c r="AX30" i="1"/>
  <c r="AX26" i="1"/>
  <c r="AX25" i="1"/>
  <c r="BB82" i="1"/>
  <c r="H85" i="1"/>
  <c r="H112" i="3" s="1"/>
  <c r="CG10" i="1"/>
  <c r="BB62" i="1"/>
  <c r="O154" i="1"/>
  <c r="P154" i="1"/>
  <c r="O158" i="1"/>
  <c r="AR149" i="1"/>
  <c r="P158" i="1"/>
  <c r="AR158" i="1"/>
  <c r="AO113" i="1"/>
  <c r="AP108" i="1"/>
  <c r="AP83" i="1"/>
  <c r="AO88" i="1"/>
  <c r="AN29" i="1"/>
  <c r="AN28" i="1"/>
  <c r="BD31" i="1"/>
  <c r="BD23" i="1"/>
  <c r="BD24" i="1" s="1"/>
  <c r="BA83" i="1"/>
  <c r="BB83" i="1" s="1"/>
  <c r="BB73" i="1"/>
  <c r="P159" i="1"/>
  <c r="O159" i="1"/>
  <c r="L46" i="1"/>
  <c r="N43" i="1"/>
  <c r="AA37" i="1"/>
  <c r="P194" i="1"/>
  <c r="F197" i="1" s="1"/>
  <c r="AE43" i="1"/>
  <c r="AC43" i="1"/>
  <c r="AD41" i="1"/>
  <c r="AF75" i="1"/>
  <c r="AD43" i="1"/>
  <c r="AE42" i="1"/>
  <c r="AF43" i="1"/>
  <c r="AF41" i="1"/>
  <c r="AC42" i="1"/>
  <c r="AP42" i="1"/>
  <c r="AM41" i="1"/>
  <c r="AO41" i="1"/>
  <c r="AF78" i="1"/>
  <c r="AO43" i="1"/>
  <c r="AM43" i="1"/>
  <c r="AN42" i="1"/>
  <c r="AN43" i="1"/>
  <c r="AM29" i="1"/>
  <c r="AM28" i="1"/>
  <c r="BA63" i="1"/>
  <c r="BB63" i="1" s="1"/>
  <c r="BB53" i="1"/>
  <c r="BJ27" i="1" l="1"/>
  <c r="BJ29" i="1" s="1"/>
  <c r="BJ31" i="1" s="1"/>
  <c r="BJ32" i="1" s="1"/>
  <c r="BJ38" i="1" s="1"/>
  <c r="AB45" i="1"/>
  <c r="AH45" i="1"/>
  <c r="O105" i="1"/>
  <c r="P105" i="1"/>
  <c r="AA57" i="1"/>
  <c r="AR57" i="1"/>
  <c r="O107" i="1"/>
  <c r="P103" i="1"/>
  <c r="O103" i="1"/>
  <c r="P107" i="1"/>
  <c r="L56" i="1"/>
  <c r="BJ23" i="1"/>
  <c r="N144" i="1"/>
  <c r="BJ24" i="1"/>
  <c r="AQ150" i="1"/>
  <c r="AQ159" i="1"/>
  <c r="AQ143" i="1"/>
  <c r="AQ137" i="1"/>
  <c r="BC29" i="1"/>
  <c r="BC32" i="1" s="1"/>
  <c r="J177" i="1"/>
  <c r="J177" i="3" s="1"/>
  <c r="J178" i="1"/>
  <c r="J178" i="3" s="1"/>
  <c r="J175" i="1"/>
  <c r="J175" i="3" s="1"/>
  <c r="K92" i="3"/>
  <c r="BO27" i="1"/>
  <c r="BO39" i="1" s="1"/>
  <c r="BN26" i="1"/>
  <c r="BN43" i="1" s="1"/>
  <c r="BI39" i="1"/>
  <c r="BI40" i="1" s="1"/>
  <c r="BJ49" i="2"/>
  <c r="BJ54" i="2" s="1"/>
  <c r="BJ55" i="2" s="1"/>
  <c r="BO24" i="1"/>
  <c r="BO23" i="1"/>
  <c r="BO25" i="1" s="1"/>
  <c r="BE66" i="2"/>
  <c r="H135" i="1"/>
  <c r="H86" i="3" s="1"/>
  <c r="BB64" i="1"/>
  <c r="BB65" i="1" s="1"/>
  <c r="BD65" i="1" s="1"/>
  <c r="AL34" i="1"/>
  <c r="AO34" i="1" s="1"/>
  <c r="J299" i="1"/>
  <c r="N300" i="1" s="1"/>
  <c r="J301" i="1" s="1"/>
  <c r="L362" i="1"/>
  <c r="L300" i="3" s="1"/>
  <c r="AT36" i="1"/>
  <c r="BB74" i="1"/>
  <c r="BB75" i="1" s="1"/>
  <c r="BD75" i="1" s="1"/>
  <c r="BD76" i="1" s="1"/>
  <c r="BN49" i="1" s="1"/>
  <c r="AP115" i="1"/>
  <c r="AQ111" i="1"/>
  <c r="AQ115" i="1" s="1"/>
  <c r="BB54" i="1"/>
  <c r="BB55" i="1" s="1"/>
  <c r="BD55" i="1" s="1"/>
  <c r="BD56" i="1" s="1"/>
  <c r="BB84" i="1"/>
  <c r="BB85" i="1" s="1"/>
  <c r="BD85" i="1" s="1"/>
  <c r="AQ86" i="1"/>
  <c r="AQ90" i="1" s="1"/>
  <c r="AP90" i="1"/>
  <c r="BN54" i="2"/>
  <c r="BN55" i="2" s="1"/>
  <c r="BN50" i="2"/>
  <c r="BN57" i="2" s="1"/>
  <c r="H44" i="2" s="1"/>
  <c r="BI54" i="2"/>
  <c r="BI55" i="2" s="1"/>
  <c r="BI50" i="2"/>
  <c r="BI57" i="2" s="1"/>
  <c r="H43" i="2" s="1"/>
  <c r="BO54" i="2"/>
  <c r="BO55" i="2" s="1"/>
  <c r="BO50" i="2"/>
  <c r="BO57" i="2" s="1"/>
  <c r="H51" i="2" s="1"/>
  <c r="F202" i="1"/>
  <c r="F197" i="3"/>
  <c r="AP19" i="1"/>
  <c r="J55" i="3"/>
  <c r="AN14" i="1"/>
  <c r="H55" i="3"/>
  <c r="J15" i="9"/>
  <c r="L44" i="3"/>
  <c r="BJ39" i="1"/>
  <c r="BJ40" i="1" s="1"/>
  <c r="J65" i="2"/>
  <c r="K65" i="2" s="1"/>
  <c r="BO43" i="2"/>
  <c r="BO42" i="2"/>
  <c r="BO44" i="2" s="1"/>
  <c r="BO45" i="2" s="1"/>
  <c r="H48" i="2" s="1"/>
  <c r="J49" i="2" s="1"/>
  <c r="H66" i="2"/>
  <c r="H67" i="2"/>
  <c r="M42" i="2"/>
  <c r="N42" i="2" s="1"/>
  <c r="K42" i="2"/>
  <c r="O95" i="1"/>
  <c r="AM52" i="1"/>
  <c r="AM58" i="1" s="1"/>
  <c r="AM48" i="1"/>
  <c r="AM44" i="1"/>
  <c r="AF52" i="1"/>
  <c r="AF58" i="1" s="1"/>
  <c r="AF48" i="1"/>
  <c r="O153" i="1"/>
  <c r="AR143" i="1"/>
  <c r="AR137" i="1"/>
  <c r="P157" i="1"/>
  <c r="O157" i="1"/>
  <c r="P153" i="1"/>
  <c r="AC114" i="1"/>
  <c r="AQ112" i="1" s="1"/>
  <c r="AN116" i="1" s="1"/>
  <c r="AO116" i="1" s="1"/>
  <c r="AA112" i="1"/>
  <c r="AC89" i="1"/>
  <c r="AQ87" i="1" s="1"/>
  <c r="AN91" i="1" s="1"/>
  <c r="AO91" i="1" s="1"/>
  <c r="AA87" i="1"/>
  <c r="L67" i="1"/>
  <c r="L67" i="3" s="1"/>
  <c r="L63" i="1"/>
  <c r="L63" i="3" s="1"/>
  <c r="T45" i="1"/>
  <c r="U45" i="1" s="1"/>
  <c r="O94" i="1"/>
  <c r="AC49" i="1"/>
  <c r="AT35" i="1"/>
  <c r="AL33" i="1"/>
  <c r="AO52" i="1"/>
  <c r="AO58" i="1" s="1"/>
  <c r="AO44" i="1"/>
  <c r="AO48" i="1"/>
  <c r="BD26" i="1"/>
  <c r="BD28" i="1" s="1"/>
  <c r="BD30" i="1"/>
  <c r="BD25" i="1"/>
  <c r="BD27" i="1"/>
  <c r="BD63" i="1"/>
  <c r="BD64" i="1" s="1"/>
  <c r="AL32" i="1"/>
  <c r="AN52" i="1"/>
  <c r="AN58" i="1" s="1"/>
  <c r="AN44" i="1"/>
  <c r="AN48" i="1"/>
  <c r="AP52" i="1"/>
  <c r="AP58" i="1" s="1"/>
  <c r="AP44" i="1"/>
  <c r="AP48" i="1"/>
  <c r="AD52" i="1"/>
  <c r="AD58" i="1" s="1"/>
  <c r="AD48" i="1"/>
  <c r="AC52" i="1"/>
  <c r="AC58" i="1" s="1"/>
  <c r="AC48" i="1"/>
  <c r="P95" i="1"/>
  <c r="P94" i="1"/>
  <c r="AL49" i="1"/>
  <c r="AQ83" i="1"/>
  <c r="AQ88" i="1" s="1"/>
  <c r="AE52" i="1"/>
  <c r="AE58" i="1" s="1"/>
  <c r="AE48" i="1"/>
  <c r="P155" i="1"/>
  <c r="O155" i="1"/>
  <c r="AR150" i="1"/>
  <c r="AR159" i="1"/>
  <c r="AQ108" i="1"/>
  <c r="AQ113" i="1" s="1"/>
  <c r="BD83" i="1"/>
  <c r="BD84" i="1" s="1"/>
  <c r="BJ50" i="2" l="1"/>
  <c r="BJ57" i="2" s="1"/>
  <c r="H50" i="2" s="1"/>
  <c r="BO29" i="1"/>
  <c r="BO31" i="1" s="1"/>
  <c r="BO32" i="1" s="1"/>
  <c r="BO38" i="1" s="1"/>
  <c r="J45" i="9"/>
  <c r="J28" i="9"/>
  <c r="J29" i="9" s="1"/>
  <c r="AA47" i="1"/>
  <c r="AL45" i="1"/>
  <c r="J86" i="9"/>
  <c r="J46" i="9"/>
  <c r="AQ55" i="1"/>
  <c r="AQ62" i="1" s="1"/>
  <c r="AQ56" i="1" s="1"/>
  <c r="AM55" i="1"/>
  <c r="AM62" i="1" s="1"/>
  <c r="AP55" i="1"/>
  <c r="AP62" i="1" s="1"/>
  <c r="AL55" i="1"/>
  <c r="AL62" i="1" s="1"/>
  <c r="AO55" i="1"/>
  <c r="AO62" i="1" s="1"/>
  <c r="AN55" i="1"/>
  <c r="AN62" i="1" s="1"/>
  <c r="AE55" i="1"/>
  <c r="AE62" i="1" s="1"/>
  <c r="AD55" i="1"/>
  <c r="AD62" i="1" s="1"/>
  <c r="AB55" i="1"/>
  <c r="AB62" i="1" s="1"/>
  <c r="AB56" i="1" s="1"/>
  <c r="AG55" i="1"/>
  <c r="AG62" i="1" s="1"/>
  <c r="AC55" i="1"/>
  <c r="AC62" i="1" s="1"/>
  <c r="AF55" i="1"/>
  <c r="AF62" i="1" s="1"/>
  <c r="AP17" i="1"/>
  <c r="AC71" i="1"/>
  <c r="BO47" i="1"/>
  <c r="AO33" i="1"/>
  <c r="AC128" i="1" s="1"/>
  <c r="AC112" i="1" s="1"/>
  <c r="BN42" i="1"/>
  <c r="BN44" i="1" s="1"/>
  <c r="BN45" i="1" s="1"/>
  <c r="H77" i="1" s="1"/>
  <c r="H104" i="3" s="1"/>
  <c r="BO26" i="1"/>
  <c r="BO42" i="1" s="1"/>
  <c r="J37" i="5"/>
  <c r="AT17" i="1"/>
  <c r="AP112" i="1"/>
  <c r="H136" i="1"/>
  <c r="H87" i="3" s="1"/>
  <c r="BD66" i="1"/>
  <c r="BE66" i="1" s="1"/>
  <c r="AN19" i="1"/>
  <c r="AP22" i="1" s="1"/>
  <c r="BO40" i="1"/>
  <c r="AN22" i="1"/>
  <c r="AT19" i="1" s="1"/>
  <c r="J45" i="2"/>
  <c r="K45" i="2" s="1"/>
  <c r="AP14" i="1"/>
  <c r="AN17" i="1" s="1"/>
  <c r="BN56" i="2"/>
  <c r="J52" i="2"/>
  <c r="K52" i="2" s="1"/>
  <c r="BE76" i="1"/>
  <c r="BO56" i="2"/>
  <c r="BI56" i="2"/>
  <c r="AM49" i="1"/>
  <c r="AN49" i="1" s="1"/>
  <c r="AO49" i="1" s="1"/>
  <c r="AP49" i="1" s="1"/>
  <c r="L95" i="1"/>
  <c r="L122" i="3" s="1"/>
  <c r="AD49" i="1"/>
  <c r="AE49" i="1" s="1"/>
  <c r="AF49" i="1" s="1"/>
  <c r="AG49" i="1" s="1"/>
  <c r="BD86" i="1"/>
  <c r="BI49" i="1"/>
  <c r="BI54" i="1" s="1"/>
  <c r="BE56" i="1"/>
  <c r="AP87" i="1"/>
  <c r="BN54" i="1"/>
  <c r="BN50" i="1"/>
  <c r="BN57" i="1" s="1"/>
  <c r="F201" i="1"/>
  <c r="F202" i="3" s="1"/>
  <c r="F201" i="3"/>
  <c r="M65" i="2"/>
  <c r="J39" i="5"/>
  <c r="H122" i="1"/>
  <c r="M49" i="2"/>
  <c r="N49" i="2" s="1"/>
  <c r="K49" i="2"/>
  <c r="J68" i="2"/>
  <c r="AC69" i="1"/>
  <c r="BD29" i="1"/>
  <c r="BD32" i="1" s="1"/>
  <c r="BD33" i="1"/>
  <c r="K67" i="1"/>
  <c r="K67" i="3" s="1"/>
  <c r="M67" i="1"/>
  <c r="AQ91" i="1"/>
  <c r="AP91" i="1" s="1"/>
  <c r="AR87" i="1"/>
  <c r="AQ116" i="1"/>
  <c r="AP116" i="1" s="1"/>
  <c r="AR112" i="1"/>
  <c r="AC103" i="1"/>
  <c r="AC87" i="1" s="1"/>
  <c r="AA50" i="1"/>
  <c r="S50" i="1" s="1"/>
  <c r="T50" i="1" s="1"/>
  <c r="T53" i="1" s="1"/>
  <c r="S47" i="1"/>
  <c r="AC45" i="1"/>
  <c r="AD45" i="1" s="1"/>
  <c r="AE45" i="1" s="1"/>
  <c r="AF45" i="1" s="1"/>
  <c r="AG45" i="1" s="1"/>
  <c r="AI45" i="1" s="1"/>
  <c r="AJ45" i="1" s="1"/>
  <c r="AK45" i="1" s="1"/>
  <c r="AM45" i="1" s="1"/>
  <c r="AN45" i="1" s="1"/>
  <c r="AO45" i="1" s="1"/>
  <c r="AP45" i="1" s="1"/>
  <c r="AQ45" i="1" s="1"/>
  <c r="AQ110" i="1"/>
  <c r="AP110" i="1"/>
  <c r="AQ85" i="1"/>
  <c r="AP85" i="1"/>
  <c r="K63" i="1"/>
  <c r="K63" i="3" s="1"/>
  <c r="M63" i="1"/>
  <c r="A137" i="1"/>
  <c r="AG112" i="1"/>
  <c r="BO43" i="1"/>
  <c r="AO32" i="1"/>
  <c r="AC68" i="1"/>
  <c r="AC66" i="1"/>
  <c r="A136" i="1"/>
  <c r="AG87" i="1"/>
  <c r="BJ56" i="2" l="1"/>
  <c r="R157" i="1"/>
  <c r="R155" i="1" s="1"/>
  <c r="T155" i="1" s="1"/>
  <c r="AC72" i="1"/>
  <c r="AO46" i="1"/>
  <c r="AN46" i="1"/>
  <c r="AM46" i="1"/>
  <c r="AL46" i="1"/>
  <c r="AQ46" i="1"/>
  <c r="AP46" i="1"/>
  <c r="AK46" i="1"/>
  <c r="AJ46" i="1"/>
  <c r="AI46" i="1"/>
  <c r="AH46" i="1"/>
  <c r="AA51" i="1"/>
  <c r="V51" i="1" s="1"/>
  <c r="U51" i="1" s="1"/>
  <c r="U53" i="1" s="1"/>
  <c r="U58" i="1" s="1"/>
  <c r="J118" i="9"/>
  <c r="J100" i="9"/>
  <c r="Q110" i="1"/>
  <c r="R110" i="1"/>
  <c r="T110" i="1" s="1"/>
  <c r="R109" i="1"/>
  <c r="T109" i="1" s="1"/>
  <c r="R103" i="1"/>
  <c r="T103" i="1" s="1"/>
  <c r="R107" i="1"/>
  <c r="R105" i="1" s="1"/>
  <c r="T105" i="1" s="1"/>
  <c r="AF56" i="1"/>
  <c r="Q109" i="1"/>
  <c r="S109" i="1" s="1"/>
  <c r="AP56" i="1"/>
  <c r="Q104" i="1"/>
  <c r="AG56" i="1"/>
  <c r="Q107" i="1"/>
  <c r="Q105" i="1" s="1"/>
  <c r="S105" i="1" s="1"/>
  <c r="AN56" i="1"/>
  <c r="AQ161" i="1"/>
  <c r="R104" i="1"/>
  <c r="T104" i="1" s="1"/>
  <c r="T106" i="1" s="1"/>
  <c r="R108" i="1"/>
  <c r="T108" i="1" s="1"/>
  <c r="Q108" i="1"/>
  <c r="S108" i="1" s="1"/>
  <c r="AC56" i="1"/>
  <c r="Q103" i="1"/>
  <c r="S103" i="1" s="1"/>
  <c r="J103" i="1" s="1"/>
  <c r="J130" i="3" s="1"/>
  <c r="AL56" i="1"/>
  <c r="AO56" i="1"/>
  <c r="AD56" i="1"/>
  <c r="AE56" i="1"/>
  <c r="AM56" i="1"/>
  <c r="AQ57" i="1"/>
  <c r="AP57" i="1" s="1"/>
  <c r="AO57" i="1" s="1"/>
  <c r="AN57" i="1" s="1"/>
  <c r="AM57" i="1" s="1"/>
  <c r="AB57" i="1"/>
  <c r="AC57" i="1" s="1"/>
  <c r="AD57" i="1" s="1"/>
  <c r="AE57" i="1" s="1"/>
  <c r="AF57" i="1" s="1"/>
  <c r="AG57" i="1" s="1"/>
  <c r="AH57" i="1" s="1"/>
  <c r="AI57" i="1" s="1"/>
  <c r="AJ57" i="1" s="1"/>
  <c r="AK57" i="1" s="1"/>
  <c r="V47" i="1"/>
  <c r="T46" i="1"/>
  <c r="T58" i="1" s="1"/>
  <c r="AR139" i="1"/>
  <c r="AR140" i="1" s="1"/>
  <c r="AQ152" i="1"/>
  <c r="AQ153" i="1"/>
  <c r="AQ139" i="1"/>
  <c r="AQ162" i="1"/>
  <c r="AQ145" i="1"/>
  <c r="AR145" i="1"/>
  <c r="AR146" i="1" s="1"/>
  <c r="R160" i="1"/>
  <c r="T160" i="1" s="1"/>
  <c r="V160" i="1" s="1"/>
  <c r="R153" i="1"/>
  <c r="T153" i="1" s="1"/>
  <c r="J353" i="1" s="1"/>
  <c r="J252" i="3" s="1"/>
  <c r="AR162" i="1"/>
  <c r="AR164" i="1" s="1"/>
  <c r="R159" i="1"/>
  <c r="T159" i="1" s="1"/>
  <c r="BJ49" i="1"/>
  <c r="BJ54" i="1" s="1"/>
  <c r="Q158" i="1"/>
  <c r="S158" i="1" s="1"/>
  <c r="S110" i="1"/>
  <c r="J101" i="9"/>
  <c r="AW16" i="1"/>
  <c r="AW17" i="1" s="1"/>
  <c r="AW28" i="1" s="1"/>
  <c r="AX16" i="1"/>
  <c r="AX17" i="1" s="1"/>
  <c r="BJ16" i="1" s="1"/>
  <c r="AR152" i="1"/>
  <c r="AR154" i="1" s="1"/>
  <c r="Q159" i="1"/>
  <c r="S159" i="1" s="1"/>
  <c r="AR153" i="1"/>
  <c r="AR155" i="1" s="1"/>
  <c r="Q160" i="1"/>
  <c r="S160" i="1" s="1"/>
  <c r="Q157" i="1"/>
  <c r="Q155" i="1" s="1"/>
  <c r="S155" i="1" s="1"/>
  <c r="S104" i="1"/>
  <c r="Q154" i="1"/>
  <c r="S154" i="1" s="1"/>
  <c r="Q153" i="1"/>
  <c r="S153" i="1" s="1"/>
  <c r="M52" i="2"/>
  <c r="N52" i="2" s="1"/>
  <c r="K95" i="1"/>
  <c r="K122" i="3" s="1"/>
  <c r="L94" i="1"/>
  <c r="L121" i="3" s="1"/>
  <c r="H101" i="1"/>
  <c r="H128" i="3" s="1"/>
  <c r="M95" i="1"/>
  <c r="M122" i="3" s="1"/>
  <c r="J119" i="9"/>
  <c r="M45" i="2"/>
  <c r="N45" i="2" s="1"/>
  <c r="T157" i="1"/>
  <c r="BO44" i="1"/>
  <c r="BO45" i="1" s="1"/>
  <c r="H78" i="1" s="1"/>
  <c r="H105" i="3" s="1"/>
  <c r="BE86" i="1"/>
  <c r="BO49" i="1"/>
  <c r="AC97" i="1"/>
  <c r="AC91" i="1" s="1"/>
  <c r="AO89" i="1" s="1"/>
  <c r="AC122" i="1"/>
  <c r="AC116" i="1" s="1"/>
  <c r="H27" i="5"/>
  <c r="H147" i="3"/>
  <c r="N67" i="1"/>
  <c r="M67" i="3"/>
  <c r="N63" i="1"/>
  <c r="M63" i="3"/>
  <c r="BO55" i="1"/>
  <c r="BN55" i="1"/>
  <c r="BN56" i="1" s="1"/>
  <c r="H80" i="1" s="1"/>
  <c r="M68" i="2"/>
  <c r="K68" i="2"/>
  <c r="T107" i="1"/>
  <c r="AR161" i="1"/>
  <c r="AR163" i="1" s="1"/>
  <c r="R154" i="1"/>
  <c r="T154" i="1" s="1"/>
  <c r="R158" i="1"/>
  <c r="T158" i="1" s="1"/>
  <c r="AR47" i="1"/>
  <c r="AB47" i="1"/>
  <c r="AF46" i="1"/>
  <c r="AB46" i="1"/>
  <c r="AE46" i="1"/>
  <c r="AD46" i="1"/>
  <c r="AG46" i="1"/>
  <c r="AC46" i="1"/>
  <c r="AG91" i="1"/>
  <c r="AG92" i="1"/>
  <c r="AI87" i="1"/>
  <c r="AJ87" i="1" s="1"/>
  <c r="AK87" i="1" s="1"/>
  <c r="AL87" i="1"/>
  <c r="AN87" i="1" s="1"/>
  <c r="AL112" i="1"/>
  <c r="AN112" i="1" s="1"/>
  <c r="AG116" i="1"/>
  <c r="AG117" i="1"/>
  <c r="AI112" i="1"/>
  <c r="AJ112" i="1" s="1"/>
  <c r="AK112" i="1" s="1"/>
  <c r="AA54" i="1"/>
  <c r="AA60" i="1" s="1"/>
  <c r="AA61" i="1" s="1"/>
  <c r="AB50" i="1"/>
  <c r="AB51" i="1"/>
  <c r="AC51" i="1" s="1"/>
  <c r="AD51" i="1" s="1"/>
  <c r="AE51" i="1" s="1"/>
  <c r="AF51" i="1" s="1"/>
  <c r="AG51" i="1" s="1"/>
  <c r="AH51" i="1" s="1"/>
  <c r="AI51" i="1" s="1"/>
  <c r="AJ51" i="1" s="1"/>
  <c r="AK51" i="1" s="1"/>
  <c r="AL51" i="1" s="1"/>
  <c r="L165" i="1" l="1"/>
  <c r="L355" i="1" s="1"/>
  <c r="V110" i="1"/>
  <c r="L105" i="1" s="1"/>
  <c r="AL57" i="1"/>
  <c r="T156" i="1"/>
  <c r="J165" i="1" s="1"/>
  <c r="J355" i="1" s="1"/>
  <c r="M94" i="1"/>
  <c r="N94" i="1" s="1"/>
  <c r="T117" i="1"/>
  <c r="T118" i="1"/>
  <c r="J104" i="1"/>
  <c r="J131" i="3" s="1"/>
  <c r="K94" i="1"/>
  <c r="K121" i="3" s="1"/>
  <c r="W120" i="1"/>
  <c r="N95" i="1"/>
  <c r="BI16" i="1"/>
  <c r="BJ53" i="1" s="1"/>
  <c r="AX28" i="1"/>
  <c r="AX29" i="1" s="1"/>
  <c r="AX32" i="1" s="1"/>
  <c r="S157" i="1"/>
  <c r="S106" i="1"/>
  <c r="J105" i="1" s="1"/>
  <c r="S107" i="1"/>
  <c r="S156" i="1"/>
  <c r="M101" i="1"/>
  <c r="N101" i="1" s="1"/>
  <c r="K101" i="1"/>
  <c r="K128" i="3" s="1"/>
  <c r="J48" i="9"/>
  <c r="H79" i="1"/>
  <c r="H106" i="3" s="1"/>
  <c r="J108" i="1"/>
  <c r="J135" i="3" s="1"/>
  <c r="J314" i="1"/>
  <c r="J16" i="5" s="1"/>
  <c r="AO114" i="1"/>
  <c r="AB116" i="1"/>
  <c r="AH114" i="1" s="1"/>
  <c r="AK116" i="1" s="1"/>
  <c r="P68" i="1"/>
  <c r="AH76" i="1" s="1"/>
  <c r="AB91" i="1"/>
  <c r="AH89" i="1" s="1"/>
  <c r="AK91" i="1" s="1"/>
  <c r="BO50" i="1"/>
  <c r="BO57" i="1" s="1"/>
  <c r="BO54" i="1"/>
  <c r="H107" i="3"/>
  <c r="K80" i="1"/>
  <c r="K107" i="3" s="1"/>
  <c r="M80" i="1"/>
  <c r="AC50" i="1"/>
  <c r="AB54" i="1"/>
  <c r="AB60" i="1" s="1"/>
  <c r="AB61" i="1" s="1"/>
  <c r="AB53" i="1"/>
  <c r="AB59" i="1" s="1"/>
  <c r="AW29" i="1"/>
  <c r="AW32" i="1" s="1"/>
  <c r="AW33" i="1"/>
  <c r="AH116" i="1"/>
  <c r="AG93" i="1"/>
  <c r="BJ50" i="1"/>
  <c r="BJ25" i="1"/>
  <c r="AC47" i="1"/>
  <c r="AL53" i="1"/>
  <c r="AM51" i="1"/>
  <c r="AH91" i="1"/>
  <c r="AB37" i="1"/>
  <c r="AC37" i="1" s="1"/>
  <c r="O64" i="1" s="1"/>
  <c r="J354" i="1"/>
  <c r="J164" i="1" s="1"/>
  <c r="J164" i="3" s="1"/>
  <c r="AG118" i="1"/>
  <c r="N41" i="9" l="1"/>
  <c r="N48" i="9"/>
  <c r="M121" i="3"/>
  <c r="L132" i="3"/>
  <c r="L106" i="1"/>
  <c r="L133" i="3" s="1"/>
  <c r="H119" i="1"/>
  <c r="K119" i="1" s="1"/>
  <c r="BJ55" i="1"/>
  <c r="BI25" i="1"/>
  <c r="BI47" i="1" s="1"/>
  <c r="G103" i="1"/>
  <c r="G130" i="3" s="1"/>
  <c r="BI50" i="1"/>
  <c r="C113" i="1"/>
  <c r="C140" i="3" s="1"/>
  <c r="G104" i="1"/>
  <c r="G131" i="3" s="1"/>
  <c r="BI55" i="1"/>
  <c r="J132" i="3"/>
  <c r="K105" i="1"/>
  <c r="K132" i="3" s="1"/>
  <c r="M128" i="3"/>
  <c r="AX33" i="1"/>
  <c r="AL91" i="1"/>
  <c r="AM91" i="1" s="1"/>
  <c r="L372" i="1"/>
  <c r="L310" i="3" s="1"/>
  <c r="J121" i="9"/>
  <c r="AH117" i="1"/>
  <c r="AH118" i="1" s="1"/>
  <c r="AI116" i="1"/>
  <c r="AL116" i="1"/>
  <c r="AM116" i="1" s="1"/>
  <c r="J334" i="1"/>
  <c r="J49" i="5" s="1"/>
  <c r="J317" i="1"/>
  <c r="J318" i="1" s="1"/>
  <c r="J20" i="5" s="1"/>
  <c r="J333" i="1"/>
  <c r="L336" i="1" s="1"/>
  <c r="L50" i="5" s="1"/>
  <c r="AJ116" i="1"/>
  <c r="AI91" i="1"/>
  <c r="AP99" i="1" s="1"/>
  <c r="O132" i="1" s="1"/>
  <c r="AH92" i="1"/>
  <c r="AH93" i="1" s="1"/>
  <c r="AJ91" i="1"/>
  <c r="AP100" i="1" s="1"/>
  <c r="O133" i="1" s="1"/>
  <c r="J109" i="1"/>
  <c r="J136" i="3" s="1"/>
  <c r="L114" i="1"/>
  <c r="L141" i="3" s="1"/>
  <c r="P69" i="1"/>
  <c r="AP124" i="1"/>
  <c r="P132" i="1" s="1"/>
  <c r="BO56" i="1"/>
  <c r="H81" i="1" s="1"/>
  <c r="H213" i="1"/>
  <c r="J253" i="3"/>
  <c r="N80" i="1"/>
  <c r="M107" i="3"/>
  <c r="H164" i="1"/>
  <c r="H164" i="3" s="1"/>
  <c r="J172" i="1"/>
  <c r="J172" i="3" s="1"/>
  <c r="C193" i="1"/>
  <c r="AD47" i="1"/>
  <c r="AM54" i="1"/>
  <c r="AM53" i="1"/>
  <c r="AN51" i="1"/>
  <c r="J381" i="1"/>
  <c r="H381" i="1"/>
  <c r="H411" i="1" s="1"/>
  <c r="G353" i="1"/>
  <c r="G252" i="3" s="1"/>
  <c r="G354" i="1"/>
  <c r="G253" i="3" s="1"/>
  <c r="C301" i="3"/>
  <c r="BJ47" i="1"/>
  <c r="BJ26" i="1"/>
  <c r="AC54" i="1"/>
  <c r="AC60" i="1" s="1"/>
  <c r="AC61" i="1" s="1"/>
  <c r="AC53" i="1"/>
  <c r="AC59" i="1" s="1"/>
  <c r="AD50" i="1"/>
  <c r="BI26" i="1" l="1"/>
  <c r="BJ56" i="1"/>
  <c r="H474" i="1"/>
  <c r="H365" i="3" s="1"/>
  <c r="H144" i="3"/>
  <c r="M119" i="1"/>
  <c r="N120" i="1" s="1"/>
  <c r="L165" i="3"/>
  <c r="BI57" i="1"/>
  <c r="K372" i="1"/>
  <c r="K310" i="3" s="1"/>
  <c r="J377" i="1"/>
  <c r="I377" i="1" s="1"/>
  <c r="I315" i="3" s="1"/>
  <c r="H364" i="1"/>
  <c r="H302" i="3" s="1"/>
  <c r="M372" i="1"/>
  <c r="M310" i="3" s="1"/>
  <c r="L371" i="1"/>
  <c r="L309" i="3" s="1"/>
  <c r="M114" i="1"/>
  <c r="M141" i="3" s="1"/>
  <c r="M334" i="1"/>
  <c r="M49" i="5" s="1"/>
  <c r="AL92" i="1"/>
  <c r="AM92" i="1" s="1"/>
  <c r="AL117" i="1"/>
  <c r="AM117" i="1" s="1"/>
  <c r="AP125" i="1"/>
  <c r="P133" i="1" s="1"/>
  <c r="L132" i="1"/>
  <c r="L83" i="3" s="1"/>
  <c r="J291" i="1"/>
  <c r="L301" i="1" s="1"/>
  <c r="L39" i="5" s="1"/>
  <c r="J344" i="1"/>
  <c r="J58" i="5" s="1"/>
  <c r="L323" i="1"/>
  <c r="L25" i="5" s="1"/>
  <c r="K334" i="1"/>
  <c r="K49" i="5" s="1"/>
  <c r="K114" i="1"/>
  <c r="K141" i="3" s="1"/>
  <c r="O114" i="1"/>
  <c r="O323" i="1" s="1"/>
  <c r="AI117" i="1"/>
  <c r="AI118" i="1" s="1"/>
  <c r="J19" i="5"/>
  <c r="J48" i="5"/>
  <c r="L133" i="1"/>
  <c r="K133" i="1" s="1"/>
  <c r="K84" i="3" s="1"/>
  <c r="AI92" i="1"/>
  <c r="AJ92" i="1" s="1"/>
  <c r="H121" i="1"/>
  <c r="H146" i="3" s="1"/>
  <c r="H108" i="3"/>
  <c r="K81" i="1"/>
  <c r="K108" i="3" s="1"/>
  <c r="M81" i="1"/>
  <c r="H82" i="1"/>
  <c r="H109" i="3" s="1"/>
  <c r="K474" i="1"/>
  <c r="K365" i="3" s="1"/>
  <c r="K144" i="3"/>
  <c r="J198" i="1"/>
  <c r="J198" i="3" s="1"/>
  <c r="C193" i="3"/>
  <c r="M336" i="1"/>
  <c r="N336" i="1" s="1"/>
  <c r="J216" i="1"/>
  <c r="H213" i="3"/>
  <c r="K336" i="1"/>
  <c r="K50" i="5" s="1"/>
  <c r="BJ57" i="1"/>
  <c r="J81" i="1" s="1"/>
  <c r="J108" i="3" s="1"/>
  <c r="BI56" i="1"/>
  <c r="J80" i="1" s="1"/>
  <c r="BJ43" i="1"/>
  <c r="BJ42" i="1"/>
  <c r="AE47" i="1"/>
  <c r="P181" i="1"/>
  <c r="J181" i="1" s="1"/>
  <c r="J181" i="3" s="1"/>
  <c r="L208" i="1"/>
  <c r="J179" i="1"/>
  <c r="AD54" i="1"/>
  <c r="AD60" i="1" s="1"/>
  <c r="AD61" i="1" s="1"/>
  <c r="AD53" i="1"/>
  <c r="AD59" i="1" s="1"/>
  <c r="AE50" i="1"/>
  <c r="R419" i="1"/>
  <c r="L400" i="1"/>
  <c r="L273" i="3" s="1"/>
  <c r="J411" i="1"/>
  <c r="M395" i="1"/>
  <c r="M268" i="3" s="1"/>
  <c r="Q401" i="1"/>
  <c r="Q400" i="1" s="1"/>
  <c r="L399" i="1" s="1"/>
  <c r="L272" i="3" s="1"/>
  <c r="BI43" i="1"/>
  <c r="BI42" i="1"/>
  <c r="AO51" i="1"/>
  <c r="AN54" i="1"/>
  <c r="AN53" i="1"/>
  <c r="J475" i="1" l="1"/>
  <c r="O502" i="1" s="1"/>
  <c r="M144" i="3"/>
  <c r="N112" i="1"/>
  <c r="N372" i="1"/>
  <c r="AL93" i="1"/>
  <c r="J29" i="5"/>
  <c r="M377" i="1"/>
  <c r="N377" i="1" s="1"/>
  <c r="M364" i="1"/>
  <c r="M302" i="3" s="1"/>
  <c r="J315" i="3"/>
  <c r="K364" i="1"/>
  <c r="K302" i="3" s="1"/>
  <c r="N334" i="1"/>
  <c r="K371" i="1"/>
  <c r="K309" i="3" s="1"/>
  <c r="M323" i="1"/>
  <c r="M25" i="5" s="1"/>
  <c r="M371" i="1"/>
  <c r="M309" i="3" s="1"/>
  <c r="N115" i="1"/>
  <c r="H345" i="1"/>
  <c r="H59" i="5" s="1"/>
  <c r="AL118" i="1"/>
  <c r="K132" i="1"/>
  <c r="K83" i="3" s="1"/>
  <c r="M132" i="1"/>
  <c r="N132" i="1" s="1"/>
  <c r="AI93" i="1"/>
  <c r="K121" i="1"/>
  <c r="K146" i="3" s="1"/>
  <c r="AJ117" i="1"/>
  <c r="AJ118" i="1" s="1"/>
  <c r="AP126" i="1" s="1"/>
  <c r="P134" i="1" s="1"/>
  <c r="A141" i="1" s="1"/>
  <c r="E141" i="1" s="1"/>
  <c r="K323" i="1"/>
  <c r="K25" i="5" s="1"/>
  <c r="M133" i="1"/>
  <c r="N133" i="1" s="1"/>
  <c r="M121" i="1"/>
  <c r="M146" i="3" s="1"/>
  <c r="L84" i="3"/>
  <c r="L217" i="1"/>
  <c r="L217" i="3" s="1"/>
  <c r="BI44" i="1"/>
  <c r="BI45" i="1" s="1"/>
  <c r="J77" i="1" s="1"/>
  <c r="J104" i="3" s="1"/>
  <c r="BJ44" i="1"/>
  <c r="BJ45" i="1" s="1"/>
  <c r="J78" i="1" s="1"/>
  <c r="J105" i="3" s="1"/>
  <c r="L122" i="1"/>
  <c r="L147" i="3" s="1"/>
  <c r="N81" i="1"/>
  <c r="M108" i="3"/>
  <c r="N371" i="1"/>
  <c r="J180" i="1"/>
  <c r="J179" i="3"/>
  <c r="J82" i="1"/>
  <c r="J109" i="3" s="1"/>
  <c r="J107" i="3"/>
  <c r="M50" i="5"/>
  <c r="H217" i="1"/>
  <c r="H217" i="3" s="1"/>
  <c r="J216" i="3"/>
  <c r="L209" i="1"/>
  <c r="L209" i="3" s="1"/>
  <c r="M301" i="1"/>
  <c r="N301" i="1" s="1"/>
  <c r="K301" i="1"/>
  <c r="K39" i="5" s="1"/>
  <c r="AM93" i="1"/>
  <c r="AN92" i="1"/>
  <c r="N181" i="1"/>
  <c r="M181" i="1"/>
  <c r="M181" i="3" s="1"/>
  <c r="Q176" i="1"/>
  <c r="AN117" i="1"/>
  <c r="AM118" i="1"/>
  <c r="L428" i="1"/>
  <c r="L292" i="3" s="1"/>
  <c r="M400" i="1"/>
  <c r="M273" i="3" s="1"/>
  <c r="K400" i="1"/>
  <c r="P182" i="1"/>
  <c r="L191" i="1"/>
  <c r="L427" i="1"/>
  <c r="L291" i="3" s="1"/>
  <c r="K399" i="1"/>
  <c r="M399" i="1"/>
  <c r="M272" i="3" s="1"/>
  <c r="R422" i="1"/>
  <c r="R423" i="1" s="1"/>
  <c r="T419" i="1"/>
  <c r="T422" i="1" s="1"/>
  <c r="T423" i="1" s="1"/>
  <c r="L226" i="1"/>
  <c r="L226" i="3" s="1"/>
  <c r="O208" i="1"/>
  <c r="M208" i="1"/>
  <c r="K208" i="1"/>
  <c r="K226" i="1" s="1"/>
  <c r="K226" i="3" s="1"/>
  <c r="AF47" i="1"/>
  <c r="AJ93" i="1"/>
  <c r="AK92" i="1"/>
  <c r="AK93" i="1" s="1"/>
  <c r="AP51" i="1"/>
  <c r="AO54" i="1"/>
  <c r="AO53" i="1"/>
  <c r="AE54" i="1"/>
  <c r="AE60" i="1" s="1"/>
  <c r="AE61" i="1" s="1"/>
  <c r="AE53" i="1"/>
  <c r="AE59" i="1" s="1"/>
  <c r="AF50" i="1"/>
  <c r="P484" i="1" l="1"/>
  <c r="R484" i="1" s="1"/>
  <c r="S484" i="1" s="1"/>
  <c r="L475" i="1"/>
  <c r="L366" i="3" s="1"/>
  <c r="J366" i="3"/>
  <c r="N364" i="1"/>
  <c r="M315" i="3"/>
  <c r="M83" i="3"/>
  <c r="L27" i="5"/>
  <c r="K345" i="1"/>
  <c r="K59" i="5" s="1"/>
  <c r="M345" i="1"/>
  <c r="M59" i="5" s="1"/>
  <c r="AK117" i="1"/>
  <c r="AK118" i="1" s="1"/>
  <c r="M84" i="3"/>
  <c r="N121" i="1"/>
  <c r="AP101" i="1"/>
  <c r="O134" i="1" s="1"/>
  <c r="A140" i="1" s="1"/>
  <c r="J79" i="1"/>
  <c r="J106" i="3" s="1"/>
  <c r="M122" i="1"/>
  <c r="M147" i="3" s="1"/>
  <c r="K122" i="1"/>
  <c r="K27" i="5" s="1"/>
  <c r="AP102" i="1"/>
  <c r="O135" i="1" s="1"/>
  <c r="A143" i="1" s="1"/>
  <c r="K209" i="1"/>
  <c r="K227" i="1" s="1"/>
  <c r="K227" i="3" s="1"/>
  <c r="L227" i="1"/>
  <c r="L227" i="3" s="1"/>
  <c r="K79" i="1"/>
  <c r="O209" i="1"/>
  <c r="AA190" i="1" s="1"/>
  <c r="M209" i="1"/>
  <c r="M209" i="3" s="1"/>
  <c r="K217" i="1"/>
  <c r="K217" i="3" s="1"/>
  <c r="O217" i="1"/>
  <c r="Y190" i="1" s="1"/>
  <c r="M217" i="1"/>
  <c r="N217" i="1" s="1"/>
  <c r="K428" i="1"/>
  <c r="K292" i="3" s="1"/>
  <c r="K273" i="3"/>
  <c r="K427" i="1"/>
  <c r="K291" i="3" s="1"/>
  <c r="K272" i="3"/>
  <c r="L208" i="3"/>
  <c r="L191" i="3"/>
  <c r="P485" i="1"/>
  <c r="P183" i="1"/>
  <c r="J180" i="3"/>
  <c r="M39" i="5"/>
  <c r="AG50" i="1"/>
  <c r="AF54" i="1"/>
  <c r="AF60" i="1" s="1"/>
  <c r="AF61" i="1" s="1"/>
  <c r="AF53" i="1"/>
  <c r="AF59" i="1" s="1"/>
  <c r="AG47" i="1"/>
  <c r="L223" i="1"/>
  <c r="L223" i="3" s="1"/>
  <c r="O191" i="1"/>
  <c r="Z190" i="1" s="1"/>
  <c r="F191" i="1" s="1"/>
  <c r="K191" i="1"/>
  <c r="M191" i="1"/>
  <c r="T428" i="1"/>
  <c r="T429" i="1" s="1"/>
  <c r="N208" i="1"/>
  <c r="M226" i="1"/>
  <c r="M226" i="3" s="1"/>
  <c r="R428" i="1"/>
  <c r="R429" i="1" s="1"/>
  <c r="AN118" i="1"/>
  <c r="AP127" i="1" s="1"/>
  <c r="P135" i="1" s="1"/>
  <c r="A144" i="1" s="1"/>
  <c r="E144" i="1" s="1"/>
  <c r="AO117" i="1"/>
  <c r="AN93" i="1"/>
  <c r="AO92" i="1"/>
  <c r="AP54" i="1"/>
  <c r="AP53" i="1"/>
  <c r="AQ51" i="1"/>
  <c r="M427" i="1"/>
  <c r="M291" i="3" s="1"/>
  <c r="N399" i="1"/>
  <c r="N400" i="1"/>
  <c r="M428" i="1"/>
  <c r="M292" i="3" s="1"/>
  <c r="N113" i="1" l="1"/>
  <c r="N345" i="1"/>
  <c r="L134" i="1"/>
  <c r="L85" i="3" s="1"/>
  <c r="L135" i="1"/>
  <c r="L86" i="3" s="1"/>
  <c r="K147" i="3"/>
  <c r="M27" i="5"/>
  <c r="N122" i="1"/>
  <c r="K209" i="3"/>
  <c r="N209" i="1"/>
  <c r="G141" i="1"/>
  <c r="G92" i="3" s="1"/>
  <c r="E140" i="1"/>
  <c r="M227" i="1"/>
  <c r="M227" i="3" s="1"/>
  <c r="M79" i="1"/>
  <c r="K106" i="3"/>
  <c r="W190" i="1"/>
  <c r="F210" i="1" s="1"/>
  <c r="H228" i="1" s="1"/>
  <c r="H228" i="3" s="1"/>
  <c r="M217" i="3"/>
  <c r="H224" i="1"/>
  <c r="H224" i="3" s="1"/>
  <c r="F191" i="3"/>
  <c r="M208" i="3"/>
  <c r="M191" i="3"/>
  <c r="K223" i="1"/>
  <c r="K223" i="3" s="1"/>
  <c r="K208" i="3"/>
  <c r="K191" i="3"/>
  <c r="P486" i="1"/>
  <c r="R485" i="1"/>
  <c r="S485" i="1" s="1"/>
  <c r="T485" i="1" s="1"/>
  <c r="U485" i="1" s="1"/>
  <c r="AO93" i="1"/>
  <c r="AP92" i="1"/>
  <c r="AH47" i="1"/>
  <c r="E143" i="1"/>
  <c r="G144" i="1"/>
  <c r="G95" i="3" s="1"/>
  <c r="AQ54" i="1"/>
  <c r="AQ53" i="1"/>
  <c r="AR51" i="1"/>
  <c r="AR54" i="1" s="1"/>
  <c r="AR60" i="1" s="1"/>
  <c r="AR61" i="1" s="1"/>
  <c r="AO118" i="1"/>
  <c r="AP117" i="1"/>
  <c r="M223" i="1"/>
  <c r="M223" i="3" s="1"/>
  <c r="N191" i="1"/>
  <c r="AG54" i="1"/>
  <c r="AH54" i="1" s="1"/>
  <c r="AI54" i="1" s="1"/>
  <c r="AJ54" i="1" s="1"/>
  <c r="AK54" i="1" s="1"/>
  <c r="AL54" i="1" s="1"/>
  <c r="AG53" i="1"/>
  <c r="AH50" i="1"/>
  <c r="AI50" i="1" s="1"/>
  <c r="AJ50" i="1" s="1"/>
  <c r="AK50" i="1" s="1"/>
  <c r="AL50" i="1" s="1"/>
  <c r="AM50" i="1" s="1"/>
  <c r="AN50" i="1" s="1"/>
  <c r="AO50" i="1" s="1"/>
  <c r="AP50" i="1" s="1"/>
  <c r="AQ50" i="1" s="1"/>
  <c r="AR50" i="1" s="1"/>
  <c r="J142" i="1" l="1"/>
  <c r="K134" i="1"/>
  <c r="K85" i="3" s="1"/>
  <c r="M134" i="1"/>
  <c r="M85" i="3" s="1"/>
  <c r="CG13" i="1"/>
  <c r="M135" i="1"/>
  <c r="M86" i="3" s="1"/>
  <c r="CG14" i="1"/>
  <c r="K135" i="1"/>
  <c r="K86" i="3" s="1"/>
  <c r="J145" i="1"/>
  <c r="I145" i="1" s="1"/>
  <c r="I96" i="3" s="1"/>
  <c r="M142" i="1"/>
  <c r="I142" i="1"/>
  <c r="I93" i="3" s="1"/>
  <c r="J93" i="3"/>
  <c r="AH79" i="1"/>
  <c r="Q68" i="1"/>
  <c r="F210" i="3"/>
  <c r="M106" i="3"/>
  <c r="N79" i="1"/>
  <c r="R486" i="1"/>
  <c r="S486" i="1" s="1"/>
  <c r="T486" i="1" s="1"/>
  <c r="U486" i="1" s="1"/>
  <c r="P487" i="1"/>
  <c r="AH53" i="1"/>
  <c r="AG59" i="1"/>
  <c r="AP118" i="1"/>
  <c r="AQ117" i="1"/>
  <c r="AI47" i="1"/>
  <c r="AH60" i="1"/>
  <c r="AH61" i="1" s="1"/>
  <c r="AP93" i="1"/>
  <c r="AQ92" i="1"/>
  <c r="AG60" i="1"/>
  <c r="AG61" i="1" s="1"/>
  <c r="N134" i="1" l="1"/>
  <c r="N135" i="1"/>
  <c r="J96" i="3"/>
  <c r="M145" i="1"/>
  <c r="N145" i="1" s="1"/>
  <c r="Q69" i="1"/>
  <c r="L68" i="1"/>
  <c r="M93" i="3"/>
  <c r="N142" i="1"/>
  <c r="P488" i="1"/>
  <c r="R487" i="1"/>
  <c r="S487" i="1" s="1"/>
  <c r="T487" i="1" s="1"/>
  <c r="U487" i="1" s="1"/>
  <c r="AR117" i="1"/>
  <c r="AR118" i="1" s="1"/>
  <c r="AP128" i="1" s="1"/>
  <c r="P136" i="1" s="1"/>
  <c r="A147" i="1" s="1"/>
  <c r="E147" i="1" s="1"/>
  <c r="AQ118" i="1"/>
  <c r="AJ47" i="1"/>
  <c r="AI60" i="1"/>
  <c r="AI61" i="1" s="1"/>
  <c r="AQ93" i="1"/>
  <c r="AP103" i="1" s="1"/>
  <c r="O136" i="1" s="1"/>
  <c r="AR92" i="1"/>
  <c r="AR93" i="1" s="1"/>
  <c r="AI53" i="1"/>
  <c r="M96" i="3" l="1"/>
  <c r="A146" i="1"/>
  <c r="L136" i="1"/>
  <c r="M68" i="1"/>
  <c r="J73" i="1"/>
  <c r="CA426" i="1"/>
  <c r="H70" i="1"/>
  <c r="H70" i="3" s="1"/>
  <c r="L68" i="3"/>
  <c r="K68" i="1"/>
  <c r="K68" i="3" s="1"/>
  <c r="CG11" i="1"/>
  <c r="P489" i="1"/>
  <c r="R488" i="1"/>
  <c r="S488" i="1" s="1"/>
  <c r="T488" i="1" s="1"/>
  <c r="U488" i="1" s="1"/>
  <c r="AJ53" i="1"/>
  <c r="AJ60" i="1"/>
  <c r="AJ61" i="1" s="1"/>
  <c r="AK47" i="1"/>
  <c r="AL47" i="1" s="1"/>
  <c r="J73" i="3" l="1"/>
  <c r="I73" i="1"/>
  <c r="I73" i="3" s="1"/>
  <c r="CA429" i="1"/>
  <c r="L87" i="3"/>
  <c r="K136" i="1"/>
  <c r="K87" i="3" s="1"/>
  <c r="M136" i="1"/>
  <c r="J148" i="1"/>
  <c r="CG12" i="1"/>
  <c r="CG15" i="1"/>
  <c r="M73" i="1"/>
  <c r="N68" i="1"/>
  <c r="M68" i="3"/>
  <c r="G147" i="1"/>
  <c r="G98" i="3" s="1"/>
  <c r="E146" i="1"/>
  <c r="R489" i="1"/>
  <c r="S489" i="1" s="1"/>
  <c r="T489" i="1" s="1"/>
  <c r="U489" i="1" s="1"/>
  <c r="P490" i="1"/>
  <c r="AK60" i="1"/>
  <c r="AK61" i="1" s="1"/>
  <c r="AK53" i="1"/>
  <c r="L64" i="1" l="1"/>
  <c r="L64" i="3" s="1"/>
  <c r="J99" i="3"/>
  <c r="I148" i="1"/>
  <c r="I99" i="3" s="1"/>
  <c r="N73" i="1"/>
  <c r="M73" i="3"/>
  <c r="M87" i="3"/>
  <c r="N136" i="1"/>
  <c r="M148" i="1"/>
  <c r="P491" i="1"/>
  <c r="R490" i="1"/>
  <c r="S490" i="1" s="1"/>
  <c r="T490" i="1" s="1"/>
  <c r="U490" i="1" s="1"/>
  <c r="AM47" i="1"/>
  <c r="AL60" i="1"/>
  <c r="AL61" i="1" s="1"/>
  <c r="K64" i="1" l="1"/>
  <c r="K64" i="3" s="1"/>
  <c r="M64" i="1"/>
  <c r="N64" i="1" s="1"/>
  <c r="AH73" i="1"/>
  <c r="N148" i="1"/>
  <c r="M99" i="3"/>
  <c r="R491" i="1"/>
  <c r="S491" i="1" s="1"/>
  <c r="T491" i="1" s="1"/>
  <c r="U491" i="1" s="1"/>
  <c r="P492" i="1"/>
  <c r="AN47" i="1"/>
  <c r="AM60" i="1"/>
  <c r="AM61" i="1" s="1"/>
  <c r="M64" i="3" l="1"/>
  <c r="P493" i="1"/>
  <c r="R492" i="1"/>
  <c r="S492" i="1" s="1"/>
  <c r="T492" i="1" s="1"/>
  <c r="U492" i="1" s="1"/>
  <c r="AN60" i="1"/>
  <c r="AN61" i="1" s="1"/>
  <c r="AO47" i="1"/>
  <c r="P494" i="1" l="1"/>
  <c r="R493" i="1"/>
  <c r="S493" i="1" s="1"/>
  <c r="T493" i="1" s="1"/>
  <c r="U493" i="1" s="1"/>
  <c r="AO60" i="1"/>
  <c r="AO61" i="1" s="1"/>
  <c r="AP47" i="1"/>
  <c r="P495" i="1" l="1"/>
  <c r="R494" i="1"/>
  <c r="S494" i="1" s="1"/>
  <c r="T494" i="1" s="1"/>
  <c r="U494" i="1" s="1"/>
  <c r="AQ47" i="1"/>
  <c r="AQ60" i="1" s="1"/>
  <c r="AQ61" i="1" s="1"/>
  <c r="AP60" i="1"/>
  <c r="AP61" i="1" s="1"/>
  <c r="P496" i="1" l="1"/>
  <c r="R495" i="1"/>
  <c r="S495" i="1" s="1"/>
  <c r="T495" i="1" s="1"/>
  <c r="U495" i="1" s="1"/>
  <c r="P497" i="1" l="1"/>
  <c r="R497" i="1" s="1"/>
  <c r="S497" i="1" s="1"/>
  <c r="R496" i="1"/>
  <c r="S496" i="1" s="1"/>
  <c r="T496" i="1" s="1"/>
  <c r="U496" i="1" s="1"/>
  <c r="T497" i="1" l="1"/>
  <c r="U497" i="1" s="1"/>
  <c r="N503" i="1" s="1"/>
  <c r="O503" i="1" l="1"/>
  <c r="N501" i="1"/>
  <c r="O501" i="1" l="1"/>
  <c r="N502" i="1" s="1"/>
  <c r="J500" i="1" s="1"/>
  <c r="J391" i="3" s="1"/>
  <c r="AQ59" i="1"/>
  <c r="AH56" i="1"/>
  <c r="AH59" i="1" s="1"/>
  <c r="AL59" i="1"/>
  <c r="AM59" i="1"/>
  <c r="AN59" i="1"/>
  <c r="AO59" i="1"/>
  <c r="AP59" i="1"/>
  <c r="AI56" i="1" l="1"/>
  <c r="AJ56" i="1" l="1"/>
  <c r="AI59" i="1"/>
  <c r="AK56" i="1" l="1"/>
  <c r="AK59" i="1" s="1"/>
  <c r="AJ59" i="1"/>
  <c r="K165" i="1" l="1"/>
  <c r="K165" i="3" s="1"/>
  <c r="L166" i="1"/>
  <c r="K355" i="1"/>
  <c r="K254" i="3" s="1"/>
  <c r="L254" i="3"/>
  <c r="J254" i="3"/>
  <c r="L354" i="1" l="1"/>
  <c r="L253" i="3" s="1"/>
  <c r="L166" i="3"/>
  <c r="J165" i="3"/>
</calcChain>
</file>

<file path=xl/sharedStrings.xml><?xml version="1.0" encoding="utf-8"?>
<sst xmlns="http://schemas.openxmlformats.org/spreadsheetml/2006/main" count="3179" uniqueCount="1177">
  <si>
    <t>Sagsnavn</t>
  </si>
  <si>
    <t/>
  </si>
  <si>
    <t>Sagsnr</t>
  </si>
  <si>
    <t>Side</t>
  </si>
  <si>
    <t xml:space="preserve">       af</t>
  </si>
  <si>
    <t xml:space="preserve">lås op </t>
  </si>
  <si>
    <t xml:space="preserve">lås  </t>
  </si>
  <si>
    <t>kriptologia</t>
  </si>
  <si>
    <t xml:space="preserve"> </t>
  </si>
  <si>
    <t>D</t>
  </si>
  <si>
    <t>&lt;---- efter Dansk(D)-, Norsk(N)- eller Svensk(S)- NA</t>
  </si>
  <si>
    <t xml:space="preserve">EFTER DS/EN 1992-1-1, </t>
  </si>
  <si>
    <t>inclusive last fra trappeløb_forkantpladestrimmel (f)</t>
  </si>
  <si>
    <t>exclusive last fra trappeløb_plade (p)</t>
  </si>
  <si>
    <t>Bygningsdel</t>
  </si>
  <si>
    <t>Udskriftsdato</t>
  </si>
  <si>
    <t>Dato</t>
  </si>
  <si>
    <t>Er beregning i ulykkessituation</t>
  </si>
  <si>
    <t>nej</t>
  </si>
  <si>
    <t>&lt;--ja eller nej ?</t>
  </si>
  <si>
    <t>hvilende</t>
  </si>
  <si>
    <t>bevægelig</t>
  </si>
  <si>
    <t>last</t>
  </si>
  <si>
    <t>Fabrik</t>
  </si>
  <si>
    <t>Sign</t>
  </si>
  <si>
    <t>langtids</t>
  </si>
  <si>
    <t>korttids</t>
  </si>
  <si>
    <t>Tilst</t>
  </si>
  <si>
    <t xml:space="preserve"> kl.</t>
  </si>
  <si>
    <t xml:space="preserve">ANVENDELSESGRÆNSETILSTAND </t>
  </si>
  <si>
    <t>f,ck</t>
  </si>
  <si>
    <t>N/mm2</t>
  </si>
  <si>
    <t xml:space="preserve"> = gamma0</t>
  </si>
  <si>
    <t>inclusive last fra trappeløb</t>
  </si>
  <si>
    <t>exclusive last fra trappeløb</t>
  </si>
  <si>
    <t>E,cok</t>
  </si>
  <si>
    <t>Datavalideringslister</t>
  </si>
  <si>
    <t>Hjælpeværdier</t>
  </si>
  <si>
    <t>Rækker som</t>
  </si>
  <si>
    <t>REPOSE</t>
  </si>
  <si>
    <t xml:space="preserve"> = gamma3</t>
  </si>
  <si>
    <t>=robusthedsfaktor</t>
  </si>
  <si>
    <t>hvilende-</t>
  </si>
  <si>
    <t xml:space="preserve">  bevægelig-last</t>
  </si>
  <si>
    <t>E,cm</t>
  </si>
  <si>
    <t>dorn</t>
  </si>
  <si>
    <t>ja</t>
  </si>
  <si>
    <t>A</t>
  </si>
  <si>
    <t>N</t>
  </si>
  <si>
    <t>P</t>
  </si>
  <si>
    <t>XC</t>
  </si>
  <si>
    <t>til udskriftsmakroer:</t>
  </si>
  <si>
    <t>skjules i UdskriftsarkA</t>
  </si>
  <si>
    <t xml:space="preserve"> = minimumsdæklag + 5mm tolerance</t>
  </si>
  <si>
    <t>beton fck</t>
  </si>
  <si>
    <t>E,s</t>
  </si>
  <si>
    <t>fast</t>
  </si>
  <si>
    <t>B</t>
  </si>
  <si>
    <t>S</t>
  </si>
  <si>
    <t>M</t>
  </si>
  <si>
    <t>XD</t>
  </si>
  <si>
    <t>Formel</t>
  </si>
  <si>
    <t>Hvis 0</t>
  </si>
  <si>
    <t>Hvis 1</t>
  </si>
  <si>
    <t xml:space="preserve"> = tolerancetillæg udførelse (beregningsmæssigt)</t>
  </si>
  <si>
    <t>n (Es/Ec)</t>
  </si>
  <si>
    <t>rent tal</t>
  </si>
  <si>
    <t>alfa,e</t>
  </si>
  <si>
    <t>C</t>
  </si>
  <si>
    <t>XS</t>
  </si>
  <si>
    <t>55…57</t>
  </si>
  <si>
    <t>venstre</t>
  </si>
  <si>
    <t>højre</t>
  </si>
  <si>
    <t xml:space="preserve"> = ekstra dæklag</t>
  </si>
  <si>
    <t xml:space="preserve"> = foreskrevet dæklag</t>
  </si>
  <si>
    <t>Fra løbs/naboelementers sidekantpladestrimler</t>
  </si>
  <si>
    <t>net, stk</t>
  </si>
  <si>
    <t>stk på b=</t>
  </si>
  <si>
    <t>mm</t>
  </si>
  <si>
    <t>dæklag c  f. l-arnering</t>
  </si>
  <si>
    <t>Udskrives?</t>
  </si>
  <si>
    <t>E</t>
  </si>
  <si>
    <t>69…73</t>
  </si>
  <si>
    <t>a =</t>
  </si>
  <si>
    <t>m</t>
  </si>
  <si>
    <t xml:space="preserve"> til cl.armering jvnt.fordelt</t>
  </si>
  <si>
    <t>l =</t>
  </si>
  <si>
    <t>mm      u</t>
  </si>
  <si>
    <t>l</t>
  </si>
  <si>
    <t>u</t>
  </si>
  <si>
    <t>net, diam</t>
  </si>
  <si>
    <t>As diam. = ø =</t>
  </si>
  <si>
    <t>Udskrives</t>
  </si>
  <si>
    <t>88…90</t>
  </si>
  <si>
    <t>q=1</t>
  </si>
  <si>
    <t>c =</t>
  </si>
  <si>
    <t>GEOMETRI, STYRKETAL OG TVÆRSNITSDATA</t>
  </si>
  <si>
    <t xml:space="preserve"> til cl.armering v.forkant</t>
  </si>
  <si>
    <t>jvnt.fordelt</t>
  </si>
  <si>
    <t>v.forkant</t>
  </si>
  <si>
    <t>diam.</t>
  </si>
  <si>
    <t>L =</t>
  </si>
  <si>
    <t>L</t>
  </si>
  <si>
    <t>As, stk</t>
  </si>
  <si>
    <t>As</t>
  </si>
  <si>
    <t>mm2</t>
  </si>
  <si>
    <t>Udskrives ikke</t>
  </si>
  <si>
    <t>C3</t>
  </si>
  <si>
    <t>91…93</t>
  </si>
  <si>
    <t>b =</t>
  </si>
  <si>
    <t>tykkelse</t>
  </si>
  <si>
    <t>t</t>
  </si>
  <si>
    <t>=</t>
  </si>
  <si>
    <t>As net =</t>
  </si>
  <si>
    <t>u=(L-l)/2=</t>
  </si>
  <si>
    <t>+ ekstra</t>
  </si>
  <si>
    <t>vandret spændvidde Lv =</t>
  </si>
  <si>
    <t>C5</t>
  </si>
  <si>
    <t>94…96</t>
  </si>
  <si>
    <t>effektiv højde</t>
  </si>
  <si>
    <t>d</t>
  </si>
  <si>
    <t>As stænger =</t>
  </si>
  <si>
    <t xml:space="preserve"> M = l/4 x (L-l/2) = </t>
  </si>
  <si>
    <t>As, diam</t>
  </si>
  <si>
    <t>skrå spændvidde =</t>
  </si>
  <si>
    <t>F</t>
  </si>
  <si>
    <t>97…100</t>
  </si>
  <si>
    <t xml:space="preserve">  a   c     b</t>
  </si>
  <si>
    <t>Ra =</t>
  </si>
  <si>
    <t>kN/q</t>
  </si>
  <si>
    <t xml:space="preserve">længde </t>
  </si>
  <si>
    <t>Mmidt venstre</t>
  </si>
  <si>
    <t xml:space="preserve">M </t>
  </si>
  <si>
    <t>kNm/m</t>
  </si>
  <si>
    <t>M=</t>
  </si>
  <si>
    <t>kNm</t>
  </si>
  <si>
    <t>Søndersø</t>
  </si>
  <si>
    <t>CRH Concrete - Snavevej 23 - 5471 Søndersø</t>
  </si>
  <si>
    <t>G</t>
  </si>
  <si>
    <t>130…148</t>
  </si>
  <si>
    <t xml:space="preserve">  L</t>
  </si>
  <si>
    <t>Mmidt =</t>
  </si>
  <si>
    <t>kNm/q</t>
  </si>
  <si>
    <t>bredde</t>
  </si>
  <si>
    <t>b</t>
  </si>
  <si>
    <t>= partialkoefficient beton, tryk</t>
  </si>
  <si>
    <t>= alfa cc (NA.3.1.6)</t>
  </si>
  <si>
    <t>normsæt</t>
  </si>
  <si>
    <t>permanent</t>
  </si>
  <si>
    <t>kNm/P</t>
  </si>
  <si>
    <t>kNm på b=</t>
  </si>
  <si>
    <t>Brørup</t>
  </si>
  <si>
    <t>CRH Concrete - Ribevej 45 - 6650 Brørup</t>
  </si>
  <si>
    <t>H</t>
  </si>
  <si>
    <t>149…315</t>
  </si>
  <si>
    <t>230…250</t>
  </si>
  <si>
    <t>udsparing i lysning</t>
  </si>
  <si>
    <t>= partialkoefficient beton, træk</t>
  </si>
  <si>
    <t>= alfa ct (NA.3.1.6)</t>
  </si>
  <si>
    <t>karakt.last</t>
  </si>
  <si>
    <t>lastfaktor</t>
  </si>
  <si>
    <t>gunstig</t>
  </si>
  <si>
    <t>Mmidt højre</t>
  </si>
  <si>
    <t>hef = d =</t>
  </si>
  <si>
    <t>Linå</t>
  </si>
  <si>
    <t>CRH Concrete - Askhøjvej 6 - 8600 Silkeborg</t>
  </si>
  <si>
    <t>I</t>
  </si>
  <si>
    <t>276…293</t>
  </si>
  <si>
    <t>Ovenfor viste har underordnede cellereferencer i anvendelsesgrænsetilstand gammel</t>
  </si>
  <si>
    <t>a1h      adh</t>
  </si>
  <si>
    <t>a2h</t>
  </si>
  <si>
    <t>bredde udfor lysning</t>
  </si>
  <si>
    <t>= partialkoefficient armering</t>
  </si>
  <si>
    <t>perm.</t>
  </si>
  <si>
    <t>q1</t>
  </si>
  <si>
    <t>qd</t>
  </si>
  <si>
    <t>q2</t>
  </si>
  <si>
    <t>hef</t>
  </si>
  <si>
    <t>h =</t>
  </si>
  <si>
    <t>Hobro</t>
  </si>
  <si>
    <t>CRH Concrete - Karlbyvej 2 - 9500 Hobro</t>
  </si>
  <si>
    <t>J</t>
  </si>
  <si>
    <t>294…310</t>
  </si>
  <si>
    <t>(e)</t>
  </si>
  <si>
    <t>udsparing i (p)</t>
  </si>
  <si>
    <t>= partialkoefficient for stål (dorn)</t>
  </si>
  <si>
    <t>var.</t>
  </si>
  <si>
    <t>R1</t>
  </si>
  <si>
    <t>h</t>
  </si>
  <si>
    <t>n fi =</t>
  </si>
  <si>
    <t>Esbjerg</t>
  </si>
  <si>
    <t>CRH Concrete - Lærkevej 7 - 6705 Esbjerg</t>
  </si>
  <si>
    <t>K</t>
  </si>
  <si>
    <t>251…254</t>
  </si>
  <si>
    <t>løb-/naboelem.udsp., nu</t>
  </si>
  <si>
    <t>mm dybde</t>
  </si>
  <si>
    <t>svejst net, fyk=</t>
  </si>
  <si>
    <t>regn.m.last--&gt;</t>
  </si>
  <si>
    <t>a1</t>
  </si>
  <si>
    <t>ad</t>
  </si>
  <si>
    <t>a2</t>
  </si>
  <si>
    <t>spændv L</t>
  </si>
  <si>
    <t>beta =</t>
  </si>
  <si>
    <t>Viby</t>
  </si>
  <si>
    <t>CRH Concrete - Vestergade 25 - 4130 Viby sj.</t>
  </si>
  <si>
    <t>311…315</t>
  </si>
  <si>
    <t>betonstyrke</t>
  </si>
  <si>
    <t>f ck</t>
  </si>
  <si>
    <t xml:space="preserve"> mm#  pr</t>
  </si>
  <si>
    <t xml:space="preserve"> #) tast 0 mm, hvis ingen net</t>
  </si>
  <si>
    <t>mm2 på b=</t>
  </si>
  <si>
    <t>fi s =</t>
  </si>
  <si>
    <t>CRH Concrete - Borumvej 30 - 8381 Tilst</t>
  </si>
  <si>
    <t>255…275</t>
  </si>
  <si>
    <t xml:space="preserve">(p)  </t>
  </si>
  <si>
    <t>(f)</t>
  </si>
  <si>
    <t>l           L</t>
  </si>
  <si>
    <t>f cd</t>
  </si>
  <si>
    <t>på b =</t>
  </si>
  <si>
    <t xml:space="preserve"> juster bredde, så antal stænger passer</t>
  </si>
  <si>
    <t>fi c =</t>
  </si>
  <si>
    <t>f ctm</t>
  </si>
  <si>
    <t xml:space="preserve">=&gt; </t>
  </si>
  <si>
    <t>stk stænger</t>
  </si>
  <si>
    <t>Momentkapacitet i snit hvor dorn ender</t>
  </si>
  <si>
    <t>for q = 1,0 kN/m</t>
  </si>
  <si>
    <t>fq1</t>
  </si>
  <si>
    <t>fqd</t>
  </si>
  <si>
    <t>fq2</t>
  </si>
  <si>
    <t>nu</t>
  </si>
  <si>
    <t>gamma =</t>
  </si>
  <si>
    <t>O</t>
  </si>
  <si>
    <t>187…221</t>
  </si>
  <si>
    <t>222…228</t>
  </si>
  <si>
    <t>hovedarmering</t>
  </si>
  <si>
    <t>hi =</t>
  </si>
  <si>
    <t>R1 venstre=</t>
  </si>
  <si>
    <t>sigma C max =</t>
  </si>
  <si>
    <t>stk,type,diameter</t>
  </si>
  <si>
    <t>= Code for armering , fyk i [N/mm2]</t>
  </si>
  <si>
    <t>U-bjl</t>
  </si>
  <si>
    <t>R1 højre=</t>
  </si>
  <si>
    <t>sigma A = sigma,s</t>
  </si>
  <si>
    <t>a1v      adv</t>
  </si>
  <si>
    <t>a2v</t>
  </si>
  <si>
    <t>+ekstra i strimmel (f)</t>
  </si>
  <si>
    <t>trykzonebredde</t>
  </si>
  <si>
    <t>y 0 = x =</t>
  </si>
  <si>
    <t>f yk</t>
  </si>
  <si>
    <t>= w = As*fyd/(bef*hef*fcd), i kol.N just.over/underarm.</t>
  </si>
  <si>
    <t>Fra fladelast på løb/naboelementer</t>
  </si>
  <si>
    <t>kN/m regn.m., perm.gunst</t>
  </si>
  <si>
    <t>sigmaCmax =</t>
  </si>
  <si>
    <t>hc,eff=2,5(h-d)</t>
  </si>
  <si>
    <t>f yd</t>
  </si>
  <si>
    <t>= w min.beton , w min.arm. , w bal.</t>
  </si>
  <si>
    <t>kN/m regn.m., perm.ugunst</t>
  </si>
  <si>
    <t>sigma A =</t>
  </si>
  <si>
    <t>hc,eff=(h-x)/3</t>
  </si>
  <si>
    <t>A s</t>
  </si>
  <si>
    <t>= faktor ecu/esk for overarm. tv.snit</t>
  </si>
  <si>
    <t>As, Ø mm</t>
  </si>
  <si>
    <t xml:space="preserve">     a =</t>
  </si>
  <si>
    <t>kN/m regn.m., nyttelast</t>
  </si>
  <si>
    <t>y 0 =</t>
  </si>
  <si>
    <t>hc,eff=h/2</t>
  </si>
  <si>
    <t xml:space="preserve">  R1</t>
  </si>
  <si>
    <t>R2</t>
  </si>
  <si>
    <t>As, mm2</t>
  </si>
  <si>
    <t xml:space="preserve">     b =</t>
  </si>
  <si>
    <t>a w =</t>
  </si>
  <si>
    <t>=&gt; hc,eff=</t>
  </si>
  <si>
    <t>spændvidde</t>
  </si>
  <si>
    <t>= w = As*fyd/(b*hef*fcd), i kol.N just.over/underarm.</t>
  </si>
  <si>
    <t>forankr.længde mm</t>
  </si>
  <si>
    <t xml:space="preserve">     c =</t>
  </si>
  <si>
    <t>= Rnj perm.gunst</t>
  </si>
  <si>
    <t>revnevidde w =</t>
  </si>
  <si>
    <t>ro,eff</t>
  </si>
  <si>
    <t>redukt.faktor</t>
  </si>
  <si>
    <t xml:space="preserve">     d =</t>
  </si>
  <si>
    <t>= Rnj perm.ugunst</t>
  </si>
  <si>
    <t>nedbøjn. u =</t>
  </si>
  <si>
    <t>k1</t>
  </si>
  <si>
    <t>reduc.fyd N/mm2</t>
  </si>
  <si>
    <t xml:space="preserve">     e =</t>
  </si>
  <si>
    <t>= Rnj nyttelast:</t>
  </si>
  <si>
    <t>kontrol</t>
  </si>
  <si>
    <t>k2</t>
  </si>
  <si>
    <t>forkantplade-</t>
  </si>
  <si>
    <t>bestem forkantpladestrimmel bredde efter</t>
  </si>
  <si>
    <t>i alt</t>
  </si>
  <si>
    <t>Rnj venstre</t>
  </si>
  <si>
    <t xml:space="preserve"> a    b    c</t>
  </si>
  <si>
    <t xml:space="preserve">  d    e</t>
  </si>
  <si>
    <t>Rnj højre</t>
  </si>
  <si>
    <t>RE f.hvil.last</t>
  </si>
  <si>
    <t>k3</t>
  </si>
  <si>
    <t>strimmel (f)</t>
  </si>
  <si>
    <t>a2 venstre</t>
  </si>
  <si>
    <t>a2 højre</t>
  </si>
  <si>
    <t>w</t>
  </si>
  <si>
    <t>RE f.nyttelast</t>
  </si>
  <si>
    <t>k4</t>
  </si>
  <si>
    <t>Mud kNm</t>
  </si>
  <si>
    <t>kt</t>
  </si>
  <si>
    <t>LASTE</t>
  </si>
  <si>
    <t>revneafstand sr,maks 7.11</t>
  </si>
  <si>
    <t xml:space="preserve"> -jævnt fordelt</t>
  </si>
  <si>
    <t>karakt.</t>
  </si>
  <si>
    <t xml:space="preserve">   regn.m.</t>
  </si>
  <si>
    <t xml:space="preserve">&lt;- hvis nej nej anvend istedet </t>
  </si>
  <si>
    <t>Moment i afstand hi fra hvor dorn ender.</t>
  </si>
  <si>
    <t>hi=</t>
  </si>
  <si>
    <t>revneafstand sr,maks 7.14</t>
  </si>
  <si>
    <t>egenvægt</t>
  </si>
  <si>
    <t xml:space="preserve">kN/m3 </t>
  </si>
  <si>
    <t>x</t>
  </si>
  <si>
    <t>kN/m2</t>
  </si>
  <si>
    <t>&lt;- hvis nej nej, find optimal værdi</t>
  </si>
  <si>
    <t>(forskudt momentkurve)</t>
  </si>
  <si>
    <t>snitkraftudregning for forkantpladestrimmel (f)</t>
  </si>
  <si>
    <t>SKEMA for alfaværdi, DS411, Tabel V 6.3</t>
  </si>
  <si>
    <t>sr,maks</t>
  </si>
  <si>
    <t>permanent udover egenvægt</t>
  </si>
  <si>
    <t xml:space="preserve"> venstre</t>
  </si>
  <si>
    <t>Venstre ende</t>
  </si>
  <si>
    <t>Højre ende</t>
  </si>
  <si>
    <t>beton fck [N/mm2]</t>
  </si>
  <si>
    <t>f,ct,eff = f,ctm</t>
  </si>
  <si>
    <t>-</t>
  </si>
  <si>
    <t>perm.ugunstig</t>
  </si>
  <si>
    <t>snit, x=</t>
  </si>
  <si>
    <t>a</t>
  </si>
  <si>
    <t>a+b</t>
  </si>
  <si>
    <t>a+b+1/5*c</t>
  </si>
  <si>
    <t>a+b+2/5*c</t>
  </si>
  <si>
    <t>a+b+3/5*c</t>
  </si>
  <si>
    <t>a+b+4/5*c</t>
  </si>
  <si>
    <t>a+b+c</t>
  </si>
  <si>
    <t>a+b+c+d</t>
  </si>
  <si>
    <t>a+b+c+d+e=L</t>
  </si>
  <si>
    <t>0,6*sigma,s/E,s</t>
  </si>
  <si>
    <t>permanent ialt</t>
  </si>
  <si>
    <t>snit, x= [m]</t>
  </si>
  <si>
    <t>eps,sm-eps,cm, formel</t>
  </si>
  <si>
    <t>nyttelast</t>
  </si>
  <si>
    <t>snit, l-x [m]</t>
  </si>
  <si>
    <t>eps,sm-eps,cm</t>
  </si>
  <si>
    <t>pladelast [kN/m] regn.m</t>
  </si>
  <si>
    <t>(1)</t>
  </si>
  <si>
    <t>wk</t>
  </si>
  <si>
    <t>ialt jævnt fordelt</t>
  </si>
  <si>
    <t>M pladelast [kNm]</t>
  </si>
  <si>
    <t xml:space="preserve"> -fra løb/naboelementer</t>
  </si>
  <si>
    <t>V pladelast [kN]</t>
  </si>
  <si>
    <t>Tværsnitskonstanter</t>
  </si>
  <si>
    <t>nedbøjning revnet</t>
  </si>
  <si>
    <t>spændvidde (lv) løb/naboelem.</t>
  </si>
  <si>
    <t xml:space="preserve">                   tast nul i spændvidde hvis ingen naboløb</t>
  </si>
  <si>
    <t>lastbredde nabolast [m]</t>
  </si>
  <si>
    <t>langtidslast</t>
  </si>
  <si>
    <t>bredde af løb/naboelem.</t>
  </si>
  <si>
    <t>last [kN/m] regn.m., nabolast</t>
  </si>
  <si>
    <t>(2v)</t>
  </si>
  <si>
    <t>(2h)</t>
  </si>
  <si>
    <t>delareal</t>
  </si>
  <si>
    <t>A-faktor</t>
  </si>
  <si>
    <t>bredde#</t>
  </si>
  <si>
    <t>højde</t>
  </si>
  <si>
    <t>areal A</t>
  </si>
  <si>
    <t>S-arm</t>
  </si>
  <si>
    <t>stat.mom.S</t>
  </si>
  <si>
    <t>I-faktor</t>
  </si>
  <si>
    <t>inertimom. I</t>
  </si>
  <si>
    <t>Inertimoment</t>
  </si>
  <si>
    <t>m4</t>
  </si>
  <si>
    <t>afstand reposeende til kant løb/naboelem.</t>
  </si>
  <si>
    <t>R venstre, nabolast</t>
  </si>
  <si>
    <t>uben.</t>
  </si>
  <si>
    <t>mm3</t>
  </si>
  <si>
    <t>mm4</t>
  </si>
  <si>
    <t>nedbøjning urevnet (elast.)</t>
  </si>
  <si>
    <t>permanent last</t>
  </si>
  <si>
    <t>kN/m2 karakt.</t>
  </si>
  <si>
    <t>R højre, nabolast</t>
  </si>
  <si>
    <t>beton</t>
  </si>
  <si>
    <t>snit,x=</t>
  </si>
  <si>
    <t>arm.us.</t>
  </si>
  <si>
    <t>ialt permanent last</t>
  </si>
  <si>
    <t>kN/m regn.m.</t>
  </si>
  <si>
    <t>M nabolast [kNm]</t>
  </si>
  <si>
    <t>arm.os.</t>
  </si>
  <si>
    <t>ialt nyttelast</t>
  </si>
  <si>
    <t>V nabolast [kNm]</t>
  </si>
  <si>
    <t>sum A=</t>
  </si>
  <si>
    <t>sum S=</t>
  </si>
  <si>
    <t>sum I før flyt.=</t>
  </si>
  <si>
    <t>Revnemoment</t>
  </si>
  <si>
    <t xml:space="preserve"> -fra løbs/naboelementers sidekantpladestrimler</t>
  </si>
  <si>
    <t>last [kN] regn.m., nabokantlast</t>
  </si>
  <si>
    <t>(3v)</t>
  </si>
  <si>
    <t>(3h)</t>
  </si>
  <si>
    <t>#)for armering dog areal i mm2</t>
  </si>
  <si>
    <t>no=</t>
  </si>
  <si>
    <t>-sumAxno^2=</t>
  </si>
  <si>
    <t>zeta</t>
  </si>
  <si>
    <t>M nabokantlast [kNm]</t>
  </si>
  <si>
    <t>sum I=</t>
  </si>
  <si>
    <t>komb. nedbøjning</t>
  </si>
  <si>
    <t>kN karakt.</t>
  </si>
  <si>
    <t>ugunstig</t>
  </si>
  <si>
    <t>V nabokantlast [kNm]</t>
  </si>
  <si>
    <t>dog mindst</t>
  </si>
  <si>
    <t>M ialt [kNm]</t>
  </si>
  <si>
    <t>korttidslast</t>
  </si>
  <si>
    <t xml:space="preserve">ialt </t>
  </si>
  <si>
    <t>kN regn.m.</t>
  </si>
  <si>
    <t>perm.gunstig</t>
  </si>
  <si>
    <t>V ialt [kN]</t>
  </si>
  <si>
    <t>|V| ialt [kN]</t>
  </si>
  <si>
    <t>MOMENT</t>
  </si>
  <si>
    <t>bæreevne  M Rd</t>
  </si>
  <si>
    <t xml:space="preserve"> snitkraft</t>
  </si>
  <si>
    <t>e</t>
  </si>
  <si>
    <t>ved jævnt fordelt last, plade (p)</t>
  </si>
  <si>
    <t>incl.last fra løb/naboelem.,forkantpl.strimmel(f)</t>
  </si>
  <si>
    <t>cl. (f)</t>
  </si>
  <si>
    <t>pladelast:</t>
  </si>
  <si>
    <t>FORSKYDNING</t>
  </si>
  <si>
    <t>bæreevne  V Rd,c</t>
  </si>
  <si>
    <t>Forskydningsbæreevne V Rd,c</t>
  </si>
  <si>
    <t>x'(f)</t>
  </si>
  <si>
    <t xml:space="preserve">l </t>
  </si>
  <si>
    <t>plade (p)</t>
  </si>
  <si>
    <t>kN/m</t>
  </si>
  <si>
    <t>x'(l)</t>
  </si>
  <si>
    <t>linjelast fra naboelementer:</t>
  </si>
  <si>
    <t>forkantpladestrimmel (f)</t>
  </si>
  <si>
    <t>kN</t>
  </si>
  <si>
    <t>k</t>
  </si>
  <si>
    <t>V Rd,c</t>
  </si>
  <si>
    <t>= As</t>
  </si>
  <si>
    <t>x'(pf)</t>
  </si>
  <si>
    <t>-snits bjl.</t>
  </si>
  <si>
    <t>type,diameter</t>
  </si>
  <si>
    <t>stk bøjler</t>
  </si>
  <si>
    <t>= bw</t>
  </si>
  <si>
    <t>x'(l) - x'(f)</t>
  </si>
  <si>
    <t>antal,  centerafst.</t>
  </si>
  <si>
    <t>= ef. højde</t>
  </si>
  <si>
    <t>punktlast fra naboelementer:</t>
  </si>
  <si>
    <t>x'(l) / x'(f) =</t>
  </si>
  <si>
    <t>f ywd</t>
  </si>
  <si>
    <t>max centerafst.</t>
  </si>
  <si>
    <t>x'(pf) / x'(f) =</t>
  </si>
  <si>
    <t>V Rd,s =</t>
  </si>
  <si>
    <t xml:space="preserve">maks.M = </t>
  </si>
  <si>
    <t xml:space="preserve">venstre, </t>
  </si>
  <si>
    <t>last 2</t>
  </si>
  <si>
    <t>ANVENDELSESGRÆNSETILSTAND</t>
  </si>
  <si>
    <t xml:space="preserve"> excl.-</t>
  </si>
  <si>
    <t xml:space="preserve"> incl.- #</t>
  </si>
  <si>
    <t xml:space="preserve">  last fra løb</t>
  </si>
  <si>
    <t xml:space="preserve">højre, </t>
  </si>
  <si>
    <t>kontrol af min.armering</t>
  </si>
  <si>
    <t>As min, mm2 =</t>
  </si>
  <si>
    <t xml:space="preserve">  &lt;--kvasipermanent lastkombination?</t>
  </si>
  <si>
    <t>last1</t>
  </si>
  <si>
    <t xml:space="preserve">maks.V venstre = </t>
  </si>
  <si>
    <t>revnevidde</t>
  </si>
  <si>
    <t>= psi 2 (andel af nyttelast indregnet som langtids)</t>
  </si>
  <si>
    <t>ialt</t>
  </si>
  <si>
    <t xml:space="preserve">    sæt 0 når ingen krav specificeret</t>
  </si>
  <si>
    <t xml:space="preserve">maks.V højre = </t>
  </si>
  <si>
    <t>nedbøjning</t>
  </si>
  <si>
    <t>= "del" af spændvidde som nedbøjningskriterie for w3</t>
  </si>
  <si>
    <t>hi</t>
  </si>
  <si>
    <t>= "del" af spændvidde som nedbøjningskriterie, for w maks</t>
  </si>
  <si>
    <t>#) regnet fordelt på en bredde nærmest løbsudsparing</t>
  </si>
  <si>
    <t>= bredde forkant"bjælke"</t>
  </si>
  <si>
    <t>a(f)</t>
  </si>
  <si>
    <t>afstand fra forkant til cl.(f)</t>
  </si>
  <si>
    <t>afstand a2v</t>
  </si>
  <si>
    <t>snitkraftudregning for pladestrimmel ved reposeende</t>
  </si>
  <si>
    <t>UNDERSTØTNINGER FOR LØB/NABOELEM.</t>
  </si>
  <si>
    <t>CL.sidekantpl.strimmel</t>
  </si>
  <si>
    <t>u.støtn.v</t>
  </si>
  <si>
    <t>u.støtn.h</t>
  </si>
  <si>
    <t xml:space="preserve">            mellempunkter</t>
  </si>
  <si>
    <t>Medtag last fra nabokantstrimmel (ja eller nej)</t>
  </si>
  <si>
    <t>momentarm</t>
  </si>
  <si>
    <t>linielast [kN/m]</t>
  </si>
  <si>
    <t>armering (1)</t>
  </si>
  <si>
    <t>enkeltkraft [kN]</t>
  </si>
  <si>
    <t xml:space="preserve">             centerafst.</t>
  </si>
  <si>
    <t>R [kN]</t>
  </si>
  <si>
    <t>(2)</t>
  </si>
  <si>
    <t xml:space="preserve">d   </t>
  </si>
  <si>
    <t>M [kNm]</t>
  </si>
  <si>
    <t>mm2/m</t>
  </si>
  <si>
    <t>Last på understøtning for løb/naboelem.</t>
  </si>
  <si>
    <t>V [kN]</t>
  </si>
  <si>
    <t>reduc. fcd</t>
  </si>
  <si>
    <t>regn.m.</t>
  </si>
  <si>
    <t>a1v</t>
  </si>
  <si>
    <t>adv</t>
  </si>
  <si>
    <t>M Rd =</t>
  </si>
  <si>
    <t>kN/m ialt fra trappeløb</t>
  </si>
  <si>
    <t>V Rd,c =</t>
  </si>
  <si>
    <t>kN/m ialt fra nabokantstrimmel</t>
  </si>
  <si>
    <t>armering (2)</t>
  </si>
  <si>
    <t>v.spændvidde for løb, m.</t>
  </si>
  <si>
    <t xml:space="preserve">   x'</t>
  </si>
  <si>
    <t>x'(f) =</t>
  </si>
  <si>
    <t>andel af enkeltkraft, som</t>
  </si>
  <si>
    <t>går direkte i understøtning</t>
  </si>
  <si>
    <t xml:space="preserve">  min M (overside)</t>
  </si>
  <si>
    <t xml:space="preserve">  maks M (underside)</t>
  </si>
  <si>
    <t>sigma s</t>
  </si>
  <si>
    <t xml:space="preserve">   fra jævnt fordelt last</t>
  </si>
  <si>
    <t xml:space="preserve">          fra naboelem.</t>
  </si>
  <si>
    <t>i alt venstre</t>
  </si>
  <si>
    <t>i alt højre</t>
  </si>
  <si>
    <t xml:space="preserve">  maks |V| imlm.bageste u.støtn.og m.pkt.</t>
  </si>
  <si>
    <t xml:space="preserve">  maks |V| bag forreste u.støtn.</t>
  </si>
  <si>
    <t>DORNE</t>
  </si>
  <si>
    <t>R2 maks</t>
  </si>
  <si>
    <t xml:space="preserve">      R2 maks:</t>
  </si>
  <si>
    <t xml:space="preserve">  maks |V| foran forreste u.støtn.</t>
  </si>
  <si>
    <t>R1 maks</t>
  </si>
  <si>
    <t xml:space="preserve">      R1 min:</t>
  </si>
  <si>
    <t>kN, perm.gunst</t>
  </si>
  <si>
    <t>kN, perm.ugunst</t>
  </si>
  <si>
    <t xml:space="preserve">dornlængde  </t>
  </si>
  <si>
    <t>afstand</t>
  </si>
  <si>
    <t>a3</t>
  </si>
  <si>
    <t>a4</t>
  </si>
  <si>
    <t xml:space="preserve">      R1 samtidig:</t>
  </si>
  <si>
    <t>kN, samtidig med R2 maks</t>
  </si>
  <si>
    <t>ophængs-</t>
  </si>
  <si>
    <t>R3</t>
  </si>
  <si>
    <t xml:space="preserve">      R1 maks:</t>
  </si>
  <si>
    <t>afstand a2h</t>
  </si>
  <si>
    <t>R4</t>
  </si>
  <si>
    <t>(3)</t>
  </si>
  <si>
    <t>2-snits arm.(3)</t>
  </si>
  <si>
    <t>R1 montage:</t>
  </si>
  <si>
    <t xml:space="preserve"> (4)</t>
  </si>
  <si>
    <t xml:space="preserve">R4    </t>
  </si>
  <si>
    <t>bæreevne (3)</t>
  </si>
  <si>
    <t>Udnyttelse-&gt;</t>
  </si>
  <si>
    <t xml:space="preserve">   a3</t>
  </si>
  <si>
    <t>dorn i stålkvalitet</t>
  </si>
  <si>
    <t>&lt;--fyk for dorn</t>
  </si>
  <si>
    <t>plastisk</t>
  </si>
  <si>
    <t>dimension</t>
  </si>
  <si>
    <t>Ø</t>
  </si>
  <si>
    <t>a1h</t>
  </si>
  <si>
    <t>adh</t>
  </si>
  <si>
    <t>stålspænding</t>
  </si>
  <si>
    <t>&lt;--plasticitetsteoretisk beregning, ja eller nej</t>
  </si>
  <si>
    <t>Mred pga.V</t>
  </si>
  <si>
    <t xml:space="preserve">dornplacering </t>
  </si>
  <si>
    <t xml:space="preserve">          ch=</t>
  </si>
  <si>
    <t>Nmm</t>
  </si>
  <si>
    <t>trykspænding (4)</t>
  </si>
  <si>
    <t>db+dl=4b1=</t>
  </si>
  <si>
    <t xml:space="preserve">          cl=</t>
  </si>
  <si>
    <t>gennemlokn. V Rd</t>
  </si>
  <si>
    <t>db=dl=</t>
  </si>
  <si>
    <t>PLADESTRIMMEL V.REPOSEENDER (e)</t>
  </si>
  <si>
    <t>armering (5)</t>
  </si>
  <si>
    <t>m, venstre</t>
  </si>
  <si>
    <t>m, højre</t>
  </si>
  <si>
    <t xml:space="preserve"> (5)</t>
  </si>
  <si>
    <t>tværsnitsbredde</t>
  </si>
  <si>
    <t>afst.a(f)&gt;,&lt;el.=a(2)</t>
  </si>
  <si>
    <t>bæreevne</t>
  </si>
  <si>
    <t xml:space="preserve">moment overside </t>
  </si>
  <si>
    <t>moment underside</t>
  </si>
  <si>
    <t>Reaktionsudregning</t>
  </si>
  <si>
    <t>v=venstre, h=højre, eksempel a2v=a2 venstre    perm.=permanent</t>
  </si>
  <si>
    <t>forskydning V Rd,c</t>
  </si>
  <si>
    <t>last KN/m</t>
  </si>
  <si>
    <t>-fra jævnt fordelt last:</t>
  </si>
  <si>
    <t>last x l/2 x b x (b/2 - a1v) / adv =</t>
  </si>
  <si>
    <t>bøjler</t>
  </si>
  <si>
    <t>type</t>
  </si>
  <si>
    <t>-fra naboelem.:</t>
  </si>
  <si>
    <t>(Rnjv+RnPv) x (adv + a2v - nu/3) / adv =</t>
  </si>
  <si>
    <t>type, diameter</t>
  </si>
  <si>
    <t>-i alt:</t>
  </si>
  <si>
    <t>last x l/2 x b x (b/2 - a1h) / adh =</t>
  </si>
  <si>
    <t>(Rnjh+RnPh) x (adh + a2h - nu/3) / adh =</t>
  </si>
  <si>
    <t>- (Rnjv+RnPv) x (a2v - nu/3) / adv =</t>
  </si>
  <si>
    <t>-i alt, for perm.last gunstig (lastfaktor 0,9):</t>
  </si>
  <si>
    <t>-i alt, for perm.last ugunstig:</t>
  </si>
  <si>
    <t>- (Rnjh+RnPh) x (a2h - nu/3) / adh =</t>
  </si>
  <si>
    <t>FAST VEDERLAG</t>
  </si>
  <si>
    <t>maks. reaktion</t>
  </si>
  <si>
    <t>kN jævnt fordelt på b</t>
  </si>
  <si>
    <t>Vender yderste net som vist? ja eller nej</t>
  </si>
  <si>
    <t>vederlagsbredde</t>
  </si>
  <si>
    <t>pladetykkelse</t>
  </si>
  <si>
    <t xml:space="preserve">cl.(2)    </t>
  </si>
  <si>
    <t>uk.(3)</t>
  </si>
  <si>
    <t>fcd</t>
  </si>
  <si>
    <t>effektivitetsfaktor</t>
  </si>
  <si>
    <t>ν</t>
  </si>
  <si>
    <r>
      <t xml:space="preserve">ν </t>
    </r>
    <r>
      <rPr>
        <sz val="12"/>
        <color theme="1"/>
        <rFont val="Arial"/>
        <family val="2"/>
      </rPr>
      <t>fcd</t>
    </r>
  </si>
  <si>
    <t xml:space="preserve">C4 = R </t>
  </si>
  <si>
    <t>hs</t>
  </si>
  <si>
    <t>i plade (pl)</t>
  </si>
  <si>
    <t>hældning af trykstringer</t>
  </si>
  <si>
    <t>grader</t>
  </si>
  <si>
    <t>radianer</t>
  </si>
  <si>
    <t>h5</t>
  </si>
  <si>
    <t>R</t>
  </si>
  <si>
    <t>h4</t>
  </si>
  <si>
    <t>C4</t>
  </si>
  <si>
    <t>h6</t>
  </si>
  <si>
    <t>modhold</t>
  </si>
  <si>
    <t>der kan være spring i overside, ikke vist</t>
  </si>
  <si>
    <t>C6</t>
  </si>
  <si>
    <t>Forankringslængde</t>
  </si>
  <si>
    <t>L-armering</t>
  </si>
  <si>
    <t>svejst net</t>
  </si>
  <si>
    <t>arm(1)</t>
  </si>
  <si>
    <t>arm(2)</t>
  </si>
  <si>
    <r>
      <t>σ</t>
    </r>
    <r>
      <rPr>
        <vertAlign val="subscript"/>
        <sz val="12"/>
        <rFont val="Arial"/>
        <family val="2"/>
      </rPr>
      <t>cknude</t>
    </r>
  </si>
  <si>
    <t>sigma 4 =</t>
  </si>
  <si>
    <t>armeringsdiameter</t>
  </si>
  <si>
    <t>ø</t>
  </si>
  <si>
    <t>sigma 5 =</t>
  </si>
  <si>
    <t>sigma 6 =</t>
  </si>
  <si>
    <t>armeringsstyrke</t>
  </si>
  <si>
    <t>betontrækstyrke</t>
  </si>
  <si>
    <t>f ctk,0,05</t>
  </si>
  <si>
    <t>partialkoef. f. beton, træk</t>
  </si>
  <si>
    <t>f ctd,0,05</t>
  </si>
  <si>
    <t>armering</t>
  </si>
  <si>
    <t>i "knast" (1)</t>
  </si>
  <si>
    <t>vedhæftningsstyrke</t>
  </si>
  <si>
    <t>f bd</t>
  </si>
  <si>
    <t>fyk</t>
  </si>
  <si>
    <t>basisforankr.lgd/ø</t>
  </si>
  <si>
    <t>l b,rqd/ø</t>
  </si>
  <si>
    <t>&lt;--udskrives ikke? i stedet udskrives kun række 210 til 216</t>
  </si>
  <si>
    <t>basisforankr.lgd</t>
  </si>
  <si>
    <t>l b,rqd</t>
  </si>
  <si>
    <t>As(1)</t>
  </si>
  <si>
    <t xml:space="preserve">   eller udskrives ?</t>
  </si>
  <si>
    <t>basisforankr.lgd*udnyt.grad</t>
  </si>
  <si>
    <t>F Rd(1) =</t>
  </si>
  <si>
    <t>=udnyt.grad</t>
  </si>
  <si>
    <t>dog min.</t>
  </si>
  <si>
    <t>lb,min.</t>
  </si>
  <si>
    <t>Forankring af hovedarmering (pl)</t>
  </si>
  <si>
    <t>45 grader iht. DS/EN 1992 figur 6.3</t>
  </si>
  <si>
    <t xml:space="preserve">Indre momentarm z = </t>
  </si>
  <si>
    <t xml:space="preserve"> x d</t>
  </si>
  <si>
    <t>spændvidde (m.last) l =</t>
  </si>
  <si>
    <t xml:space="preserve"> m</t>
  </si>
  <si>
    <t>v.knast"rod"(2)</t>
  </si>
  <si>
    <t>As(2)</t>
  </si>
  <si>
    <t>F Rd(2) =</t>
  </si>
  <si>
    <t>i plade udfor b</t>
  </si>
  <si>
    <t>As(pl)</t>
  </si>
  <si>
    <t>F Rd(pl) =</t>
  </si>
  <si>
    <t>benlængde(1) =</t>
  </si>
  <si>
    <t>benlængde</t>
  </si>
  <si>
    <t xml:space="preserve">     "   for forankring(pl)</t>
  </si>
  <si>
    <t>benlængde(2) =</t>
  </si>
  <si>
    <t>højde U-bjl(2) =</t>
  </si>
  <si>
    <t>DORN, GENNEMLOKNING</t>
  </si>
  <si>
    <t>= mm dæklag på yderste armering</t>
  </si>
  <si>
    <t>fck</t>
  </si>
  <si>
    <t>= mm maks. diameter yderste armering</t>
  </si>
  <si>
    <t>gamma C</t>
  </si>
  <si>
    <t>= mm diameter inderste armering</t>
  </si>
  <si>
    <t>effektivitetsfaktor v</t>
  </si>
  <si>
    <t>= mm betontykkelse h</t>
  </si>
  <si>
    <t>nyttehøjde d</t>
  </si>
  <si>
    <t>= mm nyttehøjde yderste armeringslag</t>
  </si>
  <si>
    <t>As, diam. centerafst.</t>
  </si>
  <si>
    <t>mm i begge retn.</t>
  </si>
  <si>
    <t>= mm nyttehøjde inderste armeringslag</t>
  </si>
  <si>
    <t>armeringsfohold</t>
  </si>
  <si>
    <t>= kN V Rd,max.</t>
  </si>
  <si>
    <t>k=</t>
  </si>
  <si>
    <t>=&gt;</t>
  </si>
  <si>
    <t>= N/mm2 vRd,C (9.5)</t>
  </si>
  <si>
    <t>vRd,C</t>
  </si>
  <si>
    <t>= N/mm2 vRd,C, min. (9.6)</t>
  </si>
  <si>
    <t>primær kontrolperimeter u</t>
  </si>
  <si>
    <t>= kN V Rd</t>
  </si>
  <si>
    <t>bæreevne V Rd</t>
  </si>
  <si>
    <t>BETON</t>
  </si>
  <si>
    <t>2d</t>
  </si>
  <si>
    <t>= kontrolperimeter hvis ikke til fri rand</t>
  </si>
  <si>
    <t>forhold iml. højde af rektangulær og trekantf. trykzone..........</t>
  </si>
  <si>
    <t>brudtøjning ecu [%].............................................</t>
  </si>
  <si>
    <t>ARMERING</t>
  </si>
  <si>
    <t>karakteristisk elasticitetskoefficient  Esk [N/mm2] ...........................</t>
  </si>
  <si>
    <t>symbol</t>
  </si>
  <si>
    <t>Q</t>
  </si>
  <si>
    <t>T</t>
  </si>
  <si>
    <t>U</t>
  </si>
  <si>
    <t>V</t>
  </si>
  <si>
    <t>W</t>
  </si>
  <si>
    <t>X</t>
  </si>
  <si>
    <t>Y</t>
  </si>
  <si>
    <t>Z</t>
  </si>
  <si>
    <t>|--------------------</t>
  </si>
  <si>
    <t>|-------------------</t>
  </si>
  <si>
    <t>Code</t>
  </si>
  <si>
    <t>gar.jvt.ford.forlæng.eft.brud ee [%]</t>
  </si>
  <si>
    <t>karakterist. brudstyrke  fuk [N/mm2]</t>
  </si>
  <si>
    <t>DORNE UDEN STÅLRØR OG UDEN OPHÆNGSBØJLE</t>
  </si>
  <si>
    <t>brudtøjning                  esu [%]</t>
  </si>
  <si>
    <t>max. reaktion</t>
  </si>
  <si>
    <t>min.mek. armeringsgrad    w min.arm.</t>
  </si>
  <si>
    <t>karakteristisk flydespænding [N/mm2]</t>
  </si>
  <si>
    <t>regn.mæssig flydetøjning  eyd [%]</t>
  </si>
  <si>
    <t>bal. mekanisk armeringsgrad   w bal.</t>
  </si>
  <si>
    <t>faktor f.overarm.tv.snit     ecu/eyd</t>
  </si>
  <si>
    <t>forankringsfaktor, zeta-værdi</t>
  </si>
  <si>
    <t>kappa-værdi</t>
  </si>
  <si>
    <t>e=epsilon, w=omega</t>
  </si>
  <si>
    <t xml:space="preserve"> R</t>
  </si>
  <si>
    <t>DORNE MED STÅLRØR OG OPHÆNGSBØJLE</t>
  </si>
  <si>
    <t>=betonstyrke</t>
  </si>
  <si>
    <t>=kode</t>
  </si>
  <si>
    <t>bøjle</t>
  </si>
  <si>
    <t>stk, type, diam.</t>
  </si>
  <si>
    <t>Bæreevne af standard ophængsbjl</t>
  </si>
  <si>
    <t>a5</t>
  </si>
  <si>
    <t>kode</t>
  </si>
  <si>
    <t>reaktion</t>
  </si>
  <si>
    <t>R5</t>
  </si>
  <si>
    <t>1 K 8</t>
  </si>
  <si>
    <t>2 K 8</t>
  </si>
  <si>
    <t>1 K 10</t>
  </si>
  <si>
    <t>2 K 10</t>
  </si>
  <si>
    <t xml:space="preserve">R6  </t>
  </si>
  <si>
    <t>R6</t>
  </si>
  <si>
    <t>beton 30</t>
  </si>
  <si>
    <t>beton 35</t>
  </si>
  <si>
    <t>beton 40</t>
  </si>
  <si>
    <t>a7</t>
  </si>
  <si>
    <t>udvendig rørdiameter</t>
  </si>
  <si>
    <t>rørtykkelse</t>
  </si>
  <si>
    <t>indvendig rørdiameter</t>
  </si>
  <si>
    <t>rør i stålkvalitet</t>
  </si>
  <si>
    <t>fyk N/mm2:=</t>
  </si>
  <si>
    <t>STÅLRØR ALENE</t>
  </si>
  <si>
    <t>modstandsmoment rør</t>
  </si>
  <si>
    <t>moment</t>
  </si>
  <si>
    <t>stålspænding i rør</t>
  </si>
  <si>
    <t>&lt;-- udskriv denne istedet for "FAST VEDERLAG beregnet som konsol" ?</t>
  </si>
  <si>
    <t xml:space="preserve">     ja eller nej</t>
  </si>
  <si>
    <t>(6)</t>
  </si>
  <si>
    <t>(7)</t>
  </si>
  <si>
    <t>"knast"bredde</t>
  </si>
  <si>
    <t>(9)</t>
  </si>
  <si>
    <t>(8)</t>
  </si>
  <si>
    <t>v.knast"rod"(6)</t>
  </si>
  <si>
    <t>hjørnearm.(8) inde i U-bjl.</t>
  </si>
  <si>
    <t>As (6)</t>
  </si>
  <si>
    <t>i "knast" (7)</t>
  </si>
  <si>
    <t>Armering ved "knastrod", tværarmering i armeringsbuk</t>
  </si>
  <si>
    <t>Armering i "knast", tværarmering i armeringsbuk</t>
  </si>
  <si>
    <t>hjørnearm.(9) inde i U-bjl.</t>
  </si>
  <si>
    <t>beton=+FCD</t>
  </si>
  <si>
    <t>betontrykfaktor konc.last</t>
  </si>
  <si>
    <t>As (7)</t>
  </si>
  <si>
    <t>+GAMMAS=</t>
  </si>
  <si>
    <t>= partialkoef. armering</t>
  </si>
  <si>
    <t>reduc. f cd</t>
  </si>
  <si>
    <t>bukket arm.</t>
  </si>
  <si>
    <t>type, diam.</t>
  </si>
  <si>
    <t>= Code for arm. , fyk i [N/mm2]</t>
  </si>
  <si>
    <t>fyd=</t>
  </si>
  <si>
    <t>D=</t>
  </si>
  <si>
    <t>tværarm.</t>
  </si>
  <si>
    <t>Wplast=</t>
  </si>
  <si>
    <t>Lmulig:</t>
  </si>
  <si>
    <t>mm  =&gt; V=</t>
  </si>
  <si>
    <t>N =&gt; momentreduktion</t>
  </si>
  <si>
    <t>=&gt; M=</t>
  </si>
  <si>
    <t>Nmm excl.reduktion</t>
  </si>
  <si>
    <t>Tmulig:</t>
  </si>
  <si>
    <t>=&gt; red.fyd.</t>
  </si>
  <si>
    <t xml:space="preserve"> #) tast 0 mm, hvis ingen net ud i "knast"</t>
  </si>
  <si>
    <t>f  yk</t>
  </si>
  <si>
    <t>f  yd</t>
  </si>
  <si>
    <t>dæklag på</t>
  </si>
  <si>
    <t>basisforankr.lgd.</t>
  </si>
  <si>
    <t>hovedarm.</t>
  </si>
  <si>
    <t>U-bøjler</t>
  </si>
  <si>
    <t>mm bukkediameter</t>
  </si>
  <si>
    <t>hjørnearmering inde i U-bjl.buk.</t>
  </si>
  <si>
    <t xml:space="preserve">   =&gt; fs  =</t>
  </si>
  <si>
    <t>vederlagsdybde</t>
  </si>
  <si>
    <t xml:space="preserve">    As  =</t>
  </si>
  <si>
    <t>=cl DS411 6.2.4</t>
  </si>
  <si>
    <t>hovedarmering slutter</t>
  </si>
  <si>
    <t>mm fra CL.vederlag</t>
  </si>
  <si>
    <t>kap.af U-bjl. mht. betontryk</t>
  </si>
  <si>
    <t>+</t>
  </si>
  <si>
    <t xml:space="preserve">    z   =</t>
  </si>
  <si>
    <t>kap.af hårnåle mht. betontryk</t>
  </si>
  <si>
    <t xml:space="preserve">    Vs  =</t>
  </si>
  <si>
    <t>samlet kapacitet mht. betontryk</t>
  </si>
  <si>
    <t>forankring</t>
  </si>
  <si>
    <t>Vs just.=</t>
  </si>
  <si>
    <t>samlet kapacitet mht. stålstyrke</t>
  </si>
  <si>
    <t xml:space="preserve">     der skal forankres for</t>
  </si>
  <si>
    <t>resulterende kapacitet</t>
  </si>
  <si>
    <t>kapacitet af længdearmering fuldt forankret</t>
  </si>
  <si>
    <t>resulterende kapacitet&lt;=kap.af l-armering</t>
  </si>
  <si>
    <t>U-bøjler, tværarmering i armeringsbuk</t>
  </si>
  <si>
    <t xml:space="preserve">         "        dog min.</t>
  </si>
  <si>
    <t xml:space="preserve">    "   0,3</t>
  </si>
  <si>
    <t xml:space="preserve">    "  10ø</t>
  </si>
  <si>
    <t xml:space="preserve">    "  100</t>
  </si>
  <si>
    <t xml:space="preserve">        "  =&gt;  result. min.</t>
  </si>
  <si>
    <t>l b,min.</t>
  </si>
  <si>
    <t>vederlagsreaktion</t>
  </si>
  <si>
    <t>Forankringslængde, DS411/Till.2:2005</t>
  </si>
  <si>
    <t xml:space="preserve">       hvor nedenfor angivet #) refereres der til punkt i DS411/Till.2:2005  6.2.6.1</t>
  </si>
  <si>
    <t>tværtryk</t>
  </si>
  <si>
    <t>p</t>
  </si>
  <si>
    <t>fck =</t>
  </si>
  <si>
    <t>= partialkoefficient for beton</t>
  </si>
  <si>
    <t>tværtrykskoefficient</t>
  </si>
  <si>
    <t>alfa 5</t>
  </si>
  <si>
    <t>fctk =</t>
  </si>
  <si>
    <t>= partialkoefficient for armering</t>
  </si>
  <si>
    <t>armering som forankres</t>
  </si>
  <si>
    <t>= type, code for armering , fyk i [N/mm2]</t>
  </si>
  <si>
    <t>dæklag</t>
  </si>
  <si>
    <t>c d</t>
  </si>
  <si>
    <t>diameter</t>
  </si>
  <si>
    <t>Ø  =</t>
  </si>
  <si>
    <t>dæklagskoefficient</t>
  </si>
  <si>
    <t>alfa 2</t>
  </si>
  <si>
    <t>kappa-værdi,  #)(4)P</t>
  </si>
  <si>
    <t xml:space="preserve">kappa = </t>
  </si>
  <si>
    <t>tværtråde el.bøjler</t>
  </si>
  <si>
    <t>justeret min.værdi alfa 5 x 2</t>
  </si>
  <si>
    <t>Øt =</t>
  </si>
  <si>
    <t>samlet koefficient</t>
  </si>
  <si>
    <t>alfa 5x2</t>
  </si>
  <si>
    <t>maks. centerafstand efter "55-regel"</t>
  </si>
  <si>
    <t xml:space="preserve"> til beregn. af tværarmeringsforhold, /\:</t>
  </si>
  <si>
    <t>antal bøjler langs forankring ns=</t>
  </si>
  <si>
    <t>stk</t>
  </si>
  <si>
    <t>&lt;-- sæt ns=0 når effekt af bøjler</t>
  </si>
  <si>
    <t>eta,  #)(10)P, forankring = 1, stød =2</t>
  </si>
  <si>
    <t>eta =</t>
  </si>
  <si>
    <t>antal bøjlesnit nss=</t>
  </si>
  <si>
    <t xml:space="preserve">      ikke skal medtages</t>
  </si>
  <si>
    <t>rådighedsbredde f.stang #) (6)P</t>
  </si>
  <si>
    <t>(Cs/Ø) =</t>
  </si>
  <si>
    <t>stænger der forankres nsp=</t>
  </si>
  <si>
    <t xml:space="preserve">    "    afstand til overflade  #) (6)P</t>
  </si>
  <si>
    <t>(Cc/Ø) =</t>
  </si>
  <si>
    <t>tværarmeringsforhold,  #) (9)P</t>
  </si>
  <si>
    <t>/\ =</t>
  </si>
  <si>
    <t xml:space="preserve"> til beregn. af bidrag fra tværtryk v.vederlag, delta r:</t>
  </si>
  <si>
    <t>bidrag tværtryk v.vederlag #)(15)P</t>
  </si>
  <si>
    <t>delta r=</t>
  </si>
  <si>
    <t>vederlagsdybde Ls=</t>
  </si>
  <si>
    <t>regn.m. basisforankringsstyrke fbd:</t>
  </si>
  <si>
    <t>vederlagsbredde b=</t>
  </si>
  <si>
    <t>reaktion R=</t>
  </si>
  <si>
    <t>&lt;-- sæt R=0 når effekt af vederlagstryk</t>
  </si>
  <si>
    <t>forankringslængde ved spænding = fyd =</t>
  </si>
  <si>
    <t>tværtryk rSd=</t>
  </si>
  <si>
    <t>dog min</t>
  </si>
  <si>
    <t>største værdi gælder =&gt;</t>
  </si>
  <si>
    <t>defaultformel for (Cs/Ø)</t>
  </si>
  <si>
    <t>defaultformel for (Cc/Ø)</t>
  </si>
  <si>
    <t>ULYKKESSITUATION BRAND, STÅLDORNE</t>
  </si>
  <si>
    <t>=&gt; udnyttelsesgrad</t>
  </si>
  <si>
    <t>%</t>
  </si>
  <si>
    <t>aktuel</t>
  </si>
  <si>
    <t>temp. gr.C.</t>
  </si>
  <si>
    <t>red.faktor</t>
  </si>
  <si>
    <t>udnyt.grad</t>
  </si>
  <si>
    <t>af diagrammet ovenfor aflæses kritisk ståltemperatur:</t>
  </si>
  <si>
    <t>gr.C.</t>
  </si>
  <si>
    <t xml:space="preserve">Interpolering       </t>
  </si>
  <si>
    <t>minutters standardbrand excl. afkølingsfase</t>
  </si>
  <si>
    <t>medfører maks. temperatur i ståldorn ca.</t>
  </si>
  <si>
    <t>gr.C</t>
  </si>
  <si>
    <t>30 minutters brand</t>
  </si>
  <si>
    <t>maks</t>
  </si>
  <si>
    <t>afstand til væg</t>
  </si>
  <si>
    <t>dorndiam.</t>
  </si>
  <si>
    <t>dorn.L</t>
  </si>
  <si>
    <t>temp. i dorn</t>
  </si>
  <si>
    <t>30 mm</t>
  </si>
  <si>
    <t>65 mm</t>
  </si>
  <si>
    <t>300 mm</t>
  </si>
  <si>
    <t>239  gr.C.</t>
  </si>
  <si>
    <t>50 mm</t>
  </si>
  <si>
    <t>304  gr.C.</t>
  </si>
  <si>
    <t>400 mm</t>
  </si>
  <si>
    <t>301  gr.C.</t>
  </si>
  <si>
    <t>maks temperatur i dorn aflæses i skema og indtastes i celle J254</t>
  </si>
  <si>
    <t>80 mm</t>
  </si>
  <si>
    <t>268  gr.C.</t>
  </si>
  <si>
    <t>60 minutters brand</t>
  </si>
  <si>
    <t>435  gr.C.</t>
  </si>
  <si>
    <t>538  gr.C.</t>
  </si>
  <si>
    <t>529  gr.C.</t>
  </si>
  <si>
    <t>477  gr.C.</t>
  </si>
  <si>
    <t>på langs</t>
  </si>
  <si>
    <t>på tværs</t>
  </si>
  <si>
    <t>Oversidearmering, afformning</t>
  </si>
  <si>
    <t xml:space="preserve">             på langs</t>
  </si>
  <si>
    <t xml:space="preserve">             på tværs</t>
  </si>
  <si>
    <t>begge regnet korttids</t>
  </si>
  <si>
    <t>spændvidde i L-retning</t>
  </si>
  <si>
    <t>LL</t>
  </si>
  <si>
    <t>spændvidde i B-retning</t>
  </si>
  <si>
    <t>LB</t>
  </si>
  <si>
    <t>på b = på langs</t>
  </si>
  <si>
    <t>n (Es/Ec) = ?</t>
  </si>
  <si>
    <t>As, antal arm.stænger, net</t>
  </si>
  <si>
    <t>udsparing i plade, bredderetning</t>
  </si>
  <si>
    <t>på b = på tværs</t>
  </si>
  <si>
    <t>As, diameter net</t>
  </si>
  <si>
    <t>udsparing i plade, længderetning</t>
  </si>
  <si>
    <t xml:space="preserve">As, antal suppl.arm.stænger </t>
  </si>
  <si>
    <t xml:space="preserve">[stk] </t>
  </si>
  <si>
    <t>tværsnitshøjde</t>
  </si>
  <si>
    <t>As, diameter, suppl.stænger</t>
  </si>
  <si>
    <t>[mm2]</t>
  </si>
  <si>
    <t>&lt;-foreskrevet dæklag på armering på langs, mm</t>
  </si>
  <si>
    <t>As, fs = ?</t>
  </si>
  <si>
    <t>[N/mm2]</t>
  </si>
  <si>
    <t>&lt;-foreskrevet dæklag på armering på tværs, mm</t>
  </si>
  <si>
    <t>[kNm]</t>
  </si>
  <si>
    <t>b = ?</t>
  </si>
  <si>
    <t>[mm]</t>
  </si>
  <si>
    <t>hef = ?</t>
  </si>
  <si>
    <t>h = ?</t>
  </si>
  <si>
    <t>spændvidde L =</t>
  </si>
  <si>
    <t>[M]</t>
  </si>
  <si>
    <t>fyd</t>
  </si>
  <si>
    <t>As =</t>
  </si>
  <si>
    <t>Asl</t>
  </si>
  <si>
    <t>mm2 på langs</t>
  </si>
  <si>
    <t>Ast</t>
  </si>
  <si>
    <t>effektiv højde på langs</t>
  </si>
  <si>
    <t>dl</t>
  </si>
  <si>
    <t>effektiv højde på tværs</t>
  </si>
  <si>
    <t>dt</t>
  </si>
  <si>
    <t xml:space="preserve">        f</t>
  </si>
  <si>
    <t>lastfaktor = usikkerhed på vægt og stødtillæg</t>
  </si>
  <si>
    <t>nyttelast = formsug</t>
  </si>
  <si>
    <t>lastfaktor = usikkerhed på formsug og stødtillæg</t>
  </si>
  <si>
    <t>kapacitet</t>
  </si>
  <si>
    <t>armeret</t>
  </si>
  <si>
    <t>nedbøjn. lineærelast.</t>
  </si>
  <si>
    <t>uarmeret</t>
  </si>
  <si>
    <t>DS411, Tabel V 6.3. Værdier af alfa ved spændings- og deformationsbestemmelser</t>
  </si>
  <si>
    <t>REVNEVIDDE OG NEDBØJNING</t>
  </si>
  <si>
    <t>&lt;----- Efter EC</t>
  </si>
  <si>
    <t>- på langs</t>
  </si>
  <si>
    <t xml:space="preserve">     for hvilende last</t>
  </si>
  <si>
    <t xml:space="preserve">     for nyttelast</t>
  </si>
  <si>
    <t xml:space="preserve">     ialt</t>
  </si>
  <si>
    <t xml:space="preserve">nedbøjning </t>
  </si>
  <si>
    <t>-på tværs</t>
  </si>
  <si>
    <t>&lt;----- Efter DS411</t>
  </si>
  <si>
    <t>Version</t>
  </si>
  <si>
    <t>Ark</t>
  </si>
  <si>
    <t>Ændring</t>
  </si>
  <si>
    <t>Ændret af</t>
  </si>
  <si>
    <t>Flyttet de 3 beregninger for FAST VEDERLAG ned i arket = følgende områder flyttet 200 rækker ned: A152…M202, N160…X202, Y160…Y166, Y167…AL178, O204…T229, W206…AJ246, CA226…CA229. Følgende flyttet 130 rækker ned: A280…M298. Inden ovenn. flytning er DORN GENNEMLOKNING A300…355 og U343...V344 flyttet 10 rækker op. Brand A223...U270 flyttet ned til A472...519</t>
  </si>
  <si>
    <t>SFJ</t>
  </si>
  <si>
    <t>Indsat ny beregningsmodel for fast vederlag fra ark vederlagKONSOL i filen TrdetEC i række 163…228.</t>
  </si>
  <si>
    <t>Indsat i række 22, CG….CQ, supplerende hjælpeværdier for udskrift</t>
  </si>
  <si>
    <t>UdskriftsarkA</t>
  </si>
  <si>
    <t>Række 151…215 og række 263…299 flyttet 100 rækker ned. Indsat FAST VEDERLAG = vederlagKONSOL fra ark A</t>
  </si>
  <si>
    <t>Visual basic editor</t>
  </si>
  <si>
    <t>Justeret udskriftsmakroer</t>
  </si>
  <si>
    <t>Retter makroer OPTIMERFBREDDE og OPTIMERBJLCAF (rettet Range fra CA226 til CA426 og CA229 til CA429)</t>
  </si>
  <si>
    <t>Fjernet 'FAST(….;0)' i formler i F191 og i F210 (FAST =&gt; angives som tekst). Tilføjet + C186 i formel for benlængde af armering i "knast" (1). Udvidet kolonnebredde D fra 3 til 3,5. Justeret kolonnebredde A 0,5 ned.</t>
  </si>
  <si>
    <t>Indsat manglende mål i celle A176, justeret kolonnebredder som i ark A ovenfor, slettet celle A192, formatteret C202</t>
  </si>
  <si>
    <t>Justeret formel i celle F199 så ekstra dæklag fra celle N11 medregnes</t>
  </si>
  <si>
    <t>Indsat i skema 'Forankringslængde' lb,min. i linie 191. Justeret celle F191 og F210 så min. medregnes lb,min.</t>
  </si>
  <si>
    <t>Flyttet G165….K170 én række ned. Tilføjet R min i G165….K165. Ændret tekst i G164 fra 'Reaktion' til 'maks. reaktion'. Ændret tekst i H164 fra 'R' til 'hvis(J353&gt;J354;"R2 maks";"R1 maks"). Tilføjet advarsel for negativ min R.</t>
  </si>
  <si>
    <t>Indsat advarselstekst i celle G35, fejl hvis a1&lt;0. Rettet tekst i cellerne AG135-141-147-156.</t>
  </si>
  <si>
    <t>Indsat formel i celle J129 i stedet for 'default' 100mm som bredde af endestrimmel. Formel som i celle J141 i fil LobrepEC. Ændret stålstyrke fyk for dornmufferør i celle M342 fra 195 til 235.</t>
  </si>
  <si>
    <t xml:space="preserve">Rettet versionsdato i 'hoved'. Var 160214, dvs. glemt rettet til 160305 ved seneste rev. </t>
  </si>
  <si>
    <t>Foranlediget af at produktion binder U-bjl. i fast vederlag (stringertypen) indenfor og til undersidearmering (overside i formen), indsat figurer med udregning af U-bjl højde maks og med indtastning af valgt standardhøjde. Dels for vederlag ved repoende, dels i repobagkant. Indsat i område N167....S174. Tilføjet valgt bøjlehøjde i celle C207 og indsat i G..J229. Fjernet overside- udsparing i C171 og C180 og C195. Rettet udskriftsark A og udskriftsmakro.</t>
  </si>
  <si>
    <t>Rettet figurer for fast vederlag (glemt fjerne reces i overside). Låst celle P167 op (dæklag overside, når terrazzo skal tastes manuelt).</t>
  </si>
  <si>
    <t>A og UdskriftsarkA</t>
  </si>
  <si>
    <t>Indsat dimension af 'låsejern' (3) (så kommer med på udskrift)</t>
  </si>
  <si>
    <t>Indsat advarsel i celle F105, For lille dornlængde!, hvis ankerdim &gt; 14mm og dornlængde 300mm</t>
  </si>
  <si>
    <t>Indtegnet ophængsbøjle omkring dornhylse på dornfigur og angivet med tekst</t>
  </si>
  <si>
    <t>Justeret advarsel i celle F105, For lille dornlængde! hvis ankerdim &gt; 16 mm og dornlængde 300mm. (idet nu indført ny standard dornmuffe L=300 m. 16mm ankerjern.</t>
  </si>
  <si>
    <t>A og beregn.model og UdskriftsarkA</t>
  </si>
  <si>
    <t>A og oversidearmer.</t>
  </si>
  <si>
    <t>Rettet rumvægt for armeret beton fra 24 til 25 kN/m3 (celle F40 i ark A, celle C28 og H28 i ark oversidearmer.)</t>
  </si>
  <si>
    <t>Hele filen</t>
  </si>
  <si>
    <t>Virkelig RE:</t>
  </si>
  <si>
    <t>vis</t>
  </si>
  <si>
    <t>Værdier nedenfor mærket "&lt;--A" indtastes først i ark A</t>
  </si>
  <si>
    <t>&lt;--A</t>
  </si>
  <si>
    <t>NB! bemærk a2</t>
  </si>
  <si>
    <t>snit</t>
  </si>
  <si>
    <t>forskudt forkant</t>
  </si>
  <si>
    <t>ff</t>
  </si>
  <si>
    <t>hvilende last repose</t>
  </si>
  <si>
    <t>nyttelast repose</t>
  </si>
  <si>
    <t>ialt last repose</t>
  </si>
  <si>
    <t>kN/m2 regn.m.</t>
  </si>
  <si>
    <t>plan</t>
  </si>
  <si>
    <t>cl.forkantpladestrimmel</t>
  </si>
  <si>
    <t>virkelig spændvidde løb/naboelem.</t>
  </si>
  <si>
    <t>&lt;-- her indtastes virkelig værdi.  ( i ark A anvendes fiktiv værdi)</t>
  </si>
  <si>
    <t>hvilende last løb/naboelem.</t>
  </si>
  <si>
    <t>nyttelast løb/naboelem.</t>
  </si>
  <si>
    <t>ialt last løb/naboelem.</t>
  </si>
  <si>
    <t>ialt last, repose</t>
  </si>
  <si>
    <t>=&gt; last på forkantpl.strimmel</t>
  </si>
  <si>
    <t>Detaljen</t>
  </si>
  <si>
    <t>i faneblad A</t>
  </si>
  <si>
    <t>anvender for max. last fra løb, de i faneblad A indtastede værdier for løbs-</t>
  </si>
  <si>
    <t>last og -spændvidder. Når beregn.model anvendes, og den ene spændvidde</t>
  </si>
  <si>
    <t>Beregningsmodel:</t>
  </si>
  <si>
    <t>dermed er fiktiv, vil det oftest være nødvendigt at korrigere max. last fra løb</t>
  </si>
  <si>
    <t xml:space="preserve"> for løb i denne side anvendes        </t>
  </si>
  <si>
    <t xml:space="preserve"> fiktiv spændvidde i beregn.model</t>
  </si>
  <si>
    <t>fiktiv spændvidde løb/naboelem.</t>
  </si>
  <si>
    <t>ialt last fra løb/naboelem.</t>
  </si>
  <si>
    <t xml:space="preserve">ialt last, repose </t>
  </si>
  <si>
    <t>forskel fra værdier i virkelig RE:</t>
  </si>
  <si>
    <t>Understøtning for løb/naboelem. regnes "default" for værste last i modellen</t>
  </si>
  <si>
    <t>og hvis virkeligt løb har større last end naboløb skal last justeres svarende</t>
  </si>
  <si>
    <t>til virkelig løbslængde.</t>
  </si>
  <si>
    <t>Kontrol af udkraget del, og</t>
  </si>
  <si>
    <t>ekstra skråarmering</t>
  </si>
  <si>
    <t>er ikke med i beregn.modellen og</t>
  </si>
  <si>
    <t>skal kontrolleres/vurderes særskilt.</t>
  </si>
  <si>
    <t>fiktiv spændvidde (lv) løb/naboelem.</t>
  </si>
  <si>
    <t>vis ikke</t>
  </si>
  <si>
    <t>Beregningsmodel forskudt forkant</t>
  </si>
  <si>
    <t>arknavn beregn.model ændret til forsk.forkant.</t>
  </si>
  <si>
    <t>beregn.model og Visual B.</t>
  </si>
  <si>
    <t>I ordinær beregningsudskrift er dornberegning forudsat med nedadrettet kraft direkte fra dorn</t>
  </si>
  <si>
    <t>til beton og optaget som gennemlokning. På nærværende udskriftsside er samme beregning</t>
  </si>
  <si>
    <t>først gentaget, med uddybning af gennemlokningskontrol.</t>
  </si>
  <si>
    <t xml:space="preserve">Beregning med ændrede størrelser og placeringer af reaktioner, idét stålrør medregnes, og </t>
  </si>
  <si>
    <t>med ophængsbøjle for nedadrettet kraft inde i røret er derefter medtaget.</t>
  </si>
  <si>
    <t>Konsekvensklasse</t>
  </si>
  <si>
    <t>CC</t>
  </si>
  <si>
    <t>Kontrolklasse</t>
  </si>
  <si>
    <t>= min. dæklag aht. holdbarhed armering + tolerancetillæg udførelse, Norge</t>
  </si>
  <si>
    <t>= min. dæklag aht. holdbarhed armering + tolerancetillæg udførelse, Sverige</t>
  </si>
  <si>
    <t>Eksponeringsklasse aht. dæklag på armering</t>
  </si>
  <si>
    <t>=Miljøklasse hvis i DK</t>
  </si>
  <si>
    <t>=Betonstyrke</t>
  </si>
  <si>
    <t>Nærværende ark er et hjælpeark som indeholder de nationale værdier for Norge eller</t>
  </si>
  <si>
    <t>Sverige, når i ark A, celle N2 er -låst op vha. makroknap, -og der er valgt Norge (N)</t>
  </si>
  <si>
    <t xml:space="preserve">eller Sverige (S), og når følgende fejlmeldinger… </t>
  </si>
  <si>
    <t>Fejl !</t>
  </si>
  <si>
    <t xml:space="preserve"> … er slettet ved (i 'rullegardin'):</t>
  </si>
  <si>
    <t>- i celle H10 at vælge/taste korrekt bogstavbetegnelse for</t>
  </si>
  <si>
    <t xml:space="preserve">  eksponeringsklasse, dvs. XC, XD eller XS</t>
  </si>
  <si>
    <t>- i celle I10 at vælge/taste korrekt tal for</t>
  </si>
  <si>
    <t xml:space="preserve">  eksponeringsklasse, dvs. 1, 2, 3 eller 4</t>
  </si>
  <si>
    <t>- at vælge/taste 'tomt' felt (i 'rullegardin') i cellerne I11 og I9</t>
  </si>
  <si>
    <t>For Norge og Sverige skal altid vælges/indtastes nyttelastkategori (i 'rullegardin'),</t>
  </si>
  <si>
    <t>tomt felt' for Norge, 'A', 'C3' eller C5' for Sverige (normalt C3)</t>
  </si>
  <si>
    <t>Når der i ark A er valgt Danmark (D) anvendes-/gælder hjælpearkets værdier ikke</t>
  </si>
  <si>
    <t>og der vil være fejlmeldinger i arket, som ingen betydning har.</t>
  </si>
  <si>
    <t>kN/m3</t>
  </si>
  <si>
    <t>hvilende ialt</t>
  </si>
  <si>
    <t>=nyttelast Sverige</t>
  </si>
  <si>
    <t>=psi 2 for Norge</t>
  </si>
  <si>
    <t>=psi 2 for Sverige</t>
  </si>
  <si>
    <t>=revneviddekrav Norge</t>
  </si>
  <si>
    <t>=kc</t>
  </si>
  <si>
    <t>=revneviddekrav Sverige</t>
  </si>
  <si>
    <r>
      <t>Kopieret over i Excel 2016 og tilrettet.</t>
    </r>
    <r>
      <rPr>
        <sz val="12"/>
        <rFont val="Arial"/>
        <family val="2"/>
      </rPr>
      <t xml:space="preserve"> Startprompt vedr. kæder sat til 'Vis ikke advarslen, og opdater ikke automatisk kæder'</t>
    </r>
  </si>
  <si>
    <t>Celle O171 og R171 rettet fra hhv. 180 og 200 til =IKKE.TILGÆNGELIG()</t>
  </si>
  <si>
    <t>Rettet figurer for fast vederlag i N164…S174, så U-bøjle på venstre figur har nederste ben i samme lag som hovedarmering. Ændret U-bøjle højden på begge figurer så der default angives den størst mulige højde (som så skal overskrives/indtastes med nærmeste lavere afrundede mål)</t>
  </si>
  <si>
    <t>Rækkefølge i makroen</t>
  </si>
  <si>
    <t>Inden udskrivning vha.</t>
  </si>
  <si>
    <t>Filer, Udskriv, skal sideskift</t>
  </si>
  <si>
    <t>justeres vha. Vis, Vis sideskift,</t>
  </si>
  <si>
    <t>og så 'trække' med musen.</t>
  </si>
  <si>
    <t>162…249</t>
  </si>
  <si>
    <t>I celler T42, T43, T46, T48, T49 og tilsvarende i U-kolonne, ændret " " i formler til 0. Celle CG21 tilføjet foran formlen: HVIS(N352="NEJ";0;  og tilføjet ekstra slutparentes.</t>
  </si>
  <si>
    <t>Makro Udskriv suppleret med forklaringer. Og testet.</t>
  </si>
  <si>
    <t>A og Visual basic editor</t>
  </si>
  <si>
    <t>=formel kop.fra celle H44</t>
  </si>
  <si>
    <t>Kopieret formel for nyttelast i celle H44 til celle P44. Indsat makro og -knap som låser H44 op. Indsat makro og -knap som genindsætter formel i H44 i låst format. Låst nyttelast i celler H52, og J52 og Indsat makro og -knap som låser nyttelast cellene op.</t>
  </si>
  <si>
    <t>lysning</t>
  </si>
  <si>
    <t>last p=1 kN/m</t>
  </si>
  <si>
    <t>Reaktioner for P=1 kN</t>
  </si>
  <si>
    <t>RnP</t>
  </si>
  <si>
    <t xml:space="preserve">    P=1 kN</t>
  </si>
  <si>
    <t>For pladelast som fri last,</t>
  </si>
  <si>
    <t>for last q = 1 kN/m</t>
  </si>
  <si>
    <t>Reaktion R1</t>
  </si>
  <si>
    <t>faktorer for last</t>
  </si>
  <si>
    <t>fra naboelem.</t>
  </si>
  <si>
    <t>faktor x'l/x'(f) =</t>
  </si>
  <si>
    <t>for linjelast</t>
  </si>
  <si>
    <t>faktor x'(pf)/x'(f)</t>
  </si>
  <si>
    <t>for pladelast</t>
  </si>
  <si>
    <t>Plade (p),</t>
  </si>
  <si>
    <t>moment for p=1 kN/m</t>
  </si>
  <si>
    <t>perm.last x l/2 x b x (b/2 - a2v) / adv + nyt.last,fri x l/2 x fq2v =</t>
  </si>
  <si>
    <t>(perm.last x l/2 x b x (b/2 - a2h) + nyt.last,fri x l/2 x a2h x fq2h =</t>
  </si>
  <si>
    <t>Indsat ordet 'lysning' i figur i celle E23. Ændret ordet 'durchsicht' i celle C56 til 'lysning'. Justeret overskrifter i AG9…AR20 (hjælpestatik). Justeret forklarende tekst i Y96...Z104 og Y121…Y129. Omprogrammeret W55…AT57, nabokantlast, så last placeres i variabel afstand fra kant (var indsat i AG55 og AM55, fejl på den sikre side) og indsat hjælpeformler for M i skjulte celler AB62...AG62 og AL62 til AQ62 (justering fordi enkeltkræfter kan stå imellem 2 snit). Fjernet dollartegn i O103...T110 (for sammenlign. med tilsv. formler i AR137...AR164). Beholdt dollartegn i O152...T160. Indsat AA19 istedet for 0,9 i formler for R1montage fra jævnt fordelt last. I celle AC89 og AC114 indsat AC39 (hi) istedet for 0,9*J15'10^-3. Afkortet last 1 i AC76.</t>
  </si>
  <si>
    <t>Omprogrammeret R1 montage, dorn: Formler i celle O110 og P110 ændret så regner last fra H40 ist.f. h43, og regner gunst/ugunst vha. hjælpestatik i AI25, AJ25 og AK25. Indsat i celle V110 formel som finder R1 min. montage og indsat formel i L105 som henter værdi som tekst. Indsat advarsel i L106 hvis negativ(e). Og tilsvarende for fast i O160, P160, L165, L166. Og tilsvarende i L355 men advarsel i L354 ist.f. L356 aht. udskrift.</t>
  </si>
  <si>
    <t>Som følge af ovennævnte rettelser for ark A, indsat i relevante celler at henter værdier fra A</t>
  </si>
  <si>
    <t>Indsat i ark A for fast vederlag ekstra indtastningsværdi i celle A174 og justeret figur så der fra vederlag først er en lille lodret trykstringer. Justeret tilsvarende i udskriftsark.</t>
  </si>
  <si>
    <t>oversidearmer.</t>
  </si>
  <si>
    <t>Rettet celle AX53 fra =AS til =A!J30. Rettet celle BA53 fra =-(HEF-BI19/2) til =-(A!J15-BI19/2) og rettet celle BA63 tilsvarende.</t>
  </si>
  <si>
    <t>A og NS</t>
  </si>
  <si>
    <t>Ordet i celle G11 'Miljøklasse' ændret til  'Miljøpåvirkning'</t>
  </si>
  <si>
    <t>Miljøpåvirkning (dansk) aht. valg af beton</t>
  </si>
  <si>
    <t>Rettet celle AC101 fra =HVIS($J$18=0;+$J$21*10^-3;0) til +$J$21*10^-3 og AC126 tilsvarende. Rettet celle AC102 fra +AC101/3 til +(AC101-0,02)/2 og AC127 tilsvarende. Rettet celle AP86, slettet *10^-3 til sidst i formel og rettet AP111 tilsvarende. Rettet J21/3 i formel i celle AA102 til -F34+J21-(J21-0,02)/2 og AA127 tilsvarende.</t>
  </si>
  <si>
    <t>I makro OptimerC fjernet Sheets("A").Select.</t>
  </si>
  <si>
    <t>Rettet cellerne AB71 og AB72 fra hhv. =AF55 og AL55 til hhv. =AA55 og =AR55 + standard format</t>
  </si>
  <si>
    <r>
      <t xml:space="preserve">Indsat mulighed for ikke at vise min.reaktion når 'revolverelement' (når beregn.model er anvendt). I celle N9 på ark beregn.model er 'default' angivet 'vis'. Beregningsmodellen justerer primært for forkantpladestrimmel, men overvurderer min.reaktion. Indsat manglende værdier for R1 min ved i ark A at kopiere N...V110 ned til række 160 </t>
    </r>
    <r>
      <rPr>
        <strike/>
        <sz val="12"/>
        <rFont val="Arial"/>
        <family val="2"/>
      </rPr>
      <t>og indsætte rød advarselstekst i C164 i ark A og i udskriftsarkA.</t>
    </r>
  </si>
  <si>
    <t>overstregning betyder senere slettet igen</t>
  </si>
  <si>
    <t xml:space="preserve">   Repose vender som vist</t>
  </si>
  <si>
    <t xml:space="preserve">   min reaktion, R1 min, i ark A og på udskrift</t>
  </si>
  <si>
    <t xml:space="preserve">    Vælg nej, hvis spejlvendt</t>
  </si>
  <si>
    <t xml:space="preserve">    Vælg vis ikke (se Logbogsark, notat dateret 161231)</t>
  </si>
  <si>
    <t>Visual basic editor, forsk.forkant</t>
  </si>
  <si>
    <t xml:space="preserve">ved at anvende makroknap 'last lås op' i faneblad A og så i celle L95 at indtaste </t>
  </si>
  <si>
    <t>den største af værdierne i O94…P94, når virkelig spændvidde er indtastet.</t>
  </si>
  <si>
    <t>Tilføjet makro som efter udskrift fra ark 'forsk.forkant' viser igen skulte rækker (makroknap 'retur og vis igen skjulte rækker'). Formatteret forklarende tekst i arket (farve, fed skrift etc.)</t>
  </si>
  <si>
    <t>A, Visual basic editor</t>
  </si>
  <si>
    <t>virkelig RE</t>
  </si>
  <si>
    <t>Beregn.model</t>
  </si>
  <si>
    <t>= afstand fra bagerste dorn til linjelast fra løb/naboelem., mm</t>
  </si>
  <si>
    <t>= afstand fra bagerste dorn til CL last repose foran CL (f), mm</t>
  </si>
  <si>
    <t>= afstand fra bagerste dorn til CL f, mm</t>
  </si>
  <si>
    <t xml:space="preserve">for figurer, se område X62 til AA68 i ark A                   </t>
  </si>
  <si>
    <t>x'(l) =</t>
  </si>
  <si>
    <t>forsk.forkant</t>
  </si>
  <si>
    <t>Justeret figurer så udsparing i lysning er vist og indsat mål for denne. Ændret J12 fra lås med formel, til låst op og skal indtastes. I område N27…V30 indsat x'(l), x'(pf) og x'(f). Rettet som i ark A 0,02 til 20 i formler. Justeret formler i J28 og J46 så anvender  x'(l), x'(pf) og x'(f).</t>
  </si>
  <si>
    <t>x'(pf) =</t>
  </si>
  <si>
    <t>Hvis udsparing i lysning kun går til forkant løbsvederlag</t>
  </si>
  <si>
    <t>som vist her</t>
  </si>
  <si>
    <t xml:space="preserve">  indtastes værdi 120mm</t>
  </si>
  <si>
    <t xml:space="preserve">  i celle F34 i ark A.</t>
  </si>
  <si>
    <t xml:space="preserve">  (låses op vha. makroknap).</t>
  </si>
  <si>
    <t>Formel for pladelast i AH45…AK45 ændret så last i lysning ikke medregnes. Kopieret formel fra AB45 til AH45 og fjernet +J18 og ændret MAKS(AA103;AA128) til (AA98+F36*10^-3)/AA98. Ændret AL45 fra =AK45 til =AB45. Ændret Vpladelast i AA47, idet tilføjet -(AB45-AH45)*AJ32*(AL44-AJ32/2)J32. Og i AL47 ændret  AL45 til AK45. Justeret formler i AH46...AQ46.</t>
  </si>
  <si>
    <t>I dén side hvor der regnes med virkelig længde af løb/naboelement regnes lasten</t>
  </si>
  <si>
    <t>ført vinkelret ind til forkantpladestrimmel og herfra til endestrimmel, hvilket er meget</t>
  </si>
  <si>
    <t>konsertativt. I side hvor der regnes med fiktiv spændvidde bliver lasten på forkant-</t>
  </si>
  <si>
    <t>pladestrimmel tæt på korrekt og ikke ret meget på den sikre side.</t>
  </si>
  <si>
    <t>Justeret forklarende tekst i udskrift, vedr. beregningsmodel (konservativ etc.)</t>
  </si>
  <si>
    <t>Indsat makro LåsOpF34 og makroknap (kan være nødvendigt at indtaste her, når forsk.forkant). Indsat makro LåsOpJ20 og makroknap (lille knap uden tekst). Indsat makro LåsOpJ21 (lille knap uden tekst). Rettet formel for x'(pf) i celle AA102 fra AB94+AC94-AC88+(F36-F34+J21-(J21-0,02)2)/2*10^-3 til AB94+AC94-AC102-(F36+J18-(J21-20)/2)/2*10^-3. Og rettet formel i celle AA127 tilsvarende. (rettelse 0,02--&gt;20 er helt uvæsentlig fejl, øvrige rettelser kan for stor lysning i udsparing medføre væsentlig fejl, men kun ved meget konservativ beregn.model herunder at pladelast i lysning er medregnet for meget.</t>
  </si>
  <si>
    <t>Alle ark</t>
  </si>
  <si>
    <r>
      <t>I sidehoved i celle L3 og L5 slettet 'Dato' og 'Sign.' og i celle M1 slettet 'af', og låst cellerne op. Forklaring på dette er at hver udskriftside</t>
    </r>
    <r>
      <rPr>
        <u/>
        <sz val="12"/>
        <color theme="1"/>
        <rFont val="Arial"/>
        <family val="2"/>
      </rPr>
      <t xml:space="preserve"> ikke</t>
    </r>
    <r>
      <rPr>
        <sz val="12"/>
        <rFont val="Arial"/>
        <family val="2"/>
      </rPr>
      <t>, som oprindelig tænkt, med håndskrift påføres sidenr og efter dette (under 'af') sideantal ialt, og dateres og signeres som dokumentation af egenkontrol af hver side. Da celler nu er låst op kan om øsket genindtastes.</t>
    </r>
  </si>
  <si>
    <t>Slettet F45 og G45 (advarsler nyttelastkategori)</t>
  </si>
  <si>
    <t>Slettet indtastning i H52 og J52 i makroen 'Test3_fortsættelseaf1og2_MedIndtastedeVærdier()'</t>
  </si>
  <si>
    <t xml:space="preserve">                                    N:\Opslag\Statik\Dalton statikark\RepoEC_190701 </t>
  </si>
  <si>
    <t>i afstand fra lysningskant</t>
  </si>
  <si>
    <t>Formel J173 korrigeret - ref. til reposhjd i stedet for bredde.</t>
  </si>
  <si>
    <t>LRE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</si>
</sst>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
    <numFmt numFmtId="165" formatCode="0.0_)"/>
    <numFmt numFmtId="166" formatCode="&quot;kr&quot;\ #,##0.00_);\(&quot;kr&quot;\ #,##0.00\)"/>
    <numFmt numFmtId="167" formatCode="dd/mm/yy;@"/>
    <numFmt numFmtId="168" formatCode="0.00_)"/>
    <numFmt numFmtId="169" formatCode="0.0E+00_)"/>
    <numFmt numFmtId="170" formatCode="0_)"/>
    <numFmt numFmtId="171" formatCode="0.000_)"/>
    <numFmt numFmtId="172" formatCode="0.0"/>
    <numFmt numFmtId="173" formatCode="0.000000_)"/>
    <numFmt numFmtId="174" formatCode="0.0000_)"/>
    <numFmt numFmtId="175" formatCode="0.000"/>
    <numFmt numFmtId="176" formatCode="0.0000"/>
    <numFmt numFmtId="177" formatCode="hh:mm_)"/>
    <numFmt numFmtId="178" formatCode="0.0%"/>
    <numFmt numFmtId="179" formatCode="yyyy\.mm\.dd;@"/>
  </numFmts>
  <fonts count="65">
    <font>
      <sz val="12"/>
      <color theme="1"/>
      <name val="Arial"/>
      <family val="2"/>
    </font>
    <font>
      <sz val="8"/>
      <name val="Arial MT"/>
      <family val="2"/>
    </font>
    <font>
      <sz val="8"/>
      <name val="Arial"/>
      <family val="2"/>
    </font>
    <font>
      <sz val="12"/>
      <color indexed="12"/>
      <name val="Arial"/>
      <family val="2"/>
    </font>
    <font>
      <sz val="12"/>
      <name val="Arial"/>
      <family val="2"/>
    </font>
    <font>
      <sz val="12"/>
      <name val="Arial"/>
      <family val="2"/>
    </font>
    <font>
      <sz val="12"/>
      <color indexed="12"/>
      <name val="Arial MT"/>
      <family val="2"/>
    </font>
    <font>
      <b/>
      <sz val="12"/>
      <name val="Arial"/>
      <family val="2"/>
    </font>
    <font>
      <sz val="14"/>
      <name val="Arial MT Black"/>
    </font>
    <font>
      <sz val="10"/>
      <name val="Arial"/>
      <family val="2"/>
    </font>
    <font>
      <sz val="11"/>
      <name val="Arial"/>
      <family val="2"/>
    </font>
    <font>
      <sz val="11"/>
      <name val="Arial"/>
      <family val="2"/>
    </font>
    <font>
      <b/>
      <sz val="8"/>
      <name val="Arial"/>
      <family val="2"/>
    </font>
    <font>
      <u val="double"/>
      <sz val="12"/>
      <color indexed="12"/>
      <name val="Arial"/>
      <family val="2"/>
    </font>
    <font>
      <b/>
      <sz val="12"/>
      <color indexed="10"/>
      <name val="Arial"/>
      <family val="2"/>
    </font>
    <font>
      <sz val="12"/>
      <color indexed="12"/>
      <name val="Arial"/>
      <family val="2"/>
    </font>
    <font>
      <b/>
      <sz val="12"/>
      <color indexed="10"/>
      <name val="Arial MT"/>
      <family val="2"/>
    </font>
    <font>
      <b/>
      <i/>
      <sz val="12"/>
      <name val="Arial"/>
      <family val="2"/>
    </font>
    <font>
      <sz val="12"/>
      <color indexed="10"/>
      <name val="Arial"/>
      <family val="2"/>
    </font>
    <font>
      <sz val="12"/>
      <color indexed="10"/>
      <name val="Arial MT"/>
      <family val="2"/>
    </font>
    <font>
      <sz val="12"/>
      <name val="Arial Narrow"/>
      <family val="2"/>
    </font>
    <font>
      <sz val="8"/>
      <name val="Arial"/>
      <family val="2"/>
    </font>
    <font>
      <sz val="10"/>
      <color indexed="12"/>
      <name val="Courier"/>
      <family val="3"/>
    </font>
    <font>
      <b/>
      <sz val="12"/>
      <color indexed="12"/>
      <name val="Arial"/>
      <family val="2"/>
    </font>
    <font>
      <b/>
      <sz val="12"/>
      <color indexed="12"/>
      <name val="Arial Narrow"/>
      <family val="2"/>
    </font>
    <font>
      <b/>
      <sz val="12"/>
      <color indexed="10"/>
      <name val="Arial Narrow"/>
      <family val="2"/>
    </font>
    <font>
      <sz val="12"/>
      <color indexed="8"/>
      <name val="Arial MT"/>
      <family val="2"/>
    </font>
    <font>
      <b/>
      <sz val="12"/>
      <color indexed="25"/>
      <name val="Arial MT"/>
      <family val="2"/>
    </font>
    <font>
      <b/>
      <i/>
      <sz val="12"/>
      <color indexed="10"/>
      <name val="Arial"/>
      <family val="2"/>
    </font>
    <font>
      <b/>
      <sz val="12"/>
      <color indexed="12"/>
      <name val="Arial"/>
      <family val="2"/>
    </font>
    <font>
      <b/>
      <i/>
      <sz val="12"/>
      <color indexed="17"/>
      <name val="Arial"/>
      <family val="2"/>
    </font>
    <font>
      <vertAlign val="subscript"/>
      <sz val="12"/>
      <name val="Arial"/>
      <family val="2"/>
    </font>
    <font>
      <sz val="10"/>
      <color indexed="12"/>
      <name val="Courier"/>
    </font>
    <font>
      <sz val="12"/>
      <color indexed="14"/>
      <name val="Arial"/>
      <family val="2"/>
    </font>
    <font>
      <sz val="20"/>
      <color indexed="10"/>
      <name val="Arial"/>
      <family val="2"/>
    </font>
    <font>
      <b/>
      <sz val="14"/>
      <name val="Arial"/>
      <family val="2"/>
    </font>
    <font>
      <b/>
      <sz val="12"/>
      <name val="Arial Narrow"/>
      <family val="2"/>
    </font>
    <font>
      <b/>
      <sz val="12"/>
      <color indexed="12"/>
      <name val="Arial MT"/>
      <family val="2"/>
    </font>
    <font>
      <sz val="11"/>
      <color indexed="12"/>
      <name val="Arial"/>
      <family val="2"/>
    </font>
    <font>
      <sz val="12"/>
      <color indexed="10"/>
      <name val="Arial Black"/>
      <family val="2"/>
    </font>
    <font>
      <b/>
      <sz val="12"/>
      <color rgb="FF000000"/>
      <name val="Arial"/>
      <family val="2"/>
    </font>
    <font>
      <b/>
      <sz val="8"/>
      <color rgb="FF000000"/>
      <name val="Arial"/>
      <family val="2"/>
    </font>
    <font>
      <b/>
      <sz val="12"/>
      <color rgb="FF000000"/>
      <name val="Arial MT"/>
    </font>
    <font>
      <sz val="11"/>
      <name val="Arial MT"/>
      <family val="2"/>
    </font>
    <font>
      <b/>
      <sz val="12"/>
      <color theme="1"/>
      <name val="Arial"/>
      <family val="2"/>
    </font>
    <font>
      <b/>
      <sz val="12"/>
      <name val="Arial MT"/>
      <family val="2"/>
    </font>
    <font>
      <sz val="12"/>
      <name val="Arial MT"/>
      <family val="2"/>
    </font>
    <font>
      <u/>
      <sz val="12"/>
      <name val="Arial"/>
      <family val="2"/>
    </font>
    <font>
      <sz val="10"/>
      <name val="Courier"/>
      <family val="3"/>
    </font>
    <font>
      <b/>
      <sz val="10"/>
      <color rgb="FF000000"/>
      <name val="Arial"/>
      <family val="2"/>
    </font>
    <font>
      <u val="double"/>
      <sz val="12"/>
      <name val="Arial"/>
      <family val="2"/>
    </font>
    <font>
      <sz val="12"/>
      <name val="Arial Black"/>
      <family val="2"/>
    </font>
    <font>
      <sz val="12"/>
      <color theme="1"/>
      <name val="Arial Narrow"/>
      <family val="2"/>
    </font>
    <font>
      <b/>
      <sz val="12"/>
      <color rgb="FFFF0000"/>
      <name val="Arial Narrow"/>
      <family val="2"/>
    </font>
    <font>
      <b/>
      <sz val="12"/>
      <color theme="9" tint="-0.499984740745262"/>
      <name val="Arial"/>
      <family val="2"/>
    </font>
    <font>
      <sz val="11"/>
      <color theme="1"/>
      <name val="Arial Narrow"/>
      <family val="2"/>
    </font>
    <font>
      <b/>
      <sz val="12"/>
      <color rgb="FFFF0000"/>
      <name val="Arial"/>
      <family val="2"/>
    </font>
    <font>
      <sz val="10"/>
      <color rgb="FF000000"/>
      <name val="Calibri"/>
      <family val="2"/>
    </font>
    <font>
      <strike/>
      <sz val="12"/>
      <name val="Arial"/>
      <family val="2"/>
    </font>
    <font>
      <b/>
      <sz val="12"/>
      <color theme="9" tint="-0.499984740745262"/>
      <name val="Arial MT"/>
      <family val="2"/>
    </font>
    <font>
      <b/>
      <i/>
      <sz val="12"/>
      <color theme="9" tint="-0.499984740745262"/>
      <name val="Arial"/>
      <family val="2"/>
    </font>
    <font>
      <b/>
      <i/>
      <sz val="12"/>
      <color theme="9" tint="-0.24994659260841701"/>
      <name val="Arial"/>
      <family val="2"/>
    </font>
    <font>
      <b/>
      <sz val="12"/>
      <color theme="9" tint="-0.499984740745262"/>
      <name val="Arial Narrow"/>
      <family val="2"/>
    </font>
    <font>
      <sz val="12"/>
      <color theme="1"/>
      <name val="Arial MT"/>
      <family val="2"/>
    </font>
    <font>
      <u/>
      <sz val="12"/>
      <color theme="1"/>
      <name val="Arial"/>
      <family val="2"/>
    </font>
  </fonts>
  <fills count="8">
    <fill>
      <patternFill patternType="none"/>
    </fill>
    <fill>
      <patternFill patternType="gray125"/>
    </fill>
    <fill>
      <patternFill patternType="solid">
        <fgColor indexed="34"/>
        <bgColor indexed="64"/>
      </patternFill>
    </fill>
    <fill>
      <patternFill patternType="solid">
        <fgColor indexed="43"/>
        <bgColor indexed="64"/>
      </patternFill>
    </fill>
    <fill>
      <patternFill patternType="solid">
        <fgColor indexed="9"/>
        <bgColor indexed="9"/>
      </patternFill>
    </fill>
    <fill>
      <patternFill patternType="solid">
        <fgColor indexed="13"/>
        <bgColor indexed="9"/>
      </patternFill>
    </fill>
    <fill>
      <patternFill patternType="solid">
        <fgColor indexed="13"/>
        <bgColor indexed="64"/>
      </patternFill>
    </fill>
    <fill>
      <patternFill patternType="solid">
        <fgColor indexed="34"/>
        <bgColor indexed="9"/>
      </patternFill>
    </fill>
  </fills>
  <borders count="43">
    <border>
      <left/>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right style="thin">
        <color indexed="8"/>
      </right>
      <top/>
      <bottom/>
      <diagonal/>
    </border>
    <border>
      <left style="thin">
        <color indexed="8"/>
      </left>
      <right style="thin">
        <color indexed="8"/>
      </right>
      <top/>
      <bottom/>
      <diagonal/>
    </border>
    <border>
      <left style="slantDashDot">
        <color indexed="22"/>
      </left>
      <right/>
      <top style="slantDashDot">
        <color indexed="22"/>
      </top>
      <bottom/>
      <diagonal/>
    </border>
    <border>
      <left/>
      <right/>
      <top style="slantDashDot">
        <color indexed="22"/>
      </top>
      <bottom/>
      <diagonal/>
    </border>
    <border>
      <left/>
      <right style="slantDashDot">
        <color indexed="22"/>
      </right>
      <top style="slantDashDot">
        <color indexed="22"/>
      </top>
      <bottom/>
      <diagonal/>
    </border>
    <border>
      <left style="slantDashDot">
        <color indexed="22"/>
      </left>
      <right/>
      <top/>
      <bottom/>
      <diagonal/>
    </border>
    <border>
      <left/>
      <right style="slantDashDot">
        <color indexed="22"/>
      </right>
      <top/>
      <bottom/>
      <diagonal/>
    </border>
    <border>
      <left style="slantDashDot">
        <color indexed="22"/>
      </left>
      <right/>
      <top/>
      <bottom style="slantDashDot">
        <color indexed="22"/>
      </bottom>
      <diagonal/>
    </border>
    <border>
      <left/>
      <right/>
      <top/>
      <bottom style="slantDashDot">
        <color indexed="22"/>
      </bottom>
      <diagonal/>
    </border>
    <border>
      <left/>
      <right/>
      <top style="slantDashDot">
        <color indexed="22"/>
      </top>
      <bottom style="slantDashDot">
        <color indexed="22"/>
      </bottom>
      <diagonal/>
    </border>
    <border>
      <left/>
      <right style="slantDashDot">
        <color indexed="22"/>
      </right>
      <top style="slantDashDot">
        <color indexed="22"/>
      </top>
      <bottom style="slantDashDot">
        <color indexed="22"/>
      </bottom>
      <diagonal/>
    </border>
    <border>
      <left style="mediumDashed">
        <color indexed="22"/>
      </left>
      <right/>
      <top style="mediumDashed">
        <color indexed="22"/>
      </top>
      <bottom/>
      <diagonal/>
    </border>
    <border>
      <left/>
      <right/>
      <top style="mediumDashed">
        <color indexed="22"/>
      </top>
      <bottom/>
      <diagonal/>
    </border>
    <border>
      <left/>
      <right style="mediumDashed">
        <color indexed="22"/>
      </right>
      <top style="mediumDashed">
        <color indexed="22"/>
      </top>
      <bottom/>
      <diagonal/>
    </border>
    <border>
      <left style="mediumDashed">
        <color indexed="22"/>
      </left>
      <right/>
      <top/>
      <bottom/>
      <diagonal/>
    </border>
    <border>
      <left/>
      <right style="mediumDashed">
        <color indexed="22"/>
      </right>
      <top/>
      <bottom/>
      <diagonal/>
    </border>
    <border>
      <left style="mediumDashed">
        <color indexed="22"/>
      </left>
      <right/>
      <top/>
      <bottom style="mediumDashed">
        <color indexed="22"/>
      </bottom>
      <diagonal/>
    </border>
    <border>
      <left/>
      <right/>
      <top/>
      <bottom style="mediumDashed">
        <color indexed="22"/>
      </bottom>
      <diagonal/>
    </border>
    <border>
      <left/>
      <right style="mediumDashed">
        <color indexed="22"/>
      </right>
      <top/>
      <bottom style="mediumDashed">
        <color indexed="22"/>
      </bottom>
      <diagonal/>
    </border>
    <border>
      <left style="thin">
        <color indexed="12"/>
      </left>
      <right/>
      <top style="thin">
        <color indexed="12"/>
      </top>
      <bottom/>
      <diagonal/>
    </border>
    <border>
      <left/>
      <right/>
      <top style="thin">
        <color indexed="12"/>
      </top>
      <bottom/>
      <diagonal/>
    </border>
    <border>
      <left/>
      <right style="thin">
        <color indexed="12"/>
      </right>
      <top style="thin">
        <color indexed="12"/>
      </top>
      <bottom/>
      <diagonal/>
    </border>
    <border>
      <left style="thin">
        <color indexed="12"/>
      </left>
      <right/>
      <top/>
      <bottom/>
      <diagonal/>
    </border>
    <border>
      <left/>
      <right style="thin">
        <color indexed="12"/>
      </right>
      <top/>
      <bottom/>
      <diagonal/>
    </border>
    <border>
      <left style="thin">
        <color indexed="12"/>
      </left>
      <right/>
      <top/>
      <bottom style="thin">
        <color indexed="12"/>
      </bottom>
      <diagonal/>
    </border>
    <border>
      <left/>
      <right/>
      <top/>
      <bottom style="thin">
        <color indexed="12"/>
      </bottom>
      <diagonal/>
    </border>
    <border>
      <left/>
      <right style="thin">
        <color indexed="12"/>
      </right>
      <top/>
      <bottom style="thin">
        <color indexed="12"/>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right/>
      <top/>
      <bottom style="thin">
        <color indexed="64"/>
      </bottom>
      <diagonal/>
    </border>
    <border>
      <left/>
      <right/>
      <top style="thin">
        <color indexed="64"/>
      </top>
      <bottom/>
      <diagonal/>
    </border>
  </borders>
  <cellStyleXfs count="1">
    <xf numFmtId="0" fontId="0" fillId="0" borderId="0"/>
  </cellStyleXfs>
  <cellXfs count="432">
    <xf numFmtId="0" fontId="0" fillId="0" borderId="0" xfId="0"/>
    <xf numFmtId="0" fontId="0" fillId="0" borderId="1" xfId="0" applyBorder="1"/>
    <xf numFmtId="0" fontId="1" fillId="0" borderId="1" xfId="0" applyFont="1" applyBorder="1" applyAlignment="1">
      <alignment horizontal="left" vertical="top"/>
    </xf>
    <xf numFmtId="0" fontId="0" fillId="0" borderId="2" xfId="0" applyBorder="1"/>
    <xf numFmtId="0" fontId="1" fillId="0" borderId="2" xfId="0" applyFont="1" applyBorder="1" applyAlignment="1">
      <alignment horizontal="center" vertical="top"/>
    </xf>
    <xf numFmtId="0" fontId="1" fillId="0" borderId="3" xfId="0" applyFont="1" applyBorder="1" applyAlignment="1">
      <alignment horizontal="left" vertical="top"/>
    </xf>
    <xf numFmtId="0" fontId="2" fillId="0" borderId="0" xfId="0" applyFont="1" applyAlignment="1">
      <alignment horizontal="center"/>
    </xf>
    <xf numFmtId="0" fontId="0" fillId="0" borderId="3" xfId="0" applyBorder="1"/>
    <xf numFmtId="164" fontId="0" fillId="0" borderId="4" xfId="0" applyNumberFormat="1" applyBorder="1" applyProtection="1">
      <protection hidden="1"/>
    </xf>
    <xf numFmtId="0" fontId="0" fillId="0" borderId="5" xfId="0" applyBorder="1"/>
    <xf numFmtId="0" fontId="3" fillId="0" borderId="6" xfId="0" applyFont="1" applyBorder="1" applyProtection="1">
      <protection locked="0"/>
    </xf>
    <xf numFmtId="0" fontId="4" fillId="0" borderId="6" xfId="0" applyFont="1" applyBorder="1"/>
    <xf numFmtId="0" fontId="0" fillId="0" borderId="6" xfId="0" applyBorder="1"/>
    <xf numFmtId="0" fontId="5" fillId="0" borderId="6" xfId="0" applyFont="1" applyBorder="1"/>
    <xf numFmtId="0" fontId="6" fillId="0" borderId="6" xfId="0" applyFont="1" applyBorder="1" applyAlignment="1" applyProtection="1">
      <alignment horizontal="left"/>
      <protection locked="0"/>
    </xf>
    <xf numFmtId="0" fontId="0" fillId="0" borderId="6" xfId="0" applyBorder="1" applyAlignment="1" applyProtection="1">
      <alignment horizontal="right"/>
      <protection locked="0"/>
    </xf>
    <xf numFmtId="0" fontId="0" fillId="0" borderId="7" xfId="0" applyBorder="1" applyAlignment="1" applyProtection="1">
      <alignment horizontal="center"/>
      <protection locked="0"/>
    </xf>
    <xf numFmtId="0" fontId="7" fillId="0" borderId="0" xfId="0" applyFont="1" applyAlignment="1">
      <alignment horizontal="right" indent="1"/>
    </xf>
    <xf numFmtId="0" fontId="7" fillId="0" borderId="0" xfId="0" quotePrefix="1" applyFont="1" applyAlignment="1">
      <alignment vertical="center"/>
    </xf>
    <xf numFmtId="0" fontId="0" fillId="0" borderId="0" xfId="0" applyAlignment="1">
      <alignment horizontal="center"/>
    </xf>
    <xf numFmtId="0" fontId="8" fillId="0" borderId="4" xfId="0" applyFont="1" applyBorder="1"/>
    <xf numFmtId="0" fontId="0" fillId="0" borderId="7" xfId="0" applyBorder="1"/>
    <xf numFmtId="0" fontId="0" fillId="0" borderId="6" xfId="0" applyBorder="1" applyAlignment="1">
      <alignment horizontal="left"/>
    </xf>
    <xf numFmtId="0" fontId="0" fillId="0" borderId="5" xfId="0" applyBorder="1" applyAlignment="1" applyProtection="1">
      <alignment horizontal="right"/>
      <protection locked="0"/>
    </xf>
    <xf numFmtId="165" fontId="0" fillId="0" borderId="0" xfId="0" applyNumberFormat="1"/>
    <xf numFmtId="164" fontId="0" fillId="0" borderId="0" xfId="0" applyNumberFormat="1"/>
    <xf numFmtId="0" fontId="0" fillId="0" borderId="4" xfId="0" applyBorder="1"/>
    <xf numFmtId="0" fontId="5" fillId="0" borderId="0" xfId="0" applyFont="1"/>
    <xf numFmtId="0" fontId="1" fillId="0" borderId="4" xfId="0" applyFont="1" applyBorder="1" applyAlignment="1">
      <alignment horizontal="left" vertical="top"/>
    </xf>
    <xf numFmtId="0" fontId="0" fillId="0" borderId="8" xfId="0" applyBorder="1"/>
    <xf numFmtId="0" fontId="9" fillId="0" borderId="0" xfId="0" applyFont="1" applyAlignment="1">
      <alignment vertical="top"/>
    </xf>
    <xf numFmtId="166" fontId="0" fillId="0" borderId="0" xfId="0" applyNumberFormat="1"/>
    <xf numFmtId="167" fontId="10" fillId="0" borderId="6" xfId="0" applyNumberFormat="1" applyFont="1" applyBorder="1" applyAlignment="1">
      <alignment horizontal="left"/>
    </xf>
    <xf numFmtId="167" fontId="10" fillId="0" borderId="6" xfId="0" applyNumberFormat="1" applyFont="1" applyBorder="1"/>
    <xf numFmtId="49" fontId="0" fillId="0" borderId="7" xfId="0" applyNumberFormat="1" applyBorder="1" applyProtection="1">
      <protection locked="0"/>
    </xf>
    <xf numFmtId="0" fontId="3" fillId="0" borderId="0" xfId="0" applyFont="1" applyAlignment="1" applyProtection="1">
      <alignment horizontal="center"/>
      <protection locked="0"/>
    </xf>
    <xf numFmtId="0" fontId="1" fillId="0" borderId="9" xfId="0" applyFont="1" applyBorder="1" applyAlignment="1">
      <alignment horizontal="left" vertical="top"/>
    </xf>
    <xf numFmtId="0" fontId="1" fillId="0" borderId="0" xfId="0" applyFont="1" applyAlignment="1">
      <alignment horizontal="right" vertical="top"/>
    </xf>
    <xf numFmtId="0" fontId="9" fillId="0" borderId="0" xfId="0" applyFont="1" applyAlignment="1">
      <alignment horizontal="center" vertical="center"/>
    </xf>
    <xf numFmtId="0" fontId="9" fillId="2" borderId="0" xfId="0" applyFont="1" applyFill="1" applyAlignment="1">
      <alignment horizontal="center" vertical="center"/>
    </xf>
    <xf numFmtId="0" fontId="0" fillId="0" borderId="5" xfId="0" applyBorder="1" applyAlignment="1" applyProtection="1">
      <alignment horizontal="left" indent="1"/>
      <protection locked="0"/>
    </xf>
    <xf numFmtId="0" fontId="1" fillId="0" borderId="5" xfId="0" applyFont="1" applyBorder="1" applyAlignment="1">
      <alignment horizontal="left" vertical="top"/>
    </xf>
    <xf numFmtId="20" fontId="11" fillId="0" borderId="6" xfId="0" applyNumberFormat="1" applyFont="1" applyBorder="1" applyAlignment="1">
      <alignment horizontal="left"/>
    </xf>
    <xf numFmtId="0" fontId="1" fillId="0" borderId="6" xfId="0" applyFont="1" applyBorder="1" applyAlignment="1">
      <alignment horizontal="left" vertical="top"/>
    </xf>
    <xf numFmtId="0" fontId="0" fillId="0" borderId="7" xfId="0" applyBorder="1" applyProtection="1">
      <protection locked="0"/>
    </xf>
    <xf numFmtId="0" fontId="12" fillId="0" borderId="0" xfId="0" applyFont="1" applyAlignment="1">
      <alignment horizontal="left"/>
    </xf>
    <xf numFmtId="0" fontId="0" fillId="0" borderId="0" xfId="0" applyAlignment="1">
      <alignment horizontal="right"/>
    </xf>
    <xf numFmtId="0" fontId="0" fillId="2" borderId="0" xfId="0" applyFill="1"/>
    <xf numFmtId="0" fontId="0" fillId="0" borderId="0" xfId="0" quotePrefix="1"/>
    <xf numFmtId="168" fontId="0" fillId="0" borderId="0" xfId="0" applyNumberFormat="1"/>
    <xf numFmtId="169" fontId="0" fillId="0" borderId="0" xfId="0" applyNumberFormat="1"/>
    <xf numFmtId="170" fontId="0" fillId="0" borderId="0" xfId="0" applyNumberFormat="1"/>
    <xf numFmtId="0" fontId="13" fillId="0" borderId="0" xfId="0" applyFont="1" applyProtection="1">
      <protection locked="0"/>
    </xf>
    <xf numFmtId="0" fontId="0" fillId="3" borderId="0" xfId="0" applyFill="1" applyAlignment="1">
      <alignment horizontal="center"/>
    </xf>
    <xf numFmtId="0" fontId="7" fillId="3" borderId="0" xfId="0" applyFont="1" applyFill="1" applyAlignment="1">
      <alignment horizontal="center"/>
    </xf>
    <xf numFmtId="0" fontId="0" fillId="0" borderId="0" xfId="0" applyAlignment="1">
      <alignment horizontal="left"/>
    </xf>
    <xf numFmtId="0" fontId="14" fillId="0" borderId="0" xfId="0" applyFont="1"/>
    <xf numFmtId="0" fontId="7" fillId="0" borderId="0" xfId="0" applyFont="1"/>
    <xf numFmtId="0" fontId="15" fillId="0" borderId="0" xfId="0" applyFont="1" applyAlignment="1" applyProtection="1">
      <alignment horizontal="right"/>
      <protection locked="0"/>
    </xf>
    <xf numFmtId="0" fontId="5" fillId="0" borderId="0" xfId="0" quotePrefix="1" applyFont="1"/>
    <xf numFmtId="0" fontId="0" fillId="0" borderId="0" xfId="0" applyAlignment="1">
      <alignment horizontal="right" indent="2"/>
    </xf>
    <xf numFmtId="1" fontId="0" fillId="3" borderId="0" xfId="0" applyNumberFormat="1" applyFill="1" applyAlignment="1">
      <alignment horizontal="center"/>
    </xf>
    <xf numFmtId="49" fontId="0" fillId="0" borderId="0" xfId="0" applyNumberFormat="1"/>
    <xf numFmtId="170" fontId="3" fillId="0" borderId="0" xfId="0" applyNumberFormat="1" applyFont="1" applyProtection="1">
      <protection locked="0"/>
    </xf>
    <xf numFmtId="170" fontId="5" fillId="0" borderId="0" xfId="0" applyNumberFormat="1" applyFont="1"/>
    <xf numFmtId="168" fontId="0" fillId="0" borderId="0" xfId="0" applyNumberFormat="1" applyAlignment="1">
      <alignment horizontal="center"/>
    </xf>
    <xf numFmtId="0" fontId="0" fillId="3" borderId="0" xfId="0" applyFill="1"/>
    <xf numFmtId="171" fontId="0" fillId="0" borderId="0" xfId="0" applyNumberFormat="1"/>
    <xf numFmtId="0" fontId="16" fillId="0" borderId="0" xfId="0" applyFont="1"/>
    <xf numFmtId="0" fontId="0" fillId="0" borderId="0" xfId="0" applyAlignment="1">
      <alignment horizontal="left" indent="1"/>
    </xf>
    <xf numFmtId="165" fontId="0" fillId="3" borderId="0" xfId="0" applyNumberFormat="1" applyFill="1" applyAlignment="1">
      <alignment horizontal="center"/>
    </xf>
    <xf numFmtId="170" fontId="0" fillId="2" borderId="0" xfId="0" applyNumberFormat="1" applyFill="1"/>
    <xf numFmtId="172" fontId="0" fillId="3" borderId="0" xfId="0" applyNumberFormat="1" applyFill="1" applyAlignment="1">
      <alignment horizontal="center"/>
    </xf>
    <xf numFmtId="171" fontId="0" fillId="4" borderId="0" xfId="0" applyNumberFormat="1" applyFill="1"/>
    <xf numFmtId="173" fontId="0" fillId="0" borderId="0" xfId="0" applyNumberFormat="1" applyAlignment="1">
      <alignment horizontal="right"/>
    </xf>
    <xf numFmtId="39" fontId="0" fillId="0" borderId="0" xfId="0" applyNumberFormat="1" applyAlignment="1">
      <alignment horizontal="center"/>
    </xf>
    <xf numFmtId="0" fontId="0" fillId="0" borderId="0" xfId="0" applyAlignment="1">
      <alignment horizontal="left" indent="3"/>
    </xf>
    <xf numFmtId="165" fontId="0" fillId="2" borderId="0" xfId="0" applyNumberFormat="1" applyFill="1"/>
    <xf numFmtId="168" fontId="0" fillId="0" borderId="0" xfId="0" applyNumberFormat="1" applyAlignment="1">
      <alignment horizontal="right"/>
    </xf>
    <xf numFmtId="171" fontId="0" fillId="0" borderId="0" xfId="0" applyNumberFormat="1" applyAlignment="1">
      <alignment horizontal="center"/>
    </xf>
    <xf numFmtId="0" fontId="17" fillId="0" borderId="0" xfId="0" applyFont="1"/>
    <xf numFmtId="173" fontId="0" fillId="0" borderId="0" xfId="0" applyNumberFormat="1"/>
    <xf numFmtId="174" fontId="0" fillId="0" borderId="0" xfId="0" applyNumberFormat="1"/>
    <xf numFmtId="0" fontId="0" fillId="0" borderId="1" xfId="0" applyBorder="1" applyAlignment="1">
      <alignment horizontal="right"/>
    </xf>
    <xf numFmtId="170" fontId="0" fillId="0" borderId="2" xfId="0" applyNumberFormat="1" applyBorder="1" applyAlignment="1">
      <alignment horizontal="center"/>
    </xf>
    <xf numFmtId="170" fontId="3" fillId="0" borderId="4" xfId="0" applyNumberFormat="1" applyFont="1" applyBorder="1" applyAlignment="1" applyProtection="1">
      <alignment horizontal="right"/>
      <protection locked="0"/>
    </xf>
    <xf numFmtId="0" fontId="5" fillId="0" borderId="0" xfId="0" applyFont="1" applyAlignment="1">
      <alignment horizontal="left"/>
    </xf>
    <xf numFmtId="170" fontId="3" fillId="0" borderId="8" xfId="0" applyNumberFormat="1" applyFont="1" applyBorder="1" applyAlignment="1" applyProtection="1">
      <alignment horizontal="left"/>
      <protection locked="0"/>
    </xf>
    <xf numFmtId="170" fontId="0" fillId="0" borderId="0" xfId="0" applyNumberFormat="1" applyAlignment="1">
      <alignment horizontal="right"/>
    </xf>
    <xf numFmtId="170" fontId="0" fillId="0" borderId="0" xfId="0" applyNumberFormat="1" applyAlignment="1">
      <alignment horizontal="center"/>
    </xf>
    <xf numFmtId="170" fontId="0" fillId="0" borderId="0" xfId="0" applyNumberFormat="1" applyAlignment="1">
      <alignment horizontal="left"/>
    </xf>
    <xf numFmtId="165" fontId="5" fillId="0" borderId="0" xfId="0" applyNumberFormat="1" applyFont="1"/>
    <xf numFmtId="0" fontId="5" fillId="0" borderId="4" xfId="0" applyFont="1" applyBorder="1" applyAlignment="1">
      <alignment horizontal="right"/>
    </xf>
    <xf numFmtId="0" fontId="5" fillId="0" borderId="8" xfId="0" applyFont="1" applyBorder="1"/>
    <xf numFmtId="171" fontId="0" fillId="0" borderId="0" xfId="0" applyNumberFormat="1" applyAlignment="1">
      <alignment horizontal="right"/>
    </xf>
    <xf numFmtId="168" fontId="5" fillId="0" borderId="0" xfId="0" applyNumberFormat="1" applyFont="1"/>
    <xf numFmtId="0" fontId="0" fillId="0" borderId="5" xfId="0" applyBorder="1" applyAlignment="1">
      <alignment horizontal="right"/>
    </xf>
    <xf numFmtId="0" fontId="0" fillId="0" borderId="6" xfId="0" applyBorder="1" applyAlignment="1">
      <alignment horizontal="center"/>
    </xf>
    <xf numFmtId="0" fontId="0" fillId="0" borderId="10" xfId="0" applyBorder="1"/>
    <xf numFmtId="0" fontId="0" fillId="0" borderId="11" xfId="0" applyBorder="1"/>
    <xf numFmtId="0" fontId="0" fillId="0" borderId="12" xfId="0" applyBorder="1"/>
    <xf numFmtId="49" fontId="5" fillId="0" borderId="0" xfId="0" applyNumberFormat="1" applyFont="1"/>
    <xf numFmtId="0" fontId="5" fillId="0" borderId="0" xfId="0" applyFont="1" applyAlignment="1">
      <alignment horizontal="center"/>
    </xf>
    <xf numFmtId="0" fontId="0" fillId="0" borderId="13" xfId="0" applyBorder="1"/>
    <xf numFmtId="171" fontId="0" fillId="0" borderId="14" xfId="0" applyNumberFormat="1" applyBorder="1" applyAlignment="1">
      <alignment horizontal="left"/>
    </xf>
    <xf numFmtId="175" fontId="0" fillId="0" borderId="0" xfId="0" applyNumberFormat="1" applyAlignment="1">
      <alignment horizontal="center"/>
    </xf>
    <xf numFmtId="170" fontId="3" fillId="0" borderId="0" xfId="0" applyNumberFormat="1" applyFont="1" applyAlignment="1" applyProtection="1">
      <alignment horizontal="right"/>
      <protection locked="0"/>
    </xf>
    <xf numFmtId="0" fontId="3" fillId="0" borderId="0" xfId="0" applyFont="1" applyProtection="1">
      <protection locked="0"/>
    </xf>
    <xf numFmtId="0" fontId="0" fillId="0" borderId="14" xfId="0" applyBorder="1"/>
    <xf numFmtId="170" fontId="0" fillId="0" borderId="13" xfId="0" applyNumberFormat="1" applyBorder="1"/>
    <xf numFmtId="172" fontId="0" fillId="0" borderId="0" xfId="0" applyNumberFormat="1"/>
    <xf numFmtId="1" fontId="0" fillId="0" borderId="0" xfId="0" applyNumberFormat="1"/>
    <xf numFmtId="1" fontId="0" fillId="0" borderId="14" xfId="0" applyNumberFormat="1" applyBorder="1"/>
    <xf numFmtId="168" fontId="3" fillId="0" borderId="0" xfId="0" applyNumberFormat="1" applyFont="1" applyProtection="1">
      <protection locked="0"/>
    </xf>
    <xf numFmtId="0" fontId="18" fillId="0" borderId="0" xfId="0" applyFont="1"/>
    <xf numFmtId="170" fontId="0" fillId="0" borderId="14" xfId="0" applyNumberFormat="1" applyBorder="1"/>
    <xf numFmtId="2" fontId="0" fillId="0" borderId="0" xfId="0" applyNumberFormat="1"/>
    <xf numFmtId="2" fontId="0" fillId="0" borderId="14" xfId="0" applyNumberFormat="1" applyBorder="1"/>
    <xf numFmtId="0" fontId="19" fillId="0" borderId="0" xfId="0" applyFont="1"/>
    <xf numFmtId="0" fontId="18" fillId="0" borderId="0" xfId="0" applyFont="1" applyAlignment="1">
      <alignment horizontal="right"/>
    </xf>
    <xf numFmtId="0" fontId="0" fillId="0" borderId="0" xfId="0" applyAlignment="1">
      <alignment horizontal="right" indent="1"/>
    </xf>
    <xf numFmtId="171" fontId="0" fillId="0" borderId="14" xfId="0" applyNumberFormat="1" applyBorder="1"/>
    <xf numFmtId="173" fontId="3" fillId="0" borderId="0" xfId="0" applyNumberFormat="1" applyFont="1" applyAlignment="1" applyProtection="1">
      <alignment horizontal="center"/>
      <protection locked="0"/>
    </xf>
    <xf numFmtId="0" fontId="0" fillId="0" borderId="15" xfId="0" applyBorder="1"/>
    <xf numFmtId="165" fontId="0" fillId="0" borderId="16" xfId="0" applyNumberFormat="1" applyBorder="1"/>
    <xf numFmtId="0" fontId="0" fillId="0" borderId="17" xfId="0" applyBorder="1"/>
    <xf numFmtId="2" fontId="0" fillId="0" borderId="17" xfId="0" applyNumberFormat="1" applyBorder="1"/>
    <xf numFmtId="0" fontId="0" fillId="0" borderId="18" xfId="0" applyBorder="1"/>
    <xf numFmtId="171" fontId="16" fillId="0" borderId="0" xfId="0" applyNumberFormat="1" applyFont="1"/>
    <xf numFmtId="0" fontId="21" fillId="0" borderId="0" xfId="0" applyFont="1" applyAlignment="1">
      <alignment horizontal="right" vertical="top"/>
    </xf>
    <xf numFmtId="0" fontId="21" fillId="0" borderId="0" xfId="0" applyFont="1" applyAlignment="1">
      <alignment vertical="top"/>
    </xf>
    <xf numFmtId="170" fontId="5" fillId="0" borderId="0" xfId="0" applyNumberFormat="1" applyFont="1" applyAlignment="1">
      <alignment horizontal="center"/>
    </xf>
    <xf numFmtId="170" fontId="3" fillId="0" borderId="0" xfId="0" applyNumberFormat="1" applyFont="1" applyAlignment="1" applyProtection="1">
      <alignment horizontal="center"/>
      <protection locked="0"/>
    </xf>
    <xf numFmtId="0" fontId="0" fillId="0" borderId="19" xfId="0" applyBorder="1"/>
    <xf numFmtId="0" fontId="0" fillId="0" borderId="20" xfId="0" applyBorder="1"/>
    <xf numFmtId="0" fontId="0" fillId="0" borderId="21" xfId="0" applyBorder="1"/>
    <xf numFmtId="0" fontId="0" fillId="4" borderId="0" xfId="0" applyFill="1"/>
    <xf numFmtId="0" fontId="0" fillId="0" borderId="22" xfId="0" quotePrefix="1" applyBorder="1"/>
    <xf numFmtId="0" fontId="0" fillId="0" borderId="23" xfId="0" applyBorder="1"/>
    <xf numFmtId="0" fontId="0" fillId="0" borderId="22" xfId="0" applyBorder="1" applyAlignment="1">
      <alignment horizontal="center"/>
    </xf>
    <xf numFmtId="0" fontId="0" fillId="0" borderId="23" xfId="0" applyBorder="1" applyAlignment="1">
      <alignment horizontal="center"/>
    </xf>
    <xf numFmtId="168" fontId="0" fillId="0" borderId="0" xfId="0" applyNumberFormat="1" applyAlignment="1">
      <alignment horizontal="fill"/>
    </xf>
    <xf numFmtId="0" fontId="20" fillId="0" borderId="22" xfId="0" applyFont="1" applyBorder="1" applyAlignment="1">
      <alignment horizontal="right" indent="2"/>
    </xf>
    <xf numFmtId="0" fontId="20" fillId="0" borderId="0" xfId="0" applyFont="1" applyAlignment="1">
      <alignment horizontal="center"/>
    </xf>
    <xf numFmtId="170" fontId="20" fillId="0" borderId="0" xfId="0" applyNumberFormat="1" applyFont="1" applyAlignment="1">
      <alignment horizontal="right"/>
    </xf>
    <xf numFmtId="0" fontId="20" fillId="0" borderId="0" xfId="0" applyFont="1" applyAlignment="1">
      <alignment horizontal="right"/>
    </xf>
    <xf numFmtId="171" fontId="0" fillId="0" borderId="22" xfId="0" applyNumberFormat="1" applyBorder="1"/>
    <xf numFmtId="171" fontId="0" fillId="0" borderId="23" xfId="0" applyNumberFormat="1" applyBorder="1"/>
    <xf numFmtId="168" fontId="4" fillId="0" borderId="0" xfId="0" applyNumberFormat="1" applyFont="1"/>
    <xf numFmtId="168" fontId="22" fillId="0" borderId="0" xfId="0" applyNumberFormat="1" applyFont="1" applyProtection="1">
      <protection locked="0"/>
    </xf>
    <xf numFmtId="0" fontId="0" fillId="0" borderId="22" xfId="0" applyBorder="1"/>
    <xf numFmtId="49" fontId="7" fillId="0" borderId="0" xfId="0" quotePrefix="1" applyNumberFormat="1" applyFont="1" applyAlignment="1">
      <alignment horizontal="right"/>
    </xf>
    <xf numFmtId="168" fontId="7" fillId="0" borderId="0" xfId="0" applyNumberFormat="1" applyFont="1"/>
    <xf numFmtId="168" fontId="0" fillId="0" borderId="22" xfId="0" applyNumberFormat="1" applyBorder="1"/>
    <xf numFmtId="0" fontId="23" fillId="0" borderId="0" xfId="0" applyFont="1" applyProtection="1">
      <protection locked="0"/>
    </xf>
    <xf numFmtId="168" fontId="0" fillId="0" borderId="23" xfId="0" applyNumberFormat="1" applyBorder="1"/>
    <xf numFmtId="0" fontId="5" fillId="0" borderId="6" xfId="0" applyFont="1" applyBorder="1" applyAlignment="1">
      <alignment horizontal="right"/>
    </xf>
    <xf numFmtId="0" fontId="0" fillId="0" borderId="6" xfId="0" applyBorder="1" applyAlignment="1">
      <alignment horizontal="right"/>
    </xf>
    <xf numFmtId="170" fontId="0" fillId="0" borderId="6" xfId="0" applyNumberFormat="1" applyBorder="1"/>
    <xf numFmtId="0" fontId="20" fillId="0" borderId="0" xfId="0" applyFont="1"/>
    <xf numFmtId="168" fontId="0" fillId="0" borderId="24" xfId="0" applyNumberFormat="1" applyBorder="1"/>
    <xf numFmtId="2" fontId="0" fillId="0" borderId="25" xfId="0" applyNumberFormat="1" applyBorder="1"/>
    <xf numFmtId="168" fontId="0" fillId="0" borderId="26" xfId="0" applyNumberFormat="1" applyBorder="1"/>
    <xf numFmtId="165" fontId="0" fillId="0" borderId="0" xfId="0" applyNumberFormat="1" applyAlignment="1">
      <alignment horizontal="right"/>
    </xf>
    <xf numFmtId="49" fontId="7" fillId="0" borderId="0" xfId="0" applyNumberFormat="1" applyFont="1"/>
    <xf numFmtId="173" fontId="16" fillId="0" borderId="0" xfId="0" applyNumberFormat="1" applyFont="1"/>
    <xf numFmtId="0" fontId="0" fillId="0" borderId="0" xfId="0" quotePrefix="1" applyAlignment="1">
      <alignment horizontal="center"/>
    </xf>
    <xf numFmtId="49" fontId="7" fillId="0" borderId="0" xfId="0" applyNumberFormat="1" applyFont="1" applyAlignment="1">
      <alignment horizontal="right" indent="1"/>
    </xf>
    <xf numFmtId="0" fontId="0" fillId="0" borderId="0" xfId="0" applyAlignment="1">
      <alignment horizontal="left" indent="2"/>
    </xf>
    <xf numFmtId="175" fontId="0" fillId="0" borderId="0" xfId="0" applyNumberFormat="1" applyAlignment="1">
      <alignment horizontal="right"/>
    </xf>
    <xf numFmtId="49" fontId="7" fillId="0" borderId="0" xfId="0" applyNumberFormat="1" applyFont="1" applyAlignment="1">
      <alignment horizontal="right"/>
    </xf>
    <xf numFmtId="165" fontId="0" fillId="4" borderId="0" xfId="0" applyNumberFormat="1" applyFill="1"/>
    <xf numFmtId="168" fontId="0" fillId="4" borderId="0" xfId="0" applyNumberFormat="1" applyFill="1"/>
    <xf numFmtId="172" fontId="0" fillId="0" borderId="0" xfId="0" applyNumberFormat="1" applyAlignment="1">
      <alignment horizontal="left"/>
    </xf>
    <xf numFmtId="0" fontId="3" fillId="0" borderId="0" xfId="0" applyFont="1" applyAlignment="1" applyProtection="1">
      <alignment horizontal="right"/>
      <protection locked="0"/>
    </xf>
    <xf numFmtId="173" fontId="5" fillId="0" borderId="0" xfId="0" applyNumberFormat="1" applyFont="1"/>
    <xf numFmtId="0" fontId="22" fillId="0" borderId="0" xfId="0" applyFont="1" applyProtection="1">
      <protection locked="0"/>
    </xf>
    <xf numFmtId="0" fontId="24" fillId="0" borderId="0" xfId="0" applyFont="1"/>
    <xf numFmtId="0" fontId="0" fillId="0" borderId="27" xfId="0" applyBorder="1"/>
    <xf numFmtId="0" fontId="0" fillId="0" borderId="28" xfId="0" applyBorder="1"/>
    <xf numFmtId="0" fontId="0" fillId="0" borderId="29" xfId="0" applyBorder="1"/>
    <xf numFmtId="173" fontId="0" fillId="0" borderId="30" xfId="0" applyNumberFormat="1" applyBorder="1" applyAlignment="1">
      <alignment horizontal="right"/>
    </xf>
    <xf numFmtId="173" fontId="0" fillId="0" borderId="0" xfId="0" applyNumberFormat="1" applyAlignment="1">
      <alignment horizontal="center"/>
    </xf>
    <xf numFmtId="0" fontId="0" fillId="0" borderId="31" xfId="0" applyBorder="1"/>
    <xf numFmtId="173" fontId="16" fillId="0" borderId="31" xfId="0" applyNumberFormat="1" applyFont="1" applyBorder="1"/>
    <xf numFmtId="168" fontId="0" fillId="0" borderId="32" xfId="0" applyNumberFormat="1" applyBorder="1"/>
    <xf numFmtId="168" fontId="0" fillId="0" borderId="33" xfId="0" applyNumberFormat="1" applyBorder="1"/>
    <xf numFmtId="0" fontId="0" fillId="0" borderId="33" xfId="0" applyBorder="1"/>
    <xf numFmtId="0" fontId="0" fillId="0" borderId="34" xfId="0" applyBorder="1"/>
    <xf numFmtId="0" fontId="25" fillId="0" borderId="0" xfId="0" applyFont="1"/>
    <xf numFmtId="0" fontId="26" fillId="0" borderId="0" xfId="0" applyFont="1"/>
    <xf numFmtId="165" fontId="16" fillId="0" borderId="0" xfId="0" applyNumberFormat="1" applyFont="1" applyAlignment="1">
      <alignment horizontal="center"/>
    </xf>
    <xf numFmtId="0" fontId="14" fillId="0" borderId="0" xfId="0" applyFont="1" applyAlignment="1">
      <alignment horizontal="right"/>
    </xf>
    <xf numFmtId="170" fontId="3" fillId="0" borderId="0" xfId="0" applyNumberFormat="1" applyFont="1" applyAlignment="1" applyProtection="1">
      <alignment horizontal="left"/>
      <protection locked="0"/>
    </xf>
    <xf numFmtId="170" fontId="5" fillId="0" borderId="0" xfId="0" applyNumberFormat="1" applyFont="1" applyAlignment="1">
      <alignment horizontal="right"/>
    </xf>
    <xf numFmtId="170" fontId="5" fillId="0" borderId="0" xfId="0" applyNumberFormat="1" applyFont="1" applyAlignment="1">
      <alignment horizontal="left"/>
    </xf>
    <xf numFmtId="0" fontId="0" fillId="0" borderId="0" xfId="0" quotePrefix="1" applyAlignment="1">
      <alignment horizontal="left" indent="1"/>
    </xf>
    <xf numFmtId="9" fontId="0" fillId="0" borderId="0" xfId="0" applyNumberFormat="1"/>
    <xf numFmtId="0" fontId="27" fillId="0" borderId="0" xfId="0" applyFont="1"/>
    <xf numFmtId="49" fontId="3" fillId="0" borderId="0" xfId="0" applyNumberFormat="1" applyFont="1" applyAlignment="1" applyProtection="1">
      <alignment horizontal="center"/>
      <protection locked="0"/>
    </xf>
    <xf numFmtId="173" fontId="22" fillId="0" borderId="0" xfId="0" applyNumberFormat="1" applyFont="1" applyAlignment="1" applyProtection="1">
      <alignment horizontal="right"/>
      <protection locked="0"/>
    </xf>
    <xf numFmtId="0" fontId="0" fillId="0" borderId="0" xfId="0" quotePrefix="1" applyAlignment="1">
      <alignment horizontal="left"/>
    </xf>
    <xf numFmtId="0" fontId="0" fillId="0" borderId="0" xfId="0" quotePrefix="1" applyAlignment="1">
      <alignment horizontal="right"/>
    </xf>
    <xf numFmtId="0" fontId="5" fillId="0" borderId="0" xfId="0" applyFont="1" applyAlignment="1">
      <alignment horizontal="right"/>
    </xf>
    <xf numFmtId="0" fontId="5" fillId="0" borderId="0" xfId="0" quotePrefix="1" applyFont="1" applyAlignment="1">
      <alignment horizontal="right"/>
    </xf>
    <xf numFmtId="0" fontId="28" fillId="0" borderId="0" xfId="0" applyFont="1"/>
    <xf numFmtId="0" fontId="29" fillId="0" borderId="0" xfId="0" applyFont="1" applyAlignment="1" applyProtection="1">
      <alignment horizontal="right"/>
      <protection locked="0"/>
    </xf>
    <xf numFmtId="0" fontId="15" fillId="0" borderId="0" xfId="0" applyFont="1" applyAlignment="1" applyProtection="1">
      <alignment horizontal="center"/>
      <protection locked="0"/>
    </xf>
    <xf numFmtId="170" fontId="15" fillId="0" borderId="0" xfId="0" applyNumberFormat="1" applyFont="1" applyAlignment="1" applyProtection="1">
      <alignment horizontal="center"/>
      <protection locked="0"/>
    </xf>
    <xf numFmtId="0" fontId="0" fillId="0" borderId="0" xfId="0" applyAlignment="1">
      <alignment vertical="center"/>
    </xf>
    <xf numFmtId="49" fontId="0" fillId="0" borderId="0" xfId="0" applyNumberFormat="1" applyAlignment="1">
      <alignment horizontal="center"/>
    </xf>
    <xf numFmtId="165" fontId="15" fillId="0" borderId="0" xfId="0" applyNumberFormat="1" applyFont="1" applyProtection="1">
      <protection locked="0"/>
    </xf>
    <xf numFmtId="0" fontId="4" fillId="0" borderId="0" xfId="0" applyFont="1" applyAlignment="1">
      <alignment horizontal="left" indent="1"/>
    </xf>
    <xf numFmtId="170" fontId="0" fillId="0" borderId="0" xfId="0" applyNumberFormat="1" applyAlignment="1">
      <alignment horizontal="right" indent="1"/>
    </xf>
    <xf numFmtId="49" fontId="0" fillId="0" borderId="0" xfId="0" applyNumberFormat="1" applyAlignment="1">
      <alignment horizontal="right"/>
    </xf>
    <xf numFmtId="175" fontId="0" fillId="0" borderId="0" xfId="0" applyNumberFormat="1"/>
    <xf numFmtId="0" fontId="30" fillId="0" borderId="0" xfId="0" quotePrefix="1" applyFont="1"/>
    <xf numFmtId="0" fontId="0" fillId="0" borderId="0" xfId="0" applyAlignment="1">
      <alignment horizontal="right" vertical="center"/>
    </xf>
    <xf numFmtId="165" fontId="0" fillId="0" borderId="0" xfId="0" applyNumberFormat="1" applyAlignment="1">
      <alignment vertical="center"/>
    </xf>
    <xf numFmtId="173" fontId="16" fillId="0" borderId="0" xfId="0" applyNumberFormat="1" applyFont="1" applyAlignment="1">
      <alignment vertical="center"/>
    </xf>
    <xf numFmtId="0" fontId="32" fillId="0" borderId="0" xfId="0" applyFont="1" applyProtection="1">
      <protection locked="0"/>
    </xf>
    <xf numFmtId="0" fontId="23" fillId="0" borderId="0" xfId="0" applyFont="1" applyAlignment="1" applyProtection="1">
      <alignment horizontal="right"/>
      <protection locked="0"/>
    </xf>
    <xf numFmtId="168" fontId="4" fillId="0" borderId="0" xfId="0" applyNumberFormat="1" applyFont="1" applyAlignment="1">
      <alignment horizontal="right"/>
    </xf>
    <xf numFmtId="171" fontId="5" fillId="0" borderId="0" xfId="0" applyNumberFormat="1" applyFont="1" applyAlignment="1">
      <alignment horizontal="right"/>
    </xf>
    <xf numFmtId="1" fontId="3" fillId="0" borderId="0" xfId="0" applyNumberFormat="1" applyFont="1" applyAlignment="1" applyProtection="1">
      <alignment horizontal="right"/>
      <protection locked="0"/>
    </xf>
    <xf numFmtId="1" fontId="0" fillId="0" borderId="0" xfId="0" applyNumberFormat="1" applyAlignment="1">
      <alignment horizontal="center"/>
    </xf>
    <xf numFmtId="1" fontId="0" fillId="0" borderId="0" xfId="0" applyNumberFormat="1" applyAlignment="1">
      <alignment horizontal="right"/>
    </xf>
    <xf numFmtId="49" fontId="0" fillId="0" borderId="0" xfId="0" applyNumberFormat="1" applyAlignment="1">
      <alignment horizontal="left"/>
    </xf>
    <xf numFmtId="173" fontId="16" fillId="0" borderId="0" xfId="0" applyNumberFormat="1" applyFont="1" applyAlignment="1">
      <alignment horizontal="center"/>
    </xf>
    <xf numFmtId="165" fontId="5" fillId="0" borderId="0" xfId="0" applyNumberFormat="1" applyFont="1" applyAlignment="1">
      <alignment horizontal="right"/>
    </xf>
    <xf numFmtId="0" fontId="16" fillId="0" borderId="0" xfId="0" applyFont="1" applyAlignment="1">
      <alignment horizontal="center"/>
    </xf>
    <xf numFmtId="170" fontId="5" fillId="0" borderId="4" xfId="0" applyNumberFormat="1" applyFont="1" applyBorder="1" applyAlignment="1">
      <alignment horizontal="right"/>
    </xf>
    <xf numFmtId="170" fontId="5" fillId="0" borderId="8" xfId="0" applyNumberFormat="1" applyFont="1" applyBorder="1" applyAlignment="1">
      <alignment horizontal="left"/>
    </xf>
    <xf numFmtId="172" fontId="0" fillId="0" borderId="6" xfId="0" applyNumberFormat="1" applyBorder="1" applyAlignment="1">
      <alignment horizontal="center"/>
    </xf>
    <xf numFmtId="0" fontId="17" fillId="0" borderId="0" xfId="0" applyFont="1" applyAlignment="1">
      <alignment horizontal="left" indent="2"/>
    </xf>
    <xf numFmtId="170" fontId="4" fillId="0" borderId="0" xfId="0" applyNumberFormat="1" applyFont="1" applyAlignment="1">
      <alignment horizontal="right"/>
    </xf>
    <xf numFmtId="170" fontId="15" fillId="0" borderId="0" xfId="0" applyNumberFormat="1" applyFont="1" applyAlignment="1" applyProtection="1">
      <alignment horizontal="right"/>
      <protection locked="0"/>
    </xf>
    <xf numFmtId="170" fontId="15" fillId="0" borderId="0" xfId="0" applyNumberFormat="1" applyFont="1" applyProtection="1">
      <protection locked="0"/>
    </xf>
    <xf numFmtId="170" fontId="15" fillId="0" borderId="0" xfId="0" quotePrefix="1" applyNumberFormat="1" applyFont="1" applyProtection="1">
      <protection locked="0"/>
    </xf>
    <xf numFmtId="176" fontId="0" fillId="0" borderId="0" xfId="0" applyNumberFormat="1"/>
    <xf numFmtId="1" fontId="0" fillId="0" borderId="0" xfId="0" applyNumberFormat="1" applyAlignment="1">
      <alignment horizontal="right" indent="2"/>
    </xf>
    <xf numFmtId="0" fontId="4" fillId="0" borderId="0" xfId="0" applyFont="1" applyAlignment="1">
      <alignment horizontal="right"/>
    </xf>
    <xf numFmtId="165" fontId="33" fillId="0" borderId="0" xfId="0" applyNumberFormat="1" applyFont="1"/>
    <xf numFmtId="170" fontId="33" fillId="0" borderId="0" xfId="0" applyNumberFormat="1" applyFont="1"/>
    <xf numFmtId="0" fontId="33" fillId="0" borderId="0" xfId="0" applyFont="1"/>
    <xf numFmtId="0" fontId="3" fillId="0" borderId="0" xfId="0" applyFont="1" applyAlignment="1" applyProtection="1">
      <alignment horizontal="left" indent="1"/>
      <protection locked="0"/>
    </xf>
    <xf numFmtId="0" fontId="34" fillId="0" borderId="0" xfId="0" applyFont="1"/>
    <xf numFmtId="0" fontId="35" fillId="0" borderId="0" xfId="0" applyFont="1"/>
    <xf numFmtId="0" fontId="20" fillId="0" borderId="0" xfId="0" quotePrefix="1" applyFont="1"/>
    <xf numFmtId="0" fontId="5" fillId="0" borderId="0" xfId="0" applyFont="1" applyAlignment="1">
      <alignment horizontal="left" indent="1"/>
    </xf>
    <xf numFmtId="170" fontId="4" fillId="0" borderId="0" xfId="0" applyNumberFormat="1" applyFont="1"/>
    <xf numFmtId="0" fontId="23" fillId="0" borderId="0" xfId="0" applyFont="1" applyAlignment="1" applyProtection="1">
      <alignment horizontal="center"/>
      <protection locked="0"/>
    </xf>
    <xf numFmtId="0" fontId="36" fillId="0" borderId="0" xfId="0" applyFont="1"/>
    <xf numFmtId="0" fontId="37" fillId="0" borderId="0" xfId="0" applyFont="1" applyAlignment="1" applyProtection="1">
      <alignment horizontal="center"/>
      <protection locked="0"/>
    </xf>
    <xf numFmtId="170" fontId="0" fillId="0" borderId="8" xfId="0" applyNumberFormat="1" applyBorder="1" applyAlignment="1">
      <alignment horizontal="left"/>
    </xf>
    <xf numFmtId="168" fontId="0" fillId="0" borderId="1" xfId="0" applyNumberFormat="1" applyBorder="1"/>
    <xf numFmtId="168" fontId="0" fillId="0" borderId="5" xfId="0" applyNumberFormat="1" applyBorder="1"/>
    <xf numFmtId="0" fontId="38" fillId="0" borderId="0" xfId="0" applyFont="1" applyProtection="1">
      <protection locked="0"/>
    </xf>
    <xf numFmtId="170" fontId="22" fillId="0" borderId="0" xfId="0" applyNumberFormat="1" applyFont="1" applyAlignment="1" applyProtection="1">
      <alignment horizontal="right"/>
      <protection locked="0"/>
    </xf>
    <xf numFmtId="165" fontId="3" fillId="0" borderId="0" xfId="0" applyNumberFormat="1" applyFont="1" applyProtection="1">
      <protection locked="0"/>
    </xf>
    <xf numFmtId="168" fontId="0" fillId="0" borderId="6" xfId="0" applyNumberFormat="1" applyBorder="1"/>
    <xf numFmtId="0" fontId="39" fillId="0" borderId="0" xfId="0" applyFont="1" applyAlignment="1">
      <alignment vertical="center"/>
    </xf>
    <xf numFmtId="0" fontId="5" fillId="4" borderId="0" xfId="0" applyFont="1" applyFill="1" applyAlignment="1">
      <alignment horizontal="left"/>
    </xf>
    <xf numFmtId="0" fontId="39" fillId="0" borderId="0" xfId="0" applyFont="1"/>
    <xf numFmtId="0" fontId="7" fillId="4" borderId="35" xfId="0" applyFont="1" applyFill="1" applyBorder="1"/>
    <xf numFmtId="0" fontId="0" fillId="4" borderId="36" xfId="0" applyFill="1" applyBorder="1"/>
    <xf numFmtId="0" fontId="0" fillId="4" borderId="37" xfId="0" applyFill="1" applyBorder="1"/>
    <xf numFmtId="0" fontId="0" fillId="4" borderId="38" xfId="0" applyFill="1" applyBorder="1" applyAlignment="1">
      <alignment horizontal="center"/>
    </xf>
    <xf numFmtId="0" fontId="0" fillId="4" borderId="39" xfId="0" applyFill="1" applyBorder="1" applyAlignment="1">
      <alignment horizontal="center"/>
    </xf>
    <xf numFmtId="0" fontId="0" fillId="4" borderId="40" xfId="0" applyFill="1" applyBorder="1" applyAlignment="1">
      <alignment horizontal="center"/>
    </xf>
    <xf numFmtId="167" fontId="43" fillId="0" borderId="6" xfId="0" applyNumberFormat="1" applyFont="1" applyBorder="1" applyAlignment="1">
      <alignment horizontal="left"/>
    </xf>
    <xf numFmtId="0" fontId="0" fillId="0" borderId="5" xfId="0" applyBorder="1" applyAlignment="1">
      <alignment horizontal="left" indent="1"/>
    </xf>
    <xf numFmtId="177" fontId="10" fillId="0" borderId="6" xfId="0" applyNumberFormat="1" applyFont="1" applyBorder="1" applyAlignment="1">
      <alignment horizontal="left"/>
    </xf>
    <xf numFmtId="0" fontId="5" fillId="0" borderId="5" xfId="0" applyFont="1" applyBorder="1" applyAlignment="1">
      <alignment horizontal="right"/>
    </xf>
    <xf numFmtId="0" fontId="5" fillId="0" borderId="6" xfId="0" applyFont="1" applyBorder="1" applyAlignment="1">
      <alignment horizontal="center"/>
    </xf>
    <xf numFmtId="0" fontId="5" fillId="0" borderId="7" xfId="0" applyFont="1" applyBorder="1"/>
    <xf numFmtId="168" fontId="0" fillId="2" borderId="0" xfId="0" applyNumberFormat="1" applyFill="1"/>
    <xf numFmtId="168" fontId="3" fillId="0" borderId="6" xfId="0" applyNumberFormat="1" applyFont="1" applyBorder="1" applyProtection="1">
      <protection locked="0"/>
    </xf>
    <xf numFmtId="165" fontId="22" fillId="0" borderId="0" xfId="0" applyNumberFormat="1" applyFont="1" applyProtection="1">
      <protection locked="0"/>
    </xf>
    <xf numFmtId="170" fontId="22" fillId="0" borderId="0" xfId="0" applyNumberFormat="1" applyFont="1" applyProtection="1">
      <protection locked="0"/>
    </xf>
    <xf numFmtId="0" fontId="7" fillId="0" borderId="0" xfId="0" quotePrefix="1" applyFont="1"/>
    <xf numFmtId="173" fontId="0" fillId="2" borderId="0" xfId="0" applyNumberFormat="1" applyFill="1"/>
    <xf numFmtId="171" fontId="0" fillId="0" borderId="0" xfId="0" applyNumberFormat="1" applyAlignment="1">
      <alignment horizontal="left"/>
    </xf>
    <xf numFmtId="164" fontId="0" fillId="0" borderId="0" xfId="0" applyNumberFormat="1" applyAlignment="1">
      <alignment horizontal="center"/>
    </xf>
    <xf numFmtId="164" fontId="0" fillId="0" borderId="0" xfId="0" applyNumberFormat="1" applyAlignment="1">
      <alignment horizontal="right"/>
    </xf>
    <xf numFmtId="0" fontId="7" fillId="0" borderId="1" xfId="0" applyFont="1" applyBorder="1"/>
    <xf numFmtId="170" fontId="0" fillId="0" borderId="8" xfId="0" applyNumberFormat="1" applyBorder="1"/>
    <xf numFmtId="168" fontId="0" fillId="0" borderId="8" xfId="0" applyNumberFormat="1" applyBorder="1"/>
    <xf numFmtId="165" fontId="0" fillId="0" borderId="8" xfId="0" applyNumberFormat="1" applyBorder="1"/>
    <xf numFmtId="168" fontId="0" fillId="0" borderId="7" xfId="0" applyNumberFormat="1" applyBorder="1"/>
    <xf numFmtId="0" fontId="20" fillId="0" borderId="0" xfId="0" applyFont="1" applyAlignment="1">
      <alignment horizontal="left"/>
    </xf>
    <xf numFmtId="0" fontId="7" fillId="0" borderId="0" xfId="0" applyFont="1" applyAlignment="1">
      <alignment horizontal="left"/>
    </xf>
    <xf numFmtId="165" fontId="0" fillId="0" borderId="0" xfId="0" applyNumberFormat="1" applyAlignment="1">
      <alignment horizontal="center"/>
    </xf>
    <xf numFmtId="168" fontId="0" fillId="0" borderId="0" xfId="0" applyNumberFormat="1" applyAlignment="1">
      <alignment horizontal="left"/>
    </xf>
    <xf numFmtId="170" fontId="15" fillId="0" borderId="0" xfId="0" applyNumberFormat="1" applyFont="1" applyAlignment="1" applyProtection="1">
      <alignment vertical="center"/>
      <protection locked="0"/>
    </xf>
    <xf numFmtId="0" fontId="0" fillId="0" borderId="0" xfId="0" applyAlignment="1">
      <alignment horizontal="center" vertical="center"/>
    </xf>
    <xf numFmtId="164" fontId="5" fillId="0" borderId="0" xfId="0" applyNumberFormat="1" applyFont="1" applyProtection="1">
      <protection hidden="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vertical="top"/>
    </xf>
    <xf numFmtId="0" fontId="0" fillId="0" borderId="0" xfId="0" applyAlignment="1">
      <alignment vertical="top" wrapText="1"/>
    </xf>
    <xf numFmtId="0" fontId="0" fillId="0" borderId="0" xfId="0" applyAlignment="1">
      <alignment vertical="top"/>
    </xf>
    <xf numFmtId="0" fontId="7" fillId="0" borderId="0" xfId="0" applyFont="1" applyAlignment="1">
      <alignment vertical="top"/>
    </xf>
    <xf numFmtId="0" fontId="7" fillId="0" borderId="0" xfId="0" applyFont="1" applyAlignment="1">
      <alignment wrapText="1"/>
    </xf>
    <xf numFmtId="0" fontId="45" fillId="0" borderId="0" xfId="0" applyFont="1"/>
    <xf numFmtId="0" fontId="16" fillId="0" borderId="0" xfId="0" applyFont="1" applyAlignment="1">
      <alignment horizontal="right"/>
    </xf>
    <xf numFmtId="0" fontId="6" fillId="0" borderId="0" xfId="0" applyFont="1"/>
    <xf numFmtId="164" fontId="16" fillId="0" borderId="0" xfId="0" applyNumberFormat="1" applyFont="1"/>
    <xf numFmtId="178" fontId="0" fillId="0" borderId="0" xfId="0" applyNumberFormat="1"/>
    <xf numFmtId="178" fontId="0" fillId="0" borderId="0" xfId="0" applyNumberFormat="1" applyAlignment="1">
      <alignment horizontal="center"/>
    </xf>
    <xf numFmtId="0" fontId="44" fillId="3" borderId="0" xfId="0" applyFont="1" applyFill="1" applyAlignment="1">
      <alignment horizontal="center"/>
    </xf>
    <xf numFmtId="0" fontId="4" fillId="0" borderId="6" xfId="0" applyFont="1" applyBorder="1" applyProtection="1">
      <protection locked="0"/>
    </xf>
    <xf numFmtId="0" fontId="4" fillId="0" borderId="5" xfId="0" applyFont="1" applyBorder="1"/>
    <xf numFmtId="0" fontId="46" fillId="0" borderId="6" xfId="0" applyFont="1" applyBorder="1" applyAlignment="1" applyProtection="1">
      <alignment horizontal="left"/>
      <protection locked="0"/>
    </xf>
    <xf numFmtId="0" fontId="4" fillId="0" borderId="7" xfId="0" applyFont="1" applyBorder="1" applyAlignment="1">
      <alignment horizontal="center"/>
    </xf>
    <xf numFmtId="0" fontId="4" fillId="0" borderId="0" xfId="0" applyFont="1"/>
    <xf numFmtId="0" fontId="4" fillId="0" borderId="2" xfId="0" applyFont="1" applyBorder="1"/>
    <xf numFmtId="0" fontId="4" fillId="0" borderId="8" xfId="0" applyFont="1" applyBorder="1"/>
    <xf numFmtId="0" fontId="4" fillId="0" borderId="7" xfId="0" applyFont="1" applyBorder="1"/>
    <xf numFmtId="0" fontId="47" fillId="0" borderId="0" xfId="0" applyFont="1"/>
    <xf numFmtId="165" fontId="4" fillId="0" borderId="0" xfId="0" applyNumberFormat="1" applyFont="1"/>
    <xf numFmtId="0" fontId="4" fillId="0" borderId="0" xfId="0" applyFont="1" applyAlignment="1">
      <alignment horizontal="center"/>
    </xf>
    <xf numFmtId="170" fontId="4" fillId="0" borderId="0" xfId="0" applyNumberFormat="1" applyFont="1" applyAlignment="1">
      <alignment horizontal="left"/>
    </xf>
    <xf numFmtId="0" fontId="48" fillId="0" borderId="0" xfId="0" applyFont="1"/>
    <xf numFmtId="170" fontId="4" fillId="0" borderId="0" xfId="0" applyNumberFormat="1" applyFont="1" applyAlignment="1">
      <alignment horizontal="center"/>
    </xf>
    <xf numFmtId="0" fontId="4" fillId="0" borderId="0" xfId="0" applyFont="1" applyAlignment="1">
      <alignment horizontal="left"/>
    </xf>
    <xf numFmtId="49" fontId="4" fillId="0" borderId="0" xfId="0" applyNumberFormat="1" applyFont="1"/>
    <xf numFmtId="170" fontId="3" fillId="0" borderId="0" xfId="0" quotePrefix="1" applyNumberFormat="1" applyFont="1" applyProtection="1">
      <protection locked="0"/>
    </xf>
    <xf numFmtId="0" fontId="4" fillId="0" borderId="0" xfId="0" quotePrefix="1" applyFont="1"/>
    <xf numFmtId="0" fontId="46" fillId="0" borderId="6" xfId="0" applyFont="1" applyBorder="1" applyAlignment="1">
      <alignment horizontal="left"/>
    </xf>
    <xf numFmtId="0" fontId="4" fillId="4" borderId="0" xfId="0" applyFont="1" applyFill="1" applyAlignment="1">
      <alignment horizontal="center"/>
    </xf>
    <xf numFmtId="20" fontId="10" fillId="0" borderId="6" xfId="0" applyNumberFormat="1" applyFont="1" applyBorder="1" applyAlignment="1">
      <alignment horizontal="left"/>
    </xf>
    <xf numFmtId="0" fontId="0" fillId="5" borderId="0" xfId="0" applyFill="1"/>
    <xf numFmtId="0" fontId="0" fillId="5" borderId="0" xfId="0" applyFill="1" applyAlignment="1">
      <alignment horizontal="right"/>
    </xf>
    <xf numFmtId="0" fontId="0" fillId="6" borderId="0" xfId="0" applyFill="1"/>
    <xf numFmtId="168" fontId="0" fillId="7" borderId="0" xfId="0" applyNumberFormat="1" applyFill="1"/>
    <xf numFmtId="0" fontId="14" fillId="5" borderId="0" xfId="0" applyFont="1" applyFill="1" applyAlignment="1">
      <alignment horizontal="center"/>
    </xf>
    <xf numFmtId="0" fontId="14" fillId="4" borderId="0" xfId="0" applyFont="1" applyFill="1" applyAlignment="1">
      <alignment horizontal="center"/>
    </xf>
    <xf numFmtId="0" fontId="13" fillId="0" borderId="0" xfId="0" applyFont="1"/>
    <xf numFmtId="170" fontId="0" fillId="7" borderId="0" xfId="0" applyNumberFormat="1" applyFill="1"/>
    <xf numFmtId="170" fontId="0" fillId="7" borderId="0" xfId="0" applyNumberFormat="1" applyFill="1" applyAlignment="1">
      <alignment horizontal="center"/>
    </xf>
    <xf numFmtId="0" fontId="0" fillId="7" borderId="0" xfId="0" applyFill="1"/>
    <xf numFmtId="0" fontId="7" fillId="5" borderId="0" xfId="0" applyFont="1" applyFill="1" applyAlignment="1">
      <alignment horizontal="right"/>
    </xf>
    <xf numFmtId="0" fontId="4" fillId="5" borderId="0" xfId="0" applyFont="1" applyFill="1"/>
    <xf numFmtId="0" fontId="7" fillId="5" borderId="0" xfId="0" applyFont="1" applyFill="1" applyAlignment="1">
      <alignment horizontal="center"/>
    </xf>
    <xf numFmtId="0" fontId="4" fillId="5" borderId="0" xfId="0" applyFont="1" applyFill="1" applyAlignment="1">
      <alignment horizontal="right"/>
    </xf>
    <xf numFmtId="0" fontId="4" fillId="5" borderId="0" xfId="0" applyFont="1" applyFill="1" applyAlignment="1">
      <alignment horizontal="center"/>
    </xf>
    <xf numFmtId="0" fontId="14" fillId="5" borderId="0" xfId="0" applyFont="1" applyFill="1"/>
    <xf numFmtId="0" fontId="4" fillId="7" borderId="0" xfId="0" applyFont="1" applyFill="1"/>
    <xf numFmtId="0" fontId="7" fillId="7" borderId="0" xfId="0" applyFont="1" applyFill="1"/>
    <xf numFmtId="170" fontId="4" fillId="6" borderId="0" xfId="0" applyNumberFormat="1" applyFont="1" applyFill="1" applyAlignment="1">
      <alignment horizontal="center"/>
    </xf>
    <xf numFmtId="0" fontId="0" fillId="7" borderId="0" xfId="0" quotePrefix="1" applyFill="1"/>
    <xf numFmtId="0" fontId="0" fillId="5" borderId="0" xfId="0" applyFill="1" applyAlignment="1">
      <alignment horizontal="left"/>
    </xf>
    <xf numFmtId="168" fontId="0" fillId="5" borderId="0" xfId="0" applyNumberFormat="1" applyFill="1"/>
    <xf numFmtId="0" fontId="0" fillId="6" borderId="0" xfId="0" applyFill="1" applyAlignment="1">
      <alignment horizontal="right"/>
    </xf>
    <xf numFmtId="168" fontId="0" fillId="5" borderId="0" xfId="0" applyNumberFormat="1" applyFill="1" applyAlignment="1">
      <alignment horizontal="right"/>
    </xf>
    <xf numFmtId="0" fontId="3" fillId="0" borderId="0" xfId="0" applyFont="1" applyAlignment="1">
      <alignment horizontal="center"/>
    </xf>
    <xf numFmtId="168" fontId="0" fillId="6" borderId="0" xfId="0" applyNumberFormat="1" applyFill="1"/>
    <xf numFmtId="0" fontId="3" fillId="0" borderId="0" xfId="0" applyFont="1" applyAlignment="1">
      <alignment horizontal="right"/>
    </xf>
    <xf numFmtId="0" fontId="17" fillId="0" borderId="0" xfId="0" quotePrefix="1" applyFont="1"/>
    <xf numFmtId="170" fontId="0" fillId="6" borderId="0" xfId="0" applyNumberFormat="1" applyFill="1"/>
    <xf numFmtId="168" fontId="4" fillId="5" borderId="0" xfId="0" applyNumberFormat="1" applyFont="1" applyFill="1"/>
    <xf numFmtId="165" fontId="0" fillId="5" borderId="0" xfId="0" applyNumberFormat="1" applyFill="1"/>
    <xf numFmtId="171" fontId="0" fillId="6" borderId="0" xfId="0" quotePrefix="1" applyNumberFormat="1" applyFill="1"/>
    <xf numFmtId="0" fontId="4" fillId="4" borderId="0" xfId="0" applyFont="1" applyFill="1" applyAlignment="1">
      <alignment horizontal="right"/>
    </xf>
    <xf numFmtId="173" fontId="0" fillId="4" borderId="0" xfId="0" applyNumberFormat="1" applyFill="1"/>
    <xf numFmtId="170" fontId="0" fillId="5" borderId="0" xfId="0" applyNumberFormat="1" applyFill="1"/>
    <xf numFmtId="0" fontId="50" fillId="0" borderId="0" xfId="0" applyFont="1"/>
    <xf numFmtId="0" fontId="46" fillId="0" borderId="0" xfId="0" applyFont="1"/>
    <xf numFmtId="0" fontId="2" fillId="0" borderId="0" xfId="0" applyFont="1" applyAlignment="1">
      <alignment horizontal="right" vertical="top"/>
    </xf>
    <xf numFmtId="0" fontId="2" fillId="0" borderId="0" xfId="0" applyFont="1" applyAlignment="1">
      <alignment vertical="top"/>
    </xf>
    <xf numFmtId="168" fontId="4" fillId="0" borderId="41" xfId="0" applyNumberFormat="1" applyFont="1" applyBorder="1"/>
    <xf numFmtId="1" fontId="4" fillId="0" borderId="0" xfId="0" applyNumberFormat="1" applyFont="1"/>
    <xf numFmtId="171" fontId="4" fillId="0" borderId="0" xfId="0" applyNumberFormat="1" applyFont="1" applyAlignment="1">
      <alignment horizontal="left"/>
    </xf>
    <xf numFmtId="164" fontId="4" fillId="0" borderId="0" xfId="0" applyNumberFormat="1" applyFont="1"/>
    <xf numFmtId="165" fontId="45" fillId="0" borderId="0" xfId="0" applyNumberFormat="1" applyFont="1" applyAlignment="1">
      <alignment horizontal="center"/>
    </xf>
    <xf numFmtId="0" fontId="0" fillId="0" borderId="0" xfId="0" applyAlignment="1">
      <alignment horizontal="right" vertical="center" indent="1"/>
    </xf>
    <xf numFmtId="1" fontId="4" fillId="0" borderId="0" xfId="0" applyNumberFormat="1" applyFont="1" applyAlignment="1">
      <alignment horizontal="right"/>
    </xf>
    <xf numFmtId="165" fontId="4" fillId="0" borderId="0" xfId="0" applyNumberFormat="1" applyFont="1" applyAlignment="1">
      <alignment horizontal="right"/>
    </xf>
    <xf numFmtId="0" fontId="51" fillId="0" borderId="0" xfId="0" applyFont="1"/>
    <xf numFmtId="168" fontId="4" fillId="0" borderId="42" xfId="0" applyNumberFormat="1" applyFont="1" applyBorder="1"/>
    <xf numFmtId="165" fontId="0" fillId="0" borderId="0" xfId="0" applyNumberFormat="1" applyAlignment="1">
      <alignment horizontal="left"/>
    </xf>
    <xf numFmtId="171" fontId="4" fillId="0" borderId="0" xfId="0" applyNumberFormat="1" applyFont="1"/>
    <xf numFmtId="171" fontId="4" fillId="0" borderId="0" xfId="0" applyNumberFormat="1" applyFont="1" applyAlignment="1">
      <alignment horizontal="center"/>
    </xf>
    <xf numFmtId="164" fontId="4" fillId="0" borderId="0" xfId="0" applyNumberFormat="1" applyFont="1" applyAlignment="1">
      <alignment horizontal="center"/>
    </xf>
    <xf numFmtId="0" fontId="52" fillId="0" borderId="0" xfId="0" applyFont="1"/>
    <xf numFmtId="165" fontId="4" fillId="0" borderId="0" xfId="0" applyNumberFormat="1" applyFont="1" applyAlignment="1">
      <alignment horizontal="center"/>
    </xf>
    <xf numFmtId="0" fontId="53" fillId="0" borderId="0" xfId="0" applyFont="1"/>
    <xf numFmtId="0" fontId="4" fillId="0" borderId="0" xfId="0" applyFont="1" applyAlignment="1">
      <alignment vertical="top"/>
    </xf>
    <xf numFmtId="0" fontId="4" fillId="0" borderId="0" xfId="0" applyFont="1" applyAlignment="1">
      <alignment wrapText="1"/>
    </xf>
    <xf numFmtId="49" fontId="0" fillId="0" borderId="0" xfId="0" quotePrefix="1" applyNumberFormat="1" applyAlignment="1">
      <alignment horizontal="left" indent="3"/>
    </xf>
    <xf numFmtId="0" fontId="0" fillId="0" borderId="0" xfId="0" quotePrefix="1" applyAlignment="1">
      <alignment horizontal="left" indent="2"/>
    </xf>
    <xf numFmtId="0" fontId="15" fillId="0" borderId="0" xfId="0" applyFont="1" applyAlignment="1" applyProtection="1">
      <alignment horizontal="left"/>
      <protection locked="0"/>
    </xf>
    <xf numFmtId="0" fontId="4" fillId="0" borderId="0" xfId="0" applyFont="1" applyAlignment="1">
      <alignment vertical="top" wrapText="1"/>
    </xf>
    <xf numFmtId="0" fontId="44" fillId="0" borderId="0" xfId="0" applyFont="1" applyAlignment="1">
      <alignment horizontal="center"/>
    </xf>
    <xf numFmtId="0" fontId="44" fillId="0" borderId="0" xfId="0" applyFont="1"/>
    <xf numFmtId="0" fontId="54" fillId="0" borderId="0" xfId="0" applyFont="1"/>
    <xf numFmtId="0" fontId="2" fillId="0" borderId="0" xfId="0" applyFont="1" applyAlignment="1">
      <alignment horizontal="right"/>
    </xf>
    <xf numFmtId="0" fontId="55" fillId="0" borderId="0" xfId="0" applyFont="1" applyAlignment="1">
      <alignment horizontal="right" inden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vertical="center"/>
    </xf>
    <xf numFmtId="170" fontId="0" fillId="0" borderId="0" xfId="0" applyNumberFormat="1" applyAlignment="1">
      <alignment vertical="center"/>
    </xf>
    <xf numFmtId="170" fontId="0" fillId="0" borderId="8" xfId="0" applyNumberFormat="1" applyBorder="1" applyAlignment="1">
      <alignment vertical="center"/>
    </xf>
    <xf numFmtId="0" fontId="7" fillId="0" borderId="0" xfId="0" applyFont="1" applyAlignment="1">
      <alignment horizontal="right"/>
    </xf>
    <xf numFmtId="49" fontId="7" fillId="0" borderId="0" xfId="0" quotePrefix="1" applyNumberFormat="1" applyFont="1" applyAlignment="1">
      <alignment horizontal="left"/>
    </xf>
    <xf numFmtId="2" fontId="44" fillId="0" borderId="0" xfId="0" applyNumberFormat="1" applyFont="1" applyAlignment="1">
      <alignment horizontal="center"/>
    </xf>
    <xf numFmtId="1" fontId="5" fillId="0" borderId="0" xfId="0" applyNumberFormat="1" applyFont="1" applyAlignment="1">
      <alignment horizontal="center"/>
    </xf>
    <xf numFmtId="1" fontId="3" fillId="0" borderId="0" xfId="0" applyNumberFormat="1" applyFont="1" applyAlignment="1" applyProtection="1">
      <alignment horizontal="center"/>
      <protection locked="0"/>
    </xf>
    <xf numFmtId="0" fontId="56" fillId="0" borderId="0" xfId="0" applyFont="1"/>
    <xf numFmtId="164" fontId="0" fillId="0" borderId="0" xfId="0" applyNumberFormat="1" applyProtection="1">
      <protection hidden="1"/>
    </xf>
    <xf numFmtId="0" fontId="0" fillId="4" borderId="39" xfId="0" applyFill="1" applyBorder="1" applyAlignment="1">
      <alignment horizontal="center" vertical="distributed"/>
    </xf>
    <xf numFmtId="0" fontId="59" fillId="0" borderId="0" xfId="0" applyFont="1"/>
    <xf numFmtId="0" fontId="60" fillId="0" borderId="0" xfId="0" applyFont="1"/>
    <xf numFmtId="0" fontId="61" fillId="0" borderId="0" xfId="0" applyFont="1"/>
    <xf numFmtId="170" fontId="62" fillId="0" borderId="0" xfId="0" applyNumberFormat="1" applyFont="1"/>
    <xf numFmtId="0" fontId="63" fillId="0" borderId="0" xfId="0" applyFont="1"/>
    <xf numFmtId="0" fontId="1" fillId="0" borderId="3" xfId="0" applyFont="1" applyBorder="1" applyAlignment="1">
      <alignment horizontal="left" vertical="top" indent="2"/>
    </xf>
    <xf numFmtId="0" fontId="1" fillId="0" borderId="3" xfId="0" applyFont="1" applyBorder="1" applyAlignment="1" applyProtection="1">
      <alignment horizontal="left" vertical="top" indent="2"/>
      <protection locked="0"/>
    </xf>
    <xf numFmtId="0" fontId="1" fillId="0" borderId="0" xfId="0" applyFont="1" applyAlignment="1" applyProtection="1">
      <alignment horizontal="center" vertical="top"/>
      <protection locked="0"/>
    </xf>
    <xf numFmtId="0" fontId="1" fillId="0" borderId="3" xfId="0" applyFont="1" applyBorder="1" applyAlignment="1" applyProtection="1">
      <alignment horizontal="left" vertical="top" indent="1"/>
      <protection locked="0"/>
    </xf>
    <xf numFmtId="179" fontId="5" fillId="0" borderId="0" xfId="0" applyNumberFormat="1" applyFont="1"/>
    <xf numFmtId="179" fontId="5" fillId="0" borderId="0" xfId="0" applyNumberFormat="1" applyFont="1" applyAlignment="1">
      <alignment vertical="top" wrapText="1"/>
    </xf>
    <xf numFmtId="179" fontId="5" fillId="0" borderId="0" xfId="0" applyNumberFormat="1" applyFont="1" applyAlignment="1">
      <alignment wrapText="1"/>
    </xf>
    <xf numFmtId="0" fontId="5" fillId="0" borderId="0" xfId="0" applyFont="1" applyAlignment="1">
      <alignment vertical="top" wrapText="1"/>
    </xf>
    <xf numFmtId="0" fontId="0" fillId="0" borderId="0" xfId="0" applyAlignment="1">
      <alignment vertical="top" wrapText="1"/>
    </xf>
    <xf numFmtId="0" fontId="4" fillId="0" borderId="0" xfId="0" applyFont="1" applyAlignment="1">
      <alignment wrapText="1"/>
    </xf>
    <xf numFmtId="0" fontId="0" fillId="0" borderId="0" xfId="0" applyAlignment="1">
      <alignment wrapText="1"/>
    </xf>
    <xf numFmtId="0" fontId="5" fillId="0" borderId="0" xfId="0" applyFont="1"/>
    <xf numFmtId="0" fontId="0" fillId="0" borderId="0" xfId="0"/>
    <xf numFmtId="0" fontId="5" fillId="0" borderId="0" xfId="0" applyFont="1" applyAlignment="1">
      <alignment vertical="top"/>
    </xf>
    <xf numFmtId="0" fontId="0" fillId="0" borderId="0" xfId="0"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MT"/>
                <a:ea typeface="Arial MT"/>
                <a:cs typeface="Arial MT"/>
              </a:defRPr>
            </a:pPr>
            <a:r>
              <a:rPr lang="da-DK"/>
              <a:t>Relative værdier for fy iht. DS/EN 1993</a:t>
            </a:r>
          </a:p>
        </c:rich>
      </c:tx>
      <c:layout>
        <c:manualLayout>
          <c:xMode val="edge"/>
          <c:yMode val="edge"/>
          <c:x val="2.3910069493740468E-2"/>
          <c:y val="3.3653846153846152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2095656557193539"/>
          <c:y val="0.16826923076923078"/>
          <c:w val="0.63009931832822164"/>
          <c:h val="0.66826923076923073"/>
        </c:manualLayout>
      </c:layout>
      <c:scatterChart>
        <c:scatterStyle val="lineMarker"/>
        <c:varyColors val="0"/>
        <c:ser>
          <c:idx val="0"/>
          <c:order val="0"/>
          <c:tx>
            <c:v>red.faktor for fy</c:v>
          </c:tx>
          <c:spPr>
            <a:ln w="25400">
              <a:solidFill>
                <a:srgbClr val="000000"/>
              </a:solidFill>
              <a:prstDash val="solid"/>
            </a:ln>
          </c:spPr>
          <c:marker>
            <c:symbol val="circle"/>
            <c:size val="5"/>
            <c:spPr>
              <a:solidFill>
                <a:srgbClr val="000000"/>
              </a:solidFill>
              <a:ln>
                <a:solidFill>
                  <a:srgbClr val="000000"/>
                </a:solidFill>
                <a:prstDash val="solid"/>
              </a:ln>
            </c:spPr>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1</c:v>
              </c:pt>
              <c:pt idx="1">
                <c:v>1</c:v>
              </c:pt>
              <c:pt idx="2">
                <c:v>1</c:v>
              </c:pt>
              <c:pt idx="3">
                <c:v>1</c:v>
              </c:pt>
              <c:pt idx="4">
                <c:v>1</c:v>
              </c:pt>
              <c:pt idx="5">
                <c:v>1</c:v>
              </c:pt>
              <c:pt idx="6">
                <c:v>0.78</c:v>
              </c:pt>
              <c:pt idx="7">
                <c:v>0.47</c:v>
              </c:pt>
              <c:pt idx="8">
                <c:v>0.23</c:v>
              </c:pt>
              <c:pt idx="9">
                <c:v>0.11</c:v>
              </c:pt>
              <c:pt idx="10">
                <c:v>0.06</c:v>
              </c:pt>
              <c:pt idx="11">
                <c:v>0.04</c:v>
              </c:pt>
              <c:pt idx="12">
                <c:v>0.02</c:v>
              </c:pt>
              <c:pt idx="13">
                <c:v>0</c:v>
              </c:pt>
            </c:numLit>
          </c:yVal>
          <c:smooth val="0"/>
          <c:extLst>
            <c:ext xmlns:c16="http://schemas.microsoft.com/office/drawing/2014/chart" uri="{C3380CC4-5D6E-409C-BE32-E72D297353CC}">
              <c16:uniqueId val="{00000000-5B7E-49AD-9519-09B704F687E2}"/>
            </c:ext>
          </c:extLst>
        </c:ser>
        <c:ser>
          <c:idx val="1"/>
          <c:order val="1"/>
          <c:tx>
            <c:v>udnyt.grad dorn</c:v>
          </c:tx>
          <c:spPr>
            <a:ln w="25400">
              <a:solidFill>
                <a:srgbClr val="000000"/>
              </a:solidFill>
              <a:prstDash val="lgDashDotDot"/>
            </a:ln>
          </c:spPr>
          <c:marker>
            <c:symbol val="none"/>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yVal>
          <c:smooth val="0"/>
          <c:extLst>
            <c:ext xmlns:c16="http://schemas.microsoft.com/office/drawing/2014/chart" uri="{C3380CC4-5D6E-409C-BE32-E72D297353CC}">
              <c16:uniqueId val="{00000001-5B7E-49AD-9519-09B704F687E2}"/>
            </c:ext>
          </c:extLst>
        </c:ser>
        <c:dLbls>
          <c:showLegendKey val="0"/>
          <c:showVal val="0"/>
          <c:showCatName val="0"/>
          <c:showSerName val="0"/>
          <c:showPercent val="0"/>
          <c:showBubbleSize val="0"/>
        </c:dLbls>
        <c:axId val="468111872"/>
        <c:axId val="1"/>
      </c:scatterChart>
      <c:valAx>
        <c:axId val="468111872"/>
        <c:scaling>
          <c:orientation val="minMax"/>
          <c:max val="1200"/>
          <c:min val="0"/>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temperatur gr.C.</a:t>
                </a:r>
              </a:p>
            </c:rich>
          </c:tx>
          <c:layout>
            <c:manualLayout>
              <c:xMode val="edge"/>
              <c:yMode val="edge"/>
              <c:x val="0.36708916239838951"/>
              <c:y val="0.90865384615384615"/>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
        <c:crosses val="autoZero"/>
        <c:crossBetween val="midCat"/>
        <c:majorUnit val="200"/>
        <c:minorUnit val="50"/>
      </c:valAx>
      <c:valAx>
        <c:axId val="1"/>
        <c:scaling>
          <c:orientation val="minMax"/>
          <c:max val="1"/>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MT"/>
                    <a:ea typeface="Arial MT"/>
                    <a:cs typeface="Arial MT"/>
                  </a:defRPr>
                </a:pPr>
                <a:r>
                  <a:rPr lang="da-DK"/>
                  <a:t>reduktionsfaktor hhv. udnyttelsesgrad</a:t>
                </a:r>
              </a:p>
            </c:rich>
          </c:tx>
          <c:layout>
            <c:manualLayout>
              <c:xMode val="edge"/>
              <c:yMode val="edge"/>
              <c:x val="2.2503449204771733E-2"/>
              <c:y val="0.24038461538461539"/>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468111872"/>
        <c:crosses val="autoZero"/>
        <c:crossBetween val="midCat"/>
        <c:majorUnit val="0.1"/>
      </c:valAx>
      <c:spPr>
        <a:solidFill>
          <a:srgbClr val="FFFFFF"/>
        </a:solidFill>
        <a:ln w="12700">
          <a:solidFill>
            <a:srgbClr val="000000"/>
          </a:solidFill>
          <a:prstDash val="solid"/>
        </a:ln>
      </c:spPr>
    </c:plotArea>
    <c:legend>
      <c:legendPos val="r"/>
      <c:layout>
        <c:manualLayout>
          <c:xMode val="edge"/>
          <c:yMode val="edge"/>
          <c:x val="0.78643310960579837"/>
          <c:y val="0.44472617617468052"/>
          <c:w val="0.20527707270133713"/>
          <c:h val="0.10577271217127537"/>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46484375"/>
          <c:y val="0.11111157481793711"/>
          <c:w val="0.61328125"/>
          <c:h val="0.59829309517350748"/>
        </c:manualLayout>
      </c:layout>
      <c:scatterChart>
        <c:scatterStyle val="lineMarker"/>
        <c:varyColors val="0"/>
        <c:ser>
          <c:idx val="0"/>
          <c:order val="0"/>
          <c:tx>
            <c:v>M kNm</c:v>
          </c:tx>
          <c:spPr>
            <a:ln w="19050" cap="rnd" cmpd="sng" algn="ctr">
              <a:solidFill>
                <a:schemeClr val="tx1"/>
              </a:solidFill>
              <a:prstDash val="solid"/>
              <a:round/>
            </a:ln>
            <a:effectLst/>
          </c:spPr>
          <c:marker>
            <c:symbol val="none"/>
          </c:marker>
          <c:xVal>
            <c:numRef>
              <c:f>A!$AA$58:$AR$58</c:f>
              <c:numCache>
                <c:formatCode>0.000_)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xVal>
          <c:yVal>
            <c:numRef>
              <c:f>A!$AA$59:$AR$59</c:f>
              <c:numCache>
                <c:formatCode>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0</c:v>
                </c:pt>
              </c:numCache>
            </c:numRef>
          </c:yVal>
          <c:smooth val="0"/>
          <c:extLst>
            <c:ext xmlns:c16="http://schemas.microsoft.com/office/drawing/2014/chart" uri="{C3380CC4-5D6E-409C-BE32-E72D297353CC}">
              <c16:uniqueId val="{00000000-1E98-4D5C-B0A8-E4EC1D83D883}"/>
            </c:ext>
          </c:extLst>
        </c:ser>
        <c:ser>
          <c:idx val="1"/>
          <c:order val="1"/>
          <c:tx>
            <c:v>V kN</c:v>
          </c:tx>
          <c:spPr>
            <a:ln w="19050" cap="rnd" cmpd="sng" algn="ctr">
              <a:solidFill>
                <a:schemeClr val="tx1"/>
              </a:solidFill>
              <a:prstDash val="lgDashDot"/>
              <a:round/>
            </a:ln>
            <a:effectLst/>
          </c:spPr>
          <c:marker>
            <c:symbol val="none"/>
          </c:marker>
          <c:xVal>
            <c:numRef>
              <c:f>A!$AA$58:$AR$58</c:f>
              <c:numCache>
                <c:formatCode>0.000_)</c:formatCode>
                <c:ptCount val="18"/>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xVal>
          <c:yVal>
            <c:numRef>
              <c:f>A!$AA$60:$AR$60</c:f>
              <c:numCache>
                <c:formatCode>0.00_)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yVal>
          <c:smooth val="0"/>
          <c:extLst>
            <c:ext xmlns:c16="http://schemas.microsoft.com/office/drawing/2014/chart" uri="{C3380CC4-5D6E-409C-BE32-E72D297353CC}">
              <c16:uniqueId val="{00000001-1E98-4D5C-B0A8-E4EC1D83D883}"/>
            </c:ext>
          </c:extLst>
        </c:ser>
        <c:dLbls>
          <c:showLegendKey val="0"/>
          <c:showVal val="0"/>
          <c:showCatName val="0"/>
          <c:showSerName val="0"/>
          <c:showPercent val="0"/>
          <c:showBubbleSize val="0"/>
        </c:dLbls>
        <c:axId val="468115200"/>
        <c:axId val="1"/>
      </c:scatterChart>
      <c:valAx>
        <c:axId val="468115200"/>
        <c:scaling>
          <c:orientation val="minMax"/>
        </c:scaling>
        <c:delete val="0"/>
        <c:axPos val="b"/>
        <c:majorGridlines>
          <c:spPr>
            <a:ln w="12700" cap="flat" cmpd="sng" algn="ctr">
              <a:solidFill>
                <a:srgbClr val="000000"/>
              </a:solidFill>
              <a:prstDash val="solid"/>
              <a:round/>
            </a:ln>
            <a:effectLst/>
          </c:spPr>
        </c:majorGridlines>
        <c:title>
          <c:tx>
            <c:rich>
              <a:bodyPr rot="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r>
                  <a:rPr lang="da-DK"/>
                  <a:t>x meter</a:t>
                </a:r>
              </a:p>
            </c:rich>
          </c:tx>
          <c:layout>
            <c:manualLayout>
              <c:xMode val="edge"/>
              <c:yMode val="edge"/>
              <c:x val="0.41575172244094488"/>
              <c:y val="0.83550120064779143"/>
            </c:manualLayout>
          </c:layout>
          <c:overlay val="0"/>
          <c:spPr>
            <a:noFill/>
            <a:ln w="25400">
              <a:noFill/>
            </a:ln>
            <a:effectLst/>
          </c:spPr>
          <c:txPr>
            <a:bodyPr rot="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endParaRPr lang="da-DK"/>
            </a:p>
          </c:txPr>
        </c:title>
        <c:numFmt formatCode="0.000" sourceLinked="0"/>
        <c:majorTickMark val="in"/>
        <c:minorTickMark val="none"/>
        <c:tickLblPos val="low"/>
        <c:spPr>
          <a:noFill/>
          <a:ln w="12700"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Arial MT"/>
                <a:ea typeface="Arial MT"/>
                <a:cs typeface="Arial MT"/>
              </a:defRPr>
            </a:pPr>
            <a:endParaRPr lang="da-DK"/>
          </a:p>
        </c:txPr>
        <c:crossAx val="1"/>
        <c:crosses val="autoZero"/>
        <c:crossBetween val="midCat"/>
      </c:valAx>
      <c:valAx>
        <c:axId val="1"/>
        <c:scaling>
          <c:orientation val="minMax"/>
        </c:scaling>
        <c:delete val="0"/>
        <c:axPos val="l"/>
        <c:majorGridlines>
          <c:spPr>
            <a:ln w="12700" cap="flat" cmpd="sng" algn="ctr">
              <a:solidFill>
                <a:srgbClr val="000000"/>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r>
                  <a:rPr lang="da-DK"/>
                  <a:t>snitkraft</a:t>
                </a:r>
              </a:p>
            </c:rich>
          </c:tx>
          <c:layout>
            <c:manualLayout>
              <c:xMode val="edge"/>
              <c:yMode val="edge"/>
              <c:x val="2.5390625E-2"/>
              <c:y val="0.31196694030267491"/>
            </c:manualLayout>
          </c:layout>
          <c:overlay val="0"/>
          <c:spPr>
            <a:noFill/>
            <a:ln w="25400">
              <a:noFill/>
            </a:ln>
            <a:effectLst/>
          </c:spPr>
          <c:txPr>
            <a:bodyPr rot="-5400000" spcFirstLastPara="1" vertOverflow="ellipsis" vert="horz" wrap="square" anchor="ctr" anchorCtr="1"/>
            <a:lstStyle/>
            <a:p>
              <a:pPr>
                <a:defRPr sz="1000" b="0" i="0" u="none" strike="noStrike" kern="1200" baseline="0">
                  <a:solidFill>
                    <a:srgbClr val="000000"/>
                  </a:solidFill>
                  <a:latin typeface="Arial MT"/>
                  <a:ea typeface="Arial MT"/>
                  <a:cs typeface="Arial MT"/>
                </a:defRPr>
              </a:pPr>
              <a:endParaRPr lang="da-DK"/>
            </a:p>
          </c:txPr>
        </c:title>
        <c:numFmt formatCode="0.00" sourceLinked="0"/>
        <c:majorTickMark val="in"/>
        <c:minorTickMark val="none"/>
        <c:tickLblPos val="nextTo"/>
        <c:spPr>
          <a:noFill/>
          <a:ln w="12700" cap="flat" cmpd="sng" algn="ctr">
            <a:solidFill>
              <a:srgbClr val="000000"/>
            </a:solidFill>
            <a:prstDash val="solid"/>
            <a:round/>
          </a:ln>
          <a:effectLst/>
        </c:spPr>
        <c:txPr>
          <a:bodyPr rot="0" spcFirstLastPara="1" vertOverflow="ellipsis" wrap="square" anchor="ctr" anchorCtr="1"/>
          <a:lstStyle/>
          <a:p>
            <a:pPr>
              <a:defRPr sz="900" b="0" i="0" u="none" strike="noStrike" kern="1200" baseline="0">
                <a:solidFill>
                  <a:srgbClr val="000000"/>
                </a:solidFill>
                <a:latin typeface="Arial MT"/>
                <a:ea typeface="Arial MT"/>
                <a:cs typeface="Arial MT"/>
              </a:defRPr>
            </a:pPr>
            <a:endParaRPr lang="da-DK"/>
          </a:p>
        </c:txPr>
        <c:crossAx val="468115200"/>
        <c:crosses val="autoZero"/>
        <c:crossBetween val="midCat"/>
      </c:valAx>
      <c:spPr>
        <a:solidFill>
          <a:srgbClr val="FFFFFF"/>
        </a:solidFill>
        <a:ln w="12700">
          <a:solidFill>
            <a:srgbClr val="000000"/>
          </a:solidFill>
          <a:prstDash val="solid"/>
        </a:ln>
        <a:effectLst/>
      </c:spPr>
    </c:plotArea>
    <c:legend>
      <c:legendPos val="r"/>
      <c:layout>
        <c:manualLayout>
          <c:xMode val="edge"/>
          <c:yMode val="edge"/>
          <c:x val="0.73049246519184363"/>
          <c:y val="0.29788309449544309"/>
          <c:w val="0.18555289891236668"/>
          <c:h val="0.18724080225427853"/>
        </c:manualLayout>
      </c:layout>
      <c:overlay val="0"/>
      <c:spPr>
        <a:solidFill>
          <a:srgbClr val="FFFFFF"/>
        </a:solidFill>
        <a:ln w="12700">
          <a:solidFill>
            <a:srgbClr val="000000"/>
          </a:solidFill>
          <a:prstDash val="solid"/>
        </a:ln>
        <a:effectLst>
          <a:outerShdw dist="35921" dir="2700000" algn="br">
            <a:srgbClr val="000000"/>
          </a:outerShdw>
        </a:effectLst>
      </c:spPr>
      <c:txPr>
        <a:bodyPr rot="0" spcFirstLastPara="1" vertOverflow="ellipsis" vert="horz" wrap="square" anchor="ctr" anchorCtr="1"/>
        <a:lstStyle/>
        <a:p>
          <a:pPr>
            <a:defRPr sz="920" b="0" i="0" u="none" strike="noStrike" kern="1200"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3175" cap="flat" cmpd="sng" algn="ctr">
      <a:solidFill>
        <a:srgbClr val="000000"/>
      </a:solidFill>
      <a:prstDash val="solid"/>
      <a:round/>
    </a:ln>
    <a:effectLst/>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944888491289369"/>
          <c:y val="0.11353735999198279"/>
          <c:w val="0.75539745250077872"/>
          <c:h val="0.58952090765067988"/>
        </c:manualLayout>
      </c:layout>
      <c:scatterChart>
        <c:scatterStyle val="lineMarker"/>
        <c:varyColors val="0"/>
        <c:ser>
          <c:idx val="0"/>
          <c:order val="0"/>
          <c:tx>
            <c:v>M kNm</c:v>
          </c:tx>
          <c:spPr>
            <a:ln w="25400">
              <a:solidFill>
                <a:schemeClr val="tx1"/>
              </a:solidFill>
              <a:prstDash val="solid"/>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A!$AF$91:$AR$91</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AAD2-4957-91A4-BE45DC3FD6F5}"/>
            </c:ext>
          </c:extLst>
        </c:ser>
        <c:ser>
          <c:idx val="1"/>
          <c:order val="1"/>
          <c:tx>
            <c:v>V kN</c:v>
          </c:tx>
          <c:spPr>
            <a:ln w="25400">
              <a:solidFill>
                <a:schemeClr val="tx1"/>
              </a:solidFill>
              <a:prstDash val="lgDashDot"/>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A!$AF$92:$AR$92</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AAD2-4957-91A4-BE45DC3FD6F5}"/>
            </c:ext>
          </c:extLst>
        </c:ser>
        <c:dLbls>
          <c:showLegendKey val="0"/>
          <c:showVal val="0"/>
          <c:showCatName val="0"/>
          <c:showSerName val="0"/>
          <c:showPercent val="0"/>
          <c:showBubbleSize val="0"/>
        </c:dLbls>
        <c:axId val="470379456"/>
        <c:axId val="1"/>
      </c:scatterChart>
      <c:valAx>
        <c:axId val="470379456"/>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venstre</a:t>
                </a:r>
              </a:p>
            </c:rich>
          </c:tx>
          <c:layout>
            <c:manualLayout>
              <c:xMode val="edge"/>
              <c:yMode val="edge"/>
              <c:x val="0.45084033560553127"/>
              <c:y val="0.83406296920308531"/>
            </c:manualLayout>
          </c:layout>
          <c:overlay val="0"/>
          <c:spPr>
            <a:noFill/>
            <a:ln w="25400">
              <a:noFill/>
            </a:ln>
          </c:spPr>
        </c:title>
        <c:numFmt formatCode="0.000" sourceLinked="0"/>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3.8369304556354913E-2"/>
              <c:y val="0.29694368989902459"/>
            </c:manualLayout>
          </c:layout>
          <c:overlay val="0"/>
          <c:spPr>
            <a:noFill/>
            <a:ln w="25400">
              <a:noFill/>
            </a:ln>
          </c:spPr>
        </c:title>
        <c:numFmt formatCode="0.00" sourceLinked="0"/>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79456"/>
        <c:crosses val="autoZero"/>
        <c:crossBetween val="midCat"/>
      </c:valAx>
      <c:spPr>
        <a:solidFill>
          <a:srgbClr val="FFFFFF"/>
        </a:solidFill>
        <a:ln w="12700">
          <a:solidFill>
            <a:srgbClr val="000000"/>
          </a:solidFill>
          <a:prstDash val="solid"/>
        </a:ln>
      </c:spPr>
    </c:plotArea>
    <c:legend>
      <c:legendPos val="r"/>
      <c:layout>
        <c:manualLayout>
          <c:xMode val="edge"/>
          <c:yMode val="edge"/>
          <c:x val="0.69306754273840598"/>
          <c:y val="2.1834862303810751E-2"/>
          <c:w val="0.22302865562170157"/>
          <c:h val="0.19651376073429674"/>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72310420169452"/>
          <c:y val="0.11711763230940452"/>
          <c:w val="0.74457918931098144"/>
          <c:h val="0.57657911290783759"/>
        </c:manualLayout>
      </c:layout>
      <c:scatterChart>
        <c:scatterStyle val="lineMarker"/>
        <c:varyColors val="0"/>
        <c:ser>
          <c:idx val="0"/>
          <c:order val="0"/>
          <c:tx>
            <c:v>M kNm</c:v>
          </c:tx>
          <c:spPr>
            <a:ln w="25400">
              <a:solidFill>
                <a:schemeClr val="tx1"/>
              </a:solidFill>
              <a:prstDash val="solid"/>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A!$AF$116:$AR$116</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8C22-4D27-8DEC-7A1DA854C5CF}"/>
            </c:ext>
          </c:extLst>
        </c:ser>
        <c:ser>
          <c:idx val="1"/>
          <c:order val="1"/>
          <c:tx>
            <c:v>V kN</c:v>
          </c:tx>
          <c:spPr>
            <a:ln w="25400">
              <a:solidFill>
                <a:schemeClr val="tx1"/>
              </a:solidFill>
              <a:prstDash val="lgDashDot"/>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A!$AF$117:$AR$117</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8C22-4D27-8DEC-7A1DA854C5CF}"/>
            </c:ext>
          </c:extLst>
        </c:ser>
        <c:dLbls>
          <c:showLegendKey val="0"/>
          <c:showVal val="0"/>
          <c:showCatName val="0"/>
          <c:showSerName val="0"/>
          <c:showPercent val="0"/>
          <c:showBubbleSize val="0"/>
        </c:dLbls>
        <c:axId val="470391936"/>
        <c:axId val="1"/>
      </c:scatterChart>
      <c:valAx>
        <c:axId val="470391936"/>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højre</a:t>
                </a:r>
              </a:p>
            </c:rich>
          </c:tx>
          <c:layout>
            <c:manualLayout>
              <c:xMode val="edge"/>
              <c:yMode val="edge"/>
              <c:x val="0.46506074692470667"/>
              <c:y val="0.8369095079331299"/>
            </c:manualLayout>
          </c:layout>
          <c:overlay val="0"/>
          <c:spPr>
            <a:noFill/>
            <a:ln w="25400">
              <a:noFill/>
            </a:ln>
          </c:spPr>
        </c:title>
        <c:numFmt formatCode="0.000" sourceLinked="0"/>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3.8554216867469883E-2"/>
              <c:y val="0.30042893286987776"/>
            </c:manualLayout>
          </c:layout>
          <c:overlay val="0"/>
          <c:spPr>
            <a:noFill/>
            <a:ln w="25400">
              <a:noFill/>
            </a:ln>
          </c:spPr>
        </c:title>
        <c:numFmt formatCode="0.00" sourceLinked="0"/>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91936"/>
        <c:crosses val="autoZero"/>
        <c:crossBetween val="midCat"/>
      </c:valAx>
      <c:spPr>
        <a:solidFill>
          <a:srgbClr val="FFFFFF"/>
        </a:solidFill>
        <a:ln w="12700">
          <a:solidFill>
            <a:srgbClr val="000000"/>
          </a:solidFill>
          <a:prstDash val="solid"/>
        </a:ln>
      </c:spPr>
    </c:plotArea>
    <c:legend>
      <c:legendPos val="r"/>
      <c:layout>
        <c:manualLayout>
          <c:xMode val="edge"/>
          <c:yMode val="edge"/>
          <c:x val="0.66749029879020205"/>
          <c:y val="2.7027918731482643E-2"/>
          <c:w val="0.24097122700007295"/>
          <c:h val="0.20721404360803358"/>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954907161803712"/>
          <c:y val="0.11353735999198279"/>
          <c:w val="0.72944297082228116"/>
          <c:h val="0.58952090765067988"/>
        </c:manualLayout>
      </c:layout>
      <c:scatterChart>
        <c:scatterStyle val="lineMarker"/>
        <c:varyColors val="0"/>
        <c:ser>
          <c:idx val="0"/>
          <c:order val="0"/>
          <c:tx>
            <c:v>M kNm</c:v>
          </c:tx>
          <c:spPr>
            <a:ln w="25400">
              <a:solidFill>
                <a:srgbClr val="000000"/>
              </a:solidFill>
              <a:prstDash val="solid"/>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A!$AF$91:$AR$91</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6039-4E81-89D7-A267D9E582EF}"/>
            </c:ext>
          </c:extLst>
        </c:ser>
        <c:ser>
          <c:idx val="1"/>
          <c:order val="1"/>
          <c:tx>
            <c:v>V kN</c:v>
          </c:tx>
          <c:spPr>
            <a:ln w="25400">
              <a:solidFill>
                <a:srgbClr val="000000"/>
              </a:solidFill>
              <a:prstDash val="lgDashDot"/>
            </a:ln>
          </c:spPr>
          <c:marker>
            <c:symbol val="none"/>
          </c:marker>
          <c:xVal>
            <c:numRef>
              <c:f>A!$AF$90:$AR$90</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A!$AF$92:$AR$92</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6039-4E81-89D7-A267D9E582EF}"/>
            </c:ext>
          </c:extLst>
        </c:ser>
        <c:dLbls>
          <c:showLegendKey val="0"/>
          <c:showVal val="0"/>
          <c:showCatName val="0"/>
          <c:showSerName val="0"/>
          <c:showPercent val="0"/>
          <c:showBubbleSize val="0"/>
        </c:dLbls>
        <c:axId val="470390688"/>
        <c:axId val="1"/>
      </c:scatterChart>
      <c:valAx>
        <c:axId val="470390688"/>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venstre</a:t>
                </a:r>
              </a:p>
            </c:rich>
          </c:tx>
          <c:layout>
            <c:manualLayout>
              <c:xMode val="edge"/>
              <c:yMode val="edge"/>
              <c:x val="0.44562334217506633"/>
              <c:y val="0.83406296920308531"/>
            </c:manualLayout>
          </c:layout>
          <c:overlay val="0"/>
          <c:spPr>
            <a:noFill/>
            <a:ln w="25400">
              <a:noFill/>
            </a:ln>
          </c:spPr>
        </c:title>
        <c:numFmt formatCode="0.000_)"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4.2440318302387266E-2"/>
              <c:y val="0.29694368989902459"/>
            </c:manualLayout>
          </c:layout>
          <c:overlay val="0"/>
          <c:spPr>
            <a:noFill/>
            <a:ln w="25400">
              <a:noFill/>
            </a:ln>
          </c:spPr>
        </c:title>
        <c:numFmt formatCode="0.0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90688"/>
        <c:crosses val="autoZero"/>
        <c:crossBetween val="midCat"/>
      </c:valAx>
      <c:spPr>
        <a:solidFill>
          <a:srgbClr val="FFFFFF"/>
        </a:solidFill>
        <a:ln w="12700">
          <a:solidFill>
            <a:srgbClr val="000000"/>
          </a:solidFill>
          <a:prstDash val="solid"/>
        </a:ln>
      </c:spPr>
    </c:plotArea>
    <c:legend>
      <c:legendPos val="r"/>
      <c:layout>
        <c:manualLayout>
          <c:xMode val="edge"/>
          <c:yMode val="edge"/>
          <c:x val="0.56765677992536534"/>
          <c:y val="2.1834862303810751E-2"/>
          <c:w val="0.24138676155704789"/>
          <c:h val="0.20088073319505889"/>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253551735188895"/>
          <c:y val="0.11353735999198279"/>
          <c:w val="0.71267703658263171"/>
          <c:h val="0.58952090765067988"/>
        </c:manualLayout>
      </c:layout>
      <c:scatterChart>
        <c:scatterStyle val="lineMarker"/>
        <c:varyColors val="0"/>
        <c:ser>
          <c:idx val="0"/>
          <c:order val="0"/>
          <c:tx>
            <c:v>M kNm</c:v>
          </c:tx>
          <c:spPr>
            <a:ln w="25400">
              <a:solidFill>
                <a:srgbClr val="000000"/>
              </a:solidFill>
              <a:prstDash val="solid"/>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A!$AF$116:$AR$116</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0</c:v>
                </c:pt>
              </c:numCache>
            </c:numRef>
          </c:yVal>
          <c:smooth val="0"/>
          <c:extLst>
            <c:ext xmlns:c16="http://schemas.microsoft.com/office/drawing/2014/chart" uri="{C3380CC4-5D6E-409C-BE32-E72D297353CC}">
              <c16:uniqueId val="{00000000-8E36-4B43-887F-EF701B595AE2}"/>
            </c:ext>
          </c:extLst>
        </c:ser>
        <c:ser>
          <c:idx val="1"/>
          <c:order val="1"/>
          <c:tx>
            <c:v>V kN</c:v>
          </c:tx>
          <c:spPr>
            <a:ln w="25400">
              <a:solidFill>
                <a:srgbClr val="000000"/>
              </a:solidFill>
              <a:prstDash val="lgDashDot"/>
            </a:ln>
          </c:spPr>
          <c:marker>
            <c:symbol val="none"/>
          </c:marker>
          <c:xVal>
            <c:numRef>
              <c:f>A!$AF$115:$AR$115</c:f>
              <c:numCache>
                <c:formatCode>0.000_)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A!$AF$117:$AR$117</c:f>
              <c:numCache>
                <c:formatCode>0.00_)</c:formatCode>
                <c:ptCount val="13"/>
                <c:pt idx="0">
                  <c:v>0</c:v>
                </c:pt>
                <c:pt idx="1">
                  <c:v>#N/A</c:v>
                </c:pt>
                <c:pt idx="2">
                  <c:v>#N/A</c:v>
                </c:pt>
                <c:pt idx="3">
                  <c:v>#N/A</c:v>
                </c:pt>
                <c:pt idx="4">
                  <c:v>#N/A</c:v>
                </c:pt>
                <c:pt idx="5">
                  <c:v>#N/A</c:v>
                </c:pt>
                <c:pt idx="6">
                  <c:v>#N/A</c:v>
                </c:pt>
                <c:pt idx="7">
                  <c:v>#N/A</c:v>
                </c:pt>
                <c:pt idx="8">
                  <c:v>#N/A</c:v>
                </c:pt>
                <c:pt idx="9">
                  <c:v>#N/A</c:v>
                </c:pt>
                <c:pt idx="10">
                  <c:v>#N/A</c:v>
                </c:pt>
                <c:pt idx="11">
                  <c:v>#N/A</c:v>
                </c:pt>
                <c:pt idx="12">
                  <c:v>#N/A</c:v>
                </c:pt>
              </c:numCache>
            </c:numRef>
          </c:yVal>
          <c:smooth val="0"/>
          <c:extLst>
            <c:ext xmlns:c16="http://schemas.microsoft.com/office/drawing/2014/chart" uri="{C3380CC4-5D6E-409C-BE32-E72D297353CC}">
              <c16:uniqueId val="{00000001-8E36-4B43-887F-EF701B595AE2}"/>
            </c:ext>
          </c:extLst>
        </c:ser>
        <c:dLbls>
          <c:showLegendKey val="0"/>
          <c:showVal val="0"/>
          <c:showCatName val="0"/>
          <c:showSerName val="0"/>
          <c:showPercent val="0"/>
          <c:showBubbleSize val="0"/>
        </c:dLbls>
        <c:axId val="470386112"/>
        <c:axId val="1"/>
      </c:scatterChart>
      <c:valAx>
        <c:axId val="470386112"/>
        <c:scaling>
          <c:orientation val="minMax"/>
        </c:scaling>
        <c:delete val="0"/>
        <c:axPos val="b"/>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x meter, højre</a:t>
                </a:r>
              </a:p>
            </c:rich>
          </c:tx>
          <c:layout>
            <c:manualLayout>
              <c:xMode val="edge"/>
              <c:yMode val="edge"/>
              <c:x val="0.45915552105282614"/>
              <c:y val="0.83406296920308531"/>
            </c:manualLayout>
          </c:layout>
          <c:overlay val="0"/>
          <c:spPr>
            <a:noFill/>
            <a:ln w="25400">
              <a:noFill/>
            </a:ln>
          </c:spPr>
        </c:title>
        <c:numFmt formatCode="0.000_)"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1"/>
        <c:crosses val="autoZero"/>
        <c:crossBetween val="midCat"/>
      </c:valAx>
      <c:valAx>
        <c:axId val="1"/>
        <c:scaling>
          <c:orientation val="minMax"/>
        </c:scaling>
        <c:delete val="0"/>
        <c:axPos val="l"/>
        <c:majorGridlines>
          <c:spPr>
            <a:ln w="12700">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da-DK"/>
                  <a:t>snitkraft</a:t>
                </a:r>
              </a:p>
            </c:rich>
          </c:tx>
          <c:layout>
            <c:manualLayout>
              <c:xMode val="edge"/>
              <c:yMode val="edge"/>
              <c:x val="4.507042253521127E-2"/>
              <c:y val="0.29694368989902459"/>
            </c:manualLayout>
          </c:layout>
          <c:overlay val="0"/>
          <c:spPr>
            <a:noFill/>
            <a:ln w="25400">
              <a:noFill/>
            </a:ln>
          </c:spPr>
        </c:title>
        <c:numFmt formatCode="0.00_)"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a-DK"/>
          </a:p>
        </c:txPr>
        <c:crossAx val="470386112"/>
        <c:crosses val="autoZero"/>
        <c:crossBetween val="midCat"/>
      </c:valAx>
      <c:spPr>
        <a:solidFill>
          <a:srgbClr val="FFFFFF"/>
        </a:solidFill>
        <a:ln w="12700">
          <a:solidFill>
            <a:srgbClr val="000000"/>
          </a:solidFill>
          <a:prstDash val="solid"/>
        </a:ln>
      </c:spPr>
    </c:plotArea>
    <c:legend>
      <c:legendPos val="r"/>
      <c:layout>
        <c:manualLayout>
          <c:xMode val="edge"/>
          <c:yMode val="edge"/>
          <c:x val="0.55213099713950542"/>
          <c:y val="4.3669724607621502E-2"/>
          <c:w val="0.26761451391965824"/>
          <c:h val="0.17467889843048601"/>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845" b="0" i="0" u="none" strike="noStrike" baseline="0">
              <a:solidFill>
                <a:srgbClr val="000000"/>
              </a:solidFill>
              <a:latin typeface="Arial"/>
              <a:ea typeface="Arial"/>
              <a:cs typeface="Arial"/>
            </a:defRPr>
          </a:pPr>
          <a:endParaRPr lang="da-DK"/>
        </a:p>
      </c:txPr>
    </c:legend>
    <c:plotVisOnly val="0"/>
    <c:dispBlanksAs val="gap"/>
    <c:showDLblsOverMax val="0"/>
  </c:chart>
  <c:spPr>
    <a:solidFill>
      <a:srgbClr val="FFFFFF"/>
    </a:solidFill>
    <a:ln w="127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MT"/>
                <a:ea typeface="Arial MT"/>
                <a:cs typeface="Arial MT"/>
              </a:defRPr>
            </a:pPr>
            <a:r>
              <a:rPr lang="da-DK"/>
              <a:t>Relative værdier for fy iht. DS/EN 1993</a:t>
            </a:r>
          </a:p>
        </c:rich>
      </c:tx>
      <c:layout>
        <c:manualLayout>
          <c:xMode val="edge"/>
          <c:yMode val="edge"/>
          <c:x val="2.3910088162056666E-2"/>
          <c:y val="3.3653839953052551E-2"/>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2095656557193539"/>
          <c:y val="0.16826923076923078"/>
          <c:w val="0.63009931832822164"/>
          <c:h val="0.66826923076923073"/>
        </c:manualLayout>
      </c:layout>
      <c:scatterChart>
        <c:scatterStyle val="lineMarker"/>
        <c:varyColors val="0"/>
        <c:ser>
          <c:idx val="0"/>
          <c:order val="0"/>
          <c:tx>
            <c:v>red.faktor for fy</c:v>
          </c:tx>
          <c:spPr>
            <a:ln w="25400">
              <a:solidFill>
                <a:srgbClr val="000000"/>
              </a:solidFill>
              <a:prstDash val="solid"/>
            </a:ln>
          </c:spPr>
          <c:marker>
            <c:symbol val="circle"/>
            <c:size val="5"/>
            <c:spPr>
              <a:solidFill>
                <a:srgbClr val="000000"/>
              </a:solidFill>
              <a:ln>
                <a:solidFill>
                  <a:srgbClr val="000000"/>
                </a:solidFill>
                <a:prstDash val="solid"/>
              </a:ln>
            </c:spPr>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1</c:v>
              </c:pt>
              <c:pt idx="1">
                <c:v>1</c:v>
              </c:pt>
              <c:pt idx="2">
                <c:v>1</c:v>
              </c:pt>
              <c:pt idx="3">
                <c:v>1</c:v>
              </c:pt>
              <c:pt idx="4">
                <c:v>1</c:v>
              </c:pt>
              <c:pt idx="5">
                <c:v>1</c:v>
              </c:pt>
              <c:pt idx="6">
                <c:v>0.78</c:v>
              </c:pt>
              <c:pt idx="7">
                <c:v>0.47</c:v>
              </c:pt>
              <c:pt idx="8">
                <c:v>0.23</c:v>
              </c:pt>
              <c:pt idx="9">
                <c:v>0.11</c:v>
              </c:pt>
              <c:pt idx="10">
                <c:v>0.06</c:v>
              </c:pt>
              <c:pt idx="11">
                <c:v>0.04</c:v>
              </c:pt>
              <c:pt idx="12">
                <c:v>0.02</c:v>
              </c:pt>
              <c:pt idx="13">
                <c:v>0</c:v>
              </c:pt>
            </c:numLit>
          </c:yVal>
          <c:smooth val="0"/>
          <c:extLst>
            <c:ext xmlns:c16="http://schemas.microsoft.com/office/drawing/2014/chart" uri="{C3380CC4-5D6E-409C-BE32-E72D297353CC}">
              <c16:uniqueId val="{00000000-FAB0-4C11-8139-EE50FCE7A0A0}"/>
            </c:ext>
          </c:extLst>
        </c:ser>
        <c:ser>
          <c:idx val="1"/>
          <c:order val="1"/>
          <c:tx>
            <c:v>udnyt.grad dorn</c:v>
          </c:tx>
          <c:spPr>
            <a:ln w="25400">
              <a:pattFill prst="pct75">
                <a:fgClr>
                  <a:srgbClr val="000000"/>
                </a:fgClr>
                <a:bgClr>
                  <a:srgbClr val="FFFFFF"/>
                </a:bgClr>
              </a:pattFill>
              <a:prstDash val="solid"/>
            </a:ln>
          </c:spPr>
          <c:marker>
            <c:symbol val="none"/>
          </c:marker>
          <c:xVal>
            <c:numLit>
              <c:formatCode>General</c:formatCode>
              <c:ptCount val="14"/>
              <c:pt idx="0">
                <c:v>0</c:v>
              </c:pt>
              <c:pt idx="1">
                <c:v>20</c:v>
              </c:pt>
              <c:pt idx="2">
                <c:v>100</c:v>
              </c:pt>
              <c:pt idx="3">
                <c:v>200</c:v>
              </c:pt>
              <c:pt idx="4">
                <c:v>300</c:v>
              </c:pt>
              <c:pt idx="5">
                <c:v>400</c:v>
              </c:pt>
              <c:pt idx="6">
                <c:v>500</c:v>
              </c:pt>
              <c:pt idx="7">
                <c:v>600</c:v>
              </c:pt>
              <c:pt idx="8">
                <c:v>700</c:v>
              </c:pt>
              <c:pt idx="9">
                <c:v>800</c:v>
              </c:pt>
              <c:pt idx="10">
                <c:v>900</c:v>
              </c:pt>
              <c:pt idx="11">
                <c:v>1000</c:v>
              </c:pt>
              <c:pt idx="12">
                <c:v>1100</c:v>
              </c:pt>
              <c:pt idx="13">
                <c:v>1200</c:v>
              </c:pt>
            </c:numLit>
          </c:xVal>
          <c:y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yVal>
          <c:smooth val="0"/>
          <c:extLst>
            <c:ext xmlns:c16="http://schemas.microsoft.com/office/drawing/2014/chart" uri="{C3380CC4-5D6E-409C-BE32-E72D297353CC}">
              <c16:uniqueId val="{00000001-FAB0-4C11-8139-EE50FCE7A0A0}"/>
            </c:ext>
          </c:extLst>
        </c:ser>
        <c:dLbls>
          <c:showLegendKey val="0"/>
          <c:showVal val="0"/>
          <c:showCatName val="0"/>
          <c:showSerName val="0"/>
          <c:showPercent val="0"/>
          <c:showBubbleSize val="0"/>
        </c:dLbls>
        <c:axId val="1395832592"/>
        <c:axId val="1"/>
      </c:scatterChart>
      <c:valAx>
        <c:axId val="1395832592"/>
        <c:scaling>
          <c:orientation val="minMax"/>
          <c:max val="1200"/>
          <c:min val="0"/>
        </c:scaling>
        <c:delete val="0"/>
        <c:axPos val="b"/>
        <c:majorGridlines>
          <c:spPr>
            <a:ln w="12700">
              <a:pattFill prst="pct75">
                <a:fgClr>
                  <a:srgbClr val="000000"/>
                </a:fgClr>
                <a:bgClr>
                  <a:srgbClr val="FFFFFF"/>
                </a:bgClr>
              </a:pattFill>
              <a:prstDash val="solid"/>
            </a:ln>
          </c:spPr>
        </c:majorGridlines>
        <c:minorGridlines>
          <c:spPr>
            <a:ln w="12700">
              <a:pattFill prst="pct75">
                <a:fgClr>
                  <a:srgbClr val="000000"/>
                </a:fgClr>
                <a:bgClr>
                  <a:srgbClr val="FFFFFF"/>
                </a:bgClr>
              </a:pattFill>
              <a:prstDash val="solid"/>
            </a:ln>
          </c:spPr>
        </c:minorGridlines>
        <c:title>
          <c:tx>
            <c:rich>
              <a:bodyPr/>
              <a:lstStyle/>
              <a:p>
                <a:pPr>
                  <a:defRPr sz="1000" b="0" i="0" u="none" strike="noStrike" baseline="0">
                    <a:solidFill>
                      <a:srgbClr val="000000"/>
                    </a:solidFill>
                    <a:latin typeface="Arial MT"/>
                    <a:ea typeface="Arial MT"/>
                    <a:cs typeface="Arial MT"/>
                  </a:defRPr>
                </a:pPr>
                <a:r>
                  <a:rPr lang="da-DK"/>
                  <a:t>temperatur gr.C.</a:t>
                </a:r>
              </a:p>
            </c:rich>
          </c:tx>
          <c:layout>
            <c:manualLayout>
              <c:xMode val="edge"/>
              <c:yMode val="edge"/>
              <c:x val="0.36708915659046892"/>
              <c:y val="0.9086539366854328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
        <c:crosses val="autoZero"/>
        <c:crossBetween val="midCat"/>
        <c:majorUnit val="200"/>
        <c:minorUnit val="50"/>
      </c:valAx>
      <c:valAx>
        <c:axId val="1"/>
        <c:scaling>
          <c:orientation val="minMax"/>
          <c:max val="1"/>
        </c:scaling>
        <c:delete val="0"/>
        <c:axPos val="l"/>
        <c:majorGridlines>
          <c:spPr>
            <a:ln w="12700">
              <a:pattFill prst="pct75">
                <a:fgClr>
                  <a:srgbClr val="000000"/>
                </a:fgClr>
                <a:bgClr>
                  <a:srgbClr val="FFFFFF"/>
                </a:bgClr>
              </a:pattFill>
              <a:prstDash val="solid"/>
            </a:ln>
          </c:spPr>
        </c:majorGridlines>
        <c:minorGridlines>
          <c:spPr>
            <a:ln w="12700">
              <a:pattFill prst="pct75">
                <a:fgClr>
                  <a:srgbClr val="000000"/>
                </a:fgClr>
                <a:bgClr>
                  <a:srgbClr val="FFFFFF"/>
                </a:bgClr>
              </a:pattFill>
              <a:prstDash val="solid"/>
            </a:ln>
          </c:spPr>
        </c:minorGridlines>
        <c:title>
          <c:tx>
            <c:rich>
              <a:bodyPr/>
              <a:lstStyle/>
              <a:p>
                <a:pPr>
                  <a:defRPr sz="1000" b="0" i="0" u="none" strike="noStrike" baseline="0">
                    <a:solidFill>
                      <a:srgbClr val="000000"/>
                    </a:solidFill>
                    <a:latin typeface="Arial MT"/>
                    <a:ea typeface="Arial MT"/>
                    <a:cs typeface="Arial MT"/>
                  </a:defRPr>
                </a:pPr>
                <a:r>
                  <a:rPr lang="da-DK"/>
                  <a:t>reduktionsfaktor hhv. udnyttelsesgrad</a:t>
                </a:r>
              </a:p>
            </c:rich>
          </c:tx>
          <c:layout>
            <c:manualLayout>
              <c:xMode val="edge"/>
              <c:yMode val="edge"/>
              <c:x val="2.2503383658239302E-2"/>
              <c:y val="0.24038460794366304"/>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MT"/>
                <a:ea typeface="Arial MT"/>
                <a:cs typeface="Arial MT"/>
              </a:defRPr>
            </a:pPr>
            <a:endParaRPr lang="da-DK"/>
          </a:p>
        </c:txPr>
        <c:crossAx val="1395832592"/>
        <c:crosses val="autoZero"/>
        <c:crossBetween val="midCat"/>
        <c:majorUnit val="0.1"/>
      </c:valAx>
      <c:spPr>
        <a:solidFill>
          <a:srgbClr val="FFFFFF"/>
        </a:solidFill>
        <a:ln w="12700">
          <a:solidFill>
            <a:srgbClr val="000000"/>
          </a:solidFill>
          <a:prstDash val="solid"/>
        </a:ln>
      </c:spPr>
    </c:plotArea>
    <c:legend>
      <c:legendPos val="r"/>
      <c:layout>
        <c:manualLayout>
          <c:xMode val="edge"/>
          <c:yMode val="edge"/>
          <c:x val="0.77605910372314568"/>
          <c:y val="0.43751436475845928"/>
          <c:w val="0.20400086741294088"/>
          <c:h val="0.10577260152063306"/>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MT"/>
              <a:ea typeface="Arial MT"/>
              <a:cs typeface="Arial MT"/>
            </a:defRPr>
          </a:pPr>
          <a:endParaRPr lang="da-DK"/>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da-DK"/>
    </a:p>
  </c:txPr>
  <c:printSettings>
    <c:headerFooter alignWithMargins="0"/>
    <c:pageMargins b="1" l="0.75" r="0.75" t="1" header="0" footer="0"/>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2.jpeg"/><Relationship Id="rId3" Type="http://schemas.openxmlformats.org/officeDocument/2006/relationships/chart" Target="../charts/chart3.xml"/><Relationship Id="rId7"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6858000" y="9525"/>
          <a:ext cx="0" cy="914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723900</xdr:colOff>
      <xdr:row>110</xdr:row>
      <xdr:rowOff>123825</xdr:rowOff>
    </xdr:from>
    <xdr:to>
      <xdr:col>5</xdr:col>
      <xdr:colOff>723900</xdr:colOff>
      <xdr:row>112</xdr:row>
      <xdr:rowOff>47625</xdr:rowOff>
    </xdr:to>
    <xdr:sp macro="" textlink="">
      <xdr:nvSpPr>
        <xdr:cNvPr id="3" name="Line 2">
          <a:extLst>
            <a:ext uri="{FF2B5EF4-FFF2-40B4-BE49-F238E27FC236}">
              <a16:creationId xmlns:a16="http://schemas.microsoft.com/office/drawing/2014/main" id="{00000000-0008-0000-0000-000003000000}"/>
            </a:ext>
          </a:extLst>
        </xdr:cNvPr>
        <xdr:cNvSpPr>
          <a:spLocks noChangeShapeType="1"/>
        </xdr:cNvSpPr>
      </xdr:nvSpPr>
      <xdr:spPr bwMode="auto">
        <a:xfrm>
          <a:off x="3381375" y="214122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110</xdr:row>
      <xdr:rowOff>142875</xdr:rowOff>
    </xdr:from>
    <xdr:to>
      <xdr:col>6</xdr:col>
      <xdr:colOff>19050</xdr:colOff>
      <xdr:row>110</xdr:row>
      <xdr:rowOff>142875</xdr:rowOff>
    </xdr:to>
    <xdr:sp macro="" textlink="">
      <xdr:nvSpPr>
        <xdr:cNvPr id="4" name="Line 3">
          <a:extLst>
            <a:ext uri="{FF2B5EF4-FFF2-40B4-BE49-F238E27FC236}">
              <a16:creationId xmlns:a16="http://schemas.microsoft.com/office/drawing/2014/main" id="{00000000-0008-0000-0000-000004000000}"/>
            </a:ext>
          </a:extLst>
        </xdr:cNvPr>
        <xdr:cNvSpPr>
          <a:spLocks noChangeShapeType="1"/>
        </xdr:cNvSpPr>
      </xdr:nvSpPr>
      <xdr:spPr bwMode="auto">
        <a:xfrm>
          <a:off x="3228975" y="21431250"/>
          <a:ext cx="200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11</xdr:col>
          <xdr:colOff>352425</xdr:colOff>
          <xdr:row>6</xdr:row>
          <xdr:rowOff>76200</xdr:rowOff>
        </xdr:from>
        <xdr:to>
          <xdr:col>13</xdr:col>
          <xdr:colOff>0</xdr:colOff>
          <xdr:row>9</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fra UdskriftsarkA</a:t>
              </a:r>
            </a:p>
          </xdr:txBody>
        </xdr:sp>
        <xdr:clientData fLocksWithSheet="0" fPrintsWithSheet="0"/>
      </xdr:twoCellAnchor>
    </mc:Choice>
    <mc:Fallback/>
  </mc:AlternateContent>
  <xdr:twoCellAnchor>
    <xdr:from>
      <xdr:col>0</xdr:col>
      <xdr:colOff>866775</xdr:colOff>
      <xdr:row>477</xdr:row>
      <xdr:rowOff>19050</xdr:rowOff>
    </xdr:from>
    <xdr:to>
      <xdr:col>12</xdr:col>
      <xdr:colOff>409575</xdr:colOff>
      <xdr:row>497</xdr:row>
      <xdr:rowOff>171450</xdr:rowOff>
    </xdr:to>
    <xdr:graphicFrame macro="">
      <xdr:nvGraphicFramePr>
        <xdr:cNvPr id="6" name="Diagram 6">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9525</xdr:colOff>
          <xdr:row>4</xdr:row>
          <xdr:rowOff>38100</xdr:rowOff>
        </xdr:from>
        <xdr:to>
          <xdr:col>18</xdr:col>
          <xdr:colOff>542925</xdr:colOff>
          <xdr:row>5</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Udskriv Brand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472</xdr:row>
          <xdr:rowOff>123825</xdr:rowOff>
        </xdr:from>
        <xdr:to>
          <xdr:col>5</xdr:col>
          <xdr:colOff>200025</xdr:colOff>
          <xdr:row>474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Udskriv Brand</a:t>
              </a:r>
            </a:p>
          </xdr:txBody>
        </xdr:sp>
        <xdr:clientData fLocksWithSheet="0"/>
      </xdr:twoCellAnchor>
    </mc:Choice>
    <mc:Fallback/>
  </mc:AlternateContent>
  <xdr:twoCellAnchor>
    <xdr:from>
      <xdr:col>13</xdr:col>
      <xdr:colOff>409575</xdr:colOff>
      <xdr:row>21</xdr:row>
      <xdr:rowOff>0</xdr:rowOff>
    </xdr:from>
    <xdr:to>
      <xdr:col>13</xdr:col>
      <xdr:colOff>523875</xdr:colOff>
      <xdr:row>23</xdr:row>
      <xdr:rowOff>28575</xdr:rowOff>
    </xdr:to>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flipV="1">
          <a:off x="8553450" y="3857625"/>
          <a:ext cx="114300" cy="419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114300</xdr:colOff>
      <xdr:row>14</xdr:row>
      <xdr:rowOff>104775</xdr:rowOff>
    </xdr:from>
    <xdr:to>
      <xdr:col>14</xdr:col>
      <xdr:colOff>561975</xdr:colOff>
      <xdr:row>14</xdr:row>
      <xdr:rowOff>104775</xdr:rowOff>
    </xdr:to>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8258175" y="2600325"/>
          <a:ext cx="1543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466725</xdr:colOff>
      <xdr:row>13</xdr:row>
      <xdr:rowOff>0</xdr:rowOff>
    </xdr:from>
    <xdr:to>
      <xdr:col>13</xdr:col>
      <xdr:colOff>628650</xdr:colOff>
      <xdr:row>13</xdr:row>
      <xdr:rowOff>152400</xdr:rowOff>
    </xdr:to>
    <xdr:sp macro="" textlink="">
      <xdr:nvSpPr>
        <xdr:cNvPr id="11" name="Oval 11">
          <a:extLst>
            <a:ext uri="{FF2B5EF4-FFF2-40B4-BE49-F238E27FC236}">
              <a16:creationId xmlns:a16="http://schemas.microsoft.com/office/drawing/2014/main" id="{00000000-0008-0000-0000-00000B000000}"/>
            </a:ext>
          </a:extLst>
        </xdr:cNvPr>
        <xdr:cNvSpPr>
          <a:spLocks noChangeArrowheads="1"/>
        </xdr:cNvSpPr>
      </xdr:nvSpPr>
      <xdr:spPr bwMode="auto">
        <a:xfrm>
          <a:off x="8610600" y="2305050"/>
          <a:ext cx="161925" cy="15240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13</xdr:col>
      <xdr:colOff>76200</xdr:colOff>
      <xdr:row>13</xdr:row>
      <xdr:rowOff>28575</xdr:rowOff>
    </xdr:from>
    <xdr:to>
      <xdr:col>13</xdr:col>
      <xdr:colOff>171450</xdr:colOff>
      <xdr:row>13</xdr:row>
      <xdr:rowOff>123825</xdr:rowOff>
    </xdr:to>
    <xdr:sp macro="" textlink="">
      <xdr:nvSpPr>
        <xdr:cNvPr id="12" name="Oval 12">
          <a:extLst>
            <a:ext uri="{FF2B5EF4-FFF2-40B4-BE49-F238E27FC236}">
              <a16:creationId xmlns:a16="http://schemas.microsoft.com/office/drawing/2014/main" id="{00000000-0008-0000-0000-00000C000000}"/>
            </a:ext>
          </a:extLst>
        </xdr:cNvPr>
        <xdr:cNvSpPr>
          <a:spLocks noChangeArrowheads="1"/>
        </xdr:cNvSpPr>
      </xdr:nvSpPr>
      <xdr:spPr bwMode="auto">
        <a:xfrm>
          <a:off x="8220075" y="233362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14</xdr:col>
      <xdr:colOff>228600</xdr:colOff>
      <xdr:row>13</xdr:row>
      <xdr:rowOff>19050</xdr:rowOff>
    </xdr:from>
    <xdr:to>
      <xdr:col>14</xdr:col>
      <xdr:colOff>342900</xdr:colOff>
      <xdr:row>13</xdr:row>
      <xdr:rowOff>123825</xdr:rowOff>
    </xdr:to>
    <xdr:sp macro="" textlink="">
      <xdr:nvSpPr>
        <xdr:cNvPr id="13" name="Oval 13">
          <a:extLst>
            <a:ext uri="{FF2B5EF4-FFF2-40B4-BE49-F238E27FC236}">
              <a16:creationId xmlns:a16="http://schemas.microsoft.com/office/drawing/2014/main" id="{00000000-0008-0000-0000-00000D000000}"/>
            </a:ext>
          </a:extLst>
        </xdr:cNvPr>
        <xdr:cNvSpPr>
          <a:spLocks noChangeArrowheads="1"/>
        </xdr:cNvSpPr>
      </xdr:nvSpPr>
      <xdr:spPr bwMode="auto">
        <a:xfrm>
          <a:off x="9467850" y="2324100"/>
          <a:ext cx="114300" cy="104775"/>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13</xdr:col>
      <xdr:colOff>209550</xdr:colOff>
      <xdr:row>13</xdr:row>
      <xdr:rowOff>161925</xdr:rowOff>
    </xdr:from>
    <xdr:to>
      <xdr:col>14</xdr:col>
      <xdr:colOff>28575</xdr:colOff>
      <xdr:row>13</xdr:row>
      <xdr:rowOff>161925</xdr:rowOff>
    </xdr:to>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8353425" y="2466975"/>
          <a:ext cx="914400" cy="0"/>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47625</xdr:colOff>
      <xdr:row>13</xdr:row>
      <xdr:rowOff>76200</xdr:rowOff>
    </xdr:from>
    <xdr:to>
      <xdr:col>14</xdr:col>
      <xdr:colOff>485775</xdr:colOff>
      <xdr:row>13</xdr:row>
      <xdr:rowOff>76200</xdr:rowOff>
    </xdr:to>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8191500" y="2381250"/>
          <a:ext cx="1533525" cy="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371475</xdr:colOff>
      <xdr:row>9</xdr:row>
      <xdr:rowOff>123825</xdr:rowOff>
    </xdr:from>
    <xdr:to>
      <xdr:col>13</xdr:col>
      <xdr:colOff>695325</xdr:colOff>
      <xdr:row>14</xdr:row>
      <xdr:rowOff>161925</xdr:rowOff>
    </xdr:to>
    <xdr:sp macro="" textlink="">
      <xdr:nvSpPr>
        <xdr:cNvPr id="16" name="Tegning 16">
          <a:extLst>
            <a:ext uri="{FF2B5EF4-FFF2-40B4-BE49-F238E27FC236}">
              <a16:creationId xmlns:a16="http://schemas.microsoft.com/office/drawing/2014/main" id="{00000000-0008-0000-0000-000010000000}"/>
            </a:ext>
          </a:extLst>
        </xdr:cNvPr>
        <xdr:cNvSpPr>
          <a:spLocks/>
        </xdr:cNvSpPr>
      </xdr:nvSpPr>
      <xdr:spPr bwMode="auto">
        <a:xfrm>
          <a:off x="8515350" y="1638300"/>
          <a:ext cx="323850" cy="1019175"/>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13</xdr:col>
      <xdr:colOff>333375</xdr:colOff>
      <xdr:row>13</xdr:row>
      <xdr:rowOff>133350</xdr:rowOff>
    </xdr:from>
    <xdr:to>
      <xdr:col>13</xdr:col>
      <xdr:colOff>409575</xdr:colOff>
      <xdr:row>14</xdr:row>
      <xdr:rowOff>9525</xdr:rowOff>
    </xdr:to>
    <xdr:sp macro="" textlink="">
      <xdr:nvSpPr>
        <xdr:cNvPr id="17" name="Line 17">
          <a:extLst>
            <a:ext uri="{FF2B5EF4-FFF2-40B4-BE49-F238E27FC236}">
              <a16:creationId xmlns:a16="http://schemas.microsoft.com/office/drawing/2014/main" id="{00000000-0008-0000-0000-000011000000}"/>
            </a:ext>
          </a:extLst>
        </xdr:cNvPr>
        <xdr:cNvSpPr>
          <a:spLocks noChangeShapeType="1"/>
        </xdr:cNvSpPr>
      </xdr:nvSpPr>
      <xdr:spPr bwMode="auto">
        <a:xfrm flipH="1">
          <a:off x="8477250" y="24384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342900</xdr:colOff>
      <xdr:row>14</xdr:row>
      <xdr:rowOff>57150</xdr:rowOff>
    </xdr:from>
    <xdr:to>
      <xdr:col>13</xdr:col>
      <xdr:colOff>409575</xdr:colOff>
      <xdr:row>14</xdr:row>
      <xdr:rowOff>133350</xdr:rowOff>
    </xdr:to>
    <xdr:sp macro="" textlink="">
      <xdr:nvSpPr>
        <xdr:cNvPr id="18" name="Line 18">
          <a:extLst>
            <a:ext uri="{FF2B5EF4-FFF2-40B4-BE49-F238E27FC236}">
              <a16:creationId xmlns:a16="http://schemas.microsoft.com/office/drawing/2014/main" id="{00000000-0008-0000-0000-000012000000}"/>
            </a:ext>
          </a:extLst>
        </xdr:cNvPr>
        <xdr:cNvSpPr>
          <a:spLocks noChangeShapeType="1"/>
        </xdr:cNvSpPr>
      </xdr:nvSpPr>
      <xdr:spPr bwMode="auto">
        <a:xfrm flipH="1">
          <a:off x="8486775" y="255270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676275</xdr:colOff>
      <xdr:row>13</xdr:row>
      <xdr:rowOff>38100</xdr:rowOff>
    </xdr:from>
    <xdr:to>
      <xdr:col>13</xdr:col>
      <xdr:colOff>742950</xdr:colOff>
      <xdr:row>13</xdr:row>
      <xdr:rowOff>114300</xdr:rowOff>
    </xdr:to>
    <xdr:sp macro="" textlink="">
      <xdr:nvSpPr>
        <xdr:cNvPr id="19" name="Line 19">
          <a:extLst>
            <a:ext uri="{FF2B5EF4-FFF2-40B4-BE49-F238E27FC236}">
              <a16:creationId xmlns:a16="http://schemas.microsoft.com/office/drawing/2014/main" id="{00000000-0008-0000-0000-000013000000}"/>
            </a:ext>
          </a:extLst>
        </xdr:cNvPr>
        <xdr:cNvSpPr>
          <a:spLocks noChangeShapeType="1"/>
        </xdr:cNvSpPr>
      </xdr:nvSpPr>
      <xdr:spPr bwMode="auto">
        <a:xfrm flipH="1">
          <a:off x="8820150" y="234315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666750</xdr:colOff>
      <xdr:row>13</xdr:row>
      <xdr:rowOff>123825</xdr:rowOff>
    </xdr:from>
    <xdr:to>
      <xdr:col>13</xdr:col>
      <xdr:colOff>742950</xdr:colOff>
      <xdr:row>14</xdr:row>
      <xdr:rowOff>0</xdr:rowOff>
    </xdr:to>
    <xdr:sp macro="" textlink="">
      <xdr:nvSpPr>
        <xdr:cNvPr id="20" name="Line 20">
          <a:extLst>
            <a:ext uri="{FF2B5EF4-FFF2-40B4-BE49-F238E27FC236}">
              <a16:creationId xmlns:a16="http://schemas.microsoft.com/office/drawing/2014/main" id="{00000000-0008-0000-0000-000014000000}"/>
            </a:ext>
          </a:extLst>
        </xdr:cNvPr>
        <xdr:cNvSpPr>
          <a:spLocks noChangeShapeType="1"/>
        </xdr:cNvSpPr>
      </xdr:nvSpPr>
      <xdr:spPr bwMode="auto">
        <a:xfrm flipH="1">
          <a:off x="8810625" y="242887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704850</xdr:colOff>
      <xdr:row>12</xdr:row>
      <xdr:rowOff>123825</xdr:rowOff>
    </xdr:from>
    <xdr:to>
      <xdr:col>13</xdr:col>
      <xdr:colOff>838200</xdr:colOff>
      <xdr:row>12</xdr:row>
      <xdr:rowOff>123825</xdr:rowOff>
    </xdr:to>
    <xdr:sp macro="" textlink="">
      <xdr:nvSpPr>
        <xdr:cNvPr id="21" name="Line 21">
          <a:extLst>
            <a:ext uri="{FF2B5EF4-FFF2-40B4-BE49-F238E27FC236}">
              <a16:creationId xmlns:a16="http://schemas.microsoft.com/office/drawing/2014/main" id="{00000000-0008-0000-0000-000015000000}"/>
            </a:ext>
          </a:extLst>
        </xdr:cNvPr>
        <xdr:cNvSpPr>
          <a:spLocks noChangeShapeType="1"/>
        </xdr:cNvSpPr>
      </xdr:nvSpPr>
      <xdr:spPr bwMode="auto">
        <a:xfrm>
          <a:off x="8848725" y="2238375"/>
          <a:ext cx="1333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704850</xdr:colOff>
      <xdr:row>11</xdr:row>
      <xdr:rowOff>104775</xdr:rowOff>
    </xdr:from>
    <xdr:to>
      <xdr:col>13</xdr:col>
      <xdr:colOff>838200</xdr:colOff>
      <xdr:row>13</xdr:row>
      <xdr:rowOff>180975</xdr:rowOff>
    </xdr:to>
    <xdr:sp macro="" textlink="">
      <xdr:nvSpPr>
        <xdr:cNvPr id="22" name="Tegning 22">
          <a:extLst>
            <a:ext uri="{FF2B5EF4-FFF2-40B4-BE49-F238E27FC236}">
              <a16:creationId xmlns:a16="http://schemas.microsoft.com/office/drawing/2014/main" id="{00000000-0008-0000-0000-000016000000}"/>
            </a:ext>
          </a:extLst>
        </xdr:cNvPr>
        <xdr:cNvSpPr>
          <a:spLocks/>
        </xdr:cNvSpPr>
      </xdr:nvSpPr>
      <xdr:spPr bwMode="auto">
        <a:xfrm>
          <a:off x="8848725" y="2019300"/>
          <a:ext cx="133350" cy="466725"/>
        </a:xfrm>
        <a:custGeom>
          <a:avLst/>
          <a:gdLst>
            <a:gd name="T0" fmla="*/ 0 w 16384"/>
            <a:gd name="T1" fmla="*/ 2147483647 h 16384"/>
            <a:gd name="T2" fmla="*/ 0 w 16384"/>
            <a:gd name="T3" fmla="*/ 0 h 16384"/>
            <a:gd name="T4" fmla="*/ 2147483647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xdr:colOff>
      <xdr:row>89</xdr:row>
      <xdr:rowOff>38100</xdr:rowOff>
    </xdr:from>
    <xdr:to>
      <xdr:col>5</xdr:col>
      <xdr:colOff>95250</xdr:colOff>
      <xdr:row>93</xdr:row>
      <xdr:rowOff>104775</xdr:rowOff>
    </xdr:to>
    <xdr:sp macro="" textlink="">
      <xdr:nvSpPr>
        <xdr:cNvPr id="23" name="Tegning 23">
          <a:extLst>
            <a:ext uri="{FF2B5EF4-FFF2-40B4-BE49-F238E27FC236}">
              <a16:creationId xmlns:a16="http://schemas.microsoft.com/office/drawing/2014/main" id="{00000000-0008-0000-0000-000017000000}"/>
            </a:ext>
          </a:extLst>
        </xdr:cNvPr>
        <xdr:cNvSpPr>
          <a:spLocks/>
        </xdr:cNvSpPr>
      </xdr:nvSpPr>
      <xdr:spPr bwMode="auto">
        <a:xfrm>
          <a:off x="1390650" y="17240250"/>
          <a:ext cx="1362075" cy="838200"/>
        </a:xfrm>
        <a:custGeom>
          <a:avLst/>
          <a:gdLst>
            <a:gd name="T0" fmla="*/ 2147483647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74" y="0"/>
              </a:moveTo>
              <a:lnTo>
                <a:pt x="9235" y="0"/>
              </a:lnTo>
              <a:lnTo>
                <a:pt x="9235" y="7851"/>
              </a:lnTo>
              <a:lnTo>
                <a:pt x="16384" y="7851"/>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xdr:colOff>
      <xdr:row>89</xdr:row>
      <xdr:rowOff>142875</xdr:rowOff>
    </xdr:from>
    <xdr:to>
      <xdr:col>5</xdr:col>
      <xdr:colOff>19050</xdr:colOff>
      <xdr:row>93</xdr:row>
      <xdr:rowOff>28575</xdr:rowOff>
    </xdr:to>
    <xdr:sp macro="" textlink="">
      <xdr:nvSpPr>
        <xdr:cNvPr id="24" name="Tegning 24">
          <a:extLst>
            <a:ext uri="{FF2B5EF4-FFF2-40B4-BE49-F238E27FC236}">
              <a16:creationId xmlns:a16="http://schemas.microsoft.com/office/drawing/2014/main" id="{00000000-0008-0000-0000-000018000000}"/>
            </a:ext>
          </a:extLst>
        </xdr:cNvPr>
        <xdr:cNvSpPr>
          <a:spLocks/>
        </xdr:cNvSpPr>
      </xdr:nvSpPr>
      <xdr:spPr bwMode="auto">
        <a:xfrm>
          <a:off x="1390650" y="17345025"/>
          <a:ext cx="1285875" cy="657225"/>
        </a:xfrm>
        <a:custGeom>
          <a:avLst/>
          <a:gdLst>
            <a:gd name="T0" fmla="*/ 2147483647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2147483647 w 16384"/>
            <a:gd name="T13" fmla="*/ 2147483647 h 16384"/>
            <a:gd name="T14" fmla="*/ 2147483647 w 16384"/>
            <a:gd name="T15" fmla="*/ 2147483647 h 16384"/>
            <a:gd name="T16" fmla="*/ 2147483647 w 16384"/>
            <a:gd name="T17" fmla="*/ 2147483647 h 16384"/>
            <a:gd name="T18" fmla="*/ 2147483647 w 16384"/>
            <a:gd name="T19" fmla="*/ 2147483647 h 16384"/>
            <a:gd name="T20" fmla="*/ 2147483647 w 16384"/>
            <a:gd name="T21" fmla="*/ 2147483647 h 16384"/>
            <a:gd name="T22" fmla="*/ 2147483647 w 16384"/>
            <a:gd name="T23" fmla="*/ 2147483647 h 16384"/>
            <a:gd name="T24" fmla="*/ 2147483647 w 16384"/>
            <a:gd name="T25" fmla="*/ 2147483647 h 16384"/>
            <a:gd name="T26" fmla="*/ 0 w 16384"/>
            <a:gd name="T27" fmla="*/ 2147483647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16384" h="16384">
              <a:moveTo>
                <a:pt x="80" y="0"/>
              </a:moveTo>
              <a:lnTo>
                <a:pt x="7715" y="0"/>
              </a:lnTo>
              <a:lnTo>
                <a:pt x="8112" y="148"/>
              </a:lnTo>
              <a:lnTo>
                <a:pt x="8351" y="886"/>
              </a:lnTo>
              <a:lnTo>
                <a:pt x="8431" y="15056"/>
              </a:lnTo>
              <a:lnTo>
                <a:pt x="8590" y="15941"/>
              </a:lnTo>
              <a:lnTo>
                <a:pt x="9067" y="16384"/>
              </a:lnTo>
              <a:lnTo>
                <a:pt x="15907" y="16384"/>
              </a:lnTo>
              <a:lnTo>
                <a:pt x="16384" y="15794"/>
              </a:lnTo>
              <a:lnTo>
                <a:pt x="16384" y="14908"/>
              </a:lnTo>
              <a:lnTo>
                <a:pt x="16384" y="10775"/>
              </a:lnTo>
              <a:lnTo>
                <a:pt x="16225" y="10185"/>
              </a:lnTo>
              <a:lnTo>
                <a:pt x="15748" y="9594"/>
              </a:lnTo>
              <a:lnTo>
                <a:pt x="0" y="959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89</xdr:row>
      <xdr:rowOff>28575</xdr:rowOff>
    </xdr:from>
    <xdr:to>
      <xdr:col>5</xdr:col>
      <xdr:colOff>28575</xdr:colOff>
      <xdr:row>91</xdr:row>
      <xdr:rowOff>47625</xdr:rowOff>
    </xdr:to>
    <xdr:sp macro="" textlink="">
      <xdr:nvSpPr>
        <xdr:cNvPr id="25" name="Tegning 25">
          <a:extLst>
            <a:ext uri="{FF2B5EF4-FFF2-40B4-BE49-F238E27FC236}">
              <a16:creationId xmlns:a16="http://schemas.microsoft.com/office/drawing/2014/main" id="{00000000-0008-0000-0000-000019000000}"/>
            </a:ext>
          </a:extLst>
        </xdr:cNvPr>
        <xdr:cNvSpPr>
          <a:spLocks/>
        </xdr:cNvSpPr>
      </xdr:nvSpPr>
      <xdr:spPr bwMode="auto">
        <a:xfrm>
          <a:off x="2419350" y="17230725"/>
          <a:ext cx="266700" cy="409575"/>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764" y="0"/>
              </a:moveTo>
              <a:lnTo>
                <a:pt x="8764" y="16384"/>
              </a:lnTo>
              <a:lnTo>
                <a:pt x="16384" y="11703"/>
              </a:lnTo>
              <a:lnTo>
                <a:pt x="8764" y="16384"/>
              </a:lnTo>
              <a:lnTo>
                <a:pt x="0" y="1100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87</xdr:row>
      <xdr:rowOff>161925</xdr:rowOff>
    </xdr:from>
    <xdr:to>
      <xdr:col>4</xdr:col>
      <xdr:colOff>285750</xdr:colOff>
      <xdr:row>87</xdr:row>
      <xdr:rowOff>161925</xdr:rowOff>
    </xdr:to>
    <xdr:sp macro="" textlink="">
      <xdr:nvSpPr>
        <xdr:cNvPr id="26" name="Line 26">
          <a:extLst>
            <a:ext uri="{FF2B5EF4-FFF2-40B4-BE49-F238E27FC236}">
              <a16:creationId xmlns:a16="http://schemas.microsoft.com/office/drawing/2014/main" id="{00000000-0008-0000-0000-00001A000000}"/>
            </a:ext>
          </a:extLst>
        </xdr:cNvPr>
        <xdr:cNvSpPr>
          <a:spLocks noChangeShapeType="1"/>
        </xdr:cNvSpPr>
      </xdr:nvSpPr>
      <xdr:spPr bwMode="auto">
        <a:xfrm>
          <a:off x="1952625" y="16964025"/>
          <a:ext cx="666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87</xdr:row>
      <xdr:rowOff>133350</xdr:rowOff>
    </xdr:from>
    <xdr:to>
      <xdr:col>4</xdr:col>
      <xdr:colOff>228600</xdr:colOff>
      <xdr:row>88</xdr:row>
      <xdr:rowOff>152400</xdr:rowOff>
    </xdr:to>
    <xdr:sp macro="" textlink="">
      <xdr:nvSpPr>
        <xdr:cNvPr id="27" name="Line 27">
          <a:extLst>
            <a:ext uri="{FF2B5EF4-FFF2-40B4-BE49-F238E27FC236}">
              <a16:creationId xmlns:a16="http://schemas.microsoft.com/office/drawing/2014/main" id="{00000000-0008-0000-0000-00001B000000}"/>
            </a:ext>
          </a:extLst>
        </xdr:cNvPr>
        <xdr:cNvSpPr>
          <a:spLocks noChangeShapeType="1"/>
        </xdr:cNvSpPr>
      </xdr:nvSpPr>
      <xdr:spPr bwMode="auto">
        <a:xfrm flipV="1">
          <a:off x="2562225" y="16935450"/>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47625</xdr:colOff>
      <xdr:row>87</xdr:row>
      <xdr:rowOff>104775</xdr:rowOff>
    </xdr:from>
    <xdr:to>
      <xdr:col>3</xdr:col>
      <xdr:colOff>47625</xdr:colOff>
      <xdr:row>89</xdr:row>
      <xdr:rowOff>76200</xdr:rowOff>
    </xdr:to>
    <xdr:sp macro="" textlink="">
      <xdr:nvSpPr>
        <xdr:cNvPr id="28" name="Line 28">
          <a:extLst>
            <a:ext uri="{FF2B5EF4-FFF2-40B4-BE49-F238E27FC236}">
              <a16:creationId xmlns:a16="http://schemas.microsoft.com/office/drawing/2014/main" id="{00000000-0008-0000-0000-00001C000000}"/>
            </a:ext>
          </a:extLst>
        </xdr:cNvPr>
        <xdr:cNvSpPr>
          <a:spLocks noChangeShapeType="1"/>
        </xdr:cNvSpPr>
      </xdr:nvSpPr>
      <xdr:spPr bwMode="auto">
        <a:xfrm flipV="1">
          <a:off x="2009775" y="16906875"/>
          <a:ext cx="0" cy="3714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87</xdr:row>
      <xdr:rowOff>104775</xdr:rowOff>
    </xdr:from>
    <xdr:to>
      <xdr:col>3</xdr:col>
      <xdr:colOff>95250</xdr:colOff>
      <xdr:row>88</xdr:row>
      <xdr:rowOff>9525</xdr:rowOff>
    </xdr:to>
    <xdr:sp macro="" textlink="">
      <xdr:nvSpPr>
        <xdr:cNvPr id="29" name="Line 29">
          <a:extLst>
            <a:ext uri="{FF2B5EF4-FFF2-40B4-BE49-F238E27FC236}">
              <a16:creationId xmlns:a16="http://schemas.microsoft.com/office/drawing/2014/main" id="{00000000-0008-0000-0000-00001D000000}"/>
            </a:ext>
          </a:extLst>
        </xdr:cNvPr>
        <xdr:cNvSpPr>
          <a:spLocks noChangeShapeType="1"/>
        </xdr:cNvSpPr>
      </xdr:nvSpPr>
      <xdr:spPr bwMode="auto">
        <a:xfrm flipH="1">
          <a:off x="1952625" y="1690687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87</xdr:row>
      <xdr:rowOff>114300</xdr:rowOff>
    </xdr:from>
    <xdr:to>
      <xdr:col>4</xdr:col>
      <xdr:colOff>285750</xdr:colOff>
      <xdr:row>88</xdr:row>
      <xdr:rowOff>28575</xdr:rowOff>
    </xdr:to>
    <xdr:sp macro="" textlink="">
      <xdr:nvSpPr>
        <xdr:cNvPr id="30" name="Line 30">
          <a:extLst>
            <a:ext uri="{FF2B5EF4-FFF2-40B4-BE49-F238E27FC236}">
              <a16:creationId xmlns:a16="http://schemas.microsoft.com/office/drawing/2014/main" id="{00000000-0008-0000-0000-00001E000000}"/>
            </a:ext>
          </a:extLst>
        </xdr:cNvPr>
        <xdr:cNvSpPr>
          <a:spLocks noChangeShapeType="1"/>
        </xdr:cNvSpPr>
      </xdr:nvSpPr>
      <xdr:spPr bwMode="auto">
        <a:xfrm flipH="1">
          <a:off x="2505075" y="169164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90</xdr:row>
      <xdr:rowOff>142875</xdr:rowOff>
    </xdr:from>
    <xdr:to>
      <xdr:col>3</xdr:col>
      <xdr:colOff>9525</xdr:colOff>
      <xdr:row>90</xdr:row>
      <xdr:rowOff>142875</xdr:rowOff>
    </xdr:to>
    <xdr:sp macro="" textlink="">
      <xdr:nvSpPr>
        <xdr:cNvPr id="31" name="Line 31">
          <a:extLst>
            <a:ext uri="{FF2B5EF4-FFF2-40B4-BE49-F238E27FC236}">
              <a16:creationId xmlns:a16="http://schemas.microsoft.com/office/drawing/2014/main" id="{00000000-0008-0000-0000-00001F000000}"/>
            </a:ext>
          </a:extLst>
        </xdr:cNvPr>
        <xdr:cNvSpPr>
          <a:spLocks noChangeShapeType="1"/>
        </xdr:cNvSpPr>
      </xdr:nvSpPr>
      <xdr:spPr bwMode="auto">
        <a:xfrm>
          <a:off x="1781175" y="1754505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90</xdr:row>
      <xdr:rowOff>104775</xdr:rowOff>
    </xdr:from>
    <xdr:to>
      <xdr:col>3</xdr:col>
      <xdr:colOff>104775</xdr:colOff>
      <xdr:row>90</xdr:row>
      <xdr:rowOff>180975</xdr:rowOff>
    </xdr:to>
    <xdr:sp macro="" textlink="">
      <xdr:nvSpPr>
        <xdr:cNvPr id="32" name="Oval 32">
          <a:extLst>
            <a:ext uri="{FF2B5EF4-FFF2-40B4-BE49-F238E27FC236}">
              <a16:creationId xmlns:a16="http://schemas.microsoft.com/office/drawing/2014/main" id="{00000000-0008-0000-0000-000020000000}"/>
            </a:ext>
          </a:extLst>
        </xdr:cNvPr>
        <xdr:cNvSpPr>
          <a:spLocks noChangeArrowheads="1"/>
        </xdr:cNvSpPr>
      </xdr:nvSpPr>
      <xdr:spPr bwMode="auto">
        <a:xfrm>
          <a:off x="1981200" y="17506950"/>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91</xdr:row>
      <xdr:rowOff>104775</xdr:rowOff>
    </xdr:from>
    <xdr:to>
      <xdr:col>4</xdr:col>
      <xdr:colOff>161925</xdr:colOff>
      <xdr:row>91</xdr:row>
      <xdr:rowOff>171450</xdr:rowOff>
    </xdr:to>
    <xdr:sp macro="" textlink="">
      <xdr:nvSpPr>
        <xdr:cNvPr id="33" name="Oval 33">
          <a:extLst>
            <a:ext uri="{FF2B5EF4-FFF2-40B4-BE49-F238E27FC236}">
              <a16:creationId xmlns:a16="http://schemas.microsoft.com/office/drawing/2014/main" id="{00000000-0008-0000-0000-000021000000}"/>
            </a:ext>
          </a:extLst>
        </xdr:cNvPr>
        <xdr:cNvSpPr>
          <a:spLocks noChangeArrowheads="1"/>
        </xdr:cNvSpPr>
      </xdr:nvSpPr>
      <xdr:spPr bwMode="auto">
        <a:xfrm>
          <a:off x="2419350" y="1769745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89</xdr:row>
      <xdr:rowOff>171450</xdr:rowOff>
    </xdr:from>
    <xdr:to>
      <xdr:col>3</xdr:col>
      <xdr:colOff>28575</xdr:colOff>
      <xdr:row>90</xdr:row>
      <xdr:rowOff>9525</xdr:rowOff>
    </xdr:to>
    <xdr:sp macro="" textlink="">
      <xdr:nvSpPr>
        <xdr:cNvPr id="34" name="Oval 36">
          <a:extLst>
            <a:ext uri="{FF2B5EF4-FFF2-40B4-BE49-F238E27FC236}">
              <a16:creationId xmlns:a16="http://schemas.microsoft.com/office/drawing/2014/main" id="{00000000-0008-0000-0000-000022000000}"/>
            </a:ext>
          </a:extLst>
        </xdr:cNvPr>
        <xdr:cNvSpPr>
          <a:spLocks noChangeArrowheads="1"/>
        </xdr:cNvSpPr>
      </xdr:nvSpPr>
      <xdr:spPr bwMode="auto">
        <a:xfrm>
          <a:off x="1952625" y="173736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390525</xdr:colOff>
      <xdr:row>91</xdr:row>
      <xdr:rowOff>161925</xdr:rowOff>
    </xdr:from>
    <xdr:to>
      <xdr:col>5</xdr:col>
      <xdr:colOff>685800</xdr:colOff>
      <xdr:row>91</xdr:row>
      <xdr:rowOff>161925</xdr:rowOff>
    </xdr:to>
    <xdr:sp macro="" textlink="">
      <xdr:nvSpPr>
        <xdr:cNvPr id="35" name="Line 37">
          <a:extLst>
            <a:ext uri="{FF2B5EF4-FFF2-40B4-BE49-F238E27FC236}">
              <a16:creationId xmlns:a16="http://schemas.microsoft.com/office/drawing/2014/main" id="{00000000-0008-0000-0000-000023000000}"/>
            </a:ext>
          </a:extLst>
        </xdr:cNvPr>
        <xdr:cNvSpPr>
          <a:spLocks noChangeShapeType="1"/>
        </xdr:cNvSpPr>
      </xdr:nvSpPr>
      <xdr:spPr bwMode="auto">
        <a:xfrm>
          <a:off x="3048000" y="17754600"/>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93</xdr:row>
      <xdr:rowOff>114300</xdr:rowOff>
    </xdr:from>
    <xdr:to>
      <xdr:col>5</xdr:col>
      <xdr:colOff>676275</xdr:colOff>
      <xdr:row>93</xdr:row>
      <xdr:rowOff>114300</xdr:rowOff>
    </xdr:to>
    <xdr:sp macro="" textlink="">
      <xdr:nvSpPr>
        <xdr:cNvPr id="36" name="Line 38">
          <a:extLst>
            <a:ext uri="{FF2B5EF4-FFF2-40B4-BE49-F238E27FC236}">
              <a16:creationId xmlns:a16="http://schemas.microsoft.com/office/drawing/2014/main" id="{00000000-0008-0000-0000-000024000000}"/>
            </a:ext>
          </a:extLst>
        </xdr:cNvPr>
        <xdr:cNvSpPr>
          <a:spLocks noChangeShapeType="1"/>
        </xdr:cNvSpPr>
      </xdr:nvSpPr>
      <xdr:spPr bwMode="auto">
        <a:xfrm>
          <a:off x="2809875" y="18087975"/>
          <a:ext cx="523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619125</xdr:colOff>
      <xdr:row>91</xdr:row>
      <xdr:rowOff>0</xdr:rowOff>
    </xdr:from>
    <xdr:to>
      <xdr:col>5</xdr:col>
      <xdr:colOff>619125</xdr:colOff>
      <xdr:row>93</xdr:row>
      <xdr:rowOff>142875</xdr:rowOff>
    </xdr:to>
    <xdr:sp macro="" textlink="">
      <xdr:nvSpPr>
        <xdr:cNvPr id="37" name="Line 39">
          <a:extLst>
            <a:ext uri="{FF2B5EF4-FFF2-40B4-BE49-F238E27FC236}">
              <a16:creationId xmlns:a16="http://schemas.microsoft.com/office/drawing/2014/main" id="{00000000-0008-0000-0000-000025000000}"/>
            </a:ext>
          </a:extLst>
        </xdr:cNvPr>
        <xdr:cNvSpPr>
          <a:spLocks noChangeShapeType="1"/>
        </xdr:cNvSpPr>
      </xdr:nvSpPr>
      <xdr:spPr bwMode="auto">
        <a:xfrm>
          <a:off x="3276600" y="17592675"/>
          <a:ext cx="0"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91</xdr:row>
      <xdr:rowOff>114300</xdr:rowOff>
    </xdr:from>
    <xdr:to>
      <xdr:col>5</xdr:col>
      <xdr:colOff>676275</xdr:colOff>
      <xdr:row>92</xdr:row>
      <xdr:rowOff>19050</xdr:rowOff>
    </xdr:to>
    <xdr:sp macro="" textlink="">
      <xdr:nvSpPr>
        <xdr:cNvPr id="38" name="Line 40">
          <a:extLst>
            <a:ext uri="{FF2B5EF4-FFF2-40B4-BE49-F238E27FC236}">
              <a16:creationId xmlns:a16="http://schemas.microsoft.com/office/drawing/2014/main" id="{00000000-0008-0000-0000-000026000000}"/>
            </a:ext>
          </a:extLst>
        </xdr:cNvPr>
        <xdr:cNvSpPr>
          <a:spLocks noChangeShapeType="1"/>
        </xdr:cNvSpPr>
      </xdr:nvSpPr>
      <xdr:spPr bwMode="auto">
        <a:xfrm flipH="1">
          <a:off x="3228975" y="1770697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93</xdr:row>
      <xdr:rowOff>66675</xdr:rowOff>
    </xdr:from>
    <xdr:to>
      <xdr:col>5</xdr:col>
      <xdr:colOff>666750</xdr:colOff>
      <xdr:row>93</xdr:row>
      <xdr:rowOff>171450</xdr:rowOff>
    </xdr:to>
    <xdr:sp macro="" textlink="">
      <xdr:nvSpPr>
        <xdr:cNvPr id="39" name="Line 41">
          <a:extLst>
            <a:ext uri="{FF2B5EF4-FFF2-40B4-BE49-F238E27FC236}">
              <a16:creationId xmlns:a16="http://schemas.microsoft.com/office/drawing/2014/main" id="{00000000-0008-0000-0000-000027000000}"/>
            </a:ext>
          </a:extLst>
        </xdr:cNvPr>
        <xdr:cNvSpPr>
          <a:spLocks noChangeShapeType="1"/>
        </xdr:cNvSpPr>
      </xdr:nvSpPr>
      <xdr:spPr bwMode="auto">
        <a:xfrm flipH="1">
          <a:off x="3228975" y="1804035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108</xdr:row>
      <xdr:rowOff>161925</xdr:rowOff>
    </xdr:from>
    <xdr:to>
      <xdr:col>5</xdr:col>
      <xdr:colOff>647700</xdr:colOff>
      <xdr:row>112</xdr:row>
      <xdr:rowOff>47625</xdr:rowOff>
    </xdr:to>
    <xdr:sp macro="" textlink="">
      <xdr:nvSpPr>
        <xdr:cNvPr id="40" name="Tegning 42">
          <a:extLst>
            <a:ext uri="{FF2B5EF4-FFF2-40B4-BE49-F238E27FC236}">
              <a16:creationId xmlns:a16="http://schemas.microsoft.com/office/drawing/2014/main" id="{00000000-0008-0000-0000-000028000000}"/>
            </a:ext>
          </a:extLst>
        </xdr:cNvPr>
        <xdr:cNvSpPr>
          <a:spLocks/>
        </xdr:cNvSpPr>
      </xdr:nvSpPr>
      <xdr:spPr bwMode="auto">
        <a:xfrm>
          <a:off x="1952625" y="21050250"/>
          <a:ext cx="1352550" cy="67627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104775</xdr:colOff>
      <xdr:row>109</xdr:row>
      <xdr:rowOff>161925</xdr:rowOff>
    </xdr:from>
    <xdr:to>
      <xdr:col>3</xdr:col>
      <xdr:colOff>9525</xdr:colOff>
      <xdr:row>110</xdr:row>
      <xdr:rowOff>142875</xdr:rowOff>
    </xdr:to>
    <xdr:sp macro="" textlink="">
      <xdr:nvSpPr>
        <xdr:cNvPr id="41" name="Tegning 43">
          <a:extLst>
            <a:ext uri="{FF2B5EF4-FFF2-40B4-BE49-F238E27FC236}">
              <a16:creationId xmlns:a16="http://schemas.microsoft.com/office/drawing/2014/main" id="{00000000-0008-0000-0000-000029000000}"/>
            </a:ext>
          </a:extLst>
        </xdr:cNvPr>
        <xdr:cNvSpPr>
          <a:spLocks/>
        </xdr:cNvSpPr>
      </xdr:nvSpPr>
      <xdr:spPr bwMode="auto">
        <a:xfrm>
          <a:off x="1485900" y="21250275"/>
          <a:ext cx="485775" cy="18097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xdr:colOff>
      <xdr:row>109</xdr:row>
      <xdr:rowOff>161925</xdr:rowOff>
    </xdr:from>
    <xdr:to>
      <xdr:col>5</xdr:col>
      <xdr:colOff>238125</xdr:colOff>
      <xdr:row>110</xdr:row>
      <xdr:rowOff>142875</xdr:rowOff>
    </xdr:to>
    <xdr:sp macro="" textlink="">
      <xdr:nvSpPr>
        <xdr:cNvPr id="42" name="Tegning 44">
          <a:extLst>
            <a:ext uri="{FF2B5EF4-FFF2-40B4-BE49-F238E27FC236}">
              <a16:creationId xmlns:a16="http://schemas.microsoft.com/office/drawing/2014/main" id="{00000000-0008-0000-0000-00002A000000}"/>
            </a:ext>
          </a:extLst>
        </xdr:cNvPr>
        <xdr:cNvSpPr>
          <a:spLocks/>
        </xdr:cNvSpPr>
      </xdr:nvSpPr>
      <xdr:spPr bwMode="auto">
        <a:xfrm>
          <a:off x="1971675" y="21250275"/>
          <a:ext cx="923925" cy="180975"/>
        </a:xfrm>
        <a:custGeom>
          <a:avLst/>
          <a:gdLst>
            <a:gd name="T0" fmla="*/ 0 w 16384"/>
            <a:gd name="T1" fmla="*/ 0 h 16384"/>
            <a:gd name="T2" fmla="*/ 2147483647 w 16384"/>
            <a:gd name="T3" fmla="*/ 0 h 16384"/>
            <a:gd name="T4" fmla="*/ 2147483647 w 16384"/>
            <a:gd name="T5" fmla="*/ 2147483647 h 16384"/>
            <a:gd name="T6" fmla="*/ 0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561975</xdr:colOff>
      <xdr:row>112</xdr:row>
      <xdr:rowOff>76200</xdr:rowOff>
    </xdr:from>
    <xdr:to>
      <xdr:col>3</xdr:col>
      <xdr:colOff>285750</xdr:colOff>
      <xdr:row>114</xdr:row>
      <xdr:rowOff>85725</xdr:rowOff>
    </xdr:to>
    <xdr:sp macro="" textlink="">
      <xdr:nvSpPr>
        <xdr:cNvPr id="43" name="Tegning 45">
          <a:extLst>
            <a:ext uri="{FF2B5EF4-FFF2-40B4-BE49-F238E27FC236}">
              <a16:creationId xmlns:a16="http://schemas.microsoft.com/office/drawing/2014/main" id="{00000000-0008-0000-0000-00002B000000}"/>
            </a:ext>
          </a:extLst>
        </xdr:cNvPr>
        <xdr:cNvSpPr>
          <a:spLocks/>
        </xdr:cNvSpPr>
      </xdr:nvSpPr>
      <xdr:spPr bwMode="auto">
        <a:xfrm>
          <a:off x="1943100" y="21755100"/>
          <a:ext cx="304800" cy="40005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110</xdr:row>
      <xdr:rowOff>161925</xdr:rowOff>
    </xdr:from>
    <xdr:to>
      <xdr:col>2</xdr:col>
      <xdr:colOff>400050</xdr:colOff>
      <xdr:row>112</xdr:row>
      <xdr:rowOff>161925</xdr:rowOff>
    </xdr:to>
    <xdr:sp macro="" textlink="">
      <xdr:nvSpPr>
        <xdr:cNvPr id="44" name="Tegning 46">
          <a:extLst>
            <a:ext uri="{FF2B5EF4-FFF2-40B4-BE49-F238E27FC236}">
              <a16:creationId xmlns:a16="http://schemas.microsoft.com/office/drawing/2014/main" id="{00000000-0008-0000-0000-00002C000000}"/>
            </a:ext>
          </a:extLst>
        </xdr:cNvPr>
        <xdr:cNvSpPr>
          <a:spLocks/>
        </xdr:cNvSpPr>
      </xdr:nvSpPr>
      <xdr:spPr bwMode="auto">
        <a:xfrm>
          <a:off x="1552575" y="21450300"/>
          <a:ext cx="228600" cy="390525"/>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142875</xdr:colOff>
      <xdr:row>110</xdr:row>
      <xdr:rowOff>142875</xdr:rowOff>
    </xdr:from>
    <xdr:to>
      <xdr:col>5</xdr:col>
      <xdr:colOff>238125</xdr:colOff>
      <xdr:row>110</xdr:row>
      <xdr:rowOff>142875</xdr:rowOff>
    </xdr:to>
    <xdr:sp macro="" textlink="">
      <xdr:nvSpPr>
        <xdr:cNvPr id="45" name="Line 47">
          <a:extLst>
            <a:ext uri="{FF2B5EF4-FFF2-40B4-BE49-F238E27FC236}">
              <a16:creationId xmlns:a16="http://schemas.microsoft.com/office/drawing/2014/main" id="{00000000-0008-0000-0000-00002D000000}"/>
            </a:ext>
          </a:extLst>
        </xdr:cNvPr>
        <xdr:cNvSpPr>
          <a:spLocks noChangeShapeType="1"/>
        </xdr:cNvSpPr>
      </xdr:nvSpPr>
      <xdr:spPr bwMode="auto">
        <a:xfrm>
          <a:off x="2800350" y="21431250"/>
          <a:ext cx="95250"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110</xdr:row>
      <xdr:rowOff>161925</xdr:rowOff>
    </xdr:from>
    <xdr:to>
      <xdr:col>5</xdr:col>
      <xdr:colOff>142875</xdr:colOff>
      <xdr:row>112</xdr:row>
      <xdr:rowOff>19050</xdr:rowOff>
    </xdr:to>
    <xdr:sp macro="" textlink="">
      <xdr:nvSpPr>
        <xdr:cNvPr id="46" name="Line 48">
          <a:extLst>
            <a:ext uri="{FF2B5EF4-FFF2-40B4-BE49-F238E27FC236}">
              <a16:creationId xmlns:a16="http://schemas.microsoft.com/office/drawing/2014/main" id="{00000000-0008-0000-0000-00002E000000}"/>
            </a:ext>
          </a:extLst>
        </xdr:cNvPr>
        <xdr:cNvSpPr>
          <a:spLocks noChangeShapeType="1"/>
        </xdr:cNvSpPr>
      </xdr:nvSpPr>
      <xdr:spPr bwMode="auto">
        <a:xfrm flipH="1">
          <a:off x="2533650" y="21450300"/>
          <a:ext cx="266700" cy="2476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110</xdr:row>
      <xdr:rowOff>171450</xdr:rowOff>
    </xdr:from>
    <xdr:to>
      <xdr:col>5</xdr:col>
      <xdr:colOff>476250</xdr:colOff>
      <xdr:row>112</xdr:row>
      <xdr:rowOff>0</xdr:rowOff>
    </xdr:to>
    <xdr:sp macro="" textlink="">
      <xdr:nvSpPr>
        <xdr:cNvPr id="47" name="Line 49">
          <a:extLst>
            <a:ext uri="{FF2B5EF4-FFF2-40B4-BE49-F238E27FC236}">
              <a16:creationId xmlns:a16="http://schemas.microsoft.com/office/drawing/2014/main" id="{00000000-0008-0000-0000-00002F000000}"/>
            </a:ext>
          </a:extLst>
        </xdr:cNvPr>
        <xdr:cNvSpPr>
          <a:spLocks noChangeShapeType="1"/>
        </xdr:cNvSpPr>
      </xdr:nvSpPr>
      <xdr:spPr bwMode="auto">
        <a:xfrm>
          <a:off x="2905125" y="21459825"/>
          <a:ext cx="228600" cy="21907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76200</xdr:colOff>
      <xdr:row>112</xdr:row>
      <xdr:rowOff>47625</xdr:rowOff>
    </xdr:from>
    <xdr:to>
      <xdr:col>5</xdr:col>
      <xdr:colOff>304800</xdr:colOff>
      <xdr:row>114</xdr:row>
      <xdr:rowOff>0</xdr:rowOff>
    </xdr:to>
    <xdr:sp macro="" textlink="">
      <xdr:nvSpPr>
        <xdr:cNvPr id="48" name="Tegning 50">
          <a:extLst>
            <a:ext uri="{FF2B5EF4-FFF2-40B4-BE49-F238E27FC236}">
              <a16:creationId xmlns:a16="http://schemas.microsoft.com/office/drawing/2014/main" id="{00000000-0008-0000-0000-000030000000}"/>
            </a:ext>
          </a:extLst>
        </xdr:cNvPr>
        <xdr:cNvSpPr>
          <a:spLocks/>
        </xdr:cNvSpPr>
      </xdr:nvSpPr>
      <xdr:spPr bwMode="auto">
        <a:xfrm>
          <a:off x="2733675" y="21726525"/>
          <a:ext cx="228600" cy="342900"/>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116</xdr:row>
      <xdr:rowOff>19050</xdr:rowOff>
    </xdr:from>
    <xdr:to>
      <xdr:col>5</xdr:col>
      <xdr:colOff>190500</xdr:colOff>
      <xdr:row>116</xdr:row>
      <xdr:rowOff>19050</xdr:rowOff>
    </xdr:to>
    <xdr:sp macro="" textlink="">
      <xdr:nvSpPr>
        <xdr:cNvPr id="49" name="Line 51">
          <a:extLst>
            <a:ext uri="{FF2B5EF4-FFF2-40B4-BE49-F238E27FC236}">
              <a16:creationId xmlns:a16="http://schemas.microsoft.com/office/drawing/2014/main" id="{00000000-0008-0000-0000-000031000000}"/>
            </a:ext>
          </a:extLst>
        </xdr:cNvPr>
        <xdr:cNvSpPr>
          <a:spLocks noChangeShapeType="1"/>
        </xdr:cNvSpPr>
      </xdr:nvSpPr>
      <xdr:spPr bwMode="auto">
        <a:xfrm>
          <a:off x="1609725" y="22479000"/>
          <a:ext cx="1238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114</xdr:row>
      <xdr:rowOff>28575</xdr:rowOff>
    </xdr:from>
    <xdr:to>
      <xdr:col>5</xdr:col>
      <xdr:colOff>190500</xdr:colOff>
      <xdr:row>116</xdr:row>
      <xdr:rowOff>66675</xdr:rowOff>
    </xdr:to>
    <xdr:sp macro="" textlink="">
      <xdr:nvSpPr>
        <xdr:cNvPr id="50" name="Line 52">
          <a:extLst>
            <a:ext uri="{FF2B5EF4-FFF2-40B4-BE49-F238E27FC236}">
              <a16:creationId xmlns:a16="http://schemas.microsoft.com/office/drawing/2014/main" id="{00000000-0008-0000-0000-000032000000}"/>
            </a:ext>
          </a:extLst>
        </xdr:cNvPr>
        <xdr:cNvSpPr>
          <a:spLocks noChangeShapeType="1"/>
        </xdr:cNvSpPr>
      </xdr:nvSpPr>
      <xdr:spPr bwMode="auto">
        <a:xfrm>
          <a:off x="2847975" y="22098000"/>
          <a:ext cx="0" cy="428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114</xdr:row>
      <xdr:rowOff>142875</xdr:rowOff>
    </xdr:from>
    <xdr:to>
      <xdr:col>3</xdr:col>
      <xdr:colOff>133350</xdr:colOff>
      <xdr:row>116</xdr:row>
      <xdr:rowOff>114300</xdr:rowOff>
    </xdr:to>
    <xdr:sp macro="" textlink="">
      <xdr:nvSpPr>
        <xdr:cNvPr id="51" name="Line 53">
          <a:extLst>
            <a:ext uri="{FF2B5EF4-FFF2-40B4-BE49-F238E27FC236}">
              <a16:creationId xmlns:a16="http://schemas.microsoft.com/office/drawing/2014/main" id="{00000000-0008-0000-0000-000033000000}"/>
            </a:ext>
          </a:extLst>
        </xdr:cNvPr>
        <xdr:cNvSpPr>
          <a:spLocks noChangeShapeType="1"/>
        </xdr:cNvSpPr>
      </xdr:nvSpPr>
      <xdr:spPr bwMode="auto">
        <a:xfrm>
          <a:off x="2095500" y="22212300"/>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113</xdr:row>
      <xdr:rowOff>47625</xdr:rowOff>
    </xdr:from>
    <xdr:to>
      <xdr:col>2</xdr:col>
      <xdr:colOff>276225</xdr:colOff>
      <xdr:row>116</xdr:row>
      <xdr:rowOff>66675</xdr:rowOff>
    </xdr:to>
    <xdr:sp macro="" textlink="">
      <xdr:nvSpPr>
        <xdr:cNvPr id="52" name="Line 54">
          <a:extLst>
            <a:ext uri="{FF2B5EF4-FFF2-40B4-BE49-F238E27FC236}">
              <a16:creationId xmlns:a16="http://schemas.microsoft.com/office/drawing/2014/main" id="{00000000-0008-0000-0000-000034000000}"/>
            </a:ext>
          </a:extLst>
        </xdr:cNvPr>
        <xdr:cNvSpPr>
          <a:spLocks noChangeShapeType="1"/>
        </xdr:cNvSpPr>
      </xdr:nvSpPr>
      <xdr:spPr bwMode="auto">
        <a:xfrm>
          <a:off x="1657350" y="2192655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115</xdr:row>
      <xdr:rowOff>171450</xdr:rowOff>
    </xdr:from>
    <xdr:to>
      <xdr:col>2</xdr:col>
      <xdr:colOff>333375</xdr:colOff>
      <xdr:row>116</xdr:row>
      <xdr:rowOff>66675</xdr:rowOff>
    </xdr:to>
    <xdr:sp macro="" textlink="">
      <xdr:nvSpPr>
        <xdr:cNvPr id="53" name="Line 55">
          <a:extLst>
            <a:ext uri="{FF2B5EF4-FFF2-40B4-BE49-F238E27FC236}">
              <a16:creationId xmlns:a16="http://schemas.microsoft.com/office/drawing/2014/main" id="{00000000-0008-0000-0000-000035000000}"/>
            </a:ext>
          </a:extLst>
        </xdr:cNvPr>
        <xdr:cNvSpPr>
          <a:spLocks noChangeShapeType="1"/>
        </xdr:cNvSpPr>
      </xdr:nvSpPr>
      <xdr:spPr bwMode="auto">
        <a:xfrm flipH="1">
          <a:off x="1600200" y="22440900"/>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115</xdr:row>
      <xdr:rowOff>209550</xdr:rowOff>
    </xdr:from>
    <xdr:to>
      <xdr:col>3</xdr:col>
      <xdr:colOff>171450</xdr:colOff>
      <xdr:row>116</xdr:row>
      <xdr:rowOff>66675</xdr:rowOff>
    </xdr:to>
    <xdr:sp macro="" textlink="">
      <xdr:nvSpPr>
        <xdr:cNvPr id="54" name="Line 56">
          <a:extLst>
            <a:ext uri="{FF2B5EF4-FFF2-40B4-BE49-F238E27FC236}">
              <a16:creationId xmlns:a16="http://schemas.microsoft.com/office/drawing/2014/main" id="{00000000-0008-0000-0000-000036000000}"/>
            </a:ext>
          </a:extLst>
        </xdr:cNvPr>
        <xdr:cNvSpPr>
          <a:spLocks noChangeShapeType="1"/>
        </xdr:cNvSpPr>
      </xdr:nvSpPr>
      <xdr:spPr bwMode="auto">
        <a:xfrm flipH="1">
          <a:off x="2047875" y="2245995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115</xdr:row>
      <xdr:rowOff>171450</xdr:rowOff>
    </xdr:from>
    <xdr:to>
      <xdr:col>5</xdr:col>
      <xdr:colOff>238125</xdr:colOff>
      <xdr:row>116</xdr:row>
      <xdr:rowOff>47625</xdr:rowOff>
    </xdr:to>
    <xdr:sp macro="" textlink="">
      <xdr:nvSpPr>
        <xdr:cNvPr id="55" name="Line 57">
          <a:extLst>
            <a:ext uri="{FF2B5EF4-FFF2-40B4-BE49-F238E27FC236}">
              <a16:creationId xmlns:a16="http://schemas.microsoft.com/office/drawing/2014/main" id="{00000000-0008-0000-0000-000037000000}"/>
            </a:ext>
          </a:extLst>
        </xdr:cNvPr>
        <xdr:cNvSpPr>
          <a:spLocks noChangeShapeType="1"/>
        </xdr:cNvSpPr>
      </xdr:nvSpPr>
      <xdr:spPr bwMode="auto">
        <a:xfrm flipH="1">
          <a:off x="2800350" y="22440900"/>
          <a:ext cx="952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111</xdr:row>
      <xdr:rowOff>0</xdr:rowOff>
    </xdr:from>
    <xdr:to>
      <xdr:col>3</xdr:col>
      <xdr:colOff>171450</xdr:colOff>
      <xdr:row>111</xdr:row>
      <xdr:rowOff>76200</xdr:rowOff>
    </xdr:to>
    <xdr:sp macro="" textlink="">
      <xdr:nvSpPr>
        <xdr:cNvPr id="56" name="Oval 58">
          <a:extLst>
            <a:ext uri="{FF2B5EF4-FFF2-40B4-BE49-F238E27FC236}">
              <a16:creationId xmlns:a16="http://schemas.microsoft.com/office/drawing/2014/main" id="{00000000-0008-0000-0000-000038000000}"/>
            </a:ext>
          </a:extLst>
        </xdr:cNvPr>
        <xdr:cNvSpPr>
          <a:spLocks noChangeArrowheads="1"/>
        </xdr:cNvSpPr>
      </xdr:nvSpPr>
      <xdr:spPr bwMode="auto">
        <a:xfrm>
          <a:off x="2047875" y="21478875"/>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109</xdr:row>
      <xdr:rowOff>123825</xdr:rowOff>
    </xdr:from>
    <xdr:to>
      <xdr:col>4</xdr:col>
      <xdr:colOff>57150</xdr:colOff>
      <xdr:row>111</xdr:row>
      <xdr:rowOff>19050</xdr:rowOff>
    </xdr:to>
    <xdr:sp macro="" textlink="">
      <xdr:nvSpPr>
        <xdr:cNvPr id="57" name="Line 59">
          <a:extLst>
            <a:ext uri="{FF2B5EF4-FFF2-40B4-BE49-F238E27FC236}">
              <a16:creationId xmlns:a16="http://schemas.microsoft.com/office/drawing/2014/main" id="{00000000-0008-0000-0000-000039000000}"/>
            </a:ext>
          </a:extLst>
        </xdr:cNvPr>
        <xdr:cNvSpPr>
          <a:spLocks noChangeShapeType="1"/>
        </xdr:cNvSpPr>
      </xdr:nvSpPr>
      <xdr:spPr bwMode="auto">
        <a:xfrm flipH="1">
          <a:off x="2124075" y="21212175"/>
          <a:ext cx="26670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112</xdr:row>
      <xdr:rowOff>47625</xdr:rowOff>
    </xdr:from>
    <xdr:to>
      <xdr:col>6</xdr:col>
      <xdr:colOff>19050</xdr:colOff>
      <xdr:row>112</xdr:row>
      <xdr:rowOff>47625</xdr:rowOff>
    </xdr:to>
    <xdr:sp macro="" textlink="">
      <xdr:nvSpPr>
        <xdr:cNvPr id="58" name="Line 60">
          <a:extLst>
            <a:ext uri="{FF2B5EF4-FFF2-40B4-BE49-F238E27FC236}">
              <a16:creationId xmlns:a16="http://schemas.microsoft.com/office/drawing/2014/main" id="{00000000-0008-0000-0000-00003A000000}"/>
            </a:ext>
          </a:extLst>
        </xdr:cNvPr>
        <xdr:cNvSpPr>
          <a:spLocks noChangeShapeType="1"/>
        </xdr:cNvSpPr>
      </xdr:nvSpPr>
      <xdr:spPr bwMode="auto">
        <a:xfrm>
          <a:off x="3324225" y="21726525"/>
          <a:ext cx="104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110</xdr:row>
      <xdr:rowOff>95250</xdr:rowOff>
    </xdr:from>
    <xdr:to>
      <xdr:col>6</xdr:col>
      <xdr:colOff>9525</xdr:colOff>
      <xdr:row>110</xdr:row>
      <xdr:rowOff>209550</xdr:rowOff>
    </xdr:to>
    <xdr:sp macro="" textlink="">
      <xdr:nvSpPr>
        <xdr:cNvPr id="59" name="Line 61">
          <a:extLst>
            <a:ext uri="{FF2B5EF4-FFF2-40B4-BE49-F238E27FC236}">
              <a16:creationId xmlns:a16="http://schemas.microsoft.com/office/drawing/2014/main" id="{00000000-0008-0000-0000-00003B000000}"/>
            </a:ext>
          </a:extLst>
        </xdr:cNvPr>
        <xdr:cNvSpPr>
          <a:spLocks noChangeShapeType="1"/>
        </xdr:cNvSpPr>
      </xdr:nvSpPr>
      <xdr:spPr bwMode="auto">
        <a:xfrm flipH="1">
          <a:off x="3324225" y="2138362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676275</xdr:colOff>
      <xdr:row>112</xdr:row>
      <xdr:rowOff>0</xdr:rowOff>
    </xdr:from>
    <xdr:to>
      <xdr:col>6</xdr:col>
      <xdr:colOff>9525</xdr:colOff>
      <xdr:row>112</xdr:row>
      <xdr:rowOff>95250</xdr:rowOff>
    </xdr:to>
    <xdr:sp macro="" textlink="">
      <xdr:nvSpPr>
        <xdr:cNvPr id="60" name="Line 62">
          <a:extLst>
            <a:ext uri="{FF2B5EF4-FFF2-40B4-BE49-F238E27FC236}">
              <a16:creationId xmlns:a16="http://schemas.microsoft.com/office/drawing/2014/main" id="{00000000-0008-0000-0000-00003C000000}"/>
            </a:ext>
          </a:extLst>
        </xdr:cNvPr>
        <xdr:cNvSpPr>
          <a:spLocks noChangeShapeType="1"/>
        </xdr:cNvSpPr>
      </xdr:nvSpPr>
      <xdr:spPr bwMode="auto">
        <a:xfrm flipH="1">
          <a:off x="3333750" y="2167890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356</xdr:row>
      <xdr:rowOff>161925</xdr:rowOff>
    </xdr:from>
    <xdr:to>
      <xdr:col>5</xdr:col>
      <xdr:colOff>581025</xdr:colOff>
      <xdr:row>360</xdr:row>
      <xdr:rowOff>123825</xdr:rowOff>
    </xdr:to>
    <xdr:sp macro="" textlink="">
      <xdr:nvSpPr>
        <xdr:cNvPr id="61" name="Tegning 63">
          <a:extLst>
            <a:ext uri="{FF2B5EF4-FFF2-40B4-BE49-F238E27FC236}">
              <a16:creationId xmlns:a16="http://schemas.microsoft.com/office/drawing/2014/main" id="{00000000-0008-0000-0000-00003D000000}"/>
            </a:ext>
          </a:extLst>
        </xdr:cNvPr>
        <xdr:cNvSpPr>
          <a:spLocks/>
        </xdr:cNvSpPr>
      </xdr:nvSpPr>
      <xdr:spPr bwMode="auto">
        <a:xfrm>
          <a:off x="1685925" y="68722875"/>
          <a:ext cx="1552575" cy="723900"/>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25" y="0"/>
              </a:lnTo>
              <a:lnTo>
                <a:pt x="6325" y="3179"/>
              </a:lnTo>
              <a:lnTo>
                <a:pt x="0" y="3179"/>
              </a:lnTo>
              <a:lnTo>
                <a:pt x="0" y="14550"/>
              </a:lnTo>
              <a:lnTo>
                <a:pt x="6445" y="14550"/>
              </a:lnTo>
              <a:lnTo>
                <a:pt x="6445"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95250</xdr:colOff>
      <xdr:row>357</xdr:row>
      <xdr:rowOff>19050</xdr:rowOff>
    </xdr:from>
    <xdr:to>
      <xdr:col>5</xdr:col>
      <xdr:colOff>590550</xdr:colOff>
      <xdr:row>360</xdr:row>
      <xdr:rowOff>66675</xdr:rowOff>
    </xdr:to>
    <xdr:sp macro="" textlink="">
      <xdr:nvSpPr>
        <xdr:cNvPr id="62" name="Tegning 64">
          <a:extLst>
            <a:ext uri="{FF2B5EF4-FFF2-40B4-BE49-F238E27FC236}">
              <a16:creationId xmlns:a16="http://schemas.microsoft.com/office/drawing/2014/main" id="{00000000-0008-0000-0000-00003E000000}"/>
            </a:ext>
          </a:extLst>
        </xdr:cNvPr>
        <xdr:cNvSpPr>
          <a:spLocks/>
        </xdr:cNvSpPr>
      </xdr:nvSpPr>
      <xdr:spPr bwMode="auto">
        <a:xfrm>
          <a:off x="2428875" y="68770500"/>
          <a:ext cx="819150" cy="619125"/>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868" y="0"/>
              </a:lnTo>
              <a:lnTo>
                <a:pt x="326" y="477"/>
              </a:lnTo>
              <a:lnTo>
                <a:pt x="0" y="1750"/>
              </a:lnTo>
              <a:lnTo>
                <a:pt x="0" y="14793"/>
              </a:lnTo>
              <a:lnTo>
                <a:pt x="434" y="15589"/>
              </a:lnTo>
              <a:lnTo>
                <a:pt x="1628" y="16384"/>
              </a:lnTo>
              <a:lnTo>
                <a:pt x="16275"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357</xdr:row>
      <xdr:rowOff>171450</xdr:rowOff>
    </xdr:from>
    <xdr:to>
      <xdr:col>5</xdr:col>
      <xdr:colOff>581025</xdr:colOff>
      <xdr:row>359</xdr:row>
      <xdr:rowOff>161925</xdr:rowOff>
    </xdr:to>
    <xdr:sp macro="" textlink="">
      <xdr:nvSpPr>
        <xdr:cNvPr id="63" name="Tegning 65">
          <a:extLst>
            <a:ext uri="{FF2B5EF4-FFF2-40B4-BE49-F238E27FC236}">
              <a16:creationId xmlns:a16="http://schemas.microsoft.com/office/drawing/2014/main" id="{00000000-0008-0000-0000-00003F000000}"/>
            </a:ext>
          </a:extLst>
        </xdr:cNvPr>
        <xdr:cNvSpPr>
          <a:spLocks/>
        </xdr:cNvSpPr>
      </xdr:nvSpPr>
      <xdr:spPr bwMode="auto">
        <a:xfrm>
          <a:off x="1743075" y="68922900"/>
          <a:ext cx="1495425" cy="371475"/>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342900</xdr:colOff>
      <xdr:row>360</xdr:row>
      <xdr:rowOff>57150</xdr:rowOff>
    </xdr:from>
    <xdr:to>
      <xdr:col>3</xdr:col>
      <xdr:colOff>47625</xdr:colOff>
      <xdr:row>362</xdr:row>
      <xdr:rowOff>180975</xdr:rowOff>
    </xdr:to>
    <xdr:sp macro="" textlink="">
      <xdr:nvSpPr>
        <xdr:cNvPr id="64" name="Tegning 66">
          <a:extLst>
            <a:ext uri="{FF2B5EF4-FFF2-40B4-BE49-F238E27FC236}">
              <a16:creationId xmlns:a16="http://schemas.microsoft.com/office/drawing/2014/main" id="{00000000-0008-0000-0000-000040000000}"/>
            </a:ext>
          </a:extLst>
        </xdr:cNvPr>
        <xdr:cNvSpPr>
          <a:spLocks/>
        </xdr:cNvSpPr>
      </xdr:nvSpPr>
      <xdr:spPr bwMode="auto">
        <a:xfrm>
          <a:off x="1724025" y="69380100"/>
          <a:ext cx="285750" cy="504825"/>
        </a:xfrm>
        <a:custGeom>
          <a:avLst/>
          <a:gdLst>
            <a:gd name="T0" fmla="*/ 2147483647 w 16384"/>
            <a:gd name="T1" fmla="*/ 2147483647 h 16384"/>
            <a:gd name="T2" fmla="*/ 2147483647 w 16384"/>
            <a:gd name="T3" fmla="*/ 0 h 16384"/>
            <a:gd name="T4" fmla="*/ 0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47625</xdr:colOff>
      <xdr:row>127</xdr:row>
      <xdr:rowOff>142875</xdr:rowOff>
    </xdr:from>
    <xdr:to>
      <xdr:col>5</xdr:col>
      <xdr:colOff>590550</xdr:colOff>
      <xdr:row>129</xdr:row>
      <xdr:rowOff>123825</xdr:rowOff>
    </xdr:to>
    <xdr:sp macro="" textlink="">
      <xdr:nvSpPr>
        <xdr:cNvPr id="65" name="Tegning 67">
          <a:extLst>
            <a:ext uri="{FF2B5EF4-FFF2-40B4-BE49-F238E27FC236}">
              <a16:creationId xmlns:a16="http://schemas.microsoft.com/office/drawing/2014/main" id="{00000000-0008-0000-0000-000041000000}"/>
            </a:ext>
          </a:extLst>
        </xdr:cNvPr>
        <xdr:cNvSpPr>
          <a:spLocks/>
        </xdr:cNvSpPr>
      </xdr:nvSpPr>
      <xdr:spPr bwMode="auto">
        <a:xfrm>
          <a:off x="1428750" y="24736425"/>
          <a:ext cx="1819275" cy="36195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2147483647 w 16384"/>
            <a:gd name="T9" fmla="*/ 2147483647 h 16384"/>
            <a:gd name="T10" fmla="*/ 2147483647 w 16384"/>
            <a:gd name="T11" fmla="*/ 2147483647 h 16384"/>
            <a:gd name="T12" fmla="*/ 2147483647 w 16384"/>
            <a:gd name="T13" fmla="*/ 0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14336" y="0"/>
              </a:moveTo>
              <a:lnTo>
                <a:pt x="0" y="0"/>
              </a:lnTo>
              <a:lnTo>
                <a:pt x="0" y="16384"/>
              </a:lnTo>
              <a:lnTo>
                <a:pt x="16384" y="16384"/>
              </a:lnTo>
              <a:lnTo>
                <a:pt x="16384" y="8353"/>
              </a:lnTo>
              <a:lnTo>
                <a:pt x="14270" y="8353"/>
              </a:lnTo>
              <a:lnTo>
                <a:pt x="14270" y="0"/>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38100</xdr:colOff>
      <xdr:row>128</xdr:row>
      <xdr:rowOff>19050</xdr:rowOff>
    </xdr:from>
    <xdr:to>
      <xdr:col>5</xdr:col>
      <xdr:colOff>552450</xdr:colOff>
      <xdr:row>129</xdr:row>
      <xdr:rowOff>47625</xdr:rowOff>
    </xdr:to>
    <xdr:sp macro="" textlink="">
      <xdr:nvSpPr>
        <xdr:cNvPr id="66" name="Tegning 68">
          <a:extLst>
            <a:ext uri="{FF2B5EF4-FFF2-40B4-BE49-F238E27FC236}">
              <a16:creationId xmlns:a16="http://schemas.microsoft.com/office/drawing/2014/main" id="{00000000-0008-0000-0000-000042000000}"/>
            </a:ext>
          </a:extLst>
        </xdr:cNvPr>
        <xdr:cNvSpPr>
          <a:spLocks/>
        </xdr:cNvSpPr>
      </xdr:nvSpPr>
      <xdr:spPr bwMode="auto">
        <a:xfrm>
          <a:off x="2695575" y="24803100"/>
          <a:ext cx="514350" cy="219075"/>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9362" y="0"/>
              </a:lnTo>
              <a:lnTo>
                <a:pt x="9362" y="16384"/>
              </a:lnTo>
              <a:lnTo>
                <a:pt x="16384" y="16384"/>
              </a:lnTo>
              <a:lnTo>
                <a:pt x="16384" y="11812"/>
              </a:lnTo>
              <a:lnTo>
                <a:pt x="468" y="1181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127</xdr:row>
      <xdr:rowOff>171450</xdr:rowOff>
    </xdr:from>
    <xdr:to>
      <xdr:col>5</xdr:col>
      <xdr:colOff>333375</xdr:colOff>
      <xdr:row>127</xdr:row>
      <xdr:rowOff>171450</xdr:rowOff>
    </xdr:to>
    <xdr:sp macro="" textlink="">
      <xdr:nvSpPr>
        <xdr:cNvPr id="67" name="Line 69">
          <a:extLst>
            <a:ext uri="{FF2B5EF4-FFF2-40B4-BE49-F238E27FC236}">
              <a16:creationId xmlns:a16="http://schemas.microsoft.com/office/drawing/2014/main" id="{00000000-0008-0000-0000-000043000000}"/>
            </a:ext>
          </a:extLst>
        </xdr:cNvPr>
        <xdr:cNvSpPr>
          <a:spLocks noChangeShapeType="1"/>
        </xdr:cNvSpPr>
      </xdr:nvSpPr>
      <xdr:spPr bwMode="auto">
        <a:xfrm flipH="1">
          <a:off x="1466850" y="24765000"/>
          <a:ext cx="1524000"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128</xdr:row>
      <xdr:rowOff>19050</xdr:rowOff>
    </xdr:from>
    <xdr:to>
      <xdr:col>2</xdr:col>
      <xdr:colOff>419100</xdr:colOff>
      <xdr:row>129</xdr:row>
      <xdr:rowOff>47625</xdr:rowOff>
    </xdr:to>
    <xdr:sp macro="" textlink="">
      <xdr:nvSpPr>
        <xdr:cNvPr id="68" name="Tegning 70">
          <a:extLst>
            <a:ext uri="{FF2B5EF4-FFF2-40B4-BE49-F238E27FC236}">
              <a16:creationId xmlns:a16="http://schemas.microsoft.com/office/drawing/2014/main" id="{00000000-0008-0000-0000-000044000000}"/>
            </a:ext>
          </a:extLst>
        </xdr:cNvPr>
        <xdr:cNvSpPr>
          <a:spLocks/>
        </xdr:cNvSpPr>
      </xdr:nvSpPr>
      <xdr:spPr bwMode="auto">
        <a:xfrm>
          <a:off x="1485900" y="24803100"/>
          <a:ext cx="314325" cy="21907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864"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129</xdr:row>
      <xdr:rowOff>76200</xdr:rowOff>
    </xdr:from>
    <xdr:to>
      <xdr:col>5</xdr:col>
      <xdr:colOff>514350</xdr:colOff>
      <xdr:row>129</xdr:row>
      <xdr:rowOff>76200</xdr:rowOff>
    </xdr:to>
    <xdr:sp macro="" textlink="">
      <xdr:nvSpPr>
        <xdr:cNvPr id="69" name="Line 71">
          <a:extLst>
            <a:ext uri="{FF2B5EF4-FFF2-40B4-BE49-F238E27FC236}">
              <a16:creationId xmlns:a16="http://schemas.microsoft.com/office/drawing/2014/main" id="{00000000-0008-0000-0000-000045000000}"/>
            </a:ext>
          </a:extLst>
        </xdr:cNvPr>
        <xdr:cNvSpPr>
          <a:spLocks noChangeShapeType="1"/>
        </xdr:cNvSpPr>
      </xdr:nvSpPr>
      <xdr:spPr bwMode="auto">
        <a:xfrm flipH="1">
          <a:off x="1466850" y="25050750"/>
          <a:ext cx="1704975"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128</xdr:row>
      <xdr:rowOff>66675</xdr:rowOff>
    </xdr:from>
    <xdr:to>
      <xdr:col>2</xdr:col>
      <xdr:colOff>409575</xdr:colOff>
      <xdr:row>128</xdr:row>
      <xdr:rowOff>161925</xdr:rowOff>
    </xdr:to>
    <xdr:sp macro="" textlink="">
      <xdr:nvSpPr>
        <xdr:cNvPr id="70" name="Oval 72">
          <a:extLst>
            <a:ext uri="{FF2B5EF4-FFF2-40B4-BE49-F238E27FC236}">
              <a16:creationId xmlns:a16="http://schemas.microsoft.com/office/drawing/2014/main" id="{00000000-0008-0000-0000-000046000000}"/>
            </a:ext>
          </a:extLst>
        </xdr:cNvPr>
        <xdr:cNvSpPr>
          <a:spLocks noChangeArrowheads="1"/>
        </xdr:cNvSpPr>
      </xdr:nvSpPr>
      <xdr:spPr bwMode="auto">
        <a:xfrm>
          <a:off x="1695450" y="2485072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128</xdr:row>
      <xdr:rowOff>66675</xdr:rowOff>
    </xdr:from>
    <xdr:to>
      <xdr:col>5</xdr:col>
      <xdr:colOff>219075</xdr:colOff>
      <xdr:row>128</xdr:row>
      <xdr:rowOff>161925</xdr:rowOff>
    </xdr:to>
    <xdr:sp macro="" textlink="">
      <xdr:nvSpPr>
        <xdr:cNvPr id="71" name="Oval 73">
          <a:extLst>
            <a:ext uri="{FF2B5EF4-FFF2-40B4-BE49-F238E27FC236}">
              <a16:creationId xmlns:a16="http://schemas.microsoft.com/office/drawing/2014/main" id="{00000000-0008-0000-0000-000047000000}"/>
            </a:ext>
          </a:extLst>
        </xdr:cNvPr>
        <xdr:cNvSpPr>
          <a:spLocks noChangeArrowheads="1"/>
        </xdr:cNvSpPr>
      </xdr:nvSpPr>
      <xdr:spPr bwMode="auto">
        <a:xfrm>
          <a:off x="2781300" y="2485072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19050</xdr:colOff>
      <xdr:row>127</xdr:row>
      <xdr:rowOff>161925</xdr:rowOff>
    </xdr:from>
    <xdr:to>
      <xdr:col>4</xdr:col>
      <xdr:colOff>19050</xdr:colOff>
      <xdr:row>129</xdr:row>
      <xdr:rowOff>95250</xdr:rowOff>
    </xdr:to>
    <xdr:sp macro="" textlink="">
      <xdr:nvSpPr>
        <xdr:cNvPr id="72" name="Line 74">
          <a:extLst>
            <a:ext uri="{FF2B5EF4-FFF2-40B4-BE49-F238E27FC236}">
              <a16:creationId xmlns:a16="http://schemas.microsoft.com/office/drawing/2014/main" id="{00000000-0008-0000-0000-000048000000}"/>
            </a:ext>
          </a:extLst>
        </xdr:cNvPr>
        <xdr:cNvSpPr>
          <a:spLocks noChangeShapeType="1"/>
        </xdr:cNvSpPr>
      </xdr:nvSpPr>
      <xdr:spPr bwMode="auto">
        <a:xfrm flipV="1">
          <a:off x="2352675" y="247554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361950</xdr:colOff>
      <xdr:row>127</xdr:row>
      <xdr:rowOff>152400</xdr:rowOff>
    </xdr:from>
    <xdr:to>
      <xdr:col>4</xdr:col>
      <xdr:colOff>47625</xdr:colOff>
      <xdr:row>128</xdr:row>
      <xdr:rowOff>19050</xdr:rowOff>
    </xdr:to>
    <xdr:sp macro="" textlink="">
      <xdr:nvSpPr>
        <xdr:cNvPr id="73" name="Oval 75">
          <a:extLst>
            <a:ext uri="{FF2B5EF4-FFF2-40B4-BE49-F238E27FC236}">
              <a16:creationId xmlns:a16="http://schemas.microsoft.com/office/drawing/2014/main" id="{00000000-0008-0000-0000-000049000000}"/>
            </a:ext>
          </a:extLst>
        </xdr:cNvPr>
        <xdr:cNvSpPr>
          <a:spLocks noChangeArrowheads="1"/>
        </xdr:cNvSpPr>
      </xdr:nvSpPr>
      <xdr:spPr bwMode="auto">
        <a:xfrm>
          <a:off x="2324100" y="24745950"/>
          <a:ext cx="57150"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361950</xdr:colOff>
      <xdr:row>129</xdr:row>
      <xdr:rowOff>47625</xdr:rowOff>
    </xdr:from>
    <xdr:to>
      <xdr:col>4</xdr:col>
      <xdr:colOff>47625</xdr:colOff>
      <xdr:row>129</xdr:row>
      <xdr:rowOff>104775</xdr:rowOff>
    </xdr:to>
    <xdr:sp macro="" textlink="">
      <xdr:nvSpPr>
        <xdr:cNvPr id="74" name="Oval 76">
          <a:extLst>
            <a:ext uri="{FF2B5EF4-FFF2-40B4-BE49-F238E27FC236}">
              <a16:creationId xmlns:a16="http://schemas.microsoft.com/office/drawing/2014/main" id="{00000000-0008-0000-0000-00004A000000}"/>
            </a:ext>
          </a:extLst>
        </xdr:cNvPr>
        <xdr:cNvSpPr>
          <a:spLocks noChangeArrowheads="1"/>
        </xdr:cNvSpPr>
      </xdr:nvSpPr>
      <xdr:spPr bwMode="auto">
        <a:xfrm>
          <a:off x="2324100" y="25022175"/>
          <a:ext cx="57150"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104775</xdr:colOff>
      <xdr:row>360</xdr:row>
      <xdr:rowOff>190500</xdr:rowOff>
    </xdr:from>
    <xdr:to>
      <xdr:col>4</xdr:col>
      <xdr:colOff>104775</xdr:colOff>
      <xdr:row>364</xdr:row>
      <xdr:rowOff>47625</xdr:rowOff>
    </xdr:to>
    <xdr:sp macro="" textlink="">
      <xdr:nvSpPr>
        <xdr:cNvPr id="75" name="Line 78">
          <a:extLst>
            <a:ext uri="{FF2B5EF4-FFF2-40B4-BE49-F238E27FC236}">
              <a16:creationId xmlns:a16="http://schemas.microsoft.com/office/drawing/2014/main" id="{00000000-0008-0000-0000-00004B000000}"/>
            </a:ext>
          </a:extLst>
        </xdr:cNvPr>
        <xdr:cNvSpPr>
          <a:spLocks noChangeShapeType="1"/>
        </xdr:cNvSpPr>
      </xdr:nvSpPr>
      <xdr:spPr bwMode="auto">
        <a:xfrm>
          <a:off x="2438400" y="69513450"/>
          <a:ext cx="0" cy="638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363</xdr:row>
      <xdr:rowOff>38100</xdr:rowOff>
    </xdr:from>
    <xdr:to>
      <xdr:col>2</xdr:col>
      <xdr:colOff>485775</xdr:colOff>
      <xdr:row>364</xdr:row>
      <xdr:rowOff>47625</xdr:rowOff>
    </xdr:to>
    <xdr:sp macro="" textlink="">
      <xdr:nvSpPr>
        <xdr:cNvPr id="76" name="Line 79">
          <a:extLst>
            <a:ext uri="{FF2B5EF4-FFF2-40B4-BE49-F238E27FC236}">
              <a16:creationId xmlns:a16="http://schemas.microsoft.com/office/drawing/2014/main" id="{00000000-0008-0000-0000-00004C000000}"/>
            </a:ext>
          </a:extLst>
        </xdr:cNvPr>
        <xdr:cNvSpPr>
          <a:spLocks noChangeShapeType="1"/>
        </xdr:cNvSpPr>
      </xdr:nvSpPr>
      <xdr:spPr bwMode="auto">
        <a:xfrm>
          <a:off x="1866900" y="699420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419100</xdr:colOff>
      <xdr:row>363</xdr:row>
      <xdr:rowOff>161925</xdr:rowOff>
    </xdr:from>
    <xdr:to>
      <xdr:col>4</xdr:col>
      <xdr:colOff>190500</xdr:colOff>
      <xdr:row>363</xdr:row>
      <xdr:rowOff>161925</xdr:rowOff>
    </xdr:to>
    <xdr:sp macro="" textlink="">
      <xdr:nvSpPr>
        <xdr:cNvPr id="77" name="Line 80">
          <a:extLst>
            <a:ext uri="{FF2B5EF4-FFF2-40B4-BE49-F238E27FC236}">
              <a16:creationId xmlns:a16="http://schemas.microsoft.com/office/drawing/2014/main" id="{00000000-0008-0000-0000-00004D000000}"/>
            </a:ext>
          </a:extLst>
        </xdr:cNvPr>
        <xdr:cNvSpPr>
          <a:spLocks noChangeShapeType="1"/>
        </xdr:cNvSpPr>
      </xdr:nvSpPr>
      <xdr:spPr bwMode="auto">
        <a:xfrm>
          <a:off x="1800225" y="70065900"/>
          <a:ext cx="723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409575</xdr:colOff>
      <xdr:row>363</xdr:row>
      <xdr:rowOff>114300</xdr:rowOff>
    </xdr:from>
    <xdr:to>
      <xdr:col>2</xdr:col>
      <xdr:colOff>523875</xdr:colOff>
      <xdr:row>364</xdr:row>
      <xdr:rowOff>47625</xdr:rowOff>
    </xdr:to>
    <xdr:sp macro="" textlink="">
      <xdr:nvSpPr>
        <xdr:cNvPr id="78" name="Line 81">
          <a:extLst>
            <a:ext uri="{FF2B5EF4-FFF2-40B4-BE49-F238E27FC236}">
              <a16:creationId xmlns:a16="http://schemas.microsoft.com/office/drawing/2014/main" id="{00000000-0008-0000-0000-00004E000000}"/>
            </a:ext>
          </a:extLst>
        </xdr:cNvPr>
        <xdr:cNvSpPr>
          <a:spLocks noChangeShapeType="1"/>
        </xdr:cNvSpPr>
      </xdr:nvSpPr>
      <xdr:spPr bwMode="auto">
        <a:xfrm flipH="1">
          <a:off x="1790700" y="70018275"/>
          <a:ext cx="11430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363</xdr:row>
      <xdr:rowOff>100013</xdr:rowOff>
    </xdr:from>
    <xdr:to>
      <xdr:col>4</xdr:col>
      <xdr:colOff>152400</xdr:colOff>
      <xdr:row>364</xdr:row>
      <xdr:rowOff>28575</xdr:rowOff>
    </xdr:to>
    <xdr:sp macro="" textlink="">
      <xdr:nvSpPr>
        <xdr:cNvPr id="79" name="Line 82">
          <a:extLst>
            <a:ext uri="{FF2B5EF4-FFF2-40B4-BE49-F238E27FC236}">
              <a16:creationId xmlns:a16="http://schemas.microsoft.com/office/drawing/2014/main" id="{00000000-0008-0000-0000-00004F000000}"/>
            </a:ext>
          </a:extLst>
        </xdr:cNvPr>
        <xdr:cNvSpPr>
          <a:spLocks noChangeShapeType="1"/>
        </xdr:cNvSpPr>
      </xdr:nvSpPr>
      <xdr:spPr bwMode="auto">
        <a:xfrm flipH="1">
          <a:off x="2390775" y="69975413"/>
          <a:ext cx="95250" cy="128587"/>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114300</xdr:colOff>
      <xdr:row>356</xdr:row>
      <xdr:rowOff>0</xdr:rowOff>
    </xdr:from>
    <xdr:to>
      <xdr:col>5</xdr:col>
      <xdr:colOff>114300</xdr:colOff>
      <xdr:row>356</xdr:row>
      <xdr:rowOff>171450</xdr:rowOff>
    </xdr:to>
    <xdr:sp macro="" textlink="">
      <xdr:nvSpPr>
        <xdr:cNvPr id="80" name="Line 83">
          <a:extLst>
            <a:ext uri="{FF2B5EF4-FFF2-40B4-BE49-F238E27FC236}">
              <a16:creationId xmlns:a16="http://schemas.microsoft.com/office/drawing/2014/main" id="{00000000-0008-0000-0000-000050000000}"/>
            </a:ext>
          </a:extLst>
        </xdr:cNvPr>
        <xdr:cNvSpPr>
          <a:spLocks noChangeShapeType="1"/>
        </xdr:cNvSpPr>
      </xdr:nvSpPr>
      <xdr:spPr bwMode="auto">
        <a:xfrm>
          <a:off x="2447925" y="68560950"/>
          <a:ext cx="3238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356</xdr:row>
      <xdr:rowOff>180975</xdr:rowOff>
    </xdr:from>
    <xdr:to>
      <xdr:col>2</xdr:col>
      <xdr:colOff>561975</xdr:colOff>
      <xdr:row>357</xdr:row>
      <xdr:rowOff>152400</xdr:rowOff>
    </xdr:to>
    <xdr:sp macro="" textlink="">
      <xdr:nvSpPr>
        <xdr:cNvPr id="81" name="Line 84">
          <a:extLst>
            <a:ext uri="{FF2B5EF4-FFF2-40B4-BE49-F238E27FC236}">
              <a16:creationId xmlns:a16="http://schemas.microsoft.com/office/drawing/2014/main" id="{00000000-0008-0000-0000-000051000000}"/>
            </a:ext>
          </a:extLst>
        </xdr:cNvPr>
        <xdr:cNvSpPr>
          <a:spLocks noChangeShapeType="1"/>
        </xdr:cNvSpPr>
      </xdr:nvSpPr>
      <xdr:spPr bwMode="auto">
        <a:xfrm>
          <a:off x="1847850" y="68741925"/>
          <a:ext cx="95250"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356</xdr:row>
      <xdr:rowOff>171450</xdr:rowOff>
    </xdr:from>
    <xdr:to>
      <xdr:col>5</xdr:col>
      <xdr:colOff>171450</xdr:colOff>
      <xdr:row>357</xdr:row>
      <xdr:rowOff>66675</xdr:rowOff>
    </xdr:to>
    <xdr:sp macro="" textlink="">
      <xdr:nvSpPr>
        <xdr:cNvPr id="82" name="Oval 85">
          <a:extLst>
            <a:ext uri="{FF2B5EF4-FFF2-40B4-BE49-F238E27FC236}">
              <a16:creationId xmlns:a16="http://schemas.microsoft.com/office/drawing/2014/main" id="{00000000-0008-0000-0000-000052000000}"/>
            </a:ext>
          </a:extLst>
        </xdr:cNvPr>
        <xdr:cNvSpPr>
          <a:spLocks noChangeArrowheads="1"/>
        </xdr:cNvSpPr>
      </xdr:nvSpPr>
      <xdr:spPr bwMode="auto">
        <a:xfrm>
          <a:off x="2743200" y="68732400"/>
          <a:ext cx="85725"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523875</xdr:colOff>
      <xdr:row>357</xdr:row>
      <xdr:rowOff>142875</xdr:rowOff>
    </xdr:from>
    <xdr:to>
      <xdr:col>3</xdr:col>
      <xdr:colOff>19050</xdr:colOff>
      <xdr:row>358</xdr:row>
      <xdr:rowOff>19050</xdr:rowOff>
    </xdr:to>
    <xdr:sp macro="" textlink="">
      <xdr:nvSpPr>
        <xdr:cNvPr id="83" name="Oval 86">
          <a:extLst>
            <a:ext uri="{FF2B5EF4-FFF2-40B4-BE49-F238E27FC236}">
              <a16:creationId xmlns:a16="http://schemas.microsoft.com/office/drawing/2014/main" id="{00000000-0008-0000-0000-000053000000}"/>
            </a:ext>
          </a:extLst>
        </xdr:cNvPr>
        <xdr:cNvSpPr>
          <a:spLocks noChangeArrowheads="1"/>
        </xdr:cNvSpPr>
      </xdr:nvSpPr>
      <xdr:spPr bwMode="auto">
        <a:xfrm>
          <a:off x="1905000" y="68894325"/>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28575</xdr:colOff>
      <xdr:row>357</xdr:row>
      <xdr:rowOff>95250</xdr:rowOff>
    </xdr:from>
    <xdr:to>
      <xdr:col>2</xdr:col>
      <xdr:colOff>247650</xdr:colOff>
      <xdr:row>357</xdr:row>
      <xdr:rowOff>95250</xdr:rowOff>
    </xdr:to>
    <xdr:sp macro="" textlink="">
      <xdr:nvSpPr>
        <xdr:cNvPr id="84" name="Line 87">
          <a:extLst>
            <a:ext uri="{FF2B5EF4-FFF2-40B4-BE49-F238E27FC236}">
              <a16:creationId xmlns:a16="http://schemas.microsoft.com/office/drawing/2014/main" id="{00000000-0008-0000-0000-000054000000}"/>
            </a:ext>
          </a:extLst>
        </xdr:cNvPr>
        <xdr:cNvSpPr>
          <a:spLocks noChangeShapeType="1"/>
        </xdr:cNvSpPr>
      </xdr:nvSpPr>
      <xdr:spPr bwMode="auto">
        <a:xfrm flipH="1">
          <a:off x="1409700" y="68846700"/>
          <a:ext cx="2190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xdr:colOff>
      <xdr:row>359</xdr:row>
      <xdr:rowOff>171450</xdr:rowOff>
    </xdr:from>
    <xdr:to>
      <xdr:col>2</xdr:col>
      <xdr:colOff>247650</xdr:colOff>
      <xdr:row>359</xdr:row>
      <xdr:rowOff>171450</xdr:rowOff>
    </xdr:to>
    <xdr:sp macro="" textlink="">
      <xdr:nvSpPr>
        <xdr:cNvPr id="85" name="Line 88">
          <a:extLst>
            <a:ext uri="{FF2B5EF4-FFF2-40B4-BE49-F238E27FC236}">
              <a16:creationId xmlns:a16="http://schemas.microsoft.com/office/drawing/2014/main" id="{00000000-0008-0000-0000-000055000000}"/>
            </a:ext>
          </a:extLst>
        </xdr:cNvPr>
        <xdr:cNvSpPr>
          <a:spLocks noChangeShapeType="1"/>
        </xdr:cNvSpPr>
      </xdr:nvSpPr>
      <xdr:spPr bwMode="auto">
        <a:xfrm flipH="1">
          <a:off x="1419225" y="69303900"/>
          <a:ext cx="2095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357</xdr:row>
      <xdr:rowOff>66675</xdr:rowOff>
    </xdr:from>
    <xdr:to>
      <xdr:col>2</xdr:col>
      <xdr:colOff>85725</xdr:colOff>
      <xdr:row>360</xdr:row>
      <xdr:rowOff>28575</xdr:rowOff>
    </xdr:to>
    <xdr:sp macro="" textlink="">
      <xdr:nvSpPr>
        <xdr:cNvPr id="86" name="Line 89">
          <a:extLst>
            <a:ext uri="{FF2B5EF4-FFF2-40B4-BE49-F238E27FC236}">
              <a16:creationId xmlns:a16="http://schemas.microsoft.com/office/drawing/2014/main" id="{00000000-0008-0000-0000-000056000000}"/>
            </a:ext>
          </a:extLst>
        </xdr:cNvPr>
        <xdr:cNvSpPr>
          <a:spLocks noChangeShapeType="1"/>
        </xdr:cNvSpPr>
      </xdr:nvSpPr>
      <xdr:spPr bwMode="auto">
        <a:xfrm>
          <a:off x="1466850" y="68818125"/>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357</xdr:row>
      <xdr:rowOff>47625</xdr:rowOff>
    </xdr:from>
    <xdr:to>
      <xdr:col>2</xdr:col>
      <xdr:colOff>133350</xdr:colOff>
      <xdr:row>357</xdr:row>
      <xdr:rowOff>142875</xdr:rowOff>
    </xdr:to>
    <xdr:sp macro="" textlink="">
      <xdr:nvSpPr>
        <xdr:cNvPr id="87" name="Line 90">
          <a:extLst>
            <a:ext uri="{FF2B5EF4-FFF2-40B4-BE49-F238E27FC236}">
              <a16:creationId xmlns:a16="http://schemas.microsoft.com/office/drawing/2014/main" id="{00000000-0008-0000-0000-000057000000}"/>
            </a:ext>
          </a:extLst>
        </xdr:cNvPr>
        <xdr:cNvSpPr>
          <a:spLocks noChangeShapeType="1"/>
        </xdr:cNvSpPr>
      </xdr:nvSpPr>
      <xdr:spPr bwMode="auto">
        <a:xfrm flipH="1">
          <a:off x="1428750" y="687990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359</xdr:row>
      <xdr:rowOff>123825</xdr:rowOff>
    </xdr:from>
    <xdr:to>
      <xdr:col>2</xdr:col>
      <xdr:colOff>133350</xdr:colOff>
      <xdr:row>360</xdr:row>
      <xdr:rowOff>19050</xdr:rowOff>
    </xdr:to>
    <xdr:sp macro="" textlink="">
      <xdr:nvSpPr>
        <xdr:cNvPr id="88" name="Line 91">
          <a:extLst>
            <a:ext uri="{FF2B5EF4-FFF2-40B4-BE49-F238E27FC236}">
              <a16:creationId xmlns:a16="http://schemas.microsoft.com/office/drawing/2014/main" id="{00000000-0008-0000-0000-000058000000}"/>
            </a:ext>
          </a:extLst>
        </xdr:cNvPr>
        <xdr:cNvSpPr>
          <a:spLocks noChangeShapeType="1"/>
        </xdr:cNvSpPr>
      </xdr:nvSpPr>
      <xdr:spPr bwMode="auto">
        <a:xfrm flipH="1">
          <a:off x="1428750" y="692562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20</xdr:row>
      <xdr:rowOff>142875</xdr:rowOff>
    </xdr:from>
    <xdr:to>
      <xdr:col>3</xdr:col>
      <xdr:colOff>304800</xdr:colOff>
      <xdr:row>22</xdr:row>
      <xdr:rowOff>76200</xdr:rowOff>
    </xdr:to>
    <xdr:sp macro="" textlink="">
      <xdr:nvSpPr>
        <xdr:cNvPr id="89" name="Line 92">
          <a:extLst>
            <a:ext uri="{FF2B5EF4-FFF2-40B4-BE49-F238E27FC236}">
              <a16:creationId xmlns:a16="http://schemas.microsoft.com/office/drawing/2014/main" id="{00000000-0008-0000-0000-000059000000}"/>
            </a:ext>
          </a:extLst>
        </xdr:cNvPr>
        <xdr:cNvSpPr>
          <a:spLocks noChangeShapeType="1"/>
        </xdr:cNvSpPr>
      </xdr:nvSpPr>
      <xdr:spPr bwMode="auto">
        <a:xfrm>
          <a:off x="2266950" y="380047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200025</xdr:colOff>
      <xdr:row>20</xdr:row>
      <xdr:rowOff>66675</xdr:rowOff>
    </xdr:from>
    <xdr:to>
      <xdr:col>3</xdr:col>
      <xdr:colOff>304800</xdr:colOff>
      <xdr:row>24</xdr:row>
      <xdr:rowOff>200025</xdr:rowOff>
    </xdr:to>
    <xdr:sp macro="" textlink="">
      <xdr:nvSpPr>
        <xdr:cNvPr id="90" name="Tegning 93">
          <a:extLst>
            <a:ext uri="{FF2B5EF4-FFF2-40B4-BE49-F238E27FC236}">
              <a16:creationId xmlns:a16="http://schemas.microsoft.com/office/drawing/2014/main" id="{00000000-0008-0000-0000-00005A000000}"/>
            </a:ext>
          </a:extLst>
        </xdr:cNvPr>
        <xdr:cNvSpPr>
          <a:spLocks/>
        </xdr:cNvSpPr>
      </xdr:nvSpPr>
      <xdr:spPr bwMode="auto">
        <a:xfrm>
          <a:off x="1581150" y="3724275"/>
          <a:ext cx="685800" cy="914400"/>
        </a:xfrm>
        <a:custGeom>
          <a:avLst/>
          <a:gdLst>
            <a:gd name="T0" fmla="*/ 2147483647 w 16384"/>
            <a:gd name="T1" fmla="*/ 2147483647 h 16384"/>
            <a:gd name="T2" fmla="*/ 2147483647 w 16384"/>
            <a:gd name="T3" fmla="*/ 0 h 16384"/>
            <a:gd name="T4" fmla="*/ 0 w 16384"/>
            <a:gd name="T5" fmla="*/ 0 h 16384"/>
            <a:gd name="T6" fmla="*/ 0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384" y="1315"/>
              </a:moveTo>
              <a:lnTo>
                <a:pt x="16384" y="0"/>
              </a:lnTo>
              <a:lnTo>
                <a:pt x="0" y="0"/>
              </a:lnTo>
              <a:lnTo>
                <a:pt x="0" y="16384"/>
              </a:lnTo>
              <a:lnTo>
                <a:pt x="16240" y="16384"/>
              </a:lnTo>
              <a:lnTo>
                <a:pt x="16240" y="15069"/>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257175</xdr:colOff>
      <xdr:row>20</xdr:row>
      <xdr:rowOff>142875</xdr:rowOff>
    </xdr:from>
    <xdr:to>
      <xdr:col>4</xdr:col>
      <xdr:colOff>238125</xdr:colOff>
      <xdr:row>22</xdr:row>
      <xdr:rowOff>57150</xdr:rowOff>
    </xdr:to>
    <xdr:sp macro="" textlink="">
      <xdr:nvSpPr>
        <xdr:cNvPr id="91" name="Tegning 94">
          <a:extLst>
            <a:ext uri="{FF2B5EF4-FFF2-40B4-BE49-F238E27FC236}">
              <a16:creationId xmlns:a16="http://schemas.microsoft.com/office/drawing/2014/main" id="{00000000-0008-0000-0000-00005B000000}"/>
            </a:ext>
          </a:extLst>
        </xdr:cNvPr>
        <xdr:cNvSpPr>
          <a:spLocks/>
        </xdr:cNvSpPr>
      </xdr:nvSpPr>
      <xdr:spPr bwMode="auto">
        <a:xfrm>
          <a:off x="2219325" y="3800475"/>
          <a:ext cx="352425" cy="3048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0" y="0"/>
              </a:lnTo>
              <a:lnTo>
                <a:pt x="0" y="16384"/>
              </a:lnTo>
              <a:lnTo>
                <a:pt x="1612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47625</xdr:colOff>
      <xdr:row>20</xdr:row>
      <xdr:rowOff>142875</xdr:rowOff>
    </xdr:from>
    <xdr:to>
      <xdr:col>4</xdr:col>
      <xdr:colOff>47625</xdr:colOff>
      <xdr:row>22</xdr:row>
      <xdr:rowOff>57150</xdr:rowOff>
    </xdr:to>
    <xdr:sp macro="" textlink="">
      <xdr:nvSpPr>
        <xdr:cNvPr id="92" name="Line 95">
          <a:extLst>
            <a:ext uri="{FF2B5EF4-FFF2-40B4-BE49-F238E27FC236}">
              <a16:creationId xmlns:a16="http://schemas.microsoft.com/office/drawing/2014/main" id="{00000000-0008-0000-0000-00005C000000}"/>
            </a:ext>
          </a:extLst>
        </xdr:cNvPr>
        <xdr:cNvSpPr>
          <a:spLocks noChangeShapeType="1"/>
        </xdr:cNvSpPr>
      </xdr:nvSpPr>
      <xdr:spPr bwMode="auto">
        <a:xfrm>
          <a:off x="2381250" y="380047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20</xdr:row>
      <xdr:rowOff>142875</xdr:rowOff>
    </xdr:from>
    <xdr:to>
      <xdr:col>4</xdr:col>
      <xdr:colOff>161925</xdr:colOff>
      <xdr:row>22</xdr:row>
      <xdr:rowOff>57150</xdr:rowOff>
    </xdr:to>
    <xdr:sp macro="" textlink="">
      <xdr:nvSpPr>
        <xdr:cNvPr id="93" name="Line 96">
          <a:extLst>
            <a:ext uri="{FF2B5EF4-FFF2-40B4-BE49-F238E27FC236}">
              <a16:creationId xmlns:a16="http://schemas.microsoft.com/office/drawing/2014/main" id="{00000000-0008-0000-0000-00005D000000}"/>
            </a:ext>
          </a:extLst>
        </xdr:cNvPr>
        <xdr:cNvSpPr>
          <a:spLocks noChangeShapeType="1"/>
        </xdr:cNvSpPr>
      </xdr:nvSpPr>
      <xdr:spPr bwMode="auto">
        <a:xfrm>
          <a:off x="2495550" y="380047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23</xdr:row>
      <xdr:rowOff>0</xdr:rowOff>
    </xdr:from>
    <xdr:to>
      <xdr:col>4</xdr:col>
      <xdr:colOff>238125</xdr:colOff>
      <xdr:row>24</xdr:row>
      <xdr:rowOff>123825</xdr:rowOff>
    </xdr:to>
    <xdr:sp macro="" textlink="">
      <xdr:nvSpPr>
        <xdr:cNvPr id="94" name="Tegning 97">
          <a:extLst>
            <a:ext uri="{FF2B5EF4-FFF2-40B4-BE49-F238E27FC236}">
              <a16:creationId xmlns:a16="http://schemas.microsoft.com/office/drawing/2014/main" id="{00000000-0008-0000-0000-00005E000000}"/>
            </a:ext>
          </a:extLst>
        </xdr:cNvPr>
        <xdr:cNvSpPr>
          <a:spLocks/>
        </xdr:cNvSpPr>
      </xdr:nvSpPr>
      <xdr:spPr bwMode="auto">
        <a:xfrm>
          <a:off x="2219325" y="4248150"/>
          <a:ext cx="352425" cy="314325"/>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90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23</xdr:row>
      <xdr:rowOff>0</xdr:rowOff>
    </xdr:from>
    <xdr:to>
      <xdr:col>4</xdr:col>
      <xdr:colOff>57150</xdr:colOff>
      <xdr:row>24</xdr:row>
      <xdr:rowOff>123825</xdr:rowOff>
    </xdr:to>
    <xdr:sp macro="" textlink="">
      <xdr:nvSpPr>
        <xdr:cNvPr id="95" name="Line 98">
          <a:extLst>
            <a:ext uri="{FF2B5EF4-FFF2-40B4-BE49-F238E27FC236}">
              <a16:creationId xmlns:a16="http://schemas.microsoft.com/office/drawing/2014/main" id="{00000000-0008-0000-0000-00005F000000}"/>
            </a:ext>
          </a:extLst>
        </xdr:cNvPr>
        <xdr:cNvSpPr>
          <a:spLocks noChangeShapeType="1"/>
        </xdr:cNvSpPr>
      </xdr:nvSpPr>
      <xdr:spPr bwMode="auto">
        <a:xfrm>
          <a:off x="2390775" y="42481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23</xdr:row>
      <xdr:rowOff>0</xdr:rowOff>
    </xdr:from>
    <xdr:to>
      <xdr:col>4</xdr:col>
      <xdr:colOff>171450</xdr:colOff>
      <xdr:row>24</xdr:row>
      <xdr:rowOff>123825</xdr:rowOff>
    </xdr:to>
    <xdr:sp macro="" textlink="">
      <xdr:nvSpPr>
        <xdr:cNvPr id="96" name="Line 99">
          <a:extLst>
            <a:ext uri="{FF2B5EF4-FFF2-40B4-BE49-F238E27FC236}">
              <a16:creationId xmlns:a16="http://schemas.microsoft.com/office/drawing/2014/main" id="{00000000-0008-0000-0000-000060000000}"/>
            </a:ext>
          </a:extLst>
        </xdr:cNvPr>
        <xdr:cNvSpPr>
          <a:spLocks noChangeShapeType="1"/>
        </xdr:cNvSpPr>
      </xdr:nvSpPr>
      <xdr:spPr bwMode="auto">
        <a:xfrm>
          <a:off x="2505075" y="42481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19</xdr:row>
      <xdr:rowOff>180975</xdr:rowOff>
    </xdr:from>
    <xdr:to>
      <xdr:col>2</xdr:col>
      <xdr:colOff>342900</xdr:colOff>
      <xdr:row>20</xdr:row>
      <xdr:rowOff>66675</xdr:rowOff>
    </xdr:to>
    <xdr:sp macro="" textlink="">
      <xdr:nvSpPr>
        <xdr:cNvPr id="97" name="Line 100">
          <a:extLst>
            <a:ext uri="{FF2B5EF4-FFF2-40B4-BE49-F238E27FC236}">
              <a16:creationId xmlns:a16="http://schemas.microsoft.com/office/drawing/2014/main" id="{00000000-0008-0000-0000-000061000000}"/>
            </a:ext>
          </a:extLst>
        </xdr:cNvPr>
        <xdr:cNvSpPr>
          <a:spLocks noChangeShapeType="1"/>
        </xdr:cNvSpPr>
      </xdr:nvSpPr>
      <xdr:spPr bwMode="auto">
        <a:xfrm>
          <a:off x="1724025" y="36480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19</xdr:row>
      <xdr:rowOff>180975</xdr:rowOff>
    </xdr:from>
    <xdr:to>
      <xdr:col>3</xdr:col>
      <xdr:colOff>200025</xdr:colOff>
      <xdr:row>20</xdr:row>
      <xdr:rowOff>66675</xdr:rowOff>
    </xdr:to>
    <xdr:sp macro="" textlink="">
      <xdr:nvSpPr>
        <xdr:cNvPr id="98" name="Line 101">
          <a:extLst>
            <a:ext uri="{FF2B5EF4-FFF2-40B4-BE49-F238E27FC236}">
              <a16:creationId xmlns:a16="http://schemas.microsoft.com/office/drawing/2014/main" id="{00000000-0008-0000-0000-000062000000}"/>
            </a:ext>
          </a:extLst>
        </xdr:cNvPr>
        <xdr:cNvSpPr>
          <a:spLocks noChangeShapeType="1"/>
        </xdr:cNvSpPr>
      </xdr:nvSpPr>
      <xdr:spPr bwMode="auto">
        <a:xfrm>
          <a:off x="2162175" y="36480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0</xdr:rowOff>
    </xdr:from>
    <xdr:to>
      <xdr:col>2</xdr:col>
      <xdr:colOff>333375</xdr:colOff>
      <xdr:row>25</xdr:row>
      <xdr:rowOff>85725</xdr:rowOff>
    </xdr:to>
    <xdr:sp macro="" textlink="">
      <xdr:nvSpPr>
        <xdr:cNvPr id="99" name="Line 102">
          <a:extLst>
            <a:ext uri="{FF2B5EF4-FFF2-40B4-BE49-F238E27FC236}">
              <a16:creationId xmlns:a16="http://schemas.microsoft.com/office/drawing/2014/main" id="{00000000-0008-0000-0000-000063000000}"/>
            </a:ext>
          </a:extLst>
        </xdr:cNvPr>
        <xdr:cNvSpPr>
          <a:spLocks noChangeShapeType="1"/>
        </xdr:cNvSpPr>
      </xdr:nvSpPr>
      <xdr:spPr bwMode="auto">
        <a:xfrm>
          <a:off x="1714500" y="46386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24</xdr:row>
      <xdr:rowOff>219075</xdr:rowOff>
    </xdr:from>
    <xdr:to>
      <xdr:col>3</xdr:col>
      <xdr:colOff>180975</xdr:colOff>
      <xdr:row>25</xdr:row>
      <xdr:rowOff>85725</xdr:rowOff>
    </xdr:to>
    <xdr:sp macro="" textlink="">
      <xdr:nvSpPr>
        <xdr:cNvPr id="100" name="Line 103">
          <a:extLst>
            <a:ext uri="{FF2B5EF4-FFF2-40B4-BE49-F238E27FC236}">
              <a16:creationId xmlns:a16="http://schemas.microsoft.com/office/drawing/2014/main" id="{00000000-0008-0000-0000-000064000000}"/>
            </a:ext>
          </a:extLst>
        </xdr:cNvPr>
        <xdr:cNvSpPr>
          <a:spLocks noChangeShapeType="1"/>
        </xdr:cNvSpPr>
      </xdr:nvSpPr>
      <xdr:spPr bwMode="auto">
        <a:xfrm>
          <a:off x="2143125" y="46386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20</xdr:row>
      <xdr:rowOff>47625</xdr:rowOff>
    </xdr:from>
    <xdr:to>
      <xdr:col>5</xdr:col>
      <xdr:colOff>342900</xdr:colOff>
      <xdr:row>24</xdr:row>
      <xdr:rowOff>190500</xdr:rowOff>
    </xdr:to>
    <xdr:sp macro="" textlink="">
      <xdr:nvSpPr>
        <xdr:cNvPr id="101" name="Tegning 104">
          <a:extLst>
            <a:ext uri="{FF2B5EF4-FFF2-40B4-BE49-F238E27FC236}">
              <a16:creationId xmlns:a16="http://schemas.microsoft.com/office/drawing/2014/main" id="{00000000-0008-0000-0000-000065000000}"/>
            </a:ext>
          </a:extLst>
        </xdr:cNvPr>
        <xdr:cNvSpPr>
          <a:spLocks/>
        </xdr:cNvSpPr>
      </xdr:nvSpPr>
      <xdr:spPr bwMode="auto">
        <a:xfrm>
          <a:off x="2895600" y="3705225"/>
          <a:ext cx="104775" cy="923925"/>
        </a:xfrm>
        <a:custGeom>
          <a:avLst/>
          <a:gdLst>
            <a:gd name="T0" fmla="*/ 0 w 16384"/>
            <a:gd name="T1" fmla="*/ 2147483647 h 16384"/>
            <a:gd name="T2" fmla="*/ 2147483647 w 16384"/>
            <a:gd name="T3" fmla="*/ 2147483647 h 16384"/>
            <a:gd name="T4" fmla="*/ 2147483647 w 16384"/>
            <a:gd name="T5" fmla="*/ 2147483647 h 16384"/>
            <a:gd name="T6" fmla="*/ 2147483647 w 16384"/>
            <a:gd name="T7" fmla="*/ 2147483647 h 16384"/>
            <a:gd name="T8" fmla="*/ 2147483647 w 16384"/>
            <a:gd name="T9" fmla="*/ 0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01"/>
              </a:moveTo>
              <a:lnTo>
                <a:pt x="16384" y="101"/>
              </a:lnTo>
              <a:lnTo>
                <a:pt x="16384" y="16384"/>
              </a:lnTo>
              <a:lnTo>
                <a:pt x="1638" y="16384"/>
              </a:lnTo>
              <a:lnTo>
                <a:pt x="1638"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20</xdr:row>
      <xdr:rowOff>142875</xdr:rowOff>
    </xdr:from>
    <xdr:to>
      <xdr:col>5</xdr:col>
      <xdr:colOff>276225</xdr:colOff>
      <xdr:row>22</xdr:row>
      <xdr:rowOff>57150</xdr:rowOff>
    </xdr:to>
    <xdr:sp macro="" textlink="">
      <xdr:nvSpPr>
        <xdr:cNvPr id="102" name="Tegning 105">
          <a:extLst>
            <a:ext uri="{FF2B5EF4-FFF2-40B4-BE49-F238E27FC236}">
              <a16:creationId xmlns:a16="http://schemas.microsoft.com/office/drawing/2014/main" id="{00000000-0008-0000-0000-000066000000}"/>
            </a:ext>
          </a:extLst>
        </xdr:cNvPr>
        <xdr:cNvSpPr>
          <a:spLocks/>
        </xdr:cNvSpPr>
      </xdr:nvSpPr>
      <xdr:spPr bwMode="auto">
        <a:xfrm>
          <a:off x="2895600" y="3800475"/>
          <a:ext cx="38100" cy="304800"/>
        </a:xfrm>
        <a:custGeom>
          <a:avLst/>
          <a:gdLst>
            <a:gd name="T0" fmla="*/ 0 w 16384"/>
            <a:gd name="T1" fmla="*/ 0 h 16384"/>
            <a:gd name="T2" fmla="*/ 2147483647 w 16384"/>
            <a:gd name="T3" fmla="*/ 0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23</xdr:row>
      <xdr:rowOff>28575</xdr:rowOff>
    </xdr:from>
    <xdr:to>
      <xdr:col>5</xdr:col>
      <xdr:colOff>276225</xdr:colOff>
      <xdr:row>24</xdr:row>
      <xdr:rowOff>104775</xdr:rowOff>
    </xdr:to>
    <xdr:sp macro="" textlink="">
      <xdr:nvSpPr>
        <xdr:cNvPr id="103" name="Tegning 106">
          <a:extLst>
            <a:ext uri="{FF2B5EF4-FFF2-40B4-BE49-F238E27FC236}">
              <a16:creationId xmlns:a16="http://schemas.microsoft.com/office/drawing/2014/main" id="{00000000-0008-0000-0000-000067000000}"/>
            </a:ext>
          </a:extLst>
        </xdr:cNvPr>
        <xdr:cNvSpPr>
          <a:spLocks/>
        </xdr:cNvSpPr>
      </xdr:nvSpPr>
      <xdr:spPr bwMode="auto">
        <a:xfrm>
          <a:off x="2895600" y="4276725"/>
          <a:ext cx="38100" cy="266700"/>
        </a:xfrm>
        <a:custGeom>
          <a:avLst/>
          <a:gdLst>
            <a:gd name="T0" fmla="*/ 0 w 16384"/>
            <a:gd name="T1" fmla="*/ 2147483647 h 16384"/>
            <a:gd name="T2" fmla="*/ 2147483647 w 16384"/>
            <a:gd name="T3" fmla="*/ 0 h 16384"/>
            <a:gd name="T4" fmla="*/ 2147483647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334"/>
              </a:moveTo>
              <a:lnTo>
                <a:pt x="16384" y="0"/>
              </a:lnTo>
              <a:lnTo>
                <a:pt x="16384" y="16384"/>
              </a:lnTo>
              <a:lnTo>
                <a:pt x="2341"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285750</xdr:colOff>
      <xdr:row>19</xdr:row>
      <xdr:rowOff>180975</xdr:rowOff>
    </xdr:from>
    <xdr:to>
      <xdr:col>5</xdr:col>
      <xdr:colOff>285750</xdr:colOff>
      <xdr:row>20</xdr:row>
      <xdr:rowOff>66675</xdr:rowOff>
    </xdr:to>
    <xdr:sp macro="" textlink="">
      <xdr:nvSpPr>
        <xdr:cNvPr id="104" name="Line 107">
          <a:extLst>
            <a:ext uri="{FF2B5EF4-FFF2-40B4-BE49-F238E27FC236}">
              <a16:creationId xmlns:a16="http://schemas.microsoft.com/office/drawing/2014/main" id="{00000000-0008-0000-0000-000068000000}"/>
            </a:ext>
          </a:extLst>
        </xdr:cNvPr>
        <xdr:cNvSpPr>
          <a:spLocks noChangeShapeType="1"/>
        </xdr:cNvSpPr>
      </xdr:nvSpPr>
      <xdr:spPr bwMode="auto">
        <a:xfrm flipV="1">
          <a:off x="2943225" y="36480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295275</xdr:colOff>
      <xdr:row>24</xdr:row>
      <xdr:rowOff>190500</xdr:rowOff>
    </xdr:from>
    <xdr:to>
      <xdr:col>5</xdr:col>
      <xdr:colOff>295275</xdr:colOff>
      <xdr:row>25</xdr:row>
      <xdr:rowOff>76200</xdr:rowOff>
    </xdr:to>
    <xdr:sp macro="" textlink="">
      <xdr:nvSpPr>
        <xdr:cNvPr id="105" name="Line 108">
          <a:extLst>
            <a:ext uri="{FF2B5EF4-FFF2-40B4-BE49-F238E27FC236}">
              <a16:creationId xmlns:a16="http://schemas.microsoft.com/office/drawing/2014/main" id="{00000000-0008-0000-0000-000069000000}"/>
            </a:ext>
          </a:extLst>
        </xdr:cNvPr>
        <xdr:cNvSpPr>
          <a:spLocks noChangeShapeType="1"/>
        </xdr:cNvSpPr>
      </xdr:nvSpPr>
      <xdr:spPr bwMode="auto">
        <a:xfrm>
          <a:off x="2952750" y="46291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333375</xdr:colOff>
      <xdr:row>19</xdr:row>
      <xdr:rowOff>85725</xdr:rowOff>
    </xdr:from>
    <xdr:to>
      <xdr:col>5</xdr:col>
      <xdr:colOff>409575</xdr:colOff>
      <xdr:row>20</xdr:row>
      <xdr:rowOff>66675</xdr:rowOff>
    </xdr:to>
    <xdr:sp macro="" textlink="">
      <xdr:nvSpPr>
        <xdr:cNvPr id="106" name="Tegning 109">
          <a:extLst>
            <a:ext uri="{FF2B5EF4-FFF2-40B4-BE49-F238E27FC236}">
              <a16:creationId xmlns:a16="http://schemas.microsoft.com/office/drawing/2014/main" id="{00000000-0008-0000-0000-00006A000000}"/>
            </a:ext>
          </a:extLst>
        </xdr:cNvPr>
        <xdr:cNvSpPr>
          <a:spLocks/>
        </xdr:cNvSpPr>
      </xdr:nvSpPr>
      <xdr:spPr bwMode="auto">
        <a:xfrm>
          <a:off x="2990850" y="3552825"/>
          <a:ext cx="76200" cy="171450"/>
        </a:xfrm>
        <a:custGeom>
          <a:avLst/>
          <a:gdLst>
            <a:gd name="T0" fmla="*/ 0 w 16384"/>
            <a:gd name="T1" fmla="*/ 2147483647 h 16384"/>
            <a:gd name="T2" fmla="*/ 2147483647 w 16384"/>
            <a:gd name="T3" fmla="*/ 0 h 16384"/>
            <a:gd name="T4" fmla="*/ 2147483647 w 16384"/>
            <a:gd name="T5" fmla="*/ 2147483647 h 16384"/>
            <a:gd name="T6" fmla="*/ 0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8474"/>
              </a:moveTo>
              <a:lnTo>
                <a:pt x="16384" y="0"/>
              </a:lnTo>
              <a:lnTo>
                <a:pt x="16384" y="16384"/>
              </a:lnTo>
              <a:lnTo>
                <a:pt x="0" y="791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352425</xdr:colOff>
      <xdr:row>24</xdr:row>
      <xdr:rowOff>200025</xdr:rowOff>
    </xdr:from>
    <xdr:to>
      <xdr:col>5</xdr:col>
      <xdr:colOff>428625</xdr:colOff>
      <xdr:row>25</xdr:row>
      <xdr:rowOff>133350</xdr:rowOff>
    </xdr:to>
    <xdr:sp macro="" textlink="">
      <xdr:nvSpPr>
        <xdr:cNvPr id="107" name="Tegning 110">
          <a:extLst>
            <a:ext uri="{FF2B5EF4-FFF2-40B4-BE49-F238E27FC236}">
              <a16:creationId xmlns:a16="http://schemas.microsoft.com/office/drawing/2014/main" id="{00000000-0008-0000-0000-00006B000000}"/>
            </a:ext>
          </a:extLst>
        </xdr:cNvPr>
        <xdr:cNvSpPr>
          <a:spLocks/>
        </xdr:cNvSpPr>
      </xdr:nvSpPr>
      <xdr:spPr bwMode="auto">
        <a:xfrm>
          <a:off x="3009900" y="4638675"/>
          <a:ext cx="76200" cy="133350"/>
        </a:xfrm>
        <a:custGeom>
          <a:avLst/>
          <a:gdLst>
            <a:gd name="T0" fmla="*/ 0 w 16384"/>
            <a:gd name="T1" fmla="*/ 2147483647 h 16384"/>
            <a:gd name="T2" fmla="*/ 2147483647 w 16384"/>
            <a:gd name="T3" fmla="*/ 0 h 16384"/>
            <a:gd name="T4" fmla="*/ 2147483647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9452"/>
              </a:moveTo>
              <a:lnTo>
                <a:pt x="16384" y="0"/>
              </a:lnTo>
              <a:lnTo>
                <a:pt x="16384" y="16384"/>
              </a:lnTo>
              <a:lnTo>
                <a:pt x="1092" y="756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295275</xdr:colOff>
      <xdr:row>19</xdr:row>
      <xdr:rowOff>161925</xdr:rowOff>
    </xdr:from>
    <xdr:to>
      <xdr:col>5</xdr:col>
      <xdr:colOff>323850</xdr:colOff>
      <xdr:row>20</xdr:row>
      <xdr:rowOff>0</xdr:rowOff>
    </xdr:to>
    <xdr:sp macro="" textlink="">
      <xdr:nvSpPr>
        <xdr:cNvPr id="108" name="Oval 111">
          <a:extLst>
            <a:ext uri="{FF2B5EF4-FFF2-40B4-BE49-F238E27FC236}">
              <a16:creationId xmlns:a16="http://schemas.microsoft.com/office/drawing/2014/main" id="{00000000-0008-0000-0000-00006C000000}"/>
            </a:ext>
          </a:extLst>
        </xdr:cNvPr>
        <xdr:cNvSpPr>
          <a:spLocks noChangeArrowheads="1"/>
        </xdr:cNvSpPr>
      </xdr:nvSpPr>
      <xdr:spPr bwMode="auto">
        <a:xfrm>
          <a:off x="2952750" y="3629025"/>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25</xdr:row>
      <xdr:rowOff>57150</xdr:rowOff>
    </xdr:from>
    <xdr:to>
      <xdr:col>5</xdr:col>
      <xdr:colOff>352425</xdr:colOff>
      <xdr:row>25</xdr:row>
      <xdr:rowOff>95250</xdr:rowOff>
    </xdr:to>
    <xdr:sp macro="" textlink="">
      <xdr:nvSpPr>
        <xdr:cNvPr id="109" name="Oval 112">
          <a:extLst>
            <a:ext uri="{FF2B5EF4-FFF2-40B4-BE49-F238E27FC236}">
              <a16:creationId xmlns:a16="http://schemas.microsoft.com/office/drawing/2014/main" id="{00000000-0008-0000-0000-00006D000000}"/>
            </a:ext>
          </a:extLst>
        </xdr:cNvPr>
        <xdr:cNvSpPr>
          <a:spLocks noChangeArrowheads="1"/>
        </xdr:cNvSpPr>
      </xdr:nvSpPr>
      <xdr:spPr bwMode="auto">
        <a:xfrm>
          <a:off x="2971800" y="4695825"/>
          <a:ext cx="38100" cy="381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19</xdr:row>
      <xdr:rowOff>123825</xdr:rowOff>
    </xdr:from>
    <xdr:to>
      <xdr:col>5</xdr:col>
      <xdr:colOff>447675</xdr:colOff>
      <xdr:row>19</xdr:row>
      <xdr:rowOff>152400</xdr:rowOff>
    </xdr:to>
    <xdr:sp macro="" textlink="">
      <xdr:nvSpPr>
        <xdr:cNvPr id="110" name="Oval 113">
          <a:extLst>
            <a:ext uri="{FF2B5EF4-FFF2-40B4-BE49-F238E27FC236}">
              <a16:creationId xmlns:a16="http://schemas.microsoft.com/office/drawing/2014/main" id="{00000000-0008-0000-0000-00006E000000}"/>
            </a:ext>
          </a:extLst>
        </xdr:cNvPr>
        <xdr:cNvSpPr>
          <a:spLocks noChangeArrowheads="1"/>
        </xdr:cNvSpPr>
      </xdr:nvSpPr>
      <xdr:spPr bwMode="auto">
        <a:xfrm>
          <a:off x="3076575" y="3590925"/>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20</xdr:row>
      <xdr:rowOff>0</xdr:rowOff>
    </xdr:from>
    <xdr:to>
      <xdr:col>5</xdr:col>
      <xdr:colOff>447675</xdr:colOff>
      <xdr:row>20</xdr:row>
      <xdr:rowOff>28575</xdr:rowOff>
    </xdr:to>
    <xdr:sp macro="" textlink="">
      <xdr:nvSpPr>
        <xdr:cNvPr id="111" name="Oval 114">
          <a:extLst>
            <a:ext uri="{FF2B5EF4-FFF2-40B4-BE49-F238E27FC236}">
              <a16:creationId xmlns:a16="http://schemas.microsoft.com/office/drawing/2014/main" id="{00000000-0008-0000-0000-00006F000000}"/>
            </a:ext>
          </a:extLst>
        </xdr:cNvPr>
        <xdr:cNvSpPr>
          <a:spLocks noChangeArrowheads="1"/>
        </xdr:cNvSpPr>
      </xdr:nvSpPr>
      <xdr:spPr bwMode="auto">
        <a:xfrm>
          <a:off x="3076575" y="3657600"/>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25</xdr:row>
      <xdr:rowOff>28575</xdr:rowOff>
    </xdr:from>
    <xdr:to>
      <xdr:col>2</xdr:col>
      <xdr:colOff>200025</xdr:colOff>
      <xdr:row>27</xdr:row>
      <xdr:rowOff>57150</xdr:rowOff>
    </xdr:to>
    <xdr:sp macro="" textlink="">
      <xdr:nvSpPr>
        <xdr:cNvPr id="112" name="Line 115">
          <a:extLst>
            <a:ext uri="{FF2B5EF4-FFF2-40B4-BE49-F238E27FC236}">
              <a16:creationId xmlns:a16="http://schemas.microsoft.com/office/drawing/2014/main" id="{00000000-0008-0000-0000-000070000000}"/>
            </a:ext>
          </a:extLst>
        </xdr:cNvPr>
        <xdr:cNvSpPr>
          <a:spLocks noChangeShapeType="1"/>
        </xdr:cNvSpPr>
      </xdr:nvSpPr>
      <xdr:spPr bwMode="auto">
        <a:xfrm>
          <a:off x="1581150" y="46672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27</xdr:row>
      <xdr:rowOff>190500</xdr:rowOff>
    </xdr:from>
    <xdr:to>
      <xdr:col>3</xdr:col>
      <xdr:colOff>314325</xdr:colOff>
      <xdr:row>28</xdr:row>
      <xdr:rowOff>123825</xdr:rowOff>
    </xdr:to>
    <xdr:sp macro="" textlink="">
      <xdr:nvSpPr>
        <xdr:cNvPr id="113" name="Tegning 116">
          <a:extLst>
            <a:ext uri="{FF2B5EF4-FFF2-40B4-BE49-F238E27FC236}">
              <a16:creationId xmlns:a16="http://schemas.microsoft.com/office/drawing/2014/main" id="{00000000-0008-0000-0000-000071000000}"/>
            </a:ext>
          </a:extLst>
        </xdr:cNvPr>
        <xdr:cNvSpPr>
          <a:spLocks/>
        </xdr:cNvSpPr>
      </xdr:nvSpPr>
      <xdr:spPr bwMode="auto">
        <a:xfrm>
          <a:off x="1571625" y="5210175"/>
          <a:ext cx="704850" cy="133350"/>
        </a:xfrm>
        <a:custGeom>
          <a:avLst/>
          <a:gdLst>
            <a:gd name="T0" fmla="*/ 2147483647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w 16384"/>
            <a:gd name="T13" fmla="*/ 0 h 16384"/>
            <a:gd name="T14" fmla="*/ 2147483647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37" y="0"/>
              </a:moveTo>
              <a:lnTo>
                <a:pt x="14609" y="0"/>
              </a:lnTo>
              <a:lnTo>
                <a:pt x="14609" y="7836"/>
              </a:lnTo>
              <a:lnTo>
                <a:pt x="16384" y="7836"/>
              </a:lnTo>
              <a:lnTo>
                <a:pt x="16384" y="16384"/>
              </a:lnTo>
              <a:lnTo>
                <a:pt x="0" y="16384"/>
              </a:lnTo>
              <a:lnTo>
                <a:pt x="0" y="0"/>
              </a:lnTo>
              <a:lnTo>
                <a:pt x="956"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171450</xdr:colOff>
      <xdr:row>28</xdr:row>
      <xdr:rowOff>28575</xdr:rowOff>
    </xdr:from>
    <xdr:to>
      <xdr:col>3</xdr:col>
      <xdr:colOff>219075</xdr:colOff>
      <xdr:row>28</xdr:row>
      <xdr:rowOff>76200</xdr:rowOff>
    </xdr:to>
    <xdr:sp macro="" textlink="">
      <xdr:nvSpPr>
        <xdr:cNvPr id="114" name="Oval 117">
          <a:extLst>
            <a:ext uri="{FF2B5EF4-FFF2-40B4-BE49-F238E27FC236}">
              <a16:creationId xmlns:a16="http://schemas.microsoft.com/office/drawing/2014/main" id="{00000000-0008-0000-0000-000072000000}"/>
            </a:ext>
          </a:extLst>
        </xdr:cNvPr>
        <xdr:cNvSpPr>
          <a:spLocks noChangeArrowheads="1"/>
        </xdr:cNvSpPr>
      </xdr:nvSpPr>
      <xdr:spPr bwMode="auto">
        <a:xfrm>
          <a:off x="2133600" y="5248275"/>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247650</xdr:colOff>
      <xdr:row>27</xdr:row>
      <xdr:rowOff>28575</xdr:rowOff>
    </xdr:from>
    <xdr:to>
      <xdr:col>5</xdr:col>
      <xdr:colOff>19050</xdr:colOff>
      <xdr:row>27</xdr:row>
      <xdr:rowOff>190500</xdr:rowOff>
    </xdr:to>
    <xdr:sp macro="" textlink="">
      <xdr:nvSpPr>
        <xdr:cNvPr id="115" name="Tegning 118">
          <a:extLst>
            <a:ext uri="{FF2B5EF4-FFF2-40B4-BE49-F238E27FC236}">
              <a16:creationId xmlns:a16="http://schemas.microsoft.com/office/drawing/2014/main" id="{00000000-0008-0000-0000-000073000000}"/>
            </a:ext>
          </a:extLst>
        </xdr:cNvPr>
        <xdr:cNvSpPr>
          <a:spLocks/>
        </xdr:cNvSpPr>
      </xdr:nvSpPr>
      <xdr:spPr bwMode="auto">
        <a:xfrm>
          <a:off x="2209800" y="5048250"/>
          <a:ext cx="466725" cy="161925"/>
        </a:xfrm>
        <a:custGeom>
          <a:avLst/>
          <a:gdLst>
            <a:gd name="T0" fmla="*/ 0 w 16384"/>
            <a:gd name="T1" fmla="*/ 2147483647 h 16384"/>
            <a:gd name="T2" fmla="*/ 2147483647 w 16384"/>
            <a:gd name="T3" fmla="*/ 2147483647 h 16384"/>
            <a:gd name="T4" fmla="*/ 2147483647 w 16384"/>
            <a:gd name="T5" fmla="*/ 2147483647 h 16384"/>
            <a:gd name="T6" fmla="*/ 2147483647 w 16384"/>
            <a:gd name="T7" fmla="*/ 2147483647 h 16384"/>
            <a:gd name="T8" fmla="*/ 2147483647 w 16384"/>
            <a:gd name="T9" fmla="*/ 0 h 16384"/>
            <a:gd name="T10" fmla="*/ 2147483647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6384"/>
              </a:moveTo>
              <a:lnTo>
                <a:pt x="5851" y="16384"/>
              </a:lnTo>
              <a:lnTo>
                <a:pt x="5851" y="8192"/>
              </a:lnTo>
              <a:lnTo>
                <a:pt x="11469" y="8192"/>
              </a:lnTo>
              <a:lnTo>
                <a:pt x="11469"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311150</xdr:colOff>
      <xdr:row>28</xdr:row>
      <xdr:rowOff>117475</xdr:rowOff>
    </xdr:from>
    <xdr:to>
      <xdr:col>4</xdr:col>
      <xdr:colOff>273050</xdr:colOff>
      <xdr:row>29</xdr:row>
      <xdr:rowOff>88900</xdr:rowOff>
    </xdr:to>
    <xdr:sp macro="" textlink="">
      <xdr:nvSpPr>
        <xdr:cNvPr id="116" name="Line 119">
          <a:extLst>
            <a:ext uri="{FF2B5EF4-FFF2-40B4-BE49-F238E27FC236}">
              <a16:creationId xmlns:a16="http://schemas.microsoft.com/office/drawing/2014/main" id="{00000000-0008-0000-0000-000074000000}"/>
            </a:ext>
          </a:extLst>
        </xdr:cNvPr>
        <xdr:cNvSpPr>
          <a:spLocks noChangeShapeType="1"/>
        </xdr:cNvSpPr>
      </xdr:nvSpPr>
      <xdr:spPr bwMode="auto">
        <a:xfrm>
          <a:off x="2273300" y="5451475"/>
          <a:ext cx="333375" cy="1619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22</xdr:row>
      <xdr:rowOff>47625</xdr:rowOff>
    </xdr:from>
    <xdr:to>
      <xdr:col>5</xdr:col>
      <xdr:colOff>276225</xdr:colOff>
      <xdr:row>22</xdr:row>
      <xdr:rowOff>47625</xdr:rowOff>
    </xdr:to>
    <xdr:sp macro="" textlink="">
      <xdr:nvSpPr>
        <xdr:cNvPr id="117" name="Line 120">
          <a:extLst>
            <a:ext uri="{FF2B5EF4-FFF2-40B4-BE49-F238E27FC236}">
              <a16:creationId xmlns:a16="http://schemas.microsoft.com/office/drawing/2014/main" id="{00000000-0008-0000-0000-000075000000}"/>
            </a:ext>
          </a:extLst>
        </xdr:cNvPr>
        <xdr:cNvSpPr>
          <a:spLocks noChangeShapeType="1"/>
        </xdr:cNvSpPr>
      </xdr:nvSpPr>
      <xdr:spPr bwMode="auto">
        <a:xfrm>
          <a:off x="2905125" y="4095750"/>
          <a:ext cx="28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118" name="Line 121">
          <a:extLst>
            <a:ext uri="{FF2B5EF4-FFF2-40B4-BE49-F238E27FC236}">
              <a16:creationId xmlns:a16="http://schemas.microsoft.com/office/drawing/2014/main" id="{00000000-0008-0000-0000-000076000000}"/>
            </a:ext>
          </a:extLst>
        </xdr:cNvPr>
        <xdr:cNvSpPr>
          <a:spLocks noChangeShapeType="1"/>
        </xdr:cNvSpPr>
      </xdr:nvSpPr>
      <xdr:spPr bwMode="auto">
        <a:xfrm flipH="1">
          <a:off x="3105150" y="352425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119" name="Line 122">
          <a:extLst>
            <a:ext uri="{FF2B5EF4-FFF2-40B4-BE49-F238E27FC236}">
              <a16:creationId xmlns:a16="http://schemas.microsoft.com/office/drawing/2014/main" id="{00000000-0008-0000-0000-000077000000}"/>
            </a:ext>
          </a:extLst>
        </xdr:cNvPr>
        <xdr:cNvSpPr>
          <a:spLocks noChangeShapeType="1"/>
        </xdr:cNvSpPr>
      </xdr:nvSpPr>
      <xdr:spPr bwMode="auto">
        <a:xfrm flipH="1">
          <a:off x="3105150" y="3543300"/>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19</xdr:row>
      <xdr:rowOff>133350</xdr:rowOff>
    </xdr:from>
    <xdr:to>
      <xdr:col>5</xdr:col>
      <xdr:colOff>542925</xdr:colOff>
      <xdr:row>20</xdr:row>
      <xdr:rowOff>38100</xdr:rowOff>
    </xdr:to>
    <xdr:sp macro="" textlink="">
      <xdr:nvSpPr>
        <xdr:cNvPr id="120" name="Line 123">
          <a:extLst>
            <a:ext uri="{FF2B5EF4-FFF2-40B4-BE49-F238E27FC236}">
              <a16:creationId xmlns:a16="http://schemas.microsoft.com/office/drawing/2014/main" id="{00000000-0008-0000-0000-000078000000}"/>
            </a:ext>
          </a:extLst>
        </xdr:cNvPr>
        <xdr:cNvSpPr>
          <a:spLocks noChangeShapeType="1"/>
        </xdr:cNvSpPr>
      </xdr:nvSpPr>
      <xdr:spPr bwMode="auto">
        <a:xfrm flipH="1">
          <a:off x="3114675" y="360045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180975</xdr:rowOff>
    </xdr:from>
    <xdr:to>
      <xdr:col>5</xdr:col>
      <xdr:colOff>542925</xdr:colOff>
      <xdr:row>20</xdr:row>
      <xdr:rowOff>95250</xdr:rowOff>
    </xdr:to>
    <xdr:sp macro="" textlink="">
      <xdr:nvSpPr>
        <xdr:cNvPr id="121" name="Line 124">
          <a:extLst>
            <a:ext uri="{FF2B5EF4-FFF2-40B4-BE49-F238E27FC236}">
              <a16:creationId xmlns:a16="http://schemas.microsoft.com/office/drawing/2014/main" id="{00000000-0008-0000-0000-000079000000}"/>
            </a:ext>
          </a:extLst>
        </xdr:cNvPr>
        <xdr:cNvSpPr>
          <a:spLocks noChangeShapeType="1"/>
        </xdr:cNvSpPr>
      </xdr:nvSpPr>
      <xdr:spPr bwMode="auto">
        <a:xfrm flipH="1">
          <a:off x="3105150" y="3648075"/>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20</xdr:row>
      <xdr:rowOff>28575</xdr:rowOff>
    </xdr:from>
    <xdr:to>
      <xdr:col>5</xdr:col>
      <xdr:colOff>542925</xdr:colOff>
      <xdr:row>20</xdr:row>
      <xdr:rowOff>123825</xdr:rowOff>
    </xdr:to>
    <xdr:sp macro="" textlink="">
      <xdr:nvSpPr>
        <xdr:cNvPr id="122" name="Line 125">
          <a:extLst>
            <a:ext uri="{FF2B5EF4-FFF2-40B4-BE49-F238E27FC236}">
              <a16:creationId xmlns:a16="http://schemas.microsoft.com/office/drawing/2014/main" id="{00000000-0008-0000-0000-00007A000000}"/>
            </a:ext>
          </a:extLst>
        </xdr:cNvPr>
        <xdr:cNvSpPr>
          <a:spLocks noChangeShapeType="1"/>
        </xdr:cNvSpPr>
      </xdr:nvSpPr>
      <xdr:spPr bwMode="auto">
        <a:xfrm flipH="1">
          <a:off x="3114675" y="36861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476250</xdr:colOff>
      <xdr:row>20</xdr:row>
      <xdr:rowOff>76200</xdr:rowOff>
    </xdr:from>
    <xdr:to>
      <xdr:col>5</xdr:col>
      <xdr:colOff>533400</xdr:colOff>
      <xdr:row>20</xdr:row>
      <xdr:rowOff>133350</xdr:rowOff>
    </xdr:to>
    <xdr:sp macro="" textlink="">
      <xdr:nvSpPr>
        <xdr:cNvPr id="123" name="Line 126">
          <a:extLst>
            <a:ext uri="{FF2B5EF4-FFF2-40B4-BE49-F238E27FC236}">
              <a16:creationId xmlns:a16="http://schemas.microsoft.com/office/drawing/2014/main" id="{00000000-0008-0000-0000-00007B000000}"/>
            </a:ext>
          </a:extLst>
        </xdr:cNvPr>
        <xdr:cNvSpPr>
          <a:spLocks noChangeShapeType="1"/>
        </xdr:cNvSpPr>
      </xdr:nvSpPr>
      <xdr:spPr bwMode="auto">
        <a:xfrm flipH="1">
          <a:off x="3133725" y="3733800"/>
          <a:ext cx="5715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124" name="Line 127">
          <a:extLst>
            <a:ext uri="{FF2B5EF4-FFF2-40B4-BE49-F238E27FC236}">
              <a16:creationId xmlns:a16="http://schemas.microsoft.com/office/drawing/2014/main" id="{00000000-0008-0000-0000-00007C000000}"/>
            </a:ext>
          </a:extLst>
        </xdr:cNvPr>
        <xdr:cNvSpPr>
          <a:spLocks noChangeShapeType="1"/>
        </xdr:cNvSpPr>
      </xdr:nvSpPr>
      <xdr:spPr bwMode="auto">
        <a:xfrm flipH="1">
          <a:off x="3105150" y="3524250"/>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125" name="Line 128">
          <a:extLst>
            <a:ext uri="{FF2B5EF4-FFF2-40B4-BE49-F238E27FC236}">
              <a16:creationId xmlns:a16="http://schemas.microsoft.com/office/drawing/2014/main" id="{00000000-0008-0000-0000-00007D000000}"/>
            </a:ext>
          </a:extLst>
        </xdr:cNvPr>
        <xdr:cNvSpPr>
          <a:spLocks noChangeShapeType="1"/>
        </xdr:cNvSpPr>
      </xdr:nvSpPr>
      <xdr:spPr bwMode="auto">
        <a:xfrm flipH="1">
          <a:off x="3105150" y="3543300"/>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447675</xdr:colOff>
      <xdr:row>20</xdr:row>
      <xdr:rowOff>123825</xdr:rowOff>
    </xdr:to>
    <xdr:sp macro="" textlink="">
      <xdr:nvSpPr>
        <xdr:cNvPr id="126" name="Line 129">
          <a:extLst>
            <a:ext uri="{FF2B5EF4-FFF2-40B4-BE49-F238E27FC236}">
              <a16:creationId xmlns:a16="http://schemas.microsoft.com/office/drawing/2014/main" id="{00000000-0008-0000-0000-00007E000000}"/>
            </a:ext>
          </a:extLst>
        </xdr:cNvPr>
        <xdr:cNvSpPr>
          <a:spLocks noChangeShapeType="1"/>
        </xdr:cNvSpPr>
      </xdr:nvSpPr>
      <xdr:spPr bwMode="auto">
        <a:xfrm>
          <a:off x="3105150" y="352425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142875</xdr:rowOff>
    </xdr:from>
    <xdr:to>
      <xdr:col>5</xdr:col>
      <xdr:colOff>428625</xdr:colOff>
      <xdr:row>25</xdr:row>
      <xdr:rowOff>209550</xdr:rowOff>
    </xdr:to>
    <xdr:sp macro="" textlink="">
      <xdr:nvSpPr>
        <xdr:cNvPr id="127" name="Line 130">
          <a:extLst>
            <a:ext uri="{FF2B5EF4-FFF2-40B4-BE49-F238E27FC236}">
              <a16:creationId xmlns:a16="http://schemas.microsoft.com/office/drawing/2014/main" id="{00000000-0008-0000-0000-00007F000000}"/>
            </a:ext>
          </a:extLst>
        </xdr:cNvPr>
        <xdr:cNvSpPr>
          <a:spLocks noChangeShapeType="1"/>
        </xdr:cNvSpPr>
      </xdr:nvSpPr>
      <xdr:spPr bwMode="auto">
        <a:xfrm>
          <a:off x="3086100" y="4581525"/>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466725</xdr:colOff>
      <xdr:row>24</xdr:row>
      <xdr:rowOff>171450</xdr:rowOff>
    </xdr:to>
    <xdr:sp macro="" textlink="">
      <xdr:nvSpPr>
        <xdr:cNvPr id="128" name="Line 131">
          <a:extLst>
            <a:ext uri="{FF2B5EF4-FFF2-40B4-BE49-F238E27FC236}">
              <a16:creationId xmlns:a16="http://schemas.microsoft.com/office/drawing/2014/main" id="{00000000-0008-0000-0000-000080000000}"/>
            </a:ext>
          </a:extLst>
        </xdr:cNvPr>
        <xdr:cNvSpPr>
          <a:spLocks noChangeShapeType="1"/>
        </xdr:cNvSpPr>
      </xdr:nvSpPr>
      <xdr:spPr bwMode="auto">
        <a:xfrm flipH="1">
          <a:off x="3086100" y="4572000"/>
          <a:ext cx="38100" cy="38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504825</xdr:colOff>
      <xdr:row>25</xdr:row>
      <xdr:rowOff>0</xdr:rowOff>
    </xdr:to>
    <xdr:sp macro="" textlink="">
      <xdr:nvSpPr>
        <xdr:cNvPr id="129" name="Line 132">
          <a:extLst>
            <a:ext uri="{FF2B5EF4-FFF2-40B4-BE49-F238E27FC236}">
              <a16:creationId xmlns:a16="http://schemas.microsoft.com/office/drawing/2014/main" id="{00000000-0008-0000-0000-000081000000}"/>
            </a:ext>
          </a:extLst>
        </xdr:cNvPr>
        <xdr:cNvSpPr>
          <a:spLocks noChangeShapeType="1"/>
        </xdr:cNvSpPr>
      </xdr:nvSpPr>
      <xdr:spPr bwMode="auto">
        <a:xfrm flipH="1">
          <a:off x="3086100" y="45720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161925</xdr:rowOff>
    </xdr:from>
    <xdr:to>
      <xdr:col>5</xdr:col>
      <xdr:colOff>514350</xdr:colOff>
      <xdr:row>25</xdr:row>
      <xdr:rowOff>28575</xdr:rowOff>
    </xdr:to>
    <xdr:sp macro="" textlink="">
      <xdr:nvSpPr>
        <xdr:cNvPr id="130" name="Line 133">
          <a:extLst>
            <a:ext uri="{FF2B5EF4-FFF2-40B4-BE49-F238E27FC236}">
              <a16:creationId xmlns:a16="http://schemas.microsoft.com/office/drawing/2014/main" id="{00000000-0008-0000-0000-000082000000}"/>
            </a:ext>
          </a:extLst>
        </xdr:cNvPr>
        <xdr:cNvSpPr>
          <a:spLocks noChangeShapeType="1"/>
        </xdr:cNvSpPr>
      </xdr:nvSpPr>
      <xdr:spPr bwMode="auto">
        <a:xfrm flipH="1">
          <a:off x="3086100" y="460057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419100</xdr:colOff>
      <xdr:row>25</xdr:row>
      <xdr:rowOff>9525</xdr:rowOff>
    </xdr:from>
    <xdr:to>
      <xdr:col>5</xdr:col>
      <xdr:colOff>504825</xdr:colOff>
      <xdr:row>25</xdr:row>
      <xdr:rowOff>76200</xdr:rowOff>
    </xdr:to>
    <xdr:sp macro="" textlink="">
      <xdr:nvSpPr>
        <xdr:cNvPr id="131" name="Line 134">
          <a:extLst>
            <a:ext uri="{FF2B5EF4-FFF2-40B4-BE49-F238E27FC236}">
              <a16:creationId xmlns:a16="http://schemas.microsoft.com/office/drawing/2014/main" id="{00000000-0008-0000-0000-000083000000}"/>
            </a:ext>
          </a:extLst>
        </xdr:cNvPr>
        <xdr:cNvSpPr>
          <a:spLocks noChangeShapeType="1"/>
        </xdr:cNvSpPr>
      </xdr:nvSpPr>
      <xdr:spPr bwMode="auto">
        <a:xfrm flipH="1">
          <a:off x="3076575" y="464820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38100</xdr:rowOff>
    </xdr:from>
    <xdr:to>
      <xdr:col>5</xdr:col>
      <xdr:colOff>514350</xdr:colOff>
      <xdr:row>25</xdr:row>
      <xdr:rowOff>104775</xdr:rowOff>
    </xdr:to>
    <xdr:sp macro="" textlink="">
      <xdr:nvSpPr>
        <xdr:cNvPr id="132" name="Line 135">
          <a:extLst>
            <a:ext uri="{FF2B5EF4-FFF2-40B4-BE49-F238E27FC236}">
              <a16:creationId xmlns:a16="http://schemas.microsoft.com/office/drawing/2014/main" id="{00000000-0008-0000-0000-000084000000}"/>
            </a:ext>
          </a:extLst>
        </xdr:cNvPr>
        <xdr:cNvSpPr>
          <a:spLocks noChangeShapeType="1"/>
        </xdr:cNvSpPr>
      </xdr:nvSpPr>
      <xdr:spPr bwMode="auto">
        <a:xfrm flipH="1">
          <a:off x="3086100" y="467677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438150</xdr:colOff>
      <xdr:row>25</xdr:row>
      <xdr:rowOff>76200</xdr:rowOff>
    </xdr:from>
    <xdr:to>
      <xdr:col>5</xdr:col>
      <xdr:colOff>514350</xdr:colOff>
      <xdr:row>25</xdr:row>
      <xdr:rowOff>133350</xdr:rowOff>
    </xdr:to>
    <xdr:sp macro="" textlink="">
      <xdr:nvSpPr>
        <xdr:cNvPr id="133" name="Line 136">
          <a:extLst>
            <a:ext uri="{FF2B5EF4-FFF2-40B4-BE49-F238E27FC236}">
              <a16:creationId xmlns:a16="http://schemas.microsoft.com/office/drawing/2014/main" id="{00000000-0008-0000-0000-000085000000}"/>
            </a:ext>
          </a:extLst>
        </xdr:cNvPr>
        <xdr:cNvSpPr>
          <a:spLocks noChangeShapeType="1"/>
        </xdr:cNvSpPr>
      </xdr:nvSpPr>
      <xdr:spPr bwMode="auto">
        <a:xfrm flipH="1">
          <a:off x="3095625" y="4714875"/>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104775</xdr:rowOff>
    </xdr:from>
    <xdr:to>
      <xdr:col>5</xdr:col>
      <xdr:colOff>514350</xdr:colOff>
      <xdr:row>25</xdr:row>
      <xdr:rowOff>171450</xdr:rowOff>
    </xdr:to>
    <xdr:sp macro="" textlink="">
      <xdr:nvSpPr>
        <xdr:cNvPr id="134" name="Line 137">
          <a:extLst>
            <a:ext uri="{FF2B5EF4-FFF2-40B4-BE49-F238E27FC236}">
              <a16:creationId xmlns:a16="http://schemas.microsoft.com/office/drawing/2014/main" id="{00000000-0008-0000-0000-000086000000}"/>
            </a:ext>
          </a:extLst>
        </xdr:cNvPr>
        <xdr:cNvSpPr>
          <a:spLocks noChangeShapeType="1"/>
        </xdr:cNvSpPr>
      </xdr:nvSpPr>
      <xdr:spPr bwMode="auto">
        <a:xfrm flipH="1">
          <a:off x="3086100" y="474345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25</xdr:row>
      <xdr:rowOff>152400</xdr:rowOff>
    </xdr:from>
    <xdr:to>
      <xdr:col>5</xdr:col>
      <xdr:colOff>504825</xdr:colOff>
      <xdr:row>25</xdr:row>
      <xdr:rowOff>180975</xdr:rowOff>
    </xdr:to>
    <xdr:sp macro="" textlink="">
      <xdr:nvSpPr>
        <xdr:cNvPr id="135" name="Line 138">
          <a:extLst>
            <a:ext uri="{FF2B5EF4-FFF2-40B4-BE49-F238E27FC236}">
              <a16:creationId xmlns:a16="http://schemas.microsoft.com/office/drawing/2014/main" id="{00000000-0008-0000-0000-000087000000}"/>
            </a:ext>
          </a:extLst>
        </xdr:cNvPr>
        <xdr:cNvSpPr>
          <a:spLocks noChangeShapeType="1"/>
        </xdr:cNvSpPr>
      </xdr:nvSpPr>
      <xdr:spPr bwMode="auto">
        <a:xfrm flipH="1">
          <a:off x="3114675" y="4791075"/>
          <a:ext cx="47625" cy="28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23</xdr:row>
      <xdr:rowOff>0</xdr:rowOff>
    </xdr:from>
    <xdr:to>
      <xdr:col>3</xdr:col>
      <xdr:colOff>295275</xdr:colOff>
      <xdr:row>24</xdr:row>
      <xdr:rowOff>123825</xdr:rowOff>
    </xdr:to>
    <xdr:sp macro="" textlink="">
      <xdr:nvSpPr>
        <xdr:cNvPr id="136" name="Line 139">
          <a:extLst>
            <a:ext uri="{FF2B5EF4-FFF2-40B4-BE49-F238E27FC236}">
              <a16:creationId xmlns:a16="http://schemas.microsoft.com/office/drawing/2014/main" id="{00000000-0008-0000-0000-000088000000}"/>
            </a:ext>
          </a:extLst>
        </xdr:cNvPr>
        <xdr:cNvSpPr>
          <a:spLocks noChangeShapeType="1"/>
        </xdr:cNvSpPr>
      </xdr:nvSpPr>
      <xdr:spPr bwMode="auto">
        <a:xfrm flipV="1">
          <a:off x="2257425" y="42481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27</xdr:row>
      <xdr:rowOff>104775</xdr:rowOff>
    </xdr:from>
    <xdr:to>
      <xdr:col>5</xdr:col>
      <xdr:colOff>0</xdr:colOff>
      <xdr:row>28</xdr:row>
      <xdr:rowOff>66675</xdr:rowOff>
    </xdr:to>
    <xdr:sp macro="" textlink="">
      <xdr:nvSpPr>
        <xdr:cNvPr id="137" name="Line 140">
          <a:extLst>
            <a:ext uri="{FF2B5EF4-FFF2-40B4-BE49-F238E27FC236}">
              <a16:creationId xmlns:a16="http://schemas.microsoft.com/office/drawing/2014/main" id="{00000000-0008-0000-0000-000089000000}"/>
            </a:ext>
          </a:extLst>
        </xdr:cNvPr>
        <xdr:cNvSpPr>
          <a:spLocks noChangeShapeType="1"/>
        </xdr:cNvSpPr>
      </xdr:nvSpPr>
      <xdr:spPr bwMode="auto">
        <a:xfrm flipH="1">
          <a:off x="2400300" y="5124450"/>
          <a:ext cx="257175" cy="1619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219075</xdr:colOff>
      <xdr:row>27</xdr:row>
      <xdr:rowOff>0</xdr:rowOff>
    </xdr:from>
    <xdr:to>
      <xdr:col>4</xdr:col>
      <xdr:colOff>171450</xdr:colOff>
      <xdr:row>27</xdr:row>
      <xdr:rowOff>0</xdr:rowOff>
    </xdr:to>
    <xdr:sp macro="" textlink="">
      <xdr:nvSpPr>
        <xdr:cNvPr id="138" name="Line 141">
          <a:extLst>
            <a:ext uri="{FF2B5EF4-FFF2-40B4-BE49-F238E27FC236}">
              <a16:creationId xmlns:a16="http://schemas.microsoft.com/office/drawing/2014/main" id="{00000000-0008-0000-0000-00008A000000}"/>
            </a:ext>
          </a:extLst>
        </xdr:cNvPr>
        <xdr:cNvSpPr>
          <a:spLocks noChangeShapeType="1"/>
        </xdr:cNvSpPr>
      </xdr:nvSpPr>
      <xdr:spPr bwMode="auto">
        <a:xfrm>
          <a:off x="1362075" y="5019675"/>
          <a:ext cx="1143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104775</xdr:rowOff>
    </xdr:from>
    <xdr:to>
      <xdr:col>2</xdr:col>
      <xdr:colOff>333375</xdr:colOff>
      <xdr:row>27</xdr:row>
      <xdr:rowOff>47625</xdr:rowOff>
    </xdr:to>
    <xdr:sp macro="" textlink="">
      <xdr:nvSpPr>
        <xdr:cNvPr id="139" name="Line 142">
          <a:extLst>
            <a:ext uri="{FF2B5EF4-FFF2-40B4-BE49-F238E27FC236}">
              <a16:creationId xmlns:a16="http://schemas.microsoft.com/office/drawing/2014/main" id="{00000000-0008-0000-0000-00008B000000}"/>
            </a:ext>
          </a:extLst>
        </xdr:cNvPr>
        <xdr:cNvSpPr>
          <a:spLocks noChangeShapeType="1"/>
        </xdr:cNvSpPr>
      </xdr:nvSpPr>
      <xdr:spPr bwMode="auto">
        <a:xfrm>
          <a:off x="1714500" y="4743450"/>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25</xdr:row>
      <xdr:rowOff>123825</xdr:rowOff>
    </xdr:from>
    <xdr:to>
      <xdr:col>3</xdr:col>
      <xdr:colOff>180975</xdr:colOff>
      <xdr:row>27</xdr:row>
      <xdr:rowOff>57150</xdr:rowOff>
    </xdr:to>
    <xdr:sp macro="" textlink="">
      <xdr:nvSpPr>
        <xdr:cNvPr id="140" name="Line 143">
          <a:extLst>
            <a:ext uri="{FF2B5EF4-FFF2-40B4-BE49-F238E27FC236}">
              <a16:creationId xmlns:a16="http://schemas.microsoft.com/office/drawing/2014/main" id="{00000000-0008-0000-0000-00008C000000}"/>
            </a:ext>
          </a:extLst>
        </xdr:cNvPr>
        <xdr:cNvSpPr>
          <a:spLocks noChangeShapeType="1"/>
        </xdr:cNvSpPr>
      </xdr:nvSpPr>
      <xdr:spPr bwMode="auto">
        <a:xfrm>
          <a:off x="2143125" y="47625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25</xdr:row>
      <xdr:rowOff>28575</xdr:rowOff>
    </xdr:from>
    <xdr:to>
      <xdr:col>3</xdr:col>
      <xdr:colOff>295275</xdr:colOff>
      <xdr:row>27</xdr:row>
      <xdr:rowOff>47625</xdr:rowOff>
    </xdr:to>
    <xdr:sp macro="" textlink="">
      <xdr:nvSpPr>
        <xdr:cNvPr id="141" name="Line 144">
          <a:extLst>
            <a:ext uri="{FF2B5EF4-FFF2-40B4-BE49-F238E27FC236}">
              <a16:creationId xmlns:a16="http://schemas.microsoft.com/office/drawing/2014/main" id="{00000000-0008-0000-0000-00008D000000}"/>
            </a:ext>
          </a:extLst>
        </xdr:cNvPr>
        <xdr:cNvSpPr>
          <a:spLocks noChangeShapeType="1"/>
        </xdr:cNvSpPr>
      </xdr:nvSpPr>
      <xdr:spPr bwMode="auto">
        <a:xfrm>
          <a:off x="2257425" y="4667250"/>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26</xdr:row>
      <xdr:rowOff>161925</xdr:rowOff>
    </xdr:from>
    <xdr:to>
      <xdr:col>2</xdr:col>
      <xdr:colOff>238125</xdr:colOff>
      <xdr:row>27</xdr:row>
      <xdr:rowOff>28575</xdr:rowOff>
    </xdr:to>
    <xdr:sp macro="" textlink="">
      <xdr:nvSpPr>
        <xdr:cNvPr id="142" name="Line 145">
          <a:extLst>
            <a:ext uri="{FF2B5EF4-FFF2-40B4-BE49-F238E27FC236}">
              <a16:creationId xmlns:a16="http://schemas.microsoft.com/office/drawing/2014/main" id="{00000000-0008-0000-0000-00008E000000}"/>
            </a:ext>
          </a:extLst>
        </xdr:cNvPr>
        <xdr:cNvSpPr>
          <a:spLocks noChangeShapeType="1"/>
        </xdr:cNvSpPr>
      </xdr:nvSpPr>
      <xdr:spPr bwMode="auto">
        <a:xfrm flipH="1">
          <a:off x="1543050" y="49911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xdr:row>
      <xdr:rowOff>161925</xdr:rowOff>
    </xdr:from>
    <xdr:to>
      <xdr:col>2</xdr:col>
      <xdr:colOff>361950</xdr:colOff>
      <xdr:row>27</xdr:row>
      <xdr:rowOff>28575</xdr:rowOff>
    </xdr:to>
    <xdr:sp macro="" textlink="">
      <xdr:nvSpPr>
        <xdr:cNvPr id="143" name="Line 146">
          <a:extLst>
            <a:ext uri="{FF2B5EF4-FFF2-40B4-BE49-F238E27FC236}">
              <a16:creationId xmlns:a16="http://schemas.microsoft.com/office/drawing/2014/main" id="{00000000-0008-0000-0000-00008F000000}"/>
            </a:ext>
          </a:extLst>
        </xdr:cNvPr>
        <xdr:cNvSpPr>
          <a:spLocks noChangeShapeType="1"/>
        </xdr:cNvSpPr>
      </xdr:nvSpPr>
      <xdr:spPr bwMode="auto">
        <a:xfrm flipH="1">
          <a:off x="1676400" y="49911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26</xdr:row>
      <xdr:rowOff>161925</xdr:rowOff>
    </xdr:from>
    <xdr:to>
      <xdr:col>3</xdr:col>
      <xdr:colOff>228600</xdr:colOff>
      <xdr:row>27</xdr:row>
      <xdr:rowOff>47625</xdr:rowOff>
    </xdr:to>
    <xdr:sp macro="" textlink="">
      <xdr:nvSpPr>
        <xdr:cNvPr id="145" name="Line 148">
          <a:extLst>
            <a:ext uri="{FF2B5EF4-FFF2-40B4-BE49-F238E27FC236}">
              <a16:creationId xmlns:a16="http://schemas.microsoft.com/office/drawing/2014/main" id="{00000000-0008-0000-0000-000091000000}"/>
            </a:ext>
          </a:extLst>
        </xdr:cNvPr>
        <xdr:cNvSpPr>
          <a:spLocks noChangeShapeType="1"/>
        </xdr:cNvSpPr>
      </xdr:nvSpPr>
      <xdr:spPr bwMode="auto">
        <a:xfrm flipH="1">
          <a:off x="2095500" y="49911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28</xdr:row>
      <xdr:rowOff>152400</xdr:rowOff>
    </xdr:from>
    <xdr:to>
      <xdr:col>2</xdr:col>
      <xdr:colOff>419100</xdr:colOff>
      <xdr:row>30</xdr:row>
      <xdr:rowOff>0</xdr:rowOff>
    </xdr:to>
    <xdr:sp macro="" textlink="">
      <xdr:nvSpPr>
        <xdr:cNvPr id="146" name="Tegning 149">
          <a:extLst>
            <a:ext uri="{FF2B5EF4-FFF2-40B4-BE49-F238E27FC236}">
              <a16:creationId xmlns:a16="http://schemas.microsoft.com/office/drawing/2014/main" id="{00000000-0008-0000-0000-000092000000}"/>
            </a:ext>
          </a:extLst>
        </xdr:cNvPr>
        <xdr:cNvSpPr>
          <a:spLocks/>
        </xdr:cNvSpPr>
      </xdr:nvSpPr>
      <xdr:spPr bwMode="auto">
        <a:xfrm>
          <a:off x="1638300" y="5372100"/>
          <a:ext cx="161925" cy="2286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104775</xdr:colOff>
      <xdr:row>28</xdr:row>
      <xdr:rowOff>152400</xdr:rowOff>
    </xdr:from>
    <xdr:to>
      <xdr:col>3</xdr:col>
      <xdr:colOff>266700</xdr:colOff>
      <xdr:row>29</xdr:row>
      <xdr:rowOff>200025</xdr:rowOff>
    </xdr:to>
    <xdr:sp macro="" textlink="">
      <xdr:nvSpPr>
        <xdr:cNvPr id="147" name="Tegning 150">
          <a:extLst>
            <a:ext uri="{FF2B5EF4-FFF2-40B4-BE49-F238E27FC236}">
              <a16:creationId xmlns:a16="http://schemas.microsoft.com/office/drawing/2014/main" id="{00000000-0008-0000-0000-000093000000}"/>
            </a:ext>
          </a:extLst>
        </xdr:cNvPr>
        <xdr:cNvSpPr>
          <a:spLocks/>
        </xdr:cNvSpPr>
      </xdr:nvSpPr>
      <xdr:spPr bwMode="auto">
        <a:xfrm>
          <a:off x="2066925" y="5372100"/>
          <a:ext cx="161925" cy="2286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190500</xdr:colOff>
      <xdr:row>29</xdr:row>
      <xdr:rowOff>0</xdr:rowOff>
    </xdr:from>
    <xdr:to>
      <xdr:col>2</xdr:col>
      <xdr:colOff>190500</xdr:colOff>
      <xdr:row>32</xdr:row>
      <xdr:rowOff>47625</xdr:rowOff>
    </xdr:to>
    <xdr:sp macro="" textlink="">
      <xdr:nvSpPr>
        <xdr:cNvPr id="148" name="Line 151">
          <a:extLst>
            <a:ext uri="{FF2B5EF4-FFF2-40B4-BE49-F238E27FC236}">
              <a16:creationId xmlns:a16="http://schemas.microsoft.com/office/drawing/2014/main" id="{00000000-0008-0000-0000-000094000000}"/>
            </a:ext>
          </a:extLst>
        </xdr:cNvPr>
        <xdr:cNvSpPr>
          <a:spLocks noChangeShapeType="1"/>
        </xdr:cNvSpPr>
      </xdr:nvSpPr>
      <xdr:spPr bwMode="auto">
        <a:xfrm>
          <a:off x="1571625" y="5410200"/>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28</xdr:row>
      <xdr:rowOff>190500</xdr:rowOff>
    </xdr:from>
    <xdr:to>
      <xdr:col>3</xdr:col>
      <xdr:colOff>304800</xdr:colOff>
      <xdr:row>32</xdr:row>
      <xdr:rowOff>28575</xdr:rowOff>
    </xdr:to>
    <xdr:sp macro="" textlink="">
      <xdr:nvSpPr>
        <xdr:cNvPr id="149" name="Line 152">
          <a:extLst>
            <a:ext uri="{FF2B5EF4-FFF2-40B4-BE49-F238E27FC236}">
              <a16:creationId xmlns:a16="http://schemas.microsoft.com/office/drawing/2014/main" id="{00000000-0008-0000-0000-000095000000}"/>
            </a:ext>
          </a:extLst>
        </xdr:cNvPr>
        <xdr:cNvSpPr>
          <a:spLocks noChangeShapeType="1"/>
        </xdr:cNvSpPr>
      </xdr:nvSpPr>
      <xdr:spPr bwMode="auto">
        <a:xfrm>
          <a:off x="2266950" y="541020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31</xdr:row>
      <xdr:rowOff>161925</xdr:rowOff>
    </xdr:from>
    <xdr:to>
      <xdr:col>4</xdr:col>
      <xdr:colOff>0</xdr:colOff>
      <xdr:row>31</xdr:row>
      <xdr:rowOff>161925</xdr:rowOff>
    </xdr:to>
    <xdr:sp macro="" textlink="">
      <xdr:nvSpPr>
        <xdr:cNvPr id="150" name="Line 153">
          <a:extLst>
            <a:ext uri="{FF2B5EF4-FFF2-40B4-BE49-F238E27FC236}">
              <a16:creationId xmlns:a16="http://schemas.microsoft.com/office/drawing/2014/main" id="{00000000-0008-0000-0000-000096000000}"/>
            </a:ext>
          </a:extLst>
        </xdr:cNvPr>
        <xdr:cNvSpPr>
          <a:spLocks noChangeShapeType="1"/>
        </xdr:cNvSpPr>
      </xdr:nvSpPr>
      <xdr:spPr bwMode="auto">
        <a:xfrm>
          <a:off x="1552575" y="5953125"/>
          <a:ext cx="781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31</xdr:row>
      <xdr:rowOff>123825</xdr:rowOff>
    </xdr:from>
    <xdr:to>
      <xdr:col>4</xdr:col>
      <xdr:colOff>0</xdr:colOff>
      <xdr:row>32</xdr:row>
      <xdr:rowOff>19050</xdr:rowOff>
    </xdr:to>
    <xdr:sp macro="" textlink="">
      <xdr:nvSpPr>
        <xdr:cNvPr id="151" name="Line 154">
          <a:extLst>
            <a:ext uri="{FF2B5EF4-FFF2-40B4-BE49-F238E27FC236}">
              <a16:creationId xmlns:a16="http://schemas.microsoft.com/office/drawing/2014/main" id="{00000000-0008-0000-0000-000097000000}"/>
            </a:ext>
          </a:extLst>
        </xdr:cNvPr>
        <xdr:cNvSpPr>
          <a:spLocks noChangeShapeType="1"/>
        </xdr:cNvSpPr>
      </xdr:nvSpPr>
      <xdr:spPr bwMode="auto">
        <a:xfrm flipH="1">
          <a:off x="2219325" y="5915025"/>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31</xdr:row>
      <xdr:rowOff>142875</xdr:rowOff>
    </xdr:from>
    <xdr:to>
      <xdr:col>2</xdr:col>
      <xdr:colOff>219075</xdr:colOff>
      <xdr:row>32</xdr:row>
      <xdr:rowOff>19050</xdr:rowOff>
    </xdr:to>
    <xdr:sp macro="" textlink="">
      <xdr:nvSpPr>
        <xdr:cNvPr id="152" name="Line 155">
          <a:extLst>
            <a:ext uri="{FF2B5EF4-FFF2-40B4-BE49-F238E27FC236}">
              <a16:creationId xmlns:a16="http://schemas.microsoft.com/office/drawing/2014/main" id="{00000000-0008-0000-0000-000098000000}"/>
            </a:ext>
          </a:extLst>
        </xdr:cNvPr>
        <xdr:cNvSpPr>
          <a:spLocks noChangeShapeType="1"/>
        </xdr:cNvSpPr>
      </xdr:nvSpPr>
      <xdr:spPr bwMode="auto">
        <a:xfrm flipH="1">
          <a:off x="1543050" y="5934075"/>
          <a:ext cx="571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xdr:colOff>
      <xdr:row>20</xdr:row>
      <xdr:rowOff>66675</xdr:rowOff>
    </xdr:from>
    <xdr:to>
      <xdr:col>5</xdr:col>
      <xdr:colOff>114300</xdr:colOff>
      <xdr:row>20</xdr:row>
      <xdr:rowOff>66675</xdr:rowOff>
    </xdr:to>
    <xdr:sp macro="" textlink="">
      <xdr:nvSpPr>
        <xdr:cNvPr id="153" name="Line 156">
          <a:extLst>
            <a:ext uri="{FF2B5EF4-FFF2-40B4-BE49-F238E27FC236}">
              <a16:creationId xmlns:a16="http://schemas.microsoft.com/office/drawing/2014/main" id="{00000000-0008-0000-0000-000099000000}"/>
            </a:ext>
          </a:extLst>
        </xdr:cNvPr>
        <xdr:cNvSpPr>
          <a:spLocks noChangeShapeType="1"/>
        </xdr:cNvSpPr>
      </xdr:nvSpPr>
      <xdr:spPr bwMode="auto">
        <a:xfrm>
          <a:off x="2352675" y="3724275"/>
          <a:ext cx="419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69850</xdr:colOff>
      <xdr:row>20</xdr:row>
      <xdr:rowOff>28575</xdr:rowOff>
    </xdr:from>
    <xdr:to>
      <xdr:col>5</xdr:col>
      <xdr:colOff>69850</xdr:colOff>
      <xdr:row>25</xdr:row>
      <xdr:rowOff>0</xdr:rowOff>
    </xdr:to>
    <xdr:sp macro="" textlink="">
      <xdr:nvSpPr>
        <xdr:cNvPr id="154" name="Line 157">
          <a:extLst>
            <a:ext uri="{FF2B5EF4-FFF2-40B4-BE49-F238E27FC236}">
              <a16:creationId xmlns:a16="http://schemas.microsoft.com/office/drawing/2014/main" id="{00000000-0008-0000-0000-00009A000000}"/>
            </a:ext>
          </a:extLst>
        </xdr:cNvPr>
        <xdr:cNvSpPr>
          <a:spLocks noChangeShapeType="1"/>
        </xdr:cNvSpPr>
      </xdr:nvSpPr>
      <xdr:spPr bwMode="auto">
        <a:xfrm>
          <a:off x="2727325" y="3762375"/>
          <a:ext cx="0" cy="990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9525</xdr:colOff>
      <xdr:row>25</xdr:row>
      <xdr:rowOff>0</xdr:rowOff>
    </xdr:from>
    <xdr:to>
      <xdr:col>5</xdr:col>
      <xdr:colOff>152400</xdr:colOff>
      <xdr:row>25</xdr:row>
      <xdr:rowOff>0</xdr:rowOff>
    </xdr:to>
    <xdr:sp macro="" textlink="">
      <xdr:nvSpPr>
        <xdr:cNvPr id="155" name="Line 158">
          <a:extLst>
            <a:ext uri="{FF2B5EF4-FFF2-40B4-BE49-F238E27FC236}">
              <a16:creationId xmlns:a16="http://schemas.microsoft.com/office/drawing/2014/main" id="{00000000-0008-0000-0000-00009B000000}"/>
            </a:ext>
          </a:extLst>
        </xdr:cNvPr>
        <xdr:cNvSpPr>
          <a:spLocks noChangeShapeType="1"/>
        </xdr:cNvSpPr>
      </xdr:nvSpPr>
      <xdr:spPr bwMode="auto">
        <a:xfrm>
          <a:off x="2343150" y="4638675"/>
          <a:ext cx="466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20</xdr:row>
      <xdr:rowOff>28575</xdr:rowOff>
    </xdr:from>
    <xdr:to>
      <xdr:col>5</xdr:col>
      <xdr:colOff>123825</xdr:colOff>
      <xdr:row>20</xdr:row>
      <xdr:rowOff>104775</xdr:rowOff>
    </xdr:to>
    <xdr:sp macro="" textlink="">
      <xdr:nvSpPr>
        <xdr:cNvPr id="156" name="Line 159">
          <a:extLst>
            <a:ext uri="{FF2B5EF4-FFF2-40B4-BE49-F238E27FC236}">
              <a16:creationId xmlns:a16="http://schemas.microsoft.com/office/drawing/2014/main" id="{00000000-0008-0000-0000-00009C000000}"/>
            </a:ext>
          </a:extLst>
        </xdr:cNvPr>
        <xdr:cNvSpPr>
          <a:spLocks noChangeShapeType="1"/>
        </xdr:cNvSpPr>
      </xdr:nvSpPr>
      <xdr:spPr bwMode="auto">
        <a:xfrm flipH="1">
          <a:off x="2705100" y="36861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24</xdr:row>
      <xdr:rowOff>142875</xdr:rowOff>
    </xdr:from>
    <xdr:to>
      <xdr:col>5</xdr:col>
      <xdr:colOff>123825</xdr:colOff>
      <xdr:row>25</xdr:row>
      <xdr:rowOff>28575</xdr:rowOff>
    </xdr:to>
    <xdr:sp macro="" textlink="">
      <xdr:nvSpPr>
        <xdr:cNvPr id="157" name="Line 160">
          <a:extLst>
            <a:ext uri="{FF2B5EF4-FFF2-40B4-BE49-F238E27FC236}">
              <a16:creationId xmlns:a16="http://schemas.microsoft.com/office/drawing/2014/main" id="{00000000-0008-0000-0000-00009D000000}"/>
            </a:ext>
          </a:extLst>
        </xdr:cNvPr>
        <xdr:cNvSpPr>
          <a:spLocks noChangeShapeType="1"/>
        </xdr:cNvSpPr>
      </xdr:nvSpPr>
      <xdr:spPr bwMode="auto">
        <a:xfrm flipH="1">
          <a:off x="2705100" y="458152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19</xdr:row>
      <xdr:rowOff>180975</xdr:rowOff>
    </xdr:from>
    <xdr:to>
      <xdr:col>5</xdr:col>
      <xdr:colOff>647700</xdr:colOff>
      <xdr:row>25</xdr:row>
      <xdr:rowOff>85725</xdr:rowOff>
    </xdr:to>
    <xdr:sp macro="" textlink="">
      <xdr:nvSpPr>
        <xdr:cNvPr id="158" name="Line 161">
          <a:extLst>
            <a:ext uri="{FF2B5EF4-FFF2-40B4-BE49-F238E27FC236}">
              <a16:creationId xmlns:a16="http://schemas.microsoft.com/office/drawing/2014/main" id="{00000000-0008-0000-0000-00009E000000}"/>
            </a:ext>
          </a:extLst>
        </xdr:cNvPr>
        <xdr:cNvSpPr>
          <a:spLocks noChangeShapeType="1"/>
        </xdr:cNvSpPr>
      </xdr:nvSpPr>
      <xdr:spPr bwMode="auto">
        <a:xfrm>
          <a:off x="3305175" y="3648075"/>
          <a:ext cx="0" cy="1076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25</xdr:row>
      <xdr:rowOff>57150</xdr:rowOff>
    </xdr:from>
    <xdr:to>
      <xdr:col>5</xdr:col>
      <xdr:colOff>685800</xdr:colOff>
      <xdr:row>25</xdr:row>
      <xdr:rowOff>57150</xdr:rowOff>
    </xdr:to>
    <xdr:sp macro="" textlink="">
      <xdr:nvSpPr>
        <xdr:cNvPr id="159" name="Line 162">
          <a:extLst>
            <a:ext uri="{FF2B5EF4-FFF2-40B4-BE49-F238E27FC236}">
              <a16:creationId xmlns:a16="http://schemas.microsoft.com/office/drawing/2014/main" id="{00000000-0008-0000-0000-00009F000000}"/>
            </a:ext>
          </a:extLst>
        </xdr:cNvPr>
        <xdr:cNvSpPr>
          <a:spLocks noChangeShapeType="1"/>
        </xdr:cNvSpPr>
      </xdr:nvSpPr>
      <xdr:spPr bwMode="auto">
        <a:xfrm>
          <a:off x="3200400" y="4695825"/>
          <a:ext cx="142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600075</xdr:colOff>
      <xdr:row>25</xdr:row>
      <xdr:rowOff>19050</xdr:rowOff>
    </xdr:from>
    <xdr:to>
      <xdr:col>5</xdr:col>
      <xdr:colOff>676275</xdr:colOff>
      <xdr:row>25</xdr:row>
      <xdr:rowOff>123825</xdr:rowOff>
    </xdr:to>
    <xdr:sp macro="" textlink="">
      <xdr:nvSpPr>
        <xdr:cNvPr id="160" name="Line 163">
          <a:extLst>
            <a:ext uri="{FF2B5EF4-FFF2-40B4-BE49-F238E27FC236}">
              <a16:creationId xmlns:a16="http://schemas.microsoft.com/office/drawing/2014/main" id="{00000000-0008-0000-0000-0000A0000000}"/>
            </a:ext>
          </a:extLst>
        </xdr:cNvPr>
        <xdr:cNvSpPr>
          <a:spLocks noChangeShapeType="1"/>
        </xdr:cNvSpPr>
      </xdr:nvSpPr>
      <xdr:spPr bwMode="auto">
        <a:xfrm flipH="1">
          <a:off x="3257550" y="4657725"/>
          <a:ext cx="762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19</xdr:row>
      <xdr:rowOff>180975</xdr:rowOff>
    </xdr:from>
    <xdr:to>
      <xdr:col>5</xdr:col>
      <xdr:colOff>695325</xdr:colOff>
      <xdr:row>19</xdr:row>
      <xdr:rowOff>180975</xdr:rowOff>
    </xdr:to>
    <xdr:sp macro="" textlink="">
      <xdr:nvSpPr>
        <xdr:cNvPr id="161" name="Line 164">
          <a:extLst>
            <a:ext uri="{FF2B5EF4-FFF2-40B4-BE49-F238E27FC236}">
              <a16:creationId xmlns:a16="http://schemas.microsoft.com/office/drawing/2014/main" id="{00000000-0008-0000-0000-0000A1000000}"/>
            </a:ext>
          </a:extLst>
        </xdr:cNvPr>
        <xdr:cNvSpPr>
          <a:spLocks noChangeShapeType="1"/>
        </xdr:cNvSpPr>
      </xdr:nvSpPr>
      <xdr:spPr bwMode="auto">
        <a:xfrm>
          <a:off x="3228975" y="3648075"/>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609600</xdr:colOff>
      <xdr:row>19</xdr:row>
      <xdr:rowOff>133350</xdr:rowOff>
    </xdr:from>
    <xdr:to>
      <xdr:col>5</xdr:col>
      <xdr:colOff>685800</xdr:colOff>
      <xdr:row>20</xdr:row>
      <xdr:rowOff>19050</xdr:rowOff>
    </xdr:to>
    <xdr:sp macro="" textlink="">
      <xdr:nvSpPr>
        <xdr:cNvPr id="162" name="Line 165">
          <a:extLst>
            <a:ext uri="{FF2B5EF4-FFF2-40B4-BE49-F238E27FC236}">
              <a16:creationId xmlns:a16="http://schemas.microsoft.com/office/drawing/2014/main" id="{00000000-0008-0000-0000-0000A2000000}"/>
            </a:ext>
          </a:extLst>
        </xdr:cNvPr>
        <xdr:cNvSpPr>
          <a:spLocks noChangeShapeType="1"/>
        </xdr:cNvSpPr>
      </xdr:nvSpPr>
      <xdr:spPr bwMode="auto">
        <a:xfrm flipH="1">
          <a:off x="3267075" y="36004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44450</xdr:colOff>
      <xdr:row>27</xdr:row>
      <xdr:rowOff>190500</xdr:rowOff>
    </xdr:from>
    <xdr:to>
      <xdr:col>4</xdr:col>
      <xdr:colOff>301625</xdr:colOff>
      <xdr:row>28</xdr:row>
      <xdr:rowOff>152400</xdr:rowOff>
    </xdr:to>
    <xdr:sp macro="" textlink="">
      <xdr:nvSpPr>
        <xdr:cNvPr id="163" name="Tegning 166">
          <a:extLst>
            <a:ext uri="{FF2B5EF4-FFF2-40B4-BE49-F238E27FC236}">
              <a16:creationId xmlns:a16="http://schemas.microsoft.com/office/drawing/2014/main" id="{00000000-0008-0000-0000-0000A3000000}"/>
            </a:ext>
          </a:extLst>
        </xdr:cNvPr>
        <xdr:cNvSpPr>
          <a:spLocks/>
        </xdr:cNvSpPr>
      </xdr:nvSpPr>
      <xdr:spPr bwMode="auto">
        <a:xfrm>
          <a:off x="2378075" y="5324475"/>
          <a:ext cx="257175" cy="1619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0"/>
              </a:moveTo>
              <a:lnTo>
                <a:pt x="0" y="7607"/>
              </a:lnTo>
              <a:lnTo>
                <a:pt x="8764" y="7607"/>
              </a:lnTo>
              <a:lnTo>
                <a:pt x="8764"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333375</xdr:colOff>
      <xdr:row>19</xdr:row>
      <xdr:rowOff>180975</xdr:rowOff>
    </xdr:from>
    <xdr:to>
      <xdr:col>5</xdr:col>
      <xdr:colOff>419100</xdr:colOff>
      <xdr:row>20</xdr:row>
      <xdr:rowOff>66675</xdr:rowOff>
    </xdr:to>
    <xdr:sp macro="" textlink="">
      <xdr:nvSpPr>
        <xdr:cNvPr id="164" name="Line 167">
          <a:extLst>
            <a:ext uri="{FF2B5EF4-FFF2-40B4-BE49-F238E27FC236}">
              <a16:creationId xmlns:a16="http://schemas.microsoft.com/office/drawing/2014/main" id="{00000000-0008-0000-0000-0000A4000000}"/>
            </a:ext>
          </a:extLst>
        </xdr:cNvPr>
        <xdr:cNvSpPr>
          <a:spLocks noChangeShapeType="1"/>
        </xdr:cNvSpPr>
      </xdr:nvSpPr>
      <xdr:spPr bwMode="auto">
        <a:xfrm>
          <a:off x="2990850" y="36480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28</xdr:row>
      <xdr:rowOff>28575</xdr:rowOff>
    </xdr:from>
    <xdr:to>
      <xdr:col>2</xdr:col>
      <xdr:colOff>361950</xdr:colOff>
      <xdr:row>28</xdr:row>
      <xdr:rowOff>76200</xdr:rowOff>
    </xdr:to>
    <xdr:sp macro="" textlink="">
      <xdr:nvSpPr>
        <xdr:cNvPr id="165" name="Oval 168">
          <a:extLst>
            <a:ext uri="{FF2B5EF4-FFF2-40B4-BE49-F238E27FC236}">
              <a16:creationId xmlns:a16="http://schemas.microsoft.com/office/drawing/2014/main" id="{00000000-0008-0000-0000-0000A5000000}"/>
            </a:ext>
          </a:extLst>
        </xdr:cNvPr>
        <xdr:cNvSpPr>
          <a:spLocks noChangeArrowheads="1"/>
        </xdr:cNvSpPr>
      </xdr:nvSpPr>
      <xdr:spPr bwMode="auto">
        <a:xfrm>
          <a:off x="1695450" y="5248275"/>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228600</xdr:colOff>
      <xdr:row>34</xdr:row>
      <xdr:rowOff>0</xdr:rowOff>
    </xdr:from>
    <xdr:to>
      <xdr:col>5</xdr:col>
      <xdr:colOff>400050</xdr:colOff>
      <xdr:row>35</xdr:row>
      <xdr:rowOff>85725</xdr:rowOff>
    </xdr:to>
    <xdr:sp macro="" textlink="">
      <xdr:nvSpPr>
        <xdr:cNvPr id="166" name="Tegning 169">
          <a:extLst>
            <a:ext uri="{FF2B5EF4-FFF2-40B4-BE49-F238E27FC236}">
              <a16:creationId xmlns:a16="http://schemas.microsoft.com/office/drawing/2014/main" id="{00000000-0008-0000-0000-0000A6000000}"/>
            </a:ext>
          </a:extLst>
        </xdr:cNvPr>
        <xdr:cNvSpPr>
          <a:spLocks/>
        </xdr:cNvSpPr>
      </xdr:nvSpPr>
      <xdr:spPr bwMode="auto">
        <a:xfrm>
          <a:off x="2190750" y="6381750"/>
          <a:ext cx="866775" cy="285750"/>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2971" y="0"/>
              </a:lnTo>
              <a:lnTo>
                <a:pt x="12971" y="8192"/>
              </a:lnTo>
              <a:lnTo>
                <a:pt x="16384" y="8192"/>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33</xdr:row>
      <xdr:rowOff>104775</xdr:rowOff>
    </xdr:from>
    <xdr:to>
      <xdr:col>5</xdr:col>
      <xdr:colOff>466725</xdr:colOff>
      <xdr:row>33</xdr:row>
      <xdr:rowOff>104775</xdr:rowOff>
    </xdr:to>
    <xdr:sp macro="" textlink="">
      <xdr:nvSpPr>
        <xdr:cNvPr id="167" name="Line 170">
          <a:extLst>
            <a:ext uri="{FF2B5EF4-FFF2-40B4-BE49-F238E27FC236}">
              <a16:creationId xmlns:a16="http://schemas.microsoft.com/office/drawing/2014/main" id="{00000000-0008-0000-0000-0000A7000000}"/>
            </a:ext>
          </a:extLst>
        </xdr:cNvPr>
        <xdr:cNvSpPr>
          <a:spLocks noChangeShapeType="1"/>
        </xdr:cNvSpPr>
      </xdr:nvSpPr>
      <xdr:spPr bwMode="auto">
        <a:xfrm>
          <a:off x="2867025" y="6276975"/>
          <a:ext cx="2571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352425</xdr:colOff>
      <xdr:row>33</xdr:row>
      <xdr:rowOff>66675</xdr:rowOff>
    </xdr:from>
    <xdr:to>
      <xdr:col>5</xdr:col>
      <xdr:colOff>428625</xdr:colOff>
      <xdr:row>33</xdr:row>
      <xdr:rowOff>142875</xdr:rowOff>
    </xdr:to>
    <xdr:sp macro="" textlink="">
      <xdr:nvSpPr>
        <xdr:cNvPr id="168" name="Line 171">
          <a:extLst>
            <a:ext uri="{FF2B5EF4-FFF2-40B4-BE49-F238E27FC236}">
              <a16:creationId xmlns:a16="http://schemas.microsoft.com/office/drawing/2014/main" id="{00000000-0008-0000-0000-0000A8000000}"/>
            </a:ext>
          </a:extLst>
        </xdr:cNvPr>
        <xdr:cNvSpPr>
          <a:spLocks noChangeShapeType="1"/>
        </xdr:cNvSpPr>
      </xdr:nvSpPr>
      <xdr:spPr bwMode="auto">
        <a:xfrm flipH="1">
          <a:off x="3009900" y="62388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34</xdr:row>
      <xdr:rowOff>9525</xdr:rowOff>
    </xdr:from>
    <xdr:to>
      <xdr:col>4</xdr:col>
      <xdr:colOff>295275</xdr:colOff>
      <xdr:row>35</xdr:row>
      <xdr:rowOff>85725</xdr:rowOff>
    </xdr:to>
    <xdr:sp macro="" textlink="">
      <xdr:nvSpPr>
        <xdr:cNvPr id="169" name="Tegning 172">
          <a:extLst>
            <a:ext uri="{FF2B5EF4-FFF2-40B4-BE49-F238E27FC236}">
              <a16:creationId xmlns:a16="http://schemas.microsoft.com/office/drawing/2014/main" id="{00000000-0008-0000-0000-0000A9000000}"/>
            </a:ext>
          </a:extLst>
        </xdr:cNvPr>
        <xdr:cNvSpPr>
          <a:spLocks/>
        </xdr:cNvSpPr>
      </xdr:nvSpPr>
      <xdr:spPr bwMode="auto">
        <a:xfrm>
          <a:off x="2457450" y="6391275"/>
          <a:ext cx="171450" cy="276225"/>
        </a:xfrm>
        <a:custGeom>
          <a:avLst/>
          <a:gdLst>
            <a:gd name="T0" fmla="*/ 2147483647 w 16384"/>
            <a:gd name="T1" fmla="*/ 0 h 16384"/>
            <a:gd name="T2" fmla="*/ 2147483647 w 16384"/>
            <a:gd name="T3" fmla="*/ 2147483647 h 16384"/>
            <a:gd name="T4" fmla="*/ 0 w 16384"/>
            <a:gd name="T5" fmla="*/ 2147483647 h 16384"/>
            <a:gd name="T6" fmla="*/ 0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16384" y="8192"/>
              </a:lnTo>
              <a:lnTo>
                <a:pt x="0"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228600</xdr:colOff>
      <xdr:row>32</xdr:row>
      <xdr:rowOff>123825</xdr:rowOff>
    </xdr:from>
    <xdr:to>
      <xdr:col>5</xdr:col>
      <xdr:colOff>381000</xdr:colOff>
      <xdr:row>32</xdr:row>
      <xdr:rowOff>123825</xdr:rowOff>
    </xdr:to>
    <xdr:sp macro="" textlink="">
      <xdr:nvSpPr>
        <xdr:cNvPr id="170" name="Line 173">
          <a:extLst>
            <a:ext uri="{FF2B5EF4-FFF2-40B4-BE49-F238E27FC236}">
              <a16:creationId xmlns:a16="http://schemas.microsoft.com/office/drawing/2014/main" id="{00000000-0008-0000-0000-0000AA000000}"/>
            </a:ext>
          </a:extLst>
        </xdr:cNvPr>
        <xdr:cNvSpPr>
          <a:spLocks noChangeShapeType="1"/>
        </xdr:cNvSpPr>
      </xdr:nvSpPr>
      <xdr:spPr bwMode="auto">
        <a:xfrm>
          <a:off x="2562225" y="6105525"/>
          <a:ext cx="476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32</xdr:row>
      <xdr:rowOff>76200</xdr:rowOff>
    </xdr:from>
    <xdr:to>
      <xdr:col>4</xdr:col>
      <xdr:colOff>295275</xdr:colOff>
      <xdr:row>33</xdr:row>
      <xdr:rowOff>142875</xdr:rowOff>
    </xdr:to>
    <xdr:sp macro="" textlink="">
      <xdr:nvSpPr>
        <xdr:cNvPr id="171" name="Line 174">
          <a:extLst>
            <a:ext uri="{FF2B5EF4-FFF2-40B4-BE49-F238E27FC236}">
              <a16:creationId xmlns:a16="http://schemas.microsoft.com/office/drawing/2014/main" id="{00000000-0008-0000-0000-0000AB000000}"/>
            </a:ext>
          </a:extLst>
        </xdr:cNvPr>
        <xdr:cNvSpPr>
          <a:spLocks noChangeShapeType="1"/>
        </xdr:cNvSpPr>
      </xdr:nvSpPr>
      <xdr:spPr bwMode="auto">
        <a:xfrm>
          <a:off x="2628900" y="605790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32</xdr:row>
      <xdr:rowOff>76200</xdr:rowOff>
    </xdr:from>
    <xdr:to>
      <xdr:col>5</xdr:col>
      <xdr:colOff>228600</xdr:colOff>
      <xdr:row>33</xdr:row>
      <xdr:rowOff>171450</xdr:rowOff>
    </xdr:to>
    <xdr:sp macro="" textlink="">
      <xdr:nvSpPr>
        <xdr:cNvPr id="172" name="Line 175">
          <a:extLst>
            <a:ext uri="{FF2B5EF4-FFF2-40B4-BE49-F238E27FC236}">
              <a16:creationId xmlns:a16="http://schemas.microsoft.com/office/drawing/2014/main" id="{00000000-0008-0000-0000-0000AC000000}"/>
            </a:ext>
          </a:extLst>
        </xdr:cNvPr>
        <xdr:cNvSpPr>
          <a:spLocks noChangeShapeType="1"/>
        </xdr:cNvSpPr>
      </xdr:nvSpPr>
      <xdr:spPr bwMode="auto">
        <a:xfrm>
          <a:off x="2886075" y="60579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20</xdr:row>
      <xdr:rowOff>180975</xdr:rowOff>
    </xdr:from>
    <xdr:to>
      <xdr:col>3</xdr:col>
      <xdr:colOff>95250</xdr:colOff>
      <xdr:row>22</xdr:row>
      <xdr:rowOff>133350</xdr:rowOff>
    </xdr:to>
    <xdr:sp macro="" textlink="">
      <xdr:nvSpPr>
        <xdr:cNvPr id="173" name="Line 176">
          <a:extLst>
            <a:ext uri="{FF2B5EF4-FFF2-40B4-BE49-F238E27FC236}">
              <a16:creationId xmlns:a16="http://schemas.microsoft.com/office/drawing/2014/main" id="{00000000-0008-0000-0000-0000AD000000}"/>
            </a:ext>
          </a:extLst>
        </xdr:cNvPr>
        <xdr:cNvSpPr>
          <a:spLocks noChangeShapeType="1"/>
        </xdr:cNvSpPr>
      </xdr:nvSpPr>
      <xdr:spPr bwMode="auto">
        <a:xfrm>
          <a:off x="2057400" y="3914775"/>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20</xdr:row>
      <xdr:rowOff>171450</xdr:rowOff>
    </xdr:from>
    <xdr:to>
      <xdr:col>2</xdr:col>
      <xdr:colOff>390525</xdr:colOff>
      <xdr:row>22</xdr:row>
      <xdr:rowOff>47625</xdr:rowOff>
    </xdr:to>
    <xdr:sp macro="" textlink="">
      <xdr:nvSpPr>
        <xdr:cNvPr id="174" name="Line 177">
          <a:extLst>
            <a:ext uri="{FF2B5EF4-FFF2-40B4-BE49-F238E27FC236}">
              <a16:creationId xmlns:a16="http://schemas.microsoft.com/office/drawing/2014/main" id="{00000000-0008-0000-0000-0000AE000000}"/>
            </a:ext>
          </a:extLst>
        </xdr:cNvPr>
        <xdr:cNvSpPr>
          <a:spLocks noChangeShapeType="1"/>
        </xdr:cNvSpPr>
      </xdr:nvSpPr>
      <xdr:spPr bwMode="auto">
        <a:xfrm>
          <a:off x="1771650" y="382905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109538</xdr:colOff>
      <xdr:row>35</xdr:row>
      <xdr:rowOff>195262</xdr:rowOff>
    </xdr:from>
    <xdr:to>
      <xdr:col>5</xdr:col>
      <xdr:colOff>690563</xdr:colOff>
      <xdr:row>35</xdr:row>
      <xdr:rowOff>195262</xdr:rowOff>
    </xdr:to>
    <xdr:sp macro="" textlink="">
      <xdr:nvSpPr>
        <xdr:cNvPr id="175" name="Line 179">
          <a:extLst>
            <a:ext uri="{FF2B5EF4-FFF2-40B4-BE49-F238E27FC236}">
              <a16:creationId xmlns:a16="http://schemas.microsoft.com/office/drawing/2014/main" id="{00000000-0008-0000-0000-0000AF000000}"/>
            </a:ext>
          </a:extLst>
        </xdr:cNvPr>
        <xdr:cNvSpPr>
          <a:spLocks noChangeShapeType="1"/>
        </xdr:cNvSpPr>
      </xdr:nvSpPr>
      <xdr:spPr bwMode="auto">
        <a:xfrm>
          <a:off x="2767013" y="6777037"/>
          <a:ext cx="581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400050</xdr:colOff>
      <xdr:row>33</xdr:row>
      <xdr:rowOff>66675</xdr:rowOff>
    </xdr:from>
    <xdr:to>
      <xdr:col>5</xdr:col>
      <xdr:colOff>400050</xdr:colOff>
      <xdr:row>34</xdr:row>
      <xdr:rowOff>104775</xdr:rowOff>
    </xdr:to>
    <xdr:sp macro="" textlink="">
      <xdr:nvSpPr>
        <xdr:cNvPr id="176" name="Line 180">
          <a:extLst>
            <a:ext uri="{FF2B5EF4-FFF2-40B4-BE49-F238E27FC236}">
              <a16:creationId xmlns:a16="http://schemas.microsoft.com/office/drawing/2014/main" id="{00000000-0008-0000-0000-0000B0000000}"/>
            </a:ext>
          </a:extLst>
        </xdr:cNvPr>
        <xdr:cNvSpPr>
          <a:spLocks noChangeShapeType="1"/>
        </xdr:cNvSpPr>
      </xdr:nvSpPr>
      <xdr:spPr bwMode="auto">
        <a:xfrm flipV="1">
          <a:off x="3057525" y="6238875"/>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35</xdr:row>
      <xdr:rowOff>133350</xdr:rowOff>
    </xdr:from>
    <xdr:to>
      <xdr:col>4</xdr:col>
      <xdr:colOff>123825</xdr:colOff>
      <xdr:row>37</xdr:row>
      <xdr:rowOff>28575</xdr:rowOff>
    </xdr:to>
    <xdr:sp macro="" textlink="">
      <xdr:nvSpPr>
        <xdr:cNvPr id="177" name="Line 181">
          <a:extLst>
            <a:ext uri="{FF2B5EF4-FFF2-40B4-BE49-F238E27FC236}">
              <a16:creationId xmlns:a16="http://schemas.microsoft.com/office/drawing/2014/main" id="{00000000-0008-0000-0000-0000B1000000}"/>
            </a:ext>
          </a:extLst>
        </xdr:cNvPr>
        <xdr:cNvSpPr>
          <a:spLocks noChangeShapeType="1"/>
        </xdr:cNvSpPr>
      </xdr:nvSpPr>
      <xdr:spPr bwMode="auto">
        <a:xfrm>
          <a:off x="2457450" y="6715125"/>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409575</xdr:colOff>
      <xdr:row>35</xdr:row>
      <xdr:rowOff>133350</xdr:rowOff>
    </xdr:from>
    <xdr:to>
      <xdr:col>5</xdr:col>
      <xdr:colOff>409575</xdr:colOff>
      <xdr:row>37</xdr:row>
      <xdr:rowOff>38100</xdr:rowOff>
    </xdr:to>
    <xdr:sp macro="" textlink="">
      <xdr:nvSpPr>
        <xdr:cNvPr id="178" name="Line 182">
          <a:extLst>
            <a:ext uri="{FF2B5EF4-FFF2-40B4-BE49-F238E27FC236}">
              <a16:creationId xmlns:a16="http://schemas.microsoft.com/office/drawing/2014/main" id="{00000000-0008-0000-0000-0000B2000000}"/>
            </a:ext>
          </a:extLst>
        </xdr:cNvPr>
        <xdr:cNvSpPr>
          <a:spLocks noChangeShapeType="1"/>
        </xdr:cNvSpPr>
      </xdr:nvSpPr>
      <xdr:spPr bwMode="auto">
        <a:xfrm>
          <a:off x="3067050" y="671512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95250</xdr:colOff>
      <xdr:row>37</xdr:row>
      <xdr:rowOff>0</xdr:rowOff>
    </xdr:from>
    <xdr:to>
      <xdr:col>5</xdr:col>
      <xdr:colOff>447675</xdr:colOff>
      <xdr:row>37</xdr:row>
      <xdr:rowOff>0</xdr:rowOff>
    </xdr:to>
    <xdr:sp macro="" textlink="">
      <xdr:nvSpPr>
        <xdr:cNvPr id="179" name="Line 183">
          <a:extLst>
            <a:ext uri="{FF2B5EF4-FFF2-40B4-BE49-F238E27FC236}">
              <a16:creationId xmlns:a16="http://schemas.microsoft.com/office/drawing/2014/main" id="{00000000-0008-0000-0000-0000B3000000}"/>
            </a:ext>
          </a:extLst>
        </xdr:cNvPr>
        <xdr:cNvSpPr>
          <a:spLocks noChangeShapeType="1"/>
        </xdr:cNvSpPr>
      </xdr:nvSpPr>
      <xdr:spPr bwMode="auto">
        <a:xfrm>
          <a:off x="2428875" y="6981825"/>
          <a:ext cx="676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85725</xdr:colOff>
      <xdr:row>36</xdr:row>
      <xdr:rowOff>152400</xdr:rowOff>
    </xdr:from>
    <xdr:to>
      <xdr:col>4</xdr:col>
      <xdr:colOff>161925</xdr:colOff>
      <xdr:row>37</xdr:row>
      <xdr:rowOff>38100</xdr:rowOff>
    </xdr:to>
    <xdr:sp macro="" textlink="">
      <xdr:nvSpPr>
        <xdr:cNvPr id="180" name="Line 184">
          <a:extLst>
            <a:ext uri="{FF2B5EF4-FFF2-40B4-BE49-F238E27FC236}">
              <a16:creationId xmlns:a16="http://schemas.microsoft.com/office/drawing/2014/main" id="{00000000-0008-0000-0000-0000B4000000}"/>
            </a:ext>
          </a:extLst>
        </xdr:cNvPr>
        <xdr:cNvSpPr>
          <a:spLocks noChangeShapeType="1"/>
        </xdr:cNvSpPr>
      </xdr:nvSpPr>
      <xdr:spPr bwMode="auto">
        <a:xfrm flipH="1">
          <a:off x="2419350" y="69342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36</xdr:row>
      <xdr:rowOff>161925</xdr:rowOff>
    </xdr:from>
    <xdr:to>
      <xdr:col>5</xdr:col>
      <xdr:colOff>438150</xdr:colOff>
      <xdr:row>37</xdr:row>
      <xdr:rowOff>38100</xdr:rowOff>
    </xdr:to>
    <xdr:sp macro="" textlink="">
      <xdr:nvSpPr>
        <xdr:cNvPr id="181" name="Line 185">
          <a:extLst>
            <a:ext uri="{FF2B5EF4-FFF2-40B4-BE49-F238E27FC236}">
              <a16:creationId xmlns:a16="http://schemas.microsoft.com/office/drawing/2014/main" id="{00000000-0008-0000-0000-0000B5000000}"/>
            </a:ext>
          </a:extLst>
        </xdr:cNvPr>
        <xdr:cNvSpPr>
          <a:spLocks noChangeShapeType="1"/>
        </xdr:cNvSpPr>
      </xdr:nvSpPr>
      <xdr:spPr bwMode="auto">
        <a:xfrm flipH="1">
          <a:off x="3038475" y="6943725"/>
          <a:ext cx="571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35</xdr:row>
      <xdr:rowOff>152400</xdr:rowOff>
    </xdr:from>
    <xdr:to>
      <xdr:col>5</xdr:col>
      <xdr:colOff>142875</xdr:colOff>
      <xdr:row>36</xdr:row>
      <xdr:rowOff>28575</xdr:rowOff>
    </xdr:to>
    <xdr:sp macro="" textlink="">
      <xdr:nvSpPr>
        <xdr:cNvPr id="182" name="Line 186">
          <a:extLst>
            <a:ext uri="{FF2B5EF4-FFF2-40B4-BE49-F238E27FC236}">
              <a16:creationId xmlns:a16="http://schemas.microsoft.com/office/drawing/2014/main" id="{00000000-0008-0000-0000-0000B6000000}"/>
            </a:ext>
          </a:extLst>
        </xdr:cNvPr>
        <xdr:cNvSpPr>
          <a:spLocks noChangeShapeType="1"/>
        </xdr:cNvSpPr>
      </xdr:nvSpPr>
      <xdr:spPr bwMode="auto">
        <a:xfrm flipH="1">
          <a:off x="2724150" y="67341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35</xdr:row>
      <xdr:rowOff>152400</xdr:rowOff>
    </xdr:from>
    <xdr:to>
      <xdr:col>5</xdr:col>
      <xdr:colOff>447675</xdr:colOff>
      <xdr:row>36</xdr:row>
      <xdr:rowOff>28575</xdr:rowOff>
    </xdr:to>
    <xdr:sp macro="" textlink="">
      <xdr:nvSpPr>
        <xdr:cNvPr id="183" name="Line 187">
          <a:extLst>
            <a:ext uri="{FF2B5EF4-FFF2-40B4-BE49-F238E27FC236}">
              <a16:creationId xmlns:a16="http://schemas.microsoft.com/office/drawing/2014/main" id="{00000000-0008-0000-0000-0000B7000000}"/>
            </a:ext>
          </a:extLst>
        </xdr:cNvPr>
        <xdr:cNvSpPr>
          <a:spLocks noChangeShapeType="1"/>
        </xdr:cNvSpPr>
      </xdr:nvSpPr>
      <xdr:spPr bwMode="auto">
        <a:xfrm flipH="1">
          <a:off x="3038475" y="67341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257175</xdr:colOff>
      <xdr:row>32</xdr:row>
      <xdr:rowOff>76200</xdr:rowOff>
    </xdr:from>
    <xdr:to>
      <xdr:col>5</xdr:col>
      <xdr:colOff>0</xdr:colOff>
      <xdr:row>32</xdr:row>
      <xdr:rowOff>161925</xdr:rowOff>
    </xdr:to>
    <xdr:sp macro="" textlink="">
      <xdr:nvSpPr>
        <xdr:cNvPr id="184" name="Line 188">
          <a:extLst>
            <a:ext uri="{FF2B5EF4-FFF2-40B4-BE49-F238E27FC236}">
              <a16:creationId xmlns:a16="http://schemas.microsoft.com/office/drawing/2014/main" id="{00000000-0008-0000-0000-0000B8000000}"/>
            </a:ext>
          </a:extLst>
        </xdr:cNvPr>
        <xdr:cNvSpPr>
          <a:spLocks noChangeShapeType="1"/>
        </xdr:cNvSpPr>
      </xdr:nvSpPr>
      <xdr:spPr bwMode="auto">
        <a:xfrm flipH="1">
          <a:off x="2590800" y="6057900"/>
          <a:ext cx="666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32</xdr:row>
      <xdr:rowOff>76200</xdr:rowOff>
    </xdr:from>
    <xdr:to>
      <xdr:col>5</xdr:col>
      <xdr:colOff>266700</xdr:colOff>
      <xdr:row>32</xdr:row>
      <xdr:rowOff>161925</xdr:rowOff>
    </xdr:to>
    <xdr:sp macro="" textlink="">
      <xdr:nvSpPr>
        <xdr:cNvPr id="185" name="Line 189">
          <a:extLst>
            <a:ext uri="{FF2B5EF4-FFF2-40B4-BE49-F238E27FC236}">
              <a16:creationId xmlns:a16="http://schemas.microsoft.com/office/drawing/2014/main" id="{00000000-0008-0000-0000-0000B9000000}"/>
            </a:ext>
          </a:extLst>
        </xdr:cNvPr>
        <xdr:cNvSpPr>
          <a:spLocks noChangeShapeType="1"/>
        </xdr:cNvSpPr>
      </xdr:nvSpPr>
      <xdr:spPr bwMode="auto">
        <a:xfrm flipH="1">
          <a:off x="2847975" y="60579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33</xdr:row>
      <xdr:rowOff>66675</xdr:rowOff>
    </xdr:from>
    <xdr:to>
      <xdr:col>5</xdr:col>
      <xdr:colOff>266700</xdr:colOff>
      <xdr:row>33</xdr:row>
      <xdr:rowOff>142875</xdr:rowOff>
    </xdr:to>
    <xdr:sp macro="" textlink="">
      <xdr:nvSpPr>
        <xdr:cNvPr id="186" name="Line 190">
          <a:extLst>
            <a:ext uri="{FF2B5EF4-FFF2-40B4-BE49-F238E27FC236}">
              <a16:creationId xmlns:a16="http://schemas.microsoft.com/office/drawing/2014/main" id="{00000000-0008-0000-0000-0000BA000000}"/>
            </a:ext>
          </a:extLst>
        </xdr:cNvPr>
        <xdr:cNvSpPr>
          <a:spLocks noChangeShapeType="1"/>
        </xdr:cNvSpPr>
      </xdr:nvSpPr>
      <xdr:spPr bwMode="auto">
        <a:xfrm flipH="1">
          <a:off x="2847975" y="62388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740213</xdr:colOff>
      <xdr:row>62</xdr:row>
      <xdr:rowOff>79046</xdr:rowOff>
    </xdr:from>
    <xdr:to>
      <xdr:col>43</xdr:col>
      <xdr:colOff>346732</xdr:colOff>
      <xdr:row>73</xdr:row>
      <xdr:rowOff>21897</xdr:rowOff>
    </xdr:to>
    <xdr:graphicFrame macro="">
      <xdr:nvGraphicFramePr>
        <xdr:cNvPr id="187" name="Diagram 195">
          <a:extLst>
            <a:ext uri="{FF2B5EF4-FFF2-40B4-BE49-F238E27FC236}">
              <a16:creationId xmlns:a16="http://schemas.microsoft.com/office/drawing/2014/main" id="{00000000-0008-0000-0000-0000B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571500</xdr:colOff>
      <xdr:row>9</xdr:row>
      <xdr:rowOff>133350</xdr:rowOff>
    </xdr:from>
    <xdr:to>
      <xdr:col>34</xdr:col>
      <xdr:colOff>685800</xdr:colOff>
      <xdr:row>10</xdr:row>
      <xdr:rowOff>57150</xdr:rowOff>
    </xdr:to>
    <xdr:sp macro="" textlink="">
      <xdr:nvSpPr>
        <xdr:cNvPr id="188" name="Line 196">
          <a:extLst>
            <a:ext uri="{FF2B5EF4-FFF2-40B4-BE49-F238E27FC236}">
              <a16:creationId xmlns:a16="http://schemas.microsoft.com/office/drawing/2014/main" id="{00000000-0008-0000-0000-0000BC000000}"/>
            </a:ext>
          </a:extLst>
        </xdr:cNvPr>
        <xdr:cNvSpPr>
          <a:spLocks noChangeShapeType="1"/>
        </xdr:cNvSpPr>
      </xdr:nvSpPr>
      <xdr:spPr bwMode="auto">
        <a:xfrm flipH="1">
          <a:off x="25660350" y="164782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0</xdr:colOff>
      <xdr:row>9</xdr:row>
      <xdr:rowOff>190500</xdr:rowOff>
    </xdr:from>
    <xdr:to>
      <xdr:col>36</xdr:col>
      <xdr:colOff>0</xdr:colOff>
      <xdr:row>9</xdr:row>
      <xdr:rowOff>190500</xdr:rowOff>
    </xdr:to>
    <xdr:sp macro="" textlink="">
      <xdr:nvSpPr>
        <xdr:cNvPr id="189" name="Line 197">
          <a:extLst>
            <a:ext uri="{FF2B5EF4-FFF2-40B4-BE49-F238E27FC236}">
              <a16:creationId xmlns:a16="http://schemas.microsoft.com/office/drawing/2014/main" id="{00000000-0008-0000-0000-0000BD000000}"/>
            </a:ext>
          </a:extLst>
        </xdr:cNvPr>
        <xdr:cNvSpPr>
          <a:spLocks noChangeShapeType="1"/>
        </xdr:cNvSpPr>
      </xdr:nvSpPr>
      <xdr:spPr bwMode="auto">
        <a:xfrm>
          <a:off x="25841325" y="1704975"/>
          <a:ext cx="752475"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0</xdr:colOff>
      <xdr:row>9</xdr:row>
      <xdr:rowOff>190500</xdr:rowOff>
    </xdr:from>
    <xdr:to>
      <xdr:col>35</xdr:col>
      <xdr:colOff>0</xdr:colOff>
      <xdr:row>11</xdr:row>
      <xdr:rowOff>85725</xdr:rowOff>
    </xdr:to>
    <xdr:sp macro="" textlink="">
      <xdr:nvSpPr>
        <xdr:cNvPr id="190" name="Line 198">
          <a:extLst>
            <a:ext uri="{FF2B5EF4-FFF2-40B4-BE49-F238E27FC236}">
              <a16:creationId xmlns:a16="http://schemas.microsoft.com/office/drawing/2014/main" id="{00000000-0008-0000-0000-0000BE000000}"/>
            </a:ext>
          </a:extLst>
        </xdr:cNvPr>
        <xdr:cNvSpPr>
          <a:spLocks noChangeShapeType="1"/>
        </xdr:cNvSpPr>
      </xdr:nvSpPr>
      <xdr:spPr bwMode="auto">
        <a:xfrm flipV="1">
          <a:off x="25841325" y="1704975"/>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35</xdr:col>
      <xdr:colOff>104775</xdr:colOff>
      <xdr:row>9</xdr:row>
      <xdr:rowOff>9525</xdr:rowOff>
    </xdr:from>
    <xdr:to>
      <xdr:col>35</xdr:col>
      <xdr:colOff>657225</xdr:colOff>
      <xdr:row>9</xdr:row>
      <xdr:rowOff>190500</xdr:rowOff>
    </xdr:to>
    <xdr:sp macro="" textlink="">
      <xdr:nvSpPr>
        <xdr:cNvPr id="191" name="Tegning 199">
          <a:extLst>
            <a:ext uri="{FF2B5EF4-FFF2-40B4-BE49-F238E27FC236}">
              <a16:creationId xmlns:a16="http://schemas.microsoft.com/office/drawing/2014/main" id="{00000000-0008-0000-0000-0000BF000000}"/>
            </a:ext>
          </a:extLst>
        </xdr:cNvPr>
        <xdr:cNvSpPr>
          <a:spLocks/>
        </xdr:cNvSpPr>
      </xdr:nvSpPr>
      <xdr:spPr bwMode="auto">
        <a:xfrm>
          <a:off x="25946100" y="1524000"/>
          <a:ext cx="552450" cy="18097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6384"/>
              </a:moveTo>
              <a:lnTo>
                <a:pt x="0" y="0"/>
              </a:lnTo>
              <a:lnTo>
                <a:pt x="16384" y="0"/>
              </a:lnTo>
              <a:lnTo>
                <a:pt x="16384" y="16384"/>
              </a:lnTo>
              <a:lnTo>
                <a:pt x="0"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34</xdr:col>
      <xdr:colOff>638175</xdr:colOff>
      <xdr:row>8</xdr:row>
      <xdr:rowOff>142875</xdr:rowOff>
    </xdr:from>
    <xdr:to>
      <xdr:col>34</xdr:col>
      <xdr:colOff>638175</xdr:colOff>
      <xdr:row>10</xdr:row>
      <xdr:rowOff>28575</xdr:rowOff>
    </xdr:to>
    <xdr:sp macro="" textlink="">
      <xdr:nvSpPr>
        <xdr:cNvPr id="192" name="Line 200">
          <a:extLst>
            <a:ext uri="{FF2B5EF4-FFF2-40B4-BE49-F238E27FC236}">
              <a16:creationId xmlns:a16="http://schemas.microsoft.com/office/drawing/2014/main" id="{00000000-0008-0000-0000-0000C0000000}"/>
            </a:ext>
          </a:extLst>
        </xdr:cNvPr>
        <xdr:cNvSpPr>
          <a:spLocks noChangeShapeType="1"/>
        </xdr:cNvSpPr>
      </xdr:nvSpPr>
      <xdr:spPr bwMode="auto">
        <a:xfrm>
          <a:off x="25727025" y="14573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571500</xdr:colOff>
      <xdr:row>9</xdr:row>
      <xdr:rowOff>0</xdr:rowOff>
    </xdr:from>
    <xdr:to>
      <xdr:col>35</xdr:col>
      <xdr:colOff>57150</xdr:colOff>
      <xdr:row>9</xdr:row>
      <xdr:rowOff>9525</xdr:rowOff>
    </xdr:to>
    <xdr:sp macro="" textlink="">
      <xdr:nvSpPr>
        <xdr:cNvPr id="193" name="Line 201">
          <a:extLst>
            <a:ext uri="{FF2B5EF4-FFF2-40B4-BE49-F238E27FC236}">
              <a16:creationId xmlns:a16="http://schemas.microsoft.com/office/drawing/2014/main" id="{00000000-0008-0000-0000-0000C1000000}"/>
            </a:ext>
          </a:extLst>
        </xdr:cNvPr>
        <xdr:cNvSpPr>
          <a:spLocks noChangeShapeType="1"/>
        </xdr:cNvSpPr>
      </xdr:nvSpPr>
      <xdr:spPr bwMode="auto">
        <a:xfrm flipH="1">
          <a:off x="25660350" y="1514475"/>
          <a:ext cx="2381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581025</xdr:colOff>
      <xdr:row>9</xdr:row>
      <xdr:rowOff>190500</xdr:rowOff>
    </xdr:from>
    <xdr:to>
      <xdr:col>34</xdr:col>
      <xdr:colOff>704850</xdr:colOff>
      <xdr:row>9</xdr:row>
      <xdr:rowOff>190500</xdr:rowOff>
    </xdr:to>
    <xdr:sp macro="" textlink="">
      <xdr:nvSpPr>
        <xdr:cNvPr id="194" name="Line 202">
          <a:extLst>
            <a:ext uri="{FF2B5EF4-FFF2-40B4-BE49-F238E27FC236}">
              <a16:creationId xmlns:a16="http://schemas.microsoft.com/office/drawing/2014/main" id="{00000000-0008-0000-0000-0000C2000000}"/>
            </a:ext>
          </a:extLst>
        </xdr:cNvPr>
        <xdr:cNvSpPr>
          <a:spLocks noChangeShapeType="1"/>
        </xdr:cNvSpPr>
      </xdr:nvSpPr>
      <xdr:spPr bwMode="auto">
        <a:xfrm>
          <a:off x="25669875" y="1704975"/>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590550</xdr:colOff>
      <xdr:row>8</xdr:row>
      <xdr:rowOff>161925</xdr:rowOff>
    </xdr:from>
    <xdr:to>
      <xdr:col>34</xdr:col>
      <xdr:colOff>695325</xdr:colOff>
      <xdr:row>9</xdr:row>
      <xdr:rowOff>47625</xdr:rowOff>
    </xdr:to>
    <xdr:sp macro="" textlink="">
      <xdr:nvSpPr>
        <xdr:cNvPr id="195" name="Line 203">
          <a:extLst>
            <a:ext uri="{FF2B5EF4-FFF2-40B4-BE49-F238E27FC236}">
              <a16:creationId xmlns:a16="http://schemas.microsoft.com/office/drawing/2014/main" id="{00000000-0008-0000-0000-0000C3000000}"/>
            </a:ext>
          </a:extLst>
        </xdr:cNvPr>
        <xdr:cNvSpPr>
          <a:spLocks noChangeShapeType="1"/>
        </xdr:cNvSpPr>
      </xdr:nvSpPr>
      <xdr:spPr bwMode="auto">
        <a:xfrm flipH="1">
          <a:off x="25679400" y="1476375"/>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36</xdr:col>
      <xdr:colOff>0</xdr:colOff>
      <xdr:row>9</xdr:row>
      <xdr:rowOff>180975</xdr:rowOff>
    </xdr:from>
    <xdr:to>
      <xdr:col>36</xdr:col>
      <xdr:colOff>9525</xdr:colOff>
      <xdr:row>11</xdr:row>
      <xdr:rowOff>95250</xdr:rowOff>
    </xdr:to>
    <xdr:sp macro="" textlink="">
      <xdr:nvSpPr>
        <xdr:cNvPr id="196" name="Line 204">
          <a:extLst>
            <a:ext uri="{FF2B5EF4-FFF2-40B4-BE49-F238E27FC236}">
              <a16:creationId xmlns:a16="http://schemas.microsoft.com/office/drawing/2014/main" id="{00000000-0008-0000-0000-0000C4000000}"/>
            </a:ext>
          </a:extLst>
        </xdr:cNvPr>
        <xdr:cNvSpPr>
          <a:spLocks noChangeShapeType="1"/>
        </xdr:cNvSpPr>
      </xdr:nvSpPr>
      <xdr:spPr bwMode="auto">
        <a:xfrm flipH="1" flipV="1">
          <a:off x="26593800" y="1695450"/>
          <a:ext cx="9525"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37</xdr:col>
      <xdr:colOff>714375</xdr:colOff>
      <xdr:row>34</xdr:row>
      <xdr:rowOff>0</xdr:rowOff>
    </xdr:from>
    <xdr:to>
      <xdr:col>39</xdr:col>
      <xdr:colOff>542925</xdr:colOff>
      <xdr:row>34</xdr:row>
      <xdr:rowOff>0</xdr:rowOff>
    </xdr:to>
    <xdr:sp macro="" textlink="">
      <xdr:nvSpPr>
        <xdr:cNvPr id="197" name="Line 205">
          <a:extLst>
            <a:ext uri="{FF2B5EF4-FFF2-40B4-BE49-F238E27FC236}">
              <a16:creationId xmlns:a16="http://schemas.microsoft.com/office/drawing/2014/main" id="{00000000-0008-0000-0000-0000C5000000}"/>
            </a:ext>
          </a:extLst>
        </xdr:cNvPr>
        <xdr:cNvSpPr>
          <a:spLocks noChangeShapeType="1"/>
        </xdr:cNvSpPr>
      </xdr:nvSpPr>
      <xdr:spPr bwMode="auto">
        <a:xfrm>
          <a:off x="28060650" y="6381750"/>
          <a:ext cx="1333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9525</xdr:colOff>
      <xdr:row>33</xdr:row>
      <xdr:rowOff>76200</xdr:rowOff>
    </xdr:from>
    <xdr:to>
      <xdr:col>38</xdr:col>
      <xdr:colOff>9525</xdr:colOff>
      <xdr:row>34</xdr:row>
      <xdr:rowOff>104775</xdr:rowOff>
    </xdr:to>
    <xdr:sp macro="" textlink="">
      <xdr:nvSpPr>
        <xdr:cNvPr id="198" name="Line 206">
          <a:extLst>
            <a:ext uri="{FF2B5EF4-FFF2-40B4-BE49-F238E27FC236}">
              <a16:creationId xmlns:a16="http://schemas.microsoft.com/office/drawing/2014/main" id="{00000000-0008-0000-0000-0000C6000000}"/>
            </a:ext>
          </a:extLst>
        </xdr:cNvPr>
        <xdr:cNvSpPr>
          <a:spLocks noChangeShapeType="1"/>
        </xdr:cNvSpPr>
      </xdr:nvSpPr>
      <xdr:spPr bwMode="auto">
        <a:xfrm>
          <a:off x="28108275" y="6248400"/>
          <a:ext cx="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190500</xdr:colOff>
      <xdr:row>32</xdr:row>
      <xdr:rowOff>47625</xdr:rowOff>
    </xdr:from>
    <xdr:to>
      <xdr:col>38</xdr:col>
      <xdr:colOff>190500</xdr:colOff>
      <xdr:row>34</xdr:row>
      <xdr:rowOff>76200</xdr:rowOff>
    </xdr:to>
    <xdr:sp macro="" textlink="">
      <xdr:nvSpPr>
        <xdr:cNvPr id="199" name="Line 208">
          <a:extLst>
            <a:ext uri="{FF2B5EF4-FFF2-40B4-BE49-F238E27FC236}">
              <a16:creationId xmlns:a16="http://schemas.microsoft.com/office/drawing/2014/main" id="{00000000-0008-0000-0000-0000C7000000}"/>
            </a:ext>
          </a:extLst>
        </xdr:cNvPr>
        <xdr:cNvSpPr>
          <a:spLocks noChangeShapeType="1"/>
        </xdr:cNvSpPr>
      </xdr:nvSpPr>
      <xdr:spPr bwMode="auto">
        <a:xfrm flipV="1">
          <a:off x="28289250" y="6029325"/>
          <a:ext cx="0" cy="428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447675</xdr:colOff>
      <xdr:row>32</xdr:row>
      <xdr:rowOff>66675</xdr:rowOff>
    </xdr:from>
    <xdr:to>
      <xdr:col>38</xdr:col>
      <xdr:colOff>447675</xdr:colOff>
      <xdr:row>34</xdr:row>
      <xdr:rowOff>104775</xdr:rowOff>
    </xdr:to>
    <xdr:sp macro="" textlink="">
      <xdr:nvSpPr>
        <xdr:cNvPr id="200" name="Line 209">
          <a:extLst>
            <a:ext uri="{FF2B5EF4-FFF2-40B4-BE49-F238E27FC236}">
              <a16:creationId xmlns:a16="http://schemas.microsoft.com/office/drawing/2014/main" id="{00000000-0008-0000-0000-0000C8000000}"/>
            </a:ext>
          </a:extLst>
        </xdr:cNvPr>
        <xdr:cNvSpPr>
          <a:spLocks noChangeShapeType="1"/>
        </xdr:cNvSpPr>
      </xdr:nvSpPr>
      <xdr:spPr bwMode="auto">
        <a:xfrm flipV="1">
          <a:off x="28546425" y="6048375"/>
          <a:ext cx="0" cy="438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295275</xdr:colOff>
      <xdr:row>32</xdr:row>
      <xdr:rowOff>57150</xdr:rowOff>
    </xdr:from>
    <xdr:to>
      <xdr:col>39</xdr:col>
      <xdr:colOff>295275</xdr:colOff>
      <xdr:row>34</xdr:row>
      <xdr:rowOff>66675</xdr:rowOff>
    </xdr:to>
    <xdr:sp macro="" textlink="">
      <xdr:nvSpPr>
        <xdr:cNvPr id="201" name="Line 211">
          <a:extLst>
            <a:ext uri="{FF2B5EF4-FFF2-40B4-BE49-F238E27FC236}">
              <a16:creationId xmlns:a16="http://schemas.microsoft.com/office/drawing/2014/main" id="{00000000-0008-0000-0000-0000C9000000}"/>
            </a:ext>
          </a:extLst>
        </xdr:cNvPr>
        <xdr:cNvSpPr>
          <a:spLocks noChangeShapeType="1"/>
        </xdr:cNvSpPr>
      </xdr:nvSpPr>
      <xdr:spPr bwMode="auto">
        <a:xfrm flipV="1">
          <a:off x="29146500" y="60388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0</xdr:colOff>
      <xdr:row>32</xdr:row>
      <xdr:rowOff>0</xdr:rowOff>
    </xdr:from>
    <xdr:to>
      <xdr:col>39</xdr:col>
      <xdr:colOff>495300</xdr:colOff>
      <xdr:row>32</xdr:row>
      <xdr:rowOff>0</xdr:rowOff>
    </xdr:to>
    <xdr:sp macro="" textlink="">
      <xdr:nvSpPr>
        <xdr:cNvPr id="202" name="Line 217">
          <a:extLst>
            <a:ext uri="{FF2B5EF4-FFF2-40B4-BE49-F238E27FC236}">
              <a16:creationId xmlns:a16="http://schemas.microsoft.com/office/drawing/2014/main" id="{00000000-0008-0000-0000-0000CA000000}"/>
            </a:ext>
          </a:extLst>
        </xdr:cNvPr>
        <xdr:cNvSpPr>
          <a:spLocks noChangeShapeType="1"/>
        </xdr:cNvSpPr>
      </xdr:nvSpPr>
      <xdr:spPr bwMode="auto">
        <a:xfrm>
          <a:off x="28098750" y="5981700"/>
          <a:ext cx="1247775"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38</xdr:col>
      <xdr:colOff>0</xdr:colOff>
      <xdr:row>32</xdr:row>
      <xdr:rowOff>0</xdr:rowOff>
    </xdr:from>
    <xdr:to>
      <xdr:col>38</xdr:col>
      <xdr:colOff>9525</xdr:colOff>
      <xdr:row>33</xdr:row>
      <xdr:rowOff>95250</xdr:rowOff>
    </xdr:to>
    <xdr:sp macro="" textlink="">
      <xdr:nvSpPr>
        <xdr:cNvPr id="203" name="Line 218">
          <a:extLst>
            <a:ext uri="{FF2B5EF4-FFF2-40B4-BE49-F238E27FC236}">
              <a16:creationId xmlns:a16="http://schemas.microsoft.com/office/drawing/2014/main" id="{00000000-0008-0000-0000-0000CB000000}"/>
            </a:ext>
          </a:extLst>
        </xdr:cNvPr>
        <xdr:cNvSpPr>
          <a:spLocks noChangeShapeType="1"/>
        </xdr:cNvSpPr>
      </xdr:nvSpPr>
      <xdr:spPr bwMode="auto">
        <a:xfrm flipH="1" flipV="1">
          <a:off x="28098750" y="5981700"/>
          <a:ext cx="9525"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495300</xdr:colOff>
      <xdr:row>31</xdr:row>
      <xdr:rowOff>171450</xdr:rowOff>
    </xdr:from>
    <xdr:to>
      <xdr:col>39</xdr:col>
      <xdr:colOff>495300</xdr:colOff>
      <xdr:row>34</xdr:row>
      <xdr:rowOff>57150</xdr:rowOff>
    </xdr:to>
    <xdr:sp macro="" textlink="">
      <xdr:nvSpPr>
        <xdr:cNvPr id="204" name="Line 219">
          <a:extLst>
            <a:ext uri="{FF2B5EF4-FFF2-40B4-BE49-F238E27FC236}">
              <a16:creationId xmlns:a16="http://schemas.microsoft.com/office/drawing/2014/main" id="{00000000-0008-0000-0000-0000CC000000}"/>
            </a:ext>
          </a:extLst>
        </xdr:cNvPr>
        <xdr:cNvSpPr>
          <a:spLocks noChangeShapeType="1"/>
        </xdr:cNvSpPr>
      </xdr:nvSpPr>
      <xdr:spPr bwMode="auto">
        <a:xfrm flipH="1" flipV="1">
          <a:off x="29346525" y="5962650"/>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38</xdr:col>
      <xdr:colOff>190500</xdr:colOff>
      <xdr:row>31</xdr:row>
      <xdr:rowOff>28575</xdr:rowOff>
    </xdr:from>
    <xdr:to>
      <xdr:col>38</xdr:col>
      <xdr:colOff>447675</xdr:colOff>
      <xdr:row>32</xdr:row>
      <xdr:rowOff>0</xdr:rowOff>
    </xdr:to>
    <xdr:sp macro="" textlink="">
      <xdr:nvSpPr>
        <xdr:cNvPr id="205" name="Tegning 220">
          <a:extLst>
            <a:ext uri="{FF2B5EF4-FFF2-40B4-BE49-F238E27FC236}">
              <a16:creationId xmlns:a16="http://schemas.microsoft.com/office/drawing/2014/main" id="{00000000-0008-0000-0000-0000CD000000}"/>
            </a:ext>
          </a:extLst>
        </xdr:cNvPr>
        <xdr:cNvSpPr>
          <a:spLocks/>
        </xdr:cNvSpPr>
      </xdr:nvSpPr>
      <xdr:spPr bwMode="auto">
        <a:xfrm>
          <a:off x="28289250" y="5819775"/>
          <a:ext cx="257175" cy="1619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754"/>
              </a:moveTo>
              <a:lnTo>
                <a:pt x="0" y="0"/>
              </a:lnTo>
              <a:lnTo>
                <a:pt x="16384" y="0"/>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39</xdr:col>
      <xdr:colOff>0</xdr:colOff>
      <xdr:row>31</xdr:row>
      <xdr:rowOff>28575</xdr:rowOff>
    </xdr:from>
    <xdr:to>
      <xdr:col>39</xdr:col>
      <xdr:colOff>304800</xdr:colOff>
      <xdr:row>32</xdr:row>
      <xdr:rowOff>0</xdr:rowOff>
    </xdr:to>
    <xdr:sp macro="" textlink="">
      <xdr:nvSpPr>
        <xdr:cNvPr id="206" name="Tegning 221">
          <a:extLst>
            <a:ext uri="{FF2B5EF4-FFF2-40B4-BE49-F238E27FC236}">
              <a16:creationId xmlns:a16="http://schemas.microsoft.com/office/drawing/2014/main" id="{00000000-0008-0000-0000-0000CE000000}"/>
            </a:ext>
          </a:extLst>
        </xdr:cNvPr>
        <xdr:cNvSpPr>
          <a:spLocks/>
        </xdr:cNvSpPr>
      </xdr:nvSpPr>
      <xdr:spPr bwMode="auto">
        <a:xfrm>
          <a:off x="28851225" y="5819775"/>
          <a:ext cx="304800" cy="1619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6384"/>
              </a:moveTo>
              <a:lnTo>
                <a:pt x="0" y="0"/>
              </a:lnTo>
              <a:lnTo>
                <a:pt x="16384" y="0"/>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35</xdr:col>
      <xdr:colOff>104775</xdr:colOff>
      <xdr:row>10</xdr:row>
      <xdr:rowOff>66675</xdr:rowOff>
    </xdr:from>
    <xdr:to>
      <xdr:col>35</xdr:col>
      <xdr:colOff>104775</xdr:colOff>
      <xdr:row>12</xdr:row>
      <xdr:rowOff>47625</xdr:rowOff>
    </xdr:to>
    <xdr:sp macro="" textlink="">
      <xdr:nvSpPr>
        <xdr:cNvPr id="207" name="Line 223">
          <a:extLst>
            <a:ext uri="{FF2B5EF4-FFF2-40B4-BE49-F238E27FC236}">
              <a16:creationId xmlns:a16="http://schemas.microsoft.com/office/drawing/2014/main" id="{00000000-0008-0000-0000-0000CF000000}"/>
            </a:ext>
          </a:extLst>
        </xdr:cNvPr>
        <xdr:cNvSpPr>
          <a:spLocks noChangeShapeType="1"/>
        </xdr:cNvSpPr>
      </xdr:nvSpPr>
      <xdr:spPr bwMode="auto">
        <a:xfrm>
          <a:off x="25946100" y="1781175"/>
          <a:ext cx="0" cy="381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571500</xdr:colOff>
      <xdr:row>12</xdr:row>
      <xdr:rowOff>9525</xdr:rowOff>
    </xdr:from>
    <xdr:to>
      <xdr:col>36</xdr:col>
      <xdr:colOff>228600</xdr:colOff>
      <xdr:row>12</xdr:row>
      <xdr:rowOff>9525</xdr:rowOff>
    </xdr:to>
    <xdr:sp macro="" textlink="">
      <xdr:nvSpPr>
        <xdr:cNvPr id="208" name="Line 225">
          <a:extLst>
            <a:ext uri="{FF2B5EF4-FFF2-40B4-BE49-F238E27FC236}">
              <a16:creationId xmlns:a16="http://schemas.microsoft.com/office/drawing/2014/main" id="{00000000-0008-0000-0000-0000D0000000}"/>
            </a:ext>
          </a:extLst>
        </xdr:cNvPr>
        <xdr:cNvSpPr>
          <a:spLocks noChangeShapeType="1"/>
        </xdr:cNvSpPr>
      </xdr:nvSpPr>
      <xdr:spPr bwMode="auto">
        <a:xfrm>
          <a:off x="25660350" y="2124075"/>
          <a:ext cx="1162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372</xdr:row>
      <xdr:rowOff>95250</xdr:rowOff>
    </xdr:from>
    <xdr:to>
      <xdr:col>6</xdr:col>
      <xdr:colOff>1057275</xdr:colOff>
      <xdr:row>372</xdr:row>
      <xdr:rowOff>95250</xdr:rowOff>
    </xdr:to>
    <xdr:sp macro="" textlink="">
      <xdr:nvSpPr>
        <xdr:cNvPr id="209" name="Line 227">
          <a:extLst>
            <a:ext uri="{FF2B5EF4-FFF2-40B4-BE49-F238E27FC236}">
              <a16:creationId xmlns:a16="http://schemas.microsoft.com/office/drawing/2014/main" id="{00000000-0008-0000-0000-0000D1000000}"/>
            </a:ext>
          </a:extLst>
        </xdr:cNvPr>
        <xdr:cNvSpPr>
          <a:spLocks noChangeShapeType="1"/>
        </xdr:cNvSpPr>
      </xdr:nvSpPr>
      <xdr:spPr bwMode="auto">
        <a:xfrm flipH="1">
          <a:off x="1752600" y="71742300"/>
          <a:ext cx="2714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372</xdr:row>
      <xdr:rowOff>28575</xdr:rowOff>
    </xdr:from>
    <xdr:to>
      <xdr:col>2</xdr:col>
      <xdr:colOff>352425</xdr:colOff>
      <xdr:row>372</xdr:row>
      <xdr:rowOff>171450</xdr:rowOff>
    </xdr:to>
    <xdr:sp macro="" textlink="">
      <xdr:nvSpPr>
        <xdr:cNvPr id="210" name="Line 228">
          <a:extLst>
            <a:ext uri="{FF2B5EF4-FFF2-40B4-BE49-F238E27FC236}">
              <a16:creationId xmlns:a16="http://schemas.microsoft.com/office/drawing/2014/main" id="{00000000-0008-0000-0000-0000D2000000}"/>
            </a:ext>
          </a:extLst>
        </xdr:cNvPr>
        <xdr:cNvSpPr>
          <a:spLocks noChangeShapeType="1"/>
        </xdr:cNvSpPr>
      </xdr:nvSpPr>
      <xdr:spPr bwMode="auto">
        <a:xfrm>
          <a:off x="1733550" y="71675625"/>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372</xdr:row>
      <xdr:rowOff>9525</xdr:rowOff>
    </xdr:from>
    <xdr:to>
      <xdr:col>2</xdr:col>
      <xdr:colOff>466725</xdr:colOff>
      <xdr:row>372</xdr:row>
      <xdr:rowOff>180975</xdr:rowOff>
    </xdr:to>
    <xdr:sp macro="" textlink="">
      <xdr:nvSpPr>
        <xdr:cNvPr id="212" name="Tegning 230">
          <a:extLst>
            <a:ext uri="{FF2B5EF4-FFF2-40B4-BE49-F238E27FC236}">
              <a16:creationId xmlns:a16="http://schemas.microsoft.com/office/drawing/2014/main" id="{00000000-0008-0000-0000-0000D4000000}"/>
            </a:ext>
          </a:extLst>
        </xdr:cNvPr>
        <xdr:cNvSpPr>
          <a:spLocks/>
        </xdr:cNvSpPr>
      </xdr:nvSpPr>
      <xdr:spPr bwMode="auto">
        <a:xfrm>
          <a:off x="1743075" y="71656575"/>
          <a:ext cx="104775" cy="17145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228600</xdr:colOff>
      <xdr:row>372</xdr:row>
      <xdr:rowOff>19050</xdr:rowOff>
    </xdr:from>
    <xdr:to>
      <xdr:col>3</xdr:col>
      <xdr:colOff>314325</xdr:colOff>
      <xdr:row>372</xdr:row>
      <xdr:rowOff>190500</xdr:rowOff>
    </xdr:to>
    <xdr:sp macro="" textlink="">
      <xdr:nvSpPr>
        <xdr:cNvPr id="213" name="Tegning 231">
          <a:extLst>
            <a:ext uri="{FF2B5EF4-FFF2-40B4-BE49-F238E27FC236}">
              <a16:creationId xmlns:a16="http://schemas.microsoft.com/office/drawing/2014/main" id="{00000000-0008-0000-0000-0000D5000000}"/>
            </a:ext>
          </a:extLst>
        </xdr:cNvPr>
        <xdr:cNvSpPr>
          <a:spLocks/>
        </xdr:cNvSpPr>
      </xdr:nvSpPr>
      <xdr:spPr bwMode="auto">
        <a:xfrm>
          <a:off x="2190750" y="71666100"/>
          <a:ext cx="85725" cy="171450"/>
        </a:xfrm>
        <a:custGeom>
          <a:avLst/>
          <a:gdLst>
            <a:gd name="T0" fmla="*/ 0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40</xdr:col>
      <xdr:colOff>0</xdr:colOff>
      <xdr:row>15</xdr:row>
      <xdr:rowOff>19050</xdr:rowOff>
    </xdr:from>
    <xdr:to>
      <xdr:col>41</xdr:col>
      <xdr:colOff>9525</xdr:colOff>
      <xdr:row>15</xdr:row>
      <xdr:rowOff>19050</xdr:rowOff>
    </xdr:to>
    <xdr:sp macro="" textlink="">
      <xdr:nvSpPr>
        <xdr:cNvPr id="214" name="Line 232">
          <a:extLst>
            <a:ext uri="{FF2B5EF4-FFF2-40B4-BE49-F238E27FC236}">
              <a16:creationId xmlns:a16="http://schemas.microsoft.com/office/drawing/2014/main" id="{00000000-0008-0000-0000-0000D6000000}"/>
            </a:ext>
          </a:extLst>
        </xdr:cNvPr>
        <xdr:cNvSpPr>
          <a:spLocks noChangeShapeType="1"/>
        </xdr:cNvSpPr>
      </xdr:nvSpPr>
      <xdr:spPr bwMode="auto">
        <a:xfrm>
          <a:off x="29603700" y="2705100"/>
          <a:ext cx="762000"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0</xdr:colOff>
      <xdr:row>15</xdr:row>
      <xdr:rowOff>19050</xdr:rowOff>
    </xdr:from>
    <xdr:to>
      <xdr:col>40</xdr:col>
      <xdr:colOff>0</xdr:colOff>
      <xdr:row>16</xdr:row>
      <xdr:rowOff>114300</xdr:rowOff>
    </xdr:to>
    <xdr:sp macro="" textlink="">
      <xdr:nvSpPr>
        <xdr:cNvPr id="215" name="Line 233">
          <a:extLst>
            <a:ext uri="{FF2B5EF4-FFF2-40B4-BE49-F238E27FC236}">
              <a16:creationId xmlns:a16="http://schemas.microsoft.com/office/drawing/2014/main" id="{00000000-0008-0000-0000-0000D7000000}"/>
            </a:ext>
          </a:extLst>
        </xdr:cNvPr>
        <xdr:cNvSpPr>
          <a:spLocks noChangeShapeType="1"/>
        </xdr:cNvSpPr>
      </xdr:nvSpPr>
      <xdr:spPr bwMode="auto">
        <a:xfrm flipV="1">
          <a:off x="29603700" y="27051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41</xdr:col>
      <xdr:colOff>0</xdr:colOff>
      <xdr:row>15</xdr:row>
      <xdr:rowOff>9525</xdr:rowOff>
    </xdr:from>
    <xdr:to>
      <xdr:col>41</xdr:col>
      <xdr:colOff>0</xdr:colOff>
      <xdr:row>16</xdr:row>
      <xdr:rowOff>104775</xdr:rowOff>
    </xdr:to>
    <xdr:sp macro="" textlink="">
      <xdr:nvSpPr>
        <xdr:cNvPr id="216" name="Line 234">
          <a:extLst>
            <a:ext uri="{FF2B5EF4-FFF2-40B4-BE49-F238E27FC236}">
              <a16:creationId xmlns:a16="http://schemas.microsoft.com/office/drawing/2014/main" id="{00000000-0008-0000-0000-0000D8000000}"/>
            </a:ext>
          </a:extLst>
        </xdr:cNvPr>
        <xdr:cNvSpPr>
          <a:spLocks noChangeShapeType="1"/>
        </xdr:cNvSpPr>
      </xdr:nvSpPr>
      <xdr:spPr bwMode="auto">
        <a:xfrm flipV="1">
          <a:off x="30356175" y="26955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40</xdr:col>
      <xdr:colOff>209550</xdr:colOff>
      <xdr:row>13</xdr:row>
      <xdr:rowOff>9525</xdr:rowOff>
    </xdr:from>
    <xdr:to>
      <xdr:col>40</xdr:col>
      <xdr:colOff>209550</xdr:colOff>
      <xdr:row>15</xdr:row>
      <xdr:rowOff>19050</xdr:rowOff>
    </xdr:to>
    <xdr:sp macro="" textlink="">
      <xdr:nvSpPr>
        <xdr:cNvPr id="217" name="Line 235">
          <a:extLst>
            <a:ext uri="{FF2B5EF4-FFF2-40B4-BE49-F238E27FC236}">
              <a16:creationId xmlns:a16="http://schemas.microsoft.com/office/drawing/2014/main" id="{00000000-0008-0000-0000-0000D9000000}"/>
            </a:ext>
          </a:extLst>
        </xdr:cNvPr>
        <xdr:cNvSpPr>
          <a:spLocks noChangeShapeType="1"/>
        </xdr:cNvSpPr>
      </xdr:nvSpPr>
      <xdr:spPr bwMode="auto">
        <a:xfrm>
          <a:off x="29813250" y="23145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704850</xdr:colOff>
      <xdr:row>14</xdr:row>
      <xdr:rowOff>0</xdr:rowOff>
    </xdr:from>
    <xdr:to>
      <xdr:col>41</xdr:col>
      <xdr:colOff>66675</xdr:colOff>
      <xdr:row>14</xdr:row>
      <xdr:rowOff>0</xdr:rowOff>
    </xdr:to>
    <xdr:sp macro="" textlink="">
      <xdr:nvSpPr>
        <xdr:cNvPr id="218" name="Line 236">
          <a:extLst>
            <a:ext uri="{FF2B5EF4-FFF2-40B4-BE49-F238E27FC236}">
              <a16:creationId xmlns:a16="http://schemas.microsoft.com/office/drawing/2014/main" id="{00000000-0008-0000-0000-0000DA000000}"/>
            </a:ext>
          </a:extLst>
        </xdr:cNvPr>
        <xdr:cNvSpPr>
          <a:spLocks noChangeShapeType="1"/>
        </xdr:cNvSpPr>
      </xdr:nvSpPr>
      <xdr:spPr bwMode="auto">
        <a:xfrm>
          <a:off x="29556075" y="2495550"/>
          <a:ext cx="866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17</xdr:row>
      <xdr:rowOff>0</xdr:rowOff>
    </xdr:from>
    <xdr:to>
      <xdr:col>41</xdr:col>
      <xdr:colOff>38100</xdr:colOff>
      <xdr:row>17</xdr:row>
      <xdr:rowOff>0</xdr:rowOff>
    </xdr:to>
    <xdr:sp macro="" textlink="">
      <xdr:nvSpPr>
        <xdr:cNvPr id="219" name="Line 239">
          <a:extLst>
            <a:ext uri="{FF2B5EF4-FFF2-40B4-BE49-F238E27FC236}">
              <a16:creationId xmlns:a16="http://schemas.microsoft.com/office/drawing/2014/main" id="{00000000-0008-0000-0000-0000DB000000}"/>
            </a:ext>
          </a:extLst>
        </xdr:cNvPr>
        <xdr:cNvSpPr>
          <a:spLocks noChangeShapeType="1"/>
        </xdr:cNvSpPr>
      </xdr:nvSpPr>
      <xdr:spPr bwMode="auto">
        <a:xfrm>
          <a:off x="29546550" y="3067050"/>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161925</xdr:colOff>
      <xdr:row>13</xdr:row>
      <xdr:rowOff>142875</xdr:rowOff>
    </xdr:from>
    <xdr:to>
      <xdr:col>40</xdr:col>
      <xdr:colOff>257175</xdr:colOff>
      <xdr:row>14</xdr:row>
      <xdr:rowOff>38100</xdr:rowOff>
    </xdr:to>
    <xdr:sp macro="" textlink="">
      <xdr:nvSpPr>
        <xdr:cNvPr id="220" name="Line 240">
          <a:extLst>
            <a:ext uri="{FF2B5EF4-FFF2-40B4-BE49-F238E27FC236}">
              <a16:creationId xmlns:a16="http://schemas.microsoft.com/office/drawing/2014/main" id="{00000000-0008-0000-0000-0000DC000000}"/>
            </a:ext>
          </a:extLst>
        </xdr:cNvPr>
        <xdr:cNvSpPr>
          <a:spLocks noChangeShapeType="1"/>
        </xdr:cNvSpPr>
      </xdr:nvSpPr>
      <xdr:spPr bwMode="auto">
        <a:xfrm flipH="1">
          <a:off x="29765625" y="24479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108</xdr:row>
      <xdr:rowOff>47625</xdr:rowOff>
    </xdr:from>
    <xdr:to>
      <xdr:col>5</xdr:col>
      <xdr:colOff>152400</xdr:colOff>
      <xdr:row>109</xdr:row>
      <xdr:rowOff>114300</xdr:rowOff>
    </xdr:to>
    <xdr:sp macro="" textlink="">
      <xdr:nvSpPr>
        <xdr:cNvPr id="221" name="Line 241">
          <a:extLst>
            <a:ext uri="{FF2B5EF4-FFF2-40B4-BE49-F238E27FC236}">
              <a16:creationId xmlns:a16="http://schemas.microsoft.com/office/drawing/2014/main" id="{00000000-0008-0000-0000-0000DD000000}"/>
            </a:ext>
          </a:extLst>
        </xdr:cNvPr>
        <xdr:cNvSpPr>
          <a:spLocks noChangeShapeType="1"/>
        </xdr:cNvSpPr>
      </xdr:nvSpPr>
      <xdr:spPr bwMode="auto">
        <a:xfrm flipV="1">
          <a:off x="2809875" y="2093595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105</xdr:row>
      <xdr:rowOff>152400</xdr:rowOff>
    </xdr:from>
    <xdr:to>
      <xdr:col>5</xdr:col>
      <xdr:colOff>247650</xdr:colOff>
      <xdr:row>109</xdr:row>
      <xdr:rowOff>123825</xdr:rowOff>
    </xdr:to>
    <xdr:sp macro="" textlink="">
      <xdr:nvSpPr>
        <xdr:cNvPr id="222" name="Line 242">
          <a:extLst>
            <a:ext uri="{FF2B5EF4-FFF2-40B4-BE49-F238E27FC236}">
              <a16:creationId xmlns:a16="http://schemas.microsoft.com/office/drawing/2014/main" id="{00000000-0008-0000-0000-0000DE000000}"/>
            </a:ext>
          </a:extLst>
        </xdr:cNvPr>
        <xdr:cNvSpPr>
          <a:spLocks noChangeShapeType="1"/>
        </xdr:cNvSpPr>
      </xdr:nvSpPr>
      <xdr:spPr bwMode="auto">
        <a:xfrm flipV="1">
          <a:off x="2905125" y="20459700"/>
          <a:ext cx="0" cy="7524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108</xdr:row>
      <xdr:rowOff>85725</xdr:rowOff>
    </xdr:from>
    <xdr:to>
      <xdr:col>5</xdr:col>
      <xdr:colOff>285750</xdr:colOff>
      <xdr:row>108</xdr:row>
      <xdr:rowOff>85725</xdr:rowOff>
    </xdr:to>
    <xdr:sp macro="" textlink="">
      <xdr:nvSpPr>
        <xdr:cNvPr id="223" name="Line 243">
          <a:extLst>
            <a:ext uri="{FF2B5EF4-FFF2-40B4-BE49-F238E27FC236}">
              <a16:creationId xmlns:a16="http://schemas.microsoft.com/office/drawing/2014/main" id="{00000000-0008-0000-0000-0000DF000000}"/>
            </a:ext>
          </a:extLst>
        </xdr:cNvPr>
        <xdr:cNvSpPr>
          <a:spLocks noChangeShapeType="1"/>
        </xdr:cNvSpPr>
      </xdr:nvSpPr>
      <xdr:spPr bwMode="auto">
        <a:xfrm>
          <a:off x="2771775" y="20974050"/>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108</xdr:row>
      <xdr:rowOff>47625</xdr:rowOff>
    </xdr:from>
    <xdr:to>
      <xdr:col>5</xdr:col>
      <xdr:colOff>200025</xdr:colOff>
      <xdr:row>108</xdr:row>
      <xdr:rowOff>123825</xdr:rowOff>
    </xdr:to>
    <xdr:sp macro="" textlink="">
      <xdr:nvSpPr>
        <xdr:cNvPr id="224" name="Line 244">
          <a:extLst>
            <a:ext uri="{FF2B5EF4-FFF2-40B4-BE49-F238E27FC236}">
              <a16:creationId xmlns:a16="http://schemas.microsoft.com/office/drawing/2014/main" id="{00000000-0008-0000-0000-0000E0000000}"/>
            </a:ext>
          </a:extLst>
        </xdr:cNvPr>
        <xdr:cNvSpPr>
          <a:spLocks noChangeShapeType="1"/>
        </xdr:cNvSpPr>
      </xdr:nvSpPr>
      <xdr:spPr bwMode="auto">
        <a:xfrm flipV="1">
          <a:off x="2771775" y="209359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19</xdr:row>
      <xdr:rowOff>180975</xdr:rowOff>
    </xdr:from>
    <xdr:to>
      <xdr:col>2</xdr:col>
      <xdr:colOff>533400</xdr:colOff>
      <xdr:row>20</xdr:row>
      <xdr:rowOff>142875</xdr:rowOff>
    </xdr:to>
    <xdr:sp macro="" textlink="">
      <xdr:nvSpPr>
        <xdr:cNvPr id="225" name="Line 245">
          <a:extLst>
            <a:ext uri="{FF2B5EF4-FFF2-40B4-BE49-F238E27FC236}">
              <a16:creationId xmlns:a16="http://schemas.microsoft.com/office/drawing/2014/main" id="{00000000-0008-0000-0000-0000E1000000}"/>
            </a:ext>
          </a:extLst>
        </xdr:cNvPr>
        <xdr:cNvSpPr>
          <a:spLocks noChangeShapeType="1"/>
        </xdr:cNvSpPr>
      </xdr:nvSpPr>
      <xdr:spPr bwMode="auto">
        <a:xfrm>
          <a:off x="1876425" y="3648075"/>
          <a:ext cx="381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219075</xdr:colOff>
      <xdr:row>132</xdr:row>
      <xdr:rowOff>152400</xdr:rowOff>
    </xdr:from>
    <xdr:to>
      <xdr:col>4</xdr:col>
      <xdr:colOff>219075</xdr:colOff>
      <xdr:row>144</xdr:row>
      <xdr:rowOff>9525</xdr:rowOff>
    </xdr:to>
    <xdr:sp macro="" textlink="">
      <xdr:nvSpPr>
        <xdr:cNvPr id="227" name="Line 249">
          <a:extLst>
            <a:ext uri="{FF2B5EF4-FFF2-40B4-BE49-F238E27FC236}">
              <a16:creationId xmlns:a16="http://schemas.microsoft.com/office/drawing/2014/main" id="{00000000-0008-0000-0000-0000E3000000}"/>
            </a:ext>
          </a:extLst>
        </xdr:cNvPr>
        <xdr:cNvSpPr>
          <a:spLocks noChangeShapeType="1"/>
        </xdr:cNvSpPr>
      </xdr:nvSpPr>
      <xdr:spPr bwMode="auto">
        <a:xfrm>
          <a:off x="2552700" y="25717500"/>
          <a:ext cx="0" cy="2209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129</xdr:row>
      <xdr:rowOff>171450</xdr:rowOff>
    </xdr:from>
    <xdr:to>
      <xdr:col>5</xdr:col>
      <xdr:colOff>381000</xdr:colOff>
      <xdr:row>135</xdr:row>
      <xdr:rowOff>161925</xdr:rowOff>
    </xdr:to>
    <xdr:sp macro="" textlink="">
      <xdr:nvSpPr>
        <xdr:cNvPr id="228" name="Line 250">
          <a:extLst>
            <a:ext uri="{FF2B5EF4-FFF2-40B4-BE49-F238E27FC236}">
              <a16:creationId xmlns:a16="http://schemas.microsoft.com/office/drawing/2014/main" id="{00000000-0008-0000-0000-0000E4000000}"/>
            </a:ext>
          </a:extLst>
        </xdr:cNvPr>
        <xdr:cNvSpPr>
          <a:spLocks noChangeShapeType="1"/>
        </xdr:cNvSpPr>
      </xdr:nvSpPr>
      <xdr:spPr bwMode="auto">
        <a:xfrm>
          <a:off x="3038475" y="25146000"/>
          <a:ext cx="0" cy="1181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134</xdr:row>
      <xdr:rowOff>85725</xdr:rowOff>
    </xdr:from>
    <xdr:to>
      <xdr:col>5</xdr:col>
      <xdr:colOff>647700</xdr:colOff>
      <xdr:row>134</xdr:row>
      <xdr:rowOff>85725</xdr:rowOff>
    </xdr:to>
    <xdr:sp macro="" textlink="">
      <xdr:nvSpPr>
        <xdr:cNvPr id="229" name="Line 251">
          <a:extLst>
            <a:ext uri="{FF2B5EF4-FFF2-40B4-BE49-F238E27FC236}">
              <a16:creationId xmlns:a16="http://schemas.microsoft.com/office/drawing/2014/main" id="{00000000-0008-0000-0000-0000E5000000}"/>
            </a:ext>
          </a:extLst>
        </xdr:cNvPr>
        <xdr:cNvSpPr>
          <a:spLocks noChangeShapeType="1"/>
        </xdr:cNvSpPr>
      </xdr:nvSpPr>
      <xdr:spPr bwMode="auto">
        <a:xfrm>
          <a:off x="2543175" y="26050875"/>
          <a:ext cx="762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135</xdr:row>
      <xdr:rowOff>104775</xdr:rowOff>
    </xdr:from>
    <xdr:to>
      <xdr:col>5</xdr:col>
      <xdr:colOff>619125</xdr:colOff>
      <xdr:row>135</xdr:row>
      <xdr:rowOff>104775</xdr:rowOff>
    </xdr:to>
    <xdr:sp macro="" textlink="">
      <xdr:nvSpPr>
        <xdr:cNvPr id="230" name="Line 252">
          <a:extLst>
            <a:ext uri="{FF2B5EF4-FFF2-40B4-BE49-F238E27FC236}">
              <a16:creationId xmlns:a16="http://schemas.microsoft.com/office/drawing/2014/main" id="{00000000-0008-0000-0000-0000E6000000}"/>
            </a:ext>
          </a:extLst>
        </xdr:cNvPr>
        <xdr:cNvSpPr>
          <a:spLocks noChangeShapeType="1"/>
        </xdr:cNvSpPr>
      </xdr:nvSpPr>
      <xdr:spPr bwMode="auto">
        <a:xfrm flipH="1">
          <a:off x="2828925" y="26269950"/>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133</xdr:row>
      <xdr:rowOff>9525</xdr:rowOff>
    </xdr:from>
    <xdr:to>
      <xdr:col>5</xdr:col>
      <xdr:colOff>742950</xdr:colOff>
      <xdr:row>135</xdr:row>
      <xdr:rowOff>142875</xdr:rowOff>
    </xdr:to>
    <xdr:sp macro="" textlink="">
      <xdr:nvSpPr>
        <xdr:cNvPr id="231" name="Tegning 253">
          <a:extLst>
            <a:ext uri="{FF2B5EF4-FFF2-40B4-BE49-F238E27FC236}">
              <a16:creationId xmlns:a16="http://schemas.microsoft.com/office/drawing/2014/main" id="{00000000-0008-0000-0000-0000E7000000}"/>
            </a:ext>
          </a:extLst>
        </xdr:cNvPr>
        <xdr:cNvSpPr>
          <a:spLocks/>
        </xdr:cNvSpPr>
      </xdr:nvSpPr>
      <xdr:spPr bwMode="auto">
        <a:xfrm>
          <a:off x="3314700" y="25774650"/>
          <a:ext cx="85725" cy="53340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w 16384"/>
            <a:gd name="T13" fmla="*/ 2147483647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3781" y="0"/>
              </a:moveTo>
              <a:lnTo>
                <a:pt x="7562" y="655"/>
              </a:lnTo>
              <a:lnTo>
                <a:pt x="7562" y="3058"/>
              </a:lnTo>
              <a:lnTo>
                <a:pt x="16384" y="3714"/>
              </a:lnTo>
              <a:lnTo>
                <a:pt x="6302" y="4151"/>
              </a:lnTo>
              <a:lnTo>
                <a:pt x="6302" y="152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143</xdr:row>
      <xdr:rowOff>104775</xdr:rowOff>
    </xdr:from>
    <xdr:to>
      <xdr:col>5</xdr:col>
      <xdr:colOff>704850</xdr:colOff>
      <xdr:row>143</xdr:row>
      <xdr:rowOff>104775</xdr:rowOff>
    </xdr:to>
    <xdr:sp macro="" textlink="">
      <xdr:nvSpPr>
        <xdr:cNvPr id="232" name="Line 254">
          <a:extLst>
            <a:ext uri="{FF2B5EF4-FFF2-40B4-BE49-F238E27FC236}">
              <a16:creationId xmlns:a16="http://schemas.microsoft.com/office/drawing/2014/main" id="{00000000-0008-0000-0000-0000E8000000}"/>
            </a:ext>
          </a:extLst>
        </xdr:cNvPr>
        <xdr:cNvSpPr>
          <a:spLocks noChangeShapeType="1"/>
        </xdr:cNvSpPr>
      </xdr:nvSpPr>
      <xdr:spPr bwMode="auto">
        <a:xfrm flipH="1">
          <a:off x="2552700" y="27822525"/>
          <a:ext cx="809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146</xdr:row>
      <xdr:rowOff>85725</xdr:rowOff>
    </xdr:from>
    <xdr:to>
      <xdr:col>5</xdr:col>
      <xdr:colOff>723900</xdr:colOff>
      <xdr:row>146</xdr:row>
      <xdr:rowOff>85725</xdr:rowOff>
    </xdr:to>
    <xdr:sp macro="" textlink="">
      <xdr:nvSpPr>
        <xdr:cNvPr id="233" name="Line 255">
          <a:extLst>
            <a:ext uri="{FF2B5EF4-FFF2-40B4-BE49-F238E27FC236}">
              <a16:creationId xmlns:a16="http://schemas.microsoft.com/office/drawing/2014/main" id="{00000000-0008-0000-0000-0000E9000000}"/>
            </a:ext>
          </a:extLst>
        </xdr:cNvPr>
        <xdr:cNvSpPr>
          <a:spLocks noChangeShapeType="1"/>
        </xdr:cNvSpPr>
      </xdr:nvSpPr>
      <xdr:spPr bwMode="auto">
        <a:xfrm flipH="1">
          <a:off x="2819400" y="28403550"/>
          <a:ext cx="561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146</xdr:row>
      <xdr:rowOff>28575</xdr:rowOff>
    </xdr:from>
    <xdr:to>
      <xdr:col>5</xdr:col>
      <xdr:colOff>381000</xdr:colOff>
      <xdr:row>146</xdr:row>
      <xdr:rowOff>152400</xdr:rowOff>
    </xdr:to>
    <xdr:sp macro="" textlink="">
      <xdr:nvSpPr>
        <xdr:cNvPr id="234" name="Line 256">
          <a:extLst>
            <a:ext uri="{FF2B5EF4-FFF2-40B4-BE49-F238E27FC236}">
              <a16:creationId xmlns:a16="http://schemas.microsoft.com/office/drawing/2014/main" id="{00000000-0008-0000-0000-0000EA000000}"/>
            </a:ext>
          </a:extLst>
        </xdr:cNvPr>
        <xdr:cNvSpPr>
          <a:spLocks noChangeShapeType="1"/>
        </xdr:cNvSpPr>
      </xdr:nvSpPr>
      <xdr:spPr bwMode="auto">
        <a:xfrm>
          <a:off x="3038475" y="28346400"/>
          <a:ext cx="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100012</xdr:colOff>
      <xdr:row>33</xdr:row>
      <xdr:rowOff>14288</xdr:rowOff>
    </xdr:from>
    <xdr:to>
      <xdr:col>5</xdr:col>
      <xdr:colOff>100012</xdr:colOff>
      <xdr:row>36</xdr:row>
      <xdr:rowOff>33338</xdr:rowOff>
    </xdr:to>
    <xdr:sp macro="" textlink="">
      <xdr:nvSpPr>
        <xdr:cNvPr id="235" name="Line 257">
          <a:extLst>
            <a:ext uri="{FF2B5EF4-FFF2-40B4-BE49-F238E27FC236}">
              <a16:creationId xmlns:a16="http://schemas.microsoft.com/office/drawing/2014/main" id="{00000000-0008-0000-0000-0000EB000000}"/>
            </a:ext>
          </a:extLst>
        </xdr:cNvPr>
        <xdr:cNvSpPr>
          <a:spLocks noChangeShapeType="1"/>
        </xdr:cNvSpPr>
      </xdr:nvSpPr>
      <xdr:spPr bwMode="auto">
        <a:xfrm flipV="1">
          <a:off x="2757487" y="6186488"/>
          <a:ext cx="0" cy="6286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152400</xdr:colOff>
      <xdr:row>358</xdr:row>
      <xdr:rowOff>142875</xdr:rowOff>
    </xdr:from>
    <xdr:to>
      <xdr:col>5</xdr:col>
      <xdr:colOff>0</xdr:colOff>
      <xdr:row>359</xdr:row>
      <xdr:rowOff>209550</xdr:rowOff>
    </xdr:to>
    <xdr:sp macro="" textlink="">
      <xdr:nvSpPr>
        <xdr:cNvPr id="236" name="Line 262">
          <a:extLst>
            <a:ext uri="{FF2B5EF4-FFF2-40B4-BE49-F238E27FC236}">
              <a16:creationId xmlns:a16="http://schemas.microsoft.com/office/drawing/2014/main" id="{00000000-0008-0000-0000-0000EC000000}"/>
            </a:ext>
          </a:extLst>
        </xdr:cNvPr>
        <xdr:cNvSpPr>
          <a:spLocks noChangeShapeType="1"/>
        </xdr:cNvSpPr>
      </xdr:nvSpPr>
      <xdr:spPr bwMode="auto">
        <a:xfrm flipH="1">
          <a:off x="2486025" y="69084825"/>
          <a:ext cx="17145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358</xdr:row>
      <xdr:rowOff>123825</xdr:rowOff>
    </xdr:from>
    <xdr:to>
      <xdr:col>3</xdr:col>
      <xdr:colOff>28575</xdr:colOff>
      <xdr:row>359</xdr:row>
      <xdr:rowOff>95250</xdr:rowOff>
    </xdr:to>
    <xdr:sp macro="" textlink="">
      <xdr:nvSpPr>
        <xdr:cNvPr id="237" name="Line 263">
          <a:extLst>
            <a:ext uri="{FF2B5EF4-FFF2-40B4-BE49-F238E27FC236}">
              <a16:creationId xmlns:a16="http://schemas.microsoft.com/office/drawing/2014/main" id="{00000000-0008-0000-0000-0000ED000000}"/>
            </a:ext>
          </a:extLst>
        </xdr:cNvPr>
        <xdr:cNvSpPr>
          <a:spLocks noChangeShapeType="1"/>
        </xdr:cNvSpPr>
      </xdr:nvSpPr>
      <xdr:spPr bwMode="auto">
        <a:xfrm flipH="1">
          <a:off x="1828800" y="69065775"/>
          <a:ext cx="161925"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371475</xdr:colOff>
      <xdr:row>85</xdr:row>
      <xdr:rowOff>76200</xdr:rowOff>
    </xdr:from>
    <xdr:to>
      <xdr:col>13</xdr:col>
      <xdr:colOff>1009650</xdr:colOff>
      <xdr:row>85</xdr:row>
      <xdr:rowOff>76200</xdr:rowOff>
    </xdr:to>
    <xdr:sp macro="" textlink="">
      <xdr:nvSpPr>
        <xdr:cNvPr id="238" name="Line 264">
          <a:extLst>
            <a:ext uri="{FF2B5EF4-FFF2-40B4-BE49-F238E27FC236}">
              <a16:creationId xmlns:a16="http://schemas.microsoft.com/office/drawing/2014/main" id="{00000000-0008-0000-0000-0000EE000000}"/>
            </a:ext>
          </a:extLst>
        </xdr:cNvPr>
        <xdr:cNvSpPr>
          <a:spLocks noChangeShapeType="1"/>
        </xdr:cNvSpPr>
      </xdr:nvSpPr>
      <xdr:spPr bwMode="auto">
        <a:xfrm flipH="1">
          <a:off x="8515350" y="16487775"/>
          <a:ext cx="6381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389</xdr:row>
      <xdr:rowOff>171450</xdr:rowOff>
    </xdr:from>
    <xdr:to>
      <xdr:col>2</xdr:col>
      <xdr:colOff>523875</xdr:colOff>
      <xdr:row>389</xdr:row>
      <xdr:rowOff>171450</xdr:rowOff>
    </xdr:to>
    <xdr:sp macro="" textlink="">
      <xdr:nvSpPr>
        <xdr:cNvPr id="239" name="Line 265">
          <a:extLst>
            <a:ext uri="{FF2B5EF4-FFF2-40B4-BE49-F238E27FC236}">
              <a16:creationId xmlns:a16="http://schemas.microsoft.com/office/drawing/2014/main" id="{00000000-0008-0000-0000-0000EF000000}"/>
            </a:ext>
          </a:extLst>
        </xdr:cNvPr>
        <xdr:cNvSpPr>
          <a:spLocks noChangeShapeType="1"/>
        </xdr:cNvSpPr>
      </xdr:nvSpPr>
      <xdr:spPr bwMode="auto">
        <a:xfrm>
          <a:off x="1714500" y="75104625"/>
          <a:ext cx="190500" cy="0"/>
        </a:xfrm>
        <a:prstGeom prst="line">
          <a:avLst/>
        </a:prstGeom>
        <a:noFill/>
        <a:ln w="4064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394</xdr:row>
      <xdr:rowOff>114300</xdr:rowOff>
    </xdr:from>
    <xdr:to>
      <xdr:col>5</xdr:col>
      <xdr:colOff>657225</xdr:colOff>
      <xdr:row>394</xdr:row>
      <xdr:rowOff>114300</xdr:rowOff>
    </xdr:to>
    <xdr:sp macro="" textlink="">
      <xdr:nvSpPr>
        <xdr:cNvPr id="240" name="Line 266">
          <a:extLst>
            <a:ext uri="{FF2B5EF4-FFF2-40B4-BE49-F238E27FC236}">
              <a16:creationId xmlns:a16="http://schemas.microsoft.com/office/drawing/2014/main" id="{00000000-0008-0000-0000-0000F0000000}"/>
            </a:ext>
          </a:extLst>
        </xdr:cNvPr>
        <xdr:cNvSpPr>
          <a:spLocks noChangeShapeType="1"/>
        </xdr:cNvSpPr>
      </xdr:nvSpPr>
      <xdr:spPr bwMode="auto">
        <a:xfrm flipH="1">
          <a:off x="1676400" y="76028550"/>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395</xdr:row>
      <xdr:rowOff>85725</xdr:rowOff>
    </xdr:from>
    <xdr:to>
      <xdr:col>5</xdr:col>
      <xdr:colOff>638175</xdr:colOff>
      <xdr:row>395</xdr:row>
      <xdr:rowOff>85725</xdr:rowOff>
    </xdr:to>
    <xdr:sp macro="" textlink="">
      <xdr:nvSpPr>
        <xdr:cNvPr id="241" name="Line 267">
          <a:extLst>
            <a:ext uri="{FF2B5EF4-FFF2-40B4-BE49-F238E27FC236}">
              <a16:creationId xmlns:a16="http://schemas.microsoft.com/office/drawing/2014/main" id="{00000000-0008-0000-0000-0000F1000000}"/>
            </a:ext>
          </a:extLst>
        </xdr:cNvPr>
        <xdr:cNvSpPr>
          <a:spLocks noChangeShapeType="1"/>
        </xdr:cNvSpPr>
      </xdr:nvSpPr>
      <xdr:spPr bwMode="auto">
        <a:xfrm flipH="1">
          <a:off x="1600200" y="76190475"/>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389</xdr:row>
      <xdr:rowOff>47625</xdr:rowOff>
    </xdr:from>
    <xdr:to>
      <xdr:col>5</xdr:col>
      <xdr:colOff>304800</xdr:colOff>
      <xdr:row>389</xdr:row>
      <xdr:rowOff>133350</xdr:rowOff>
    </xdr:to>
    <xdr:sp macro="" textlink="">
      <xdr:nvSpPr>
        <xdr:cNvPr id="242" name="Oval 268">
          <a:extLst>
            <a:ext uri="{FF2B5EF4-FFF2-40B4-BE49-F238E27FC236}">
              <a16:creationId xmlns:a16="http://schemas.microsoft.com/office/drawing/2014/main" id="{00000000-0008-0000-0000-0000F2000000}"/>
            </a:ext>
          </a:extLst>
        </xdr:cNvPr>
        <xdr:cNvSpPr>
          <a:spLocks noChangeArrowheads="1"/>
        </xdr:cNvSpPr>
      </xdr:nvSpPr>
      <xdr:spPr bwMode="auto">
        <a:xfrm>
          <a:off x="2867025" y="749808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385</xdr:row>
      <xdr:rowOff>85725</xdr:rowOff>
    </xdr:from>
    <xdr:to>
      <xdr:col>5</xdr:col>
      <xdr:colOff>733425</xdr:colOff>
      <xdr:row>389</xdr:row>
      <xdr:rowOff>38100</xdr:rowOff>
    </xdr:to>
    <xdr:sp macro="" textlink="">
      <xdr:nvSpPr>
        <xdr:cNvPr id="243" name="Tegning 269">
          <a:extLst>
            <a:ext uri="{FF2B5EF4-FFF2-40B4-BE49-F238E27FC236}">
              <a16:creationId xmlns:a16="http://schemas.microsoft.com/office/drawing/2014/main" id="{00000000-0008-0000-0000-0000F3000000}"/>
            </a:ext>
          </a:extLst>
        </xdr:cNvPr>
        <xdr:cNvSpPr>
          <a:spLocks/>
        </xdr:cNvSpPr>
      </xdr:nvSpPr>
      <xdr:spPr bwMode="auto">
        <a:xfrm>
          <a:off x="2914650" y="74247375"/>
          <a:ext cx="476250" cy="723900"/>
        </a:xfrm>
        <a:custGeom>
          <a:avLst/>
          <a:gdLst>
            <a:gd name="T0" fmla="*/ 0 w 16384"/>
            <a:gd name="T1" fmla="*/ 2147483647 h 16384"/>
            <a:gd name="T2" fmla="*/ 0 w 16384"/>
            <a:gd name="T3" fmla="*/ 0 h 16384"/>
            <a:gd name="T4" fmla="*/ 2147483647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33338</xdr:colOff>
      <xdr:row>387</xdr:row>
      <xdr:rowOff>80963</xdr:rowOff>
    </xdr:from>
    <xdr:to>
      <xdr:col>5</xdr:col>
      <xdr:colOff>690563</xdr:colOff>
      <xdr:row>391</xdr:row>
      <xdr:rowOff>100013</xdr:rowOff>
    </xdr:to>
    <xdr:sp macro="" textlink="">
      <xdr:nvSpPr>
        <xdr:cNvPr id="244" name="Tegning 270">
          <a:extLst>
            <a:ext uri="{FF2B5EF4-FFF2-40B4-BE49-F238E27FC236}">
              <a16:creationId xmlns:a16="http://schemas.microsoft.com/office/drawing/2014/main" id="{00000000-0008-0000-0000-0000F4000000}"/>
            </a:ext>
          </a:extLst>
        </xdr:cNvPr>
        <xdr:cNvSpPr>
          <a:spLocks/>
        </xdr:cNvSpPr>
      </xdr:nvSpPr>
      <xdr:spPr bwMode="auto">
        <a:xfrm>
          <a:off x="2366963" y="74604563"/>
          <a:ext cx="981075" cy="790575"/>
        </a:xfrm>
        <a:custGeom>
          <a:avLst/>
          <a:gdLst>
            <a:gd name="T0" fmla="*/ 2147483647 w 16384"/>
            <a:gd name="T1" fmla="*/ 2147483647 h 16384"/>
            <a:gd name="T2" fmla="*/ 0 w 16384"/>
            <a:gd name="T3" fmla="*/ 2147483647 h 16384"/>
            <a:gd name="T4" fmla="*/ 0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16384"/>
              </a:moveTo>
              <a:lnTo>
                <a:pt x="0" y="16384"/>
              </a:lnTo>
              <a:lnTo>
                <a:pt x="0"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347664</xdr:colOff>
      <xdr:row>387</xdr:row>
      <xdr:rowOff>9524</xdr:rowOff>
    </xdr:from>
    <xdr:to>
      <xdr:col>4</xdr:col>
      <xdr:colOff>76201</xdr:colOff>
      <xdr:row>387</xdr:row>
      <xdr:rowOff>109537</xdr:rowOff>
    </xdr:to>
    <xdr:sp macro="" textlink="">
      <xdr:nvSpPr>
        <xdr:cNvPr id="245" name="Oval 271">
          <a:extLst>
            <a:ext uri="{FF2B5EF4-FFF2-40B4-BE49-F238E27FC236}">
              <a16:creationId xmlns:a16="http://schemas.microsoft.com/office/drawing/2014/main" id="{00000000-0008-0000-0000-0000F5000000}"/>
            </a:ext>
          </a:extLst>
        </xdr:cNvPr>
        <xdr:cNvSpPr>
          <a:spLocks noChangeArrowheads="1"/>
        </xdr:cNvSpPr>
      </xdr:nvSpPr>
      <xdr:spPr bwMode="auto">
        <a:xfrm>
          <a:off x="2309814" y="74533124"/>
          <a:ext cx="100012" cy="100013"/>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180975</xdr:colOff>
      <xdr:row>22</xdr:row>
      <xdr:rowOff>57150</xdr:rowOff>
    </xdr:from>
    <xdr:to>
      <xdr:col>3</xdr:col>
      <xdr:colOff>276225</xdr:colOff>
      <xdr:row>23</xdr:row>
      <xdr:rowOff>0</xdr:rowOff>
    </xdr:to>
    <xdr:sp macro="" textlink="">
      <xdr:nvSpPr>
        <xdr:cNvPr id="246" name="Tegning 280">
          <a:extLst>
            <a:ext uri="{FF2B5EF4-FFF2-40B4-BE49-F238E27FC236}">
              <a16:creationId xmlns:a16="http://schemas.microsoft.com/office/drawing/2014/main" id="{00000000-0008-0000-0000-0000F6000000}"/>
            </a:ext>
          </a:extLst>
        </xdr:cNvPr>
        <xdr:cNvSpPr>
          <a:spLocks/>
        </xdr:cNvSpPr>
      </xdr:nvSpPr>
      <xdr:spPr bwMode="auto">
        <a:xfrm>
          <a:off x="2143125" y="4191000"/>
          <a:ext cx="95250" cy="1524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4456"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180975</xdr:colOff>
      <xdr:row>16</xdr:row>
      <xdr:rowOff>123825</xdr:rowOff>
    </xdr:from>
    <xdr:to>
      <xdr:col>5</xdr:col>
      <xdr:colOff>704850</xdr:colOff>
      <xdr:row>16</xdr:row>
      <xdr:rowOff>123825</xdr:rowOff>
    </xdr:to>
    <xdr:sp macro="" textlink="">
      <xdr:nvSpPr>
        <xdr:cNvPr id="247" name="Line 281">
          <a:extLst>
            <a:ext uri="{FF2B5EF4-FFF2-40B4-BE49-F238E27FC236}">
              <a16:creationId xmlns:a16="http://schemas.microsoft.com/office/drawing/2014/main" id="{00000000-0008-0000-0000-0000F7000000}"/>
            </a:ext>
          </a:extLst>
        </xdr:cNvPr>
        <xdr:cNvSpPr>
          <a:spLocks noChangeShapeType="1"/>
        </xdr:cNvSpPr>
      </xdr:nvSpPr>
      <xdr:spPr bwMode="auto">
        <a:xfrm flipH="1">
          <a:off x="1562100" y="3000375"/>
          <a:ext cx="1800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16</xdr:row>
      <xdr:rowOff>57150</xdr:rowOff>
    </xdr:from>
    <xdr:to>
      <xdr:col>2</xdr:col>
      <xdr:colOff>209550</xdr:colOff>
      <xdr:row>20</xdr:row>
      <xdr:rowOff>19050</xdr:rowOff>
    </xdr:to>
    <xdr:sp macro="" textlink="">
      <xdr:nvSpPr>
        <xdr:cNvPr id="248" name="Line 282">
          <a:extLst>
            <a:ext uri="{FF2B5EF4-FFF2-40B4-BE49-F238E27FC236}">
              <a16:creationId xmlns:a16="http://schemas.microsoft.com/office/drawing/2014/main" id="{00000000-0008-0000-0000-0000F8000000}"/>
            </a:ext>
          </a:extLst>
        </xdr:cNvPr>
        <xdr:cNvSpPr>
          <a:spLocks noChangeShapeType="1"/>
        </xdr:cNvSpPr>
      </xdr:nvSpPr>
      <xdr:spPr bwMode="auto">
        <a:xfrm flipV="1">
          <a:off x="1590675" y="2933700"/>
          <a:ext cx="0" cy="742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16</xdr:row>
      <xdr:rowOff>85725</xdr:rowOff>
    </xdr:from>
    <xdr:to>
      <xdr:col>2</xdr:col>
      <xdr:colOff>238125</xdr:colOff>
      <xdr:row>16</xdr:row>
      <xdr:rowOff>161925</xdr:rowOff>
    </xdr:to>
    <xdr:sp macro="" textlink="">
      <xdr:nvSpPr>
        <xdr:cNvPr id="249" name="Line 283">
          <a:extLst>
            <a:ext uri="{FF2B5EF4-FFF2-40B4-BE49-F238E27FC236}">
              <a16:creationId xmlns:a16="http://schemas.microsoft.com/office/drawing/2014/main" id="{00000000-0008-0000-0000-0000F9000000}"/>
            </a:ext>
          </a:extLst>
        </xdr:cNvPr>
        <xdr:cNvSpPr>
          <a:spLocks noChangeShapeType="1"/>
        </xdr:cNvSpPr>
      </xdr:nvSpPr>
      <xdr:spPr bwMode="auto">
        <a:xfrm flipH="1">
          <a:off x="1552575" y="29622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16</xdr:row>
      <xdr:rowOff>76200</xdr:rowOff>
    </xdr:from>
    <xdr:to>
      <xdr:col>3</xdr:col>
      <xdr:colOff>295275</xdr:colOff>
      <xdr:row>20</xdr:row>
      <xdr:rowOff>0</xdr:rowOff>
    </xdr:to>
    <xdr:sp macro="" textlink="">
      <xdr:nvSpPr>
        <xdr:cNvPr id="250" name="Line 284">
          <a:extLst>
            <a:ext uri="{FF2B5EF4-FFF2-40B4-BE49-F238E27FC236}">
              <a16:creationId xmlns:a16="http://schemas.microsoft.com/office/drawing/2014/main" id="{00000000-0008-0000-0000-0000FA000000}"/>
            </a:ext>
          </a:extLst>
        </xdr:cNvPr>
        <xdr:cNvSpPr>
          <a:spLocks noChangeShapeType="1"/>
        </xdr:cNvSpPr>
      </xdr:nvSpPr>
      <xdr:spPr bwMode="auto">
        <a:xfrm flipV="1">
          <a:off x="2257425" y="2952750"/>
          <a:ext cx="0" cy="704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123825</xdr:rowOff>
    </xdr:from>
    <xdr:to>
      <xdr:col>5</xdr:col>
      <xdr:colOff>714375</xdr:colOff>
      <xdr:row>17</xdr:row>
      <xdr:rowOff>123825</xdr:rowOff>
    </xdr:to>
    <xdr:sp macro="" textlink="">
      <xdr:nvSpPr>
        <xdr:cNvPr id="252" name="Line 286">
          <a:extLst>
            <a:ext uri="{FF2B5EF4-FFF2-40B4-BE49-F238E27FC236}">
              <a16:creationId xmlns:a16="http://schemas.microsoft.com/office/drawing/2014/main" id="{00000000-0008-0000-0000-0000FC000000}"/>
            </a:ext>
          </a:extLst>
        </xdr:cNvPr>
        <xdr:cNvSpPr>
          <a:spLocks noChangeShapeType="1"/>
        </xdr:cNvSpPr>
      </xdr:nvSpPr>
      <xdr:spPr bwMode="auto">
        <a:xfrm flipH="1">
          <a:off x="2085975" y="3190875"/>
          <a:ext cx="1285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17</xdr:row>
      <xdr:rowOff>76200</xdr:rowOff>
    </xdr:from>
    <xdr:to>
      <xdr:col>3</xdr:col>
      <xdr:colOff>161925</xdr:colOff>
      <xdr:row>20</xdr:row>
      <xdr:rowOff>47625</xdr:rowOff>
    </xdr:to>
    <xdr:sp macro="" textlink="">
      <xdr:nvSpPr>
        <xdr:cNvPr id="253" name="Line 287">
          <a:extLst>
            <a:ext uri="{FF2B5EF4-FFF2-40B4-BE49-F238E27FC236}">
              <a16:creationId xmlns:a16="http://schemas.microsoft.com/office/drawing/2014/main" id="{00000000-0008-0000-0000-0000FD000000}"/>
            </a:ext>
          </a:extLst>
        </xdr:cNvPr>
        <xdr:cNvSpPr>
          <a:spLocks noChangeShapeType="1"/>
        </xdr:cNvSpPr>
      </xdr:nvSpPr>
      <xdr:spPr bwMode="auto">
        <a:xfrm flipV="1">
          <a:off x="2124075" y="3143250"/>
          <a:ext cx="0" cy="561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76200</xdr:rowOff>
    </xdr:from>
    <xdr:to>
      <xdr:col>3</xdr:col>
      <xdr:colOff>200025</xdr:colOff>
      <xdr:row>17</xdr:row>
      <xdr:rowOff>171450</xdr:rowOff>
    </xdr:to>
    <xdr:sp macro="" textlink="">
      <xdr:nvSpPr>
        <xdr:cNvPr id="254" name="Line 288">
          <a:extLst>
            <a:ext uri="{FF2B5EF4-FFF2-40B4-BE49-F238E27FC236}">
              <a16:creationId xmlns:a16="http://schemas.microsoft.com/office/drawing/2014/main" id="{00000000-0008-0000-0000-0000FE000000}"/>
            </a:ext>
          </a:extLst>
        </xdr:cNvPr>
        <xdr:cNvSpPr>
          <a:spLocks noChangeShapeType="1"/>
        </xdr:cNvSpPr>
      </xdr:nvSpPr>
      <xdr:spPr bwMode="auto">
        <a:xfrm flipH="1">
          <a:off x="2085975" y="3143250"/>
          <a:ext cx="762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238124</xdr:colOff>
      <xdr:row>17</xdr:row>
      <xdr:rowOff>71438</xdr:rowOff>
    </xdr:from>
    <xdr:to>
      <xdr:col>3</xdr:col>
      <xdr:colOff>338137</xdr:colOff>
      <xdr:row>17</xdr:row>
      <xdr:rowOff>171450</xdr:rowOff>
    </xdr:to>
    <xdr:sp macro="" textlink="">
      <xdr:nvSpPr>
        <xdr:cNvPr id="255" name="Line 289">
          <a:extLst>
            <a:ext uri="{FF2B5EF4-FFF2-40B4-BE49-F238E27FC236}">
              <a16:creationId xmlns:a16="http://schemas.microsoft.com/office/drawing/2014/main" id="{00000000-0008-0000-0000-0000FF000000}"/>
            </a:ext>
          </a:extLst>
        </xdr:cNvPr>
        <xdr:cNvSpPr>
          <a:spLocks noChangeShapeType="1"/>
        </xdr:cNvSpPr>
      </xdr:nvSpPr>
      <xdr:spPr bwMode="auto">
        <a:xfrm flipH="1">
          <a:off x="2200274" y="3205163"/>
          <a:ext cx="100013" cy="10001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27</xdr:row>
      <xdr:rowOff>190500</xdr:rowOff>
    </xdr:from>
    <xdr:to>
      <xdr:col>3</xdr:col>
      <xdr:colOff>161925</xdr:colOff>
      <xdr:row>28</xdr:row>
      <xdr:rowOff>123825</xdr:rowOff>
    </xdr:to>
    <xdr:sp macro="" textlink="">
      <xdr:nvSpPr>
        <xdr:cNvPr id="256" name="Line 290">
          <a:extLst>
            <a:ext uri="{FF2B5EF4-FFF2-40B4-BE49-F238E27FC236}">
              <a16:creationId xmlns:a16="http://schemas.microsoft.com/office/drawing/2014/main" id="{00000000-0008-0000-0000-000000010000}"/>
            </a:ext>
          </a:extLst>
        </xdr:cNvPr>
        <xdr:cNvSpPr>
          <a:spLocks noChangeShapeType="1"/>
        </xdr:cNvSpPr>
      </xdr:nvSpPr>
      <xdr:spPr bwMode="auto">
        <a:xfrm>
          <a:off x="2124075" y="5210175"/>
          <a:ext cx="0" cy="1333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11</xdr:row>
      <xdr:rowOff>200025</xdr:rowOff>
    </xdr:from>
    <xdr:to>
      <xdr:col>101</xdr:col>
      <xdr:colOff>0</xdr:colOff>
      <xdr:row>11</xdr:row>
      <xdr:rowOff>200025</xdr:rowOff>
    </xdr:to>
    <xdr:sp macro="" textlink="">
      <xdr:nvSpPr>
        <xdr:cNvPr id="257" name="Line 291">
          <a:extLst>
            <a:ext uri="{FF2B5EF4-FFF2-40B4-BE49-F238E27FC236}">
              <a16:creationId xmlns:a16="http://schemas.microsoft.com/office/drawing/2014/main" id="{00000000-0008-0000-0000-000001010000}"/>
            </a:ext>
          </a:extLst>
        </xdr:cNvPr>
        <xdr:cNvSpPr>
          <a:spLocks noChangeShapeType="1"/>
        </xdr:cNvSpPr>
      </xdr:nvSpPr>
      <xdr:spPr bwMode="auto">
        <a:xfrm>
          <a:off x="85458300" y="2114550"/>
          <a:ext cx="742950"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12</xdr:row>
      <xdr:rowOff>0</xdr:rowOff>
    </xdr:from>
    <xdr:to>
      <xdr:col>100</xdr:col>
      <xdr:colOff>95250</xdr:colOff>
      <xdr:row>13</xdr:row>
      <xdr:rowOff>57150</xdr:rowOff>
    </xdr:to>
    <xdr:sp macro="" textlink="">
      <xdr:nvSpPr>
        <xdr:cNvPr id="258" name="Line 292">
          <a:extLst>
            <a:ext uri="{FF2B5EF4-FFF2-40B4-BE49-F238E27FC236}">
              <a16:creationId xmlns:a16="http://schemas.microsoft.com/office/drawing/2014/main" id="{00000000-0008-0000-0000-000002010000}"/>
            </a:ext>
          </a:extLst>
        </xdr:cNvPr>
        <xdr:cNvSpPr>
          <a:spLocks noChangeShapeType="1"/>
        </xdr:cNvSpPr>
      </xdr:nvSpPr>
      <xdr:spPr bwMode="auto">
        <a:xfrm flipV="1">
          <a:off x="85458300" y="2114550"/>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100</xdr:col>
      <xdr:colOff>238125</xdr:colOff>
      <xdr:row>11</xdr:row>
      <xdr:rowOff>0</xdr:rowOff>
    </xdr:from>
    <xdr:to>
      <xdr:col>100</xdr:col>
      <xdr:colOff>504825</xdr:colOff>
      <xdr:row>12</xdr:row>
      <xdr:rowOff>0</xdr:rowOff>
    </xdr:to>
    <xdr:sp macro="" textlink="">
      <xdr:nvSpPr>
        <xdr:cNvPr id="259" name="Tegning 293">
          <a:extLst>
            <a:ext uri="{FF2B5EF4-FFF2-40B4-BE49-F238E27FC236}">
              <a16:creationId xmlns:a16="http://schemas.microsoft.com/office/drawing/2014/main" id="{00000000-0008-0000-0000-000003010000}"/>
            </a:ext>
          </a:extLst>
        </xdr:cNvPr>
        <xdr:cNvSpPr>
          <a:spLocks/>
        </xdr:cNvSpPr>
      </xdr:nvSpPr>
      <xdr:spPr bwMode="auto">
        <a:xfrm>
          <a:off x="85601175" y="1914525"/>
          <a:ext cx="266700" cy="2000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6384"/>
              </a:moveTo>
              <a:lnTo>
                <a:pt x="0" y="0"/>
              </a:ln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99</xdr:col>
      <xdr:colOff>638175</xdr:colOff>
      <xdr:row>10</xdr:row>
      <xdr:rowOff>95250</xdr:rowOff>
    </xdr:from>
    <xdr:to>
      <xdr:col>99</xdr:col>
      <xdr:colOff>638175</xdr:colOff>
      <xdr:row>12</xdr:row>
      <xdr:rowOff>28575</xdr:rowOff>
    </xdr:to>
    <xdr:sp macro="" textlink="">
      <xdr:nvSpPr>
        <xdr:cNvPr id="260" name="Line 294">
          <a:extLst>
            <a:ext uri="{FF2B5EF4-FFF2-40B4-BE49-F238E27FC236}">
              <a16:creationId xmlns:a16="http://schemas.microsoft.com/office/drawing/2014/main" id="{00000000-0008-0000-0000-000004010000}"/>
            </a:ext>
          </a:extLst>
        </xdr:cNvPr>
        <xdr:cNvSpPr>
          <a:spLocks noChangeShapeType="1"/>
        </xdr:cNvSpPr>
      </xdr:nvSpPr>
      <xdr:spPr bwMode="auto">
        <a:xfrm>
          <a:off x="85163025" y="1809750"/>
          <a:ext cx="0" cy="3333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561975</xdr:colOff>
      <xdr:row>11</xdr:row>
      <xdr:rowOff>0</xdr:rowOff>
    </xdr:from>
    <xdr:to>
      <xdr:col>100</xdr:col>
      <xdr:colOff>114300</xdr:colOff>
      <xdr:row>11</xdr:row>
      <xdr:rowOff>0</xdr:rowOff>
    </xdr:to>
    <xdr:sp macro="" textlink="">
      <xdr:nvSpPr>
        <xdr:cNvPr id="261" name="Line 295">
          <a:extLst>
            <a:ext uri="{FF2B5EF4-FFF2-40B4-BE49-F238E27FC236}">
              <a16:creationId xmlns:a16="http://schemas.microsoft.com/office/drawing/2014/main" id="{00000000-0008-0000-0000-000005010000}"/>
            </a:ext>
          </a:extLst>
        </xdr:cNvPr>
        <xdr:cNvSpPr>
          <a:spLocks noChangeShapeType="1"/>
        </xdr:cNvSpPr>
      </xdr:nvSpPr>
      <xdr:spPr bwMode="auto">
        <a:xfrm flipH="1">
          <a:off x="85086825" y="1914525"/>
          <a:ext cx="390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552450</xdr:colOff>
      <xdr:row>12</xdr:row>
      <xdr:rowOff>0</xdr:rowOff>
    </xdr:from>
    <xdr:to>
      <xdr:col>100</xdr:col>
      <xdr:colOff>19050</xdr:colOff>
      <xdr:row>12</xdr:row>
      <xdr:rowOff>0</xdr:rowOff>
    </xdr:to>
    <xdr:sp macro="" textlink="">
      <xdr:nvSpPr>
        <xdr:cNvPr id="262" name="Line 296">
          <a:extLst>
            <a:ext uri="{FF2B5EF4-FFF2-40B4-BE49-F238E27FC236}">
              <a16:creationId xmlns:a16="http://schemas.microsoft.com/office/drawing/2014/main" id="{00000000-0008-0000-0000-000006010000}"/>
            </a:ext>
          </a:extLst>
        </xdr:cNvPr>
        <xdr:cNvSpPr>
          <a:spLocks noChangeShapeType="1"/>
        </xdr:cNvSpPr>
      </xdr:nvSpPr>
      <xdr:spPr bwMode="auto">
        <a:xfrm flipH="1">
          <a:off x="85077300" y="2114550"/>
          <a:ext cx="304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561975</xdr:colOff>
      <xdr:row>10</xdr:row>
      <xdr:rowOff>152400</xdr:rowOff>
    </xdr:from>
    <xdr:to>
      <xdr:col>99</xdr:col>
      <xdr:colOff>704850</xdr:colOff>
      <xdr:row>11</xdr:row>
      <xdr:rowOff>66675</xdr:rowOff>
    </xdr:to>
    <xdr:sp macro="" textlink="">
      <xdr:nvSpPr>
        <xdr:cNvPr id="263" name="Line 297">
          <a:extLst>
            <a:ext uri="{FF2B5EF4-FFF2-40B4-BE49-F238E27FC236}">
              <a16:creationId xmlns:a16="http://schemas.microsoft.com/office/drawing/2014/main" id="{00000000-0008-0000-0000-000007010000}"/>
            </a:ext>
          </a:extLst>
        </xdr:cNvPr>
        <xdr:cNvSpPr>
          <a:spLocks noChangeShapeType="1"/>
        </xdr:cNvSpPr>
      </xdr:nvSpPr>
      <xdr:spPr bwMode="auto">
        <a:xfrm flipH="1">
          <a:off x="85086825" y="186690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101</xdr:col>
      <xdr:colOff>0</xdr:colOff>
      <xdr:row>12</xdr:row>
      <xdr:rowOff>0</xdr:rowOff>
    </xdr:from>
    <xdr:to>
      <xdr:col>101</xdr:col>
      <xdr:colOff>0</xdr:colOff>
      <xdr:row>13</xdr:row>
      <xdr:rowOff>76200</xdr:rowOff>
    </xdr:to>
    <xdr:sp macro="" textlink="">
      <xdr:nvSpPr>
        <xdr:cNvPr id="264" name="Line 298">
          <a:extLst>
            <a:ext uri="{FF2B5EF4-FFF2-40B4-BE49-F238E27FC236}">
              <a16:creationId xmlns:a16="http://schemas.microsoft.com/office/drawing/2014/main" id="{00000000-0008-0000-0000-000008010000}"/>
            </a:ext>
          </a:extLst>
        </xdr:cNvPr>
        <xdr:cNvSpPr>
          <a:spLocks noChangeShapeType="1"/>
        </xdr:cNvSpPr>
      </xdr:nvSpPr>
      <xdr:spPr bwMode="auto">
        <a:xfrm flipV="1">
          <a:off x="86201250" y="211455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14</xdr:row>
      <xdr:rowOff>0</xdr:rowOff>
    </xdr:from>
    <xdr:to>
      <xdr:col>101</xdr:col>
      <xdr:colOff>47625</xdr:colOff>
      <xdr:row>14</xdr:row>
      <xdr:rowOff>9525</xdr:rowOff>
    </xdr:to>
    <xdr:sp macro="" textlink="">
      <xdr:nvSpPr>
        <xdr:cNvPr id="265" name="Line 299">
          <a:extLst>
            <a:ext uri="{FF2B5EF4-FFF2-40B4-BE49-F238E27FC236}">
              <a16:creationId xmlns:a16="http://schemas.microsoft.com/office/drawing/2014/main" id="{00000000-0008-0000-0000-000009010000}"/>
            </a:ext>
          </a:extLst>
        </xdr:cNvPr>
        <xdr:cNvSpPr>
          <a:spLocks noChangeShapeType="1"/>
        </xdr:cNvSpPr>
      </xdr:nvSpPr>
      <xdr:spPr bwMode="auto">
        <a:xfrm>
          <a:off x="85458300" y="2495550"/>
          <a:ext cx="79057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101</xdr:col>
      <xdr:colOff>0</xdr:colOff>
      <xdr:row>13</xdr:row>
      <xdr:rowOff>133350</xdr:rowOff>
    </xdr:from>
    <xdr:to>
      <xdr:col>101</xdr:col>
      <xdr:colOff>0</xdr:colOff>
      <xdr:row>16</xdr:row>
      <xdr:rowOff>76200</xdr:rowOff>
    </xdr:to>
    <xdr:sp macro="" textlink="">
      <xdr:nvSpPr>
        <xdr:cNvPr id="266" name="Line 300">
          <a:extLst>
            <a:ext uri="{FF2B5EF4-FFF2-40B4-BE49-F238E27FC236}">
              <a16:creationId xmlns:a16="http://schemas.microsoft.com/office/drawing/2014/main" id="{00000000-0008-0000-0000-00000A010000}"/>
            </a:ext>
          </a:extLst>
        </xdr:cNvPr>
        <xdr:cNvSpPr>
          <a:spLocks noChangeShapeType="1"/>
        </xdr:cNvSpPr>
      </xdr:nvSpPr>
      <xdr:spPr bwMode="auto">
        <a:xfrm flipH="1">
          <a:off x="86201250" y="2438400"/>
          <a:ext cx="0" cy="514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95250</xdr:colOff>
      <xdr:row>13</xdr:row>
      <xdr:rowOff>104775</xdr:rowOff>
    </xdr:from>
    <xdr:to>
      <xdr:col>100</xdr:col>
      <xdr:colOff>95250</xdr:colOff>
      <xdr:row>16</xdr:row>
      <xdr:rowOff>19050</xdr:rowOff>
    </xdr:to>
    <xdr:sp macro="" textlink="">
      <xdr:nvSpPr>
        <xdr:cNvPr id="267" name="Line 301">
          <a:extLst>
            <a:ext uri="{FF2B5EF4-FFF2-40B4-BE49-F238E27FC236}">
              <a16:creationId xmlns:a16="http://schemas.microsoft.com/office/drawing/2014/main" id="{00000000-0008-0000-0000-00000B010000}"/>
            </a:ext>
          </a:extLst>
        </xdr:cNvPr>
        <xdr:cNvSpPr>
          <a:spLocks noChangeShapeType="1"/>
        </xdr:cNvSpPr>
      </xdr:nvSpPr>
      <xdr:spPr bwMode="auto">
        <a:xfrm>
          <a:off x="85458300" y="240982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238125</xdr:colOff>
      <xdr:row>12</xdr:row>
      <xdr:rowOff>47625</xdr:rowOff>
    </xdr:from>
    <xdr:to>
      <xdr:col>100</xdr:col>
      <xdr:colOff>238125</xdr:colOff>
      <xdr:row>14</xdr:row>
      <xdr:rowOff>57150</xdr:rowOff>
    </xdr:to>
    <xdr:sp macro="" textlink="">
      <xdr:nvSpPr>
        <xdr:cNvPr id="268" name="Line 302">
          <a:extLst>
            <a:ext uri="{FF2B5EF4-FFF2-40B4-BE49-F238E27FC236}">
              <a16:creationId xmlns:a16="http://schemas.microsoft.com/office/drawing/2014/main" id="{00000000-0008-0000-0000-00000C010000}"/>
            </a:ext>
          </a:extLst>
        </xdr:cNvPr>
        <xdr:cNvSpPr>
          <a:spLocks noChangeShapeType="1"/>
        </xdr:cNvSpPr>
      </xdr:nvSpPr>
      <xdr:spPr bwMode="auto">
        <a:xfrm>
          <a:off x="85601175" y="21621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514350</xdr:colOff>
      <xdr:row>12</xdr:row>
      <xdr:rowOff>47625</xdr:rowOff>
    </xdr:from>
    <xdr:to>
      <xdr:col>100</xdr:col>
      <xdr:colOff>514350</xdr:colOff>
      <xdr:row>14</xdr:row>
      <xdr:rowOff>57150</xdr:rowOff>
    </xdr:to>
    <xdr:sp macro="" textlink="">
      <xdr:nvSpPr>
        <xdr:cNvPr id="269" name="Line 303">
          <a:extLst>
            <a:ext uri="{FF2B5EF4-FFF2-40B4-BE49-F238E27FC236}">
              <a16:creationId xmlns:a16="http://schemas.microsoft.com/office/drawing/2014/main" id="{00000000-0008-0000-0000-00000D010000}"/>
            </a:ext>
          </a:extLst>
        </xdr:cNvPr>
        <xdr:cNvSpPr>
          <a:spLocks noChangeShapeType="1"/>
        </xdr:cNvSpPr>
      </xdr:nvSpPr>
      <xdr:spPr bwMode="auto">
        <a:xfrm>
          <a:off x="85877400" y="2162175"/>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447675</xdr:colOff>
      <xdr:row>13</xdr:row>
      <xdr:rowOff>161925</xdr:rowOff>
    </xdr:from>
    <xdr:to>
      <xdr:col>100</xdr:col>
      <xdr:colOff>552450</xdr:colOff>
      <xdr:row>14</xdr:row>
      <xdr:rowOff>76200</xdr:rowOff>
    </xdr:to>
    <xdr:sp macro="" textlink="">
      <xdr:nvSpPr>
        <xdr:cNvPr id="270" name="Line 304">
          <a:extLst>
            <a:ext uri="{FF2B5EF4-FFF2-40B4-BE49-F238E27FC236}">
              <a16:creationId xmlns:a16="http://schemas.microsoft.com/office/drawing/2014/main" id="{00000000-0008-0000-0000-00000E010000}"/>
            </a:ext>
          </a:extLst>
        </xdr:cNvPr>
        <xdr:cNvSpPr>
          <a:spLocks noChangeShapeType="1"/>
        </xdr:cNvSpPr>
      </xdr:nvSpPr>
      <xdr:spPr bwMode="auto">
        <a:xfrm flipH="1">
          <a:off x="85810725" y="246697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190500</xdr:colOff>
      <xdr:row>13</xdr:row>
      <xdr:rowOff>133350</xdr:rowOff>
    </xdr:from>
    <xdr:to>
      <xdr:col>100</xdr:col>
      <xdr:colOff>285750</xdr:colOff>
      <xdr:row>14</xdr:row>
      <xdr:rowOff>47625</xdr:rowOff>
    </xdr:to>
    <xdr:sp macro="" textlink="">
      <xdr:nvSpPr>
        <xdr:cNvPr id="271" name="Line 305">
          <a:extLst>
            <a:ext uri="{FF2B5EF4-FFF2-40B4-BE49-F238E27FC236}">
              <a16:creationId xmlns:a16="http://schemas.microsoft.com/office/drawing/2014/main" id="{00000000-0008-0000-0000-00000F010000}"/>
            </a:ext>
          </a:extLst>
        </xdr:cNvPr>
        <xdr:cNvSpPr>
          <a:spLocks noChangeShapeType="1"/>
        </xdr:cNvSpPr>
      </xdr:nvSpPr>
      <xdr:spPr bwMode="auto">
        <a:xfrm flipH="1">
          <a:off x="85553550" y="243840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19050</xdr:colOff>
      <xdr:row>13</xdr:row>
      <xdr:rowOff>133350</xdr:rowOff>
    </xdr:from>
    <xdr:to>
      <xdr:col>100</xdr:col>
      <xdr:colOff>142875</xdr:colOff>
      <xdr:row>14</xdr:row>
      <xdr:rowOff>47625</xdr:rowOff>
    </xdr:to>
    <xdr:sp macro="" textlink="">
      <xdr:nvSpPr>
        <xdr:cNvPr id="272" name="Line 306">
          <a:extLst>
            <a:ext uri="{FF2B5EF4-FFF2-40B4-BE49-F238E27FC236}">
              <a16:creationId xmlns:a16="http://schemas.microsoft.com/office/drawing/2014/main" id="{00000000-0008-0000-0000-000010010000}"/>
            </a:ext>
          </a:extLst>
        </xdr:cNvPr>
        <xdr:cNvSpPr>
          <a:spLocks noChangeShapeType="1"/>
        </xdr:cNvSpPr>
      </xdr:nvSpPr>
      <xdr:spPr bwMode="auto">
        <a:xfrm flipH="1">
          <a:off x="85382100" y="2438400"/>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99</xdr:col>
      <xdr:colOff>561975</xdr:colOff>
      <xdr:row>11</xdr:row>
      <xdr:rowOff>142875</xdr:rowOff>
    </xdr:from>
    <xdr:to>
      <xdr:col>99</xdr:col>
      <xdr:colOff>695325</xdr:colOff>
      <xdr:row>12</xdr:row>
      <xdr:rowOff>57150</xdr:rowOff>
    </xdr:to>
    <xdr:sp macro="" textlink="">
      <xdr:nvSpPr>
        <xdr:cNvPr id="273" name="Line 307">
          <a:extLst>
            <a:ext uri="{FF2B5EF4-FFF2-40B4-BE49-F238E27FC236}">
              <a16:creationId xmlns:a16="http://schemas.microsoft.com/office/drawing/2014/main" id="{00000000-0008-0000-0000-000011010000}"/>
            </a:ext>
          </a:extLst>
        </xdr:cNvPr>
        <xdr:cNvSpPr>
          <a:spLocks noChangeShapeType="1"/>
        </xdr:cNvSpPr>
      </xdr:nvSpPr>
      <xdr:spPr bwMode="auto">
        <a:xfrm flipH="1">
          <a:off x="85086825" y="205740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47625</xdr:colOff>
      <xdr:row>16</xdr:row>
      <xdr:rowOff>19050</xdr:rowOff>
    </xdr:from>
    <xdr:to>
      <xdr:col>101</xdr:col>
      <xdr:colOff>57150</xdr:colOff>
      <xdr:row>16</xdr:row>
      <xdr:rowOff>19050</xdr:rowOff>
    </xdr:to>
    <xdr:sp macro="" textlink="">
      <xdr:nvSpPr>
        <xdr:cNvPr id="274" name="Line 308">
          <a:extLst>
            <a:ext uri="{FF2B5EF4-FFF2-40B4-BE49-F238E27FC236}">
              <a16:creationId xmlns:a16="http://schemas.microsoft.com/office/drawing/2014/main" id="{00000000-0008-0000-0000-000012010000}"/>
            </a:ext>
          </a:extLst>
        </xdr:cNvPr>
        <xdr:cNvSpPr>
          <a:spLocks noChangeShapeType="1"/>
        </xdr:cNvSpPr>
      </xdr:nvSpPr>
      <xdr:spPr bwMode="auto">
        <a:xfrm>
          <a:off x="85410675" y="2895600"/>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9525</xdr:colOff>
      <xdr:row>15</xdr:row>
      <xdr:rowOff>152400</xdr:rowOff>
    </xdr:from>
    <xdr:to>
      <xdr:col>100</xdr:col>
      <xdr:colOff>142875</xdr:colOff>
      <xdr:row>16</xdr:row>
      <xdr:rowOff>76200</xdr:rowOff>
    </xdr:to>
    <xdr:sp macro="" textlink="">
      <xdr:nvSpPr>
        <xdr:cNvPr id="275" name="Line 309">
          <a:extLst>
            <a:ext uri="{FF2B5EF4-FFF2-40B4-BE49-F238E27FC236}">
              <a16:creationId xmlns:a16="http://schemas.microsoft.com/office/drawing/2014/main" id="{00000000-0008-0000-0000-000013010000}"/>
            </a:ext>
          </a:extLst>
        </xdr:cNvPr>
        <xdr:cNvSpPr>
          <a:spLocks noChangeShapeType="1"/>
        </xdr:cNvSpPr>
      </xdr:nvSpPr>
      <xdr:spPr bwMode="auto">
        <a:xfrm flipH="1">
          <a:off x="85372575" y="283845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781050</xdr:colOff>
      <xdr:row>13</xdr:row>
      <xdr:rowOff>152400</xdr:rowOff>
    </xdr:from>
    <xdr:to>
      <xdr:col>101</xdr:col>
      <xdr:colOff>47625</xdr:colOff>
      <xdr:row>14</xdr:row>
      <xdr:rowOff>28575</xdr:rowOff>
    </xdr:to>
    <xdr:sp macro="" textlink="">
      <xdr:nvSpPr>
        <xdr:cNvPr id="276" name="Line 310">
          <a:extLst>
            <a:ext uri="{FF2B5EF4-FFF2-40B4-BE49-F238E27FC236}">
              <a16:creationId xmlns:a16="http://schemas.microsoft.com/office/drawing/2014/main" id="{00000000-0008-0000-0000-000014010000}"/>
            </a:ext>
          </a:extLst>
        </xdr:cNvPr>
        <xdr:cNvSpPr>
          <a:spLocks noChangeShapeType="1"/>
        </xdr:cNvSpPr>
      </xdr:nvSpPr>
      <xdr:spPr bwMode="auto">
        <a:xfrm flipH="1">
          <a:off x="86144100" y="2457450"/>
          <a:ext cx="1047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100</xdr:col>
      <xdr:colOff>733425</xdr:colOff>
      <xdr:row>15</xdr:row>
      <xdr:rowOff>152400</xdr:rowOff>
    </xdr:from>
    <xdr:to>
      <xdr:col>101</xdr:col>
      <xdr:colOff>38100</xdr:colOff>
      <xdr:row>16</xdr:row>
      <xdr:rowOff>85725</xdr:rowOff>
    </xdr:to>
    <xdr:sp macro="" textlink="">
      <xdr:nvSpPr>
        <xdr:cNvPr id="277" name="Line 311">
          <a:extLst>
            <a:ext uri="{FF2B5EF4-FFF2-40B4-BE49-F238E27FC236}">
              <a16:creationId xmlns:a16="http://schemas.microsoft.com/office/drawing/2014/main" id="{00000000-0008-0000-0000-000015010000}"/>
            </a:ext>
          </a:extLst>
        </xdr:cNvPr>
        <xdr:cNvSpPr>
          <a:spLocks noChangeShapeType="1"/>
        </xdr:cNvSpPr>
      </xdr:nvSpPr>
      <xdr:spPr bwMode="auto">
        <a:xfrm flipH="1">
          <a:off x="86096475" y="2838450"/>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12</xdr:col>
          <xdr:colOff>819150</xdr:colOff>
          <xdr:row>90</xdr:row>
          <xdr:rowOff>0</xdr:rowOff>
        </xdr:from>
        <xdr:to>
          <xdr:col>13</xdr:col>
          <xdr:colOff>1019175</xdr:colOff>
          <xdr:row>91</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last op</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90</xdr:row>
          <xdr:rowOff>0</xdr:rowOff>
        </xdr:from>
        <xdr:to>
          <xdr:col>14</xdr:col>
          <xdr:colOff>752475</xdr:colOff>
          <xdr:row>91</xdr:row>
          <xdr:rowOff>47625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igen</a:t>
              </a:r>
            </a:p>
          </xdr:txBody>
        </xdr:sp>
        <xdr:clientData fLocksWithSheet="0"/>
      </xdr:twoCellAnchor>
    </mc:Choice>
    <mc:Fallback/>
  </mc:AlternateContent>
  <xdr:twoCellAnchor>
    <xdr:from>
      <xdr:col>2</xdr:col>
      <xdr:colOff>0</xdr:colOff>
      <xdr:row>108</xdr:row>
      <xdr:rowOff>0</xdr:rowOff>
    </xdr:from>
    <xdr:to>
      <xdr:col>3</xdr:col>
      <xdr:colOff>276225</xdr:colOff>
      <xdr:row>108</xdr:row>
      <xdr:rowOff>0</xdr:rowOff>
    </xdr:to>
    <xdr:sp macro="" textlink="">
      <xdr:nvSpPr>
        <xdr:cNvPr id="280" name="Line 314">
          <a:extLst>
            <a:ext uri="{FF2B5EF4-FFF2-40B4-BE49-F238E27FC236}">
              <a16:creationId xmlns:a16="http://schemas.microsoft.com/office/drawing/2014/main" id="{00000000-0008-0000-0000-000018010000}"/>
            </a:ext>
          </a:extLst>
        </xdr:cNvPr>
        <xdr:cNvSpPr>
          <a:spLocks noChangeShapeType="1"/>
        </xdr:cNvSpPr>
      </xdr:nvSpPr>
      <xdr:spPr bwMode="auto">
        <a:xfrm>
          <a:off x="1381125" y="20888325"/>
          <a:ext cx="857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107</xdr:row>
      <xdr:rowOff>142875</xdr:rowOff>
    </xdr:from>
    <xdr:to>
      <xdr:col>3</xdr:col>
      <xdr:colOff>133350</xdr:colOff>
      <xdr:row>109</xdr:row>
      <xdr:rowOff>66675</xdr:rowOff>
    </xdr:to>
    <xdr:sp macro="" textlink="">
      <xdr:nvSpPr>
        <xdr:cNvPr id="281" name="Line 315">
          <a:extLst>
            <a:ext uri="{FF2B5EF4-FFF2-40B4-BE49-F238E27FC236}">
              <a16:creationId xmlns:a16="http://schemas.microsoft.com/office/drawing/2014/main" id="{00000000-0008-0000-0000-000019010000}"/>
            </a:ext>
          </a:extLst>
        </xdr:cNvPr>
        <xdr:cNvSpPr>
          <a:spLocks noChangeShapeType="1"/>
        </xdr:cNvSpPr>
      </xdr:nvSpPr>
      <xdr:spPr bwMode="auto">
        <a:xfrm flipV="1">
          <a:off x="2095500" y="2083117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107</xdr:row>
      <xdr:rowOff>142875</xdr:rowOff>
    </xdr:from>
    <xdr:to>
      <xdr:col>2</xdr:col>
      <xdr:colOff>276225</xdr:colOff>
      <xdr:row>110</xdr:row>
      <xdr:rowOff>76200</xdr:rowOff>
    </xdr:to>
    <xdr:sp macro="" textlink="">
      <xdr:nvSpPr>
        <xdr:cNvPr id="282" name="Line 316">
          <a:extLst>
            <a:ext uri="{FF2B5EF4-FFF2-40B4-BE49-F238E27FC236}">
              <a16:creationId xmlns:a16="http://schemas.microsoft.com/office/drawing/2014/main" id="{00000000-0008-0000-0000-00001A010000}"/>
            </a:ext>
          </a:extLst>
        </xdr:cNvPr>
        <xdr:cNvSpPr>
          <a:spLocks noChangeShapeType="1"/>
        </xdr:cNvSpPr>
      </xdr:nvSpPr>
      <xdr:spPr bwMode="auto">
        <a:xfrm flipV="1">
          <a:off x="1657350" y="20831175"/>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107</xdr:row>
      <xdr:rowOff>114300</xdr:rowOff>
    </xdr:from>
    <xdr:to>
      <xdr:col>3</xdr:col>
      <xdr:colOff>9525</xdr:colOff>
      <xdr:row>108</xdr:row>
      <xdr:rowOff>104775</xdr:rowOff>
    </xdr:to>
    <xdr:sp macro="" textlink="">
      <xdr:nvSpPr>
        <xdr:cNvPr id="283" name="Line 317">
          <a:extLst>
            <a:ext uri="{FF2B5EF4-FFF2-40B4-BE49-F238E27FC236}">
              <a16:creationId xmlns:a16="http://schemas.microsoft.com/office/drawing/2014/main" id="{00000000-0008-0000-0000-00001B010000}"/>
            </a:ext>
          </a:extLst>
        </xdr:cNvPr>
        <xdr:cNvSpPr>
          <a:spLocks noChangeShapeType="1"/>
        </xdr:cNvSpPr>
      </xdr:nvSpPr>
      <xdr:spPr bwMode="auto">
        <a:xfrm flipV="1">
          <a:off x="1971675" y="20802600"/>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109</xdr:row>
      <xdr:rowOff>9525</xdr:rowOff>
    </xdr:from>
    <xdr:to>
      <xdr:col>2</xdr:col>
      <xdr:colOff>447675</xdr:colOff>
      <xdr:row>113</xdr:row>
      <xdr:rowOff>142875</xdr:rowOff>
    </xdr:to>
    <xdr:sp macro="" textlink="">
      <xdr:nvSpPr>
        <xdr:cNvPr id="284" name="Line 318">
          <a:extLst>
            <a:ext uri="{FF2B5EF4-FFF2-40B4-BE49-F238E27FC236}">
              <a16:creationId xmlns:a16="http://schemas.microsoft.com/office/drawing/2014/main" id="{00000000-0008-0000-0000-00001C010000}"/>
            </a:ext>
          </a:extLst>
        </xdr:cNvPr>
        <xdr:cNvSpPr>
          <a:spLocks noChangeShapeType="1"/>
        </xdr:cNvSpPr>
      </xdr:nvSpPr>
      <xdr:spPr bwMode="auto">
        <a:xfrm>
          <a:off x="1828800" y="21097875"/>
          <a:ext cx="0" cy="9239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107</xdr:row>
      <xdr:rowOff>104775</xdr:rowOff>
    </xdr:from>
    <xdr:to>
      <xdr:col>2</xdr:col>
      <xdr:colOff>447675</xdr:colOff>
      <xdr:row>108</xdr:row>
      <xdr:rowOff>114300</xdr:rowOff>
    </xdr:to>
    <xdr:sp macro="" textlink="">
      <xdr:nvSpPr>
        <xdr:cNvPr id="285" name="Line 319">
          <a:extLst>
            <a:ext uri="{FF2B5EF4-FFF2-40B4-BE49-F238E27FC236}">
              <a16:creationId xmlns:a16="http://schemas.microsoft.com/office/drawing/2014/main" id="{00000000-0008-0000-0000-00001D010000}"/>
            </a:ext>
          </a:extLst>
        </xdr:cNvPr>
        <xdr:cNvSpPr>
          <a:spLocks noChangeShapeType="1"/>
        </xdr:cNvSpPr>
      </xdr:nvSpPr>
      <xdr:spPr bwMode="auto">
        <a:xfrm flipV="1">
          <a:off x="1828800" y="207930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107</xdr:row>
      <xdr:rowOff>152400</xdr:rowOff>
    </xdr:from>
    <xdr:to>
      <xdr:col>3</xdr:col>
      <xdr:colOff>171450</xdr:colOff>
      <xdr:row>108</xdr:row>
      <xdr:rowOff>38100</xdr:rowOff>
    </xdr:to>
    <xdr:sp macro="" textlink="">
      <xdr:nvSpPr>
        <xdr:cNvPr id="286" name="Line 320">
          <a:extLst>
            <a:ext uri="{FF2B5EF4-FFF2-40B4-BE49-F238E27FC236}">
              <a16:creationId xmlns:a16="http://schemas.microsoft.com/office/drawing/2014/main" id="{00000000-0008-0000-0000-00001E010000}"/>
            </a:ext>
          </a:extLst>
        </xdr:cNvPr>
        <xdr:cNvSpPr>
          <a:spLocks noChangeShapeType="1"/>
        </xdr:cNvSpPr>
      </xdr:nvSpPr>
      <xdr:spPr bwMode="auto">
        <a:xfrm flipH="1">
          <a:off x="2057400" y="208407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107</xdr:row>
      <xdr:rowOff>142875</xdr:rowOff>
    </xdr:from>
    <xdr:to>
      <xdr:col>3</xdr:col>
      <xdr:colOff>47625</xdr:colOff>
      <xdr:row>108</xdr:row>
      <xdr:rowOff>38100</xdr:rowOff>
    </xdr:to>
    <xdr:sp macro="" textlink="">
      <xdr:nvSpPr>
        <xdr:cNvPr id="287" name="Line 321">
          <a:extLst>
            <a:ext uri="{FF2B5EF4-FFF2-40B4-BE49-F238E27FC236}">
              <a16:creationId xmlns:a16="http://schemas.microsoft.com/office/drawing/2014/main" id="{00000000-0008-0000-0000-00001F010000}"/>
            </a:ext>
          </a:extLst>
        </xdr:cNvPr>
        <xdr:cNvSpPr>
          <a:spLocks noChangeShapeType="1"/>
        </xdr:cNvSpPr>
      </xdr:nvSpPr>
      <xdr:spPr bwMode="auto">
        <a:xfrm flipH="1">
          <a:off x="1924050" y="208311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107</xdr:row>
      <xdr:rowOff>152400</xdr:rowOff>
    </xdr:from>
    <xdr:to>
      <xdr:col>2</xdr:col>
      <xdr:colOff>476250</xdr:colOff>
      <xdr:row>108</xdr:row>
      <xdr:rowOff>47625</xdr:rowOff>
    </xdr:to>
    <xdr:sp macro="" textlink="">
      <xdr:nvSpPr>
        <xdr:cNvPr id="288" name="Line 322">
          <a:extLst>
            <a:ext uri="{FF2B5EF4-FFF2-40B4-BE49-F238E27FC236}">
              <a16:creationId xmlns:a16="http://schemas.microsoft.com/office/drawing/2014/main" id="{00000000-0008-0000-0000-000020010000}"/>
            </a:ext>
          </a:extLst>
        </xdr:cNvPr>
        <xdr:cNvSpPr>
          <a:spLocks noChangeShapeType="1"/>
        </xdr:cNvSpPr>
      </xdr:nvSpPr>
      <xdr:spPr bwMode="auto">
        <a:xfrm flipH="1">
          <a:off x="1781175" y="20840700"/>
          <a:ext cx="762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106</xdr:row>
      <xdr:rowOff>161925</xdr:rowOff>
    </xdr:from>
    <xdr:to>
      <xdr:col>2</xdr:col>
      <xdr:colOff>514350</xdr:colOff>
      <xdr:row>107</xdr:row>
      <xdr:rowOff>161925</xdr:rowOff>
    </xdr:to>
    <xdr:sp macro="" textlink="">
      <xdr:nvSpPr>
        <xdr:cNvPr id="289" name="Line 323">
          <a:extLst>
            <a:ext uri="{FF2B5EF4-FFF2-40B4-BE49-F238E27FC236}">
              <a16:creationId xmlns:a16="http://schemas.microsoft.com/office/drawing/2014/main" id="{00000000-0008-0000-0000-000021010000}"/>
            </a:ext>
          </a:extLst>
        </xdr:cNvPr>
        <xdr:cNvSpPr>
          <a:spLocks noChangeShapeType="1"/>
        </xdr:cNvSpPr>
      </xdr:nvSpPr>
      <xdr:spPr bwMode="auto">
        <a:xfrm>
          <a:off x="1847850" y="20659725"/>
          <a:ext cx="476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109</xdr:row>
      <xdr:rowOff>9525</xdr:rowOff>
    </xdr:from>
    <xdr:to>
      <xdr:col>2</xdr:col>
      <xdr:colOff>104775</xdr:colOff>
      <xdr:row>109</xdr:row>
      <xdr:rowOff>123825</xdr:rowOff>
    </xdr:to>
    <xdr:sp macro="" textlink="">
      <xdr:nvSpPr>
        <xdr:cNvPr id="290" name="Line 324">
          <a:extLst>
            <a:ext uri="{FF2B5EF4-FFF2-40B4-BE49-F238E27FC236}">
              <a16:creationId xmlns:a16="http://schemas.microsoft.com/office/drawing/2014/main" id="{00000000-0008-0000-0000-000022010000}"/>
            </a:ext>
          </a:extLst>
        </xdr:cNvPr>
        <xdr:cNvSpPr>
          <a:spLocks noChangeShapeType="1"/>
        </xdr:cNvSpPr>
      </xdr:nvSpPr>
      <xdr:spPr bwMode="auto">
        <a:xfrm flipV="1">
          <a:off x="1485900" y="21097875"/>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107</xdr:row>
      <xdr:rowOff>123825</xdr:rowOff>
    </xdr:from>
    <xdr:to>
      <xdr:col>2</xdr:col>
      <xdr:colOff>161925</xdr:colOff>
      <xdr:row>108</xdr:row>
      <xdr:rowOff>28575</xdr:rowOff>
    </xdr:to>
    <xdr:sp macro="" textlink="">
      <xdr:nvSpPr>
        <xdr:cNvPr id="291" name="Line 325">
          <a:extLst>
            <a:ext uri="{FF2B5EF4-FFF2-40B4-BE49-F238E27FC236}">
              <a16:creationId xmlns:a16="http://schemas.microsoft.com/office/drawing/2014/main" id="{00000000-0008-0000-0000-000023010000}"/>
            </a:ext>
          </a:extLst>
        </xdr:cNvPr>
        <xdr:cNvSpPr>
          <a:spLocks noChangeShapeType="1"/>
        </xdr:cNvSpPr>
      </xdr:nvSpPr>
      <xdr:spPr bwMode="auto">
        <a:xfrm flipH="1">
          <a:off x="1476375" y="20812125"/>
          <a:ext cx="666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106</xdr:row>
      <xdr:rowOff>0</xdr:rowOff>
    </xdr:from>
    <xdr:to>
      <xdr:col>5</xdr:col>
      <xdr:colOff>304800</xdr:colOff>
      <xdr:row>106</xdr:row>
      <xdr:rowOff>0</xdr:rowOff>
    </xdr:to>
    <xdr:sp macro="" textlink="">
      <xdr:nvSpPr>
        <xdr:cNvPr id="292" name="Line 326">
          <a:extLst>
            <a:ext uri="{FF2B5EF4-FFF2-40B4-BE49-F238E27FC236}">
              <a16:creationId xmlns:a16="http://schemas.microsoft.com/office/drawing/2014/main" id="{00000000-0008-0000-0000-000024010000}"/>
            </a:ext>
          </a:extLst>
        </xdr:cNvPr>
        <xdr:cNvSpPr>
          <a:spLocks noChangeShapeType="1"/>
        </xdr:cNvSpPr>
      </xdr:nvSpPr>
      <xdr:spPr bwMode="auto">
        <a:xfrm flipH="1">
          <a:off x="1428750" y="20497800"/>
          <a:ext cx="1533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105</xdr:row>
      <xdr:rowOff>152400</xdr:rowOff>
    </xdr:from>
    <xdr:to>
      <xdr:col>2</xdr:col>
      <xdr:colOff>142875</xdr:colOff>
      <xdr:row>106</xdr:row>
      <xdr:rowOff>47625</xdr:rowOff>
    </xdr:to>
    <xdr:sp macro="" textlink="">
      <xdr:nvSpPr>
        <xdr:cNvPr id="293" name="Line 327">
          <a:extLst>
            <a:ext uri="{FF2B5EF4-FFF2-40B4-BE49-F238E27FC236}">
              <a16:creationId xmlns:a16="http://schemas.microsoft.com/office/drawing/2014/main" id="{00000000-0008-0000-0000-000025010000}"/>
            </a:ext>
          </a:extLst>
        </xdr:cNvPr>
        <xdr:cNvSpPr>
          <a:spLocks noChangeShapeType="1"/>
        </xdr:cNvSpPr>
      </xdr:nvSpPr>
      <xdr:spPr bwMode="auto">
        <a:xfrm flipH="1">
          <a:off x="1438275" y="2045970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105</xdr:row>
      <xdr:rowOff>142875</xdr:rowOff>
    </xdr:from>
    <xdr:to>
      <xdr:col>5</xdr:col>
      <xdr:colOff>285750</xdr:colOff>
      <xdr:row>106</xdr:row>
      <xdr:rowOff>38100</xdr:rowOff>
    </xdr:to>
    <xdr:sp macro="" textlink="">
      <xdr:nvSpPr>
        <xdr:cNvPr id="294" name="Line 328">
          <a:extLst>
            <a:ext uri="{FF2B5EF4-FFF2-40B4-BE49-F238E27FC236}">
              <a16:creationId xmlns:a16="http://schemas.microsoft.com/office/drawing/2014/main" id="{00000000-0008-0000-0000-000026010000}"/>
            </a:ext>
          </a:extLst>
        </xdr:cNvPr>
        <xdr:cNvSpPr>
          <a:spLocks noChangeShapeType="1"/>
        </xdr:cNvSpPr>
      </xdr:nvSpPr>
      <xdr:spPr bwMode="auto">
        <a:xfrm flipH="1">
          <a:off x="2867025" y="204501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107</xdr:row>
      <xdr:rowOff>152400</xdr:rowOff>
    </xdr:from>
    <xdr:to>
      <xdr:col>2</xdr:col>
      <xdr:colOff>304800</xdr:colOff>
      <xdr:row>108</xdr:row>
      <xdr:rowOff>38100</xdr:rowOff>
    </xdr:to>
    <xdr:sp macro="" textlink="">
      <xdr:nvSpPr>
        <xdr:cNvPr id="295" name="Line 329">
          <a:extLst>
            <a:ext uri="{FF2B5EF4-FFF2-40B4-BE49-F238E27FC236}">
              <a16:creationId xmlns:a16="http://schemas.microsoft.com/office/drawing/2014/main" id="{00000000-0008-0000-0000-000027010000}"/>
            </a:ext>
          </a:extLst>
        </xdr:cNvPr>
        <xdr:cNvSpPr>
          <a:spLocks noChangeShapeType="1"/>
        </xdr:cNvSpPr>
      </xdr:nvSpPr>
      <xdr:spPr bwMode="auto">
        <a:xfrm flipH="1">
          <a:off x="1619250" y="20840700"/>
          <a:ext cx="666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114300</xdr:colOff>
      <xdr:row>105</xdr:row>
      <xdr:rowOff>123825</xdr:rowOff>
    </xdr:from>
    <xdr:to>
      <xdr:col>2</xdr:col>
      <xdr:colOff>114300</xdr:colOff>
      <xdr:row>108</xdr:row>
      <xdr:rowOff>9525</xdr:rowOff>
    </xdr:to>
    <xdr:sp macro="" textlink="">
      <xdr:nvSpPr>
        <xdr:cNvPr id="296" name="Line 330">
          <a:extLst>
            <a:ext uri="{FF2B5EF4-FFF2-40B4-BE49-F238E27FC236}">
              <a16:creationId xmlns:a16="http://schemas.microsoft.com/office/drawing/2014/main" id="{00000000-0008-0000-0000-000028010000}"/>
            </a:ext>
          </a:extLst>
        </xdr:cNvPr>
        <xdr:cNvSpPr>
          <a:spLocks noChangeShapeType="1"/>
        </xdr:cNvSpPr>
      </xdr:nvSpPr>
      <xdr:spPr bwMode="auto">
        <a:xfrm>
          <a:off x="1495425" y="20431125"/>
          <a:ext cx="0" cy="466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161925</xdr:colOff>
          <xdr:row>106</xdr:row>
          <xdr:rowOff>28575</xdr:rowOff>
        </xdr:from>
        <xdr:to>
          <xdr:col>0</xdr:col>
          <xdr:colOff>1076325</xdr:colOff>
          <xdr:row>107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mål op</a:t>
              </a:r>
            </a:p>
          </xdr:txBody>
        </xdr:sp>
        <xdr:clientData fLocksWithSheet="0" fPrintsWithSheet="0"/>
      </xdr:twoCellAnchor>
    </mc:Choice>
    <mc:Fallback/>
  </mc:AlternateContent>
  <xdr:twoCellAnchor>
    <xdr:from>
      <xdr:col>3</xdr:col>
      <xdr:colOff>133350</xdr:colOff>
      <xdr:row>109</xdr:row>
      <xdr:rowOff>142875</xdr:rowOff>
    </xdr:from>
    <xdr:to>
      <xdr:col>5</xdr:col>
      <xdr:colOff>647700</xdr:colOff>
      <xdr:row>111</xdr:row>
      <xdr:rowOff>209550</xdr:rowOff>
    </xdr:to>
    <xdr:sp macro="" textlink="">
      <xdr:nvSpPr>
        <xdr:cNvPr id="298" name="Tegning 332">
          <a:extLst>
            <a:ext uri="{FF2B5EF4-FFF2-40B4-BE49-F238E27FC236}">
              <a16:creationId xmlns:a16="http://schemas.microsoft.com/office/drawing/2014/main" id="{00000000-0008-0000-0000-00002A010000}"/>
            </a:ext>
          </a:extLst>
        </xdr:cNvPr>
        <xdr:cNvSpPr>
          <a:spLocks/>
        </xdr:cNvSpPr>
      </xdr:nvSpPr>
      <xdr:spPr bwMode="auto">
        <a:xfrm>
          <a:off x="2095500" y="21231225"/>
          <a:ext cx="1209675" cy="4476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108</xdr:row>
      <xdr:rowOff>66675</xdr:rowOff>
    </xdr:from>
    <xdr:to>
      <xdr:col>5</xdr:col>
      <xdr:colOff>276225</xdr:colOff>
      <xdr:row>108</xdr:row>
      <xdr:rowOff>133350</xdr:rowOff>
    </xdr:to>
    <xdr:sp macro="" textlink="">
      <xdr:nvSpPr>
        <xdr:cNvPr id="299" name="Line 333">
          <a:extLst>
            <a:ext uri="{FF2B5EF4-FFF2-40B4-BE49-F238E27FC236}">
              <a16:creationId xmlns:a16="http://schemas.microsoft.com/office/drawing/2014/main" id="{00000000-0008-0000-0000-00002B010000}"/>
            </a:ext>
          </a:extLst>
        </xdr:cNvPr>
        <xdr:cNvSpPr>
          <a:spLocks noChangeShapeType="1"/>
        </xdr:cNvSpPr>
      </xdr:nvSpPr>
      <xdr:spPr bwMode="auto">
        <a:xfrm flipH="1">
          <a:off x="2867025" y="2095500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11</xdr:col>
          <xdr:colOff>95250</xdr:colOff>
          <xdr:row>106</xdr:row>
          <xdr:rowOff>19050</xdr:rowOff>
        </xdr:from>
        <xdr:to>
          <xdr:col>12</xdr:col>
          <xdr:colOff>771525</xdr:colOff>
          <xdr:row>107</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sæt 30mm"luft"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115</xdr:row>
          <xdr:rowOff>19050</xdr:rowOff>
        </xdr:from>
        <xdr:to>
          <xdr:col>13</xdr:col>
          <xdr:colOff>1076325</xdr:colOff>
          <xdr:row>116</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Rustfri dorn</a:t>
              </a:r>
            </a:p>
          </xdr:txBody>
        </xdr:sp>
        <xdr:clientData fLocksWithSheet="0"/>
      </xdr:twoCellAnchor>
    </mc:Choice>
    <mc:Fallback/>
  </mc:AlternateContent>
  <xdr:twoCellAnchor>
    <xdr:from>
      <xdr:col>13</xdr:col>
      <xdr:colOff>790575</xdr:colOff>
      <xdr:row>44</xdr:row>
      <xdr:rowOff>109483</xdr:rowOff>
    </xdr:from>
    <xdr:to>
      <xdr:col>16</xdr:col>
      <xdr:colOff>561975</xdr:colOff>
      <xdr:row>46</xdr:row>
      <xdr:rowOff>104775</xdr:rowOff>
    </xdr:to>
    <xdr:sp macro="" textlink="" fLocksText="0">
      <xdr:nvSpPr>
        <xdr:cNvPr id="302" name="Tekst 336">
          <a:extLst>
            <a:ext uri="{FF2B5EF4-FFF2-40B4-BE49-F238E27FC236}">
              <a16:creationId xmlns:a16="http://schemas.microsoft.com/office/drawing/2014/main" id="{00000000-0008-0000-0000-00002E010000}"/>
            </a:ext>
          </a:extLst>
        </xdr:cNvPr>
        <xdr:cNvSpPr txBox="1">
          <a:spLocks noChangeArrowheads="1"/>
        </xdr:cNvSpPr>
      </xdr:nvSpPr>
      <xdr:spPr bwMode="auto">
        <a:xfrm>
          <a:off x="8947041" y="8441121"/>
          <a:ext cx="2639848" cy="37848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8"/>
          </a:solidFill>
          <a:miter lim="800000"/>
          <a:headEnd/>
          <a:tailEnd/>
        </a:ln>
      </xdr:spPr>
      <xdr:txBody>
        <a:bodyPr vertOverflow="clip" wrap="square" lIns="36576" tIns="22860" rIns="0" bIns="0" anchor="t" upright="1"/>
        <a:lstStyle/>
        <a:p>
          <a:pPr algn="l" rtl="0">
            <a:defRPr sz="1000"/>
          </a:pPr>
          <a:r>
            <a:rPr lang="da-DK" sz="1200" b="1" i="0" u="none" strike="noStrike" baseline="0">
              <a:solidFill>
                <a:schemeClr val="accent6">
                  <a:lumMod val="50000"/>
                </a:schemeClr>
              </a:solidFill>
              <a:latin typeface="Arial"/>
              <a:cs typeface="Arial"/>
            </a:rPr>
            <a:t>faneblad forsk.forkant anvendes, dvs. den ene spændvidde er fiktiv</a:t>
          </a:r>
        </a:p>
      </xdr:txBody>
    </xdr:sp>
    <xdr:clientData fLocksWithSheet="0"/>
  </xdr:twoCellAnchor>
  <xdr:twoCellAnchor>
    <xdr:from>
      <xdr:col>13</xdr:col>
      <xdr:colOff>409575</xdr:colOff>
      <xdr:row>46</xdr:row>
      <xdr:rowOff>38100</xdr:rowOff>
    </xdr:from>
    <xdr:to>
      <xdr:col>13</xdr:col>
      <xdr:colOff>790575</xdr:colOff>
      <xdr:row>46</xdr:row>
      <xdr:rowOff>104775</xdr:rowOff>
    </xdr:to>
    <xdr:sp macro="" textlink="">
      <xdr:nvSpPr>
        <xdr:cNvPr id="303" name="Line 337">
          <a:extLst>
            <a:ext uri="{FF2B5EF4-FFF2-40B4-BE49-F238E27FC236}">
              <a16:creationId xmlns:a16="http://schemas.microsoft.com/office/drawing/2014/main" id="{00000000-0008-0000-0000-00002F010000}"/>
            </a:ext>
          </a:extLst>
        </xdr:cNvPr>
        <xdr:cNvSpPr>
          <a:spLocks noChangeShapeType="1"/>
        </xdr:cNvSpPr>
      </xdr:nvSpPr>
      <xdr:spPr bwMode="auto">
        <a:xfrm flipH="1">
          <a:off x="8553450" y="8791575"/>
          <a:ext cx="3810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12</xdr:col>
          <xdr:colOff>809625</xdr:colOff>
          <xdr:row>91</xdr:row>
          <xdr:rowOff>85725</xdr:rowOff>
        </xdr:from>
        <xdr:to>
          <xdr:col>13</xdr:col>
          <xdr:colOff>971550</xdr:colOff>
          <xdr:row>92</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fortryd</a:t>
              </a:r>
            </a:p>
          </xdr:txBody>
        </xdr:sp>
        <xdr:clientData fLocksWithSheet="0" fPrintsWithSheet="0"/>
      </xdr:twoCellAnchor>
    </mc:Choice>
    <mc:Fallback/>
  </mc:AlternateContent>
  <xdr:twoCellAnchor>
    <xdr:from>
      <xdr:col>4</xdr:col>
      <xdr:colOff>123825</xdr:colOff>
      <xdr:row>133</xdr:row>
      <xdr:rowOff>47625</xdr:rowOff>
    </xdr:from>
    <xdr:to>
      <xdr:col>4</xdr:col>
      <xdr:colOff>219075</xdr:colOff>
      <xdr:row>133</xdr:row>
      <xdr:rowOff>123825</xdr:rowOff>
    </xdr:to>
    <xdr:sp macro="" textlink="">
      <xdr:nvSpPr>
        <xdr:cNvPr id="305" name="Tegning 339">
          <a:extLst>
            <a:ext uri="{FF2B5EF4-FFF2-40B4-BE49-F238E27FC236}">
              <a16:creationId xmlns:a16="http://schemas.microsoft.com/office/drawing/2014/main" id="{00000000-0008-0000-0000-000031010000}"/>
            </a:ext>
          </a:extLst>
        </xdr:cNvPr>
        <xdr:cNvSpPr>
          <a:spLocks/>
        </xdr:cNvSpPr>
      </xdr:nvSpPr>
      <xdr:spPr bwMode="auto">
        <a:xfrm>
          <a:off x="2457450" y="25812750"/>
          <a:ext cx="95250"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95250</xdr:colOff>
      <xdr:row>134</xdr:row>
      <xdr:rowOff>47625</xdr:rowOff>
    </xdr:from>
    <xdr:to>
      <xdr:col>5</xdr:col>
      <xdr:colOff>171450</xdr:colOff>
      <xdr:row>134</xdr:row>
      <xdr:rowOff>123825</xdr:rowOff>
    </xdr:to>
    <xdr:sp macro="" textlink="">
      <xdr:nvSpPr>
        <xdr:cNvPr id="306" name="Tegning 340">
          <a:extLst>
            <a:ext uri="{FF2B5EF4-FFF2-40B4-BE49-F238E27FC236}">
              <a16:creationId xmlns:a16="http://schemas.microsoft.com/office/drawing/2014/main" id="{00000000-0008-0000-0000-000032010000}"/>
            </a:ext>
          </a:extLst>
        </xdr:cNvPr>
        <xdr:cNvSpPr>
          <a:spLocks/>
        </xdr:cNvSpPr>
      </xdr:nvSpPr>
      <xdr:spPr bwMode="auto">
        <a:xfrm>
          <a:off x="2752725" y="26012775"/>
          <a:ext cx="76200"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135</xdr:row>
      <xdr:rowOff>66675</xdr:rowOff>
    </xdr:from>
    <xdr:to>
      <xdr:col>5</xdr:col>
      <xdr:colOff>381000</xdr:colOff>
      <xdr:row>135</xdr:row>
      <xdr:rowOff>142875</xdr:rowOff>
    </xdr:to>
    <xdr:sp macro="" textlink="">
      <xdr:nvSpPr>
        <xdr:cNvPr id="307" name="Tegning 341">
          <a:extLst>
            <a:ext uri="{FF2B5EF4-FFF2-40B4-BE49-F238E27FC236}">
              <a16:creationId xmlns:a16="http://schemas.microsoft.com/office/drawing/2014/main" id="{00000000-0008-0000-0000-000033010000}"/>
            </a:ext>
          </a:extLst>
        </xdr:cNvPr>
        <xdr:cNvSpPr>
          <a:spLocks/>
        </xdr:cNvSpPr>
      </xdr:nvSpPr>
      <xdr:spPr bwMode="auto">
        <a:xfrm>
          <a:off x="2971800" y="26231850"/>
          <a:ext cx="66675"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146</xdr:row>
      <xdr:rowOff>47625</xdr:rowOff>
    </xdr:from>
    <xdr:to>
      <xdr:col>5</xdr:col>
      <xdr:colOff>390525</xdr:colOff>
      <xdr:row>146</xdr:row>
      <xdr:rowOff>123825</xdr:rowOff>
    </xdr:to>
    <xdr:sp macro="" textlink="">
      <xdr:nvSpPr>
        <xdr:cNvPr id="308" name="Tegning 342">
          <a:extLst>
            <a:ext uri="{FF2B5EF4-FFF2-40B4-BE49-F238E27FC236}">
              <a16:creationId xmlns:a16="http://schemas.microsoft.com/office/drawing/2014/main" id="{00000000-0008-0000-0000-000034010000}"/>
            </a:ext>
          </a:extLst>
        </xdr:cNvPr>
        <xdr:cNvSpPr>
          <a:spLocks/>
        </xdr:cNvSpPr>
      </xdr:nvSpPr>
      <xdr:spPr bwMode="auto">
        <a:xfrm>
          <a:off x="2971800" y="28365450"/>
          <a:ext cx="76200" cy="76200"/>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134</xdr:row>
      <xdr:rowOff>47625</xdr:rowOff>
    </xdr:from>
    <xdr:to>
      <xdr:col>4</xdr:col>
      <xdr:colOff>304800</xdr:colOff>
      <xdr:row>134</xdr:row>
      <xdr:rowOff>123825</xdr:rowOff>
    </xdr:to>
    <xdr:sp macro="" textlink="">
      <xdr:nvSpPr>
        <xdr:cNvPr id="309" name="Tegning 343">
          <a:extLst>
            <a:ext uri="{FF2B5EF4-FFF2-40B4-BE49-F238E27FC236}">
              <a16:creationId xmlns:a16="http://schemas.microsoft.com/office/drawing/2014/main" id="{00000000-0008-0000-0000-000035010000}"/>
            </a:ext>
          </a:extLst>
        </xdr:cNvPr>
        <xdr:cNvSpPr>
          <a:spLocks/>
        </xdr:cNvSpPr>
      </xdr:nvSpPr>
      <xdr:spPr bwMode="auto">
        <a:xfrm>
          <a:off x="2552700" y="26012775"/>
          <a:ext cx="85725"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180975</xdr:colOff>
      <xdr:row>135</xdr:row>
      <xdr:rowOff>66675</xdr:rowOff>
    </xdr:from>
    <xdr:to>
      <xdr:col>5</xdr:col>
      <xdr:colOff>257175</xdr:colOff>
      <xdr:row>135</xdr:row>
      <xdr:rowOff>142875</xdr:rowOff>
    </xdr:to>
    <xdr:sp macro="" textlink="">
      <xdr:nvSpPr>
        <xdr:cNvPr id="310" name="Tegning 344">
          <a:extLst>
            <a:ext uri="{FF2B5EF4-FFF2-40B4-BE49-F238E27FC236}">
              <a16:creationId xmlns:a16="http://schemas.microsoft.com/office/drawing/2014/main" id="{00000000-0008-0000-0000-000036010000}"/>
            </a:ext>
          </a:extLst>
        </xdr:cNvPr>
        <xdr:cNvSpPr>
          <a:spLocks/>
        </xdr:cNvSpPr>
      </xdr:nvSpPr>
      <xdr:spPr bwMode="auto">
        <a:xfrm>
          <a:off x="2838450" y="26231850"/>
          <a:ext cx="76200"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143</xdr:row>
      <xdr:rowOff>66675</xdr:rowOff>
    </xdr:from>
    <xdr:to>
      <xdr:col>4</xdr:col>
      <xdr:colOff>304800</xdr:colOff>
      <xdr:row>143</xdr:row>
      <xdr:rowOff>142875</xdr:rowOff>
    </xdr:to>
    <xdr:sp macro="" textlink="">
      <xdr:nvSpPr>
        <xdr:cNvPr id="311" name="Tegning 345">
          <a:extLst>
            <a:ext uri="{FF2B5EF4-FFF2-40B4-BE49-F238E27FC236}">
              <a16:creationId xmlns:a16="http://schemas.microsoft.com/office/drawing/2014/main" id="{00000000-0008-0000-0000-000037010000}"/>
            </a:ext>
          </a:extLst>
        </xdr:cNvPr>
        <xdr:cNvSpPr>
          <a:spLocks/>
        </xdr:cNvSpPr>
      </xdr:nvSpPr>
      <xdr:spPr bwMode="auto">
        <a:xfrm>
          <a:off x="2552700" y="27784425"/>
          <a:ext cx="85725"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125</xdr:row>
      <xdr:rowOff>161925</xdr:rowOff>
    </xdr:from>
    <xdr:to>
      <xdr:col>2</xdr:col>
      <xdr:colOff>361950</xdr:colOff>
      <xdr:row>141</xdr:row>
      <xdr:rowOff>66675</xdr:rowOff>
    </xdr:to>
    <xdr:sp macro="" textlink="">
      <xdr:nvSpPr>
        <xdr:cNvPr id="312" name="Line 346">
          <a:extLst>
            <a:ext uri="{FF2B5EF4-FFF2-40B4-BE49-F238E27FC236}">
              <a16:creationId xmlns:a16="http://schemas.microsoft.com/office/drawing/2014/main" id="{00000000-0008-0000-0000-000038010000}"/>
            </a:ext>
          </a:extLst>
        </xdr:cNvPr>
        <xdr:cNvSpPr>
          <a:spLocks noChangeShapeType="1"/>
        </xdr:cNvSpPr>
      </xdr:nvSpPr>
      <xdr:spPr bwMode="auto">
        <a:xfrm flipV="1">
          <a:off x="1743075" y="24374475"/>
          <a:ext cx="0" cy="3019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125</xdr:row>
      <xdr:rowOff>190500</xdr:rowOff>
    </xdr:from>
    <xdr:to>
      <xdr:col>5</xdr:col>
      <xdr:colOff>171450</xdr:colOff>
      <xdr:row>147</xdr:row>
      <xdr:rowOff>0</xdr:rowOff>
    </xdr:to>
    <xdr:sp macro="" textlink="">
      <xdr:nvSpPr>
        <xdr:cNvPr id="313" name="Line 347">
          <a:extLst>
            <a:ext uri="{FF2B5EF4-FFF2-40B4-BE49-F238E27FC236}">
              <a16:creationId xmlns:a16="http://schemas.microsoft.com/office/drawing/2014/main" id="{00000000-0008-0000-0000-000039010000}"/>
            </a:ext>
          </a:extLst>
        </xdr:cNvPr>
        <xdr:cNvSpPr>
          <a:spLocks noChangeShapeType="1"/>
        </xdr:cNvSpPr>
      </xdr:nvSpPr>
      <xdr:spPr bwMode="auto">
        <a:xfrm flipV="1">
          <a:off x="2828925" y="24403050"/>
          <a:ext cx="0" cy="411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125</xdr:row>
      <xdr:rowOff>123825</xdr:rowOff>
    </xdr:from>
    <xdr:to>
      <xdr:col>2</xdr:col>
      <xdr:colOff>47625</xdr:colOff>
      <xdr:row>127</xdr:row>
      <xdr:rowOff>28575</xdr:rowOff>
    </xdr:to>
    <xdr:sp macro="" textlink="">
      <xdr:nvSpPr>
        <xdr:cNvPr id="314" name="Line 348">
          <a:extLst>
            <a:ext uri="{FF2B5EF4-FFF2-40B4-BE49-F238E27FC236}">
              <a16:creationId xmlns:a16="http://schemas.microsoft.com/office/drawing/2014/main" id="{00000000-0008-0000-0000-00003A010000}"/>
            </a:ext>
          </a:extLst>
        </xdr:cNvPr>
        <xdr:cNvSpPr>
          <a:spLocks noChangeShapeType="1"/>
        </xdr:cNvSpPr>
      </xdr:nvSpPr>
      <xdr:spPr bwMode="auto">
        <a:xfrm flipV="1">
          <a:off x="1428750" y="243363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126</xdr:row>
      <xdr:rowOff>0</xdr:rowOff>
    </xdr:from>
    <xdr:to>
      <xdr:col>6</xdr:col>
      <xdr:colOff>19050</xdr:colOff>
      <xdr:row>126</xdr:row>
      <xdr:rowOff>0</xdr:rowOff>
    </xdr:to>
    <xdr:sp macro="" textlink="">
      <xdr:nvSpPr>
        <xdr:cNvPr id="315" name="Line 349">
          <a:extLst>
            <a:ext uri="{FF2B5EF4-FFF2-40B4-BE49-F238E27FC236}">
              <a16:creationId xmlns:a16="http://schemas.microsoft.com/office/drawing/2014/main" id="{00000000-0008-0000-0000-00003B010000}"/>
            </a:ext>
          </a:extLst>
        </xdr:cNvPr>
        <xdr:cNvSpPr>
          <a:spLocks noChangeShapeType="1"/>
        </xdr:cNvSpPr>
      </xdr:nvSpPr>
      <xdr:spPr bwMode="auto">
        <a:xfrm>
          <a:off x="1143000" y="24403050"/>
          <a:ext cx="2286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127</xdr:row>
      <xdr:rowOff>0</xdr:rowOff>
    </xdr:from>
    <xdr:to>
      <xdr:col>6</xdr:col>
      <xdr:colOff>28575</xdr:colOff>
      <xdr:row>127</xdr:row>
      <xdr:rowOff>0</xdr:rowOff>
    </xdr:to>
    <xdr:sp macro="" textlink="">
      <xdr:nvSpPr>
        <xdr:cNvPr id="316" name="Line 350">
          <a:extLst>
            <a:ext uri="{FF2B5EF4-FFF2-40B4-BE49-F238E27FC236}">
              <a16:creationId xmlns:a16="http://schemas.microsoft.com/office/drawing/2014/main" id="{00000000-0008-0000-0000-00003C010000}"/>
            </a:ext>
          </a:extLst>
        </xdr:cNvPr>
        <xdr:cNvSpPr>
          <a:spLocks noChangeShapeType="1"/>
        </xdr:cNvSpPr>
      </xdr:nvSpPr>
      <xdr:spPr bwMode="auto">
        <a:xfrm>
          <a:off x="1143000" y="24593550"/>
          <a:ext cx="2295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128</xdr:row>
      <xdr:rowOff>142875</xdr:rowOff>
    </xdr:from>
    <xdr:to>
      <xdr:col>4</xdr:col>
      <xdr:colOff>19050</xdr:colOff>
      <xdr:row>128</xdr:row>
      <xdr:rowOff>161925</xdr:rowOff>
    </xdr:to>
    <xdr:sp macro="" textlink="">
      <xdr:nvSpPr>
        <xdr:cNvPr id="317" name="Line 351">
          <a:extLst>
            <a:ext uri="{FF2B5EF4-FFF2-40B4-BE49-F238E27FC236}">
              <a16:creationId xmlns:a16="http://schemas.microsoft.com/office/drawing/2014/main" id="{00000000-0008-0000-0000-00003D010000}"/>
            </a:ext>
          </a:extLst>
        </xdr:cNvPr>
        <xdr:cNvSpPr>
          <a:spLocks noChangeShapeType="1"/>
        </xdr:cNvSpPr>
      </xdr:nvSpPr>
      <xdr:spPr bwMode="auto">
        <a:xfrm>
          <a:off x="2257425" y="24926925"/>
          <a:ext cx="95250" cy="19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xdr:colOff>
      <xdr:row>125</xdr:row>
      <xdr:rowOff>161925</xdr:rowOff>
    </xdr:from>
    <xdr:to>
      <xdr:col>2</xdr:col>
      <xdr:colOff>85725</xdr:colOff>
      <xdr:row>126</xdr:row>
      <xdr:rowOff>38100</xdr:rowOff>
    </xdr:to>
    <xdr:sp macro="" textlink="">
      <xdr:nvSpPr>
        <xdr:cNvPr id="318" name="Line 352">
          <a:extLst>
            <a:ext uri="{FF2B5EF4-FFF2-40B4-BE49-F238E27FC236}">
              <a16:creationId xmlns:a16="http://schemas.microsoft.com/office/drawing/2014/main" id="{00000000-0008-0000-0000-00003E010000}"/>
            </a:ext>
          </a:extLst>
        </xdr:cNvPr>
        <xdr:cNvSpPr>
          <a:spLocks noChangeShapeType="1"/>
        </xdr:cNvSpPr>
      </xdr:nvSpPr>
      <xdr:spPr bwMode="auto">
        <a:xfrm flipH="1">
          <a:off x="1390650" y="2437447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126</xdr:row>
      <xdr:rowOff>152400</xdr:rowOff>
    </xdr:from>
    <xdr:to>
      <xdr:col>2</xdr:col>
      <xdr:colOff>85725</xdr:colOff>
      <xdr:row>127</xdr:row>
      <xdr:rowOff>38100</xdr:rowOff>
    </xdr:to>
    <xdr:sp macro="" textlink="">
      <xdr:nvSpPr>
        <xdr:cNvPr id="319" name="Line 353">
          <a:extLst>
            <a:ext uri="{FF2B5EF4-FFF2-40B4-BE49-F238E27FC236}">
              <a16:creationId xmlns:a16="http://schemas.microsoft.com/office/drawing/2014/main" id="{00000000-0008-0000-0000-00003F010000}"/>
            </a:ext>
          </a:extLst>
        </xdr:cNvPr>
        <xdr:cNvSpPr>
          <a:spLocks noChangeShapeType="1"/>
        </xdr:cNvSpPr>
      </xdr:nvSpPr>
      <xdr:spPr bwMode="auto">
        <a:xfrm flipH="1">
          <a:off x="1381125" y="245554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125</xdr:row>
      <xdr:rowOff>152400</xdr:rowOff>
    </xdr:from>
    <xdr:to>
      <xdr:col>2</xdr:col>
      <xdr:colOff>419100</xdr:colOff>
      <xdr:row>126</xdr:row>
      <xdr:rowOff>38100</xdr:rowOff>
    </xdr:to>
    <xdr:sp macro="" textlink="">
      <xdr:nvSpPr>
        <xdr:cNvPr id="320" name="Line 354">
          <a:extLst>
            <a:ext uri="{FF2B5EF4-FFF2-40B4-BE49-F238E27FC236}">
              <a16:creationId xmlns:a16="http://schemas.microsoft.com/office/drawing/2014/main" id="{00000000-0008-0000-0000-000040010000}"/>
            </a:ext>
          </a:extLst>
        </xdr:cNvPr>
        <xdr:cNvSpPr>
          <a:spLocks noChangeShapeType="1"/>
        </xdr:cNvSpPr>
      </xdr:nvSpPr>
      <xdr:spPr bwMode="auto">
        <a:xfrm flipH="1">
          <a:off x="1685925" y="24364950"/>
          <a:ext cx="1143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126</xdr:row>
      <xdr:rowOff>161925</xdr:rowOff>
    </xdr:from>
    <xdr:to>
      <xdr:col>2</xdr:col>
      <xdr:colOff>409575</xdr:colOff>
      <xdr:row>127</xdr:row>
      <xdr:rowOff>47625</xdr:rowOff>
    </xdr:to>
    <xdr:sp macro="" textlink="">
      <xdr:nvSpPr>
        <xdr:cNvPr id="321" name="Line 355">
          <a:extLst>
            <a:ext uri="{FF2B5EF4-FFF2-40B4-BE49-F238E27FC236}">
              <a16:creationId xmlns:a16="http://schemas.microsoft.com/office/drawing/2014/main" id="{00000000-0008-0000-0000-000041010000}"/>
            </a:ext>
          </a:extLst>
        </xdr:cNvPr>
        <xdr:cNvSpPr>
          <a:spLocks noChangeShapeType="1"/>
        </xdr:cNvSpPr>
      </xdr:nvSpPr>
      <xdr:spPr bwMode="auto">
        <a:xfrm flipH="1">
          <a:off x="1695450" y="2456497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125</xdr:row>
      <xdr:rowOff>152400</xdr:rowOff>
    </xdr:from>
    <xdr:to>
      <xdr:col>5</xdr:col>
      <xdr:colOff>209550</xdr:colOff>
      <xdr:row>126</xdr:row>
      <xdr:rowOff>47625</xdr:rowOff>
    </xdr:to>
    <xdr:sp macro="" textlink="">
      <xdr:nvSpPr>
        <xdr:cNvPr id="322" name="Line 356">
          <a:extLst>
            <a:ext uri="{FF2B5EF4-FFF2-40B4-BE49-F238E27FC236}">
              <a16:creationId xmlns:a16="http://schemas.microsoft.com/office/drawing/2014/main" id="{00000000-0008-0000-0000-000042010000}"/>
            </a:ext>
          </a:extLst>
        </xdr:cNvPr>
        <xdr:cNvSpPr>
          <a:spLocks noChangeShapeType="1"/>
        </xdr:cNvSpPr>
      </xdr:nvSpPr>
      <xdr:spPr bwMode="auto">
        <a:xfrm flipH="1">
          <a:off x="2781300" y="243649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126</xdr:row>
      <xdr:rowOff>152400</xdr:rowOff>
    </xdr:from>
    <xdr:to>
      <xdr:col>5</xdr:col>
      <xdr:colOff>209550</xdr:colOff>
      <xdr:row>127</xdr:row>
      <xdr:rowOff>28575</xdr:rowOff>
    </xdr:to>
    <xdr:sp macro="" textlink="">
      <xdr:nvSpPr>
        <xdr:cNvPr id="323" name="Line 357">
          <a:extLst>
            <a:ext uri="{FF2B5EF4-FFF2-40B4-BE49-F238E27FC236}">
              <a16:creationId xmlns:a16="http://schemas.microsoft.com/office/drawing/2014/main" id="{00000000-0008-0000-0000-000043010000}"/>
            </a:ext>
          </a:extLst>
        </xdr:cNvPr>
        <xdr:cNvSpPr>
          <a:spLocks noChangeShapeType="1"/>
        </xdr:cNvSpPr>
      </xdr:nvSpPr>
      <xdr:spPr bwMode="auto">
        <a:xfrm flipH="1">
          <a:off x="2790825" y="2455545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125</xdr:row>
      <xdr:rowOff>161925</xdr:rowOff>
    </xdr:from>
    <xdr:to>
      <xdr:col>5</xdr:col>
      <xdr:colOff>590550</xdr:colOff>
      <xdr:row>128</xdr:row>
      <xdr:rowOff>76200</xdr:rowOff>
    </xdr:to>
    <xdr:sp macro="" textlink="">
      <xdr:nvSpPr>
        <xdr:cNvPr id="324" name="Line 358">
          <a:extLst>
            <a:ext uri="{FF2B5EF4-FFF2-40B4-BE49-F238E27FC236}">
              <a16:creationId xmlns:a16="http://schemas.microsoft.com/office/drawing/2014/main" id="{00000000-0008-0000-0000-000044010000}"/>
            </a:ext>
          </a:extLst>
        </xdr:cNvPr>
        <xdr:cNvSpPr>
          <a:spLocks noChangeShapeType="1"/>
        </xdr:cNvSpPr>
      </xdr:nvSpPr>
      <xdr:spPr bwMode="auto">
        <a:xfrm flipV="1">
          <a:off x="3248025" y="2437447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125</xdr:row>
      <xdr:rowOff>152400</xdr:rowOff>
    </xdr:from>
    <xdr:to>
      <xdr:col>5</xdr:col>
      <xdr:colOff>619125</xdr:colOff>
      <xdr:row>126</xdr:row>
      <xdr:rowOff>28575</xdr:rowOff>
    </xdr:to>
    <xdr:sp macro="" textlink="">
      <xdr:nvSpPr>
        <xdr:cNvPr id="325" name="Line 359">
          <a:extLst>
            <a:ext uri="{FF2B5EF4-FFF2-40B4-BE49-F238E27FC236}">
              <a16:creationId xmlns:a16="http://schemas.microsoft.com/office/drawing/2014/main" id="{00000000-0008-0000-0000-000045010000}"/>
            </a:ext>
          </a:extLst>
        </xdr:cNvPr>
        <xdr:cNvSpPr>
          <a:spLocks noChangeShapeType="1"/>
        </xdr:cNvSpPr>
      </xdr:nvSpPr>
      <xdr:spPr bwMode="auto">
        <a:xfrm flipH="1">
          <a:off x="3209925" y="2436495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126</xdr:row>
      <xdr:rowOff>161925</xdr:rowOff>
    </xdr:from>
    <xdr:to>
      <xdr:col>5</xdr:col>
      <xdr:colOff>628650</xdr:colOff>
      <xdr:row>127</xdr:row>
      <xdr:rowOff>47625</xdr:rowOff>
    </xdr:to>
    <xdr:sp macro="" textlink="">
      <xdr:nvSpPr>
        <xdr:cNvPr id="326" name="Line 360">
          <a:extLst>
            <a:ext uri="{FF2B5EF4-FFF2-40B4-BE49-F238E27FC236}">
              <a16:creationId xmlns:a16="http://schemas.microsoft.com/office/drawing/2014/main" id="{00000000-0008-0000-0000-000046010000}"/>
            </a:ext>
          </a:extLst>
        </xdr:cNvPr>
        <xdr:cNvSpPr>
          <a:spLocks noChangeShapeType="1"/>
        </xdr:cNvSpPr>
      </xdr:nvSpPr>
      <xdr:spPr bwMode="auto">
        <a:xfrm flipH="1">
          <a:off x="3200400" y="245649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91</xdr:row>
      <xdr:rowOff>161925</xdr:rowOff>
    </xdr:from>
    <xdr:to>
      <xdr:col>4</xdr:col>
      <xdr:colOff>95250</xdr:colOff>
      <xdr:row>92</xdr:row>
      <xdr:rowOff>104775</xdr:rowOff>
    </xdr:to>
    <xdr:sp macro="" textlink="">
      <xdr:nvSpPr>
        <xdr:cNvPr id="327" name="Line 361">
          <a:extLst>
            <a:ext uri="{FF2B5EF4-FFF2-40B4-BE49-F238E27FC236}">
              <a16:creationId xmlns:a16="http://schemas.microsoft.com/office/drawing/2014/main" id="{00000000-0008-0000-0000-000047010000}"/>
            </a:ext>
          </a:extLst>
        </xdr:cNvPr>
        <xdr:cNvSpPr>
          <a:spLocks noChangeShapeType="1"/>
        </xdr:cNvSpPr>
      </xdr:nvSpPr>
      <xdr:spPr bwMode="auto">
        <a:xfrm flipH="1">
          <a:off x="1781175" y="17754600"/>
          <a:ext cx="64770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90</xdr:row>
      <xdr:rowOff>19050</xdr:rowOff>
    </xdr:from>
    <xdr:to>
      <xdr:col>5</xdr:col>
      <xdr:colOff>390525</xdr:colOff>
      <xdr:row>90</xdr:row>
      <xdr:rowOff>19050</xdr:rowOff>
    </xdr:to>
    <xdr:sp macro="" textlink="">
      <xdr:nvSpPr>
        <xdr:cNvPr id="328" name="Line 362">
          <a:extLst>
            <a:ext uri="{FF2B5EF4-FFF2-40B4-BE49-F238E27FC236}">
              <a16:creationId xmlns:a16="http://schemas.microsoft.com/office/drawing/2014/main" id="{00000000-0008-0000-0000-000048010000}"/>
            </a:ext>
          </a:extLst>
        </xdr:cNvPr>
        <xdr:cNvSpPr>
          <a:spLocks noChangeShapeType="1"/>
        </xdr:cNvSpPr>
      </xdr:nvSpPr>
      <xdr:spPr bwMode="auto">
        <a:xfrm flipH="1">
          <a:off x="2085975" y="17421225"/>
          <a:ext cx="962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89</xdr:row>
      <xdr:rowOff>133350</xdr:rowOff>
    </xdr:from>
    <xdr:to>
      <xdr:col>3</xdr:col>
      <xdr:colOff>228600</xdr:colOff>
      <xdr:row>90</xdr:row>
      <xdr:rowOff>76200</xdr:rowOff>
    </xdr:to>
    <xdr:sp macro="" textlink="">
      <xdr:nvSpPr>
        <xdr:cNvPr id="329" name="Line 363">
          <a:extLst>
            <a:ext uri="{FF2B5EF4-FFF2-40B4-BE49-F238E27FC236}">
              <a16:creationId xmlns:a16="http://schemas.microsoft.com/office/drawing/2014/main" id="{00000000-0008-0000-0000-000049010000}"/>
            </a:ext>
          </a:extLst>
        </xdr:cNvPr>
        <xdr:cNvSpPr>
          <a:spLocks noChangeShapeType="1"/>
        </xdr:cNvSpPr>
      </xdr:nvSpPr>
      <xdr:spPr bwMode="auto">
        <a:xfrm flipH="1">
          <a:off x="2066925" y="17335500"/>
          <a:ext cx="12382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89</xdr:row>
      <xdr:rowOff>123825</xdr:rowOff>
    </xdr:from>
    <xdr:to>
      <xdr:col>5</xdr:col>
      <xdr:colOff>104775</xdr:colOff>
      <xdr:row>91</xdr:row>
      <xdr:rowOff>19050</xdr:rowOff>
    </xdr:to>
    <xdr:sp macro="" textlink="">
      <xdr:nvSpPr>
        <xdr:cNvPr id="330" name="Line 364">
          <a:extLst>
            <a:ext uri="{FF2B5EF4-FFF2-40B4-BE49-F238E27FC236}">
              <a16:creationId xmlns:a16="http://schemas.microsoft.com/office/drawing/2014/main" id="{00000000-0008-0000-0000-00004A010000}"/>
            </a:ext>
          </a:extLst>
        </xdr:cNvPr>
        <xdr:cNvSpPr>
          <a:spLocks noChangeShapeType="1"/>
        </xdr:cNvSpPr>
      </xdr:nvSpPr>
      <xdr:spPr bwMode="auto">
        <a:xfrm flipV="1">
          <a:off x="2762250" y="173259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89</xdr:row>
      <xdr:rowOff>104775</xdr:rowOff>
    </xdr:from>
    <xdr:to>
      <xdr:col>5</xdr:col>
      <xdr:colOff>190500</xdr:colOff>
      <xdr:row>90</xdr:row>
      <xdr:rowOff>76200</xdr:rowOff>
    </xdr:to>
    <xdr:sp macro="" textlink="">
      <xdr:nvSpPr>
        <xdr:cNvPr id="331" name="Line 365">
          <a:extLst>
            <a:ext uri="{FF2B5EF4-FFF2-40B4-BE49-F238E27FC236}">
              <a16:creationId xmlns:a16="http://schemas.microsoft.com/office/drawing/2014/main" id="{00000000-0008-0000-0000-00004B010000}"/>
            </a:ext>
          </a:extLst>
        </xdr:cNvPr>
        <xdr:cNvSpPr>
          <a:spLocks noChangeShapeType="1"/>
        </xdr:cNvSpPr>
      </xdr:nvSpPr>
      <xdr:spPr bwMode="auto">
        <a:xfrm flipH="1">
          <a:off x="2705100" y="17306925"/>
          <a:ext cx="142875"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91</xdr:row>
      <xdr:rowOff>133350</xdr:rowOff>
    </xdr:from>
    <xdr:to>
      <xdr:col>5</xdr:col>
      <xdr:colOff>323850</xdr:colOff>
      <xdr:row>91</xdr:row>
      <xdr:rowOff>133350</xdr:rowOff>
    </xdr:to>
    <xdr:sp macro="" textlink="">
      <xdr:nvSpPr>
        <xdr:cNvPr id="332" name="Line 366">
          <a:extLst>
            <a:ext uri="{FF2B5EF4-FFF2-40B4-BE49-F238E27FC236}">
              <a16:creationId xmlns:a16="http://schemas.microsoft.com/office/drawing/2014/main" id="{00000000-0008-0000-0000-00004C010000}"/>
            </a:ext>
          </a:extLst>
        </xdr:cNvPr>
        <xdr:cNvSpPr>
          <a:spLocks noChangeShapeType="1"/>
        </xdr:cNvSpPr>
      </xdr:nvSpPr>
      <xdr:spPr bwMode="auto">
        <a:xfrm>
          <a:off x="2686050" y="17726025"/>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93</xdr:row>
      <xdr:rowOff>38100</xdr:rowOff>
    </xdr:from>
    <xdr:to>
      <xdr:col>5</xdr:col>
      <xdr:colOff>323850</xdr:colOff>
      <xdr:row>93</xdr:row>
      <xdr:rowOff>38100</xdr:rowOff>
    </xdr:to>
    <xdr:sp macro="" textlink="">
      <xdr:nvSpPr>
        <xdr:cNvPr id="333" name="Line 367">
          <a:extLst>
            <a:ext uri="{FF2B5EF4-FFF2-40B4-BE49-F238E27FC236}">
              <a16:creationId xmlns:a16="http://schemas.microsoft.com/office/drawing/2014/main" id="{00000000-0008-0000-0000-00004D010000}"/>
            </a:ext>
          </a:extLst>
        </xdr:cNvPr>
        <xdr:cNvSpPr>
          <a:spLocks noChangeShapeType="1"/>
        </xdr:cNvSpPr>
      </xdr:nvSpPr>
      <xdr:spPr bwMode="auto">
        <a:xfrm>
          <a:off x="2695575" y="18011775"/>
          <a:ext cx="285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91</xdr:row>
      <xdr:rowOff>95250</xdr:rowOff>
    </xdr:from>
    <xdr:to>
      <xdr:col>5</xdr:col>
      <xdr:colOff>266700</xdr:colOff>
      <xdr:row>93</xdr:row>
      <xdr:rowOff>76200</xdr:rowOff>
    </xdr:to>
    <xdr:sp macro="" textlink="">
      <xdr:nvSpPr>
        <xdr:cNvPr id="334" name="Line 368">
          <a:extLst>
            <a:ext uri="{FF2B5EF4-FFF2-40B4-BE49-F238E27FC236}">
              <a16:creationId xmlns:a16="http://schemas.microsoft.com/office/drawing/2014/main" id="{00000000-0008-0000-0000-00004E010000}"/>
            </a:ext>
          </a:extLst>
        </xdr:cNvPr>
        <xdr:cNvSpPr>
          <a:spLocks noChangeShapeType="1"/>
        </xdr:cNvSpPr>
      </xdr:nvSpPr>
      <xdr:spPr bwMode="auto">
        <a:xfrm flipV="1">
          <a:off x="2924175" y="17687925"/>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91</xdr:row>
      <xdr:rowOff>85725</xdr:rowOff>
    </xdr:from>
    <xdr:to>
      <xdr:col>5</xdr:col>
      <xdr:colOff>323850</xdr:colOff>
      <xdr:row>91</xdr:row>
      <xdr:rowOff>180975</xdr:rowOff>
    </xdr:to>
    <xdr:sp macro="" textlink="">
      <xdr:nvSpPr>
        <xdr:cNvPr id="335" name="Line 369">
          <a:extLst>
            <a:ext uri="{FF2B5EF4-FFF2-40B4-BE49-F238E27FC236}">
              <a16:creationId xmlns:a16="http://schemas.microsoft.com/office/drawing/2014/main" id="{00000000-0008-0000-0000-00004F010000}"/>
            </a:ext>
          </a:extLst>
        </xdr:cNvPr>
        <xdr:cNvSpPr>
          <a:spLocks noChangeShapeType="1"/>
        </xdr:cNvSpPr>
      </xdr:nvSpPr>
      <xdr:spPr bwMode="auto">
        <a:xfrm flipH="1">
          <a:off x="2886075" y="1767840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93</xdr:row>
      <xdr:rowOff>0</xdr:rowOff>
    </xdr:from>
    <xdr:to>
      <xdr:col>5</xdr:col>
      <xdr:colOff>304800</xdr:colOff>
      <xdr:row>93</xdr:row>
      <xdr:rowOff>76200</xdr:rowOff>
    </xdr:to>
    <xdr:sp macro="" textlink="">
      <xdr:nvSpPr>
        <xdr:cNvPr id="336" name="Line 370">
          <a:extLst>
            <a:ext uri="{FF2B5EF4-FFF2-40B4-BE49-F238E27FC236}">
              <a16:creationId xmlns:a16="http://schemas.microsoft.com/office/drawing/2014/main" id="{00000000-0008-0000-0000-000050010000}"/>
            </a:ext>
          </a:extLst>
        </xdr:cNvPr>
        <xdr:cNvSpPr>
          <a:spLocks noChangeShapeType="1"/>
        </xdr:cNvSpPr>
      </xdr:nvSpPr>
      <xdr:spPr bwMode="auto">
        <a:xfrm flipH="1">
          <a:off x="2876550" y="1797367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104775</xdr:colOff>
      <xdr:row>23</xdr:row>
      <xdr:rowOff>19050</xdr:rowOff>
    </xdr:from>
    <xdr:to>
      <xdr:col>13</xdr:col>
      <xdr:colOff>400050</xdr:colOff>
      <xdr:row>23</xdr:row>
      <xdr:rowOff>142875</xdr:rowOff>
    </xdr:to>
    <xdr:sp macro="" textlink="">
      <xdr:nvSpPr>
        <xdr:cNvPr id="337" name="Line 371">
          <a:extLst>
            <a:ext uri="{FF2B5EF4-FFF2-40B4-BE49-F238E27FC236}">
              <a16:creationId xmlns:a16="http://schemas.microsoft.com/office/drawing/2014/main" id="{00000000-0008-0000-0000-000051010000}"/>
            </a:ext>
          </a:extLst>
        </xdr:cNvPr>
        <xdr:cNvSpPr>
          <a:spLocks noChangeShapeType="1"/>
        </xdr:cNvSpPr>
      </xdr:nvSpPr>
      <xdr:spPr bwMode="auto">
        <a:xfrm flipH="1">
          <a:off x="8248650" y="4267200"/>
          <a:ext cx="2952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310</xdr:row>
      <xdr:rowOff>76200</xdr:rowOff>
    </xdr:from>
    <xdr:to>
      <xdr:col>52</xdr:col>
      <xdr:colOff>57150</xdr:colOff>
      <xdr:row>310</xdr:row>
      <xdr:rowOff>76200</xdr:rowOff>
    </xdr:to>
    <xdr:sp macro="" textlink="">
      <xdr:nvSpPr>
        <xdr:cNvPr id="338" name="Line 372">
          <a:extLst>
            <a:ext uri="{FF2B5EF4-FFF2-40B4-BE49-F238E27FC236}">
              <a16:creationId xmlns:a16="http://schemas.microsoft.com/office/drawing/2014/main" id="{00000000-0008-0000-0000-000052010000}"/>
            </a:ext>
          </a:extLst>
        </xdr:cNvPr>
        <xdr:cNvSpPr>
          <a:spLocks noChangeShapeType="1"/>
        </xdr:cNvSpPr>
      </xdr:nvSpPr>
      <xdr:spPr bwMode="auto">
        <a:xfrm>
          <a:off x="19307175" y="597789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311</xdr:row>
      <xdr:rowOff>76200</xdr:rowOff>
    </xdr:from>
    <xdr:to>
      <xdr:col>52</xdr:col>
      <xdr:colOff>57150</xdr:colOff>
      <xdr:row>311</xdr:row>
      <xdr:rowOff>76200</xdr:rowOff>
    </xdr:to>
    <xdr:sp macro="" textlink="">
      <xdr:nvSpPr>
        <xdr:cNvPr id="339" name="Line 373">
          <a:extLst>
            <a:ext uri="{FF2B5EF4-FFF2-40B4-BE49-F238E27FC236}">
              <a16:creationId xmlns:a16="http://schemas.microsoft.com/office/drawing/2014/main" id="{00000000-0008-0000-0000-000053010000}"/>
            </a:ext>
          </a:extLst>
        </xdr:cNvPr>
        <xdr:cNvSpPr>
          <a:spLocks noChangeShapeType="1"/>
        </xdr:cNvSpPr>
      </xdr:nvSpPr>
      <xdr:spPr bwMode="auto">
        <a:xfrm>
          <a:off x="19307175" y="599694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312</xdr:row>
      <xdr:rowOff>95250</xdr:rowOff>
    </xdr:from>
    <xdr:to>
      <xdr:col>52</xdr:col>
      <xdr:colOff>57150</xdr:colOff>
      <xdr:row>312</xdr:row>
      <xdr:rowOff>95250</xdr:rowOff>
    </xdr:to>
    <xdr:sp macro="" textlink="">
      <xdr:nvSpPr>
        <xdr:cNvPr id="340" name="Line 374">
          <a:extLst>
            <a:ext uri="{FF2B5EF4-FFF2-40B4-BE49-F238E27FC236}">
              <a16:creationId xmlns:a16="http://schemas.microsoft.com/office/drawing/2014/main" id="{00000000-0008-0000-0000-000054010000}"/>
            </a:ext>
          </a:extLst>
        </xdr:cNvPr>
        <xdr:cNvSpPr>
          <a:spLocks noChangeShapeType="1"/>
        </xdr:cNvSpPr>
      </xdr:nvSpPr>
      <xdr:spPr bwMode="auto">
        <a:xfrm>
          <a:off x="19307175" y="6017895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313</xdr:row>
      <xdr:rowOff>95250</xdr:rowOff>
    </xdr:from>
    <xdr:to>
      <xdr:col>52</xdr:col>
      <xdr:colOff>57150</xdr:colOff>
      <xdr:row>313</xdr:row>
      <xdr:rowOff>95250</xdr:rowOff>
    </xdr:to>
    <xdr:sp macro="" textlink="">
      <xdr:nvSpPr>
        <xdr:cNvPr id="341" name="Line 375">
          <a:extLst>
            <a:ext uri="{FF2B5EF4-FFF2-40B4-BE49-F238E27FC236}">
              <a16:creationId xmlns:a16="http://schemas.microsoft.com/office/drawing/2014/main" id="{00000000-0008-0000-0000-000055010000}"/>
            </a:ext>
          </a:extLst>
        </xdr:cNvPr>
        <xdr:cNvSpPr>
          <a:spLocks noChangeShapeType="1"/>
        </xdr:cNvSpPr>
      </xdr:nvSpPr>
      <xdr:spPr bwMode="auto">
        <a:xfrm>
          <a:off x="19307175" y="6036945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318</xdr:row>
      <xdr:rowOff>76200</xdr:rowOff>
    </xdr:from>
    <xdr:to>
      <xdr:col>52</xdr:col>
      <xdr:colOff>57150</xdr:colOff>
      <xdr:row>318</xdr:row>
      <xdr:rowOff>76200</xdr:rowOff>
    </xdr:to>
    <xdr:sp macro="" textlink="">
      <xdr:nvSpPr>
        <xdr:cNvPr id="342" name="Line 376">
          <a:extLst>
            <a:ext uri="{FF2B5EF4-FFF2-40B4-BE49-F238E27FC236}">
              <a16:creationId xmlns:a16="http://schemas.microsoft.com/office/drawing/2014/main" id="{00000000-0008-0000-0000-000056010000}"/>
            </a:ext>
          </a:extLst>
        </xdr:cNvPr>
        <xdr:cNvSpPr>
          <a:spLocks noChangeShapeType="1"/>
        </xdr:cNvSpPr>
      </xdr:nvSpPr>
      <xdr:spPr bwMode="auto">
        <a:xfrm>
          <a:off x="19307175" y="613029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266700</xdr:colOff>
      <xdr:row>319</xdr:row>
      <xdr:rowOff>76200</xdr:rowOff>
    </xdr:from>
    <xdr:to>
      <xdr:col>52</xdr:col>
      <xdr:colOff>57150</xdr:colOff>
      <xdr:row>319</xdr:row>
      <xdr:rowOff>76200</xdr:rowOff>
    </xdr:to>
    <xdr:sp macro="" textlink="">
      <xdr:nvSpPr>
        <xdr:cNvPr id="343" name="Line 377">
          <a:extLst>
            <a:ext uri="{FF2B5EF4-FFF2-40B4-BE49-F238E27FC236}">
              <a16:creationId xmlns:a16="http://schemas.microsoft.com/office/drawing/2014/main" id="{00000000-0008-0000-0000-000057010000}"/>
            </a:ext>
          </a:extLst>
        </xdr:cNvPr>
        <xdr:cNvSpPr>
          <a:spLocks noChangeShapeType="1"/>
        </xdr:cNvSpPr>
      </xdr:nvSpPr>
      <xdr:spPr bwMode="auto">
        <a:xfrm>
          <a:off x="19307175" y="61493400"/>
          <a:ext cx="21869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114300</xdr:colOff>
      <xdr:row>28</xdr:row>
      <xdr:rowOff>95250</xdr:rowOff>
    </xdr:from>
    <xdr:to>
      <xdr:col>15</xdr:col>
      <xdr:colOff>9525</xdr:colOff>
      <xdr:row>28</xdr:row>
      <xdr:rowOff>95250</xdr:rowOff>
    </xdr:to>
    <xdr:sp macro="" textlink="">
      <xdr:nvSpPr>
        <xdr:cNvPr id="344" name="Line 378">
          <a:extLst>
            <a:ext uri="{FF2B5EF4-FFF2-40B4-BE49-F238E27FC236}">
              <a16:creationId xmlns:a16="http://schemas.microsoft.com/office/drawing/2014/main" id="{00000000-0008-0000-0000-000058010000}"/>
            </a:ext>
          </a:extLst>
        </xdr:cNvPr>
        <xdr:cNvSpPr>
          <a:spLocks noChangeShapeType="1"/>
        </xdr:cNvSpPr>
      </xdr:nvSpPr>
      <xdr:spPr bwMode="auto">
        <a:xfrm>
          <a:off x="9353550" y="5314950"/>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114300</xdr:colOff>
      <xdr:row>32</xdr:row>
      <xdr:rowOff>95250</xdr:rowOff>
    </xdr:from>
    <xdr:to>
      <xdr:col>15</xdr:col>
      <xdr:colOff>9525</xdr:colOff>
      <xdr:row>32</xdr:row>
      <xdr:rowOff>95250</xdr:rowOff>
    </xdr:to>
    <xdr:sp macro="" textlink="">
      <xdr:nvSpPr>
        <xdr:cNvPr id="345" name="Line 379">
          <a:extLst>
            <a:ext uri="{FF2B5EF4-FFF2-40B4-BE49-F238E27FC236}">
              <a16:creationId xmlns:a16="http://schemas.microsoft.com/office/drawing/2014/main" id="{00000000-0008-0000-0000-000059010000}"/>
            </a:ext>
          </a:extLst>
        </xdr:cNvPr>
        <xdr:cNvSpPr>
          <a:spLocks noChangeShapeType="1"/>
        </xdr:cNvSpPr>
      </xdr:nvSpPr>
      <xdr:spPr bwMode="auto">
        <a:xfrm>
          <a:off x="9353550" y="6076950"/>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16</xdr:col>
      <xdr:colOff>114300</xdr:colOff>
      <xdr:row>89</xdr:row>
      <xdr:rowOff>76200</xdr:rowOff>
    </xdr:from>
    <xdr:to>
      <xdr:col>17</xdr:col>
      <xdr:colOff>9525</xdr:colOff>
      <xdr:row>89</xdr:row>
      <xdr:rowOff>76200</xdr:rowOff>
    </xdr:to>
    <xdr:sp macro="" textlink="">
      <xdr:nvSpPr>
        <xdr:cNvPr id="346" name="Line 380">
          <a:extLst>
            <a:ext uri="{FF2B5EF4-FFF2-40B4-BE49-F238E27FC236}">
              <a16:creationId xmlns:a16="http://schemas.microsoft.com/office/drawing/2014/main" id="{00000000-0008-0000-0000-00005A010000}"/>
            </a:ext>
          </a:extLst>
        </xdr:cNvPr>
        <xdr:cNvSpPr>
          <a:spLocks noChangeShapeType="1"/>
        </xdr:cNvSpPr>
      </xdr:nvSpPr>
      <xdr:spPr bwMode="auto">
        <a:xfrm>
          <a:off x="11029950" y="17278350"/>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104775</xdr:colOff>
      <xdr:row>126</xdr:row>
      <xdr:rowOff>95250</xdr:rowOff>
    </xdr:from>
    <xdr:to>
      <xdr:col>14</xdr:col>
      <xdr:colOff>819150</xdr:colOff>
      <xdr:row>126</xdr:row>
      <xdr:rowOff>95250</xdr:rowOff>
    </xdr:to>
    <xdr:sp macro="" textlink="">
      <xdr:nvSpPr>
        <xdr:cNvPr id="347" name="Line 381">
          <a:extLst>
            <a:ext uri="{FF2B5EF4-FFF2-40B4-BE49-F238E27FC236}">
              <a16:creationId xmlns:a16="http://schemas.microsoft.com/office/drawing/2014/main" id="{00000000-0008-0000-0000-00005B010000}"/>
            </a:ext>
          </a:extLst>
        </xdr:cNvPr>
        <xdr:cNvSpPr>
          <a:spLocks noChangeShapeType="1"/>
        </xdr:cNvSpPr>
      </xdr:nvSpPr>
      <xdr:spPr bwMode="auto">
        <a:xfrm>
          <a:off x="9344025" y="24498300"/>
          <a:ext cx="7143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15</xdr:col>
      <xdr:colOff>95250</xdr:colOff>
      <xdr:row>364</xdr:row>
      <xdr:rowOff>114300</xdr:rowOff>
    </xdr:from>
    <xdr:to>
      <xdr:col>16</xdr:col>
      <xdr:colOff>9525</xdr:colOff>
      <xdr:row>364</xdr:row>
      <xdr:rowOff>114300</xdr:rowOff>
    </xdr:to>
    <xdr:sp macro="" textlink="">
      <xdr:nvSpPr>
        <xdr:cNvPr id="348" name="Line 382">
          <a:extLst>
            <a:ext uri="{FF2B5EF4-FFF2-40B4-BE49-F238E27FC236}">
              <a16:creationId xmlns:a16="http://schemas.microsoft.com/office/drawing/2014/main" id="{00000000-0008-0000-0000-00005C010000}"/>
            </a:ext>
          </a:extLst>
        </xdr:cNvPr>
        <xdr:cNvSpPr>
          <a:spLocks noChangeShapeType="1"/>
        </xdr:cNvSpPr>
      </xdr:nvSpPr>
      <xdr:spPr bwMode="auto">
        <a:xfrm>
          <a:off x="10172700" y="70218300"/>
          <a:ext cx="752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13</xdr:col>
      <xdr:colOff>695325</xdr:colOff>
      <xdr:row>8</xdr:row>
      <xdr:rowOff>28575</xdr:rowOff>
    </xdr:from>
    <xdr:to>
      <xdr:col>13</xdr:col>
      <xdr:colOff>790575</xdr:colOff>
      <xdr:row>10</xdr:row>
      <xdr:rowOff>161925</xdr:rowOff>
    </xdr:to>
    <xdr:sp macro="" textlink="">
      <xdr:nvSpPr>
        <xdr:cNvPr id="349" name="Tegning 383">
          <a:extLst>
            <a:ext uri="{FF2B5EF4-FFF2-40B4-BE49-F238E27FC236}">
              <a16:creationId xmlns:a16="http://schemas.microsoft.com/office/drawing/2014/main" id="{00000000-0008-0000-0000-00005D010000}"/>
            </a:ext>
          </a:extLst>
        </xdr:cNvPr>
        <xdr:cNvSpPr>
          <a:spLocks/>
        </xdr:cNvSpPr>
      </xdr:nvSpPr>
      <xdr:spPr bwMode="auto">
        <a:xfrm>
          <a:off x="8839200" y="1343025"/>
          <a:ext cx="95250" cy="533400"/>
        </a:xfrm>
        <a:custGeom>
          <a:avLst/>
          <a:gdLst>
            <a:gd name="T0" fmla="*/ 2147483647 w 16384"/>
            <a:gd name="T1" fmla="*/ 0 h 16384"/>
            <a:gd name="T2" fmla="*/ 0 w 16384"/>
            <a:gd name="T3" fmla="*/ 2147483647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2288" y="0"/>
              </a:moveTo>
              <a:lnTo>
                <a:pt x="0" y="1143"/>
              </a:lnTo>
              <a:lnTo>
                <a:pt x="0" y="14479"/>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46</xdr:col>
      <xdr:colOff>733425</xdr:colOff>
      <xdr:row>8</xdr:row>
      <xdr:rowOff>19050</xdr:rowOff>
    </xdr:from>
    <xdr:to>
      <xdr:col>51</xdr:col>
      <xdr:colOff>0</xdr:colOff>
      <xdr:row>15</xdr:row>
      <xdr:rowOff>0</xdr:rowOff>
    </xdr:to>
    <xdr:sp macro="" textlink="">
      <xdr:nvSpPr>
        <xdr:cNvPr id="350" name="Line 384">
          <a:extLst>
            <a:ext uri="{FF2B5EF4-FFF2-40B4-BE49-F238E27FC236}">
              <a16:creationId xmlns:a16="http://schemas.microsoft.com/office/drawing/2014/main" id="{00000000-0008-0000-0000-00005E010000}"/>
            </a:ext>
          </a:extLst>
        </xdr:cNvPr>
        <xdr:cNvSpPr>
          <a:spLocks noChangeShapeType="1"/>
        </xdr:cNvSpPr>
      </xdr:nvSpPr>
      <xdr:spPr bwMode="auto">
        <a:xfrm flipV="1">
          <a:off x="36309300" y="1333500"/>
          <a:ext cx="3971925" cy="1352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704850</xdr:colOff>
      <xdr:row>8</xdr:row>
      <xdr:rowOff>0</xdr:rowOff>
    </xdr:from>
    <xdr:to>
      <xdr:col>50</xdr:col>
      <xdr:colOff>733425</xdr:colOff>
      <xdr:row>14</xdr:row>
      <xdr:rowOff>190500</xdr:rowOff>
    </xdr:to>
    <xdr:sp macro="" textlink="">
      <xdr:nvSpPr>
        <xdr:cNvPr id="351" name="Line 385">
          <a:extLst>
            <a:ext uri="{FF2B5EF4-FFF2-40B4-BE49-F238E27FC236}">
              <a16:creationId xmlns:a16="http://schemas.microsoft.com/office/drawing/2014/main" id="{00000000-0008-0000-0000-00005F010000}"/>
            </a:ext>
          </a:extLst>
        </xdr:cNvPr>
        <xdr:cNvSpPr>
          <a:spLocks noChangeShapeType="1"/>
        </xdr:cNvSpPr>
      </xdr:nvSpPr>
      <xdr:spPr bwMode="auto">
        <a:xfrm>
          <a:off x="36280725" y="1314450"/>
          <a:ext cx="3981450" cy="1371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0</xdr:colOff>
      <xdr:row>22</xdr:row>
      <xdr:rowOff>47625</xdr:rowOff>
    </xdr:from>
    <xdr:to>
      <xdr:col>51</xdr:col>
      <xdr:colOff>19050</xdr:colOff>
      <xdr:row>33</xdr:row>
      <xdr:rowOff>9525</xdr:rowOff>
    </xdr:to>
    <xdr:sp macro="" textlink="">
      <xdr:nvSpPr>
        <xdr:cNvPr id="352" name="Line 386">
          <a:extLst>
            <a:ext uri="{FF2B5EF4-FFF2-40B4-BE49-F238E27FC236}">
              <a16:creationId xmlns:a16="http://schemas.microsoft.com/office/drawing/2014/main" id="{00000000-0008-0000-0000-000060010000}"/>
            </a:ext>
          </a:extLst>
        </xdr:cNvPr>
        <xdr:cNvSpPr>
          <a:spLocks noChangeShapeType="1"/>
        </xdr:cNvSpPr>
      </xdr:nvSpPr>
      <xdr:spPr bwMode="auto">
        <a:xfrm>
          <a:off x="36328350" y="4095750"/>
          <a:ext cx="3971925" cy="2085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733425</xdr:colOff>
      <xdr:row>22</xdr:row>
      <xdr:rowOff>28575</xdr:rowOff>
    </xdr:from>
    <xdr:to>
      <xdr:col>50</xdr:col>
      <xdr:colOff>733425</xdr:colOff>
      <xdr:row>33</xdr:row>
      <xdr:rowOff>9525</xdr:rowOff>
    </xdr:to>
    <xdr:sp macro="" textlink="">
      <xdr:nvSpPr>
        <xdr:cNvPr id="353" name="Line 387">
          <a:extLst>
            <a:ext uri="{FF2B5EF4-FFF2-40B4-BE49-F238E27FC236}">
              <a16:creationId xmlns:a16="http://schemas.microsoft.com/office/drawing/2014/main" id="{00000000-0008-0000-0000-000061010000}"/>
            </a:ext>
          </a:extLst>
        </xdr:cNvPr>
        <xdr:cNvSpPr>
          <a:spLocks noChangeShapeType="1"/>
        </xdr:cNvSpPr>
      </xdr:nvSpPr>
      <xdr:spPr bwMode="auto">
        <a:xfrm flipH="1">
          <a:off x="36309300" y="4076700"/>
          <a:ext cx="3952875" cy="2105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733425</xdr:colOff>
      <xdr:row>18</xdr:row>
      <xdr:rowOff>19050</xdr:rowOff>
    </xdr:from>
    <xdr:to>
      <xdr:col>51</xdr:col>
      <xdr:colOff>0</xdr:colOff>
      <xdr:row>20</xdr:row>
      <xdr:rowOff>190500</xdr:rowOff>
    </xdr:to>
    <xdr:sp macro="" textlink="">
      <xdr:nvSpPr>
        <xdr:cNvPr id="354" name="Line 388">
          <a:extLst>
            <a:ext uri="{FF2B5EF4-FFF2-40B4-BE49-F238E27FC236}">
              <a16:creationId xmlns:a16="http://schemas.microsoft.com/office/drawing/2014/main" id="{00000000-0008-0000-0000-000062010000}"/>
            </a:ext>
          </a:extLst>
        </xdr:cNvPr>
        <xdr:cNvSpPr>
          <a:spLocks noChangeShapeType="1"/>
        </xdr:cNvSpPr>
      </xdr:nvSpPr>
      <xdr:spPr bwMode="auto">
        <a:xfrm>
          <a:off x="36309300" y="3286125"/>
          <a:ext cx="3971925" cy="561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47</xdr:col>
      <xdr:colOff>0</xdr:colOff>
      <xdr:row>18</xdr:row>
      <xdr:rowOff>19050</xdr:rowOff>
    </xdr:from>
    <xdr:to>
      <xdr:col>51</xdr:col>
      <xdr:colOff>0</xdr:colOff>
      <xdr:row>20</xdr:row>
      <xdr:rowOff>152400</xdr:rowOff>
    </xdr:to>
    <xdr:sp macro="" textlink="">
      <xdr:nvSpPr>
        <xdr:cNvPr id="355" name="Line 389">
          <a:extLst>
            <a:ext uri="{FF2B5EF4-FFF2-40B4-BE49-F238E27FC236}">
              <a16:creationId xmlns:a16="http://schemas.microsoft.com/office/drawing/2014/main" id="{00000000-0008-0000-0000-000063010000}"/>
            </a:ext>
          </a:extLst>
        </xdr:cNvPr>
        <xdr:cNvSpPr>
          <a:spLocks noChangeShapeType="1"/>
        </xdr:cNvSpPr>
      </xdr:nvSpPr>
      <xdr:spPr bwMode="auto">
        <a:xfrm flipH="1">
          <a:off x="36328350" y="3286125"/>
          <a:ext cx="3952875"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714375</xdr:colOff>
      <xdr:row>7</xdr:row>
      <xdr:rowOff>200025</xdr:rowOff>
    </xdr:from>
    <xdr:to>
      <xdr:col>57</xdr:col>
      <xdr:colOff>95250</xdr:colOff>
      <xdr:row>14</xdr:row>
      <xdr:rowOff>180975</xdr:rowOff>
    </xdr:to>
    <xdr:sp macro="" textlink="">
      <xdr:nvSpPr>
        <xdr:cNvPr id="356" name="Line 390">
          <a:extLst>
            <a:ext uri="{FF2B5EF4-FFF2-40B4-BE49-F238E27FC236}">
              <a16:creationId xmlns:a16="http://schemas.microsoft.com/office/drawing/2014/main" id="{00000000-0008-0000-0000-000064010000}"/>
            </a:ext>
          </a:extLst>
        </xdr:cNvPr>
        <xdr:cNvSpPr>
          <a:spLocks noChangeShapeType="1"/>
        </xdr:cNvSpPr>
      </xdr:nvSpPr>
      <xdr:spPr bwMode="auto">
        <a:xfrm flipV="1">
          <a:off x="41833800" y="1314450"/>
          <a:ext cx="4000500" cy="1362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695325</xdr:colOff>
      <xdr:row>7</xdr:row>
      <xdr:rowOff>190500</xdr:rowOff>
    </xdr:from>
    <xdr:to>
      <xdr:col>57</xdr:col>
      <xdr:colOff>57150</xdr:colOff>
      <xdr:row>14</xdr:row>
      <xdr:rowOff>161925</xdr:rowOff>
    </xdr:to>
    <xdr:sp macro="" textlink="">
      <xdr:nvSpPr>
        <xdr:cNvPr id="357" name="Line 391">
          <a:extLst>
            <a:ext uri="{FF2B5EF4-FFF2-40B4-BE49-F238E27FC236}">
              <a16:creationId xmlns:a16="http://schemas.microsoft.com/office/drawing/2014/main" id="{00000000-0008-0000-0000-000065010000}"/>
            </a:ext>
          </a:extLst>
        </xdr:cNvPr>
        <xdr:cNvSpPr>
          <a:spLocks noChangeShapeType="1"/>
        </xdr:cNvSpPr>
      </xdr:nvSpPr>
      <xdr:spPr bwMode="auto">
        <a:xfrm>
          <a:off x="41814750" y="1304925"/>
          <a:ext cx="3981450" cy="1352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53</xdr:col>
      <xdr:colOff>9525</xdr:colOff>
      <xdr:row>22</xdr:row>
      <xdr:rowOff>0</xdr:rowOff>
    </xdr:from>
    <xdr:to>
      <xdr:col>57</xdr:col>
      <xdr:colOff>114300</xdr:colOff>
      <xdr:row>32</xdr:row>
      <xdr:rowOff>209550</xdr:rowOff>
    </xdr:to>
    <xdr:sp macro="" textlink="">
      <xdr:nvSpPr>
        <xdr:cNvPr id="358" name="Line 392">
          <a:extLst>
            <a:ext uri="{FF2B5EF4-FFF2-40B4-BE49-F238E27FC236}">
              <a16:creationId xmlns:a16="http://schemas.microsoft.com/office/drawing/2014/main" id="{00000000-0008-0000-0000-000066010000}"/>
            </a:ext>
          </a:extLst>
        </xdr:cNvPr>
        <xdr:cNvSpPr>
          <a:spLocks noChangeShapeType="1"/>
        </xdr:cNvSpPr>
      </xdr:nvSpPr>
      <xdr:spPr bwMode="auto">
        <a:xfrm>
          <a:off x="42052875" y="4048125"/>
          <a:ext cx="3800475" cy="2124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714375</xdr:colOff>
      <xdr:row>22</xdr:row>
      <xdr:rowOff>0</xdr:rowOff>
    </xdr:from>
    <xdr:to>
      <xdr:col>57</xdr:col>
      <xdr:colOff>57150</xdr:colOff>
      <xdr:row>32</xdr:row>
      <xdr:rowOff>209550</xdr:rowOff>
    </xdr:to>
    <xdr:sp macro="" textlink="">
      <xdr:nvSpPr>
        <xdr:cNvPr id="359" name="Line 393">
          <a:extLst>
            <a:ext uri="{FF2B5EF4-FFF2-40B4-BE49-F238E27FC236}">
              <a16:creationId xmlns:a16="http://schemas.microsoft.com/office/drawing/2014/main" id="{00000000-0008-0000-0000-000067010000}"/>
            </a:ext>
          </a:extLst>
        </xdr:cNvPr>
        <xdr:cNvSpPr>
          <a:spLocks noChangeShapeType="1"/>
        </xdr:cNvSpPr>
      </xdr:nvSpPr>
      <xdr:spPr bwMode="auto">
        <a:xfrm flipH="1">
          <a:off x="41833800" y="4048125"/>
          <a:ext cx="3962400" cy="2124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52</xdr:col>
      <xdr:colOff>714375</xdr:colOff>
      <xdr:row>17</xdr:row>
      <xdr:rowOff>200025</xdr:rowOff>
    </xdr:from>
    <xdr:to>
      <xdr:col>57</xdr:col>
      <xdr:colOff>95250</xdr:colOff>
      <xdr:row>20</xdr:row>
      <xdr:rowOff>152400</xdr:rowOff>
    </xdr:to>
    <xdr:sp macro="" textlink="">
      <xdr:nvSpPr>
        <xdr:cNvPr id="360" name="Line 394">
          <a:extLst>
            <a:ext uri="{FF2B5EF4-FFF2-40B4-BE49-F238E27FC236}">
              <a16:creationId xmlns:a16="http://schemas.microsoft.com/office/drawing/2014/main" id="{00000000-0008-0000-0000-000068010000}"/>
            </a:ext>
          </a:extLst>
        </xdr:cNvPr>
        <xdr:cNvSpPr>
          <a:spLocks noChangeShapeType="1"/>
        </xdr:cNvSpPr>
      </xdr:nvSpPr>
      <xdr:spPr bwMode="auto">
        <a:xfrm>
          <a:off x="41833800" y="3267075"/>
          <a:ext cx="4000500" cy="542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53</xdr:col>
      <xdr:colOff>9525</xdr:colOff>
      <xdr:row>17</xdr:row>
      <xdr:rowOff>200025</xdr:rowOff>
    </xdr:from>
    <xdr:to>
      <xdr:col>57</xdr:col>
      <xdr:colOff>95250</xdr:colOff>
      <xdr:row>20</xdr:row>
      <xdr:rowOff>142875</xdr:rowOff>
    </xdr:to>
    <xdr:sp macro="" textlink="">
      <xdr:nvSpPr>
        <xdr:cNvPr id="361" name="Line 395">
          <a:extLst>
            <a:ext uri="{FF2B5EF4-FFF2-40B4-BE49-F238E27FC236}">
              <a16:creationId xmlns:a16="http://schemas.microsoft.com/office/drawing/2014/main" id="{00000000-0008-0000-0000-000069010000}"/>
            </a:ext>
          </a:extLst>
        </xdr:cNvPr>
        <xdr:cNvSpPr>
          <a:spLocks noChangeShapeType="1"/>
        </xdr:cNvSpPr>
      </xdr:nvSpPr>
      <xdr:spPr bwMode="auto">
        <a:xfrm flipH="1">
          <a:off x="42052875" y="3267075"/>
          <a:ext cx="3781425"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704850</xdr:colOff>
      <xdr:row>38</xdr:row>
      <xdr:rowOff>142875</xdr:rowOff>
    </xdr:from>
    <xdr:to>
      <xdr:col>56</xdr:col>
      <xdr:colOff>171450</xdr:colOff>
      <xdr:row>43</xdr:row>
      <xdr:rowOff>28575</xdr:rowOff>
    </xdr:to>
    <xdr:sp macro="" textlink="">
      <xdr:nvSpPr>
        <xdr:cNvPr id="362" name="Line 396">
          <a:extLst>
            <a:ext uri="{FF2B5EF4-FFF2-40B4-BE49-F238E27FC236}">
              <a16:creationId xmlns:a16="http://schemas.microsoft.com/office/drawing/2014/main" id="{00000000-0008-0000-0000-00006A010000}"/>
            </a:ext>
          </a:extLst>
        </xdr:cNvPr>
        <xdr:cNvSpPr>
          <a:spLocks noChangeShapeType="1"/>
        </xdr:cNvSpPr>
      </xdr:nvSpPr>
      <xdr:spPr bwMode="auto">
        <a:xfrm>
          <a:off x="36280725" y="7334250"/>
          <a:ext cx="8791575" cy="866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46</xdr:col>
      <xdr:colOff>704850</xdr:colOff>
      <xdr:row>39</xdr:row>
      <xdr:rowOff>28575</xdr:rowOff>
    </xdr:from>
    <xdr:to>
      <xdr:col>56</xdr:col>
      <xdr:colOff>123825</xdr:colOff>
      <xdr:row>43</xdr:row>
      <xdr:rowOff>28575</xdr:rowOff>
    </xdr:to>
    <xdr:sp macro="" textlink="">
      <xdr:nvSpPr>
        <xdr:cNvPr id="363" name="Line 397">
          <a:extLst>
            <a:ext uri="{FF2B5EF4-FFF2-40B4-BE49-F238E27FC236}">
              <a16:creationId xmlns:a16="http://schemas.microsoft.com/office/drawing/2014/main" id="{00000000-0008-0000-0000-00006B010000}"/>
            </a:ext>
          </a:extLst>
        </xdr:cNvPr>
        <xdr:cNvSpPr>
          <a:spLocks noChangeShapeType="1"/>
        </xdr:cNvSpPr>
      </xdr:nvSpPr>
      <xdr:spPr bwMode="auto">
        <a:xfrm flipH="1">
          <a:off x="36280725" y="7410450"/>
          <a:ext cx="8743950" cy="790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14</xdr:col>
      <xdr:colOff>628650</xdr:colOff>
      <xdr:row>78</xdr:row>
      <xdr:rowOff>85725</xdr:rowOff>
    </xdr:from>
    <xdr:to>
      <xdr:col>15</xdr:col>
      <xdr:colOff>76200</xdr:colOff>
      <xdr:row>78</xdr:row>
      <xdr:rowOff>161925</xdr:rowOff>
    </xdr:to>
    <xdr:sp macro="" textlink="">
      <xdr:nvSpPr>
        <xdr:cNvPr id="364" name="Tegning 398">
          <a:extLst>
            <a:ext uri="{FF2B5EF4-FFF2-40B4-BE49-F238E27FC236}">
              <a16:creationId xmlns:a16="http://schemas.microsoft.com/office/drawing/2014/main" id="{00000000-0008-0000-0000-00006C010000}"/>
            </a:ext>
          </a:extLst>
        </xdr:cNvPr>
        <xdr:cNvSpPr>
          <a:spLocks/>
        </xdr:cNvSpPr>
      </xdr:nvSpPr>
      <xdr:spPr bwMode="auto">
        <a:xfrm>
          <a:off x="9867900" y="15106650"/>
          <a:ext cx="285750" cy="7620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mc:AlternateContent xmlns:mc="http://schemas.openxmlformats.org/markup-compatibility/2006">
    <mc:Choice xmlns:a14="http://schemas.microsoft.com/office/drawing/2010/main" Requires="a14">
      <xdr:twoCellAnchor>
        <xdr:from>
          <xdr:col>12</xdr:col>
          <xdr:colOff>9525</xdr:colOff>
          <xdr:row>85</xdr:row>
          <xdr:rowOff>38100</xdr:rowOff>
        </xdr:from>
        <xdr:to>
          <xdr:col>12</xdr:col>
          <xdr:colOff>161925</xdr:colOff>
          <xdr:row>85</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657225</xdr:colOff>
          <xdr:row>86</xdr:row>
          <xdr:rowOff>47625</xdr:rowOff>
        </xdr:from>
        <xdr:to>
          <xdr:col>12</xdr:col>
          <xdr:colOff>142875</xdr:colOff>
          <xdr:row>87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89</xdr:row>
          <xdr:rowOff>38100</xdr:rowOff>
        </xdr:from>
        <xdr:to>
          <xdr:col>6</xdr:col>
          <xdr:colOff>152400</xdr:colOff>
          <xdr:row>89</xdr:row>
          <xdr:rowOff>152400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67</xdr:row>
          <xdr:rowOff>38100</xdr:rowOff>
        </xdr:from>
        <xdr:to>
          <xdr:col>22</xdr:col>
          <xdr:colOff>609600</xdr:colOff>
          <xdr:row>67</xdr:row>
          <xdr:rowOff>142875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71</xdr:row>
          <xdr:rowOff>38100</xdr:rowOff>
        </xdr:from>
        <xdr:to>
          <xdr:col>22</xdr:col>
          <xdr:colOff>609600</xdr:colOff>
          <xdr:row>71</xdr:row>
          <xdr:rowOff>152400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485775</xdr:colOff>
          <xdr:row>84</xdr:row>
          <xdr:rowOff>38100</xdr:rowOff>
        </xdr:from>
        <xdr:to>
          <xdr:col>23</xdr:col>
          <xdr:colOff>600075</xdr:colOff>
          <xdr:row>84</xdr:row>
          <xdr:rowOff>142875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23</xdr:col>
          <xdr:colOff>495300</xdr:colOff>
          <xdr:row>132</xdr:row>
          <xdr:rowOff>38100</xdr:rowOff>
        </xdr:from>
        <xdr:to>
          <xdr:col>23</xdr:col>
          <xdr:colOff>609600</xdr:colOff>
          <xdr:row>132</xdr:row>
          <xdr:rowOff>142875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115</xdr:row>
          <xdr:rowOff>47625</xdr:rowOff>
        </xdr:from>
        <xdr:to>
          <xdr:col>14</xdr:col>
          <xdr:colOff>390525</xdr:colOff>
          <xdr:row>115</xdr:row>
          <xdr:rowOff>171450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xdr:twoCellAnchor>
    <xdr:from>
      <xdr:col>13</xdr:col>
      <xdr:colOff>104775</xdr:colOff>
      <xdr:row>47</xdr:row>
      <xdr:rowOff>123825</xdr:rowOff>
    </xdr:from>
    <xdr:to>
      <xdr:col>13</xdr:col>
      <xdr:colOff>533400</xdr:colOff>
      <xdr:row>47</xdr:row>
      <xdr:rowOff>123825</xdr:rowOff>
    </xdr:to>
    <xdr:sp macro="" textlink="">
      <xdr:nvSpPr>
        <xdr:cNvPr id="377" name="Line 411">
          <a:extLst>
            <a:ext uri="{FF2B5EF4-FFF2-40B4-BE49-F238E27FC236}">
              <a16:creationId xmlns:a16="http://schemas.microsoft.com/office/drawing/2014/main" id="{00000000-0008-0000-0000-000079010000}"/>
            </a:ext>
          </a:extLst>
        </xdr:cNvPr>
        <xdr:cNvSpPr>
          <a:spLocks noChangeShapeType="1"/>
        </xdr:cNvSpPr>
      </xdr:nvSpPr>
      <xdr:spPr bwMode="auto">
        <a:xfrm flipH="1">
          <a:off x="8248650" y="9077325"/>
          <a:ext cx="428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med" len="med"/>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18</xdr:row>
      <xdr:rowOff>133350</xdr:rowOff>
    </xdr:from>
    <xdr:to>
      <xdr:col>40</xdr:col>
      <xdr:colOff>57150</xdr:colOff>
      <xdr:row>19</xdr:row>
      <xdr:rowOff>47625</xdr:rowOff>
    </xdr:to>
    <xdr:sp macro="" textlink="">
      <xdr:nvSpPr>
        <xdr:cNvPr id="378" name="Line 412">
          <a:extLst>
            <a:ext uri="{FF2B5EF4-FFF2-40B4-BE49-F238E27FC236}">
              <a16:creationId xmlns:a16="http://schemas.microsoft.com/office/drawing/2014/main" id="{00000000-0008-0000-0000-00007A010000}"/>
            </a:ext>
          </a:extLst>
        </xdr:cNvPr>
        <xdr:cNvSpPr>
          <a:spLocks noChangeShapeType="1"/>
        </xdr:cNvSpPr>
      </xdr:nvSpPr>
      <xdr:spPr bwMode="auto">
        <a:xfrm flipH="1">
          <a:off x="29546550" y="3400425"/>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714375</xdr:colOff>
      <xdr:row>18</xdr:row>
      <xdr:rowOff>133350</xdr:rowOff>
    </xdr:from>
    <xdr:to>
      <xdr:col>41</xdr:col>
      <xdr:colOff>57150</xdr:colOff>
      <xdr:row>19</xdr:row>
      <xdr:rowOff>47625</xdr:rowOff>
    </xdr:to>
    <xdr:sp macro="" textlink="">
      <xdr:nvSpPr>
        <xdr:cNvPr id="379" name="Line 413">
          <a:extLst>
            <a:ext uri="{FF2B5EF4-FFF2-40B4-BE49-F238E27FC236}">
              <a16:creationId xmlns:a16="http://schemas.microsoft.com/office/drawing/2014/main" id="{00000000-0008-0000-0000-00007B010000}"/>
            </a:ext>
          </a:extLst>
        </xdr:cNvPr>
        <xdr:cNvSpPr>
          <a:spLocks noChangeShapeType="1"/>
        </xdr:cNvSpPr>
      </xdr:nvSpPr>
      <xdr:spPr bwMode="auto">
        <a:xfrm flipH="1">
          <a:off x="30318075" y="340042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695325</xdr:colOff>
      <xdr:row>16</xdr:row>
      <xdr:rowOff>142875</xdr:rowOff>
    </xdr:from>
    <xdr:to>
      <xdr:col>41</xdr:col>
      <xdr:colOff>38100</xdr:colOff>
      <xdr:row>17</xdr:row>
      <xdr:rowOff>47625</xdr:rowOff>
    </xdr:to>
    <xdr:sp macro="" textlink="">
      <xdr:nvSpPr>
        <xdr:cNvPr id="380" name="Line 414">
          <a:extLst>
            <a:ext uri="{FF2B5EF4-FFF2-40B4-BE49-F238E27FC236}">
              <a16:creationId xmlns:a16="http://schemas.microsoft.com/office/drawing/2014/main" id="{00000000-0008-0000-0000-00007C010000}"/>
            </a:ext>
          </a:extLst>
        </xdr:cNvPr>
        <xdr:cNvSpPr>
          <a:spLocks noChangeShapeType="1"/>
        </xdr:cNvSpPr>
      </xdr:nvSpPr>
      <xdr:spPr bwMode="auto">
        <a:xfrm flipH="1">
          <a:off x="30299025" y="301942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704850</xdr:colOff>
      <xdr:row>16</xdr:row>
      <xdr:rowOff>142875</xdr:rowOff>
    </xdr:from>
    <xdr:to>
      <xdr:col>40</xdr:col>
      <xdr:colOff>38100</xdr:colOff>
      <xdr:row>17</xdr:row>
      <xdr:rowOff>38100</xdr:rowOff>
    </xdr:to>
    <xdr:sp macro="" textlink="">
      <xdr:nvSpPr>
        <xdr:cNvPr id="381" name="Line 415">
          <a:extLst>
            <a:ext uri="{FF2B5EF4-FFF2-40B4-BE49-F238E27FC236}">
              <a16:creationId xmlns:a16="http://schemas.microsoft.com/office/drawing/2014/main" id="{00000000-0008-0000-0000-00007D010000}"/>
            </a:ext>
          </a:extLst>
        </xdr:cNvPr>
        <xdr:cNvSpPr>
          <a:spLocks noChangeShapeType="1"/>
        </xdr:cNvSpPr>
      </xdr:nvSpPr>
      <xdr:spPr bwMode="auto">
        <a:xfrm flipH="1">
          <a:off x="29556075" y="301942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657225</xdr:colOff>
      <xdr:row>10</xdr:row>
      <xdr:rowOff>66675</xdr:rowOff>
    </xdr:from>
    <xdr:to>
      <xdr:col>35</xdr:col>
      <xdr:colOff>657225</xdr:colOff>
      <xdr:row>12</xdr:row>
      <xdr:rowOff>76200</xdr:rowOff>
    </xdr:to>
    <xdr:sp macro="" textlink="">
      <xdr:nvSpPr>
        <xdr:cNvPr id="382" name="Line 416">
          <a:extLst>
            <a:ext uri="{FF2B5EF4-FFF2-40B4-BE49-F238E27FC236}">
              <a16:creationId xmlns:a16="http://schemas.microsoft.com/office/drawing/2014/main" id="{00000000-0008-0000-0000-00007E010000}"/>
            </a:ext>
          </a:extLst>
        </xdr:cNvPr>
        <xdr:cNvSpPr>
          <a:spLocks noChangeShapeType="1"/>
        </xdr:cNvSpPr>
      </xdr:nvSpPr>
      <xdr:spPr bwMode="auto">
        <a:xfrm>
          <a:off x="26498550" y="1781175"/>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34</xdr:col>
      <xdr:colOff>695325</xdr:colOff>
      <xdr:row>11</xdr:row>
      <xdr:rowOff>142875</xdr:rowOff>
    </xdr:from>
    <xdr:to>
      <xdr:col>35</xdr:col>
      <xdr:colOff>47625</xdr:colOff>
      <xdr:row>12</xdr:row>
      <xdr:rowOff>47625</xdr:rowOff>
    </xdr:to>
    <xdr:sp macro="" textlink="">
      <xdr:nvSpPr>
        <xdr:cNvPr id="383" name="Line 417">
          <a:extLst>
            <a:ext uri="{FF2B5EF4-FFF2-40B4-BE49-F238E27FC236}">
              <a16:creationId xmlns:a16="http://schemas.microsoft.com/office/drawing/2014/main" id="{00000000-0008-0000-0000-00007F010000}"/>
            </a:ext>
          </a:extLst>
        </xdr:cNvPr>
        <xdr:cNvSpPr>
          <a:spLocks noChangeShapeType="1"/>
        </xdr:cNvSpPr>
      </xdr:nvSpPr>
      <xdr:spPr bwMode="auto">
        <a:xfrm flipH="1">
          <a:off x="25784175" y="2057400"/>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57150</xdr:colOff>
      <xdr:row>11</xdr:row>
      <xdr:rowOff>142875</xdr:rowOff>
    </xdr:from>
    <xdr:to>
      <xdr:col>35</xdr:col>
      <xdr:colOff>161925</xdr:colOff>
      <xdr:row>12</xdr:row>
      <xdr:rowOff>47625</xdr:rowOff>
    </xdr:to>
    <xdr:sp macro="" textlink="">
      <xdr:nvSpPr>
        <xdr:cNvPr id="384" name="Line 418">
          <a:extLst>
            <a:ext uri="{FF2B5EF4-FFF2-40B4-BE49-F238E27FC236}">
              <a16:creationId xmlns:a16="http://schemas.microsoft.com/office/drawing/2014/main" id="{00000000-0008-0000-0000-000080010000}"/>
            </a:ext>
          </a:extLst>
        </xdr:cNvPr>
        <xdr:cNvSpPr>
          <a:spLocks noChangeShapeType="1"/>
        </xdr:cNvSpPr>
      </xdr:nvSpPr>
      <xdr:spPr bwMode="auto">
        <a:xfrm flipH="1">
          <a:off x="25898475" y="2057400"/>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600075</xdr:colOff>
      <xdr:row>11</xdr:row>
      <xdr:rowOff>142875</xdr:rowOff>
    </xdr:from>
    <xdr:to>
      <xdr:col>35</xdr:col>
      <xdr:colOff>714375</xdr:colOff>
      <xdr:row>12</xdr:row>
      <xdr:rowOff>57150</xdr:rowOff>
    </xdr:to>
    <xdr:sp macro="" textlink="">
      <xdr:nvSpPr>
        <xdr:cNvPr id="385" name="Line 419">
          <a:extLst>
            <a:ext uri="{FF2B5EF4-FFF2-40B4-BE49-F238E27FC236}">
              <a16:creationId xmlns:a16="http://schemas.microsoft.com/office/drawing/2014/main" id="{00000000-0008-0000-0000-000081010000}"/>
            </a:ext>
          </a:extLst>
        </xdr:cNvPr>
        <xdr:cNvSpPr>
          <a:spLocks noChangeShapeType="1"/>
        </xdr:cNvSpPr>
      </xdr:nvSpPr>
      <xdr:spPr bwMode="auto">
        <a:xfrm flipH="1">
          <a:off x="26441400" y="20574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35</xdr:col>
      <xdr:colOff>714375</xdr:colOff>
      <xdr:row>11</xdr:row>
      <xdr:rowOff>142875</xdr:rowOff>
    </xdr:from>
    <xdr:to>
      <xdr:col>36</xdr:col>
      <xdr:colOff>66675</xdr:colOff>
      <xdr:row>12</xdr:row>
      <xdr:rowOff>57150</xdr:rowOff>
    </xdr:to>
    <xdr:sp macro="" textlink="">
      <xdr:nvSpPr>
        <xdr:cNvPr id="386" name="Line 420">
          <a:extLst>
            <a:ext uri="{FF2B5EF4-FFF2-40B4-BE49-F238E27FC236}">
              <a16:creationId xmlns:a16="http://schemas.microsoft.com/office/drawing/2014/main" id="{00000000-0008-0000-0000-000082010000}"/>
            </a:ext>
          </a:extLst>
        </xdr:cNvPr>
        <xdr:cNvSpPr>
          <a:spLocks noChangeShapeType="1"/>
        </xdr:cNvSpPr>
      </xdr:nvSpPr>
      <xdr:spPr bwMode="auto">
        <a:xfrm flipH="1">
          <a:off x="26555700" y="2057400"/>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13</xdr:col>
          <xdr:colOff>47625</xdr:colOff>
          <xdr:row>39</xdr:row>
          <xdr:rowOff>38100</xdr:rowOff>
        </xdr:from>
        <xdr:to>
          <xdr:col>14</xdr:col>
          <xdr:colOff>828675</xdr:colOff>
          <xdr:row>40</xdr:row>
          <xdr:rowOff>114300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 bredde af (f)</a:t>
              </a:r>
            </a:p>
          </xdr:txBody>
        </xdr:sp>
        <xdr:clientData fLocksWithSheet="0" fPrintsWithSheet="0"/>
      </xdr:twoCellAnchor>
    </mc:Choice>
    <mc:Fallback/>
  </mc:AlternateContent>
  <xdr:twoCellAnchor>
    <xdr:from>
      <xdr:col>2</xdr:col>
      <xdr:colOff>361950</xdr:colOff>
      <xdr:row>140</xdr:row>
      <xdr:rowOff>85725</xdr:rowOff>
    </xdr:from>
    <xdr:to>
      <xdr:col>5</xdr:col>
      <xdr:colOff>704850</xdr:colOff>
      <xdr:row>140</xdr:row>
      <xdr:rowOff>85725</xdr:rowOff>
    </xdr:to>
    <xdr:sp macro="" textlink="">
      <xdr:nvSpPr>
        <xdr:cNvPr id="388" name="Line 426">
          <a:extLst>
            <a:ext uri="{FF2B5EF4-FFF2-40B4-BE49-F238E27FC236}">
              <a16:creationId xmlns:a16="http://schemas.microsoft.com/office/drawing/2014/main" id="{00000000-0008-0000-0000-000084010000}"/>
            </a:ext>
          </a:extLst>
        </xdr:cNvPr>
        <xdr:cNvSpPr>
          <a:spLocks noChangeShapeType="1"/>
        </xdr:cNvSpPr>
      </xdr:nvSpPr>
      <xdr:spPr bwMode="auto">
        <a:xfrm flipH="1">
          <a:off x="1743075" y="27212925"/>
          <a:ext cx="1619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140</xdr:row>
      <xdr:rowOff>38100</xdr:rowOff>
    </xdr:from>
    <xdr:to>
      <xdr:col>3</xdr:col>
      <xdr:colOff>266700</xdr:colOff>
      <xdr:row>140</xdr:row>
      <xdr:rowOff>142875</xdr:rowOff>
    </xdr:to>
    <xdr:sp macro="" textlink="">
      <xdr:nvSpPr>
        <xdr:cNvPr id="389" name="Tegning 427">
          <a:extLst>
            <a:ext uri="{FF2B5EF4-FFF2-40B4-BE49-F238E27FC236}">
              <a16:creationId xmlns:a16="http://schemas.microsoft.com/office/drawing/2014/main" id="{00000000-0008-0000-0000-000085010000}"/>
            </a:ext>
          </a:extLst>
        </xdr:cNvPr>
        <xdr:cNvSpPr>
          <a:spLocks/>
        </xdr:cNvSpPr>
      </xdr:nvSpPr>
      <xdr:spPr bwMode="auto">
        <a:xfrm>
          <a:off x="2124075" y="27165300"/>
          <a:ext cx="104775" cy="1047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43</xdr:col>
      <xdr:colOff>409575</xdr:colOff>
      <xdr:row>25</xdr:row>
      <xdr:rowOff>0</xdr:rowOff>
    </xdr:from>
    <xdr:to>
      <xdr:col>43</xdr:col>
      <xdr:colOff>409575</xdr:colOff>
      <xdr:row>27</xdr:row>
      <xdr:rowOff>95250</xdr:rowOff>
    </xdr:to>
    <xdr:sp macro="" textlink="">
      <xdr:nvSpPr>
        <xdr:cNvPr id="390" name="Line 430">
          <a:extLst>
            <a:ext uri="{FF2B5EF4-FFF2-40B4-BE49-F238E27FC236}">
              <a16:creationId xmlns:a16="http://schemas.microsoft.com/office/drawing/2014/main" id="{00000000-0008-0000-0000-000086010000}"/>
            </a:ext>
          </a:extLst>
        </xdr:cNvPr>
        <xdr:cNvSpPr>
          <a:spLocks noChangeShapeType="1"/>
        </xdr:cNvSpPr>
      </xdr:nvSpPr>
      <xdr:spPr bwMode="auto">
        <a:xfrm>
          <a:off x="32270700" y="4638675"/>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142875</xdr:colOff>
      <xdr:row>90</xdr:row>
      <xdr:rowOff>76200</xdr:rowOff>
    </xdr:from>
    <xdr:to>
      <xdr:col>28</xdr:col>
      <xdr:colOff>142875</xdr:colOff>
      <xdr:row>93</xdr:row>
      <xdr:rowOff>76200</xdr:rowOff>
    </xdr:to>
    <xdr:sp macro="" textlink="">
      <xdr:nvSpPr>
        <xdr:cNvPr id="391" name="Line 431">
          <a:extLst>
            <a:ext uri="{FF2B5EF4-FFF2-40B4-BE49-F238E27FC236}">
              <a16:creationId xmlns:a16="http://schemas.microsoft.com/office/drawing/2014/main" id="{00000000-0008-0000-0000-000087010000}"/>
            </a:ext>
          </a:extLst>
        </xdr:cNvPr>
        <xdr:cNvSpPr>
          <a:spLocks noChangeShapeType="1"/>
        </xdr:cNvSpPr>
      </xdr:nvSpPr>
      <xdr:spPr bwMode="auto">
        <a:xfrm>
          <a:off x="20688300" y="17478375"/>
          <a:ext cx="0" cy="571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90</xdr:row>
      <xdr:rowOff>0</xdr:rowOff>
    </xdr:from>
    <xdr:to>
      <xdr:col>28</xdr:col>
      <xdr:colOff>142875</xdr:colOff>
      <xdr:row>90</xdr:row>
      <xdr:rowOff>9525</xdr:rowOff>
    </xdr:to>
    <xdr:sp macro="" textlink="">
      <xdr:nvSpPr>
        <xdr:cNvPr id="392" name="Line 432">
          <a:extLst>
            <a:ext uri="{FF2B5EF4-FFF2-40B4-BE49-F238E27FC236}">
              <a16:creationId xmlns:a16="http://schemas.microsoft.com/office/drawing/2014/main" id="{00000000-0008-0000-0000-000088010000}"/>
            </a:ext>
          </a:extLst>
        </xdr:cNvPr>
        <xdr:cNvSpPr>
          <a:spLocks noChangeShapeType="1"/>
        </xdr:cNvSpPr>
      </xdr:nvSpPr>
      <xdr:spPr bwMode="auto">
        <a:xfrm>
          <a:off x="19697700" y="17402175"/>
          <a:ext cx="990600" cy="95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619125</xdr:colOff>
      <xdr:row>97</xdr:row>
      <xdr:rowOff>161925</xdr:rowOff>
    </xdr:from>
    <xdr:to>
      <xdr:col>27</xdr:col>
      <xdr:colOff>733425</xdr:colOff>
      <xdr:row>98</xdr:row>
      <xdr:rowOff>47625</xdr:rowOff>
    </xdr:to>
    <xdr:sp macro="" textlink="">
      <xdr:nvSpPr>
        <xdr:cNvPr id="393" name="Line 433">
          <a:extLst>
            <a:ext uri="{FF2B5EF4-FFF2-40B4-BE49-F238E27FC236}">
              <a16:creationId xmlns:a16="http://schemas.microsoft.com/office/drawing/2014/main" id="{00000000-0008-0000-0000-000089010000}"/>
            </a:ext>
          </a:extLst>
        </xdr:cNvPr>
        <xdr:cNvSpPr>
          <a:spLocks noChangeShapeType="1"/>
        </xdr:cNvSpPr>
      </xdr:nvSpPr>
      <xdr:spPr bwMode="auto">
        <a:xfrm flipH="1">
          <a:off x="20412075" y="18916650"/>
          <a:ext cx="1143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97</xdr:row>
      <xdr:rowOff>19050</xdr:rowOff>
    </xdr:from>
    <xdr:to>
      <xdr:col>28</xdr:col>
      <xdr:colOff>704850</xdr:colOff>
      <xdr:row>97</xdr:row>
      <xdr:rowOff>142875</xdr:rowOff>
    </xdr:to>
    <xdr:sp macro="" textlink="">
      <xdr:nvSpPr>
        <xdr:cNvPr id="394" name="Line 434">
          <a:extLst>
            <a:ext uri="{FF2B5EF4-FFF2-40B4-BE49-F238E27FC236}">
              <a16:creationId xmlns:a16="http://schemas.microsoft.com/office/drawing/2014/main" id="{00000000-0008-0000-0000-00008A010000}"/>
            </a:ext>
          </a:extLst>
        </xdr:cNvPr>
        <xdr:cNvSpPr>
          <a:spLocks noChangeShapeType="1"/>
        </xdr:cNvSpPr>
      </xdr:nvSpPr>
      <xdr:spPr bwMode="auto">
        <a:xfrm flipH="1" flipV="1">
          <a:off x="20545425" y="18773775"/>
          <a:ext cx="7048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98</xdr:row>
      <xdr:rowOff>142875</xdr:rowOff>
    </xdr:from>
    <xdr:to>
      <xdr:col>28</xdr:col>
      <xdr:colOff>114300</xdr:colOff>
      <xdr:row>99</xdr:row>
      <xdr:rowOff>66675</xdr:rowOff>
    </xdr:to>
    <xdr:sp macro="" textlink="">
      <xdr:nvSpPr>
        <xdr:cNvPr id="395" name="Line 435">
          <a:extLst>
            <a:ext uri="{FF2B5EF4-FFF2-40B4-BE49-F238E27FC236}">
              <a16:creationId xmlns:a16="http://schemas.microsoft.com/office/drawing/2014/main" id="{00000000-0008-0000-0000-00008B010000}"/>
            </a:ext>
          </a:extLst>
        </xdr:cNvPr>
        <xdr:cNvSpPr>
          <a:spLocks noChangeShapeType="1"/>
        </xdr:cNvSpPr>
      </xdr:nvSpPr>
      <xdr:spPr bwMode="auto">
        <a:xfrm flipH="1">
          <a:off x="20545425" y="190881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381000</xdr:colOff>
      <xdr:row>89</xdr:row>
      <xdr:rowOff>114300</xdr:rowOff>
    </xdr:from>
    <xdr:to>
      <xdr:col>26</xdr:col>
      <xdr:colOff>514350</xdr:colOff>
      <xdr:row>90</xdr:row>
      <xdr:rowOff>66675</xdr:rowOff>
    </xdr:to>
    <xdr:sp macro="" textlink="">
      <xdr:nvSpPr>
        <xdr:cNvPr id="396" name="Line 436">
          <a:extLst>
            <a:ext uri="{FF2B5EF4-FFF2-40B4-BE49-F238E27FC236}">
              <a16:creationId xmlns:a16="http://schemas.microsoft.com/office/drawing/2014/main" id="{00000000-0008-0000-0000-00008C010000}"/>
            </a:ext>
          </a:extLst>
        </xdr:cNvPr>
        <xdr:cNvSpPr>
          <a:spLocks noChangeShapeType="1"/>
        </xdr:cNvSpPr>
      </xdr:nvSpPr>
      <xdr:spPr bwMode="auto">
        <a:xfrm flipH="1">
          <a:off x="19421475" y="17316450"/>
          <a:ext cx="13335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219075</xdr:colOff>
      <xdr:row>84</xdr:row>
      <xdr:rowOff>161925</xdr:rowOff>
    </xdr:from>
    <xdr:to>
      <xdr:col>27</xdr:col>
      <xdr:colOff>657225</xdr:colOff>
      <xdr:row>85</xdr:row>
      <xdr:rowOff>114300</xdr:rowOff>
    </xdr:to>
    <xdr:sp macro="" textlink="">
      <xdr:nvSpPr>
        <xdr:cNvPr id="397" name="Line 437">
          <a:extLst>
            <a:ext uri="{FF2B5EF4-FFF2-40B4-BE49-F238E27FC236}">
              <a16:creationId xmlns:a16="http://schemas.microsoft.com/office/drawing/2014/main" id="{00000000-0008-0000-0000-00008D010000}"/>
            </a:ext>
          </a:extLst>
        </xdr:cNvPr>
        <xdr:cNvSpPr>
          <a:spLocks noChangeShapeType="1"/>
        </xdr:cNvSpPr>
      </xdr:nvSpPr>
      <xdr:spPr bwMode="auto">
        <a:xfrm>
          <a:off x="20012025" y="16373475"/>
          <a:ext cx="43815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704850</xdr:colOff>
      <xdr:row>92</xdr:row>
      <xdr:rowOff>142875</xdr:rowOff>
    </xdr:from>
    <xdr:to>
      <xdr:col>28</xdr:col>
      <xdr:colOff>47625</xdr:colOff>
      <xdr:row>93</xdr:row>
      <xdr:rowOff>38100</xdr:rowOff>
    </xdr:to>
    <xdr:sp macro="" textlink="">
      <xdr:nvSpPr>
        <xdr:cNvPr id="398" name="Line 438">
          <a:extLst>
            <a:ext uri="{FF2B5EF4-FFF2-40B4-BE49-F238E27FC236}">
              <a16:creationId xmlns:a16="http://schemas.microsoft.com/office/drawing/2014/main" id="{00000000-0008-0000-0000-00008E010000}"/>
            </a:ext>
          </a:extLst>
        </xdr:cNvPr>
        <xdr:cNvSpPr>
          <a:spLocks noChangeShapeType="1"/>
        </xdr:cNvSpPr>
      </xdr:nvSpPr>
      <xdr:spPr bwMode="auto">
        <a:xfrm flipH="1">
          <a:off x="20497800" y="179260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142875</xdr:colOff>
      <xdr:row>88</xdr:row>
      <xdr:rowOff>85725</xdr:rowOff>
    </xdr:from>
    <xdr:to>
      <xdr:col>27</xdr:col>
      <xdr:colOff>142875</xdr:colOff>
      <xdr:row>90</xdr:row>
      <xdr:rowOff>0</xdr:rowOff>
    </xdr:to>
    <xdr:sp macro="" textlink="">
      <xdr:nvSpPr>
        <xdr:cNvPr id="399" name="Line 439">
          <a:extLst>
            <a:ext uri="{FF2B5EF4-FFF2-40B4-BE49-F238E27FC236}">
              <a16:creationId xmlns:a16="http://schemas.microsoft.com/office/drawing/2014/main" id="{00000000-0008-0000-0000-00008F010000}"/>
            </a:ext>
          </a:extLst>
        </xdr:cNvPr>
        <xdr:cNvSpPr>
          <a:spLocks noChangeShapeType="1"/>
        </xdr:cNvSpPr>
      </xdr:nvSpPr>
      <xdr:spPr bwMode="auto">
        <a:xfrm flipH="1">
          <a:off x="19935825" y="170878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714375</xdr:colOff>
      <xdr:row>88</xdr:row>
      <xdr:rowOff>76200</xdr:rowOff>
    </xdr:from>
    <xdr:to>
      <xdr:col>26</xdr:col>
      <xdr:colOff>714375</xdr:colOff>
      <xdr:row>90</xdr:row>
      <xdr:rowOff>0</xdr:rowOff>
    </xdr:to>
    <xdr:sp macro="" textlink="">
      <xdr:nvSpPr>
        <xdr:cNvPr id="400" name="Line 440">
          <a:extLst>
            <a:ext uri="{FF2B5EF4-FFF2-40B4-BE49-F238E27FC236}">
              <a16:creationId xmlns:a16="http://schemas.microsoft.com/office/drawing/2014/main" id="{00000000-0008-0000-0000-000090010000}"/>
            </a:ext>
          </a:extLst>
        </xdr:cNvPr>
        <xdr:cNvSpPr>
          <a:spLocks noChangeShapeType="1"/>
        </xdr:cNvSpPr>
      </xdr:nvSpPr>
      <xdr:spPr bwMode="auto">
        <a:xfrm>
          <a:off x="19754850"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200025</xdr:colOff>
      <xdr:row>88</xdr:row>
      <xdr:rowOff>76200</xdr:rowOff>
    </xdr:from>
    <xdr:to>
      <xdr:col>27</xdr:col>
      <xdr:colOff>200025</xdr:colOff>
      <xdr:row>90</xdr:row>
      <xdr:rowOff>0</xdr:rowOff>
    </xdr:to>
    <xdr:sp macro="" textlink="">
      <xdr:nvSpPr>
        <xdr:cNvPr id="401" name="Line 441">
          <a:extLst>
            <a:ext uri="{FF2B5EF4-FFF2-40B4-BE49-F238E27FC236}">
              <a16:creationId xmlns:a16="http://schemas.microsoft.com/office/drawing/2014/main" id="{00000000-0008-0000-0000-000091010000}"/>
            </a:ext>
          </a:extLst>
        </xdr:cNvPr>
        <xdr:cNvSpPr>
          <a:spLocks noChangeShapeType="1"/>
        </xdr:cNvSpPr>
      </xdr:nvSpPr>
      <xdr:spPr bwMode="auto">
        <a:xfrm>
          <a:off x="19992975"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295275</xdr:colOff>
      <xdr:row>88</xdr:row>
      <xdr:rowOff>104775</xdr:rowOff>
    </xdr:from>
    <xdr:to>
      <xdr:col>27</xdr:col>
      <xdr:colOff>295275</xdr:colOff>
      <xdr:row>90</xdr:row>
      <xdr:rowOff>0</xdr:rowOff>
    </xdr:to>
    <xdr:sp macro="" textlink="">
      <xdr:nvSpPr>
        <xdr:cNvPr id="402" name="Line 442">
          <a:extLst>
            <a:ext uri="{FF2B5EF4-FFF2-40B4-BE49-F238E27FC236}">
              <a16:creationId xmlns:a16="http://schemas.microsoft.com/office/drawing/2014/main" id="{00000000-0008-0000-0000-000092010000}"/>
            </a:ext>
          </a:extLst>
        </xdr:cNvPr>
        <xdr:cNvSpPr>
          <a:spLocks noChangeShapeType="1"/>
        </xdr:cNvSpPr>
      </xdr:nvSpPr>
      <xdr:spPr bwMode="auto">
        <a:xfrm>
          <a:off x="20088225" y="1710690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638175</xdr:colOff>
      <xdr:row>88</xdr:row>
      <xdr:rowOff>85725</xdr:rowOff>
    </xdr:from>
    <xdr:to>
      <xdr:col>27</xdr:col>
      <xdr:colOff>638175</xdr:colOff>
      <xdr:row>90</xdr:row>
      <xdr:rowOff>19050</xdr:rowOff>
    </xdr:to>
    <xdr:sp macro="" textlink="">
      <xdr:nvSpPr>
        <xdr:cNvPr id="403" name="Line 443">
          <a:extLst>
            <a:ext uri="{FF2B5EF4-FFF2-40B4-BE49-F238E27FC236}">
              <a16:creationId xmlns:a16="http://schemas.microsoft.com/office/drawing/2014/main" id="{00000000-0008-0000-0000-000093010000}"/>
            </a:ext>
          </a:extLst>
        </xdr:cNvPr>
        <xdr:cNvSpPr>
          <a:spLocks noChangeShapeType="1"/>
        </xdr:cNvSpPr>
      </xdr:nvSpPr>
      <xdr:spPr bwMode="auto">
        <a:xfrm>
          <a:off x="20431125" y="17087850"/>
          <a:ext cx="0" cy="3333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238125</xdr:colOff>
      <xdr:row>89</xdr:row>
      <xdr:rowOff>123825</xdr:rowOff>
    </xdr:from>
    <xdr:to>
      <xdr:col>28</xdr:col>
      <xdr:colOff>352425</xdr:colOff>
      <xdr:row>90</xdr:row>
      <xdr:rowOff>66675</xdr:rowOff>
    </xdr:to>
    <xdr:sp macro="" textlink="">
      <xdr:nvSpPr>
        <xdr:cNvPr id="404" name="Line 444">
          <a:extLst>
            <a:ext uri="{FF2B5EF4-FFF2-40B4-BE49-F238E27FC236}">
              <a16:creationId xmlns:a16="http://schemas.microsoft.com/office/drawing/2014/main" id="{00000000-0008-0000-0000-000094010000}"/>
            </a:ext>
          </a:extLst>
        </xdr:cNvPr>
        <xdr:cNvSpPr>
          <a:spLocks noChangeShapeType="1"/>
        </xdr:cNvSpPr>
      </xdr:nvSpPr>
      <xdr:spPr bwMode="auto">
        <a:xfrm flipH="1">
          <a:off x="20783550" y="17325975"/>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647700</xdr:colOff>
      <xdr:row>87</xdr:row>
      <xdr:rowOff>190500</xdr:rowOff>
    </xdr:from>
    <xdr:to>
      <xdr:col>27</xdr:col>
      <xdr:colOff>723900</xdr:colOff>
      <xdr:row>88</xdr:row>
      <xdr:rowOff>66675</xdr:rowOff>
    </xdr:to>
    <xdr:sp macro="" textlink="">
      <xdr:nvSpPr>
        <xdr:cNvPr id="405" name="Oval 445">
          <a:extLst>
            <a:ext uri="{FF2B5EF4-FFF2-40B4-BE49-F238E27FC236}">
              <a16:creationId xmlns:a16="http://schemas.microsoft.com/office/drawing/2014/main" id="{00000000-0008-0000-0000-000095010000}"/>
            </a:ext>
          </a:extLst>
        </xdr:cNvPr>
        <xdr:cNvSpPr>
          <a:spLocks noChangeArrowheads="1"/>
        </xdr:cNvSpPr>
      </xdr:nvSpPr>
      <xdr:spPr bwMode="auto">
        <a:xfrm>
          <a:off x="20440650" y="16992600"/>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714375</xdr:colOff>
      <xdr:row>97</xdr:row>
      <xdr:rowOff>0</xdr:rowOff>
    </xdr:from>
    <xdr:to>
      <xdr:col>28</xdr:col>
      <xdr:colOff>47625</xdr:colOff>
      <xdr:row>97</xdr:row>
      <xdr:rowOff>66675</xdr:rowOff>
    </xdr:to>
    <xdr:sp macro="" textlink="">
      <xdr:nvSpPr>
        <xdr:cNvPr id="406" name="Oval 446">
          <a:extLst>
            <a:ext uri="{FF2B5EF4-FFF2-40B4-BE49-F238E27FC236}">
              <a16:creationId xmlns:a16="http://schemas.microsoft.com/office/drawing/2014/main" id="{00000000-0008-0000-0000-000096010000}"/>
            </a:ext>
          </a:extLst>
        </xdr:cNvPr>
        <xdr:cNvSpPr>
          <a:spLocks noChangeArrowheads="1"/>
        </xdr:cNvSpPr>
      </xdr:nvSpPr>
      <xdr:spPr bwMode="auto">
        <a:xfrm>
          <a:off x="20507325" y="18754725"/>
          <a:ext cx="85725"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90</xdr:row>
      <xdr:rowOff>142875</xdr:rowOff>
    </xdr:from>
    <xdr:to>
      <xdr:col>28</xdr:col>
      <xdr:colOff>381000</xdr:colOff>
      <xdr:row>91</xdr:row>
      <xdr:rowOff>66675</xdr:rowOff>
    </xdr:to>
    <xdr:sp macro="" textlink="">
      <xdr:nvSpPr>
        <xdr:cNvPr id="407" name="Line 447">
          <a:extLst>
            <a:ext uri="{FF2B5EF4-FFF2-40B4-BE49-F238E27FC236}">
              <a16:creationId xmlns:a16="http://schemas.microsoft.com/office/drawing/2014/main" id="{00000000-0008-0000-0000-000097010000}"/>
            </a:ext>
          </a:extLst>
        </xdr:cNvPr>
        <xdr:cNvSpPr>
          <a:spLocks noChangeShapeType="1"/>
        </xdr:cNvSpPr>
      </xdr:nvSpPr>
      <xdr:spPr bwMode="auto">
        <a:xfrm flipH="1">
          <a:off x="20545425" y="17545050"/>
          <a:ext cx="3810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0</xdr:colOff>
      <xdr:row>90</xdr:row>
      <xdr:rowOff>171450</xdr:rowOff>
    </xdr:from>
    <xdr:to>
      <xdr:col>27</xdr:col>
      <xdr:colOff>209550</xdr:colOff>
      <xdr:row>91</xdr:row>
      <xdr:rowOff>76200</xdr:rowOff>
    </xdr:to>
    <xdr:sp macro="" textlink="">
      <xdr:nvSpPr>
        <xdr:cNvPr id="408" name="Line 448">
          <a:extLst>
            <a:ext uri="{FF2B5EF4-FFF2-40B4-BE49-F238E27FC236}">
              <a16:creationId xmlns:a16="http://schemas.microsoft.com/office/drawing/2014/main" id="{00000000-0008-0000-0000-000098010000}"/>
            </a:ext>
          </a:extLst>
        </xdr:cNvPr>
        <xdr:cNvSpPr>
          <a:spLocks noChangeShapeType="1"/>
        </xdr:cNvSpPr>
      </xdr:nvSpPr>
      <xdr:spPr bwMode="auto">
        <a:xfrm flipH="1">
          <a:off x="19792950" y="17573625"/>
          <a:ext cx="2095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704850</xdr:colOff>
      <xdr:row>91</xdr:row>
      <xdr:rowOff>28575</xdr:rowOff>
    </xdr:from>
    <xdr:to>
      <xdr:col>27</xdr:col>
      <xdr:colOff>47625</xdr:colOff>
      <xdr:row>91</xdr:row>
      <xdr:rowOff>114300</xdr:rowOff>
    </xdr:to>
    <xdr:sp macro="" textlink="">
      <xdr:nvSpPr>
        <xdr:cNvPr id="409" name="Oval 449">
          <a:extLst>
            <a:ext uri="{FF2B5EF4-FFF2-40B4-BE49-F238E27FC236}">
              <a16:creationId xmlns:a16="http://schemas.microsoft.com/office/drawing/2014/main" id="{00000000-0008-0000-0000-000099010000}"/>
            </a:ext>
          </a:extLst>
        </xdr:cNvPr>
        <xdr:cNvSpPr>
          <a:spLocks noChangeArrowheads="1"/>
        </xdr:cNvSpPr>
      </xdr:nvSpPr>
      <xdr:spPr bwMode="auto">
        <a:xfrm>
          <a:off x="19745325" y="176212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714375</xdr:colOff>
      <xdr:row>91</xdr:row>
      <xdr:rowOff>47625</xdr:rowOff>
    </xdr:from>
    <xdr:to>
      <xdr:col>28</xdr:col>
      <xdr:colOff>38100</xdr:colOff>
      <xdr:row>91</xdr:row>
      <xdr:rowOff>104775</xdr:rowOff>
    </xdr:to>
    <xdr:sp macro="" textlink="">
      <xdr:nvSpPr>
        <xdr:cNvPr id="410" name="Oval 450">
          <a:extLst>
            <a:ext uri="{FF2B5EF4-FFF2-40B4-BE49-F238E27FC236}">
              <a16:creationId xmlns:a16="http://schemas.microsoft.com/office/drawing/2014/main" id="{00000000-0008-0000-0000-00009A010000}"/>
            </a:ext>
          </a:extLst>
        </xdr:cNvPr>
        <xdr:cNvSpPr>
          <a:spLocks noChangeArrowheads="1"/>
        </xdr:cNvSpPr>
      </xdr:nvSpPr>
      <xdr:spPr bwMode="auto">
        <a:xfrm>
          <a:off x="20507325" y="17640300"/>
          <a:ext cx="76200"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733425</xdr:colOff>
      <xdr:row>89</xdr:row>
      <xdr:rowOff>47625</xdr:rowOff>
    </xdr:from>
    <xdr:to>
      <xdr:col>27</xdr:col>
      <xdr:colOff>733425</xdr:colOff>
      <xdr:row>89</xdr:row>
      <xdr:rowOff>190500</xdr:rowOff>
    </xdr:to>
    <xdr:sp macro="" textlink="">
      <xdr:nvSpPr>
        <xdr:cNvPr id="411" name="Line 451">
          <a:extLst>
            <a:ext uri="{FF2B5EF4-FFF2-40B4-BE49-F238E27FC236}">
              <a16:creationId xmlns:a16="http://schemas.microsoft.com/office/drawing/2014/main" id="{00000000-0008-0000-0000-00009B010000}"/>
            </a:ext>
          </a:extLst>
        </xdr:cNvPr>
        <xdr:cNvSpPr>
          <a:spLocks noChangeShapeType="1"/>
        </xdr:cNvSpPr>
      </xdr:nvSpPr>
      <xdr:spPr bwMode="auto">
        <a:xfrm>
          <a:off x="20526375" y="17249775"/>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38100</xdr:colOff>
      <xdr:row>89</xdr:row>
      <xdr:rowOff>47625</xdr:rowOff>
    </xdr:from>
    <xdr:to>
      <xdr:col>28</xdr:col>
      <xdr:colOff>38100</xdr:colOff>
      <xdr:row>89</xdr:row>
      <xdr:rowOff>190500</xdr:rowOff>
    </xdr:to>
    <xdr:sp macro="" textlink="">
      <xdr:nvSpPr>
        <xdr:cNvPr id="412" name="Line 452">
          <a:extLst>
            <a:ext uri="{FF2B5EF4-FFF2-40B4-BE49-F238E27FC236}">
              <a16:creationId xmlns:a16="http://schemas.microsoft.com/office/drawing/2014/main" id="{00000000-0008-0000-0000-00009C010000}"/>
            </a:ext>
          </a:extLst>
        </xdr:cNvPr>
        <xdr:cNvSpPr>
          <a:spLocks noChangeShapeType="1"/>
        </xdr:cNvSpPr>
      </xdr:nvSpPr>
      <xdr:spPr bwMode="auto">
        <a:xfrm>
          <a:off x="20583525" y="17249775"/>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85725</xdr:colOff>
      <xdr:row>89</xdr:row>
      <xdr:rowOff>47625</xdr:rowOff>
    </xdr:from>
    <xdr:to>
      <xdr:col>28</xdr:col>
      <xdr:colOff>85725</xdr:colOff>
      <xdr:row>90</xdr:row>
      <xdr:rowOff>19050</xdr:rowOff>
    </xdr:to>
    <xdr:sp macro="" textlink="">
      <xdr:nvSpPr>
        <xdr:cNvPr id="413" name="Line 453">
          <a:extLst>
            <a:ext uri="{FF2B5EF4-FFF2-40B4-BE49-F238E27FC236}">
              <a16:creationId xmlns:a16="http://schemas.microsoft.com/office/drawing/2014/main" id="{00000000-0008-0000-0000-00009D010000}"/>
            </a:ext>
          </a:extLst>
        </xdr:cNvPr>
        <xdr:cNvSpPr>
          <a:spLocks noChangeShapeType="1"/>
        </xdr:cNvSpPr>
      </xdr:nvSpPr>
      <xdr:spPr bwMode="auto">
        <a:xfrm>
          <a:off x="20631150" y="17249775"/>
          <a:ext cx="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190500</xdr:colOff>
      <xdr:row>89</xdr:row>
      <xdr:rowOff>47625</xdr:rowOff>
    </xdr:from>
    <xdr:to>
      <xdr:col>28</xdr:col>
      <xdr:colOff>342900</xdr:colOff>
      <xdr:row>89</xdr:row>
      <xdr:rowOff>47625</xdr:rowOff>
    </xdr:to>
    <xdr:sp macro="" textlink="">
      <xdr:nvSpPr>
        <xdr:cNvPr id="414" name="Line 454">
          <a:extLst>
            <a:ext uri="{FF2B5EF4-FFF2-40B4-BE49-F238E27FC236}">
              <a16:creationId xmlns:a16="http://schemas.microsoft.com/office/drawing/2014/main" id="{00000000-0008-0000-0000-00009E010000}"/>
            </a:ext>
          </a:extLst>
        </xdr:cNvPr>
        <xdr:cNvSpPr>
          <a:spLocks noChangeShapeType="1"/>
        </xdr:cNvSpPr>
      </xdr:nvSpPr>
      <xdr:spPr bwMode="auto">
        <a:xfrm>
          <a:off x="20735925" y="17249775"/>
          <a:ext cx="152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90</xdr:row>
      <xdr:rowOff>28575</xdr:rowOff>
    </xdr:from>
    <xdr:to>
      <xdr:col>26</xdr:col>
      <xdr:colOff>657225</xdr:colOff>
      <xdr:row>94</xdr:row>
      <xdr:rowOff>152400</xdr:rowOff>
    </xdr:to>
    <xdr:sp macro="" textlink="">
      <xdr:nvSpPr>
        <xdr:cNvPr id="415" name="Line 455">
          <a:extLst>
            <a:ext uri="{FF2B5EF4-FFF2-40B4-BE49-F238E27FC236}">
              <a16:creationId xmlns:a16="http://schemas.microsoft.com/office/drawing/2014/main" id="{00000000-0008-0000-0000-00009F010000}"/>
            </a:ext>
          </a:extLst>
        </xdr:cNvPr>
        <xdr:cNvSpPr>
          <a:spLocks noChangeShapeType="1"/>
        </xdr:cNvSpPr>
      </xdr:nvSpPr>
      <xdr:spPr bwMode="auto">
        <a:xfrm>
          <a:off x="19697700" y="1743075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647700</xdr:colOff>
      <xdr:row>88</xdr:row>
      <xdr:rowOff>104775</xdr:rowOff>
    </xdr:from>
    <xdr:to>
      <xdr:col>27</xdr:col>
      <xdr:colOff>685800</xdr:colOff>
      <xdr:row>90</xdr:row>
      <xdr:rowOff>19050</xdr:rowOff>
    </xdr:to>
    <xdr:sp macro="" textlink="">
      <xdr:nvSpPr>
        <xdr:cNvPr id="416" name="Tegning 456">
          <a:extLst>
            <a:ext uri="{FF2B5EF4-FFF2-40B4-BE49-F238E27FC236}">
              <a16:creationId xmlns:a16="http://schemas.microsoft.com/office/drawing/2014/main" id="{00000000-0008-0000-0000-0000A0010000}"/>
            </a:ext>
          </a:extLst>
        </xdr:cNvPr>
        <xdr:cNvSpPr>
          <a:spLocks/>
        </xdr:cNvSpPr>
      </xdr:nvSpPr>
      <xdr:spPr bwMode="auto">
        <a:xfrm>
          <a:off x="19688175" y="17106900"/>
          <a:ext cx="790575" cy="3143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214"/>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609600</xdr:colOff>
      <xdr:row>87</xdr:row>
      <xdr:rowOff>152400</xdr:rowOff>
    </xdr:from>
    <xdr:to>
      <xdr:col>28</xdr:col>
      <xdr:colOff>333375</xdr:colOff>
      <xdr:row>87</xdr:row>
      <xdr:rowOff>152400</xdr:rowOff>
    </xdr:to>
    <xdr:sp macro="" textlink="">
      <xdr:nvSpPr>
        <xdr:cNvPr id="417" name="Line 457">
          <a:extLst>
            <a:ext uri="{FF2B5EF4-FFF2-40B4-BE49-F238E27FC236}">
              <a16:creationId xmlns:a16="http://schemas.microsoft.com/office/drawing/2014/main" id="{00000000-0008-0000-0000-0000A1010000}"/>
            </a:ext>
          </a:extLst>
        </xdr:cNvPr>
        <xdr:cNvSpPr>
          <a:spLocks noChangeShapeType="1"/>
        </xdr:cNvSpPr>
      </xdr:nvSpPr>
      <xdr:spPr bwMode="auto">
        <a:xfrm flipH="1">
          <a:off x="19650075" y="16954500"/>
          <a:ext cx="1228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86</xdr:row>
      <xdr:rowOff>142875</xdr:rowOff>
    </xdr:from>
    <xdr:to>
      <xdr:col>28</xdr:col>
      <xdr:colOff>209550</xdr:colOff>
      <xdr:row>88</xdr:row>
      <xdr:rowOff>38100</xdr:rowOff>
    </xdr:to>
    <xdr:sp macro="" textlink="">
      <xdr:nvSpPr>
        <xdr:cNvPr id="418" name="Line 458">
          <a:extLst>
            <a:ext uri="{FF2B5EF4-FFF2-40B4-BE49-F238E27FC236}">
              <a16:creationId xmlns:a16="http://schemas.microsoft.com/office/drawing/2014/main" id="{00000000-0008-0000-0000-0000A2010000}"/>
            </a:ext>
          </a:extLst>
        </xdr:cNvPr>
        <xdr:cNvSpPr>
          <a:spLocks noChangeShapeType="1"/>
        </xdr:cNvSpPr>
      </xdr:nvSpPr>
      <xdr:spPr bwMode="auto">
        <a:xfrm flipH="1">
          <a:off x="20478750" y="16754475"/>
          <a:ext cx="276225"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609600</xdr:colOff>
      <xdr:row>94</xdr:row>
      <xdr:rowOff>85725</xdr:rowOff>
    </xdr:from>
    <xdr:to>
      <xdr:col>27</xdr:col>
      <xdr:colOff>590550</xdr:colOff>
      <xdr:row>94</xdr:row>
      <xdr:rowOff>85725</xdr:rowOff>
    </xdr:to>
    <xdr:sp macro="" textlink="">
      <xdr:nvSpPr>
        <xdr:cNvPr id="419" name="Line 459">
          <a:extLst>
            <a:ext uri="{FF2B5EF4-FFF2-40B4-BE49-F238E27FC236}">
              <a16:creationId xmlns:a16="http://schemas.microsoft.com/office/drawing/2014/main" id="{00000000-0008-0000-0000-0000A3010000}"/>
            </a:ext>
          </a:extLst>
        </xdr:cNvPr>
        <xdr:cNvSpPr>
          <a:spLocks noChangeShapeType="1"/>
        </xdr:cNvSpPr>
      </xdr:nvSpPr>
      <xdr:spPr bwMode="auto">
        <a:xfrm>
          <a:off x="19650075" y="18259425"/>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419100</xdr:colOff>
      <xdr:row>94</xdr:row>
      <xdr:rowOff>9525</xdr:rowOff>
    </xdr:from>
    <xdr:to>
      <xdr:col>27</xdr:col>
      <xdr:colOff>609600</xdr:colOff>
      <xdr:row>94</xdr:row>
      <xdr:rowOff>152400</xdr:rowOff>
    </xdr:to>
    <xdr:sp macro="" textlink="">
      <xdr:nvSpPr>
        <xdr:cNvPr id="420" name="Tegning 460">
          <a:extLst>
            <a:ext uri="{FF2B5EF4-FFF2-40B4-BE49-F238E27FC236}">
              <a16:creationId xmlns:a16="http://schemas.microsoft.com/office/drawing/2014/main" id="{00000000-0008-0000-0000-0000A4010000}"/>
            </a:ext>
          </a:extLst>
        </xdr:cNvPr>
        <xdr:cNvSpPr>
          <a:spLocks/>
        </xdr:cNvSpPr>
      </xdr:nvSpPr>
      <xdr:spPr bwMode="auto">
        <a:xfrm>
          <a:off x="20212050" y="18183225"/>
          <a:ext cx="190500" cy="1428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142875</xdr:colOff>
      <xdr:row>87</xdr:row>
      <xdr:rowOff>85725</xdr:rowOff>
    </xdr:from>
    <xdr:to>
      <xdr:col>28</xdr:col>
      <xdr:colOff>142875</xdr:colOff>
      <xdr:row>89</xdr:row>
      <xdr:rowOff>0</xdr:rowOff>
    </xdr:to>
    <xdr:sp macro="" textlink="">
      <xdr:nvSpPr>
        <xdr:cNvPr id="421" name="Line 461">
          <a:extLst>
            <a:ext uri="{FF2B5EF4-FFF2-40B4-BE49-F238E27FC236}">
              <a16:creationId xmlns:a16="http://schemas.microsoft.com/office/drawing/2014/main" id="{00000000-0008-0000-0000-0000A5010000}"/>
            </a:ext>
          </a:extLst>
        </xdr:cNvPr>
        <xdr:cNvSpPr>
          <a:spLocks noChangeShapeType="1"/>
        </xdr:cNvSpPr>
      </xdr:nvSpPr>
      <xdr:spPr bwMode="auto">
        <a:xfrm flipV="1">
          <a:off x="20688300" y="1688782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82</xdr:row>
      <xdr:rowOff>19050</xdr:rowOff>
    </xdr:from>
    <xdr:to>
      <xdr:col>27</xdr:col>
      <xdr:colOff>685800</xdr:colOff>
      <xdr:row>98</xdr:row>
      <xdr:rowOff>95250</xdr:rowOff>
    </xdr:to>
    <xdr:sp macro="" textlink="">
      <xdr:nvSpPr>
        <xdr:cNvPr id="422" name="Line 462">
          <a:extLst>
            <a:ext uri="{FF2B5EF4-FFF2-40B4-BE49-F238E27FC236}">
              <a16:creationId xmlns:a16="http://schemas.microsoft.com/office/drawing/2014/main" id="{00000000-0008-0000-0000-0000A6010000}"/>
            </a:ext>
          </a:extLst>
        </xdr:cNvPr>
        <xdr:cNvSpPr>
          <a:spLocks noChangeShapeType="1"/>
        </xdr:cNvSpPr>
      </xdr:nvSpPr>
      <xdr:spPr bwMode="auto">
        <a:xfrm flipV="1">
          <a:off x="20478750" y="15840075"/>
          <a:ext cx="0" cy="320040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142875</xdr:colOff>
      <xdr:row>82</xdr:row>
      <xdr:rowOff>19050</xdr:rowOff>
    </xdr:from>
    <xdr:to>
      <xdr:col>28</xdr:col>
      <xdr:colOff>142875</xdr:colOff>
      <xdr:row>106</xdr:row>
      <xdr:rowOff>28575</xdr:rowOff>
    </xdr:to>
    <xdr:sp macro="" textlink="">
      <xdr:nvSpPr>
        <xdr:cNvPr id="423" name="Line 463">
          <a:extLst>
            <a:ext uri="{FF2B5EF4-FFF2-40B4-BE49-F238E27FC236}">
              <a16:creationId xmlns:a16="http://schemas.microsoft.com/office/drawing/2014/main" id="{00000000-0008-0000-0000-0000A7010000}"/>
            </a:ext>
          </a:extLst>
        </xdr:cNvPr>
        <xdr:cNvSpPr>
          <a:spLocks noChangeShapeType="1"/>
        </xdr:cNvSpPr>
      </xdr:nvSpPr>
      <xdr:spPr bwMode="auto">
        <a:xfrm flipV="1">
          <a:off x="20688300" y="15840075"/>
          <a:ext cx="0" cy="468630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102</xdr:row>
      <xdr:rowOff>190500</xdr:rowOff>
    </xdr:from>
    <xdr:to>
      <xdr:col>28</xdr:col>
      <xdr:colOff>142875</xdr:colOff>
      <xdr:row>104</xdr:row>
      <xdr:rowOff>142875</xdr:rowOff>
    </xdr:to>
    <xdr:sp macro="" textlink="">
      <xdr:nvSpPr>
        <xdr:cNvPr id="424" name="Tegning 464">
          <a:extLst>
            <a:ext uri="{FF2B5EF4-FFF2-40B4-BE49-F238E27FC236}">
              <a16:creationId xmlns:a16="http://schemas.microsoft.com/office/drawing/2014/main" id="{00000000-0008-0000-0000-0000A8010000}"/>
            </a:ext>
          </a:extLst>
        </xdr:cNvPr>
        <xdr:cNvSpPr>
          <a:spLocks/>
        </xdr:cNvSpPr>
      </xdr:nvSpPr>
      <xdr:spPr bwMode="auto">
        <a:xfrm>
          <a:off x="19812000" y="19907250"/>
          <a:ext cx="876300" cy="342900"/>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1895" y="0"/>
              </a:lnTo>
              <a:lnTo>
                <a:pt x="11895" y="7928"/>
              </a:lnTo>
              <a:lnTo>
                <a:pt x="16384" y="7928"/>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152400</xdr:colOff>
      <xdr:row>99</xdr:row>
      <xdr:rowOff>0</xdr:rowOff>
    </xdr:from>
    <xdr:to>
      <xdr:col>28</xdr:col>
      <xdr:colOff>95250</xdr:colOff>
      <xdr:row>99</xdr:row>
      <xdr:rowOff>0</xdr:rowOff>
    </xdr:to>
    <xdr:sp macro="" textlink="">
      <xdr:nvSpPr>
        <xdr:cNvPr id="425" name="Line 465">
          <a:extLst>
            <a:ext uri="{FF2B5EF4-FFF2-40B4-BE49-F238E27FC236}">
              <a16:creationId xmlns:a16="http://schemas.microsoft.com/office/drawing/2014/main" id="{00000000-0008-0000-0000-0000A9010000}"/>
            </a:ext>
          </a:extLst>
        </xdr:cNvPr>
        <xdr:cNvSpPr>
          <a:spLocks noChangeShapeType="1"/>
        </xdr:cNvSpPr>
      </xdr:nvSpPr>
      <xdr:spPr bwMode="auto">
        <a:xfrm flipH="1">
          <a:off x="19192875" y="19135725"/>
          <a:ext cx="1447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180975</xdr:colOff>
      <xdr:row>98</xdr:row>
      <xdr:rowOff>0</xdr:rowOff>
    </xdr:from>
    <xdr:to>
      <xdr:col>27</xdr:col>
      <xdr:colOff>685800</xdr:colOff>
      <xdr:row>98</xdr:row>
      <xdr:rowOff>0</xdr:rowOff>
    </xdr:to>
    <xdr:sp macro="" textlink="">
      <xdr:nvSpPr>
        <xdr:cNvPr id="426" name="Line 466">
          <a:extLst>
            <a:ext uri="{FF2B5EF4-FFF2-40B4-BE49-F238E27FC236}">
              <a16:creationId xmlns:a16="http://schemas.microsoft.com/office/drawing/2014/main" id="{00000000-0008-0000-0000-0000AA010000}"/>
            </a:ext>
          </a:extLst>
        </xdr:cNvPr>
        <xdr:cNvSpPr>
          <a:spLocks noChangeShapeType="1"/>
        </xdr:cNvSpPr>
      </xdr:nvSpPr>
      <xdr:spPr bwMode="auto">
        <a:xfrm flipH="1">
          <a:off x="19221450" y="18945225"/>
          <a:ext cx="1257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97</xdr:row>
      <xdr:rowOff>114300</xdr:rowOff>
    </xdr:from>
    <xdr:to>
      <xdr:col>27</xdr:col>
      <xdr:colOff>66675</xdr:colOff>
      <xdr:row>98</xdr:row>
      <xdr:rowOff>76200</xdr:rowOff>
    </xdr:to>
    <xdr:sp macro="" textlink="">
      <xdr:nvSpPr>
        <xdr:cNvPr id="427" name="Line 467">
          <a:extLst>
            <a:ext uri="{FF2B5EF4-FFF2-40B4-BE49-F238E27FC236}">
              <a16:creationId xmlns:a16="http://schemas.microsoft.com/office/drawing/2014/main" id="{00000000-0008-0000-0000-0000AB010000}"/>
            </a:ext>
          </a:extLst>
        </xdr:cNvPr>
        <xdr:cNvSpPr>
          <a:spLocks noChangeShapeType="1"/>
        </xdr:cNvSpPr>
      </xdr:nvSpPr>
      <xdr:spPr bwMode="auto">
        <a:xfrm flipH="1">
          <a:off x="19697700" y="18869025"/>
          <a:ext cx="16192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685800</xdr:colOff>
      <xdr:row>98</xdr:row>
      <xdr:rowOff>114300</xdr:rowOff>
    </xdr:from>
    <xdr:to>
      <xdr:col>27</xdr:col>
      <xdr:colOff>95250</xdr:colOff>
      <xdr:row>99</xdr:row>
      <xdr:rowOff>95250</xdr:rowOff>
    </xdr:to>
    <xdr:sp macro="" textlink="">
      <xdr:nvSpPr>
        <xdr:cNvPr id="428" name="Line 468">
          <a:extLst>
            <a:ext uri="{FF2B5EF4-FFF2-40B4-BE49-F238E27FC236}">
              <a16:creationId xmlns:a16="http://schemas.microsoft.com/office/drawing/2014/main" id="{00000000-0008-0000-0000-0000AC010000}"/>
            </a:ext>
          </a:extLst>
        </xdr:cNvPr>
        <xdr:cNvSpPr>
          <a:spLocks noChangeShapeType="1"/>
        </xdr:cNvSpPr>
      </xdr:nvSpPr>
      <xdr:spPr bwMode="auto">
        <a:xfrm flipH="1">
          <a:off x="19726275" y="19059525"/>
          <a:ext cx="161925"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657225</xdr:colOff>
      <xdr:row>100</xdr:row>
      <xdr:rowOff>47625</xdr:rowOff>
    </xdr:from>
    <xdr:to>
      <xdr:col>27</xdr:col>
      <xdr:colOff>657225</xdr:colOff>
      <xdr:row>102</xdr:row>
      <xdr:rowOff>142875</xdr:rowOff>
    </xdr:to>
    <xdr:sp macro="" textlink="">
      <xdr:nvSpPr>
        <xdr:cNvPr id="429" name="Line 469">
          <a:extLst>
            <a:ext uri="{FF2B5EF4-FFF2-40B4-BE49-F238E27FC236}">
              <a16:creationId xmlns:a16="http://schemas.microsoft.com/office/drawing/2014/main" id="{00000000-0008-0000-0000-0000AD010000}"/>
            </a:ext>
          </a:extLst>
        </xdr:cNvPr>
        <xdr:cNvSpPr>
          <a:spLocks noChangeShapeType="1"/>
        </xdr:cNvSpPr>
      </xdr:nvSpPr>
      <xdr:spPr bwMode="auto">
        <a:xfrm flipV="1">
          <a:off x="20450175" y="19373850"/>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100</xdr:row>
      <xdr:rowOff>85725</xdr:rowOff>
    </xdr:from>
    <xdr:to>
      <xdr:col>28</xdr:col>
      <xdr:colOff>257175</xdr:colOff>
      <xdr:row>100</xdr:row>
      <xdr:rowOff>85725</xdr:rowOff>
    </xdr:to>
    <xdr:sp macro="" textlink="">
      <xdr:nvSpPr>
        <xdr:cNvPr id="430" name="Line 470">
          <a:extLst>
            <a:ext uri="{FF2B5EF4-FFF2-40B4-BE49-F238E27FC236}">
              <a16:creationId xmlns:a16="http://schemas.microsoft.com/office/drawing/2014/main" id="{00000000-0008-0000-0000-0000AE010000}"/>
            </a:ext>
          </a:extLst>
        </xdr:cNvPr>
        <xdr:cNvSpPr>
          <a:spLocks noChangeShapeType="1"/>
        </xdr:cNvSpPr>
      </xdr:nvSpPr>
      <xdr:spPr bwMode="auto">
        <a:xfrm flipH="1">
          <a:off x="20402550" y="19411950"/>
          <a:ext cx="400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98</xdr:row>
      <xdr:rowOff>123825</xdr:rowOff>
    </xdr:from>
    <xdr:to>
      <xdr:col>28</xdr:col>
      <xdr:colOff>66675</xdr:colOff>
      <xdr:row>101</xdr:row>
      <xdr:rowOff>0</xdr:rowOff>
    </xdr:to>
    <xdr:sp macro="" textlink="">
      <xdr:nvSpPr>
        <xdr:cNvPr id="431" name="Line 471">
          <a:extLst>
            <a:ext uri="{FF2B5EF4-FFF2-40B4-BE49-F238E27FC236}">
              <a16:creationId xmlns:a16="http://schemas.microsoft.com/office/drawing/2014/main" id="{00000000-0008-0000-0000-0000AF010000}"/>
            </a:ext>
          </a:extLst>
        </xdr:cNvPr>
        <xdr:cNvSpPr>
          <a:spLocks noChangeShapeType="1"/>
        </xdr:cNvSpPr>
      </xdr:nvSpPr>
      <xdr:spPr bwMode="auto">
        <a:xfrm flipV="1">
          <a:off x="20612100" y="19069050"/>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285750</xdr:colOff>
      <xdr:row>88</xdr:row>
      <xdr:rowOff>104775</xdr:rowOff>
    </xdr:from>
    <xdr:to>
      <xdr:col>28</xdr:col>
      <xdr:colOff>381000</xdr:colOff>
      <xdr:row>90</xdr:row>
      <xdr:rowOff>0</xdr:rowOff>
    </xdr:to>
    <xdr:sp macro="" textlink="">
      <xdr:nvSpPr>
        <xdr:cNvPr id="432" name="Tegning 472">
          <a:extLst>
            <a:ext uri="{FF2B5EF4-FFF2-40B4-BE49-F238E27FC236}">
              <a16:creationId xmlns:a16="http://schemas.microsoft.com/office/drawing/2014/main" id="{00000000-0008-0000-0000-0000B0010000}"/>
            </a:ext>
          </a:extLst>
        </xdr:cNvPr>
        <xdr:cNvSpPr>
          <a:spLocks/>
        </xdr:cNvSpPr>
      </xdr:nvSpPr>
      <xdr:spPr bwMode="auto">
        <a:xfrm>
          <a:off x="20831175" y="17106900"/>
          <a:ext cx="95250" cy="295275"/>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101</xdr:row>
      <xdr:rowOff>95250</xdr:rowOff>
    </xdr:from>
    <xdr:to>
      <xdr:col>28</xdr:col>
      <xdr:colOff>238125</xdr:colOff>
      <xdr:row>101</xdr:row>
      <xdr:rowOff>95250</xdr:rowOff>
    </xdr:to>
    <xdr:sp macro="" textlink="">
      <xdr:nvSpPr>
        <xdr:cNvPr id="433" name="Line 473">
          <a:extLst>
            <a:ext uri="{FF2B5EF4-FFF2-40B4-BE49-F238E27FC236}">
              <a16:creationId xmlns:a16="http://schemas.microsoft.com/office/drawing/2014/main" id="{00000000-0008-0000-0000-0000B1010000}"/>
            </a:ext>
          </a:extLst>
        </xdr:cNvPr>
        <xdr:cNvSpPr>
          <a:spLocks noChangeShapeType="1"/>
        </xdr:cNvSpPr>
      </xdr:nvSpPr>
      <xdr:spPr bwMode="auto">
        <a:xfrm>
          <a:off x="20545425" y="19621500"/>
          <a:ext cx="2381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0</xdr:colOff>
      <xdr:row>90</xdr:row>
      <xdr:rowOff>0</xdr:rowOff>
    </xdr:from>
    <xdr:to>
      <xdr:col>27</xdr:col>
      <xdr:colOff>0</xdr:colOff>
      <xdr:row>92</xdr:row>
      <xdr:rowOff>0</xdr:rowOff>
    </xdr:to>
    <xdr:sp macro="" textlink="">
      <xdr:nvSpPr>
        <xdr:cNvPr id="434" name="Line 474">
          <a:extLst>
            <a:ext uri="{FF2B5EF4-FFF2-40B4-BE49-F238E27FC236}">
              <a16:creationId xmlns:a16="http://schemas.microsoft.com/office/drawing/2014/main" id="{00000000-0008-0000-0000-0000B2010000}"/>
            </a:ext>
          </a:extLst>
        </xdr:cNvPr>
        <xdr:cNvSpPr>
          <a:spLocks noChangeShapeType="1"/>
        </xdr:cNvSpPr>
      </xdr:nvSpPr>
      <xdr:spPr bwMode="auto">
        <a:xfrm flipV="1">
          <a:off x="19792950" y="17402175"/>
          <a:ext cx="0" cy="381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742950</xdr:colOff>
      <xdr:row>90</xdr:row>
      <xdr:rowOff>19050</xdr:rowOff>
    </xdr:from>
    <xdr:to>
      <xdr:col>28</xdr:col>
      <xdr:colOff>0</xdr:colOff>
      <xdr:row>92</xdr:row>
      <xdr:rowOff>0</xdr:rowOff>
    </xdr:to>
    <xdr:sp macro="" textlink="">
      <xdr:nvSpPr>
        <xdr:cNvPr id="435" name="Line 475">
          <a:extLst>
            <a:ext uri="{FF2B5EF4-FFF2-40B4-BE49-F238E27FC236}">
              <a16:creationId xmlns:a16="http://schemas.microsoft.com/office/drawing/2014/main" id="{00000000-0008-0000-0000-0000B3010000}"/>
            </a:ext>
          </a:extLst>
        </xdr:cNvPr>
        <xdr:cNvSpPr>
          <a:spLocks noChangeShapeType="1"/>
        </xdr:cNvSpPr>
      </xdr:nvSpPr>
      <xdr:spPr bwMode="auto">
        <a:xfrm flipH="1" flipV="1">
          <a:off x="20535900" y="17421225"/>
          <a:ext cx="9525"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96</xdr:row>
      <xdr:rowOff>38100</xdr:rowOff>
    </xdr:from>
    <xdr:to>
      <xdr:col>28</xdr:col>
      <xdr:colOff>9525</xdr:colOff>
      <xdr:row>98</xdr:row>
      <xdr:rowOff>95250</xdr:rowOff>
    </xdr:to>
    <xdr:sp macro="" textlink="">
      <xdr:nvSpPr>
        <xdr:cNvPr id="436" name="Line 476">
          <a:extLst>
            <a:ext uri="{FF2B5EF4-FFF2-40B4-BE49-F238E27FC236}">
              <a16:creationId xmlns:a16="http://schemas.microsoft.com/office/drawing/2014/main" id="{00000000-0008-0000-0000-0000B4010000}"/>
            </a:ext>
          </a:extLst>
        </xdr:cNvPr>
        <xdr:cNvSpPr>
          <a:spLocks noChangeShapeType="1"/>
        </xdr:cNvSpPr>
      </xdr:nvSpPr>
      <xdr:spPr bwMode="auto">
        <a:xfrm flipV="1">
          <a:off x="20545425" y="18602325"/>
          <a:ext cx="9525" cy="438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0</xdr:colOff>
      <xdr:row>92</xdr:row>
      <xdr:rowOff>28575</xdr:rowOff>
    </xdr:from>
    <xdr:to>
      <xdr:col>27</xdr:col>
      <xdr:colOff>9525</xdr:colOff>
      <xdr:row>99</xdr:row>
      <xdr:rowOff>123825</xdr:rowOff>
    </xdr:to>
    <xdr:sp macro="" textlink="">
      <xdr:nvSpPr>
        <xdr:cNvPr id="437" name="Line 477">
          <a:extLst>
            <a:ext uri="{FF2B5EF4-FFF2-40B4-BE49-F238E27FC236}">
              <a16:creationId xmlns:a16="http://schemas.microsoft.com/office/drawing/2014/main" id="{00000000-0008-0000-0000-0000B5010000}"/>
            </a:ext>
          </a:extLst>
        </xdr:cNvPr>
        <xdr:cNvSpPr>
          <a:spLocks noChangeShapeType="1"/>
        </xdr:cNvSpPr>
      </xdr:nvSpPr>
      <xdr:spPr bwMode="auto">
        <a:xfrm>
          <a:off x="19792950" y="17811750"/>
          <a:ext cx="9525" cy="1447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28575</xdr:colOff>
      <xdr:row>101</xdr:row>
      <xdr:rowOff>190500</xdr:rowOff>
    </xdr:from>
    <xdr:to>
      <xdr:col>28</xdr:col>
      <xdr:colOff>114300</xdr:colOff>
      <xdr:row>102</xdr:row>
      <xdr:rowOff>47625</xdr:rowOff>
    </xdr:to>
    <xdr:sp macro="" textlink="">
      <xdr:nvSpPr>
        <xdr:cNvPr id="438" name="Oval 478">
          <a:extLst>
            <a:ext uri="{FF2B5EF4-FFF2-40B4-BE49-F238E27FC236}">
              <a16:creationId xmlns:a16="http://schemas.microsoft.com/office/drawing/2014/main" id="{00000000-0008-0000-0000-0000B6010000}"/>
            </a:ext>
          </a:extLst>
        </xdr:cNvPr>
        <xdr:cNvSpPr>
          <a:spLocks noChangeArrowheads="1"/>
        </xdr:cNvSpPr>
      </xdr:nvSpPr>
      <xdr:spPr bwMode="auto">
        <a:xfrm>
          <a:off x="20574000" y="19716750"/>
          <a:ext cx="857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542925</xdr:colOff>
      <xdr:row>93</xdr:row>
      <xdr:rowOff>0</xdr:rowOff>
    </xdr:from>
    <xdr:to>
      <xdr:col>28</xdr:col>
      <xdr:colOff>285750</xdr:colOff>
      <xdr:row>93</xdr:row>
      <xdr:rowOff>9525</xdr:rowOff>
    </xdr:to>
    <xdr:sp macro="" textlink="">
      <xdr:nvSpPr>
        <xdr:cNvPr id="439" name="Line 479">
          <a:extLst>
            <a:ext uri="{FF2B5EF4-FFF2-40B4-BE49-F238E27FC236}">
              <a16:creationId xmlns:a16="http://schemas.microsoft.com/office/drawing/2014/main" id="{00000000-0008-0000-0000-0000B7010000}"/>
            </a:ext>
          </a:extLst>
        </xdr:cNvPr>
        <xdr:cNvSpPr>
          <a:spLocks noChangeShapeType="1"/>
        </xdr:cNvSpPr>
      </xdr:nvSpPr>
      <xdr:spPr bwMode="auto">
        <a:xfrm>
          <a:off x="19583400" y="17973675"/>
          <a:ext cx="124777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87</xdr:row>
      <xdr:rowOff>28575</xdr:rowOff>
    </xdr:from>
    <xdr:to>
      <xdr:col>27</xdr:col>
      <xdr:colOff>685800</xdr:colOff>
      <xdr:row>89</xdr:row>
      <xdr:rowOff>190500</xdr:rowOff>
    </xdr:to>
    <xdr:sp macro="" textlink="">
      <xdr:nvSpPr>
        <xdr:cNvPr id="440" name="Line 480">
          <a:extLst>
            <a:ext uri="{FF2B5EF4-FFF2-40B4-BE49-F238E27FC236}">
              <a16:creationId xmlns:a16="http://schemas.microsoft.com/office/drawing/2014/main" id="{00000000-0008-0000-0000-0000B8010000}"/>
            </a:ext>
          </a:extLst>
        </xdr:cNvPr>
        <xdr:cNvSpPr>
          <a:spLocks noChangeShapeType="1"/>
        </xdr:cNvSpPr>
      </xdr:nvSpPr>
      <xdr:spPr bwMode="auto">
        <a:xfrm flipH="1">
          <a:off x="20478750" y="16830675"/>
          <a:ext cx="0" cy="561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101</xdr:row>
      <xdr:rowOff>28575</xdr:rowOff>
    </xdr:from>
    <xdr:to>
      <xdr:col>28</xdr:col>
      <xdr:colOff>66675</xdr:colOff>
      <xdr:row>103</xdr:row>
      <xdr:rowOff>142875</xdr:rowOff>
    </xdr:to>
    <xdr:sp macro="" textlink="">
      <xdr:nvSpPr>
        <xdr:cNvPr id="441" name="Line 481">
          <a:extLst>
            <a:ext uri="{FF2B5EF4-FFF2-40B4-BE49-F238E27FC236}">
              <a16:creationId xmlns:a16="http://schemas.microsoft.com/office/drawing/2014/main" id="{00000000-0008-0000-0000-0000B9010000}"/>
            </a:ext>
          </a:extLst>
        </xdr:cNvPr>
        <xdr:cNvSpPr>
          <a:spLocks noChangeShapeType="1"/>
        </xdr:cNvSpPr>
      </xdr:nvSpPr>
      <xdr:spPr bwMode="auto">
        <a:xfrm>
          <a:off x="20612100" y="19554825"/>
          <a:ext cx="0" cy="4953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100</xdr:row>
      <xdr:rowOff>38100</xdr:rowOff>
    </xdr:from>
    <xdr:to>
      <xdr:col>27</xdr:col>
      <xdr:colOff>733425</xdr:colOff>
      <xdr:row>100</xdr:row>
      <xdr:rowOff>142875</xdr:rowOff>
    </xdr:to>
    <xdr:sp macro="" textlink="">
      <xdr:nvSpPr>
        <xdr:cNvPr id="442" name="Line 482">
          <a:extLst>
            <a:ext uri="{FF2B5EF4-FFF2-40B4-BE49-F238E27FC236}">
              <a16:creationId xmlns:a16="http://schemas.microsoft.com/office/drawing/2014/main" id="{00000000-0008-0000-0000-0000BA010000}"/>
            </a:ext>
          </a:extLst>
        </xdr:cNvPr>
        <xdr:cNvSpPr>
          <a:spLocks noChangeShapeType="1"/>
        </xdr:cNvSpPr>
      </xdr:nvSpPr>
      <xdr:spPr bwMode="auto">
        <a:xfrm flipH="1">
          <a:off x="20383500" y="19364325"/>
          <a:ext cx="1428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100</xdr:row>
      <xdr:rowOff>47625</xdr:rowOff>
    </xdr:from>
    <xdr:to>
      <xdr:col>28</xdr:col>
      <xdr:colOff>180975</xdr:colOff>
      <xdr:row>100</xdr:row>
      <xdr:rowOff>161925</xdr:rowOff>
    </xdr:to>
    <xdr:sp macro="" textlink="">
      <xdr:nvSpPr>
        <xdr:cNvPr id="443" name="Line 483">
          <a:extLst>
            <a:ext uri="{FF2B5EF4-FFF2-40B4-BE49-F238E27FC236}">
              <a16:creationId xmlns:a16="http://schemas.microsoft.com/office/drawing/2014/main" id="{00000000-0008-0000-0000-0000BB010000}"/>
            </a:ext>
          </a:extLst>
        </xdr:cNvPr>
        <xdr:cNvSpPr>
          <a:spLocks noChangeShapeType="1"/>
        </xdr:cNvSpPr>
      </xdr:nvSpPr>
      <xdr:spPr bwMode="auto">
        <a:xfrm flipH="1">
          <a:off x="20612100" y="1937385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685800</xdr:colOff>
      <xdr:row>96</xdr:row>
      <xdr:rowOff>209550</xdr:rowOff>
    </xdr:from>
    <xdr:to>
      <xdr:col>27</xdr:col>
      <xdr:colOff>304800</xdr:colOff>
      <xdr:row>96</xdr:row>
      <xdr:rowOff>209550</xdr:rowOff>
    </xdr:to>
    <xdr:sp macro="" textlink="">
      <xdr:nvSpPr>
        <xdr:cNvPr id="444" name="Line 484">
          <a:extLst>
            <a:ext uri="{FF2B5EF4-FFF2-40B4-BE49-F238E27FC236}">
              <a16:creationId xmlns:a16="http://schemas.microsoft.com/office/drawing/2014/main" id="{00000000-0008-0000-0000-0000BC010000}"/>
            </a:ext>
          </a:extLst>
        </xdr:cNvPr>
        <xdr:cNvSpPr>
          <a:spLocks noChangeShapeType="1"/>
        </xdr:cNvSpPr>
      </xdr:nvSpPr>
      <xdr:spPr bwMode="auto">
        <a:xfrm>
          <a:off x="19726275" y="18754725"/>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161925</xdr:colOff>
      <xdr:row>96</xdr:row>
      <xdr:rowOff>114300</xdr:rowOff>
    </xdr:from>
    <xdr:to>
      <xdr:col>27</xdr:col>
      <xdr:colOff>352425</xdr:colOff>
      <xdr:row>97</xdr:row>
      <xdr:rowOff>66675</xdr:rowOff>
    </xdr:to>
    <xdr:sp macro="" textlink="">
      <xdr:nvSpPr>
        <xdr:cNvPr id="445" name="Tegning 485">
          <a:extLst>
            <a:ext uri="{FF2B5EF4-FFF2-40B4-BE49-F238E27FC236}">
              <a16:creationId xmlns:a16="http://schemas.microsoft.com/office/drawing/2014/main" id="{00000000-0008-0000-0000-0000BD010000}"/>
            </a:ext>
          </a:extLst>
        </xdr:cNvPr>
        <xdr:cNvSpPr>
          <a:spLocks/>
        </xdr:cNvSpPr>
      </xdr:nvSpPr>
      <xdr:spPr bwMode="auto">
        <a:xfrm>
          <a:off x="19954875" y="18678525"/>
          <a:ext cx="190500" cy="1428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685800</xdr:colOff>
      <xdr:row>89</xdr:row>
      <xdr:rowOff>47625</xdr:rowOff>
    </xdr:from>
    <xdr:to>
      <xdr:col>28</xdr:col>
      <xdr:colOff>142875</xdr:colOff>
      <xdr:row>90</xdr:row>
      <xdr:rowOff>19050</xdr:rowOff>
    </xdr:to>
    <xdr:sp macro="" textlink="">
      <xdr:nvSpPr>
        <xdr:cNvPr id="446" name="Tegning 486">
          <a:extLst>
            <a:ext uri="{FF2B5EF4-FFF2-40B4-BE49-F238E27FC236}">
              <a16:creationId xmlns:a16="http://schemas.microsoft.com/office/drawing/2014/main" id="{00000000-0008-0000-0000-0000BE010000}"/>
            </a:ext>
          </a:extLst>
        </xdr:cNvPr>
        <xdr:cNvSpPr>
          <a:spLocks/>
        </xdr:cNvSpPr>
      </xdr:nvSpPr>
      <xdr:spPr bwMode="auto">
        <a:xfrm>
          <a:off x="20478750" y="17249775"/>
          <a:ext cx="209550" cy="171450"/>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420"/>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66675</xdr:colOff>
      <xdr:row>102</xdr:row>
      <xdr:rowOff>19050</xdr:rowOff>
    </xdr:from>
    <xdr:to>
      <xdr:col>28</xdr:col>
      <xdr:colOff>266700</xdr:colOff>
      <xdr:row>102</xdr:row>
      <xdr:rowOff>104775</xdr:rowOff>
    </xdr:to>
    <xdr:sp macro="" textlink="">
      <xdr:nvSpPr>
        <xdr:cNvPr id="447" name="Line 487">
          <a:extLst>
            <a:ext uri="{FF2B5EF4-FFF2-40B4-BE49-F238E27FC236}">
              <a16:creationId xmlns:a16="http://schemas.microsoft.com/office/drawing/2014/main" id="{00000000-0008-0000-0000-0000BF010000}"/>
            </a:ext>
          </a:extLst>
        </xdr:cNvPr>
        <xdr:cNvSpPr>
          <a:spLocks noChangeShapeType="1"/>
        </xdr:cNvSpPr>
      </xdr:nvSpPr>
      <xdr:spPr bwMode="auto">
        <a:xfrm flipH="1" flipV="1">
          <a:off x="20612100" y="19735800"/>
          <a:ext cx="2000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101</xdr:row>
      <xdr:rowOff>19050</xdr:rowOff>
    </xdr:from>
    <xdr:to>
      <xdr:col>28</xdr:col>
      <xdr:colOff>180975</xdr:colOff>
      <xdr:row>101</xdr:row>
      <xdr:rowOff>161925</xdr:rowOff>
    </xdr:to>
    <xdr:sp macro="" textlink="">
      <xdr:nvSpPr>
        <xdr:cNvPr id="448" name="Line 488">
          <a:extLst>
            <a:ext uri="{FF2B5EF4-FFF2-40B4-BE49-F238E27FC236}">
              <a16:creationId xmlns:a16="http://schemas.microsoft.com/office/drawing/2014/main" id="{00000000-0008-0000-0000-0000C0010000}"/>
            </a:ext>
          </a:extLst>
        </xdr:cNvPr>
        <xdr:cNvSpPr>
          <a:spLocks noChangeShapeType="1"/>
        </xdr:cNvSpPr>
      </xdr:nvSpPr>
      <xdr:spPr bwMode="auto">
        <a:xfrm flipH="1">
          <a:off x="20612100" y="19545300"/>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733425</xdr:colOff>
      <xdr:row>101</xdr:row>
      <xdr:rowOff>19050</xdr:rowOff>
    </xdr:from>
    <xdr:to>
      <xdr:col>28</xdr:col>
      <xdr:colOff>114300</xdr:colOff>
      <xdr:row>101</xdr:row>
      <xdr:rowOff>190500</xdr:rowOff>
    </xdr:to>
    <xdr:sp macro="" textlink="">
      <xdr:nvSpPr>
        <xdr:cNvPr id="449" name="Line 489">
          <a:extLst>
            <a:ext uri="{FF2B5EF4-FFF2-40B4-BE49-F238E27FC236}">
              <a16:creationId xmlns:a16="http://schemas.microsoft.com/office/drawing/2014/main" id="{00000000-0008-0000-0000-0000C1010000}"/>
            </a:ext>
          </a:extLst>
        </xdr:cNvPr>
        <xdr:cNvSpPr>
          <a:spLocks noChangeShapeType="1"/>
        </xdr:cNvSpPr>
      </xdr:nvSpPr>
      <xdr:spPr bwMode="auto">
        <a:xfrm flipH="1">
          <a:off x="20526375" y="19545300"/>
          <a:ext cx="1333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704850</xdr:colOff>
      <xdr:row>92</xdr:row>
      <xdr:rowOff>142875</xdr:rowOff>
    </xdr:from>
    <xdr:to>
      <xdr:col>27</xdr:col>
      <xdr:colOff>47625</xdr:colOff>
      <xdr:row>93</xdr:row>
      <xdr:rowOff>38100</xdr:rowOff>
    </xdr:to>
    <xdr:sp macro="" textlink="">
      <xdr:nvSpPr>
        <xdr:cNvPr id="450" name="Line 490">
          <a:extLst>
            <a:ext uri="{FF2B5EF4-FFF2-40B4-BE49-F238E27FC236}">
              <a16:creationId xmlns:a16="http://schemas.microsoft.com/office/drawing/2014/main" id="{00000000-0008-0000-0000-0000C2010000}"/>
            </a:ext>
          </a:extLst>
        </xdr:cNvPr>
        <xdr:cNvSpPr>
          <a:spLocks noChangeShapeType="1"/>
        </xdr:cNvSpPr>
      </xdr:nvSpPr>
      <xdr:spPr bwMode="auto">
        <a:xfrm flipH="1">
          <a:off x="19745325" y="179260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400050</xdr:colOff>
      <xdr:row>89</xdr:row>
      <xdr:rowOff>180975</xdr:rowOff>
    </xdr:from>
    <xdr:to>
      <xdr:col>26</xdr:col>
      <xdr:colOff>590550</xdr:colOff>
      <xdr:row>89</xdr:row>
      <xdr:rowOff>180975</xdr:rowOff>
    </xdr:to>
    <xdr:sp macro="" textlink="">
      <xdr:nvSpPr>
        <xdr:cNvPr id="451" name="Line 491">
          <a:extLst>
            <a:ext uri="{FF2B5EF4-FFF2-40B4-BE49-F238E27FC236}">
              <a16:creationId xmlns:a16="http://schemas.microsoft.com/office/drawing/2014/main" id="{00000000-0008-0000-0000-0000C3010000}"/>
            </a:ext>
          </a:extLst>
        </xdr:cNvPr>
        <xdr:cNvSpPr>
          <a:spLocks noChangeShapeType="1"/>
        </xdr:cNvSpPr>
      </xdr:nvSpPr>
      <xdr:spPr bwMode="auto">
        <a:xfrm>
          <a:off x="19440525" y="17383125"/>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381000</xdr:colOff>
      <xdr:row>88</xdr:row>
      <xdr:rowOff>47625</xdr:rowOff>
    </xdr:from>
    <xdr:to>
      <xdr:col>26</xdr:col>
      <xdr:colOff>523875</xdr:colOff>
      <xdr:row>88</xdr:row>
      <xdr:rowOff>152400</xdr:rowOff>
    </xdr:to>
    <xdr:sp macro="" textlink="">
      <xdr:nvSpPr>
        <xdr:cNvPr id="452" name="Line 492">
          <a:extLst>
            <a:ext uri="{FF2B5EF4-FFF2-40B4-BE49-F238E27FC236}">
              <a16:creationId xmlns:a16="http://schemas.microsoft.com/office/drawing/2014/main" id="{00000000-0008-0000-0000-0000C4010000}"/>
            </a:ext>
          </a:extLst>
        </xdr:cNvPr>
        <xdr:cNvSpPr>
          <a:spLocks noChangeShapeType="1"/>
        </xdr:cNvSpPr>
      </xdr:nvSpPr>
      <xdr:spPr bwMode="auto">
        <a:xfrm flipH="1">
          <a:off x="19421475" y="17049750"/>
          <a:ext cx="1428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76200</xdr:colOff>
      <xdr:row>88</xdr:row>
      <xdr:rowOff>104775</xdr:rowOff>
    </xdr:from>
    <xdr:to>
      <xdr:col>27</xdr:col>
      <xdr:colOff>76200</xdr:colOff>
      <xdr:row>90</xdr:row>
      <xdr:rowOff>9525</xdr:rowOff>
    </xdr:to>
    <xdr:sp macro="" textlink="">
      <xdr:nvSpPr>
        <xdr:cNvPr id="453" name="Line 493">
          <a:extLst>
            <a:ext uri="{FF2B5EF4-FFF2-40B4-BE49-F238E27FC236}">
              <a16:creationId xmlns:a16="http://schemas.microsoft.com/office/drawing/2014/main" id="{00000000-0008-0000-0000-0000C5010000}"/>
            </a:ext>
          </a:extLst>
        </xdr:cNvPr>
        <xdr:cNvSpPr>
          <a:spLocks noChangeShapeType="1"/>
        </xdr:cNvSpPr>
      </xdr:nvSpPr>
      <xdr:spPr bwMode="auto">
        <a:xfrm>
          <a:off x="19869150" y="1710690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88</xdr:row>
      <xdr:rowOff>85725</xdr:rowOff>
    </xdr:from>
    <xdr:to>
      <xdr:col>27</xdr:col>
      <xdr:colOff>19050</xdr:colOff>
      <xdr:row>90</xdr:row>
      <xdr:rowOff>28575</xdr:rowOff>
    </xdr:to>
    <xdr:sp macro="" textlink="">
      <xdr:nvSpPr>
        <xdr:cNvPr id="454" name="Line 494">
          <a:extLst>
            <a:ext uri="{FF2B5EF4-FFF2-40B4-BE49-F238E27FC236}">
              <a16:creationId xmlns:a16="http://schemas.microsoft.com/office/drawing/2014/main" id="{00000000-0008-0000-0000-0000C6010000}"/>
            </a:ext>
          </a:extLst>
        </xdr:cNvPr>
        <xdr:cNvSpPr>
          <a:spLocks noChangeShapeType="1"/>
        </xdr:cNvSpPr>
      </xdr:nvSpPr>
      <xdr:spPr bwMode="auto">
        <a:xfrm>
          <a:off x="19812000" y="17087850"/>
          <a:ext cx="0" cy="3429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561975</xdr:colOff>
      <xdr:row>88</xdr:row>
      <xdr:rowOff>76200</xdr:rowOff>
    </xdr:from>
    <xdr:to>
      <xdr:col>27</xdr:col>
      <xdr:colOff>561975</xdr:colOff>
      <xdr:row>90</xdr:row>
      <xdr:rowOff>0</xdr:rowOff>
    </xdr:to>
    <xdr:sp macro="" textlink="">
      <xdr:nvSpPr>
        <xdr:cNvPr id="455" name="Line 495">
          <a:extLst>
            <a:ext uri="{FF2B5EF4-FFF2-40B4-BE49-F238E27FC236}">
              <a16:creationId xmlns:a16="http://schemas.microsoft.com/office/drawing/2014/main" id="{00000000-0008-0000-0000-0000C7010000}"/>
            </a:ext>
          </a:extLst>
        </xdr:cNvPr>
        <xdr:cNvSpPr>
          <a:spLocks noChangeShapeType="1"/>
        </xdr:cNvSpPr>
      </xdr:nvSpPr>
      <xdr:spPr bwMode="auto">
        <a:xfrm>
          <a:off x="20354925"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495300</xdr:colOff>
      <xdr:row>88</xdr:row>
      <xdr:rowOff>104775</xdr:rowOff>
    </xdr:from>
    <xdr:to>
      <xdr:col>27</xdr:col>
      <xdr:colOff>495300</xdr:colOff>
      <xdr:row>90</xdr:row>
      <xdr:rowOff>19050</xdr:rowOff>
    </xdr:to>
    <xdr:sp macro="" textlink="">
      <xdr:nvSpPr>
        <xdr:cNvPr id="456" name="Line 496">
          <a:extLst>
            <a:ext uri="{FF2B5EF4-FFF2-40B4-BE49-F238E27FC236}">
              <a16:creationId xmlns:a16="http://schemas.microsoft.com/office/drawing/2014/main" id="{00000000-0008-0000-0000-0000C8010000}"/>
            </a:ext>
          </a:extLst>
        </xdr:cNvPr>
        <xdr:cNvSpPr>
          <a:spLocks noChangeShapeType="1"/>
        </xdr:cNvSpPr>
      </xdr:nvSpPr>
      <xdr:spPr bwMode="auto">
        <a:xfrm>
          <a:off x="20288250" y="171069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238125</xdr:colOff>
      <xdr:row>88</xdr:row>
      <xdr:rowOff>76200</xdr:rowOff>
    </xdr:from>
    <xdr:to>
      <xdr:col>27</xdr:col>
      <xdr:colOff>238125</xdr:colOff>
      <xdr:row>90</xdr:row>
      <xdr:rowOff>0</xdr:rowOff>
    </xdr:to>
    <xdr:sp macro="" textlink="">
      <xdr:nvSpPr>
        <xdr:cNvPr id="457" name="Line 497">
          <a:extLst>
            <a:ext uri="{FF2B5EF4-FFF2-40B4-BE49-F238E27FC236}">
              <a16:creationId xmlns:a16="http://schemas.microsoft.com/office/drawing/2014/main" id="{00000000-0008-0000-0000-0000C9010000}"/>
            </a:ext>
          </a:extLst>
        </xdr:cNvPr>
        <xdr:cNvSpPr>
          <a:spLocks noChangeShapeType="1"/>
        </xdr:cNvSpPr>
      </xdr:nvSpPr>
      <xdr:spPr bwMode="auto">
        <a:xfrm>
          <a:off x="20031075" y="17078325"/>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400050</xdr:colOff>
      <xdr:row>88</xdr:row>
      <xdr:rowOff>85725</xdr:rowOff>
    </xdr:from>
    <xdr:to>
      <xdr:col>26</xdr:col>
      <xdr:colOff>590550</xdr:colOff>
      <xdr:row>88</xdr:row>
      <xdr:rowOff>85725</xdr:rowOff>
    </xdr:to>
    <xdr:sp macro="" textlink="">
      <xdr:nvSpPr>
        <xdr:cNvPr id="458" name="Line 498">
          <a:extLst>
            <a:ext uri="{FF2B5EF4-FFF2-40B4-BE49-F238E27FC236}">
              <a16:creationId xmlns:a16="http://schemas.microsoft.com/office/drawing/2014/main" id="{00000000-0008-0000-0000-0000CA010000}"/>
            </a:ext>
          </a:extLst>
        </xdr:cNvPr>
        <xdr:cNvSpPr>
          <a:spLocks noChangeShapeType="1"/>
        </xdr:cNvSpPr>
      </xdr:nvSpPr>
      <xdr:spPr bwMode="auto">
        <a:xfrm flipH="1">
          <a:off x="19440525" y="1708785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95250</xdr:colOff>
      <xdr:row>87</xdr:row>
      <xdr:rowOff>85725</xdr:rowOff>
    </xdr:from>
    <xdr:to>
      <xdr:col>28</xdr:col>
      <xdr:colOff>209550</xdr:colOff>
      <xdr:row>88</xdr:row>
      <xdr:rowOff>28575</xdr:rowOff>
    </xdr:to>
    <xdr:sp macro="" textlink="">
      <xdr:nvSpPr>
        <xdr:cNvPr id="459" name="Line 499">
          <a:extLst>
            <a:ext uri="{FF2B5EF4-FFF2-40B4-BE49-F238E27FC236}">
              <a16:creationId xmlns:a16="http://schemas.microsoft.com/office/drawing/2014/main" id="{00000000-0008-0000-0000-0000CB010000}"/>
            </a:ext>
          </a:extLst>
        </xdr:cNvPr>
        <xdr:cNvSpPr>
          <a:spLocks noChangeShapeType="1"/>
        </xdr:cNvSpPr>
      </xdr:nvSpPr>
      <xdr:spPr bwMode="auto">
        <a:xfrm flipH="1">
          <a:off x="20640675" y="16887825"/>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590550</xdr:colOff>
      <xdr:row>92</xdr:row>
      <xdr:rowOff>142875</xdr:rowOff>
    </xdr:from>
    <xdr:to>
      <xdr:col>26</xdr:col>
      <xdr:colOff>704850</xdr:colOff>
      <xdr:row>93</xdr:row>
      <xdr:rowOff>47625</xdr:rowOff>
    </xdr:to>
    <xdr:sp macro="" textlink="">
      <xdr:nvSpPr>
        <xdr:cNvPr id="460" name="Line 500">
          <a:extLst>
            <a:ext uri="{FF2B5EF4-FFF2-40B4-BE49-F238E27FC236}">
              <a16:creationId xmlns:a16="http://schemas.microsoft.com/office/drawing/2014/main" id="{00000000-0008-0000-0000-0000CC010000}"/>
            </a:ext>
          </a:extLst>
        </xdr:cNvPr>
        <xdr:cNvSpPr>
          <a:spLocks noChangeShapeType="1"/>
        </xdr:cNvSpPr>
      </xdr:nvSpPr>
      <xdr:spPr bwMode="auto">
        <a:xfrm flipH="1">
          <a:off x="19631025" y="17926050"/>
          <a:ext cx="1143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95250</xdr:colOff>
      <xdr:row>92</xdr:row>
      <xdr:rowOff>142875</xdr:rowOff>
    </xdr:from>
    <xdr:to>
      <xdr:col>28</xdr:col>
      <xdr:colOff>209550</xdr:colOff>
      <xdr:row>93</xdr:row>
      <xdr:rowOff>47625</xdr:rowOff>
    </xdr:to>
    <xdr:sp macro="" textlink="">
      <xdr:nvSpPr>
        <xdr:cNvPr id="461" name="Line 501">
          <a:extLst>
            <a:ext uri="{FF2B5EF4-FFF2-40B4-BE49-F238E27FC236}">
              <a16:creationId xmlns:a16="http://schemas.microsoft.com/office/drawing/2014/main" id="{00000000-0008-0000-0000-0000CD010000}"/>
            </a:ext>
          </a:extLst>
        </xdr:cNvPr>
        <xdr:cNvSpPr>
          <a:spLocks noChangeShapeType="1"/>
        </xdr:cNvSpPr>
      </xdr:nvSpPr>
      <xdr:spPr bwMode="auto">
        <a:xfrm flipH="1">
          <a:off x="20640675" y="17926050"/>
          <a:ext cx="1143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238125</xdr:colOff>
      <xdr:row>89</xdr:row>
      <xdr:rowOff>0</xdr:rowOff>
    </xdr:from>
    <xdr:to>
      <xdr:col>28</xdr:col>
      <xdr:colOff>333375</xdr:colOff>
      <xdr:row>89</xdr:row>
      <xdr:rowOff>104775</xdr:rowOff>
    </xdr:to>
    <xdr:sp macro="" textlink="">
      <xdr:nvSpPr>
        <xdr:cNvPr id="462" name="Line 502">
          <a:extLst>
            <a:ext uri="{FF2B5EF4-FFF2-40B4-BE49-F238E27FC236}">
              <a16:creationId xmlns:a16="http://schemas.microsoft.com/office/drawing/2014/main" id="{00000000-0008-0000-0000-0000CE010000}"/>
            </a:ext>
          </a:extLst>
        </xdr:cNvPr>
        <xdr:cNvSpPr>
          <a:spLocks noChangeShapeType="1"/>
        </xdr:cNvSpPr>
      </xdr:nvSpPr>
      <xdr:spPr bwMode="auto">
        <a:xfrm flipH="1">
          <a:off x="20783550" y="1720215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638175</xdr:colOff>
      <xdr:row>87</xdr:row>
      <xdr:rowOff>66675</xdr:rowOff>
    </xdr:from>
    <xdr:to>
      <xdr:col>26</xdr:col>
      <xdr:colOff>638175</xdr:colOff>
      <xdr:row>88</xdr:row>
      <xdr:rowOff>47625</xdr:rowOff>
    </xdr:to>
    <xdr:sp macro="" textlink="">
      <xdr:nvSpPr>
        <xdr:cNvPr id="463" name="Line 503">
          <a:extLst>
            <a:ext uri="{FF2B5EF4-FFF2-40B4-BE49-F238E27FC236}">
              <a16:creationId xmlns:a16="http://schemas.microsoft.com/office/drawing/2014/main" id="{00000000-0008-0000-0000-0000CF010000}"/>
            </a:ext>
          </a:extLst>
        </xdr:cNvPr>
        <xdr:cNvSpPr>
          <a:spLocks noChangeShapeType="1"/>
        </xdr:cNvSpPr>
      </xdr:nvSpPr>
      <xdr:spPr bwMode="auto">
        <a:xfrm flipV="1">
          <a:off x="19678650" y="16868775"/>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561975</xdr:colOff>
      <xdr:row>87</xdr:row>
      <xdr:rowOff>104775</xdr:rowOff>
    </xdr:from>
    <xdr:to>
      <xdr:col>26</xdr:col>
      <xdr:colOff>704850</xdr:colOff>
      <xdr:row>88</xdr:row>
      <xdr:rowOff>38100</xdr:rowOff>
    </xdr:to>
    <xdr:sp macro="" textlink="">
      <xdr:nvSpPr>
        <xdr:cNvPr id="464" name="Line 504">
          <a:extLst>
            <a:ext uri="{FF2B5EF4-FFF2-40B4-BE49-F238E27FC236}">
              <a16:creationId xmlns:a16="http://schemas.microsoft.com/office/drawing/2014/main" id="{00000000-0008-0000-0000-0000D0010000}"/>
            </a:ext>
          </a:extLst>
        </xdr:cNvPr>
        <xdr:cNvSpPr>
          <a:spLocks noChangeShapeType="1"/>
        </xdr:cNvSpPr>
      </xdr:nvSpPr>
      <xdr:spPr bwMode="auto">
        <a:xfrm flipH="1">
          <a:off x="19602450" y="16906875"/>
          <a:ext cx="142875"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92</xdr:row>
      <xdr:rowOff>47625</xdr:rowOff>
    </xdr:from>
    <xdr:to>
      <xdr:col>28</xdr:col>
      <xdr:colOff>0</xdr:colOff>
      <xdr:row>93</xdr:row>
      <xdr:rowOff>152400</xdr:rowOff>
    </xdr:to>
    <xdr:sp macro="" textlink="">
      <xdr:nvSpPr>
        <xdr:cNvPr id="465" name="Line 505">
          <a:extLst>
            <a:ext uri="{FF2B5EF4-FFF2-40B4-BE49-F238E27FC236}">
              <a16:creationId xmlns:a16="http://schemas.microsoft.com/office/drawing/2014/main" id="{00000000-0008-0000-0000-0000D1010000}"/>
            </a:ext>
          </a:extLst>
        </xdr:cNvPr>
        <xdr:cNvSpPr>
          <a:spLocks noChangeShapeType="1"/>
        </xdr:cNvSpPr>
      </xdr:nvSpPr>
      <xdr:spPr bwMode="auto">
        <a:xfrm>
          <a:off x="20545425" y="1783080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352425</xdr:colOff>
      <xdr:row>88</xdr:row>
      <xdr:rowOff>85725</xdr:rowOff>
    </xdr:from>
    <xdr:to>
      <xdr:col>27</xdr:col>
      <xdr:colOff>352425</xdr:colOff>
      <xdr:row>90</xdr:row>
      <xdr:rowOff>0</xdr:rowOff>
    </xdr:to>
    <xdr:sp macro="" textlink="">
      <xdr:nvSpPr>
        <xdr:cNvPr id="466" name="Line 506">
          <a:extLst>
            <a:ext uri="{FF2B5EF4-FFF2-40B4-BE49-F238E27FC236}">
              <a16:creationId xmlns:a16="http://schemas.microsoft.com/office/drawing/2014/main" id="{00000000-0008-0000-0000-0000D2010000}"/>
            </a:ext>
          </a:extLst>
        </xdr:cNvPr>
        <xdr:cNvSpPr>
          <a:spLocks noChangeShapeType="1"/>
        </xdr:cNvSpPr>
      </xdr:nvSpPr>
      <xdr:spPr bwMode="auto">
        <a:xfrm>
          <a:off x="20145375" y="170878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419100</xdr:colOff>
      <xdr:row>88</xdr:row>
      <xdr:rowOff>104775</xdr:rowOff>
    </xdr:from>
    <xdr:to>
      <xdr:col>27</xdr:col>
      <xdr:colOff>419100</xdr:colOff>
      <xdr:row>89</xdr:row>
      <xdr:rowOff>190500</xdr:rowOff>
    </xdr:to>
    <xdr:sp macro="" textlink="">
      <xdr:nvSpPr>
        <xdr:cNvPr id="467" name="Line 507">
          <a:extLst>
            <a:ext uri="{FF2B5EF4-FFF2-40B4-BE49-F238E27FC236}">
              <a16:creationId xmlns:a16="http://schemas.microsoft.com/office/drawing/2014/main" id="{00000000-0008-0000-0000-0000D3010000}"/>
            </a:ext>
          </a:extLst>
        </xdr:cNvPr>
        <xdr:cNvSpPr>
          <a:spLocks noChangeShapeType="1"/>
        </xdr:cNvSpPr>
      </xdr:nvSpPr>
      <xdr:spPr bwMode="auto">
        <a:xfrm>
          <a:off x="20212050" y="171069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161925</xdr:colOff>
      <xdr:row>90</xdr:row>
      <xdr:rowOff>0</xdr:rowOff>
    </xdr:from>
    <xdr:to>
      <xdr:col>28</xdr:col>
      <xdr:colOff>390525</xdr:colOff>
      <xdr:row>90</xdr:row>
      <xdr:rowOff>0</xdr:rowOff>
    </xdr:to>
    <xdr:sp macro="" textlink="">
      <xdr:nvSpPr>
        <xdr:cNvPr id="468" name="Line 508">
          <a:extLst>
            <a:ext uri="{FF2B5EF4-FFF2-40B4-BE49-F238E27FC236}">
              <a16:creationId xmlns:a16="http://schemas.microsoft.com/office/drawing/2014/main" id="{00000000-0008-0000-0000-0000D4010000}"/>
            </a:ext>
          </a:extLst>
        </xdr:cNvPr>
        <xdr:cNvSpPr>
          <a:spLocks noChangeShapeType="1"/>
        </xdr:cNvSpPr>
      </xdr:nvSpPr>
      <xdr:spPr bwMode="auto">
        <a:xfrm>
          <a:off x="20707350" y="17402175"/>
          <a:ext cx="2286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87</xdr:row>
      <xdr:rowOff>85725</xdr:rowOff>
    </xdr:from>
    <xdr:to>
      <xdr:col>27</xdr:col>
      <xdr:colOff>733425</xdr:colOff>
      <xdr:row>88</xdr:row>
      <xdr:rowOff>38100</xdr:rowOff>
    </xdr:to>
    <xdr:sp macro="" textlink="">
      <xdr:nvSpPr>
        <xdr:cNvPr id="469" name="Line 509">
          <a:extLst>
            <a:ext uri="{FF2B5EF4-FFF2-40B4-BE49-F238E27FC236}">
              <a16:creationId xmlns:a16="http://schemas.microsoft.com/office/drawing/2014/main" id="{00000000-0008-0000-0000-0000D5010000}"/>
            </a:ext>
          </a:extLst>
        </xdr:cNvPr>
        <xdr:cNvSpPr>
          <a:spLocks noChangeShapeType="1"/>
        </xdr:cNvSpPr>
      </xdr:nvSpPr>
      <xdr:spPr bwMode="auto">
        <a:xfrm flipH="1">
          <a:off x="20383500" y="16887825"/>
          <a:ext cx="14287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466725</xdr:colOff>
      <xdr:row>86</xdr:row>
      <xdr:rowOff>190500</xdr:rowOff>
    </xdr:from>
    <xdr:to>
      <xdr:col>26</xdr:col>
      <xdr:colOff>466725</xdr:colOff>
      <xdr:row>90</xdr:row>
      <xdr:rowOff>19050</xdr:rowOff>
    </xdr:to>
    <xdr:sp macro="" textlink="">
      <xdr:nvSpPr>
        <xdr:cNvPr id="470" name="Line 510">
          <a:extLst>
            <a:ext uri="{FF2B5EF4-FFF2-40B4-BE49-F238E27FC236}">
              <a16:creationId xmlns:a16="http://schemas.microsoft.com/office/drawing/2014/main" id="{00000000-0008-0000-0000-0000D6010000}"/>
            </a:ext>
          </a:extLst>
        </xdr:cNvPr>
        <xdr:cNvSpPr>
          <a:spLocks noChangeShapeType="1"/>
        </xdr:cNvSpPr>
      </xdr:nvSpPr>
      <xdr:spPr bwMode="auto">
        <a:xfrm>
          <a:off x="19507200" y="16802100"/>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590550</xdr:colOff>
      <xdr:row>94</xdr:row>
      <xdr:rowOff>47625</xdr:rowOff>
    </xdr:from>
    <xdr:to>
      <xdr:col>26</xdr:col>
      <xdr:colOff>685800</xdr:colOff>
      <xdr:row>94</xdr:row>
      <xdr:rowOff>123825</xdr:rowOff>
    </xdr:to>
    <xdr:sp macro="" textlink="">
      <xdr:nvSpPr>
        <xdr:cNvPr id="471" name="Oval 511">
          <a:extLst>
            <a:ext uri="{FF2B5EF4-FFF2-40B4-BE49-F238E27FC236}">
              <a16:creationId xmlns:a16="http://schemas.microsoft.com/office/drawing/2014/main" id="{00000000-0008-0000-0000-0000D7010000}"/>
            </a:ext>
          </a:extLst>
        </xdr:cNvPr>
        <xdr:cNvSpPr>
          <a:spLocks noChangeArrowheads="1"/>
        </xdr:cNvSpPr>
      </xdr:nvSpPr>
      <xdr:spPr bwMode="auto">
        <a:xfrm>
          <a:off x="19631025" y="18221325"/>
          <a:ext cx="9525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723900</xdr:colOff>
      <xdr:row>96</xdr:row>
      <xdr:rowOff>161925</xdr:rowOff>
    </xdr:from>
    <xdr:to>
      <xdr:col>27</xdr:col>
      <xdr:colOff>66675</xdr:colOff>
      <xdr:row>97</xdr:row>
      <xdr:rowOff>47625</xdr:rowOff>
    </xdr:to>
    <xdr:sp macro="" textlink="">
      <xdr:nvSpPr>
        <xdr:cNvPr id="472" name="Oval 512">
          <a:extLst>
            <a:ext uri="{FF2B5EF4-FFF2-40B4-BE49-F238E27FC236}">
              <a16:creationId xmlns:a16="http://schemas.microsoft.com/office/drawing/2014/main" id="{00000000-0008-0000-0000-0000D8010000}"/>
            </a:ext>
          </a:extLst>
        </xdr:cNvPr>
        <xdr:cNvSpPr>
          <a:spLocks noChangeArrowheads="1"/>
        </xdr:cNvSpPr>
      </xdr:nvSpPr>
      <xdr:spPr bwMode="auto">
        <a:xfrm>
          <a:off x="19764375" y="18726150"/>
          <a:ext cx="9525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31</xdr:col>
      <xdr:colOff>495300</xdr:colOff>
      <xdr:row>93</xdr:row>
      <xdr:rowOff>104775</xdr:rowOff>
    </xdr:from>
    <xdr:to>
      <xdr:col>36</xdr:col>
      <xdr:colOff>704850</xdr:colOff>
      <xdr:row>104</xdr:row>
      <xdr:rowOff>152400</xdr:rowOff>
    </xdr:to>
    <xdr:graphicFrame macro="">
      <xdr:nvGraphicFramePr>
        <xdr:cNvPr id="473" name="Diagram 513">
          <a:extLst>
            <a:ext uri="{FF2B5EF4-FFF2-40B4-BE49-F238E27FC236}">
              <a16:creationId xmlns:a16="http://schemas.microsoft.com/office/drawing/2014/main" id="{00000000-0008-0000-0000-0000D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504825</xdr:colOff>
      <xdr:row>118</xdr:row>
      <xdr:rowOff>114300</xdr:rowOff>
    </xdr:from>
    <xdr:to>
      <xdr:col>36</xdr:col>
      <xdr:colOff>695325</xdr:colOff>
      <xdr:row>129</xdr:row>
      <xdr:rowOff>95250</xdr:rowOff>
    </xdr:to>
    <xdr:graphicFrame macro="">
      <xdr:nvGraphicFramePr>
        <xdr:cNvPr id="474" name="Diagram 514">
          <a:extLst>
            <a:ext uri="{FF2B5EF4-FFF2-40B4-BE49-F238E27FC236}">
              <a16:creationId xmlns:a16="http://schemas.microsoft.com/office/drawing/2014/main" id="{00000000-0008-0000-0000-0000D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552450</xdr:colOff>
      <xdr:row>138</xdr:row>
      <xdr:rowOff>66675</xdr:rowOff>
    </xdr:from>
    <xdr:to>
      <xdr:col>17</xdr:col>
      <xdr:colOff>533400</xdr:colOff>
      <xdr:row>149</xdr:row>
      <xdr:rowOff>76200</xdr:rowOff>
    </xdr:to>
    <xdr:graphicFrame macro="">
      <xdr:nvGraphicFramePr>
        <xdr:cNvPr id="475" name="Diagram 515">
          <a:extLst>
            <a:ext uri="{FF2B5EF4-FFF2-40B4-BE49-F238E27FC236}">
              <a16:creationId xmlns:a16="http://schemas.microsoft.com/office/drawing/2014/main" id="{00000000-0008-0000-0000-0000D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619125</xdr:colOff>
      <xdr:row>138</xdr:row>
      <xdr:rowOff>66675</xdr:rowOff>
    </xdr:from>
    <xdr:to>
      <xdr:col>21</xdr:col>
      <xdr:colOff>647700</xdr:colOff>
      <xdr:row>149</xdr:row>
      <xdr:rowOff>76200</xdr:rowOff>
    </xdr:to>
    <xdr:graphicFrame macro="">
      <xdr:nvGraphicFramePr>
        <xdr:cNvPr id="476" name="Diagram 516">
          <a:extLst>
            <a:ext uri="{FF2B5EF4-FFF2-40B4-BE49-F238E27FC236}">
              <a16:creationId xmlns:a16="http://schemas.microsoft.com/office/drawing/2014/main" id="{00000000-0008-0000-0000-0000D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657225</xdr:colOff>
      <xdr:row>115</xdr:row>
      <xdr:rowOff>28575</xdr:rowOff>
    </xdr:from>
    <xdr:to>
      <xdr:col>26</xdr:col>
      <xdr:colOff>657225</xdr:colOff>
      <xdr:row>119</xdr:row>
      <xdr:rowOff>152400</xdr:rowOff>
    </xdr:to>
    <xdr:sp macro="" textlink="">
      <xdr:nvSpPr>
        <xdr:cNvPr id="477" name="Line 517">
          <a:extLst>
            <a:ext uri="{FF2B5EF4-FFF2-40B4-BE49-F238E27FC236}">
              <a16:creationId xmlns:a16="http://schemas.microsoft.com/office/drawing/2014/main" id="{00000000-0008-0000-0000-0000DD010000}"/>
            </a:ext>
          </a:extLst>
        </xdr:cNvPr>
        <xdr:cNvSpPr>
          <a:spLocks noChangeShapeType="1"/>
        </xdr:cNvSpPr>
      </xdr:nvSpPr>
      <xdr:spPr bwMode="auto">
        <a:xfrm>
          <a:off x="19697700" y="22298025"/>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113</xdr:row>
      <xdr:rowOff>142875</xdr:rowOff>
    </xdr:from>
    <xdr:to>
      <xdr:col>27</xdr:col>
      <xdr:colOff>685800</xdr:colOff>
      <xdr:row>115</xdr:row>
      <xdr:rowOff>28575</xdr:rowOff>
    </xdr:to>
    <xdr:sp macro="" textlink="">
      <xdr:nvSpPr>
        <xdr:cNvPr id="478" name="Tegning 518">
          <a:extLst>
            <a:ext uri="{FF2B5EF4-FFF2-40B4-BE49-F238E27FC236}">
              <a16:creationId xmlns:a16="http://schemas.microsoft.com/office/drawing/2014/main" id="{00000000-0008-0000-0000-0000DE010000}"/>
            </a:ext>
          </a:extLst>
        </xdr:cNvPr>
        <xdr:cNvSpPr>
          <a:spLocks/>
        </xdr:cNvSpPr>
      </xdr:nvSpPr>
      <xdr:spPr bwMode="auto">
        <a:xfrm>
          <a:off x="19697700" y="22021800"/>
          <a:ext cx="781050" cy="276225"/>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214"/>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609600</xdr:colOff>
      <xdr:row>112</xdr:row>
      <xdr:rowOff>190500</xdr:rowOff>
    </xdr:from>
    <xdr:to>
      <xdr:col>28</xdr:col>
      <xdr:colOff>333375</xdr:colOff>
      <xdr:row>112</xdr:row>
      <xdr:rowOff>190500</xdr:rowOff>
    </xdr:to>
    <xdr:sp macro="" textlink="">
      <xdr:nvSpPr>
        <xdr:cNvPr id="479" name="Line 519">
          <a:extLst>
            <a:ext uri="{FF2B5EF4-FFF2-40B4-BE49-F238E27FC236}">
              <a16:creationId xmlns:a16="http://schemas.microsoft.com/office/drawing/2014/main" id="{00000000-0008-0000-0000-0000DF010000}"/>
            </a:ext>
          </a:extLst>
        </xdr:cNvPr>
        <xdr:cNvSpPr>
          <a:spLocks noChangeShapeType="1"/>
        </xdr:cNvSpPr>
      </xdr:nvSpPr>
      <xdr:spPr bwMode="auto">
        <a:xfrm flipH="1">
          <a:off x="19650075" y="21869400"/>
          <a:ext cx="1228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466725</xdr:colOff>
      <xdr:row>111</xdr:row>
      <xdr:rowOff>190500</xdr:rowOff>
    </xdr:from>
    <xdr:to>
      <xdr:col>26</xdr:col>
      <xdr:colOff>466725</xdr:colOff>
      <xdr:row>115</xdr:row>
      <xdr:rowOff>19050</xdr:rowOff>
    </xdr:to>
    <xdr:sp macro="" textlink="">
      <xdr:nvSpPr>
        <xdr:cNvPr id="480" name="Line 520">
          <a:extLst>
            <a:ext uri="{FF2B5EF4-FFF2-40B4-BE49-F238E27FC236}">
              <a16:creationId xmlns:a16="http://schemas.microsoft.com/office/drawing/2014/main" id="{00000000-0008-0000-0000-0000E0010000}"/>
            </a:ext>
          </a:extLst>
        </xdr:cNvPr>
        <xdr:cNvSpPr>
          <a:spLocks noChangeShapeType="1"/>
        </xdr:cNvSpPr>
      </xdr:nvSpPr>
      <xdr:spPr bwMode="auto">
        <a:xfrm>
          <a:off x="19507200" y="2166937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111</xdr:row>
      <xdr:rowOff>142875</xdr:rowOff>
    </xdr:from>
    <xdr:to>
      <xdr:col>28</xdr:col>
      <xdr:colOff>209550</xdr:colOff>
      <xdr:row>113</xdr:row>
      <xdr:rowOff>47625</xdr:rowOff>
    </xdr:to>
    <xdr:sp macro="" textlink="">
      <xdr:nvSpPr>
        <xdr:cNvPr id="481" name="Line 521">
          <a:extLst>
            <a:ext uri="{FF2B5EF4-FFF2-40B4-BE49-F238E27FC236}">
              <a16:creationId xmlns:a16="http://schemas.microsoft.com/office/drawing/2014/main" id="{00000000-0008-0000-0000-0000E1010000}"/>
            </a:ext>
          </a:extLst>
        </xdr:cNvPr>
        <xdr:cNvSpPr>
          <a:spLocks noChangeShapeType="1"/>
        </xdr:cNvSpPr>
      </xdr:nvSpPr>
      <xdr:spPr bwMode="auto">
        <a:xfrm flipH="1">
          <a:off x="20478750" y="21621750"/>
          <a:ext cx="276225"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609600</xdr:colOff>
      <xdr:row>119</xdr:row>
      <xdr:rowOff>85725</xdr:rowOff>
    </xdr:from>
    <xdr:to>
      <xdr:col>27</xdr:col>
      <xdr:colOff>590550</xdr:colOff>
      <xdr:row>119</xdr:row>
      <xdr:rowOff>85725</xdr:rowOff>
    </xdr:to>
    <xdr:sp macro="" textlink="">
      <xdr:nvSpPr>
        <xdr:cNvPr id="482" name="Line 522">
          <a:extLst>
            <a:ext uri="{FF2B5EF4-FFF2-40B4-BE49-F238E27FC236}">
              <a16:creationId xmlns:a16="http://schemas.microsoft.com/office/drawing/2014/main" id="{00000000-0008-0000-0000-0000E2010000}"/>
            </a:ext>
          </a:extLst>
        </xdr:cNvPr>
        <xdr:cNvSpPr>
          <a:spLocks noChangeShapeType="1"/>
        </xdr:cNvSpPr>
      </xdr:nvSpPr>
      <xdr:spPr bwMode="auto">
        <a:xfrm>
          <a:off x="19650075" y="23117175"/>
          <a:ext cx="7334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419100</xdr:colOff>
      <xdr:row>119</xdr:row>
      <xdr:rowOff>9525</xdr:rowOff>
    </xdr:from>
    <xdr:to>
      <xdr:col>27</xdr:col>
      <xdr:colOff>609600</xdr:colOff>
      <xdr:row>119</xdr:row>
      <xdr:rowOff>152400</xdr:rowOff>
    </xdr:to>
    <xdr:sp macro="" textlink="">
      <xdr:nvSpPr>
        <xdr:cNvPr id="483" name="Tegning 523">
          <a:extLst>
            <a:ext uri="{FF2B5EF4-FFF2-40B4-BE49-F238E27FC236}">
              <a16:creationId xmlns:a16="http://schemas.microsoft.com/office/drawing/2014/main" id="{00000000-0008-0000-0000-0000E3010000}"/>
            </a:ext>
          </a:extLst>
        </xdr:cNvPr>
        <xdr:cNvSpPr>
          <a:spLocks/>
        </xdr:cNvSpPr>
      </xdr:nvSpPr>
      <xdr:spPr bwMode="auto">
        <a:xfrm>
          <a:off x="20212050" y="23040975"/>
          <a:ext cx="190500" cy="14287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114300</xdr:colOff>
      <xdr:row>112</xdr:row>
      <xdr:rowOff>104775</xdr:rowOff>
    </xdr:from>
    <xdr:to>
      <xdr:col>28</xdr:col>
      <xdr:colOff>114300</xdr:colOff>
      <xdr:row>113</xdr:row>
      <xdr:rowOff>180975</xdr:rowOff>
    </xdr:to>
    <xdr:sp macro="" textlink="">
      <xdr:nvSpPr>
        <xdr:cNvPr id="484" name="Line 524">
          <a:extLst>
            <a:ext uri="{FF2B5EF4-FFF2-40B4-BE49-F238E27FC236}">
              <a16:creationId xmlns:a16="http://schemas.microsoft.com/office/drawing/2014/main" id="{00000000-0008-0000-0000-0000E4010000}"/>
            </a:ext>
          </a:extLst>
        </xdr:cNvPr>
        <xdr:cNvSpPr>
          <a:spLocks noChangeShapeType="1"/>
        </xdr:cNvSpPr>
      </xdr:nvSpPr>
      <xdr:spPr bwMode="auto">
        <a:xfrm flipV="1">
          <a:off x="20659725" y="2178367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107</xdr:row>
      <xdr:rowOff>38100</xdr:rowOff>
    </xdr:from>
    <xdr:to>
      <xdr:col>27</xdr:col>
      <xdr:colOff>685800</xdr:colOff>
      <xdr:row>123</xdr:row>
      <xdr:rowOff>95250</xdr:rowOff>
    </xdr:to>
    <xdr:sp macro="" textlink="">
      <xdr:nvSpPr>
        <xdr:cNvPr id="485" name="Line 525">
          <a:extLst>
            <a:ext uri="{FF2B5EF4-FFF2-40B4-BE49-F238E27FC236}">
              <a16:creationId xmlns:a16="http://schemas.microsoft.com/office/drawing/2014/main" id="{00000000-0008-0000-0000-0000E5010000}"/>
            </a:ext>
          </a:extLst>
        </xdr:cNvPr>
        <xdr:cNvSpPr>
          <a:spLocks noChangeShapeType="1"/>
        </xdr:cNvSpPr>
      </xdr:nvSpPr>
      <xdr:spPr bwMode="auto">
        <a:xfrm flipV="1">
          <a:off x="20478750" y="20726400"/>
          <a:ext cx="0" cy="320040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114300</xdr:colOff>
      <xdr:row>107</xdr:row>
      <xdr:rowOff>38100</xdr:rowOff>
    </xdr:from>
    <xdr:to>
      <xdr:col>28</xdr:col>
      <xdr:colOff>114300</xdr:colOff>
      <xdr:row>131</xdr:row>
      <xdr:rowOff>38100</xdr:rowOff>
    </xdr:to>
    <xdr:sp macro="" textlink="">
      <xdr:nvSpPr>
        <xdr:cNvPr id="486" name="Line 526">
          <a:extLst>
            <a:ext uri="{FF2B5EF4-FFF2-40B4-BE49-F238E27FC236}">
              <a16:creationId xmlns:a16="http://schemas.microsoft.com/office/drawing/2014/main" id="{00000000-0008-0000-0000-0000E6010000}"/>
            </a:ext>
          </a:extLst>
        </xdr:cNvPr>
        <xdr:cNvSpPr>
          <a:spLocks noChangeShapeType="1"/>
        </xdr:cNvSpPr>
      </xdr:nvSpPr>
      <xdr:spPr bwMode="auto">
        <a:xfrm flipV="1">
          <a:off x="20659725" y="20726400"/>
          <a:ext cx="0" cy="467677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9525</xdr:colOff>
      <xdr:row>128</xdr:row>
      <xdr:rowOff>0</xdr:rowOff>
    </xdr:from>
    <xdr:to>
      <xdr:col>28</xdr:col>
      <xdr:colOff>123825</xdr:colOff>
      <xdr:row>129</xdr:row>
      <xdr:rowOff>171450</xdr:rowOff>
    </xdr:to>
    <xdr:sp macro="" textlink="">
      <xdr:nvSpPr>
        <xdr:cNvPr id="487" name="Tegning 527">
          <a:extLst>
            <a:ext uri="{FF2B5EF4-FFF2-40B4-BE49-F238E27FC236}">
              <a16:creationId xmlns:a16="http://schemas.microsoft.com/office/drawing/2014/main" id="{00000000-0008-0000-0000-0000E7010000}"/>
            </a:ext>
          </a:extLst>
        </xdr:cNvPr>
        <xdr:cNvSpPr>
          <a:spLocks/>
        </xdr:cNvSpPr>
      </xdr:nvSpPr>
      <xdr:spPr bwMode="auto">
        <a:xfrm>
          <a:off x="19802475" y="24784050"/>
          <a:ext cx="866775" cy="361950"/>
        </a:xfrm>
        <a:custGeom>
          <a:avLst/>
          <a:gdLst>
            <a:gd name="T0" fmla="*/ 0 w 16384"/>
            <a:gd name="T1" fmla="*/ 0 h 16384"/>
            <a:gd name="T2" fmla="*/ 2147483647 w 16384"/>
            <a:gd name="T3" fmla="*/ 0 h 16384"/>
            <a:gd name="T4" fmla="*/ 2147483647 w 16384"/>
            <a:gd name="T5" fmla="*/ 2147483647 h 16384"/>
            <a:gd name="T6" fmla="*/ 2147483647 w 16384"/>
            <a:gd name="T7" fmla="*/ 2147483647 h 16384"/>
            <a:gd name="T8" fmla="*/ 2147483647 w 16384"/>
            <a:gd name="T9" fmla="*/ 2147483647 h 16384"/>
            <a:gd name="T10" fmla="*/ 0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1895" y="0"/>
              </a:lnTo>
              <a:lnTo>
                <a:pt x="11895" y="7928"/>
              </a:lnTo>
              <a:lnTo>
                <a:pt x="16384" y="7928"/>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180975</xdr:colOff>
      <xdr:row>124</xdr:row>
      <xdr:rowOff>0</xdr:rowOff>
    </xdr:from>
    <xdr:to>
      <xdr:col>28</xdr:col>
      <xdr:colOff>95250</xdr:colOff>
      <xdr:row>124</xdr:row>
      <xdr:rowOff>9525</xdr:rowOff>
    </xdr:to>
    <xdr:sp macro="" textlink="">
      <xdr:nvSpPr>
        <xdr:cNvPr id="488" name="Line 528">
          <a:extLst>
            <a:ext uri="{FF2B5EF4-FFF2-40B4-BE49-F238E27FC236}">
              <a16:creationId xmlns:a16="http://schemas.microsoft.com/office/drawing/2014/main" id="{00000000-0008-0000-0000-0000E8010000}"/>
            </a:ext>
          </a:extLst>
        </xdr:cNvPr>
        <xdr:cNvSpPr>
          <a:spLocks noChangeShapeType="1"/>
        </xdr:cNvSpPr>
      </xdr:nvSpPr>
      <xdr:spPr bwMode="auto">
        <a:xfrm flipH="1">
          <a:off x="19221450" y="24022050"/>
          <a:ext cx="14192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171450</xdr:colOff>
      <xdr:row>122</xdr:row>
      <xdr:rowOff>190500</xdr:rowOff>
    </xdr:from>
    <xdr:to>
      <xdr:col>27</xdr:col>
      <xdr:colOff>685800</xdr:colOff>
      <xdr:row>123</xdr:row>
      <xdr:rowOff>0</xdr:rowOff>
    </xdr:to>
    <xdr:sp macro="" textlink="">
      <xdr:nvSpPr>
        <xdr:cNvPr id="489" name="Line 529">
          <a:extLst>
            <a:ext uri="{FF2B5EF4-FFF2-40B4-BE49-F238E27FC236}">
              <a16:creationId xmlns:a16="http://schemas.microsoft.com/office/drawing/2014/main" id="{00000000-0008-0000-0000-0000E9010000}"/>
            </a:ext>
          </a:extLst>
        </xdr:cNvPr>
        <xdr:cNvSpPr>
          <a:spLocks noChangeShapeType="1"/>
        </xdr:cNvSpPr>
      </xdr:nvSpPr>
      <xdr:spPr bwMode="auto">
        <a:xfrm flipH="1" flipV="1">
          <a:off x="19211925" y="23822025"/>
          <a:ext cx="12668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657225</xdr:colOff>
      <xdr:row>122</xdr:row>
      <xdr:rowOff>85725</xdr:rowOff>
    </xdr:from>
    <xdr:to>
      <xdr:col>27</xdr:col>
      <xdr:colOff>66675</xdr:colOff>
      <xdr:row>123</xdr:row>
      <xdr:rowOff>76200</xdr:rowOff>
    </xdr:to>
    <xdr:sp macro="" textlink="">
      <xdr:nvSpPr>
        <xdr:cNvPr id="490" name="Line 530">
          <a:extLst>
            <a:ext uri="{FF2B5EF4-FFF2-40B4-BE49-F238E27FC236}">
              <a16:creationId xmlns:a16="http://schemas.microsoft.com/office/drawing/2014/main" id="{00000000-0008-0000-0000-0000EA010000}"/>
            </a:ext>
          </a:extLst>
        </xdr:cNvPr>
        <xdr:cNvSpPr>
          <a:spLocks noChangeShapeType="1"/>
        </xdr:cNvSpPr>
      </xdr:nvSpPr>
      <xdr:spPr bwMode="auto">
        <a:xfrm flipH="1">
          <a:off x="19697700" y="23717250"/>
          <a:ext cx="1619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647700</xdr:colOff>
      <xdr:row>123</xdr:row>
      <xdr:rowOff>123825</xdr:rowOff>
    </xdr:from>
    <xdr:to>
      <xdr:col>27</xdr:col>
      <xdr:colOff>66675</xdr:colOff>
      <xdr:row>124</xdr:row>
      <xdr:rowOff>114300</xdr:rowOff>
    </xdr:to>
    <xdr:sp macro="" textlink="">
      <xdr:nvSpPr>
        <xdr:cNvPr id="491" name="Line 531">
          <a:extLst>
            <a:ext uri="{FF2B5EF4-FFF2-40B4-BE49-F238E27FC236}">
              <a16:creationId xmlns:a16="http://schemas.microsoft.com/office/drawing/2014/main" id="{00000000-0008-0000-0000-0000EB010000}"/>
            </a:ext>
          </a:extLst>
        </xdr:cNvPr>
        <xdr:cNvSpPr>
          <a:spLocks noChangeShapeType="1"/>
        </xdr:cNvSpPr>
      </xdr:nvSpPr>
      <xdr:spPr bwMode="auto">
        <a:xfrm flipH="1">
          <a:off x="19688175" y="23955375"/>
          <a:ext cx="17145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657225</xdr:colOff>
      <xdr:row>125</xdr:row>
      <xdr:rowOff>66675</xdr:rowOff>
    </xdr:from>
    <xdr:to>
      <xdr:col>27</xdr:col>
      <xdr:colOff>657225</xdr:colOff>
      <xdr:row>127</xdr:row>
      <xdr:rowOff>142875</xdr:rowOff>
    </xdr:to>
    <xdr:sp macro="" textlink="">
      <xdr:nvSpPr>
        <xdr:cNvPr id="492" name="Line 532">
          <a:extLst>
            <a:ext uri="{FF2B5EF4-FFF2-40B4-BE49-F238E27FC236}">
              <a16:creationId xmlns:a16="http://schemas.microsoft.com/office/drawing/2014/main" id="{00000000-0008-0000-0000-0000EC010000}"/>
            </a:ext>
          </a:extLst>
        </xdr:cNvPr>
        <xdr:cNvSpPr>
          <a:spLocks noChangeShapeType="1"/>
        </xdr:cNvSpPr>
      </xdr:nvSpPr>
      <xdr:spPr bwMode="auto">
        <a:xfrm flipV="1">
          <a:off x="20450175" y="24279225"/>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125</xdr:row>
      <xdr:rowOff>114300</xdr:rowOff>
    </xdr:from>
    <xdr:to>
      <xdr:col>28</xdr:col>
      <xdr:colOff>257175</xdr:colOff>
      <xdr:row>125</xdr:row>
      <xdr:rowOff>114300</xdr:rowOff>
    </xdr:to>
    <xdr:sp macro="" textlink="">
      <xdr:nvSpPr>
        <xdr:cNvPr id="493" name="Line 533">
          <a:extLst>
            <a:ext uri="{FF2B5EF4-FFF2-40B4-BE49-F238E27FC236}">
              <a16:creationId xmlns:a16="http://schemas.microsoft.com/office/drawing/2014/main" id="{00000000-0008-0000-0000-0000ED010000}"/>
            </a:ext>
          </a:extLst>
        </xdr:cNvPr>
        <xdr:cNvSpPr>
          <a:spLocks noChangeShapeType="1"/>
        </xdr:cNvSpPr>
      </xdr:nvSpPr>
      <xdr:spPr bwMode="auto">
        <a:xfrm flipH="1">
          <a:off x="20402550" y="24326850"/>
          <a:ext cx="400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123</xdr:row>
      <xdr:rowOff>123825</xdr:rowOff>
    </xdr:from>
    <xdr:to>
      <xdr:col>28</xdr:col>
      <xdr:colOff>66675</xdr:colOff>
      <xdr:row>126</xdr:row>
      <xdr:rowOff>0</xdr:rowOff>
    </xdr:to>
    <xdr:sp macro="" textlink="">
      <xdr:nvSpPr>
        <xdr:cNvPr id="494" name="Line 534">
          <a:extLst>
            <a:ext uri="{FF2B5EF4-FFF2-40B4-BE49-F238E27FC236}">
              <a16:creationId xmlns:a16="http://schemas.microsoft.com/office/drawing/2014/main" id="{00000000-0008-0000-0000-0000EE010000}"/>
            </a:ext>
          </a:extLst>
        </xdr:cNvPr>
        <xdr:cNvSpPr>
          <a:spLocks noChangeShapeType="1"/>
        </xdr:cNvSpPr>
      </xdr:nvSpPr>
      <xdr:spPr bwMode="auto">
        <a:xfrm flipV="1">
          <a:off x="20612100" y="23955375"/>
          <a:ext cx="0" cy="447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285750</xdr:colOff>
      <xdr:row>113</xdr:row>
      <xdr:rowOff>123825</xdr:rowOff>
    </xdr:from>
    <xdr:to>
      <xdr:col>28</xdr:col>
      <xdr:colOff>381000</xdr:colOff>
      <xdr:row>115</xdr:row>
      <xdr:rowOff>0</xdr:rowOff>
    </xdr:to>
    <xdr:sp macro="" textlink="">
      <xdr:nvSpPr>
        <xdr:cNvPr id="495" name="Tegning 535">
          <a:extLst>
            <a:ext uri="{FF2B5EF4-FFF2-40B4-BE49-F238E27FC236}">
              <a16:creationId xmlns:a16="http://schemas.microsoft.com/office/drawing/2014/main" id="{00000000-0008-0000-0000-0000EF010000}"/>
            </a:ext>
          </a:extLst>
        </xdr:cNvPr>
        <xdr:cNvSpPr>
          <a:spLocks/>
        </xdr:cNvSpPr>
      </xdr:nvSpPr>
      <xdr:spPr bwMode="auto">
        <a:xfrm>
          <a:off x="20831175" y="22002750"/>
          <a:ext cx="95250" cy="26670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126</xdr:row>
      <xdr:rowOff>95250</xdr:rowOff>
    </xdr:from>
    <xdr:to>
      <xdr:col>28</xdr:col>
      <xdr:colOff>238125</xdr:colOff>
      <xdr:row>126</xdr:row>
      <xdr:rowOff>95250</xdr:rowOff>
    </xdr:to>
    <xdr:sp macro="" textlink="">
      <xdr:nvSpPr>
        <xdr:cNvPr id="496" name="Line 536">
          <a:extLst>
            <a:ext uri="{FF2B5EF4-FFF2-40B4-BE49-F238E27FC236}">
              <a16:creationId xmlns:a16="http://schemas.microsoft.com/office/drawing/2014/main" id="{00000000-0008-0000-0000-0000F0010000}"/>
            </a:ext>
          </a:extLst>
        </xdr:cNvPr>
        <xdr:cNvSpPr>
          <a:spLocks noChangeShapeType="1"/>
        </xdr:cNvSpPr>
      </xdr:nvSpPr>
      <xdr:spPr bwMode="auto">
        <a:xfrm>
          <a:off x="20545425" y="24498300"/>
          <a:ext cx="2381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742950</xdr:colOff>
      <xdr:row>115</xdr:row>
      <xdr:rowOff>28575</xdr:rowOff>
    </xdr:from>
    <xdr:to>
      <xdr:col>26</xdr:col>
      <xdr:colOff>742950</xdr:colOff>
      <xdr:row>117</xdr:row>
      <xdr:rowOff>28575</xdr:rowOff>
    </xdr:to>
    <xdr:sp macro="" textlink="">
      <xdr:nvSpPr>
        <xdr:cNvPr id="497" name="Line 537">
          <a:extLst>
            <a:ext uri="{FF2B5EF4-FFF2-40B4-BE49-F238E27FC236}">
              <a16:creationId xmlns:a16="http://schemas.microsoft.com/office/drawing/2014/main" id="{00000000-0008-0000-0000-0000F1010000}"/>
            </a:ext>
          </a:extLst>
        </xdr:cNvPr>
        <xdr:cNvSpPr>
          <a:spLocks noChangeShapeType="1"/>
        </xdr:cNvSpPr>
      </xdr:nvSpPr>
      <xdr:spPr bwMode="auto">
        <a:xfrm flipV="1">
          <a:off x="19783425" y="22298025"/>
          <a:ext cx="0" cy="381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115</xdr:row>
      <xdr:rowOff>28575</xdr:rowOff>
    </xdr:from>
    <xdr:to>
      <xdr:col>28</xdr:col>
      <xdr:colOff>0</xdr:colOff>
      <xdr:row>116</xdr:row>
      <xdr:rowOff>142875</xdr:rowOff>
    </xdr:to>
    <xdr:sp macro="" textlink="">
      <xdr:nvSpPr>
        <xdr:cNvPr id="498" name="Line 538">
          <a:extLst>
            <a:ext uri="{FF2B5EF4-FFF2-40B4-BE49-F238E27FC236}">
              <a16:creationId xmlns:a16="http://schemas.microsoft.com/office/drawing/2014/main" id="{00000000-0008-0000-0000-0000F2010000}"/>
            </a:ext>
          </a:extLst>
        </xdr:cNvPr>
        <xdr:cNvSpPr>
          <a:spLocks noChangeShapeType="1"/>
        </xdr:cNvSpPr>
      </xdr:nvSpPr>
      <xdr:spPr bwMode="auto">
        <a:xfrm flipV="1">
          <a:off x="20545425" y="2229802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121</xdr:row>
      <xdr:rowOff>28575</xdr:rowOff>
    </xdr:from>
    <xdr:to>
      <xdr:col>28</xdr:col>
      <xdr:colOff>9525</xdr:colOff>
      <xdr:row>123</xdr:row>
      <xdr:rowOff>95250</xdr:rowOff>
    </xdr:to>
    <xdr:sp macro="" textlink="">
      <xdr:nvSpPr>
        <xdr:cNvPr id="499" name="Line 539">
          <a:extLst>
            <a:ext uri="{FF2B5EF4-FFF2-40B4-BE49-F238E27FC236}">
              <a16:creationId xmlns:a16="http://schemas.microsoft.com/office/drawing/2014/main" id="{00000000-0008-0000-0000-0000F3010000}"/>
            </a:ext>
          </a:extLst>
        </xdr:cNvPr>
        <xdr:cNvSpPr>
          <a:spLocks noChangeShapeType="1"/>
        </xdr:cNvSpPr>
      </xdr:nvSpPr>
      <xdr:spPr bwMode="auto">
        <a:xfrm flipV="1">
          <a:off x="20545425" y="23460075"/>
          <a:ext cx="9525" cy="466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26</xdr:col>
      <xdr:colOff>742950</xdr:colOff>
      <xdr:row>117</xdr:row>
      <xdr:rowOff>28575</xdr:rowOff>
    </xdr:from>
    <xdr:to>
      <xdr:col>26</xdr:col>
      <xdr:colOff>742950</xdr:colOff>
      <xdr:row>124</xdr:row>
      <xdr:rowOff>114300</xdr:rowOff>
    </xdr:to>
    <xdr:sp macro="" textlink="">
      <xdr:nvSpPr>
        <xdr:cNvPr id="500" name="Line 540">
          <a:extLst>
            <a:ext uri="{FF2B5EF4-FFF2-40B4-BE49-F238E27FC236}">
              <a16:creationId xmlns:a16="http://schemas.microsoft.com/office/drawing/2014/main" id="{00000000-0008-0000-0000-0000F4010000}"/>
            </a:ext>
          </a:extLst>
        </xdr:cNvPr>
        <xdr:cNvSpPr>
          <a:spLocks noChangeShapeType="1"/>
        </xdr:cNvSpPr>
      </xdr:nvSpPr>
      <xdr:spPr bwMode="auto">
        <a:xfrm>
          <a:off x="19783425" y="22679025"/>
          <a:ext cx="0" cy="1457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542925</xdr:colOff>
      <xdr:row>118</xdr:row>
      <xdr:rowOff>0</xdr:rowOff>
    </xdr:from>
    <xdr:to>
      <xdr:col>28</xdr:col>
      <xdr:colOff>304800</xdr:colOff>
      <xdr:row>118</xdr:row>
      <xdr:rowOff>9525</xdr:rowOff>
    </xdr:to>
    <xdr:sp macro="" textlink="">
      <xdr:nvSpPr>
        <xdr:cNvPr id="501" name="Line 541">
          <a:extLst>
            <a:ext uri="{FF2B5EF4-FFF2-40B4-BE49-F238E27FC236}">
              <a16:creationId xmlns:a16="http://schemas.microsoft.com/office/drawing/2014/main" id="{00000000-0008-0000-0000-0000F5010000}"/>
            </a:ext>
          </a:extLst>
        </xdr:cNvPr>
        <xdr:cNvSpPr>
          <a:spLocks noChangeShapeType="1"/>
        </xdr:cNvSpPr>
      </xdr:nvSpPr>
      <xdr:spPr bwMode="auto">
        <a:xfrm>
          <a:off x="19583400" y="22840950"/>
          <a:ext cx="12668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685800</xdr:colOff>
      <xdr:row>112</xdr:row>
      <xdr:rowOff>47625</xdr:rowOff>
    </xdr:from>
    <xdr:to>
      <xdr:col>27</xdr:col>
      <xdr:colOff>685800</xdr:colOff>
      <xdr:row>114</xdr:row>
      <xdr:rowOff>190500</xdr:rowOff>
    </xdr:to>
    <xdr:sp macro="" textlink="">
      <xdr:nvSpPr>
        <xdr:cNvPr id="502" name="Line 542">
          <a:extLst>
            <a:ext uri="{FF2B5EF4-FFF2-40B4-BE49-F238E27FC236}">
              <a16:creationId xmlns:a16="http://schemas.microsoft.com/office/drawing/2014/main" id="{00000000-0008-0000-0000-0000F6010000}"/>
            </a:ext>
          </a:extLst>
        </xdr:cNvPr>
        <xdr:cNvSpPr>
          <a:spLocks noChangeShapeType="1"/>
        </xdr:cNvSpPr>
      </xdr:nvSpPr>
      <xdr:spPr bwMode="auto">
        <a:xfrm>
          <a:off x="20478750" y="21726525"/>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126</xdr:row>
      <xdr:rowOff>19050</xdr:rowOff>
    </xdr:from>
    <xdr:to>
      <xdr:col>28</xdr:col>
      <xdr:colOff>66675</xdr:colOff>
      <xdr:row>128</xdr:row>
      <xdr:rowOff>152400</xdr:rowOff>
    </xdr:to>
    <xdr:sp macro="" textlink="">
      <xdr:nvSpPr>
        <xdr:cNvPr id="503" name="Line 543">
          <a:extLst>
            <a:ext uri="{FF2B5EF4-FFF2-40B4-BE49-F238E27FC236}">
              <a16:creationId xmlns:a16="http://schemas.microsoft.com/office/drawing/2014/main" id="{00000000-0008-0000-0000-0000F7010000}"/>
            </a:ext>
          </a:extLst>
        </xdr:cNvPr>
        <xdr:cNvSpPr>
          <a:spLocks noChangeShapeType="1"/>
        </xdr:cNvSpPr>
      </xdr:nvSpPr>
      <xdr:spPr bwMode="auto">
        <a:xfrm flipH="1">
          <a:off x="20612100" y="24422100"/>
          <a:ext cx="0" cy="514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125</xdr:row>
      <xdr:rowOff>47625</xdr:rowOff>
    </xdr:from>
    <xdr:to>
      <xdr:col>27</xdr:col>
      <xdr:colOff>733425</xdr:colOff>
      <xdr:row>125</xdr:row>
      <xdr:rowOff>171450</xdr:rowOff>
    </xdr:to>
    <xdr:sp macro="" textlink="">
      <xdr:nvSpPr>
        <xdr:cNvPr id="504" name="Line 544">
          <a:extLst>
            <a:ext uri="{FF2B5EF4-FFF2-40B4-BE49-F238E27FC236}">
              <a16:creationId xmlns:a16="http://schemas.microsoft.com/office/drawing/2014/main" id="{00000000-0008-0000-0000-0000F8010000}"/>
            </a:ext>
          </a:extLst>
        </xdr:cNvPr>
        <xdr:cNvSpPr>
          <a:spLocks noChangeShapeType="1"/>
        </xdr:cNvSpPr>
      </xdr:nvSpPr>
      <xdr:spPr bwMode="auto">
        <a:xfrm flipH="1">
          <a:off x="20383500" y="24260175"/>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125</xdr:row>
      <xdr:rowOff>66675</xdr:rowOff>
    </xdr:from>
    <xdr:to>
      <xdr:col>28</xdr:col>
      <xdr:colOff>180975</xdr:colOff>
      <xdr:row>125</xdr:row>
      <xdr:rowOff>209550</xdr:rowOff>
    </xdr:to>
    <xdr:sp macro="" textlink="">
      <xdr:nvSpPr>
        <xdr:cNvPr id="505" name="Line 545">
          <a:extLst>
            <a:ext uri="{FF2B5EF4-FFF2-40B4-BE49-F238E27FC236}">
              <a16:creationId xmlns:a16="http://schemas.microsoft.com/office/drawing/2014/main" id="{00000000-0008-0000-0000-0000F9010000}"/>
            </a:ext>
          </a:extLst>
        </xdr:cNvPr>
        <xdr:cNvSpPr>
          <a:spLocks noChangeShapeType="1"/>
        </xdr:cNvSpPr>
      </xdr:nvSpPr>
      <xdr:spPr bwMode="auto">
        <a:xfrm flipH="1">
          <a:off x="20612100" y="2427922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685800</xdr:colOff>
      <xdr:row>121</xdr:row>
      <xdr:rowOff>161925</xdr:rowOff>
    </xdr:from>
    <xdr:to>
      <xdr:col>27</xdr:col>
      <xdr:colOff>304800</xdr:colOff>
      <xdr:row>121</xdr:row>
      <xdr:rowOff>161925</xdr:rowOff>
    </xdr:to>
    <xdr:sp macro="" textlink="">
      <xdr:nvSpPr>
        <xdr:cNvPr id="506" name="Line 546">
          <a:extLst>
            <a:ext uri="{FF2B5EF4-FFF2-40B4-BE49-F238E27FC236}">
              <a16:creationId xmlns:a16="http://schemas.microsoft.com/office/drawing/2014/main" id="{00000000-0008-0000-0000-0000FA010000}"/>
            </a:ext>
          </a:extLst>
        </xdr:cNvPr>
        <xdr:cNvSpPr>
          <a:spLocks noChangeShapeType="1"/>
        </xdr:cNvSpPr>
      </xdr:nvSpPr>
      <xdr:spPr bwMode="auto">
        <a:xfrm>
          <a:off x="19726275" y="23593425"/>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161925</xdr:colOff>
      <xdr:row>121</xdr:row>
      <xdr:rowOff>85725</xdr:rowOff>
    </xdr:from>
    <xdr:to>
      <xdr:col>27</xdr:col>
      <xdr:colOff>352425</xdr:colOff>
      <xdr:row>122</xdr:row>
      <xdr:rowOff>47625</xdr:rowOff>
    </xdr:to>
    <xdr:sp macro="" textlink="">
      <xdr:nvSpPr>
        <xdr:cNvPr id="507" name="Tegning 547">
          <a:extLst>
            <a:ext uri="{FF2B5EF4-FFF2-40B4-BE49-F238E27FC236}">
              <a16:creationId xmlns:a16="http://schemas.microsoft.com/office/drawing/2014/main" id="{00000000-0008-0000-0000-0000FB010000}"/>
            </a:ext>
          </a:extLst>
        </xdr:cNvPr>
        <xdr:cNvSpPr>
          <a:spLocks/>
        </xdr:cNvSpPr>
      </xdr:nvSpPr>
      <xdr:spPr bwMode="auto">
        <a:xfrm>
          <a:off x="19954875" y="23517225"/>
          <a:ext cx="190500" cy="161925"/>
        </a:xfrm>
        <a:custGeom>
          <a:avLst/>
          <a:gdLst>
            <a:gd name="T0" fmla="*/ 2147483647 w 16384"/>
            <a:gd name="T1" fmla="*/ 0 h 16384"/>
            <a:gd name="T2" fmla="*/ 2147483647 w 16384"/>
            <a:gd name="T3" fmla="*/ 2147483647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3277" y="0"/>
              </a:moveTo>
              <a:lnTo>
                <a:pt x="16384" y="8738"/>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685800</xdr:colOff>
      <xdr:row>114</xdr:row>
      <xdr:rowOff>47625</xdr:rowOff>
    </xdr:from>
    <xdr:to>
      <xdr:col>28</xdr:col>
      <xdr:colOff>114300</xdr:colOff>
      <xdr:row>115</xdr:row>
      <xdr:rowOff>19050</xdr:rowOff>
    </xdr:to>
    <xdr:sp macro="" textlink="">
      <xdr:nvSpPr>
        <xdr:cNvPr id="508" name="Tegning 548">
          <a:extLst>
            <a:ext uri="{FF2B5EF4-FFF2-40B4-BE49-F238E27FC236}">
              <a16:creationId xmlns:a16="http://schemas.microsoft.com/office/drawing/2014/main" id="{00000000-0008-0000-0000-0000FC010000}"/>
            </a:ext>
          </a:extLst>
        </xdr:cNvPr>
        <xdr:cNvSpPr>
          <a:spLocks/>
        </xdr:cNvSpPr>
      </xdr:nvSpPr>
      <xdr:spPr bwMode="auto">
        <a:xfrm>
          <a:off x="20478750" y="22117050"/>
          <a:ext cx="180975" cy="171450"/>
        </a:xfrm>
        <a:custGeom>
          <a:avLst/>
          <a:gdLst>
            <a:gd name="T0" fmla="*/ 0 w 16384"/>
            <a:gd name="T1" fmla="*/ 2147483647 h 16384"/>
            <a:gd name="T2" fmla="*/ 0 w 16384"/>
            <a:gd name="T3" fmla="*/ 0 h 16384"/>
            <a:gd name="T4" fmla="*/ 2147483647 w 16384"/>
            <a:gd name="T5" fmla="*/ 0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15420"/>
              </a:moveTo>
              <a:lnTo>
                <a:pt x="0" y="0"/>
              </a:ln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66675</xdr:colOff>
      <xdr:row>127</xdr:row>
      <xdr:rowOff>19050</xdr:rowOff>
    </xdr:from>
    <xdr:to>
      <xdr:col>28</xdr:col>
      <xdr:colOff>266700</xdr:colOff>
      <xdr:row>127</xdr:row>
      <xdr:rowOff>66675</xdr:rowOff>
    </xdr:to>
    <xdr:sp macro="" textlink="">
      <xdr:nvSpPr>
        <xdr:cNvPr id="509" name="Line 549">
          <a:extLst>
            <a:ext uri="{FF2B5EF4-FFF2-40B4-BE49-F238E27FC236}">
              <a16:creationId xmlns:a16="http://schemas.microsoft.com/office/drawing/2014/main" id="{00000000-0008-0000-0000-0000FD010000}"/>
            </a:ext>
          </a:extLst>
        </xdr:cNvPr>
        <xdr:cNvSpPr>
          <a:spLocks noChangeShapeType="1"/>
        </xdr:cNvSpPr>
      </xdr:nvSpPr>
      <xdr:spPr bwMode="auto">
        <a:xfrm flipH="1" flipV="1">
          <a:off x="20612100" y="24612600"/>
          <a:ext cx="200025" cy="47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126</xdr:row>
      <xdr:rowOff>19050</xdr:rowOff>
    </xdr:from>
    <xdr:to>
      <xdr:col>28</xdr:col>
      <xdr:colOff>180975</xdr:colOff>
      <xdr:row>126</xdr:row>
      <xdr:rowOff>161925</xdr:rowOff>
    </xdr:to>
    <xdr:sp macro="" textlink="">
      <xdr:nvSpPr>
        <xdr:cNvPr id="510" name="Line 550">
          <a:extLst>
            <a:ext uri="{FF2B5EF4-FFF2-40B4-BE49-F238E27FC236}">
              <a16:creationId xmlns:a16="http://schemas.microsoft.com/office/drawing/2014/main" id="{00000000-0008-0000-0000-0000FE010000}"/>
            </a:ext>
          </a:extLst>
        </xdr:cNvPr>
        <xdr:cNvSpPr>
          <a:spLocks noChangeShapeType="1"/>
        </xdr:cNvSpPr>
      </xdr:nvSpPr>
      <xdr:spPr bwMode="auto">
        <a:xfrm flipH="1">
          <a:off x="20612100" y="24422100"/>
          <a:ext cx="11430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733425</xdr:colOff>
      <xdr:row>126</xdr:row>
      <xdr:rowOff>19050</xdr:rowOff>
    </xdr:from>
    <xdr:to>
      <xdr:col>28</xdr:col>
      <xdr:colOff>114300</xdr:colOff>
      <xdr:row>126</xdr:row>
      <xdr:rowOff>190500</xdr:rowOff>
    </xdr:to>
    <xdr:sp macro="" textlink="">
      <xdr:nvSpPr>
        <xdr:cNvPr id="511" name="Line 551">
          <a:extLst>
            <a:ext uri="{FF2B5EF4-FFF2-40B4-BE49-F238E27FC236}">
              <a16:creationId xmlns:a16="http://schemas.microsoft.com/office/drawing/2014/main" id="{00000000-0008-0000-0000-0000FF010000}"/>
            </a:ext>
          </a:extLst>
        </xdr:cNvPr>
        <xdr:cNvSpPr>
          <a:spLocks noChangeShapeType="1"/>
        </xdr:cNvSpPr>
      </xdr:nvSpPr>
      <xdr:spPr bwMode="auto">
        <a:xfrm flipH="1">
          <a:off x="20526375" y="24422100"/>
          <a:ext cx="1333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704850</xdr:colOff>
      <xdr:row>117</xdr:row>
      <xdr:rowOff>142875</xdr:rowOff>
    </xdr:from>
    <xdr:to>
      <xdr:col>27</xdr:col>
      <xdr:colOff>47625</xdr:colOff>
      <xdr:row>118</xdr:row>
      <xdr:rowOff>38100</xdr:rowOff>
    </xdr:to>
    <xdr:sp macro="" textlink="">
      <xdr:nvSpPr>
        <xdr:cNvPr id="512" name="Line 552">
          <a:extLst>
            <a:ext uri="{FF2B5EF4-FFF2-40B4-BE49-F238E27FC236}">
              <a16:creationId xmlns:a16="http://schemas.microsoft.com/office/drawing/2014/main" id="{00000000-0008-0000-0000-000000020000}"/>
            </a:ext>
          </a:extLst>
        </xdr:cNvPr>
        <xdr:cNvSpPr>
          <a:spLocks noChangeShapeType="1"/>
        </xdr:cNvSpPr>
      </xdr:nvSpPr>
      <xdr:spPr bwMode="auto">
        <a:xfrm flipH="1">
          <a:off x="19745325" y="227933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400050</xdr:colOff>
      <xdr:row>114</xdr:row>
      <xdr:rowOff>161925</xdr:rowOff>
    </xdr:from>
    <xdr:to>
      <xdr:col>26</xdr:col>
      <xdr:colOff>590550</xdr:colOff>
      <xdr:row>114</xdr:row>
      <xdr:rowOff>161925</xdr:rowOff>
    </xdr:to>
    <xdr:sp macro="" textlink="">
      <xdr:nvSpPr>
        <xdr:cNvPr id="513" name="Line 553">
          <a:extLst>
            <a:ext uri="{FF2B5EF4-FFF2-40B4-BE49-F238E27FC236}">
              <a16:creationId xmlns:a16="http://schemas.microsoft.com/office/drawing/2014/main" id="{00000000-0008-0000-0000-000001020000}"/>
            </a:ext>
          </a:extLst>
        </xdr:cNvPr>
        <xdr:cNvSpPr>
          <a:spLocks noChangeShapeType="1"/>
        </xdr:cNvSpPr>
      </xdr:nvSpPr>
      <xdr:spPr bwMode="auto">
        <a:xfrm>
          <a:off x="19440525" y="2223135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381000</xdr:colOff>
      <xdr:row>113</xdr:row>
      <xdr:rowOff>66675</xdr:rowOff>
    </xdr:from>
    <xdr:to>
      <xdr:col>26</xdr:col>
      <xdr:colOff>523875</xdr:colOff>
      <xdr:row>113</xdr:row>
      <xdr:rowOff>190500</xdr:rowOff>
    </xdr:to>
    <xdr:sp macro="" textlink="">
      <xdr:nvSpPr>
        <xdr:cNvPr id="514" name="Line 554">
          <a:extLst>
            <a:ext uri="{FF2B5EF4-FFF2-40B4-BE49-F238E27FC236}">
              <a16:creationId xmlns:a16="http://schemas.microsoft.com/office/drawing/2014/main" id="{00000000-0008-0000-0000-000002020000}"/>
            </a:ext>
          </a:extLst>
        </xdr:cNvPr>
        <xdr:cNvSpPr>
          <a:spLocks noChangeShapeType="1"/>
        </xdr:cNvSpPr>
      </xdr:nvSpPr>
      <xdr:spPr bwMode="auto">
        <a:xfrm flipH="1">
          <a:off x="19421475" y="21945600"/>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95250</xdr:colOff>
      <xdr:row>113</xdr:row>
      <xdr:rowOff>142875</xdr:rowOff>
    </xdr:from>
    <xdr:to>
      <xdr:col>27</xdr:col>
      <xdr:colOff>95250</xdr:colOff>
      <xdr:row>115</xdr:row>
      <xdr:rowOff>19050</xdr:rowOff>
    </xdr:to>
    <xdr:sp macro="" textlink="">
      <xdr:nvSpPr>
        <xdr:cNvPr id="515" name="Line 555">
          <a:extLst>
            <a:ext uri="{FF2B5EF4-FFF2-40B4-BE49-F238E27FC236}">
              <a16:creationId xmlns:a16="http://schemas.microsoft.com/office/drawing/2014/main" id="{00000000-0008-0000-0000-000003020000}"/>
            </a:ext>
          </a:extLst>
        </xdr:cNvPr>
        <xdr:cNvSpPr>
          <a:spLocks noChangeShapeType="1"/>
        </xdr:cNvSpPr>
      </xdr:nvSpPr>
      <xdr:spPr bwMode="auto">
        <a:xfrm>
          <a:off x="19888200" y="2202180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113</xdr:row>
      <xdr:rowOff>152400</xdr:rowOff>
    </xdr:from>
    <xdr:to>
      <xdr:col>27</xdr:col>
      <xdr:colOff>19050</xdr:colOff>
      <xdr:row>115</xdr:row>
      <xdr:rowOff>9525</xdr:rowOff>
    </xdr:to>
    <xdr:sp macro="" textlink="">
      <xdr:nvSpPr>
        <xdr:cNvPr id="516" name="Line 556">
          <a:extLst>
            <a:ext uri="{FF2B5EF4-FFF2-40B4-BE49-F238E27FC236}">
              <a16:creationId xmlns:a16="http://schemas.microsoft.com/office/drawing/2014/main" id="{00000000-0008-0000-0000-000004020000}"/>
            </a:ext>
          </a:extLst>
        </xdr:cNvPr>
        <xdr:cNvSpPr>
          <a:spLocks noChangeShapeType="1"/>
        </xdr:cNvSpPr>
      </xdr:nvSpPr>
      <xdr:spPr bwMode="auto">
        <a:xfrm>
          <a:off x="19812000" y="22031325"/>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113</xdr:row>
      <xdr:rowOff>133350</xdr:rowOff>
    </xdr:from>
    <xdr:to>
      <xdr:col>27</xdr:col>
      <xdr:colOff>609600</xdr:colOff>
      <xdr:row>115</xdr:row>
      <xdr:rowOff>19050</xdr:rowOff>
    </xdr:to>
    <xdr:sp macro="" textlink="">
      <xdr:nvSpPr>
        <xdr:cNvPr id="517" name="Line 557">
          <a:extLst>
            <a:ext uri="{FF2B5EF4-FFF2-40B4-BE49-F238E27FC236}">
              <a16:creationId xmlns:a16="http://schemas.microsoft.com/office/drawing/2014/main" id="{00000000-0008-0000-0000-000005020000}"/>
            </a:ext>
          </a:extLst>
        </xdr:cNvPr>
        <xdr:cNvSpPr>
          <a:spLocks noChangeShapeType="1"/>
        </xdr:cNvSpPr>
      </xdr:nvSpPr>
      <xdr:spPr bwMode="auto">
        <a:xfrm>
          <a:off x="20402550" y="2201227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533400</xdr:colOff>
      <xdr:row>113</xdr:row>
      <xdr:rowOff>142875</xdr:rowOff>
    </xdr:from>
    <xdr:to>
      <xdr:col>27</xdr:col>
      <xdr:colOff>533400</xdr:colOff>
      <xdr:row>115</xdr:row>
      <xdr:rowOff>19050</xdr:rowOff>
    </xdr:to>
    <xdr:sp macro="" textlink="">
      <xdr:nvSpPr>
        <xdr:cNvPr id="518" name="Line 558">
          <a:extLst>
            <a:ext uri="{FF2B5EF4-FFF2-40B4-BE49-F238E27FC236}">
              <a16:creationId xmlns:a16="http://schemas.microsoft.com/office/drawing/2014/main" id="{00000000-0008-0000-0000-000006020000}"/>
            </a:ext>
          </a:extLst>
        </xdr:cNvPr>
        <xdr:cNvSpPr>
          <a:spLocks noChangeShapeType="1"/>
        </xdr:cNvSpPr>
      </xdr:nvSpPr>
      <xdr:spPr bwMode="auto">
        <a:xfrm>
          <a:off x="20326350" y="2202180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238125</xdr:colOff>
      <xdr:row>113</xdr:row>
      <xdr:rowOff>142875</xdr:rowOff>
    </xdr:from>
    <xdr:to>
      <xdr:col>27</xdr:col>
      <xdr:colOff>238125</xdr:colOff>
      <xdr:row>115</xdr:row>
      <xdr:rowOff>0</xdr:rowOff>
    </xdr:to>
    <xdr:sp macro="" textlink="">
      <xdr:nvSpPr>
        <xdr:cNvPr id="519" name="Line 559">
          <a:extLst>
            <a:ext uri="{FF2B5EF4-FFF2-40B4-BE49-F238E27FC236}">
              <a16:creationId xmlns:a16="http://schemas.microsoft.com/office/drawing/2014/main" id="{00000000-0008-0000-0000-000007020000}"/>
            </a:ext>
          </a:extLst>
        </xdr:cNvPr>
        <xdr:cNvSpPr>
          <a:spLocks noChangeShapeType="1"/>
        </xdr:cNvSpPr>
      </xdr:nvSpPr>
      <xdr:spPr bwMode="auto">
        <a:xfrm>
          <a:off x="20031075" y="22021800"/>
          <a:ext cx="0" cy="2476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390525</xdr:colOff>
      <xdr:row>113</xdr:row>
      <xdr:rowOff>133350</xdr:rowOff>
    </xdr:from>
    <xdr:to>
      <xdr:col>26</xdr:col>
      <xdr:colOff>581025</xdr:colOff>
      <xdr:row>113</xdr:row>
      <xdr:rowOff>133350</xdr:rowOff>
    </xdr:to>
    <xdr:sp macro="" textlink="">
      <xdr:nvSpPr>
        <xdr:cNvPr id="520" name="Line 560">
          <a:extLst>
            <a:ext uri="{FF2B5EF4-FFF2-40B4-BE49-F238E27FC236}">
              <a16:creationId xmlns:a16="http://schemas.microsoft.com/office/drawing/2014/main" id="{00000000-0008-0000-0000-000008020000}"/>
            </a:ext>
          </a:extLst>
        </xdr:cNvPr>
        <xdr:cNvSpPr>
          <a:spLocks noChangeShapeType="1"/>
        </xdr:cNvSpPr>
      </xdr:nvSpPr>
      <xdr:spPr bwMode="auto">
        <a:xfrm flipH="1">
          <a:off x="19431000" y="22012275"/>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47625</xdr:colOff>
      <xdr:row>112</xdr:row>
      <xdr:rowOff>133350</xdr:rowOff>
    </xdr:from>
    <xdr:to>
      <xdr:col>28</xdr:col>
      <xdr:colOff>161925</xdr:colOff>
      <xdr:row>113</xdr:row>
      <xdr:rowOff>47625</xdr:rowOff>
    </xdr:to>
    <xdr:sp macro="" textlink="">
      <xdr:nvSpPr>
        <xdr:cNvPr id="521" name="Line 561">
          <a:extLst>
            <a:ext uri="{FF2B5EF4-FFF2-40B4-BE49-F238E27FC236}">
              <a16:creationId xmlns:a16="http://schemas.microsoft.com/office/drawing/2014/main" id="{00000000-0008-0000-0000-000009020000}"/>
            </a:ext>
          </a:extLst>
        </xdr:cNvPr>
        <xdr:cNvSpPr>
          <a:spLocks noChangeShapeType="1"/>
        </xdr:cNvSpPr>
      </xdr:nvSpPr>
      <xdr:spPr bwMode="auto">
        <a:xfrm flipH="1">
          <a:off x="20593050" y="2181225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590550</xdr:colOff>
      <xdr:row>117</xdr:row>
      <xdr:rowOff>142875</xdr:rowOff>
    </xdr:from>
    <xdr:to>
      <xdr:col>26</xdr:col>
      <xdr:colOff>704850</xdr:colOff>
      <xdr:row>118</xdr:row>
      <xdr:rowOff>47625</xdr:rowOff>
    </xdr:to>
    <xdr:sp macro="" textlink="">
      <xdr:nvSpPr>
        <xdr:cNvPr id="522" name="Line 562">
          <a:extLst>
            <a:ext uri="{FF2B5EF4-FFF2-40B4-BE49-F238E27FC236}">
              <a16:creationId xmlns:a16="http://schemas.microsoft.com/office/drawing/2014/main" id="{00000000-0008-0000-0000-00000A020000}"/>
            </a:ext>
          </a:extLst>
        </xdr:cNvPr>
        <xdr:cNvSpPr>
          <a:spLocks noChangeShapeType="1"/>
        </xdr:cNvSpPr>
      </xdr:nvSpPr>
      <xdr:spPr bwMode="auto">
        <a:xfrm flipH="1">
          <a:off x="19631025" y="22793325"/>
          <a:ext cx="1143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66675</xdr:colOff>
      <xdr:row>117</xdr:row>
      <xdr:rowOff>133350</xdr:rowOff>
    </xdr:from>
    <xdr:to>
      <xdr:col>28</xdr:col>
      <xdr:colOff>161925</xdr:colOff>
      <xdr:row>118</xdr:row>
      <xdr:rowOff>57150</xdr:rowOff>
    </xdr:to>
    <xdr:sp macro="" textlink="">
      <xdr:nvSpPr>
        <xdr:cNvPr id="523" name="Line 563">
          <a:extLst>
            <a:ext uri="{FF2B5EF4-FFF2-40B4-BE49-F238E27FC236}">
              <a16:creationId xmlns:a16="http://schemas.microsoft.com/office/drawing/2014/main" id="{00000000-0008-0000-0000-00000B020000}"/>
            </a:ext>
          </a:extLst>
        </xdr:cNvPr>
        <xdr:cNvSpPr>
          <a:spLocks noChangeShapeType="1"/>
        </xdr:cNvSpPr>
      </xdr:nvSpPr>
      <xdr:spPr bwMode="auto">
        <a:xfrm flipH="1">
          <a:off x="20612100" y="22783800"/>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238125</xdr:colOff>
      <xdr:row>114</xdr:row>
      <xdr:rowOff>0</xdr:rowOff>
    </xdr:from>
    <xdr:to>
      <xdr:col>28</xdr:col>
      <xdr:colOff>333375</xdr:colOff>
      <xdr:row>114</xdr:row>
      <xdr:rowOff>104775</xdr:rowOff>
    </xdr:to>
    <xdr:sp macro="" textlink="">
      <xdr:nvSpPr>
        <xdr:cNvPr id="524" name="Line 564">
          <a:extLst>
            <a:ext uri="{FF2B5EF4-FFF2-40B4-BE49-F238E27FC236}">
              <a16:creationId xmlns:a16="http://schemas.microsoft.com/office/drawing/2014/main" id="{00000000-0008-0000-0000-00000C020000}"/>
            </a:ext>
          </a:extLst>
        </xdr:cNvPr>
        <xdr:cNvSpPr>
          <a:spLocks noChangeShapeType="1"/>
        </xdr:cNvSpPr>
      </xdr:nvSpPr>
      <xdr:spPr bwMode="auto">
        <a:xfrm flipH="1">
          <a:off x="20783550" y="22069425"/>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638175</xdr:colOff>
      <xdr:row>112</xdr:row>
      <xdr:rowOff>76200</xdr:rowOff>
    </xdr:from>
    <xdr:to>
      <xdr:col>26</xdr:col>
      <xdr:colOff>638175</xdr:colOff>
      <xdr:row>113</xdr:row>
      <xdr:rowOff>66675</xdr:rowOff>
    </xdr:to>
    <xdr:sp macro="" textlink="">
      <xdr:nvSpPr>
        <xdr:cNvPr id="525" name="Line 565">
          <a:extLst>
            <a:ext uri="{FF2B5EF4-FFF2-40B4-BE49-F238E27FC236}">
              <a16:creationId xmlns:a16="http://schemas.microsoft.com/office/drawing/2014/main" id="{00000000-0008-0000-0000-00000D020000}"/>
            </a:ext>
          </a:extLst>
        </xdr:cNvPr>
        <xdr:cNvSpPr>
          <a:spLocks noChangeShapeType="1"/>
        </xdr:cNvSpPr>
      </xdr:nvSpPr>
      <xdr:spPr bwMode="auto">
        <a:xfrm flipV="1">
          <a:off x="19678650" y="21755100"/>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561975</xdr:colOff>
      <xdr:row>112</xdr:row>
      <xdr:rowOff>123825</xdr:rowOff>
    </xdr:from>
    <xdr:to>
      <xdr:col>26</xdr:col>
      <xdr:colOff>704850</xdr:colOff>
      <xdr:row>113</xdr:row>
      <xdr:rowOff>47625</xdr:rowOff>
    </xdr:to>
    <xdr:sp macro="" textlink="">
      <xdr:nvSpPr>
        <xdr:cNvPr id="526" name="Line 566">
          <a:extLst>
            <a:ext uri="{FF2B5EF4-FFF2-40B4-BE49-F238E27FC236}">
              <a16:creationId xmlns:a16="http://schemas.microsoft.com/office/drawing/2014/main" id="{00000000-0008-0000-0000-00000E020000}"/>
            </a:ext>
          </a:extLst>
        </xdr:cNvPr>
        <xdr:cNvSpPr>
          <a:spLocks noChangeShapeType="1"/>
        </xdr:cNvSpPr>
      </xdr:nvSpPr>
      <xdr:spPr bwMode="auto">
        <a:xfrm flipH="1">
          <a:off x="19602450" y="21802725"/>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742950</xdr:colOff>
      <xdr:row>117</xdr:row>
      <xdr:rowOff>47625</xdr:rowOff>
    </xdr:from>
    <xdr:to>
      <xdr:col>28</xdr:col>
      <xdr:colOff>0</xdr:colOff>
      <xdr:row>118</xdr:row>
      <xdr:rowOff>123825</xdr:rowOff>
    </xdr:to>
    <xdr:sp macro="" textlink="">
      <xdr:nvSpPr>
        <xdr:cNvPr id="527" name="Line 567">
          <a:extLst>
            <a:ext uri="{FF2B5EF4-FFF2-40B4-BE49-F238E27FC236}">
              <a16:creationId xmlns:a16="http://schemas.microsoft.com/office/drawing/2014/main" id="{00000000-0008-0000-0000-00000F020000}"/>
            </a:ext>
          </a:extLst>
        </xdr:cNvPr>
        <xdr:cNvSpPr>
          <a:spLocks noChangeShapeType="1"/>
        </xdr:cNvSpPr>
      </xdr:nvSpPr>
      <xdr:spPr bwMode="auto">
        <a:xfrm flipH="1">
          <a:off x="20535900" y="22698075"/>
          <a:ext cx="9525"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314325</xdr:colOff>
      <xdr:row>113</xdr:row>
      <xdr:rowOff>142875</xdr:rowOff>
    </xdr:from>
    <xdr:to>
      <xdr:col>27</xdr:col>
      <xdr:colOff>314325</xdr:colOff>
      <xdr:row>115</xdr:row>
      <xdr:rowOff>9525</xdr:rowOff>
    </xdr:to>
    <xdr:sp macro="" textlink="">
      <xdr:nvSpPr>
        <xdr:cNvPr id="528" name="Line 568">
          <a:extLst>
            <a:ext uri="{FF2B5EF4-FFF2-40B4-BE49-F238E27FC236}">
              <a16:creationId xmlns:a16="http://schemas.microsoft.com/office/drawing/2014/main" id="{00000000-0008-0000-0000-000010020000}"/>
            </a:ext>
          </a:extLst>
        </xdr:cNvPr>
        <xdr:cNvSpPr>
          <a:spLocks noChangeShapeType="1"/>
        </xdr:cNvSpPr>
      </xdr:nvSpPr>
      <xdr:spPr bwMode="auto">
        <a:xfrm>
          <a:off x="20107275" y="2202180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457200</xdr:colOff>
      <xdr:row>113</xdr:row>
      <xdr:rowOff>142875</xdr:rowOff>
    </xdr:from>
    <xdr:to>
      <xdr:col>27</xdr:col>
      <xdr:colOff>457200</xdr:colOff>
      <xdr:row>114</xdr:row>
      <xdr:rowOff>190500</xdr:rowOff>
    </xdr:to>
    <xdr:sp macro="" textlink="">
      <xdr:nvSpPr>
        <xdr:cNvPr id="529" name="Line 569">
          <a:extLst>
            <a:ext uri="{FF2B5EF4-FFF2-40B4-BE49-F238E27FC236}">
              <a16:creationId xmlns:a16="http://schemas.microsoft.com/office/drawing/2014/main" id="{00000000-0008-0000-0000-000011020000}"/>
            </a:ext>
          </a:extLst>
        </xdr:cNvPr>
        <xdr:cNvSpPr>
          <a:spLocks noChangeShapeType="1"/>
        </xdr:cNvSpPr>
      </xdr:nvSpPr>
      <xdr:spPr bwMode="auto">
        <a:xfrm>
          <a:off x="20250150" y="22021800"/>
          <a:ext cx="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161925</xdr:colOff>
      <xdr:row>115</xdr:row>
      <xdr:rowOff>0</xdr:rowOff>
    </xdr:from>
    <xdr:to>
      <xdr:col>28</xdr:col>
      <xdr:colOff>342900</xdr:colOff>
      <xdr:row>115</xdr:row>
      <xdr:rowOff>0</xdr:rowOff>
    </xdr:to>
    <xdr:sp macro="" textlink="">
      <xdr:nvSpPr>
        <xdr:cNvPr id="530" name="Line 570">
          <a:extLst>
            <a:ext uri="{FF2B5EF4-FFF2-40B4-BE49-F238E27FC236}">
              <a16:creationId xmlns:a16="http://schemas.microsoft.com/office/drawing/2014/main" id="{00000000-0008-0000-0000-000012020000}"/>
            </a:ext>
          </a:extLst>
        </xdr:cNvPr>
        <xdr:cNvSpPr>
          <a:spLocks noChangeShapeType="1"/>
        </xdr:cNvSpPr>
      </xdr:nvSpPr>
      <xdr:spPr bwMode="auto">
        <a:xfrm>
          <a:off x="20707350" y="22269450"/>
          <a:ext cx="180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112</xdr:row>
      <xdr:rowOff>114300</xdr:rowOff>
    </xdr:from>
    <xdr:to>
      <xdr:col>27</xdr:col>
      <xdr:colOff>733425</xdr:colOff>
      <xdr:row>113</xdr:row>
      <xdr:rowOff>47625</xdr:rowOff>
    </xdr:to>
    <xdr:sp macro="" textlink="">
      <xdr:nvSpPr>
        <xdr:cNvPr id="531" name="Line 571">
          <a:extLst>
            <a:ext uri="{FF2B5EF4-FFF2-40B4-BE49-F238E27FC236}">
              <a16:creationId xmlns:a16="http://schemas.microsoft.com/office/drawing/2014/main" id="{00000000-0008-0000-0000-000013020000}"/>
            </a:ext>
          </a:extLst>
        </xdr:cNvPr>
        <xdr:cNvSpPr>
          <a:spLocks noChangeShapeType="1"/>
        </xdr:cNvSpPr>
      </xdr:nvSpPr>
      <xdr:spPr bwMode="auto">
        <a:xfrm flipH="1">
          <a:off x="20383500" y="21793200"/>
          <a:ext cx="142875"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466725</xdr:colOff>
      <xdr:row>111</xdr:row>
      <xdr:rowOff>190500</xdr:rowOff>
    </xdr:from>
    <xdr:to>
      <xdr:col>26</xdr:col>
      <xdr:colOff>466725</xdr:colOff>
      <xdr:row>115</xdr:row>
      <xdr:rowOff>19050</xdr:rowOff>
    </xdr:to>
    <xdr:sp macro="" textlink="">
      <xdr:nvSpPr>
        <xdr:cNvPr id="532" name="Line 572">
          <a:extLst>
            <a:ext uri="{FF2B5EF4-FFF2-40B4-BE49-F238E27FC236}">
              <a16:creationId xmlns:a16="http://schemas.microsoft.com/office/drawing/2014/main" id="{00000000-0008-0000-0000-000014020000}"/>
            </a:ext>
          </a:extLst>
        </xdr:cNvPr>
        <xdr:cNvSpPr>
          <a:spLocks noChangeShapeType="1"/>
        </xdr:cNvSpPr>
      </xdr:nvSpPr>
      <xdr:spPr bwMode="auto">
        <a:xfrm>
          <a:off x="19507200" y="2166937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600075</xdr:colOff>
      <xdr:row>119</xdr:row>
      <xdr:rowOff>38100</xdr:rowOff>
    </xdr:from>
    <xdr:to>
      <xdr:col>26</xdr:col>
      <xdr:colOff>695325</xdr:colOff>
      <xdr:row>119</xdr:row>
      <xdr:rowOff>133350</xdr:rowOff>
    </xdr:to>
    <xdr:sp macro="" textlink="">
      <xdr:nvSpPr>
        <xdr:cNvPr id="533" name="Oval 573">
          <a:extLst>
            <a:ext uri="{FF2B5EF4-FFF2-40B4-BE49-F238E27FC236}">
              <a16:creationId xmlns:a16="http://schemas.microsoft.com/office/drawing/2014/main" id="{00000000-0008-0000-0000-000015020000}"/>
            </a:ext>
          </a:extLst>
        </xdr:cNvPr>
        <xdr:cNvSpPr>
          <a:spLocks noChangeArrowheads="1"/>
        </xdr:cNvSpPr>
      </xdr:nvSpPr>
      <xdr:spPr bwMode="auto">
        <a:xfrm>
          <a:off x="19640550" y="23069550"/>
          <a:ext cx="95250"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685800</xdr:colOff>
      <xdr:row>121</xdr:row>
      <xdr:rowOff>114300</xdr:rowOff>
    </xdr:from>
    <xdr:to>
      <xdr:col>27</xdr:col>
      <xdr:colOff>19050</xdr:colOff>
      <xdr:row>122</xdr:row>
      <xdr:rowOff>9525</xdr:rowOff>
    </xdr:to>
    <xdr:sp macro="" textlink="">
      <xdr:nvSpPr>
        <xdr:cNvPr id="534" name="Oval 574">
          <a:extLst>
            <a:ext uri="{FF2B5EF4-FFF2-40B4-BE49-F238E27FC236}">
              <a16:creationId xmlns:a16="http://schemas.microsoft.com/office/drawing/2014/main" id="{00000000-0008-0000-0000-000016020000}"/>
            </a:ext>
          </a:extLst>
        </xdr:cNvPr>
        <xdr:cNvSpPr>
          <a:spLocks noChangeArrowheads="1"/>
        </xdr:cNvSpPr>
      </xdr:nvSpPr>
      <xdr:spPr bwMode="auto">
        <a:xfrm>
          <a:off x="19726275" y="23545800"/>
          <a:ext cx="85725"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657225</xdr:colOff>
      <xdr:row>115</xdr:row>
      <xdr:rowOff>0</xdr:rowOff>
    </xdr:from>
    <xdr:to>
      <xdr:col>28</xdr:col>
      <xdr:colOff>133350</xdr:colOff>
      <xdr:row>115</xdr:row>
      <xdr:rowOff>9525</xdr:rowOff>
    </xdr:to>
    <xdr:sp macro="" textlink="">
      <xdr:nvSpPr>
        <xdr:cNvPr id="535" name="Line 575">
          <a:extLst>
            <a:ext uri="{FF2B5EF4-FFF2-40B4-BE49-F238E27FC236}">
              <a16:creationId xmlns:a16="http://schemas.microsoft.com/office/drawing/2014/main" id="{00000000-0008-0000-0000-000017020000}"/>
            </a:ext>
          </a:extLst>
        </xdr:cNvPr>
        <xdr:cNvSpPr>
          <a:spLocks noChangeShapeType="1"/>
        </xdr:cNvSpPr>
      </xdr:nvSpPr>
      <xdr:spPr bwMode="auto">
        <a:xfrm>
          <a:off x="19697700" y="22269450"/>
          <a:ext cx="981075" cy="95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47625</xdr:colOff>
      <xdr:row>126</xdr:row>
      <xdr:rowOff>190500</xdr:rowOff>
    </xdr:from>
    <xdr:to>
      <xdr:col>28</xdr:col>
      <xdr:colOff>123825</xdr:colOff>
      <xdr:row>127</xdr:row>
      <xdr:rowOff>47625</xdr:rowOff>
    </xdr:to>
    <xdr:sp macro="" textlink="">
      <xdr:nvSpPr>
        <xdr:cNvPr id="536" name="Oval 576">
          <a:extLst>
            <a:ext uri="{FF2B5EF4-FFF2-40B4-BE49-F238E27FC236}">
              <a16:creationId xmlns:a16="http://schemas.microsoft.com/office/drawing/2014/main" id="{00000000-0008-0000-0000-000018020000}"/>
            </a:ext>
          </a:extLst>
        </xdr:cNvPr>
        <xdr:cNvSpPr>
          <a:spLocks noChangeArrowheads="1"/>
        </xdr:cNvSpPr>
      </xdr:nvSpPr>
      <xdr:spPr bwMode="auto">
        <a:xfrm>
          <a:off x="20593050" y="24593550"/>
          <a:ext cx="76200"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714375</xdr:colOff>
      <xdr:row>113</xdr:row>
      <xdr:rowOff>133350</xdr:rowOff>
    </xdr:from>
    <xdr:to>
      <xdr:col>26</xdr:col>
      <xdr:colOff>714375</xdr:colOff>
      <xdr:row>115</xdr:row>
      <xdr:rowOff>0</xdr:rowOff>
    </xdr:to>
    <xdr:sp macro="" textlink="">
      <xdr:nvSpPr>
        <xdr:cNvPr id="537" name="Line 577">
          <a:extLst>
            <a:ext uri="{FF2B5EF4-FFF2-40B4-BE49-F238E27FC236}">
              <a16:creationId xmlns:a16="http://schemas.microsoft.com/office/drawing/2014/main" id="{00000000-0008-0000-0000-000019020000}"/>
            </a:ext>
          </a:extLst>
        </xdr:cNvPr>
        <xdr:cNvSpPr>
          <a:spLocks noChangeShapeType="1"/>
        </xdr:cNvSpPr>
      </xdr:nvSpPr>
      <xdr:spPr bwMode="auto">
        <a:xfrm flipH="1">
          <a:off x="19754850" y="2201227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161925</xdr:colOff>
      <xdr:row>113</xdr:row>
      <xdr:rowOff>133350</xdr:rowOff>
    </xdr:from>
    <xdr:to>
      <xdr:col>27</xdr:col>
      <xdr:colOff>161925</xdr:colOff>
      <xdr:row>115</xdr:row>
      <xdr:rowOff>0</xdr:rowOff>
    </xdr:to>
    <xdr:sp macro="" textlink="">
      <xdr:nvSpPr>
        <xdr:cNvPr id="538" name="Line 578">
          <a:extLst>
            <a:ext uri="{FF2B5EF4-FFF2-40B4-BE49-F238E27FC236}">
              <a16:creationId xmlns:a16="http://schemas.microsoft.com/office/drawing/2014/main" id="{00000000-0008-0000-0000-00001A020000}"/>
            </a:ext>
          </a:extLst>
        </xdr:cNvPr>
        <xdr:cNvSpPr>
          <a:spLocks noChangeShapeType="1"/>
        </xdr:cNvSpPr>
      </xdr:nvSpPr>
      <xdr:spPr bwMode="auto">
        <a:xfrm flipH="1">
          <a:off x="19954875" y="2201227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390525</xdr:colOff>
      <xdr:row>113</xdr:row>
      <xdr:rowOff>133350</xdr:rowOff>
    </xdr:from>
    <xdr:to>
      <xdr:col>27</xdr:col>
      <xdr:colOff>390525</xdr:colOff>
      <xdr:row>115</xdr:row>
      <xdr:rowOff>19050</xdr:rowOff>
    </xdr:to>
    <xdr:sp macro="" textlink="">
      <xdr:nvSpPr>
        <xdr:cNvPr id="539" name="Line 579">
          <a:extLst>
            <a:ext uri="{FF2B5EF4-FFF2-40B4-BE49-F238E27FC236}">
              <a16:creationId xmlns:a16="http://schemas.microsoft.com/office/drawing/2014/main" id="{00000000-0008-0000-0000-00001B020000}"/>
            </a:ext>
          </a:extLst>
        </xdr:cNvPr>
        <xdr:cNvSpPr>
          <a:spLocks noChangeShapeType="1"/>
        </xdr:cNvSpPr>
      </xdr:nvSpPr>
      <xdr:spPr bwMode="auto">
        <a:xfrm>
          <a:off x="20183475" y="2201227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95250</xdr:colOff>
      <xdr:row>114</xdr:row>
      <xdr:rowOff>47625</xdr:rowOff>
    </xdr:from>
    <xdr:to>
      <xdr:col>28</xdr:col>
      <xdr:colOff>95250</xdr:colOff>
      <xdr:row>115</xdr:row>
      <xdr:rowOff>0</xdr:rowOff>
    </xdr:to>
    <xdr:sp macro="" textlink="">
      <xdr:nvSpPr>
        <xdr:cNvPr id="540" name="Line 580">
          <a:extLst>
            <a:ext uri="{FF2B5EF4-FFF2-40B4-BE49-F238E27FC236}">
              <a16:creationId xmlns:a16="http://schemas.microsoft.com/office/drawing/2014/main" id="{00000000-0008-0000-0000-00001C020000}"/>
            </a:ext>
          </a:extLst>
        </xdr:cNvPr>
        <xdr:cNvSpPr>
          <a:spLocks noChangeShapeType="1"/>
        </xdr:cNvSpPr>
      </xdr:nvSpPr>
      <xdr:spPr bwMode="auto">
        <a:xfrm>
          <a:off x="20640675" y="22117050"/>
          <a:ext cx="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57150</xdr:colOff>
      <xdr:row>114</xdr:row>
      <xdr:rowOff>47625</xdr:rowOff>
    </xdr:from>
    <xdr:to>
      <xdr:col>28</xdr:col>
      <xdr:colOff>57150</xdr:colOff>
      <xdr:row>115</xdr:row>
      <xdr:rowOff>28575</xdr:rowOff>
    </xdr:to>
    <xdr:sp macro="" textlink="">
      <xdr:nvSpPr>
        <xdr:cNvPr id="541" name="Line 581">
          <a:extLst>
            <a:ext uri="{FF2B5EF4-FFF2-40B4-BE49-F238E27FC236}">
              <a16:creationId xmlns:a16="http://schemas.microsoft.com/office/drawing/2014/main" id="{00000000-0008-0000-0000-00001D020000}"/>
            </a:ext>
          </a:extLst>
        </xdr:cNvPr>
        <xdr:cNvSpPr>
          <a:spLocks noChangeShapeType="1"/>
        </xdr:cNvSpPr>
      </xdr:nvSpPr>
      <xdr:spPr bwMode="auto">
        <a:xfrm>
          <a:off x="20602575" y="22117050"/>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733425</xdr:colOff>
      <xdr:row>114</xdr:row>
      <xdr:rowOff>38100</xdr:rowOff>
    </xdr:from>
    <xdr:to>
      <xdr:col>27</xdr:col>
      <xdr:colOff>733425</xdr:colOff>
      <xdr:row>115</xdr:row>
      <xdr:rowOff>0</xdr:rowOff>
    </xdr:to>
    <xdr:sp macro="" textlink="">
      <xdr:nvSpPr>
        <xdr:cNvPr id="542" name="Line 582">
          <a:extLst>
            <a:ext uri="{FF2B5EF4-FFF2-40B4-BE49-F238E27FC236}">
              <a16:creationId xmlns:a16="http://schemas.microsoft.com/office/drawing/2014/main" id="{00000000-0008-0000-0000-00001E020000}"/>
            </a:ext>
          </a:extLst>
        </xdr:cNvPr>
        <xdr:cNvSpPr>
          <a:spLocks noChangeShapeType="1"/>
        </xdr:cNvSpPr>
      </xdr:nvSpPr>
      <xdr:spPr bwMode="auto">
        <a:xfrm>
          <a:off x="20526375" y="22107525"/>
          <a:ext cx="0"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180975</xdr:colOff>
      <xdr:row>114</xdr:row>
      <xdr:rowOff>66675</xdr:rowOff>
    </xdr:from>
    <xdr:to>
      <xdr:col>28</xdr:col>
      <xdr:colOff>333375</xdr:colOff>
      <xdr:row>114</xdr:row>
      <xdr:rowOff>66675</xdr:rowOff>
    </xdr:to>
    <xdr:sp macro="" textlink="">
      <xdr:nvSpPr>
        <xdr:cNvPr id="543" name="Line 583">
          <a:extLst>
            <a:ext uri="{FF2B5EF4-FFF2-40B4-BE49-F238E27FC236}">
              <a16:creationId xmlns:a16="http://schemas.microsoft.com/office/drawing/2014/main" id="{00000000-0008-0000-0000-00001F020000}"/>
            </a:ext>
          </a:extLst>
        </xdr:cNvPr>
        <xdr:cNvSpPr>
          <a:spLocks noChangeShapeType="1"/>
        </xdr:cNvSpPr>
      </xdr:nvSpPr>
      <xdr:spPr bwMode="auto">
        <a:xfrm>
          <a:off x="20726400" y="22136100"/>
          <a:ext cx="152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123</xdr:row>
      <xdr:rowOff>123825</xdr:rowOff>
    </xdr:from>
    <xdr:to>
      <xdr:col>28</xdr:col>
      <xdr:colOff>123825</xdr:colOff>
      <xdr:row>124</xdr:row>
      <xdr:rowOff>47625</xdr:rowOff>
    </xdr:to>
    <xdr:sp macro="" textlink="">
      <xdr:nvSpPr>
        <xdr:cNvPr id="544" name="Line 584">
          <a:extLst>
            <a:ext uri="{FF2B5EF4-FFF2-40B4-BE49-F238E27FC236}">
              <a16:creationId xmlns:a16="http://schemas.microsoft.com/office/drawing/2014/main" id="{00000000-0008-0000-0000-000020020000}"/>
            </a:ext>
          </a:extLst>
        </xdr:cNvPr>
        <xdr:cNvSpPr>
          <a:spLocks noChangeShapeType="1"/>
        </xdr:cNvSpPr>
      </xdr:nvSpPr>
      <xdr:spPr bwMode="auto">
        <a:xfrm flipH="1">
          <a:off x="20545425" y="23955375"/>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609600</xdr:colOff>
      <xdr:row>122</xdr:row>
      <xdr:rowOff>114300</xdr:rowOff>
    </xdr:from>
    <xdr:to>
      <xdr:col>27</xdr:col>
      <xdr:colOff>733425</xdr:colOff>
      <xdr:row>123</xdr:row>
      <xdr:rowOff>66675</xdr:rowOff>
    </xdr:to>
    <xdr:sp macro="" textlink="">
      <xdr:nvSpPr>
        <xdr:cNvPr id="545" name="Line 585">
          <a:extLst>
            <a:ext uri="{FF2B5EF4-FFF2-40B4-BE49-F238E27FC236}">
              <a16:creationId xmlns:a16="http://schemas.microsoft.com/office/drawing/2014/main" id="{00000000-0008-0000-0000-000021020000}"/>
            </a:ext>
          </a:extLst>
        </xdr:cNvPr>
        <xdr:cNvSpPr>
          <a:spLocks noChangeShapeType="1"/>
        </xdr:cNvSpPr>
      </xdr:nvSpPr>
      <xdr:spPr bwMode="auto">
        <a:xfrm flipH="1">
          <a:off x="20402550" y="23745825"/>
          <a:ext cx="12382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0</xdr:colOff>
      <xdr:row>122</xdr:row>
      <xdr:rowOff>9525</xdr:rowOff>
    </xdr:from>
    <xdr:to>
      <xdr:col>28</xdr:col>
      <xdr:colOff>704850</xdr:colOff>
      <xdr:row>122</xdr:row>
      <xdr:rowOff>114300</xdr:rowOff>
    </xdr:to>
    <xdr:sp macro="" textlink="">
      <xdr:nvSpPr>
        <xdr:cNvPr id="546" name="Line 586">
          <a:extLst>
            <a:ext uri="{FF2B5EF4-FFF2-40B4-BE49-F238E27FC236}">
              <a16:creationId xmlns:a16="http://schemas.microsoft.com/office/drawing/2014/main" id="{00000000-0008-0000-0000-000022020000}"/>
            </a:ext>
          </a:extLst>
        </xdr:cNvPr>
        <xdr:cNvSpPr>
          <a:spLocks noChangeShapeType="1"/>
        </xdr:cNvSpPr>
      </xdr:nvSpPr>
      <xdr:spPr bwMode="auto">
        <a:xfrm flipH="1" flipV="1">
          <a:off x="20545425" y="23641050"/>
          <a:ext cx="7048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723900</xdr:colOff>
      <xdr:row>121</xdr:row>
      <xdr:rowOff>171450</xdr:rowOff>
    </xdr:from>
    <xdr:to>
      <xdr:col>28</xdr:col>
      <xdr:colOff>47625</xdr:colOff>
      <xdr:row>122</xdr:row>
      <xdr:rowOff>47625</xdr:rowOff>
    </xdr:to>
    <xdr:sp macro="" textlink="">
      <xdr:nvSpPr>
        <xdr:cNvPr id="547" name="Oval 587">
          <a:extLst>
            <a:ext uri="{FF2B5EF4-FFF2-40B4-BE49-F238E27FC236}">
              <a16:creationId xmlns:a16="http://schemas.microsoft.com/office/drawing/2014/main" id="{00000000-0008-0000-0000-000023020000}"/>
            </a:ext>
          </a:extLst>
        </xdr:cNvPr>
        <xdr:cNvSpPr>
          <a:spLocks noChangeArrowheads="1"/>
        </xdr:cNvSpPr>
      </xdr:nvSpPr>
      <xdr:spPr bwMode="auto">
        <a:xfrm>
          <a:off x="20516850" y="23602950"/>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676275</xdr:colOff>
      <xdr:row>117</xdr:row>
      <xdr:rowOff>123825</xdr:rowOff>
    </xdr:from>
    <xdr:to>
      <xdr:col>28</xdr:col>
      <xdr:colOff>57150</xdr:colOff>
      <xdr:row>118</xdr:row>
      <xdr:rowOff>66675</xdr:rowOff>
    </xdr:to>
    <xdr:sp macro="" textlink="">
      <xdr:nvSpPr>
        <xdr:cNvPr id="548" name="Line 588">
          <a:extLst>
            <a:ext uri="{FF2B5EF4-FFF2-40B4-BE49-F238E27FC236}">
              <a16:creationId xmlns:a16="http://schemas.microsoft.com/office/drawing/2014/main" id="{00000000-0008-0000-0000-000024020000}"/>
            </a:ext>
          </a:extLst>
        </xdr:cNvPr>
        <xdr:cNvSpPr>
          <a:spLocks noChangeShapeType="1"/>
        </xdr:cNvSpPr>
      </xdr:nvSpPr>
      <xdr:spPr bwMode="auto">
        <a:xfrm flipH="1">
          <a:off x="20469225" y="22774275"/>
          <a:ext cx="13335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228600</xdr:colOff>
      <xdr:row>114</xdr:row>
      <xdr:rowOff>123825</xdr:rowOff>
    </xdr:from>
    <xdr:to>
      <xdr:col>28</xdr:col>
      <xdr:colOff>333375</xdr:colOff>
      <xdr:row>115</xdr:row>
      <xdr:rowOff>66675</xdr:rowOff>
    </xdr:to>
    <xdr:sp macro="" textlink="">
      <xdr:nvSpPr>
        <xdr:cNvPr id="549" name="Line 589">
          <a:extLst>
            <a:ext uri="{FF2B5EF4-FFF2-40B4-BE49-F238E27FC236}">
              <a16:creationId xmlns:a16="http://schemas.microsoft.com/office/drawing/2014/main" id="{00000000-0008-0000-0000-000025020000}"/>
            </a:ext>
          </a:extLst>
        </xdr:cNvPr>
        <xdr:cNvSpPr>
          <a:spLocks noChangeShapeType="1"/>
        </xdr:cNvSpPr>
      </xdr:nvSpPr>
      <xdr:spPr bwMode="auto">
        <a:xfrm flipH="1">
          <a:off x="20774025" y="22193250"/>
          <a:ext cx="1047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26</xdr:col>
      <xdr:colOff>419100</xdr:colOff>
      <xdr:row>114</xdr:row>
      <xdr:rowOff>104775</xdr:rowOff>
    </xdr:from>
    <xdr:to>
      <xdr:col>26</xdr:col>
      <xdr:colOff>542925</xdr:colOff>
      <xdr:row>115</xdr:row>
      <xdr:rowOff>47625</xdr:rowOff>
    </xdr:to>
    <xdr:sp macro="" textlink="">
      <xdr:nvSpPr>
        <xdr:cNvPr id="550" name="Line 590">
          <a:extLst>
            <a:ext uri="{FF2B5EF4-FFF2-40B4-BE49-F238E27FC236}">
              <a16:creationId xmlns:a16="http://schemas.microsoft.com/office/drawing/2014/main" id="{00000000-0008-0000-0000-000026020000}"/>
            </a:ext>
          </a:extLst>
        </xdr:cNvPr>
        <xdr:cNvSpPr>
          <a:spLocks noChangeShapeType="1"/>
        </xdr:cNvSpPr>
      </xdr:nvSpPr>
      <xdr:spPr bwMode="auto">
        <a:xfrm flipH="1">
          <a:off x="19459575" y="22174200"/>
          <a:ext cx="12382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647700</xdr:colOff>
      <xdr:row>112</xdr:row>
      <xdr:rowOff>209550</xdr:rowOff>
    </xdr:from>
    <xdr:to>
      <xdr:col>27</xdr:col>
      <xdr:colOff>723900</xdr:colOff>
      <xdr:row>113</xdr:row>
      <xdr:rowOff>76200</xdr:rowOff>
    </xdr:to>
    <xdr:sp macro="" textlink="">
      <xdr:nvSpPr>
        <xdr:cNvPr id="551" name="Oval 591">
          <a:extLst>
            <a:ext uri="{FF2B5EF4-FFF2-40B4-BE49-F238E27FC236}">
              <a16:creationId xmlns:a16="http://schemas.microsoft.com/office/drawing/2014/main" id="{00000000-0008-0000-0000-000027020000}"/>
            </a:ext>
          </a:extLst>
        </xdr:cNvPr>
        <xdr:cNvSpPr>
          <a:spLocks noChangeArrowheads="1"/>
        </xdr:cNvSpPr>
      </xdr:nvSpPr>
      <xdr:spPr bwMode="auto">
        <a:xfrm>
          <a:off x="20440650" y="21878925"/>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200025</xdr:colOff>
      <xdr:row>110</xdr:row>
      <xdr:rowOff>0</xdr:rowOff>
    </xdr:from>
    <xdr:to>
      <xdr:col>27</xdr:col>
      <xdr:colOff>666750</xdr:colOff>
      <xdr:row>110</xdr:row>
      <xdr:rowOff>190500</xdr:rowOff>
    </xdr:to>
    <xdr:sp macro="" textlink="">
      <xdr:nvSpPr>
        <xdr:cNvPr id="552" name="Line 592">
          <a:extLst>
            <a:ext uri="{FF2B5EF4-FFF2-40B4-BE49-F238E27FC236}">
              <a16:creationId xmlns:a16="http://schemas.microsoft.com/office/drawing/2014/main" id="{00000000-0008-0000-0000-000028020000}"/>
            </a:ext>
          </a:extLst>
        </xdr:cNvPr>
        <xdr:cNvSpPr>
          <a:spLocks noChangeShapeType="1"/>
        </xdr:cNvSpPr>
      </xdr:nvSpPr>
      <xdr:spPr bwMode="auto">
        <a:xfrm>
          <a:off x="19992975" y="21288375"/>
          <a:ext cx="4667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647700</xdr:colOff>
      <xdr:row>85</xdr:row>
      <xdr:rowOff>76200</xdr:rowOff>
    </xdr:from>
    <xdr:to>
      <xdr:col>27</xdr:col>
      <xdr:colOff>723900</xdr:colOff>
      <xdr:row>85</xdr:row>
      <xdr:rowOff>142875</xdr:rowOff>
    </xdr:to>
    <xdr:sp macro="" textlink="">
      <xdr:nvSpPr>
        <xdr:cNvPr id="553" name="Oval 593">
          <a:extLst>
            <a:ext uri="{FF2B5EF4-FFF2-40B4-BE49-F238E27FC236}">
              <a16:creationId xmlns:a16="http://schemas.microsoft.com/office/drawing/2014/main" id="{00000000-0008-0000-0000-000029020000}"/>
            </a:ext>
          </a:extLst>
        </xdr:cNvPr>
        <xdr:cNvSpPr>
          <a:spLocks noChangeArrowheads="1"/>
        </xdr:cNvSpPr>
      </xdr:nvSpPr>
      <xdr:spPr bwMode="auto">
        <a:xfrm>
          <a:off x="20440650" y="16487775"/>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647700</xdr:colOff>
      <xdr:row>110</xdr:row>
      <xdr:rowOff>152400</xdr:rowOff>
    </xdr:from>
    <xdr:to>
      <xdr:col>27</xdr:col>
      <xdr:colOff>723900</xdr:colOff>
      <xdr:row>111</xdr:row>
      <xdr:rowOff>28575</xdr:rowOff>
    </xdr:to>
    <xdr:sp macro="" textlink="">
      <xdr:nvSpPr>
        <xdr:cNvPr id="554" name="Oval 594">
          <a:extLst>
            <a:ext uri="{FF2B5EF4-FFF2-40B4-BE49-F238E27FC236}">
              <a16:creationId xmlns:a16="http://schemas.microsoft.com/office/drawing/2014/main" id="{00000000-0008-0000-0000-00002A020000}"/>
            </a:ext>
          </a:extLst>
        </xdr:cNvPr>
        <xdr:cNvSpPr>
          <a:spLocks noChangeArrowheads="1"/>
        </xdr:cNvSpPr>
      </xdr:nvSpPr>
      <xdr:spPr bwMode="auto">
        <a:xfrm>
          <a:off x="20440650" y="21440775"/>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0</xdr:colOff>
      <xdr:row>115</xdr:row>
      <xdr:rowOff>161925</xdr:rowOff>
    </xdr:from>
    <xdr:to>
      <xdr:col>28</xdr:col>
      <xdr:colOff>381000</xdr:colOff>
      <xdr:row>116</xdr:row>
      <xdr:rowOff>76200</xdr:rowOff>
    </xdr:to>
    <xdr:sp macro="" textlink="">
      <xdr:nvSpPr>
        <xdr:cNvPr id="555" name="Line 595">
          <a:extLst>
            <a:ext uri="{FF2B5EF4-FFF2-40B4-BE49-F238E27FC236}">
              <a16:creationId xmlns:a16="http://schemas.microsoft.com/office/drawing/2014/main" id="{00000000-0008-0000-0000-00002B020000}"/>
            </a:ext>
          </a:extLst>
        </xdr:cNvPr>
        <xdr:cNvSpPr>
          <a:spLocks noChangeShapeType="1"/>
        </xdr:cNvSpPr>
      </xdr:nvSpPr>
      <xdr:spPr bwMode="auto">
        <a:xfrm flipH="1">
          <a:off x="20545425" y="22431375"/>
          <a:ext cx="3810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19050</xdr:colOff>
      <xdr:row>115</xdr:row>
      <xdr:rowOff>190500</xdr:rowOff>
    </xdr:from>
    <xdr:to>
      <xdr:col>27</xdr:col>
      <xdr:colOff>209550</xdr:colOff>
      <xdr:row>116</xdr:row>
      <xdr:rowOff>123825</xdr:rowOff>
    </xdr:to>
    <xdr:sp macro="" textlink="">
      <xdr:nvSpPr>
        <xdr:cNvPr id="556" name="Line 596">
          <a:extLst>
            <a:ext uri="{FF2B5EF4-FFF2-40B4-BE49-F238E27FC236}">
              <a16:creationId xmlns:a16="http://schemas.microsoft.com/office/drawing/2014/main" id="{00000000-0008-0000-0000-00002C020000}"/>
            </a:ext>
          </a:extLst>
        </xdr:cNvPr>
        <xdr:cNvSpPr>
          <a:spLocks noChangeShapeType="1"/>
        </xdr:cNvSpPr>
      </xdr:nvSpPr>
      <xdr:spPr bwMode="auto">
        <a:xfrm flipH="1">
          <a:off x="19812000" y="22459950"/>
          <a:ext cx="1905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723900</xdr:colOff>
      <xdr:row>116</xdr:row>
      <xdr:rowOff>47625</xdr:rowOff>
    </xdr:from>
    <xdr:to>
      <xdr:col>28</xdr:col>
      <xdr:colOff>47625</xdr:colOff>
      <xdr:row>116</xdr:row>
      <xdr:rowOff>123825</xdr:rowOff>
    </xdr:to>
    <xdr:sp macro="" textlink="">
      <xdr:nvSpPr>
        <xdr:cNvPr id="557" name="Oval 597">
          <a:extLst>
            <a:ext uri="{FF2B5EF4-FFF2-40B4-BE49-F238E27FC236}">
              <a16:creationId xmlns:a16="http://schemas.microsoft.com/office/drawing/2014/main" id="{00000000-0008-0000-0000-00002D020000}"/>
            </a:ext>
          </a:extLst>
        </xdr:cNvPr>
        <xdr:cNvSpPr>
          <a:spLocks noChangeArrowheads="1"/>
        </xdr:cNvSpPr>
      </xdr:nvSpPr>
      <xdr:spPr bwMode="auto">
        <a:xfrm>
          <a:off x="20516850" y="22507575"/>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26</xdr:col>
      <xdr:colOff>714375</xdr:colOff>
      <xdr:row>116</xdr:row>
      <xdr:rowOff>95250</xdr:rowOff>
    </xdr:from>
    <xdr:to>
      <xdr:col>27</xdr:col>
      <xdr:colOff>38100</xdr:colOff>
      <xdr:row>116</xdr:row>
      <xdr:rowOff>161925</xdr:rowOff>
    </xdr:to>
    <xdr:sp macro="" textlink="">
      <xdr:nvSpPr>
        <xdr:cNvPr id="558" name="Oval 598">
          <a:extLst>
            <a:ext uri="{FF2B5EF4-FFF2-40B4-BE49-F238E27FC236}">
              <a16:creationId xmlns:a16="http://schemas.microsoft.com/office/drawing/2014/main" id="{00000000-0008-0000-0000-00002E020000}"/>
            </a:ext>
          </a:extLst>
        </xdr:cNvPr>
        <xdr:cNvSpPr>
          <a:spLocks noChangeArrowheads="1"/>
        </xdr:cNvSpPr>
      </xdr:nvSpPr>
      <xdr:spPr bwMode="auto">
        <a:xfrm>
          <a:off x="19754850" y="2255520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28</xdr:col>
      <xdr:colOff>19050</xdr:colOff>
      <xdr:row>114</xdr:row>
      <xdr:rowOff>47625</xdr:rowOff>
    </xdr:from>
    <xdr:to>
      <xdr:col>28</xdr:col>
      <xdr:colOff>19050</xdr:colOff>
      <xdr:row>115</xdr:row>
      <xdr:rowOff>0</xdr:rowOff>
    </xdr:to>
    <xdr:sp macro="" textlink="">
      <xdr:nvSpPr>
        <xdr:cNvPr id="559" name="Line 599">
          <a:extLst>
            <a:ext uri="{FF2B5EF4-FFF2-40B4-BE49-F238E27FC236}">
              <a16:creationId xmlns:a16="http://schemas.microsoft.com/office/drawing/2014/main" id="{00000000-0008-0000-0000-00002F020000}"/>
            </a:ext>
          </a:extLst>
        </xdr:cNvPr>
        <xdr:cNvSpPr>
          <a:spLocks noChangeShapeType="1"/>
        </xdr:cNvSpPr>
      </xdr:nvSpPr>
      <xdr:spPr bwMode="auto">
        <a:xfrm flipV="1">
          <a:off x="20564475" y="22117050"/>
          <a:ext cx="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133</xdr:row>
      <xdr:rowOff>85725</xdr:rowOff>
    </xdr:from>
    <xdr:to>
      <xdr:col>5</xdr:col>
      <xdr:colOff>619125</xdr:colOff>
      <xdr:row>133</xdr:row>
      <xdr:rowOff>85725</xdr:rowOff>
    </xdr:to>
    <xdr:sp macro="" textlink="">
      <xdr:nvSpPr>
        <xdr:cNvPr id="560" name="Line 600">
          <a:extLst>
            <a:ext uri="{FF2B5EF4-FFF2-40B4-BE49-F238E27FC236}">
              <a16:creationId xmlns:a16="http://schemas.microsoft.com/office/drawing/2014/main" id="{00000000-0008-0000-0000-000030020000}"/>
            </a:ext>
          </a:extLst>
        </xdr:cNvPr>
        <xdr:cNvSpPr>
          <a:spLocks noChangeShapeType="1"/>
        </xdr:cNvSpPr>
      </xdr:nvSpPr>
      <xdr:spPr bwMode="auto">
        <a:xfrm flipH="1">
          <a:off x="1733550" y="25850850"/>
          <a:ext cx="1543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133</xdr:row>
      <xdr:rowOff>47625</xdr:rowOff>
    </xdr:from>
    <xdr:to>
      <xdr:col>2</xdr:col>
      <xdr:colOff>438150</xdr:colOff>
      <xdr:row>133</xdr:row>
      <xdr:rowOff>123825</xdr:rowOff>
    </xdr:to>
    <xdr:sp macro="" textlink="">
      <xdr:nvSpPr>
        <xdr:cNvPr id="561" name="Tegning 601">
          <a:extLst>
            <a:ext uri="{FF2B5EF4-FFF2-40B4-BE49-F238E27FC236}">
              <a16:creationId xmlns:a16="http://schemas.microsoft.com/office/drawing/2014/main" id="{00000000-0008-0000-0000-000031020000}"/>
            </a:ext>
          </a:extLst>
        </xdr:cNvPr>
        <xdr:cNvSpPr>
          <a:spLocks/>
        </xdr:cNvSpPr>
      </xdr:nvSpPr>
      <xdr:spPr bwMode="auto">
        <a:xfrm>
          <a:off x="1743075" y="25812750"/>
          <a:ext cx="76200" cy="762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314325</xdr:colOff>
      <xdr:row>140</xdr:row>
      <xdr:rowOff>38100</xdr:rowOff>
    </xdr:from>
    <xdr:to>
      <xdr:col>2</xdr:col>
      <xdr:colOff>409575</xdr:colOff>
      <xdr:row>140</xdr:row>
      <xdr:rowOff>123825</xdr:rowOff>
    </xdr:to>
    <xdr:sp macro="" textlink="">
      <xdr:nvSpPr>
        <xdr:cNvPr id="562" name="Oval 602">
          <a:extLst>
            <a:ext uri="{FF2B5EF4-FFF2-40B4-BE49-F238E27FC236}">
              <a16:creationId xmlns:a16="http://schemas.microsoft.com/office/drawing/2014/main" id="{00000000-0008-0000-0000-000032020000}"/>
            </a:ext>
          </a:extLst>
        </xdr:cNvPr>
        <xdr:cNvSpPr>
          <a:spLocks noChangeArrowheads="1"/>
        </xdr:cNvSpPr>
      </xdr:nvSpPr>
      <xdr:spPr bwMode="auto">
        <a:xfrm>
          <a:off x="1695450" y="271653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143</xdr:row>
      <xdr:rowOff>57150</xdr:rowOff>
    </xdr:from>
    <xdr:to>
      <xdr:col>5</xdr:col>
      <xdr:colOff>219075</xdr:colOff>
      <xdr:row>143</xdr:row>
      <xdr:rowOff>142875</xdr:rowOff>
    </xdr:to>
    <xdr:sp macro="" textlink="">
      <xdr:nvSpPr>
        <xdr:cNvPr id="563" name="Oval 603">
          <a:extLst>
            <a:ext uri="{FF2B5EF4-FFF2-40B4-BE49-F238E27FC236}">
              <a16:creationId xmlns:a16="http://schemas.microsoft.com/office/drawing/2014/main" id="{00000000-0008-0000-0000-000033020000}"/>
            </a:ext>
          </a:extLst>
        </xdr:cNvPr>
        <xdr:cNvSpPr>
          <a:spLocks noChangeArrowheads="1"/>
        </xdr:cNvSpPr>
      </xdr:nvSpPr>
      <xdr:spPr bwMode="auto">
        <a:xfrm>
          <a:off x="2781300" y="277749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146</xdr:row>
      <xdr:rowOff>47625</xdr:rowOff>
    </xdr:from>
    <xdr:to>
      <xdr:col>5</xdr:col>
      <xdr:colOff>219075</xdr:colOff>
      <xdr:row>146</xdr:row>
      <xdr:rowOff>133350</xdr:rowOff>
    </xdr:to>
    <xdr:sp macro="" textlink="">
      <xdr:nvSpPr>
        <xdr:cNvPr id="564" name="Oval 604">
          <a:extLst>
            <a:ext uri="{FF2B5EF4-FFF2-40B4-BE49-F238E27FC236}">
              <a16:creationId xmlns:a16="http://schemas.microsoft.com/office/drawing/2014/main" id="{00000000-0008-0000-0000-000034020000}"/>
            </a:ext>
          </a:extLst>
        </xdr:cNvPr>
        <xdr:cNvSpPr>
          <a:spLocks noChangeArrowheads="1"/>
        </xdr:cNvSpPr>
      </xdr:nvSpPr>
      <xdr:spPr bwMode="auto">
        <a:xfrm>
          <a:off x="2781300" y="283654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27</xdr:col>
      <xdr:colOff>561975</xdr:colOff>
      <xdr:row>82</xdr:row>
      <xdr:rowOff>114300</xdr:rowOff>
    </xdr:from>
    <xdr:to>
      <xdr:col>28</xdr:col>
      <xdr:colOff>657225</xdr:colOff>
      <xdr:row>82</xdr:row>
      <xdr:rowOff>114300</xdr:rowOff>
    </xdr:to>
    <xdr:sp macro="" textlink="">
      <xdr:nvSpPr>
        <xdr:cNvPr id="565" name="Line 611">
          <a:extLst>
            <a:ext uri="{FF2B5EF4-FFF2-40B4-BE49-F238E27FC236}">
              <a16:creationId xmlns:a16="http://schemas.microsoft.com/office/drawing/2014/main" id="{00000000-0008-0000-0000-000035020000}"/>
            </a:ext>
          </a:extLst>
        </xdr:cNvPr>
        <xdr:cNvSpPr>
          <a:spLocks noChangeShapeType="1"/>
        </xdr:cNvSpPr>
      </xdr:nvSpPr>
      <xdr:spPr bwMode="auto">
        <a:xfrm flipH="1">
          <a:off x="20354925" y="15935325"/>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82</xdr:row>
      <xdr:rowOff>38100</xdr:rowOff>
    </xdr:from>
    <xdr:to>
      <xdr:col>27</xdr:col>
      <xdr:colOff>742950</xdr:colOff>
      <xdr:row>83</xdr:row>
      <xdr:rowOff>0</xdr:rowOff>
    </xdr:to>
    <xdr:sp macro="" textlink="">
      <xdr:nvSpPr>
        <xdr:cNvPr id="566" name="Line 612">
          <a:extLst>
            <a:ext uri="{FF2B5EF4-FFF2-40B4-BE49-F238E27FC236}">
              <a16:creationId xmlns:a16="http://schemas.microsoft.com/office/drawing/2014/main" id="{00000000-0008-0000-0000-000036020000}"/>
            </a:ext>
          </a:extLst>
        </xdr:cNvPr>
        <xdr:cNvSpPr>
          <a:spLocks noChangeShapeType="1"/>
        </xdr:cNvSpPr>
      </xdr:nvSpPr>
      <xdr:spPr bwMode="auto">
        <a:xfrm flipH="1">
          <a:off x="20383500" y="15859125"/>
          <a:ext cx="1524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76200</xdr:colOff>
      <xdr:row>82</xdr:row>
      <xdr:rowOff>28575</xdr:rowOff>
    </xdr:from>
    <xdr:to>
      <xdr:col>28</xdr:col>
      <xdr:colOff>219075</xdr:colOff>
      <xdr:row>82</xdr:row>
      <xdr:rowOff>171450</xdr:rowOff>
    </xdr:to>
    <xdr:sp macro="" textlink="">
      <xdr:nvSpPr>
        <xdr:cNvPr id="567" name="Line 613">
          <a:extLst>
            <a:ext uri="{FF2B5EF4-FFF2-40B4-BE49-F238E27FC236}">
              <a16:creationId xmlns:a16="http://schemas.microsoft.com/office/drawing/2014/main" id="{00000000-0008-0000-0000-000037020000}"/>
            </a:ext>
          </a:extLst>
        </xdr:cNvPr>
        <xdr:cNvSpPr>
          <a:spLocks noChangeShapeType="1"/>
        </xdr:cNvSpPr>
      </xdr:nvSpPr>
      <xdr:spPr bwMode="auto">
        <a:xfrm flipH="1">
          <a:off x="20621625" y="15849600"/>
          <a:ext cx="1428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342900</xdr:colOff>
      <xdr:row>82</xdr:row>
      <xdr:rowOff>114300</xdr:rowOff>
    </xdr:from>
    <xdr:to>
      <xdr:col>31</xdr:col>
      <xdr:colOff>438150</xdr:colOff>
      <xdr:row>82</xdr:row>
      <xdr:rowOff>114300</xdr:rowOff>
    </xdr:to>
    <xdr:sp macro="" textlink="">
      <xdr:nvSpPr>
        <xdr:cNvPr id="568" name="Line 614">
          <a:extLst>
            <a:ext uri="{FF2B5EF4-FFF2-40B4-BE49-F238E27FC236}">
              <a16:creationId xmlns:a16="http://schemas.microsoft.com/office/drawing/2014/main" id="{00000000-0008-0000-0000-000038020000}"/>
            </a:ext>
          </a:extLst>
        </xdr:cNvPr>
        <xdr:cNvSpPr>
          <a:spLocks noChangeShapeType="1"/>
        </xdr:cNvSpPr>
      </xdr:nvSpPr>
      <xdr:spPr bwMode="auto">
        <a:xfrm>
          <a:off x="21640800" y="15935325"/>
          <a:ext cx="1628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561975</xdr:colOff>
      <xdr:row>107</xdr:row>
      <xdr:rowOff>85725</xdr:rowOff>
    </xdr:from>
    <xdr:to>
      <xdr:col>28</xdr:col>
      <xdr:colOff>657225</xdr:colOff>
      <xdr:row>107</xdr:row>
      <xdr:rowOff>85725</xdr:rowOff>
    </xdr:to>
    <xdr:sp macro="" textlink="">
      <xdr:nvSpPr>
        <xdr:cNvPr id="569" name="Line 615">
          <a:extLst>
            <a:ext uri="{FF2B5EF4-FFF2-40B4-BE49-F238E27FC236}">
              <a16:creationId xmlns:a16="http://schemas.microsoft.com/office/drawing/2014/main" id="{00000000-0008-0000-0000-000039020000}"/>
            </a:ext>
          </a:extLst>
        </xdr:cNvPr>
        <xdr:cNvSpPr>
          <a:spLocks noChangeShapeType="1"/>
        </xdr:cNvSpPr>
      </xdr:nvSpPr>
      <xdr:spPr bwMode="auto">
        <a:xfrm flipH="1">
          <a:off x="20354925" y="20774025"/>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27</xdr:col>
      <xdr:colOff>590550</xdr:colOff>
      <xdr:row>107</xdr:row>
      <xdr:rowOff>28575</xdr:rowOff>
    </xdr:from>
    <xdr:to>
      <xdr:col>27</xdr:col>
      <xdr:colOff>704850</xdr:colOff>
      <xdr:row>107</xdr:row>
      <xdr:rowOff>152400</xdr:rowOff>
    </xdr:to>
    <xdr:sp macro="" textlink="">
      <xdr:nvSpPr>
        <xdr:cNvPr id="570" name="Line 616">
          <a:extLst>
            <a:ext uri="{FF2B5EF4-FFF2-40B4-BE49-F238E27FC236}">
              <a16:creationId xmlns:a16="http://schemas.microsoft.com/office/drawing/2014/main" id="{00000000-0008-0000-0000-00003A020000}"/>
            </a:ext>
          </a:extLst>
        </xdr:cNvPr>
        <xdr:cNvSpPr>
          <a:spLocks noChangeShapeType="1"/>
        </xdr:cNvSpPr>
      </xdr:nvSpPr>
      <xdr:spPr bwMode="auto">
        <a:xfrm flipH="1">
          <a:off x="20383500" y="2071687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28</xdr:col>
      <xdr:colOff>47625</xdr:colOff>
      <xdr:row>107</xdr:row>
      <xdr:rowOff>28575</xdr:rowOff>
    </xdr:from>
    <xdr:to>
      <xdr:col>28</xdr:col>
      <xdr:colOff>190500</xdr:colOff>
      <xdr:row>107</xdr:row>
      <xdr:rowOff>142875</xdr:rowOff>
    </xdr:to>
    <xdr:sp macro="" textlink="">
      <xdr:nvSpPr>
        <xdr:cNvPr id="571" name="Line 617">
          <a:extLst>
            <a:ext uri="{FF2B5EF4-FFF2-40B4-BE49-F238E27FC236}">
              <a16:creationId xmlns:a16="http://schemas.microsoft.com/office/drawing/2014/main" id="{00000000-0008-0000-0000-00003B020000}"/>
            </a:ext>
          </a:extLst>
        </xdr:cNvPr>
        <xdr:cNvSpPr>
          <a:spLocks noChangeShapeType="1"/>
        </xdr:cNvSpPr>
      </xdr:nvSpPr>
      <xdr:spPr bwMode="auto">
        <a:xfrm flipH="1">
          <a:off x="20593050" y="20716875"/>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29</xdr:col>
      <xdr:colOff>342900</xdr:colOff>
      <xdr:row>107</xdr:row>
      <xdr:rowOff>85725</xdr:rowOff>
    </xdr:from>
    <xdr:to>
      <xdr:col>31</xdr:col>
      <xdr:colOff>447675</xdr:colOff>
      <xdr:row>107</xdr:row>
      <xdr:rowOff>85725</xdr:rowOff>
    </xdr:to>
    <xdr:sp macro="" textlink="">
      <xdr:nvSpPr>
        <xdr:cNvPr id="572" name="Line 618">
          <a:extLst>
            <a:ext uri="{FF2B5EF4-FFF2-40B4-BE49-F238E27FC236}">
              <a16:creationId xmlns:a16="http://schemas.microsoft.com/office/drawing/2014/main" id="{00000000-0008-0000-0000-00003C020000}"/>
            </a:ext>
          </a:extLst>
        </xdr:cNvPr>
        <xdr:cNvSpPr>
          <a:spLocks noChangeShapeType="1"/>
        </xdr:cNvSpPr>
      </xdr:nvSpPr>
      <xdr:spPr bwMode="auto">
        <a:xfrm>
          <a:off x="21640800" y="20774025"/>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952500</xdr:colOff>
      <xdr:row>389</xdr:row>
      <xdr:rowOff>152400</xdr:rowOff>
    </xdr:from>
    <xdr:to>
      <xdr:col>2</xdr:col>
      <xdr:colOff>0</xdr:colOff>
      <xdr:row>389</xdr:row>
      <xdr:rowOff>152400</xdr:rowOff>
    </xdr:to>
    <xdr:sp macro="" textlink="">
      <xdr:nvSpPr>
        <xdr:cNvPr id="573" name="Line 619">
          <a:extLst>
            <a:ext uri="{FF2B5EF4-FFF2-40B4-BE49-F238E27FC236}">
              <a16:creationId xmlns:a16="http://schemas.microsoft.com/office/drawing/2014/main" id="{00000000-0008-0000-0000-00003D020000}"/>
            </a:ext>
          </a:extLst>
        </xdr:cNvPr>
        <xdr:cNvSpPr>
          <a:spLocks noChangeShapeType="1"/>
        </xdr:cNvSpPr>
      </xdr:nvSpPr>
      <xdr:spPr bwMode="auto">
        <a:xfrm flipH="1" flipV="1">
          <a:off x="952500" y="75085575"/>
          <a:ext cx="428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396</xdr:row>
      <xdr:rowOff>66675</xdr:rowOff>
    </xdr:from>
    <xdr:to>
      <xdr:col>2</xdr:col>
      <xdr:colOff>485775</xdr:colOff>
      <xdr:row>396</xdr:row>
      <xdr:rowOff>66675</xdr:rowOff>
    </xdr:to>
    <xdr:sp macro="" textlink="">
      <xdr:nvSpPr>
        <xdr:cNvPr id="574" name="Line 620">
          <a:extLst>
            <a:ext uri="{FF2B5EF4-FFF2-40B4-BE49-F238E27FC236}">
              <a16:creationId xmlns:a16="http://schemas.microsoft.com/office/drawing/2014/main" id="{00000000-0008-0000-0000-00003E020000}"/>
            </a:ext>
          </a:extLst>
        </xdr:cNvPr>
        <xdr:cNvSpPr>
          <a:spLocks noChangeShapeType="1"/>
        </xdr:cNvSpPr>
      </xdr:nvSpPr>
      <xdr:spPr bwMode="auto">
        <a:xfrm flipH="1">
          <a:off x="1552575" y="76371450"/>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396</xdr:row>
      <xdr:rowOff>9525</xdr:rowOff>
    </xdr:from>
    <xdr:to>
      <xdr:col>2</xdr:col>
      <xdr:colOff>504825</xdr:colOff>
      <xdr:row>396</xdr:row>
      <xdr:rowOff>123825</xdr:rowOff>
    </xdr:to>
    <xdr:sp macro="" textlink="">
      <xdr:nvSpPr>
        <xdr:cNvPr id="575" name="Line 621">
          <a:extLst>
            <a:ext uri="{FF2B5EF4-FFF2-40B4-BE49-F238E27FC236}">
              <a16:creationId xmlns:a16="http://schemas.microsoft.com/office/drawing/2014/main" id="{00000000-0008-0000-0000-00003F020000}"/>
            </a:ext>
          </a:extLst>
        </xdr:cNvPr>
        <xdr:cNvSpPr>
          <a:spLocks noChangeShapeType="1"/>
        </xdr:cNvSpPr>
      </xdr:nvSpPr>
      <xdr:spPr bwMode="auto">
        <a:xfrm flipH="1">
          <a:off x="1743075" y="7631430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387</xdr:row>
      <xdr:rowOff>47625</xdr:rowOff>
    </xdr:from>
    <xdr:to>
      <xdr:col>5</xdr:col>
      <xdr:colOff>19050</xdr:colOff>
      <xdr:row>389</xdr:row>
      <xdr:rowOff>38100</xdr:rowOff>
    </xdr:to>
    <xdr:sp macro="" textlink="">
      <xdr:nvSpPr>
        <xdr:cNvPr id="576" name="Tegning 622">
          <a:extLst>
            <a:ext uri="{FF2B5EF4-FFF2-40B4-BE49-F238E27FC236}">
              <a16:creationId xmlns:a16="http://schemas.microsoft.com/office/drawing/2014/main" id="{00000000-0008-0000-0000-000040020000}"/>
            </a:ext>
          </a:extLst>
        </xdr:cNvPr>
        <xdr:cNvSpPr>
          <a:spLocks/>
        </xdr:cNvSpPr>
      </xdr:nvSpPr>
      <xdr:spPr bwMode="auto">
        <a:xfrm>
          <a:off x="1571625" y="74599800"/>
          <a:ext cx="1104900" cy="371475"/>
        </a:xfrm>
        <a:custGeom>
          <a:avLst/>
          <a:gdLst>
            <a:gd name="T0" fmla="*/ 2147483647 w 16384"/>
            <a:gd name="T1" fmla="*/ 0 h 16384"/>
            <a:gd name="T2" fmla="*/ 2147483647 w 16384"/>
            <a:gd name="T3" fmla="*/ 0 h 16384"/>
            <a:gd name="T4" fmla="*/ 2147483647 w 16384"/>
            <a:gd name="T5" fmla="*/ 2147483647 h 16384"/>
            <a:gd name="T6" fmla="*/ 0 w 16384"/>
            <a:gd name="T7" fmla="*/ 2147483647 h 16384"/>
            <a:gd name="T8" fmla="*/ 0 w 16384"/>
            <a:gd name="T9" fmla="*/ 2147483647 h 16384"/>
            <a:gd name="T10" fmla="*/ 2147483647 w 16384"/>
            <a:gd name="T11" fmla="*/ 2147483647 h 16384"/>
            <a:gd name="T12" fmla="*/ 2147483647 w 16384"/>
            <a:gd name="T13" fmla="*/ 2147483647 h 16384"/>
            <a:gd name="T14" fmla="*/ 2147483647 w 16384"/>
            <a:gd name="T15" fmla="*/ 2147483647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238125</xdr:colOff>
      <xdr:row>389</xdr:row>
      <xdr:rowOff>85725</xdr:rowOff>
    </xdr:from>
    <xdr:to>
      <xdr:col>5</xdr:col>
      <xdr:colOff>381000</xdr:colOff>
      <xdr:row>389</xdr:row>
      <xdr:rowOff>85725</xdr:rowOff>
    </xdr:to>
    <xdr:sp macro="" textlink="">
      <xdr:nvSpPr>
        <xdr:cNvPr id="577" name="Line 623">
          <a:extLst>
            <a:ext uri="{FF2B5EF4-FFF2-40B4-BE49-F238E27FC236}">
              <a16:creationId xmlns:a16="http://schemas.microsoft.com/office/drawing/2014/main" id="{00000000-0008-0000-0000-000041020000}"/>
            </a:ext>
          </a:extLst>
        </xdr:cNvPr>
        <xdr:cNvSpPr>
          <a:spLocks noChangeShapeType="1"/>
        </xdr:cNvSpPr>
      </xdr:nvSpPr>
      <xdr:spPr bwMode="auto">
        <a:xfrm flipH="1">
          <a:off x="1619250" y="7501890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9525</xdr:colOff>
      <xdr:row>390</xdr:row>
      <xdr:rowOff>0</xdr:rowOff>
    </xdr:from>
    <xdr:to>
      <xdr:col>3</xdr:col>
      <xdr:colOff>38100</xdr:colOff>
      <xdr:row>391</xdr:row>
      <xdr:rowOff>133350</xdr:rowOff>
    </xdr:to>
    <xdr:sp macro="" textlink="">
      <xdr:nvSpPr>
        <xdr:cNvPr id="578" name="Tegning 624">
          <a:extLst>
            <a:ext uri="{FF2B5EF4-FFF2-40B4-BE49-F238E27FC236}">
              <a16:creationId xmlns:a16="http://schemas.microsoft.com/office/drawing/2014/main" id="{00000000-0008-0000-0000-000042020000}"/>
            </a:ext>
          </a:extLst>
        </xdr:cNvPr>
        <xdr:cNvSpPr>
          <a:spLocks/>
        </xdr:cNvSpPr>
      </xdr:nvSpPr>
      <xdr:spPr bwMode="auto">
        <a:xfrm>
          <a:off x="1152525" y="75133200"/>
          <a:ext cx="847725" cy="323850"/>
        </a:xfrm>
        <a:custGeom>
          <a:avLst/>
          <a:gdLst>
            <a:gd name="T0" fmla="*/ 0 w 16384"/>
            <a:gd name="T1" fmla="*/ 0 h 16384"/>
            <a:gd name="T2" fmla="*/ 2147483647 w 16384"/>
            <a:gd name="T3" fmla="*/ 0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428625</xdr:colOff>
      <xdr:row>387</xdr:row>
      <xdr:rowOff>180975</xdr:rowOff>
    </xdr:from>
    <xdr:to>
      <xdr:col>2</xdr:col>
      <xdr:colOff>428625</xdr:colOff>
      <xdr:row>396</xdr:row>
      <xdr:rowOff>152400</xdr:rowOff>
    </xdr:to>
    <xdr:sp macro="" textlink="">
      <xdr:nvSpPr>
        <xdr:cNvPr id="579" name="Line 625">
          <a:extLst>
            <a:ext uri="{FF2B5EF4-FFF2-40B4-BE49-F238E27FC236}">
              <a16:creationId xmlns:a16="http://schemas.microsoft.com/office/drawing/2014/main" id="{00000000-0008-0000-0000-000043020000}"/>
            </a:ext>
          </a:extLst>
        </xdr:cNvPr>
        <xdr:cNvSpPr>
          <a:spLocks noChangeShapeType="1"/>
        </xdr:cNvSpPr>
      </xdr:nvSpPr>
      <xdr:spPr bwMode="auto">
        <a:xfrm flipV="1">
          <a:off x="1809750" y="74733150"/>
          <a:ext cx="0" cy="1724025"/>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394</xdr:row>
      <xdr:rowOff>66675</xdr:rowOff>
    </xdr:from>
    <xdr:to>
      <xdr:col>2</xdr:col>
      <xdr:colOff>419100</xdr:colOff>
      <xdr:row>394</xdr:row>
      <xdr:rowOff>171450</xdr:rowOff>
    </xdr:to>
    <xdr:sp macro="" textlink="">
      <xdr:nvSpPr>
        <xdr:cNvPr id="580" name="Line 626">
          <a:extLst>
            <a:ext uri="{FF2B5EF4-FFF2-40B4-BE49-F238E27FC236}">
              <a16:creationId xmlns:a16="http://schemas.microsoft.com/office/drawing/2014/main" id="{00000000-0008-0000-0000-000044020000}"/>
            </a:ext>
          </a:extLst>
        </xdr:cNvPr>
        <xdr:cNvSpPr>
          <a:spLocks noChangeShapeType="1"/>
        </xdr:cNvSpPr>
      </xdr:nvSpPr>
      <xdr:spPr bwMode="auto">
        <a:xfrm flipH="1">
          <a:off x="1676400" y="75980925"/>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452438</xdr:colOff>
      <xdr:row>394</xdr:row>
      <xdr:rowOff>53974</xdr:rowOff>
    </xdr:from>
    <xdr:to>
      <xdr:col>2</xdr:col>
      <xdr:colOff>576263</xdr:colOff>
      <xdr:row>394</xdr:row>
      <xdr:rowOff>157162</xdr:rowOff>
    </xdr:to>
    <xdr:sp macro="" textlink="">
      <xdr:nvSpPr>
        <xdr:cNvPr id="581" name="Line 627">
          <a:extLst>
            <a:ext uri="{FF2B5EF4-FFF2-40B4-BE49-F238E27FC236}">
              <a16:creationId xmlns:a16="http://schemas.microsoft.com/office/drawing/2014/main" id="{00000000-0008-0000-0000-000045020000}"/>
            </a:ext>
          </a:extLst>
        </xdr:cNvPr>
        <xdr:cNvSpPr>
          <a:spLocks noChangeShapeType="1"/>
        </xdr:cNvSpPr>
      </xdr:nvSpPr>
      <xdr:spPr bwMode="auto">
        <a:xfrm flipH="1">
          <a:off x="1833563" y="76111099"/>
          <a:ext cx="123825" cy="103188"/>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390</xdr:row>
      <xdr:rowOff>76200</xdr:rowOff>
    </xdr:from>
    <xdr:to>
      <xdr:col>2</xdr:col>
      <xdr:colOff>342900</xdr:colOff>
      <xdr:row>394</xdr:row>
      <xdr:rowOff>152400</xdr:rowOff>
    </xdr:to>
    <xdr:sp macro="" textlink="">
      <xdr:nvSpPr>
        <xdr:cNvPr id="582" name="Line 628">
          <a:extLst>
            <a:ext uri="{FF2B5EF4-FFF2-40B4-BE49-F238E27FC236}">
              <a16:creationId xmlns:a16="http://schemas.microsoft.com/office/drawing/2014/main" id="{00000000-0008-0000-0000-000046020000}"/>
            </a:ext>
          </a:extLst>
        </xdr:cNvPr>
        <xdr:cNvSpPr>
          <a:spLocks noChangeShapeType="1"/>
        </xdr:cNvSpPr>
      </xdr:nvSpPr>
      <xdr:spPr bwMode="auto">
        <a:xfrm>
          <a:off x="1724025" y="75209400"/>
          <a:ext cx="0" cy="857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392</xdr:row>
      <xdr:rowOff>28575</xdr:rowOff>
    </xdr:from>
    <xdr:to>
      <xdr:col>2</xdr:col>
      <xdr:colOff>504825</xdr:colOff>
      <xdr:row>394</xdr:row>
      <xdr:rowOff>152400</xdr:rowOff>
    </xdr:to>
    <xdr:sp macro="" textlink="">
      <xdr:nvSpPr>
        <xdr:cNvPr id="583" name="Line 629">
          <a:extLst>
            <a:ext uri="{FF2B5EF4-FFF2-40B4-BE49-F238E27FC236}">
              <a16:creationId xmlns:a16="http://schemas.microsoft.com/office/drawing/2014/main" id="{00000000-0008-0000-0000-000047020000}"/>
            </a:ext>
          </a:extLst>
        </xdr:cNvPr>
        <xdr:cNvSpPr>
          <a:spLocks noChangeShapeType="1"/>
        </xdr:cNvSpPr>
      </xdr:nvSpPr>
      <xdr:spPr bwMode="auto">
        <a:xfrm>
          <a:off x="1885950" y="75695175"/>
          <a:ext cx="0" cy="514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389</xdr:row>
      <xdr:rowOff>123825</xdr:rowOff>
    </xdr:from>
    <xdr:to>
      <xdr:col>2</xdr:col>
      <xdr:colOff>219075</xdr:colOff>
      <xdr:row>395</xdr:row>
      <xdr:rowOff>152400</xdr:rowOff>
    </xdr:to>
    <xdr:sp macro="" textlink="">
      <xdr:nvSpPr>
        <xdr:cNvPr id="584" name="Line 630">
          <a:extLst>
            <a:ext uri="{FF2B5EF4-FFF2-40B4-BE49-F238E27FC236}">
              <a16:creationId xmlns:a16="http://schemas.microsoft.com/office/drawing/2014/main" id="{00000000-0008-0000-0000-000048020000}"/>
            </a:ext>
          </a:extLst>
        </xdr:cNvPr>
        <xdr:cNvSpPr>
          <a:spLocks noChangeShapeType="1"/>
        </xdr:cNvSpPr>
      </xdr:nvSpPr>
      <xdr:spPr bwMode="auto">
        <a:xfrm>
          <a:off x="1600200" y="75057000"/>
          <a:ext cx="0" cy="1200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395</xdr:row>
      <xdr:rowOff>47625</xdr:rowOff>
    </xdr:from>
    <xdr:to>
      <xdr:col>2</xdr:col>
      <xdr:colOff>514350</xdr:colOff>
      <xdr:row>395</xdr:row>
      <xdr:rowOff>133350</xdr:rowOff>
    </xdr:to>
    <xdr:sp macro="" textlink="">
      <xdr:nvSpPr>
        <xdr:cNvPr id="585" name="Line 631">
          <a:extLst>
            <a:ext uri="{FF2B5EF4-FFF2-40B4-BE49-F238E27FC236}">
              <a16:creationId xmlns:a16="http://schemas.microsoft.com/office/drawing/2014/main" id="{00000000-0008-0000-0000-000049020000}"/>
            </a:ext>
          </a:extLst>
        </xdr:cNvPr>
        <xdr:cNvSpPr>
          <a:spLocks noChangeShapeType="1"/>
        </xdr:cNvSpPr>
      </xdr:nvSpPr>
      <xdr:spPr bwMode="auto">
        <a:xfrm flipH="1">
          <a:off x="1771650" y="76152375"/>
          <a:ext cx="1238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395</xdr:row>
      <xdr:rowOff>38100</xdr:rowOff>
    </xdr:from>
    <xdr:to>
      <xdr:col>2</xdr:col>
      <xdr:colOff>285750</xdr:colOff>
      <xdr:row>395</xdr:row>
      <xdr:rowOff>152400</xdr:rowOff>
    </xdr:to>
    <xdr:sp macro="" textlink="">
      <xdr:nvSpPr>
        <xdr:cNvPr id="586" name="Line 632">
          <a:extLst>
            <a:ext uri="{FF2B5EF4-FFF2-40B4-BE49-F238E27FC236}">
              <a16:creationId xmlns:a16="http://schemas.microsoft.com/office/drawing/2014/main" id="{00000000-0008-0000-0000-00004A020000}"/>
            </a:ext>
          </a:extLst>
        </xdr:cNvPr>
        <xdr:cNvSpPr>
          <a:spLocks noChangeShapeType="1"/>
        </xdr:cNvSpPr>
      </xdr:nvSpPr>
      <xdr:spPr bwMode="auto">
        <a:xfrm flipH="1">
          <a:off x="1524000" y="7614285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133350</xdr:colOff>
      <xdr:row>386</xdr:row>
      <xdr:rowOff>19050</xdr:rowOff>
    </xdr:from>
    <xdr:to>
      <xdr:col>5</xdr:col>
      <xdr:colOff>409575</xdr:colOff>
      <xdr:row>389</xdr:row>
      <xdr:rowOff>142875</xdr:rowOff>
    </xdr:to>
    <xdr:sp macro="" textlink="">
      <xdr:nvSpPr>
        <xdr:cNvPr id="587" name="Tegning 633">
          <a:extLst>
            <a:ext uri="{FF2B5EF4-FFF2-40B4-BE49-F238E27FC236}">
              <a16:creationId xmlns:a16="http://schemas.microsoft.com/office/drawing/2014/main" id="{00000000-0008-0000-0000-00004B020000}"/>
            </a:ext>
          </a:extLst>
        </xdr:cNvPr>
        <xdr:cNvSpPr>
          <a:spLocks/>
        </xdr:cNvSpPr>
      </xdr:nvSpPr>
      <xdr:spPr bwMode="auto">
        <a:xfrm>
          <a:off x="1514475" y="74380725"/>
          <a:ext cx="1552575" cy="695325"/>
        </a:xfrm>
        <a:custGeom>
          <a:avLst/>
          <a:gdLst>
            <a:gd name="T0" fmla="*/ 2147483647 w 16384"/>
            <a:gd name="T1" fmla="*/ 2147483647 h 16384"/>
            <a:gd name="T2" fmla="*/ 0 w 16384"/>
            <a:gd name="T3" fmla="*/ 2147483647 h 16384"/>
            <a:gd name="T4" fmla="*/ 0 w 16384"/>
            <a:gd name="T5" fmla="*/ 2147483647 h 16384"/>
            <a:gd name="T6" fmla="*/ 2147483647 w 16384"/>
            <a:gd name="T7" fmla="*/ 2147483647 h 16384"/>
            <a:gd name="T8" fmla="*/ 2147483647 w 16384"/>
            <a:gd name="T9" fmla="*/ 0 h 16384"/>
            <a:gd name="T10" fmla="*/ 2147483647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386</xdr:row>
      <xdr:rowOff>76200</xdr:rowOff>
    </xdr:from>
    <xdr:to>
      <xdr:col>5</xdr:col>
      <xdr:colOff>381000</xdr:colOff>
      <xdr:row>386</xdr:row>
      <xdr:rowOff>76200</xdr:rowOff>
    </xdr:to>
    <xdr:sp macro="" textlink="">
      <xdr:nvSpPr>
        <xdr:cNvPr id="588" name="Line 634">
          <a:extLst>
            <a:ext uri="{FF2B5EF4-FFF2-40B4-BE49-F238E27FC236}">
              <a16:creationId xmlns:a16="http://schemas.microsoft.com/office/drawing/2014/main" id="{00000000-0008-0000-0000-00004C020000}"/>
            </a:ext>
          </a:extLst>
        </xdr:cNvPr>
        <xdr:cNvSpPr>
          <a:spLocks noChangeShapeType="1"/>
        </xdr:cNvSpPr>
      </xdr:nvSpPr>
      <xdr:spPr bwMode="auto">
        <a:xfrm>
          <a:off x="2181225" y="74437875"/>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381</xdr:row>
      <xdr:rowOff>76200</xdr:rowOff>
    </xdr:from>
    <xdr:to>
      <xdr:col>5</xdr:col>
      <xdr:colOff>704850</xdr:colOff>
      <xdr:row>389</xdr:row>
      <xdr:rowOff>47625</xdr:rowOff>
    </xdr:to>
    <xdr:sp macro="" textlink="">
      <xdr:nvSpPr>
        <xdr:cNvPr id="589" name="Tegning 635">
          <a:extLst>
            <a:ext uri="{FF2B5EF4-FFF2-40B4-BE49-F238E27FC236}">
              <a16:creationId xmlns:a16="http://schemas.microsoft.com/office/drawing/2014/main" id="{00000000-0008-0000-0000-00004D020000}"/>
            </a:ext>
          </a:extLst>
        </xdr:cNvPr>
        <xdr:cNvSpPr>
          <a:spLocks/>
        </xdr:cNvSpPr>
      </xdr:nvSpPr>
      <xdr:spPr bwMode="auto">
        <a:xfrm>
          <a:off x="1266825" y="73475850"/>
          <a:ext cx="2095500" cy="150495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xdr:col>
      <xdr:colOff>38100</xdr:colOff>
      <xdr:row>386</xdr:row>
      <xdr:rowOff>171450</xdr:rowOff>
    </xdr:from>
    <xdr:to>
      <xdr:col>2</xdr:col>
      <xdr:colOff>76200</xdr:colOff>
      <xdr:row>386</xdr:row>
      <xdr:rowOff>171450</xdr:rowOff>
    </xdr:to>
    <xdr:sp macro="" textlink="">
      <xdr:nvSpPr>
        <xdr:cNvPr id="590" name="Line 636">
          <a:extLst>
            <a:ext uri="{FF2B5EF4-FFF2-40B4-BE49-F238E27FC236}">
              <a16:creationId xmlns:a16="http://schemas.microsoft.com/office/drawing/2014/main" id="{00000000-0008-0000-0000-00004E020000}"/>
            </a:ext>
          </a:extLst>
        </xdr:cNvPr>
        <xdr:cNvSpPr>
          <a:spLocks noChangeShapeType="1"/>
        </xdr:cNvSpPr>
      </xdr:nvSpPr>
      <xdr:spPr bwMode="auto">
        <a:xfrm flipH="1">
          <a:off x="1181100" y="74533125"/>
          <a:ext cx="276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47625</xdr:colOff>
      <xdr:row>386</xdr:row>
      <xdr:rowOff>114300</xdr:rowOff>
    </xdr:from>
    <xdr:to>
      <xdr:col>1</xdr:col>
      <xdr:colOff>200025</xdr:colOff>
      <xdr:row>387</xdr:row>
      <xdr:rowOff>47625</xdr:rowOff>
    </xdr:to>
    <xdr:sp macro="" textlink="">
      <xdr:nvSpPr>
        <xdr:cNvPr id="591" name="Line 637">
          <a:extLst>
            <a:ext uri="{FF2B5EF4-FFF2-40B4-BE49-F238E27FC236}">
              <a16:creationId xmlns:a16="http://schemas.microsoft.com/office/drawing/2014/main" id="{00000000-0008-0000-0000-00004F020000}"/>
            </a:ext>
          </a:extLst>
        </xdr:cNvPr>
        <xdr:cNvSpPr>
          <a:spLocks noChangeShapeType="1"/>
        </xdr:cNvSpPr>
      </xdr:nvSpPr>
      <xdr:spPr bwMode="auto">
        <a:xfrm flipH="1">
          <a:off x="1190625" y="74475975"/>
          <a:ext cx="1524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389</xdr:row>
      <xdr:rowOff>38100</xdr:rowOff>
    </xdr:from>
    <xdr:to>
      <xdr:col>2</xdr:col>
      <xdr:colOff>76200</xdr:colOff>
      <xdr:row>389</xdr:row>
      <xdr:rowOff>38100</xdr:rowOff>
    </xdr:to>
    <xdr:sp macro="" textlink="">
      <xdr:nvSpPr>
        <xdr:cNvPr id="592" name="Line 638">
          <a:extLst>
            <a:ext uri="{FF2B5EF4-FFF2-40B4-BE49-F238E27FC236}">
              <a16:creationId xmlns:a16="http://schemas.microsoft.com/office/drawing/2014/main" id="{00000000-0008-0000-0000-000050020000}"/>
            </a:ext>
          </a:extLst>
        </xdr:cNvPr>
        <xdr:cNvSpPr>
          <a:spLocks noChangeShapeType="1"/>
        </xdr:cNvSpPr>
      </xdr:nvSpPr>
      <xdr:spPr bwMode="auto">
        <a:xfrm flipH="1">
          <a:off x="1171575" y="74971275"/>
          <a:ext cx="285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388</xdr:row>
      <xdr:rowOff>171450</xdr:rowOff>
    </xdr:from>
    <xdr:to>
      <xdr:col>1</xdr:col>
      <xdr:colOff>209550</xdr:colOff>
      <xdr:row>389</xdr:row>
      <xdr:rowOff>104775</xdr:rowOff>
    </xdr:to>
    <xdr:sp macro="" textlink="">
      <xdr:nvSpPr>
        <xdr:cNvPr id="593" name="Line 639">
          <a:extLst>
            <a:ext uri="{FF2B5EF4-FFF2-40B4-BE49-F238E27FC236}">
              <a16:creationId xmlns:a16="http://schemas.microsoft.com/office/drawing/2014/main" id="{00000000-0008-0000-0000-000051020000}"/>
            </a:ext>
          </a:extLst>
        </xdr:cNvPr>
        <xdr:cNvSpPr>
          <a:spLocks noChangeShapeType="1"/>
        </xdr:cNvSpPr>
      </xdr:nvSpPr>
      <xdr:spPr bwMode="auto">
        <a:xfrm flipH="1">
          <a:off x="1171575" y="74914125"/>
          <a:ext cx="1809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390</xdr:row>
      <xdr:rowOff>28575</xdr:rowOff>
    </xdr:from>
    <xdr:to>
      <xdr:col>2</xdr:col>
      <xdr:colOff>552450</xdr:colOff>
      <xdr:row>392</xdr:row>
      <xdr:rowOff>161925</xdr:rowOff>
    </xdr:to>
    <xdr:sp macro="" textlink="">
      <xdr:nvSpPr>
        <xdr:cNvPr id="594" name="Tegning 640">
          <a:extLst>
            <a:ext uri="{FF2B5EF4-FFF2-40B4-BE49-F238E27FC236}">
              <a16:creationId xmlns:a16="http://schemas.microsoft.com/office/drawing/2014/main" id="{00000000-0008-0000-0000-000052020000}"/>
            </a:ext>
          </a:extLst>
        </xdr:cNvPr>
        <xdr:cNvSpPr>
          <a:spLocks/>
        </xdr:cNvSpPr>
      </xdr:nvSpPr>
      <xdr:spPr bwMode="auto">
        <a:xfrm>
          <a:off x="1676400" y="75161775"/>
          <a:ext cx="257175" cy="523875"/>
        </a:xfrm>
        <a:custGeom>
          <a:avLst/>
          <a:gdLst>
            <a:gd name="T0" fmla="*/ 2147483647 w 16384"/>
            <a:gd name="T1" fmla="*/ 2147483647 h 16384"/>
            <a:gd name="T2" fmla="*/ 2147483647 w 16384"/>
            <a:gd name="T3" fmla="*/ 0 h 16384"/>
            <a:gd name="T4" fmla="*/ 0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395</xdr:row>
      <xdr:rowOff>171450</xdr:rowOff>
    </xdr:from>
    <xdr:to>
      <xdr:col>2</xdr:col>
      <xdr:colOff>266700</xdr:colOff>
      <xdr:row>396</xdr:row>
      <xdr:rowOff>161925</xdr:rowOff>
    </xdr:to>
    <xdr:sp macro="" textlink="">
      <xdr:nvSpPr>
        <xdr:cNvPr id="595" name="Tegning 641">
          <a:extLst>
            <a:ext uri="{FF2B5EF4-FFF2-40B4-BE49-F238E27FC236}">
              <a16:creationId xmlns:a16="http://schemas.microsoft.com/office/drawing/2014/main" id="{00000000-0008-0000-0000-000053020000}"/>
            </a:ext>
          </a:extLst>
        </xdr:cNvPr>
        <xdr:cNvSpPr>
          <a:spLocks/>
        </xdr:cNvSpPr>
      </xdr:nvSpPr>
      <xdr:spPr bwMode="auto">
        <a:xfrm>
          <a:off x="1552575" y="76276200"/>
          <a:ext cx="95250" cy="1905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981075</xdr:colOff>
      <xdr:row>389</xdr:row>
      <xdr:rowOff>95250</xdr:rowOff>
    </xdr:from>
    <xdr:to>
      <xdr:col>2</xdr:col>
      <xdr:colOff>9525</xdr:colOff>
      <xdr:row>389</xdr:row>
      <xdr:rowOff>95250</xdr:rowOff>
    </xdr:to>
    <xdr:sp macro="" textlink="">
      <xdr:nvSpPr>
        <xdr:cNvPr id="596" name="Line 642">
          <a:extLst>
            <a:ext uri="{FF2B5EF4-FFF2-40B4-BE49-F238E27FC236}">
              <a16:creationId xmlns:a16="http://schemas.microsoft.com/office/drawing/2014/main" id="{00000000-0008-0000-0000-000054020000}"/>
            </a:ext>
          </a:extLst>
        </xdr:cNvPr>
        <xdr:cNvSpPr>
          <a:spLocks noChangeShapeType="1"/>
        </xdr:cNvSpPr>
      </xdr:nvSpPr>
      <xdr:spPr bwMode="auto">
        <a:xfrm flipH="1">
          <a:off x="981075" y="75028425"/>
          <a:ext cx="409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389</xdr:row>
      <xdr:rowOff>47625</xdr:rowOff>
    </xdr:from>
    <xdr:to>
      <xdr:col>0</xdr:col>
      <xdr:colOff>1019175</xdr:colOff>
      <xdr:row>391</xdr:row>
      <xdr:rowOff>142875</xdr:rowOff>
    </xdr:to>
    <xdr:sp macro="" textlink="">
      <xdr:nvSpPr>
        <xdr:cNvPr id="597" name="Line 643">
          <a:extLst>
            <a:ext uri="{FF2B5EF4-FFF2-40B4-BE49-F238E27FC236}">
              <a16:creationId xmlns:a16="http://schemas.microsoft.com/office/drawing/2014/main" id="{00000000-0008-0000-0000-000055020000}"/>
            </a:ext>
          </a:extLst>
        </xdr:cNvPr>
        <xdr:cNvSpPr>
          <a:spLocks noChangeShapeType="1"/>
        </xdr:cNvSpPr>
      </xdr:nvSpPr>
      <xdr:spPr bwMode="auto">
        <a:xfrm>
          <a:off x="1019175" y="74980800"/>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962025</xdr:colOff>
      <xdr:row>389</xdr:row>
      <xdr:rowOff>47625</xdr:rowOff>
    </xdr:from>
    <xdr:to>
      <xdr:col>0</xdr:col>
      <xdr:colOff>1066800</xdr:colOff>
      <xdr:row>389</xdr:row>
      <xdr:rowOff>142875</xdr:rowOff>
    </xdr:to>
    <xdr:sp macro="" textlink="">
      <xdr:nvSpPr>
        <xdr:cNvPr id="598" name="Line 644">
          <a:extLst>
            <a:ext uri="{FF2B5EF4-FFF2-40B4-BE49-F238E27FC236}">
              <a16:creationId xmlns:a16="http://schemas.microsoft.com/office/drawing/2014/main" id="{00000000-0008-0000-0000-000056020000}"/>
            </a:ext>
          </a:extLst>
        </xdr:cNvPr>
        <xdr:cNvSpPr>
          <a:spLocks noChangeShapeType="1"/>
        </xdr:cNvSpPr>
      </xdr:nvSpPr>
      <xdr:spPr bwMode="auto">
        <a:xfrm flipH="1">
          <a:off x="962025" y="74980800"/>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962025</xdr:colOff>
      <xdr:row>389</xdr:row>
      <xdr:rowOff>104775</xdr:rowOff>
    </xdr:from>
    <xdr:to>
      <xdr:col>0</xdr:col>
      <xdr:colOff>1066800</xdr:colOff>
      <xdr:row>390</xdr:row>
      <xdr:rowOff>19050</xdr:rowOff>
    </xdr:to>
    <xdr:sp macro="" textlink="">
      <xdr:nvSpPr>
        <xdr:cNvPr id="599" name="Line 645">
          <a:extLst>
            <a:ext uri="{FF2B5EF4-FFF2-40B4-BE49-F238E27FC236}">
              <a16:creationId xmlns:a16="http://schemas.microsoft.com/office/drawing/2014/main" id="{00000000-0008-0000-0000-000057020000}"/>
            </a:ext>
          </a:extLst>
        </xdr:cNvPr>
        <xdr:cNvSpPr>
          <a:spLocks noChangeShapeType="1"/>
        </xdr:cNvSpPr>
      </xdr:nvSpPr>
      <xdr:spPr bwMode="auto">
        <a:xfrm flipH="1">
          <a:off x="962025" y="75037950"/>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13</xdr:col>
          <xdr:colOff>28575</xdr:colOff>
          <xdr:row>70</xdr:row>
          <xdr:rowOff>0</xdr:rowOff>
        </xdr:from>
        <xdr:to>
          <xdr:col>14</xdr:col>
          <xdr:colOff>533400</xdr:colOff>
          <xdr:row>71</xdr:row>
          <xdr:rowOff>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 centerafst.</a:t>
              </a:r>
            </a:p>
          </xdr:txBody>
        </xdr:sp>
        <xdr:clientData fLocksWithSheet="0" fPrintsWithSheet="0"/>
      </xdr:twoCellAnchor>
    </mc:Choice>
    <mc:Fallback/>
  </mc:AlternateContent>
  <xdr:twoCellAnchor>
    <xdr:from>
      <xdr:col>2</xdr:col>
      <xdr:colOff>171450</xdr:colOff>
      <xdr:row>424</xdr:row>
      <xdr:rowOff>85725</xdr:rowOff>
    </xdr:from>
    <xdr:to>
      <xdr:col>2</xdr:col>
      <xdr:colOff>485775</xdr:colOff>
      <xdr:row>424</xdr:row>
      <xdr:rowOff>85725</xdr:rowOff>
    </xdr:to>
    <xdr:sp macro="" textlink="">
      <xdr:nvSpPr>
        <xdr:cNvPr id="601" name="Line 647">
          <a:extLst>
            <a:ext uri="{FF2B5EF4-FFF2-40B4-BE49-F238E27FC236}">
              <a16:creationId xmlns:a16="http://schemas.microsoft.com/office/drawing/2014/main" id="{00000000-0008-0000-0000-000059020000}"/>
            </a:ext>
          </a:extLst>
        </xdr:cNvPr>
        <xdr:cNvSpPr>
          <a:spLocks noChangeShapeType="1"/>
        </xdr:cNvSpPr>
      </xdr:nvSpPr>
      <xdr:spPr bwMode="auto">
        <a:xfrm flipH="1">
          <a:off x="1552575" y="81791175"/>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424</xdr:row>
      <xdr:rowOff>19050</xdr:rowOff>
    </xdr:from>
    <xdr:to>
      <xdr:col>2</xdr:col>
      <xdr:colOff>504825</xdr:colOff>
      <xdr:row>424</xdr:row>
      <xdr:rowOff>142875</xdr:rowOff>
    </xdr:to>
    <xdr:sp macro="" textlink="">
      <xdr:nvSpPr>
        <xdr:cNvPr id="602" name="Line 648">
          <a:extLst>
            <a:ext uri="{FF2B5EF4-FFF2-40B4-BE49-F238E27FC236}">
              <a16:creationId xmlns:a16="http://schemas.microsoft.com/office/drawing/2014/main" id="{00000000-0008-0000-0000-00005A020000}"/>
            </a:ext>
          </a:extLst>
        </xdr:cNvPr>
        <xdr:cNvSpPr>
          <a:spLocks noChangeShapeType="1"/>
        </xdr:cNvSpPr>
      </xdr:nvSpPr>
      <xdr:spPr bwMode="auto">
        <a:xfrm flipH="1">
          <a:off x="1762125" y="81724500"/>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228600</xdr:colOff>
      <xdr:row>419</xdr:row>
      <xdr:rowOff>85725</xdr:rowOff>
    </xdr:from>
    <xdr:to>
      <xdr:col>5</xdr:col>
      <xdr:colOff>371475</xdr:colOff>
      <xdr:row>419</xdr:row>
      <xdr:rowOff>85725</xdr:rowOff>
    </xdr:to>
    <xdr:sp macro="" textlink="">
      <xdr:nvSpPr>
        <xdr:cNvPr id="603" name="Line 649">
          <a:extLst>
            <a:ext uri="{FF2B5EF4-FFF2-40B4-BE49-F238E27FC236}">
              <a16:creationId xmlns:a16="http://schemas.microsoft.com/office/drawing/2014/main" id="{00000000-0008-0000-0000-00005B020000}"/>
            </a:ext>
          </a:extLst>
        </xdr:cNvPr>
        <xdr:cNvSpPr>
          <a:spLocks noChangeShapeType="1"/>
        </xdr:cNvSpPr>
      </xdr:nvSpPr>
      <xdr:spPr bwMode="auto">
        <a:xfrm flipH="1">
          <a:off x="1609725" y="8082915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420</xdr:row>
      <xdr:rowOff>28575</xdr:rowOff>
    </xdr:from>
    <xdr:to>
      <xdr:col>3</xdr:col>
      <xdr:colOff>28575</xdr:colOff>
      <xdr:row>421</xdr:row>
      <xdr:rowOff>209550</xdr:rowOff>
    </xdr:to>
    <xdr:sp macro="" textlink="">
      <xdr:nvSpPr>
        <xdr:cNvPr id="604" name="Tegning 650">
          <a:extLst>
            <a:ext uri="{FF2B5EF4-FFF2-40B4-BE49-F238E27FC236}">
              <a16:creationId xmlns:a16="http://schemas.microsoft.com/office/drawing/2014/main" id="{00000000-0008-0000-0000-00005C020000}"/>
            </a:ext>
          </a:extLst>
        </xdr:cNvPr>
        <xdr:cNvSpPr>
          <a:spLocks/>
        </xdr:cNvSpPr>
      </xdr:nvSpPr>
      <xdr:spPr bwMode="auto">
        <a:xfrm>
          <a:off x="1143000" y="80972025"/>
          <a:ext cx="847725" cy="352425"/>
        </a:xfrm>
        <a:custGeom>
          <a:avLst/>
          <a:gdLst>
            <a:gd name="T0" fmla="*/ 0 w 16384"/>
            <a:gd name="T1" fmla="*/ 0 h 16384"/>
            <a:gd name="T2" fmla="*/ 2147483647 w 16384"/>
            <a:gd name="T3" fmla="*/ 0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438150</xdr:colOff>
      <xdr:row>417</xdr:row>
      <xdr:rowOff>209550</xdr:rowOff>
    </xdr:from>
    <xdr:to>
      <xdr:col>2</xdr:col>
      <xdr:colOff>438150</xdr:colOff>
      <xdr:row>424</xdr:row>
      <xdr:rowOff>209550</xdr:rowOff>
    </xdr:to>
    <xdr:sp macro="" textlink="">
      <xdr:nvSpPr>
        <xdr:cNvPr id="605" name="Line 651">
          <a:extLst>
            <a:ext uri="{FF2B5EF4-FFF2-40B4-BE49-F238E27FC236}">
              <a16:creationId xmlns:a16="http://schemas.microsoft.com/office/drawing/2014/main" id="{00000000-0008-0000-0000-00005D020000}"/>
            </a:ext>
          </a:extLst>
        </xdr:cNvPr>
        <xdr:cNvSpPr>
          <a:spLocks noChangeShapeType="1"/>
        </xdr:cNvSpPr>
      </xdr:nvSpPr>
      <xdr:spPr bwMode="auto">
        <a:xfrm flipV="1">
          <a:off x="1819275" y="80552925"/>
          <a:ext cx="0" cy="1343025"/>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422</xdr:row>
      <xdr:rowOff>76200</xdr:rowOff>
    </xdr:from>
    <xdr:to>
      <xdr:col>2</xdr:col>
      <xdr:colOff>381000</xdr:colOff>
      <xdr:row>422</xdr:row>
      <xdr:rowOff>180975</xdr:rowOff>
    </xdr:to>
    <xdr:sp macro="" textlink="">
      <xdr:nvSpPr>
        <xdr:cNvPr id="606" name="Line 652">
          <a:extLst>
            <a:ext uri="{FF2B5EF4-FFF2-40B4-BE49-F238E27FC236}">
              <a16:creationId xmlns:a16="http://schemas.microsoft.com/office/drawing/2014/main" id="{00000000-0008-0000-0000-00005E020000}"/>
            </a:ext>
          </a:extLst>
        </xdr:cNvPr>
        <xdr:cNvSpPr>
          <a:spLocks noChangeShapeType="1"/>
        </xdr:cNvSpPr>
      </xdr:nvSpPr>
      <xdr:spPr bwMode="auto">
        <a:xfrm flipH="1">
          <a:off x="1638300" y="81400650"/>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422</xdr:row>
      <xdr:rowOff>57150</xdr:rowOff>
    </xdr:from>
    <xdr:to>
      <xdr:col>3</xdr:col>
      <xdr:colOff>19050</xdr:colOff>
      <xdr:row>422</xdr:row>
      <xdr:rowOff>171450</xdr:rowOff>
    </xdr:to>
    <xdr:sp macro="" textlink="">
      <xdr:nvSpPr>
        <xdr:cNvPr id="607" name="Line 653">
          <a:extLst>
            <a:ext uri="{FF2B5EF4-FFF2-40B4-BE49-F238E27FC236}">
              <a16:creationId xmlns:a16="http://schemas.microsoft.com/office/drawing/2014/main" id="{00000000-0008-0000-0000-00005F020000}"/>
            </a:ext>
          </a:extLst>
        </xdr:cNvPr>
        <xdr:cNvSpPr>
          <a:spLocks noChangeShapeType="1"/>
        </xdr:cNvSpPr>
      </xdr:nvSpPr>
      <xdr:spPr bwMode="auto">
        <a:xfrm flipH="1">
          <a:off x="1847850" y="8138160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419</xdr:row>
      <xdr:rowOff>161925</xdr:rowOff>
    </xdr:from>
    <xdr:to>
      <xdr:col>2</xdr:col>
      <xdr:colOff>219075</xdr:colOff>
      <xdr:row>423</xdr:row>
      <xdr:rowOff>161925</xdr:rowOff>
    </xdr:to>
    <xdr:sp macro="" textlink="">
      <xdr:nvSpPr>
        <xdr:cNvPr id="608" name="Line 654">
          <a:extLst>
            <a:ext uri="{FF2B5EF4-FFF2-40B4-BE49-F238E27FC236}">
              <a16:creationId xmlns:a16="http://schemas.microsoft.com/office/drawing/2014/main" id="{00000000-0008-0000-0000-000060020000}"/>
            </a:ext>
          </a:extLst>
        </xdr:cNvPr>
        <xdr:cNvSpPr>
          <a:spLocks noChangeShapeType="1"/>
        </xdr:cNvSpPr>
      </xdr:nvSpPr>
      <xdr:spPr bwMode="auto">
        <a:xfrm>
          <a:off x="1600200" y="8090535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423</xdr:row>
      <xdr:rowOff>47625</xdr:rowOff>
    </xdr:from>
    <xdr:to>
      <xdr:col>2</xdr:col>
      <xdr:colOff>495300</xdr:colOff>
      <xdr:row>423</xdr:row>
      <xdr:rowOff>161925</xdr:rowOff>
    </xdr:to>
    <xdr:sp macro="" textlink="">
      <xdr:nvSpPr>
        <xdr:cNvPr id="609" name="Line 655">
          <a:extLst>
            <a:ext uri="{FF2B5EF4-FFF2-40B4-BE49-F238E27FC236}">
              <a16:creationId xmlns:a16="http://schemas.microsoft.com/office/drawing/2014/main" id="{00000000-0008-0000-0000-000061020000}"/>
            </a:ext>
          </a:extLst>
        </xdr:cNvPr>
        <xdr:cNvSpPr>
          <a:spLocks noChangeShapeType="1"/>
        </xdr:cNvSpPr>
      </xdr:nvSpPr>
      <xdr:spPr bwMode="auto">
        <a:xfrm flipH="1">
          <a:off x="1752600" y="81562575"/>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423</xdr:row>
      <xdr:rowOff>47625</xdr:rowOff>
    </xdr:from>
    <xdr:to>
      <xdr:col>2</xdr:col>
      <xdr:colOff>285750</xdr:colOff>
      <xdr:row>423</xdr:row>
      <xdr:rowOff>190500</xdr:rowOff>
    </xdr:to>
    <xdr:sp macro="" textlink="">
      <xdr:nvSpPr>
        <xdr:cNvPr id="610" name="Line 656">
          <a:extLst>
            <a:ext uri="{FF2B5EF4-FFF2-40B4-BE49-F238E27FC236}">
              <a16:creationId xmlns:a16="http://schemas.microsoft.com/office/drawing/2014/main" id="{00000000-0008-0000-0000-000062020000}"/>
            </a:ext>
          </a:extLst>
        </xdr:cNvPr>
        <xdr:cNvSpPr>
          <a:spLocks noChangeShapeType="1"/>
        </xdr:cNvSpPr>
      </xdr:nvSpPr>
      <xdr:spPr bwMode="auto">
        <a:xfrm flipH="1">
          <a:off x="1524000" y="81562575"/>
          <a:ext cx="1428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416</xdr:row>
      <xdr:rowOff>28575</xdr:rowOff>
    </xdr:from>
    <xdr:to>
      <xdr:col>5</xdr:col>
      <xdr:colOff>400050</xdr:colOff>
      <xdr:row>419</xdr:row>
      <xdr:rowOff>171450</xdr:rowOff>
    </xdr:to>
    <xdr:sp macro="" textlink="">
      <xdr:nvSpPr>
        <xdr:cNvPr id="611" name="Tegning 657">
          <a:extLst>
            <a:ext uri="{FF2B5EF4-FFF2-40B4-BE49-F238E27FC236}">
              <a16:creationId xmlns:a16="http://schemas.microsoft.com/office/drawing/2014/main" id="{00000000-0008-0000-0000-000063020000}"/>
            </a:ext>
          </a:extLst>
        </xdr:cNvPr>
        <xdr:cNvSpPr>
          <a:spLocks/>
        </xdr:cNvSpPr>
      </xdr:nvSpPr>
      <xdr:spPr bwMode="auto">
        <a:xfrm>
          <a:off x="1524000" y="80200500"/>
          <a:ext cx="1533525" cy="714375"/>
        </a:xfrm>
        <a:custGeom>
          <a:avLst/>
          <a:gdLst>
            <a:gd name="T0" fmla="*/ 2147483647 w 16384"/>
            <a:gd name="T1" fmla="*/ 2147483647 h 16384"/>
            <a:gd name="T2" fmla="*/ 0 w 16384"/>
            <a:gd name="T3" fmla="*/ 2147483647 h 16384"/>
            <a:gd name="T4" fmla="*/ 0 w 16384"/>
            <a:gd name="T5" fmla="*/ 2147483647 h 16384"/>
            <a:gd name="T6" fmla="*/ 2147483647 w 16384"/>
            <a:gd name="T7" fmla="*/ 2147483647 h 16384"/>
            <a:gd name="T8" fmla="*/ 2147483647 w 16384"/>
            <a:gd name="T9" fmla="*/ 0 h 16384"/>
            <a:gd name="T10" fmla="*/ 2147483647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416</xdr:row>
      <xdr:rowOff>85725</xdr:rowOff>
    </xdr:from>
    <xdr:to>
      <xdr:col>5</xdr:col>
      <xdr:colOff>381000</xdr:colOff>
      <xdr:row>416</xdr:row>
      <xdr:rowOff>85725</xdr:rowOff>
    </xdr:to>
    <xdr:sp macro="" textlink="">
      <xdr:nvSpPr>
        <xdr:cNvPr id="612" name="Line 658">
          <a:extLst>
            <a:ext uri="{FF2B5EF4-FFF2-40B4-BE49-F238E27FC236}">
              <a16:creationId xmlns:a16="http://schemas.microsoft.com/office/drawing/2014/main" id="{00000000-0008-0000-0000-000064020000}"/>
            </a:ext>
          </a:extLst>
        </xdr:cNvPr>
        <xdr:cNvSpPr>
          <a:spLocks noChangeShapeType="1"/>
        </xdr:cNvSpPr>
      </xdr:nvSpPr>
      <xdr:spPr bwMode="auto">
        <a:xfrm>
          <a:off x="2181225" y="80257650"/>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411</xdr:row>
      <xdr:rowOff>76200</xdr:rowOff>
    </xdr:from>
    <xdr:to>
      <xdr:col>5</xdr:col>
      <xdr:colOff>704850</xdr:colOff>
      <xdr:row>419</xdr:row>
      <xdr:rowOff>95250</xdr:rowOff>
    </xdr:to>
    <xdr:sp macro="" textlink="">
      <xdr:nvSpPr>
        <xdr:cNvPr id="613" name="Tegning 659">
          <a:extLst>
            <a:ext uri="{FF2B5EF4-FFF2-40B4-BE49-F238E27FC236}">
              <a16:creationId xmlns:a16="http://schemas.microsoft.com/office/drawing/2014/main" id="{00000000-0008-0000-0000-000065020000}"/>
            </a:ext>
          </a:extLst>
        </xdr:cNvPr>
        <xdr:cNvSpPr>
          <a:spLocks/>
        </xdr:cNvSpPr>
      </xdr:nvSpPr>
      <xdr:spPr bwMode="auto">
        <a:xfrm>
          <a:off x="1266825" y="79295625"/>
          <a:ext cx="2095500" cy="1543050"/>
        </a:xfrm>
        <a:custGeom>
          <a:avLst/>
          <a:gdLst>
            <a:gd name="T0" fmla="*/ 2147483647 w 16384"/>
            <a:gd name="T1" fmla="*/ 0 h 16384"/>
            <a:gd name="T2" fmla="*/ 0 w 16384"/>
            <a:gd name="T3" fmla="*/ 0 h 16384"/>
            <a:gd name="T4" fmla="*/ 0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xdr:col>
      <xdr:colOff>57150</xdr:colOff>
      <xdr:row>416</xdr:row>
      <xdr:rowOff>209550</xdr:rowOff>
    </xdr:from>
    <xdr:to>
      <xdr:col>2</xdr:col>
      <xdr:colOff>95250</xdr:colOff>
      <xdr:row>416</xdr:row>
      <xdr:rowOff>209550</xdr:rowOff>
    </xdr:to>
    <xdr:sp macro="" textlink="">
      <xdr:nvSpPr>
        <xdr:cNvPr id="614" name="Line 660">
          <a:extLst>
            <a:ext uri="{FF2B5EF4-FFF2-40B4-BE49-F238E27FC236}">
              <a16:creationId xmlns:a16="http://schemas.microsoft.com/office/drawing/2014/main" id="{00000000-0008-0000-0000-000066020000}"/>
            </a:ext>
          </a:extLst>
        </xdr:cNvPr>
        <xdr:cNvSpPr>
          <a:spLocks noChangeShapeType="1"/>
        </xdr:cNvSpPr>
      </xdr:nvSpPr>
      <xdr:spPr bwMode="auto">
        <a:xfrm flipH="1">
          <a:off x="1200150" y="80362425"/>
          <a:ext cx="276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38100</xdr:colOff>
      <xdr:row>416</xdr:row>
      <xdr:rowOff>142875</xdr:rowOff>
    </xdr:from>
    <xdr:to>
      <xdr:col>1</xdr:col>
      <xdr:colOff>190500</xdr:colOff>
      <xdr:row>417</xdr:row>
      <xdr:rowOff>76200</xdr:rowOff>
    </xdr:to>
    <xdr:sp macro="" textlink="">
      <xdr:nvSpPr>
        <xdr:cNvPr id="615" name="Line 661">
          <a:extLst>
            <a:ext uri="{FF2B5EF4-FFF2-40B4-BE49-F238E27FC236}">
              <a16:creationId xmlns:a16="http://schemas.microsoft.com/office/drawing/2014/main" id="{00000000-0008-0000-0000-000067020000}"/>
            </a:ext>
          </a:extLst>
        </xdr:cNvPr>
        <xdr:cNvSpPr>
          <a:spLocks noChangeShapeType="1"/>
        </xdr:cNvSpPr>
      </xdr:nvSpPr>
      <xdr:spPr bwMode="auto">
        <a:xfrm flipH="1">
          <a:off x="1181100" y="80314800"/>
          <a:ext cx="1524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38100</xdr:colOff>
      <xdr:row>419</xdr:row>
      <xdr:rowOff>85725</xdr:rowOff>
    </xdr:from>
    <xdr:to>
      <xdr:col>2</xdr:col>
      <xdr:colOff>76200</xdr:colOff>
      <xdr:row>419</xdr:row>
      <xdr:rowOff>85725</xdr:rowOff>
    </xdr:to>
    <xdr:sp macro="" textlink="">
      <xdr:nvSpPr>
        <xdr:cNvPr id="616" name="Line 662">
          <a:extLst>
            <a:ext uri="{FF2B5EF4-FFF2-40B4-BE49-F238E27FC236}">
              <a16:creationId xmlns:a16="http://schemas.microsoft.com/office/drawing/2014/main" id="{00000000-0008-0000-0000-000068020000}"/>
            </a:ext>
          </a:extLst>
        </xdr:cNvPr>
        <xdr:cNvSpPr>
          <a:spLocks noChangeShapeType="1"/>
        </xdr:cNvSpPr>
      </xdr:nvSpPr>
      <xdr:spPr bwMode="auto">
        <a:xfrm flipH="1">
          <a:off x="1181100" y="80829150"/>
          <a:ext cx="276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57150</xdr:colOff>
      <xdr:row>419</xdr:row>
      <xdr:rowOff>0</xdr:rowOff>
    </xdr:from>
    <xdr:to>
      <xdr:col>1</xdr:col>
      <xdr:colOff>190500</xdr:colOff>
      <xdr:row>419</xdr:row>
      <xdr:rowOff>152400</xdr:rowOff>
    </xdr:to>
    <xdr:sp macro="" textlink="">
      <xdr:nvSpPr>
        <xdr:cNvPr id="617" name="Line 663">
          <a:extLst>
            <a:ext uri="{FF2B5EF4-FFF2-40B4-BE49-F238E27FC236}">
              <a16:creationId xmlns:a16="http://schemas.microsoft.com/office/drawing/2014/main" id="{00000000-0008-0000-0000-000069020000}"/>
            </a:ext>
          </a:extLst>
        </xdr:cNvPr>
        <xdr:cNvSpPr>
          <a:spLocks noChangeShapeType="1"/>
        </xdr:cNvSpPr>
      </xdr:nvSpPr>
      <xdr:spPr bwMode="auto">
        <a:xfrm flipH="1">
          <a:off x="1200150" y="80743425"/>
          <a:ext cx="13335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420</xdr:row>
      <xdr:rowOff>28575</xdr:rowOff>
    </xdr:from>
    <xdr:to>
      <xdr:col>2</xdr:col>
      <xdr:colOff>552450</xdr:colOff>
      <xdr:row>422</xdr:row>
      <xdr:rowOff>161925</xdr:rowOff>
    </xdr:to>
    <xdr:sp macro="" textlink="">
      <xdr:nvSpPr>
        <xdr:cNvPr id="618" name="Tegning 664">
          <a:extLst>
            <a:ext uri="{FF2B5EF4-FFF2-40B4-BE49-F238E27FC236}">
              <a16:creationId xmlns:a16="http://schemas.microsoft.com/office/drawing/2014/main" id="{00000000-0008-0000-0000-00006A020000}"/>
            </a:ext>
          </a:extLst>
        </xdr:cNvPr>
        <xdr:cNvSpPr>
          <a:spLocks/>
        </xdr:cNvSpPr>
      </xdr:nvSpPr>
      <xdr:spPr bwMode="auto">
        <a:xfrm>
          <a:off x="1676400" y="80972025"/>
          <a:ext cx="257175" cy="514350"/>
        </a:xfrm>
        <a:custGeom>
          <a:avLst/>
          <a:gdLst>
            <a:gd name="T0" fmla="*/ 2147483647 w 16384"/>
            <a:gd name="T1" fmla="*/ 2147483647 h 16384"/>
            <a:gd name="T2" fmla="*/ 2147483647 w 16384"/>
            <a:gd name="T3" fmla="*/ 0 h 16384"/>
            <a:gd name="T4" fmla="*/ 0 w 16384"/>
            <a:gd name="T5" fmla="*/ 2147483647 h 16384"/>
            <a:gd name="T6" fmla="*/ 2147483647 w 16384"/>
            <a:gd name="T7" fmla="*/ 2147483647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423</xdr:row>
      <xdr:rowOff>180975</xdr:rowOff>
    </xdr:from>
    <xdr:to>
      <xdr:col>2</xdr:col>
      <xdr:colOff>276225</xdr:colOff>
      <xdr:row>424</xdr:row>
      <xdr:rowOff>180975</xdr:rowOff>
    </xdr:to>
    <xdr:sp macro="" textlink="">
      <xdr:nvSpPr>
        <xdr:cNvPr id="619" name="Tegning 665">
          <a:extLst>
            <a:ext uri="{FF2B5EF4-FFF2-40B4-BE49-F238E27FC236}">
              <a16:creationId xmlns:a16="http://schemas.microsoft.com/office/drawing/2014/main" id="{00000000-0008-0000-0000-00006B020000}"/>
            </a:ext>
          </a:extLst>
        </xdr:cNvPr>
        <xdr:cNvSpPr>
          <a:spLocks/>
        </xdr:cNvSpPr>
      </xdr:nvSpPr>
      <xdr:spPr bwMode="auto">
        <a:xfrm>
          <a:off x="1543050" y="81695925"/>
          <a:ext cx="114300" cy="190500"/>
        </a:xfrm>
        <a:custGeom>
          <a:avLst/>
          <a:gdLst>
            <a:gd name="T0" fmla="*/ 2147483647 w 16384"/>
            <a:gd name="T1" fmla="*/ 0 h 16384"/>
            <a:gd name="T2" fmla="*/ 0 w 16384"/>
            <a:gd name="T3" fmla="*/ 2147483647 h 16384"/>
            <a:gd name="T4" fmla="*/ 2147483647 w 16384"/>
            <a:gd name="T5" fmla="*/ 2147483647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971550</xdr:colOff>
      <xdr:row>419</xdr:row>
      <xdr:rowOff>114300</xdr:rowOff>
    </xdr:from>
    <xdr:to>
      <xdr:col>2</xdr:col>
      <xdr:colOff>0</xdr:colOff>
      <xdr:row>419</xdr:row>
      <xdr:rowOff>114300</xdr:rowOff>
    </xdr:to>
    <xdr:sp macro="" textlink="">
      <xdr:nvSpPr>
        <xdr:cNvPr id="620" name="Line 666">
          <a:extLst>
            <a:ext uri="{FF2B5EF4-FFF2-40B4-BE49-F238E27FC236}">
              <a16:creationId xmlns:a16="http://schemas.microsoft.com/office/drawing/2014/main" id="{00000000-0008-0000-0000-00006C020000}"/>
            </a:ext>
          </a:extLst>
        </xdr:cNvPr>
        <xdr:cNvSpPr>
          <a:spLocks noChangeShapeType="1"/>
        </xdr:cNvSpPr>
      </xdr:nvSpPr>
      <xdr:spPr bwMode="auto">
        <a:xfrm flipH="1">
          <a:off x="971550" y="80857725"/>
          <a:ext cx="409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419</xdr:row>
      <xdr:rowOff>66675</xdr:rowOff>
    </xdr:from>
    <xdr:to>
      <xdr:col>0</xdr:col>
      <xdr:colOff>1019175</xdr:colOff>
      <xdr:row>421</xdr:row>
      <xdr:rowOff>171450</xdr:rowOff>
    </xdr:to>
    <xdr:sp macro="" textlink="">
      <xdr:nvSpPr>
        <xdr:cNvPr id="621" name="Line 667">
          <a:extLst>
            <a:ext uri="{FF2B5EF4-FFF2-40B4-BE49-F238E27FC236}">
              <a16:creationId xmlns:a16="http://schemas.microsoft.com/office/drawing/2014/main" id="{00000000-0008-0000-0000-00006D020000}"/>
            </a:ext>
          </a:extLst>
        </xdr:cNvPr>
        <xdr:cNvSpPr>
          <a:spLocks noChangeShapeType="1"/>
        </xdr:cNvSpPr>
      </xdr:nvSpPr>
      <xdr:spPr bwMode="auto">
        <a:xfrm>
          <a:off x="1019175" y="80810100"/>
          <a:ext cx="0" cy="495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981075</xdr:colOff>
      <xdr:row>419</xdr:row>
      <xdr:rowOff>66675</xdr:rowOff>
    </xdr:from>
    <xdr:to>
      <xdr:col>0</xdr:col>
      <xdr:colOff>1066800</xdr:colOff>
      <xdr:row>419</xdr:row>
      <xdr:rowOff>180975</xdr:rowOff>
    </xdr:to>
    <xdr:sp macro="" textlink="">
      <xdr:nvSpPr>
        <xdr:cNvPr id="622" name="Line 668">
          <a:extLst>
            <a:ext uri="{FF2B5EF4-FFF2-40B4-BE49-F238E27FC236}">
              <a16:creationId xmlns:a16="http://schemas.microsoft.com/office/drawing/2014/main" id="{00000000-0008-0000-0000-00006E020000}"/>
            </a:ext>
          </a:extLst>
        </xdr:cNvPr>
        <xdr:cNvSpPr>
          <a:spLocks noChangeShapeType="1"/>
        </xdr:cNvSpPr>
      </xdr:nvSpPr>
      <xdr:spPr bwMode="auto">
        <a:xfrm flipH="1">
          <a:off x="981075" y="80810100"/>
          <a:ext cx="857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422</xdr:row>
      <xdr:rowOff>114300</xdr:rowOff>
    </xdr:from>
    <xdr:to>
      <xdr:col>5</xdr:col>
      <xdr:colOff>657225</xdr:colOff>
      <xdr:row>422</xdr:row>
      <xdr:rowOff>114300</xdr:rowOff>
    </xdr:to>
    <xdr:sp macro="" textlink="">
      <xdr:nvSpPr>
        <xdr:cNvPr id="623" name="Line 669">
          <a:extLst>
            <a:ext uri="{FF2B5EF4-FFF2-40B4-BE49-F238E27FC236}">
              <a16:creationId xmlns:a16="http://schemas.microsoft.com/office/drawing/2014/main" id="{00000000-0008-0000-0000-00006F020000}"/>
            </a:ext>
          </a:extLst>
        </xdr:cNvPr>
        <xdr:cNvSpPr>
          <a:spLocks noChangeShapeType="1"/>
        </xdr:cNvSpPr>
      </xdr:nvSpPr>
      <xdr:spPr bwMode="auto">
        <a:xfrm flipH="1">
          <a:off x="1676400" y="81438750"/>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423</xdr:row>
      <xdr:rowOff>114300</xdr:rowOff>
    </xdr:from>
    <xdr:to>
      <xdr:col>5</xdr:col>
      <xdr:colOff>638175</xdr:colOff>
      <xdr:row>423</xdr:row>
      <xdr:rowOff>114300</xdr:rowOff>
    </xdr:to>
    <xdr:sp macro="" textlink="">
      <xdr:nvSpPr>
        <xdr:cNvPr id="624" name="Line 670">
          <a:extLst>
            <a:ext uri="{FF2B5EF4-FFF2-40B4-BE49-F238E27FC236}">
              <a16:creationId xmlns:a16="http://schemas.microsoft.com/office/drawing/2014/main" id="{00000000-0008-0000-0000-000070020000}"/>
            </a:ext>
          </a:extLst>
        </xdr:cNvPr>
        <xdr:cNvSpPr>
          <a:spLocks noChangeShapeType="1"/>
        </xdr:cNvSpPr>
      </xdr:nvSpPr>
      <xdr:spPr bwMode="auto">
        <a:xfrm flipH="1">
          <a:off x="1600200" y="81629250"/>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419</xdr:row>
      <xdr:rowOff>38100</xdr:rowOff>
    </xdr:from>
    <xdr:to>
      <xdr:col>5</xdr:col>
      <xdr:colOff>314325</xdr:colOff>
      <xdr:row>419</xdr:row>
      <xdr:rowOff>133350</xdr:rowOff>
    </xdr:to>
    <xdr:sp macro="" textlink="">
      <xdr:nvSpPr>
        <xdr:cNvPr id="625" name="Oval 671">
          <a:extLst>
            <a:ext uri="{FF2B5EF4-FFF2-40B4-BE49-F238E27FC236}">
              <a16:creationId xmlns:a16="http://schemas.microsoft.com/office/drawing/2014/main" id="{00000000-0008-0000-0000-000071020000}"/>
            </a:ext>
          </a:extLst>
        </xdr:cNvPr>
        <xdr:cNvSpPr>
          <a:spLocks noChangeArrowheads="1"/>
        </xdr:cNvSpPr>
      </xdr:nvSpPr>
      <xdr:spPr bwMode="auto">
        <a:xfrm>
          <a:off x="2867025" y="80781525"/>
          <a:ext cx="104775"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415</xdr:row>
      <xdr:rowOff>114300</xdr:rowOff>
    </xdr:from>
    <xdr:to>
      <xdr:col>5</xdr:col>
      <xdr:colOff>733425</xdr:colOff>
      <xdr:row>419</xdr:row>
      <xdr:rowOff>47625</xdr:rowOff>
    </xdr:to>
    <xdr:sp macro="" textlink="">
      <xdr:nvSpPr>
        <xdr:cNvPr id="626" name="Tegning 672">
          <a:extLst>
            <a:ext uri="{FF2B5EF4-FFF2-40B4-BE49-F238E27FC236}">
              <a16:creationId xmlns:a16="http://schemas.microsoft.com/office/drawing/2014/main" id="{00000000-0008-0000-0000-000072020000}"/>
            </a:ext>
          </a:extLst>
        </xdr:cNvPr>
        <xdr:cNvSpPr>
          <a:spLocks/>
        </xdr:cNvSpPr>
      </xdr:nvSpPr>
      <xdr:spPr bwMode="auto">
        <a:xfrm>
          <a:off x="2914650" y="80095725"/>
          <a:ext cx="476250" cy="695325"/>
        </a:xfrm>
        <a:custGeom>
          <a:avLst/>
          <a:gdLst>
            <a:gd name="T0" fmla="*/ 0 w 16384"/>
            <a:gd name="T1" fmla="*/ 2147483647 h 16384"/>
            <a:gd name="T2" fmla="*/ 0 w 16384"/>
            <a:gd name="T3" fmla="*/ 0 h 16384"/>
            <a:gd name="T4" fmla="*/ 2147483647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333375</xdr:colOff>
      <xdr:row>420</xdr:row>
      <xdr:rowOff>76200</xdr:rowOff>
    </xdr:from>
    <xdr:to>
      <xdr:col>2</xdr:col>
      <xdr:colOff>333375</xdr:colOff>
      <xdr:row>425</xdr:row>
      <xdr:rowOff>19050</xdr:rowOff>
    </xdr:to>
    <xdr:sp macro="" textlink="">
      <xdr:nvSpPr>
        <xdr:cNvPr id="627" name="Line 673">
          <a:extLst>
            <a:ext uri="{FF2B5EF4-FFF2-40B4-BE49-F238E27FC236}">
              <a16:creationId xmlns:a16="http://schemas.microsoft.com/office/drawing/2014/main" id="{00000000-0008-0000-0000-000073020000}"/>
            </a:ext>
          </a:extLst>
        </xdr:cNvPr>
        <xdr:cNvSpPr>
          <a:spLocks noChangeShapeType="1"/>
        </xdr:cNvSpPr>
      </xdr:nvSpPr>
      <xdr:spPr bwMode="auto">
        <a:xfrm>
          <a:off x="1714500" y="8101965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422</xdr:row>
      <xdr:rowOff>0</xdr:rowOff>
    </xdr:from>
    <xdr:to>
      <xdr:col>2</xdr:col>
      <xdr:colOff>542925</xdr:colOff>
      <xdr:row>423</xdr:row>
      <xdr:rowOff>28575</xdr:rowOff>
    </xdr:to>
    <xdr:sp macro="" textlink="">
      <xdr:nvSpPr>
        <xdr:cNvPr id="628" name="Line 674">
          <a:extLst>
            <a:ext uri="{FF2B5EF4-FFF2-40B4-BE49-F238E27FC236}">
              <a16:creationId xmlns:a16="http://schemas.microsoft.com/office/drawing/2014/main" id="{00000000-0008-0000-0000-000074020000}"/>
            </a:ext>
          </a:extLst>
        </xdr:cNvPr>
        <xdr:cNvSpPr>
          <a:spLocks noChangeShapeType="1"/>
        </xdr:cNvSpPr>
      </xdr:nvSpPr>
      <xdr:spPr bwMode="auto">
        <a:xfrm>
          <a:off x="1924050" y="81467325"/>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419</xdr:row>
      <xdr:rowOff>209550</xdr:rowOff>
    </xdr:from>
    <xdr:to>
      <xdr:col>2</xdr:col>
      <xdr:colOff>533400</xdr:colOff>
      <xdr:row>419</xdr:row>
      <xdr:rowOff>209550</xdr:rowOff>
    </xdr:to>
    <xdr:sp macro="" textlink="">
      <xdr:nvSpPr>
        <xdr:cNvPr id="629" name="Line 675">
          <a:extLst>
            <a:ext uri="{FF2B5EF4-FFF2-40B4-BE49-F238E27FC236}">
              <a16:creationId xmlns:a16="http://schemas.microsoft.com/office/drawing/2014/main" id="{00000000-0008-0000-0000-000075020000}"/>
            </a:ext>
          </a:extLst>
        </xdr:cNvPr>
        <xdr:cNvSpPr>
          <a:spLocks noChangeShapeType="1"/>
        </xdr:cNvSpPr>
      </xdr:nvSpPr>
      <xdr:spPr bwMode="auto">
        <a:xfrm>
          <a:off x="1724025" y="80943450"/>
          <a:ext cx="190500" cy="0"/>
        </a:xfrm>
        <a:prstGeom prst="line">
          <a:avLst/>
        </a:prstGeom>
        <a:noFill/>
        <a:ln w="3746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1000125</xdr:colOff>
      <xdr:row>419</xdr:row>
      <xdr:rowOff>180975</xdr:rowOff>
    </xdr:from>
    <xdr:to>
      <xdr:col>2</xdr:col>
      <xdr:colOff>66675</xdr:colOff>
      <xdr:row>419</xdr:row>
      <xdr:rowOff>180975</xdr:rowOff>
    </xdr:to>
    <xdr:sp macro="" textlink="">
      <xdr:nvSpPr>
        <xdr:cNvPr id="630" name="Line 676">
          <a:extLst>
            <a:ext uri="{FF2B5EF4-FFF2-40B4-BE49-F238E27FC236}">
              <a16:creationId xmlns:a16="http://schemas.microsoft.com/office/drawing/2014/main" id="{00000000-0008-0000-0000-000076020000}"/>
            </a:ext>
          </a:extLst>
        </xdr:cNvPr>
        <xdr:cNvSpPr>
          <a:spLocks noChangeShapeType="1"/>
        </xdr:cNvSpPr>
      </xdr:nvSpPr>
      <xdr:spPr bwMode="auto">
        <a:xfrm flipH="1">
          <a:off x="1000125" y="80924400"/>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419</xdr:row>
      <xdr:rowOff>142875</xdr:rowOff>
    </xdr:from>
    <xdr:to>
      <xdr:col>0</xdr:col>
      <xdr:colOff>1066800</xdr:colOff>
      <xdr:row>420</xdr:row>
      <xdr:rowOff>47625</xdr:rowOff>
    </xdr:to>
    <xdr:sp macro="" textlink="">
      <xdr:nvSpPr>
        <xdr:cNvPr id="631" name="Line 677">
          <a:extLst>
            <a:ext uri="{FF2B5EF4-FFF2-40B4-BE49-F238E27FC236}">
              <a16:creationId xmlns:a16="http://schemas.microsoft.com/office/drawing/2014/main" id="{00000000-0008-0000-0000-000077020000}"/>
            </a:ext>
          </a:extLst>
        </xdr:cNvPr>
        <xdr:cNvSpPr>
          <a:spLocks noChangeShapeType="1"/>
        </xdr:cNvSpPr>
      </xdr:nvSpPr>
      <xdr:spPr bwMode="auto">
        <a:xfrm flipH="1">
          <a:off x="971550" y="8088630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92</xdr:row>
      <xdr:rowOff>161925</xdr:rowOff>
    </xdr:from>
    <xdr:to>
      <xdr:col>3</xdr:col>
      <xdr:colOff>133350</xdr:colOff>
      <xdr:row>93</xdr:row>
      <xdr:rowOff>9525</xdr:rowOff>
    </xdr:to>
    <xdr:sp macro="" textlink="">
      <xdr:nvSpPr>
        <xdr:cNvPr id="632" name="Oval 681">
          <a:extLst>
            <a:ext uri="{FF2B5EF4-FFF2-40B4-BE49-F238E27FC236}">
              <a16:creationId xmlns:a16="http://schemas.microsoft.com/office/drawing/2014/main" id="{00000000-0008-0000-0000-000078020000}"/>
            </a:ext>
          </a:extLst>
        </xdr:cNvPr>
        <xdr:cNvSpPr>
          <a:spLocks noChangeArrowheads="1"/>
        </xdr:cNvSpPr>
      </xdr:nvSpPr>
      <xdr:spPr bwMode="auto">
        <a:xfrm>
          <a:off x="2057400" y="179451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266700</xdr:colOff>
      <xdr:row>91</xdr:row>
      <xdr:rowOff>161925</xdr:rowOff>
    </xdr:from>
    <xdr:to>
      <xdr:col>4</xdr:col>
      <xdr:colOff>304800</xdr:colOff>
      <xdr:row>92</xdr:row>
      <xdr:rowOff>9525</xdr:rowOff>
    </xdr:to>
    <xdr:sp macro="" textlink="">
      <xdr:nvSpPr>
        <xdr:cNvPr id="633" name="Oval 682">
          <a:extLst>
            <a:ext uri="{FF2B5EF4-FFF2-40B4-BE49-F238E27FC236}">
              <a16:creationId xmlns:a16="http://schemas.microsoft.com/office/drawing/2014/main" id="{00000000-0008-0000-0000-000079020000}"/>
            </a:ext>
          </a:extLst>
        </xdr:cNvPr>
        <xdr:cNvSpPr>
          <a:spLocks noChangeArrowheads="1"/>
        </xdr:cNvSpPr>
      </xdr:nvSpPr>
      <xdr:spPr bwMode="auto">
        <a:xfrm>
          <a:off x="2600325" y="177546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400050</xdr:colOff>
      <xdr:row>358</xdr:row>
      <xdr:rowOff>9525</xdr:rowOff>
    </xdr:from>
    <xdr:to>
      <xdr:col>2</xdr:col>
      <xdr:colOff>438150</xdr:colOff>
      <xdr:row>358</xdr:row>
      <xdr:rowOff>47625</xdr:rowOff>
    </xdr:to>
    <xdr:sp macro="" textlink="">
      <xdr:nvSpPr>
        <xdr:cNvPr id="634" name="Oval 683">
          <a:extLst>
            <a:ext uri="{FF2B5EF4-FFF2-40B4-BE49-F238E27FC236}">
              <a16:creationId xmlns:a16="http://schemas.microsoft.com/office/drawing/2014/main" id="{00000000-0008-0000-0000-00007A020000}"/>
            </a:ext>
          </a:extLst>
        </xdr:cNvPr>
        <xdr:cNvSpPr>
          <a:spLocks noChangeArrowheads="1"/>
        </xdr:cNvSpPr>
      </xdr:nvSpPr>
      <xdr:spPr bwMode="auto">
        <a:xfrm>
          <a:off x="1781175" y="6895147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390525</xdr:colOff>
      <xdr:row>359</xdr:row>
      <xdr:rowOff>95250</xdr:rowOff>
    </xdr:from>
    <xdr:to>
      <xdr:col>2</xdr:col>
      <xdr:colOff>428625</xdr:colOff>
      <xdr:row>359</xdr:row>
      <xdr:rowOff>133350</xdr:rowOff>
    </xdr:to>
    <xdr:sp macro="" textlink="">
      <xdr:nvSpPr>
        <xdr:cNvPr id="635" name="Oval 684">
          <a:extLst>
            <a:ext uri="{FF2B5EF4-FFF2-40B4-BE49-F238E27FC236}">
              <a16:creationId xmlns:a16="http://schemas.microsoft.com/office/drawing/2014/main" id="{00000000-0008-0000-0000-00007B020000}"/>
            </a:ext>
          </a:extLst>
        </xdr:cNvPr>
        <xdr:cNvSpPr>
          <a:spLocks noChangeArrowheads="1"/>
        </xdr:cNvSpPr>
      </xdr:nvSpPr>
      <xdr:spPr bwMode="auto">
        <a:xfrm>
          <a:off x="1771650" y="692277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123825</xdr:colOff>
      <xdr:row>357</xdr:row>
      <xdr:rowOff>38100</xdr:rowOff>
    </xdr:from>
    <xdr:to>
      <xdr:col>4</xdr:col>
      <xdr:colOff>161925</xdr:colOff>
      <xdr:row>357</xdr:row>
      <xdr:rowOff>76200</xdr:rowOff>
    </xdr:to>
    <xdr:sp macro="" textlink="">
      <xdr:nvSpPr>
        <xdr:cNvPr id="636" name="Oval 686">
          <a:extLst>
            <a:ext uri="{FF2B5EF4-FFF2-40B4-BE49-F238E27FC236}">
              <a16:creationId xmlns:a16="http://schemas.microsoft.com/office/drawing/2014/main" id="{00000000-0008-0000-0000-00007C020000}"/>
            </a:ext>
          </a:extLst>
        </xdr:cNvPr>
        <xdr:cNvSpPr>
          <a:spLocks noChangeArrowheads="1"/>
        </xdr:cNvSpPr>
      </xdr:nvSpPr>
      <xdr:spPr bwMode="auto">
        <a:xfrm>
          <a:off x="2457450" y="687895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133350</xdr:colOff>
      <xdr:row>360</xdr:row>
      <xdr:rowOff>0</xdr:rowOff>
    </xdr:from>
    <xdr:to>
      <xdr:col>4</xdr:col>
      <xdr:colOff>171450</xdr:colOff>
      <xdr:row>360</xdr:row>
      <xdr:rowOff>38100</xdr:rowOff>
    </xdr:to>
    <xdr:sp macro="" textlink="">
      <xdr:nvSpPr>
        <xdr:cNvPr id="637" name="Oval 687">
          <a:extLst>
            <a:ext uri="{FF2B5EF4-FFF2-40B4-BE49-F238E27FC236}">
              <a16:creationId xmlns:a16="http://schemas.microsoft.com/office/drawing/2014/main" id="{00000000-0008-0000-0000-00007D020000}"/>
            </a:ext>
          </a:extLst>
        </xdr:cNvPr>
        <xdr:cNvSpPr>
          <a:spLocks noChangeArrowheads="1"/>
        </xdr:cNvSpPr>
      </xdr:nvSpPr>
      <xdr:spPr bwMode="auto">
        <a:xfrm>
          <a:off x="2466975" y="693229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219075</xdr:colOff>
      <xdr:row>387</xdr:row>
      <xdr:rowOff>66675</xdr:rowOff>
    </xdr:from>
    <xdr:to>
      <xdr:col>2</xdr:col>
      <xdr:colOff>257175</xdr:colOff>
      <xdr:row>387</xdr:row>
      <xdr:rowOff>104775</xdr:rowOff>
    </xdr:to>
    <xdr:sp macro="" textlink="">
      <xdr:nvSpPr>
        <xdr:cNvPr id="638" name="Oval 688">
          <a:extLst>
            <a:ext uri="{FF2B5EF4-FFF2-40B4-BE49-F238E27FC236}">
              <a16:creationId xmlns:a16="http://schemas.microsoft.com/office/drawing/2014/main" id="{00000000-0008-0000-0000-00007E020000}"/>
            </a:ext>
          </a:extLst>
        </xdr:cNvPr>
        <xdr:cNvSpPr>
          <a:spLocks noChangeArrowheads="1"/>
        </xdr:cNvSpPr>
      </xdr:nvSpPr>
      <xdr:spPr bwMode="auto">
        <a:xfrm>
          <a:off x="1600200" y="746188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388</xdr:row>
      <xdr:rowOff>171450</xdr:rowOff>
    </xdr:from>
    <xdr:to>
      <xdr:col>2</xdr:col>
      <xdr:colOff>247650</xdr:colOff>
      <xdr:row>389</xdr:row>
      <xdr:rowOff>19050</xdr:rowOff>
    </xdr:to>
    <xdr:sp macro="" textlink="">
      <xdr:nvSpPr>
        <xdr:cNvPr id="639" name="Oval 689">
          <a:extLst>
            <a:ext uri="{FF2B5EF4-FFF2-40B4-BE49-F238E27FC236}">
              <a16:creationId xmlns:a16="http://schemas.microsoft.com/office/drawing/2014/main" id="{00000000-0008-0000-0000-00007F020000}"/>
            </a:ext>
          </a:extLst>
        </xdr:cNvPr>
        <xdr:cNvSpPr>
          <a:spLocks noChangeArrowheads="1"/>
        </xdr:cNvSpPr>
      </xdr:nvSpPr>
      <xdr:spPr bwMode="auto">
        <a:xfrm>
          <a:off x="1590675" y="7491412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editAs="oneCell">
    <xdr:from>
      <xdr:col>0</xdr:col>
      <xdr:colOff>466725</xdr:colOff>
      <xdr:row>0</xdr:row>
      <xdr:rowOff>85725</xdr:rowOff>
    </xdr:from>
    <xdr:to>
      <xdr:col>0</xdr:col>
      <xdr:colOff>1070610</xdr:colOff>
      <xdr:row>3</xdr:row>
      <xdr:rowOff>110490</xdr:rowOff>
    </xdr:to>
    <xdr:pic>
      <xdr:nvPicPr>
        <xdr:cNvPr id="640" name="Picture 197" descr="CRH_office_pantone">
          <a:extLst>
            <a:ext uri="{FF2B5EF4-FFF2-40B4-BE49-F238E27FC236}">
              <a16:creationId xmlns:a16="http://schemas.microsoft.com/office/drawing/2014/main" id="{00000000-0008-0000-0000-00008002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66725" y="8572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9</xdr:row>
          <xdr:rowOff>57150</xdr:rowOff>
        </xdr:from>
        <xdr:to>
          <xdr:col>13</xdr:col>
          <xdr:colOff>0</xdr:colOff>
          <xdr:row>11</xdr:row>
          <xdr:rowOff>85725</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 udskriftsark A</a:t>
              </a:r>
            </a:p>
          </xdr:txBody>
        </xdr:sp>
        <xdr:clientData fLocksWithSheet="0" fPrintsWithSheet="0"/>
      </xdr:twoCellAnchor>
    </mc:Choice>
    <mc:Fallback/>
  </mc:AlternateContent>
  <xdr:twoCellAnchor>
    <xdr:from>
      <xdr:col>24</xdr:col>
      <xdr:colOff>276225</xdr:colOff>
      <xdr:row>26</xdr:row>
      <xdr:rowOff>28575</xdr:rowOff>
    </xdr:from>
    <xdr:to>
      <xdr:col>24</xdr:col>
      <xdr:colOff>704850</xdr:colOff>
      <xdr:row>26</xdr:row>
      <xdr:rowOff>152400</xdr:rowOff>
    </xdr:to>
    <xdr:sp macro="" textlink="">
      <xdr:nvSpPr>
        <xdr:cNvPr id="643" name="Freeform 93260">
          <a:extLst>
            <a:ext uri="{FF2B5EF4-FFF2-40B4-BE49-F238E27FC236}">
              <a16:creationId xmlns:a16="http://schemas.microsoft.com/office/drawing/2014/main" id="{00000000-0008-0000-0000-000083020000}"/>
            </a:ext>
          </a:extLst>
        </xdr:cNvPr>
        <xdr:cNvSpPr>
          <a:spLocks/>
        </xdr:cNvSpPr>
      </xdr:nvSpPr>
      <xdr:spPr bwMode="auto">
        <a:xfrm>
          <a:off x="17811750" y="4857750"/>
          <a:ext cx="428625" cy="123825"/>
        </a:xfrm>
        <a:custGeom>
          <a:avLst/>
          <a:gdLst>
            <a:gd name="T0" fmla="*/ 2147483647 w 45"/>
            <a:gd name="T1" fmla="*/ 0 h 13"/>
            <a:gd name="T2" fmla="*/ 0 w 45"/>
            <a:gd name="T3" fmla="*/ 0 h 13"/>
            <a:gd name="T4" fmla="*/ 0 w 45"/>
            <a:gd name="T5" fmla="*/ 2147483647 h 13"/>
            <a:gd name="T6" fmla="*/ 2147483647 w 45"/>
            <a:gd name="T7" fmla="*/ 2147483647 h 13"/>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45" h="13">
              <a:moveTo>
                <a:pt x="43" y="0"/>
              </a:moveTo>
              <a:lnTo>
                <a:pt x="0" y="0"/>
              </a:lnTo>
              <a:lnTo>
                <a:pt x="0" y="13"/>
              </a:lnTo>
              <a:lnTo>
                <a:pt x="45" y="13"/>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209550</xdr:colOff>
      <xdr:row>25</xdr:row>
      <xdr:rowOff>28575</xdr:rowOff>
    </xdr:from>
    <xdr:to>
      <xdr:col>23</xdr:col>
      <xdr:colOff>571500</xdr:colOff>
      <xdr:row>26</xdr:row>
      <xdr:rowOff>161925</xdr:rowOff>
    </xdr:to>
    <xdr:sp macro="" textlink="">
      <xdr:nvSpPr>
        <xdr:cNvPr id="644" name="Freeform 93261">
          <a:extLst>
            <a:ext uri="{FF2B5EF4-FFF2-40B4-BE49-F238E27FC236}">
              <a16:creationId xmlns:a16="http://schemas.microsoft.com/office/drawing/2014/main" id="{00000000-0008-0000-0000-000084020000}"/>
            </a:ext>
          </a:extLst>
        </xdr:cNvPr>
        <xdr:cNvSpPr>
          <a:spLocks/>
        </xdr:cNvSpPr>
      </xdr:nvSpPr>
      <xdr:spPr bwMode="auto">
        <a:xfrm>
          <a:off x="16068675" y="4667250"/>
          <a:ext cx="1114425" cy="323850"/>
        </a:xfrm>
        <a:custGeom>
          <a:avLst/>
          <a:gdLst>
            <a:gd name="T0" fmla="*/ 2147483647 w 117"/>
            <a:gd name="T1" fmla="*/ 0 h 34"/>
            <a:gd name="T2" fmla="*/ 0 w 117"/>
            <a:gd name="T3" fmla="*/ 0 h 34"/>
            <a:gd name="T4" fmla="*/ 0 w 117"/>
            <a:gd name="T5" fmla="*/ 2147483647 h 34"/>
            <a:gd name="T6" fmla="*/ 2147483647 w 117"/>
            <a:gd name="T7" fmla="*/ 2147483647 h 3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17" h="34">
              <a:moveTo>
                <a:pt x="115" y="0"/>
              </a:moveTo>
              <a:lnTo>
                <a:pt x="0" y="0"/>
              </a:lnTo>
              <a:lnTo>
                <a:pt x="0" y="34"/>
              </a:lnTo>
              <a:lnTo>
                <a:pt x="117" y="34"/>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285750</xdr:colOff>
      <xdr:row>26</xdr:row>
      <xdr:rowOff>95250</xdr:rowOff>
    </xdr:from>
    <xdr:to>
      <xdr:col>23</xdr:col>
      <xdr:colOff>542925</xdr:colOff>
      <xdr:row>26</xdr:row>
      <xdr:rowOff>95250</xdr:rowOff>
    </xdr:to>
    <xdr:sp macro="" textlink="">
      <xdr:nvSpPr>
        <xdr:cNvPr id="645" name="Line 93262">
          <a:extLst>
            <a:ext uri="{FF2B5EF4-FFF2-40B4-BE49-F238E27FC236}">
              <a16:creationId xmlns:a16="http://schemas.microsoft.com/office/drawing/2014/main" id="{00000000-0008-0000-0000-000085020000}"/>
            </a:ext>
          </a:extLst>
        </xdr:cNvPr>
        <xdr:cNvSpPr>
          <a:spLocks noChangeShapeType="1"/>
        </xdr:cNvSpPr>
      </xdr:nvSpPr>
      <xdr:spPr bwMode="auto">
        <a:xfrm>
          <a:off x="16144875" y="4924425"/>
          <a:ext cx="100965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19050</xdr:colOff>
      <xdr:row>24</xdr:row>
      <xdr:rowOff>57150</xdr:rowOff>
    </xdr:from>
    <xdr:to>
      <xdr:col>23</xdr:col>
      <xdr:colOff>19050</xdr:colOff>
      <xdr:row>27</xdr:row>
      <xdr:rowOff>66675</xdr:rowOff>
    </xdr:to>
    <xdr:sp macro="" textlink="">
      <xdr:nvSpPr>
        <xdr:cNvPr id="646" name="Line 93263">
          <a:extLst>
            <a:ext uri="{FF2B5EF4-FFF2-40B4-BE49-F238E27FC236}">
              <a16:creationId xmlns:a16="http://schemas.microsoft.com/office/drawing/2014/main" id="{00000000-0008-0000-0000-000086020000}"/>
            </a:ext>
          </a:extLst>
        </xdr:cNvPr>
        <xdr:cNvSpPr>
          <a:spLocks noChangeShapeType="1"/>
        </xdr:cNvSpPr>
      </xdr:nvSpPr>
      <xdr:spPr bwMode="auto">
        <a:xfrm>
          <a:off x="16630650" y="4495800"/>
          <a:ext cx="0" cy="5905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22</xdr:col>
      <xdr:colOff>714375</xdr:colOff>
      <xdr:row>27</xdr:row>
      <xdr:rowOff>19050</xdr:rowOff>
    </xdr:from>
    <xdr:to>
      <xdr:col>23</xdr:col>
      <xdr:colOff>85725</xdr:colOff>
      <xdr:row>27</xdr:row>
      <xdr:rowOff>142875</xdr:rowOff>
    </xdr:to>
    <xdr:sp macro="" textlink="">
      <xdr:nvSpPr>
        <xdr:cNvPr id="647" name="Oval 93264">
          <a:extLst>
            <a:ext uri="{FF2B5EF4-FFF2-40B4-BE49-F238E27FC236}">
              <a16:creationId xmlns:a16="http://schemas.microsoft.com/office/drawing/2014/main" id="{00000000-0008-0000-0000-000087020000}"/>
            </a:ext>
          </a:extLst>
        </xdr:cNvPr>
        <xdr:cNvSpPr>
          <a:spLocks noChangeArrowheads="1"/>
        </xdr:cNvSpPr>
      </xdr:nvSpPr>
      <xdr:spPr bwMode="auto">
        <a:xfrm>
          <a:off x="16573500" y="5038725"/>
          <a:ext cx="123825" cy="1238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22</xdr:col>
      <xdr:colOff>66675</xdr:colOff>
      <xdr:row>26</xdr:row>
      <xdr:rowOff>9525</xdr:rowOff>
    </xdr:from>
    <xdr:to>
      <xdr:col>23</xdr:col>
      <xdr:colOff>66675</xdr:colOff>
      <xdr:row>26</xdr:row>
      <xdr:rowOff>9525</xdr:rowOff>
    </xdr:to>
    <xdr:sp macro="" textlink="">
      <xdr:nvSpPr>
        <xdr:cNvPr id="648" name="Line 93265">
          <a:extLst>
            <a:ext uri="{FF2B5EF4-FFF2-40B4-BE49-F238E27FC236}">
              <a16:creationId xmlns:a16="http://schemas.microsoft.com/office/drawing/2014/main" id="{00000000-0008-0000-0000-000088020000}"/>
            </a:ext>
          </a:extLst>
        </xdr:cNvPr>
        <xdr:cNvSpPr>
          <a:spLocks noChangeShapeType="1"/>
        </xdr:cNvSpPr>
      </xdr:nvSpPr>
      <xdr:spPr bwMode="auto">
        <a:xfrm flipH="1">
          <a:off x="15925800" y="4838700"/>
          <a:ext cx="752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295275</xdr:colOff>
      <xdr:row>25</xdr:row>
      <xdr:rowOff>152400</xdr:rowOff>
    </xdr:from>
    <xdr:to>
      <xdr:col>22</xdr:col>
      <xdr:colOff>295275</xdr:colOff>
      <xdr:row>26</xdr:row>
      <xdr:rowOff>57150</xdr:rowOff>
    </xdr:to>
    <xdr:sp macro="" textlink="">
      <xdr:nvSpPr>
        <xdr:cNvPr id="649" name="Line 93266">
          <a:extLst>
            <a:ext uri="{FF2B5EF4-FFF2-40B4-BE49-F238E27FC236}">
              <a16:creationId xmlns:a16="http://schemas.microsoft.com/office/drawing/2014/main" id="{00000000-0008-0000-0000-000089020000}"/>
            </a:ext>
          </a:extLst>
        </xdr:cNvPr>
        <xdr:cNvSpPr>
          <a:spLocks noChangeShapeType="1"/>
        </xdr:cNvSpPr>
      </xdr:nvSpPr>
      <xdr:spPr bwMode="auto">
        <a:xfrm flipV="1">
          <a:off x="16154400" y="4791075"/>
          <a:ext cx="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257175</xdr:colOff>
      <xdr:row>25</xdr:row>
      <xdr:rowOff>152400</xdr:rowOff>
    </xdr:from>
    <xdr:to>
      <xdr:col>22</xdr:col>
      <xdr:colOff>323850</xdr:colOff>
      <xdr:row>26</xdr:row>
      <xdr:rowOff>28575</xdr:rowOff>
    </xdr:to>
    <xdr:sp macro="" textlink="">
      <xdr:nvSpPr>
        <xdr:cNvPr id="650" name="Line 93267">
          <a:extLst>
            <a:ext uri="{FF2B5EF4-FFF2-40B4-BE49-F238E27FC236}">
              <a16:creationId xmlns:a16="http://schemas.microsoft.com/office/drawing/2014/main" id="{00000000-0008-0000-0000-00008A020000}"/>
            </a:ext>
          </a:extLst>
        </xdr:cNvPr>
        <xdr:cNvSpPr>
          <a:spLocks noChangeShapeType="1"/>
        </xdr:cNvSpPr>
      </xdr:nvSpPr>
      <xdr:spPr bwMode="auto">
        <a:xfrm flipH="1">
          <a:off x="16116300" y="47910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733425</xdr:colOff>
      <xdr:row>25</xdr:row>
      <xdr:rowOff>152400</xdr:rowOff>
    </xdr:from>
    <xdr:to>
      <xdr:col>23</xdr:col>
      <xdr:colOff>57150</xdr:colOff>
      <xdr:row>26</xdr:row>
      <xdr:rowOff>38100</xdr:rowOff>
    </xdr:to>
    <xdr:sp macro="" textlink="">
      <xdr:nvSpPr>
        <xdr:cNvPr id="651" name="Line 93268">
          <a:extLst>
            <a:ext uri="{FF2B5EF4-FFF2-40B4-BE49-F238E27FC236}">
              <a16:creationId xmlns:a16="http://schemas.microsoft.com/office/drawing/2014/main" id="{00000000-0008-0000-0000-00008B020000}"/>
            </a:ext>
          </a:extLst>
        </xdr:cNvPr>
        <xdr:cNvSpPr>
          <a:spLocks noChangeShapeType="1"/>
        </xdr:cNvSpPr>
      </xdr:nvSpPr>
      <xdr:spPr bwMode="auto">
        <a:xfrm flipH="1">
          <a:off x="16592550" y="47910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704850</xdr:colOff>
      <xdr:row>24</xdr:row>
      <xdr:rowOff>19050</xdr:rowOff>
    </xdr:from>
    <xdr:to>
      <xdr:col>23</xdr:col>
      <xdr:colOff>76200</xdr:colOff>
      <xdr:row>24</xdr:row>
      <xdr:rowOff>142875</xdr:rowOff>
    </xdr:to>
    <xdr:sp macro="" textlink="">
      <xdr:nvSpPr>
        <xdr:cNvPr id="652" name="Oval 93269">
          <a:extLst>
            <a:ext uri="{FF2B5EF4-FFF2-40B4-BE49-F238E27FC236}">
              <a16:creationId xmlns:a16="http://schemas.microsoft.com/office/drawing/2014/main" id="{00000000-0008-0000-0000-00008C020000}"/>
            </a:ext>
          </a:extLst>
        </xdr:cNvPr>
        <xdr:cNvSpPr>
          <a:spLocks noChangeArrowheads="1"/>
        </xdr:cNvSpPr>
      </xdr:nvSpPr>
      <xdr:spPr bwMode="auto">
        <a:xfrm>
          <a:off x="16563975" y="4457700"/>
          <a:ext cx="123825" cy="1238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552450</xdr:colOff>
      <xdr:row>292</xdr:row>
      <xdr:rowOff>161925</xdr:rowOff>
    </xdr:from>
    <xdr:to>
      <xdr:col>5</xdr:col>
      <xdr:colOff>609600</xdr:colOff>
      <xdr:row>296</xdr:row>
      <xdr:rowOff>47625</xdr:rowOff>
    </xdr:to>
    <xdr:sp macro="" textlink="">
      <xdr:nvSpPr>
        <xdr:cNvPr id="653" name="Tegning 308">
          <a:extLst>
            <a:ext uri="{FF2B5EF4-FFF2-40B4-BE49-F238E27FC236}">
              <a16:creationId xmlns:a16="http://schemas.microsoft.com/office/drawing/2014/main" id="{00000000-0008-0000-0000-00008D020000}"/>
            </a:ext>
          </a:extLst>
        </xdr:cNvPr>
        <xdr:cNvSpPr>
          <a:spLocks/>
        </xdr:cNvSpPr>
      </xdr:nvSpPr>
      <xdr:spPr bwMode="auto">
        <a:xfrm>
          <a:off x="1933575" y="56426100"/>
          <a:ext cx="1333500" cy="6477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293</xdr:row>
      <xdr:rowOff>209550</xdr:rowOff>
    </xdr:from>
    <xdr:to>
      <xdr:col>3</xdr:col>
      <xdr:colOff>0</xdr:colOff>
      <xdr:row>294</xdr:row>
      <xdr:rowOff>142875</xdr:rowOff>
    </xdr:to>
    <xdr:sp macro="" textlink="">
      <xdr:nvSpPr>
        <xdr:cNvPr id="654" name="Tegning 309">
          <a:extLst>
            <a:ext uri="{FF2B5EF4-FFF2-40B4-BE49-F238E27FC236}">
              <a16:creationId xmlns:a16="http://schemas.microsoft.com/office/drawing/2014/main" id="{00000000-0008-0000-0000-00008E020000}"/>
            </a:ext>
          </a:extLst>
        </xdr:cNvPr>
        <xdr:cNvSpPr>
          <a:spLocks/>
        </xdr:cNvSpPr>
      </xdr:nvSpPr>
      <xdr:spPr bwMode="auto">
        <a:xfrm>
          <a:off x="1476375" y="56645175"/>
          <a:ext cx="485775" cy="142875"/>
        </a:xfrm>
        <a:custGeom>
          <a:avLst/>
          <a:gdLst>
            <a:gd name="T0" fmla="*/ 2147483647 w 16384"/>
            <a:gd name="T1" fmla="*/ 0 h 16384"/>
            <a:gd name="T2" fmla="*/ 0 w 16384"/>
            <a:gd name="T3" fmla="*/ 0 h 16384"/>
            <a:gd name="T4" fmla="*/ 0 w 16384"/>
            <a:gd name="T5" fmla="*/ 826231030 h 16384"/>
            <a:gd name="T6" fmla="*/ 2147483647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293</xdr:row>
      <xdr:rowOff>209550</xdr:rowOff>
    </xdr:from>
    <xdr:to>
      <xdr:col>5</xdr:col>
      <xdr:colOff>209550</xdr:colOff>
      <xdr:row>294</xdr:row>
      <xdr:rowOff>142875</xdr:rowOff>
    </xdr:to>
    <xdr:sp macro="" textlink="">
      <xdr:nvSpPr>
        <xdr:cNvPr id="655" name="Tegning 310">
          <a:extLst>
            <a:ext uri="{FF2B5EF4-FFF2-40B4-BE49-F238E27FC236}">
              <a16:creationId xmlns:a16="http://schemas.microsoft.com/office/drawing/2014/main" id="{00000000-0008-0000-0000-00008F020000}"/>
            </a:ext>
          </a:extLst>
        </xdr:cNvPr>
        <xdr:cNvSpPr>
          <a:spLocks/>
        </xdr:cNvSpPr>
      </xdr:nvSpPr>
      <xdr:spPr bwMode="auto">
        <a:xfrm>
          <a:off x="1962150" y="56645175"/>
          <a:ext cx="904875" cy="142875"/>
        </a:xfrm>
        <a:custGeom>
          <a:avLst/>
          <a:gdLst>
            <a:gd name="T0" fmla="*/ 0 w 16384"/>
            <a:gd name="T1" fmla="*/ 0 h 16384"/>
            <a:gd name="T2" fmla="*/ 2147483647 w 16384"/>
            <a:gd name="T3" fmla="*/ 0 h 16384"/>
            <a:gd name="T4" fmla="*/ 2147483647 w 16384"/>
            <a:gd name="T5" fmla="*/ 826231030 h 16384"/>
            <a:gd name="T6" fmla="*/ 0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291</xdr:row>
      <xdr:rowOff>171450</xdr:rowOff>
    </xdr:from>
    <xdr:to>
      <xdr:col>3</xdr:col>
      <xdr:colOff>257175</xdr:colOff>
      <xdr:row>293</xdr:row>
      <xdr:rowOff>180975</xdr:rowOff>
    </xdr:to>
    <xdr:sp macro="" textlink="">
      <xdr:nvSpPr>
        <xdr:cNvPr id="656" name="Tegning 311">
          <a:extLst>
            <a:ext uri="{FF2B5EF4-FFF2-40B4-BE49-F238E27FC236}">
              <a16:creationId xmlns:a16="http://schemas.microsoft.com/office/drawing/2014/main" id="{00000000-0008-0000-0000-000090020000}"/>
            </a:ext>
          </a:extLst>
        </xdr:cNvPr>
        <xdr:cNvSpPr>
          <a:spLocks/>
        </xdr:cNvSpPr>
      </xdr:nvSpPr>
      <xdr:spPr bwMode="auto">
        <a:xfrm>
          <a:off x="1924050" y="56245125"/>
          <a:ext cx="295275" cy="390525"/>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294</xdr:row>
      <xdr:rowOff>152400</xdr:rowOff>
    </xdr:from>
    <xdr:to>
      <xdr:col>2</xdr:col>
      <xdr:colOff>381000</xdr:colOff>
      <xdr:row>296</xdr:row>
      <xdr:rowOff>152400</xdr:rowOff>
    </xdr:to>
    <xdr:sp macro="" textlink="">
      <xdr:nvSpPr>
        <xdr:cNvPr id="657" name="Tegning 312">
          <a:extLst>
            <a:ext uri="{FF2B5EF4-FFF2-40B4-BE49-F238E27FC236}">
              <a16:creationId xmlns:a16="http://schemas.microsoft.com/office/drawing/2014/main" id="{00000000-0008-0000-0000-000091020000}"/>
            </a:ext>
          </a:extLst>
        </xdr:cNvPr>
        <xdr:cNvSpPr>
          <a:spLocks/>
        </xdr:cNvSpPr>
      </xdr:nvSpPr>
      <xdr:spPr bwMode="auto">
        <a:xfrm>
          <a:off x="1543050" y="56797575"/>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294</xdr:row>
      <xdr:rowOff>142875</xdr:rowOff>
    </xdr:from>
    <xdr:to>
      <xdr:col>5</xdr:col>
      <xdr:colOff>209550</xdr:colOff>
      <xdr:row>294</xdr:row>
      <xdr:rowOff>142875</xdr:rowOff>
    </xdr:to>
    <xdr:sp macro="" textlink="">
      <xdr:nvSpPr>
        <xdr:cNvPr id="658" name="Line 93277">
          <a:extLst>
            <a:ext uri="{FF2B5EF4-FFF2-40B4-BE49-F238E27FC236}">
              <a16:creationId xmlns:a16="http://schemas.microsoft.com/office/drawing/2014/main" id="{00000000-0008-0000-0000-000092020000}"/>
            </a:ext>
          </a:extLst>
        </xdr:cNvPr>
        <xdr:cNvSpPr>
          <a:spLocks noChangeShapeType="1"/>
        </xdr:cNvSpPr>
      </xdr:nvSpPr>
      <xdr:spPr bwMode="auto">
        <a:xfrm>
          <a:off x="2705100" y="56788050"/>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294</xdr:row>
      <xdr:rowOff>171450</xdr:rowOff>
    </xdr:from>
    <xdr:to>
      <xdr:col>5</xdr:col>
      <xdr:colOff>47625</xdr:colOff>
      <xdr:row>296</xdr:row>
      <xdr:rowOff>28575</xdr:rowOff>
    </xdr:to>
    <xdr:sp macro="" textlink="">
      <xdr:nvSpPr>
        <xdr:cNvPr id="659" name="Line 93278">
          <a:extLst>
            <a:ext uri="{FF2B5EF4-FFF2-40B4-BE49-F238E27FC236}">
              <a16:creationId xmlns:a16="http://schemas.microsoft.com/office/drawing/2014/main" id="{00000000-0008-0000-0000-000093020000}"/>
            </a:ext>
          </a:extLst>
        </xdr:cNvPr>
        <xdr:cNvSpPr>
          <a:spLocks noChangeShapeType="1"/>
        </xdr:cNvSpPr>
      </xdr:nvSpPr>
      <xdr:spPr bwMode="auto">
        <a:xfrm flipH="1">
          <a:off x="2438400" y="5681662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294</xdr:row>
      <xdr:rowOff>171450</xdr:rowOff>
    </xdr:from>
    <xdr:to>
      <xdr:col>5</xdr:col>
      <xdr:colOff>447675</xdr:colOff>
      <xdr:row>296</xdr:row>
      <xdr:rowOff>0</xdr:rowOff>
    </xdr:to>
    <xdr:sp macro="" textlink="">
      <xdr:nvSpPr>
        <xdr:cNvPr id="660" name="Line 93279">
          <a:extLst>
            <a:ext uri="{FF2B5EF4-FFF2-40B4-BE49-F238E27FC236}">
              <a16:creationId xmlns:a16="http://schemas.microsoft.com/office/drawing/2014/main" id="{00000000-0008-0000-0000-000094020000}"/>
            </a:ext>
          </a:extLst>
        </xdr:cNvPr>
        <xdr:cNvSpPr>
          <a:spLocks noChangeShapeType="1"/>
        </xdr:cNvSpPr>
      </xdr:nvSpPr>
      <xdr:spPr bwMode="auto">
        <a:xfrm>
          <a:off x="2895600" y="56816625"/>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294</xdr:row>
      <xdr:rowOff>152400</xdr:rowOff>
    </xdr:from>
    <xdr:to>
      <xdr:col>5</xdr:col>
      <xdr:colOff>247650</xdr:colOff>
      <xdr:row>296</xdr:row>
      <xdr:rowOff>104775</xdr:rowOff>
    </xdr:to>
    <xdr:sp macro="" textlink="">
      <xdr:nvSpPr>
        <xdr:cNvPr id="661" name="Tegning 316">
          <a:extLst>
            <a:ext uri="{FF2B5EF4-FFF2-40B4-BE49-F238E27FC236}">
              <a16:creationId xmlns:a16="http://schemas.microsoft.com/office/drawing/2014/main" id="{00000000-0008-0000-0000-000095020000}"/>
            </a:ext>
          </a:extLst>
        </xdr:cNvPr>
        <xdr:cNvSpPr>
          <a:spLocks/>
        </xdr:cNvSpPr>
      </xdr:nvSpPr>
      <xdr:spPr bwMode="auto">
        <a:xfrm>
          <a:off x="2667000" y="56797575"/>
          <a:ext cx="238125" cy="333375"/>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299</xdr:row>
      <xdr:rowOff>47625</xdr:rowOff>
    </xdr:from>
    <xdr:to>
      <xdr:col>5</xdr:col>
      <xdr:colOff>47625</xdr:colOff>
      <xdr:row>300</xdr:row>
      <xdr:rowOff>142875</xdr:rowOff>
    </xdr:to>
    <xdr:sp macro="" textlink="">
      <xdr:nvSpPr>
        <xdr:cNvPr id="662" name="Line 93281">
          <a:extLst>
            <a:ext uri="{FF2B5EF4-FFF2-40B4-BE49-F238E27FC236}">
              <a16:creationId xmlns:a16="http://schemas.microsoft.com/office/drawing/2014/main" id="{00000000-0008-0000-0000-000096020000}"/>
            </a:ext>
          </a:extLst>
        </xdr:cNvPr>
        <xdr:cNvSpPr>
          <a:spLocks noChangeShapeType="1"/>
        </xdr:cNvSpPr>
      </xdr:nvSpPr>
      <xdr:spPr bwMode="auto">
        <a:xfrm flipV="1">
          <a:off x="2705100" y="5764530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299</xdr:row>
      <xdr:rowOff>85725</xdr:rowOff>
    </xdr:from>
    <xdr:to>
      <xdr:col>5</xdr:col>
      <xdr:colOff>276225</xdr:colOff>
      <xdr:row>299</xdr:row>
      <xdr:rowOff>85725</xdr:rowOff>
    </xdr:to>
    <xdr:sp macro="" textlink="">
      <xdr:nvSpPr>
        <xdr:cNvPr id="663" name="Line 93282">
          <a:extLst>
            <a:ext uri="{FF2B5EF4-FFF2-40B4-BE49-F238E27FC236}">
              <a16:creationId xmlns:a16="http://schemas.microsoft.com/office/drawing/2014/main" id="{00000000-0008-0000-0000-000097020000}"/>
            </a:ext>
          </a:extLst>
        </xdr:cNvPr>
        <xdr:cNvSpPr>
          <a:spLocks noChangeShapeType="1"/>
        </xdr:cNvSpPr>
      </xdr:nvSpPr>
      <xdr:spPr bwMode="auto">
        <a:xfrm>
          <a:off x="2686050" y="57683400"/>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299</xdr:row>
      <xdr:rowOff>47625</xdr:rowOff>
    </xdr:from>
    <xdr:to>
      <xdr:col>5</xdr:col>
      <xdr:colOff>95250</xdr:colOff>
      <xdr:row>299</xdr:row>
      <xdr:rowOff>123825</xdr:rowOff>
    </xdr:to>
    <xdr:sp macro="" textlink="">
      <xdr:nvSpPr>
        <xdr:cNvPr id="664" name="Line 93283">
          <a:extLst>
            <a:ext uri="{FF2B5EF4-FFF2-40B4-BE49-F238E27FC236}">
              <a16:creationId xmlns:a16="http://schemas.microsoft.com/office/drawing/2014/main" id="{00000000-0008-0000-0000-000098020000}"/>
            </a:ext>
          </a:extLst>
        </xdr:cNvPr>
        <xdr:cNvSpPr>
          <a:spLocks noChangeShapeType="1"/>
        </xdr:cNvSpPr>
      </xdr:nvSpPr>
      <xdr:spPr bwMode="auto">
        <a:xfrm flipV="1">
          <a:off x="2657475" y="576453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299</xdr:row>
      <xdr:rowOff>57150</xdr:rowOff>
    </xdr:from>
    <xdr:to>
      <xdr:col>5</xdr:col>
      <xdr:colOff>257175</xdr:colOff>
      <xdr:row>299</xdr:row>
      <xdr:rowOff>123825</xdr:rowOff>
    </xdr:to>
    <xdr:sp macro="" textlink="">
      <xdr:nvSpPr>
        <xdr:cNvPr id="665" name="Line 93284">
          <a:extLst>
            <a:ext uri="{FF2B5EF4-FFF2-40B4-BE49-F238E27FC236}">
              <a16:creationId xmlns:a16="http://schemas.microsoft.com/office/drawing/2014/main" id="{00000000-0008-0000-0000-000099020000}"/>
            </a:ext>
          </a:extLst>
        </xdr:cNvPr>
        <xdr:cNvSpPr>
          <a:spLocks noChangeShapeType="1"/>
        </xdr:cNvSpPr>
      </xdr:nvSpPr>
      <xdr:spPr bwMode="auto">
        <a:xfrm flipH="1">
          <a:off x="2838450" y="576548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300</xdr:row>
      <xdr:rowOff>180975</xdr:rowOff>
    </xdr:from>
    <xdr:to>
      <xdr:col>5</xdr:col>
      <xdr:colOff>228600</xdr:colOff>
      <xdr:row>302</xdr:row>
      <xdr:rowOff>0</xdr:rowOff>
    </xdr:to>
    <xdr:sp macro="" textlink="">
      <xdr:nvSpPr>
        <xdr:cNvPr id="666" name="Rectangle 93285">
          <a:extLst>
            <a:ext uri="{FF2B5EF4-FFF2-40B4-BE49-F238E27FC236}">
              <a16:creationId xmlns:a16="http://schemas.microsoft.com/office/drawing/2014/main" id="{00000000-0008-0000-0000-00009A020000}"/>
            </a:ext>
          </a:extLst>
        </xdr:cNvPr>
        <xdr:cNvSpPr>
          <a:spLocks noChangeArrowheads="1"/>
        </xdr:cNvSpPr>
      </xdr:nvSpPr>
      <xdr:spPr bwMode="auto">
        <a:xfrm>
          <a:off x="2705100" y="57969150"/>
          <a:ext cx="180975" cy="209550"/>
        </a:xfrm>
        <a:prstGeom prst="rect">
          <a:avLst/>
        </a:prstGeom>
        <a:solidFill>
          <a:srgbClr xmlns:mc="http://schemas.openxmlformats.org/markup-compatibility/2006" xmlns:a14="http://schemas.microsoft.com/office/drawing/2010/main" val="FFFFFF" mc:Ignorable="a14" a14:legacySpreadsheetColorIndex="65">
            <a:alpha val="0"/>
          </a:srgbClr>
        </a:solidFill>
        <a:ln w="222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152400</xdr:colOff>
      <xdr:row>300</xdr:row>
      <xdr:rowOff>114300</xdr:rowOff>
    </xdr:from>
    <xdr:to>
      <xdr:col>4</xdr:col>
      <xdr:colOff>152400</xdr:colOff>
      <xdr:row>302</xdr:row>
      <xdr:rowOff>38100</xdr:rowOff>
    </xdr:to>
    <xdr:sp macro="" textlink="">
      <xdr:nvSpPr>
        <xdr:cNvPr id="667" name="Line 93286">
          <a:extLst>
            <a:ext uri="{FF2B5EF4-FFF2-40B4-BE49-F238E27FC236}">
              <a16:creationId xmlns:a16="http://schemas.microsoft.com/office/drawing/2014/main" id="{00000000-0008-0000-0000-00009B020000}"/>
            </a:ext>
          </a:extLst>
        </xdr:cNvPr>
        <xdr:cNvSpPr>
          <a:spLocks noChangeShapeType="1"/>
        </xdr:cNvSpPr>
      </xdr:nvSpPr>
      <xdr:spPr bwMode="auto">
        <a:xfrm>
          <a:off x="2486025" y="57902475"/>
          <a:ext cx="0" cy="31432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438150</xdr:colOff>
      <xdr:row>300</xdr:row>
      <xdr:rowOff>133350</xdr:rowOff>
    </xdr:from>
    <xdr:to>
      <xdr:col>5</xdr:col>
      <xdr:colOff>438150</xdr:colOff>
      <xdr:row>302</xdr:row>
      <xdr:rowOff>85725</xdr:rowOff>
    </xdr:to>
    <xdr:sp macro="" textlink="">
      <xdr:nvSpPr>
        <xdr:cNvPr id="668" name="Line 93287">
          <a:extLst>
            <a:ext uri="{FF2B5EF4-FFF2-40B4-BE49-F238E27FC236}">
              <a16:creationId xmlns:a16="http://schemas.microsoft.com/office/drawing/2014/main" id="{00000000-0008-0000-0000-00009C020000}"/>
            </a:ext>
          </a:extLst>
        </xdr:cNvPr>
        <xdr:cNvSpPr>
          <a:spLocks noChangeShapeType="1"/>
        </xdr:cNvSpPr>
      </xdr:nvSpPr>
      <xdr:spPr bwMode="auto">
        <a:xfrm>
          <a:off x="3095625" y="57921525"/>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152400</xdr:colOff>
      <xdr:row>299</xdr:row>
      <xdr:rowOff>180975</xdr:rowOff>
    </xdr:from>
    <xdr:to>
      <xdr:col>5</xdr:col>
      <xdr:colOff>0</xdr:colOff>
      <xdr:row>300</xdr:row>
      <xdr:rowOff>123825</xdr:rowOff>
    </xdr:to>
    <xdr:sp macro="" textlink="">
      <xdr:nvSpPr>
        <xdr:cNvPr id="669" name="Arc 93288">
          <a:extLst>
            <a:ext uri="{FF2B5EF4-FFF2-40B4-BE49-F238E27FC236}">
              <a16:creationId xmlns:a16="http://schemas.microsoft.com/office/drawing/2014/main" id="{00000000-0008-0000-0000-00009D020000}"/>
            </a:ext>
          </a:extLst>
        </xdr:cNvPr>
        <xdr:cNvSpPr>
          <a:spLocks/>
        </xdr:cNvSpPr>
      </xdr:nvSpPr>
      <xdr:spPr bwMode="auto">
        <a:xfrm flipH="1">
          <a:off x="2486025" y="57778650"/>
          <a:ext cx="171450" cy="133350"/>
        </a:xfrm>
        <a:custGeom>
          <a:avLst/>
          <a:gdLst>
            <a:gd name="T0" fmla="*/ 0 w 21600"/>
            <a:gd name="T1" fmla="*/ 0 h 21600"/>
            <a:gd name="T2" fmla="*/ 680569267 w 21600"/>
            <a:gd name="T3" fmla="*/ 193709143 h 21600"/>
            <a:gd name="T4" fmla="*/ 0 w 21600"/>
            <a:gd name="T5" fmla="*/ 193709143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266700</xdr:colOff>
      <xdr:row>299</xdr:row>
      <xdr:rowOff>180975</xdr:rowOff>
    </xdr:from>
    <xdr:to>
      <xdr:col>5</xdr:col>
      <xdr:colOff>438150</xdr:colOff>
      <xdr:row>301</xdr:row>
      <xdr:rowOff>19050</xdr:rowOff>
    </xdr:to>
    <xdr:sp macro="" textlink="">
      <xdr:nvSpPr>
        <xdr:cNvPr id="670" name="Arc 93289">
          <a:extLst>
            <a:ext uri="{FF2B5EF4-FFF2-40B4-BE49-F238E27FC236}">
              <a16:creationId xmlns:a16="http://schemas.microsoft.com/office/drawing/2014/main" id="{00000000-0008-0000-0000-00009E020000}"/>
            </a:ext>
          </a:extLst>
        </xdr:cNvPr>
        <xdr:cNvSpPr>
          <a:spLocks/>
        </xdr:cNvSpPr>
      </xdr:nvSpPr>
      <xdr:spPr bwMode="auto">
        <a:xfrm>
          <a:off x="2924175" y="57778650"/>
          <a:ext cx="171450" cy="228600"/>
        </a:xfrm>
        <a:custGeom>
          <a:avLst/>
          <a:gdLst>
            <a:gd name="T0" fmla="*/ 0 w 19492"/>
            <a:gd name="T1" fmla="*/ 0 h 21600"/>
            <a:gd name="T2" fmla="*/ 1026270550 w 19492"/>
            <a:gd name="T3" fmla="*/ 1632327719 h 21600"/>
            <a:gd name="T4" fmla="*/ 0 w 19492"/>
            <a:gd name="T5" fmla="*/ 2147483647 h 21600"/>
            <a:gd name="T6" fmla="*/ 0 60000 65536"/>
            <a:gd name="T7" fmla="*/ 0 60000 65536"/>
            <a:gd name="T8" fmla="*/ 0 60000 65536"/>
          </a:gdLst>
          <a:ahLst/>
          <a:cxnLst>
            <a:cxn ang="T6">
              <a:pos x="T0" y="T1"/>
            </a:cxn>
            <a:cxn ang="T7">
              <a:pos x="T2" y="T3"/>
            </a:cxn>
            <a:cxn ang="T8">
              <a:pos x="T4" y="T5"/>
            </a:cxn>
          </a:cxnLst>
          <a:rect l="0" t="0" r="r" b="b"/>
          <a:pathLst>
            <a:path w="19492" h="21600" fill="none" extrusionOk="0">
              <a:moveTo>
                <a:pt x="-1" y="0"/>
              </a:moveTo>
              <a:cubicBezTo>
                <a:pt x="8323" y="0"/>
                <a:pt x="15906" y="4782"/>
                <a:pt x="19492" y="12293"/>
              </a:cubicBezTo>
            </a:path>
            <a:path w="19492" h="21600" stroke="0" extrusionOk="0">
              <a:moveTo>
                <a:pt x="-1" y="0"/>
              </a:moveTo>
              <a:cubicBezTo>
                <a:pt x="8323" y="0"/>
                <a:pt x="15906" y="4782"/>
                <a:pt x="19492" y="12293"/>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299</xdr:row>
      <xdr:rowOff>180975</xdr:rowOff>
    </xdr:from>
    <xdr:to>
      <xdr:col>5</xdr:col>
      <xdr:colOff>266700</xdr:colOff>
      <xdr:row>299</xdr:row>
      <xdr:rowOff>180975</xdr:rowOff>
    </xdr:to>
    <xdr:sp macro="" textlink="">
      <xdr:nvSpPr>
        <xdr:cNvPr id="671" name="Line 93290">
          <a:extLst>
            <a:ext uri="{FF2B5EF4-FFF2-40B4-BE49-F238E27FC236}">
              <a16:creationId xmlns:a16="http://schemas.microsoft.com/office/drawing/2014/main" id="{00000000-0008-0000-0000-00009F020000}"/>
            </a:ext>
          </a:extLst>
        </xdr:cNvPr>
        <xdr:cNvSpPr>
          <a:spLocks noChangeShapeType="1"/>
        </xdr:cNvSpPr>
      </xdr:nvSpPr>
      <xdr:spPr bwMode="auto">
        <a:xfrm>
          <a:off x="2647950" y="57778650"/>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303</xdr:row>
      <xdr:rowOff>9525</xdr:rowOff>
    </xdr:from>
    <xdr:to>
      <xdr:col>5</xdr:col>
      <xdr:colOff>266700</xdr:colOff>
      <xdr:row>303</xdr:row>
      <xdr:rowOff>9525</xdr:rowOff>
    </xdr:to>
    <xdr:sp macro="" textlink="">
      <xdr:nvSpPr>
        <xdr:cNvPr id="672" name="Line 93291">
          <a:extLst>
            <a:ext uri="{FF2B5EF4-FFF2-40B4-BE49-F238E27FC236}">
              <a16:creationId xmlns:a16="http://schemas.microsoft.com/office/drawing/2014/main" id="{00000000-0008-0000-0000-0000A0020000}"/>
            </a:ext>
          </a:extLst>
        </xdr:cNvPr>
        <xdr:cNvSpPr>
          <a:spLocks noChangeShapeType="1"/>
        </xdr:cNvSpPr>
      </xdr:nvSpPr>
      <xdr:spPr bwMode="auto">
        <a:xfrm>
          <a:off x="2628900" y="583787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302</xdr:row>
      <xdr:rowOff>76200</xdr:rowOff>
    </xdr:from>
    <xdr:to>
      <xdr:col>5</xdr:col>
      <xdr:colOff>438150</xdr:colOff>
      <xdr:row>303</xdr:row>
      <xdr:rowOff>9525</xdr:rowOff>
    </xdr:to>
    <xdr:sp macro="" textlink="">
      <xdr:nvSpPr>
        <xdr:cNvPr id="673" name="Arc 93292">
          <a:extLst>
            <a:ext uri="{FF2B5EF4-FFF2-40B4-BE49-F238E27FC236}">
              <a16:creationId xmlns:a16="http://schemas.microsoft.com/office/drawing/2014/main" id="{00000000-0008-0000-0000-0000A1020000}"/>
            </a:ext>
          </a:extLst>
        </xdr:cNvPr>
        <xdr:cNvSpPr>
          <a:spLocks/>
        </xdr:cNvSpPr>
      </xdr:nvSpPr>
      <xdr:spPr bwMode="auto">
        <a:xfrm flipV="1">
          <a:off x="2924175" y="58254900"/>
          <a:ext cx="171450" cy="123825"/>
        </a:xfrm>
        <a:custGeom>
          <a:avLst/>
          <a:gdLst>
            <a:gd name="T0" fmla="*/ 0 w 21600"/>
            <a:gd name="T1" fmla="*/ 0 h 21600"/>
            <a:gd name="T2" fmla="*/ 680569267 w 21600"/>
            <a:gd name="T3" fmla="*/ 133729320 h 21600"/>
            <a:gd name="T4" fmla="*/ 0 w 21600"/>
            <a:gd name="T5" fmla="*/ 13372932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152400</xdr:colOff>
      <xdr:row>302</xdr:row>
      <xdr:rowOff>57150</xdr:rowOff>
    </xdr:from>
    <xdr:to>
      <xdr:col>4</xdr:col>
      <xdr:colOff>314325</xdr:colOff>
      <xdr:row>303</xdr:row>
      <xdr:rowOff>9525</xdr:rowOff>
    </xdr:to>
    <xdr:sp macro="" textlink="">
      <xdr:nvSpPr>
        <xdr:cNvPr id="674" name="Arc 93293">
          <a:extLst>
            <a:ext uri="{FF2B5EF4-FFF2-40B4-BE49-F238E27FC236}">
              <a16:creationId xmlns:a16="http://schemas.microsoft.com/office/drawing/2014/main" id="{00000000-0008-0000-0000-0000A2020000}"/>
            </a:ext>
          </a:extLst>
        </xdr:cNvPr>
        <xdr:cNvSpPr>
          <a:spLocks/>
        </xdr:cNvSpPr>
      </xdr:nvSpPr>
      <xdr:spPr bwMode="auto">
        <a:xfrm flipH="1" flipV="1">
          <a:off x="2486025" y="58235850"/>
          <a:ext cx="161925" cy="142875"/>
        </a:xfrm>
        <a:custGeom>
          <a:avLst/>
          <a:gdLst>
            <a:gd name="T0" fmla="*/ 0 w 21600"/>
            <a:gd name="T1" fmla="*/ 0 h 21600"/>
            <a:gd name="T2" fmla="*/ 511392607 w 21600"/>
            <a:gd name="T3" fmla="*/ 273505732 h 21600"/>
            <a:gd name="T4" fmla="*/ 0 w 21600"/>
            <a:gd name="T5" fmla="*/ 273505732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228600</xdr:colOff>
      <xdr:row>299</xdr:row>
      <xdr:rowOff>38100</xdr:rowOff>
    </xdr:from>
    <xdr:to>
      <xdr:col>5</xdr:col>
      <xdr:colOff>228600</xdr:colOff>
      <xdr:row>300</xdr:row>
      <xdr:rowOff>152400</xdr:rowOff>
    </xdr:to>
    <xdr:sp macro="" textlink="">
      <xdr:nvSpPr>
        <xdr:cNvPr id="675" name="Line 93294">
          <a:extLst>
            <a:ext uri="{FF2B5EF4-FFF2-40B4-BE49-F238E27FC236}">
              <a16:creationId xmlns:a16="http://schemas.microsoft.com/office/drawing/2014/main" id="{00000000-0008-0000-0000-0000A3020000}"/>
            </a:ext>
          </a:extLst>
        </xdr:cNvPr>
        <xdr:cNvSpPr>
          <a:spLocks noChangeShapeType="1"/>
        </xdr:cNvSpPr>
      </xdr:nvSpPr>
      <xdr:spPr bwMode="auto">
        <a:xfrm flipV="1">
          <a:off x="2886075" y="5763577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300</xdr:row>
      <xdr:rowOff>180975</xdr:rowOff>
    </xdr:from>
    <xdr:to>
      <xdr:col>5</xdr:col>
      <xdr:colOff>542925</xdr:colOff>
      <xdr:row>300</xdr:row>
      <xdr:rowOff>180975</xdr:rowOff>
    </xdr:to>
    <xdr:sp macro="" textlink="">
      <xdr:nvSpPr>
        <xdr:cNvPr id="676" name="Line 93295">
          <a:extLst>
            <a:ext uri="{FF2B5EF4-FFF2-40B4-BE49-F238E27FC236}">
              <a16:creationId xmlns:a16="http://schemas.microsoft.com/office/drawing/2014/main" id="{00000000-0008-0000-0000-0000A4020000}"/>
            </a:ext>
          </a:extLst>
        </xdr:cNvPr>
        <xdr:cNvSpPr>
          <a:spLocks noChangeShapeType="1"/>
        </xdr:cNvSpPr>
      </xdr:nvSpPr>
      <xdr:spPr bwMode="auto">
        <a:xfrm>
          <a:off x="2924175" y="57969150"/>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302</xdr:row>
      <xdr:rowOff>0</xdr:rowOff>
    </xdr:from>
    <xdr:to>
      <xdr:col>5</xdr:col>
      <xdr:colOff>523875</xdr:colOff>
      <xdr:row>302</xdr:row>
      <xdr:rowOff>0</xdr:rowOff>
    </xdr:to>
    <xdr:sp macro="" textlink="">
      <xdr:nvSpPr>
        <xdr:cNvPr id="677" name="Line 93296">
          <a:extLst>
            <a:ext uri="{FF2B5EF4-FFF2-40B4-BE49-F238E27FC236}">
              <a16:creationId xmlns:a16="http://schemas.microsoft.com/office/drawing/2014/main" id="{00000000-0008-0000-0000-0000A5020000}"/>
            </a:ext>
          </a:extLst>
        </xdr:cNvPr>
        <xdr:cNvSpPr>
          <a:spLocks noChangeShapeType="1"/>
        </xdr:cNvSpPr>
      </xdr:nvSpPr>
      <xdr:spPr bwMode="auto">
        <a:xfrm>
          <a:off x="2933700" y="58178700"/>
          <a:ext cx="247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504825</xdr:colOff>
      <xdr:row>300</xdr:row>
      <xdr:rowOff>152400</xdr:rowOff>
    </xdr:from>
    <xdr:to>
      <xdr:col>5</xdr:col>
      <xdr:colOff>504825</xdr:colOff>
      <xdr:row>302</xdr:row>
      <xdr:rowOff>38100</xdr:rowOff>
    </xdr:to>
    <xdr:sp macro="" textlink="">
      <xdr:nvSpPr>
        <xdr:cNvPr id="678" name="Line 93297">
          <a:extLst>
            <a:ext uri="{FF2B5EF4-FFF2-40B4-BE49-F238E27FC236}">
              <a16:creationId xmlns:a16="http://schemas.microsoft.com/office/drawing/2014/main" id="{00000000-0008-0000-0000-0000A6020000}"/>
            </a:ext>
          </a:extLst>
        </xdr:cNvPr>
        <xdr:cNvSpPr>
          <a:spLocks noChangeShapeType="1"/>
        </xdr:cNvSpPr>
      </xdr:nvSpPr>
      <xdr:spPr bwMode="auto">
        <a:xfrm>
          <a:off x="3162300" y="579405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300</xdr:row>
      <xdr:rowOff>152400</xdr:rowOff>
    </xdr:from>
    <xdr:to>
      <xdr:col>5</xdr:col>
      <xdr:colOff>542925</xdr:colOff>
      <xdr:row>301</xdr:row>
      <xdr:rowOff>9525</xdr:rowOff>
    </xdr:to>
    <xdr:sp macro="" textlink="">
      <xdr:nvSpPr>
        <xdr:cNvPr id="679" name="Line 93298">
          <a:extLst>
            <a:ext uri="{FF2B5EF4-FFF2-40B4-BE49-F238E27FC236}">
              <a16:creationId xmlns:a16="http://schemas.microsoft.com/office/drawing/2014/main" id="{00000000-0008-0000-0000-0000A7020000}"/>
            </a:ext>
          </a:extLst>
        </xdr:cNvPr>
        <xdr:cNvSpPr>
          <a:spLocks noChangeShapeType="1"/>
        </xdr:cNvSpPr>
      </xdr:nvSpPr>
      <xdr:spPr bwMode="auto">
        <a:xfrm flipH="1">
          <a:off x="3124200" y="5794057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301</xdr:row>
      <xdr:rowOff>152400</xdr:rowOff>
    </xdr:from>
    <xdr:to>
      <xdr:col>5</xdr:col>
      <xdr:colOff>542925</xdr:colOff>
      <xdr:row>302</xdr:row>
      <xdr:rowOff>38100</xdr:rowOff>
    </xdr:to>
    <xdr:sp macro="" textlink="">
      <xdr:nvSpPr>
        <xdr:cNvPr id="680" name="Line 93299">
          <a:extLst>
            <a:ext uri="{FF2B5EF4-FFF2-40B4-BE49-F238E27FC236}">
              <a16:creationId xmlns:a16="http://schemas.microsoft.com/office/drawing/2014/main" id="{00000000-0008-0000-0000-0000A8020000}"/>
            </a:ext>
          </a:extLst>
        </xdr:cNvPr>
        <xdr:cNvSpPr>
          <a:spLocks noChangeShapeType="1"/>
        </xdr:cNvSpPr>
      </xdr:nvSpPr>
      <xdr:spPr bwMode="auto">
        <a:xfrm flipH="1">
          <a:off x="3124200" y="581406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142875</xdr:colOff>
      <xdr:row>301</xdr:row>
      <xdr:rowOff>180975</xdr:rowOff>
    </xdr:from>
    <xdr:to>
      <xdr:col>5</xdr:col>
      <xdr:colOff>47625</xdr:colOff>
      <xdr:row>302</xdr:row>
      <xdr:rowOff>85725</xdr:rowOff>
    </xdr:to>
    <xdr:sp macro="" textlink="">
      <xdr:nvSpPr>
        <xdr:cNvPr id="681" name="Line 93300">
          <a:extLst>
            <a:ext uri="{FF2B5EF4-FFF2-40B4-BE49-F238E27FC236}">
              <a16:creationId xmlns:a16="http://schemas.microsoft.com/office/drawing/2014/main" id="{00000000-0008-0000-0000-0000A9020000}"/>
            </a:ext>
          </a:extLst>
        </xdr:cNvPr>
        <xdr:cNvSpPr>
          <a:spLocks noChangeShapeType="1"/>
        </xdr:cNvSpPr>
      </xdr:nvSpPr>
      <xdr:spPr bwMode="auto">
        <a:xfrm flipH="1">
          <a:off x="2476500" y="58169175"/>
          <a:ext cx="2286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302</xdr:row>
      <xdr:rowOff>57150</xdr:rowOff>
    </xdr:from>
    <xdr:to>
      <xdr:col>4</xdr:col>
      <xdr:colOff>200025</xdr:colOff>
      <xdr:row>302</xdr:row>
      <xdr:rowOff>104775</xdr:rowOff>
    </xdr:to>
    <xdr:sp macro="" textlink="">
      <xdr:nvSpPr>
        <xdr:cNvPr id="682" name="Line 93301">
          <a:extLst>
            <a:ext uri="{FF2B5EF4-FFF2-40B4-BE49-F238E27FC236}">
              <a16:creationId xmlns:a16="http://schemas.microsoft.com/office/drawing/2014/main" id="{00000000-0008-0000-0000-0000AA020000}"/>
            </a:ext>
          </a:extLst>
        </xdr:cNvPr>
        <xdr:cNvSpPr>
          <a:spLocks noChangeShapeType="1"/>
        </xdr:cNvSpPr>
      </xdr:nvSpPr>
      <xdr:spPr bwMode="auto">
        <a:xfrm flipH="1" flipV="1">
          <a:off x="2447925" y="58235850"/>
          <a:ext cx="857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301</xdr:row>
      <xdr:rowOff>152400</xdr:rowOff>
    </xdr:from>
    <xdr:to>
      <xdr:col>5</xdr:col>
      <xdr:colOff>85725</xdr:colOff>
      <xdr:row>302</xdr:row>
      <xdr:rowOff>28575</xdr:rowOff>
    </xdr:to>
    <xdr:sp macro="" textlink="">
      <xdr:nvSpPr>
        <xdr:cNvPr id="683" name="Line 93302">
          <a:extLst>
            <a:ext uri="{FF2B5EF4-FFF2-40B4-BE49-F238E27FC236}">
              <a16:creationId xmlns:a16="http://schemas.microsoft.com/office/drawing/2014/main" id="{00000000-0008-0000-0000-0000AB020000}"/>
            </a:ext>
          </a:extLst>
        </xdr:cNvPr>
        <xdr:cNvSpPr>
          <a:spLocks noChangeShapeType="1"/>
        </xdr:cNvSpPr>
      </xdr:nvSpPr>
      <xdr:spPr bwMode="auto">
        <a:xfrm flipH="1" flipV="1">
          <a:off x="2667000" y="5814060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295</xdr:row>
      <xdr:rowOff>180975</xdr:rowOff>
    </xdr:from>
    <xdr:to>
      <xdr:col>5</xdr:col>
      <xdr:colOff>619125</xdr:colOff>
      <xdr:row>295</xdr:row>
      <xdr:rowOff>180975</xdr:rowOff>
    </xdr:to>
    <xdr:sp macro="" textlink="">
      <xdr:nvSpPr>
        <xdr:cNvPr id="684" name="Line 93303">
          <a:extLst>
            <a:ext uri="{FF2B5EF4-FFF2-40B4-BE49-F238E27FC236}">
              <a16:creationId xmlns:a16="http://schemas.microsoft.com/office/drawing/2014/main" id="{00000000-0008-0000-0000-0000AC020000}"/>
            </a:ext>
          </a:extLst>
        </xdr:cNvPr>
        <xdr:cNvSpPr>
          <a:spLocks noChangeShapeType="1"/>
        </xdr:cNvSpPr>
      </xdr:nvSpPr>
      <xdr:spPr bwMode="auto">
        <a:xfrm>
          <a:off x="2028825" y="57016650"/>
          <a:ext cx="124777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294</xdr:row>
      <xdr:rowOff>142875</xdr:rowOff>
    </xdr:from>
    <xdr:to>
      <xdr:col>6</xdr:col>
      <xdr:colOff>114300</xdr:colOff>
      <xdr:row>294</xdr:row>
      <xdr:rowOff>142875</xdr:rowOff>
    </xdr:to>
    <xdr:sp macro="" textlink="">
      <xdr:nvSpPr>
        <xdr:cNvPr id="685" name="Line 93304">
          <a:extLst>
            <a:ext uri="{FF2B5EF4-FFF2-40B4-BE49-F238E27FC236}">
              <a16:creationId xmlns:a16="http://schemas.microsoft.com/office/drawing/2014/main" id="{00000000-0008-0000-0000-0000AD020000}"/>
            </a:ext>
          </a:extLst>
        </xdr:cNvPr>
        <xdr:cNvSpPr>
          <a:spLocks noChangeShapeType="1"/>
        </xdr:cNvSpPr>
      </xdr:nvSpPr>
      <xdr:spPr bwMode="auto">
        <a:xfrm>
          <a:off x="2952750" y="56788050"/>
          <a:ext cx="571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676275</xdr:colOff>
      <xdr:row>295</xdr:row>
      <xdr:rowOff>171450</xdr:rowOff>
    </xdr:from>
    <xdr:to>
      <xdr:col>6</xdr:col>
      <xdr:colOff>133350</xdr:colOff>
      <xdr:row>295</xdr:row>
      <xdr:rowOff>171450</xdr:rowOff>
    </xdr:to>
    <xdr:sp macro="" textlink="">
      <xdr:nvSpPr>
        <xdr:cNvPr id="686" name="Line 93305">
          <a:extLst>
            <a:ext uri="{FF2B5EF4-FFF2-40B4-BE49-F238E27FC236}">
              <a16:creationId xmlns:a16="http://schemas.microsoft.com/office/drawing/2014/main" id="{00000000-0008-0000-0000-0000AE020000}"/>
            </a:ext>
          </a:extLst>
        </xdr:cNvPr>
        <xdr:cNvSpPr>
          <a:spLocks noChangeShapeType="1"/>
        </xdr:cNvSpPr>
      </xdr:nvSpPr>
      <xdr:spPr bwMode="auto">
        <a:xfrm>
          <a:off x="3333750" y="5700712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294</xdr:row>
      <xdr:rowOff>104775</xdr:rowOff>
    </xdr:from>
    <xdr:to>
      <xdr:col>6</xdr:col>
      <xdr:colOff>85725</xdr:colOff>
      <xdr:row>296</xdr:row>
      <xdr:rowOff>28575</xdr:rowOff>
    </xdr:to>
    <xdr:sp macro="" textlink="">
      <xdr:nvSpPr>
        <xdr:cNvPr id="687" name="Line 93306">
          <a:extLst>
            <a:ext uri="{FF2B5EF4-FFF2-40B4-BE49-F238E27FC236}">
              <a16:creationId xmlns:a16="http://schemas.microsoft.com/office/drawing/2014/main" id="{00000000-0008-0000-0000-0000AF020000}"/>
            </a:ext>
          </a:extLst>
        </xdr:cNvPr>
        <xdr:cNvSpPr>
          <a:spLocks noChangeShapeType="1"/>
        </xdr:cNvSpPr>
      </xdr:nvSpPr>
      <xdr:spPr bwMode="auto">
        <a:xfrm>
          <a:off x="3495675" y="567499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294</xdr:row>
      <xdr:rowOff>104775</xdr:rowOff>
    </xdr:from>
    <xdr:to>
      <xdr:col>6</xdr:col>
      <xdr:colOff>123825</xdr:colOff>
      <xdr:row>294</xdr:row>
      <xdr:rowOff>180975</xdr:rowOff>
    </xdr:to>
    <xdr:sp macro="" textlink="">
      <xdr:nvSpPr>
        <xdr:cNvPr id="688" name="Line 93307">
          <a:extLst>
            <a:ext uri="{FF2B5EF4-FFF2-40B4-BE49-F238E27FC236}">
              <a16:creationId xmlns:a16="http://schemas.microsoft.com/office/drawing/2014/main" id="{00000000-0008-0000-0000-0000B0020000}"/>
            </a:ext>
          </a:extLst>
        </xdr:cNvPr>
        <xdr:cNvSpPr>
          <a:spLocks noChangeShapeType="1"/>
        </xdr:cNvSpPr>
      </xdr:nvSpPr>
      <xdr:spPr bwMode="auto">
        <a:xfrm flipH="1">
          <a:off x="3457575" y="567499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295</xdr:row>
      <xdr:rowOff>142875</xdr:rowOff>
    </xdr:from>
    <xdr:to>
      <xdr:col>6</xdr:col>
      <xdr:colOff>114300</xdr:colOff>
      <xdr:row>296</xdr:row>
      <xdr:rowOff>19050</xdr:rowOff>
    </xdr:to>
    <xdr:sp macro="" textlink="">
      <xdr:nvSpPr>
        <xdr:cNvPr id="689" name="Line 93308">
          <a:extLst>
            <a:ext uri="{FF2B5EF4-FFF2-40B4-BE49-F238E27FC236}">
              <a16:creationId xmlns:a16="http://schemas.microsoft.com/office/drawing/2014/main" id="{00000000-0008-0000-0000-0000B1020000}"/>
            </a:ext>
          </a:extLst>
        </xdr:cNvPr>
        <xdr:cNvSpPr>
          <a:spLocks noChangeShapeType="1"/>
        </xdr:cNvSpPr>
      </xdr:nvSpPr>
      <xdr:spPr bwMode="auto">
        <a:xfrm flipH="1">
          <a:off x="3457575" y="569785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292</xdr:row>
      <xdr:rowOff>161925</xdr:rowOff>
    </xdr:from>
    <xdr:to>
      <xdr:col>0</xdr:col>
      <xdr:colOff>1057275</xdr:colOff>
      <xdr:row>296</xdr:row>
      <xdr:rowOff>47625</xdr:rowOff>
    </xdr:to>
    <xdr:sp macro="" textlink="">
      <xdr:nvSpPr>
        <xdr:cNvPr id="690" name="Freeform 93309">
          <a:extLst>
            <a:ext uri="{FF2B5EF4-FFF2-40B4-BE49-F238E27FC236}">
              <a16:creationId xmlns:a16="http://schemas.microsoft.com/office/drawing/2014/main" id="{00000000-0008-0000-0000-0000B2020000}"/>
            </a:ext>
          </a:extLst>
        </xdr:cNvPr>
        <xdr:cNvSpPr>
          <a:spLocks/>
        </xdr:cNvSpPr>
      </xdr:nvSpPr>
      <xdr:spPr bwMode="auto">
        <a:xfrm>
          <a:off x="266700" y="56426100"/>
          <a:ext cx="790575" cy="647700"/>
        </a:xfrm>
        <a:custGeom>
          <a:avLst/>
          <a:gdLst>
            <a:gd name="T0" fmla="*/ 0 w 83"/>
            <a:gd name="T1" fmla="*/ 0 h 68"/>
            <a:gd name="T2" fmla="*/ 2147483647 w 83"/>
            <a:gd name="T3" fmla="*/ 0 h 68"/>
            <a:gd name="T4" fmla="*/ 2147483647 w 83"/>
            <a:gd name="T5" fmla="*/ 2147483647 h 68"/>
            <a:gd name="T6" fmla="*/ 2147483647 w 83"/>
            <a:gd name="T7" fmla="*/ 2147483647 h 68"/>
            <a:gd name="T8" fmla="*/ 2147483647 w 83"/>
            <a:gd name="T9" fmla="*/ 2147483647 h 68"/>
            <a:gd name="T10" fmla="*/ 0 w 83"/>
            <a:gd name="T11" fmla="*/ 2147483647 h 6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3" h="68">
              <a:moveTo>
                <a:pt x="0" y="0"/>
              </a:moveTo>
              <a:lnTo>
                <a:pt x="50" y="0"/>
              </a:lnTo>
              <a:lnTo>
                <a:pt x="50" y="34"/>
              </a:lnTo>
              <a:lnTo>
                <a:pt x="83" y="34"/>
              </a:lnTo>
              <a:lnTo>
                <a:pt x="83" y="68"/>
              </a:lnTo>
              <a:lnTo>
                <a:pt x="0" y="6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428625</xdr:colOff>
      <xdr:row>293</xdr:row>
      <xdr:rowOff>171450</xdr:rowOff>
    </xdr:from>
    <xdr:to>
      <xdr:col>0</xdr:col>
      <xdr:colOff>590550</xdr:colOff>
      <xdr:row>294</xdr:row>
      <xdr:rowOff>133350</xdr:rowOff>
    </xdr:to>
    <xdr:sp macro="" textlink="">
      <xdr:nvSpPr>
        <xdr:cNvPr id="691" name="Oval 93310">
          <a:extLst>
            <a:ext uri="{FF2B5EF4-FFF2-40B4-BE49-F238E27FC236}">
              <a16:creationId xmlns:a16="http://schemas.microsoft.com/office/drawing/2014/main" id="{00000000-0008-0000-0000-0000B3020000}"/>
            </a:ext>
          </a:extLst>
        </xdr:cNvPr>
        <xdr:cNvSpPr>
          <a:spLocks noChangeArrowheads="1"/>
        </xdr:cNvSpPr>
      </xdr:nvSpPr>
      <xdr:spPr bwMode="auto">
        <a:xfrm>
          <a:off x="428625" y="56626125"/>
          <a:ext cx="161925" cy="152400"/>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504825</xdr:colOff>
      <xdr:row>295</xdr:row>
      <xdr:rowOff>38100</xdr:rowOff>
    </xdr:from>
    <xdr:to>
      <xdr:col>0</xdr:col>
      <xdr:colOff>504825</xdr:colOff>
      <xdr:row>299</xdr:row>
      <xdr:rowOff>28575</xdr:rowOff>
    </xdr:to>
    <xdr:sp macro="" textlink="">
      <xdr:nvSpPr>
        <xdr:cNvPr id="692" name="Line 93311">
          <a:extLst>
            <a:ext uri="{FF2B5EF4-FFF2-40B4-BE49-F238E27FC236}">
              <a16:creationId xmlns:a16="http://schemas.microsoft.com/office/drawing/2014/main" id="{00000000-0008-0000-0000-0000B4020000}"/>
            </a:ext>
          </a:extLst>
        </xdr:cNvPr>
        <xdr:cNvSpPr>
          <a:spLocks noChangeShapeType="1"/>
        </xdr:cNvSpPr>
      </xdr:nvSpPr>
      <xdr:spPr bwMode="auto">
        <a:xfrm>
          <a:off x="504825" y="56873775"/>
          <a:ext cx="0" cy="752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1057275</xdr:colOff>
      <xdr:row>296</xdr:row>
      <xdr:rowOff>114300</xdr:rowOff>
    </xdr:from>
    <xdr:to>
      <xdr:col>0</xdr:col>
      <xdr:colOff>1057275</xdr:colOff>
      <xdr:row>299</xdr:row>
      <xdr:rowOff>19050</xdr:rowOff>
    </xdr:to>
    <xdr:sp macro="" textlink="">
      <xdr:nvSpPr>
        <xdr:cNvPr id="693" name="Line 93312">
          <a:extLst>
            <a:ext uri="{FF2B5EF4-FFF2-40B4-BE49-F238E27FC236}">
              <a16:creationId xmlns:a16="http://schemas.microsoft.com/office/drawing/2014/main" id="{00000000-0008-0000-0000-0000B5020000}"/>
            </a:ext>
          </a:extLst>
        </xdr:cNvPr>
        <xdr:cNvSpPr>
          <a:spLocks noChangeShapeType="1"/>
        </xdr:cNvSpPr>
      </xdr:nvSpPr>
      <xdr:spPr bwMode="auto">
        <a:xfrm>
          <a:off x="1057275" y="57140475"/>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495300</xdr:colOff>
      <xdr:row>298</xdr:row>
      <xdr:rowOff>180975</xdr:rowOff>
    </xdr:from>
    <xdr:to>
      <xdr:col>0</xdr:col>
      <xdr:colOff>1095375</xdr:colOff>
      <xdr:row>298</xdr:row>
      <xdr:rowOff>180975</xdr:rowOff>
    </xdr:to>
    <xdr:sp macro="" textlink="">
      <xdr:nvSpPr>
        <xdr:cNvPr id="694" name="Line 93313">
          <a:extLst>
            <a:ext uri="{FF2B5EF4-FFF2-40B4-BE49-F238E27FC236}">
              <a16:creationId xmlns:a16="http://schemas.microsoft.com/office/drawing/2014/main" id="{00000000-0008-0000-0000-0000B6020000}"/>
            </a:ext>
          </a:extLst>
        </xdr:cNvPr>
        <xdr:cNvSpPr>
          <a:spLocks noChangeShapeType="1"/>
        </xdr:cNvSpPr>
      </xdr:nvSpPr>
      <xdr:spPr bwMode="auto">
        <a:xfrm>
          <a:off x="495300" y="5758815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419100</xdr:colOff>
      <xdr:row>294</xdr:row>
      <xdr:rowOff>133350</xdr:rowOff>
    </xdr:from>
    <xdr:to>
      <xdr:col>0</xdr:col>
      <xdr:colOff>600075</xdr:colOff>
      <xdr:row>294</xdr:row>
      <xdr:rowOff>133350</xdr:rowOff>
    </xdr:to>
    <xdr:sp macro="" textlink="">
      <xdr:nvSpPr>
        <xdr:cNvPr id="695" name="Line 93314">
          <a:extLst>
            <a:ext uri="{FF2B5EF4-FFF2-40B4-BE49-F238E27FC236}">
              <a16:creationId xmlns:a16="http://schemas.microsoft.com/office/drawing/2014/main" id="{00000000-0008-0000-0000-0000B7020000}"/>
            </a:ext>
          </a:extLst>
        </xdr:cNvPr>
        <xdr:cNvSpPr>
          <a:spLocks noChangeShapeType="1"/>
        </xdr:cNvSpPr>
      </xdr:nvSpPr>
      <xdr:spPr bwMode="auto">
        <a:xfrm>
          <a:off x="419100" y="56778525"/>
          <a:ext cx="180975" cy="0"/>
        </a:xfrm>
        <a:prstGeom prst="line">
          <a:avLst/>
        </a:prstGeom>
        <a:noFill/>
        <a:ln w="1714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600075</xdr:colOff>
      <xdr:row>294</xdr:row>
      <xdr:rowOff>152400</xdr:rowOff>
    </xdr:from>
    <xdr:to>
      <xdr:col>0</xdr:col>
      <xdr:colOff>981075</xdr:colOff>
      <xdr:row>296</xdr:row>
      <xdr:rowOff>57150</xdr:rowOff>
    </xdr:to>
    <xdr:sp macro="" textlink="">
      <xdr:nvSpPr>
        <xdr:cNvPr id="696" name="Line 93315">
          <a:extLst>
            <a:ext uri="{FF2B5EF4-FFF2-40B4-BE49-F238E27FC236}">
              <a16:creationId xmlns:a16="http://schemas.microsoft.com/office/drawing/2014/main" id="{00000000-0008-0000-0000-0000B8020000}"/>
            </a:ext>
          </a:extLst>
        </xdr:cNvPr>
        <xdr:cNvSpPr>
          <a:spLocks noChangeShapeType="1"/>
        </xdr:cNvSpPr>
      </xdr:nvSpPr>
      <xdr:spPr bwMode="auto">
        <a:xfrm>
          <a:off x="600075" y="56797575"/>
          <a:ext cx="381000" cy="2857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981075</xdr:colOff>
      <xdr:row>296</xdr:row>
      <xdr:rowOff>95250</xdr:rowOff>
    </xdr:from>
    <xdr:to>
      <xdr:col>0</xdr:col>
      <xdr:colOff>981075</xdr:colOff>
      <xdr:row>298</xdr:row>
      <xdr:rowOff>19050</xdr:rowOff>
    </xdr:to>
    <xdr:sp macro="" textlink="">
      <xdr:nvSpPr>
        <xdr:cNvPr id="697" name="Line 93316">
          <a:extLst>
            <a:ext uri="{FF2B5EF4-FFF2-40B4-BE49-F238E27FC236}">
              <a16:creationId xmlns:a16="http://schemas.microsoft.com/office/drawing/2014/main" id="{00000000-0008-0000-0000-0000B9020000}"/>
            </a:ext>
          </a:extLst>
        </xdr:cNvPr>
        <xdr:cNvSpPr>
          <a:spLocks noChangeShapeType="1"/>
        </xdr:cNvSpPr>
      </xdr:nvSpPr>
      <xdr:spPr bwMode="auto">
        <a:xfrm>
          <a:off x="981075" y="571214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298</xdr:row>
      <xdr:rowOff>0</xdr:rowOff>
    </xdr:from>
    <xdr:to>
      <xdr:col>0</xdr:col>
      <xdr:colOff>1019175</xdr:colOff>
      <xdr:row>298</xdr:row>
      <xdr:rowOff>0</xdr:rowOff>
    </xdr:to>
    <xdr:sp macro="" textlink="">
      <xdr:nvSpPr>
        <xdr:cNvPr id="698" name="Line 93317">
          <a:extLst>
            <a:ext uri="{FF2B5EF4-FFF2-40B4-BE49-F238E27FC236}">
              <a16:creationId xmlns:a16="http://schemas.microsoft.com/office/drawing/2014/main" id="{00000000-0008-0000-0000-0000BA020000}"/>
            </a:ext>
          </a:extLst>
        </xdr:cNvPr>
        <xdr:cNvSpPr>
          <a:spLocks noChangeShapeType="1"/>
        </xdr:cNvSpPr>
      </xdr:nvSpPr>
      <xdr:spPr bwMode="auto">
        <a:xfrm>
          <a:off x="466725" y="57407175"/>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257175</xdr:colOff>
      <xdr:row>294</xdr:row>
      <xdr:rowOff>161925</xdr:rowOff>
    </xdr:from>
    <xdr:to>
      <xdr:col>0</xdr:col>
      <xdr:colOff>409575</xdr:colOff>
      <xdr:row>295</xdr:row>
      <xdr:rowOff>114300</xdr:rowOff>
    </xdr:to>
    <xdr:sp macro="" textlink="">
      <xdr:nvSpPr>
        <xdr:cNvPr id="699" name="Line 93318">
          <a:extLst>
            <a:ext uri="{FF2B5EF4-FFF2-40B4-BE49-F238E27FC236}">
              <a16:creationId xmlns:a16="http://schemas.microsoft.com/office/drawing/2014/main" id="{00000000-0008-0000-0000-0000BB020000}"/>
            </a:ext>
          </a:extLst>
        </xdr:cNvPr>
        <xdr:cNvSpPr>
          <a:spLocks noChangeShapeType="1"/>
        </xdr:cNvSpPr>
      </xdr:nvSpPr>
      <xdr:spPr bwMode="auto">
        <a:xfrm flipH="1">
          <a:off x="257175" y="56807100"/>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297</xdr:row>
      <xdr:rowOff>142875</xdr:rowOff>
    </xdr:from>
    <xdr:to>
      <xdr:col>0</xdr:col>
      <xdr:colOff>542925</xdr:colOff>
      <xdr:row>298</xdr:row>
      <xdr:rowOff>28575</xdr:rowOff>
    </xdr:to>
    <xdr:sp macro="" textlink="">
      <xdr:nvSpPr>
        <xdr:cNvPr id="700" name="Line 93319">
          <a:extLst>
            <a:ext uri="{FF2B5EF4-FFF2-40B4-BE49-F238E27FC236}">
              <a16:creationId xmlns:a16="http://schemas.microsoft.com/office/drawing/2014/main" id="{00000000-0008-0000-0000-0000BC020000}"/>
            </a:ext>
          </a:extLst>
        </xdr:cNvPr>
        <xdr:cNvSpPr>
          <a:spLocks noChangeShapeType="1"/>
        </xdr:cNvSpPr>
      </xdr:nvSpPr>
      <xdr:spPr bwMode="auto">
        <a:xfrm flipH="1">
          <a:off x="466725" y="573595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952500</xdr:colOff>
      <xdr:row>297</xdr:row>
      <xdr:rowOff>152400</xdr:rowOff>
    </xdr:from>
    <xdr:to>
      <xdr:col>0</xdr:col>
      <xdr:colOff>1019175</xdr:colOff>
      <xdr:row>298</xdr:row>
      <xdr:rowOff>28575</xdr:rowOff>
    </xdr:to>
    <xdr:sp macro="" textlink="">
      <xdr:nvSpPr>
        <xdr:cNvPr id="701" name="Line 93320">
          <a:extLst>
            <a:ext uri="{FF2B5EF4-FFF2-40B4-BE49-F238E27FC236}">
              <a16:creationId xmlns:a16="http://schemas.microsoft.com/office/drawing/2014/main" id="{00000000-0008-0000-0000-0000BD020000}"/>
            </a:ext>
          </a:extLst>
        </xdr:cNvPr>
        <xdr:cNvSpPr>
          <a:spLocks noChangeShapeType="1"/>
        </xdr:cNvSpPr>
      </xdr:nvSpPr>
      <xdr:spPr bwMode="auto">
        <a:xfrm flipH="1">
          <a:off x="952500" y="573690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457200</xdr:colOff>
      <xdr:row>298</xdr:row>
      <xdr:rowOff>133350</xdr:rowOff>
    </xdr:from>
    <xdr:to>
      <xdr:col>0</xdr:col>
      <xdr:colOff>552450</xdr:colOff>
      <xdr:row>299</xdr:row>
      <xdr:rowOff>28575</xdr:rowOff>
    </xdr:to>
    <xdr:sp macro="" textlink="">
      <xdr:nvSpPr>
        <xdr:cNvPr id="702" name="Line 93321">
          <a:extLst>
            <a:ext uri="{FF2B5EF4-FFF2-40B4-BE49-F238E27FC236}">
              <a16:creationId xmlns:a16="http://schemas.microsoft.com/office/drawing/2014/main" id="{00000000-0008-0000-0000-0000BE020000}"/>
            </a:ext>
          </a:extLst>
        </xdr:cNvPr>
        <xdr:cNvSpPr>
          <a:spLocks noChangeShapeType="1"/>
        </xdr:cNvSpPr>
      </xdr:nvSpPr>
      <xdr:spPr bwMode="auto">
        <a:xfrm flipH="1">
          <a:off x="457200" y="5754052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298</xdr:row>
      <xdr:rowOff>142875</xdr:rowOff>
    </xdr:from>
    <xdr:to>
      <xdr:col>0</xdr:col>
      <xdr:colOff>1095375</xdr:colOff>
      <xdr:row>299</xdr:row>
      <xdr:rowOff>28575</xdr:rowOff>
    </xdr:to>
    <xdr:sp macro="" textlink="">
      <xdr:nvSpPr>
        <xdr:cNvPr id="703" name="Line 93322">
          <a:extLst>
            <a:ext uri="{FF2B5EF4-FFF2-40B4-BE49-F238E27FC236}">
              <a16:creationId xmlns:a16="http://schemas.microsoft.com/office/drawing/2014/main" id="{00000000-0008-0000-0000-0000BF020000}"/>
            </a:ext>
          </a:extLst>
        </xdr:cNvPr>
        <xdr:cNvSpPr>
          <a:spLocks noChangeShapeType="1"/>
        </xdr:cNvSpPr>
      </xdr:nvSpPr>
      <xdr:spPr bwMode="auto">
        <a:xfrm flipH="1">
          <a:off x="1019175" y="575500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295</xdr:row>
      <xdr:rowOff>142875</xdr:rowOff>
    </xdr:from>
    <xdr:to>
      <xdr:col>4</xdr:col>
      <xdr:colOff>28575</xdr:colOff>
      <xdr:row>295</xdr:row>
      <xdr:rowOff>171450</xdr:rowOff>
    </xdr:to>
    <xdr:sp macro="" textlink="">
      <xdr:nvSpPr>
        <xdr:cNvPr id="704" name="Oval 93323">
          <a:extLst>
            <a:ext uri="{FF2B5EF4-FFF2-40B4-BE49-F238E27FC236}">
              <a16:creationId xmlns:a16="http://schemas.microsoft.com/office/drawing/2014/main" id="{00000000-0008-0000-0000-0000C0020000}"/>
            </a:ext>
          </a:extLst>
        </xdr:cNvPr>
        <xdr:cNvSpPr>
          <a:spLocks noChangeArrowheads="1"/>
        </xdr:cNvSpPr>
      </xdr:nvSpPr>
      <xdr:spPr bwMode="auto">
        <a:xfrm flipV="1">
          <a:off x="233362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571500</xdr:colOff>
      <xdr:row>295</xdr:row>
      <xdr:rowOff>142875</xdr:rowOff>
    </xdr:from>
    <xdr:to>
      <xdr:col>5</xdr:col>
      <xdr:colOff>600075</xdr:colOff>
      <xdr:row>295</xdr:row>
      <xdr:rowOff>171450</xdr:rowOff>
    </xdr:to>
    <xdr:sp macro="" textlink="">
      <xdr:nvSpPr>
        <xdr:cNvPr id="705" name="Oval 93324">
          <a:extLst>
            <a:ext uri="{FF2B5EF4-FFF2-40B4-BE49-F238E27FC236}">
              <a16:creationId xmlns:a16="http://schemas.microsoft.com/office/drawing/2014/main" id="{00000000-0008-0000-0000-0000C1020000}"/>
            </a:ext>
          </a:extLst>
        </xdr:cNvPr>
        <xdr:cNvSpPr>
          <a:spLocks noChangeArrowheads="1"/>
        </xdr:cNvSpPr>
      </xdr:nvSpPr>
      <xdr:spPr bwMode="auto">
        <a:xfrm flipV="1">
          <a:off x="322897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304800</xdr:colOff>
      <xdr:row>295</xdr:row>
      <xdr:rowOff>142875</xdr:rowOff>
    </xdr:from>
    <xdr:to>
      <xdr:col>5</xdr:col>
      <xdr:colOff>9525</xdr:colOff>
      <xdr:row>295</xdr:row>
      <xdr:rowOff>171450</xdr:rowOff>
    </xdr:to>
    <xdr:sp macro="" textlink="">
      <xdr:nvSpPr>
        <xdr:cNvPr id="706" name="Oval 93325">
          <a:extLst>
            <a:ext uri="{FF2B5EF4-FFF2-40B4-BE49-F238E27FC236}">
              <a16:creationId xmlns:a16="http://schemas.microsoft.com/office/drawing/2014/main" id="{00000000-0008-0000-0000-0000C2020000}"/>
            </a:ext>
          </a:extLst>
        </xdr:cNvPr>
        <xdr:cNvSpPr>
          <a:spLocks noChangeArrowheads="1"/>
        </xdr:cNvSpPr>
      </xdr:nvSpPr>
      <xdr:spPr bwMode="auto">
        <a:xfrm flipV="1">
          <a:off x="263842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266700</xdr:colOff>
      <xdr:row>295</xdr:row>
      <xdr:rowOff>142875</xdr:rowOff>
    </xdr:from>
    <xdr:to>
      <xdr:col>5</xdr:col>
      <xdr:colOff>295275</xdr:colOff>
      <xdr:row>295</xdr:row>
      <xdr:rowOff>171450</xdr:rowOff>
    </xdr:to>
    <xdr:sp macro="" textlink="">
      <xdr:nvSpPr>
        <xdr:cNvPr id="707" name="Oval 93326">
          <a:extLst>
            <a:ext uri="{FF2B5EF4-FFF2-40B4-BE49-F238E27FC236}">
              <a16:creationId xmlns:a16="http://schemas.microsoft.com/office/drawing/2014/main" id="{00000000-0008-0000-0000-0000C3020000}"/>
            </a:ext>
          </a:extLst>
        </xdr:cNvPr>
        <xdr:cNvSpPr>
          <a:spLocks noChangeArrowheads="1"/>
        </xdr:cNvSpPr>
      </xdr:nvSpPr>
      <xdr:spPr bwMode="auto">
        <a:xfrm flipV="1">
          <a:off x="2924175" y="56978550"/>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161925</xdr:colOff>
      <xdr:row>300</xdr:row>
      <xdr:rowOff>38100</xdr:rowOff>
    </xdr:from>
    <xdr:to>
      <xdr:col>5</xdr:col>
      <xdr:colOff>685800</xdr:colOff>
      <xdr:row>300</xdr:row>
      <xdr:rowOff>38100</xdr:rowOff>
    </xdr:to>
    <xdr:sp macro="" textlink="">
      <xdr:nvSpPr>
        <xdr:cNvPr id="708" name="Line 93329">
          <a:extLst>
            <a:ext uri="{FF2B5EF4-FFF2-40B4-BE49-F238E27FC236}">
              <a16:creationId xmlns:a16="http://schemas.microsoft.com/office/drawing/2014/main" id="{00000000-0008-0000-0000-0000C4020000}"/>
            </a:ext>
          </a:extLst>
        </xdr:cNvPr>
        <xdr:cNvSpPr>
          <a:spLocks noChangeShapeType="1"/>
        </xdr:cNvSpPr>
      </xdr:nvSpPr>
      <xdr:spPr bwMode="auto">
        <a:xfrm>
          <a:off x="2124075" y="57826275"/>
          <a:ext cx="121920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5</xdr:col>
      <xdr:colOff>704850</xdr:colOff>
      <xdr:row>319</xdr:row>
      <xdr:rowOff>123825</xdr:rowOff>
    </xdr:from>
    <xdr:to>
      <xdr:col>5</xdr:col>
      <xdr:colOff>704850</xdr:colOff>
      <xdr:row>321</xdr:row>
      <xdr:rowOff>47625</xdr:rowOff>
    </xdr:to>
    <xdr:sp macro="" textlink="">
      <xdr:nvSpPr>
        <xdr:cNvPr id="709" name="Line 93332">
          <a:extLst>
            <a:ext uri="{FF2B5EF4-FFF2-40B4-BE49-F238E27FC236}">
              <a16:creationId xmlns:a16="http://schemas.microsoft.com/office/drawing/2014/main" id="{00000000-0008-0000-0000-0000C5020000}"/>
            </a:ext>
          </a:extLst>
        </xdr:cNvPr>
        <xdr:cNvSpPr>
          <a:spLocks noChangeShapeType="1"/>
        </xdr:cNvSpPr>
      </xdr:nvSpPr>
      <xdr:spPr bwMode="auto">
        <a:xfrm>
          <a:off x="3362325" y="61541025"/>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317</xdr:row>
      <xdr:rowOff>161925</xdr:rowOff>
    </xdr:from>
    <xdr:to>
      <xdr:col>5</xdr:col>
      <xdr:colOff>609600</xdr:colOff>
      <xdr:row>321</xdr:row>
      <xdr:rowOff>47625</xdr:rowOff>
    </xdr:to>
    <xdr:sp macro="" textlink="">
      <xdr:nvSpPr>
        <xdr:cNvPr id="710" name="Tegning 308">
          <a:extLst>
            <a:ext uri="{FF2B5EF4-FFF2-40B4-BE49-F238E27FC236}">
              <a16:creationId xmlns:a16="http://schemas.microsoft.com/office/drawing/2014/main" id="{00000000-0008-0000-0000-0000C6020000}"/>
            </a:ext>
          </a:extLst>
        </xdr:cNvPr>
        <xdr:cNvSpPr>
          <a:spLocks/>
        </xdr:cNvSpPr>
      </xdr:nvSpPr>
      <xdr:spPr bwMode="auto">
        <a:xfrm>
          <a:off x="1933575" y="61198125"/>
          <a:ext cx="1333500" cy="6477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318</xdr:row>
      <xdr:rowOff>209550</xdr:rowOff>
    </xdr:from>
    <xdr:to>
      <xdr:col>3</xdr:col>
      <xdr:colOff>0</xdr:colOff>
      <xdr:row>319</xdr:row>
      <xdr:rowOff>142875</xdr:rowOff>
    </xdr:to>
    <xdr:sp macro="" textlink="">
      <xdr:nvSpPr>
        <xdr:cNvPr id="711" name="Tegning 309">
          <a:extLst>
            <a:ext uri="{FF2B5EF4-FFF2-40B4-BE49-F238E27FC236}">
              <a16:creationId xmlns:a16="http://schemas.microsoft.com/office/drawing/2014/main" id="{00000000-0008-0000-0000-0000C7020000}"/>
            </a:ext>
          </a:extLst>
        </xdr:cNvPr>
        <xdr:cNvSpPr>
          <a:spLocks/>
        </xdr:cNvSpPr>
      </xdr:nvSpPr>
      <xdr:spPr bwMode="auto">
        <a:xfrm>
          <a:off x="1476375" y="61417200"/>
          <a:ext cx="485775" cy="142875"/>
        </a:xfrm>
        <a:custGeom>
          <a:avLst/>
          <a:gdLst>
            <a:gd name="T0" fmla="*/ 2147483647 w 16384"/>
            <a:gd name="T1" fmla="*/ 0 h 16384"/>
            <a:gd name="T2" fmla="*/ 0 w 16384"/>
            <a:gd name="T3" fmla="*/ 0 h 16384"/>
            <a:gd name="T4" fmla="*/ 0 w 16384"/>
            <a:gd name="T5" fmla="*/ 826231030 h 16384"/>
            <a:gd name="T6" fmla="*/ 2147483647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318</xdr:row>
      <xdr:rowOff>209550</xdr:rowOff>
    </xdr:from>
    <xdr:to>
      <xdr:col>5</xdr:col>
      <xdr:colOff>209550</xdr:colOff>
      <xdr:row>319</xdr:row>
      <xdr:rowOff>142875</xdr:rowOff>
    </xdr:to>
    <xdr:sp macro="" textlink="">
      <xdr:nvSpPr>
        <xdr:cNvPr id="712" name="Tegning 310">
          <a:extLst>
            <a:ext uri="{FF2B5EF4-FFF2-40B4-BE49-F238E27FC236}">
              <a16:creationId xmlns:a16="http://schemas.microsoft.com/office/drawing/2014/main" id="{00000000-0008-0000-0000-0000C8020000}"/>
            </a:ext>
          </a:extLst>
        </xdr:cNvPr>
        <xdr:cNvSpPr>
          <a:spLocks/>
        </xdr:cNvSpPr>
      </xdr:nvSpPr>
      <xdr:spPr bwMode="auto">
        <a:xfrm>
          <a:off x="1962150" y="61417200"/>
          <a:ext cx="904875" cy="142875"/>
        </a:xfrm>
        <a:custGeom>
          <a:avLst/>
          <a:gdLst>
            <a:gd name="T0" fmla="*/ 0 w 16384"/>
            <a:gd name="T1" fmla="*/ 0 h 16384"/>
            <a:gd name="T2" fmla="*/ 2147483647 w 16384"/>
            <a:gd name="T3" fmla="*/ 0 h 16384"/>
            <a:gd name="T4" fmla="*/ 2147483647 w 16384"/>
            <a:gd name="T5" fmla="*/ 826231030 h 16384"/>
            <a:gd name="T6" fmla="*/ 0 w 16384"/>
            <a:gd name="T7" fmla="*/ 826231030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321</xdr:row>
      <xdr:rowOff>76200</xdr:rowOff>
    </xdr:from>
    <xdr:to>
      <xdr:col>3</xdr:col>
      <xdr:colOff>266700</xdr:colOff>
      <xdr:row>323</xdr:row>
      <xdr:rowOff>85725</xdr:rowOff>
    </xdr:to>
    <xdr:sp macro="" textlink="">
      <xdr:nvSpPr>
        <xdr:cNvPr id="713" name="Tegning 311">
          <a:extLst>
            <a:ext uri="{FF2B5EF4-FFF2-40B4-BE49-F238E27FC236}">
              <a16:creationId xmlns:a16="http://schemas.microsoft.com/office/drawing/2014/main" id="{00000000-0008-0000-0000-0000C9020000}"/>
            </a:ext>
          </a:extLst>
        </xdr:cNvPr>
        <xdr:cNvSpPr>
          <a:spLocks/>
        </xdr:cNvSpPr>
      </xdr:nvSpPr>
      <xdr:spPr bwMode="auto">
        <a:xfrm>
          <a:off x="1933575" y="61874400"/>
          <a:ext cx="295275" cy="390525"/>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319</xdr:row>
      <xdr:rowOff>161925</xdr:rowOff>
    </xdr:from>
    <xdr:to>
      <xdr:col>2</xdr:col>
      <xdr:colOff>381000</xdr:colOff>
      <xdr:row>321</xdr:row>
      <xdr:rowOff>161925</xdr:rowOff>
    </xdr:to>
    <xdr:sp macro="" textlink="">
      <xdr:nvSpPr>
        <xdr:cNvPr id="714" name="Tegning 312">
          <a:extLst>
            <a:ext uri="{FF2B5EF4-FFF2-40B4-BE49-F238E27FC236}">
              <a16:creationId xmlns:a16="http://schemas.microsoft.com/office/drawing/2014/main" id="{00000000-0008-0000-0000-0000CA020000}"/>
            </a:ext>
          </a:extLst>
        </xdr:cNvPr>
        <xdr:cNvSpPr>
          <a:spLocks/>
        </xdr:cNvSpPr>
      </xdr:nvSpPr>
      <xdr:spPr bwMode="auto">
        <a:xfrm>
          <a:off x="1543050" y="61579125"/>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319</xdr:row>
      <xdr:rowOff>142875</xdr:rowOff>
    </xdr:from>
    <xdr:to>
      <xdr:col>5</xdr:col>
      <xdr:colOff>209550</xdr:colOff>
      <xdr:row>319</xdr:row>
      <xdr:rowOff>142875</xdr:rowOff>
    </xdr:to>
    <xdr:sp macro="" textlink="">
      <xdr:nvSpPr>
        <xdr:cNvPr id="715" name="Line 93338">
          <a:extLst>
            <a:ext uri="{FF2B5EF4-FFF2-40B4-BE49-F238E27FC236}">
              <a16:creationId xmlns:a16="http://schemas.microsoft.com/office/drawing/2014/main" id="{00000000-0008-0000-0000-0000CB020000}"/>
            </a:ext>
          </a:extLst>
        </xdr:cNvPr>
        <xdr:cNvSpPr>
          <a:spLocks noChangeShapeType="1"/>
        </xdr:cNvSpPr>
      </xdr:nvSpPr>
      <xdr:spPr bwMode="auto">
        <a:xfrm>
          <a:off x="2705100" y="61560075"/>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319</xdr:row>
      <xdr:rowOff>171450</xdr:rowOff>
    </xdr:from>
    <xdr:to>
      <xdr:col>5</xdr:col>
      <xdr:colOff>47625</xdr:colOff>
      <xdr:row>321</xdr:row>
      <xdr:rowOff>28575</xdr:rowOff>
    </xdr:to>
    <xdr:sp macro="" textlink="">
      <xdr:nvSpPr>
        <xdr:cNvPr id="716" name="Line 93339">
          <a:extLst>
            <a:ext uri="{FF2B5EF4-FFF2-40B4-BE49-F238E27FC236}">
              <a16:creationId xmlns:a16="http://schemas.microsoft.com/office/drawing/2014/main" id="{00000000-0008-0000-0000-0000CC020000}"/>
            </a:ext>
          </a:extLst>
        </xdr:cNvPr>
        <xdr:cNvSpPr>
          <a:spLocks noChangeShapeType="1"/>
        </xdr:cNvSpPr>
      </xdr:nvSpPr>
      <xdr:spPr bwMode="auto">
        <a:xfrm flipH="1">
          <a:off x="2438400" y="61588650"/>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319</xdr:row>
      <xdr:rowOff>171450</xdr:rowOff>
    </xdr:from>
    <xdr:to>
      <xdr:col>5</xdr:col>
      <xdr:colOff>447675</xdr:colOff>
      <xdr:row>321</xdr:row>
      <xdr:rowOff>0</xdr:rowOff>
    </xdr:to>
    <xdr:sp macro="" textlink="">
      <xdr:nvSpPr>
        <xdr:cNvPr id="717" name="Line 93340">
          <a:extLst>
            <a:ext uri="{FF2B5EF4-FFF2-40B4-BE49-F238E27FC236}">
              <a16:creationId xmlns:a16="http://schemas.microsoft.com/office/drawing/2014/main" id="{00000000-0008-0000-0000-0000CD020000}"/>
            </a:ext>
          </a:extLst>
        </xdr:cNvPr>
        <xdr:cNvSpPr>
          <a:spLocks noChangeShapeType="1"/>
        </xdr:cNvSpPr>
      </xdr:nvSpPr>
      <xdr:spPr bwMode="auto">
        <a:xfrm>
          <a:off x="2895600" y="61588650"/>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321</xdr:row>
      <xdr:rowOff>47625</xdr:rowOff>
    </xdr:from>
    <xdr:to>
      <xdr:col>5</xdr:col>
      <xdr:colOff>238125</xdr:colOff>
      <xdr:row>322</xdr:row>
      <xdr:rowOff>209550</xdr:rowOff>
    </xdr:to>
    <xdr:sp macro="" textlink="">
      <xdr:nvSpPr>
        <xdr:cNvPr id="718" name="Tegning 316">
          <a:extLst>
            <a:ext uri="{FF2B5EF4-FFF2-40B4-BE49-F238E27FC236}">
              <a16:creationId xmlns:a16="http://schemas.microsoft.com/office/drawing/2014/main" id="{00000000-0008-0000-0000-0000CE020000}"/>
            </a:ext>
          </a:extLst>
        </xdr:cNvPr>
        <xdr:cNvSpPr>
          <a:spLocks/>
        </xdr:cNvSpPr>
      </xdr:nvSpPr>
      <xdr:spPr bwMode="auto">
        <a:xfrm>
          <a:off x="2657475" y="61845825"/>
          <a:ext cx="238125" cy="333375"/>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219075</xdr:colOff>
      <xdr:row>325</xdr:row>
      <xdr:rowOff>19050</xdr:rowOff>
    </xdr:from>
    <xdr:to>
      <xdr:col>5</xdr:col>
      <xdr:colOff>161925</xdr:colOff>
      <xdr:row>325</xdr:row>
      <xdr:rowOff>19050</xdr:rowOff>
    </xdr:to>
    <xdr:sp macro="" textlink="">
      <xdr:nvSpPr>
        <xdr:cNvPr id="719" name="Line 93342">
          <a:extLst>
            <a:ext uri="{FF2B5EF4-FFF2-40B4-BE49-F238E27FC236}">
              <a16:creationId xmlns:a16="http://schemas.microsoft.com/office/drawing/2014/main" id="{00000000-0008-0000-0000-0000CF020000}"/>
            </a:ext>
          </a:extLst>
        </xdr:cNvPr>
        <xdr:cNvSpPr>
          <a:spLocks noChangeShapeType="1"/>
        </xdr:cNvSpPr>
      </xdr:nvSpPr>
      <xdr:spPr bwMode="auto">
        <a:xfrm>
          <a:off x="1600200" y="62579250"/>
          <a:ext cx="12192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323</xdr:row>
      <xdr:rowOff>28575</xdr:rowOff>
    </xdr:from>
    <xdr:to>
      <xdr:col>5</xdr:col>
      <xdr:colOff>123825</xdr:colOff>
      <xdr:row>325</xdr:row>
      <xdr:rowOff>66675</xdr:rowOff>
    </xdr:to>
    <xdr:sp macro="" textlink="">
      <xdr:nvSpPr>
        <xdr:cNvPr id="720" name="Line 93343">
          <a:extLst>
            <a:ext uri="{FF2B5EF4-FFF2-40B4-BE49-F238E27FC236}">
              <a16:creationId xmlns:a16="http://schemas.microsoft.com/office/drawing/2014/main" id="{00000000-0008-0000-0000-0000D0020000}"/>
            </a:ext>
          </a:extLst>
        </xdr:cNvPr>
        <xdr:cNvSpPr>
          <a:spLocks noChangeShapeType="1"/>
        </xdr:cNvSpPr>
      </xdr:nvSpPr>
      <xdr:spPr bwMode="auto">
        <a:xfrm>
          <a:off x="2781300" y="62207775"/>
          <a:ext cx="0" cy="419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114300</xdr:colOff>
      <xdr:row>323</xdr:row>
      <xdr:rowOff>123825</xdr:rowOff>
    </xdr:from>
    <xdr:to>
      <xdr:col>3</xdr:col>
      <xdr:colOff>114300</xdr:colOff>
      <xdr:row>325</xdr:row>
      <xdr:rowOff>95250</xdr:rowOff>
    </xdr:to>
    <xdr:sp macro="" textlink="">
      <xdr:nvSpPr>
        <xdr:cNvPr id="721" name="Line 93344">
          <a:extLst>
            <a:ext uri="{FF2B5EF4-FFF2-40B4-BE49-F238E27FC236}">
              <a16:creationId xmlns:a16="http://schemas.microsoft.com/office/drawing/2014/main" id="{00000000-0008-0000-0000-0000D1020000}"/>
            </a:ext>
          </a:extLst>
        </xdr:cNvPr>
        <xdr:cNvSpPr>
          <a:spLocks noChangeShapeType="1"/>
        </xdr:cNvSpPr>
      </xdr:nvSpPr>
      <xdr:spPr bwMode="auto">
        <a:xfrm>
          <a:off x="2076450" y="62303025"/>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322</xdr:row>
      <xdr:rowOff>47625</xdr:rowOff>
    </xdr:from>
    <xdr:to>
      <xdr:col>2</xdr:col>
      <xdr:colOff>266700</xdr:colOff>
      <xdr:row>325</xdr:row>
      <xdr:rowOff>66675</xdr:rowOff>
    </xdr:to>
    <xdr:sp macro="" textlink="">
      <xdr:nvSpPr>
        <xdr:cNvPr id="722" name="Line 93345">
          <a:extLst>
            <a:ext uri="{FF2B5EF4-FFF2-40B4-BE49-F238E27FC236}">
              <a16:creationId xmlns:a16="http://schemas.microsoft.com/office/drawing/2014/main" id="{00000000-0008-0000-0000-0000D2020000}"/>
            </a:ext>
          </a:extLst>
        </xdr:cNvPr>
        <xdr:cNvSpPr>
          <a:spLocks noChangeShapeType="1"/>
        </xdr:cNvSpPr>
      </xdr:nvSpPr>
      <xdr:spPr bwMode="auto">
        <a:xfrm>
          <a:off x="1647825" y="62036325"/>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324</xdr:row>
      <xdr:rowOff>171450</xdr:rowOff>
    </xdr:from>
    <xdr:to>
      <xdr:col>2</xdr:col>
      <xdr:colOff>314325</xdr:colOff>
      <xdr:row>325</xdr:row>
      <xdr:rowOff>66675</xdr:rowOff>
    </xdr:to>
    <xdr:sp macro="" textlink="">
      <xdr:nvSpPr>
        <xdr:cNvPr id="723" name="Line 93346">
          <a:extLst>
            <a:ext uri="{FF2B5EF4-FFF2-40B4-BE49-F238E27FC236}">
              <a16:creationId xmlns:a16="http://schemas.microsoft.com/office/drawing/2014/main" id="{00000000-0008-0000-0000-0000D3020000}"/>
            </a:ext>
          </a:extLst>
        </xdr:cNvPr>
        <xdr:cNvSpPr>
          <a:spLocks noChangeShapeType="1"/>
        </xdr:cNvSpPr>
      </xdr:nvSpPr>
      <xdr:spPr bwMode="auto">
        <a:xfrm flipH="1">
          <a:off x="1600200" y="625411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324</xdr:row>
      <xdr:rowOff>209550</xdr:rowOff>
    </xdr:from>
    <xdr:to>
      <xdr:col>3</xdr:col>
      <xdr:colOff>142875</xdr:colOff>
      <xdr:row>325</xdr:row>
      <xdr:rowOff>76200</xdr:rowOff>
    </xdr:to>
    <xdr:sp macro="" textlink="">
      <xdr:nvSpPr>
        <xdr:cNvPr id="724" name="Line 93347">
          <a:extLst>
            <a:ext uri="{FF2B5EF4-FFF2-40B4-BE49-F238E27FC236}">
              <a16:creationId xmlns:a16="http://schemas.microsoft.com/office/drawing/2014/main" id="{00000000-0008-0000-0000-0000D4020000}"/>
            </a:ext>
          </a:extLst>
        </xdr:cNvPr>
        <xdr:cNvSpPr>
          <a:spLocks noChangeShapeType="1"/>
        </xdr:cNvSpPr>
      </xdr:nvSpPr>
      <xdr:spPr bwMode="auto">
        <a:xfrm flipH="1">
          <a:off x="2019300" y="625602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324</xdr:row>
      <xdr:rowOff>190500</xdr:rowOff>
    </xdr:from>
    <xdr:to>
      <xdr:col>5</xdr:col>
      <xdr:colOff>161925</xdr:colOff>
      <xdr:row>325</xdr:row>
      <xdr:rowOff>66675</xdr:rowOff>
    </xdr:to>
    <xdr:sp macro="" textlink="">
      <xdr:nvSpPr>
        <xdr:cNvPr id="725" name="Line 93348">
          <a:extLst>
            <a:ext uri="{FF2B5EF4-FFF2-40B4-BE49-F238E27FC236}">
              <a16:creationId xmlns:a16="http://schemas.microsoft.com/office/drawing/2014/main" id="{00000000-0008-0000-0000-0000D5020000}"/>
            </a:ext>
          </a:extLst>
        </xdr:cNvPr>
        <xdr:cNvSpPr>
          <a:spLocks noChangeShapeType="1"/>
        </xdr:cNvSpPr>
      </xdr:nvSpPr>
      <xdr:spPr bwMode="auto">
        <a:xfrm flipH="1">
          <a:off x="2724150" y="62560200"/>
          <a:ext cx="952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319</xdr:row>
      <xdr:rowOff>95250</xdr:rowOff>
    </xdr:from>
    <xdr:to>
      <xdr:col>6</xdr:col>
      <xdr:colOff>0</xdr:colOff>
      <xdr:row>319</xdr:row>
      <xdr:rowOff>209550</xdr:rowOff>
    </xdr:to>
    <xdr:sp macro="" textlink="">
      <xdr:nvSpPr>
        <xdr:cNvPr id="726" name="Line 93349">
          <a:extLst>
            <a:ext uri="{FF2B5EF4-FFF2-40B4-BE49-F238E27FC236}">
              <a16:creationId xmlns:a16="http://schemas.microsoft.com/office/drawing/2014/main" id="{00000000-0008-0000-0000-0000D6020000}"/>
            </a:ext>
          </a:extLst>
        </xdr:cNvPr>
        <xdr:cNvSpPr>
          <a:spLocks noChangeShapeType="1"/>
        </xdr:cNvSpPr>
      </xdr:nvSpPr>
      <xdr:spPr bwMode="auto">
        <a:xfrm flipH="1">
          <a:off x="3314700" y="6151245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320</xdr:row>
      <xdr:rowOff>209550</xdr:rowOff>
    </xdr:from>
    <xdr:to>
      <xdr:col>5</xdr:col>
      <xdr:colOff>742950</xdr:colOff>
      <xdr:row>321</xdr:row>
      <xdr:rowOff>95250</xdr:rowOff>
    </xdr:to>
    <xdr:sp macro="" textlink="">
      <xdr:nvSpPr>
        <xdr:cNvPr id="727" name="Line 93350">
          <a:extLst>
            <a:ext uri="{FF2B5EF4-FFF2-40B4-BE49-F238E27FC236}">
              <a16:creationId xmlns:a16="http://schemas.microsoft.com/office/drawing/2014/main" id="{00000000-0008-0000-0000-0000D7020000}"/>
            </a:ext>
          </a:extLst>
        </xdr:cNvPr>
        <xdr:cNvSpPr>
          <a:spLocks noChangeShapeType="1"/>
        </xdr:cNvSpPr>
      </xdr:nvSpPr>
      <xdr:spPr bwMode="auto">
        <a:xfrm flipH="1">
          <a:off x="3314700" y="6179820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317</xdr:row>
      <xdr:rowOff>47625</xdr:rowOff>
    </xdr:from>
    <xdr:to>
      <xdr:col>5</xdr:col>
      <xdr:colOff>47625</xdr:colOff>
      <xdr:row>318</xdr:row>
      <xdr:rowOff>142875</xdr:rowOff>
    </xdr:to>
    <xdr:sp macro="" textlink="">
      <xdr:nvSpPr>
        <xdr:cNvPr id="728" name="Line 93351">
          <a:extLst>
            <a:ext uri="{FF2B5EF4-FFF2-40B4-BE49-F238E27FC236}">
              <a16:creationId xmlns:a16="http://schemas.microsoft.com/office/drawing/2014/main" id="{00000000-0008-0000-0000-0000D8020000}"/>
            </a:ext>
          </a:extLst>
        </xdr:cNvPr>
        <xdr:cNvSpPr>
          <a:spLocks noChangeShapeType="1"/>
        </xdr:cNvSpPr>
      </xdr:nvSpPr>
      <xdr:spPr bwMode="auto">
        <a:xfrm flipV="1">
          <a:off x="2705100" y="610838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314</xdr:row>
      <xdr:rowOff>152400</xdr:rowOff>
    </xdr:from>
    <xdr:to>
      <xdr:col>5</xdr:col>
      <xdr:colOff>209550</xdr:colOff>
      <xdr:row>318</xdr:row>
      <xdr:rowOff>161925</xdr:rowOff>
    </xdr:to>
    <xdr:sp macro="" textlink="">
      <xdr:nvSpPr>
        <xdr:cNvPr id="729" name="Line 93352">
          <a:extLst>
            <a:ext uri="{FF2B5EF4-FFF2-40B4-BE49-F238E27FC236}">
              <a16:creationId xmlns:a16="http://schemas.microsoft.com/office/drawing/2014/main" id="{00000000-0008-0000-0000-0000D9020000}"/>
            </a:ext>
          </a:extLst>
        </xdr:cNvPr>
        <xdr:cNvSpPr>
          <a:spLocks noChangeShapeType="1"/>
        </xdr:cNvSpPr>
      </xdr:nvSpPr>
      <xdr:spPr bwMode="auto">
        <a:xfrm flipV="1">
          <a:off x="2867025" y="6061710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317</xdr:row>
      <xdr:rowOff>85725</xdr:rowOff>
    </xdr:from>
    <xdr:to>
      <xdr:col>5</xdr:col>
      <xdr:colOff>276225</xdr:colOff>
      <xdr:row>317</xdr:row>
      <xdr:rowOff>85725</xdr:rowOff>
    </xdr:to>
    <xdr:sp macro="" textlink="">
      <xdr:nvSpPr>
        <xdr:cNvPr id="730" name="Line 93353">
          <a:extLst>
            <a:ext uri="{FF2B5EF4-FFF2-40B4-BE49-F238E27FC236}">
              <a16:creationId xmlns:a16="http://schemas.microsoft.com/office/drawing/2014/main" id="{00000000-0008-0000-0000-0000DA020000}"/>
            </a:ext>
          </a:extLst>
        </xdr:cNvPr>
        <xdr:cNvSpPr>
          <a:spLocks noChangeShapeType="1"/>
        </xdr:cNvSpPr>
      </xdr:nvSpPr>
      <xdr:spPr bwMode="auto">
        <a:xfrm>
          <a:off x="2686050" y="61121925"/>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317</xdr:row>
      <xdr:rowOff>47625</xdr:rowOff>
    </xdr:from>
    <xdr:to>
      <xdr:col>5</xdr:col>
      <xdr:colOff>95250</xdr:colOff>
      <xdr:row>317</xdr:row>
      <xdr:rowOff>123825</xdr:rowOff>
    </xdr:to>
    <xdr:sp macro="" textlink="">
      <xdr:nvSpPr>
        <xdr:cNvPr id="731" name="Line 93354">
          <a:extLst>
            <a:ext uri="{FF2B5EF4-FFF2-40B4-BE49-F238E27FC236}">
              <a16:creationId xmlns:a16="http://schemas.microsoft.com/office/drawing/2014/main" id="{00000000-0008-0000-0000-0000DB020000}"/>
            </a:ext>
          </a:extLst>
        </xdr:cNvPr>
        <xdr:cNvSpPr>
          <a:spLocks noChangeShapeType="1"/>
        </xdr:cNvSpPr>
      </xdr:nvSpPr>
      <xdr:spPr bwMode="auto">
        <a:xfrm flipV="1">
          <a:off x="2657475" y="610838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317</xdr:row>
      <xdr:rowOff>0</xdr:rowOff>
    </xdr:from>
    <xdr:to>
      <xdr:col>3</xdr:col>
      <xdr:colOff>266700</xdr:colOff>
      <xdr:row>317</xdr:row>
      <xdr:rowOff>0</xdr:rowOff>
    </xdr:to>
    <xdr:sp macro="" textlink="">
      <xdr:nvSpPr>
        <xdr:cNvPr id="732" name="Line 93355">
          <a:extLst>
            <a:ext uri="{FF2B5EF4-FFF2-40B4-BE49-F238E27FC236}">
              <a16:creationId xmlns:a16="http://schemas.microsoft.com/office/drawing/2014/main" id="{00000000-0008-0000-0000-0000DC020000}"/>
            </a:ext>
          </a:extLst>
        </xdr:cNvPr>
        <xdr:cNvSpPr>
          <a:spLocks noChangeShapeType="1"/>
        </xdr:cNvSpPr>
      </xdr:nvSpPr>
      <xdr:spPr bwMode="auto">
        <a:xfrm>
          <a:off x="1381125" y="61036200"/>
          <a:ext cx="847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316</xdr:row>
      <xdr:rowOff>142875</xdr:rowOff>
    </xdr:from>
    <xdr:to>
      <xdr:col>3</xdr:col>
      <xdr:colOff>104775</xdr:colOff>
      <xdr:row>318</xdr:row>
      <xdr:rowOff>76200</xdr:rowOff>
    </xdr:to>
    <xdr:sp macro="" textlink="">
      <xdr:nvSpPr>
        <xdr:cNvPr id="733" name="Line 93356">
          <a:extLst>
            <a:ext uri="{FF2B5EF4-FFF2-40B4-BE49-F238E27FC236}">
              <a16:creationId xmlns:a16="http://schemas.microsoft.com/office/drawing/2014/main" id="{00000000-0008-0000-0000-0000DD020000}"/>
            </a:ext>
          </a:extLst>
        </xdr:cNvPr>
        <xdr:cNvSpPr>
          <a:spLocks noChangeShapeType="1"/>
        </xdr:cNvSpPr>
      </xdr:nvSpPr>
      <xdr:spPr bwMode="auto">
        <a:xfrm flipV="1">
          <a:off x="2066925" y="609885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316</xdr:row>
      <xdr:rowOff>142875</xdr:rowOff>
    </xdr:from>
    <xdr:to>
      <xdr:col>2</xdr:col>
      <xdr:colOff>266700</xdr:colOff>
      <xdr:row>319</xdr:row>
      <xdr:rowOff>76200</xdr:rowOff>
    </xdr:to>
    <xdr:sp macro="" textlink="">
      <xdr:nvSpPr>
        <xdr:cNvPr id="734" name="Line 93357">
          <a:extLst>
            <a:ext uri="{FF2B5EF4-FFF2-40B4-BE49-F238E27FC236}">
              <a16:creationId xmlns:a16="http://schemas.microsoft.com/office/drawing/2014/main" id="{00000000-0008-0000-0000-0000DE020000}"/>
            </a:ext>
          </a:extLst>
        </xdr:cNvPr>
        <xdr:cNvSpPr>
          <a:spLocks noChangeShapeType="1"/>
        </xdr:cNvSpPr>
      </xdr:nvSpPr>
      <xdr:spPr bwMode="auto">
        <a:xfrm flipV="1">
          <a:off x="1647825" y="60988575"/>
          <a:ext cx="0" cy="504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318</xdr:row>
      <xdr:rowOff>19050</xdr:rowOff>
    </xdr:from>
    <xdr:to>
      <xdr:col>2</xdr:col>
      <xdr:colOff>438150</xdr:colOff>
      <xdr:row>322</xdr:row>
      <xdr:rowOff>142875</xdr:rowOff>
    </xdr:to>
    <xdr:sp macro="" textlink="">
      <xdr:nvSpPr>
        <xdr:cNvPr id="735" name="Line 93358">
          <a:extLst>
            <a:ext uri="{FF2B5EF4-FFF2-40B4-BE49-F238E27FC236}">
              <a16:creationId xmlns:a16="http://schemas.microsoft.com/office/drawing/2014/main" id="{00000000-0008-0000-0000-0000DF020000}"/>
            </a:ext>
          </a:extLst>
        </xdr:cNvPr>
        <xdr:cNvSpPr>
          <a:spLocks noChangeShapeType="1"/>
        </xdr:cNvSpPr>
      </xdr:nvSpPr>
      <xdr:spPr bwMode="auto">
        <a:xfrm>
          <a:off x="1819275" y="61245750"/>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66675</xdr:colOff>
      <xdr:row>316</xdr:row>
      <xdr:rowOff>142875</xdr:rowOff>
    </xdr:from>
    <xdr:to>
      <xdr:col>3</xdr:col>
      <xdr:colOff>161925</xdr:colOff>
      <xdr:row>317</xdr:row>
      <xdr:rowOff>38100</xdr:rowOff>
    </xdr:to>
    <xdr:sp macro="" textlink="">
      <xdr:nvSpPr>
        <xdr:cNvPr id="736" name="Line 93359">
          <a:extLst>
            <a:ext uri="{FF2B5EF4-FFF2-40B4-BE49-F238E27FC236}">
              <a16:creationId xmlns:a16="http://schemas.microsoft.com/office/drawing/2014/main" id="{00000000-0008-0000-0000-0000E0020000}"/>
            </a:ext>
          </a:extLst>
        </xdr:cNvPr>
        <xdr:cNvSpPr>
          <a:spLocks noChangeShapeType="1"/>
        </xdr:cNvSpPr>
      </xdr:nvSpPr>
      <xdr:spPr bwMode="auto">
        <a:xfrm flipH="1">
          <a:off x="2028825" y="6098857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316</xdr:row>
      <xdr:rowOff>114300</xdr:rowOff>
    </xdr:from>
    <xdr:to>
      <xdr:col>3</xdr:col>
      <xdr:colOff>19050</xdr:colOff>
      <xdr:row>317</xdr:row>
      <xdr:rowOff>47625</xdr:rowOff>
    </xdr:to>
    <xdr:sp macro="" textlink="">
      <xdr:nvSpPr>
        <xdr:cNvPr id="737" name="Line 93360">
          <a:extLst>
            <a:ext uri="{FF2B5EF4-FFF2-40B4-BE49-F238E27FC236}">
              <a16:creationId xmlns:a16="http://schemas.microsoft.com/office/drawing/2014/main" id="{00000000-0008-0000-0000-0000E1020000}"/>
            </a:ext>
          </a:extLst>
        </xdr:cNvPr>
        <xdr:cNvSpPr>
          <a:spLocks noChangeShapeType="1"/>
        </xdr:cNvSpPr>
      </xdr:nvSpPr>
      <xdr:spPr bwMode="auto">
        <a:xfrm flipH="1">
          <a:off x="1885950" y="60960000"/>
          <a:ext cx="952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390525</xdr:colOff>
      <xdr:row>316</xdr:row>
      <xdr:rowOff>123825</xdr:rowOff>
    </xdr:from>
    <xdr:to>
      <xdr:col>2</xdr:col>
      <xdr:colOff>466725</xdr:colOff>
      <xdr:row>317</xdr:row>
      <xdr:rowOff>47625</xdr:rowOff>
    </xdr:to>
    <xdr:sp macro="" textlink="">
      <xdr:nvSpPr>
        <xdr:cNvPr id="738" name="Line 93361">
          <a:extLst>
            <a:ext uri="{FF2B5EF4-FFF2-40B4-BE49-F238E27FC236}">
              <a16:creationId xmlns:a16="http://schemas.microsoft.com/office/drawing/2014/main" id="{00000000-0008-0000-0000-0000E2020000}"/>
            </a:ext>
          </a:extLst>
        </xdr:cNvPr>
        <xdr:cNvSpPr>
          <a:spLocks noChangeShapeType="1"/>
        </xdr:cNvSpPr>
      </xdr:nvSpPr>
      <xdr:spPr bwMode="auto">
        <a:xfrm flipH="1">
          <a:off x="1771650" y="60969525"/>
          <a:ext cx="762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457200</xdr:colOff>
      <xdr:row>316</xdr:row>
      <xdr:rowOff>28575</xdr:rowOff>
    </xdr:from>
    <xdr:to>
      <xdr:col>2</xdr:col>
      <xdr:colOff>495300</xdr:colOff>
      <xdr:row>317</xdr:row>
      <xdr:rowOff>9525</xdr:rowOff>
    </xdr:to>
    <xdr:sp macro="" textlink="">
      <xdr:nvSpPr>
        <xdr:cNvPr id="739" name="Line 93362">
          <a:extLst>
            <a:ext uri="{FF2B5EF4-FFF2-40B4-BE49-F238E27FC236}">
              <a16:creationId xmlns:a16="http://schemas.microsoft.com/office/drawing/2014/main" id="{00000000-0008-0000-0000-0000E3020000}"/>
            </a:ext>
          </a:extLst>
        </xdr:cNvPr>
        <xdr:cNvSpPr>
          <a:spLocks noChangeShapeType="1"/>
        </xdr:cNvSpPr>
      </xdr:nvSpPr>
      <xdr:spPr bwMode="auto">
        <a:xfrm>
          <a:off x="1838325" y="60874275"/>
          <a:ext cx="3810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317</xdr:row>
      <xdr:rowOff>161925</xdr:rowOff>
    </xdr:from>
    <xdr:to>
      <xdr:col>2</xdr:col>
      <xdr:colOff>95250</xdr:colOff>
      <xdr:row>318</xdr:row>
      <xdr:rowOff>123825</xdr:rowOff>
    </xdr:to>
    <xdr:sp macro="" textlink="">
      <xdr:nvSpPr>
        <xdr:cNvPr id="740" name="Line 93363">
          <a:extLst>
            <a:ext uri="{FF2B5EF4-FFF2-40B4-BE49-F238E27FC236}">
              <a16:creationId xmlns:a16="http://schemas.microsoft.com/office/drawing/2014/main" id="{00000000-0008-0000-0000-0000E4020000}"/>
            </a:ext>
          </a:extLst>
        </xdr:cNvPr>
        <xdr:cNvSpPr>
          <a:spLocks noChangeShapeType="1"/>
        </xdr:cNvSpPr>
      </xdr:nvSpPr>
      <xdr:spPr bwMode="auto">
        <a:xfrm flipV="1">
          <a:off x="1476375" y="61198125"/>
          <a:ext cx="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315</xdr:row>
      <xdr:rowOff>0</xdr:rowOff>
    </xdr:from>
    <xdr:to>
      <xdr:col>5</xdr:col>
      <xdr:colOff>285750</xdr:colOff>
      <xdr:row>315</xdr:row>
      <xdr:rowOff>0</xdr:rowOff>
    </xdr:to>
    <xdr:sp macro="" textlink="">
      <xdr:nvSpPr>
        <xdr:cNvPr id="741" name="Line 93364">
          <a:extLst>
            <a:ext uri="{FF2B5EF4-FFF2-40B4-BE49-F238E27FC236}">
              <a16:creationId xmlns:a16="http://schemas.microsoft.com/office/drawing/2014/main" id="{00000000-0008-0000-0000-0000E5020000}"/>
            </a:ext>
          </a:extLst>
        </xdr:cNvPr>
        <xdr:cNvSpPr>
          <a:spLocks noChangeShapeType="1"/>
        </xdr:cNvSpPr>
      </xdr:nvSpPr>
      <xdr:spPr bwMode="auto">
        <a:xfrm flipH="1">
          <a:off x="1438275" y="60655200"/>
          <a:ext cx="15049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314</xdr:row>
      <xdr:rowOff>123825</xdr:rowOff>
    </xdr:from>
    <xdr:to>
      <xdr:col>2</xdr:col>
      <xdr:colOff>142875</xdr:colOff>
      <xdr:row>315</xdr:row>
      <xdr:rowOff>47625</xdr:rowOff>
    </xdr:to>
    <xdr:sp macro="" textlink="">
      <xdr:nvSpPr>
        <xdr:cNvPr id="742" name="Line 93365">
          <a:extLst>
            <a:ext uri="{FF2B5EF4-FFF2-40B4-BE49-F238E27FC236}">
              <a16:creationId xmlns:a16="http://schemas.microsoft.com/office/drawing/2014/main" id="{00000000-0008-0000-0000-0000E6020000}"/>
            </a:ext>
          </a:extLst>
        </xdr:cNvPr>
        <xdr:cNvSpPr>
          <a:spLocks noChangeShapeType="1"/>
        </xdr:cNvSpPr>
      </xdr:nvSpPr>
      <xdr:spPr bwMode="auto">
        <a:xfrm flipH="1">
          <a:off x="1428750" y="6058852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314</xdr:row>
      <xdr:rowOff>142875</xdr:rowOff>
    </xdr:from>
    <xdr:to>
      <xdr:col>5</xdr:col>
      <xdr:colOff>257175</xdr:colOff>
      <xdr:row>315</xdr:row>
      <xdr:rowOff>38100</xdr:rowOff>
    </xdr:to>
    <xdr:sp macro="" textlink="">
      <xdr:nvSpPr>
        <xdr:cNvPr id="743" name="Line 93366">
          <a:extLst>
            <a:ext uri="{FF2B5EF4-FFF2-40B4-BE49-F238E27FC236}">
              <a16:creationId xmlns:a16="http://schemas.microsoft.com/office/drawing/2014/main" id="{00000000-0008-0000-0000-0000E7020000}"/>
            </a:ext>
          </a:extLst>
        </xdr:cNvPr>
        <xdr:cNvSpPr>
          <a:spLocks noChangeShapeType="1"/>
        </xdr:cNvSpPr>
      </xdr:nvSpPr>
      <xdr:spPr bwMode="auto">
        <a:xfrm flipH="1">
          <a:off x="2828925" y="606075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316</xdr:row>
      <xdr:rowOff>142875</xdr:rowOff>
    </xdr:from>
    <xdr:to>
      <xdr:col>2</xdr:col>
      <xdr:colOff>304800</xdr:colOff>
      <xdr:row>317</xdr:row>
      <xdr:rowOff>38100</xdr:rowOff>
    </xdr:to>
    <xdr:sp macro="" textlink="">
      <xdr:nvSpPr>
        <xdr:cNvPr id="744" name="Line 93367">
          <a:extLst>
            <a:ext uri="{FF2B5EF4-FFF2-40B4-BE49-F238E27FC236}">
              <a16:creationId xmlns:a16="http://schemas.microsoft.com/office/drawing/2014/main" id="{00000000-0008-0000-0000-0000E8020000}"/>
            </a:ext>
          </a:extLst>
        </xdr:cNvPr>
        <xdr:cNvSpPr>
          <a:spLocks noChangeShapeType="1"/>
        </xdr:cNvSpPr>
      </xdr:nvSpPr>
      <xdr:spPr bwMode="auto">
        <a:xfrm flipH="1">
          <a:off x="1590675" y="6098857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314</xdr:row>
      <xdr:rowOff>123825</xdr:rowOff>
    </xdr:from>
    <xdr:to>
      <xdr:col>2</xdr:col>
      <xdr:colOff>95250</xdr:colOff>
      <xdr:row>317</xdr:row>
      <xdr:rowOff>38100</xdr:rowOff>
    </xdr:to>
    <xdr:sp macro="" textlink="">
      <xdr:nvSpPr>
        <xdr:cNvPr id="745" name="Line 93368">
          <a:extLst>
            <a:ext uri="{FF2B5EF4-FFF2-40B4-BE49-F238E27FC236}">
              <a16:creationId xmlns:a16="http://schemas.microsoft.com/office/drawing/2014/main" id="{00000000-0008-0000-0000-0000E9020000}"/>
            </a:ext>
          </a:extLst>
        </xdr:cNvPr>
        <xdr:cNvSpPr>
          <a:spLocks noChangeShapeType="1"/>
        </xdr:cNvSpPr>
      </xdr:nvSpPr>
      <xdr:spPr bwMode="auto">
        <a:xfrm>
          <a:off x="1476375" y="6058852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318</xdr:row>
      <xdr:rowOff>171450</xdr:rowOff>
    </xdr:from>
    <xdr:to>
      <xdr:col>5</xdr:col>
      <xdr:colOff>638175</xdr:colOff>
      <xdr:row>320</xdr:row>
      <xdr:rowOff>209550</xdr:rowOff>
    </xdr:to>
    <xdr:sp macro="" textlink="">
      <xdr:nvSpPr>
        <xdr:cNvPr id="746" name="Tegning 344">
          <a:extLst>
            <a:ext uri="{FF2B5EF4-FFF2-40B4-BE49-F238E27FC236}">
              <a16:creationId xmlns:a16="http://schemas.microsoft.com/office/drawing/2014/main" id="{00000000-0008-0000-0000-0000EA020000}"/>
            </a:ext>
          </a:extLst>
        </xdr:cNvPr>
        <xdr:cNvSpPr>
          <a:spLocks/>
        </xdr:cNvSpPr>
      </xdr:nvSpPr>
      <xdr:spPr bwMode="auto">
        <a:xfrm>
          <a:off x="2066925" y="61398150"/>
          <a:ext cx="1228725" cy="40005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180975</xdr:colOff>
      <xdr:row>317</xdr:row>
      <xdr:rowOff>47625</xdr:rowOff>
    </xdr:from>
    <xdr:to>
      <xdr:col>5</xdr:col>
      <xdr:colOff>257175</xdr:colOff>
      <xdr:row>317</xdr:row>
      <xdr:rowOff>114300</xdr:rowOff>
    </xdr:to>
    <xdr:sp macro="" textlink="">
      <xdr:nvSpPr>
        <xdr:cNvPr id="747" name="Line 93370">
          <a:extLst>
            <a:ext uri="{FF2B5EF4-FFF2-40B4-BE49-F238E27FC236}">
              <a16:creationId xmlns:a16="http://schemas.microsoft.com/office/drawing/2014/main" id="{00000000-0008-0000-0000-0000EB020000}"/>
            </a:ext>
          </a:extLst>
        </xdr:cNvPr>
        <xdr:cNvSpPr>
          <a:spLocks noChangeShapeType="1"/>
        </xdr:cNvSpPr>
      </xdr:nvSpPr>
      <xdr:spPr bwMode="auto">
        <a:xfrm flipH="1">
          <a:off x="2838450" y="610838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371475</xdr:colOff>
      <xdr:row>319</xdr:row>
      <xdr:rowOff>161925</xdr:rowOff>
    </xdr:from>
    <xdr:to>
      <xdr:col>6</xdr:col>
      <xdr:colOff>9525</xdr:colOff>
      <xdr:row>319</xdr:row>
      <xdr:rowOff>161925</xdr:rowOff>
    </xdr:to>
    <xdr:sp macro="" textlink="">
      <xdr:nvSpPr>
        <xdr:cNvPr id="748" name="Line 93371">
          <a:extLst>
            <a:ext uri="{FF2B5EF4-FFF2-40B4-BE49-F238E27FC236}">
              <a16:creationId xmlns:a16="http://schemas.microsoft.com/office/drawing/2014/main" id="{00000000-0008-0000-0000-0000EC020000}"/>
            </a:ext>
          </a:extLst>
        </xdr:cNvPr>
        <xdr:cNvSpPr>
          <a:spLocks noChangeShapeType="1"/>
        </xdr:cNvSpPr>
      </xdr:nvSpPr>
      <xdr:spPr bwMode="auto">
        <a:xfrm>
          <a:off x="3028950" y="61579125"/>
          <a:ext cx="390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321</xdr:row>
      <xdr:rowOff>47625</xdr:rowOff>
    </xdr:from>
    <xdr:to>
      <xdr:col>6</xdr:col>
      <xdr:colOff>19050</xdr:colOff>
      <xdr:row>321</xdr:row>
      <xdr:rowOff>47625</xdr:rowOff>
    </xdr:to>
    <xdr:sp macro="" textlink="">
      <xdr:nvSpPr>
        <xdr:cNvPr id="749" name="Line 93372">
          <a:extLst>
            <a:ext uri="{FF2B5EF4-FFF2-40B4-BE49-F238E27FC236}">
              <a16:creationId xmlns:a16="http://schemas.microsoft.com/office/drawing/2014/main" id="{00000000-0008-0000-0000-0000ED020000}"/>
            </a:ext>
          </a:extLst>
        </xdr:cNvPr>
        <xdr:cNvSpPr>
          <a:spLocks noChangeShapeType="1"/>
        </xdr:cNvSpPr>
      </xdr:nvSpPr>
      <xdr:spPr bwMode="auto">
        <a:xfrm>
          <a:off x="3305175" y="61845825"/>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316</xdr:row>
      <xdr:rowOff>142875</xdr:rowOff>
    </xdr:from>
    <xdr:to>
      <xdr:col>2</xdr:col>
      <xdr:colOff>552450</xdr:colOff>
      <xdr:row>317</xdr:row>
      <xdr:rowOff>123825</xdr:rowOff>
    </xdr:to>
    <xdr:sp macro="" textlink="">
      <xdr:nvSpPr>
        <xdr:cNvPr id="750" name="Line 93373">
          <a:extLst>
            <a:ext uri="{FF2B5EF4-FFF2-40B4-BE49-F238E27FC236}">
              <a16:creationId xmlns:a16="http://schemas.microsoft.com/office/drawing/2014/main" id="{00000000-0008-0000-0000-0000EE020000}"/>
            </a:ext>
          </a:extLst>
        </xdr:cNvPr>
        <xdr:cNvSpPr>
          <a:spLocks noChangeShapeType="1"/>
        </xdr:cNvSpPr>
      </xdr:nvSpPr>
      <xdr:spPr bwMode="auto">
        <a:xfrm flipV="1">
          <a:off x="1933575" y="60988575"/>
          <a:ext cx="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476250</xdr:colOff>
      <xdr:row>316</xdr:row>
      <xdr:rowOff>161925</xdr:rowOff>
    </xdr:from>
    <xdr:to>
      <xdr:col>2</xdr:col>
      <xdr:colOff>504825</xdr:colOff>
      <xdr:row>317</xdr:row>
      <xdr:rowOff>9525</xdr:rowOff>
    </xdr:to>
    <xdr:sp macro="" textlink="">
      <xdr:nvSpPr>
        <xdr:cNvPr id="751" name="Oval 93374">
          <a:extLst>
            <a:ext uri="{FF2B5EF4-FFF2-40B4-BE49-F238E27FC236}">
              <a16:creationId xmlns:a16="http://schemas.microsoft.com/office/drawing/2014/main" id="{00000000-0008-0000-0000-0000EF020000}"/>
            </a:ext>
          </a:extLst>
        </xdr:cNvPr>
        <xdr:cNvSpPr>
          <a:spLocks noChangeArrowheads="1"/>
        </xdr:cNvSpPr>
      </xdr:nvSpPr>
      <xdr:spPr bwMode="auto">
        <a:xfrm>
          <a:off x="1857375" y="61007625"/>
          <a:ext cx="28575" cy="381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438150</xdr:colOff>
      <xdr:row>316</xdr:row>
      <xdr:rowOff>152400</xdr:rowOff>
    </xdr:from>
    <xdr:to>
      <xdr:col>2</xdr:col>
      <xdr:colOff>438150</xdr:colOff>
      <xdr:row>317</xdr:row>
      <xdr:rowOff>152400</xdr:rowOff>
    </xdr:to>
    <xdr:sp macro="" textlink="">
      <xdr:nvSpPr>
        <xdr:cNvPr id="752" name="Line 93375">
          <a:extLst>
            <a:ext uri="{FF2B5EF4-FFF2-40B4-BE49-F238E27FC236}">
              <a16:creationId xmlns:a16="http://schemas.microsoft.com/office/drawing/2014/main" id="{00000000-0008-0000-0000-0000F0020000}"/>
            </a:ext>
          </a:extLst>
        </xdr:cNvPr>
        <xdr:cNvSpPr>
          <a:spLocks noChangeShapeType="1"/>
        </xdr:cNvSpPr>
      </xdr:nvSpPr>
      <xdr:spPr bwMode="auto">
        <a:xfrm flipV="1">
          <a:off x="1819275" y="60998100"/>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316</xdr:row>
      <xdr:rowOff>152400</xdr:rowOff>
    </xdr:from>
    <xdr:to>
      <xdr:col>2</xdr:col>
      <xdr:colOff>133350</xdr:colOff>
      <xdr:row>317</xdr:row>
      <xdr:rowOff>38100</xdr:rowOff>
    </xdr:to>
    <xdr:sp macro="" textlink="">
      <xdr:nvSpPr>
        <xdr:cNvPr id="753" name="Line 93378">
          <a:extLst>
            <a:ext uri="{FF2B5EF4-FFF2-40B4-BE49-F238E27FC236}">
              <a16:creationId xmlns:a16="http://schemas.microsoft.com/office/drawing/2014/main" id="{00000000-0008-0000-0000-0000F1020000}"/>
            </a:ext>
          </a:extLst>
        </xdr:cNvPr>
        <xdr:cNvSpPr>
          <a:spLocks noChangeShapeType="1"/>
        </xdr:cNvSpPr>
      </xdr:nvSpPr>
      <xdr:spPr bwMode="auto">
        <a:xfrm flipH="1">
          <a:off x="1428750" y="609981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328</xdr:row>
      <xdr:rowOff>161925</xdr:rowOff>
    </xdr:from>
    <xdr:to>
      <xdr:col>6</xdr:col>
      <xdr:colOff>114300</xdr:colOff>
      <xdr:row>332</xdr:row>
      <xdr:rowOff>47625</xdr:rowOff>
    </xdr:to>
    <xdr:sp macro="" textlink="">
      <xdr:nvSpPr>
        <xdr:cNvPr id="754" name="Tegning 308">
          <a:extLst>
            <a:ext uri="{FF2B5EF4-FFF2-40B4-BE49-F238E27FC236}">
              <a16:creationId xmlns:a16="http://schemas.microsoft.com/office/drawing/2014/main" id="{00000000-0008-0000-0000-0000F2020000}"/>
            </a:ext>
          </a:extLst>
        </xdr:cNvPr>
        <xdr:cNvSpPr>
          <a:spLocks/>
        </xdr:cNvSpPr>
      </xdr:nvSpPr>
      <xdr:spPr bwMode="auto">
        <a:xfrm>
          <a:off x="1933575" y="63293625"/>
          <a:ext cx="1590675" cy="685800"/>
        </a:xfrm>
        <a:custGeom>
          <a:avLst/>
          <a:gdLst>
            <a:gd name="T0" fmla="*/ 2147483647 w 16384"/>
            <a:gd name="T1" fmla="*/ 0 h 16384"/>
            <a:gd name="T2" fmla="*/ 0 w 16384"/>
            <a:gd name="T3" fmla="*/ 0 h 16384"/>
            <a:gd name="T4" fmla="*/ 0 w 16384"/>
            <a:gd name="T5" fmla="*/ 2147483647 h 16384"/>
            <a:gd name="T6" fmla="*/ 2147483647 w 16384"/>
            <a:gd name="T7" fmla="*/ 2147483647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533400</xdr:colOff>
      <xdr:row>332</xdr:row>
      <xdr:rowOff>19050</xdr:rowOff>
    </xdr:from>
    <xdr:to>
      <xdr:col>3</xdr:col>
      <xdr:colOff>247650</xdr:colOff>
      <xdr:row>334</xdr:row>
      <xdr:rowOff>28575</xdr:rowOff>
    </xdr:to>
    <xdr:sp macro="" textlink="">
      <xdr:nvSpPr>
        <xdr:cNvPr id="755" name="Tegning 311">
          <a:extLst>
            <a:ext uri="{FF2B5EF4-FFF2-40B4-BE49-F238E27FC236}">
              <a16:creationId xmlns:a16="http://schemas.microsoft.com/office/drawing/2014/main" id="{00000000-0008-0000-0000-0000F3020000}"/>
            </a:ext>
          </a:extLst>
        </xdr:cNvPr>
        <xdr:cNvSpPr>
          <a:spLocks/>
        </xdr:cNvSpPr>
      </xdr:nvSpPr>
      <xdr:spPr bwMode="auto">
        <a:xfrm>
          <a:off x="1914525" y="63950850"/>
          <a:ext cx="295275" cy="40005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330</xdr:row>
      <xdr:rowOff>161925</xdr:rowOff>
    </xdr:from>
    <xdr:to>
      <xdr:col>2</xdr:col>
      <xdr:colOff>381000</xdr:colOff>
      <xdr:row>332</xdr:row>
      <xdr:rowOff>161925</xdr:rowOff>
    </xdr:to>
    <xdr:sp macro="" textlink="">
      <xdr:nvSpPr>
        <xdr:cNvPr id="756" name="Tegning 312">
          <a:extLst>
            <a:ext uri="{FF2B5EF4-FFF2-40B4-BE49-F238E27FC236}">
              <a16:creationId xmlns:a16="http://schemas.microsoft.com/office/drawing/2014/main" id="{00000000-0008-0000-0000-0000F4020000}"/>
            </a:ext>
          </a:extLst>
        </xdr:cNvPr>
        <xdr:cNvSpPr>
          <a:spLocks/>
        </xdr:cNvSpPr>
      </xdr:nvSpPr>
      <xdr:spPr bwMode="auto">
        <a:xfrm>
          <a:off x="1543050" y="63674625"/>
          <a:ext cx="219075" cy="4191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330</xdr:row>
      <xdr:rowOff>161925</xdr:rowOff>
    </xdr:from>
    <xdr:to>
      <xdr:col>5</xdr:col>
      <xdr:colOff>552450</xdr:colOff>
      <xdr:row>332</xdr:row>
      <xdr:rowOff>114300</xdr:rowOff>
    </xdr:to>
    <xdr:sp macro="" textlink="">
      <xdr:nvSpPr>
        <xdr:cNvPr id="757" name="Tegning 316">
          <a:extLst>
            <a:ext uri="{FF2B5EF4-FFF2-40B4-BE49-F238E27FC236}">
              <a16:creationId xmlns:a16="http://schemas.microsoft.com/office/drawing/2014/main" id="{00000000-0008-0000-0000-0000F5020000}"/>
            </a:ext>
          </a:extLst>
        </xdr:cNvPr>
        <xdr:cNvSpPr>
          <a:spLocks/>
        </xdr:cNvSpPr>
      </xdr:nvSpPr>
      <xdr:spPr bwMode="auto">
        <a:xfrm>
          <a:off x="2971800" y="63674625"/>
          <a:ext cx="238125" cy="371475"/>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329</xdr:row>
      <xdr:rowOff>142875</xdr:rowOff>
    </xdr:from>
    <xdr:to>
      <xdr:col>5</xdr:col>
      <xdr:colOff>638175</xdr:colOff>
      <xdr:row>332</xdr:row>
      <xdr:rowOff>0</xdr:rowOff>
    </xdr:to>
    <xdr:sp macro="" textlink="">
      <xdr:nvSpPr>
        <xdr:cNvPr id="758" name="Tegning 344">
          <a:extLst>
            <a:ext uri="{FF2B5EF4-FFF2-40B4-BE49-F238E27FC236}">
              <a16:creationId xmlns:a16="http://schemas.microsoft.com/office/drawing/2014/main" id="{00000000-0008-0000-0000-0000F6020000}"/>
            </a:ext>
          </a:extLst>
        </xdr:cNvPr>
        <xdr:cNvSpPr>
          <a:spLocks/>
        </xdr:cNvSpPr>
      </xdr:nvSpPr>
      <xdr:spPr bwMode="auto">
        <a:xfrm>
          <a:off x="2057400" y="63465075"/>
          <a:ext cx="1238250" cy="4667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329</xdr:row>
      <xdr:rowOff>171450</xdr:rowOff>
    </xdr:from>
    <xdr:to>
      <xdr:col>5</xdr:col>
      <xdr:colOff>600075</xdr:colOff>
      <xdr:row>330</xdr:row>
      <xdr:rowOff>161925</xdr:rowOff>
    </xdr:to>
    <xdr:sp macro="" textlink="">
      <xdr:nvSpPr>
        <xdr:cNvPr id="759" name="Freeform 93393">
          <a:extLst>
            <a:ext uri="{FF2B5EF4-FFF2-40B4-BE49-F238E27FC236}">
              <a16:creationId xmlns:a16="http://schemas.microsoft.com/office/drawing/2014/main" id="{00000000-0008-0000-0000-0000F7020000}"/>
            </a:ext>
          </a:extLst>
        </xdr:cNvPr>
        <xdr:cNvSpPr>
          <a:spLocks/>
        </xdr:cNvSpPr>
      </xdr:nvSpPr>
      <xdr:spPr bwMode="auto">
        <a:xfrm>
          <a:off x="1933575" y="63493650"/>
          <a:ext cx="1323975" cy="180975"/>
        </a:xfrm>
        <a:custGeom>
          <a:avLst/>
          <a:gdLst>
            <a:gd name="T0" fmla="*/ 2147483647 w 134"/>
            <a:gd name="T1" fmla="*/ 0 h 19"/>
            <a:gd name="T2" fmla="*/ 2147483647 w 134"/>
            <a:gd name="T3" fmla="*/ 0 h 19"/>
            <a:gd name="T4" fmla="*/ 2147483647 w 134"/>
            <a:gd name="T5" fmla="*/ 2147483647 h 19"/>
            <a:gd name="T6" fmla="*/ 0 w 134"/>
            <a:gd name="T7" fmla="*/ 2147483647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19">
              <a:moveTo>
                <a:pt x="1" y="0"/>
              </a:moveTo>
              <a:lnTo>
                <a:pt x="134" y="0"/>
              </a:lnTo>
              <a:lnTo>
                <a:pt x="134" y="19"/>
              </a:lnTo>
              <a:lnTo>
                <a:pt x="0" y="1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95250</xdr:colOff>
      <xdr:row>330</xdr:row>
      <xdr:rowOff>0</xdr:rowOff>
    </xdr:from>
    <xdr:to>
      <xdr:col>5</xdr:col>
      <xdr:colOff>200025</xdr:colOff>
      <xdr:row>330</xdr:row>
      <xdr:rowOff>142875</xdr:rowOff>
    </xdr:to>
    <xdr:sp macro="" textlink="">
      <xdr:nvSpPr>
        <xdr:cNvPr id="760" name="Rectangle 93394">
          <a:extLst>
            <a:ext uri="{FF2B5EF4-FFF2-40B4-BE49-F238E27FC236}">
              <a16:creationId xmlns:a16="http://schemas.microsoft.com/office/drawing/2014/main" id="{00000000-0008-0000-0000-0000F8020000}"/>
            </a:ext>
          </a:extLst>
        </xdr:cNvPr>
        <xdr:cNvSpPr>
          <a:spLocks noChangeArrowheads="1"/>
        </xdr:cNvSpPr>
      </xdr:nvSpPr>
      <xdr:spPr bwMode="auto">
        <a:xfrm>
          <a:off x="1476375" y="63512700"/>
          <a:ext cx="1381125" cy="14287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447675</xdr:colOff>
      <xdr:row>334</xdr:row>
      <xdr:rowOff>19050</xdr:rowOff>
    </xdr:from>
    <xdr:to>
      <xdr:col>5</xdr:col>
      <xdr:colOff>447675</xdr:colOff>
      <xdr:row>335</xdr:row>
      <xdr:rowOff>28575</xdr:rowOff>
    </xdr:to>
    <xdr:sp macro="" textlink="">
      <xdr:nvSpPr>
        <xdr:cNvPr id="761" name="Line 93395">
          <a:extLst>
            <a:ext uri="{FF2B5EF4-FFF2-40B4-BE49-F238E27FC236}">
              <a16:creationId xmlns:a16="http://schemas.microsoft.com/office/drawing/2014/main" id="{00000000-0008-0000-0000-0000F9020000}"/>
            </a:ext>
          </a:extLst>
        </xdr:cNvPr>
        <xdr:cNvSpPr>
          <a:spLocks noChangeShapeType="1"/>
        </xdr:cNvSpPr>
      </xdr:nvSpPr>
      <xdr:spPr bwMode="auto">
        <a:xfrm>
          <a:off x="3105150" y="6434137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335</xdr:row>
      <xdr:rowOff>0</xdr:rowOff>
    </xdr:from>
    <xdr:to>
      <xdr:col>5</xdr:col>
      <xdr:colOff>571500</xdr:colOff>
      <xdr:row>335</xdr:row>
      <xdr:rowOff>0</xdr:rowOff>
    </xdr:to>
    <xdr:sp macro="" textlink="">
      <xdr:nvSpPr>
        <xdr:cNvPr id="762" name="Line 93396">
          <a:extLst>
            <a:ext uri="{FF2B5EF4-FFF2-40B4-BE49-F238E27FC236}">
              <a16:creationId xmlns:a16="http://schemas.microsoft.com/office/drawing/2014/main" id="{00000000-0008-0000-0000-0000FA020000}"/>
            </a:ext>
          </a:extLst>
        </xdr:cNvPr>
        <xdr:cNvSpPr>
          <a:spLocks noChangeShapeType="1"/>
        </xdr:cNvSpPr>
      </xdr:nvSpPr>
      <xdr:spPr bwMode="auto">
        <a:xfrm flipH="1">
          <a:off x="1581150" y="64512825"/>
          <a:ext cx="1647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334</xdr:row>
      <xdr:rowOff>85725</xdr:rowOff>
    </xdr:from>
    <xdr:to>
      <xdr:col>3</xdr:col>
      <xdr:colOff>95250</xdr:colOff>
      <xdr:row>335</xdr:row>
      <xdr:rowOff>28575</xdr:rowOff>
    </xdr:to>
    <xdr:sp macro="" textlink="">
      <xdr:nvSpPr>
        <xdr:cNvPr id="763" name="Line 93397">
          <a:extLst>
            <a:ext uri="{FF2B5EF4-FFF2-40B4-BE49-F238E27FC236}">
              <a16:creationId xmlns:a16="http://schemas.microsoft.com/office/drawing/2014/main" id="{00000000-0008-0000-0000-0000FB020000}"/>
            </a:ext>
          </a:extLst>
        </xdr:cNvPr>
        <xdr:cNvSpPr>
          <a:spLocks noChangeShapeType="1"/>
        </xdr:cNvSpPr>
      </xdr:nvSpPr>
      <xdr:spPr bwMode="auto">
        <a:xfrm>
          <a:off x="2057400" y="6440805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334</xdr:row>
      <xdr:rowOff>152400</xdr:rowOff>
    </xdr:from>
    <xdr:to>
      <xdr:col>3</xdr:col>
      <xdr:colOff>123825</xdr:colOff>
      <xdr:row>335</xdr:row>
      <xdr:rowOff>28575</xdr:rowOff>
    </xdr:to>
    <xdr:sp macro="" textlink="">
      <xdr:nvSpPr>
        <xdr:cNvPr id="764" name="Line 93398">
          <a:extLst>
            <a:ext uri="{FF2B5EF4-FFF2-40B4-BE49-F238E27FC236}">
              <a16:creationId xmlns:a16="http://schemas.microsoft.com/office/drawing/2014/main" id="{00000000-0008-0000-0000-0000FC020000}"/>
            </a:ext>
          </a:extLst>
        </xdr:cNvPr>
        <xdr:cNvSpPr>
          <a:spLocks noChangeShapeType="1"/>
        </xdr:cNvSpPr>
      </xdr:nvSpPr>
      <xdr:spPr bwMode="auto">
        <a:xfrm flipH="1">
          <a:off x="2019300" y="644747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334</xdr:row>
      <xdr:rowOff>161925</xdr:rowOff>
    </xdr:from>
    <xdr:to>
      <xdr:col>5</xdr:col>
      <xdr:colOff>485775</xdr:colOff>
      <xdr:row>335</xdr:row>
      <xdr:rowOff>57150</xdr:rowOff>
    </xdr:to>
    <xdr:sp macro="" textlink="">
      <xdr:nvSpPr>
        <xdr:cNvPr id="765" name="Line 93399">
          <a:extLst>
            <a:ext uri="{FF2B5EF4-FFF2-40B4-BE49-F238E27FC236}">
              <a16:creationId xmlns:a16="http://schemas.microsoft.com/office/drawing/2014/main" id="{00000000-0008-0000-0000-0000FD020000}"/>
            </a:ext>
          </a:extLst>
        </xdr:cNvPr>
        <xdr:cNvSpPr>
          <a:spLocks noChangeShapeType="1"/>
        </xdr:cNvSpPr>
      </xdr:nvSpPr>
      <xdr:spPr bwMode="auto">
        <a:xfrm flipH="1">
          <a:off x="3057525" y="644842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333</xdr:row>
      <xdr:rowOff>28575</xdr:rowOff>
    </xdr:from>
    <xdr:to>
      <xdr:col>2</xdr:col>
      <xdr:colOff>266700</xdr:colOff>
      <xdr:row>335</xdr:row>
      <xdr:rowOff>57150</xdr:rowOff>
    </xdr:to>
    <xdr:sp macro="" textlink="">
      <xdr:nvSpPr>
        <xdr:cNvPr id="766" name="Line 93400">
          <a:extLst>
            <a:ext uri="{FF2B5EF4-FFF2-40B4-BE49-F238E27FC236}">
              <a16:creationId xmlns:a16="http://schemas.microsoft.com/office/drawing/2014/main" id="{00000000-0008-0000-0000-0000FE020000}"/>
            </a:ext>
          </a:extLst>
        </xdr:cNvPr>
        <xdr:cNvSpPr>
          <a:spLocks noChangeShapeType="1"/>
        </xdr:cNvSpPr>
      </xdr:nvSpPr>
      <xdr:spPr bwMode="auto">
        <a:xfrm>
          <a:off x="1647825" y="64150875"/>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334</xdr:row>
      <xdr:rowOff>152400</xdr:rowOff>
    </xdr:from>
    <xdr:to>
      <xdr:col>2</xdr:col>
      <xdr:colOff>304800</xdr:colOff>
      <xdr:row>335</xdr:row>
      <xdr:rowOff>38100</xdr:rowOff>
    </xdr:to>
    <xdr:sp macro="" textlink="">
      <xdr:nvSpPr>
        <xdr:cNvPr id="767" name="Line 93401">
          <a:extLst>
            <a:ext uri="{FF2B5EF4-FFF2-40B4-BE49-F238E27FC236}">
              <a16:creationId xmlns:a16="http://schemas.microsoft.com/office/drawing/2014/main" id="{00000000-0008-0000-0000-0000FF020000}"/>
            </a:ext>
          </a:extLst>
        </xdr:cNvPr>
        <xdr:cNvSpPr>
          <a:spLocks noChangeShapeType="1"/>
        </xdr:cNvSpPr>
      </xdr:nvSpPr>
      <xdr:spPr bwMode="auto">
        <a:xfrm flipH="1">
          <a:off x="1609725" y="644747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337</xdr:row>
      <xdr:rowOff>171450</xdr:rowOff>
    </xdr:from>
    <xdr:to>
      <xdr:col>3</xdr:col>
      <xdr:colOff>247650</xdr:colOff>
      <xdr:row>340</xdr:row>
      <xdr:rowOff>19050</xdr:rowOff>
    </xdr:to>
    <xdr:sp macro="" textlink="">
      <xdr:nvSpPr>
        <xdr:cNvPr id="768" name="Tegning 311">
          <a:extLst>
            <a:ext uri="{FF2B5EF4-FFF2-40B4-BE49-F238E27FC236}">
              <a16:creationId xmlns:a16="http://schemas.microsoft.com/office/drawing/2014/main" id="{00000000-0008-0000-0000-000000030000}"/>
            </a:ext>
          </a:extLst>
        </xdr:cNvPr>
        <xdr:cNvSpPr>
          <a:spLocks/>
        </xdr:cNvSpPr>
      </xdr:nvSpPr>
      <xdr:spPr bwMode="auto">
        <a:xfrm flipV="1">
          <a:off x="1914525" y="65074800"/>
          <a:ext cx="295275" cy="419100"/>
        </a:xfrm>
        <a:custGeom>
          <a:avLst/>
          <a:gdLst>
            <a:gd name="T0" fmla="*/ 2147483647 w 16384"/>
            <a:gd name="T1" fmla="*/ 0 h 16384"/>
            <a:gd name="T2" fmla="*/ 2147483647 w 16384"/>
            <a:gd name="T3" fmla="*/ 2147483647 h 16384"/>
            <a:gd name="T4" fmla="*/ 2147483647 w 16384"/>
            <a:gd name="T5" fmla="*/ 2147483647 h 16384"/>
            <a:gd name="T6" fmla="*/ 2147483647 w 16384"/>
            <a:gd name="T7" fmla="*/ 2147483647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323850</xdr:colOff>
      <xdr:row>338</xdr:row>
      <xdr:rowOff>171450</xdr:rowOff>
    </xdr:from>
    <xdr:to>
      <xdr:col>5</xdr:col>
      <xdr:colOff>561975</xdr:colOff>
      <xdr:row>340</xdr:row>
      <xdr:rowOff>95250</xdr:rowOff>
    </xdr:to>
    <xdr:sp macro="" textlink="">
      <xdr:nvSpPr>
        <xdr:cNvPr id="769" name="Tegning 316">
          <a:extLst>
            <a:ext uri="{FF2B5EF4-FFF2-40B4-BE49-F238E27FC236}">
              <a16:creationId xmlns:a16="http://schemas.microsoft.com/office/drawing/2014/main" id="{00000000-0008-0000-0000-000001030000}"/>
            </a:ext>
          </a:extLst>
        </xdr:cNvPr>
        <xdr:cNvSpPr>
          <a:spLocks/>
        </xdr:cNvSpPr>
      </xdr:nvSpPr>
      <xdr:spPr bwMode="auto">
        <a:xfrm>
          <a:off x="2981325" y="65265300"/>
          <a:ext cx="238125" cy="304800"/>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337</xdr:row>
      <xdr:rowOff>28575</xdr:rowOff>
    </xdr:from>
    <xdr:to>
      <xdr:col>5</xdr:col>
      <xdr:colOff>600075</xdr:colOff>
      <xdr:row>339</xdr:row>
      <xdr:rowOff>161925</xdr:rowOff>
    </xdr:to>
    <xdr:sp macro="" textlink="">
      <xdr:nvSpPr>
        <xdr:cNvPr id="770" name="Freeform 93404">
          <a:extLst>
            <a:ext uri="{FF2B5EF4-FFF2-40B4-BE49-F238E27FC236}">
              <a16:creationId xmlns:a16="http://schemas.microsoft.com/office/drawing/2014/main" id="{00000000-0008-0000-0000-000002030000}"/>
            </a:ext>
          </a:extLst>
        </xdr:cNvPr>
        <xdr:cNvSpPr>
          <a:spLocks/>
        </xdr:cNvSpPr>
      </xdr:nvSpPr>
      <xdr:spPr bwMode="auto">
        <a:xfrm>
          <a:off x="1924050" y="64931925"/>
          <a:ext cx="1333500" cy="514350"/>
        </a:xfrm>
        <a:custGeom>
          <a:avLst/>
          <a:gdLst>
            <a:gd name="T0" fmla="*/ 0 w 135"/>
            <a:gd name="T1" fmla="*/ 0 h 54"/>
            <a:gd name="T2" fmla="*/ 0 w 135"/>
            <a:gd name="T3" fmla="*/ 2147483647 h 54"/>
            <a:gd name="T4" fmla="*/ 2147483647 w 135"/>
            <a:gd name="T5" fmla="*/ 2147483647 h 54"/>
            <a:gd name="T6" fmla="*/ 2147483647 w 135"/>
            <a:gd name="T7" fmla="*/ 2147483647 h 54"/>
            <a:gd name="T8" fmla="*/ 2147483647 w 135"/>
            <a:gd name="T9" fmla="*/ 2147483647 h 54"/>
            <a:gd name="T10" fmla="*/ 2147483647 w 135"/>
            <a:gd name="T11" fmla="*/ 2147483647 h 5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5" h="54">
              <a:moveTo>
                <a:pt x="0" y="0"/>
              </a:moveTo>
              <a:lnTo>
                <a:pt x="0" y="14"/>
              </a:lnTo>
              <a:lnTo>
                <a:pt x="135" y="14"/>
              </a:lnTo>
              <a:lnTo>
                <a:pt x="135" y="34"/>
              </a:lnTo>
              <a:lnTo>
                <a:pt x="1" y="34"/>
              </a:lnTo>
              <a:lnTo>
                <a:pt x="1" y="54"/>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337</xdr:row>
      <xdr:rowOff>19050</xdr:rowOff>
    </xdr:from>
    <xdr:to>
      <xdr:col>5</xdr:col>
      <xdr:colOff>228600</xdr:colOff>
      <xdr:row>338</xdr:row>
      <xdr:rowOff>152400</xdr:rowOff>
    </xdr:to>
    <xdr:sp macro="" textlink="">
      <xdr:nvSpPr>
        <xdr:cNvPr id="771" name="Tegning 316">
          <a:extLst>
            <a:ext uri="{FF2B5EF4-FFF2-40B4-BE49-F238E27FC236}">
              <a16:creationId xmlns:a16="http://schemas.microsoft.com/office/drawing/2014/main" id="{00000000-0008-0000-0000-000003030000}"/>
            </a:ext>
          </a:extLst>
        </xdr:cNvPr>
        <xdr:cNvSpPr>
          <a:spLocks/>
        </xdr:cNvSpPr>
      </xdr:nvSpPr>
      <xdr:spPr bwMode="auto">
        <a:xfrm flipV="1">
          <a:off x="2647950" y="64922400"/>
          <a:ext cx="238125" cy="323850"/>
        </a:xfrm>
        <a:custGeom>
          <a:avLst/>
          <a:gdLst>
            <a:gd name="T0" fmla="*/ 2147483647 w 16384"/>
            <a:gd name="T1" fmla="*/ 2147483647 h 16384"/>
            <a:gd name="T2" fmla="*/ 2147483647 w 16384"/>
            <a:gd name="T3" fmla="*/ 0 h 16384"/>
            <a:gd name="T4" fmla="*/ 2147483647 w 16384"/>
            <a:gd name="T5" fmla="*/ 2147483647 h 16384"/>
            <a:gd name="T6" fmla="*/ 2147483647 w 16384"/>
            <a:gd name="T7" fmla="*/ 0 h 16384"/>
            <a:gd name="T8" fmla="*/ 0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85725</xdr:colOff>
      <xdr:row>341</xdr:row>
      <xdr:rowOff>0</xdr:rowOff>
    </xdr:from>
    <xdr:to>
      <xdr:col>5</xdr:col>
      <xdr:colOff>571500</xdr:colOff>
      <xdr:row>341</xdr:row>
      <xdr:rowOff>0</xdr:rowOff>
    </xdr:to>
    <xdr:sp macro="" textlink="">
      <xdr:nvSpPr>
        <xdr:cNvPr id="772" name="Line 93406">
          <a:extLst>
            <a:ext uri="{FF2B5EF4-FFF2-40B4-BE49-F238E27FC236}">
              <a16:creationId xmlns:a16="http://schemas.microsoft.com/office/drawing/2014/main" id="{00000000-0008-0000-0000-000004030000}"/>
            </a:ext>
          </a:extLst>
        </xdr:cNvPr>
        <xdr:cNvSpPr>
          <a:spLocks noChangeShapeType="1"/>
        </xdr:cNvSpPr>
      </xdr:nvSpPr>
      <xdr:spPr bwMode="auto">
        <a:xfrm>
          <a:off x="2047875" y="65665350"/>
          <a:ext cx="1181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340</xdr:row>
      <xdr:rowOff>47625</xdr:rowOff>
    </xdr:from>
    <xdr:to>
      <xdr:col>3</xdr:col>
      <xdr:colOff>95250</xdr:colOff>
      <xdr:row>341</xdr:row>
      <xdr:rowOff>57150</xdr:rowOff>
    </xdr:to>
    <xdr:sp macro="" textlink="">
      <xdr:nvSpPr>
        <xdr:cNvPr id="773" name="Line 93407">
          <a:extLst>
            <a:ext uri="{FF2B5EF4-FFF2-40B4-BE49-F238E27FC236}">
              <a16:creationId xmlns:a16="http://schemas.microsoft.com/office/drawing/2014/main" id="{00000000-0008-0000-0000-000005030000}"/>
            </a:ext>
          </a:extLst>
        </xdr:cNvPr>
        <xdr:cNvSpPr>
          <a:spLocks noChangeShapeType="1"/>
        </xdr:cNvSpPr>
      </xdr:nvSpPr>
      <xdr:spPr bwMode="auto">
        <a:xfrm>
          <a:off x="2057400" y="6552247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339</xdr:row>
      <xdr:rowOff>28575</xdr:rowOff>
    </xdr:from>
    <xdr:to>
      <xdr:col>5</xdr:col>
      <xdr:colOff>114300</xdr:colOff>
      <xdr:row>341</xdr:row>
      <xdr:rowOff>57150</xdr:rowOff>
    </xdr:to>
    <xdr:sp macro="" textlink="">
      <xdr:nvSpPr>
        <xdr:cNvPr id="774" name="Line 93408">
          <a:extLst>
            <a:ext uri="{FF2B5EF4-FFF2-40B4-BE49-F238E27FC236}">
              <a16:creationId xmlns:a16="http://schemas.microsoft.com/office/drawing/2014/main" id="{00000000-0008-0000-0000-000006030000}"/>
            </a:ext>
          </a:extLst>
        </xdr:cNvPr>
        <xdr:cNvSpPr>
          <a:spLocks noChangeShapeType="1"/>
        </xdr:cNvSpPr>
      </xdr:nvSpPr>
      <xdr:spPr bwMode="auto">
        <a:xfrm>
          <a:off x="2771775" y="6531292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447675</xdr:colOff>
      <xdr:row>340</xdr:row>
      <xdr:rowOff>133350</xdr:rowOff>
    </xdr:from>
    <xdr:to>
      <xdr:col>5</xdr:col>
      <xdr:colOff>447675</xdr:colOff>
      <xdr:row>341</xdr:row>
      <xdr:rowOff>57150</xdr:rowOff>
    </xdr:to>
    <xdr:sp macro="" textlink="">
      <xdr:nvSpPr>
        <xdr:cNvPr id="775" name="Line 93409">
          <a:extLst>
            <a:ext uri="{FF2B5EF4-FFF2-40B4-BE49-F238E27FC236}">
              <a16:creationId xmlns:a16="http://schemas.microsoft.com/office/drawing/2014/main" id="{00000000-0008-0000-0000-000007030000}"/>
            </a:ext>
          </a:extLst>
        </xdr:cNvPr>
        <xdr:cNvSpPr>
          <a:spLocks noChangeShapeType="1"/>
        </xdr:cNvSpPr>
      </xdr:nvSpPr>
      <xdr:spPr bwMode="auto">
        <a:xfrm>
          <a:off x="3105150" y="656082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328</xdr:row>
      <xdr:rowOff>76200</xdr:rowOff>
    </xdr:from>
    <xdr:to>
      <xdr:col>5</xdr:col>
      <xdr:colOff>428625</xdr:colOff>
      <xdr:row>330</xdr:row>
      <xdr:rowOff>85725</xdr:rowOff>
    </xdr:to>
    <xdr:sp macro="" textlink="">
      <xdr:nvSpPr>
        <xdr:cNvPr id="776" name="Line 93410">
          <a:extLst>
            <a:ext uri="{FF2B5EF4-FFF2-40B4-BE49-F238E27FC236}">
              <a16:creationId xmlns:a16="http://schemas.microsoft.com/office/drawing/2014/main" id="{00000000-0008-0000-0000-000008030000}"/>
            </a:ext>
          </a:extLst>
        </xdr:cNvPr>
        <xdr:cNvSpPr>
          <a:spLocks noChangeShapeType="1"/>
        </xdr:cNvSpPr>
      </xdr:nvSpPr>
      <xdr:spPr bwMode="auto">
        <a:xfrm flipV="1">
          <a:off x="3086100" y="63207900"/>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390525</xdr:colOff>
      <xdr:row>328</xdr:row>
      <xdr:rowOff>114300</xdr:rowOff>
    </xdr:from>
    <xdr:to>
      <xdr:col>6</xdr:col>
      <xdr:colOff>9525</xdr:colOff>
      <xdr:row>328</xdr:row>
      <xdr:rowOff>114300</xdr:rowOff>
    </xdr:to>
    <xdr:sp macro="" textlink="">
      <xdr:nvSpPr>
        <xdr:cNvPr id="777" name="Line 93411">
          <a:extLst>
            <a:ext uri="{FF2B5EF4-FFF2-40B4-BE49-F238E27FC236}">
              <a16:creationId xmlns:a16="http://schemas.microsoft.com/office/drawing/2014/main" id="{00000000-0008-0000-0000-000009030000}"/>
            </a:ext>
          </a:extLst>
        </xdr:cNvPr>
        <xdr:cNvSpPr>
          <a:spLocks noChangeShapeType="1"/>
        </xdr:cNvSpPr>
      </xdr:nvSpPr>
      <xdr:spPr bwMode="auto">
        <a:xfrm>
          <a:off x="3048000" y="63246000"/>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328</xdr:row>
      <xdr:rowOff>57150</xdr:rowOff>
    </xdr:from>
    <xdr:to>
      <xdr:col>5</xdr:col>
      <xdr:colOff>647700</xdr:colOff>
      <xdr:row>328</xdr:row>
      <xdr:rowOff>133350</xdr:rowOff>
    </xdr:to>
    <xdr:sp macro="" textlink="">
      <xdr:nvSpPr>
        <xdr:cNvPr id="778" name="Line 93412">
          <a:extLst>
            <a:ext uri="{FF2B5EF4-FFF2-40B4-BE49-F238E27FC236}">
              <a16:creationId xmlns:a16="http://schemas.microsoft.com/office/drawing/2014/main" id="{00000000-0008-0000-0000-00000A030000}"/>
            </a:ext>
          </a:extLst>
        </xdr:cNvPr>
        <xdr:cNvSpPr>
          <a:spLocks noChangeShapeType="1"/>
        </xdr:cNvSpPr>
      </xdr:nvSpPr>
      <xdr:spPr bwMode="auto">
        <a:xfrm flipV="1">
          <a:off x="3209925" y="6318885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328</xdr:row>
      <xdr:rowOff>85725</xdr:rowOff>
    </xdr:from>
    <xdr:to>
      <xdr:col>5</xdr:col>
      <xdr:colOff>457200</xdr:colOff>
      <xdr:row>328</xdr:row>
      <xdr:rowOff>152400</xdr:rowOff>
    </xdr:to>
    <xdr:sp macro="" textlink="">
      <xdr:nvSpPr>
        <xdr:cNvPr id="779" name="Line 93413">
          <a:extLst>
            <a:ext uri="{FF2B5EF4-FFF2-40B4-BE49-F238E27FC236}">
              <a16:creationId xmlns:a16="http://schemas.microsoft.com/office/drawing/2014/main" id="{00000000-0008-0000-0000-00000B030000}"/>
            </a:ext>
          </a:extLst>
        </xdr:cNvPr>
        <xdr:cNvSpPr>
          <a:spLocks noChangeShapeType="1"/>
        </xdr:cNvSpPr>
      </xdr:nvSpPr>
      <xdr:spPr bwMode="auto">
        <a:xfrm flipH="1">
          <a:off x="3038475" y="632174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328</xdr:row>
      <xdr:rowOff>76200</xdr:rowOff>
    </xdr:from>
    <xdr:to>
      <xdr:col>5</xdr:col>
      <xdr:colOff>590550</xdr:colOff>
      <xdr:row>329</xdr:row>
      <xdr:rowOff>152400</xdr:rowOff>
    </xdr:to>
    <xdr:sp macro="" textlink="">
      <xdr:nvSpPr>
        <xdr:cNvPr id="780" name="Line 93414">
          <a:extLst>
            <a:ext uri="{FF2B5EF4-FFF2-40B4-BE49-F238E27FC236}">
              <a16:creationId xmlns:a16="http://schemas.microsoft.com/office/drawing/2014/main" id="{00000000-0008-0000-0000-00000C030000}"/>
            </a:ext>
          </a:extLst>
        </xdr:cNvPr>
        <xdr:cNvSpPr>
          <a:spLocks noChangeShapeType="1"/>
        </xdr:cNvSpPr>
      </xdr:nvSpPr>
      <xdr:spPr bwMode="auto">
        <a:xfrm flipV="1">
          <a:off x="3248025" y="632079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340</xdr:row>
      <xdr:rowOff>152400</xdr:rowOff>
    </xdr:from>
    <xdr:to>
      <xdr:col>3</xdr:col>
      <xdr:colOff>123825</xdr:colOff>
      <xdr:row>341</xdr:row>
      <xdr:rowOff>38100</xdr:rowOff>
    </xdr:to>
    <xdr:sp macro="" textlink="">
      <xdr:nvSpPr>
        <xdr:cNvPr id="781" name="Line 93415">
          <a:extLst>
            <a:ext uri="{FF2B5EF4-FFF2-40B4-BE49-F238E27FC236}">
              <a16:creationId xmlns:a16="http://schemas.microsoft.com/office/drawing/2014/main" id="{00000000-0008-0000-0000-00000D030000}"/>
            </a:ext>
          </a:extLst>
        </xdr:cNvPr>
        <xdr:cNvSpPr>
          <a:spLocks noChangeShapeType="1"/>
        </xdr:cNvSpPr>
      </xdr:nvSpPr>
      <xdr:spPr bwMode="auto">
        <a:xfrm flipH="1">
          <a:off x="2009775" y="656272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xdr:colOff>
      <xdr:row>340</xdr:row>
      <xdr:rowOff>142875</xdr:rowOff>
    </xdr:from>
    <xdr:to>
      <xdr:col>5</xdr:col>
      <xdr:colOff>152400</xdr:colOff>
      <xdr:row>341</xdr:row>
      <xdr:rowOff>47625</xdr:rowOff>
    </xdr:to>
    <xdr:sp macro="" textlink="">
      <xdr:nvSpPr>
        <xdr:cNvPr id="782" name="Line 93416">
          <a:extLst>
            <a:ext uri="{FF2B5EF4-FFF2-40B4-BE49-F238E27FC236}">
              <a16:creationId xmlns:a16="http://schemas.microsoft.com/office/drawing/2014/main" id="{00000000-0008-0000-0000-00000E030000}"/>
            </a:ext>
          </a:extLst>
        </xdr:cNvPr>
        <xdr:cNvSpPr>
          <a:spLocks noChangeShapeType="1"/>
        </xdr:cNvSpPr>
      </xdr:nvSpPr>
      <xdr:spPr bwMode="auto">
        <a:xfrm flipH="1">
          <a:off x="2714625" y="656177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340</xdr:row>
      <xdr:rowOff>152400</xdr:rowOff>
    </xdr:from>
    <xdr:to>
      <xdr:col>5</xdr:col>
      <xdr:colOff>476250</xdr:colOff>
      <xdr:row>341</xdr:row>
      <xdr:rowOff>38100</xdr:rowOff>
    </xdr:to>
    <xdr:sp macro="" textlink="">
      <xdr:nvSpPr>
        <xdr:cNvPr id="783" name="Line 93417">
          <a:extLst>
            <a:ext uri="{FF2B5EF4-FFF2-40B4-BE49-F238E27FC236}">
              <a16:creationId xmlns:a16="http://schemas.microsoft.com/office/drawing/2014/main" id="{00000000-0008-0000-0000-00000F030000}"/>
            </a:ext>
          </a:extLst>
        </xdr:cNvPr>
        <xdr:cNvSpPr>
          <a:spLocks noChangeShapeType="1"/>
        </xdr:cNvSpPr>
      </xdr:nvSpPr>
      <xdr:spPr bwMode="auto">
        <a:xfrm flipH="1">
          <a:off x="3057525" y="656272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329</xdr:row>
      <xdr:rowOff>123825</xdr:rowOff>
    </xdr:from>
    <xdr:to>
      <xdr:col>6</xdr:col>
      <xdr:colOff>361950</xdr:colOff>
      <xdr:row>331</xdr:row>
      <xdr:rowOff>28575</xdr:rowOff>
    </xdr:to>
    <xdr:sp macro="" textlink="">
      <xdr:nvSpPr>
        <xdr:cNvPr id="784" name="Freeform 93446">
          <a:extLst>
            <a:ext uri="{FF2B5EF4-FFF2-40B4-BE49-F238E27FC236}">
              <a16:creationId xmlns:a16="http://schemas.microsoft.com/office/drawing/2014/main" id="{00000000-0008-0000-0000-000010030000}"/>
            </a:ext>
          </a:extLst>
        </xdr:cNvPr>
        <xdr:cNvSpPr>
          <a:spLocks/>
        </xdr:cNvSpPr>
      </xdr:nvSpPr>
      <xdr:spPr bwMode="auto">
        <a:xfrm>
          <a:off x="3086100" y="63446025"/>
          <a:ext cx="685800" cy="323850"/>
        </a:xfrm>
        <a:custGeom>
          <a:avLst/>
          <a:gdLst>
            <a:gd name="T0" fmla="*/ 0 w 72"/>
            <a:gd name="T1" fmla="*/ 2147483647 h 30"/>
            <a:gd name="T2" fmla="*/ 2147483647 w 72"/>
            <a:gd name="T3" fmla="*/ 2147483647 h 30"/>
            <a:gd name="T4" fmla="*/ 2147483647 w 72"/>
            <a:gd name="T5" fmla="*/ 0 h 30"/>
            <a:gd name="T6" fmla="*/ 2147483647 w 72"/>
            <a:gd name="T7" fmla="*/ 0 h 30"/>
            <a:gd name="T8" fmla="*/ 2147483647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104775</xdr:colOff>
      <xdr:row>319</xdr:row>
      <xdr:rowOff>19050</xdr:rowOff>
    </xdr:from>
    <xdr:to>
      <xdr:col>4</xdr:col>
      <xdr:colOff>57150</xdr:colOff>
      <xdr:row>320</xdr:row>
      <xdr:rowOff>57150</xdr:rowOff>
    </xdr:to>
    <xdr:sp macro="" textlink="">
      <xdr:nvSpPr>
        <xdr:cNvPr id="785" name="Line 93448">
          <a:extLst>
            <a:ext uri="{FF2B5EF4-FFF2-40B4-BE49-F238E27FC236}">
              <a16:creationId xmlns:a16="http://schemas.microsoft.com/office/drawing/2014/main" id="{00000000-0008-0000-0000-000011030000}"/>
            </a:ext>
          </a:extLst>
        </xdr:cNvPr>
        <xdr:cNvSpPr>
          <a:spLocks noChangeShapeType="1"/>
        </xdr:cNvSpPr>
      </xdr:nvSpPr>
      <xdr:spPr bwMode="auto">
        <a:xfrm flipH="1">
          <a:off x="2066925" y="61436250"/>
          <a:ext cx="32385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320</xdr:row>
      <xdr:rowOff>19050</xdr:rowOff>
    </xdr:from>
    <xdr:to>
      <xdr:col>3</xdr:col>
      <xdr:colOff>152400</xdr:colOff>
      <xdr:row>320</xdr:row>
      <xdr:rowOff>104775</xdr:rowOff>
    </xdr:to>
    <xdr:sp macro="" textlink="">
      <xdr:nvSpPr>
        <xdr:cNvPr id="786" name="Oval 93449">
          <a:extLst>
            <a:ext uri="{FF2B5EF4-FFF2-40B4-BE49-F238E27FC236}">
              <a16:creationId xmlns:a16="http://schemas.microsoft.com/office/drawing/2014/main" id="{00000000-0008-0000-0000-000012030000}"/>
            </a:ext>
          </a:extLst>
        </xdr:cNvPr>
        <xdr:cNvSpPr>
          <a:spLocks noChangeArrowheads="1"/>
        </xdr:cNvSpPr>
      </xdr:nvSpPr>
      <xdr:spPr bwMode="auto">
        <a:xfrm>
          <a:off x="2038350" y="61626750"/>
          <a:ext cx="76200" cy="857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mc:AlternateContent xmlns:mc="http://schemas.openxmlformats.org/markup-compatibility/2006">
    <mc:Choice xmlns:a14="http://schemas.microsoft.com/office/drawing/2010/main" Requires="a14">
      <xdr:twoCellAnchor>
        <xdr:from>
          <xdr:col>13</xdr:col>
          <xdr:colOff>742950</xdr:colOff>
          <xdr:row>0</xdr:row>
          <xdr:rowOff>9525</xdr:rowOff>
        </xdr:from>
        <xdr:to>
          <xdr:col>13</xdr:col>
          <xdr:colOff>962025</xdr:colOff>
          <xdr:row>0</xdr:row>
          <xdr:rowOff>104775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28575</xdr:colOff>
          <xdr:row>0</xdr:row>
          <xdr:rowOff>9525</xdr:rowOff>
        </xdr:from>
        <xdr:to>
          <xdr:col>14</xdr:col>
          <xdr:colOff>247650</xdr:colOff>
          <xdr:row>0</xdr:row>
          <xdr:rowOff>114300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666750</xdr:colOff>
          <xdr:row>0</xdr:row>
          <xdr:rowOff>9525</xdr:rowOff>
        </xdr:from>
        <xdr:to>
          <xdr:col>16</xdr:col>
          <xdr:colOff>76200</xdr:colOff>
          <xdr:row>1</xdr:row>
          <xdr:rowOff>28575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Vejledning ark NS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9</xdr:row>
          <xdr:rowOff>190500</xdr:rowOff>
        </xdr:from>
        <xdr:to>
          <xdr:col>22</xdr:col>
          <xdr:colOff>323850</xdr:colOff>
          <xdr:row>11</xdr:row>
          <xdr:rowOff>104775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Genindsæt formel f.ekstra dæklag</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77</xdr:row>
          <xdr:rowOff>142875</xdr:rowOff>
        </xdr:from>
        <xdr:to>
          <xdr:col>21</xdr:col>
          <xdr:colOff>323850</xdr:colOff>
          <xdr:row>79</xdr:row>
          <xdr:rowOff>57150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800" b="1" i="0" u="none" strike="noStrike" baseline="0">
                  <a:solidFill>
                    <a:srgbClr val="000000"/>
                  </a:solidFill>
                  <a:latin typeface="Arial"/>
                  <a:cs typeface="Arial"/>
                </a:rPr>
                <a:t>Genindsæt formel f.revnevidde ialt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107</xdr:row>
          <xdr:rowOff>161925</xdr:rowOff>
        </xdr:from>
        <xdr:to>
          <xdr:col>0</xdr:col>
          <xdr:colOff>828675</xdr:colOff>
          <xdr:row>108</xdr:row>
          <xdr:rowOff>161925</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igen</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18</xdr:col>
          <xdr:colOff>523875</xdr:colOff>
          <xdr:row>7</xdr:row>
          <xdr:rowOff>66675</xdr:rowOff>
        </xdr:from>
        <xdr:to>
          <xdr:col>18</xdr:col>
          <xdr:colOff>742950</xdr:colOff>
          <xdr:row>7</xdr:row>
          <xdr:rowOff>171450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37</xdr:col>
      <xdr:colOff>714375</xdr:colOff>
      <xdr:row>33</xdr:row>
      <xdr:rowOff>190500</xdr:rowOff>
    </xdr:from>
    <xdr:to>
      <xdr:col>38</xdr:col>
      <xdr:colOff>38100</xdr:colOff>
      <xdr:row>34</xdr:row>
      <xdr:rowOff>47625</xdr:rowOff>
    </xdr:to>
    <xdr:sp macro="" textlink="">
      <xdr:nvSpPr>
        <xdr:cNvPr id="796" name="Line 93510">
          <a:extLst>
            <a:ext uri="{FF2B5EF4-FFF2-40B4-BE49-F238E27FC236}">
              <a16:creationId xmlns:a16="http://schemas.microsoft.com/office/drawing/2014/main" id="{00000000-0008-0000-0000-00001C030000}"/>
            </a:ext>
          </a:extLst>
        </xdr:cNvPr>
        <xdr:cNvSpPr>
          <a:spLocks noChangeShapeType="1"/>
        </xdr:cNvSpPr>
      </xdr:nvSpPr>
      <xdr:spPr bwMode="auto">
        <a:xfrm flipH="1">
          <a:off x="28060650" y="636270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152400</xdr:colOff>
      <xdr:row>33</xdr:row>
      <xdr:rowOff>180975</xdr:rowOff>
    </xdr:from>
    <xdr:to>
      <xdr:col>38</xdr:col>
      <xdr:colOff>219075</xdr:colOff>
      <xdr:row>34</xdr:row>
      <xdr:rowOff>38100</xdr:rowOff>
    </xdr:to>
    <xdr:sp macro="" textlink="">
      <xdr:nvSpPr>
        <xdr:cNvPr id="797" name="Line 93511">
          <a:extLst>
            <a:ext uri="{FF2B5EF4-FFF2-40B4-BE49-F238E27FC236}">
              <a16:creationId xmlns:a16="http://schemas.microsoft.com/office/drawing/2014/main" id="{00000000-0008-0000-0000-00001D030000}"/>
            </a:ext>
          </a:extLst>
        </xdr:cNvPr>
        <xdr:cNvSpPr>
          <a:spLocks noChangeShapeType="1"/>
        </xdr:cNvSpPr>
      </xdr:nvSpPr>
      <xdr:spPr bwMode="auto">
        <a:xfrm flipH="1">
          <a:off x="28251150" y="63531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409575</xdr:colOff>
      <xdr:row>33</xdr:row>
      <xdr:rowOff>171450</xdr:rowOff>
    </xdr:from>
    <xdr:to>
      <xdr:col>38</xdr:col>
      <xdr:colOff>485775</xdr:colOff>
      <xdr:row>34</xdr:row>
      <xdr:rowOff>38100</xdr:rowOff>
    </xdr:to>
    <xdr:sp macro="" textlink="">
      <xdr:nvSpPr>
        <xdr:cNvPr id="798" name="Line 93513">
          <a:extLst>
            <a:ext uri="{FF2B5EF4-FFF2-40B4-BE49-F238E27FC236}">
              <a16:creationId xmlns:a16="http://schemas.microsoft.com/office/drawing/2014/main" id="{00000000-0008-0000-0000-00001E030000}"/>
            </a:ext>
          </a:extLst>
        </xdr:cNvPr>
        <xdr:cNvSpPr>
          <a:spLocks noChangeShapeType="1"/>
        </xdr:cNvSpPr>
      </xdr:nvSpPr>
      <xdr:spPr bwMode="auto">
        <a:xfrm flipH="1">
          <a:off x="28508325"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38</xdr:col>
      <xdr:colOff>714375</xdr:colOff>
      <xdr:row>33</xdr:row>
      <xdr:rowOff>171450</xdr:rowOff>
    </xdr:from>
    <xdr:to>
      <xdr:col>39</xdr:col>
      <xdr:colOff>38100</xdr:colOff>
      <xdr:row>34</xdr:row>
      <xdr:rowOff>38100</xdr:rowOff>
    </xdr:to>
    <xdr:sp macro="" textlink="">
      <xdr:nvSpPr>
        <xdr:cNvPr id="799" name="Line 93514">
          <a:extLst>
            <a:ext uri="{FF2B5EF4-FFF2-40B4-BE49-F238E27FC236}">
              <a16:creationId xmlns:a16="http://schemas.microsoft.com/office/drawing/2014/main" id="{00000000-0008-0000-0000-00001F030000}"/>
            </a:ext>
          </a:extLst>
        </xdr:cNvPr>
        <xdr:cNvSpPr>
          <a:spLocks noChangeShapeType="1"/>
        </xdr:cNvSpPr>
      </xdr:nvSpPr>
      <xdr:spPr bwMode="auto">
        <a:xfrm flipH="1">
          <a:off x="28813125"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257175</xdr:colOff>
      <xdr:row>33</xdr:row>
      <xdr:rowOff>171450</xdr:rowOff>
    </xdr:from>
    <xdr:to>
      <xdr:col>39</xdr:col>
      <xdr:colOff>333375</xdr:colOff>
      <xdr:row>34</xdr:row>
      <xdr:rowOff>38100</xdr:rowOff>
    </xdr:to>
    <xdr:sp macro="" textlink="">
      <xdr:nvSpPr>
        <xdr:cNvPr id="800" name="Line 93515">
          <a:extLst>
            <a:ext uri="{FF2B5EF4-FFF2-40B4-BE49-F238E27FC236}">
              <a16:creationId xmlns:a16="http://schemas.microsoft.com/office/drawing/2014/main" id="{00000000-0008-0000-0000-000020030000}"/>
            </a:ext>
          </a:extLst>
        </xdr:cNvPr>
        <xdr:cNvSpPr>
          <a:spLocks noChangeShapeType="1"/>
        </xdr:cNvSpPr>
      </xdr:nvSpPr>
      <xdr:spPr bwMode="auto">
        <a:xfrm flipH="1">
          <a:off x="29108400"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457200</xdr:colOff>
      <xdr:row>33</xdr:row>
      <xdr:rowOff>171450</xdr:rowOff>
    </xdr:from>
    <xdr:to>
      <xdr:col>39</xdr:col>
      <xdr:colOff>533400</xdr:colOff>
      <xdr:row>34</xdr:row>
      <xdr:rowOff>38100</xdr:rowOff>
    </xdr:to>
    <xdr:sp macro="" textlink="">
      <xdr:nvSpPr>
        <xdr:cNvPr id="801" name="Line 93516">
          <a:extLst>
            <a:ext uri="{FF2B5EF4-FFF2-40B4-BE49-F238E27FC236}">
              <a16:creationId xmlns:a16="http://schemas.microsoft.com/office/drawing/2014/main" id="{00000000-0008-0000-0000-000021030000}"/>
            </a:ext>
          </a:extLst>
        </xdr:cNvPr>
        <xdr:cNvSpPr>
          <a:spLocks noChangeShapeType="1"/>
        </xdr:cNvSpPr>
      </xdr:nvSpPr>
      <xdr:spPr bwMode="auto">
        <a:xfrm flipH="1">
          <a:off x="29308425" y="63436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32</xdr:row>
      <xdr:rowOff>57150</xdr:rowOff>
    </xdr:from>
    <xdr:to>
      <xdr:col>39</xdr:col>
      <xdr:colOff>0</xdr:colOff>
      <xdr:row>34</xdr:row>
      <xdr:rowOff>85725</xdr:rowOff>
    </xdr:to>
    <xdr:sp macro="" textlink="">
      <xdr:nvSpPr>
        <xdr:cNvPr id="802" name="Line 93517">
          <a:extLst>
            <a:ext uri="{FF2B5EF4-FFF2-40B4-BE49-F238E27FC236}">
              <a16:creationId xmlns:a16="http://schemas.microsoft.com/office/drawing/2014/main" id="{00000000-0008-0000-0000-000022030000}"/>
            </a:ext>
          </a:extLst>
        </xdr:cNvPr>
        <xdr:cNvSpPr>
          <a:spLocks noChangeShapeType="1"/>
        </xdr:cNvSpPr>
      </xdr:nvSpPr>
      <xdr:spPr bwMode="auto">
        <a:xfrm>
          <a:off x="28851225" y="6038850"/>
          <a:ext cx="0" cy="428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11</xdr:row>
      <xdr:rowOff>114300</xdr:rowOff>
    </xdr:from>
    <xdr:to>
      <xdr:col>35</xdr:col>
      <xdr:colOff>0</xdr:colOff>
      <xdr:row>13</xdr:row>
      <xdr:rowOff>47625</xdr:rowOff>
    </xdr:to>
    <xdr:sp macro="" textlink="">
      <xdr:nvSpPr>
        <xdr:cNvPr id="803" name="Line 93518">
          <a:extLst>
            <a:ext uri="{FF2B5EF4-FFF2-40B4-BE49-F238E27FC236}">
              <a16:creationId xmlns:a16="http://schemas.microsoft.com/office/drawing/2014/main" id="{00000000-0008-0000-0000-000023030000}"/>
            </a:ext>
          </a:extLst>
        </xdr:cNvPr>
        <xdr:cNvSpPr>
          <a:spLocks noChangeShapeType="1"/>
        </xdr:cNvSpPr>
      </xdr:nvSpPr>
      <xdr:spPr bwMode="auto">
        <a:xfrm>
          <a:off x="25841325" y="20288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9525</xdr:colOff>
      <xdr:row>11</xdr:row>
      <xdr:rowOff>123825</xdr:rowOff>
    </xdr:from>
    <xdr:to>
      <xdr:col>36</xdr:col>
      <xdr:colOff>9525</xdr:colOff>
      <xdr:row>13</xdr:row>
      <xdr:rowOff>66675</xdr:rowOff>
    </xdr:to>
    <xdr:sp macro="" textlink="">
      <xdr:nvSpPr>
        <xdr:cNvPr id="804" name="Line 93519">
          <a:extLst>
            <a:ext uri="{FF2B5EF4-FFF2-40B4-BE49-F238E27FC236}">
              <a16:creationId xmlns:a16="http://schemas.microsoft.com/office/drawing/2014/main" id="{00000000-0008-0000-0000-000024030000}"/>
            </a:ext>
          </a:extLst>
        </xdr:cNvPr>
        <xdr:cNvSpPr>
          <a:spLocks noChangeShapeType="1"/>
        </xdr:cNvSpPr>
      </xdr:nvSpPr>
      <xdr:spPr bwMode="auto">
        <a:xfrm>
          <a:off x="26603325" y="2038350"/>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714375</xdr:colOff>
      <xdr:row>13</xdr:row>
      <xdr:rowOff>0</xdr:rowOff>
    </xdr:from>
    <xdr:to>
      <xdr:col>36</xdr:col>
      <xdr:colOff>28575</xdr:colOff>
      <xdr:row>13</xdr:row>
      <xdr:rowOff>0</xdr:rowOff>
    </xdr:to>
    <xdr:sp macro="" textlink="">
      <xdr:nvSpPr>
        <xdr:cNvPr id="805" name="Line 93520">
          <a:extLst>
            <a:ext uri="{FF2B5EF4-FFF2-40B4-BE49-F238E27FC236}">
              <a16:creationId xmlns:a16="http://schemas.microsoft.com/office/drawing/2014/main" id="{00000000-0008-0000-0000-000025030000}"/>
            </a:ext>
          </a:extLst>
        </xdr:cNvPr>
        <xdr:cNvSpPr>
          <a:spLocks noChangeShapeType="1"/>
        </xdr:cNvSpPr>
      </xdr:nvSpPr>
      <xdr:spPr bwMode="auto">
        <a:xfrm>
          <a:off x="25803225" y="2305050"/>
          <a:ext cx="819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695325</xdr:colOff>
      <xdr:row>12</xdr:row>
      <xdr:rowOff>142875</xdr:rowOff>
    </xdr:from>
    <xdr:to>
      <xdr:col>35</xdr:col>
      <xdr:colOff>38100</xdr:colOff>
      <xdr:row>13</xdr:row>
      <xdr:rowOff>47625</xdr:rowOff>
    </xdr:to>
    <xdr:sp macro="" textlink="">
      <xdr:nvSpPr>
        <xdr:cNvPr id="806" name="Line 93521">
          <a:extLst>
            <a:ext uri="{FF2B5EF4-FFF2-40B4-BE49-F238E27FC236}">
              <a16:creationId xmlns:a16="http://schemas.microsoft.com/office/drawing/2014/main" id="{00000000-0008-0000-0000-000026030000}"/>
            </a:ext>
          </a:extLst>
        </xdr:cNvPr>
        <xdr:cNvSpPr>
          <a:spLocks noChangeShapeType="1"/>
        </xdr:cNvSpPr>
      </xdr:nvSpPr>
      <xdr:spPr bwMode="auto">
        <a:xfrm flipH="1">
          <a:off x="25784175" y="22574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704850</xdr:colOff>
      <xdr:row>12</xdr:row>
      <xdr:rowOff>142875</xdr:rowOff>
    </xdr:from>
    <xdr:to>
      <xdr:col>36</xdr:col>
      <xdr:colOff>47625</xdr:colOff>
      <xdr:row>13</xdr:row>
      <xdr:rowOff>47625</xdr:rowOff>
    </xdr:to>
    <xdr:sp macro="" textlink="">
      <xdr:nvSpPr>
        <xdr:cNvPr id="807" name="Line 93522">
          <a:extLst>
            <a:ext uri="{FF2B5EF4-FFF2-40B4-BE49-F238E27FC236}">
              <a16:creationId xmlns:a16="http://schemas.microsoft.com/office/drawing/2014/main" id="{00000000-0008-0000-0000-000027030000}"/>
            </a:ext>
          </a:extLst>
        </xdr:cNvPr>
        <xdr:cNvSpPr>
          <a:spLocks noChangeShapeType="1"/>
        </xdr:cNvSpPr>
      </xdr:nvSpPr>
      <xdr:spPr bwMode="auto">
        <a:xfrm flipH="1">
          <a:off x="26546175" y="22574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285750</xdr:colOff>
      <xdr:row>23</xdr:row>
      <xdr:rowOff>161925</xdr:rowOff>
    </xdr:from>
    <xdr:to>
      <xdr:col>43</xdr:col>
      <xdr:colOff>285750</xdr:colOff>
      <xdr:row>26</xdr:row>
      <xdr:rowOff>57150</xdr:rowOff>
    </xdr:to>
    <xdr:sp macro="" textlink="">
      <xdr:nvSpPr>
        <xdr:cNvPr id="808" name="Line 93523">
          <a:extLst>
            <a:ext uri="{FF2B5EF4-FFF2-40B4-BE49-F238E27FC236}">
              <a16:creationId xmlns:a16="http://schemas.microsoft.com/office/drawing/2014/main" id="{00000000-0008-0000-0000-000028030000}"/>
            </a:ext>
          </a:extLst>
        </xdr:cNvPr>
        <xdr:cNvSpPr>
          <a:spLocks noChangeShapeType="1"/>
        </xdr:cNvSpPr>
      </xdr:nvSpPr>
      <xdr:spPr bwMode="auto">
        <a:xfrm flipV="1">
          <a:off x="32146875" y="4410075"/>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504825</xdr:colOff>
      <xdr:row>23</xdr:row>
      <xdr:rowOff>161925</xdr:rowOff>
    </xdr:from>
    <xdr:to>
      <xdr:col>43</xdr:col>
      <xdr:colOff>504825</xdr:colOff>
      <xdr:row>27</xdr:row>
      <xdr:rowOff>76200</xdr:rowOff>
    </xdr:to>
    <xdr:sp macro="" textlink="">
      <xdr:nvSpPr>
        <xdr:cNvPr id="809" name="Line 93524">
          <a:extLst>
            <a:ext uri="{FF2B5EF4-FFF2-40B4-BE49-F238E27FC236}">
              <a16:creationId xmlns:a16="http://schemas.microsoft.com/office/drawing/2014/main" id="{00000000-0008-0000-0000-000029030000}"/>
            </a:ext>
          </a:extLst>
        </xdr:cNvPr>
        <xdr:cNvSpPr>
          <a:spLocks noChangeShapeType="1"/>
        </xdr:cNvSpPr>
      </xdr:nvSpPr>
      <xdr:spPr bwMode="auto">
        <a:xfrm flipV="1">
          <a:off x="32365950" y="4410075"/>
          <a:ext cx="0"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228600</xdr:colOff>
      <xdr:row>24</xdr:row>
      <xdr:rowOff>66675</xdr:rowOff>
    </xdr:from>
    <xdr:to>
      <xdr:col>43</xdr:col>
      <xdr:colOff>581025</xdr:colOff>
      <xdr:row>24</xdr:row>
      <xdr:rowOff>66675</xdr:rowOff>
    </xdr:to>
    <xdr:sp macro="" textlink="">
      <xdr:nvSpPr>
        <xdr:cNvPr id="810" name="Line 93525">
          <a:extLst>
            <a:ext uri="{FF2B5EF4-FFF2-40B4-BE49-F238E27FC236}">
              <a16:creationId xmlns:a16="http://schemas.microsoft.com/office/drawing/2014/main" id="{00000000-0008-0000-0000-00002A030000}"/>
            </a:ext>
          </a:extLst>
        </xdr:cNvPr>
        <xdr:cNvSpPr>
          <a:spLocks noChangeShapeType="1"/>
        </xdr:cNvSpPr>
      </xdr:nvSpPr>
      <xdr:spPr bwMode="auto">
        <a:xfrm>
          <a:off x="32089725" y="4505325"/>
          <a:ext cx="352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219075</xdr:colOff>
      <xdr:row>24</xdr:row>
      <xdr:rowOff>9525</xdr:rowOff>
    </xdr:from>
    <xdr:to>
      <xdr:col>43</xdr:col>
      <xdr:colOff>333375</xdr:colOff>
      <xdr:row>24</xdr:row>
      <xdr:rowOff>123825</xdr:rowOff>
    </xdr:to>
    <xdr:sp macro="" textlink="">
      <xdr:nvSpPr>
        <xdr:cNvPr id="811" name="Line 93526">
          <a:extLst>
            <a:ext uri="{FF2B5EF4-FFF2-40B4-BE49-F238E27FC236}">
              <a16:creationId xmlns:a16="http://schemas.microsoft.com/office/drawing/2014/main" id="{00000000-0008-0000-0000-00002B030000}"/>
            </a:ext>
          </a:extLst>
        </xdr:cNvPr>
        <xdr:cNvSpPr>
          <a:spLocks noChangeShapeType="1"/>
        </xdr:cNvSpPr>
      </xdr:nvSpPr>
      <xdr:spPr bwMode="auto">
        <a:xfrm flipH="1">
          <a:off x="32080200" y="44481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457200</xdr:colOff>
      <xdr:row>24</xdr:row>
      <xdr:rowOff>9525</xdr:rowOff>
    </xdr:from>
    <xdr:to>
      <xdr:col>43</xdr:col>
      <xdr:colOff>571500</xdr:colOff>
      <xdr:row>24</xdr:row>
      <xdr:rowOff>123825</xdr:rowOff>
    </xdr:to>
    <xdr:sp macro="" textlink="">
      <xdr:nvSpPr>
        <xdr:cNvPr id="812" name="Line 93527">
          <a:extLst>
            <a:ext uri="{FF2B5EF4-FFF2-40B4-BE49-F238E27FC236}">
              <a16:creationId xmlns:a16="http://schemas.microsoft.com/office/drawing/2014/main" id="{00000000-0008-0000-0000-00002C030000}"/>
            </a:ext>
          </a:extLst>
        </xdr:cNvPr>
        <xdr:cNvSpPr>
          <a:spLocks noChangeShapeType="1"/>
        </xdr:cNvSpPr>
      </xdr:nvSpPr>
      <xdr:spPr bwMode="auto">
        <a:xfrm flipH="1">
          <a:off x="32318325" y="44481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28</xdr:col>
          <xdr:colOff>666750</xdr:colOff>
          <xdr:row>0</xdr:row>
          <xdr:rowOff>85725</xdr:rowOff>
        </xdr:from>
        <xdr:to>
          <xdr:col>31</xdr:col>
          <xdr:colOff>638175</xdr:colOff>
          <xdr:row>2</xdr:row>
          <xdr:rowOff>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statik og reaktioner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28</xdr:col>
          <xdr:colOff>542925</xdr:colOff>
          <xdr:row>2</xdr:row>
          <xdr:rowOff>76200</xdr:rowOff>
        </xdr:from>
        <xdr:to>
          <xdr:col>31</xdr:col>
          <xdr:colOff>647700</xdr:colOff>
          <xdr:row>3</xdr:row>
          <xdr:rowOff>161925</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Forkantpladestrimmel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27</xdr:col>
          <xdr:colOff>733425</xdr:colOff>
          <xdr:row>4</xdr:row>
          <xdr:rowOff>28575</xdr:rowOff>
        </xdr:from>
        <xdr:to>
          <xdr:col>31</xdr:col>
          <xdr:colOff>638175</xdr:colOff>
          <xdr:row>5</xdr:row>
          <xdr:rowOff>104775</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 pladestrimler v.reposeende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32</xdr:col>
          <xdr:colOff>57150</xdr:colOff>
          <xdr:row>0</xdr:row>
          <xdr:rowOff>104775</xdr:rowOff>
        </xdr:from>
        <xdr:to>
          <xdr:col>32</xdr:col>
          <xdr:colOff>485775</xdr:colOff>
          <xdr:row>3</xdr:row>
          <xdr:rowOff>123825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0" rIns="36576" bIns="27432" anchor="b" upright="1"/>
            <a:lstStyle/>
            <a:p>
              <a:pPr algn="ctr" rtl="0">
                <a:defRPr sz="1000"/>
              </a:pPr>
              <a:r>
                <a:rPr lang="da-DK" sz="1200" b="1" i="0" u="none" strike="noStrike" baseline="0">
                  <a:solidFill>
                    <a:srgbClr val="000000"/>
                  </a:solidFill>
                  <a:latin typeface="Arial"/>
                  <a:cs typeface="Arial"/>
                </a:rPr>
                <a:t>retur</a:t>
              </a:r>
            </a:p>
            <a:p>
              <a:pPr algn="ctr" rtl="0">
                <a:defRPr sz="1000"/>
              </a:pPr>
              <a:endParaRPr lang="da-DK" sz="1200" b="1" i="0" u="none" strike="noStrike" baseline="0">
                <a:solidFill>
                  <a:srgbClr val="000000"/>
                </a:solidFill>
                <a:latin typeface="Arial"/>
                <a:cs typeface="Arial"/>
              </a:endParaRPr>
            </a:p>
          </xdr:txBody>
        </xdr:sp>
        <xdr:clientData fLocksWithSheet="0" fPrintsWithSheet="0"/>
      </xdr:twoCellAnchor>
    </mc:Choice>
    <mc:Fallback/>
  </mc:AlternateContent>
  <xdr:twoCellAnchor>
    <xdr:from>
      <xdr:col>2</xdr:col>
      <xdr:colOff>333375</xdr:colOff>
      <xdr:row>20</xdr:row>
      <xdr:rowOff>171450</xdr:rowOff>
    </xdr:from>
    <xdr:to>
      <xdr:col>2</xdr:col>
      <xdr:colOff>447675</xdr:colOff>
      <xdr:row>21</xdr:row>
      <xdr:rowOff>28575</xdr:rowOff>
    </xdr:to>
    <xdr:sp macro="" textlink="">
      <xdr:nvSpPr>
        <xdr:cNvPr id="817" name="Freeform 93536">
          <a:extLst>
            <a:ext uri="{FF2B5EF4-FFF2-40B4-BE49-F238E27FC236}">
              <a16:creationId xmlns:a16="http://schemas.microsoft.com/office/drawing/2014/main" id="{00000000-0008-0000-0000-000031030000}"/>
            </a:ext>
          </a:extLst>
        </xdr:cNvPr>
        <xdr:cNvSpPr>
          <a:spLocks/>
        </xdr:cNvSpPr>
      </xdr:nvSpPr>
      <xdr:spPr bwMode="auto">
        <a:xfrm>
          <a:off x="1714500" y="3829050"/>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333375</xdr:colOff>
      <xdr:row>24</xdr:row>
      <xdr:rowOff>38100</xdr:rowOff>
    </xdr:from>
    <xdr:to>
      <xdr:col>2</xdr:col>
      <xdr:colOff>447675</xdr:colOff>
      <xdr:row>24</xdr:row>
      <xdr:rowOff>95250</xdr:rowOff>
    </xdr:to>
    <xdr:sp macro="" textlink="">
      <xdr:nvSpPr>
        <xdr:cNvPr id="818" name="Freeform 93537">
          <a:extLst>
            <a:ext uri="{FF2B5EF4-FFF2-40B4-BE49-F238E27FC236}">
              <a16:creationId xmlns:a16="http://schemas.microsoft.com/office/drawing/2014/main" id="{00000000-0008-0000-0000-000032030000}"/>
            </a:ext>
          </a:extLst>
        </xdr:cNvPr>
        <xdr:cNvSpPr>
          <a:spLocks/>
        </xdr:cNvSpPr>
      </xdr:nvSpPr>
      <xdr:spPr bwMode="auto">
        <a:xfrm flipV="1">
          <a:off x="1714500" y="4476750"/>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161925</xdr:colOff>
      <xdr:row>20</xdr:row>
      <xdr:rowOff>85725</xdr:rowOff>
    </xdr:from>
    <xdr:to>
      <xdr:col>3</xdr:col>
      <xdr:colOff>219075</xdr:colOff>
      <xdr:row>21</xdr:row>
      <xdr:rowOff>0</xdr:rowOff>
    </xdr:to>
    <xdr:sp macro="" textlink="">
      <xdr:nvSpPr>
        <xdr:cNvPr id="819" name="Freeform 93538">
          <a:extLst>
            <a:ext uri="{FF2B5EF4-FFF2-40B4-BE49-F238E27FC236}">
              <a16:creationId xmlns:a16="http://schemas.microsoft.com/office/drawing/2014/main" id="{00000000-0008-0000-0000-000033030000}"/>
            </a:ext>
          </a:extLst>
        </xdr:cNvPr>
        <xdr:cNvSpPr>
          <a:spLocks/>
        </xdr:cNvSpPr>
      </xdr:nvSpPr>
      <xdr:spPr bwMode="auto">
        <a:xfrm>
          <a:off x="2124075" y="3743325"/>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238125</xdr:colOff>
      <xdr:row>20</xdr:row>
      <xdr:rowOff>85725</xdr:rowOff>
    </xdr:from>
    <xdr:to>
      <xdr:col>2</xdr:col>
      <xdr:colOff>295275</xdr:colOff>
      <xdr:row>21</xdr:row>
      <xdr:rowOff>0</xdr:rowOff>
    </xdr:to>
    <xdr:sp macro="" textlink="">
      <xdr:nvSpPr>
        <xdr:cNvPr id="820" name="Freeform 93539">
          <a:extLst>
            <a:ext uri="{FF2B5EF4-FFF2-40B4-BE49-F238E27FC236}">
              <a16:creationId xmlns:a16="http://schemas.microsoft.com/office/drawing/2014/main" id="{00000000-0008-0000-0000-000034030000}"/>
            </a:ext>
          </a:extLst>
        </xdr:cNvPr>
        <xdr:cNvSpPr>
          <a:spLocks/>
        </xdr:cNvSpPr>
      </xdr:nvSpPr>
      <xdr:spPr bwMode="auto">
        <a:xfrm flipH="1">
          <a:off x="1619250" y="3743325"/>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257175</xdr:colOff>
      <xdr:row>20</xdr:row>
      <xdr:rowOff>142875</xdr:rowOff>
    </xdr:from>
    <xdr:to>
      <xdr:col>3</xdr:col>
      <xdr:colOff>209550</xdr:colOff>
      <xdr:row>20</xdr:row>
      <xdr:rowOff>142875</xdr:rowOff>
    </xdr:to>
    <xdr:sp macro="" textlink="">
      <xdr:nvSpPr>
        <xdr:cNvPr id="821" name="Line 93541">
          <a:extLst>
            <a:ext uri="{FF2B5EF4-FFF2-40B4-BE49-F238E27FC236}">
              <a16:creationId xmlns:a16="http://schemas.microsoft.com/office/drawing/2014/main" id="{00000000-0008-0000-0000-000035030000}"/>
            </a:ext>
          </a:extLst>
        </xdr:cNvPr>
        <xdr:cNvSpPr>
          <a:spLocks noChangeShapeType="1"/>
        </xdr:cNvSpPr>
      </xdr:nvSpPr>
      <xdr:spPr bwMode="auto">
        <a:xfrm>
          <a:off x="1638300" y="3800475"/>
          <a:ext cx="533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161925</xdr:colOff>
      <xdr:row>24</xdr:row>
      <xdr:rowOff>76200</xdr:rowOff>
    </xdr:from>
    <xdr:to>
      <xdr:col>3</xdr:col>
      <xdr:colOff>219075</xdr:colOff>
      <xdr:row>24</xdr:row>
      <xdr:rowOff>190500</xdr:rowOff>
    </xdr:to>
    <xdr:sp macro="" textlink="">
      <xdr:nvSpPr>
        <xdr:cNvPr id="822" name="Freeform 93544">
          <a:extLst>
            <a:ext uri="{FF2B5EF4-FFF2-40B4-BE49-F238E27FC236}">
              <a16:creationId xmlns:a16="http://schemas.microsoft.com/office/drawing/2014/main" id="{00000000-0008-0000-0000-000036030000}"/>
            </a:ext>
          </a:extLst>
        </xdr:cNvPr>
        <xdr:cNvSpPr>
          <a:spLocks/>
        </xdr:cNvSpPr>
      </xdr:nvSpPr>
      <xdr:spPr bwMode="auto">
        <a:xfrm>
          <a:off x="2124075" y="4514850"/>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238125</xdr:colOff>
      <xdr:row>24</xdr:row>
      <xdr:rowOff>76200</xdr:rowOff>
    </xdr:from>
    <xdr:to>
      <xdr:col>2</xdr:col>
      <xdr:colOff>295275</xdr:colOff>
      <xdr:row>24</xdr:row>
      <xdr:rowOff>190500</xdr:rowOff>
    </xdr:to>
    <xdr:sp macro="" textlink="">
      <xdr:nvSpPr>
        <xdr:cNvPr id="823" name="Freeform 93545">
          <a:extLst>
            <a:ext uri="{FF2B5EF4-FFF2-40B4-BE49-F238E27FC236}">
              <a16:creationId xmlns:a16="http://schemas.microsoft.com/office/drawing/2014/main" id="{00000000-0008-0000-0000-000037030000}"/>
            </a:ext>
          </a:extLst>
        </xdr:cNvPr>
        <xdr:cNvSpPr>
          <a:spLocks/>
        </xdr:cNvSpPr>
      </xdr:nvSpPr>
      <xdr:spPr bwMode="auto">
        <a:xfrm flipH="1">
          <a:off x="1619250" y="4514850"/>
          <a:ext cx="57150" cy="114300"/>
        </a:xfrm>
        <a:custGeom>
          <a:avLst/>
          <a:gdLst>
            <a:gd name="T0" fmla="*/ 0 w 6"/>
            <a:gd name="T1" fmla="*/ 2147483647 h 12"/>
            <a:gd name="T2" fmla="*/ 2147483647 w 6"/>
            <a:gd name="T3" fmla="*/ 2147483647 h 12"/>
            <a:gd name="T4" fmla="*/ 0 w 6"/>
            <a:gd name="T5" fmla="*/ 0 h 12"/>
            <a:gd name="T6" fmla="*/ 0 60000 65536"/>
            <a:gd name="T7" fmla="*/ 0 60000 65536"/>
            <a:gd name="T8" fmla="*/ 0 60000 65536"/>
          </a:gdLst>
          <a:ahLst/>
          <a:cxnLst>
            <a:cxn ang="T6">
              <a:pos x="T0" y="T1"/>
            </a:cxn>
            <a:cxn ang="T7">
              <a:pos x="T2" y="T3"/>
            </a:cxn>
            <a:cxn ang="T8">
              <a:pos x="T4" y="T5"/>
            </a:cxn>
          </a:cxnLst>
          <a:rect l="0" t="0" r="r" b="b"/>
          <a:pathLst>
            <a:path w="6" h="12">
              <a:moveTo>
                <a:pt x="0" y="12"/>
              </a:moveTo>
              <a:lnTo>
                <a:pt x="6" y="6"/>
              </a:lnTo>
              <a:lnTo>
                <a:pt x="0" y="0"/>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257175</xdr:colOff>
      <xdr:row>24</xdr:row>
      <xdr:rowOff>133350</xdr:rowOff>
    </xdr:from>
    <xdr:to>
      <xdr:col>3</xdr:col>
      <xdr:colOff>209550</xdr:colOff>
      <xdr:row>24</xdr:row>
      <xdr:rowOff>133350</xdr:rowOff>
    </xdr:to>
    <xdr:sp macro="" textlink="">
      <xdr:nvSpPr>
        <xdr:cNvPr id="824" name="Line 93546">
          <a:extLst>
            <a:ext uri="{FF2B5EF4-FFF2-40B4-BE49-F238E27FC236}">
              <a16:creationId xmlns:a16="http://schemas.microsoft.com/office/drawing/2014/main" id="{00000000-0008-0000-0000-000038030000}"/>
            </a:ext>
          </a:extLst>
        </xdr:cNvPr>
        <xdr:cNvSpPr>
          <a:spLocks noChangeShapeType="1"/>
        </xdr:cNvSpPr>
      </xdr:nvSpPr>
      <xdr:spPr bwMode="auto">
        <a:xfrm>
          <a:off x="1638300" y="4572000"/>
          <a:ext cx="533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438150</xdr:colOff>
      <xdr:row>24</xdr:row>
      <xdr:rowOff>123825</xdr:rowOff>
    </xdr:from>
    <xdr:to>
      <xdr:col>2</xdr:col>
      <xdr:colOff>466725</xdr:colOff>
      <xdr:row>25</xdr:row>
      <xdr:rowOff>47625</xdr:rowOff>
    </xdr:to>
    <xdr:sp macro="" textlink="">
      <xdr:nvSpPr>
        <xdr:cNvPr id="825" name="Line 93547">
          <a:extLst>
            <a:ext uri="{FF2B5EF4-FFF2-40B4-BE49-F238E27FC236}">
              <a16:creationId xmlns:a16="http://schemas.microsoft.com/office/drawing/2014/main" id="{00000000-0008-0000-0000-000039030000}"/>
            </a:ext>
          </a:extLst>
        </xdr:cNvPr>
        <xdr:cNvSpPr>
          <a:spLocks noChangeShapeType="1"/>
        </xdr:cNvSpPr>
      </xdr:nvSpPr>
      <xdr:spPr bwMode="auto">
        <a:xfrm flipH="1" flipV="1">
          <a:off x="1819275" y="4562475"/>
          <a:ext cx="2857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390525</xdr:colOff>
      <xdr:row>22</xdr:row>
      <xdr:rowOff>190500</xdr:rowOff>
    </xdr:from>
    <xdr:to>
      <xdr:col>2</xdr:col>
      <xdr:colOff>390525</xdr:colOff>
      <xdr:row>24</xdr:row>
      <xdr:rowOff>85725</xdr:rowOff>
    </xdr:to>
    <xdr:sp macro="" textlink="">
      <xdr:nvSpPr>
        <xdr:cNvPr id="826" name="Line 93548">
          <a:extLst>
            <a:ext uri="{FF2B5EF4-FFF2-40B4-BE49-F238E27FC236}">
              <a16:creationId xmlns:a16="http://schemas.microsoft.com/office/drawing/2014/main" id="{00000000-0008-0000-0000-00003A030000}"/>
            </a:ext>
          </a:extLst>
        </xdr:cNvPr>
        <xdr:cNvSpPr>
          <a:spLocks noChangeShapeType="1"/>
        </xdr:cNvSpPr>
      </xdr:nvSpPr>
      <xdr:spPr bwMode="auto">
        <a:xfrm>
          <a:off x="1771650" y="4238625"/>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22</xdr:row>
      <xdr:rowOff>176212</xdr:rowOff>
    </xdr:from>
    <xdr:to>
      <xdr:col>3</xdr:col>
      <xdr:colOff>95250</xdr:colOff>
      <xdr:row>24</xdr:row>
      <xdr:rowOff>90487</xdr:rowOff>
    </xdr:to>
    <xdr:sp macro="" textlink="">
      <xdr:nvSpPr>
        <xdr:cNvPr id="827" name="Line 93549">
          <a:extLst>
            <a:ext uri="{FF2B5EF4-FFF2-40B4-BE49-F238E27FC236}">
              <a16:creationId xmlns:a16="http://schemas.microsoft.com/office/drawing/2014/main" id="{00000000-0008-0000-0000-00003B030000}"/>
            </a:ext>
          </a:extLst>
        </xdr:cNvPr>
        <xdr:cNvSpPr>
          <a:spLocks noChangeShapeType="1"/>
        </xdr:cNvSpPr>
      </xdr:nvSpPr>
      <xdr:spPr bwMode="auto">
        <a:xfrm>
          <a:off x="2057400" y="4310062"/>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38100</xdr:colOff>
      <xdr:row>20</xdr:row>
      <xdr:rowOff>171450</xdr:rowOff>
    </xdr:from>
    <xdr:to>
      <xdr:col>3</xdr:col>
      <xdr:colOff>152400</xdr:colOff>
      <xdr:row>21</xdr:row>
      <xdr:rowOff>28575</xdr:rowOff>
    </xdr:to>
    <xdr:sp macro="" textlink="">
      <xdr:nvSpPr>
        <xdr:cNvPr id="828" name="Freeform 93550">
          <a:extLst>
            <a:ext uri="{FF2B5EF4-FFF2-40B4-BE49-F238E27FC236}">
              <a16:creationId xmlns:a16="http://schemas.microsoft.com/office/drawing/2014/main" id="{00000000-0008-0000-0000-00003C030000}"/>
            </a:ext>
          </a:extLst>
        </xdr:cNvPr>
        <xdr:cNvSpPr>
          <a:spLocks/>
        </xdr:cNvSpPr>
      </xdr:nvSpPr>
      <xdr:spPr bwMode="auto">
        <a:xfrm>
          <a:off x="2000250" y="3829050"/>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24</xdr:row>
      <xdr:rowOff>34925</xdr:rowOff>
    </xdr:from>
    <xdr:to>
      <xdr:col>3</xdr:col>
      <xdr:colOff>152400</xdr:colOff>
      <xdr:row>24</xdr:row>
      <xdr:rowOff>92075</xdr:rowOff>
    </xdr:to>
    <xdr:sp macro="" textlink="">
      <xdr:nvSpPr>
        <xdr:cNvPr id="829" name="Freeform 93551">
          <a:extLst>
            <a:ext uri="{FF2B5EF4-FFF2-40B4-BE49-F238E27FC236}">
              <a16:creationId xmlns:a16="http://schemas.microsoft.com/office/drawing/2014/main" id="{00000000-0008-0000-0000-00003D030000}"/>
            </a:ext>
          </a:extLst>
        </xdr:cNvPr>
        <xdr:cNvSpPr>
          <a:spLocks/>
        </xdr:cNvSpPr>
      </xdr:nvSpPr>
      <xdr:spPr bwMode="auto">
        <a:xfrm flipV="1">
          <a:off x="2000250" y="4587875"/>
          <a:ext cx="114300" cy="57150"/>
        </a:xfrm>
        <a:custGeom>
          <a:avLst/>
          <a:gdLst>
            <a:gd name="T0" fmla="*/ 0 w 12"/>
            <a:gd name="T1" fmla="*/ 2147483647 h 6"/>
            <a:gd name="T2" fmla="*/ 2147483647 w 12"/>
            <a:gd name="T3" fmla="*/ 0 h 6"/>
            <a:gd name="T4" fmla="*/ 2147483647 w 12"/>
            <a:gd name="T5" fmla="*/ 2147483647 h 6"/>
            <a:gd name="T6" fmla="*/ 0 60000 65536"/>
            <a:gd name="T7" fmla="*/ 0 60000 65536"/>
            <a:gd name="T8" fmla="*/ 0 60000 65536"/>
          </a:gdLst>
          <a:ahLst/>
          <a:cxnLst>
            <a:cxn ang="T6">
              <a:pos x="T0" y="T1"/>
            </a:cxn>
            <a:cxn ang="T7">
              <a:pos x="T2" y="T3"/>
            </a:cxn>
            <a:cxn ang="T8">
              <a:pos x="T4" y="T5"/>
            </a:cxn>
          </a:cxnLst>
          <a:rect l="0" t="0" r="r" b="b"/>
          <a:pathLst>
            <a:path w="12" h="6">
              <a:moveTo>
                <a:pt x="0" y="6"/>
              </a:moveTo>
              <a:lnTo>
                <a:pt x="6" y="0"/>
              </a:lnTo>
              <a:lnTo>
                <a:pt x="12" y="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176213</xdr:colOff>
      <xdr:row>20</xdr:row>
      <xdr:rowOff>114300</xdr:rowOff>
    </xdr:from>
    <xdr:to>
      <xdr:col>3</xdr:col>
      <xdr:colOff>176213</xdr:colOff>
      <xdr:row>22</xdr:row>
      <xdr:rowOff>0</xdr:rowOff>
    </xdr:to>
    <xdr:sp macro="" textlink="">
      <xdr:nvSpPr>
        <xdr:cNvPr id="830" name="Line 93552">
          <a:extLst>
            <a:ext uri="{FF2B5EF4-FFF2-40B4-BE49-F238E27FC236}">
              <a16:creationId xmlns:a16="http://schemas.microsoft.com/office/drawing/2014/main" id="{00000000-0008-0000-0000-00003E030000}"/>
            </a:ext>
          </a:extLst>
        </xdr:cNvPr>
        <xdr:cNvSpPr>
          <a:spLocks noChangeShapeType="1"/>
        </xdr:cNvSpPr>
      </xdr:nvSpPr>
      <xdr:spPr bwMode="auto">
        <a:xfrm>
          <a:off x="2138363" y="384810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342900</xdr:colOff>
      <xdr:row>18</xdr:row>
      <xdr:rowOff>114300</xdr:rowOff>
    </xdr:from>
    <xdr:to>
      <xdr:col>2</xdr:col>
      <xdr:colOff>342900</xdr:colOff>
      <xdr:row>19</xdr:row>
      <xdr:rowOff>142875</xdr:rowOff>
    </xdr:to>
    <xdr:sp macro="" textlink="">
      <xdr:nvSpPr>
        <xdr:cNvPr id="831" name="Line 142">
          <a:extLst>
            <a:ext uri="{FF2B5EF4-FFF2-40B4-BE49-F238E27FC236}">
              <a16:creationId xmlns:a16="http://schemas.microsoft.com/office/drawing/2014/main" id="{00000000-0008-0000-0000-00003F030000}"/>
            </a:ext>
          </a:extLst>
        </xdr:cNvPr>
        <xdr:cNvSpPr>
          <a:spLocks noChangeShapeType="1"/>
        </xdr:cNvSpPr>
      </xdr:nvSpPr>
      <xdr:spPr bwMode="auto">
        <a:xfrm>
          <a:off x="1724025" y="3381375"/>
          <a:ext cx="0" cy="228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190500</xdr:colOff>
      <xdr:row>18</xdr:row>
      <xdr:rowOff>152400</xdr:rowOff>
    </xdr:from>
    <xdr:to>
      <xdr:col>3</xdr:col>
      <xdr:colOff>190500</xdr:colOff>
      <xdr:row>19</xdr:row>
      <xdr:rowOff>161925</xdr:rowOff>
    </xdr:to>
    <xdr:sp macro="" textlink="">
      <xdr:nvSpPr>
        <xdr:cNvPr id="832" name="Line 143">
          <a:extLst>
            <a:ext uri="{FF2B5EF4-FFF2-40B4-BE49-F238E27FC236}">
              <a16:creationId xmlns:a16="http://schemas.microsoft.com/office/drawing/2014/main" id="{00000000-0008-0000-0000-000040030000}"/>
            </a:ext>
          </a:extLst>
        </xdr:cNvPr>
        <xdr:cNvSpPr>
          <a:spLocks noChangeShapeType="1"/>
        </xdr:cNvSpPr>
      </xdr:nvSpPr>
      <xdr:spPr bwMode="auto">
        <a:xfrm>
          <a:off x="2152650" y="34194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18</xdr:row>
      <xdr:rowOff>161925</xdr:rowOff>
    </xdr:from>
    <xdr:to>
      <xdr:col>2</xdr:col>
      <xdr:colOff>238125</xdr:colOff>
      <xdr:row>19</xdr:row>
      <xdr:rowOff>28575</xdr:rowOff>
    </xdr:to>
    <xdr:sp macro="" textlink="">
      <xdr:nvSpPr>
        <xdr:cNvPr id="834" name="Line 145">
          <a:extLst>
            <a:ext uri="{FF2B5EF4-FFF2-40B4-BE49-F238E27FC236}">
              <a16:creationId xmlns:a16="http://schemas.microsoft.com/office/drawing/2014/main" id="{00000000-0008-0000-0000-000042030000}"/>
            </a:ext>
          </a:extLst>
        </xdr:cNvPr>
        <xdr:cNvSpPr>
          <a:spLocks noChangeShapeType="1"/>
        </xdr:cNvSpPr>
      </xdr:nvSpPr>
      <xdr:spPr bwMode="auto">
        <a:xfrm flipH="1">
          <a:off x="1543050" y="34290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18</xdr:row>
      <xdr:rowOff>161925</xdr:rowOff>
    </xdr:from>
    <xdr:to>
      <xdr:col>2</xdr:col>
      <xdr:colOff>371475</xdr:colOff>
      <xdr:row>19</xdr:row>
      <xdr:rowOff>28575</xdr:rowOff>
    </xdr:to>
    <xdr:sp macro="" textlink="">
      <xdr:nvSpPr>
        <xdr:cNvPr id="835" name="Line 146">
          <a:extLst>
            <a:ext uri="{FF2B5EF4-FFF2-40B4-BE49-F238E27FC236}">
              <a16:creationId xmlns:a16="http://schemas.microsoft.com/office/drawing/2014/main" id="{00000000-0008-0000-0000-000043030000}"/>
            </a:ext>
          </a:extLst>
        </xdr:cNvPr>
        <xdr:cNvSpPr>
          <a:spLocks noChangeShapeType="1"/>
        </xdr:cNvSpPr>
      </xdr:nvSpPr>
      <xdr:spPr bwMode="auto">
        <a:xfrm flipH="1">
          <a:off x="1685925" y="342900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18</xdr:row>
      <xdr:rowOff>161925</xdr:rowOff>
    </xdr:from>
    <xdr:to>
      <xdr:col>3</xdr:col>
      <xdr:colOff>333375</xdr:colOff>
      <xdr:row>19</xdr:row>
      <xdr:rowOff>47625</xdr:rowOff>
    </xdr:to>
    <xdr:sp macro="" textlink="">
      <xdr:nvSpPr>
        <xdr:cNvPr id="836" name="Line 147">
          <a:extLst>
            <a:ext uri="{FF2B5EF4-FFF2-40B4-BE49-F238E27FC236}">
              <a16:creationId xmlns:a16="http://schemas.microsoft.com/office/drawing/2014/main" id="{00000000-0008-0000-0000-000044030000}"/>
            </a:ext>
          </a:extLst>
        </xdr:cNvPr>
        <xdr:cNvSpPr>
          <a:spLocks noChangeShapeType="1"/>
        </xdr:cNvSpPr>
      </xdr:nvSpPr>
      <xdr:spPr bwMode="auto">
        <a:xfrm flipH="1">
          <a:off x="2209800" y="34956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18</xdr:row>
      <xdr:rowOff>161925</xdr:rowOff>
    </xdr:from>
    <xdr:to>
      <xdr:col>3</xdr:col>
      <xdr:colOff>228600</xdr:colOff>
      <xdr:row>19</xdr:row>
      <xdr:rowOff>47625</xdr:rowOff>
    </xdr:to>
    <xdr:sp macro="" textlink="">
      <xdr:nvSpPr>
        <xdr:cNvPr id="837" name="Line 148">
          <a:extLst>
            <a:ext uri="{FF2B5EF4-FFF2-40B4-BE49-F238E27FC236}">
              <a16:creationId xmlns:a16="http://schemas.microsoft.com/office/drawing/2014/main" id="{00000000-0008-0000-0000-000045030000}"/>
            </a:ext>
          </a:extLst>
        </xdr:cNvPr>
        <xdr:cNvSpPr>
          <a:spLocks noChangeShapeType="1"/>
        </xdr:cNvSpPr>
      </xdr:nvSpPr>
      <xdr:spPr bwMode="auto">
        <a:xfrm flipH="1">
          <a:off x="2095500" y="342900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19</xdr:row>
      <xdr:rowOff>0</xdr:rowOff>
    </xdr:from>
    <xdr:to>
      <xdr:col>4</xdr:col>
      <xdr:colOff>238125</xdr:colOff>
      <xdr:row>19</xdr:row>
      <xdr:rowOff>0</xdr:rowOff>
    </xdr:to>
    <xdr:sp macro="" textlink="">
      <xdr:nvSpPr>
        <xdr:cNvPr id="838" name="Line 93565">
          <a:extLst>
            <a:ext uri="{FF2B5EF4-FFF2-40B4-BE49-F238E27FC236}">
              <a16:creationId xmlns:a16="http://schemas.microsoft.com/office/drawing/2014/main" id="{00000000-0008-0000-0000-000046030000}"/>
            </a:ext>
          </a:extLst>
        </xdr:cNvPr>
        <xdr:cNvSpPr>
          <a:spLocks noChangeShapeType="1"/>
        </xdr:cNvSpPr>
      </xdr:nvSpPr>
      <xdr:spPr bwMode="auto">
        <a:xfrm>
          <a:off x="1343025" y="3467100"/>
          <a:ext cx="12287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504825</xdr:colOff>
      <xdr:row>33</xdr:row>
      <xdr:rowOff>57150</xdr:rowOff>
    </xdr:from>
    <xdr:to>
      <xdr:col>40</xdr:col>
      <xdr:colOff>19050</xdr:colOff>
      <xdr:row>34</xdr:row>
      <xdr:rowOff>28575</xdr:rowOff>
    </xdr:to>
    <xdr:sp macro="" textlink="">
      <xdr:nvSpPr>
        <xdr:cNvPr id="839" name="Line 93566">
          <a:extLst>
            <a:ext uri="{FF2B5EF4-FFF2-40B4-BE49-F238E27FC236}">
              <a16:creationId xmlns:a16="http://schemas.microsoft.com/office/drawing/2014/main" id="{00000000-0008-0000-0000-000047030000}"/>
            </a:ext>
          </a:extLst>
        </xdr:cNvPr>
        <xdr:cNvSpPr>
          <a:spLocks noChangeShapeType="1"/>
        </xdr:cNvSpPr>
      </xdr:nvSpPr>
      <xdr:spPr bwMode="auto">
        <a:xfrm flipH="1" flipV="1">
          <a:off x="29356050" y="6229350"/>
          <a:ext cx="2667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590550</xdr:colOff>
      <xdr:row>33</xdr:row>
      <xdr:rowOff>95250</xdr:rowOff>
    </xdr:from>
    <xdr:to>
      <xdr:col>37</xdr:col>
      <xdr:colOff>742950</xdr:colOff>
      <xdr:row>34</xdr:row>
      <xdr:rowOff>28575</xdr:rowOff>
    </xdr:to>
    <xdr:sp macro="" textlink="">
      <xdr:nvSpPr>
        <xdr:cNvPr id="840" name="Line 93567">
          <a:extLst>
            <a:ext uri="{FF2B5EF4-FFF2-40B4-BE49-F238E27FC236}">
              <a16:creationId xmlns:a16="http://schemas.microsoft.com/office/drawing/2014/main" id="{00000000-0008-0000-0000-000048030000}"/>
            </a:ext>
          </a:extLst>
        </xdr:cNvPr>
        <xdr:cNvSpPr>
          <a:spLocks noChangeShapeType="1"/>
        </xdr:cNvSpPr>
      </xdr:nvSpPr>
      <xdr:spPr bwMode="auto">
        <a:xfrm flipV="1">
          <a:off x="27936825" y="6267450"/>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20</xdr:row>
      <xdr:rowOff>19050</xdr:rowOff>
    </xdr:from>
    <xdr:to>
      <xdr:col>41</xdr:col>
      <xdr:colOff>9525</xdr:colOff>
      <xdr:row>20</xdr:row>
      <xdr:rowOff>19050</xdr:rowOff>
    </xdr:to>
    <xdr:sp macro="" textlink="">
      <xdr:nvSpPr>
        <xdr:cNvPr id="841" name="Line 232">
          <a:extLst>
            <a:ext uri="{FF2B5EF4-FFF2-40B4-BE49-F238E27FC236}">
              <a16:creationId xmlns:a16="http://schemas.microsoft.com/office/drawing/2014/main" id="{00000000-0008-0000-0000-000049030000}"/>
            </a:ext>
          </a:extLst>
        </xdr:cNvPr>
        <xdr:cNvSpPr>
          <a:spLocks noChangeShapeType="1"/>
        </xdr:cNvSpPr>
      </xdr:nvSpPr>
      <xdr:spPr bwMode="auto">
        <a:xfrm>
          <a:off x="29603700" y="3676650"/>
          <a:ext cx="762000" cy="0"/>
        </a:xfrm>
        <a:prstGeom prst="line">
          <a:avLst/>
        </a:prstGeom>
        <a:noFill/>
        <a:ln w="1905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0</xdr:colOff>
      <xdr:row>20</xdr:row>
      <xdr:rowOff>28575</xdr:rowOff>
    </xdr:from>
    <xdr:to>
      <xdr:col>40</xdr:col>
      <xdr:colOff>0</xdr:colOff>
      <xdr:row>21</xdr:row>
      <xdr:rowOff>114300</xdr:rowOff>
    </xdr:to>
    <xdr:sp macro="" textlink="">
      <xdr:nvSpPr>
        <xdr:cNvPr id="842" name="Line 233">
          <a:extLst>
            <a:ext uri="{FF2B5EF4-FFF2-40B4-BE49-F238E27FC236}">
              <a16:creationId xmlns:a16="http://schemas.microsoft.com/office/drawing/2014/main" id="{00000000-0008-0000-0000-00004A030000}"/>
            </a:ext>
          </a:extLst>
        </xdr:cNvPr>
        <xdr:cNvSpPr>
          <a:spLocks noChangeShapeType="1"/>
        </xdr:cNvSpPr>
      </xdr:nvSpPr>
      <xdr:spPr bwMode="auto">
        <a:xfrm flipV="1">
          <a:off x="29603700" y="36861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41</xdr:col>
      <xdr:colOff>0</xdr:colOff>
      <xdr:row>20</xdr:row>
      <xdr:rowOff>19050</xdr:rowOff>
    </xdr:from>
    <xdr:to>
      <xdr:col>41</xdr:col>
      <xdr:colOff>0</xdr:colOff>
      <xdr:row>21</xdr:row>
      <xdr:rowOff>104775</xdr:rowOff>
    </xdr:to>
    <xdr:sp macro="" textlink="">
      <xdr:nvSpPr>
        <xdr:cNvPr id="843" name="Line 234">
          <a:extLst>
            <a:ext uri="{FF2B5EF4-FFF2-40B4-BE49-F238E27FC236}">
              <a16:creationId xmlns:a16="http://schemas.microsoft.com/office/drawing/2014/main" id="{00000000-0008-0000-0000-00004B030000}"/>
            </a:ext>
          </a:extLst>
        </xdr:cNvPr>
        <xdr:cNvSpPr>
          <a:spLocks noChangeShapeType="1"/>
        </xdr:cNvSpPr>
      </xdr:nvSpPr>
      <xdr:spPr bwMode="auto">
        <a:xfrm flipV="1">
          <a:off x="30356175" y="3676650"/>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40</xdr:col>
      <xdr:colOff>533400</xdr:colOff>
      <xdr:row>18</xdr:row>
      <xdr:rowOff>0</xdr:rowOff>
    </xdr:from>
    <xdr:to>
      <xdr:col>40</xdr:col>
      <xdr:colOff>533400</xdr:colOff>
      <xdr:row>20</xdr:row>
      <xdr:rowOff>9525</xdr:rowOff>
    </xdr:to>
    <xdr:sp macro="" textlink="">
      <xdr:nvSpPr>
        <xdr:cNvPr id="844" name="Line 235">
          <a:extLst>
            <a:ext uri="{FF2B5EF4-FFF2-40B4-BE49-F238E27FC236}">
              <a16:creationId xmlns:a16="http://schemas.microsoft.com/office/drawing/2014/main" id="{00000000-0008-0000-0000-00004C030000}"/>
            </a:ext>
          </a:extLst>
        </xdr:cNvPr>
        <xdr:cNvSpPr>
          <a:spLocks noChangeShapeType="1"/>
        </xdr:cNvSpPr>
      </xdr:nvSpPr>
      <xdr:spPr bwMode="auto">
        <a:xfrm>
          <a:off x="30137100" y="3267075"/>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type="triangle" w="lg" len="lg"/>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19</xdr:row>
      <xdr:rowOff>0</xdr:rowOff>
    </xdr:from>
    <xdr:to>
      <xdr:col>41</xdr:col>
      <xdr:colOff>57150</xdr:colOff>
      <xdr:row>19</xdr:row>
      <xdr:rowOff>0</xdr:rowOff>
    </xdr:to>
    <xdr:sp macro="" textlink="">
      <xdr:nvSpPr>
        <xdr:cNvPr id="845" name="Line 236">
          <a:extLst>
            <a:ext uri="{FF2B5EF4-FFF2-40B4-BE49-F238E27FC236}">
              <a16:creationId xmlns:a16="http://schemas.microsoft.com/office/drawing/2014/main" id="{00000000-0008-0000-0000-00004D030000}"/>
            </a:ext>
          </a:extLst>
        </xdr:cNvPr>
        <xdr:cNvSpPr>
          <a:spLocks noChangeShapeType="1"/>
        </xdr:cNvSpPr>
      </xdr:nvSpPr>
      <xdr:spPr bwMode="auto">
        <a:xfrm>
          <a:off x="29546550" y="3467100"/>
          <a:ext cx="866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41</xdr:col>
      <xdr:colOff>9525</xdr:colOff>
      <xdr:row>18</xdr:row>
      <xdr:rowOff>95250</xdr:rowOff>
    </xdr:from>
    <xdr:to>
      <xdr:col>41</xdr:col>
      <xdr:colOff>9525</xdr:colOff>
      <xdr:row>19</xdr:row>
      <xdr:rowOff>171450</xdr:rowOff>
    </xdr:to>
    <xdr:sp macro="" textlink="">
      <xdr:nvSpPr>
        <xdr:cNvPr id="846" name="Line 238">
          <a:extLst>
            <a:ext uri="{FF2B5EF4-FFF2-40B4-BE49-F238E27FC236}">
              <a16:creationId xmlns:a16="http://schemas.microsoft.com/office/drawing/2014/main" id="{00000000-0008-0000-0000-00004E030000}"/>
            </a:ext>
          </a:extLst>
        </xdr:cNvPr>
        <xdr:cNvSpPr>
          <a:spLocks noChangeShapeType="1"/>
        </xdr:cNvSpPr>
      </xdr:nvSpPr>
      <xdr:spPr bwMode="auto">
        <a:xfrm>
          <a:off x="30365700" y="33623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476250</xdr:colOff>
      <xdr:row>18</xdr:row>
      <xdr:rowOff>133350</xdr:rowOff>
    </xdr:from>
    <xdr:to>
      <xdr:col>40</xdr:col>
      <xdr:colOff>581025</xdr:colOff>
      <xdr:row>19</xdr:row>
      <xdr:rowOff>47625</xdr:rowOff>
    </xdr:to>
    <xdr:sp macro="" textlink="">
      <xdr:nvSpPr>
        <xdr:cNvPr id="847" name="Line 240">
          <a:extLst>
            <a:ext uri="{FF2B5EF4-FFF2-40B4-BE49-F238E27FC236}">
              <a16:creationId xmlns:a16="http://schemas.microsoft.com/office/drawing/2014/main" id="{00000000-0008-0000-0000-00004F030000}"/>
            </a:ext>
          </a:extLst>
        </xdr:cNvPr>
        <xdr:cNvSpPr>
          <a:spLocks noChangeShapeType="1"/>
        </xdr:cNvSpPr>
      </xdr:nvSpPr>
      <xdr:spPr bwMode="auto">
        <a:xfrm flipH="1">
          <a:off x="30079950" y="3400425"/>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40</xdr:col>
      <xdr:colOff>704850</xdr:colOff>
      <xdr:row>21</xdr:row>
      <xdr:rowOff>152400</xdr:rowOff>
    </xdr:from>
    <xdr:to>
      <xdr:col>41</xdr:col>
      <xdr:colOff>47625</xdr:colOff>
      <xdr:row>22</xdr:row>
      <xdr:rowOff>47625</xdr:rowOff>
    </xdr:to>
    <xdr:sp macro="" textlink="">
      <xdr:nvSpPr>
        <xdr:cNvPr id="848" name="Line 414">
          <a:extLst>
            <a:ext uri="{FF2B5EF4-FFF2-40B4-BE49-F238E27FC236}">
              <a16:creationId xmlns:a16="http://schemas.microsoft.com/office/drawing/2014/main" id="{00000000-0008-0000-0000-000050030000}"/>
            </a:ext>
          </a:extLst>
        </xdr:cNvPr>
        <xdr:cNvSpPr>
          <a:spLocks noChangeShapeType="1"/>
        </xdr:cNvSpPr>
      </xdr:nvSpPr>
      <xdr:spPr bwMode="auto">
        <a:xfrm flipH="1">
          <a:off x="30308550" y="40100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39</xdr:col>
      <xdr:colOff>695325</xdr:colOff>
      <xdr:row>21</xdr:row>
      <xdr:rowOff>161925</xdr:rowOff>
    </xdr:from>
    <xdr:to>
      <xdr:col>40</xdr:col>
      <xdr:colOff>47625</xdr:colOff>
      <xdr:row>22</xdr:row>
      <xdr:rowOff>47625</xdr:rowOff>
    </xdr:to>
    <xdr:sp macro="" textlink="">
      <xdr:nvSpPr>
        <xdr:cNvPr id="849" name="Line 415">
          <a:extLst>
            <a:ext uri="{FF2B5EF4-FFF2-40B4-BE49-F238E27FC236}">
              <a16:creationId xmlns:a16="http://schemas.microsoft.com/office/drawing/2014/main" id="{00000000-0008-0000-0000-000051030000}"/>
            </a:ext>
          </a:extLst>
        </xdr:cNvPr>
        <xdr:cNvSpPr>
          <a:spLocks noChangeShapeType="1"/>
        </xdr:cNvSpPr>
      </xdr:nvSpPr>
      <xdr:spPr bwMode="auto">
        <a:xfrm flipH="1">
          <a:off x="29546550" y="4019550"/>
          <a:ext cx="1047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41</xdr:col>
      <xdr:colOff>0</xdr:colOff>
      <xdr:row>13</xdr:row>
      <xdr:rowOff>85725</xdr:rowOff>
    </xdr:from>
    <xdr:to>
      <xdr:col>41</xdr:col>
      <xdr:colOff>0</xdr:colOff>
      <xdr:row>14</xdr:row>
      <xdr:rowOff>171450</xdr:rowOff>
    </xdr:to>
    <xdr:sp macro="" textlink="">
      <xdr:nvSpPr>
        <xdr:cNvPr id="850" name="Line 93582">
          <a:extLst>
            <a:ext uri="{FF2B5EF4-FFF2-40B4-BE49-F238E27FC236}">
              <a16:creationId xmlns:a16="http://schemas.microsoft.com/office/drawing/2014/main" id="{00000000-0008-0000-0000-000052030000}"/>
            </a:ext>
          </a:extLst>
        </xdr:cNvPr>
        <xdr:cNvSpPr>
          <a:spLocks noChangeShapeType="1"/>
        </xdr:cNvSpPr>
      </xdr:nvSpPr>
      <xdr:spPr bwMode="auto">
        <a:xfrm flipV="1">
          <a:off x="30356175" y="23907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695325</xdr:colOff>
      <xdr:row>13</xdr:row>
      <xdr:rowOff>152400</xdr:rowOff>
    </xdr:from>
    <xdr:to>
      <xdr:col>41</xdr:col>
      <xdr:colOff>38100</xdr:colOff>
      <xdr:row>14</xdr:row>
      <xdr:rowOff>57150</xdr:rowOff>
    </xdr:to>
    <xdr:sp macro="" textlink="">
      <xdr:nvSpPr>
        <xdr:cNvPr id="851" name="Line 93583">
          <a:extLst>
            <a:ext uri="{FF2B5EF4-FFF2-40B4-BE49-F238E27FC236}">
              <a16:creationId xmlns:a16="http://schemas.microsoft.com/office/drawing/2014/main" id="{00000000-0008-0000-0000-000053030000}"/>
            </a:ext>
          </a:extLst>
        </xdr:cNvPr>
        <xdr:cNvSpPr>
          <a:spLocks noChangeShapeType="1"/>
        </xdr:cNvSpPr>
      </xdr:nvSpPr>
      <xdr:spPr bwMode="auto">
        <a:xfrm flipH="1">
          <a:off x="30299025" y="24574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695325</xdr:colOff>
      <xdr:row>13</xdr:row>
      <xdr:rowOff>161925</xdr:rowOff>
    </xdr:from>
    <xdr:to>
      <xdr:col>40</xdr:col>
      <xdr:colOff>28575</xdr:colOff>
      <xdr:row>14</xdr:row>
      <xdr:rowOff>57150</xdr:rowOff>
    </xdr:to>
    <xdr:sp macro="" textlink="">
      <xdr:nvSpPr>
        <xdr:cNvPr id="852" name="Line 93584">
          <a:extLst>
            <a:ext uri="{FF2B5EF4-FFF2-40B4-BE49-F238E27FC236}">
              <a16:creationId xmlns:a16="http://schemas.microsoft.com/office/drawing/2014/main" id="{00000000-0008-0000-0000-000054030000}"/>
            </a:ext>
          </a:extLst>
        </xdr:cNvPr>
        <xdr:cNvSpPr>
          <a:spLocks noChangeShapeType="1"/>
        </xdr:cNvSpPr>
      </xdr:nvSpPr>
      <xdr:spPr bwMode="auto">
        <a:xfrm flipH="1">
          <a:off x="29546550" y="24669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13</xdr:row>
      <xdr:rowOff>85725</xdr:rowOff>
    </xdr:from>
    <xdr:to>
      <xdr:col>40</xdr:col>
      <xdr:colOff>0</xdr:colOff>
      <xdr:row>14</xdr:row>
      <xdr:rowOff>190500</xdr:rowOff>
    </xdr:to>
    <xdr:sp macro="" textlink="">
      <xdr:nvSpPr>
        <xdr:cNvPr id="853" name="Line 93585">
          <a:extLst>
            <a:ext uri="{FF2B5EF4-FFF2-40B4-BE49-F238E27FC236}">
              <a16:creationId xmlns:a16="http://schemas.microsoft.com/office/drawing/2014/main" id="{00000000-0008-0000-0000-000055030000}"/>
            </a:ext>
          </a:extLst>
        </xdr:cNvPr>
        <xdr:cNvSpPr>
          <a:spLocks noChangeShapeType="1"/>
        </xdr:cNvSpPr>
      </xdr:nvSpPr>
      <xdr:spPr bwMode="auto">
        <a:xfrm flipV="1">
          <a:off x="29603700" y="239077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16</xdr:row>
      <xdr:rowOff>142875</xdr:rowOff>
    </xdr:from>
    <xdr:to>
      <xdr:col>40</xdr:col>
      <xdr:colOff>0</xdr:colOff>
      <xdr:row>17</xdr:row>
      <xdr:rowOff>76200</xdr:rowOff>
    </xdr:to>
    <xdr:sp macro="" textlink="">
      <xdr:nvSpPr>
        <xdr:cNvPr id="854" name="Line 93586">
          <a:extLst>
            <a:ext uri="{FF2B5EF4-FFF2-40B4-BE49-F238E27FC236}">
              <a16:creationId xmlns:a16="http://schemas.microsoft.com/office/drawing/2014/main" id="{00000000-0008-0000-0000-000056030000}"/>
            </a:ext>
          </a:extLst>
        </xdr:cNvPr>
        <xdr:cNvSpPr>
          <a:spLocks noChangeShapeType="1"/>
        </xdr:cNvSpPr>
      </xdr:nvSpPr>
      <xdr:spPr bwMode="auto">
        <a:xfrm>
          <a:off x="29603700" y="3019425"/>
          <a:ext cx="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0</xdr:colOff>
      <xdr:row>16</xdr:row>
      <xdr:rowOff>133350</xdr:rowOff>
    </xdr:from>
    <xdr:to>
      <xdr:col>41</xdr:col>
      <xdr:colOff>0</xdr:colOff>
      <xdr:row>17</xdr:row>
      <xdr:rowOff>76200</xdr:rowOff>
    </xdr:to>
    <xdr:sp macro="" textlink="">
      <xdr:nvSpPr>
        <xdr:cNvPr id="855" name="Line 93587">
          <a:extLst>
            <a:ext uri="{FF2B5EF4-FFF2-40B4-BE49-F238E27FC236}">
              <a16:creationId xmlns:a16="http://schemas.microsoft.com/office/drawing/2014/main" id="{00000000-0008-0000-0000-000057030000}"/>
            </a:ext>
          </a:extLst>
        </xdr:cNvPr>
        <xdr:cNvSpPr>
          <a:spLocks noChangeShapeType="1"/>
        </xdr:cNvSpPr>
      </xdr:nvSpPr>
      <xdr:spPr bwMode="auto">
        <a:xfrm>
          <a:off x="30356175" y="300990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18</xdr:row>
      <xdr:rowOff>95250</xdr:rowOff>
    </xdr:from>
    <xdr:to>
      <xdr:col>40</xdr:col>
      <xdr:colOff>0</xdr:colOff>
      <xdr:row>19</xdr:row>
      <xdr:rowOff>171450</xdr:rowOff>
    </xdr:to>
    <xdr:sp macro="" textlink="">
      <xdr:nvSpPr>
        <xdr:cNvPr id="856" name="Line 93588">
          <a:extLst>
            <a:ext uri="{FF2B5EF4-FFF2-40B4-BE49-F238E27FC236}">
              <a16:creationId xmlns:a16="http://schemas.microsoft.com/office/drawing/2014/main" id="{00000000-0008-0000-0000-000058030000}"/>
            </a:ext>
          </a:extLst>
        </xdr:cNvPr>
        <xdr:cNvSpPr>
          <a:spLocks noChangeShapeType="1"/>
        </xdr:cNvSpPr>
      </xdr:nvSpPr>
      <xdr:spPr bwMode="auto">
        <a:xfrm>
          <a:off x="29603700" y="336232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704850</xdr:colOff>
      <xdr:row>22</xdr:row>
      <xdr:rowOff>0</xdr:rowOff>
    </xdr:from>
    <xdr:to>
      <xdr:col>41</xdr:col>
      <xdr:colOff>85725</xdr:colOff>
      <xdr:row>22</xdr:row>
      <xdr:rowOff>0</xdr:rowOff>
    </xdr:to>
    <xdr:sp macro="" textlink="">
      <xdr:nvSpPr>
        <xdr:cNvPr id="857" name="Line 93589">
          <a:extLst>
            <a:ext uri="{FF2B5EF4-FFF2-40B4-BE49-F238E27FC236}">
              <a16:creationId xmlns:a16="http://schemas.microsoft.com/office/drawing/2014/main" id="{00000000-0008-0000-0000-000059030000}"/>
            </a:ext>
          </a:extLst>
        </xdr:cNvPr>
        <xdr:cNvSpPr>
          <a:spLocks noChangeShapeType="1"/>
        </xdr:cNvSpPr>
      </xdr:nvSpPr>
      <xdr:spPr bwMode="auto">
        <a:xfrm>
          <a:off x="29556075" y="4048125"/>
          <a:ext cx="885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21</xdr:row>
      <xdr:rowOff>152400</xdr:rowOff>
    </xdr:from>
    <xdr:to>
      <xdr:col>40</xdr:col>
      <xdr:colOff>0</xdr:colOff>
      <xdr:row>22</xdr:row>
      <xdr:rowOff>66675</xdr:rowOff>
    </xdr:to>
    <xdr:sp macro="" textlink="">
      <xdr:nvSpPr>
        <xdr:cNvPr id="858" name="Line 93590">
          <a:extLst>
            <a:ext uri="{FF2B5EF4-FFF2-40B4-BE49-F238E27FC236}">
              <a16:creationId xmlns:a16="http://schemas.microsoft.com/office/drawing/2014/main" id="{00000000-0008-0000-0000-00005A030000}"/>
            </a:ext>
          </a:extLst>
        </xdr:cNvPr>
        <xdr:cNvSpPr>
          <a:spLocks noChangeShapeType="1"/>
        </xdr:cNvSpPr>
      </xdr:nvSpPr>
      <xdr:spPr bwMode="auto">
        <a:xfrm>
          <a:off x="29603700" y="4010025"/>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41</xdr:col>
      <xdr:colOff>0</xdr:colOff>
      <xdr:row>21</xdr:row>
      <xdr:rowOff>142875</xdr:rowOff>
    </xdr:from>
    <xdr:to>
      <xdr:col>41</xdr:col>
      <xdr:colOff>0</xdr:colOff>
      <xdr:row>22</xdr:row>
      <xdr:rowOff>85725</xdr:rowOff>
    </xdr:to>
    <xdr:sp macro="" textlink="">
      <xdr:nvSpPr>
        <xdr:cNvPr id="859" name="Line 93591">
          <a:extLst>
            <a:ext uri="{FF2B5EF4-FFF2-40B4-BE49-F238E27FC236}">
              <a16:creationId xmlns:a16="http://schemas.microsoft.com/office/drawing/2014/main" id="{00000000-0008-0000-0000-00005B030000}"/>
            </a:ext>
          </a:extLst>
        </xdr:cNvPr>
        <xdr:cNvSpPr>
          <a:spLocks noChangeShapeType="1"/>
        </xdr:cNvSpPr>
      </xdr:nvSpPr>
      <xdr:spPr bwMode="auto">
        <a:xfrm>
          <a:off x="30356175" y="4000500"/>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32</xdr:col>
      <xdr:colOff>733425</xdr:colOff>
      <xdr:row>1</xdr:row>
      <xdr:rowOff>9525</xdr:rowOff>
    </xdr:from>
    <xdr:to>
      <xdr:col>33</xdr:col>
      <xdr:colOff>605790</xdr:colOff>
      <xdr:row>4</xdr:row>
      <xdr:rowOff>34290</xdr:rowOff>
    </xdr:to>
    <xdr:pic>
      <xdr:nvPicPr>
        <xdr:cNvPr id="860" name="Picture 197" descr="CRH_office_pantone">
          <a:extLst>
            <a:ext uri="{FF2B5EF4-FFF2-40B4-BE49-F238E27FC236}">
              <a16:creationId xmlns:a16="http://schemas.microsoft.com/office/drawing/2014/main" id="{00000000-0008-0000-0000-00005C03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4317325" y="133350"/>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35</xdr:col>
      <xdr:colOff>0</xdr:colOff>
      <xdr:row>14</xdr:row>
      <xdr:rowOff>0</xdr:rowOff>
    </xdr:from>
    <xdr:to>
      <xdr:col>36</xdr:col>
      <xdr:colOff>9525</xdr:colOff>
      <xdr:row>14</xdr:row>
      <xdr:rowOff>0</xdr:rowOff>
    </xdr:to>
    <xdr:sp macro="" textlink="">
      <xdr:nvSpPr>
        <xdr:cNvPr id="861" name="Line 93594">
          <a:extLst>
            <a:ext uri="{FF2B5EF4-FFF2-40B4-BE49-F238E27FC236}">
              <a16:creationId xmlns:a16="http://schemas.microsoft.com/office/drawing/2014/main" id="{00000000-0008-0000-0000-00005D030000}"/>
            </a:ext>
          </a:extLst>
        </xdr:cNvPr>
        <xdr:cNvSpPr>
          <a:spLocks noChangeShapeType="1"/>
        </xdr:cNvSpPr>
      </xdr:nvSpPr>
      <xdr:spPr bwMode="auto">
        <a:xfrm>
          <a:off x="25841325" y="2495550"/>
          <a:ext cx="762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0</xdr:colOff>
      <xdr:row>14</xdr:row>
      <xdr:rowOff>9525</xdr:rowOff>
    </xdr:from>
    <xdr:to>
      <xdr:col>35</xdr:col>
      <xdr:colOff>66675</xdr:colOff>
      <xdr:row>14</xdr:row>
      <xdr:rowOff>142875</xdr:rowOff>
    </xdr:to>
    <xdr:sp macro="" textlink="">
      <xdr:nvSpPr>
        <xdr:cNvPr id="862" name="Line 93595">
          <a:extLst>
            <a:ext uri="{FF2B5EF4-FFF2-40B4-BE49-F238E27FC236}">
              <a16:creationId xmlns:a16="http://schemas.microsoft.com/office/drawing/2014/main" id="{00000000-0008-0000-0000-00005E030000}"/>
            </a:ext>
          </a:extLst>
        </xdr:cNvPr>
        <xdr:cNvSpPr>
          <a:spLocks noChangeShapeType="1"/>
        </xdr:cNvSpPr>
      </xdr:nvSpPr>
      <xdr:spPr bwMode="auto">
        <a:xfrm>
          <a:off x="25841325" y="2505075"/>
          <a:ext cx="66675" cy="13335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685800</xdr:colOff>
      <xdr:row>14</xdr:row>
      <xdr:rowOff>9525</xdr:rowOff>
    </xdr:from>
    <xdr:to>
      <xdr:col>36</xdr:col>
      <xdr:colOff>0</xdr:colOff>
      <xdr:row>14</xdr:row>
      <xdr:rowOff>152400</xdr:rowOff>
    </xdr:to>
    <xdr:sp macro="" textlink="">
      <xdr:nvSpPr>
        <xdr:cNvPr id="863" name="Line 93596">
          <a:extLst>
            <a:ext uri="{FF2B5EF4-FFF2-40B4-BE49-F238E27FC236}">
              <a16:creationId xmlns:a16="http://schemas.microsoft.com/office/drawing/2014/main" id="{00000000-0008-0000-0000-00005F030000}"/>
            </a:ext>
          </a:extLst>
        </xdr:cNvPr>
        <xdr:cNvSpPr>
          <a:spLocks noChangeShapeType="1"/>
        </xdr:cNvSpPr>
      </xdr:nvSpPr>
      <xdr:spPr bwMode="auto">
        <a:xfrm flipH="1">
          <a:off x="26527125" y="2505075"/>
          <a:ext cx="66675" cy="142875"/>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66675</xdr:colOff>
      <xdr:row>14</xdr:row>
      <xdr:rowOff>123825</xdr:rowOff>
    </xdr:from>
    <xdr:to>
      <xdr:col>35</xdr:col>
      <xdr:colOff>685800</xdr:colOff>
      <xdr:row>15</xdr:row>
      <xdr:rowOff>47625</xdr:rowOff>
    </xdr:to>
    <xdr:sp macro="" textlink="">
      <xdr:nvSpPr>
        <xdr:cNvPr id="864" name="Arc 93597">
          <a:extLst>
            <a:ext uri="{FF2B5EF4-FFF2-40B4-BE49-F238E27FC236}">
              <a16:creationId xmlns:a16="http://schemas.microsoft.com/office/drawing/2014/main" id="{00000000-0008-0000-0000-000060030000}"/>
            </a:ext>
          </a:extLst>
        </xdr:cNvPr>
        <xdr:cNvSpPr>
          <a:spLocks/>
        </xdr:cNvSpPr>
      </xdr:nvSpPr>
      <xdr:spPr bwMode="auto">
        <a:xfrm flipV="1">
          <a:off x="25908000" y="2619375"/>
          <a:ext cx="619125" cy="114300"/>
        </a:xfrm>
        <a:custGeom>
          <a:avLst/>
          <a:gdLst>
            <a:gd name="T0" fmla="*/ 0 w 42825"/>
            <a:gd name="T1" fmla="*/ 89045240 h 21600"/>
            <a:gd name="T2" fmla="*/ 2147483647 w 42825"/>
            <a:gd name="T3" fmla="*/ 80931427 h 21600"/>
            <a:gd name="T4" fmla="*/ 2147483647 w 42825"/>
            <a:gd name="T5" fmla="*/ 97090897 h 21600"/>
            <a:gd name="T6" fmla="*/ 0 60000 65536"/>
            <a:gd name="T7" fmla="*/ 0 60000 65536"/>
            <a:gd name="T8" fmla="*/ 0 60000 65536"/>
          </a:gdLst>
          <a:ahLst/>
          <a:cxnLst>
            <a:cxn ang="T6">
              <a:pos x="T0" y="T1"/>
            </a:cxn>
            <a:cxn ang="T7">
              <a:pos x="T2" y="T3"/>
            </a:cxn>
            <a:cxn ang="T8">
              <a:pos x="T4" y="T5"/>
            </a:cxn>
          </a:cxnLst>
          <a:rect l="0" t="0" r="r" b="b"/>
          <a:pathLst>
            <a:path w="42825" h="21600" fill="none" extrusionOk="0">
              <a:moveTo>
                <a:pt x="0" y="19810"/>
              </a:moveTo>
              <a:cubicBezTo>
                <a:pt x="931" y="8613"/>
                <a:pt x="10290" y="-1"/>
                <a:pt x="21526" y="0"/>
              </a:cubicBezTo>
              <a:cubicBezTo>
                <a:pt x="32068" y="0"/>
                <a:pt x="41070" y="7609"/>
                <a:pt x="42824" y="18005"/>
              </a:cubicBezTo>
            </a:path>
            <a:path w="42825" h="21600" stroke="0" extrusionOk="0">
              <a:moveTo>
                <a:pt x="0" y="19810"/>
              </a:moveTo>
              <a:cubicBezTo>
                <a:pt x="931" y="8613"/>
                <a:pt x="10290" y="-1"/>
                <a:pt x="21526" y="0"/>
              </a:cubicBezTo>
              <a:cubicBezTo>
                <a:pt x="32068" y="0"/>
                <a:pt x="41070" y="7609"/>
                <a:pt x="42824" y="18005"/>
              </a:cubicBezTo>
              <a:lnTo>
                <a:pt x="21526" y="21600"/>
              </a:lnTo>
              <a:lnTo>
                <a:pt x="0" y="19810"/>
              </a:lnTo>
              <a:close/>
            </a:path>
          </a:pathLst>
        </a:cu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590550</xdr:colOff>
      <xdr:row>13</xdr:row>
      <xdr:rowOff>171450</xdr:rowOff>
    </xdr:from>
    <xdr:to>
      <xdr:col>34</xdr:col>
      <xdr:colOff>704850</xdr:colOff>
      <xdr:row>13</xdr:row>
      <xdr:rowOff>171450</xdr:rowOff>
    </xdr:to>
    <xdr:sp macro="" textlink="">
      <xdr:nvSpPr>
        <xdr:cNvPr id="865" name="Line 93598">
          <a:extLst>
            <a:ext uri="{FF2B5EF4-FFF2-40B4-BE49-F238E27FC236}">
              <a16:creationId xmlns:a16="http://schemas.microsoft.com/office/drawing/2014/main" id="{00000000-0008-0000-0000-000061030000}"/>
            </a:ext>
          </a:extLst>
        </xdr:cNvPr>
        <xdr:cNvSpPr>
          <a:spLocks noChangeShapeType="1"/>
        </xdr:cNvSpPr>
      </xdr:nvSpPr>
      <xdr:spPr bwMode="auto">
        <a:xfrm flipH="1">
          <a:off x="25679400" y="247650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600075</xdr:colOff>
      <xdr:row>15</xdr:row>
      <xdr:rowOff>57150</xdr:rowOff>
    </xdr:from>
    <xdr:to>
      <xdr:col>35</xdr:col>
      <xdr:colOff>295275</xdr:colOff>
      <xdr:row>15</xdr:row>
      <xdr:rowOff>57150</xdr:rowOff>
    </xdr:to>
    <xdr:sp macro="" textlink="">
      <xdr:nvSpPr>
        <xdr:cNvPr id="866" name="Line 93599">
          <a:extLst>
            <a:ext uri="{FF2B5EF4-FFF2-40B4-BE49-F238E27FC236}">
              <a16:creationId xmlns:a16="http://schemas.microsoft.com/office/drawing/2014/main" id="{00000000-0008-0000-0000-000062030000}"/>
            </a:ext>
          </a:extLst>
        </xdr:cNvPr>
        <xdr:cNvSpPr>
          <a:spLocks noChangeShapeType="1"/>
        </xdr:cNvSpPr>
      </xdr:nvSpPr>
      <xdr:spPr bwMode="auto">
        <a:xfrm flipH="1">
          <a:off x="25688925" y="2743200"/>
          <a:ext cx="4476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647700</xdr:colOff>
      <xdr:row>13</xdr:row>
      <xdr:rowOff>161925</xdr:rowOff>
    </xdr:from>
    <xdr:to>
      <xdr:col>34</xdr:col>
      <xdr:colOff>647700</xdr:colOff>
      <xdr:row>15</xdr:row>
      <xdr:rowOff>114300</xdr:rowOff>
    </xdr:to>
    <xdr:sp macro="" textlink="">
      <xdr:nvSpPr>
        <xdr:cNvPr id="867" name="Line 93600">
          <a:extLst>
            <a:ext uri="{FF2B5EF4-FFF2-40B4-BE49-F238E27FC236}">
              <a16:creationId xmlns:a16="http://schemas.microsoft.com/office/drawing/2014/main" id="{00000000-0008-0000-0000-000063030000}"/>
            </a:ext>
          </a:extLst>
        </xdr:cNvPr>
        <xdr:cNvSpPr>
          <a:spLocks noChangeShapeType="1"/>
        </xdr:cNvSpPr>
      </xdr:nvSpPr>
      <xdr:spPr bwMode="auto">
        <a:xfrm>
          <a:off x="25736550" y="2466975"/>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609600</xdr:colOff>
      <xdr:row>13</xdr:row>
      <xdr:rowOff>152400</xdr:rowOff>
    </xdr:from>
    <xdr:to>
      <xdr:col>34</xdr:col>
      <xdr:colOff>685800</xdr:colOff>
      <xdr:row>14</xdr:row>
      <xdr:rowOff>38100</xdr:rowOff>
    </xdr:to>
    <xdr:sp macro="" textlink="">
      <xdr:nvSpPr>
        <xdr:cNvPr id="868" name="Line 93601">
          <a:extLst>
            <a:ext uri="{FF2B5EF4-FFF2-40B4-BE49-F238E27FC236}">
              <a16:creationId xmlns:a16="http://schemas.microsoft.com/office/drawing/2014/main" id="{00000000-0008-0000-0000-000064030000}"/>
            </a:ext>
          </a:extLst>
        </xdr:cNvPr>
        <xdr:cNvSpPr>
          <a:spLocks noChangeShapeType="1"/>
        </xdr:cNvSpPr>
      </xdr:nvSpPr>
      <xdr:spPr bwMode="auto">
        <a:xfrm flipH="1">
          <a:off x="25698450" y="24574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619125</xdr:colOff>
      <xdr:row>15</xdr:row>
      <xdr:rowOff>19050</xdr:rowOff>
    </xdr:from>
    <xdr:to>
      <xdr:col>34</xdr:col>
      <xdr:colOff>695325</xdr:colOff>
      <xdr:row>15</xdr:row>
      <xdr:rowOff>95250</xdr:rowOff>
    </xdr:to>
    <xdr:sp macro="" textlink="">
      <xdr:nvSpPr>
        <xdr:cNvPr id="869" name="Line 93602">
          <a:extLst>
            <a:ext uri="{FF2B5EF4-FFF2-40B4-BE49-F238E27FC236}">
              <a16:creationId xmlns:a16="http://schemas.microsoft.com/office/drawing/2014/main" id="{00000000-0008-0000-0000-000065030000}"/>
            </a:ext>
          </a:extLst>
        </xdr:cNvPr>
        <xdr:cNvSpPr>
          <a:spLocks noChangeShapeType="1"/>
        </xdr:cNvSpPr>
      </xdr:nvSpPr>
      <xdr:spPr bwMode="auto">
        <a:xfrm flipH="1">
          <a:off x="25707975" y="27051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42</xdr:col>
      <xdr:colOff>685800</xdr:colOff>
      <xdr:row>26</xdr:row>
      <xdr:rowOff>123825</xdr:rowOff>
    </xdr:from>
    <xdr:to>
      <xdr:col>43</xdr:col>
      <xdr:colOff>504825</xdr:colOff>
      <xdr:row>28</xdr:row>
      <xdr:rowOff>133350</xdr:rowOff>
    </xdr:to>
    <xdr:sp macro="" textlink="">
      <xdr:nvSpPr>
        <xdr:cNvPr id="870" name="Freeform 93603">
          <a:extLst>
            <a:ext uri="{FF2B5EF4-FFF2-40B4-BE49-F238E27FC236}">
              <a16:creationId xmlns:a16="http://schemas.microsoft.com/office/drawing/2014/main" id="{00000000-0008-0000-0000-000066030000}"/>
            </a:ext>
          </a:extLst>
        </xdr:cNvPr>
        <xdr:cNvSpPr>
          <a:spLocks/>
        </xdr:cNvSpPr>
      </xdr:nvSpPr>
      <xdr:spPr bwMode="auto">
        <a:xfrm>
          <a:off x="31975972" y="4864428"/>
          <a:ext cx="705836" cy="392715"/>
        </a:xfrm>
        <a:custGeom>
          <a:avLst/>
          <a:gdLst>
            <a:gd name="T0" fmla="*/ 0 w 60"/>
            <a:gd name="T1" fmla="*/ 0 h 42"/>
            <a:gd name="T2" fmla="*/ 2147483647 w 60"/>
            <a:gd name="T3" fmla="*/ 0 h 42"/>
            <a:gd name="T4" fmla="*/ 2147483647 w 60"/>
            <a:gd name="T5" fmla="*/ 2147483647 h 42"/>
            <a:gd name="T6" fmla="*/ 2147483647 w 60"/>
            <a:gd name="T7" fmla="*/ 2147483647 h 42"/>
            <a:gd name="T8" fmla="*/ 2147483647 w 60"/>
            <a:gd name="T9" fmla="*/ 2147483647 h 42"/>
            <a:gd name="T10" fmla="*/ 2147483647 w 60"/>
            <a:gd name="T11" fmla="*/ 2147483647 h 42"/>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60" h="42">
              <a:moveTo>
                <a:pt x="0" y="0"/>
              </a:moveTo>
              <a:lnTo>
                <a:pt x="37" y="0"/>
              </a:lnTo>
              <a:lnTo>
                <a:pt x="37" y="20"/>
              </a:lnTo>
              <a:lnTo>
                <a:pt x="60" y="20"/>
              </a:lnTo>
              <a:lnTo>
                <a:pt x="60" y="42"/>
              </a:lnTo>
              <a:lnTo>
                <a:pt x="1" y="4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42</xdr:col>
      <xdr:colOff>492673</xdr:colOff>
      <xdr:row>14</xdr:row>
      <xdr:rowOff>138057</xdr:rowOff>
    </xdr:from>
    <xdr:to>
      <xdr:col>42</xdr:col>
      <xdr:colOff>777329</xdr:colOff>
      <xdr:row>34</xdr:row>
      <xdr:rowOff>9087</xdr:rowOff>
    </xdr:to>
    <xdr:sp macro="" textlink="">
      <xdr:nvSpPr>
        <xdr:cNvPr id="871" name="Freeform 93604">
          <a:extLst>
            <a:ext uri="{FF2B5EF4-FFF2-40B4-BE49-F238E27FC236}">
              <a16:creationId xmlns:a16="http://schemas.microsoft.com/office/drawing/2014/main" id="{00000000-0008-0000-0000-000067030000}"/>
            </a:ext>
          </a:extLst>
        </xdr:cNvPr>
        <xdr:cNvSpPr>
          <a:spLocks/>
        </xdr:cNvSpPr>
      </xdr:nvSpPr>
      <xdr:spPr bwMode="auto">
        <a:xfrm>
          <a:off x="31782845" y="2590471"/>
          <a:ext cx="284656" cy="3681030"/>
        </a:xfrm>
        <a:custGeom>
          <a:avLst/>
          <a:gdLst>
            <a:gd name="T0" fmla="*/ 2147483647 w 29"/>
            <a:gd name="T1" fmla="*/ 0 h 301"/>
            <a:gd name="T2" fmla="*/ 2147483647 w 29"/>
            <a:gd name="T3" fmla="*/ 2147483647 h 301"/>
            <a:gd name="T4" fmla="*/ 2147483647 w 29"/>
            <a:gd name="T5" fmla="*/ 2147483647 h 301"/>
            <a:gd name="T6" fmla="*/ 2147483647 w 29"/>
            <a:gd name="T7" fmla="*/ 2147483647 h 301"/>
            <a:gd name="T8" fmla="*/ 2147483647 w 29"/>
            <a:gd name="T9" fmla="*/ 2147483647 h 301"/>
            <a:gd name="T10" fmla="*/ 2147483647 w 29"/>
            <a:gd name="T11" fmla="*/ 2147483647 h 301"/>
            <a:gd name="T12" fmla="*/ 0 w 29"/>
            <a:gd name="T13" fmla="*/ 2147483647 h 301"/>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9" h="301">
              <a:moveTo>
                <a:pt x="2" y="0"/>
              </a:moveTo>
              <a:lnTo>
                <a:pt x="12" y="7"/>
              </a:lnTo>
              <a:lnTo>
                <a:pt x="12" y="195"/>
              </a:lnTo>
              <a:lnTo>
                <a:pt x="29" y="198"/>
              </a:lnTo>
              <a:lnTo>
                <a:pt x="12" y="201"/>
              </a:lnTo>
              <a:lnTo>
                <a:pt x="12" y="298"/>
              </a:lnTo>
              <a:lnTo>
                <a:pt x="0" y="30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25</xdr:col>
      <xdr:colOff>238125</xdr:colOff>
      <xdr:row>61</xdr:row>
      <xdr:rowOff>28575</xdr:rowOff>
    </xdr:from>
    <xdr:to>
      <xdr:col>25</xdr:col>
      <xdr:colOff>238125</xdr:colOff>
      <xdr:row>63</xdr:row>
      <xdr:rowOff>19050</xdr:rowOff>
    </xdr:to>
    <xdr:sp macro="" textlink="">
      <xdr:nvSpPr>
        <xdr:cNvPr id="873" name="Line 93608">
          <a:extLst>
            <a:ext uri="{FF2B5EF4-FFF2-40B4-BE49-F238E27FC236}">
              <a16:creationId xmlns:a16="http://schemas.microsoft.com/office/drawing/2014/main" id="{00000000-0008-0000-0000-000069030000}"/>
            </a:ext>
          </a:extLst>
        </xdr:cNvPr>
        <xdr:cNvSpPr>
          <a:spLocks noChangeShapeType="1"/>
        </xdr:cNvSpPr>
      </xdr:nvSpPr>
      <xdr:spPr bwMode="auto">
        <a:xfrm>
          <a:off x="18526125" y="11677650"/>
          <a:ext cx="0" cy="390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23</xdr:col>
      <xdr:colOff>514350</xdr:colOff>
      <xdr:row>62</xdr:row>
      <xdr:rowOff>104775</xdr:rowOff>
    </xdr:from>
    <xdr:to>
      <xdr:col>25</xdr:col>
      <xdr:colOff>276225</xdr:colOff>
      <xdr:row>63</xdr:row>
      <xdr:rowOff>161925</xdr:rowOff>
    </xdr:to>
    <xdr:sp macro="" textlink="">
      <xdr:nvSpPr>
        <xdr:cNvPr id="874" name="Freeform 93609">
          <a:extLst>
            <a:ext uri="{FF2B5EF4-FFF2-40B4-BE49-F238E27FC236}">
              <a16:creationId xmlns:a16="http://schemas.microsoft.com/office/drawing/2014/main" id="{00000000-0008-0000-0000-00006A030000}"/>
            </a:ext>
          </a:extLst>
        </xdr:cNvPr>
        <xdr:cNvSpPr>
          <a:spLocks/>
        </xdr:cNvSpPr>
      </xdr:nvSpPr>
      <xdr:spPr bwMode="auto">
        <a:xfrm>
          <a:off x="17125950" y="11953875"/>
          <a:ext cx="1438275" cy="257175"/>
        </a:xfrm>
        <a:custGeom>
          <a:avLst/>
          <a:gdLst>
            <a:gd name="T0" fmla="*/ 0 w 209"/>
            <a:gd name="T1" fmla="*/ 0 h 29"/>
            <a:gd name="T2" fmla="*/ 0 w 209"/>
            <a:gd name="T3" fmla="*/ 2147483647 h 29"/>
            <a:gd name="T4" fmla="*/ 2147483647 w 209"/>
            <a:gd name="T5" fmla="*/ 2147483647 h 29"/>
            <a:gd name="T6" fmla="*/ 2147483647 w 209"/>
            <a:gd name="T7" fmla="*/ 2147483647 h 29"/>
            <a:gd name="T8" fmla="*/ 2147483647 w 209"/>
            <a:gd name="T9" fmla="*/ 2147483647 h 29"/>
            <a:gd name="T10" fmla="*/ 2147483647 w 209"/>
            <a:gd name="T11" fmla="*/ 0 h 29"/>
            <a:gd name="T12" fmla="*/ 0 w 209"/>
            <a:gd name="T13" fmla="*/ 0 h 2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9" h="29">
              <a:moveTo>
                <a:pt x="0" y="0"/>
              </a:moveTo>
              <a:lnTo>
                <a:pt x="0" y="29"/>
              </a:lnTo>
              <a:lnTo>
                <a:pt x="209" y="29"/>
              </a:lnTo>
              <a:lnTo>
                <a:pt x="209" y="13"/>
              </a:lnTo>
              <a:lnTo>
                <a:pt x="190" y="13"/>
              </a:lnTo>
              <a:lnTo>
                <a:pt x="190" y="0"/>
              </a:lnTo>
              <a:lnTo>
                <a:pt x="0" y="0"/>
              </a:lnTo>
              <a:close/>
            </a:path>
          </a:pathLst>
        </a:custGeom>
        <a:solidFill>
          <a:srgbClr xmlns:mc="http://schemas.openxmlformats.org/markup-compatibility/2006" xmlns:a14="http://schemas.microsoft.com/office/drawing/2010/main" val="FFFFFF" mc:Ignorable="a14" a14:legacySpreadsheetColorIndex="65">
            <a:alpha val="0"/>
          </a:srgbClr>
        </a:solidFill>
        <a:ln w="15875" cap="flat" cmpd="sng">
          <a:solidFill>
            <a:srgbClr xmlns:mc="http://schemas.openxmlformats.org/markup-compatibility/2006" xmlns:a14="http://schemas.microsoft.com/office/drawing/2010/main" val="000000" mc:Ignorable="a14" a14:legacySpreadsheetColorIndex="64"/>
          </a:solidFill>
          <a:prstDash val="solid"/>
          <a:round/>
          <a:headEnd/>
          <a:tailEnd/>
        </a:ln>
      </xdr:spPr>
    </xdr:sp>
    <xdr:clientData/>
  </xdr:twoCellAnchor>
  <xdr:twoCellAnchor>
    <xdr:from>
      <xdr:col>24</xdr:col>
      <xdr:colOff>447675</xdr:colOff>
      <xdr:row>62</xdr:row>
      <xdr:rowOff>95250</xdr:rowOff>
    </xdr:from>
    <xdr:to>
      <xdr:col>24</xdr:col>
      <xdr:colOff>600075</xdr:colOff>
      <xdr:row>63</xdr:row>
      <xdr:rowOff>180975</xdr:rowOff>
    </xdr:to>
    <xdr:sp macro="" textlink="">
      <xdr:nvSpPr>
        <xdr:cNvPr id="875" name="Freeform 93610">
          <a:extLst>
            <a:ext uri="{FF2B5EF4-FFF2-40B4-BE49-F238E27FC236}">
              <a16:creationId xmlns:a16="http://schemas.microsoft.com/office/drawing/2014/main" id="{00000000-0008-0000-0000-00006B030000}"/>
            </a:ext>
          </a:extLst>
        </xdr:cNvPr>
        <xdr:cNvSpPr>
          <a:spLocks/>
        </xdr:cNvSpPr>
      </xdr:nvSpPr>
      <xdr:spPr bwMode="auto">
        <a:xfrm>
          <a:off x="17983200" y="11944350"/>
          <a:ext cx="152400" cy="285750"/>
        </a:xfrm>
        <a:custGeom>
          <a:avLst/>
          <a:gdLst>
            <a:gd name="T0" fmla="*/ 2147483647 w 16"/>
            <a:gd name="T1" fmla="*/ 0 h 31"/>
            <a:gd name="T2" fmla="*/ 2147483647 w 16"/>
            <a:gd name="T3" fmla="*/ 2147483647 h 31"/>
            <a:gd name="T4" fmla="*/ 0 w 16"/>
            <a:gd name="T5" fmla="*/ 2147483647 h 31"/>
            <a:gd name="T6" fmla="*/ 0 w 16"/>
            <a:gd name="T7" fmla="*/ 2147483647 h 3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 h="31">
              <a:moveTo>
                <a:pt x="16" y="0"/>
              </a:moveTo>
              <a:lnTo>
                <a:pt x="16" y="14"/>
              </a:lnTo>
              <a:lnTo>
                <a:pt x="0" y="14"/>
              </a:lnTo>
              <a:lnTo>
                <a:pt x="0" y="31"/>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25</xdr:col>
      <xdr:colOff>0</xdr:colOff>
      <xdr:row>61</xdr:row>
      <xdr:rowOff>85725</xdr:rowOff>
    </xdr:from>
    <xdr:to>
      <xdr:col>25</xdr:col>
      <xdr:colOff>0</xdr:colOff>
      <xdr:row>68</xdr:row>
      <xdr:rowOff>180975</xdr:rowOff>
    </xdr:to>
    <xdr:sp macro="" textlink="">
      <xdr:nvSpPr>
        <xdr:cNvPr id="876" name="Line 93611">
          <a:extLst>
            <a:ext uri="{FF2B5EF4-FFF2-40B4-BE49-F238E27FC236}">
              <a16:creationId xmlns:a16="http://schemas.microsoft.com/office/drawing/2014/main" id="{00000000-0008-0000-0000-00006C030000}"/>
            </a:ext>
          </a:extLst>
        </xdr:cNvPr>
        <xdr:cNvSpPr>
          <a:spLocks noChangeShapeType="1"/>
        </xdr:cNvSpPr>
      </xdr:nvSpPr>
      <xdr:spPr bwMode="auto">
        <a:xfrm>
          <a:off x="18288000" y="11734800"/>
          <a:ext cx="0" cy="1495425"/>
        </a:xfrm>
        <a:prstGeom prst="line">
          <a:avLst/>
        </a:prstGeom>
        <a:noFill/>
        <a:ln w="1587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24</xdr:col>
      <xdr:colOff>714375</xdr:colOff>
      <xdr:row>64</xdr:row>
      <xdr:rowOff>76200</xdr:rowOff>
    </xdr:from>
    <xdr:to>
      <xdr:col>25</xdr:col>
      <xdr:colOff>28575</xdr:colOff>
      <xdr:row>64</xdr:row>
      <xdr:rowOff>161925</xdr:rowOff>
    </xdr:to>
    <xdr:sp macro="" textlink="">
      <xdr:nvSpPr>
        <xdr:cNvPr id="877" name="Line 93613">
          <a:extLst>
            <a:ext uri="{FF2B5EF4-FFF2-40B4-BE49-F238E27FC236}">
              <a16:creationId xmlns:a16="http://schemas.microsoft.com/office/drawing/2014/main" id="{00000000-0008-0000-0000-00006D030000}"/>
            </a:ext>
          </a:extLst>
        </xdr:cNvPr>
        <xdr:cNvSpPr>
          <a:spLocks noChangeShapeType="1"/>
        </xdr:cNvSpPr>
      </xdr:nvSpPr>
      <xdr:spPr bwMode="auto">
        <a:xfrm flipH="1">
          <a:off x="18249900" y="12325350"/>
          <a:ext cx="6667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238125</xdr:colOff>
      <xdr:row>65</xdr:row>
      <xdr:rowOff>28575</xdr:rowOff>
    </xdr:from>
    <xdr:to>
      <xdr:col>25</xdr:col>
      <xdr:colOff>238125</xdr:colOff>
      <xdr:row>69</xdr:row>
      <xdr:rowOff>9525</xdr:rowOff>
    </xdr:to>
    <xdr:sp macro="" textlink="">
      <xdr:nvSpPr>
        <xdr:cNvPr id="878" name="Line 93614">
          <a:extLst>
            <a:ext uri="{FF2B5EF4-FFF2-40B4-BE49-F238E27FC236}">
              <a16:creationId xmlns:a16="http://schemas.microsoft.com/office/drawing/2014/main" id="{00000000-0008-0000-0000-00006E030000}"/>
            </a:ext>
          </a:extLst>
        </xdr:cNvPr>
        <xdr:cNvSpPr>
          <a:spLocks noChangeShapeType="1"/>
        </xdr:cNvSpPr>
      </xdr:nvSpPr>
      <xdr:spPr bwMode="auto">
        <a:xfrm>
          <a:off x="18526125" y="1247775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61</xdr:row>
      <xdr:rowOff>133350</xdr:rowOff>
    </xdr:from>
    <xdr:to>
      <xdr:col>25</xdr:col>
      <xdr:colOff>238125</xdr:colOff>
      <xdr:row>62</xdr:row>
      <xdr:rowOff>38100</xdr:rowOff>
    </xdr:to>
    <xdr:sp macro="" textlink="">
      <xdr:nvSpPr>
        <xdr:cNvPr id="879" name="Rectangle 93615">
          <a:extLst>
            <a:ext uri="{FF2B5EF4-FFF2-40B4-BE49-F238E27FC236}">
              <a16:creationId xmlns:a16="http://schemas.microsoft.com/office/drawing/2014/main" id="{00000000-0008-0000-0000-00006F030000}"/>
            </a:ext>
          </a:extLst>
        </xdr:cNvPr>
        <xdr:cNvSpPr>
          <a:spLocks noChangeArrowheads="1"/>
        </xdr:cNvSpPr>
      </xdr:nvSpPr>
      <xdr:spPr bwMode="auto">
        <a:xfrm>
          <a:off x="18288000" y="11782425"/>
          <a:ext cx="238125" cy="1047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25</xdr:col>
      <xdr:colOff>123825</xdr:colOff>
      <xdr:row>61</xdr:row>
      <xdr:rowOff>47625</xdr:rowOff>
    </xdr:from>
    <xdr:to>
      <xdr:col>25</xdr:col>
      <xdr:colOff>123825</xdr:colOff>
      <xdr:row>68</xdr:row>
      <xdr:rowOff>85725</xdr:rowOff>
    </xdr:to>
    <xdr:sp macro="" textlink="">
      <xdr:nvSpPr>
        <xdr:cNvPr id="880" name="Line 93617">
          <a:extLst>
            <a:ext uri="{FF2B5EF4-FFF2-40B4-BE49-F238E27FC236}">
              <a16:creationId xmlns:a16="http://schemas.microsoft.com/office/drawing/2014/main" id="{00000000-0008-0000-0000-000070030000}"/>
            </a:ext>
          </a:extLst>
        </xdr:cNvPr>
        <xdr:cNvSpPr>
          <a:spLocks noChangeShapeType="1"/>
        </xdr:cNvSpPr>
      </xdr:nvSpPr>
      <xdr:spPr bwMode="auto">
        <a:xfrm>
          <a:off x="18411825" y="11696700"/>
          <a:ext cx="0" cy="14382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23</xdr:col>
      <xdr:colOff>590550</xdr:colOff>
      <xdr:row>66</xdr:row>
      <xdr:rowOff>9525</xdr:rowOff>
    </xdr:from>
    <xdr:to>
      <xdr:col>25</xdr:col>
      <xdr:colOff>28575</xdr:colOff>
      <xdr:row>66</xdr:row>
      <xdr:rowOff>9525</xdr:rowOff>
    </xdr:to>
    <xdr:sp macro="" textlink="">
      <xdr:nvSpPr>
        <xdr:cNvPr id="881" name="Line 93618">
          <a:extLst>
            <a:ext uri="{FF2B5EF4-FFF2-40B4-BE49-F238E27FC236}">
              <a16:creationId xmlns:a16="http://schemas.microsoft.com/office/drawing/2014/main" id="{00000000-0008-0000-0000-000071030000}"/>
            </a:ext>
          </a:extLst>
        </xdr:cNvPr>
        <xdr:cNvSpPr>
          <a:spLocks noChangeShapeType="1"/>
        </xdr:cNvSpPr>
      </xdr:nvSpPr>
      <xdr:spPr bwMode="auto">
        <a:xfrm>
          <a:off x="17202150" y="12658725"/>
          <a:ext cx="11144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723900</xdr:colOff>
      <xdr:row>65</xdr:row>
      <xdr:rowOff>161925</xdr:rowOff>
    </xdr:from>
    <xdr:to>
      <xdr:col>25</xdr:col>
      <xdr:colOff>38100</xdr:colOff>
      <xdr:row>66</xdr:row>
      <xdr:rowOff>57150</xdr:rowOff>
    </xdr:to>
    <xdr:sp macro="" textlink="">
      <xdr:nvSpPr>
        <xdr:cNvPr id="882" name="Line 93620">
          <a:extLst>
            <a:ext uri="{FF2B5EF4-FFF2-40B4-BE49-F238E27FC236}">
              <a16:creationId xmlns:a16="http://schemas.microsoft.com/office/drawing/2014/main" id="{00000000-0008-0000-0000-000072030000}"/>
            </a:ext>
          </a:extLst>
        </xdr:cNvPr>
        <xdr:cNvSpPr>
          <a:spLocks noChangeShapeType="1"/>
        </xdr:cNvSpPr>
      </xdr:nvSpPr>
      <xdr:spPr bwMode="auto">
        <a:xfrm flipH="1">
          <a:off x="18259425" y="12611100"/>
          <a:ext cx="666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600075</xdr:colOff>
      <xdr:row>67</xdr:row>
      <xdr:rowOff>0</xdr:rowOff>
    </xdr:from>
    <xdr:to>
      <xdr:col>25</xdr:col>
      <xdr:colOff>276225</xdr:colOff>
      <xdr:row>67</xdr:row>
      <xdr:rowOff>0</xdr:rowOff>
    </xdr:to>
    <xdr:sp macro="" textlink="">
      <xdr:nvSpPr>
        <xdr:cNvPr id="883" name="Line 93621">
          <a:extLst>
            <a:ext uri="{FF2B5EF4-FFF2-40B4-BE49-F238E27FC236}">
              <a16:creationId xmlns:a16="http://schemas.microsoft.com/office/drawing/2014/main" id="{00000000-0008-0000-0000-000073030000}"/>
            </a:ext>
          </a:extLst>
        </xdr:cNvPr>
        <xdr:cNvSpPr>
          <a:spLocks noChangeShapeType="1"/>
        </xdr:cNvSpPr>
      </xdr:nvSpPr>
      <xdr:spPr bwMode="auto">
        <a:xfrm>
          <a:off x="17211675" y="12849225"/>
          <a:ext cx="1352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209550</xdr:colOff>
      <xdr:row>66</xdr:row>
      <xdr:rowOff>152400</xdr:rowOff>
    </xdr:from>
    <xdr:to>
      <xdr:col>25</xdr:col>
      <xdr:colOff>295275</xdr:colOff>
      <xdr:row>67</xdr:row>
      <xdr:rowOff>47625</xdr:rowOff>
    </xdr:to>
    <xdr:sp macro="" textlink="">
      <xdr:nvSpPr>
        <xdr:cNvPr id="884" name="Line 93623">
          <a:extLst>
            <a:ext uri="{FF2B5EF4-FFF2-40B4-BE49-F238E27FC236}">
              <a16:creationId xmlns:a16="http://schemas.microsoft.com/office/drawing/2014/main" id="{00000000-0008-0000-0000-000074030000}"/>
            </a:ext>
          </a:extLst>
        </xdr:cNvPr>
        <xdr:cNvSpPr>
          <a:spLocks noChangeShapeType="1"/>
        </xdr:cNvSpPr>
      </xdr:nvSpPr>
      <xdr:spPr bwMode="auto">
        <a:xfrm flipH="1">
          <a:off x="18497550" y="12801600"/>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600075</xdr:colOff>
      <xdr:row>68</xdr:row>
      <xdr:rowOff>9525</xdr:rowOff>
    </xdr:from>
    <xdr:to>
      <xdr:col>25</xdr:col>
      <xdr:colOff>152400</xdr:colOff>
      <xdr:row>68</xdr:row>
      <xdr:rowOff>9525</xdr:rowOff>
    </xdr:to>
    <xdr:sp macro="" textlink="">
      <xdr:nvSpPr>
        <xdr:cNvPr id="885" name="Line 93624">
          <a:extLst>
            <a:ext uri="{FF2B5EF4-FFF2-40B4-BE49-F238E27FC236}">
              <a16:creationId xmlns:a16="http://schemas.microsoft.com/office/drawing/2014/main" id="{00000000-0008-0000-0000-000075030000}"/>
            </a:ext>
          </a:extLst>
        </xdr:cNvPr>
        <xdr:cNvSpPr>
          <a:spLocks noChangeShapeType="1"/>
        </xdr:cNvSpPr>
      </xdr:nvSpPr>
      <xdr:spPr bwMode="auto">
        <a:xfrm>
          <a:off x="17211675" y="13058775"/>
          <a:ext cx="12287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76200</xdr:colOff>
      <xdr:row>67</xdr:row>
      <xdr:rowOff>152400</xdr:rowOff>
    </xdr:from>
    <xdr:to>
      <xdr:col>25</xdr:col>
      <xdr:colOff>171450</xdr:colOff>
      <xdr:row>68</xdr:row>
      <xdr:rowOff>57150</xdr:rowOff>
    </xdr:to>
    <xdr:sp macro="" textlink="">
      <xdr:nvSpPr>
        <xdr:cNvPr id="886" name="Line 93626">
          <a:extLst>
            <a:ext uri="{FF2B5EF4-FFF2-40B4-BE49-F238E27FC236}">
              <a16:creationId xmlns:a16="http://schemas.microsoft.com/office/drawing/2014/main" id="{00000000-0008-0000-0000-000076030000}"/>
            </a:ext>
          </a:extLst>
        </xdr:cNvPr>
        <xdr:cNvSpPr>
          <a:spLocks noChangeShapeType="1"/>
        </xdr:cNvSpPr>
      </xdr:nvSpPr>
      <xdr:spPr bwMode="auto">
        <a:xfrm flipH="1">
          <a:off x="18364200" y="13001625"/>
          <a:ext cx="9525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19050</xdr:colOff>
      <xdr:row>61</xdr:row>
      <xdr:rowOff>123825</xdr:rowOff>
    </xdr:from>
    <xdr:to>
      <xdr:col>25</xdr:col>
      <xdr:colOff>19050</xdr:colOff>
      <xdr:row>62</xdr:row>
      <xdr:rowOff>38100</xdr:rowOff>
    </xdr:to>
    <xdr:sp macro="" textlink="">
      <xdr:nvSpPr>
        <xdr:cNvPr id="887" name="Line 93627">
          <a:extLst>
            <a:ext uri="{FF2B5EF4-FFF2-40B4-BE49-F238E27FC236}">
              <a16:creationId xmlns:a16="http://schemas.microsoft.com/office/drawing/2014/main" id="{00000000-0008-0000-0000-000077030000}"/>
            </a:ext>
          </a:extLst>
        </xdr:cNvPr>
        <xdr:cNvSpPr>
          <a:spLocks noChangeShapeType="1"/>
        </xdr:cNvSpPr>
      </xdr:nvSpPr>
      <xdr:spPr bwMode="auto">
        <a:xfrm>
          <a:off x="18307050" y="11772900"/>
          <a:ext cx="0" cy="1143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47625</xdr:colOff>
      <xdr:row>61</xdr:row>
      <xdr:rowOff>133350</xdr:rowOff>
    </xdr:from>
    <xdr:to>
      <xdr:col>25</xdr:col>
      <xdr:colOff>47625</xdr:colOff>
      <xdr:row>62</xdr:row>
      <xdr:rowOff>28575</xdr:rowOff>
    </xdr:to>
    <xdr:sp macro="" textlink="">
      <xdr:nvSpPr>
        <xdr:cNvPr id="888" name="Line 93628">
          <a:extLst>
            <a:ext uri="{FF2B5EF4-FFF2-40B4-BE49-F238E27FC236}">
              <a16:creationId xmlns:a16="http://schemas.microsoft.com/office/drawing/2014/main" id="{00000000-0008-0000-0000-000078030000}"/>
            </a:ext>
          </a:extLst>
        </xdr:cNvPr>
        <xdr:cNvSpPr>
          <a:spLocks noChangeShapeType="1"/>
        </xdr:cNvSpPr>
      </xdr:nvSpPr>
      <xdr:spPr bwMode="auto">
        <a:xfrm>
          <a:off x="18335625" y="117824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76200</xdr:colOff>
      <xdr:row>61</xdr:row>
      <xdr:rowOff>133350</xdr:rowOff>
    </xdr:from>
    <xdr:to>
      <xdr:col>25</xdr:col>
      <xdr:colOff>76200</xdr:colOff>
      <xdr:row>62</xdr:row>
      <xdr:rowOff>28575</xdr:rowOff>
    </xdr:to>
    <xdr:sp macro="" textlink="">
      <xdr:nvSpPr>
        <xdr:cNvPr id="889" name="Line 93629">
          <a:extLst>
            <a:ext uri="{FF2B5EF4-FFF2-40B4-BE49-F238E27FC236}">
              <a16:creationId xmlns:a16="http://schemas.microsoft.com/office/drawing/2014/main" id="{00000000-0008-0000-0000-000079030000}"/>
            </a:ext>
          </a:extLst>
        </xdr:cNvPr>
        <xdr:cNvSpPr>
          <a:spLocks noChangeShapeType="1"/>
        </xdr:cNvSpPr>
      </xdr:nvSpPr>
      <xdr:spPr bwMode="auto">
        <a:xfrm>
          <a:off x="18364200" y="117824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104775</xdr:colOff>
      <xdr:row>61</xdr:row>
      <xdr:rowOff>133350</xdr:rowOff>
    </xdr:from>
    <xdr:to>
      <xdr:col>25</xdr:col>
      <xdr:colOff>104775</xdr:colOff>
      <xdr:row>62</xdr:row>
      <xdr:rowOff>38100</xdr:rowOff>
    </xdr:to>
    <xdr:sp macro="" textlink="">
      <xdr:nvSpPr>
        <xdr:cNvPr id="890" name="Line 93630">
          <a:extLst>
            <a:ext uri="{FF2B5EF4-FFF2-40B4-BE49-F238E27FC236}">
              <a16:creationId xmlns:a16="http://schemas.microsoft.com/office/drawing/2014/main" id="{00000000-0008-0000-0000-00007A030000}"/>
            </a:ext>
          </a:extLst>
        </xdr:cNvPr>
        <xdr:cNvSpPr>
          <a:spLocks noChangeShapeType="1"/>
        </xdr:cNvSpPr>
      </xdr:nvSpPr>
      <xdr:spPr bwMode="auto">
        <a:xfrm>
          <a:off x="18392775" y="117824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133350</xdr:colOff>
      <xdr:row>61</xdr:row>
      <xdr:rowOff>133350</xdr:rowOff>
    </xdr:from>
    <xdr:to>
      <xdr:col>25</xdr:col>
      <xdr:colOff>133350</xdr:colOff>
      <xdr:row>62</xdr:row>
      <xdr:rowOff>38100</xdr:rowOff>
    </xdr:to>
    <xdr:sp macro="" textlink="">
      <xdr:nvSpPr>
        <xdr:cNvPr id="891" name="Line 93631">
          <a:extLst>
            <a:ext uri="{FF2B5EF4-FFF2-40B4-BE49-F238E27FC236}">
              <a16:creationId xmlns:a16="http://schemas.microsoft.com/office/drawing/2014/main" id="{00000000-0008-0000-0000-00007B030000}"/>
            </a:ext>
          </a:extLst>
        </xdr:cNvPr>
        <xdr:cNvSpPr>
          <a:spLocks noChangeShapeType="1"/>
        </xdr:cNvSpPr>
      </xdr:nvSpPr>
      <xdr:spPr bwMode="auto">
        <a:xfrm>
          <a:off x="18421350" y="117824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161925</xdr:colOff>
      <xdr:row>61</xdr:row>
      <xdr:rowOff>133350</xdr:rowOff>
    </xdr:from>
    <xdr:to>
      <xdr:col>25</xdr:col>
      <xdr:colOff>161925</xdr:colOff>
      <xdr:row>62</xdr:row>
      <xdr:rowOff>28575</xdr:rowOff>
    </xdr:to>
    <xdr:sp macro="" textlink="">
      <xdr:nvSpPr>
        <xdr:cNvPr id="892" name="Line 93632">
          <a:extLst>
            <a:ext uri="{FF2B5EF4-FFF2-40B4-BE49-F238E27FC236}">
              <a16:creationId xmlns:a16="http://schemas.microsoft.com/office/drawing/2014/main" id="{00000000-0008-0000-0000-00007C030000}"/>
            </a:ext>
          </a:extLst>
        </xdr:cNvPr>
        <xdr:cNvSpPr>
          <a:spLocks noChangeShapeType="1"/>
        </xdr:cNvSpPr>
      </xdr:nvSpPr>
      <xdr:spPr bwMode="auto">
        <a:xfrm>
          <a:off x="18449925" y="11782425"/>
          <a:ext cx="0" cy="9525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190500</xdr:colOff>
      <xdr:row>61</xdr:row>
      <xdr:rowOff>123825</xdr:rowOff>
    </xdr:from>
    <xdr:to>
      <xdr:col>25</xdr:col>
      <xdr:colOff>190500</xdr:colOff>
      <xdr:row>62</xdr:row>
      <xdr:rowOff>38100</xdr:rowOff>
    </xdr:to>
    <xdr:sp macro="" textlink="">
      <xdr:nvSpPr>
        <xdr:cNvPr id="893" name="Line 93633">
          <a:extLst>
            <a:ext uri="{FF2B5EF4-FFF2-40B4-BE49-F238E27FC236}">
              <a16:creationId xmlns:a16="http://schemas.microsoft.com/office/drawing/2014/main" id="{00000000-0008-0000-0000-00007D030000}"/>
            </a:ext>
          </a:extLst>
        </xdr:cNvPr>
        <xdr:cNvSpPr>
          <a:spLocks noChangeShapeType="1"/>
        </xdr:cNvSpPr>
      </xdr:nvSpPr>
      <xdr:spPr bwMode="auto">
        <a:xfrm>
          <a:off x="18478500" y="11772900"/>
          <a:ext cx="0" cy="114300"/>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219075</xdr:colOff>
      <xdr:row>61</xdr:row>
      <xdr:rowOff>133350</xdr:rowOff>
    </xdr:from>
    <xdr:to>
      <xdr:col>25</xdr:col>
      <xdr:colOff>219075</xdr:colOff>
      <xdr:row>62</xdr:row>
      <xdr:rowOff>38100</xdr:rowOff>
    </xdr:to>
    <xdr:sp macro="" textlink="">
      <xdr:nvSpPr>
        <xdr:cNvPr id="894" name="Line 93634">
          <a:extLst>
            <a:ext uri="{FF2B5EF4-FFF2-40B4-BE49-F238E27FC236}">
              <a16:creationId xmlns:a16="http://schemas.microsoft.com/office/drawing/2014/main" id="{00000000-0008-0000-0000-00007E030000}"/>
            </a:ext>
          </a:extLst>
        </xdr:cNvPr>
        <xdr:cNvSpPr>
          <a:spLocks noChangeShapeType="1"/>
        </xdr:cNvSpPr>
      </xdr:nvSpPr>
      <xdr:spPr bwMode="auto">
        <a:xfrm>
          <a:off x="18507075" y="11782425"/>
          <a:ext cx="0" cy="104775"/>
        </a:xfrm>
        <a:prstGeom prst="line">
          <a:avLst/>
        </a:prstGeom>
        <a:noFill/>
        <a:ln w="63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523875</xdr:colOff>
      <xdr:row>64</xdr:row>
      <xdr:rowOff>123825</xdr:rowOff>
    </xdr:from>
    <xdr:to>
      <xdr:col>25</xdr:col>
      <xdr:colOff>38100</xdr:colOff>
      <xdr:row>64</xdr:row>
      <xdr:rowOff>123825</xdr:rowOff>
    </xdr:to>
    <xdr:sp macro="" textlink="">
      <xdr:nvSpPr>
        <xdr:cNvPr id="895" name="Line 93640">
          <a:extLst>
            <a:ext uri="{FF2B5EF4-FFF2-40B4-BE49-F238E27FC236}">
              <a16:creationId xmlns:a16="http://schemas.microsoft.com/office/drawing/2014/main" id="{00000000-0008-0000-0000-00007F030000}"/>
            </a:ext>
          </a:extLst>
        </xdr:cNvPr>
        <xdr:cNvSpPr>
          <a:spLocks noChangeShapeType="1"/>
        </xdr:cNvSpPr>
      </xdr:nvSpPr>
      <xdr:spPr bwMode="auto">
        <a:xfrm>
          <a:off x="18059400" y="12372975"/>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742950</xdr:colOff>
      <xdr:row>61</xdr:row>
      <xdr:rowOff>21897</xdr:rowOff>
    </xdr:from>
    <xdr:to>
      <xdr:col>27</xdr:col>
      <xdr:colOff>742950</xdr:colOff>
      <xdr:row>62</xdr:row>
      <xdr:rowOff>114300</xdr:rowOff>
    </xdr:to>
    <xdr:sp macro="" textlink="">
      <xdr:nvSpPr>
        <xdr:cNvPr id="896" name="Line 93642">
          <a:extLst>
            <a:ext uri="{FF2B5EF4-FFF2-40B4-BE49-F238E27FC236}">
              <a16:creationId xmlns:a16="http://schemas.microsoft.com/office/drawing/2014/main" id="{00000000-0008-0000-0000-000080030000}"/>
            </a:ext>
          </a:extLst>
        </xdr:cNvPr>
        <xdr:cNvSpPr>
          <a:spLocks noChangeShapeType="1"/>
        </xdr:cNvSpPr>
      </xdr:nvSpPr>
      <xdr:spPr bwMode="auto">
        <a:xfrm>
          <a:off x="20592174" y="11451897"/>
          <a:ext cx="0" cy="28947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27</xdr:col>
      <xdr:colOff>457200</xdr:colOff>
      <xdr:row>62</xdr:row>
      <xdr:rowOff>114300</xdr:rowOff>
    </xdr:from>
    <xdr:to>
      <xdr:col>28</xdr:col>
      <xdr:colOff>285750</xdr:colOff>
      <xdr:row>63</xdr:row>
      <xdr:rowOff>161925</xdr:rowOff>
    </xdr:to>
    <xdr:sp macro="" textlink="">
      <xdr:nvSpPr>
        <xdr:cNvPr id="897" name="Freeform 93654">
          <a:extLst>
            <a:ext uri="{FF2B5EF4-FFF2-40B4-BE49-F238E27FC236}">
              <a16:creationId xmlns:a16="http://schemas.microsoft.com/office/drawing/2014/main" id="{00000000-0008-0000-0000-000081030000}"/>
            </a:ext>
          </a:extLst>
        </xdr:cNvPr>
        <xdr:cNvSpPr>
          <a:spLocks/>
        </xdr:cNvSpPr>
      </xdr:nvSpPr>
      <xdr:spPr bwMode="auto">
        <a:xfrm>
          <a:off x="20250150" y="11963400"/>
          <a:ext cx="581025" cy="247650"/>
        </a:xfrm>
        <a:custGeom>
          <a:avLst/>
          <a:gdLst>
            <a:gd name="T0" fmla="*/ 0 w 61"/>
            <a:gd name="T1" fmla="*/ 2147483647 h 27"/>
            <a:gd name="T2" fmla="*/ 0 w 61"/>
            <a:gd name="T3" fmla="*/ 2147483647 h 27"/>
            <a:gd name="T4" fmla="*/ 2147483647 w 61"/>
            <a:gd name="T5" fmla="*/ 2147483647 h 27"/>
            <a:gd name="T6" fmla="*/ 2147483647 w 61"/>
            <a:gd name="T7" fmla="*/ 0 h 27"/>
            <a:gd name="T8" fmla="*/ 2147483647 w 61"/>
            <a:gd name="T9" fmla="*/ 0 h 27"/>
            <a:gd name="T10" fmla="*/ 2147483647 w 61"/>
            <a:gd name="T11" fmla="*/ 2147483647 h 27"/>
            <a:gd name="T12" fmla="*/ 2147483647 w 61"/>
            <a:gd name="T13" fmla="*/ 2147483647 h 27"/>
            <a:gd name="T14" fmla="*/ 2147483647 w 61"/>
            <a:gd name="T15" fmla="*/ 2147483647 h 27"/>
            <a:gd name="T16" fmla="*/ 0 w 61"/>
            <a:gd name="T17" fmla="*/ 2147483647 h 2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61" h="27">
              <a:moveTo>
                <a:pt x="0" y="27"/>
              </a:moveTo>
              <a:lnTo>
                <a:pt x="0" y="13"/>
              </a:lnTo>
              <a:lnTo>
                <a:pt x="16" y="13"/>
              </a:lnTo>
              <a:lnTo>
                <a:pt x="16" y="0"/>
              </a:lnTo>
              <a:lnTo>
                <a:pt x="45" y="0"/>
              </a:lnTo>
              <a:lnTo>
                <a:pt x="45" y="12"/>
              </a:lnTo>
              <a:lnTo>
                <a:pt x="61" y="12"/>
              </a:lnTo>
              <a:lnTo>
                <a:pt x="61" y="27"/>
              </a:lnTo>
              <a:lnTo>
                <a:pt x="0" y="27"/>
              </a:lnTo>
              <a:close/>
            </a:path>
          </a:pathLst>
        </a:custGeom>
        <a:solidFill>
          <a:srgbClr xmlns:mc="http://schemas.openxmlformats.org/markup-compatibility/2006" xmlns:a14="http://schemas.microsoft.com/office/drawing/2010/main" val="FFFFFF" mc:Ignorable="a14" a14:legacySpreadsheetColorIndex="65">
            <a:alpha val="0"/>
          </a:srgbClr>
        </a:solidFill>
        <a:ln w="15875" cap="flat" cmpd="sng">
          <a:solidFill>
            <a:srgbClr xmlns:mc="http://schemas.openxmlformats.org/markup-compatibility/2006" xmlns:a14="http://schemas.microsoft.com/office/drawing/2010/main" val="000000" mc:Ignorable="a14" a14:legacySpreadsheetColorIndex="64"/>
          </a:solidFill>
          <a:prstDash val="solid"/>
          <a:round/>
          <a:headEnd/>
          <a:tailEnd/>
        </a:ln>
      </xdr:spPr>
    </xdr:sp>
    <xdr:clientData/>
  </xdr:twoCellAnchor>
  <xdr:twoCellAnchor>
    <xdr:from>
      <xdr:col>27</xdr:col>
      <xdr:colOff>742950</xdr:colOff>
      <xdr:row>62</xdr:row>
      <xdr:rowOff>114300</xdr:rowOff>
    </xdr:from>
    <xdr:to>
      <xdr:col>27</xdr:col>
      <xdr:colOff>742950</xdr:colOff>
      <xdr:row>64</xdr:row>
      <xdr:rowOff>28575</xdr:rowOff>
    </xdr:to>
    <xdr:sp macro="" textlink="">
      <xdr:nvSpPr>
        <xdr:cNvPr id="898" name="Line 93655">
          <a:extLst>
            <a:ext uri="{FF2B5EF4-FFF2-40B4-BE49-F238E27FC236}">
              <a16:creationId xmlns:a16="http://schemas.microsoft.com/office/drawing/2014/main" id="{00000000-0008-0000-0000-000082030000}"/>
            </a:ext>
          </a:extLst>
        </xdr:cNvPr>
        <xdr:cNvSpPr>
          <a:spLocks noChangeShapeType="1"/>
        </xdr:cNvSpPr>
      </xdr:nvSpPr>
      <xdr:spPr bwMode="auto">
        <a:xfrm>
          <a:off x="20535900" y="11963400"/>
          <a:ext cx="0" cy="314325"/>
        </a:xfrm>
        <a:prstGeom prst="line">
          <a:avLst/>
        </a:prstGeom>
        <a:noFill/>
        <a:ln w="1587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23</xdr:col>
      <xdr:colOff>619125</xdr:colOff>
      <xdr:row>62</xdr:row>
      <xdr:rowOff>190500</xdr:rowOff>
    </xdr:from>
    <xdr:to>
      <xdr:col>23</xdr:col>
      <xdr:colOff>695325</xdr:colOff>
      <xdr:row>63</xdr:row>
      <xdr:rowOff>66675</xdr:rowOff>
    </xdr:to>
    <xdr:sp macro="" textlink="">
      <xdr:nvSpPr>
        <xdr:cNvPr id="899" name="Oval 93656">
          <a:extLst>
            <a:ext uri="{FF2B5EF4-FFF2-40B4-BE49-F238E27FC236}">
              <a16:creationId xmlns:a16="http://schemas.microsoft.com/office/drawing/2014/main" id="{00000000-0008-0000-0000-000083030000}"/>
            </a:ext>
          </a:extLst>
        </xdr:cNvPr>
        <xdr:cNvSpPr>
          <a:spLocks noChangeArrowheads="1"/>
        </xdr:cNvSpPr>
      </xdr:nvSpPr>
      <xdr:spPr bwMode="auto">
        <a:xfrm>
          <a:off x="17230725" y="12039600"/>
          <a:ext cx="76200" cy="762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23</xdr:col>
      <xdr:colOff>647700</xdr:colOff>
      <xdr:row>63</xdr:row>
      <xdr:rowOff>142875</xdr:rowOff>
    </xdr:from>
    <xdr:to>
      <xdr:col>23</xdr:col>
      <xdr:colOff>647700</xdr:colOff>
      <xdr:row>68</xdr:row>
      <xdr:rowOff>28575</xdr:rowOff>
    </xdr:to>
    <xdr:sp macro="" textlink="">
      <xdr:nvSpPr>
        <xdr:cNvPr id="900" name="Line 93657">
          <a:extLst>
            <a:ext uri="{FF2B5EF4-FFF2-40B4-BE49-F238E27FC236}">
              <a16:creationId xmlns:a16="http://schemas.microsoft.com/office/drawing/2014/main" id="{00000000-0008-0000-0000-000084030000}"/>
            </a:ext>
          </a:extLst>
        </xdr:cNvPr>
        <xdr:cNvSpPr>
          <a:spLocks noChangeShapeType="1"/>
        </xdr:cNvSpPr>
      </xdr:nvSpPr>
      <xdr:spPr bwMode="auto">
        <a:xfrm>
          <a:off x="17259300" y="12192000"/>
          <a:ext cx="0" cy="88582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23</xdr:col>
      <xdr:colOff>609600</xdr:colOff>
      <xdr:row>65</xdr:row>
      <xdr:rowOff>161925</xdr:rowOff>
    </xdr:from>
    <xdr:to>
      <xdr:col>23</xdr:col>
      <xdr:colOff>685800</xdr:colOff>
      <xdr:row>66</xdr:row>
      <xdr:rowOff>47625</xdr:rowOff>
    </xdr:to>
    <xdr:sp macro="" textlink="">
      <xdr:nvSpPr>
        <xdr:cNvPr id="901" name="Line 93658">
          <a:extLst>
            <a:ext uri="{FF2B5EF4-FFF2-40B4-BE49-F238E27FC236}">
              <a16:creationId xmlns:a16="http://schemas.microsoft.com/office/drawing/2014/main" id="{00000000-0008-0000-0000-000085030000}"/>
            </a:ext>
          </a:extLst>
        </xdr:cNvPr>
        <xdr:cNvSpPr>
          <a:spLocks noChangeShapeType="1"/>
        </xdr:cNvSpPr>
      </xdr:nvSpPr>
      <xdr:spPr bwMode="auto">
        <a:xfrm flipH="1">
          <a:off x="17221200" y="12611100"/>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609600</xdr:colOff>
      <xdr:row>66</xdr:row>
      <xdr:rowOff>152400</xdr:rowOff>
    </xdr:from>
    <xdr:to>
      <xdr:col>23</xdr:col>
      <xdr:colOff>685800</xdr:colOff>
      <xdr:row>67</xdr:row>
      <xdr:rowOff>38100</xdr:rowOff>
    </xdr:to>
    <xdr:sp macro="" textlink="">
      <xdr:nvSpPr>
        <xdr:cNvPr id="902" name="Line 93659">
          <a:extLst>
            <a:ext uri="{FF2B5EF4-FFF2-40B4-BE49-F238E27FC236}">
              <a16:creationId xmlns:a16="http://schemas.microsoft.com/office/drawing/2014/main" id="{00000000-0008-0000-0000-000086030000}"/>
            </a:ext>
          </a:extLst>
        </xdr:cNvPr>
        <xdr:cNvSpPr>
          <a:spLocks noChangeShapeType="1"/>
        </xdr:cNvSpPr>
      </xdr:nvSpPr>
      <xdr:spPr bwMode="auto">
        <a:xfrm flipH="1">
          <a:off x="17221200" y="12801600"/>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23</xdr:col>
      <xdr:colOff>600075</xdr:colOff>
      <xdr:row>67</xdr:row>
      <xdr:rowOff>171450</xdr:rowOff>
    </xdr:from>
    <xdr:to>
      <xdr:col>23</xdr:col>
      <xdr:colOff>676275</xdr:colOff>
      <xdr:row>68</xdr:row>
      <xdr:rowOff>57150</xdr:rowOff>
    </xdr:to>
    <xdr:sp macro="" textlink="">
      <xdr:nvSpPr>
        <xdr:cNvPr id="903" name="Line 93660">
          <a:extLst>
            <a:ext uri="{FF2B5EF4-FFF2-40B4-BE49-F238E27FC236}">
              <a16:creationId xmlns:a16="http://schemas.microsoft.com/office/drawing/2014/main" id="{00000000-0008-0000-0000-000087030000}"/>
            </a:ext>
          </a:extLst>
        </xdr:cNvPr>
        <xdr:cNvSpPr>
          <a:spLocks noChangeShapeType="1"/>
        </xdr:cNvSpPr>
      </xdr:nvSpPr>
      <xdr:spPr bwMode="auto">
        <a:xfrm flipH="1">
          <a:off x="17211675" y="13020675"/>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19050</xdr:colOff>
      <xdr:row>62</xdr:row>
      <xdr:rowOff>95250</xdr:rowOff>
    </xdr:from>
    <xdr:to>
      <xdr:col>26</xdr:col>
      <xdr:colOff>742950</xdr:colOff>
      <xdr:row>62</xdr:row>
      <xdr:rowOff>95250</xdr:rowOff>
    </xdr:to>
    <xdr:sp macro="" textlink="">
      <xdr:nvSpPr>
        <xdr:cNvPr id="904" name="Line 93662">
          <a:extLst>
            <a:ext uri="{FF2B5EF4-FFF2-40B4-BE49-F238E27FC236}">
              <a16:creationId xmlns:a16="http://schemas.microsoft.com/office/drawing/2014/main" id="{00000000-0008-0000-0000-000088030000}"/>
            </a:ext>
          </a:extLst>
        </xdr:cNvPr>
        <xdr:cNvSpPr>
          <a:spLocks noChangeShapeType="1"/>
        </xdr:cNvSpPr>
      </xdr:nvSpPr>
      <xdr:spPr bwMode="auto">
        <a:xfrm>
          <a:off x="19059525" y="11944350"/>
          <a:ext cx="723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arrow" w="med" len="lg"/>
        </a:ln>
        <a:extLst>
          <a:ext uri="{909E8E84-426E-40DD-AFC4-6F175D3DCCD1}">
            <a14:hiddenFill xmlns:a14="http://schemas.microsoft.com/office/drawing/2010/main">
              <a:noFill/>
            </a14:hiddenFill>
          </a:ext>
        </a:extLst>
      </xdr:spPr>
    </xdr:sp>
    <xdr:clientData/>
  </xdr:twoCellAnchor>
  <xdr:twoCellAnchor>
    <xdr:from>
      <xdr:col>24</xdr:col>
      <xdr:colOff>695325</xdr:colOff>
      <xdr:row>69</xdr:row>
      <xdr:rowOff>0</xdr:rowOff>
    </xdr:from>
    <xdr:to>
      <xdr:col>25</xdr:col>
      <xdr:colOff>285750</xdr:colOff>
      <xdr:row>69</xdr:row>
      <xdr:rowOff>0</xdr:rowOff>
    </xdr:to>
    <xdr:sp macro="" textlink="">
      <xdr:nvSpPr>
        <xdr:cNvPr id="905" name="Line 93663">
          <a:extLst>
            <a:ext uri="{FF2B5EF4-FFF2-40B4-BE49-F238E27FC236}">
              <a16:creationId xmlns:a16="http://schemas.microsoft.com/office/drawing/2014/main" id="{00000000-0008-0000-0000-000089030000}"/>
            </a:ext>
          </a:extLst>
        </xdr:cNvPr>
        <xdr:cNvSpPr>
          <a:spLocks noChangeShapeType="1"/>
        </xdr:cNvSpPr>
      </xdr:nvSpPr>
      <xdr:spPr bwMode="auto">
        <a:xfrm>
          <a:off x="18230850" y="13249275"/>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180975</xdr:colOff>
      <xdr:row>68</xdr:row>
      <xdr:rowOff>142875</xdr:rowOff>
    </xdr:from>
    <xdr:to>
      <xdr:col>25</xdr:col>
      <xdr:colOff>266700</xdr:colOff>
      <xdr:row>69</xdr:row>
      <xdr:rowOff>38100</xdr:rowOff>
    </xdr:to>
    <xdr:sp macro="" textlink="">
      <xdr:nvSpPr>
        <xdr:cNvPr id="906" name="Line 93664">
          <a:extLst>
            <a:ext uri="{FF2B5EF4-FFF2-40B4-BE49-F238E27FC236}">
              <a16:creationId xmlns:a16="http://schemas.microsoft.com/office/drawing/2014/main" id="{00000000-0008-0000-0000-00008A030000}"/>
            </a:ext>
          </a:extLst>
        </xdr:cNvPr>
        <xdr:cNvSpPr>
          <a:spLocks noChangeShapeType="1"/>
        </xdr:cNvSpPr>
      </xdr:nvSpPr>
      <xdr:spPr bwMode="auto">
        <a:xfrm flipH="1">
          <a:off x="18468975" y="1319212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24</xdr:col>
      <xdr:colOff>704850</xdr:colOff>
      <xdr:row>68</xdr:row>
      <xdr:rowOff>142875</xdr:rowOff>
    </xdr:from>
    <xdr:to>
      <xdr:col>25</xdr:col>
      <xdr:colOff>38100</xdr:colOff>
      <xdr:row>69</xdr:row>
      <xdr:rowOff>38100</xdr:rowOff>
    </xdr:to>
    <xdr:sp macro="" textlink="">
      <xdr:nvSpPr>
        <xdr:cNvPr id="907" name="Line 93665">
          <a:extLst>
            <a:ext uri="{FF2B5EF4-FFF2-40B4-BE49-F238E27FC236}">
              <a16:creationId xmlns:a16="http://schemas.microsoft.com/office/drawing/2014/main" id="{00000000-0008-0000-0000-00008B030000}"/>
            </a:ext>
          </a:extLst>
        </xdr:cNvPr>
        <xdr:cNvSpPr>
          <a:spLocks noChangeShapeType="1"/>
        </xdr:cNvSpPr>
      </xdr:nvSpPr>
      <xdr:spPr bwMode="auto">
        <a:xfrm flipH="1">
          <a:off x="18240375" y="1319212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238125</xdr:colOff>
      <xdr:row>63</xdr:row>
      <xdr:rowOff>47625</xdr:rowOff>
    </xdr:from>
    <xdr:to>
      <xdr:col>25</xdr:col>
      <xdr:colOff>238125</xdr:colOff>
      <xdr:row>64</xdr:row>
      <xdr:rowOff>28575</xdr:rowOff>
    </xdr:to>
    <xdr:sp macro="" textlink="">
      <xdr:nvSpPr>
        <xdr:cNvPr id="908" name="Line 93666">
          <a:extLst>
            <a:ext uri="{FF2B5EF4-FFF2-40B4-BE49-F238E27FC236}">
              <a16:creationId xmlns:a16="http://schemas.microsoft.com/office/drawing/2014/main" id="{00000000-0008-0000-0000-00008C030000}"/>
            </a:ext>
          </a:extLst>
        </xdr:cNvPr>
        <xdr:cNvSpPr>
          <a:spLocks noChangeShapeType="1"/>
        </xdr:cNvSpPr>
      </xdr:nvSpPr>
      <xdr:spPr bwMode="auto">
        <a:xfrm flipV="1">
          <a:off x="18526125" y="120967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76</xdr:row>
      <xdr:rowOff>152400</xdr:rowOff>
    </xdr:from>
    <xdr:to>
      <xdr:col>29</xdr:col>
      <xdr:colOff>742950</xdr:colOff>
      <xdr:row>79</xdr:row>
      <xdr:rowOff>0</xdr:rowOff>
    </xdr:to>
    <xdr:sp macro="" textlink="">
      <xdr:nvSpPr>
        <xdr:cNvPr id="909" name="Freeform 93694">
          <a:extLst>
            <a:ext uri="{FF2B5EF4-FFF2-40B4-BE49-F238E27FC236}">
              <a16:creationId xmlns:a16="http://schemas.microsoft.com/office/drawing/2014/main" id="{00000000-0008-0000-0000-00008D030000}"/>
            </a:ext>
          </a:extLst>
        </xdr:cNvPr>
        <xdr:cNvSpPr>
          <a:spLocks/>
        </xdr:cNvSpPr>
      </xdr:nvSpPr>
      <xdr:spPr bwMode="auto">
        <a:xfrm>
          <a:off x="20545425" y="14792325"/>
          <a:ext cx="1495425" cy="428625"/>
        </a:xfrm>
        <a:custGeom>
          <a:avLst/>
          <a:gdLst>
            <a:gd name="T0" fmla="*/ 2147483647 w 101"/>
            <a:gd name="T1" fmla="*/ 0 h 27"/>
            <a:gd name="T2" fmla="*/ 0 w 101"/>
            <a:gd name="T3" fmla="*/ 0 h 27"/>
            <a:gd name="T4" fmla="*/ 0 w 101"/>
            <a:gd name="T5" fmla="*/ 2147483647 h 27"/>
            <a:gd name="T6" fmla="*/ 2147483647 w 101"/>
            <a:gd name="T7" fmla="*/ 2147483647 h 27"/>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01" h="27">
              <a:moveTo>
                <a:pt x="101" y="0"/>
              </a:moveTo>
              <a:lnTo>
                <a:pt x="0" y="0"/>
              </a:lnTo>
              <a:lnTo>
                <a:pt x="0" y="27"/>
              </a:lnTo>
              <a:lnTo>
                <a:pt x="101" y="27"/>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47625</xdr:colOff>
      <xdr:row>77</xdr:row>
      <xdr:rowOff>66675</xdr:rowOff>
    </xdr:from>
    <xdr:to>
      <xdr:col>29</xdr:col>
      <xdr:colOff>285750</xdr:colOff>
      <xdr:row>78</xdr:row>
      <xdr:rowOff>85725</xdr:rowOff>
    </xdr:to>
    <xdr:sp macro="" textlink="">
      <xdr:nvSpPr>
        <xdr:cNvPr id="910" name="Freeform 93697">
          <a:extLst>
            <a:ext uri="{FF2B5EF4-FFF2-40B4-BE49-F238E27FC236}">
              <a16:creationId xmlns:a16="http://schemas.microsoft.com/office/drawing/2014/main" id="{00000000-0008-0000-0000-00008E030000}"/>
            </a:ext>
          </a:extLst>
        </xdr:cNvPr>
        <xdr:cNvSpPr>
          <a:spLocks/>
        </xdr:cNvSpPr>
      </xdr:nvSpPr>
      <xdr:spPr bwMode="auto">
        <a:xfrm>
          <a:off x="20593050" y="14897100"/>
          <a:ext cx="990600" cy="209550"/>
        </a:xfrm>
        <a:custGeom>
          <a:avLst/>
          <a:gdLst>
            <a:gd name="T0" fmla="*/ 0 w 63"/>
            <a:gd name="T1" fmla="*/ 0 h 12"/>
            <a:gd name="T2" fmla="*/ 0 w 63"/>
            <a:gd name="T3" fmla="*/ 2147483647 h 12"/>
            <a:gd name="T4" fmla="*/ 0 w 63"/>
            <a:gd name="T5" fmla="*/ 2147483647 h 12"/>
            <a:gd name="T6" fmla="*/ 2147483647 w 63"/>
            <a:gd name="T7" fmla="*/ 2147483647 h 12"/>
            <a:gd name="T8" fmla="*/ 2147483647 w 63"/>
            <a:gd name="T9" fmla="*/ 2147483647 h 12"/>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3" h="12">
              <a:moveTo>
                <a:pt x="0" y="0"/>
              </a:moveTo>
              <a:lnTo>
                <a:pt x="0" y="8"/>
              </a:lnTo>
              <a:lnTo>
                <a:pt x="0" y="10"/>
              </a:lnTo>
              <a:lnTo>
                <a:pt x="2" y="12"/>
              </a:lnTo>
              <a:lnTo>
                <a:pt x="63" y="12"/>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57150</xdr:colOff>
      <xdr:row>78</xdr:row>
      <xdr:rowOff>19050</xdr:rowOff>
    </xdr:from>
    <xdr:to>
      <xdr:col>28</xdr:col>
      <xdr:colOff>114300</xdr:colOff>
      <xdr:row>78</xdr:row>
      <xdr:rowOff>66675</xdr:rowOff>
    </xdr:to>
    <xdr:sp macro="" textlink="">
      <xdr:nvSpPr>
        <xdr:cNvPr id="911" name="Oval 93698">
          <a:extLst>
            <a:ext uri="{FF2B5EF4-FFF2-40B4-BE49-F238E27FC236}">
              <a16:creationId xmlns:a16="http://schemas.microsoft.com/office/drawing/2014/main" id="{00000000-0008-0000-0000-00008F030000}"/>
            </a:ext>
          </a:extLst>
        </xdr:cNvPr>
        <xdr:cNvSpPr>
          <a:spLocks noChangeArrowheads="1"/>
        </xdr:cNvSpPr>
      </xdr:nvSpPr>
      <xdr:spPr bwMode="auto">
        <a:xfrm>
          <a:off x="20602575" y="15039975"/>
          <a:ext cx="57150" cy="47625"/>
        </a:xfrm>
        <a:prstGeom prst="ellipse">
          <a:avLst/>
        </a:prstGeom>
        <a:solidFill>
          <a:srgbClr xmlns:mc="http://schemas.openxmlformats.org/markup-compatibility/2006" xmlns:a14="http://schemas.microsoft.com/office/drawing/2010/main" val="FFFFFF" mc:Ignorable="a14" a14:legacySpreadsheetColorIndex="65"/>
        </a:solidFill>
        <a:ln w="15875">
          <a:solidFill>
            <a:srgbClr xmlns:mc="http://schemas.openxmlformats.org/markup-compatibility/2006" xmlns:a14="http://schemas.microsoft.com/office/drawing/2010/main" val="000000" mc:Ignorable="a14" a14:legacySpreadsheetColorIndex="64"/>
          </a:solidFill>
          <a:prstDash val="sysDot"/>
          <a:round/>
          <a:headEnd/>
          <a:tailEnd/>
        </a:ln>
      </xdr:spPr>
    </xdr:sp>
    <xdr:clientData/>
  </xdr:twoCellAnchor>
  <xdr:twoCellAnchor>
    <xdr:from>
      <xdr:col>27</xdr:col>
      <xdr:colOff>676275</xdr:colOff>
      <xdr:row>76</xdr:row>
      <xdr:rowOff>95250</xdr:rowOff>
    </xdr:from>
    <xdr:to>
      <xdr:col>28</xdr:col>
      <xdr:colOff>409575</xdr:colOff>
      <xdr:row>79</xdr:row>
      <xdr:rowOff>0</xdr:rowOff>
    </xdr:to>
    <xdr:sp macro="" textlink="">
      <xdr:nvSpPr>
        <xdr:cNvPr id="912" name="Line 93699">
          <a:extLst>
            <a:ext uri="{FF2B5EF4-FFF2-40B4-BE49-F238E27FC236}">
              <a16:creationId xmlns:a16="http://schemas.microsoft.com/office/drawing/2014/main" id="{00000000-0008-0000-0000-000090030000}"/>
            </a:ext>
          </a:extLst>
        </xdr:cNvPr>
        <xdr:cNvSpPr>
          <a:spLocks noChangeShapeType="1"/>
        </xdr:cNvSpPr>
      </xdr:nvSpPr>
      <xdr:spPr bwMode="auto">
        <a:xfrm flipV="1">
          <a:off x="20469225" y="14735175"/>
          <a:ext cx="485775" cy="4857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79</xdr:row>
      <xdr:rowOff>47625</xdr:rowOff>
    </xdr:from>
    <xdr:to>
      <xdr:col>28</xdr:col>
      <xdr:colOff>0</xdr:colOff>
      <xdr:row>80</xdr:row>
      <xdr:rowOff>38100</xdr:rowOff>
    </xdr:to>
    <xdr:sp macro="" textlink="">
      <xdr:nvSpPr>
        <xdr:cNvPr id="913" name="Line 93700">
          <a:extLst>
            <a:ext uri="{FF2B5EF4-FFF2-40B4-BE49-F238E27FC236}">
              <a16:creationId xmlns:a16="http://schemas.microsoft.com/office/drawing/2014/main" id="{00000000-0008-0000-0000-000091030000}"/>
            </a:ext>
          </a:extLst>
        </xdr:cNvPr>
        <xdr:cNvSpPr>
          <a:spLocks noChangeShapeType="1"/>
        </xdr:cNvSpPr>
      </xdr:nvSpPr>
      <xdr:spPr bwMode="auto">
        <a:xfrm flipV="1">
          <a:off x="20545425" y="15268575"/>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361950</xdr:colOff>
      <xdr:row>77</xdr:row>
      <xdr:rowOff>9525</xdr:rowOff>
    </xdr:from>
    <xdr:to>
      <xdr:col>28</xdr:col>
      <xdr:colOff>361950</xdr:colOff>
      <xdr:row>80</xdr:row>
      <xdr:rowOff>66675</xdr:rowOff>
    </xdr:to>
    <xdr:sp macro="" textlink="">
      <xdr:nvSpPr>
        <xdr:cNvPr id="914" name="Line 93701">
          <a:extLst>
            <a:ext uri="{FF2B5EF4-FFF2-40B4-BE49-F238E27FC236}">
              <a16:creationId xmlns:a16="http://schemas.microsoft.com/office/drawing/2014/main" id="{00000000-0008-0000-0000-000092030000}"/>
            </a:ext>
          </a:extLst>
        </xdr:cNvPr>
        <xdr:cNvSpPr>
          <a:spLocks noChangeShapeType="1"/>
        </xdr:cNvSpPr>
      </xdr:nvSpPr>
      <xdr:spPr bwMode="auto">
        <a:xfrm flipV="1">
          <a:off x="20907375" y="1483995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438150</xdr:colOff>
      <xdr:row>80</xdr:row>
      <xdr:rowOff>0</xdr:rowOff>
    </xdr:from>
    <xdr:to>
      <xdr:col>28</xdr:col>
      <xdr:colOff>400050</xdr:colOff>
      <xdr:row>80</xdr:row>
      <xdr:rowOff>0</xdr:rowOff>
    </xdr:to>
    <xdr:sp macro="" textlink="">
      <xdr:nvSpPr>
        <xdr:cNvPr id="915" name="Line 93702">
          <a:extLst>
            <a:ext uri="{FF2B5EF4-FFF2-40B4-BE49-F238E27FC236}">
              <a16:creationId xmlns:a16="http://schemas.microsoft.com/office/drawing/2014/main" id="{00000000-0008-0000-0000-000093030000}"/>
            </a:ext>
          </a:extLst>
        </xdr:cNvPr>
        <xdr:cNvSpPr>
          <a:spLocks noChangeShapeType="1"/>
        </xdr:cNvSpPr>
      </xdr:nvSpPr>
      <xdr:spPr bwMode="auto">
        <a:xfrm>
          <a:off x="20231100" y="15420975"/>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323850</xdr:colOff>
      <xdr:row>79</xdr:row>
      <xdr:rowOff>161925</xdr:rowOff>
    </xdr:from>
    <xdr:to>
      <xdr:col>28</xdr:col>
      <xdr:colOff>400050</xdr:colOff>
      <xdr:row>80</xdr:row>
      <xdr:rowOff>28575</xdr:rowOff>
    </xdr:to>
    <xdr:sp macro="" textlink="">
      <xdr:nvSpPr>
        <xdr:cNvPr id="916" name="Line 93704">
          <a:extLst>
            <a:ext uri="{FF2B5EF4-FFF2-40B4-BE49-F238E27FC236}">
              <a16:creationId xmlns:a16="http://schemas.microsoft.com/office/drawing/2014/main" id="{00000000-0008-0000-0000-000094030000}"/>
            </a:ext>
          </a:extLst>
        </xdr:cNvPr>
        <xdr:cNvSpPr>
          <a:spLocks noChangeShapeType="1"/>
        </xdr:cNvSpPr>
      </xdr:nvSpPr>
      <xdr:spPr bwMode="auto">
        <a:xfrm flipH="1">
          <a:off x="20869275" y="153828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609600</xdr:colOff>
      <xdr:row>77</xdr:row>
      <xdr:rowOff>180975</xdr:rowOff>
    </xdr:from>
    <xdr:to>
      <xdr:col>27</xdr:col>
      <xdr:colOff>609600</xdr:colOff>
      <xdr:row>79</xdr:row>
      <xdr:rowOff>66675</xdr:rowOff>
    </xdr:to>
    <xdr:sp macro="" textlink="">
      <xdr:nvSpPr>
        <xdr:cNvPr id="917" name="Line 93705">
          <a:extLst>
            <a:ext uri="{FF2B5EF4-FFF2-40B4-BE49-F238E27FC236}">
              <a16:creationId xmlns:a16="http://schemas.microsoft.com/office/drawing/2014/main" id="{00000000-0008-0000-0000-000095030000}"/>
            </a:ext>
          </a:extLst>
        </xdr:cNvPr>
        <xdr:cNvSpPr>
          <a:spLocks noChangeShapeType="1"/>
        </xdr:cNvSpPr>
      </xdr:nvSpPr>
      <xdr:spPr bwMode="auto">
        <a:xfrm flipV="1">
          <a:off x="20402550" y="1501140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28</xdr:col>
      <xdr:colOff>240031</xdr:colOff>
      <xdr:row>75</xdr:row>
      <xdr:rowOff>72390</xdr:rowOff>
    </xdr:from>
    <xdr:to>
      <xdr:col>30</xdr:col>
      <xdr:colOff>7621</xdr:colOff>
      <xdr:row>75</xdr:row>
      <xdr:rowOff>186690</xdr:rowOff>
    </xdr:to>
    <xdr:sp macro="" textlink="">
      <xdr:nvSpPr>
        <xdr:cNvPr id="918" name="Freeform 93707">
          <a:extLst>
            <a:ext uri="{FF2B5EF4-FFF2-40B4-BE49-F238E27FC236}">
              <a16:creationId xmlns:a16="http://schemas.microsoft.com/office/drawing/2014/main" id="{00000000-0008-0000-0000-000096030000}"/>
            </a:ext>
          </a:extLst>
        </xdr:cNvPr>
        <xdr:cNvSpPr>
          <a:spLocks/>
        </xdr:cNvSpPr>
      </xdr:nvSpPr>
      <xdr:spPr bwMode="auto">
        <a:xfrm>
          <a:off x="20894041" y="14748510"/>
          <a:ext cx="1276350" cy="114300"/>
        </a:xfrm>
        <a:custGeom>
          <a:avLst/>
          <a:gdLst>
            <a:gd name="T0" fmla="*/ 2147483647 w 159"/>
            <a:gd name="T1" fmla="*/ 2147483647 h 11"/>
            <a:gd name="T2" fmla="*/ 0 w 159"/>
            <a:gd name="T3" fmla="*/ 2147483647 h 11"/>
            <a:gd name="T4" fmla="*/ 0 w 159"/>
            <a:gd name="T5" fmla="*/ 0 h 11"/>
            <a:gd name="T6" fmla="*/ 2147483647 w 159"/>
            <a:gd name="T7" fmla="*/ 0 h 1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59" h="11">
              <a:moveTo>
                <a:pt x="158" y="11"/>
              </a:moveTo>
              <a:lnTo>
                <a:pt x="0" y="11"/>
              </a:lnTo>
              <a:lnTo>
                <a:pt x="0" y="0"/>
              </a:lnTo>
              <a:lnTo>
                <a:pt x="159"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27</xdr:col>
      <xdr:colOff>609600</xdr:colOff>
      <xdr:row>79</xdr:row>
      <xdr:rowOff>95250</xdr:rowOff>
    </xdr:from>
    <xdr:to>
      <xdr:col>27</xdr:col>
      <xdr:colOff>609600</xdr:colOff>
      <xdr:row>80</xdr:row>
      <xdr:rowOff>47625</xdr:rowOff>
    </xdr:to>
    <xdr:sp macro="" textlink="">
      <xdr:nvSpPr>
        <xdr:cNvPr id="919" name="Line 93709">
          <a:extLst>
            <a:ext uri="{FF2B5EF4-FFF2-40B4-BE49-F238E27FC236}">
              <a16:creationId xmlns:a16="http://schemas.microsoft.com/office/drawing/2014/main" id="{00000000-0008-0000-0000-000097030000}"/>
            </a:ext>
          </a:extLst>
        </xdr:cNvPr>
        <xdr:cNvSpPr>
          <a:spLocks noChangeShapeType="1"/>
        </xdr:cNvSpPr>
      </xdr:nvSpPr>
      <xdr:spPr bwMode="auto">
        <a:xfrm>
          <a:off x="20402550" y="15316200"/>
          <a:ext cx="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561975</xdr:colOff>
      <xdr:row>79</xdr:row>
      <xdr:rowOff>161925</xdr:rowOff>
    </xdr:from>
    <xdr:to>
      <xdr:col>27</xdr:col>
      <xdr:colOff>638175</xdr:colOff>
      <xdr:row>80</xdr:row>
      <xdr:rowOff>38100</xdr:rowOff>
    </xdr:to>
    <xdr:sp macro="" textlink="">
      <xdr:nvSpPr>
        <xdr:cNvPr id="920" name="Line 93710">
          <a:extLst>
            <a:ext uri="{FF2B5EF4-FFF2-40B4-BE49-F238E27FC236}">
              <a16:creationId xmlns:a16="http://schemas.microsoft.com/office/drawing/2014/main" id="{00000000-0008-0000-0000-000098030000}"/>
            </a:ext>
          </a:extLst>
        </xdr:cNvPr>
        <xdr:cNvSpPr>
          <a:spLocks noChangeShapeType="1"/>
        </xdr:cNvSpPr>
      </xdr:nvSpPr>
      <xdr:spPr bwMode="auto">
        <a:xfrm flipH="1">
          <a:off x="20354925" y="153828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704850</xdr:colOff>
      <xdr:row>79</xdr:row>
      <xdr:rowOff>152400</xdr:rowOff>
    </xdr:from>
    <xdr:to>
      <xdr:col>28</xdr:col>
      <xdr:colOff>38100</xdr:colOff>
      <xdr:row>80</xdr:row>
      <xdr:rowOff>38100</xdr:rowOff>
    </xdr:to>
    <xdr:sp macro="" textlink="">
      <xdr:nvSpPr>
        <xdr:cNvPr id="921" name="Line 93711">
          <a:extLst>
            <a:ext uri="{FF2B5EF4-FFF2-40B4-BE49-F238E27FC236}">
              <a16:creationId xmlns:a16="http://schemas.microsoft.com/office/drawing/2014/main" id="{00000000-0008-0000-0000-000099030000}"/>
            </a:ext>
          </a:extLst>
        </xdr:cNvPr>
        <xdr:cNvSpPr>
          <a:spLocks noChangeShapeType="1"/>
        </xdr:cNvSpPr>
      </xdr:nvSpPr>
      <xdr:spPr bwMode="auto">
        <a:xfrm flipH="1">
          <a:off x="20497800" y="153733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514350</xdr:colOff>
      <xdr:row>77</xdr:row>
      <xdr:rowOff>95250</xdr:rowOff>
    </xdr:from>
    <xdr:to>
      <xdr:col>27</xdr:col>
      <xdr:colOff>742950</xdr:colOff>
      <xdr:row>77</xdr:row>
      <xdr:rowOff>180975</xdr:rowOff>
    </xdr:to>
    <xdr:sp macro="" textlink="">
      <xdr:nvSpPr>
        <xdr:cNvPr id="922" name="Freeform 93718">
          <a:extLst>
            <a:ext uri="{FF2B5EF4-FFF2-40B4-BE49-F238E27FC236}">
              <a16:creationId xmlns:a16="http://schemas.microsoft.com/office/drawing/2014/main" id="{00000000-0008-0000-0000-00009A030000}"/>
            </a:ext>
          </a:extLst>
        </xdr:cNvPr>
        <xdr:cNvSpPr>
          <a:spLocks/>
        </xdr:cNvSpPr>
      </xdr:nvSpPr>
      <xdr:spPr bwMode="auto">
        <a:xfrm>
          <a:off x="20307300" y="14925675"/>
          <a:ext cx="228600" cy="85725"/>
        </a:xfrm>
        <a:custGeom>
          <a:avLst/>
          <a:gdLst>
            <a:gd name="T0" fmla="*/ 2147483647 w 24"/>
            <a:gd name="T1" fmla="*/ 0 h 9"/>
            <a:gd name="T2" fmla="*/ 0 w 24"/>
            <a:gd name="T3" fmla="*/ 0 h 9"/>
            <a:gd name="T4" fmla="*/ 0 w 24"/>
            <a:gd name="T5" fmla="*/ 2147483647 h 9"/>
            <a:gd name="T6" fmla="*/ 2147483647 w 24"/>
            <a:gd name="T7" fmla="*/ 2147483647 h 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4" h="9">
              <a:moveTo>
                <a:pt x="24" y="0"/>
              </a:moveTo>
              <a:lnTo>
                <a:pt x="0" y="0"/>
              </a:lnTo>
              <a:lnTo>
                <a:pt x="0" y="9"/>
              </a:lnTo>
              <a:lnTo>
                <a:pt x="24" y="9"/>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0</xdr:colOff>
      <xdr:row>77</xdr:row>
      <xdr:rowOff>95250</xdr:rowOff>
    </xdr:from>
    <xdr:to>
      <xdr:col>28</xdr:col>
      <xdr:colOff>447675</xdr:colOff>
      <xdr:row>77</xdr:row>
      <xdr:rowOff>180975</xdr:rowOff>
    </xdr:to>
    <xdr:sp macro="" textlink="">
      <xdr:nvSpPr>
        <xdr:cNvPr id="923" name="Freeform 93719">
          <a:extLst>
            <a:ext uri="{FF2B5EF4-FFF2-40B4-BE49-F238E27FC236}">
              <a16:creationId xmlns:a16="http://schemas.microsoft.com/office/drawing/2014/main" id="{00000000-0008-0000-0000-00009B030000}"/>
            </a:ext>
          </a:extLst>
        </xdr:cNvPr>
        <xdr:cNvSpPr>
          <a:spLocks/>
        </xdr:cNvSpPr>
      </xdr:nvSpPr>
      <xdr:spPr bwMode="auto">
        <a:xfrm>
          <a:off x="20545425" y="14925675"/>
          <a:ext cx="447675" cy="85725"/>
        </a:xfrm>
        <a:custGeom>
          <a:avLst/>
          <a:gdLst>
            <a:gd name="T0" fmla="*/ 0 w 47"/>
            <a:gd name="T1" fmla="*/ 0 h 9"/>
            <a:gd name="T2" fmla="*/ 2147483647 w 47"/>
            <a:gd name="T3" fmla="*/ 0 h 9"/>
            <a:gd name="T4" fmla="*/ 2147483647 w 47"/>
            <a:gd name="T5" fmla="*/ 2147483647 h 9"/>
            <a:gd name="T6" fmla="*/ 0 w 47"/>
            <a:gd name="T7" fmla="*/ 2147483647 h 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47" h="9">
              <a:moveTo>
                <a:pt x="0" y="0"/>
              </a:moveTo>
              <a:lnTo>
                <a:pt x="47" y="0"/>
              </a:lnTo>
              <a:lnTo>
                <a:pt x="47" y="9"/>
              </a:lnTo>
              <a:lnTo>
                <a:pt x="0" y="9"/>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28</xdr:col>
      <xdr:colOff>247650</xdr:colOff>
      <xdr:row>73</xdr:row>
      <xdr:rowOff>76200</xdr:rowOff>
    </xdr:from>
    <xdr:to>
      <xdr:col>30</xdr:col>
      <xdr:colOff>0</xdr:colOff>
      <xdr:row>74</xdr:row>
      <xdr:rowOff>152400</xdr:rowOff>
    </xdr:to>
    <xdr:sp macro="" textlink="">
      <xdr:nvSpPr>
        <xdr:cNvPr id="924" name="Freeform 93725">
          <a:extLst>
            <a:ext uri="{FF2B5EF4-FFF2-40B4-BE49-F238E27FC236}">
              <a16:creationId xmlns:a16="http://schemas.microsoft.com/office/drawing/2014/main" id="{00000000-0008-0000-0000-00009C030000}"/>
            </a:ext>
          </a:extLst>
        </xdr:cNvPr>
        <xdr:cNvSpPr>
          <a:spLocks/>
        </xdr:cNvSpPr>
      </xdr:nvSpPr>
      <xdr:spPr bwMode="auto">
        <a:xfrm>
          <a:off x="20793075" y="14125575"/>
          <a:ext cx="1257300" cy="266700"/>
        </a:xfrm>
        <a:custGeom>
          <a:avLst/>
          <a:gdLst>
            <a:gd name="T0" fmla="*/ 2147483647 w 92"/>
            <a:gd name="T1" fmla="*/ 2147483647 h 20"/>
            <a:gd name="T2" fmla="*/ 0 w 92"/>
            <a:gd name="T3" fmla="*/ 2147483647 h 20"/>
            <a:gd name="T4" fmla="*/ 0 w 92"/>
            <a:gd name="T5" fmla="*/ 0 h 20"/>
            <a:gd name="T6" fmla="*/ 2147483647 w 92"/>
            <a:gd name="T7" fmla="*/ 0 h 20"/>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92" h="20">
              <a:moveTo>
                <a:pt x="92" y="20"/>
              </a:moveTo>
              <a:lnTo>
                <a:pt x="0" y="20"/>
              </a:lnTo>
              <a:lnTo>
                <a:pt x="0" y="0"/>
              </a:lnTo>
              <a:lnTo>
                <a:pt x="92" y="0"/>
              </a:lnTo>
            </a:path>
          </a:pathLst>
        </a:custGeom>
        <a:noFill/>
        <a:ln w="127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27</xdr:col>
      <xdr:colOff>47625</xdr:colOff>
      <xdr:row>74</xdr:row>
      <xdr:rowOff>9525</xdr:rowOff>
    </xdr:from>
    <xdr:to>
      <xdr:col>28</xdr:col>
      <xdr:colOff>285750</xdr:colOff>
      <xdr:row>74</xdr:row>
      <xdr:rowOff>9525</xdr:rowOff>
    </xdr:to>
    <xdr:sp macro="" textlink="">
      <xdr:nvSpPr>
        <xdr:cNvPr id="925" name="Line 93727">
          <a:extLst>
            <a:ext uri="{FF2B5EF4-FFF2-40B4-BE49-F238E27FC236}">
              <a16:creationId xmlns:a16="http://schemas.microsoft.com/office/drawing/2014/main" id="{00000000-0008-0000-0000-00009D030000}"/>
            </a:ext>
          </a:extLst>
        </xdr:cNvPr>
        <xdr:cNvSpPr>
          <a:spLocks noChangeShapeType="1"/>
        </xdr:cNvSpPr>
      </xdr:nvSpPr>
      <xdr:spPr bwMode="auto">
        <a:xfrm>
          <a:off x="19840575" y="14249400"/>
          <a:ext cx="990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571499</xdr:colOff>
      <xdr:row>73</xdr:row>
      <xdr:rowOff>163830</xdr:rowOff>
    </xdr:from>
    <xdr:to>
      <xdr:col>27</xdr:col>
      <xdr:colOff>659129</xdr:colOff>
      <xdr:row>74</xdr:row>
      <xdr:rowOff>47625</xdr:rowOff>
    </xdr:to>
    <xdr:sp macro="" textlink="">
      <xdr:nvSpPr>
        <xdr:cNvPr id="926" name="Line 93728">
          <a:extLst>
            <a:ext uri="{FF2B5EF4-FFF2-40B4-BE49-F238E27FC236}">
              <a16:creationId xmlns:a16="http://schemas.microsoft.com/office/drawing/2014/main" id="{00000000-0008-0000-0000-00009E030000}"/>
            </a:ext>
          </a:extLst>
        </xdr:cNvPr>
        <xdr:cNvSpPr>
          <a:spLocks noChangeShapeType="1"/>
        </xdr:cNvSpPr>
      </xdr:nvSpPr>
      <xdr:spPr bwMode="auto">
        <a:xfrm flipH="1">
          <a:off x="20471129" y="14447520"/>
          <a:ext cx="87630" cy="7429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190500</xdr:colOff>
      <xdr:row>73</xdr:row>
      <xdr:rowOff>152400</xdr:rowOff>
    </xdr:from>
    <xdr:to>
      <xdr:col>28</xdr:col>
      <xdr:colOff>285750</xdr:colOff>
      <xdr:row>74</xdr:row>
      <xdr:rowOff>57150</xdr:rowOff>
    </xdr:to>
    <xdr:sp macro="" textlink="">
      <xdr:nvSpPr>
        <xdr:cNvPr id="927" name="Line 93729">
          <a:extLst>
            <a:ext uri="{FF2B5EF4-FFF2-40B4-BE49-F238E27FC236}">
              <a16:creationId xmlns:a16="http://schemas.microsoft.com/office/drawing/2014/main" id="{00000000-0008-0000-0000-00009F030000}"/>
            </a:ext>
          </a:extLst>
        </xdr:cNvPr>
        <xdr:cNvSpPr>
          <a:spLocks noChangeShapeType="1"/>
        </xdr:cNvSpPr>
      </xdr:nvSpPr>
      <xdr:spPr bwMode="auto">
        <a:xfrm flipH="1">
          <a:off x="20735925" y="1420177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38100</xdr:colOff>
      <xdr:row>75</xdr:row>
      <xdr:rowOff>76200</xdr:rowOff>
    </xdr:from>
    <xdr:to>
      <xdr:col>30</xdr:col>
      <xdr:colOff>200025</xdr:colOff>
      <xdr:row>75</xdr:row>
      <xdr:rowOff>76200</xdr:rowOff>
    </xdr:to>
    <xdr:sp macro="" textlink="">
      <xdr:nvSpPr>
        <xdr:cNvPr id="928" name="Line 93734">
          <a:extLst>
            <a:ext uri="{FF2B5EF4-FFF2-40B4-BE49-F238E27FC236}">
              <a16:creationId xmlns:a16="http://schemas.microsoft.com/office/drawing/2014/main" id="{00000000-0008-0000-0000-0000A0030000}"/>
            </a:ext>
          </a:extLst>
        </xdr:cNvPr>
        <xdr:cNvSpPr>
          <a:spLocks noChangeShapeType="1"/>
        </xdr:cNvSpPr>
      </xdr:nvSpPr>
      <xdr:spPr bwMode="auto">
        <a:xfrm flipH="1">
          <a:off x="22088475" y="14516100"/>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47625</xdr:colOff>
      <xdr:row>76</xdr:row>
      <xdr:rowOff>0</xdr:rowOff>
    </xdr:from>
    <xdr:to>
      <xdr:col>30</xdr:col>
      <xdr:colOff>180975</xdr:colOff>
      <xdr:row>76</xdr:row>
      <xdr:rowOff>0</xdr:rowOff>
    </xdr:to>
    <xdr:sp macro="" textlink="">
      <xdr:nvSpPr>
        <xdr:cNvPr id="929" name="Line 93735">
          <a:extLst>
            <a:ext uri="{FF2B5EF4-FFF2-40B4-BE49-F238E27FC236}">
              <a16:creationId xmlns:a16="http://schemas.microsoft.com/office/drawing/2014/main" id="{00000000-0008-0000-0000-0000A1030000}"/>
            </a:ext>
          </a:extLst>
        </xdr:cNvPr>
        <xdr:cNvSpPr>
          <a:spLocks noChangeShapeType="1"/>
        </xdr:cNvSpPr>
      </xdr:nvSpPr>
      <xdr:spPr bwMode="auto">
        <a:xfrm flipH="1">
          <a:off x="22098000" y="14639925"/>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142875</xdr:colOff>
      <xdr:row>75</xdr:row>
      <xdr:rowOff>38100</xdr:rowOff>
    </xdr:from>
    <xdr:to>
      <xdr:col>30</xdr:col>
      <xdr:colOff>142875</xdr:colOff>
      <xdr:row>76</xdr:row>
      <xdr:rowOff>28575</xdr:rowOff>
    </xdr:to>
    <xdr:sp macro="" textlink="">
      <xdr:nvSpPr>
        <xdr:cNvPr id="930" name="Line 93736">
          <a:extLst>
            <a:ext uri="{FF2B5EF4-FFF2-40B4-BE49-F238E27FC236}">
              <a16:creationId xmlns:a16="http://schemas.microsoft.com/office/drawing/2014/main" id="{00000000-0008-0000-0000-0000A2030000}"/>
            </a:ext>
          </a:extLst>
        </xdr:cNvPr>
        <xdr:cNvSpPr>
          <a:spLocks noChangeShapeType="1"/>
        </xdr:cNvSpPr>
      </xdr:nvSpPr>
      <xdr:spPr bwMode="auto">
        <a:xfrm>
          <a:off x="22193250" y="1447800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609600</xdr:colOff>
      <xdr:row>73</xdr:row>
      <xdr:rowOff>152400</xdr:rowOff>
    </xdr:from>
    <xdr:to>
      <xdr:col>27</xdr:col>
      <xdr:colOff>609600</xdr:colOff>
      <xdr:row>77</xdr:row>
      <xdr:rowOff>133350</xdr:rowOff>
    </xdr:to>
    <xdr:sp macro="" textlink="">
      <xdr:nvSpPr>
        <xdr:cNvPr id="931" name="Line 93740">
          <a:extLst>
            <a:ext uri="{FF2B5EF4-FFF2-40B4-BE49-F238E27FC236}">
              <a16:creationId xmlns:a16="http://schemas.microsoft.com/office/drawing/2014/main" id="{00000000-0008-0000-0000-0000A3030000}"/>
            </a:ext>
          </a:extLst>
        </xdr:cNvPr>
        <xdr:cNvSpPr>
          <a:spLocks noChangeShapeType="1"/>
        </xdr:cNvSpPr>
      </xdr:nvSpPr>
      <xdr:spPr bwMode="auto">
        <a:xfrm flipV="1">
          <a:off x="20402550" y="14201775"/>
          <a:ext cx="0" cy="7620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47625</xdr:colOff>
      <xdr:row>73</xdr:row>
      <xdr:rowOff>76200</xdr:rowOff>
    </xdr:from>
    <xdr:to>
      <xdr:col>30</xdr:col>
      <xdr:colOff>180975</xdr:colOff>
      <xdr:row>73</xdr:row>
      <xdr:rowOff>76200</xdr:rowOff>
    </xdr:to>
    <xdr:sp macro="" textlink="">
      <xdr:nvSpPr>
        <xdr:cNvPr id="932" name="Line 93742">
          <a:extLst>
            <a:ext uri="{FF2B5EF4-FFF2-40B4-BE49-F238E27FC236}">
              <a16:creationId xmlns:a16="http://schemas.microsoft.com/office/drawing/2014/main" id="{00000000-0008-0000-0000-0000A4030000}"/>
            </a:ext>
          </a:extLst>
        </xdr:cNvPr>
        <xdr:cNvSpPr>
          <a:spLocks noChangeShapeType="1"/>
        </xdr:cNvSpPr>
      </xdr:nvSpPr>
      <xdr:spPr bwMode="auto">
        <a:xfrm>
          <a:off x="22098000" y="14125575"/>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142875</xdr:colOff>
      <xdr:row>73</xdr:row>
      <xdr:rowOff>28575</xdr:rowOff>
    </xdr:from>
    <xdr:to>
      <xdr:col>30</xdr:col>
      <xdr:colOff>142875</xdr:colOff>
      <xdr:row>74</xdr:row>
      <xdr:rowOff>190500</xdr:rowOff>
    </xdr:to>
    <xdr:sp macro="" textlink="">
      <xdr:nvSpPr>
        <xdr:cNvPr id="933" name="Line 93743">
          <a:extLst>
            <a:ext uri="{FF2B5EF4-FFF2-40B4-BE49-F238E27FC236}">
              <a16:creationId xmlns:a16="http://schemas.microsoft.com/office/drawing/2014/main" id="{00000000-0008-0000-0000-0000A5030000}"/>
            </a:ext>
          </a:extLst>
        </xdr:cNvPr>
        <xdr:cNvSpPr>
          <a:spLocks noChangeShapeType="1"/>
        </xdr:cNvSpPr>
      </xdr:nvSpPr>
      <xdr:spPr bwMode="auto">
        <a:xfrm flipV="1">
          <a:off x="22193250" y="14077950"/>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57150</xdr:colOff>
      <xdr:row>74</xdr:row>
      <xdr:rowOff>152400</xdr:rowOff>
    </xdr:from>
    <xdr:to>
      <xdr:col>30</xdr:col>
      <xdr:colOff>200025</xdr:colOff>
      <xdr:row>74</xdr:row>
      <xdr:rowOff>152400</xdr:rowOff>
    </xdr:to>
    <xdr:sp macro="" textlink="">
      <xdr:nvSpPr>
        <xdr:cNvPr id="934" name="Line 93744">
          <a:extLst>
            <a:ext uri="{FF2B5EF4-FFF2-40B4-BE49-F238E27FC236}">
              <a16:creationId xmlns:a16="http://schemas.microsoft.com/office/drawing/2014/main" id="{00000000-0008-0000-0000-0000A6030000}"/>
            </a:ext>
          </a:extLst>
        </xdr:cNvPr>
        <xdr:cNvSpPr>
          <a:spLocks noChangeShapeType="1"/>
        </xdr:cNvSpPr>
      </xdr:nvSpPr>
      <xdr:spPr bwMode="auto">
        <a:xfrm>
          <a:off x="22107525" y="14392275"/>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104775</xdr:colOff>
      <xdr:row>73</xdr:row>
      <xdr:rowOff>38100</xdr:rowOff>
    </xdr:from>
    <xdr:to>
      <xdr:col>30</xdr:col>
      <xdr:colOff>180975</xdr:colOff>
      <xdr:row>73</xdr:row>
      <xdr:rowOff>114300</xdr:rowOff>
    </xdr:to>
    <xdr:sp macro="" textlink="">
      <xdr:nvSpPr>
        <xdr:cNvPr id="935" name="Line 93745">
          <a:extLst>
            <a:ext uri="{FF2B5EF4-FFF2-40B4-BE49-F238E27FC236}">
              <a16:creationId xmlns:a16="http://schemas.microsoft.com/office/drawing/2014/main" id="{00000000-0008-0000-0000-0000A7030000}"/>
            </a:ext>
          </a:extLst>
        </xdr:cNvPr>
        <xdr:cNvSpPr>
          <a:spLocks noChangeShapeType="1"/>
        </xdr:cNvSpPr>
      </xdr:nvSpPr>
      <xdr:spPr bwMode="auto">
        <a:xfrm flipH="1">
          <a:off x="22155150" y="140874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114300</xdr:colOff>
      <xdr:row>74</xdr:row>
      <xdr:rowOff>123825</xdr:rowOff>
    </xdr:from>
    <xdr:to>
      <xdr:col>30</xdr:col>
      <xdr:colOff>180975</xdr:colOff>
      <xdr:row>74</xdr:row>
      <xdr:rowOff>190500</xdr:rowOff>
    </xdr:to>
    <xdr:sp macro="" textlink="">
      <xdr:nvSpPr>
        <xdr:cNvPr id="936" name="Line 93746">
          <a:extLst>
            <a:ext uri="{FF2B5EF4-FFF2-40B4-BE49-F238E27FC236}">
              <a16:creationId xmlns:a16="http://schemas.microsoft.com/office/drawing/2014/main" id="{00000000-0008-0000-0000-0000A8030000}"/>
            </a:ext>
          </a:extLst>
        </xdr:cNvPr>
        <xdr:cNvSpPr>
          <a:spLocks noChangeShapeType="1"/>
        </xdr:cNvSpPr>
      </xdr:nvSpPr>
      <xdr:spPr bwMode="auto">
        <a:xfrm flipH="1">
          <a:off x="22164675" y="143637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104775</xdr:colOff>
      <xdr:row>75</xdr:row>
      <xdr:rowOff>38100</xdr:rowOff>
    </xdr:from>
    <xdr:to>
      <xdr:col>30</xdr:col>
      <xdr:colOff>180975</xdr:colOff>
      <xdr:row>75</xdr:row>
      <xdr:rowOff>114300</xdr:rowOff>
    </xdr:to>
    <xdr:sp macro="" textlink="">
      <xdr:nvSpPr>
        <xdr:cNvPr id="937" name="Line 93747">
          <a:extLst>
            <a:ext uri="{FF2B5EF4-FFF2-40B4-BE49-F238E27FC236}">
              <a16:creationId xmlns:a16="http://schemas.microsoft.com/office/drawing/2014/main" id="{00000000-0008-0000-0000-0000A9030000}"/>
            </a:ext>
          </a:extLst>
        </xdr:cNvPr>
        <xdr:cNvSpPr>
          <a:spLocks noChangeShapeType="1"/>
        </xdr:cNvSpPr>
      </xdr:nvSpPr>
      <xdr:spPr bwMode="auto">
        <a:xfrm flipH="1">
          <a:off x="22155150" y="144780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30</xdr:col>
      <xdr:colOff>95250</xdr:colOff>
      <xdr:row>75</xdr:row>
      <xdr:rowOff>152400</xdr:rowOff>
    </xdr:from>
    <xdr:to>
      <xdr:col>30</xdr:col>
      <xdr:colOff>180975</xdr:colOff>
      <xdr:row>76</xdr:row>
      <xdr:rowOff>38100</xdr:rowOff>
    </xdr:to>
    <xdr:sp macro="" textlink="">
      <xdr:nvSpPr>
        <xdr:cNvPr id="938" name="Line 93748">
          <a:extLst>
            <a:ext uri="{FF2B5EF4-FFF2-40B4-BE49-F238E27FC236}">
              <a16:creationId xmlns:a16="http://schemas.microsoft.com/office/drawing/2014/main" id="{00000000-0008-0000-0000-0000AA030000}"/>
            </a:ext>
          </a:extLst>
        </xdr:cNvPr>
        <xdr:cNvSpPr>
          <a:spLocks noChangeShapeType="1"/>
        </xdr:cNvSpPr>
      </xdr:nvSpPr>
      <xdr:spPr bwMode="auto">
        <a:xfrm flipH="1">
          <a:off x="22145625" y="145923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238125</xdr:colOff>
      <xdr:row>75</xdr:row>
      <xdr:rowOff>76200</xdr:rowOff>
    </xdr:from>
    <xdr:to>
      <xdr:col>28</xdr:col>
      <xdr:colOff>238125</xdr:colOff>
      <xdr:row>75</xdr:row>
      <xdr:rowOff>190500</xdr:rowOff>
    </xdr:to>
    <xdr:sp macro="" textlink="">
      <xdr:nvSpPr>
        <xdr:cNvPr id="944" name="Line 93754">
          <a:extLst>
            <a:ext uri="{FF2B5EF4-FFF2-40B4-BE49-F238E27FC236}">
              <a16:creationId xmlns:a16="http://schemas.microsoft.com/office/drawing/2014/main" id="{00000000-0008-0000-0000-0000B0030000}"/>
            </a:ext>
          </a:extLst>
        </xdr:cNvPr>
        <xdr:cNvSpPr>
          <a:spLocks noChangeShapeType="1"/>
        </xdr:cNvSpPr>
      </xdr:nvSpPr>
      <xdr:spPr bwMode="auto">
        <a:xfrm>
          <a:off x="20783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276225</xdr:colOff>
      <xdr:row>75</xdr:row>
      <xdr:rowOff>76200</xdr:rowOff>
    </xdr:from>
    <xdr:to>
      <xdr:col>28</xdr:col>
      <xdr:colOff>276225</xdr:colOff>
      <xdr:row>75</xdr:row>
      <xdr:rowOff>190500</xdr:rowOff>
    </xdr:to>
    <xdr:sp macro="" textlink="">
      <xdr:nvSpPr>
        <xdr:cNvPr id="945" name="Line 93755">
          <a:extLst>
            <a:ext uri="{FF2B5EF4-FFF2-40B4-BE49-F238E27FC236}">
              <a16:creationId xmlns:a16="http://schemas.microsoft.com/office/drawing/2014/main" id="{00000000-0008-0000-0000-0000B1030000}"/>
            </a:ext>
          </a:extLst>
        </xdr:cNvPr>
        <xdr:cNvSpPr>
          <a:spLocks noChangeShapeType="1"/>
        </xdr:cNvSpPr>
      </xdr:nvSpPr>
      <xdr:spPr bwMode="auto">
        <a:xfrm>
          <a:off x="20821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314325</xdr:colOff>
      <xdr:row>75</xdr:row>
      <xdr:rowOff>76200</xdr:rowOff>
    </xdr:from>
    <xdr:to>
      <xdr:col>28</xdr:col>
      <xdr:colOff>314325</xdr:colOff>
      <xdr:row>75</xdr:row>
      <xdr:rowOff>190500</xdr:rowOff>
    </xdr:to>
    <xdr:sp macro="" textlink="">
      <xdr:nvSpPr>
        <xdr:cNvPr id="946" name="Line 93756">
          <a:extLst>
            <a:ext uri="{FF2B5EF4-FFF2-40B4-BE49-F238E27FC236}">
              <a16:creationId xmlns:a16="http://schemas.microsoft.com/office/drawing/2014/main" id="{00000000-0008-0000-0000-0000B2030000}"/>
            </a:ext>
          </a:extLst>
        </xdr:cNvPr>
        <xdr:cNvSpPr>
          <a:spLocks noChangeShapeType="1"/>
        </xdr:cNvSpPr>
      </xdr:nvSpPr>
      <xdr:spPr bwMode="auto">
        <a:xfrm>
          <a:off x="208597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352425</xdr:colOff>
      <xdr:row>75</xdr:row>
      <xdr:rowOff>76200</xdr:rowOff>
    </xdr:from>
    <xdr:to>
      <xdr:col>28</xdr:col>
      <xdr:colOff>352425</xdr:colOff>
      <xdr:row>75</xdr:row>
      <xdr:rowOff>190500</xdr:rowOff>
    </xdr:to>
    <xdr:sp macro="" textlink="">
      <xdr:nvSpPr>
        <xdr:cNvPr id="947" name="Line 93757">
          <a:extLst>
            <a:ext uri="{FF2B5EF4-FFF2-40B4-BE49-F238E27FC236}">
              <a16:creationId xmlns:a16="http://schemas.microsoft.com/office/drawing/2014/main" id="{00000000-0008-0000-0000-0000B3030000}"/>
            </a:ext>
          </a:extLst>
        </xdr:cNvPr>
        <xdr:cNvSpPr>
          <a:spLocks noChangeShapeType="1"/>
        </xdr:cNvSpPr>
      </xdr:nvSpPr>
      <xdr:spPr bwMode="auto">
        <a:xfrm>
          <a:off x="208978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390525</xdr:colOff>
      <xdr:row>75</xdr:row>
      <xdr:rowOff>76200</xdr:rowOff>
    </xdr:from>
    <xdr:to>
      <xdr:col>28</xdr:col>
      <xdr:colOff>390525</xdr:colOff>
      <xdr:row>75</xdr:row>
      <xdr:rowOff>190500</xdr:rowOff>
    </xdr:to>
    <xdr:sp macro="" textlink="">
      <xdr:nvSpPr>
        <xdr:cNvPr id="948" name="Line 93759">
          <a:extLst>
            <a:ext uri="{FF2B5EF4-FFF2-40B4-BE49-F238E27FC236}">
              <a16:creationId xmlns:a16="http://schemas.microsoft.com/office/drawing/2014/main" id="{00000000-0008-0000-0000-0000B4030000}"/>
            </a:ext>
          </a:extLst>
        </xdr:cNvPr>
        <xdr:cNvSpPr>
          <a:spLocks noChangeShapeType="1"/>
        </xdr:cNvSpPr>
      </xdr:nvSpPr>
      <xdr:spPr bwMode="auto">
        <a:xfrm>
          <a:off x="209359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428625</xdr:colOff>
      <xdr:row>75</xdr:row>
      <xdr:rowOff>76200</xdr:rowOff>
    </xdr:from>
    <xdr:to>
      <xdr:col>28</xdr:col>
      <xdr:colOff>428625</xdr:colOff>
      <xdr:row>75</xdr:row>
      <xdr:rowOff>190500</xdr:rowOff>
    </xdr:to>
    <xdr:sp macro="" textlink="">
      <xdr:nvSpPr>
        <xdr:cNvPr id="949" name="Line 93760">
          <a:extLst>
            <a:ext uri="{FF2B5EF4-FFF2-40B4-BE49-F238E27FC236}">
              <a16:creationId xmlns:a16="http://schemas.microsoft.com/office/drawing/2014/main" id="{00000000-0008-0000-0000-0000B5030000}"/>
            </a:ext>
          </a:extLst>
        </xdr:cNvPr>
        <xdr:cNvSpPr>
          <a:spLocks noChangeShapeType="1"/>
        </xdr:cNvSpPr>
      </xdr:nvSpPr>
      <xdr:spPr bwMode="auto">
        <a:xfrm>
          <a:off x="209740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466725</xdr:colOff>
      <xdr:row>75</xdr:row>
      <xdr:rowOff>76200</xdr:rowOff>
    </xdr:from>
    <xdr:to>
      <xdr:col>28</xdr:col>
      <xdr:colOff>466725</xdr:colOff>
      <xdr:row>75</xdr:row>
      <xdr:rowOff>190500</xdr:rowOff>
    </xdr:to>
    <xdr:sp macro="" textlink="">
      <xdr:nvSpPr>
        <xdr:cNvPr id="950" name="Line 93761">
          <a:extLst>
            <a:ext uri="{FF2B5EF4-FFF2-40B4-BE49-F238E27FC236}">
              <a16:creationId xmlns:a16="http://schemas.microsoft.com/office/drawing/2014/main" id="{00000000-0008-0000-0000-0000B6030000}"/>
            </a:ext>
          </a:extLst>
        </xdr:cNvPr>
        <xdr:cNvSpPr>
          <a:spLocks noChangeShapeType="1"/>
        </xdr:cNvSpPr>
      </xdr:nvSpPr>
      <xdr:spPr bwMode="auto">
        <a:xfrm>
          <a:off x="210121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504825</xdr:colOff>
      <xdr:row>75</xdr:row>
      <xdr:rowOff>76200</xdr:rowOff>
    </xdr:from>
    <xdr:to>
      <xdr:col>28</xdr:col>
      <xdr:colOff>504825</xdr:colOff>
      <xdr:row>75</xdr:row>
      <xdr:rowOff>190500</xdr:rowOff>
    </xdr:to>
    <xdr:sp macro="" textlink="">
      <xdr:nvSpPr>
        <xdr:cNvPr id="951" name="Line 93762">
          <a:extLst>
            <a:ext uri="{FF2B5EF4-FFF2-40B4-BE49-F238E27FC236}">
              <a16:creationId xmlns:a16="http://schemas.microsoft.com/office/drawing/2014/main" id="{00000000-0008-0000-0000-0000B7030000}"/>
            </a:ext>
          </a:extLst>
        </xdr:cNvPr>
        <xdr:cNvSpPr>
          <a:spLocks noChangeShapeType="1"/>
        </xdr:cNvSpPr>
      </xdr:nvSpPr>
      <xdr:spPr bwMode="auto">
        <a:xfrm>
          <a:off x="210502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542925</xdr:colOff>
      <xdr:row>75</xdr:row>
      <xdr:rowOff>76200</xdr:rowOff>
    </xdr:from>
    <xdr:to>
      <xdr:col>28</xdr:col>
      <xdr:colOff>542925</xdr:colOff>
      <xdr:row>75</xdr:row>
      <xdr:rowOff>180975</xdr:rowOff>
    </xdr:to>
    <xdr:sp macro="" textlink="">
      <xdr:nvSpPr>
        <xdr:cNvPr id="952" name="Line 93763">
          <a:extLst>
            <a:ext uri="{FF2B5EF4-FFF2-40B4-BE49-F238E27FC236}">
              <a16:creationId xmlns:a16="http://schemas.microsoft.com/office/drawing/2014/main" id="{00000000-0008-0000-0000-0000B8030000}"/>
            </a:ext>
          </a:extLst>
        </xdr:cNvPr>
        <xdr:cNvSpPr>
          <a:spLocks noChangeShapeType="1"/>
        </xdr:cNvSpPr>
      </xdr:nvSpPr>
      <xdr:spPr bwMode="auto">
        <a:xfrm>
          <a:off x="21088350"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581025</xdr:colOff>
      <xdr:row>75</xdr:row>
      <xdr:rowOff>76200</xdr:rowOff>
    </xdr:from>
    <xdr:to>
      <xdr:col>28</xdr:col>
      <xdr:colOff>581025</xdr:colOff>
      <xdr:row>75</xdr:row>
      <xdr:rowOff>190500</xdr:rowOff>
    </xdr:to>
    <xdr:sp macro="" textlink="">
      <xdr:nvSpPr>
        <xdr:cNvPr id="953" name="Line 93764">
          <a:extLst>
            <a:ext uri="{FF2B5EF4-FFF2-40B4-BE49-F238E27FC236}">
              <a16:creationId xmlns:a16="http://schemas.microsoft.com/office/drawing/2014/main" id="{00000000-0008-0000-0000-0000B9030000}"/>
            </a:ext>
          </a:extLst>
        </xdr:cNvPr>
        <xdr:cNvSpPr>
          <a:spLocks noChangeShapeType="1"/>
        </xdr:cNvSpPr>
      </xdr:nvSpPr>
      <xdr:spPr bwMode="auto">
        <a:xfrm>
          <a:off x="211264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619125</xdr:colOff>
      <xdr:row>75</xdr:row>
      <xdr:rowOff>76200</xdr:rowOff>
    </xdr:from>
    <xdr:to>
      <xdr:col>28</xdr:col>
      <xdr:colOff>619125</xdr:colOff>
      <xdr:row>75</xdr:row>
      <xdr:rowOff>190500</xdr:rowOff>
    </xdr:to>
    <xdr:sp macro="" textlink="">
      <xdr:nvSpPr>
        <xdr:cNvPr id="954" name="Line 93765">
          <a:extLst>
            <a:ext uri="{FF2B5EF4-FFF2-40B4-BE49-F238E27FC236}">
              <a16:creationId xmlns:a16="http://schemas.microsoft.com/office/drawing/2014/main" id="{00000000-0008-0000-0000-0000BA030000}"/>
            </a:ext>
          </a:extLst>
        </xdr:cNvPr>
        <xdr:cNvSpPr>
          <a:spLocks noChangeShapeType="1"/>
        </xdr:cNvSpPr>
      </xdr:nvSpPr>
      <xdr:spPr bwMode="auto">
        <a:xfrm>
          <a:off x="21164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657225</xdr:colOff>
      <xdr:row>75</xdr:row>
      <xdr:rowOff>76200</xdr:rowOff>
    </xdr:from>
    <xdr:to>
      <xdr:col>28</xdr:col>
      <xdr:colOff>657225</xdr:colOff>
      <xdr:row>75</xdr:row>
      <xdr:rowOff>190500</xdr:rowOff>
    </xdr:to>
    <xdr:sp macro="" textlink="">
      <xdr:nvSpPr>
        <xdr:cNvPr id="955" name="Line 93766">
          <a:extLst>
            <a:ext uri="{FF2B5EF4-FFF2-40B4-BE49-F238E27FC236}">
              <a16:creationId xmlns:a16="http://schemas.microsoft.com/office/drawing/2014/main" id="{00000000-0008-0000-0000-0000BB030000}"/>
            </a:ext>
          </a:extLst>
        </xdr:cNvPr>
        <xdr:cNvSpPr>
          <a:spLocks noChangeShapeType="1"/>
        </xdr:cNvSpPr>
      </xdr:nvSpPr>
      <xdr:spPr bwMode="auto">
        <a:xfrm>
          <a:off x="21202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695325</xdr:colOff>
      <xdr:row>75</xdr:row>
      <xdr:rowOff>76200</xdr:rowOff>
    </xdr:from>
    <xdr:to>
      <xdr:col>28</xdr:col>
      <xdr:colOff>695325</xdr:colOff>
      <xdr:row>75</xdr:row>
      <xdr:rowOff>190500</xdr:rowOff>
    </xdr:to>
    <xdr:sp macro="" textlink="">
      <xdr:nvSpPr>
        <xdr:cNvPr id="956" name="Line 93767">
          <a:extLst>
            <a:ext uri="{FF2B5EF4-FFF2-40B4-BE49-F238E27FC236}">
              <a16:creationId xmlns:a16="http://schemas.microsoft.com/office/drawing/2014/main" id="{00000000-0008-0000-0000-0000BC030000}"/>
            </a:ext>
          </a:extLst>
        </xdr:cNvPr>
        <xdr:cNvSpPr>
          <a:spLocks noChangeShapeType="1"/>
        </xdr:cNvSpPr>
      </xdr:nvSpPr>
      <xdr:spPr bwMode="auto">
        <a:xfrm>
          <a:off x="212407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733425</xdr:colOff>
      <xdr:row>75</xdr:row>
      <xdr:rowOff>76200</xdr:rowOff>
    </xdr:from>
    <xdr:to>
      <xdr:col>28</xdr:col>
      <xdr:colOff>733425</xdr:colOff>
      <xdr:row>75</xdr:row>
      <xdr:rowOff>190500</xdr:rowOff>
    </xdr:to>
    <xdr:sp macro="" textlink="">
      <xdr:nvSpPr>
        <xdr:cNvPr id="957" name="Line 93768">
          <a:extLst>
            <a:ext uri="{FF2B5EF4-FFF2-40B4-BE49-F238E27FC236}">
              <a16:creationId xmlns:a16="http://schemas.microsoft.com/office/drawing/2014/main" id="{00000000-0008-0000-0000-0000BD030000}"/>
            </a:ext>
          </a:extLst>
        </xdr:cNvPr>
        <xdr:cNvSpPr>
          <a:spLocks noChangeShapeType="1"/>
        </xdr:cNvSpPr>
      </xdr:nvSpPr>
      <xdr:spPr bwMode="auto">
        <a:xfrm>
          <a:off x="212788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19050</xdr:colOff>
      <xdr:row>75</xdr:row>
      <xdr:rowOff>76200</xdr:rowOff>
    </xdr:from>
    <xdr:to>
      <xdr:col>29</xdr:col>
      <xdr:colOff>19050</xdr:colOff>
      <xdr:row>75</xdr:row>
      <xdr:rowOff>190500</xdr:rowOff>
    </xdr:to>
    <xdr:sp macro="" textlink="">
      <xdr:nvSpPr>
        <xdr:cNvPr id="958" name="Line 93769">
          <a:extLst>
            <a:ext uri="{FF2B5EF4-FFF2-40B4-BE49-F238E27FC236}">
              <a16:creationId xmlns:a16="http://schemas.microsoft.com/office/drawing/2014/main" id="{00000000-0008-0000-0000-0000BE030000}"/>
            </a:ext>
          </a:extLst>
        </xdr:cNvPr>
        <xdr:cNvSpPr>
          <a:spLocks noChangeShapeType="1"/>
        </xdr:cNvSpPr>
      </xdr:nvSpPr>
      <xdr:spPr bwMode="auto">
        <a:xfrm>
          <a:off x="213169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57150</xdr:colOff>
      <xdr:row>75</xdr:row>
      <xdr:rowOff>76200</xdr:rowOff>
    </xdr:from>
    <xdr:to>
      <xdr:col>29</xdr:col>
      <xdr:colOff>57150</xdr:colOff>
      <xdr:row>75</xdr:row>
      <xdr:rowOff>190500</xdr:rowOff>
    </xdr:to>
    <xdr:sp macro="" textlink="">
      <xdr:nvSpPr>
        <xdr:cNvPr id="959" name="Line 93770">
          <a:extLst>
            <a:ext uri="{FF2B5EF4-FFF2-40B4-BE49-F238E27FC236}">
              <a16:creationId xmlns:a16="http://schemas.microsoft.com/office/drawing/2014/main" id="{00000000-0008-0000-0000-0000BF030000}"/>
            </a:ext>
          </a:extLst>
        </xdr:cNvPr>
        <xdr:cNvSpPr>
          <a:spLocks noChangeShapeType="1"/>
        </xdr:cNvSpPr>
      </xdr:nvSpPr>
      <xdr:spPr bwMode="auto">
        <a:xfrm>
          <a:off x="213550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95250</xdr:colOff>
      <xdr:row>75</xdr:row>
      <xdr:rowOff>76200</xdr:rowOff>
    </xdr:from>
    <xdr:to>
      <xdr:col>29</xdr:col>
      <xdr:colOff>95250</xdr:colOff>
      <xdr:row>75</xdr:row>
      <xdr:rowOff>190500</xdr:rowOff>
    </xdr:to>
    <xdr:sp macro="" textlink="">
      <xdr:nvSpPr>
        <xdr:cNvPr id="960" name="Line 93771">
          <a:extLst>
            <a:ext uri="{FF2B5EF4-FFF2-40B4-BE49-F238E27FC236}">
              <a16:creationId xmlns:a16="http://schemas.microsoft.com/office/drawing/2014/main" id="{00000000-0008-0000-0000-0000C0030000}"/>
            </a:ext>
          </a:extLst>
        </xdr:cNvPr>
        <xdr:cNvSpPr>
          <a:spLocks noChangeShapeType="1"/>
        </xdr:cNvSpPr>
      </xdr:nvSpPr>
      <xdr:spPr bwMode="auto">
        <a:xfrm>
          <a:off x="213931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133350</xdr:colOff>
      <xdr:row>75</xdr:row>
      <xdr:rowOff>76200</xdr:rowOff>
    </xdr:from>
    <xdr:to>
      <xdr:col>29</xdr:col>
      <xdr:colOff>133350</xdr:colOff>
      <xdr:row>75</xdr:row>
      <xdr:rowOff>180975</xdr:rowOff>
    </xdr:to>
    <xdr:sp macro="" textlink="">
      <xdr:nvSpPr>
        <xdr:cNvPr id="961" name="Line 93772">
          <a:extLst>
            <a:ext uri="{FF2B5EF4-FFF2-40B4-BE49-F238E27FC236}">
              <a16:creationId xmlns:a16="http://schemas.microsoft.com/office/drawing/2014/main" id="{00000000-0008-0000-0000-0000C1030000}"/>
            </a:ext>
          </a:extLst>
        </xdr:cNvPr>
        <xdr:cNvSpPr>
          <a:spLocks noChangeShapeType="1"/>
        </xdr:cNvSpPr>
      </xdr:nvSpPr>
      <xdr:spPr bwMode="auto">
        <a:xfrm>
          <a:off x="21431250"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171450</xdr:colOff>
      <xdr:row>75</xdr:row>
      <xdr:rowOff>76200</xdr:rowOff>
    </xdr:from>
    <xdr:to>
      <xdr:col>29</xdr:col>
      <xdr:colOff>171450</xdr:colOff>
      <xdr:row>75</xdr:row>
      <xdr:rowOff>190500</xdr:rowOff>
    </xdr:to>
    <xdr:sp macro="" textlink="">
      <xdr:nvSpPr>
        <xdr:cNvPr id="962" name="Line 93773">
          <a:extLst>
            <a:ext uri="{FF2B5EF4-FFF2-40B4-BE49-F238E27FC236}">
              <a16:creationId xmlns:a16="http://schemas.microsoft.com/office/drawing/2014/main" id="{00000000-0008-0000-0000-0000C2030000}"/>
            </a:ext>
          </a:extLst>
        </xdr:cNvPr>
        <xdr:cNvSpPr>
          <a:spLocks noChangeShapeType="1"/>
        </xdr:cNvSpPr>
      </xdr:nvSpPr>
      <xdr:spPr bwMode="auto">
        <a:xfrm>
          <a:off x="214693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209550</xdr:colOff>
      <xdr:row>75</xdr:row>
      <xdr:rowOff>76200</xdr:rowOff>
    </xdr:from>
    <xdr:to>
      <xdr:col>29</xdr:col>
      <xdr:colOff>209550</xdr:colOff>
      <xdr:row>75</xdr:row>
      <xdr:rowOff>190500</xdr:rowOff>
    </xdr:to>
    <xdr:sp macro="" textlink="">
      <xdr:nvSpPr>
        <xdr:cNvPr id="963" name="Line 93774">
          <a:extLst>
            <a:ext uri="{FF2B5EF4-FFF2-40B4-BE49-F238E27FC236}">
              <a16:creationId xmlns:a16="http://schemas.microsoft.com/office/drawing/2014/main" id="{00000000-0008-0000-0000-0000C3030000}"/>
            </a:ext>
          </a:extLst>
        </xdr:cNvPr>
        <xdr:cNvSpPr>
          <a:spLocks noChangeShapeType="1"/>
        </xdr:cNvSpPr>
      </xdr:nvSpPr>
      <xdr:spPr bwMode="auto">
        <a:xfrm>
          <a:off x="215074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247650</xdr:colOff>
      <xdr:row>75</xdr:row>
      <xdr:rowOff>76200</xdr:rowOff>
    </xdr:from>
    <xdr:to>
      <xdr:col>29</xdr:col>
      <xdr:colOff>247650</xdr:colOff>
      <xdr:row>75</xdr:row>
      <xdr:rowOff>190500</xdr:rowOff>
    </xdr:to>
    <xdr:sp macro="" textlink="">
      <xdr:nvSpPr>
        <xdr:cNvPr id="964" name="Line 93775">
          <a:extLst>
            <a:ext uri="{FF2B5EF4-FFF2-40B4-BE49-F238E27FC236}">
              <a16:creationId xmlns:a16="http://schemas.microsoft.com/office/drawing/2014/main" id="{00000000-0008-0000-0000-0000C4030000}"/>
            </a:ext>
          </a:extLst>
        </xdr:cNvPr>
        <xdr:cNvSpPr>
          <a:spLocks noChangeShapeType="1"/>
        </xdr:cNvSpPr>
      </xdr:nvSpPr>
      <xdr:spPr bwMode="auto">
        <a:xfrm>
          <a:off x="21545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285750</xdr:colOff>
      <xdr:row>75</xdr:row>
      <xdr:rowOff>76200</xdr:rowOff>
    </xdr:from>
    <xdr:to>
      <xdr:col>29</xdr:col>
      <xdr:colOff>285750</xdr:colOff>
      <xdr:row>75</xdr:row>
      <xdr:rowOff>190500</xdr:rowOff>
    </xdr:to>
    <xdr:sp macro="" textlink="">
      <xdr:nvSpPr>
        <xdr:cNvPr id="965" name="Line 93776">
          <a:extLst>
            <a:ext uri="{FF2B5EF4-FFF2-40B4-BE49-F238E27FC236}">
              <a16:creationId xmlns:a16="http://schemas.microsoft.com/office/drawing/2014/main" id="{00000000-0008-0000-0000-0000C5030000}"/>
            </a:ext>
          </a:extLst>
        </xdr:cNvPr>
        <xdr:cNvSpPr>
          <a:spLocks noChangeShapeType="1"/>
        </xdr:cNvSpPr>
      </xdr:nvSpPr>
      <xdr:spPr bwMode="auto">
        <a:xfrm>
          <a:off x="21583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323850</xdr:colOff>
      <xdr:row>75</xdr:row>
      <xdr:rowOff>76200</xdr:rowOff>
    </xdr:from>
    <xdr:to>
      <xdr:col>29</xdr:col>
      <xdr:colOff>323850</xdr:colOff>
      <xdr:row>75</xdr:row>
      <xdr:rowOff>190500</xdr:rowOff>
    </xdr:to>
    <xdr:sp macro="" textlink="">
      <xdr:nvSpPr>
        <xdr:cNvPr id="966" name="Line 93777">
          <a:extLst>
            <a:ext uri="{FF2B5EF4-FFF2-40B4-BE49-F238E27FC236}">
              <a16:creationId xmlns:a16="http://schemas.microsoft.com/office/drawing/2014/main" id="{00000000-0008-0000-0000-0000C6030000}"/>
            </a:ext>
          </a:extLst>
        </xdr:cNvPr>
        <xdr:cNvSpPr>
          <a:spLocks noChangeShapeType="1"/>
        </xdr:cNvSpPr>
      </xdr:nvSpPr>
      <xdr:spPr bwMode="auto">
        <a:xfrm>
          <a:off x="216217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361950</xdr:colOff>
      <xdr:row>75</xdr:row>
      <xdr:rowOff>76200</xdr:rowOff>
    </xdr:from>
    <xdr:to>
      <xdr:col>29</xdr:col>
      <xdr:colOff>361950</xdr:colOff>
      <xdr:row>75</xdr:row>
      <xdr:rowOff>190500</xdr:rowOff>
    </xdr:to>
    <xdr:sp macro="" textlink="">
      <xdr:nvSpPr>
        <xdr:cNvPr id="967" name="Line 93778">
          <a:extLst>
            <a:ext uri="{FF2B5EF4-FFF2-40B4-BE49-F238E27FC236}">
              <a16:creationId xmlns:a16="http://schemas.microsoft.com/office/drawing/2014/main" id="{00000000-0008-0000-0000-0000C7030000}"/>
            </a:ext>
          </a:extLst>
        </xdr:cNvPr>
        <xdr:cNvSpPr>
          <a:spLocks noChangeShapeType="1"/>
        </xdr:cNvSpPr>
      </xdr:nvSpPr>
      <xdr:spPr bwMode="auto">
        <a:xfrm>
          <a:off x="216598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400050</xdr:colOff>
      <xdr:row>75</xdr:row>
      <xdr:rowOff>76200</xdr:rowOff>
    </xdr:from>
    <xdr:to>
      <xdr:col>29</xdr:col>
      <xdr:colOff>400050</xdr:colOff>
      <xdr:row>75</xdr:row>
      <xdr:rowOff>190500</xdr:rowOff>
    </xdr:to>
    <xdr:sp macro="" textlink="">
      <xdr:nvSpPr>
        <xdr:cNvPr id="968" name="Line 93779">
          <a:extLst>
            <a:ext uri="{FF2B5EF4-FFF2-40B4-BE49-F238E27FC236}">
              <a16:creationId xmlns:a16="http://schemas.microsoft.com/office/drawing/2014/main" id="{00000000-0008-0000-0000-0000C8030000}"/>
            </a:ext>
          </a:extLst>
        </xdr:cNvPr>
        <xdr:cNvSpPr>
          <a:spLocks noChangeShapeType="1"/>
        </xdr:cNvSpPr>
      </xdr:nvSpPr>
      <xdr:spPr bwMode="auto">
        <a:xfrm>
          <a:off x="216979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438150</xdr:colOff>
      <xdr:row>75</xdr:row>
      <xdr:rowOff>76200</xdr:rowOff>
    </xdr:from>
    <xdr:to>
      <xdr:col>29</xdr:col>
      <xdr:colOff>438150</xdr:colOff>
      <xdr:row>75</xdr:row>
      <xdr:rowOff>190500</xdr:rowOff>
    </xdr:to>
    <xdr:sp macro="" textlink="">
      <xdr:nvSpPr>
        <xdr:cNvPr id="969" name="Line 93780">
          <a:extLst>
            <a:ext uri="{FF2B5EF4-FFF2-40B4-BE49-F238E27FC236}">
              <a16:creationId xmlns:a16="http://schemas.microsoft.com/office/drawing/2014/main" id="{00000000-0008-0000-0000-0000C9030000}"/>
            </a:ext>
          </a:extLst>
        </xdr:cNvPr>
        <xdr:cNvSpPr>
          <a:spLocks noChangeShapeType="1"/>
        </xdr:cNvSpPr>
      </xdr:nvSpPr>
      <xdr:spPr bwMode="auto">
        <a:xfrm>
          <a:off x="217360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476250</xdr:colOff>
      <xdr:row>75</xdr:row>
      <xdr:rowOff>76200</xdr:rowOff>
    </xdr:from>
    <xdr:to>
      <xdr:col>29</xdr:col>
      <xdr:colOff>476250</xdr:colOff>
      <xdr:row>75</xdr:row>
      <xdr:rowOff>180975</xdr:rowOff>
    </xdr:to>
    <xdr:sp macro="" textlink="">
      <xdr:nvSpPr>
        <xdr:cNvPr id="970" name="Line 93781">
          <a:extLst>
            <a:ext uri="{FF2B5EF4-FFF2-40B4-BE49-F238E27FC236}">
              <a16:creationId xmlns:a16="http://schemas.microsoft.com/office/drawing/2014/main" id="{00000000-0008-0000-0000-0000CA030000}"/>
            </a:ext>
          </a:extLst>
        </xdr:cNvPr>
        <xdr:cNvSpPr>
          <a:spLocks noChangeShapeType="1"/>
        </xdr:cNvSpPr>
      </xdr:nvSpPr>
      <xdr:spPr bwMode="auto">
        <a:xfrm>
          <a:off x="21774150"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514350</xdr:colOff>
      <xdr:row>75</xdr:row>
      <xdr:rowOff>76200</xdr:rowOff>
    </xdr:from>
    <xdr:to>
      <xdr:col>29</xdr:col>
      <xdr:colOff>514350</xdr:colOff>
      <xdr:row>75</xdr:row>
      <xdr:rowOff>190500</xdr:rowOff>
    </xdr:to>
    <xdr:sp macro="" textlink="">
      <xdr:nvSpPr>
        <xdr:cNvPr id="971" name="Line 93782">
          <a:extLst>
            <a:ext uri="{FF2B5EF4-FFF2-40B4-BE49-F238E27FC236}">
              <a16:creationId xmlns:a16="http://schemas.microsoft.com/office/drawing/2014/main" id="{00000000-0008-0000-0000-0000CB030000}"/>
            </a:ext>
          </a:extLst>
        </xdr:cNvPr>
        <xdr:cNvSpPr>
          <a:spLocks noChangeShapeType="1"/>
        </xdr:cNvSpPr>
      </xdr:nvSpPr>
      <xdr:spPr bwMode="auto">
        <a:xfrm>
          <a:off x="218122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552450</xdr:colOff>
      <xdr:row>75</xdr:row>
      <xdr:rowOff>76200</xdr:rowOff>
    </xdr:from>
    <xdr:to>
      <xdr:col>29</xdr:col>
      <xdr:colOff>552450</xdr:colOff>
      <xdr:row>75</xdr:row>
      <xdr:rowOff>190500</xdr:rowOff>
    </xdr:to>
    <xdr:sp macro="" textlink="">
      <xdr:nvSpPr>
        <xdr:cNvPr id="972" name="Line 93783">
          <a:extLst>
            <a:ext uri="{FF2B5EF4-FFF2-40B4-BE49-F238E27FC236}">
              <a16:creationId xmlns:a16="http://schemas.microsoft.com/office/drawing/2014/main" id="{00000000-0008-0000-0000-0000CC030000}"/>
            </a:ext>
          </a:extLst>
        </xdr:cNvPr>
        <xdr:cNvSpPr>
          <a:spLocks noChangeShapeType="1"/>
        </xdr:cNvSpPr>
      </xdr:nvSpPr>
      <xdr:spPr bwMode="auto">
        <a:xfrm>
          <a:off x="218503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590550</xdr:colOff>
      <xdr:row>75</xdr:row>
      <xdr:rowOff>76200</xdr:rowOff>
    </xdr:from>
    <xdr:to>
      <xdr:col>29</xdr:col>
      <xdr:colOff>590550</xdr:colOff>
      <xdr:row>75</xdr:row>
      <xdr:rowOff>190500</xdr:rowOff>
    </xdr:to>
    <xdr:sp macro="" textlink="">
      <xdr:nvSpPr>
        <xdr:cNvPr id="973" name="Line 93784">
          <a:extLst>
            <a:ext uri="{FF2B5EF4-FFF2-40B4-BE49-F238E27FC236}">
              <a16:creationId xmlns:a16="http://schemas.microsoft.com/office/drawing/2014/main" id="{00000000-0008-0000-0000-0000CD030000}"/>
            </a:ext>
          </a:extLst>
        </xdr:cNvPr>
        <xdr:cNvSpPr>
          <a:spLocks noChangeShapeType="1"/>
        </xdr:cNvSpPr>
      </xdr:nvSpPr>
      <xdr:spPr bwMode="auto">
        <a:xfrm>
          <a:off x="218884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628650</xdr:colOff>
      <xdr:row>75</xdr:row>
      <xdr:rowOff>76200</xdr:rowOff>
    </xdr:from>
    <xdr:to>
      <xdr:col>29</xdr:col>
      <xdr:colOff>628650</xdr:colOff>
      <xdr:row>75</xdr:row>
      <xdr:rowOff>190500</xdr:rowOff>
    </xdr:to>
    <xdr:sp macro="" textlink="">
      <xdr:nvSpPr>
        <xdr:cNvPr id="974" name="Line 93785">
          <a:extLst>
            <a:ext uri="{FF2B5EF4-FFF2-40B4-BE49-F238E27FC236}">
              <a16:creationId xmlns:a16="http://schemas.microsoft.com/office/drawing/2014/main" id="{00000000-0008-0000-0000-0000CE030000}"/>
            </a:ext>
          </a:extLst>
        </xdr:cNvPr>
        <xdr:cNvSpPr>
          <a:spLocks noChangeShapeType="1"/>
        </xdr:cNvSpPr>
      </xdr:nvSpPr>
      <xdr:spPr bwMode="auto">
        <a:xfrm>
          <a:off x="219265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666750</xdr:colOff>
      <xdr:row>75</xdr:row>
      <xdr:rowOff>76200</xdr:rowOff>
    </xdr:from>
    <xdr:to>
      <xdr:col>29</xdr:col>
      <xdr:colOff>666750</xdr:colOff>
      <xdr:row>75</xdr:row>
      <xdr:rowOff>190500</xdr:rowOff>
    </xdr:to>
    <xdr:sp macro="" textlink="">
      <xdr:nvSpPr>
        <xdr:cNvPr id="975" name="Line 93786">
          <a:extLst>
            <a:ext uri="{FF2B5EF4-FFF2-40B4-BE49-F238E27FC236}">
              <a16:creationId xmlns:a16="http://schemas.microsoft.com/office/drawing/2014/main" id="{00000000-0008-0000-0000-0000CF030000}"/>
            </a:ext>
          </a:extLst>
        </xdr:cNvPr>
        <xdr:cNvSpPr>
          <a:spLocks noChangeShapeType="1"/>
        </xdr:cNvSpPr>
      </xdr:nvSpPr>
      <xdr:spPr bwMode="auto">
        <a:xfrm>
          <a:off x="21964650" y="1451610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695325</xdr:colOff>
      <xdr:row>75</xdr:row>
      <xdr:rowOff>76200</xdr:rowOff>
    </xdr:from>
    <xdr:to>
      <xdr:col>29</xdr:col>
      <xdr:colOff>695325</xdr:colOff>
      <xdr:row>75</xdr:row>
      <xdr:rowOff>180975</xdr:rowOff>
    </xdr:to>
    <xdr:sp macro="" textlink="">
      <xdr:nvSpPr>
        <xdr:cNvPr id="976" name="Line 93787">
          <a:extLst>
            <a:ext uri="{FF2B5EF4-FFF2-40B4-BE49-F238E27FC236}">
              <a16:creationId xmlns:a16="http://schemas.microsoft.com/office/drawing/2014/main" id="{00000000-0008-0000-0000-0000D0030000}"/>
            </a:ext>
          </a:extLst>
        </xdr:cNvPr>
        <xdr:cNvSpPr>
          <a:spLocks noChangeShapeType="1"/>
        </xdr:cNvSpPr>
      </xdr:nvSpPr>
      <xdr:spPr bwMode="auto">
        <a:xfrm>
          <a:off x="21993225"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733425</xdr:colOff>
      <xdr:row>75</xdr:row>
      <xdr:rowOff>76200</xdr:rowOff>
    </xdr:from>
    <xdr:to>
      <xdr:col>29</xdr:col>
      <xdr:colOff>733425</xdr:colOff>
      <xdr:row>75</xdr:row>
      <xdr:rowOff>180975</xdr:rowOff>
    </xdr:to>
    <xdr:sp macro="" textlink="">
      <xdr:nvSpPr>
        <xdr:cNvPr id="977" name="Line 93788">
          <a:extLst>
            <a:ext uri="{FF2B5EF4-FFF2-40B4-BE49-F238E27FC236}">
              <a16:creationId xmlns:a16="http://schemas.microsoft.com/office/drawing/2014/main" id="{00000000-0008-0000-0000-0000D1030000}"/>
            </a:ext>
          </a:extLst>
        </xdr:cNvPr>
        <xdr:cNvSpPr>
          <a:spLocks noChangeShapeType="1"/>
        </xdr:cNvSpPr>
      </xdr:nvSpPr>
      <xdr:spPr bwMode="auto">
        <a:xfrm>
          <a:off x="22031325" y="14516100"/>
          <a:ext cx="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285750</xdr:colOff>
      <xdr:row>73</xdr:row>
      <xdr:rowOff>76200</xdr:rowOff>
    </xdr:from>
    <xdr:to>
      <xdr:col>28</xdr:col>
      <xdr:colOff>285750</xdr:colOff>
      <xdr:row>74</xdr:row>
      <xdr:rowOff>152400</xdr:rowOff>
    </xdr:to>
    <xdr:sp macro="" textlink="">
      <xdr:nvSpPr>
        <xdr:cNvPr id="978" name="Line 93789">
          <a:extLst>
            <a:ext uri="{FF2B5EF4-FFF2-40B4-BE49-F238E27FC236}">
              <a16:creationId xmlns:a16="http://schemas.microsoft.com/office/drawing/2014/main" id="{00000000-0008-0000-0000-0000D2030000}"/>
            </a:ext>
          </a:extLst>
        </xdr:cNvPr>
        <xdr:cNvSpPr>
          <a:spLocks noChangeShapeType="1"/>
        </xdr:cNvSpPr>
      </xdr:nvSpPr>
      <xdr:spPr bwMode="auto">
        <a:xfrm>
          <a:off x="208311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323850</xdr:colOff>
      <xdr:row>73</xdr:row>
      <xdr:rowOff>76200</xdr:rowOff>
    </xdr:from>
    <xdr:to>
      <xdr:col>28</xdr:col>
      <xdr:colOff>323850</xdr:colOff>
      <xdr:row>74</xdr:row>
      <xdr:rowOff>152400</xdr:rowOff>
    </xdr:to>
    <xdr:sp macro="" textlink="">
      <xdr:nvSpPr>
        <xdr:cNvPr id="979" name="Line 93790">
          <a:extLst>
            <a:ext uri="{FF2B5EF4-FFF2-40B4-BE49-F238E27FC236}">
              <a16:creationId xmlns:a16="http://schemas.microsoft.com/office/drawing/2014/main" id="{00000000-0008-0000-0000-0000D3030000}"/>
            </a:ext>
          </a:extLst>
        </xdr:cNvPr>
        <xdr:cNvSpPr>
          <a:spLocks noChangeShapeType="1"/>
        </xdr:cNvSpPr>
      </xdr:nvSpPr>
      <xdr:spPr bwMode="auto">
        <a:xfrm>
          <a:off x="208692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361950</xdr:colOff>
      <xdr:row>73</xdr:row>
      <xdr:rowOff>76200</xdr:rowOff>
    </xdr:from>
    <xdr:to>
      <xdr:col>28</xdr:col>
      <xdr:colOff>361950</xdr:colOff>
      <xdr:row>74</xdr:row>
      <xdr:rowOff>142875</xdr:rowOff>
    </xdr:to>
    <xdr:sp macro="" textlink="">
      <xdr:nvSpPr>
        <xdr:cNvPr id="980" name="Line 93791">
          <a:extLst>
            <a:ext uri="{FF2B5EF4-FFF2-40B4-BE49-F238E27FC236}">
              <a16:creationId xmlns:a16="http://schemas.microsoft.com/office/drawing/2014/main" id="{00000000-0008-0000-0000-0000D4030000}"/>
            </a:ext>
          </a:extLst>
        </xdr:cNvPr>
        <xdr:cNvSpPr>
          <a:spLocks noChangeShapeType="1"/>
        </xdr:cNvSpPr>
      </xdr:nvSpPr>
      <xdr:spPr bwMode="auto">
        <a:xfrm>
          <a:off x="209073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400050</xdr:colOff>
      <xdr:row>73</xdr:row>
      <xdr:rowOff>76200</xdr:rowOff>
    </xdr:from>
    <xdr:to>
      <xdr:col>28</xdr:col>
      <xdr:colOff>400050</xdr:colOff>
      <xdr:row>74</xdr:row>
      <xdr:rowOff>142875</xdr:rowOff>
    </xdr:to>
    <xdr:sp macro="" textlink="">
      <xdr:nvSpPr>
        <xdr:cNvPr id="981" name="Line 93792">
          <a:extLst>
            <a:ext uri="{FF2B5EF4-FFF2-40B4-BE49-F238E27FC236}">
              <a16:creationId xmlns:a16="http://schemas.microsoft.com/office/drawing/2014/main" id="{00000000-0008-0000-0000-0000D5030000}"/>
            </a:ext>
          </a:extLst>
        </xdr:cNvPr>
        <xdr:cNvSpPr>
          <a:spLocks noChangeShapeType="1"/>
        </xdr:cNvSpPr>
      </xdr:nvSpPr>
      <xdr:spPr bwMode="auto">
        <a:xfrm>
          <a:off x="209454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438150</xdr:colOff>
      <xdr:row>73</xdr:row>
      <xdr:rowOff>76200</xdr:rowOff>
    </xdr:from>
    <xdr:to>
      <xdr:col>28</xdr:col>
      <xdr:colOff>438150</xdr:colOff>
      <xdr:row>74</xdr:row>
      <xdr:rowOff>152400</xdr:rowOff>
    </xdr:to>
    <xdr:sp macro="" textlink="">
      <xdr:nvSpPr>
        <xdr:cNvPr id="982" name="Line 93793">
          <a:extLst>
            <a:ext uri="{FF2B5EF4-FFF2-40B4-BE49-F238E27FC236}">
              <a16:creationId xmlns:a16="http://schemas.microsoft.com/office/drawing/2014/main" id="{00000000-0008-0000-0000-0000D6030000}"/>
            </a:ext>
          </a:extLst>
        </xdr:cNvPr>
        <xdr:cNvSpPr>
          <a:spLocks noChangeShapeType="1"/>
        </xdr:cNvSpPr>
      </xdr:nvSpPr>
      <xdr:spPr bwMode="auto">
        <a:xfrm>
          <a:off x="209835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476250</xdr:colOff>
      <xdr:row>73</xdr:row>
      <xdr:rowOff>76200</xdr:rowOff>
    </xdr:from>
    <xdr:to>
      <xdr:col>28</xdr:col>
      <xdr:colOff>476250</xdr:colOff>
      <xdr:row>74</xdr:row>
      <xdr:rowOff>152400</xdr:rowOff>
    </xdr:to>
    <xdr:sp macro="" textlink="">
      <xdr:nvSpPr>
        <xdr:cNvPr id="983" name="Line 93794">
          <a:extLst>
            <a:ext uri="{FF2B5EF4-FFF2-40B4-BE49-F238E27FC236}">
              <a16:creationId xmlns:a16="http://schemas.microsoft.com/office/drawing/2014/main" id="{00000000-0008-0000-0000-0000D7030000}"/>
            </a:ext>
          </a:extLst>
        </xdr:cNvPr>
        <xdr:cNvSpPr>
          <a:spLocks noChangeShapeType="1"/>
        </xdr:cNvSpPr>
      </xdr:nvSpPr>
      <xdr:spPr bwMode="auto">
        <a:xfrm>
          <a:off x="210216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514350</xdr:colOff>
      <xdr:row>73</xdr:row>
      <xdr:rowOff>76200</xdr:rowOff>
    </xdr:from>
    <xdr:to>
      <xdr:col>28</xdr:col>
      <xdr:colOff>514350</xdr:colOff>
      <xdr:row>74</xdr:row>
      <xdr:rowOff>152400</xdr:rowOff>
    </xdr:to>
    <xdr:sp macro="" textlink="">
      <xdr:nvSpPr>
        <xdr:cNvPr id="984" name="Line 93795">
          <a:extLst>
            <a:ext uri="{FF2B5EF4-FFF2-40B4-BE49-F238E27FC236}">
              <a16:creationId xmlns:a16="http://schemas.microsoft.com/office/drawing/2014/main" id="{00000000-0008-0000-0000-0000D8030000}"/>
            </a:ext>
          </a:extLst>
        </xdr:cNvPr>
        <xdr:cNvSpPr>
          <a:spLocks noChangeShapeType="1"/>
        </xdr:cNvSpPr>
      </xdr:nvSpPr>
      <xdr:spPr bwMode="auto">
        <a:xfrm>
          <a:off x="210597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552450</xdr:colOff>
      <xdr:row>73</xdr:row>
      <xdr:rowOff>76200</xdr:rowOff>
    </xdr:from>
    <xdr:to>
      <xdr:col>28</xdr:col>
      <xdr:colOff>552450</xdr:colOff>
      <xdr:row>74</xdr:row>
      <xdr:rowOff>142875</xdr:rowOff>
    </xdr:to>
    <xdr:sp macro="" textlink="">
      <xdr:nvSpPr>
        <xdr:cNvPr id="985" name="Line 93796">
          <a:extLst>
            <a:ext uri="{FF2B5EF4-FFF2-40B4-BE49-F238E27FC236}">
              <a16:creationId xmlns:a16="http://schemas.microsoft.com/office/drawing/2014/main" id="{00000000-0008-0000-0000-0000D9030000}"/>
            </a:ext>
          </a:extLst>
        </xdr:cNvPr>
        <xdr:cNvSpPr>
          <a:spLocks noChangeShapeType="1"/>
        </xdr:cNvSpPr>
      </xdr:nvSpPr>
      <xdr:spPr bwMode="auto">
        <a:xfrm>
          <a:off x="210978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590550</xdr:colOff>
      <xdr:row>73</xdr:row>
      <xdr:rowOff>76200</xdr:rowOff>
    </xdr:from>
    <xdr:to>
      <xdr:col>28</xdr:col>
      <xdr:colOff>590550</xdr:colOff>
      <xdr:row>74</xdr:row>
      <xdr:rowOff>152400</xdr:rowOff>
    </xdr:to>
    <xdr:sp macro="" textlink="">
      <xdr:nvSpPr>
        <xdr:cNvPr id="986" name="Line 93797">
          <a:extLst>
            <a:ext uri="{FF2B5EF4-FFF2-40B4-BE49-F238E27FC236}">
              <a16:creationId xmlns:a16="http://schemas.microsoft.com/office/drawing/2014/main" id="{00000000-0008-0000-0000-0000DA030000}"/>
            </a:ext>
          </a:extLst>
        </xdr:cNvPr>
        <xdr:cNvSpPr>
          <a:spLocks noChangeShapeType="1"/>
        </xdr:cNvSpPr>
      </xdr:nvSpPr>
      <xdr:spPr bwMode="auto">
        <a:xfrm>
          <a:off x="211359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628650</xdr:colOff>
      <xdr:row>73</xdr:row>
      <xdr:rowOff>76200</xdr:rowOff>
    </xdr:from>
    <xdr:to>
      <xdr:col>28</xdr:col>
      <xdr:colOff>628650</xdr:colOff>
      <xdr:row>74</xdr:row>
      <xdr:rowOff>152400</xdr:rowOff>
    </xdr:to>
    <xdr:sp macro="" textlink="">
      <xdr:nvSpPr>
        <xdr:cNvPr id="987" name="Line 93798">
          <a:extLst>
            <a:ext uri="{FF2B5EF4-FFF2-40B4-BE49-F238E27FC236}">
              <a16:creationId xmlns:a16="http://schemas.microsoft.com/office/drawing/2014/main" id="{00000000-0008-0000-0000-0000DB030000}"/>
            </a:ext>
          </a:extLst>
        </xdr:cNvPr>
        <xdr:cNvSpPr>
          <a:spLocks noChangeShapeType="1"/>
        </xdr:cNvSpPr>
      </xdr:nvSpPr>
      <xdr:spPr bwMode="auto">
        <a:xfrm>
          <a:off x="211740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666750</xdr:colOff>
      <xdr:row>73</xdr:row>
      <xdr:rowOff>76200</xdr:rowOff>
    </xdr:from>
    <xdr:to>
      <xdr:col>28</xdr:col>
      <xdr:colOff>666750</xdr:colOff>
      <xdr:row>74</xdr:row>
      <xdr:rowOff>152400</xdr:rowOff>
    </xdr:to>
    <xdr:sp macro="" textlink="">
      <xdr:nvSpPr>
        <xdr:cNvPr id="988" name="Line 93799">
          <a:extLst>
            <a:ext uri="{FF2B5EF4-FFF2-40B4-BE49-F238E27FC236}">
              <a16:creationId xmlns:a16="http://schemas.microsoft.com/office/drawing/2014/main" id="{00000000-0008-0000-0000-0000DC030000}"/>
            </a:ext>
          </a:extLst>
        </xdr:cNvPr>
        <xdr:cNvSpPr>
          <a:spLocks noChangeShapeType="1"/>
        </xdr:cNvSpPr>
      </xdr:nvSpPr>
      <xdr:spPr bwMode="auto">
        <a:xfrm>
          <a:off x="212121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704850</xdr:colOff>
      <xdr:row>73</xdr:row>
      <xdr:rowOff>76200</xdr:rowOff>
    </xdr:from>
    <xdr:to>
      <xdr:col>28</xdr:col>
      <xdr:colOff>704850</xdr:colOff>
      <xdr:row>74</xdr:row>
      <xdr:rowOff>142875</xdr:rowOff>
    </xdr:to>
    <xdr:sp macro="" textlink="">
      <xdr:nvSpPr>
        <xdr:cNvPr id="989" name="Line 93800">
          <a:extLst>
            <a:ext uri="{FF2B5EF4-FFF2-40B4-BE49-F238E27FC236}">
              <a16:creationId xmlns:a16="http://schemas.microsoft.com/office/drawing/2014/main" id="{00000000-0008-0000-0000-0000DD030000}"/>
            </a:ext>
          </a:extLst>
        </xdr:cNvPr>
        <xdr:cNvSpPr>
          <a:spLocks noChangeShapeType="1"/>
        </xdr:cNvSpPr>
      </xdr:nvSpPr>
      <xdr:spPr bwMode="auto">
        <a:xfrm>
          <a:off x="212502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742950</xdr:colOff>
      <xdr:row>73</xdr:row>
      <xdr:rowOff>76200</xdr:rowOff>
    </xdr:from>
    <xdr:to>
      <xdr:col>28</xdr:col>
      <xdr:colOff>742950</xdr:colOff>
      <xdr:row>74</xdr:row>
      <xdr:rowOff>142875</xdr:rowOff>
    </xdr:to>
    <xdr:sp macro="" textlink="">
      <xdr:nvSpPr>
        <xdr:cNvPr id="990" name="Line 93801">
          <a:extLst>
            <a:ext uri="{FF2B5EF4-FFF2-40B4-BE49-F238E27FC236}">
              <a16:creationId xmlns:a16="http://schemas.microsoft.com/office/drawing/2014/main" id="{00000000-0008-0000-0000-0000DE030000}"/>
            </a:ext>
          </a:extLst>
        </xdr:cNvPr>
        <xdr:cNvSpPr>
          <a:spLocks noChangeShapeType="1"/>
        </xdr:cNvSpPr>
      </xdr:nvSpPr>
      <xdr:spPr bwMode="auto">
        <a:xfrm>
          <a:off x="212883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28575</xdr:colOff>
      <xdr:row>73</xdr:row>
      <xdr:rowOff>76200</xdr:rowOff>
    </xdr:from>
    <xdr:to>
      <xdr:col>29</xdr:col>
      <xdr:colOff>28575</xdr:colOff>
      <xdr:row>74</xdr:row>
      <xdr:rowOff>152400</xdr:rowOff>
    </xdr:to>
    <xdr:sp macro="" textlink="">
      <xdr:nvSpPr>
        <xdr:cNvPr id="991" name="Line 93802">
          <a:extLst>
            <a:ext uri="{FF2B5EF4-FFF2-40B4-BE49-F238E27FC236}">
              <a16:creationId xmlns:a16="http://schemas.microsoft.com/office/drawing/2014/main" id="{00000000-0008-0000-0000-0000DF030000}"/>
            </a:ext>
          </a:extLst>
        </xdr:cNvPr>
        <xdr:cNvSpPr>
          <a:spLocks noChangeShapeType="1"/>
        </xdr:cNvSpPr>
      </xdr:nvSpPr>
      <xdr:spPr bwMode="auto">
        <a:xfrm>
          <a:off x="213264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66675</xdr:colOff>
      <xdr:row>73</xdr:row>
      <xdr:rowOff>76200</xdr:rowOff>
    </xdr:from>
    <xdr:to>
      <xdr:col>29</xdr:col>
      <xdr:colOff>66675</xdr:colOff>
      <xdr:row>74</xdr:row>
      <xdr:rowOff>152400</xdr:rowOff>
    </xdr:to>
    <xdr:sp macro="" textlink="">
      <xdr:nvSpPr>
        <xdr:cNvPr id="992" name="Line 93803">
          <a:extLst>
            <a:ext uri="{FF2B5EF4-FFF2-40B4-BE49-F238E27FC236}">
              <a16:creationId xmlns:a16="http://schemas.microsoft.com/office/drawing/2014/main" id="{00000000-0008-0000-0000-0000E0030000}"/>
            </a:ext>
          </a:extLst>
        </xdr:cNvPr>
        <xdr:cNvSpPr>
          <a:spLocks noChangeShapeType="1"/>
        </xdr:cNvSpPr>
      </xdr:nvSpPr>
      <xdr:spPr bwMode="auto">
        <a:xfrm>
          <a:off x="213645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104775</xdr:colOff>
      <xdr:row>73</xdr:row>
      <xdr:rowOff>76200</xdr:rowOff>
    </xdr:from>
    <xdr:to>
      <xdr:col>29</xdr:col>
      <xdr:colOff>104775</xdr:colOff>
      <xdr:row>74</xdr:row>
      <xdr:rowOff>152400</xdr:rowOff>
    </xdr:to>
    <xdr:sp macro="" textlink="">
      <xdr:nvSpPr>
        <xdr:cNvPr id="993" name="Line 93804">
          <a:extLst>
            <a:ext uri="{FF2B5EF4-FFF2-40B4-BE49-F238E27FC236}">
              <a16:creationId xmlns:a16="http://schemas.microsoft.com/office/drawing/2014/main" id="{00000000-0008-0000-0000-0000E1030000}"/>
            </a:ext>
          </a:extLst>
        </xdr:cNvPr>
        <xdr:cNvSpPr>
          <a:spLocks noChangeShapeType="1"/>
        </xdr:cNvSpPr>
      </xdr:nvSpPr>
      <xdr:spPr bwMode="auto">
        <a:xfrm>
          <a:off x="214026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142875</xdr:colOff>
      <xdr:row>73</xdr:row>
      <xdr:rowOff>76200</xdr:rowOff>
    </xdr:from>
    <xdr:to>
      <xdr:col>29</xdr:col>
      <xdr:colOff>142875</xdr:colOff>
      <xdr:row>74</xdr:row>
      <xdr:rowOff>142875</xdr:rowOff>
    </xdr:to>
    <xdr:sp macro="" textlink="">
      <xdr:nvSpPr>
        <xdr:cNvPr id="994" name="Line 93805">
          <a:extLst>
            <a:ext uri="{FF2B5EF4-FFF2-40B4-BE49-F238E27FC236}">
              <a16:creationId xmlns:a16="http://schemas.microsoft.com/office/drawing/2014/main" id="{00000000-0008-0000-0000-0000E2030000}"/>
            </a:ext>
          </a:extLst>
        </xdr:cNvPr>
        <xdr:cNvSpPr>
          <a:spLocks noChangeShapeType="1"/>
        </xdr:cNvSpPr>
      </xdr:nvSpPr>
      <xdr:spPr bwMode="auto">
        <a:xfrm>
          <a:off x="214407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180975</xdr:colOff>
      <xdr:row>73</xdr:row>
      <xdr:rowOff>76200</xdr:rowOff>
    </xdr:from>
    <xdr:to>
      <xdr:col>29</xdr:col>
      <xdr:colOff>180975</xdr:colOff>
      <xdr:row>74</xdr:row>
      <xdr:rowOff>152400</xdr:rowOff>
    </xdr:to>
    <xdr:sp macro="" textlink="">
      <xdr:nvSpPr>
        <xdr:cNvPr id="995" name="Line 93806">
          <a:extLst>
            <a:ext uri="{FF2B5EF4-FFF2-40B4-BE49-F238E27FC236}">
              <a16:creationId xmlns:a16="http://schemas.microsoft.com/office/drawing/2014/main" id="{00000000-0008-0000-0000-0000E3030000}"/>
            </a:ext>
          </a:extLst>
        </xdr:cNvPr>
        <xdr:cNvSpPr>
          <a:spLocks noChangeShapeType="1"/>
        </xdr:cNvSpPr>
      </xdr:nvSpPr>
      <xdr:spPr bwMode="auto">
        <a:xfrm>
          <a:off x="214788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219075</xdr:colOff>
      <xdr:row>73</xdr:row>
      <xdr:rowOff>76200</xdr:rowOff>
    </xdr:from>
    <xdr:to>
      <xdr:col>29</xdr:col>
      <xdr:colOff>219075</xdr:colOff>
      <xdr:row>74</xdr:row>
      <xdr:rowOff>152400</xdr:rowOff>
    </xdr:to>
    <xdr:sp macro="" textlink="">
      <xdr:nvSpPr>
        <xdr:cNvPr id="996" name="Line 93807">
          <a:extLst>
            <a:ext uri="{FF2B5EF4-FFF2-40B4-BE49-F238E27FC236}">
              <a16:creationId xmlns:a16="http://schemas.microsoft.com/office/drawing/2014/main" id="{00000000-0008-0000-0000-0000E4030000}"/>
            </a:ext>
          </a:extLst>
        </xdr:cNvPr>
        <xdr:cNvSpPr>
          <a:spLocks noChangeShapeType="1"/>
        </xdr:cNvSpPr>
      </xdr:nvSpPr>
      <xdr:spPr bwMode="auto">
        <a:xfrm>
          <a:off x="215169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257175</xdr:colOff>
      <xdr:row>73</xdr:row>
      <xdr:rowOff>76200</xdr:rowOff>
    </xdr:from>
    <xdr:to>
      <xdr:col>29</xdr:col>
      <xdr:colOff>257175</xdr:colOff>
      <xdr:row>74</xdr:row>
      <xdr:rowOff>152400</xdr:rowOff>
    </xdr:to>
    <xdr:sp macro="" textlink="">
      <xdr:nvSpPr>
        <xdr:cNvPr id="997" name="Line 93808">
          <a:extLst>
            <a:ext uri="{FF2B5EF4-FFF2-40B4-BE49-F238E27FC236}">
              <a16:creationId xmlns:a16="http://schemas.microsoft.com/office/drawing/2014/main" id="{00000000-0008-0000-0000-0000E5030000}"/>
            </a:ext>
          </a:extLst>
        </xdr:cNvPr>
        <xdr:cNvSpPr>
          <a:spLocks noChangeShapeType="1"/>
        </xdr:cNvSpPr>
      </xdr:nvSpPr>
      <xdr:spPr bwMode="auto">
        <a:xfrm>
          <a:off x="215550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295275</xdr:colOff>
      <xdr:row>73</xdr:row>
      <xdr:rowOff>76200</xdr:rowOff>
    </xdr:from>
    <xdr:to>
      <xdr:col>29</xdr:col>
      <xdr:colOff>295275</xdr:colOff>
      <xdr:row>74</xdr:row>
      <xdr:rowOff>142875</xdr:rowOff>
    </xdr:to>
    <xdr:sp macro="" textlink="">
      <xdr:nvSpPr>
        <xdr:cNvPr id="998" name="Line 93809">
          <a:extLst>
            <a:ext uri="{FF2B5EF4-FFF2-40B4-BE49-F238E27FC236}">
              <a16:creationId xmlns:a16="http://schemas.microsoft.com/office/drawing/2014/main" id="{00000000-0008-0000-0000-0000E6030000}"/>
            </a:ext>
          </a:extLst>
        </xdr:cNvPr>
        <xdr:cNvSpPr>
          <a:spLocks noChangeShapeType="1"/>
        </xdr:cNvSpPr>
      </xdr:nvSpPr>
      <xdr:spPr bwMode="auto">
        <a:xfrm>
          <a:off x="215931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333375</xdr:colOff>
      <xdr:row>73</xdr:row>
      <xdr:rowOff>76200</xdr:rowOff>
    </xdr:from>
    <xdr:to>
      <xdr:col>29</xdr:col>
      <xdr:colOff>333375</xdr:colOff>
      <xdr:row>74</xdr:row>
      <xdr:rowOff>142875</xdr:rowOff>
    </xdr:to>
    <xdr:sp macro="" textlink="">
      <xdr:nvSpPr>
        <xdr:cNvPr id="999" name="Line 93810">
          <a:extLst>
            <a:ext uri="{FF2B5EF4-FFF2-40B4-BE49-F238E27FC236}">
              <a16:creationId xmlns:a16="http://schemas.microsoft.com/office/drawing/2014/main" id="{00000000-0008-0000-0000-0000E7030000}"/>
            </a:ext>
          </a:extLst>
        </xdr:cNvPr>
        <xdr:cNvSpPr>
          <a:spLocks noChangeShapeType="1"/>
        </xdr:cNvSpPr>
      </xdr:nvSpPr>
      <xdr:spPr bwMode="auto">
        <a:xfrm>
          <a:off x="216312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371475</xdr:colOff>
      <xdr:row>73</xdr:row>
      <xdr:rowOff>76200</xdr:rowOff>
    </xdr:from>
    <xdr:to>
      <xdr:col>29</xdr:col>
      <xdr:colOff>371475</xdr:colOff>
      <xdr:row>74</xdr:row>
      <xdr:rowOff>152400</xdr:rowOff>
    </xdr:to>
    <xdr:sp macro="" textlink="">
      <xdr:nvSpPr>
        <xdr:cNvPr id="1000" name="Line 93811">
          <a:extLst>
            <a:ext uri="{FF2B5EF4-FFF2-40B4-BE49-F238E27FC236}">
              <a16:creationId xmlns:a16="http://schemas.microsoft.com/office/drawing/2014/main" id="{00000000-0008-0000-0000-0000E8030000}"/>
            </a:ext>
          </a:extLst>
        </xdr:cNvPr>
        <xdr:cNvSpPr>
          <a:spLocks noChangeShapeType="1"/>
        </xdr:cNvSpPr>
      </xdr:nvSpPr>
      <xdr:spPr bwMode="auto">
        <a:xfrm>
          <a:off x="216693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409575</xdr:colOff>
      <xdr:row>73</xdr:row>
      <xdr:rowOff>76200</xdr:rowOff>
    </xdr:from>
    <xdr:to>
      <xdr:col>29</xdr:col>
      <xdr:colOff>409575</xdr:colOff>
      <xdr:row>74</xdr:row>
      <xdr:rowOff>152400</xdr:rowOff>
    </xdr:to>
    <xdr:sp macro="" textlink="">
      <xdr:nvSpPr>
        <xdr:cNvPr id="1001" name="Line 93812">
          <a:extLst>
            <a:ext uri="{FF2B5EF4-FFF2-40B4-BE49-F238E27FC236}">
              <a16:creationId xmlns:a16="http://schemas.microsoft.com/office/drawing/2014/main" id="{00000000-0008-0000-0000-0000E9030000}"/>
            </a:ext>
          </a:extLst>
        </xdr:cNvPr>
        <xdr:cNvSpPr>
          <a:spLocks noChangeShapeType="1"/>
        </xdr:cNvSpPr>
      </xdr:nvSpPr>
      <xdr:spPr bwMode="auto">
        <a:xfrm>
          <a:off x="217074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447675</xdr:colOff>
      <xdr:row>73</xdr:row>
      <xdr:rowOff>76200</xdr:rowOff>
    </xdr:from>
    <xdr:to>
      <xdr:col>29</xdr:col>
      <xdr:colOff>447675</xdr:colOff>
      <xdr:row>74</xdr:row>
      <xdr:rowOff>152400</xdr:rowOff>
    </xdr:to>
    <xdr:sp macro="" textlink="">
      <xdr:nvSpPr>
        <xdr:cNvPr id="1002" name="Line 93813">
          <a:extLst>
            <a:ext uri="{FF2B5EF4-FFF2-40B4-BE49-F238E27FC236}">
              <a16:creationId xmlns:a16="http://schemas.microsoft.com/office/drawing/2014/main" id="{00000000-0008-0000-0000-0000EA030000}"/>
            </a:ext>
          </a:extLst>
        </xdr:cNvPr>
        <xdr:cNvSpPr>
          <a:spLocks noChangeShapeType="1"/>
        </xdr:cNvSpPr>
      </xdr:nvSpPr>
      <xdr:spPr bwMode="auto">
        <a:xfrm>
          <a:off x="217455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485775</xdr:colOff>
      <xdr:row>73</xdr:row>
      <xdr:rowOff>76200</xdr:rowOff>
    </xdr:from>
    <xdr:to>
      <xdr:col>29</xdr:col>
      <xdr:colOff>485775</xdr:colOff>
      <xdr:row>74</xdr:row>
      <xdr:rowOff>142875</xdr:rowOff>
    </xdr:to>
    <xdr:sp macro="" textlink="">
      <xdr:nvSpPr>
        <xdr:cNvPr id="1003" name="Line 93814">
          <a:extLst>
            <a:ext uri="{FF2B5EF4-FFF2-40B4-BE49-F238E27FC236}">
              <a16:creationId xmlns:a16="http://schemas.microsoft.com/office/drawing/2014/main" id="{00000000-0008-0000-0000-0000EB030000}"/>
            </a:ext>
          </a:extLst>
        </xdr:cNvPr>
        <xdr:cNvSpPr>
          <a:spLocks noChangeShapeType="1"/>
        </xdr:cNvSpPr>
      </xdr:nvSpPr>
      <xdr:spPr bwMode="auto">
        <a:xfrm>
          <a:off x="217836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523875</xdr:colOff>
      <xdr:row>73</xdr:row>
      <xdr:rowOff>76200</xdr:rowOff>
    </xdr:from>
    <xdr:to>
      <xdr:col>29</xdr:col>
      <xdr:colOff>523875</xdr:colOff>
      <xdr:row>74</xdr:row>
      <xdr:rowOff>152400</xdr:rowOff>
    </xdr:to>
    <xdr:sp macro="" textlink="">
      <xdr:nvSpPr>
        <xdr:cNvPr id="1004" name="Line 93815">
          <a:extLst>
            <a:ext uri="{FF2B5EF4-FFF2-40B4-BE49-F238E27FC236}">
              <a16:creationId xmlns:a16="http://schemas.microsoft.com/office/drawing/2014/main" id="{00000000-0008-0000-0000-0000EC030000}"/>
            </a:ext>
          </a:extLst>
        </xdr:cNvPr>
        <xdr:cNvSpPr>
          <a:spLocks noChangeShapeType="1"/>
        </xdr:cNvSpPr>
      </xdr:nvSpPr>
      <xdr:spPr bwMode="auto">
        <a:xfrm>
          <a:off x="218217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561975</xdr:colOff>
      <xdr:row>73</xdr:row>
      <xdr:rowOff>76200</xdr:rowOff>
    </xdr:from>
    <xdr:to>
      <xdr:col>29</xdr:col>
      <xdr:colOff>561975</xdr:colOff>
      <xdr:row>74</xdr:row>
      <xdr:rowOff>152400</xdr:rowOff>
    </xdr:to>
    <xdr:sp macro="" textlink="">
      <xdr:nvSpPr>
        <xdr:cNvPr id="1005" name="Line 93816">
          <a:extLst>
            <a:ext uri="{FF2B5EF4-FFF2-40B4-BE49-F238E27FC236}">
              <a16:creationId xmlns:a16="http://schemas.microsoft.com/office/drawing/2014/main" id="{00000000-0008-0000-0000-0000ED030000}"/>
            </a:ext>
          </a:extLst>
        </xdr:cNvPr>
        <xdr:cNvSpPr>
          <a:spLocks noChangeShapeType="1"/>
        </xdr:cNvSpPr>
      </xdr:nvSpPr>
      <xdr:spPr bwMode="auto">
        <a:xfrm>
          <a:off x="218598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600075</xdr:colOff>
      <xdr:row>73</xdr:row>
      <xdr:rowOff>76200</xdr:rowOff>
    </xdr:from>
    <xdr:to>
      <xdr:col>29</xdr:col>
      <xdr:colOff>600075</xdr:colOff>
      <xdr:row>74</xdr:row>
      <xdr:rowOff>152400</xdr:rowOff>
    </xdr:to>
    <xdr:sp macro="" textlink="">
      <xdr:nvSpPr>
        <xdr:cNvPr id="1006" name="Line 93817">
          <a:extLst>
            <a:ext uri="{FF2B5EF4-FFF2-40B4-BE49-F238E27FC236}">
              <a16:creationId xmlns:a16="http://schemas.microsoft.com/office/drawing/2014/main" id="{00000000-0008-0000-0000-0000EE030000}"/>
            </a:ext>
          </a:extLst>
        </xdr:cNvPr>
        <xdr:cNvSpPr>
          <a:spLocks noChangeShapeType="1"/>
        </xdr:cNvSpPr>
      </xdr:nvSpPr>
      <xdr:spPr bwMode="auto">
        <a:xfrm>
          <a:off x="218979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638175</xdr:colOff>
      <xdr:row>73</xdr:row>
      <xdr:rowOff>76200</xdr:rowOff>
    </xdr:from>
    <xdr:to>
      <xdr:col>29</xdr:col>
      <xdr:colOff>638175</xdr:colOff>
      <xdr:row>74</xdr:row>
      <xdr:rowOff>142875</xdr:rowOff>
    </xdr:to>
    <xdr:sp macro="" textlink="">
      <xdr:nvSpPr>
        <xdr:cNvPr id="1007" name="Line 93818">
          <a:extLst>
            <a:ext uri="{FF2B5EF4-FFF2-40B4-BE49-F238E27FC236}">
              <a16:creationId xmlns:a16="http://schemas.microsoft.com/office/drawing/2014/main" id="{00000000-0008-0000-0000-0000EF030000}"/>
            </a:ext>
          </a:extLst>
        </xdr:cNvPr>
        <xdr:cNvSpPr>
          <a:spLocks noChangeShapeType="1"/>
        </xdr:cNvSpPr>
      </xdr:nvSpPr>
      <xdr:spPr bwMode="auto">
        <a:xfrm>
          <a:off x="219360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676275</xdr:colOff>
      <xdr:row>73</xdr:row>
      <xdr:rowOff>76200</xdr:rowOff>
    </xdr:from>
    <xdr:to>
      <xdr:col>29</xdr:col>
      <xdr:colOff>676275</xdr:colOff>
      <xdr:row>74</xdr:row>
      <xdr:rowOff>142875</xdr:rowOff>
    </xdr:to>
    <xdr:sp macro="" textlink="">
      <xdr:nvSpPr>
        <xdr:cNvPr id="1008" name="Line 93819">
          <a:extLst>
            <a:ext uri="{FF2B5EF4-FFF2-40B4-BE49-F238E27FC236}">
              <a16:creationId xmlns:a16="http://schemas.microsoft.com/office/drawing/2014/main" id="{00000000-0008-0000-0000-0000F0030000}"/>
            </a:ext>
          </a:extLst>
        </xdr:cNvPr>
        <xdr:cNvSpPr>
          <a:spLocks noChangeShapeType="1"/>
        </xdr:cNvSpPr>
      </xdr:nvSpPr>
      <xdr:spPr bwMode="auto">
        <a:xfrm>
          <a:off x="21974175" y="1412557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714375</xdr:colOff>
      <xdr:row>73</xdr:row>
      <xdr:rowOff>76200</xdr:rowOff>
    </xdr:from>
    <xdr:to>
      <xdr:col>29</xdr:col>
      <xdr:colOff>714375</xdr:colOff>
      <xdr:row>74</xdr:row>
      <xdr:rowOff>152400</xdr:rowOff>
    </xdr:to>
    <xdr:sp macro="" textlink="">
      <xdr:nvSpPr>
        <xdr:cNvPr id="1009" name="Line 93820">
          <a:extLst>
            <a:ext uri="{FF2B5EF4-FFF2-40B4-BE49-F238E27FC236}">
              <a16:creationId xmlns:a16="http://schemas.microsoft.com/office/drawing/2014/main" id="{00000000-0008-0000-0000-0000F1030000}"/>
            </a:ext>
          </a:extLst>
        </xdr:cNvPr>
        <xdr:cNvSpPr>
          <a:spLocks noChangeShapeType="1"/>
        </xdr:cNvSpPr>
      </xdr:nvSpPr>
      <xdr:spPr bwMode="auto">
        <a:xfrm>
          <a:off x="22012275" y="14125575"/>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504825</xdr:colOff>
      <xdr:row>63</xdr:row>
      <xdr:rowOff>161925</xdr:rowOff>
    </xdr:from>
    <xdr:to>
      <xdr:col>33</xdr:col>
      <xdr:colOff>390525</xdr:colOff>
      <xdr:row>64</xdr:row>
      <xdr:rowOff>114300</xdr:rowOff>
    </xdr:to>
    <xdr:sp macro="" textlink="">
      <xdr:nvSpPr>
        <xdr:cNvPr id="1010" name="Rectangle 93835">
          <a:extLst>
            <a:ext uri="{FF2B5EF4-FFF2-40B4-BE49-F238E27FC236}">
              <a16:creationId xmlns:a16="http://schemas.microsoft.com/office/drawing/2014/main" id="{00000000-0008-0000-0000-0000F2030000}"/>
            </a:ext>
          </a:extLst>
        </xdr:cNvPr>
        <xdr:cNvSpPr>
          <a:spLocks noChangeArrowheads="1"/>
        </xdr:cNvSpPr>
      </xdr:nvSpPr>
      <xdr:spPr bwMode="auto">
        <a:xfrm>
          <a:off x="24088725" y="12011025"/>
          <a:ext cx="638175" cy="152400"/>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33</xdr:col>
      <xdr:colOff>647700</xdr:colOff>
      <xdr:row>63</xdr:row>
      <xdr:rowOff>142875</xdr:rowOff>
    </xdr:from>
    <xdr:to>
      <xdr:col>34</xdr:col>
      <xdr:colOff>685800</xdr:colOff>
      <xdr:row>64</xdr:row>
      <xdr:rowOff>114300</xdr:rowOff>
    </xdr:to>
    <xdr:sp macro="" textlink="">
      <xdr:nvSpPr>
        <xdr:cNvPr id="1011" name="Rectangle 93836">
          <a:extLst>
            <a:ext uri="{FF2B5EF4-FFF2-40B4-BE49-F238E27FC236}">
              <a16:creationId xmlns:a16="http://schemas.microsoft.com/office/drawing/2014/main" id="{00000000-0008-0000-0000-0000F3030000}"/>
            </a:ext>
          </a:extLst>
        </xdr:cNvPr>
        <xdr:cNvSpPr>
          <a:spLocks noChangeArrowheads="1"/>
        </xdr:cNvSpPr>
      </xdr:nvSpPr>
      <xdr:spPr bwMode="auto">
        <a:xfrm>
          <a:off x="24984075" y="11991975"/>
          <a:ext cx="790575" cy="171450"/>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32</xdr:col>
      <xdr:colOff>342900</xdr:colOff>
      <xdr:row>64</xdr:row>
      <xdr:rowOff>152400</xdr:rowOff>
    </xdr:from>
    <xdr:to>
      <xdr:col>35</xdr:col>
      <xdr:colOff>76200</xdr:colOff>
      <xdr:row>65</xdr:row>
      <xdr:rowOff>0</xdr:rowOff>
    </xdr:to>
    <xdr:sp macro="" textlink="">
      <xdr:nvSpPr>
        <xdr:cNvPr id="1012" name="Rectangle 93837">
          <a:extLst>
            <a:ext uri="{FF2B5EF4-FFF2-40B4-BE49-F238E27FC236}">
              <a16:creationId xmlns:a16="http://schemas.microsoft.com/office/drawing/2014/main" id="{00000000-0008-0000-0000-0000F4030000}"/>
            </a:ext>
          </a:extLst>
        </xdr:cNvPr>
        <xdr:cNvSpPr>
          <a:spLocks noChangeArrowheads="1"/>
        </xdr:cNvSpPr>
      </xdr:nvSpPr>
      <xdr:spPr bwMode="auto">
        <a:xfrm>
          <a:off x="23926800" y="12201525"/>
          <a:ext cx="1990725" cy="47625"/>
        </a:xfrm>
        <a:prstGeom prst="rect">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32</xdr:col>
      <xdr:colOff>257175</xdr:colOff>
      <xdr:row>65</xdr:row>
      <xdr:rowOff>28575</xdr:rowOff>
    </xdr:from>
    <xdr:to>
      <xdr:col>32</xdr:col>
      <xdr:colOff>257175</xdr:colOff>
      <xdr:row>68</xdr:row>
      <xdr:rowOff>38100</xdr:rowOff>
    </xdr:to>
    <xdr:sp macro="" textlink="">
      <xdr:nvSpPr>
        <xdr:cNvPr id="1013" name="Line 93838">
          <a:extLst>
            <a:ext uri="{FF2B5EF4-FFF2-40B4-BE49-F238E27FC236}">
              <a16:creationId xmlns:a16="http://schemas.microsoft.com/office/drawing/2014/main" id="{00000000-0008-0000-0000-0000F5030000}"/>
            </a:ext>
          </a:extLst>
        </xdr:cNvPr>
        <xdr:cNvSpPr>
          <a:spLocks noChangeShapeType="1"/>
        </xdr:cNvSpPr>
      </xdr:nvSpPr>
      <xdr:spPr bwMode="auto">
        <a:xfrm flipV="1">
          <a:off x="23841075" y="12277725"/>
          <a:ext cx="0" cy="609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35</xdr:col>
      <xdr:colOff>161925</xdr:colOff>
      <xdr:row>65</xdr:row>
      <xdr:rowOff>19050</xdr:rowOff>
    </xdr:from>
    <xdr:to>
      <xdr:col>35</xdr:col>
      <xdr:colOff>161925</xdr:colOff>
      <xdr:row>68</xdr:row>
      <xdr:rowOff>9525</xdr:rowOff>
    </xdr:to>
    <xdr:sp macro="" textlink="">
      <xdr:nvSpPr>
        <xdr:cNvPr id="1014" name="Line 93839">
          <a:extLst>
            <a:ext uri="{FF2B5EF4-FFF2-40B4-BE49-F238E27FC236}">
              <a16:creationId xmlns:a16="http://schemas.microsoft.com/office/drawing/2014/main" id="{00000000-0008-0000-0000-0000F6030000}"/>
            </a:ext>
          </a:extLst>
        </xdr:cNvPr>
        <xdr:cNvSpPr>
          <a:spLocks noChangeShapeType="1"/>
        </xdr:cNvSpPr>
      </xdr:nvSpPr>
      <xdr:spPr bwMode="auto">
        <a:xfrm flipV="1">
          <a:off x="26003250" y="12268200"/>
          <a:ext cx="0" cy="590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32</xdr:col>
      <xdr:colOff>257175</xdr:colOff>
      <xdr:row>65</xdr:row>
      <xdr:rowOff>28575</xdr:rowOff>
    </xdr:from>
    <xdr:to>
      <xdr:col>35</xdr:col>
      <xdr:colOff>180975</xdr:colOff>
      <xdr:row>65</xdr:row>
      <xdr:rowOff>28575</xdr:rowOff>
    </xdr:to>
    <xdr:sp macro="" textlink="">
      <xdr:nvSpPr>
        <xdr:cNvPr id="1015" name="Line 93840">
          <a:extLst>
            <a:ext uri="{FF2B5EF4-FFF2-40B4-BE49-F238E27FC236}">
              <a16:creationId xmlns:a16="http://schemas.microsoft.com/office/drawing/2014/main" id="{00000000-0008-0000-0000-0000F7030000}"/>
            </a:ext>
          </a:extLst>
        </xdr:cNvPr>
        <xdr:cNvSpPr>
          <a:spLocks noChangeShapeType="1"/>
        </xdr:cNvSpPr>
      </xdr:nvSpPr>
      <xdr:spPr bwMode="auto">
        <a:xfrm>
          <a:off x="23841075" y="12277725"/>
          <a:ext cx="218122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342900</xdr:colOff>
      <xdr:row>65</xdr:row>
      <xdr:rowOff>57150</xdr:rowOff>
    </xdr:from>
    <xdr:to>
      <xdr:col>32</xdr:col>
      <xdr:colOff>342900</xdr:colOff>
      <xdr:row>67</xdr:row>
      <xdr:rowOff>66675</xdr:rowOff>
    </xdr:to>
    <xdr:sp macro="" textlink="">
      <xdr:nvSpPr>
        <xdr:cNvPr id="1016" name="Line 93841">
          <a:extLst>
            <a:ext uri="{FF2B5EF4-FFF2-40B4-BE49-F238E27FC236}">
              <a16:creationId xmlns:a16="http://schemas.microsoft.com/office/drawing/2014/main" id="{00000000-0008-0000-0000-0000F8030000}"/>
            </a:ext>
          </a:extLst>
        </xdr:cNvPr>
        <xdr:cNvSpPr>
          <a:spLocks noChangeShapeType="1"/>
        </xdr:cNvSpPr>
      </xdr:nvSpPr>
      <xdr:spPr bwMode="auto">
        <a:xfrm>
          <a:off x="23926800" y="12306300"/>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504825</xdr:colOff>
      <xdr:row>62</xdr:row>
      <xdr:rowOff>152400</xdr:rowOff>
    </xdr:from>
    <xdr:to>
      <xdr:col>32</xdr:col>
      <xdr:colOff>504825</xdr:colOff>
      <xdr:row>63</xdr:row>
      <xdr:rowOff>114300</xdr:rowOff>
    </xdr:to>
    <xdr:sp macro="" textlink="">
      <xdr:nvSpPr>
        <xdr:cNvPr id="1017" name="Line 93842">
          <a:extLst>
            <a:ext uri="{FF2B5EF4-FFF2-40B4-BE49-F238E27FC236}">
              <a16:creationId xmlns:a16="http://schemas.microsoft.com/office/drawing/2014/main" id="{00000000-0008-0000-0000-0000F9030000}"/>
            </a:ext>
          </a:extLst>
        </xdr:cNvPr>
        <xdr:cNvSpPr>
          <a:spLocks noChangeShapeType="1"/>
        </xdr:cNvSpPr>
      </xdr:nvSpPr>
      <xdr:spPr bwMode="auto">
        <a:xfrm flipV="1">
          <a:off x="24088725" y="11801475"/>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257175</xdr:colOff>
      <xdr:row>63</xdr:row>
      <xdr:rowOff>9525</xdr:rowOff>
    </xdr:from>
    <xdr:to>
      <xdr:col>32</xdr:col>
      <xdr:colOff>257175</xdr:colOff>
      <xdr:row>64</xdr:row>
      <xdr:rowOff>66675</xdr:rowOff>
    </xdr:to>
    <xdr:sp macro="" textlink="">
      <xdr:nvSpPr>
        <xdr:cNvPr id="1018" name="Line 93843">
          <a:extLst>
            <a:ext uri="{FF2B5EF4-FFF2-40B4-BE49-F238E27FC236}">
              <a16:creationId xmlns:a16="http://schemas.microsoft.com/office/drawing/2014/main" id="{00000000-0008-0000-0000-0000FA030000}"/>
            </a:ext>
          </a:extLst>
        </xdr:cNvPr>
        <xdr:cNvSpPr>
          <a:spLocks noChangeShapeType="1"/>
        </xdr:cNvSpPr>
      </xdr:nvSpPr>
      <xdr:spPr bwMode="auto">
        <a:xfrm flipV="1">
          <a:off x="23841075" y="1185862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219075</xdr:colOff>
      <xdr:row>63</xdr:row>
      <xdr:rowOff>0</xdr:rowOff>
    </xdr:from>
    <xdr:to>
      <xdr:col>32</xdr:col>
      <xdr:colOff>561975</xdr:colOff>
      <xdr:row>63</xdr:row>
      <xdr:rowOff>0</xdr:rowOff>
    </xdr:to>
    <xdr:sp macro="" textlink="">
      <xdr:nvSpPr>
        <xdr:cNvPr id="1019" name="Line 93844">
          <a:extLst>
            <a:ext uri="{FF2B5EF4-FFF2-40B4-BE49-F238E27FC236}">
              <a16:creationId xmlns:a16="http://schemas.microsoft.com/office/drawing/2014/main" id="{00000000-0008-0000-0000-0000FB030000}"/>
            </a:ext>
          </a:extLst>
        </xdr:cNvPr>
        <xdr:cNvSpPr>
          <a:spLocks noChangeShapeType="1"/>
        </xdr:cNvSpPr>
      </xdr:nvSpPr>
      <xdr:spPr bwMode="auto">
        <a:xfrm>
          <a:off x="23802975" y="11849100"/>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466725</xdr:colOff>
      <xdr:row>62</xdr:row>
      <xdr:rowOff>152400</xdr:rowOff>
    </xdr:from>
    <xdr:to>
      <xdr:col>32</xdr:col>
      <xdr:colOff>533400</xdr:colOff>
      <xdr:row>63</xdr:row>
      <xdr:rowOff>28575</xdr:rowOff>
    </xdr:to>
    <xdr:sp macro="" textlink="">
      <xdr:nvSpPr>
        <xdr:cNvPr id="1020" name="Line 93845">
          <a:extLst>
            <a:ext uri="{FF2B5EF4-FFF2-40B4-BE49-F238E27FC236}">
              <a16:creationId xmlns:a16="http://schemas.microsoft.com/office/drawing/2014/main" id="{00000000-0008-0000-0000-0000FC030000}"/>
            </a:ext>
          </a:extLst>
        </xdr:cNvPr>
        <xdr:cNvSpPr>
          <a:spLocks noChangeShapeType="1"/>
        </xdr:cNvSpPr>
      </xdr:nvSpPr>
      <xdr:spPr bwMode="auto">
        <a:xfrm flipH="1">
          <a:off x="24050625" y="11801475"/>
          <a:ext cx="6667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200025</xdr:colOff>
      <xdr:row>62</xdr:row>
      <xdr:rowOff>152400</xdr:rowOff>
    </xdr:from>
    <xdr:to>
      <xdr:col>32</xdr:col>
      <xdr:colOff>285750</xdr:colOff>
      <xdr:row>63</xdr:row>
      <xdr:rowOff>47625</xdr:rowOff>
    </xdr:to>
    <xdr:sp macro="" textlink="">
      <xdr:nvSpPr>
        <xdr:cNvPr id="1021" name="Line 93846">
          <a:extLst>
            <a:ext uri="{FF2B5EF4-FFF2-40B4-BE49-F238E27FC236}">
              <a16:creationId xmlns:a16="http://schemas.microsoft.com/office/drawing/2014/main" id="{00000000-0008-0000-0000-0000FD030000}"/>
            </a:ext>
          </a:extLst>
        </xdr:cNvPr>
        <xdr:cNvSpPr>
          <a:spLocks noChangeShapeType="1"/>
        </xdr:cNvSpPr>
      </xdr:nvSpPr>
      <xdr:spPr bwMode="auto">
        <a:xfrm flipH="1">
          <a:off x="23783925" y="11801475"/>
          <a:ext cx="8572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676275</xdr:colOff>
      <xdr:row>62</xdr:row>
      <xdr:rowOff>171450</xdr:rowOff>
    </xdr:from>
    <xdr:to>
      <xdr:col>34</xdr:col>
      <xdr:colOff>676275</xdr:colOff>
      <xdr:row>63</xdr:row>
      <xdr:rowOff>104775</xdr:rowOff>
    </xdr:to>
    <xdr:sp macro="" textlink="">
      <xdr:nvSpPr>
        <xdr:cNvPr id="1022" name="Line 93847">
          <a:extLst>
            <a:ext uri="{FF2B5EF4-FFF2-40B4-BE49-F238E27FC236}">
              <a16:creationId xmlns:a16="http://schemas.microsoft.com/office/drawing/2014/main" id="{00000000-0008-0000-0000-0000FE030000}"/>
            </a:ext>
          </a:extLst>
        </xdr:cNvPr>
        <xdr:cNvSpPr>
          <a:spLocks noChangeShapeType="1"/>
        </xdr:cNvSpPr>
      </xdr:nvSpPr>
      <xdr:spPr bwMode="auto">
        <a:xfrm flipV="1">
          <a:off x="25765125" y="11820525"/>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161925</xdr:colOff>
      <xdr:row>62</xdr:row>
      <xdr:rowOff>152400</xdr:rowOff>
    </xdr:from>
    <xdr:to>
      <xdr:col>35</xdr:col>
      <xdr:colOff>161925</xdr:colOff>
      <xdr:row>64</xdr:row>
      <xdr:rowOff>190500</xdr:rowOff>
    </xdr:to>
    <xdr:sp macro="" textlink="">
      <xdr:nvSpPr>
        <xdr:cNvPr id="1023" name="Line 93848">
          <a:extLst>
            <a:ext uri="{FF2B5EF4-FFF2-40B4-BE49-F238E27FC236}">
              <a16:creationId xmlns:a16="http://schemas.microsoft.com/office/drawing/2014/main" id="{00000000-0008-0000-0000-0000FF030000}"/>
            </a:ext>
          </a:extLst>
        </xdr:cNvPr>
        <xdr:cNvSpPr>
          <a:spLocks noChangeShapeType="1"/>
        </xdr:cNvSpPr>
      </xdr:nvSpPr>
      <xdr:spPr bwMode="auto">
        <a:xfrm flipV="1">
          <a:off x="26003250" y="1180147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638175</xdr:colOff>
      <xdr:row>63</xdr:row>
      <xdr:rowOff>0</xdr:rowOff>
    </xdr:from>
    <xdr:to>
      <xdr:col>35</xdr:col>
      <xdr:colOff>219075</xdr:colOff>
      <xdr:row>63</xdr:row>
      <xdr:rowOff>0</xdr:rowOff>
    </xdr:to>
    <xdr:sp macro="" textlink="">
      <xdr:nvSpPr>
        <xdr:cNvPr id="1024" name="Line 93849">
          <a:extLst>
            <a:ext uri="{FF2B5EF4-FFF2-40B4-BE49-F238E27FC236}">
              <a16:creationId xmlns:a16="http://schemas.microsoft.com/office/drawing/2014/main" id="{00000000-0008-0000-0000-000000040000}"/>
            </a:ext>
          </a:extLst>
        </xdr:cNvPr>
        <xdr:cNvSpPr>
          <a:spLocks noChangeShapeType="1"/>
        </xdr:cNvSpPr>
      </xdr:nvSpPr>
      <xdr:spPr bwMode="auto">
        <a:xfrm>
          <a:off x="25727025" y="11849100"/>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114300</xdr:colOff>
      <xdr:row>62</xdr:row>
      <xdr:rowOff>152400</xdr:rowOff>
    </xdr:from>
    <xdr:to>
      <xdr:col>35</xdr:col>
      <xdr:colOff>190500</xdr:colOff>
      <xdr:row>63</xdr:row>
      <xdr:rowOff>38100</xdr:rowOff>
    </xdr:to>
    <xdr:sp macro="" textlink="">
      <xdr:nvSpPr>
        <xdr:cNvPr id="1064" name="Line 93850">
          <a:extLst>
            <a:ext uri="{FF2B5EF4-FFF2-40B4-BE49-F238E27FC236}">
              <a16:creationId xmlns:a16="http://schemas.microsoft.com/office/drawing/2014/main" id="{00000000-0008-0000-0000-000028040000}"/>
            </a:ext>
          </a:extLst>
        </xdr:cNvPr>
        <xdr:cNvSpPr>
          <a:spLocks noChangeShapeType="1"/>
        </xdr:cNvSpPr>
      </xdr:nvSpPr>
      <xdr:spPr bwMode="auto">
        <a:xfrm flipH="1">
          <a:off x="25955625" y="11801475"/>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638175</xdr:colOff>
      <xdr:row>62</xdr:row>
      <xdr:rowOff>152400</xdr:rowOff>
    </xdr:from>
    <xdr:to>
      <xdr:col>34</xdr:col>
      <xdr:colOff>714375</xdr:colOff>
      <xdr:row>63</xdr:row>
      <xdr:rowOff>38100</xdr:rowOff>
    </xdr:to>
    <xdr:sp macro="" textlink="">
      <xdr:nvSpPr>
        <xdr:cNvPr id="1065" name="Line 93851">
          <a:extLst>
            <a:ext uri="{FF2B5EF4-FFF2-40B4-BE49-F238E27FC236}">
              <a16:creationId xmlns:a16="http://schemas.microsoft.com/office/drawing/2014/main" id="{00000000-0008-0000-0000-000029040000}"/>
            </a:ext>
          </a:extLst>
        </xdr:cNvPr>
        <xdr:cNvSpPr>
          <a:spLocks noChangeShapeType="1"/>
        </xdr:cNvSpPr>
      </xdr:nvSpPr>
      <xdr:spPr bwMode="auto">
        <a:xfrm flipH="1">
          <a:off x="25727025" y="11801475"/>
          <a:ext cx="762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76200</xdr:colOff>
      <xdr:row>65</xdr:row>
      <xdr:rowOff>76200</xdr:rowOff>
    </xdr:from>
    <xdr:to>
      <xdr:col>35</xdr:col>
      <xdr:colOff>76200</xdr:colOff>
      <xdr:row>67</xdr:row>
      <xdr:rowOff>57150</xdr:rowOff>
    </xdr:to>
    <xdr:sp macro="" textlink="">
      <xdr:nvSpPr>
        <xdr:cNvPr id="1066" name="Line 93852">
          <a:extLst>
            <a:ext uri="{FF2B5EF4-FFF2-40B4-BE49-F238E27FC236}">
              <a16:creationId xmlns:a16="http://schemas.microsoft.com/office/drawing/2014/main" id="{00000000-0008-0000-0000-00002A040000}"/>
            </a:ext>
          </a:extLst>
        </xdr:cNvPr>
        <xdr:cNvSpPr>
          <a:spLocks noChangeShapeType="1"/>
        </xdr:cNvSpPr>
      </xdr:nvSpPr>
      <xdr:spPr bwMode="auto">
        <a:xfrm>
          <a:off x="25917525" y="12325350"/>
          <a:ext cx="0" cy="3810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152400</xdr:colOff>
      <xdr:row>67</xdr:row>
      <xdr:rowOff>0</xdr:rowOff>
    </xdr:from>
    <xdr:to>
      <xdr:col>35</xdr:col>
      <xdr:colOff>190500</xdr:colOff>
      <xdr:row>67</xdr:row>
      <xdr:rowOff>0</xdr:rowOff>
    </xdr:to>
    <xdr:sp macro="" textlink="">
      <xdr:nvSpPr>
        <xdr:cNvPr id="1067" name="Line 93853">
          <a:extLst>
            <a:ext uri="{FF2B5EF4-FFF2-40B4-BE49-F238E27FC236}">
              <a16:creationId xmlns:a16="http://schemas.microsoft.com/office/drawing/2014/main" id="{00000000-0008-0000-0000-00002B040000}"/>
            </a:ext>
          </a:extLst>
        </xdr:cNvPr>
        <xdr:cNvSpPr>
          <a:spLocks noChangeShapeType="1"/>
        </xdr:cNvSpPr>
      </xdr:nvSpPr>
      <xdr:spPr bwMode="auto">
        <a:xfrm>
          <a:off x="23736300" y="12649200"/>
          <a:ext cx="22955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209550</xdr:colOff>
      <xdr:row>66</xdr:row>
      <xdr:rowOff>152400</xdr:rowOff>
    </xdr:from>
    <xdr:to>
      <xdr:col>32</xdr:col>
      <xdr:colOff>285750</xdr:colOff>
      <xdr:row>67</xdr:row>
      <xdr:rowOff>28575</xdr:rowOff>
    </xdr:to>
    <xdr:sp macro="" textlink="">
      <xdr:nvSpPr>
        <xdr:cNvPr id="1068" name="Line 93854">
          <a:extLst>
            <a:ext uri="{FF2B5EF4-FFF2-40B4-BE49-F238E27FC236}">
              <a16:creationId xmlns:a16="http://schemas.microsoft.com/office/drawing/2014/main" id="{00000000-0008-0000-0000-00002C040000}"/>
            </a:ext>
          </a:extLst>
        </xdr:cNvPr>
        <xdr:cNvSpPr>
          <a:spLocks noChangeShapeType="1"/>
        </xdr:cNvSpPr>
      </xdr:nvSpPr>
      <xdr:spPr bwMode="auto">
        <a:xfrm flipH="1">
          <a:off x="23793450" y="126015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314325</xdr:colOff>
      <xdr:row>66</xdr:row>
      <xdr:rowOff>161925</xdr:rowOff>
    </xdr:from>
    <xdr:to>
      <xdr:col>32</xdr:col>
      <xdr:colOff>381000</xdr:colOff>
      <xdr:row>67</xdr:row>
      <xdr:rowOff>28575</xdr:rowOff>
    </xdr:to>
    <xdr:sp macro="" textlink="">
      <xdr:nvSpPr>
        <xdr:cNvPr id="1069" name="Line 93855">
          <a:extLst>
            <a:ext uri="{FF2B5EF4-FFF2-40B4-BE49-F238E27FC236}">
              <a16:creationId xmlns:a16="http://schemas.microsoft.com/office/drawing/2014/main" id="{00000000-0008-0000-0000-00002D040000}"/>
            </a:ext>
          </a:extLst>
        </xdr:cNvPr>
        <xdr:cNvSpPr>
          <a:spLocks noChangeShapeType="1"/>
        </xdr:cNvSpPr>
      </xdr:nvSpPr>
      <xdr:spPr bwMode="auto">
        <a:xfrm flipH="1">
          <a:off x="23898225" y="126111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28575</xdr:colOff>
      <xdr:row>66</xdr:row>
      <xdr:rowOff>152400</xdr:rowOff>
    </xdr:from>
    <xdr:to>
      <xdr:col>35</xdr:col>
      <xdr:colOff>104775</xdr:colOff>
      <xdr:row>67</xdr:row>
      <xdr:rowOff>28575</xdr:rowOff>
    </xdr:to>
    <xdr:sp macro="" textlink="">
      <xdr:nvSpPr>
        <xdr:cNvPr id="1070" name="Line 93856">
          <a:extLst>
            <a:ext uri="{FF2B5EF4-FFF2-40B4-BE49-F238E27FC236}">
              <a16:creationId xmlns:a16="http://schemas.microsoft.com/office/drawing/2014/main" id="{00000000-0008-0000-0000-00002E040000}"/>
            </a:ext>
          </a:extLst>
        </xdr:cNvPr>
        <xdr:cNvSpPr>
          <a:spLocks noChangeShapeType="1"/>
        </xdr:cNvSpPr>
      </xdr:nvSpPr>
      <xdr:spPr bwMode="auto">
        <a:xfrm flipH="1">
          <a:off x="25869900" y="126015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114300</xdr:colOff>
      <xdr:row>66</xdr:row>
      <xdr:rowOff>161925</xdr:rowOff>
    </xdr:from>
    <xdr:to>
      <xdr:col>35</xdr:col>
      <xdr:colOff>200025</xdr:colOff>
      <xdr:row>67</xdr:row>
      <xdr:rowOff>47625</xdr:rowOff>
    </xdr:to>
    <xdr:sp macro="" textlink="">
      <xdr:nvSpPr>
        <xdr:cNvPr id="1071" name="Line 93857">
          <a:extLst>
            <a:ext uri="{FF2B5EF4-FFF2-40B4-BE49-F238E27FC236}">
              <a16:creationId xmlns:a16="http://schemas.microsoft.com/office/drawing/2014/main" id="{00000000-0008-0000-0000-00002F040000}"/>
            </a:ext>
          </a:extLst>
        </xdr:cNvPr>
        <xdr:cNvSpPr>
          <a:spLocks noChangeShapeType="1"/>
        </xdr:cNvSpPr>
      </xdr:nvSpPr>
      <xdr:spPr bwMode="auto">
        <a:xfrm flipH="1">
          <a:off x="25955625" y="126111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228600</xdr:colOff>
      <xdr:row>68</xdr:row>
      <xdr:rowOff>0</xdr:rowOff>
    </xdr:from>
    <xdr:to>
      <xdr:col>35</xdr:col>
      <xdr:colOff>209550</xdr:colOff>
      <xdr:row>68</xdr:row>
      <xdr:rowOff>0</xdr:rowOff>
    </xdr:to>
    <xdr:sp macro="" textlink="">
      <xdr:nvSpPr>
        <xdr:cNvPr id="1072" name="Line 93858">
          <a:extLst>
            <a:ext uri="{FF2B5EF4-FFF2-40B4-BE49-F238E27FC236}">
              <a16:creationId xmlns:a16="http://schemas.microsoft.com/office/drawing/2014/main" id="{00000000-0008-0000-0000-000030040000}"/>
            </a:ext>
          </a:extLst>
        </xdr:cNvPr>
        <xdr:cNvSpPr>
          <a:spLocks noChangeShapeType="1"/>
        </xdr:cNvSpPr>
      </xdr:nvSpPr>
      <xdr:spPr bwMode="auto">
        <a:xfrm>
          <a:off x="23812500" y="12849225"/>
          <a:ext cx="2238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32</xdr:col>
      <xdr:colOff>209550</xdr:colOff>
      <xdr:row>67</xdr:row>
      <xdr:rowOff>161925</xdr:rowOff>
    </xdr:from>
    <xdr:to>
      <xdr:col>32</xdr:col>
      <xdr:colOff>285750</xdr:colOff>
      <xdr:row>68</xdr:row>
      <xdr:rowOff>38100</xdr:rowOff>
    </xdr:to>
    <xdr:sp macro="" textlink="">
      <xdr:nvSpPr>
        <xdr:cNvPr id="1073" name="Line 93859">
          <a:extLst>
            <a:ext uri="{FF2B5EF4-FFF2-40B4-BE49-F238E27FC236}">
              <a16:creationId xmlns:a16="http://schemas.microsoft.com/office/drawing/2014/main" id="{00000000-0008-0000-0000-000031040000}"/>
            </a:ext>
          </a:extLst>
        </xdr:cNvPr>
        <xdr:cNvSpPr>
          <a:spLocks noChangeShapeType="1"/>
        </xdr:cNvSpPr>
      </xdr:nvSpPr>
      <xdr:spPr bwMode="auto">
        <a:xfrm flipH="1">
          <a:off x="23793450" y="128111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114300</xdr:colOff>
      <xdr:row>67</xdr:row>
      <xdr:rowOff>161925</xdr:rowOff>
    </xdr:from>
    <xdr:to>
      <xdr:col>35</xdr:col>
      <xdr:colOff>190500</xdr:colOff>
      <xdr:row>68</xdr:row>
      <xdr:rowOff>38100</xdr:rowOff>
    </xdr:to>
    <xdr:sp macro="" textlink="">
      <xdr:nvSpPr>
        <xdr:cNvPr id="1074" name="Line 93860">
          <a:extLst>
            <a:ext uri="{FF2B5EF4-FFF2-40B4-BE49-F238E27FC236}">
              <a16:creationId xmlns:a16="http://schemas.microsoft.com/office/drawing/2014/main" id="{00000000-0008-0000-0000-000032040000}"/>
            </a:ext>
          </a:extLst>
        </xdr:cNvPr>
        <xdr:cNvSpPr>
          <a:spLocks noChangeShapeType="1"/>
        </xdr:cNvSpPr>
      </xdr:nvSpPr>
      <xdr:spPr bwMode="auto">
        <a:xfrm flipH="1">
          <a:off x="25955625" y="128111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180975</xdr:colOff>
      <xdr:row>63</xdr:row>
      <xdr:rowOff>9525</xdr:rowOff>
    </xdr:from>
    <xdr:to>
      <xdr:col>33</xdr:col>
      <xdr:colOff>180975</xdr:colOff>
      <xdr:row>64</xdr:row>
      <xdr:rowOff>133350</xdr:rowOff>
    </xdr:to>
    <xdr:sp macro="" textlink="">
      <xdr:nvSpPr>
        <xdr:cNvPr id="1075" name="Line 93861">
          <a:extLst>
            <a:ext uri="{FF2B5EF4-FFF2-40B4-BE49-F238E27FC236}">
              <a16:creationId xmlns:a16="http://schemas.microsoft.com/office/drawing/2014/main" id="{00000000-0008-0000-0000-000033040000}"/>
            </a:ext>
          </a:extLst>
        </xdr:cNvPr>
        <xdr:cNvSpPr>
          <a:spLocks noChangeShapeType="1"/>
        </xdr:cNvSpPr>
      </xdr:nvSpPr>
      <xdr:spPr bwMode="auto">
        <a:xfrm>
          <a:off x="24517350" y="118586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142875</xdr:colOff>
      <xdr:row>63</xdr:row>
      <xdr:rowOff>123825</xdr:rowOff>
    </xdr:from>
    <xdr:to>
      <xdr:col>33</xdr:col>
      <xdr:colOff>219075</xdr:colOff>
      <xdr:row>64</xdr:row>
      <xdr:rowOff>0</xdr:rowOff>
    </xdr:to>
    <xdr:sp macro="" textlink="">
      <xdr:nvSpPr>
        <xdr:cNvPr id="1076" name="Line 93862">
          <a:extLst>
            <a:ext uri="{FF2B5EF4-FFF2-40B4-BE49-F238E27FC236}">
              <a16:creationId xmlns:a16="http://schemas.microsoft.com/office/drawing/2014/main" id="{00000000-0008-0000-0000-000034040000}"/>
            </a:ext>
          </a:extLst>
        </xdr:cNvPr>
        <xdr:cNvSpPr>
          <a:spLocks noChangeShapeType="1"/>
        </xdr:cNvSpPr>
      </xdr:nvSpPr>
      <xdr:spPr bwMode="auto">
        <a:xfrm flipH="1">
          <a:off x="24479250" y="119729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152400</xdr:colOff>
      <xdr:row>64</xdr:row>
      <xdr:rowOff>76200</xdr:rowOff>
    </xdr:from>
    <xdr:to>
      <xdr:col>33</xdr:col>
      <xdr:colOff>219075</xdr:colOff>
      <xdr:row>64</xdr:row>
      <xdr:rowOff>142875</xdr:rowOff>
    </xdr:to>
    <xdr:sp macro="" textlink="">
      <xdr:nvSpPr>
        <xdr:cNvPr id="1077" name="Line 93863">
          <a:extLst>
            <a:ext uri="{FF2B5EF4-FFF2-40B4-BE49-F238E27FC236}">
              <a16:creationId xmlns:a16="http://schemas.microsoft.com/office/drawing/2014/main" id="{00000000-0008-0000-0000-000035040000}"/>
            </a:ext>
          </a:extLst>
        </xdr:cNvPr>
        <xdr:cNvSpPr>
          <a:spLocks noChangeShapeType="1"/>
        </xdr:cNvSpPr>
      </xdr:nvSpPr>
      <xdr:spPr bwMode="auto">
        <a:xfrm flipH="1">
          <a:off x="24488775" y="121253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514350</xdr:colOff>
      <xdr:row>63</xdr:row>
      <xdr:rowOff>190500</xdr:rowOff>
    </xdr:from>
    <xdr:to>
      <xdr:col>33</xdr:col>
      <xdr:colOff>514350</xdr:colOff>
      <xdr:row>65</xdr:row>
      <xdr:rowOff>0</xdr:rowOff>
    </xdr:to>
    <xdr:sp macro="" textlink="">
      <xdr:nvSpPr>
        <xdr:cNvPr id="1078" name="Line 93864">
          <a:extLst>
            <a:ext uri="{FF2B5EF4-FFF2-40B4-BE49-F238E27FC236}">
              <a16:creationId xmlns:a16="http://schemas.microsoft.com/office/drawing/2014/main" id="{00000000-0008-0000-0000-000036040000}"/>
            </a:ext>
          </a:extLst>
        </xdr:cNvPr>
        <xdr:cNvSpPr>
          <a:spLocks noChangeShapeType="1"/>
        </xdr:cNvSpPr>
      </xdr:nvSpPr>
      <xdr:spPr bwMode="auto">
        <a:xfrm>
          <a:off x="24850725" y="1203960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476250</xdr:colOff>
      <xdr:row>64</xdr:row>
      <xdr:rowOff>114300</xdr:rowOff>
    </xdr:from>
    <xdr:to>
      <xdr:col>33</xdr:col>
      <xdr:colOff>552450</xdr:colOff>
      <xdr:row>64</xdr:row>
      <xdr:rowOff>190500</xdr:rowOff>
    </xdr:to>
    <xdr:sp macro="" textlink="">
      <xdr:nvSpPr>
        <xdr:cNvPr id="1079" name="Line 93865">
          <a:extLst>
            <a:ext uri="{FF2B5EF4-FFF2-40B4-BE49-F238E27FC236}">
              <a16:creationId xmlns:a16="http://schemas.microsoft.com/office/drawing/2014/main" id="{00000000-0008-0000-0000-000037040000}"/>
            </a:ext>
          </a:extLst>
        </xdr:cNvPr>
        <xdr:cNvSpPr>
          <a:spLocks noChangeShapeType="1"/>
        </xdr:cNvSpPr>
      </xdr:nvSpPr>
      <xdr:spPr bwMode="auto">
        <a:xfrm flipH="1">
          <a:off x="24812625" y="1216342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33</xdr:col>
      <xdr:colOff>466725</xdr:colOff>
      <xdr:row>64</xdr:row>
      <xdr:rowOff>171450</xdr:rowOff>
    </xdr:from>
    <xdr:to>
      <xdr:col>33</xdr:col>
      <xdr:colOff>552450</xdr:colOff>
      <xdr:row>65</xdr:row>
      <xdr:rowOff>57150</xdr:rowOff>
    </xdr:to>
    <xdr:sp macro="" textlink="">
      <xdr:nvSpPr>
        <xdr:cNvPr id="1080" name="Line 93866">
          <a:extLst>
            <a:ext uri="{FF2B5EF4-FFF2-40B4-BE49-F238E27FC236}">
              <a16:creationId xmlns:a16="http://schemas.microsoft.com/office/drawing/2014/main" id="{00000000-0008-0000-0000-000038040000}"/>
            </a:ext>
          </a:extLst>
        </xdr:cNvPr>
        <xdr:cNvSpPr>
          <a:spLocks noChangeShapeType="1"/>
        </xdr:cNvSpPr>
      </xdr:nvSpPr>
      <xdr:spPr bwMode="auto">
        <a:xfrm flipH="1">
          <a:off x="24803100" y="122205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219075</xdr:colOff>
      <xdr:row>63</xdr:row>
      <xdr:rowOff>9525</xdr:rowOff>
    </xdr:from>
    <xdr:to>
      <xdr:col>34</xdr:col>
      <xdr:colOff>219075</xdr:colOff>
      <xdr:row>64</xdr:row>
      <xdr:rowOff>133350</xdr:rowOff>
    </xdr:to>
    <xdr:sp macro="" textlink="">
      <xdr:nvSpPr>
        <xdr:cNvPr id="1081" name="Line 93867">
          <a:extLst>
            <a:ext uri="{FF2B5EF4-FFF2-40B4-BE49-F238E27FC236}">
              <a16:creationId xmlns:a16="http://schemas.microsoft.com/office/drawing/2014/main" id="{00000000-0008-0000-0000-000039040000}"/>
            </a:ext>
          </a:extLst>
        </xdr:cNvPr>
        <xdr:cNvSpPr>
          <a:spLocks noChangeShapeType="1"/>
        </xdr:cNvSpPr>
      </xdr:nvSpPr>
      <xdr:spPr bwMode="auto">
        <a:xfrm>
          <a:off x="25307925" y="11858625"/>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180975</xdr:colOff>
      <xdr:row>63</xdr:row>
      <xdr:rowOff>104775</xdr:rowOff>
    </xdr:from>
    <xdr:to>
      <xdr:col>34</xdr:col>
      <xdr:colOff>247650</xdr:colOff>
      <xdr:row>63</xdr:row>
      <xdr:rowOff>171450</xdr:rowOff>
    </xdr:to>
    <xdr:sp macro="" textlink="">
      <xdr:nvSpPr>
        <xdr:cNvPr id="1082" name="Line 93868">
          <a:extLst>
            <a:ext uri="{FF2B5EF4-FFF2-40B4-BE49-F238E27FC236}">
              <a16:creationId xmlns:a16="http://schemas.microsoft.com/office/drawing/2014/main" id="{00000000-0008-0000-0000-00003A040000}"/>
            </a:ext>
          </a:extLst>
        </xdr:cNvPr>
        <xdr:cNvSpPr>
          <a:spLocks noChangeShapeType="1"/>
        </xdr:cNvSpPr>
      </xdr:nvSpPr>
      <xdr:spPr bwMode="auto">
        <a:xfrm flipH="1">
          <a:off x="25269825" y="11953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180975</xdr:colOff>
      <xdr:row>64</xdr:row>
      <xdr:rowOff>76200</xdr:rowOff>
    </xdr:from>
    <xdr:to>
      <xdr:col>34</xdr:col>
      <xdr:colOff>238125</xdr:colOff>
      <xdr:row>64</xdr:row>
      <xdr:rowOff>133350</xdr:rowOff>
    </xdr:to>
    <xdr:sp macro="" textlink="">
      <xdr:nvSpPr>
        <xdr:cNvPr id="1083" name="Line 93869">
          <a:extLst>
            <a:ext uri="{FF2B5EF4-FFF2-40B4-BE49-F238E27FC236}">
              <a16:creationId xmlns:a16="http://schemas.microsoft.com/office/drawing/2014/main" id="{00000000-0008-0000-0000-00003B040000}"/>
            </a:ext>
          </a:extLst>
        </xdr:cNvPr>
        <xdr:cNvSpPr>
          <a:spLocks noChangeShapeType="1"/>
        </xdr:cNvSpPr>
      </xdr:nvSpPr>
      <xdr:spPr bwMode="auto">
        <a:xfrm flipH="1">
          <a:off x="25269825" y="121253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523875</xdr:colOff>
      <xdr:row>19</xdr:row>
      <xdr:rowOff>0</xdr:rowOff>
    </xdr:from>
    <xdr:to>
      <xdr:col>36</xdr:col>
      <xdr:colOff>228600</xdr:colOff>
      <xdr:row>19</xdr:row>
      <xdr:rowOff>0</xdr:rowOff>
    </xdr:to>
    <xdr:sp macro="" textlink="">
      <xdr:nvSpPr>
        <xdr:cNvPr id="1084" name="Line 94874">
          <a:extLst>
            <a:ext uri="{FF2B5EF4-FFF2-40B4-BE49-F238E27FC236}">
              <a16:creationId xmlns:a16="http://schemas.microsoft.com/office/drawing/2014/main" id="{00000000-0008-0000-0000-00003C040000}"/>
            </a:ext>
          </a:extLst>
        </xdr:cNvPr>
        <xdr:cNvSpPr>
          <a:spLocks noChangeShapeType="1"/>
        </xdr:cNvSpPr>
      </xdr:nvSpPr>
      <xdr:spPr bwMode="auto">
        <a:xfrm>
          <a:off x="25612725" y="3467100"/>
          <a:ext cx="120967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9525</xdr:colOff>
      <xdr:row>19</xdr:row>
      <xdr:rowOff>0</xdr:rowOff>
    </xdr:from>
    <xdr:to>
      <xdr:col>35</xdr:col>
      <xdr:colOff>9525</xdr:colOff>
      <xdr:row>20</xdr:row>
      <xdr:rowOff>152400</xdr:rowOff>
    </xdr:to>
    <xdr:sp macro="" textlink="">
      <xdr:nvSpPr>
        <xdr:cNvPr id="1085" name="Line 94875">
          <a:extLst>
            <a:ext uri="{FF2B5EF4-FFF2-40B4-BE49-F238E27FC236}">
              <a16:creationId xmlns:a16="http://schemas.microsoft.com/office/drawing/2014/main" id="{00000000-0008-0000-0000-00003D040000}"/>
            </a:ext>
          </a:extLst>
        </xdr:cNvPr>
        <xdr:cNvSpPr>
          <a:spLocks noChangeShapeType="1"/>
        </xdr:cNvSpPr>
      </xdr:nvSpPr>
      <xdr:spPr bwMode="auto">
        <a:xfrm flipV="1">
          <a:off x="25850850" y="34671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36</xdr:col>
      <xdr:colOff>0</xdr:colOff>
      <xdr:row>19</xdr:row>
      <xdr:rowOff>0</xdr:rowOff>
    </xdr:from>
    <xdr:to>
      <xdr:col>36</xdr:col>
      <xdr:colOff>0</xdr:colOff>
      <xdr:row>20</xdr:row>
      <xdr:rowOff>152400</xdr:rowOff>
    </xdr:to>
    <xdr:sp macro="" textlink="">
      <xdr:nvSpPr>
        <xdr:cNvPr id="1086" name="Line 94876">
          <a:extLst>
            <a:ext uri="{FF2B5EF4-FFF2-40B4-BE49-F238E27FC236}">
              <a16:creationId xmlns:a16="http://schemas.microsoft.com/office/drawing/2014/main" id="{00000000-0008-0000-0000-00003E040000}"/>
            </a:ext>
          </a:extLst>
        </xdr:cNvPr>
        <xdr:cNvSpPr>
          <a:spLocks noChangeShapeType="1"/>
        </xdr:cNvSpPr>
      </xdr:nvSpPr>
      <xdr:spPr bwMode="auto">
        <a:xfrm flipV="1">
          <a:off x="26593800" y="34671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34</xdr:col>
      <xdr:colOff>533400</xdr:colOff>
      <xdr:row>18</xdr:row>
      <xdr:rowOff>9525</xdr:rowOff>
    </xdr:from>
    <xdr:to>
      <xdr:col>35</xdr:col>
      <xdr:colOff>9525</xdr:colOff>
      <xdr:row>18</xdr:row>
      <xdr:rowOff>161925</xdr:rowOff>
    </xdr:to>
    <xdr:sp macro="" textlink="">
      <xdr:nvSpPr>
        <xdr:cNvPr id="1087" name="Rectangle 94877">
          <a:extLst>
            <a:ext uri="{FF2B5EF4-FFF2-40B4-BE49-F238E27FC236}">
              <a16:creationId xmlns:a16="http://schemas.microsoft.com/office/drawing/2014/main" id="{00000000-0008-0000-0000-00003F040000}"/>
            </a:ext>
          </a:extLst>
        </xdr:cNvPr>
        <xdr:cNvSpPr>
          <a:spLocks noChangeArrowheads="1"/>
        </xdr:cNvSpPr>
      </xdr:nvSpPr>
      <xdr:spPr bwMode="auto">
        <a:xfrm>
          <a:off x="25622250" y="3276600"/>
          <a:ext cx="228600" cy="152400"/>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35</xdr:col>
      <xdr:colOff>19050</xdr:colOff>
      <xdr:row>17</xdr:row>
      <xdr:rowOff>9525</xdr:rowOff>
    </xdr:from>
    <xdr:to>
      <xdr:col>35</xdr:col>
      <xdr:colOff>742950</xdr:colOff>
      <xdr:row>17</xdr:row>
      <xdr:rowOff>161925</xdr:rowOff>
    </xdr:to>
    <xdr:sp macro="" textlink="">
      <xdr:nvSpPr>
        <xdr:cNvPr id="1088" name="Rectangle 94878">
          <a:extLst>
            <a:ext uri="{FF2B5EF4-FFF2-40B4-BE49-F238E27FC236}">
              <a16:creationId xmlns:a16="http://schemas.microsoft.com/office/drawing/2014/main" id="{00000000-0008-0000-0000-000040040000}"/>
            </a:ext>
          </a:extLst>
        </xdr:cNvPr>
        <xdr:cNvSpPr>
          <a:spLocks noChangeArrowheads="1"/>
        </xdr:cNvSpPr>
      </xdr:nvSpPr>
      <xdr:spPr bwMode="auto">
        <a:xfrm>
          <a:off x="25860375" y="3076575"/>
          <a:ext cx="723900" cy="152400"/>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36</xdr:col>
      <xdr:colOff>0</xdr:colOff>
      <xdr:row>18</xdr:row>
      <xdr:rowOff>0</xdr:rowOff>
    </xdr:from>
    <xdr:to>
      <xdr:col>36</xdr:col>
      <xdr:colOff>228600</xdr:colOff>
      <xdr:row>18</xdr:row>
      <xdr:rowOff>161925</xdr:rowOff>
    </xdr:to>
    <xdr:sp macro="" textlink="">
      <xdr:nvSpPr>
        <xdr:cNvPr id="1089" name="Rectangle 94879">
          <a:extLst>
            <a:ext uri="{FF2B5EF4-FFF2-40B4-BE49-F238E27FC236}">
              <a16:creationId xmlns:a16="http://schemas.microsoft.com/office/drawing/2014/main" id="{00000000-0008-0000-0000-000041040000}"/>
            </a:ext>
          </a:extLst>
        </xdr:cNvPr>
        <xdr:cNvSpPr>
          <a:spLocks noChangeArrowheads="1"/>
        </xdr:cNvSpPr>
      </xdr:nvSpPr>
      <xdr:spPr bwMode="auto">
        <a:xfrm>
          <a:off x="26593800" y="3267075"/>
          <a:ext cx="228600" cy="161925"/>
        </a:xfrm>
        <a:prstGeom prst="rect">
          <a:avLst/>
        </a:prstGeom>
        <a:solidFill>
          <a:srgbClr xmlns:mc="http://schemas.openxmlformats.org/markup-compatibility/2006" xmlns:a14="http://schemas.microsoft.com/office/drawing/2010/main" val="FFFFFF" mc:Ignorable="a14" a14:legacySpreadsheetColorIndex="65">
            <a:alpha val="0"/>
          </a:srgbClr>
        </a:solidFill>
        <a:ln w="1905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34</xdr:col>
      <xdr:colOff>523875</xdr:colOff>
      <xdr:row>19</xdr:row>
      <xdr:rowOff>85725</xdr:rowOff>
    </xdr:from>
    <xdr:to>
      <xdr:col>34</xdr:col>
      <xdr:colOff>523875</xdr:colOff>
      <xdr:row>20</xdr:row>
      <xdr:rowOff>85725</xdr:rowOff>
    </xdr:to>
    <xdr:sp macro="" textlink="">
      <xdr:nvSpPr>
        <xdr:cNvPr id="1090" name="Line 94880">
          <a:extLst>
            <a:ext uri="{FF2B5EF4-FFF2-40B4-BE49-F238E27FC236}">
              <a16:creationId xmlns:a16="http://schemas.microsoft.com/office/drawing/2014/main" id="{00000000-0008-0000-0000-000042040000}"/>
            </a:ext>
          </a:extLst>
        </xdr:cNvPr>
        <xdr:cNvSpPr>
          <a:spLocks noChangeShapeType="1"/>
        </xdr:cNvSpPr>
      </xdr:nvSpPr>
      <xdr:spPr bwMode="auto">
        <a:xfrm>
          <a:off x="25612725" y="3552825"/>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219075</xdr:colOff>
      <xdr:row>19</xdr:row>
      <xdr:rowOff>57150</xdr:rowOff>
    </xdr:from>
    <xdr:to>
      <xdr:col>36</xdr:col>
      <xdr:colOff>219075</xdr:colOff>
      <xdr:row>20</xdr:row>
      <xdr:rowOff>66675</xdr:rowOff>
    </xdr:to>
    <xdr:sp macro="" textlink="">
      <xdr:nvSpPr>
        <xdr:cNvPr id="1091" name="Line 94881">
          <a:extLst>
            <a:ext uri="{FF2B5EF4-FFF2-40B4-BE49-F238E27FC236}">
              <a16:creationId xmlns:a16="http://schemas.microsoft.com/office/drawing/2014/main" id="{00000000-0008-0000-0000-000043040000}"/>
            </a:ext>
          </a:extLst>
        </xdr:cNvPr>
        <xdr:cNvSpPr>
          <a:spLocks noChangeShapeType="1"/>
        </xdr:cNvSpPr>
      </xdr:nvSpPr>
      <xdr:spPr bwMode="auto">
        <a:xfrm>
          <a:off x="26812875" y="352425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476250</xdr:colOff>
      <xdr:row>20</xdr:row>
      <xdr:rowOff>9525</xdr:rowOff>
    </xdr:from>
    <xdr:to>
      <xdr:col>36</xdr:col>
      <xdr:colOff>304800</xdr:colOff>
      <xdr:row>20</xdr:row>
      <xdr:rowOff>9525</xdr:rowOff>
    </xdr:to>
    <xdr:sp macro="" textlink="">
      <xdr:nvSpPr>
        <xdr:cNvPr id="1092" name="Line 94882">
          <a:extLst>
            <a:ext uri="{FF2B5EF4-FFF2-40B4-BE49-F238E27FC236}">
              <a16:creationId xmlns:a16="http://schemas.microsoft.com/office/drawing/2014/main" id="{00000000-0008-0000-0000-000044040000}"/>
            </a:ext>
          </a:extLst>
        </xdr:cNvPr>
        <xdr:cNvSpPr>
          <a:spLocks noChangeShapeType="1"/>
        </xdr:cNvSpPr>
      </xdr:nvSpPr>
      <xdr:spPr bwMode="auto">
        <a:xfrm>
          <a:off x="25565100" y="3667125"/>
          <a:ext cx="1333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476250</xdr:colOff>
      <xdr:row>19</xdr:row>
      <xdr:rowOff>180975</xdr:rowOff>
    </xdr:from>
    <xdr:to>
      <xdr:col>34</xdr:col>
      <xdr:colOff>571500</xdr:colOff>
      <xdr:row>20</xdr:row>
      <xdr:rowOff>76200</xdr:rowOff>
    </xdr:to>
    <xdr:sp macro="" textlink="">
      <xdr:nvSpPr>
        <xdr:cNvPr id="1093" name="Line 94883">
          <a:extLst>
            <a:ext uri="{FF2B5EF4-FFF2-40B4-BE49-F238E27FC236}">
              <a16:creationId xmlns:a16="http://schemas.microsoft.com/office/drawing/2014/main" id="{00000000-0008-0000-0000-000045040000}"/>
            </a:ext>
          </a:extLst>
        </xdr:cNvPr>
        <xdr:cNvSpPr>
          <a:spLocks noChangeShapeType="1"/>
        </xdr:cNvSpPr>
      </xdr:nvSpPr>
      <xdr:spPr bwMode="auto">
        <a:xfrm flipH="1">
          <a:off x="25565100" y="364807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714375</xdr:colOff>
      <xdr:row>19</xdr:row>
      <xdr:rowOff>161925</xdr:rowOff>
    </xdr:from>
    <xdr:to>
      <xdr:col>35</xdr:col>
      <xdr:colOff>66675</xdr:colOff>
      <xdr:row>20</xdr:row>
      <xdr:rowOff>66675</xdr:rowOff>
    </xdr:to>
    <xdr:sp macro="" textlink="">
      <xdr:nvSpPr>
        <xdr:cNvPr id="1094" name="Line 94884">
          <a:extLst>
            <a:ext uri="{FF2B5EF4-FFF2-40B4-BE49-F238E27FC236}">
              <a16:creationId xmlns:a16="http://schemas.microsoft.com/office/drawing/2014/main" id="{00000000-0008-0000-0000-000046040000}"/>
            </a:ext>
          </a:extLst>
        </xdr:cNvPr>
        <xdr:cNvSpPr>
          <a:spLocks noChangeShapeType="1"/>
        </xdr:cNvSpPr>
      </xdr:nvSpPr>
      <xdr:spPr bwMode="auto">
        <a:xfrm flipH="1">
          <a:off x="25803225" y="3629025"/>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704850</xdr:colOff>
      <xdr:row>19</xdr:row>
      <xdr:rowOff>171450</xdr:rowOff>
    </xdr:from>
    <xdr:to>
      <xdr:col>36</xdr:col>
      <xdr:colOff>57150</xdr:colOff>
      <xdr:row>20</xdr:row>
      <xdr:rowOff>57150</xdr:rowOff>
    </xdr:to>
    <xdr:sp macro="" textlink="">
      <xdr:nvSpPr>
        <xdr:cNvPr id="1095" name="Line 94885">
          <a:extLst>
            <a:ext uri="{FF2B5EF4-FFF2-40B4-BE49-F238E27FC236}">
              <a16:creationId xmlns:a16="http://schemas.microsoft.com/office/drawing/2014/main" id="{00000000-0008-0000-0000-000047040000}"/>
            </a:ext>
          </a:extLst>
        </xdr:cNvPr>
        <xdr:cNvSpPr>
          <a:spLocks noChangeShapeType="1"/>
        </xdr:cNvSpPr>
      </xdr:nvSpPr>
      <xdr:spPr bwMode="auto">
        <a:xfrm flipH="1">
          <a:off x="26546175" y="3638550"/>
          <a:ext cx="10477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36</xdr:col>
      <xdr:colOff>180975</xdr:colOff>
      <xdr:row>19</xdr:row>
      <xdr:rowOff>171450</xdr:rowOff>
    </xdr:from>
    <xdr:to>
      <xdr:col>36</xdr:col>
      <xdr:colOff>266700</xdr:colOff>
      <xdr:row>20</xdr:row>
      <xdr:rowOff>57150</xdr:rowOff>
    </xdr:to>
    <xdr:sp macro="" textlink="">
      <xdr:nvSpPr>
        <xdr:cNvPr id="1096" name="Line 94886">
          <a:extLst>
            <a:ext uri="{FF2B5EF4-FFF2-40B4-BE49-F238E27FC236}">
              <a16:creationId xmlns:a16="http://schemas.microsoft.com/office/drawing/2014/main" id="{00000000-0008-0000-0000-000048040000}"/>
            </a:ext>
          </a:extLst>
        </xdr:cNvPr>
        <xdr:cNvSpPr>
          <a:spLocks noChangeShapeType="1"/>
        </xdr:cNvSpPr>
      </xdr:nvSpPr>
      <xdr:spPr bwMode="auto">
        <a:xfrm flipH="1">
          <a:off x="26774775" y="3638550"/>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35</xdr:col>
      <xdr:colOff>257175</xdr:colOff>
      <xdr:row>17</xdr:row>
      <xdr:rowOff>123825</xdr:rowOff>
    </xdr:from>
    <xdr:to>
      <xdr:col>35</xdr:col>
      <xdr:colOff>295275</xdr:colOff>
      <xdr:row>18</xdr:row>
      <xdr:rowOff>47625</xdr:rowOff>
    </xdr:to>
    <xdr:sp macro="" textlink="">
      <xdr:nvSpPr>
        <xdr:cNvPr id="1097" name="Line 94888">
          <a:extLst>
            <a:ext uri="{FF2B5EF4-FFF2-40B4-BE49-F238E27FC236}">
              <a16:creationId xmlns:a16="http://schemas.microsoft.com/office/drawing/2014/main" id="{00000000-0008-0000-0000-000049040000}"/>
            </a:ext>
          </a:extLst>
        </xdr:cNvPr>
        <xdr:cNvSpPr>
          <a:spLocks noChangeShapeType="1"/>
        </xdr:cNvSpPr>
      </xdr:nvSpPr>
      <xdr:spPr bwMode="auto">
        <a:xfrm flipH="1" flipV="1">
          <a:off x="26098500" y="3190875"/>
          <a:ext cx="381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466725</xdr:colOff>
      <xdr:row>19</xdr:row>
      <xdr:rowOff>114300</xdr:rowOff>
    </xdr:from>
    <xdr:to>
      <xdr:col>35</xdr:col>
      <xdr:colOff>9525</xdr:colOff>
      <xdr:row>19</xdr:row>
      <xdr:rowOff>171450</xdr:rowOff>
    </xdr:to>
    <xdr:sp macro="" textlink="">
      <xdr:nvSpPr>
        <xdr:cNvPr id="1098" name="Line 94922">
          <a:extLst>
            <a:ext uri="{FF2B5EF4-FFF2-40B4-BE49-F238E27FC236}">
              <a16:creationId xmlns:a16="http://schemas.microsoft.com/office/drawing/2014/main" id="{00000000-0008-0000-0000-00004A040000}"/>
            </a:ext>
          </a:extLst>
        </xdr:cNvPr>
        <xdr:cNvSpPr>
          <a:spLocks noChangeShapeType="1"/>
        </xdr:cNvSpPr>
      </xdr:nvSpPr>
      <xdr:spPr bwMode="auto">
        <a:xfrm>
          <a:off x="25555575" y="3581400"/>
          <a:ext cx="2952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628650</xdr:colOff>
      <xdr:row>179</xdr:row>
      <xdr:rowOff>38100</xdr:rowOff>
    </xdr:from>
    <xdr:to>
      <xdr:col>6</xdr:col>
      <xdr:colOff>485775</xdr:colOff>
      <xdr:row>180</xdr:row>
      <xdr:rowOff>180975</xdr:rowOff>
    </xdr:to>
    <xdr:sp macro="" textlink="">
      <xdr:nvSpPr>
        <xdr:cNvPr id="1099" name="AutoShape 59">
          <a:extLst>
            <a:ext uri="{FF2B5EF4-FFF2-40B4-BE49-F238E27FC236}">
              <a16:creationId xmlns:a16="http://schemas.microsoft.com/office/drawing/2014/main" id="{00000000-0008-0000-0000-00004B040000}"/>
            </a:ext>
          </a:extLst>
        </xdr:cNvPr>
        <xdr:cNvSpPr>
          <a:spLocks noChangeArrowheads="1"/>
        </xdr:cNvSpPr>
      </xdr:nvSpPr>
      <xdr:spPr bwMode="auto">
        <a:xfrm flipH="1" flipV="1">
          <a:off x="3286125" y="34699575"/>
          <a:ext cx="609600" cy="342900"/>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209550</xdr:colOff>
      <xdr:row>177</xdr:row>
      <xdr:rowOff>123825</xdr:rowOff>
    </xdr:from>
    <xdr:to>
      <xdr:col>6</xdr:col>
      <xdr:colOff>209550</xdr:colOff>
      <xdr:row>179</xdr:row>
      <xdr:rowOff>38100</xdr:rowOff>
    </xdr:to>
    <xdr:sp macro="" textlink="">
      <xdr:nvSpPr>
        <xdr:cNvPr id="1100" name="Line 60">
          <a:extLst>
            <a:ext uri="{FF2B5EF4-FFF2-40B4-BE49-F238E27FC236}">
              <a16:creationId xmlns:a16="http://schemas.microsoft.com/office/drawing/2014/main" id="{00000000-0008-0000-0000-00004C040000}"/>
            </a:ext>
          </a:extLst>
        </xdr:cNvPr>
        <xdr:cNvSpPr>
          <a:spLocks noChangeShapeType="1"/>
        </xdr:cNvSpPr>
      </xdr:nvSpPr>
      <xdr:spPr bwMode="auto">
        <a:xfrm>
          <a:off x="3619500" y="344043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6</xdr:col>
      <xdr:colOff>495300</xdr:colOff>
      <xdr:row>180</xdr:row>
      <xdr:rowOff>0</xdr:rowOff>
    </xdr:from>
    <xdr:to>
      <xdr:col>6</xdr:col>
      <xdr:colOff>914400</xdr:colOff>
      <xdr:row>180</xdr:row>
      <xdr:rowOff>0</xdr:rowOff>
    </xdr:to>
    <xdr:sp macro="" textlink="">
      <xdr:nvSpPr>
        <xdr:cNvPr id="1101" name="Line 61">
          <a:extLst>
            <a:ext uri="{FF2B5EF4-FFF2-40B4-BE49-F238E27FC236}">
              <a16:creationId xmlns:a16="http://schemas.microsoft.com/office/drawing/2014/main" id="{00000000-0008-0000-0000-00004D040000}"/>
            </a:ext>
          </a:extLst>
        </xdr:cNvPr>
        <xdr:cNvSpPr>
          <a:spLocks noChangeShapeType="1"/>
        </xdr:cNvSpPr>
      </xdr:nvSpPr>
      <xdr:spPr bwMode="auto">
        <a:xfrm flipH="1">
          <a:off x="3905250" y="34861500"/>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742950</xdr:colOff>
      <xdr:row>179</xdr:row>
      <xdr:rowOff>209550</xdr:rowOff>
    </xdr:from>
    <xdr:to>
      <xdr:col>6</xdr:col>
      <xdr:colOff>161925</xdr:colOff>
      <xdr:row>181</xdr:row>
      <xdr:rowOff>66675</xdr:rowOff>
    </xdr:to>
    <xdr:sp macro="" textlink="">
      <xdr:nvSpPr>
        <xdr:cNvPr id="1102" name="Line 62">
          <a:extLst>
            <a:ext uri="{FF2B5EF4-FFF2-40B4-BE49-F238E27FC236}">
              <a16:creationId xmlns:a16="http://schemas.microsoft.com/office/drawing/2014/main" id="{00000000-0008-0000-0000-00004E040000}"/>
            </a:ext>
          </a:extLst>
        </xdr:cNvPr>
        <xdr:cNvSpPr>
          <a:spLocks noChangeShapeType="1"/>
        </xdr:cNvSpPr>
      </xdr:nvSpPr>
      <xdr:spPr bwMode="auto">
        <a:xfrm flipV="1">
          <a:off x="3400425" y="34861500"/>
          <a:ext cx="17145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619125</xdr:colOff>
      <xdr:row>176</xdr:row>
      <xdr:rowOff>152400</xdr:rowOff>
    </xdr:from>
    <xdr:to>
      <xdr:col>5</xdr:col>
      <xdr:colOff>619125</xdr:colOff>
      <xdr:row>178</xdr:row>
      <xdr:rowOff>180975</xdr:rowOff>
    </xdr:to>
    <xdr:sp macro="" textlink="">
      <xdr:nvSpPr>
        <xdr:cNvPr id="1104" name="Line 74">
          <a:extLst>
            <a:ext uri="{FF2B5EF4-FFF2-40B4-BE49-F238E27FC236}">
              <a16:creationId xmlns:a16="http://schemas.microsoft.com/office/drawing/2014/main" id="{00000000-0008-0000-0000-000050040000}"/>
            </a:ext>
          </a:extLst>
        </xdr:cNvPr>
        <xdr:cNvSpPr>
          <a:spLocks noChangeShapeType="1"/>
        </xdr:cNvSpPr>
      </xdr:nvSpPr>
      <xdr:spPr bwMode="auto">
        <a:xfrm flipV="1">
          <a:off x="3276600" y="342423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495300</xdr:colOff>
      <xdr:row>176</xdr:row>
      <xdr:rowOff>152400</xdr:rowOff>
    </xdr:from>
    <xdr:to>
      <xdr:col>6</xdr:col>
      <xdr:colOff>495300</xdr:colOff>
      <xdr:row>178</xdr:row>
      <xdr:rowOff>142875</xdr:rowOff>
    </xdr:to>
    <xdr:sp macro="" textlink="">
      <xdr:nvSpPr>
        <xdr:cNvPr id="1105" name="Line 75">
          <a:extLst>
            <a:ext uri="{FF2B5EF4-FFF2-40B4-BE49-F238E27FC236}">
              <a16:creationId xmlns:a16="http://schemas.microsoft.com/office/drawing/2014/main" id="{00000000-0008-0000-0000-000051040000}"/>
            </a:ext>
          </a:extLst>
        </xdr:cNvPr>
        <xdr:cNvSpPr>
          <a:spLocks noChangeShapeType="1"/>
        </xdr:cNvSpPr>
      </xdr:nvSpPr>
      <xdr:spPr bwMode="auto">
        <a:xfrm flipV="1">
          <a:off x="3905250" y="342423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177</xdr:row>
      <xdr:rowOff>9525</xdr:rowOff>
    </xdr:from>
    <xdr:to>
      <xdr:col>6</xdr:col>
      <xdr:colOff>561975</xdr:colOff>
      <xdr:row>177</xdr:row>
      <xdr:rowOff>9525</xdr:rowOff>
    </xdr:to>
    <xdr:sp macro="" textlink="">
      <xdr:nvSpPr>
        <xdr:cNvPr id="1106" name="Line 76">
          <a:extLst>
            <a:ext uri="{FF2B5EF4-FFF2-40B4-BE49-F238E27FC236}">
              <a16:creationId xmlns:a16="http://schemas.microsoft.com/office/drawing/2014/main" id="{00000000-0008-0000-0000-000052040000}"/>
            </a:ext>
          </a:extLst>
        </xdr:cNvPr>
        <xdr:cNvSpPr>
          <a:spLocks noChangeShapeType="1"/>
        </xdr:cNvSpPr>
      </xdr:nvSpPr>
      <xdr:spPr bwMode="auto">
        <a:xfrm>
          <a:off x="3257550" y="34290000"/>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552450</xdr:colOff>
      <xdr:row>179</xdr:row>
      <xdr:rowOff>38100</xdr:rowOff>
    </xdr:from>
    <xdr:to>
      <xdr:col>6</xdr:col>
      <xdr:colOff>1076325</xdr:colOff>
      <xdr:row>179</xdr:row>
      <xdr:rowOff>38100</xdr:rowOff>
    </xdr:to>
    <xdr:sp macro="" textlink="">
      <xdr:nvSpPr>
        <xdr:cNvPr id="1107" name="Line 77">
          <a:extLst>
            <a:ext uri="{FF2B5EF4-FFF2-40B4-BE49-F238E27FC236}">
              <a16:creationId xmlns:a16="http://schemas.microsoft.com/office/drawing/2014/main" id="{00000000-0008-0000-0000-000053040000}"/>
            </a:ext>
          </a:extLst>
        </xdr:cNvPr>
        <xdr:cNvSpPr>
          <a:spLocks noChangeShapeType="1"/>
        </xdr:cNvSpPr>
      </xdr:nvSpPr>
      <xdr:spPr bwMode="auto">
        <a:xfrm>
          <a:off x="3962400" y="3469957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533400</xdr:colOff>
      <xdr:row>181</xdr:row>
      <xdr:rowOff>0</xdr:rowOff>
    </xdr:from>
    <xdr:to>
      <xdr:col>6</xdr:col>
      <xdr:colOff>1057275</xdr:colOff>
      <xdr:row>181</xdr:row>
      <xdr:rowOff>0</xdr:rowOff>
    </xdr:to>
    <xdr:sp macro="" textlink="">
      <xdr:nvSpPr>
        <xdr:cNvPr id="1108" name="Line 78">
          <a:extLst>
            <a:ext uri="{FF2B5EF4-FFF2-40B4-BE49-F238E27FC236}">
              <a16:creationId xmlns:a16="http://schemas.microsoft.com/office/drawing/2014/main" id="{00000000-0008-0000-0000-000054040000}"/>
            </a:ext>
          </a:extLst>
        </xdr:cNvPr>
        <xdr:cNvSpPr>
          <a:spLocks noChangeShapeType="1"/>
        </xdr:cNvSpPr>
      </xdr:nvSpPr>
      <xdr:spPr bwMode="auto">
        <a:xfrm>
          <a:off x="3943350" y="3505200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962025</xdr:colOff>
      <xdr:row>178</xdr:row>
      <xdr:rowOff>171450</xdr:rowOff>
    </xdr:from>
    <xdr:to>
      <xdr:col>6</xdr:col>
      <xdr:colOff>962025</xdr:colOff>
      <xdr:row>181</xdr:row>
      <xdr:rowOff>57150</xdr:rowOff>
    </xdr:to>
    <xdr:sp macro="" textlink="">
      <xdr:nvSpPr>
        <xdr:cNvPr id="1109" name="Line 79">
          <a:extLst>
            <a:ext uri="{FF2B5EF4-FFF2-40B4-BE49-F238E27FC236}">
              <a16:creationId xmlns:a16="http://schemas.microsoft.com/office/drawing/2014/main" id="{00000000-0008-0000-0000-000055040000}"/>
            </a:ext>
          </a:extLst>
        </xdr:cNvPr>
        <xdr:cNvSpPr>
          <a:spLocks noChangeShapeType="1"/>
        </xdr:cNvSpPr>
      </xdr:nvSpPr>
      <xdr:spPr bwMode="auto">
        <a:xfrm>
          <a:off x="4371975" y="34642425"/>
          <a:ext cx="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914400</xdr:colOff>
      <xdr:row>178</xdr:row>
      <xdr:rowOff>180975</xdr:rowOff>
    </xdr:from>
    <xdr:to>
      <xdr:col>6</xdr:col>
      <xdr:colOff>1009650</xdr:colOff>
      <xdr:row>179</xdr:row>
      <xdr:rowOff>85725</xdr:rowOff>
    </xdr:to>
    <xdr:sp macro="" textlink="">
      <xdr:nvSpPr>
        <xdr:cNvPr id="1110" name="Line 81">
          <a:extLst>
            <a:ext uri="{FF2B5EF4-FFF2-40B4-BE49-F238E27FC236}">
              <a16:creationId xmlns:a16="http://schemas.microsoft.com/office/drawing/2014/main" id="{00000000-0008-0000-0000-000056040000}"/>
            </a:ext>
          </a:extLst>
        </xdr:cNvPr>
        <xdr:cNvSpPr>
          <a:spLocks noChangeShapeType="1"/>
        </xdr:cNvSpPr>
      </xdr:nvSpPr>
      <xdr:spPr bwMode="auto">
        <a:xfrm flipH="1">
          <a:off x="4324350" y="346519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895350</xdr:colOff>
      <xdr:row>180</xdr:row>
      <xdr:rowOff>161925</xdr:rowOff>
    </xdr:from>
    <xdr:to>
      <xdr:col>6</xdr:col>
      <xdr:colOff>1000125</xdr:colOff>
      <xdr:row>181</xdr:row>
      <xdr:rowOff>76200</xdr:rowOff>
    </xdr:to>
    <xdr:sp macro="" textlink="">
      <xdr:nvSpPr>
        <xdr:cNvPr id="1111" name="Line 82">
          <a:extLst>
            <a:ext uri="{FF2B5EF4-FFF2-40B4-BE49-F238E27FC236}">
              <a16:creationId xmlns:a16="http://schemas.microsoft.com/office/drawing/2014/main" id="{00000000-0008-0000-0000-000057040000}"/>
            </a:ext>
          </a:extLst>
        </xdr:cNvPr>
        <xdr:cNvSpPr>
          <a:spLocks noChangeShapeType="1"/>
        </xdr:cNvSpPr>
      </xdr:nvSpPr>
      <xdr:spPr bwMode="auto">
        <a:xfrm flipH="1">
          <a:off x="4305300" y="3502342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571500</xdr:colOff>
      <xdr:row>176</xdr:row>
      <xdr:rowOff>142875</xdr:rowOff>
    </xdr:from>
    <xdr:to>
      <xdr:col>5</xdr:col>
      <xdr:colOff>676275</xdr:colOff>
      <xdr:row>177</xdr:row>
      <xdr:rowOff>57150</xdr:rowOff>
    </xdr:to>
    <xdr:sp macro="" textlink="">
      <xdr:nvSpPr>
        <xdr:cNvPr id="1112" name="Line 83">
          <a:extLst>
            <a:ext uri="{FF2B5EF4-FFF2-40B4-BE49-F238E27FC236}">
              <a16:creationId xmlns:a16="http://schemas.microsoft.com/office/drawing/2014/main" id="{00000000-0008-0000-0000-000058040000}"/>
            </a:ext>
          </a:extLst>
        </xdr:cNvPr>
        <xdr:cNvSpPr>
          <a:spLocks noChangeShapeType="1"/>
        </xdr:cNvSpPr>
      </xdr:nvSpPr>
      <xdr:spPr bwMode="auto">
        <a:xfrm flipH="1">
          <a:off x="3228975" y="342328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438150</xdr:colOff>
      <xdr:row>176</xdr:row>
      <xdr:rowOff>142875</xdr:rowOff>
    </xdr:from>
    <xdr:to>
      <xdr:col>6</xdr:col>
      <xdr:colOff>552450</xdr:colOff>
      <xdr:row>177</xdr:row>
      <xdr:rowOff>66675</xdr:rowOff>
    </xdr:to>
    <xdr:sp macro="" textlink="">
      <xdr:nvSpPr>
        <xdr:cNvPr id="1113" name="Line 84">
          <a:extLst>
            <a:ext uri="{FF2B5EF4-FFF2-40B4-BE49-F238E27FC236}">
              <a16:creationId xmlns:a16="http://schemas.microsoft.com/office/drawing/2014/main" id="{00000000-0008-0000-0000-000059040000}"/>
            </a:ext>
          </a:extLst>
        </xdr:cNvPr>
        <xdr:cNvSpPr>
          <a:spLocks noChangeShapeType="1"/>
        </xdr:cNvSpPr>
      </xdr:nvSpPr>
      <xdr:spPr bwMode="auto">
        <a:xfrm flipH="1">
          <a:off x="3848100" y="342328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381000</xdr:colOff>
      <xdr:row>179</xdr:row>
      <xdr:rowOff>66675</xdr:rowOff>
    </xdr:from>
    <xdr:to>
      <xdr:col>5</xdr:col>
      <xdr:colOff>600075</xdr:colOff>
      <xdr:row>181</xdr:row>
      <xdr:rowOff>19050</xdr:rowOff>
    </xdr:to>
    <xdr:sp macro="" textlink="">
      <xdr:nvSpPr>
        <xdr:cNvPr id="1114" name="Line 85">
          <a:extLst>
            <a:ext uri="{FF2B5EF4-FFF2-40B4-BE49-F238E27FC236}">
              <a16:creationId xmlns:a16="http://schemas.microsoft.com/office/drawing/2014/main" id="{00000000-0008-0000-0000-00005A040000}"/>
            </a:ext>
          </a:extLst>
        </xdr:cNvPr>
        <xdr:cNvSpPr>
          <a:spLocks noChangeShapeType="1"/>
        </xdr:cNvSpPr>
      </xdr:nvSpPr>
      <xdr:spPr bwMode="auto">
        <a:xfrm flipH="1">
          <a:off x="3038475" y="34728150"/>
          <a:ext cx="219075"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238125</xdr:colOff>
      <xdr:row>181</xdr:row>
      <xdr:rowOff>19050</xdr:rowOff>
    </xdr:from>
    <xdr:to>
      <xdr:col>6</xdr:col>
      <xdr:colOff>457200</xdr:colOff>
      <xdr:row>183</xdr:row>
      <xdr:rowOff>9525</xdr:rowOff>
    </xdr:to>
    <xdr:sp macro="" textlink="">
      <xdr:nvSpPr>
        <xdr:cNvPr id="1115" name="Line 86">
          <a:extLst>
            <a:ext uri="{FF2B5EF4-FFF2-40B4-BE49-F238E27FC236}">
              <a16:creationId xmlns:a16="http://schemas.microsoft.com/office/drawing/2014/main" id="{00000000-0008-0000-0000-00005B040000}"/>
            </a:ext>
          </a:extLst>
        </xdr:cNvPr>
        <xdr:cNvSpPr>
          <a:spLocks noChangeShapeType="1"/>
        </xdr:cNvSpPr>
      </xdr:nvSpPr>
      <xdr:spPr bwMode="auto">
        <a:xfrm flipH="1">
          <a:off x="3648075" y="35071050"/>
          <a:ext cx="219075"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371475</xdr:colOff>
      <xdr:row>180</xdr:row>
      <xdr:rowOff>161925</xdr:rowOff>
    </xdr:from>
    <xdr:to>
      <xdr:col>6</xdr:col>
      <xdr:colOff>314325</xdr:colOff>
      <xdr:row>183</xdr:row>
      <xdr:rowOff>0</xdr:rowOff>
    </xdr:to>
    <xdr:sp macro="" textlink="">
      <xdr:nvSpPr>
        <xdr:cNvPr id="1116" name="Line 87">
          <a:extLst>
            <a:ext uri="{FF2B5EF4-FFF2-40B4-BE49-F238E27FC236}">
              <a16:creationId xmlns:a16="http://schemas.microsoft.com/office/drawing/2014/main" id="{00000000-0008-0000-0000-00005C040000}"/>
            </a:ext>
          </a:extLst>
        </xdr:cNvPr>
        <xdr:cNvSpPr>
          <a:spLocks noChangeShapeType="1"/>
        </xdr:cNvSpPr>
      </xdr:nvSpPr>
      <xdr:spPr bwMode="auto">
        <a:xfrm flipH="1" flipV="1">
          <a:off x="3028950" y="35023425"/>
          <a:ext cx="695325"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247650</xdr:colOff>
      <xdr:row>175</xdr:row>
      <xdr:rowOff>104775</xdr:rowOff>
    </xdr:from>
    <xdr:to>
      <xdr:col>6</xdr:col>
      <xdr:colOff>1247775</xdr:colOff>
      <xdr:row>183</xdr:row>
      <xdr:rowOff>180975</xdr:rowOff>
    </xdr:to>
    <xdr:sp macro="" textlink="">
      <xdr:nvSpPr>
        <xdr:cNvPr id="1117" name="Oval 88">
          <a:extLst>
            <a:ext uri="{FF2B5EF4-FFF2-40B4-BE49-F238E27FC236}">
              <a16:creationId xmlns:a16="http://schemas.microsoft.com/office/drawing/2014/main" id="{00000000-0008-0000-0000-00005D040000}"/>
            </a:ext>
          </a:extLst>
        </xdr:cNvPr>
        <xdr:cNvSpPr>
          <a:spLocks noChangeArrowheads="1"/>
        </xdr:cNvSpPr>
      </xdr:nvSpPr>
      <xdr:spPr bwMode="auto">
        <a:xfrm>
          <a:off x="2905125" y="34004250"/>
          <a:ext cx="1752600" cy="160972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3</xdr:col>
      <xdr:colOff>219075</xdr:colOff>
      <xdr:row>178</xdr:row>
      <xdr:rowOff>104775</xdr:rowOff>
    </xdr:from>
    <xdr:to>
      <xdr:col>5</xdr:col>
      <xdr:colOff>295275</xdr:colOff>
      <xdr:row>179</xdr:row>
      <xdr:rowOff>57150</xdr:rowOff>
    </xdr:to>
    <xdr:sp macro="" textlink="">
      <xdr:nvSpPr>
        <xdr:cNvPr id="1118" name="Line 89">
          <a:extLst>
            <a:ext uri="{FF2B5EF4-FFF2-40B4-BE49-F238E27FC236}">
              <a16:creationId xmlns:a16="http://schemas.microsoft.com/office/drawing/2014/main" id="{00000000-0008-0000-0000-00005E040000}"/>
            </a:ext>
          </a:extLst>
        </xdr:cNvPr>
        <xdr:cNvSpPr>
          <a:spLocks noChangeShapeType="1"/>
        </xdr:cNvSpPr>
      </xdr:nvSpPr>
      <xdr:spPr bwMode="auto">
        <a:xfrm flipV="1">
          <a:off x="2181225" y="34575750"/>
          <a:ext cx="7715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174</xdr:row>
      <xdr:rowOff>66675</xdr:rowOff>
    </xdr:from>
    <xdr:to>
      <xdr:col>2</xdr:col>
      <xdr:colOff>381000</xdr:colOff>
      <xdr:row>176</xdr:row>
      <xdr:rowOff>66675</xdr:rowOff>
    </xdr:to>
    <xdr:sp macro="" textlink="">
      <xdr:nvSpPr>
        <xdr:cNvPr id="1119" name="Tegning 312">
          <a:extLst>
            <a:ext uri="{FF2B5EF4-FFF2-40B4-BE49-F238E27FC236}">
              <a16:creationId xmlns:a16="http://schemas.microsoft.com/office/drawing/2014/main" id="{00000000-0008-0000-0000-00005F040000}"/>
            </a:ext>
          </a:extLst>
        </xdr:cNvPr>
        <xdr:cNvSpPr>
          <a:spLocks/>
        </xdr:cNvSpPr>
      </xdr:nvSpPr>
      <xdr:spPr bwMode="auto">
        <a:xfrm>
          <a:off x="1543050" y="33775650"/>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580792</xdr:colOff>
      <xdr:row>179</xdr:row>
      <xdr:rowOff>180975</xdr:rowOff>
    </xdr:from>
    <xdr:to>
      <xdr:col>3</xdr:col>
      <xdr:colOff>88280</xdr:colOff>
      <xdr:row>180</xdr:row>
      <xdr:rowOff>55756</xdr:rowOff>
    </xdr:to>
    <xdr:sp macro="" textlink="">
      <xdr:nvSpPr>
        <xdr:cNvPr id="1120" name="AutoShape 130">
          <a:extLst>
            <a:ext uri="{FF2B5EF4-FFF2-40B4-BE49-F238E27FC236}">
              <a16:creationId xmlns:a16="http://schemas.microsoft.com/office/drawing/2014/main" id="{00000000-0008-0000-0000-000060040000}"/>
            </a:ext>
          </a:extLst>
        </xdr:cNvPr>
        <xdr:cNvSpPr>
          <a:spLocks noChangeArrowheads="1"/>
        </xdr:cNvSpPr>
      </xdr:nvSpPr>
      <xdr:spPr bwMode="auto">
        <a:xfrm flipH="1" flipV="1">
          <a:off x="1960755" y="35005304"/>
          <a:ext cx="88281" cy="74574"/>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11</xdr:col>
          <xdr:colOff>28575</xdr:colOff>
          <xdr:row>175</xdr:row>
          <xdr:rowOff>28575</xdr:rowOff>
        </xdr:from>
        <xdr:to>
          <xdr:col>12</xdr:col>
          <xdr:colOff>257175</xdr:colOff>
          <xdr:row>176</xdr:row>
          <xdr:rowOff>57150</xdr:rowOff>
        </xdr:to>
        <xdr:sp macro="" textlink="">
          <xdr:nvSpPr>
            <xdr:cNvPr id="5" name="Button 40" hidden="1">
              <a:extLst>
                <a:ext uri="{63B3BB69-23CF-44E3-9099-C40C66FF867C}">
                  <a14:compatExt spid="_x0000_s1064"/>
                </a:ext>
                <a:ext uri="{FF2B5EF4-FFF2-40B4-BE49-F238E27FC236}">
                  <a16:creationId xmlns:a16="http://schemas.microsoft.com/office/drawing/2014/main" id="{00000000-0008-0000-0000-000005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MT"/>
                </a:rPr>
                <a:t>Optimer</a:t>
              </a:r>
            </a:p>
          </xdr:txBody>
        </xdr:sp>
        <xdr:clientData fLocksWithSheet="0" fPrintsWithSheet="0"/>
      </xdr:twoCellAnchor>
    </mc:Choice>
    <mc:Fallback/>
  </mc:AlternateContent>
  <xdr:twoCellAnchor>
    <xdr:from>
      <xdr:col>1</xdr:col>
      <xdr:colOff>247650</xdr:colOff>
      <xdr:row>174</xdr:row>
      <xdr:rowOff>76200</xdr:rowOff>
    </xdr:from>
    <xdr:to>
      <xdr:col>2</xdr:col>
      <xdr:colOff>457200</xdr:colOff>
      <xdr:row>177</xdr:row>
      <xdr:rowOff>76200</xdr:rowOff>
    </xdr:to>
    <xdr:sp macro="" textlink="">
      <xdr:nvSpPr>
        <xdr:cNvPr id="1122" name="Freeform 97083">
          <a:extLst>
            <a:ext uri="{FF2B5EF4-FFF2-40B4-BE49-F238E27FC236}">
              <a16:creationId xmlns:a16="http://schemas.microsoft.com/office/drawing/2014/main" id="{00000000-0008-0000-0000-000062040000}"/>
            </a:ext>
          </a:extLst>
        </xdr:cNvPr>
        <xdr:cNvSpPr>
          <a:spLocks/>
        </xdr:cNvSpPr>
      </xdr:nvSpPr>
      <xdr:spPr bwMode="auto">
        <a:xfrm>
          <a:off x="1381125" y="33785175"/>
          <a:ext cx="457200" cy="571500"/>
        </a:xfrm>
        <a:custGeom>
          <a:avLst/>
          <a:gdLst>
            <a:gd name="T0" fmla="*/ 0 w 57"/>
            <a:gd name="T1" fmla="*/ 0 h 49"/>
            <a:gd name="T2" fmla="*/ 2147483647 w 57"/>
            <a:gd name="T3" fmla="*/ 0 h 49"/>
            <a:gd name="T4" fmla="*/ 2147483647 w 57"/>
            <a:gd name="T5" fmla="*/ 2147483647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409575</xdr:colOff>
      <xdr:row>174</xdr:row>
      <xdr:rowOff>123825</xdr:rowOff>
    </xdr:from>
    <xdr:to>
      <xdr:col>2</xdr:col>
      <xdr:colOff>409575</xdr:colOff>
      <xdr:row>176</xdr:row>
      <xdr:rowOff>47625</xdr:rowOff>
    </xdr:to>
    <xdr:sp macro="" textlink="">
      <xdr:nvSpPr>
        <xdr:cNvPr id="1123" name="Line 97084">
          <a:extLst>
            <a:ext uri="{FF2B5EF4-FFF2-40B4-BE49-F238E27FC236}">
              <a16:creationId xmlns:a16="http://schemas.microsoft.com/office/drawing/2014/main" id="{00000000-0008-0000-0000-000063040000}"/>
            </a:ext>
          </a:extLst>
        </xdr:cNvPr>
        <xdr:cNvSpPr>
          <a:spLocks noChangeShapeType="1"/>
        </xdr:cNvSpPr>
      </xdr:nvSpPr>
      <xdr:spPr bwMode="auto">
        <a:xfrm>
          <a:off x="1790700" y="338328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180975</xdr:colOff>
      <xdr:row>174</xdr:row>
      <xdr:rowOff>104775</xdr:rowOff>
    </xdr:from>
    <xdr:to>
      <xdr:col>2</xdr:col>
      <xdr:colOff>180975</xdr:colOff>
      <xdr:row>176</xdr:row>
      <xdr:rowOff>28575</xdr:rowOff>
    </xdr:to>
    <xdr:sp macro="" textlink="">
      <xdr:nvSpPr>
        <xdr:cNvPr id="1124" name="Line 97085">
          <a:extLst>
            <a:ext uri="{FF2B5EF4-FFF2-40B4-BE49-F238E27FC236}">
              <a16:creationId xmlns:a16="http://schemas.microsoft.com/office/drawing/2014/main" id="{00000000-0008-0000-0000-000064040000}"/>
            </a:ext>
          </a:extLst>
        </xdr:cNvPr>
        <xdr:cNvSpPr>
          <a:spLocks noChangeShapeType="1"/>
        </xdr:cNvSpPr>
      </xdr:nvSpPr>
      <xdr:spPr bwMode="auto">
        <a:xfrm>
          <a:off x="1562100" y="338137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176</xdr:row>
      <xdr:rowOff>28575</xdr:rowOff>
    </xdr:from>
    <xdr:to>
      <xdr:col>2</xdr:col>
      <xdr:colOff>542925</xdr:colOff>
      <xdr:row>177</xdr:row>
      <xdr:rowOff>47625</xdr:rowOff>
    </xdr:to>
    <xdr:sp macro="" textlink="">
      <xdr:nvSpPr>
        <xdr:cNvPr id="1125" name="Line 97086">
          <a:extLst>
            <a:ext uri="{FF2B5EF4-FFF2-40B4-BE49-F238E27FC236}">
              <a16:creationId xmlns:a16="http://schemas.microsoft.com/office/drawing/2014/main" id="{00000000-0008-0000-0000-000065040000}"/>
            </a:ext>
          </a:extLst>
        </xdr:cNvPr>
        <xdr:cNvSpPr>
          <a:spLocks noChangeShapeType="1"/>
        </xdr:cNvSpPr>
      </xdr:nvSpPr>
      <xdr:spPr bwMode="auto">
        <a:xfrm>
          <a:off x="1924050" y="341185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1143000</xdr:colOff>
      <xdr:row>176</xdr:row>
      <xdr:rowOff>0</xdr:rowOff>
    </xdr:from>
    <xdr:to>
      <xdr:col>3</xdr:col>
      <xdr:colOff>200025</xdr:colOff>
      <xdr:row>176</xdr:row>
      <xdr:rowOff>0</xdr:rowOff>
    </xdr:to>
    <xdr:sp macro="" textlink="">
      <xdr:nvSpPr>
        <xdr:cNvPr id="1126" name="Line 97087">
          <a:extLst>
            <a:ext uri="{FF2B5EF4-FFF2-40B4-BE49-F238E27FC236}">
              <a16:creationId xmlns:a16="http://schemas.microsoft.com/office/drawing/2014/main" id="{00000000-0008-0000-0000-000066040000}"/>
            </a:ext>
          </a:extLst>
        </xdr:cNvPr>
        <xdr:cNvSpPr>
          <a:spLocks noChangeShapeType="1"/>
        </xdr:cNvSpPr>
      </xdr:nvSpPr>
      <xdr:spPr bwMode="auto">
        <a:xfrm flipH="1">
          <a:off x="1143000" y="34089975"/>
          <a:ext cx="1019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175</xdr:row>
      <xdr:rowOff>152400</xdr:rowOff>
    </xdr:from>
    <xdr:to>
      <xdr:col>2</xdr:col>
      <xdr:colOff>209550</xdr:colOff>
      <xdr:row>176</xdr:row>
      <xdr:rowOff>19050</xdr:rowOff>
    </xdr:to>
    <xdr:sp macro="" textlink="">
      <xdr:nvSpPr>
        <xdr:cNvPr id="1127" name="Line 97088">
          <a:extLst>
            <a:ext uri="{FF2B5EF4-FFF2-40B4-BE49-F238E27FC236}">
              <a16:creationId xmlns:a16="http://schemas.microsoft.com/office/drawing/2014/main" id="{00000000-0008-0000-0000-000067040000}"/>
            </a:ext>
          </a:extLst>
        </xdr:cNvPr>
        <xdr:cNvSpPr>
          <a:spLocks noChangeShapeType="1"/>
        </xdr:cNvSpPr>
      </xdr:nvSpPr>
      <xdr:spPr bwMode="auto">
        <a:xfrm flipH="1">
          <a:off x="1533525" y="340518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175</xdr:row>
      <xdr:rowOff>152400</xdr:rowOff>
    </xdr:from>
    <xdr:to>
      <xdr:col>2</xdr:col>
      <xdr:colOff>438150</xdr:colOff>
      <xdr:row>176</xdr:row>
      <xdr:rowOff>28575</xdr:rowOff>
    </xdr:to>
    <xdr:sp macro="" textlink="">
      <xdr:nvSpPr>
        <xdr:cNvPr id="1128" name="Line 97089">
          <a:extLst>
            <a:ext uri="{FF2B5EF4-FFF2-40B4-BE49-F238E27FC236}">
              <a16:creationId xmlns:a16="http://schemas.microsoft.com/office/drawing/2014/main" id="{00000000-0008-0000-0000-000068040000}"/>
            </a:ext>
          </a:extLst>
        </xdr:cNvPr>
        <xdr:cNvSpPr>
          <a:spLocks noChangeShapeType="1"/>
        </xdr:cNvSpPr>
      </xdr:nvSpPr>
      <xdr:spPr bwMode="auto">
        <a:xfrm flipH="1">
          <a:off x="1752600" y="34051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175</xdr:row>
      <xdr:rowOff>152400</xdr:rowOff>
    </xdr:from>
    <xdr:to>
      <xdr:col>2</xdr:col>
      <xdr:colOff>485775</xdr:colOff>
      <xdr:row>176</xdr:row>
      <xdr:rowOff>28575</xdr:rowOff>
    </xdr:to>
    <xdr:sp macro="" textlink="">
      <xdr:nvSpPr>
        <xdr:cNvPr id="1129" name="Line 97090">
          <a:extLst>
            <a:ext uri="{FF2B5EF4-FFF2-40B4-BE49-F238E27FC236}">
              <a16:creationId xmlns:a16="http://schemas.microsoft.com/office/drawing/2014/main" id="{00000000-0008-0000-0000-000069040000}"/>
            </a:ext>
          </a:extLst>
        </xdr:cNvPr>
        <xdr:cNvSpPr>
          <a:spLocks noChangeShapeType="1"/>
        </xdr:cNvSpPr>
      </xdr:nvSpPr>
      <xdr:spPr bwMode="auto">
        <a:xfrm flipH="1">
          <a:off x="1800225" y="34051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176</xdr:row>
      <xdr:rowOff>152400</xdr:rowOff>
    </xdr:from>
    <xdr:to>
      <xdr:col>3</xdr:col>
      <xdr:colOff>0</xdr:colOff>
      <xdr:row>177</xdr:row>
      <xdr:rowOff>28575</xdr:rowOff>
    </xdr:to>
    <xdr:sp macro="" textlink="">
      <xdr:nvSpPr>
        <xdr:cNvPr id="1130" name="Line 97091">
          <a:extLst>
            <a:ext uri="{FF2B5EF4-FFF2-40B4-BE49-F238E27FC236}">
              <a16:creationId xmlns:a16="http://schemas.microsoft.com/office/drawing/2014/main" id="{00000000-0008-0000-0000-00006A040000}"/>
            </a:ext>
          </a:extLst>
        </xdr:cNvPr>
        <xdr:cNvSpPr>
          <a:spLocks noChangeShapeType="1"/>
        </xdr:cNvSpPr>
      </xdr:nvSpPr>
      <xdr:spPr bwMode="auto">
        <a:xfrm flipH="1">
          <a:off x="1895475" y="342423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177</xdr:row>
      <xdr:rowOff>0</xdr:rowOff>
    </xdr:from>
    <xdr:to>
      <xdr:col>3</xdr:col>
      <xdr:colOff>295275</xdr:colOff>
      <xdr:row>177</xdr:row>
      <xdr:rowOff>0</xdr:rowOff>
    </xdr:to>
    <xdr:sp macro="" textlink="">
      <xdr:nvSpPr>
        <xdr:cNvPr id="1131" name="Line 97092">
          <a:extLst>
            <a:ext uri="{FF2B5EF4-FFF2-40B4-BE49-F238E27FC236}">
              <a16:creationId xmlns:a16="http://schemas.microsoft.com/office/drawing/2014/main" id="{00000000-0008-0000-0000-00006B040000}"/>
            </a:ext>
          </a:extLst>
        </xdr:cNvPr>
        <xdr:cNvSpPr>
          <a:spLocks noChangeShapeType="1"/>
        </xdr:cNvSpPr>
      </xdr:nvSpPr>
      <xdr:spPr bwMode="auto">
        <a:xfrm>
          <a:off x="1838325" y="34280475"/>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176</xdr:row>
      <xdr:rowOff>152400</xdr:rowOff>
    </xdr:from>
    <xdr:to>
      <xdr:col>2</xdr:col>
      <xdr:colOff>485775</xdr:colOff>
      <xdr:row>177</xdr:row>
      <xdr:rowOff>28575</xdr:rowOff>
    </xdr:to>
    <xdr:sp macro="" textlink="">
      <xdr:nvSpPr>
        <xdr:cNvPr id="1132" name="Line 97093">
          <a:extLst>
            <a:ext uri="{FF2B5EF4-FFF2-40B4-BE49-F238E27FC236}">
              <a16:creationId xmlns:a16="http://schemas.microsoft.com/office/drawing/2014/main" id="{00000000-0008-0000-0000-00006C040000}"/>
            </a:ext>
          </a:extLst>
        </xdr:cNvPr>
        <xdr:cNvSpPr>
          <a:spLocks noChangeShapeType="1"/>
        </xdr:cNvSpPr>
      </xdr:nvSpPr>
      <xdr:spPr bwMode="auto">
        <a:xfrm flipH="1">
          <a:off x="1800225" y="342423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172</xdr:row>
      <xdr:rowOff>57150</xdr:rowOff>
    </xdr:from>
    <xdr:to>
      <xdr:col>5</xdr:col>
      <xdr:colOff>542925</xdr:colOff>
      <xdr:row>174</xdr:row>
      <xdr:rowOff>104775</xdr:rowOff>
    </xdr:to>
    <xdr:sp macro="" textlink="">
      <xdr:nvSpPr>
        <xdr:cNvPr id="1133" name="Tegning 344">
          <a:extLst>
            <a:ext uri="{FF2B5EF4-FFF2-40B4-BE49-F238E27FC236}">
              <a16:creationId xmlns:a16="http://schemas.microsoft.com/office/drawing/2014/main" id="{00000000-0008-0000-0000-00006D040000}"/>
            </a:ext>
          </a:extLst>
        </xdr:cNvPr>
        <xdr:cNvSpPr>
          <a:spLocks/>
        </xdr:cNvSpPr>
      </xdr:nvSpPr>
      <xdr:spPr bwMode="auto">
        <a:xfrm>
          <a:off x="1990725" y="33385125"/>
          <a:ext cx="1209675" cy="4286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170</xdr:row>
      <xdr:rowOff>142875</xdr:rowOff>
    </xdr:from>
    <xdr:to>
      <xdr:col>5</xdr:col>
      <xdr:colOff>523875</xdr:colOff>
      <xdr:row>172</xdr:row>
      <xdr:rowOff>76200</xdr:rowOff>
    </xdr:to>
    <xdr:sp macro="" textlink="">
      <xdr:nvSpPr>
        <xdr:cNvPr id="1134" name="Tegning 344">
          <a:extLst>
            <a:ext uri="{FF2B5EF4-FFF2-40B4-BE49-F238E27FC236}">
              <a16:creationId xmlns:a16="http://schemas.microsoft.com/office/drawing/2014/main" id="{00000000-0008-0000-0000-00006E040000}"/>
            </a:ext>
          </a:extLst>
        </xdr:cNvPr>
        <xdr:cNvSpPr>
          <a:spLocks/>
        </xdr:cNvSpPr>
      </xdr:nvSpPr>
      <xdr:spPr bwMode="auto">
        <a:xfrm flipV="1">
          <a:off x="1990725" y="33089850"/>
          <a:ext cx="1190625" cy="3143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170</xdr:row>
      <xdr:rowOff>142875</xdr:rowOff>
    </xdr:from>
    <xdr:to>
      <xdr:col>5</xdr:col>
      <xdr:colOff>200025</xdr:colOff>
      <xdr:row>172</xdr:row>
      <xdr:rowOff>180975</xdr:rowOff>
    </xdr:to>
    <xdr:sp macro="" textlink="">
      <xdr:nvSpPr>
        <xdr:cNvPr id="1135" name="Tegning 344">
          <a:extLst>
            <a:ext uri="{FF2B5EF4-FFF2-40B4-BE49-F238E27FC236}">
              <a16:creationId xmlns:a16="http://schemas.microsoft.com/office/drawing/2014/main" id="{00000000-0008-0000-0000-00006F040000}"/>
            </a:ext>
          </a:extLst>
        </xdr:cNvPr>
        <xdr:cNvSpPr>
          <a:spLocks/>
        </xdr:cNvSpPr>
      </xdr:nvSpPr>
      <xdr:spPr bwMode="auto">
        <a:xfrm flipV="1">
          <a:off x="1581150" y="33089850"/>
          <a:ext cx="1276350" cy="41910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171</xdr:row>
      <xdr:rowOff>123825</xdr:rowOff>
    </xdr:from>
    <xdr:to>
      <xdr:col>5</xdr:col>
      <xdr:colOff>190500</xdr:colOff>
      <xdr:row>173</xdr:row>
      <xdr:rowOff>171450</xdr:rowOff>
    </xdr:to>
    <xdr:sp macro="" textlink="">
      <xdr:nvSpPr>
        <xdr:cNvPr id="1136" name="Tegning 344">
          <a:extLst>
            <a:ext uri="{FF2B5EF4-FFF2-40B4-BE49-F238E27FC236}">
              <a16:creationId xmlns:a16="http://schemas.microsoft.com/office/drawing/2014/main" id="{00000000-0008-0000-0000-000070040000}"/>
            </a:ext>
          </a:extLst>
        </xdr:cNvPr>
        <xdr:cNvSpPr>
          <a:spLocks/>
        </xdr:cNvSpPr>
      </xdr:nvSpPr>
      <xdr:spPr bwMode="auto">
        <a:xfrm>
          <a:off x="1581150" y="33261300"/>
          <a:ext cx="1266825" cy="4286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173</xdr:row>
      <xdr:rowOff>104775</xdr:rowOff>
    </xdr:from>
    <xdr:to>
      <xdr:col>2</xdr:col>
      <xdr:colOff>266700</xdr:colOff>
      <xdr:row>173</xdr:row>
      <xdr:rowOff>142875</xdr:rowOff>
    </xdr:to>
    <xdr:sp macro="" textlink="">
      <xdr:nvSpPr>
        <xdr:cNvPr id="1137" name="Oval 97098">
          <a:extLst>
            <a:ext uri="{FF2B5EF4-FFF2-40B4-BE49-F238E27FC236}">
              <a16:creationId xmlns:a16="http://schemas.microsoft.com/office/drawing/2014/main" id="{00000000-0008-0000-0000-000071040000}"/>
            </a:ext>
          </a:extLst>
        </xdr:cNvPr>
        <xdr:cNvSpPr>
          <a:spLocks noChangeArrowheads="1"/>
        </xdr:cNvSpPr>
      </xdr:nvSpPr>
      <xdr:spPr bwMode="auto">
        <a:xfrm>
          <a:off x="1609725" y="336232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228600</xdr:colOff>
      <xdr:row>170</xdr:row>
      <xdr:rowOff>171450</xdr:rowOff>
    </xdr:from>
    <xdr:to>
      <xdr:col>2</xdr:col>
      <xdr:colOff>266700</xdr:colOff>
      <xdr:row>171</xdr:row>
      <xdr:rowOff>19050</xdr:rowOff>
    </xdr:to>
    <xdr:sp macro="" textlink="">
      <xdr:nvSpPr>
        <xdr:cNvPr id="1138" name="Oval 97099">
          <a:extLst>
            <a:ext uri="{FF2B5EF4-FFF2-40B4-BE49-F238E27FC236}">
              <a16:creationId xmlns:a16="http://schemas.microsoft.com/office/drawing/2014/main" id="{00000000-0008-0000-0000-000072040000}"/>
            </a:ext>
          </a:extLst>
        </xdr:cNvPr>
        <xdr:cNvSpPr>
          <a:spLocks noChangeArrowheads="1"/>
        </xdr:cNvSpPr>
      </xdr:nvSpPr>
      <xdr:spPr bwMode="auto">
        <a:xfrm>
          <a:off x="1609725" y="33118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170</xdr:row>
      <xdr:rowOff>171450</xdr:rowOff>
    </xdr:from>
    <xdr:to>
      <xdr:col>3</xdr:col>
      <xdr:colOff>95250</xdr:colOff>
      <xdr:row>171</xdr:row>
      <xdr:rowOff>19050</xdr:rowOff>
    </xdr:to>
    <xdr:sp macro="" textlink="">
      <xdr:nvSpPr>
        <xdr:cNvPr id="1139" name="Oval 97100">
          <a:extLst>
            <a:ext uri="{FF2B5EF4-FFF2-40B4-BE49-F238E27FC236}">
              <a16:creationId xmlns:a16="http://schemas.microsoft.com/office/drawing/2014/main" id="{00000000-0008-0000-0000-000073040000}"/>
            </a:ext>
          </a:extLst>
        </xdr:cNvPr>
        <xdr:cNvSpPr>
          <a:spLocks noChangeArrowheads="1"/>
        </xdr:cNvSpPr>
      </xdr:nvSpPr>
      <xdr:spPr bwMode="auto">
        <a:xfrm>
          <a:off x="2019300" y="33118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174</xdr:row>
      <xdr:rowOff>38100</xdr:rowOff>
    </xdr:from>
    <xdr:to>
      <xdr:col>3</xdr:col>
      <xdr:colOff>95250</xdr:colOff>
      <xdr:row>174</xdr:row>
      <xdr:rowOff>76200</xdr:rowOff>
    </xdr:to>
    <xdr:sp macro="" textlink="">
      <xdr:nvSpPr>
        <xdr:cNvPr id="1140" name="Oval 97101">
          <a:extLst>
            <a:ext uri="{FF2B5EF4-FFF2-40B4-BE49-F238E27FC236}">
              <a16:creationId xmlns:a16="http://schemas.microsoft.com/office/drawing/2014/main" id="{00000000-0008-0000-0000-000074040000}"/>
            </a:ext>
          </a:extLst>
        </xdr:cNvPr>
        <xdr:cNvSpPr>
          <a:spLocks noChangeArrowheads="1"/>
        </xdr:cNvSpPr>
      </xdr:nvSpPr>
      <xdr:spPr bwMode="auto">
        <a:xfrm>
          <a:off x="2019300" y="337470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183</xdr:row>
      <xdr:rowOff>47625</xdr:rowOff>
    </xdr:from>
    <xdr:to>
      <xdr:col>2</xdr:col>
      <xdr:colOff>371475</xdr:colOff>
      <xdr:row>184</xdr:row>
      <xdr:rowOff>123825</xdr:rowOff>
    </xdr:to>
    <xdr:sp macro="" textlink="">
      <xdr:nvSpPr>
        <xdr:cNvPr id="1141" name="Tegning 312">
          <a:extLst>
            <a:ext uri="{FF2B5EF4-FFF2-40B4-BE49-F238E27FC236}">
              <a16:creationId xmlns:a16="http://schemas.microsoft.com/office/drawing/2014/main" id="{00000000-0008-0000-0000-000075040000}"/>
            </a:ext>
          </a:extLst>
        </xdr:cNvPr>
        <xdr:cNvSpPr>
          <a:spLocks/>
        </xdr:cNvSpPr>
      </xdr:nvSpPr>
      <xdr:spPr bwMode="auto">
        <a:xfrm>
          <a:off x="1562100" y="35480625"/>
          <a:ext cx="190500" cy="2667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180</xdr:row>
      <xdr:rowOff>28575</xdr:rowOff>
    </xdr:from>
    <xdr:to>
      <xdr:col>4</xdr:col>
      <xdr:colOff>57150</xdr:colOff>
      <xdr:row>180</xdr:row>
      <xdr:rowOff>28575</xdr:rowOff>
    </xdr:to>
    <xdr:sp macro="" textlink="">
      <xdr:nvSpPr>
        <xdr:cNvPr id="1142" name="Line 97103">
          <a:extLst>
            <a:ext uri="{FF2B5EF4-FFF2-40B4-BE49-F238E27FC236}">
              <a16:creationId xmlns:a16="http://schemas.microsoft.com/office/drawing/2014/main" id="{00000000-0008-0000-0000-000076040000}"/>
            </a:ext>
          </a:extLst>
        </xdr:cNvPr>
        <xdr:cNvSpPr>
          <a:spLocks noChangeShapeType="1"/>
        </xdr:cNvSpPr>
      </xdr:nvSpPr>
      <xdr:spPr bwMode="auto">
        <a:xfrm flipH="1">
          <a:off x="2057400" y="3489007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57150</xdr:colOff>
      <xdr:row>178</xdr:row>
      <xdr:rowOff>161925</xdr:rowOff>
    </xdr:from>
    <xdr:to>
      <xdr:col>3</xdr:col>
      <xdr:colOff>57150</xdr:colOff>
      <xdr:row>180</xdr:row>
      <xdr:rowOff>0</xdr:rowOff>
    </xdr:to>
    <xdr:sp macro="" textlink="">
      <xdr:nvSpPr>
        <xdr:cNvPr id="1143" name="Line 97104">
          <a:extLst>
            <a:ext uri="{FF2B5EF4-FFF2-40B4-BE49-F238E27FC236}">
              <a16:creationId xmlns:a16="http://schemas.microsoft.com/office/drawing/2014/main" id="{00000000-0008-0000-0000-000077040000}"/>
            </a:ext>
          </a:extLst>
        </xdr:cNvPr>
        <xdr:cNvSpPr>
          <a:spLocks noChangeShapeType="1"/>
        </xdr:cNvSpPr>
      </xdr:nvSpPr>
      <xdr:spPr bwMode="auto">
        <a:xfrm>
          <a:off x="2019300" y="34632900"/>
          <a:ext cx="0"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476250</xdr:colOff>
      <xdr:row>180</xdr:row>
      <xdr:rowOff>38100</xdr:rowOff>
    </xdr:from>
    <xdr:to>
      <xdr:col>3</xdr:col>
      <xdr:colOff>38100</xdr:colOff>
      <xdr:row>181</xdr:row>
      <xdr:rowOff>57150</xdr:rowOff>
    </xdr:to>
    <xdr:sp macro="" textlink="">
      <xdr:nvSpPr>
        <xdr:cNvPr id="1144" name="Line 97105">
          <a:extLst>
            <a:ext uri="{FF2B5EF4-FFF2-40B4-BE49-F238E27FC236}">
              <a16:creationId xmlns:a16="http://schemas.microsoft.com/office/drawing/2014/main" id="{00000000-0008-0000-0000-000078040000}"/>
            </a:ext>
          </a:extLst>
        </xdr:cNvPr>
        <xdr:cNvSpPr>
          <a:spLocks noChangeShapeType="1"/>
        </xdr:cNvSpPr>
      </xdr:nvSpPr>
      <xdr:spPr bwMode="auto">
        <a:xfrm flipV="1">
          <a:off x="1857375" y="34899600"/>
          <a:ext cx="142875"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333375</xdr:colOff>
      <xdr:row>180</xdr:row>
      <xdr:rowOff>161925</xdr:rowOff>
    </xdr:from>
    <xdr:to>
      <xdr:col>5</xdr:col>
      <xdr:colOff>476250</xdr:colOff>
      <xdr:row>181</xdr:row>
      <xdr:rowOff>9525</xdr:rowOff>
    </xdr:to>
    <xdr:sp macro="" textlink="">
      <xdr:nvSpPr>
        <xdr:cNvPr id="1145" name="Line 97106">
          <a:extLst>
            <a:ext uri="{FF2B5EF4-FFF2-40B4-BE49-F238E27FC236}">
              <a16:creationId xmlns:a16="http://schemas.microsoft.com/office/drawing/2014/main" id="{00000000-0008-0000-0000-000079040000}"/>
            </a:ext>
          </a:extLst>
        </xdr:cNvPr>
        <xdr:cNvSpPr>
          <a:spLocks noChangeShapeType="1"/>
        </xdr:cNvSpPr>
      </xdr:nvSpPr>
      <xdr:spPr bwMode="auto">
        <a:xfrm flipH="1">
          <a:off x="2990850" y="35023425"/>
          <a:ext cx="1428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200025</xdr:colOff>
      <xdr:row>182</xdr:row>
      <xdr:rowOff>142875</xdr:rowOff>
    </xdr:from>
    <xdr:to>
      <xdr:col>6</xdr:col>
      <xdr:colOff>323850</xdr:colOff>
      <xdr:row>182</xdr:row>
      <xdr:rowOff>171450</xdr:rowOff>
    </xdr:to>
    <xdr:sp macro="" textlink="">
      <xdr:nvSpPr>
        <xdr:cNvPr id="1146" name="Line 97107">
          <a:extLst>
            <a:ext uri="{FF2B5EF4-FFF2-40B4-BE49-F238E27FC236}">
              <a16:creationId xmlns:a16="http://schemas.microsoft.com/office/drawing/2014/main" id="{00000000-0008-0000-0000-00007A040000}"/>
            </a:ext>
          </a:extLst>
        </xdr:cNvPr>
        <xdr:cNvSpPr>
          <a:spLocks noChangeShapeType="1"/>
        </xdr:cNvSpPr>
      </xdr:nvSpPr>
      <xdr:spPr bwMode="auto">
        <a:xfrm flipH="1">
          <a:off x="3609975" y="35385375"/>
          <a:ext cx="123825"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180</xdr:row>
      <xdr:rowOff>161925</xdr:rowOff>
    </xdr:from>
    <xdr:to>
      <xdr:col>3</xdr:col>
      <xdr:colOff>57150</xdr:colOff>
      <xdr:row>182</xdr:row>
      <xdr:rowOff>85725</xdr:rowOff>
    </xdr:to>
    <xdr:sp macro="" textlink="">
      <xdr:nvSpPr>
        <xdr:cNvPr id="1147" name="Line 97108">
          <a:extLst>
            <a:ext uri="{FF2B5EF4-FFF2-40B4-BE49-F238E27FC236}">
              <a16:creationId xmlns:a16="http://schemas.microsoft.com/office/drawing/2014/main" id="{00000000-0008-0000-0000-00007B040000}"/>
            </a:ext>
          </a:extLst>
        </xdr:cNvPr>
        <xdr:cNvSpPr>
          <a:spLocks noChangeShapeType="1"/>
        </xdr:cNvSpPr>
      </xdr:nvSpPr>
      <xdr:spPr bwMode="auto">
        <a:xfrm>
          <a:off x="2019300" y="3502342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181</xdr:row>
      <xdr:rowOff>133350</xdr:rowOff>
    </xdr:from>
    <xdr:to>
      <xdr:col>2</xdr:col>
      <xdr:colOff>314325</xdr:colOff>
      <xdr:row>182</xdr:row>
      <xdr:rowOff>38100</xdr:rowOff>
    </xdr:to>
    <xdr:sp macro="" textlink="">
      <xdr:nvSpPr>
        <xdr:cNvPr id="1148" name="Line 97109">
          <a:extLst>
            <a:ext uri="{FF2B5EF4-FFF2-40B4-BE49-F238E27FC236}">
              <a16:creationId xmlns:a16="http://schemas.microsoft.com/office/drawing/2014/main" id="{00000000-0008-0000-0000-00007C040000}"/>
            </a:ext>
          </a:extLst>
        </xdr:cNvPr>
        <xdr:cNvSpPr>
          <a:spLocks noChangeShapeType="1"/>
        </xdr:cNvSpPr>
      </xdr:nvSpPr>
      <xdr:spPr bwMode="auto">
        <a:xfrm flipH="1">
          <a:off x="1590675" y="35185350"/>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168</xdr:row>
      <xdr:rowOff>38100</xdr:rowOff>
    </xdr:from>
    <xdr:to>
      <xdr:col>3</xdr:col>
      <xdr:colOff>28575</xdr:colOff>
      <xdr:row>170</xdr:row>
      <xdr:rowOff>95250</xdr:rowOff>
    </xdr:to>
    <xdr:sp macro="" textlink="">
      <xdr:nvSpPr>
        <xdr:cNvPr id="1149" name="Line 97110">
          <a:extLst>
            <a:ext uri="{FF2B5EF4-FFF2-40B4-BE49-F238E27FC236}">
              <a16:creationId xmlns:a16="http://schemas.microsoft.com/office/drawing/2014/main" id="{00000000-0008-0000-0000-00007D040000}"/>
            </a:ext>
          </a:extLst>
        </xdr:cNvPr>
        <xdr:cNvSpPr>
          <a:spLocks noChangeShapeType="1"/>
        </xdr:cNvSpPr>
      </xdr:nvSpPr>
      <xdr:spPr bwMode="auto">
        <a:xfrm flipV="1">
          <a:off x="1990725" y="3260407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169</xdr:row>
      <xdr:rowOff>28575</xdr:rowOff>
    </xdr:from>
    <xdr:to>
      <xdr:col>2</xdr:col>
      <xdr:colOff>542925</xdr:colOff>
      <xdr:row>173</xdr:row>
      <xdr:rowOff>95250</xdr:rowOff>
    </xdr:to>
    <xdr:sp macro="" textlink="">
      <xdr:nvSpPr>
        <xdr:cNvPr id="1150" name="Line 97111">
          <a:extLst>
            <a:ext uri="{FF2B5EF4-FFF2-40B4-BE49-F238E27FC236}">
              <a16:creationId xmlns:a16="http://schemas.microsoft.com/office/drawing/2014/main" id="{00000000-0008-0000-0000-00007E040000}"/>
            </a:ext>
          </a:extLst>
        </xdr:cNvPr>
        <xdr:cNvSpPr>
          <a:spLocks noChangeShapeType="1"/>
        </xdr:cNvSpPr>
      </xdr:nvSpPr>
      <xdr:spPr bwMode="auto">
        <a:xfrm flipV="1">
          <a:off x="1924050" y="3278505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409575</xdr:colOff>
      <xdr:row>168</xdr:row>
      <xdr:rowOff>95250</xdr:rowOff>
    </xdr:from>
    <xdr:to>
      <xdr:col>3</xdr:col>
      <xdr:colOff>123825</xdr:colOff>
      <xdr:row>168</xdr:row>
      <xdr:rowOff>95250</xdr:rowOff>
    </xdr:to>
    <xdr:sp macro="" textlink="">
      <xdr:nvSpPr>
        <xdr:cNvPr id="1151" name="Line 97112">
          <a:extLst>
            <a:ext uri="{FF2B5EF4-FFF2-40B4-BE49-F238E27FC236}">
              <a16:creationId xmlns:a16="http://schemas.microsoft.com/office/drawing/2014/main" id="{00000000-0008-0000-0000-00007F040000}"/>
            </a:ext>
          </a:extLst>
        </xdr:cNvPr>
        <xdr:cNvSpPr>
          <a:spLocks noChangeShapeType="1"/>
        </xdr:cNvSpPr>
      </xdr:nvSpPr>
      <xdr:spPr bwMode="auto">
        <a:xfrm flipH="1">
          <a:off x="1790700" y="326612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495300</xdr:colOff>
      <xdr:row>169</xdr:row>
      <xdr:rowOff>95250</xdr:rowOff>
    </xdr:from>
    <xdr:to>
      <xdr:col>3</xdr:col>
      <xdr:colOff>285750</xdr:colOff>
      <xdr:row>169</xdr:row>
      <xdr:rowOff>95250</xdr:rowOff>
    </xdr:to>
    <xdr:sp macro="" textlink="">
      <xdr:nvSpPr>
        <xdr:cNvPr id="1152" name="Line 97113">
          <a:extLst>
            <a:ext uri="{FF2B5EF4-FFF2-40B4-BE49-F238E27FC236}">
              <a16:creationId xmlns:a16="http://schemas.microsoft.com/office/drawing/2014/main" id="{00000000-0008-0000-0000-000080040000}"/>
            </a:ext>
          </a:extLst>
        </xdr:cNvPr>
        <xdr:cNvSpPr>
          <a:spLocks noChangeShapeType="1"/>
        </xdr:cNvSpPr>
      </xdr:nvSpPr>
      <xdr:spPr bwMode="auto">
        <a:xfrm flipH="1">
          <a:off x="1876425" y="32851725"/>
          <a:ext cx="371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169</xdr:row>
      <xdr:rowOff>66675</xdr:rowOff>
    </xdr:from>
    <xdr:to>
      <xdr:col>3</xdr:col>
      <xdr:colOff>66675</xdr:colOff>
      <xdr:row>169</xdr:row>
      <xdr:rowOff>133350</xdr:rowOff>
    </xdr:to>
    <xdr:sp macro="" textlink="">
      <xdr:nvSpPr>
        <xdr:cNvPr id="1153" name="Line 97114">
          <a:extLst>
            <a:ext uri="{FF2B5EF4-FFF2-40B4-BE49-F238E27FC236}">
              <a16:creationId xmlns:a16="http://schemas.microsoft.com/office/drawing/2014/main" id="{00000000-0008-0000-0000-000081040000}"/>
            </a:ext>
          </a:extLst>
        </xdr:cNvPr>
        <xdr:cNvSpPr>
          <a:spLocks noChangeShapeType="1"/>
        </xdr:cNvSpPr>
      </xdr:nvSpPr>
      <xdr:spPr bwMode="auto">
        <a:xfrm flipH="1">
          <a:off x="1962150" y="328231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169</xdr:row>
      <xdr:rowOff>66675</xdr:rowOff>
    </xdr:from>
    <xdr:to>
      <xdr:col>2</xdr:col>
      <xdr:colOff>571500</xdr:colOff>
      <xdr:row>169</xdr:row>
      <xdr:rowOff>123825</xdr:rowOff>
    </xdr:to>
    <xdr:sp macro="" textlink="">
      <xdr:nvSpPr>
        <xdr:cNvPr id="1154" name="Line 97115">
          <a:extLst>
            <a:ext uri="{FF2B5EF4-FFF2-40B4-BE49-F238E27FC236}">
              <a16:creationId xmlns:a16="http://schemas.microsoft.com/office/drawing/2014/main" id="{00000000-0008-0000-0000-000082040000}"/>
            </a:ext>
          </a:extLst>
        </xdr:cNvPr>
        <xdr:cNvSpPr>
          <a:spLocks noChangeShapeType="1"/>
        </xdr:cNvSpPr>
      </xdr:nvSpPr>
      <xdr:spPr bwMode="auto">
        <a:xfrm flipH="1">
          <a:off x="1895475" y="32823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181</xdr:row>
      <xdr:rowOff>142875</xdr:rowOff>
    </xdr:from>
    <xdr:to>
      <xdr:col>3</xdr:col>
      <xdr:colOff>95250</xdr:colOff>
      <xdr:row>182</xdr:row>
      <xdr:rowOff>19050</xdr:rowOff>
    </xdr:to>
    <xdr:sp macro="" textlink="">
      <xdr:nvSpPr>
        <xdr:cNvPr id="1155" name="Line 97116">
          <a:extLst>
            <a:ext uri="{FF2B5EF4-FFF2-40B4-BE49-F238E27FC236}">
              <a16:creationId xmlns:a16="http://schemas.microsoft.com/office/drawing/2014/main" id="{00000000-0008-0000-0000-000083040000}"/>
            </a:ext>
          </a:extLst>
        </xdr:cNvPr>
        <xdr:cNvSpPr>
          <a:spLocks noChangeShapeType="1"/>
        </xdr:cNvSpPr>
      </xdr:nvSpPr>
      <xdr:spPr bwMode="auto">
        <a:xfrm flipH="1">
          <a:off x="1981200" y="35194875"/>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172</xdr:row>
      <xdr:rowOff>114300</xdr:rowOff>
    </xdr:from>
    <xdr:to>
      <xdr:col>3</xdr:col>
      <xdr:colOff>123825</xdr:colOff>
      <xdr:row>172</xdr:row>
      <xdr:rowOff>133350</xdr:rowOff>
    </xdr:to>
    <xdr:sp macro="" textlink="">
      <xdr:nvSpPr>
        <xdr:cNvPr id="1156" name="Line 97119">
          <a:extLst>
            <a:ext uri="{FF2B5EF4-FFF2-40B4-BE49-F238E27FC236}">
              <a16:creationId xmlns:a16="http://schemas.microsoft.com/office/drawing/2014/main" id="{00000000-0008-0000-0000-000084040000}"/>
            </a:ext>
          </a:extLst>
        </xdr:cNvPr>
        <xdr:cNvSpPr>
          <a:spLocks noChangeShapeType="1"/>
        </xdr:cNvSpPr>
      </xdr:nvSpPr>
      <xdr:spPr bwMode="auto">
        <a:xfrm flipH="1">
          <a:off x="1981200" y="33442275"/>
          <a:ext cx="10477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57150</xdr:colOff>
      <xdr:row>172</xdr:row>
      <xdr:rowOff>180975</xdr:rowOff>
    </xdr:from>
    <xdr:to>
      <xdr:col>4</xdr:col>
      <xdr:colOff>133350</xdr:colOff>
      <xdr:row>173</xdr:row>
      <xdr:rowOff>161925</xdr:rowOff>
    </xdr:to>
    <xdr:sp macro="" textlink="">
      <xdr:nvSpPr>
        <xdr:cNvPr id="1157" name="Line 97120">
          <a:extLst>
            <a:ext uri="{FF2B5EF4-FFF2-40B4-BE49-F238E27FC236}">
              <a16:creationId xmlns:a16="http://schemas.microsoft.com/office/drawing/2014/main" id="{00000000-0008-0000-0000-000085040000}"/>
            </a:ext>
          </a:extLst>
        </xdr:cNvPr>
        <xdr:cNvSpPr>
          <a:spLocks noChangeShapeType="1"/>
        </xdr:cNvSpPr>
      </xdr:nvSpPr>
      <xdr:spPr bwMode="auto">
        <a:xfrm flipH="1">
          <a:off x="2390775" y="33508950"/>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xdr:colOff>
      <xdr:row>171</xdr:row>
      <xdr:rowOff>28575</xdr:rowOff>
    </xdr:from>
    <xdr:to>
      <xdr:col>5</xdr:col>
      <xdr:colOff>676275</xdr:colOff>
      <xdr:row>171</xdr:row>
      <xdr:rowOff>28575</xdr:rowOff>
    </xdr:to>
    <xdr:sp macro="" textlink="">
      <xdr:nvSpPr>
        <xdr:cNvPr id="1158" name="Line 97125">
          <a:extLst>
            <a:ext uri="{FF2B5EF4-FFF2-40B4-BE49-F238E27FC236}">
              <a16:creationId xmlns:a16="http://schemas.microsoft.com/office/drawing/2014/main" id="{00000000-0008-0000-0000-000086040000}"/>
            </a:ext>
          </a:extLst>
        </xdr:cNvPr>
        <xdr:cNvSpPr>
          <a:spLocks noChangeShapeType="1"/>
        </xdr:cNvSpPr>
      </xdr:nvSpPr>
      <xdr:spPr bwMode="auto">
        <a:xfrm>
          <a:off x="2343150" y="33166050"/>
          <a:ext cx="990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352425</xdr:colOff>
      <xdr:row>169</xdr:row>
      <xdr:rowOff>180975</xdr:rowOff>
    </xdr:from>
    <xdr:to>
      <xdr:col>5</xdr:col>
      <xdr:colOff>352425</xdr:colOff>
      <xdr:row>171</xdr:row>
      <xdr:rowOff>95250</xdr:rowOff>
    </xdr:to>
    <xdr:sp macro="" textlink="">
      <xdr:nvSpPr>
        <xdr:cNvPr id="1159" name="Line 97126">
          <a:extLst>
            <a:ext uri="{FF2B5EF4-FFF2-40B4-BE49-F238E27FC236}">
              <a16:creationId xmlns:a16="http://schemas.microsoft.com/office/drawing/2014/main" id="{00000000-0008-0000-0000-000087040000}"/>
            </a:ext>
          </a:extLst>
        </xdr:cNvPr>
        <xdr:cNvSpPr>
          <a:spLocks noChangeShapeType="1"/>
        </xdr:cNvSpPr>
      </xdr:nvSpPr>
      <xdr:spPr bwMode="auto">
        <a:xfrm>
          <a:off x="3009900" y="3293745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170</xdr:row>
      <xdr:rowOff>9525</xdr:rowOff>
    </xdr:from>
    <xdr:to>
      <xdr:col>5</xdr:col>
      <xdr:colOff>400050</xdr:colOff>
      <xdr:row>170</xdr:row>
      <xdr:rowOff>85725</xdr:rowOff>
    </xdr:to>
    <xdr:sp macro="" textlink="">
      <xdr:nvSpPr>
        <xdr:cNvPr id="1160" name="Line 97127">
          <a:extLst>
            <a:ext uri="{FF2B5EF4-FFF2-40B4-BE49-F238E27FC236}">
              <a16:creationId xmlns:a16="http://schemas.microsoft.com/office/drawing/2014/main" id="{00000000-0008-0000-0000-000088040000}"/>
            </a:ext>
          </a:extLst>
        </xdr:cNvPr>
        <xdr:cNvSpPr>
          <a:spLocks noChangeShapeType="1"/>
        </xdr:cNvSpPr>
      </xdr:nvSpPr>
      <xdr:spPr bwMode="auto">
        <a:xfrm flipH="1">
          <a:off x="2962275" y="32956500"/>
          <a:ext cx="952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171</xdr:row>
      <xdr:rowOff>0</xdr:rowOff>
    </xdr:from>
    <xdr:to>
      <xdr:col>5</xdr:col>
      <xdr:colOff>381000</xdr:colOff>
      <xdr:row>171</xdr:row>
      <xdr:rowOff>57150</xdr:rowOff>
    </xdr:to>
    <xdr:sp macro="" textlink="">
      <xdr:nvSpPr>
        <xdr:cNvPr id="1161" name="Line 97128">
          <a:extLst>
            <a:ext uri="{FF2B5EF4-FFF2-40B4-BE49-F238E27FC236}">
              <a16:creationId xmlns:a16="http://schemas.microsoft.com/office/drawing/2014/main" id="{00000000-0008-0000-0000-000089040000}"/>
            </a:ext>
          </a:extLst>
        </xdr:cNvPr>
        <xdr:cNvSpPr>
          <a:spLocks noChangeShapeType="1"/>
        </xdr:cNvSpPr>
      </xdr:nvSpPr>
      <xdr:spPr bwMode="auto">
        <a:xfrm flipH="1">
          <a:off x="2962275" y="3313747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169</xdr:row>
      <xdr:rowOff>171450</xdr:rowOff>
    </xdr:from>
    <xdr:to>
      <xdr:col>3</xdr:col>
      <xdr:colOff>57150</xdr:colOff>
      <xdr:row>170</xdr:row>
      <xdr:rowOff>161925</xdr:rowOff>
    </xdr:to>
    <xdr:sp macro="" textlink="">
      <xdr:nvSpPr>
        <xdr:cNvPr id="1162" name="Line 97129">
          <a:extLst>
            <a:ext uri="{FF2B5EF4-FFF2-40B4-BE49-F238E27FC236}">
              <a16:creationId xmlns:a16="http://schemas.microsoft.com/office/drawing/2014/main" id="{00000000-0008-0000-0000-00008A040000}"/>
            </a:ext>
          </a:extLst>
        </xdr:cNvPr>
        <xdr:cNvSpPr>
          <a:spLocks noChangeShapeType="1"/>
        </xdr:cNvSpPr>
      </xdr:nvSpPr>
      <xdr:spPr bwMode="auto">
        <a:xfrm>
          <a:off x="1752600" y="32927925"/>
          <a:ext cx="2667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169</xdr:row>
      <xdr:rowOff>47625</xdr:rowOff>
    </xdr:from>
    <xdr:to>
      <xdr:col>5</xdr:col>
      <xdr:colOff>647700</xdr:colOff>
      <xdr:row>171</xdr:row>
      <xdr:rowOff>28575</xdr:rowOff>
    </xdr:to>
    <xdr:sp macro="" textlink="">
      <xdr:nvSpPr>
        <xdr:cNvPr id="1163" name="Line 97130">
          <a:extLst>
            <a:ext uri="{FF2B5EF4-FFF2-40B4-BE49-F238E27FC236}">
              <a16:creationId xmlns:a16="http://schemas.microsoft.com/office/drawing/2014/main" id="{00000000-0008-0000-0000-00008B040000}"/>
            </a:ext>
          </a:extLst>
        </xdr:cNvPr>
        <xdr:cNvSpPr>
          <a:spLocks noChangeShapeType="1"/>
        </xdr:cNvSpPr>
      </xdr:nvSpPr>
      <xdr:spPr bwMode="auto">
        <a:xfrm flipV="1">
          <a:off x="3305175" y="32804100"/>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401212</xdr:colOff>
      <xdr:row>179</xdr:row>
      <xdr:rowOff>1</xdr:rowOff>
    </xdr:from>
    <xdr:to>
      <xdr:col>3</xdr:col>
      <xdr:colOff>261585</xdr:colOff>
      <xdr:row>181</xdr:row>
      <xdr:rowOff>10978</xdr:rowOff>
    </xdr:to>
    <xdr:sp macro="" textlink="">
      <xdr:nvSpPr>
        <xdr:cNvPr id="1164" name="Oval 97132">
          <a:extLst>
            <a:ext uri="{FF2B5EF4-FFF2-40B4-BE49-F238E27FC236}">
              <a16:creationId xmlns:a16="http://schemas.microsoft.com/office/drawing/2014/main" id="{00000000-0008-0000-0000-00008C040000}"/>
            </a:ext>
          </a:extLst>
        </xdr:cNvPr>
        <xdr:cNvSpPr>
          <a:spLocks noChangeArrowheads="1"/>
        </xdr:cNvSpPr>
      </xdr:nvSpPr>
      <xdr:spPr bwMode="auto">
        <a:xfrm>
          <a:off x="1781175" y="34824330"/>
          <a:ext cx="441166" cy="401270"/>
        </a:xfrm>
        <a:prstGeom prst="ellipse">
          <a:avLst/>
        </a:prstGeom>
        <a:solidFill>
          <a:srgbClr xmlns:mc="http://schemas.openxmlformats.org/markup-compatibility/2006" xmlns:a14="http://schemas.microsoft.com/office/drawing/2010/main" val="FFFFFF" mc:Ignorable="a14" a14:legacySpreadsheetColorIndex="65">
            <a:alpha val="0"/>
          </a:srgbClr>
        </a:solidFill>
        <a:ln w="6350">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2</xdr:col>
      <xdr:colOff>180975</xdr:colOff>
      <xdr:row>174</xdr:row>
      <xdr:rowOff>57150</xdr:rowOff>
    </xdr:from>
    <xdr:to>
      <xdr:col>2</xdr:col>
      <xdr:colOff>409575</xdr:colOff>
      <xdr:row>174</xdr:row>
      <xdr:rowOff>57150</xdr:rowOff>
    </xdr:to>
    <xdr:sp macro="" textlink="">
      <xdr:nvSpPr>
        <xdr:cNvPr id="1165" name="Line 97133">
          <a:extLst>
            <a:ext uri="{FF2B5EF4-FFF2-40B4-BE49-F238E27FC236}">
              <a16:creationId xmlns:a16="http://schemas.microsoft.com/office/drawing/2014/main" id="{00000000-0008-0000-0000-00008D040000}"/>
            </a:ext>
          </a:extLst>
        </xdr:cNvPr>
        <xdr:cNvSpPr>
          <a:spLocks noChangeShapeType="1"/>
        </xdr:cNvSpPr>
      </xdr:nvSpPr>
      <xdr:spPr bwMode="auto">
        <a:xfrm>
          <a:off x="1562100" y="337661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609600</xdr:colOff>
      <xdr:row>170</xdr:row>
      <xdr:rowOff>180975</xdr:rowOff>
    </xdr:from>
    <xdr:to>
      <xdr:col>5</xdr:col>
      <xdr:colOff>676275</xdr:colOff>
      <xdr:row>171</xdr:row>
      <xdr:rowOff>57150</xdr:rowOff>
    </xdr:to>
    <xdr:sp macro="" textlink="">
      <xdr:nvSpPr>
        <xdr:cNvPr id="1166" name="Oval 97135">
          <a:extLst>
            <a:ext uri="{FF2B5EF4-FFF2-40B4-BE49-F238E27FC236}">
              <a16:creationId xmlns:a16="http://schemas.microsoft.com/office/drawing/2014/main" id="{00000000-0008-0000-0000-00008E040000}"/>
            </a:ext>
          </a:extLst>
        </xdr:cNvPr>
        <xdr:cNvSpPr>
          <a:spLocks noChangeArrowheads="1"/>
        </xdr:cNvSpPr>
      </xdr:nvSpPr>
      <xdr:spPr bwMode="auto">
        <a:xfrm>
          <a:off x="3267075" y="331279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0</xdr:colOff>
      <xdr:row>168</xdr:row>
      <xdr:rowOff>66675</xdr:rowOff>
    </xdr:from>
    <xdr:to>
      <xdr:col>3</xdr:col>
      <xdr:colOff>66675</xdr:colOff>
      <xdr:row>168</xdr:row>
      <xdr:rowOff>133350</xdr:rowOff>
    </xdr:to>
    <xdr:sp macro="" textlink="">
      <xdr:nvSpPr>
        <xdr:cNvPr id="1167" name="Oval 97136">
          <a:extLst>
            <a:ext uri="{FF2B5EF4-FFF2-40B4-BE49-F238E27FC236}">
              <a16:creationId xmlns:a16="http://schemas.microsoft.com/office/drawing/2014/main" id="{00000000-0008-0000-0000-00008F040000}"/>
            </a:ext>
          </a:extLst>
        </xdr:cNvPr>
        <xdr:cNvSpPr>
          <a:spLocks noChangeArrowheads="1"/>
        </xdr:cNvSpPr>
      </xdr:nvSpPr>
      <xdr:spPr bwMode="auto">
        <a:xfrm>
          <a:off x="1962150" y="326326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28575</xdr:colOff>
      <xdr:row>183</xdr:row>
      <xdr:rowOff>28575</xdr:rowOff>
    </xdr:from>
    <xdr:to>
      <xdr:col>2</xdr:col>
      <xdr:colOff>19050</xdr:colOff>
      <xdr:row>183</xdr:row>
      <xdr:rowOff>28575</xdr:rowOff>
    </xdr:to>
    <xdr:sp macro="" textlink="">
      <xdr:nvSpPr>
        <xdr:cNvPr id="1168" name="Line 97137">
          <a:extLst>
            <a:ext uri="{FF2B5EF4-FFF2-40B4-BE49-F238E27FC236}">
              <a16:creationId xmlns:a16="http://schemas.microsoft.com/office/drawing/2014/main" id="{00000000-0008-0000-0000-000090040000}"/>
            </a:ext>
          </a:extLst>
        </xdr:cNvPr>
        <xdr:cNvSpPr>
          <a:spLocks noChangeShapeType="1"/>
        </xdr:cNvSpPr>
      </xdr:nvSpPr>
      <xdr:spPr bwMode="auto">
        <a:xfrm flipH="1">
          <a:off x="1171575" y="35461575"/>
          <a:ext cx="228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182</xdr:row>
      <xdr:rowOff>152400</xdr:rowOff>
    </xdr:from>
    <xdr:to>
      <xdr:col>1</xdr:col>
      <xdr:colOff>76200</xdr:colOff>
      <xdr:row>184</xdr:row>
      <xdr:rowOff>47625</xdr:rowOff>
    </xdr:to>
    <xdr:sp macro="" textlink="">
      <xdr:nvSpPr>
        <xdr:cNvPr id="1169" name="Line 97138">
          <a:extLst>
            <a:ext uri="{FF2B5EF4-FFF2-40B4-BE49-F238E27FC236}">
              <a16:creationId xmlns:a16="http://schemas.microsoft.com/office/drawing/2014/main" id="{00000000-0008-0000-0000-000091040000}"/>
            </a:ext>
          </a:extLst>
        </xdr:cNvPr>
        <xdr:cNvSpPr>
          <a:spLocks noChangeShapeType="1"/>
        </xdr:cNvSpPr>
      </xdr:nvSpPr>
      <xdr:spPr bwMode="auto">
        <a:xfrm flipV="1">
          <a:off x="1219200" y="35394900"/>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182</xdr:row>
      <xdr:rowOff>180975</xdr:rowOff>
    </xdr:from>
    <xdr:to>
      <xdr:col>1</xdr:col>
      <xdr:colOff>114300</xdr:colOff>
      <xdr:row>183</xdr:row>
      <xdr:rowOff>66675</xdr:rowOff>
    </xdr:to>
    <xdr:sp macro="" textlink="">
      <xdr:nvSpPr>
        <xdr:cNvPr id="1170" name="Line 97139">
          <a:extLst>
            <a:ext uri="{FF2B5EF4-FFF2-40B4-BE49-F238E27FC236}">
              <a16:creationId xmlns:a16="http://schemas.microsoft.com/office/drawing/2014/main" id="{00000000-0008-0000-0000-000092040000}"/>
            </a:ext>
          </a:extLst>
        </xdr:cNvPr>
        <xdr:cNvSpPr>
          <a:spLocks noChangeShapeType="1"/>
        </xdr:cNvSpPr>
      </xdr:nvSpPr>
      <xdr:spPr bwMode="auto">
        <a:xfrm flipH="1">
          <a:off x="1171575" y="35423475"/>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174</xdr:row>
      <xdr:rowOff>142875</xdr:rowOff>
    </xdr:from>
    <xdr:to>
      <xdr:col>6</xdr:col>
      <xdr:colOff>0</xdr:colOff>
      <xdr:row>174</xdr:row>
      <xdr:rowOff>142875</xdr:rowOff>
    </xdr:to>
    <xdr:sp macro="" textlink="">
      <xdr:nvSpPr>
        <xdr:cNvPr id="1171" name="Line 97140">
          <a:extLst>
            <a:ext uri="{FF2B5EF4-FFF2-40B4-BE49-F238E27FC236}">
              <a16:creationId xmlns:a16="http://schemas.microsoft.com/office/drawing/2014/main" id="{00000000-0008-0000-0000-000093040000}"/>
            </a:ext>
          </a:extLst>
        </xdr:cNvPr>
        <xdr:cNvSpPr>
          <a:spLocks noChangeShapeType="1"/>
        </xdr:cNvSpPr>
      </xdr:nvSpPr>
      <xdr:spPr bwMode="auto">
        <a:xfrm>
          <a:off x="2009775" y="33851850"/>
          <a:ext cx="1400175" cy="0"/>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170</xdr:row>
      <xdr:rowOff>95250</xdr:rowOff>
    </xdr:from>
    <xdr:to>
      <xdr:col>6</xdr:col>
      <xdr:colOff>0</xdr:colOff>
      <xdr:row>170</xdr:row>
      <xdr:rowOff>95250</xdr:rowOff>
    </xdr:to>
    <xdr:sp macro="" textlink="">
      <xdr:nvSpPr>
        <xdr:cNvPr id="1172" name="Line 97142">
          <a:extLst>
            <a:ext uri="{FF2B5EF4-FFF2-40B4-BE49-F238E27FC236}">
              <a16:creationId xmlns:a16="http://schemas.microsoft.com/office/drawing/2014/main" id="{00000000-0008-0000-0000-000094040000}"/>
            </a:ext>
          </a:extLst>
        </xdr:cNvPr>
        <xdr:cNvSpPr>
          <a:spLocks noChangeShapeType="1"/>
        </xdr:cNvSpPr>
      </xdr:nvSpPr>
      <xdr:spPr bwMode="auto">
        <a:xfrm>
          <a:off x="2028825" y="33042225"/>
          <a:ext cx="1381125"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28575</xdr:rowOff>
    </xdr:from>
    <xdr:to>
      <xdr:col>2</xdr:col>
      <xdr:colOff>419100</xdr:colOff>
      <xdr:row>184</xdr:row>
      <xdr:rowOff>28575</xdr:rowOff>
    </xdr:to>
    <xdr:sp macro="" textlink="">
      <xdr:nvSpPr>
        <xdr:cNvPr id="1173" name="Line 97144">
          <a:extLst>
            <a:ext uri="{FF2B5EF4-FFF2-40B4-BE49-F238E27FC236}">
              <a16:creationId xmlns:a16="http://schemas.microsoft.com/office/drawing/2014/main" id="{00000000-0008-0000-0000-000095040000}"/>
            </a:ext>
          </a:extLst>
        </xdr:cNvPr>
        <xdr:cNvSpPr>
          <a:spLocks noChangeShapeType="1"/>
        </xdr:cNvSpPr>
      </xdr:nvSpPr>
      <xdr:spPr bwMode="auto">
        <a:xfrm flipH="1">
          <a:off x="1181100" y="35652075"/>
          <a:ext cx="6191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xdr:colOff>
      <xdr:row>179</xdr:row>
      <xdr:rowOff>57150</xdr:rowOff>
    </xdr:from>
    <xdr:to>
      <xdr:col>5</xdr:col>
      <xdr:colOff>66675</xdr:colOff>
      <xdr:row>184</xdr:row>
      <xdr:rowOff>95250</xdr:rowOff>
    </xdr:to>
    <xdr:sp macro="" textlink="">
      <xdr:nvSpPr>
        <xdr:cNvPr id="1174" name="Line 97145">
          <a:extLst>
            <a:ext uri="{FF2B5EF4-FFF2-40B4-BE49-F238E27FC236}">
              <a16:creationId xmlns:a16="http://schemas.microsoft.com/office/drawing/2014/main" id="{00000000-0008-0000-0000-000096040000}"/>
            </a:ext>
          </a:extLst>
        </xdr:cNvPr>
        <xdr:cNvSpPr>
          <a:spLocks noChangeShapeType="1"/>
        </xdr:cNvSpPr>
      </xdr:nvSpPr>
      <xdr:spPr bwMode="auto">
        <a:xfrm>
          <a:off x="2724150" y="34718625"/>
          <a:ext cx="0" cy="1000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179</xdr:row>
      <xdr:rowOff>19050</xdr:rowOff>
    </xdr:from>
    <xdr:to>
      <xdr:col>5</xdr:col>
      <xdr:colOff>123825</xdr:colOff>
      <xdr:row>179</xdr:row>
      <xdr:rowOff>133350</xdr:rowOff>
    </xdr:to>
    <xdr:sp macro="" textlink="">
      <xdr:nvSpPr>
        <xdr:cNvPr id="1175" name="Line 97146">
          <a:extLst>
            <a:ext uri="{FF2B5EF4-FFF2-40B4-BE49-F238E27FC236}">
              <a16:creationId xmlns:a16="http://schemas.microsoft.com/office/drawing/2014/main" id="{00000000-0008-0000-0000-000097040000}"/>
            </a:ext>
          </a:extLst>
        </xdr:cNvPr>
        <xdr:cNvSpPr>
          <a:spLocks noChangeShapeType="1"/>
        </xdr:cNvSpPr>
      </xdr:nvSpPr>
      <xdr:spPr bwMode="auto">
        <a:xfrm flipH="1">
          <a:off x="2667000" y="3468052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183</xdr:row>
      <xdr:rowOff>171450</xdr:rowOff>
    </xdr:from>
    <xdr:to>
      <xdr:col>5</xdr:col>
      <xdr:colOff>114300</xdr:colOff>
      <xdr:row>184</xdr:row>
      <xdr:rowOff>85725</xdr:rowOff>
    </xdr:to>
    <xdr:sp macro="" textlink="">
      <xdr:nvSpPr>
        <xdr:cNvPr id="1176" name="Line 97147">
          <a:extLst>
            <a:ext uri="{FF2B5EF4-FFF2-40B4-BE49-F238E27FC236}">
              <a16:creationId xmlns:a16="http://schemas.microsoft.com/office/drawing/2014/main" id="{00000000-0008-0000-0000-000098040000}"/>
            </a:ext>
          </a:extLst>
        </xdr:cNvPr>
        <xdr:cNvSpPr>
          <a:spLocks noChangeShapeType="1"/>
        </xdr:cNvSpPr>
      </xdr:nvSpPr>
      <xdr:spPr bwMode="auto">
        <a:xfrm flipH="1">
          <a:off x="2667000" y="356044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0</xdr:rowOff>
    </xdr:from>
    <xdr:to>
      <xdr:col>1</xdr:col>
      <xdr:colOff>114300</xdr:colOff>
      <xdr:row>184</xdr:row>
      <xdr:rowOff>76200</xdr:rowOff>
    </xdr:to>
    <xdr:sp macro="" textlink="">
      <xdr:nvSpPr>
        <xdr:cNvPr id="1177" name="Line 97148">
          <a:extLst>
            <a:ext uri="{FF2B5EF4-FFF2-40B4-BE49-F238E27FC236}">
              <a16:creationId xmlns:a16="http://schemas.microsoft.com/office/drawing/2014/main" id="{00000000-0008-0000-0000-000099040000}"/>
            </a:ext>
          </a:extLst>
        </xdr:cNvPr>
        <xdr:cNvSpPr>
          <a:spLocks noChangeShapeType="1"/>
        </xdr:cNvSpPr>
      </xdr:nvSpPr>
      <xdr:spPr bwMode="auto">
        <a:xfrm flipH="1">
          <a:off x="1181100" y="356235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173</xdr:row>
      <xdr:rowOff>104775</xdr:rowOff>
    </xdr:from>
    <xdr:to>
      <xdr:col>5</xdr:col>
      <xdr:colOff>723900</xdr:colOff>
      <xdr:row>174</xdr:row>
      <xdr:rowOff>161925</xdr:rowOff>
    </xdr:to>
    <xdr:sp macro="" textlink="">
      <xdr:nvSpPr>
        <xdr:cNvPr id="1178" name="Freeform 97149">
          <a:extLst>
            <a:ext uri="{FF2B5EF4-FFF2-40B4-BE49-F238E27FC236}">
              <a16:creationId xmlns:a16="http://schemas.microsoft.com/office/drawing/2014/main" id="{00000000-0008-0000-0000-00009A040000}"/>
            </a:ext>
          </a:extLst>
        </xdr:cNvPr>
        <xdr:cNvSpPr>
          <a:spLocks/>
        </xdr:cNvSpPr>
      </xdr:nvSpPr>
      <xdr:spPr bwMode="auto">
        <a:xfrm>
          <a:off x="3305175" y="33623250"/>
          <a:ext cx="76200" cy="247650"/>
        </a:xfrm>
        <a:custGeom>
          <a:avLst/>
          <a:gdLst>
            <a:gd name="T0" fmla="*/ 725805000 w 8"/>
            <a:gd name="T1" fmla="*/ 0 h 26"/>
            <a:gd name="T2" fmla="*/ 0 w 8"/>
            <a:gd name="T3" fmla="*/ 0 h 26"/>
            <a:gd name="T4" fmla="*/ 0 w 8"/>
            <a:gd name="T5" fmla="*/ 2147483647 h 26"/>
            <a:gd name="T6" fmla="*/ 0 60000 65536"/>
            <a:gd name="T7" fmla="*/ 0 60000 65536"/>
            <a:gd name="T8" fmla="*/ 0 60000 65536"/>
          </a:gdLst>
          <a:ahLst/>
          <a:cxnLst>
            <a:cxn ang="T6">
              <a:pos x="T0" y="T1"/>
            </a:cxn>
            <a:cxn ang="T7">
              <a:pos x="T2" y="T3"/>
            </a:cxn>
            <a:cxn ang="T8">
              <a:pos x="T4" y="T5"/>
            </a:cxn>
          </a:cxnLst>
          <a:rect l="0" t="0" r="r" b="b"/>
          <a:pathLst>
            <a:path w="8" h="26">
              <a:moveTo>
                <a:pt x="8" y="0"/>
              </a:moveTo>
              <a:lnTo>
                <a:pt x="0" y="0"/>
              </a:lnTo>
              <a:lnTo>
                <a:pt x="0" y="2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609600</xdr:colOff>
      <xdr:row>174</xdr:row>
      <xdr:rowOff>95250</xdr:rowOff>
    </xdr:from>
    <xdr:to>
      <xdr:col>5</xdr:col>
      <xdr:colOff>676275</xdr:colOff>
      <xdr:row>174</xdr:row>
      <xdr:rowOff>161925</xdr:rowOff>
    </xdr:to>
    <xdr:sp macro="" textlink="">
      <xdr:nvSpPr>
        <xdr:cNvPr id="1179" name="Oval 97150">
          <a:extLst>
            <a:ext uri="{FF2B5EF4-FFF2-40B4-BE49-F238E27FC236}">
              <a16:creationId xmlns:a16="http://schemas.microsoft.com/office/drawing/2014/main" id="{00000000-0008-0000-0000-00009B040000}"/>
            </a:ext>
          </a:extLst>
        </xdr:cNvPr>
        <xdr:cNvSpPr>
          <a:spLocks noChangeArrowheads="1"/>
        </xdr:cNvSpPr>
      </xdr:nvSpPr>
      <xdr:spPr bwMode="auto">
        <a:xfrm>
          <a:off x="3267075" y="33804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200025</xdr:colOff>
      <xdr:row>187</xdr:row>
      <xdr:rowOff>38100</xdr:rowOff>
    </xdr:from>
    <xdr:to>
      <xdr:col>5</xdr:col>
      <xdr:colOff>190500</xdr:colOff>
      <xdr:row>188</xdr:row>
      <xdr:rowOff>180975</xdr:rowOff>
    </xdr:to>
    <xdr:sp macro="" textlink="">
      <xdr:nvSpPr>
        <xdr:cNvPr id="1180" name="Tegning 344">
          <a:extLst>
            <a:ext uri="{FF2B5EF4-FFF2-40B4-BE49-F238E27FC236}">
              <a16:creationId xmlns:a16="http://schemas.microsoft.com/office/drawing/2014/main" id="{00000000-0008-0000-0000-00009C040000}"/>
            </a:ext>
          </a:extLst>
        </xdr:cNvPr>
        <xdr:cNvSpPr>
          <a:spLocks/>
        </xdr:cNvSpPr>
      </xdr:nvSpPr>
      <xdr:spPr bwMode="auto">
        <a:xfrm flipV="1">
          <a:off x="1581150" y="36233100"/>
          <a:ext cx="1266825"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187</xdr:row>
      <xdr:rowOff>123825</xdr:rowOff>
    </xdr:from>
    <xdr:to>
      <xdr:col>5</xdr:col>
      <xdr:colOff>190500</xdr:colOff>
      <xdr:row>189</xdr:row>
      <xdr:rowOff>161925</xdr:rowOff>
    </xdr:to>
    <xdr:sp macro="" textlink="">
      <xdr:nvSpPr>
        <xdr:cNvPr id="1181" name="Tegning 344">
          <a:extLst>
            <a:ext uri="{FF2B5EF4-FFF2-40B4-BE49-F238E27FC236}">
              <a16:creationId xmlns:a16="http://schemas.microsoft.com/office/drawing/2014/main" id="{00000000-0008-0000-0000-00009D040000}"/>
            </a:ext>
          </a:extLst>
        </xdr:cNvPr>
        <xdr:cNvSpPr>
          <a:spLocks/>
        </xdr:cNvSpPr>
      </xdr:nvSpPr>
      <xdr:spPr bwMode="auto">
        <a:xfrm>
          <a:off x="1581150" y="36318825"/>
          <a:ext cx="1266825" cy="42862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188</xdr:row>
      <xdr:rowOff>180975</xdr:rowOff>
    </xdr:from>
    <xdr:to>
      <xdr:col>4</xdr:col>
      <xdr:colOff>133350</xdr:colOff>
      <xdr:row>189</xdr:row>
      <xdr:rowOff>161925</xdr:rowOff>
    </xdr:to>
    <xdr:sp macro="" textlink="">
      <xdr:nvSpPr>
        <xdr:cNvPr id="1182" name="Line 97153">
          <a:extLst>
            <a:ext uri="{FF2B5EF4-FFF2-40B4-BE49-F238E27FC236}">
              <a16:creationId xmlns:a16="http://schemas.microsoft.com/office/drawing/2014/main" id="{00000000-0008-0000-0000-00009E040000}"/>
            </a:ext>
          </a:extLst>
        </xdr:cNvPr>
        <xdr:cNvSpPr>
          <a:spLocks noChangeShapeType="1"/>
        </xdr:cNvSpPr>
      </xdr:nvSpPr>
      <xdr:spPr bwMode="auto">
        <a:xfrm flipH="1">
          <a:off x="2390775" y="36566475"/>
          <a:ext cx="762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190</xdr:row>
      <xdr:rowOff>28575</xdr:rowOff>
    </xdr:from>
    <xdr:to>
      <xdr:col>5</xdr:col>
      <xdr:colOff>171450</xdr:colOff>
      <xdr:row>191</xdr:row>
      <xdr:rowOff>0</xdr:rowOff>
    </xdr:to>
    <xdr:sp macro="" textlink="">
      <xdr:nvSpPr>
        <xdr:cNvPr id="1183" name="Line 97154">
          <a:extLst>
            <a:ext uri="{FF2B5EF4-FFF2-40B4-BE49-F238E27FC236}">
              <a16:creationId xmlns:a16="http://schemas.microsoft.com/office/drawing/2014/main" id="{00000000-0008-0000-0000-00009F040000}"/>
            </a:ext>
          </a:extLst>
        </xdr:cNvPr>
        <xdr:cNvSpPr>
          <a:spLocks noChangeShapeType="1"/>
        </xdr:cNvSpPr>
      </xdr:nvSpPr>
      <xdr:spPr bwMode="auto">
        <a:xfrm>
          <a:off x="2828925" y="36804600"/>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190500</xdr:colOff>
      <xdr:row>190</xdr:row>
      <xdr:rowOff>9525</xdr:rowOff>
    </xdr:from>
    <xdr:to>
      <xdr:col>2</xdr:col>
      <xdr:colOff>190500</xdr:colOff>
      <xdr:row>190</xdr:row>
      <xdr:rowOff>190500</xdr:rowOff>
    </xdr:to>
    <xdr:sp macro="" textlink="">
      <xdr:nvSpPr>
        <xdr:cNvPr id="1184" name="Line 97155">
          <a:extLst>
            <a:ext uri="{FF2B5EF4-FFF2-40B4-BE49-F238E27FC236}">
              <a16:creationId xmlns:a16="http://schemas.microsoft.com/office/drawing/2014/main" id="{00000000-0008-0000-0000-0000A0040000}"/>
            </a:ext>
          </a:extLst>
        </xdr:cNvPr>
        <xdr:cNvSpPr>
          <a:spLocks noChangeShapeType="1"/>
        </xdr:cNvSpPr>
      </xdr:nvSpPr>
      <xdr:spPr bwMode="auto">
        <a:xfrm>
          <a:off x="1571625" y="367855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190</xdr:row>
      <xdr:rowOff>104775</xdr:rowOff>
    </xdr:from>
    <xdr:to>
      <xdr:col>5</xdr:col>
      <xdr:colOff>228600</xdr:colOff>
      <xdr:row>190</xdr:row>
      <xdr:rowOff>104775</xdr:rowOff>
    </xdr:to>
    <xdr:sp macro="" textlink="">
      <xdr:nvSpPr>
        <xdr:cNvPr id="1185" name="Line 97156">
          <a:extLst>
            <a:ext uri="{FF2B5EF4-FFF2-40B4-BE49-F238E27FC236}">
              <a16:creationId xmlns:a16="http://schemas.microsoft.com/office/drawing/2014/main" id="{00000000-0008-0000-0000-0000A1040000}"/>
            </a:ext>
          </a:extLst>
        </xdr:cNvPr>
        <xdr:cNvSpPr>
          <a:spLocks noChangeShapeType="1"/>
        </xdr:cNvSpPr>
      </xdr:nvSpPr>
      <xdr:spPr bwMode="auto">
        <a:xfrm>
          <a:off x="1514475" y="3688080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189</xdr:row>
      <xdr:rowOff>123825</xdr:rowOff>
    </xdr:from>
    <xdr:to>
      <xdr:col>4</xdr:col>
      <xdr:colOff>104775</xdr:colOff>
      <xdr:row>190</xdr:row>
      <xdr:rowOff>0</xdr:rowOff>
    </xdr:to>
    <xdr:sp macro="" textlink="">
      <xdr:nvSpPr>
        <xdr:cNvPr id="1186" name="Oval 97157">
          <a:extLst>
            <a:ext uri="{FF2B5EF4-FFF2-40B4-BE49-F238E27FC236}">
              <a16:creationId xmlns:a16="http://schemas.microsoft.com/office/drawing/2014/main" id="{00000000-0008-0000-0000-0000A2040000}"/>
            </a:ext>
          </a:extLst>
        </xdr:cNvPr>
        <xdr:cNvSpPr>
          <a:spLocks noChangeArrowheads="1"/>
        </xdr:cNvSpPr>
      </xdr:nvSpPr>
      <xdr:spPr bwMode="auto">
        <a:xfrm>
          <a:off x="2371725" y="3670935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104775</xdr:colOff>
      <xdr:row>183</xdr:row>
      <xdr:rowOff>133350</xdr:rowOff>
    </xdr:from>
    <xdr:to>
      <xdr:col>2</xdr:col>
      <xdr:colOff>104775</xdr:colOff>
      <xdr:row>185</xdr:row>
      <xdr:rowOff>38100</xdr:rowOff>
    </xdr:to>
    <xdr:sp macro="" textlink="">
      <xdr:nvSpPr>
        <xdr:cNvPr id="1187" name="Line 97158">
          <a:extLst>
            <a:ext uri="{FF2B5EF4-FFF2-40B4-BE49-F238E27FC236}">
              <a16:creationId xmlns:a16="http://schemas.microsoft.com/office/drawing/2014/main" id="{00000000-0008-0000-0000-0000A3040000}"/>
            </a:ext>
          </a:extLst>
        </xdr:cNvPr>
        <xdr:cNvSpPr>
          <a:spLocks noChangeShapeType="1"/>
        </xdr:cNvSpPr>
      </xdr:nvSpPr>
      <xdr:spPr bwMode="auto">
        <a:xfrm>
          <a:off x="1485900" y="35566350"/>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184</xdr:row>
      <xdr:rowOff>66675</xdr:rowOff>
    </xdr:from>
    <xdr:to>
      <xdr:col>2</xdr:col>
      <xdr:colOff>533400</xdr:colOff>
      <xdr:row>185</xdr:row>
      <xdr:rowOff>47625</xdr:rowOff>
    </xdr:to>
    <xdr:sp macro="" textlink="">
      <xdr:nvSpPr>
        <xdr:cNvPr id="1188" name="Line 97159">
          <a:extLst>
            <a:ext uri="{FF2B5EF4-FFF2-40B4-BE49-F238E27FC236}">
              <a16:creationId xmlns:a16="http://schemas.microsoft.com/office/drawing/2014/main" id="{00000000-0008-0000-0000-0000A4040000}"/>
            </a:ext>
          </a:extLst>
        </xdr:cNvPr>
        <xdr:cNvSpPr>
          <a:spLocks noChangeShapeType="1"/>
        </xdr:cNvSpPr>
      </xdr:nvSpPr>
      <xdr:spPr bwMode="auto">
        <a:xfrm>
          <a:off x="1914525" y="3569017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181</xdr:row>
      <xdr:rowOff>114300</xdr:rowOff>
    </xdr:from>
    <xdr:to>
      <xdr:col>2</xdr:col>
      <xdr:colOff>266700</xdr:colOff>
      <xdr:row>183</xdr:row>
      <xdr:rowOff>180975</xdr:rowOff>
    </xdr:to>
    <xdr:sp macro="" textlink="">
      <xdr:nvSpPr>
        <xdr:cNvPr id="1189" name="Line 97160">
          <a:extLst>
            <a:ext uri="{FF2B5EF4-FFF2-40B4-BE49-F238E27FC236}">
              <a16:creationId xmlns:a16="http://schemas.microsoft.com/office/drawing/2014/main" id="{00000000-0008-0000-0000-0000A5040000}"/>
            </a:ext>
          </a:extLst>
        </xdr:cNvPr>
        <xdr:cNvSpPr>
          <a:spLocks noChangeShapeType="1"/>
        </xdr:cNvSpPr>
      </xdr:nvSpPr>
      <xdr:spPr bwMode="auto">
        <a:xfrm flipV="1">
          <a:off x="1647825" y="35166300"/>
          <a:ext cx="0" cy="447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181</xdr:row>
      <xdr:rowOff>180975</xdr:rowOff>
    </xdr:from>
    <xdr:to>
      <xdr:col>3</xdr:col>
      <xdr:colOff>228600</xdr:colOff>
      <xdr:row>181</xdr:row>
      <xdr:rowOff>180975</xdr:rowOff>
    </xdr:to>
    <xdr:sp macro="" textlink="">
      <xdr:nvSpPr>
        <xdr:cNvPr id="1190" name="Line 97161">
          <a:extLst>
            <a:ext uri="{FF2B5EF4-FFF2-40B4-BE49-F238E27FC236}">
              <a16:creationId xmlns:a16="http://schemas.microsoft.com/office/drawing/2014/main" id="{00000000-0008-0000-0000-0000A6040000}"/>
            </a:ext>
          </a:extLst>
        </xdr:cNvPr>
        <xdr:cNvSpPr>
          <a:spLocks noChangeShapeType="1"/>
        </xdr:cNvSpPr>
      </xdr:nvSpPr>
      <xdr:spPr bwMode="auto">
        <a:xfrm>
          <a:off x="1609725" y="35232975"/>
          <a:ext cx="581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180975</xdr:rowOff>
    </xdr:from>
    <xdr:to>
      <xdr:col>2</xdr:col>
      <xdr:colOff>542925</xdr:colOff>
      <xdr:row>184</xdr:row>
      <xdr:rowOff>180975</xdr:rowOff>
    </xdr:to>
    <xdr:sp macro="" textlink="">
      <xdr:nvSpPr>
        <xdr:cNvPr id="1191" name="Line 97162">
          <a:extLst>
            <a:ext uri="{FF2B5EF4-FFF2-40B4-BE49-F238E27FC236}">
              <a16:creationId xmlns:a16="http://schemas.microsoft.com/office/drawing/2014/main" id="{00000000-0008-0000-0000-0000A7040000}"/>
            </a:ext>
          </a:extLst>
        </xdr:cNvPr>
        <xdr:cNvSpPr>
          <a:spLocks noChangeShapeType="1"/>
        </xdr:cNvSpPr>
      </xdr:nvSpPr>
      <xdr:spPr bwMode="auto">
        <a:xfrm flipH="1">
          <a:off x="1447800" y="35804475"/>
          <a:ext cx="476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161925</xdr:rowOff>
    </xdr:from>
    <xdr:to>
      <xdr:col>2</xdr:col>
      <xdr:colOff>133350</xdr:colOff>
      <xdr:row>185</xdr:row>
      <xdr:rowOff>28575</xdr:rowOff>
    </xdr:to>
    <xdr:sp macro="" textlink="">
      <xdr:nvSpPr>
        <xdr:cNvPr id="1192" name="Line 97163">
          <a:extLst>
            <a:ext uri="{FF2B5EF4-FFF2-40B4-BE49-F238E27FC236}">
              <a16:creationId xmlns:a16="http://schemas.microsoft.com/office/drawing/2014/main" id="{00000000-0008-0000-0000-0000A8040000}"/>
            </a:ext>
          </a:extLst>
        </xdr:cNvPr>
        <xdr:cNvSpPr>
          <a:spLocks noChangeShapeType="1"/>
        </xdr:cNvSpPr>
      </xdr:nvSpPr>
      <xdr:spPr bwMode="auto">
        <a:xfrm flipH="1">
          <a:off x="1447800" y="3578542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485775</xdr:colOff>
      <xdr:row>184</xdr:row>
      <xdr:rowOff>152400</xdr:rowOff>
    </xdr:from>
    <xdr:to>
      <xdr:col>2</xdr:col>
      <xdr:colOff>561975</xdr:colOff>
      <xdr:row>185</xdr:row>
      <xdr:rowOff>38100</xdr:rowOff>
    </xdr:to>
    <xdr:sp macro="" textlink="">
      <xdr:nvSpPr>
        <xdr:cNvPr id="1193" name="Line 97164">
          <a:extLst>
            <a:ext uri="{FF2B5EF4-FFF2-40B4-BE49-F238E27FC236}">
              <a16:creationId xmlns:a16="http://schemas.microsoft.com/office/drawing/2014/main" id="{00000000-0008-0000-0000-0000A9040000}"/>
            </a:ext>
          </a:extLst>
        </xdr:cNvPr>
        <xdr:cNvSpPr>
          <a:spLocks noChangeShapeType="1"/>
        </xdr:cNvSpPr>
      </xdr:nvSpPr>
      <xdr:spPr bwMode="auto">
        <a:xfrm flipH="1">
          <a:off x="1866900" y="35775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179</xdr:row>
      <xdr:rowOff>180975</xdr:rowOff>
    </xdr:from>
    <xdr:to>
      <xdr:col>4</xdr:col>
      <xdr:colOff>209550</xdr:colOff>
      <xdr:row>179</xdr:row>
      <xdr:rowOff>180975</xdr:rowOff>
    </xdr:to>
    <xdr:sp macro="" textlink="">
      <xdr:nvSpPr>
        <xdr:cNvPr id="1194" name="Line 97165">
          <a:extLst>
            <a:ext uri="{FF2B5EF4-FFF2-40B4-BE49-F238E27FC236}">
              <a16:creationId xmlns:a16="http://schemas.microsoft.com/office/drawing/2014/main" id="{00000000-0008-0000-0000-0000AA040000}"/>
            </a:ext>
          </a:extLst>
        </xdr:cNvPr>
        <xdr:cNvSpPr>
          <a:spLocks noChangeShapeType="1"/>
        </xdr:cNvSpPr>
      </xdr:nvSpPr>
      <xdr:spPr bwMode="auto">
        <a:xfrm>
          <a:off x="2085975" y="34842450"/>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4879</xdr:colOff>
      <xdr:row>182</xdr:row>
      <xdr:rowOff>177722</xdr:rowOff>
    </xdr:from>
    <xdr:to>
      <xdr:col>4</xdr:col>
      <xdr:colOff>185854</xdr:colOff>
      <xdr:row>182</xdr:row>
      <xdr:rowOff>177722</xdr:rowOff>
    </xdr:to>
    <xdr:sp macro="" textlink="">
      <xdr:nvSpPr>
        <xdr:cNvPr id="1195" name="Line 97166">
          <a:extLst>
            <a:ext uri="{FF2B5EF4-FFF2-40B4-BE49-F238E27FC236}">
              <a16:creationId xmlns:a16="http://schemas.microsoft.com/office/drawing/2014/main" id="{00000000-0008-0000-0000-0000AB040000}"/>
            </a:ext>
          </a:extLst>
        </xdr:cNvPr>
        <xdr:cNvSpPr>
          <a:spLocks noChangeShapeType="1"/>
        </xdr:cNvSpPr>
      </xdr:nvSpPr>
      <xdr:spPr bwMode="auto">
        <a:xfrm>
          <a:off x="1965635" y="35582844"/>
          <a:ext cx="5526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179</xdr:row>
      <xdr:rowOff>171450</xdr:rowOff>
    </xdr:from>
    <xdr:to>
      <xdr:col>4</xdr:col>
      <xdr:colOff>133350</xdr:colOff>
      <xdr:row>181</xdr:row>
      <xdr:rowOff>38100</xdr:rowOff>
    </xdr:to>
    <xdr:sp macro="" textlink="">
      <xdr:nvSpPr>
        <xdr:cNvPr id="1196" name="Line 97167">
          <a:extLst>
            <a:ext uri="{FF2B5EF4-FFF2-40B4-BE49-F238E27FC236}">
              <a16:creationId xmlns:a16="http://schemas.microsoft.com/office/drawing/2014/main" id="{00000000-0008-0000-0000-0000AC040000}"/>
            </a:ext>
          </a:extLst>
        </xdr:cNvPr>
        <xdr:cNvSpPr>
          <a:spLocks noChangeShapeType="1"/>
        </xdr:cNvSpPr>
      </xdr:nvSpPr>
      <xdr:spPr bwMode="auto">
        <a:xfrm>
          <a:off x="2466975" y="34832925"/>
          <a:ext cx="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181</xdr:row>
      <xdr:rowOff>180975</xdr:rowOff>
    </xdr:from>
    <xdr:to>
      <xdr:col>4</xdr:col>
      <xdr:colOff>133350</xdr:colOff>
      <xdr:row>183</xdr:row>
      <xdr:rowOff>27878</xdr:rowOff>
    </xdr:to>
    <xdr:sp macro="" textlink="">
      <xdr:nvSpPr>
        <xdr:cNvPr id="1197" name="Line 97168">
          <a:extLst>
            <a:ext uri="{FF2B5EF4-FFF2-40B4-BE49-F238E27FC236}">
              <a16:creationId xmlns:a16="http://schemas.microsoft.com/office/drawing/2014/main" id="{00000000-0008-0000-0000-0000AD040000}"/>
            </a:ext>
          </a:extLst>
        </xdr:cNvPr>
        <xdr:cNvSpPr>
          <a:spLocks noChangeShapeType="1"/>
        </xdr:cNvSpPr>
      </xdr:nvSpPr>
      <xdr:spPr bwMode="auto">
        <a:xfrm>
          <a:off x="2465813" y="35395597"/>
          <a:ext cx="0" cy="22790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182</xdr:row>
      <xdr:rowOff>125683</xdr:rowOff>
    </xdr:from>
    <xdr:to>
      <xdr:col>4</xdr:col>
      <xdr:colOff>171450</xdr:colOff>
      <xdr:row>183</xdr:row>
      <xdr:rowOff>20908</xdr:rowOff>
    </xdr:to>
    <xdr:sp macro="" textlink="">
      <xdr:nvSpPr>
        <xdr:cNvPr id="1198" name="Line 97169">
          <a:extLst>
            <a:ext uri="{FF2B5EF4-FFF2-40B4-BE49-F238E27FC236}">
              <a16:creationId xmlns:a16="http://schemas.microsoft.com/office/drawing/2014/main" id="{00000000-0008-0000-0000-0000AE040000}"/>
            </a:ext>
          </a:extLst>
        </xdr:cNvPr>
        <xdr:cNvSpPr>
          <a:spLocks noChangeShapeType="1"/>
        </xdr:cNvSpPr>
      </xdr:nvSpPr>
      <xdr:spPr bwMode="auto">
        <a:xfrm flipH="1">
          <a:off x="2418188" y="3553080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179</xdr:row>
      <xdr:rowOff>142875</xdr:rowOff>
    </xdr:from>
    <xdr:to>
      <xdr:col>4</xdr:col>
      <xdr:colOff>171450</xdr:colOff>
      <xdr:row>180</xdr:row>
      <xdr:rowOff>19050</xdr:rowOff>
    </xdr:to>
    <xdr:sp macro="" textlink="">
      <xdr:nvSpPr>
        <xdr:cNvPr id="1199" name="Line 97170">
          <a:extLst>
            <a:ext uri="{FF2B5EF4-FFF2-40B4-BE49-F238E27FC236}">
              <a16:creationId xmlns:a16="http://schemas.microsoft.com/office/drawing/2014/main" id="{00000000-0008-0000-0000-0000AF040000}"/>
            </a:ext>
          </a:extLst>
        </xdr:cNvPr>
        <xdr:cNvSpPr>
          <a:spLocks noChangeShapeType="1"/>
        </xdr:cNvSpPr>
      </xdr:nvSpPr>
      <xdr:spPr bwMode="auto">
        <a:xfrm flipH="1">
          <a:off x="2428875" y="3480435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190</xdr:row>
      <xdr:rowOff>66675</xdr:rowOff>
    </xdr:from>
    <xdr:to>
      <xdr:col>2</xdr:col>
      <xdr:colOff>238125</xdr:colOff>
      <xdr:row>190</xdr:row>
      <xdr:rowOff>190500</xdr:rowOff>
    </xdr:to>
    <xdr:sp macro="" textlink="">
      <xdr:nvSpPr>
        <xdr:cNvPr id="1200" name="Line 97171">
          <a:extLst>
            <a:ext uri="{FF2B5EF4-FFF2-40B4-BE49-F238E27FC236}">
              <a16:creationId xmlns:a16="http://schemas.microsoft.com/office/drawing/2014/main" id="{00000000-0008-0000-0000-0000B0040000}"/>
            </a:ext>
          </a:extLst>
        </xdr:cNvPr>
        <xdr:cNvSpPr>
          <a:spLocks noChangeShapeType="1"/>
        </xdr:cNvSpPr>
      </xdr:nvSpPr>
      <xdr:spPr bwMode="auto">
        <a:xfrm flipH="1">
          <a:off x="1504950" y="3684270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190</xdr:row>
      <xdr:rowOff>57150</xdr:rowOff>
    </xdr:from>
    <xdr:to>
      <xdr:col>5</xdr:col>
      <xdr:colOff>228600</xdr:colOff>
      <xdr:row>190</xdr:row>
      <xdr:rowOff>190500</xdr:rowOff>
    </xdr:to>
    <xdr:sp macro="" textlink="">
      <xdr:nvSpPr>
        <xdr:cNvPr id="1201" name="Line 97172">
          <a:extLst>
            <a:ext uri="{FF2B5EF4-FFF2-40B4-BE49-F238E27FC236}">
              <a16:creationId xmlns:a16="http://schemas.microsoft.com/office/drawing/2014/main" id="{00000000-0008-0000-0000-0000B1040000}"/>
            </a:ext>
          </a:extLst>
        </xdr:cNvPr>
        <xdr:cNvSpPr>
          <a:spLocks noChangeShapeType="1"/>
        </xdr:cNvSpPr>
      </xdr:nvSpPr>
      <xdr:spPr bwMode="auto">
        <a:xfrm flipH="1">
          <a:off x="2762250" y="3683317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206</xdr:row>
      <xdr:rowOff>57150</xdr:rowOff>
    </xdr:from>
    <xdr:to>
      <xdr:col>5</xdr:col>
      <xdr:colOff>542925</xdr:colOff>
      <xdr:row>208</xdr:row>
      <xdr:rowOff>85725</xdr:rowOff>
    </xdr:to>
    <xdr:sp macro="" textlink="">
      <xdr:nvSpPr>
        <xdr:cNvPr id="1202" name="Tegning 344">
          <a:extLst>
            <a:ext uri="{FF2B5EF4-FFF2-40B4-BE49-F238E27FC236}">
              <a16:creationId xmlns:a16="http://schemas.microsoft.com/office/drawing/2014/main" id="{00000000-0008-0000-0000-0000B2040000}"/>
            </a:ext>
          </a:extLst>
        </xdr:cNvPr>
        <xdr:cNvSpPr>
          <a:spLocks/>
        </xdr:cNvSpPr>
      </xdr:nvSpPr>
      <xdr:spPr bwMode="auto">
        <a:xfrm>
          <a:off x="1990725" y="39890700"/>
          <a:ext cx="1209675" cy="41910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204</xdr:row>
      <xdr:rowOff>123825</xdr:rowOff>
    </xdr:from>
    <xdr:to>
      <xdr:col>5</xdr:col>
      <xdr:colOff>523875</xdr:colOff>
      <xdr:row>206</xdr:row>
      <xdr:rowOff>76200</xdr:rowOff>
    </xdr:to>
    <xdr:sp macro="" textlink="">
      <xdr:nvSpPr>
        <xdr:cNvPr id="1203" name="Tegning 344">
          <a:extLst>
            <a:ext uri="{FF2B5EF4-FFF2-40B4-BE49-F238E27FC236}">
              <a16:creationId xmlns:a16="http://schemas.microsoft.com/office/drawing/2014/main" id="{00000000-0008-0000-0000-0000B3040000}"/>
            </a:ext>
          </a:extLst>
        </xdr:cNvPr>
        <xdr:cNvSpPr>
          <a:spLocks/>
        </xdr:cNvSpPr>
      </xdr:nvSpPr>
      <xdr:spPr bwMode="auto">
        <a:xfrm flipV="1">
          <a:off x="1990725" y="39576375"/>
          <a:ext cx="1190625"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208</xdr:row>
      <xdr:rowOff>161925</xdr:rowOff>
    </xdr:from>
    <xdr:to>
      <xdr:col>3</xdr:col>
      <xdr:colOff>28575</xdr:colOff>
      <xdr:row>209</xdr:row>
      <xdr:rowOff>152400</xdr:rowOff>
    </xdr:to>
    <xdr:sp macro="" textlink="">
      <xdr:nvSpPr>
        <xdr:cNvPr id="1204" name="Line 97175">
          <a:extLst>
            <a:ext uri="{FF2B5EF4-FFF2-40B4-BE49-F238E27FC236}">
              <a16:creationId xmlns:a16="http://schemas.microsoft.com/office/drawing/2014/main" id="{00000000-0008-0000-0000-0000B4040000}"/>
            </a:ext>
          </a:extLst>
        </xdr:cNvPr>
        <xdr:cNvSpPr>
          <a:spLocks noChangeShapeType="1"/>
        </xdr:cNvSpPr>
      </xdr:nvSpPr>
      <xdr:spPr bwMode="auto">
        <a:xfrm>
          <a:off x="1990725" y="4038600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533400</xdr:colOff>
      <xdr:row>208</xdr:row>
      <xdr:rowOff>161925</xdr:rowOff>
    </xdr:from>
    <xdr:to>
      <xdr:col>5</xdr:col>
      <xdr:colOff>533400</xdr:colOff>
      <xdr:row>209</xdr:row>
      <xdr:rowOff>161925</xdr:rowOff>
    </xdr:to>
    <xdr:sp macro="" textlink="">
      <xdr:nvSpPr>
        <xdr:cNvPr id="1205" name="Line 97176">
          <a:extLst>
            <a:ext uri="{FF2B5EF4-FFF2-40B4-BE49-F238E27FC236}">
              <a16:creationId xmlns:a16="http://schemas.microsoft.com/office/drawing/2014/main" id="{00000000-0008-0000-0000-0000B5040000}"/>
            </a:ext>
          </a:extLst>
        </xdr:cNvPr>
        <xdr:cNvSpPr>
          <a:spLocks noChangeShapeType="1"/>
        </xdr:cNvSpPr>
      </xdr:nvSpPr>
      <xdr:spPr bwMode="auto">
        <a:xfrm>
          <a:off x="3190875" y="4038600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209</xdr:row>
      <xdr:rowOff>0</xdr:rowOff>
    </xdr:from>
    <xdr:to>
      <xdr:col>3</xdr:col>
      <xdr:colOff>123825</xdr:colOff>
      <xdr:row>209</xdr:row>
      <xdr:rowOff>133350</xdr:rowOff>
    </xdr:to>
    <xdr:sp macro="" textlink="">
      <xdr:nvSpPr>
        <xdr:cNvPr id="1206" name="Line 97177">
          <a:extLst>
            <a:ext uri="{FF2B5EF4-FFF2-40B4-BE49-F238E27FC236}">
              <a16:creationId xmlns:a16="http://schemas.microsoft.com/office/drawing/2014/main" id="{00000000-0008-0000-0000-0000B6040000}"/>
            </a:ext>
          </a:extLst>
        </xdr:cNvPr>
        <xdr:cNvSpPr>
          <a:spLocks noChangeShapeType="1"/>
        </xdr:cNvSpPr>
      </xdr:nvSpPr>
      <xdr:spPr bwMode="auto">
        <a:xfrm flipH="1">
          <a:off x="1924050" y="40424100"/>
          <a:ext cx="1619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209</xdr:row>
      <xdr:rowOff>19050</xdr:rowOff>
    </xdr:from>
    <xdr:to>
      <xdr:col>5</xdr:col>
      <xdr:colOff>590550</xdr:colOff>
      <xdr:row>209</xdr:row>
      <xdr:rowOff>142875</xdr:rowOff>
    </xdr:to>
    <xdr:sp macro="" textlink="">
      <xdr:nvSpPr>
        <xdr:cNvPr id="1207" name="Line 97178">
          <a:extLst>
            <a:ext uri="{FF2B5EF4-FFF2-40B4-BE49-F238E27FC236}">
              <a16:creationId xmlns:a16="http://schemas.microsoft.com/office/drawing/2014/main" id="{00000000-0008-0000-0000-0000B7040000}"/>
            </a:ext>
          </a:extLst>
        </xdr:cNvPr>
        <xdr:cNvSpPr>
          <a:spLocks noChangeShapeType="1"/>
        </xdr:cNvSpPr>
      </xdr:nvSpPr>
      <xdr:spPr bwMode="auto">
        <a:xfrm flipH="1">
          <a:off x="3124200" y="40443150"/>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207</xdr:row>
      <xdr:rowOff>19050</xdr:rowOff>
    </xdr:from>
    <xdr:to>
      <xdr:col>5</xdr:col>
      <xdr:colOff>57150</xdr:colOff>
      <xdr:row>208</xdr:row>
      <xdr:rowOff>57150</xdr:rowOff>
    </xdr:to>
    <xdr:sp macro="" textlink="">
      <xdr:nvSpPr>
        <xdr:cNvPr id="1208" name="Line 97179">
          <a:extLst>
            <a:ext uri="{FF2B5EF4-FFF2-40B4-BE49-F238E27FC236}">
              <a16:creationId xmlns:a16="http://schemas.microsoft.com/office/drawing/2014/main" id="{00000000-0008-0000-0000-0000B8040000}"/>
            </a:ext>
          </a:extLst>
        </xdr:cNvPr>
        <xdr:cNvSpPr>
          <a:spLocks noChangeShapeType="1"/>
        </xdr:cNvSpPr>
      </xdr:nvSpPr>
      <xdr:spPr bwMode="auto">
        <a:xfrm flipH="1">
          <a:off x="2571750" y="40043100"/>
          <a:ext cx="142875" cy="238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208</xdr:row>
      <xdr:rowOff>57150</xdr:rowOff>
    </xdr:from>
    <xdr:to>
      <xdr:col>4</xdr:col>
      <xdr:colOff>257175</xdr:colOff>
      <xdr:row>208</xdr:row>
      <xdr:rowOff>123825</xdr:rowOff>
    </xdr:to>
    <xdr:sp macro="" textlink="">
      <xdr:nvSpPr>
        <xdr:cNvPr id="1209" name="Oval 97180">
          <a:extLst>
            <a:ext uri="{FF2B5EF4-FFF2-40B4-BE49-F238E27FC236}">
              <a16:creationId xmlns:a16="http://schemas.microsoft.com/office/drawing/2014/main" id="{00000000-0008-0000-0000-0000B9040000}"/>
            </a:ext>
          </a:extLst>
        </xdr:cNvPr>
        <xdr:cNvSpPr>
          <a:spLocks noChangeArrowheads="1"/>
        </xdr:cNvSpPr>
      </xdr:nvSpPr>
      <xdr:spPr bwMode="auto">
        <a:xfrm>
          <a:off x="2524125" y="40281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95250</xdr:rowOff>
    </xdr:from>
    <xdr:to>
      <xdr:col>4</xdr:col>
      <xdr:colOff>200025</xdr:colOff>
      <xdr:row>198</xdr:row>
      <xdr:rowOff>95250</xdr:rowOff>
    </xdr:to>
    <xdr:sp macro="" textlink="">
      <xdr:nvSpPr>
        <xdr:cNvPr id="1210" name="Line 97181">
          <a:extLst>
            <a:ext uri="{FF2B5EF4-FFF2-40B4-BE49-F238E27FC236}">
              <a16:creationId xmlns:a16="http://schemas.microsoft.com/office/drawing/2014/main" id="{00000000-0008-0000-0000-0000BA040000}"/>
            </a:ext>
          </a:extLst>
        </xdr:cNvPr>
        <xdr:cNvSpPr>
          <a:spLocks noChangeShapeType="1"/>
        </xdr:cNvSpPr>
      </xdr:nvSpPr>
      <xdr:spPr bwMode="auto">
        <a:xfrm>
          <a:off x="2019300" y="38404800"/>
          <a:ext cx="5143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xdr:col>
      <xdr:colOff>76200</xdr:colOff>
      <xdr:row>194</xdr:row>
      <xdr:rowOff>9525</xdr:rowOff>
    </xdr:from>
    <xdr:to>
      <xdr:col>5</xdr:col>
      <xdr:colOff>85725</xdr:colOff>
      <xdr:row>198</xdr:row>
      <xdr:rowOff>180975</xdr:rowOff>
    </xdr:to>
    <xdr:sp macro="" textlink="">
      <xdr:nvSpPr>
        <xdr:cNvPr id="1211" name="Freeform 97182">
          <a:extLst>
            <a:ext uri="{FF2B5EF4-FFF2-40B4-BE49-F238E27FC236}">
              <a16:creationId xmlns:a16="http://schemas.microsoft.com/office/drawing/2014/main" id="{00000000-0008-0000-0000-0000BB040000}"/>
            </a:ext>
          </a:extLst>
        </xdr:cNvPr>
        <xdr:cNvSpPr>
          <a:spLocks/>
        </xdr:cNvSpPr>
      </xdr:nvSpPr>
      <xdr:spPr bwMode="auto">
        <a:xfrm>
          <a:off x="2038350" y="37557075"/>
          <a:ext cx="704850" cy="933450"/>
        </a:xfrm>
        <a:custGeom>
          <a:avLst/>
          <a:gdLst>
            <a:gd name="T0" fmla="*/ 0 w 69"/>
            <a:gd name="T1" fmla="*/ 2147483647 h 99"/>
            <a:gd name="T2" fmla="*/ 0 w 69"/>
            <a:gd name="T3" fmla="*/ 2147483647 h 99"/>
            <a:gd name="T4" fmla="*/ 2147483647 w 69"/>
            <a:gd name="T5" fmla="*/ 1422436368 h 99"/>
            <a:gd name="T6" fmla="*/ 2147483647 w 69"/>
            <a:gd name="T7" fmla="*/ 0 h 9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9" h="99">
              <a:moveTo>
                <a:pt x="0" y="99"/>
              </a:moveTo>
              <a:lnTo>
                <a:pt x="0" y="85"/>
              </a:lnTo>
              <a:lnTo>
                <a:pt x="69" y="16"/>
              </a:lnTo>
              <a:lnTo>
                <a:pt x="69" y="0"/>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95250</xdr:colOff>
      <xdr:row>194</xdr:row>
      <xdr:rowOff>104775</xdr:rowOff>
    </xdr:from>
    <xdr:to>
      <xdr:col>5</xdr:col>
      <xdr:colOff>647700</xdr:colOff>
      <xdr:row>194</xdr:row>
      <xdr:rowOff>104775</xdr:rowOff>
    </xdr:to>
    <xdr:sp macro="" textlink="">
      <xdr:nvSpPr>
        <xdr:cNvPr id="1212" name="Line 97183">
          <a:extLst>
            <a:ext uri="{FF2B5EF4-FFF2-40B4-BE49-F238E27FC236}">
              <a16:creationId xmlns:a16="http://schemas.microsoft.com/office/drawing/2014/main" id="{00000000-0008-0000-0000-0000BC040000}"/>
            </a:ext>
          </a:extLst>
        </xdr:cNvPr>
        <xdr:cNvSpPr>
          <a:spLocks noChangeShapeType="1"/>
        </xdr:cNvSpPr>
      </xdr:nvSpPr>
      <xdr:spPr bwMode="auto">
        <a:xfrm flipH="1">
          <a:off x="2752725" y="37652325"/>
          <a:ext cx="5524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238125</xdr:colOff>
      <xdr:row>198</xdr:row>
      <xdr:rowOff>95250</xdr:rowOff>
    </xdr:from>
    <xdr:to>
      <xdr:col>5</xdr:col>
      <xdr:colOff>438150</xdr:colOff>
      <xdr:row>198</xdr:row>
      <xdr:rowOff>95250</xdr:rowOff>
    </xdr:to>
    <xdr:sp macro="" textlink="">
      <xdr:nvSpPr>
        <xdr:cNvPr id="1213" name="Line 97184">
          <a:extLst>
            <a:ext uri="{FF2B5EF4-FFF2-40B4-BE49-F238E27FC236}">
              <a16:creationId xmlns:a16="http://schemas.microsoft.com/office/drawing/2014/main" id="{00000000-0008-0000-0000-0000BD040000}"/>
            </a:ext>
          </a:extLst>
        </xdr:cNvPr>
        <xdr:cNvSpPr>
          <a:spLocks noChangeShapeType="1"/>
        </xdr:cNvSpPr>
      </xdr:nvSpPr>
      <xdr:spPr bwMode="auto">
        <a:xfrm>
          <a:off x="2571750" y="38404800"/>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193</xdr:row>
      <xdr:rowOff>28575</xdr:rowOff>
    </xdr:from>
    <xdr:to>
      <xdr:col>5</xdr:col>
      <xdr:colOff>66675</xdr:colOff>
      <xdr:row>193</xdr:row>
      <xdr:rowOff>152400</xdr:rowOff>
    </xdr:to>
    <xdr:sp macro="" textlink="">
      <xdr:nvSpPr>
        <xdr:cNvPr id="1214" name="Rectangle 97185">
          <a:extLst>
            <a:ext uri="{FF2B5EF4-FFF2-40B4-BE49-F238E27FC236}">
              <a16:creationId xmlns:a16="http://schemas.microsoft.com/office/drawing/2014/main" id="{00000000-0008-0000-0000-0000BE040000}"/>
            </a:ext>
          </a:extLst>
        </xdr:cNvPr>
        <xdr:cNvSpPr>
          <a:spLocks noChangeArrowheads="1"/>
        </xdr:cNvSpPr>
      </xdr:nvSpPr>
      <xdr:spPr bwMode="auto">
        <a:xfrm>
          <a:off x="1914525" y="37385625"/>
          <a:ext cx="809625"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161925</xdr:colOff>
      <xdr:row>198</xdr:row>
      <xdr:rowOff>66675</xdr:rowOff>
    </xdr:from>
    <xdr:to>
      <xdr:col>2</xdr:col>
      <xdr:colOff>381000</xdr:colOff>
      <xdr:row>200</xdr:row>
      <xdr:rowOff>66675</xdr:rowOff>
    </xdr:to>
    <xdr:sp macro="" textlink="">
      <xdr:nvSpPr>
        <xdr:cNvPr id="1215" name="Tegning 312">
          <a:extLst>
            <a:ext uri="{FF2B5EF4-FFF2-40B4-BE49-F238E27FC236}">
              <a16:creationId xmlns:a16="http://schemas.microsoft.com/office/drawing/2014/main" id="{00000000-0008-0000-0000-0000BF040000}"/>
            </a:ext>
          </a:extLst>
        </xdr:cNvPr>
        <xdr:cNvSpPr>
          <a:spLocks/>
        </xdr:cNvSpPr>
      </xdr:nvSpPr>
      <xdr:spPr bwMode="auto">
        <a:xfrm>
          <a:off x="1543050" y="38376225"/>
          <a:ext cx="219075" cy="381000"/>
        </a:xfrm>
        <a:custGeom>
          <a:avLst/>
          <a:gdLst>
            <a:gd name="T0" fmla="*/ 2147483647 w 16384"/>
            <a:gd name="T1" fmla="*/ 2147483647 h 16384"/>
            <a:gd name="T2" fmla="*/ 2147483647 w 16384"/>
            <a:gd name="T3" fmla="*/ 0 h 16384"/>
            <a:gd name="T4" fmla="*/ 0 w 16384"/>
            <a:gd name="T5" fmla="*/ 2147483647 h 16384"/>
            <a:gd name="T6" fmla="*/ 2147483647 w 16384"/>
            <a:gd name="T7" fmla="*/ 0 h 16384"/>
            <a:gd name="T8" fmla="*/ 2147483647 w 16384"/>
            <a:gd name="T9" fmla="*/ 2147483647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0</xdr:colOff>
      <xdr:row>198</xdr:row>
      <xdr:rowOff>76200</xdr:rowOff>
    </xdr:from>
    <xdr:to>
      <xdr:col>2</xdr:col>
      <xdr:colOff>466725</xdr:colOff>
      <xdr:row>200</xdr:row>
      <xdr:rowOff>57150</xdr:rowOff>
    </xdr:to>
    <xdr:sp macro="" textlink="">
      <xdr:nvSpPr>
        <xdr:cNvPr id="1216" name="Freeform 97187">
          <a:extLst>
            <a:ext uri="{FF2B5EF4-FFF2-40B4-BE49-F238E27FC236}">
              <a16:creationId xmlns:a16="http://schemas.microsoft.com/office/drawing/2014/main" id="{00000000-0008-0000-0000-0000C0040000}"/>
            </a:ext>
          </a:extLst>
        </xdr:cNvPr>
        <xdr:cNvSpPr>
          <a:spLocks/>
        </xdr:cNvSpPr>
      </xdr:nvSpPr>
      <xdr:spPr bwMode="auto">
        <a:xfrm>
          <a:off x="1381125" y="38385750"/>
          <a:ext cx="466725" cy="361950"/>
        </a:xfrm>
        <a:custGeom>
          <a:avLst/>
          <a:gdLst>
            <a:gd name="T0" fmla="*/ 0 w 57"/>
            <a:gd name="T1" fmla="*/ 0 h 49"/>
            <a:gd name="T2" fmla="*/ 2147483647 w 57"/>
            <a:gd name="T3" fmla="*/ 0 h 49"/>
            <a:gd name="T4" fmla="*/ 2147483647 w 57"/>
            <a:gd name="T5" fmla="*/ 2147483647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28575</xdr:colOff>
      <xdr:row>196</xdr:row>
      <xdr:rowOff>57150</xdr:rowOff>
    </xdr:from>
    <xdr:to>
      <xdr:col>3</xdr:col>
      <xdr:colOff>57150</xdr:colOff>
      <xdr:row>198</xdr:row>
      <xdr:rowOff>104775</xdr:rowOff>
    </xdr:to>
    <xdr:sp macro="" textlink="">
      <xdr:nvSpPr>
        <xdr:cNvPr id="1217" name="Tegning 344">
          <a:extLst>
            <a:ext uri="{FF2B5EF4-FFF2-40B4-BE49-F238E27FC236}">
              <a16:creationId xmlns:a16="http://schemas.microsoft.com/office/drawing/2014/main" id="{00000000-0008-0000-0000-0000C1040000}"/>
            </a:ext>
          </a:extLst>
        </xdr:cNvPr>
        <xdr:cNvSpPr>
          <a:spLocks/>
        </xdr:cNvSpPr>
      </xdr:nvSpPr>
      <xdr:spPr bwMode="auto">
        <a:xfrm>
          <a:off x="1990725" y="37985700"/>
          <a:ext cx="28575" cy="428625"/>
        </a:xfrm>
        <a:custGeom>
          <a:avLst/>
          <a:gdLst>
            <a:gd name="T0" fmla="*/ 0 w 16384"/>
            <a:gd name="T1" fmla="*/ 0 h 16384"/>
            <a:gd name="T2" fmla="*/ 0 w 16384"/>
            <a:gd name="T3" fmla="*/ 2147483647 h 16384"/>
            <a:gd name="T4" fmla="*/ 76350717 w 16384"/>
            <a:gd name="T5" fmla="*/ 2147483647 h 16384"/>
            <a:gd name="T6" fmla="*/ 382891876 w 16384"/>
            <a:gd name="T7" fmla="*/ 2147483647 h 16384"/>
            <a:gd name="T8" fmla="*/ 918469182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194</xdr:row>
      <xdr:rowOff>123825</xdr:rowOff>
    </xdr:from>
    <xdr:to>
      <xdr:col>5</xdr:col>
      <xdr:colOff>95250</xdr:colOff>
      <xdr:row>196</xdr:row>
      <xdr:rowOff>76200</xdr:rowOff>
    </xdr:to>
    <xdr:sp macro="" textlink="">
      <xdr:nvSpPr>
        <xdr:cNvPr id="1218" name="Tegning 344">
          <a:extLst>
            <a:ext uri="{FF2B5EF4-FFF2-40B4-BE49-F238E27FC236}">
              <a16:creationId xmlns:a16="http://schemas.microsoft.com/office/drawing/2014/main" id="{00000000-0008-0000-0000-0000C2040000}"/>
            </a:ext>
          </a:extLst>
        </xdr:cNvPr>
        <xdr:cNvSpPr>
          <a:spLocks/>
        </xdr:cNvSpPr>
      </xdr:nvSpPr>
      <xdr:spPr bwMode="auto">
        <a:xfrm flipV="1">
          <a:off x="1990725" y="37671375"/>
          <a:ext cx="762000"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194</xdr:row>
      <xdr:rowOff>114300</xdr:rowOff>
    </xdr:from>
    <xdr:to>
      <xdr:col>5</xdr:col>
      <xdr:colOff>9525</xdr:colOff>
      <xdr:row>196</xdr:row>
      <xdr:rowOff>66675</xdr:rowOff>
    </xdr:to>
    <xdr:sp macro="" textlink="">
      <xdr:nvSpPr>
        <xdr:cNvPr id="1219" name="Tegning 344">
          <a:extLst>
            <a:ext uri="{FF2B5EF4-FFF2-40B4-BE49-F238E27FC236}">
              <a16:creationId xmlns:a16="http://schemas.microsoft.com/office/drawing/2014/main" id="{00000000-0008-0000-0000-0000C3040000}"/>
            </a:ext>
          </a:extLst>
        </xdr:cNvPr>
        <xdr:cNvSpPr>
          <a:spLocks/>
        </xdr:cNvSpPr>
      </xdr:nvSpPr>
      <xdr:spPr bwMode="auto">
        <a:xfrm flipV="1">
          <a:off x="1581150" y="37661850"/>
          <a:ext cx="1085850"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195</xdr:row>
      <xdr:rowOff>123825</xdr:rowOff>
    </xdr:from>
    <xdr:to>
      <xdr:col>3</xdr:col>
      <xdr:colOff>190500</xdr:colOff>
      <xdr:row>197</xdr:row>
      <xdr:rowOff>152400</xdr:rowOff>
    </xdr:to>
    <xdr:sp macro="" textlink="">
      <xdr:nvSpPr>
        <xdr:cNvPr id="1220" name="Tegning 344">
          <a:extLst>
            <a:ext uri="{FF2B5EF4-FFF2-40B4-BE49-F238E27FC236}">
              <a16:creationId xmlns:a16="http://schemas.microsoft.com/office/drawing/2014/main" id="{00000000-0008-0000-0000-0000C4040000}"/>
            </a:ext>
          </a:extLst>
        </xdr:cNvPr>
        <xdr:cNvSpPr>
          <a:spLocks/>
        </xdr:cNvSpPr>
      </xdr:nvSpPr>
      <xdr:spPr bwMode="auto">
        <a:xfrm>
          <a:off x="1581150" y="37861875"/>
          <a:ext cx="571500" cy="4095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197</xdr:row>
      <xdr:rowOff>104775</xdr:rowOff>
    </xdr:from>
    <xdr:to>
      <xdr:col>2</xdr:col>
      <xdr:colOff>266700</xdr:colOff>
      <xdr:row>197</xdr:row>
      <xdr:rowOff>142875</xdr:rowOff>
    </xdr:to>
    <xdr:sp macro="" textlink="">
      <xdr:nvSpPr>
        <xdr:cNvPr id="1221" name="Oval 97192">
          <a:extLst>
            <a:ext uri="{FF2B5EF4-FFF2-40B4-BE49-F238E27FC236}">
              <a16:creationId xmlns:a16="http://schemas.microsoft.com/office/drawing/2014/main" id="{00000000-0008-0000-0000-0000C5040000}"/>
            </a:ext>
          </a:extLst>
        </xdr:cNvPr>
        <xdr:cNvSpPr>
          <a:spLocks noChangeArrowheads="1"/>
        </xdr:cNvSpPr>
      </xdr:nvSpPr>
      <xdr:spPr bwMode="auto">
        <a:xfrm>
          <a:off x="1609725" y="382238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219075</xdr:colOff>
      <xdr:row>194</xdr:row>
      <xdr:rowOff>142875</xdr:rowOff>
    </xdr:from>
    <xdr:to>
      <xdr:col>2</xdr:col>
      <xdr:colOff>257175</xdr:colOff>
      <xdr:row>194</xdr:row>
      <xdr:rowOff>180975</xdr:rowOff>
    </xdr:to>
    <xdr:sp macro="" textlink="">
      <xdr:nvSpPr>
        <xdr:cNvPr id="1222" name="Oval 97193">
          <a:extLst>
            <a:ext uri="{FF2B5EF4-FFF2-40B4-BE49-F238E27FC236}">
              <a16:creationId xmlns:a16="http://schemas.microsoft.com/office/drawing/2014/main" id="{00000000-0008-0000-0000-0000C6040000}"/>
            </a:ext>
          </a:extLst>
        </xdr:cNvPr>
        <xdr:cNvSpPr>
          <a:spLocks noChangeArrowheads="1"/>
        </xdr:cNvSpPr>
      </xdr:nvSpPr>
      <xdr:spPr bwMode="auto">
        <a:xfrm>
          <a:off x="1600200" y="37690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194</xdr:row>
      <xdr:rowOff>142875</xdr:rowOff>
    </xdr:from>
    <xdr:to>
      <xdr:col>3</xdr:col>
      <xdr:colOff>95250</xdr:colOff>
      <xdr:row>194</xdr:row>
      <xdr:rowOff>180975</xdr:rowOff>
    </xdr:to>
    <xdr:sp macro="" textlink="">
      <xdr:nvSpPr>
        <xdr:cNvPr id="1223" name="Oval 97194">
          <a:extLst>
            <a:ext uri="{FF2B5EF4-FFF2-40B4-BE49-F238E27FC236}">
              <a16:creationId xmlns:a16="http://schemas.microsoft.com/office/drawing/2014/main" id="{00000000-0008-0000-0000-0000C7040000}"/>
            </a:ext>
          </a:extLst>
        </xdr:cNvPr>
        <xdr:cNvSpPr>
          <a:spLocks noChangeArrowheads="1"/>
        </xdr:cNvSpPr>
      </xdr:nvSpPr>
      <xdr:spPr bwMode="auto">
        <a:xfrm>
          <a:off x="2019300" y="3769042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38100</xdr:rowOff>
    </xdr:from>
    <xdr:to>
      <xdr:col>3</xdr:col>
      <xdr:colOff>95250</xdr:colOff>
      <xdr:row>198</xdr:row>
      <xdr:rowOff>76200</xdr:rowOff>
    </xdr:to>
    <xdr:sp macro="" textlink="">
      <xdr:nvSpPr>
        <xdr:cNvPr id="1224" name="Oval 97195">
          <a:extLst>
            <a:ext uri="{FF2B5EF4-FFF2-40B4-BE49-F238E27FC236}">
              <a16:creationId xmlns:a16="http://schemas.microsoft.com/office/drawing/2014/main" id="{00000000-0008-0000-0000-0000C8040000}"/>
            </a:ext>
          </a:extLst>
        </xdr:cNvPr>
        <xdr:cNvSpPr>
          <a:spLocks noChangeArrowheads="1"/>
        </xdr:cNvSpPr>
      </xdr:nvSpPr>
      <xdr:spPr bwMode="auto">
        <a:xfrm>
          <a:off x="2019300" y="383476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198</xdr:row>
      <xdr:rowOff>57150</xdr:rowOff>
    </xdr:from>
    <xdr:to>
      <xdr:col>2</xdr:col>
      <xdr:colOff>409575</xdr:colOff>
      <xdr:row>198</xdr:row>
      <xdr:rowOff>57150</xdr:rowOff>
    </xdr:to>
    <xdr:sp macro="" textlink="">
      <xdr:nvSpPr>
        <xdr:cNvPr id="1225" name="Line 97196">
          <a:extLst>
            <a:ext uri="{FF2B5EF4-FFF2-40B4-BE49-F238E27FC236}">
              <a16:creationId xmlns:a16="http://schemas.microsoft.com/office/drawing/2014/main" id="{00000000-0008-0000-0000-0000C9040000}"/>
            </a:ext>
          </a:extLst>
        </xdr:cNvPr>
        <xdr:cNvSpPr>
          <a:spLocks noChangeShapeType="1"/>
        </xdr:cNvSpPr>
      </xdr:nvSpPr>
      <xdr:spPr bwMode="auto">
        <a:xfrm>
          <a:off x="1562100" y="38366700"/>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200</xdr:row>
      <xdr:rowOff>104775</xdr:rowOff>
    </xdr:from>
    <xdr:to>
      <xdr:col>2</xdr:col>
      <xdr:colOff>266700</xdr:colOff>
      <xdr:row>202</xdr:row>
      <xdr:rowOff>76200</xdr:rowOff>
    </xdr:to>
    <xdr:sp macro="" textlink="">
      <xdr:nvSpPr>
        <xdr:cNvPr id="1226" name="Line 97199">
          <a:extLst>
            <a:ext uri="{FF2B5EF4-FFF2-40B4-BE49-F238E27FC236}">
              <a16:creationId xmlns:a16="http://schemas.microsoft.com/office/drawing/2014/main" id="{00000000-0008-0000-0000-0000CA040000}"/>
            </a:ext>
          </a:extLst>
        </xdr:cNvPr>
        <xdr:cNvSpPr>
          <a:spLocks noChangeShapeType="1"/>
        </xdr:cNvSpPr>
      </xdr:nvSpPr>
      <xdr:spPr bwMode="auto">
        <a:xfrm>
          <a:off x="1647825" y="38795325"/>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202</xdr:row>
      <xdr:rowOff>57150</xdr:rowOff>
    </xdr:to>
    <xdr:sp macro="" textlink="">
      <xdr:nvSpPr>
        <xdr:cNvPr id="1227" name="Line 97200">
          <a:extLst>
            <a:ext uri="{FF2B5EF4-FFF2-40B4-BE49-F238E27FC236}">
              <a16:creationId xmlns:a16="http://schemas.microsoft.com/office/drawing/2014/main" id="{00000000-0008-0000-0000-0000CB040000}"/>
            </a:ext>
          </a:extLst>
        </xdr:cNvPr>
        <xdr:cNvSpPr>
          <a:spLocks noChangeShapeType="1"/>
        </xdr:cNvSpPr>
      </xdr:nvSpPr>
      <xdr:spPr bwMode="auto">
        <a:xfrm>
          <a:off x="2038350" y="38528625"/>
          <a:ext cx="0" cy="600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197</xdr:row>
      <xdr:rowOff>28575</xdr:rowOff>
    </xdr:from>
    <xdr:to>
      <xdr:col>5</xdr:col>
      <xdr:colOff>361950</xdr:colOff>
      <xdr:row>199</xdr:row>
      <xdr:rowOff>66675</xdr:rowOff>
    </xdr:to>
    <xdr:sp macro="" textlink="">
      <xdr:nvSpPr>
        <xdr:cNvPr id="1228" name="Line 97204">
          <a:extLst>
            <a:ext uri="{FF2B5EF4-FFF2-40B4-BE49-F238E27FC236}">
              <a16:creationId xmlns:a16="http://schemas.microsoft.com/office/drawing/2014/main" id="{00000000-0008-0000-0000-0000CC040000}"/>
            </a:ext>
          </a:extLst>
        </xdr:cNvPr>
        <xdr:cNvSpPr>
          <a:spLocks noChangeShapeType="1"/>
        </xdr:cNvSpPr>
      </xdr:nvSpPr>
      <xdr:spPr bwMode="auto">
        <a:xfrm>
          <a:off x="3019425" y="38147625"/>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142875</xdr:rowOff>
    </xdr:from>
    <xdr:to>
      <xdr:col>5</xdr:col>
      <xdr:colOff>419100</xdr:colOff>
      <xdr:row>199</xdr:row>
      <xdr:rowOff>57150</xdr:rowOff>
    </xdr:to>
    <xdr:sp macro="" textlink="">
      <xdr:nvSpPr>
        <xdr:cNvPr id="1229" name="Line 97205">
          <a:extLst>
            <a:ext uri="{FF2B5EF4-FFF2-40B4-BE49-F238E27FC236}">
              <a16:creationId xmlns:a16="http://schemas.microsoft.com/office/drawing/2014/main" id="{00000000-0008-0000-0000-0000CD040000}"/>
            </a:ext>
          </a:extLst>
        </xdr:cNvPr>
        <xdr:cNvSpPr>
          <a:spLocks noChangeShapeType="1"/>
        </xdr:cNvSpPr>
      </xdr:nvSpPr>
      <xdr:spPr bwMode="auto">
        <a:xfrm flipH="1">
          <a:off x="2952750" y="38452425"/>
          <a:ext cx="12382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194</xdr:row>
      <xdr:rowOff>57150</xdr:rowOff>
    </xdr:from>
    <xdr:to>
      <xdr:col>5</xdr:col>
      <xdr:colOff>409575</xdr:colOff>
      <xdr:row>194</xdr:row>
      <xdr:rowOff>152400</xdr:rowOff>
    </xdr:to>
    <xdr:sp macro="" textlink="">
      <xdr:nvSpPr>
        <xdr:cNvPr id="1230" name="Line 97206">
          <a:extLst>
            <a:ext uri="{FF2B5EF4-FFF2-40B4-BE49-F238E27FC236}">
              <a16:creationId xmlns:a16="http://schemas.microsoft.com/office/drawing/2014/main" id="{00000000-0008-0000-0000-0000CE040000}"/>
            </a:ext>
          </a:extLst>
        </xdr:cNvPr>
        <xdr:cNvSpPr>
          <a:spLocks noChangeShapeType="1"/>
        </xdr:cNvSpPr>
      </xdr:nvSpPr>
      <xdr:spPr bwMode="auto">
        <a:xfrm flipH="1">
          <a:off x="2971800" y="3760470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195</xdr:row>
      <xdr:rowOff>57150</xdr:rowOff>
    </xdr:from>
    <xdr:to>
      <xdr:col>5</xdr:col>
      <xdr:colOff>85725</xdr:colOff>
      <xdr:row>202</xdr:row>
      <xdr:rowOff>66675</xdr:rowOff>
    </xdr:to>
    <xdr:sp macro="" textlink="">
      <xdr:nvSpPr>
        <xdr:cNvPr id="1231" name="Line 97207">
          <a:extLst>
            <a:ext uri="{FF2B5EF4-FFF2-40B4-BE49-F238E27FC236}">
              <a16:creationId xmlns:a16="http://schemas.microsoft.com/office/drawing/2014/main" id="{00000000-0008-0000-0000-0000CF040000}"/>
            </a:ext>
          </a:extLst>
        </xdr:cNvPr>
        <xdr:cNvSpPr>
          <a:spLocks noChangeShapeType="1"/>
        </xdr:cNvSpPr>
      </xdr:nvSpPr>
      <xdr:spPr bwMode="auto">
        <a:xfrm flipV="1">
          <a:off x="2743200" y="37795200"/>
          <a:ext cx="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200025</xdr:colOff>
      <xdr:row>199</xdr:row>
      <xdr:rowOff>9525</xdr:rowOff>
    </xdr:from>
    <xdr:to>
      <xdr:col>5</xdr:col>
      <xdr:colOff>438150</xdr:colOff>
      <xdr:row>199</xdr:row>
      <xdr:rowOff>9525</xdr:rowOff>
    </xdr:to>
    <xdr:sp macro="" textlink="">
      <xdr:nvSpPr>
        <xdr:cNvPr id="1232" name="Line 97208">
          <a:extLst>
            <a:ext uri="{FF2B5EF4-FFF2-40B4-BE49-F238E27FC236}">
              <a16:creationId xmlns:a16="http://schemas.microsoft.com/office/drawing/2014/main" id="{00000000-0008-0000-0000-0000D0040000}"/>
            </a:ext>
          </a:extLst>
        </xdr:cNvPr>
        <xdr:cNvSpPr>
          <a:spLocks noChangeShapeType="1"/>
        </xdr:cNvSpPr>
      </xdr:nvSpPr>
      <xdr:spPr bwMode="auto">
        <a:xfrm>
          <a:off x="2162175" y="38509575"/>
          <a:ext cx="933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38100</xdr:rowOff>
    </xdr:from>
    <xdr:to>
      <xdr:col>5</xdr:col>
      <xdr:colOff>419100</xdr:colOff>
      <xdr:row>198</xdr:row>
      <xdr:rowOff>152400</xdr:rowOff>
    </xdr:to>
    <xdr:sp macro="" textlink="">
      <xdr:nvSpPr>
        <xdr:cNvPr id="1233" name="Line 97209">
          <a:extLst>
            <a:ext uri="{FF2B5EF4-FFF2-40B4-BE49-F238E27FC236}">
              <a16:creationId xmlns:a16="http://schemas.microsoft.com/office/drawing/2014/main" id="{00000000-0008-0000-0000-0000D1040000}"/>
            </a:ext>
          </a:extLst>
        </xdr:cNvPr>
        <xdr:cNvSpPr>
          <a:spLocks noChangeShapeType="1"/>
        </xdr:cNvSpPr>
      </xdr:nvSpPr>
      <xdr:spPr bwMode="auto">
        <a:xfrm flipH="1">
          <a:off x="2952750" y="38347650"/>
          <a:ext cx="12382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194</xdr:row>
      <xdr:rowOff>85725</xdr:rowOff>
    </xdr:from>
    <xdr:to>
      <xdr:col>5</xdr:col>
      <xdr:colOff>361950</xdr:colOff>
      <xdr:row>196</xdr:row>
      <xdr:rowOff>0</xdr:rowOff>
    </xdr:to>
    <xdr:sp macro="" textlink="">
      <xdr:nvSpPr>
        <xdr:cNvPr id="1234" name="Line 97210">
          <a:extLst>
            <a:ext uri="{FF2B5EF4-FFF2-40B4-BE49-F238E27FC236}">
              <a16:creationId xmlns:a16="http://schemas.microsoft.com/office/drawing/2014/main" id="{00000000-0008-0000-0000-0000D2040000}"/>
            </a:ext>
          </a:extLst>
        </xdr:cNvPr>
        <xdr:cNvSpPr>
          <a:spLocks noChangeShapeType="1"/>
        </xdr:cNvSpPr>
      </xdr:nvSpPr>
      <xdr:spPr bwMode="auto">
        <a:xfrm flipV="1">
          <a:off x="3019425" y="3763327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628650</xdr:colOff>
      <xdr:row>196</xdr:row>
      <xdr:rowOff>9525</xdr:rowOff>
    </xdr:from>
    <xdr:to>
      <xdr:col>16</xdr:col>
      <xdr:colOff>76200</xdr:colOff>
      <xdr:row>196</xdr:row>
      <xdr:rowOff>9525</xdr:rowOff>
    </xdr:to>
    <xdr:sp macro="" textlink="">
      <xdr:nvSpPr>
        <xdr:cNvPr id="1235" name="Line 97211">
          <a:extLst>
            <a:ext uri="{FF2B5EF4-FFF2-40B4-BE49-F238E27FC236}">
              <a16:creationId xmlns:a16="http://schemas.microsoft.com/office/drawing/2014/main" id="{00000000-0008-0000-0000-0000D3040000}"/>
            </a:ext>
          </a:extLst>
        </xdr:cNvPr>
        <xdr:cNvSpPr>
          <a:spLocks noChangeShapeType="1"/>
        </xdr:cNvSpPr>
      </xdr:nvSpPr>
      <xdr:spPr bwMode="auto">
        <a:xfrm>
          <a:off x="9867900" y="37938075"/>
          <a:ext cx="1123950" cy="0"/>
        </a:xfrm>
        <a:prstGeom prst="line">
          <a:avLst/>
        </a:prstGeom>
        <a:noFill/>
        <a:ln w="158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9525</xdr:colOff>
      <xdr:row>195</xdr:row>
      <xdr:rowOff>76200</xdr:rowOff>
    </xdr:from>
    <xdr:to>
      <xdr:col>15</xdr:col>
      <xdr:colOff>752475</xdr:colOff>
      <xdr:row>196</xdr:row>
      <xdr:rowOff>9525</xdr:rowOff>
    </xdr:to>
    <xdr:sp macro="" textlink="">
      <xdr:nvSpPr>
        <xdr:cNvPr id="1236" name="Rectangle 97212">
          <a:extLst>
            <a:ext uri="{FF2B5EF4-FFF2-40B4-BE49-F238E27FC236}">
              <a16:creationId xmlns:a16="http://schemas.microsoft.com/office/drawing/2014/main" id="{00000000-0008-0000-0000-0000D4040000}"/>
            </a:ext>
          </a:extLst>
        </xdr:cNvPr>
        <xdr:cNvSpPr>
          <a:spLocks noChangeArrowheads="1"/>
        </xdr:cNvSpPr>
      </xdr:nvSpPr>
      <xdr:spPr bwMode="auto">
        <a:xfrm>
          <a:off x="10086975" y="37814250"/>
          <a:ext cx="742950"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14</xdr:col>
      <xdr:colOff>638175</xdr:colOff>
      <xdr:row>196</xdr:row>
      <xdr:rowOff>9525</xdr:rowOff>
    </xdr:from>
    <xdr:to>
      <xdr:col>14</xdr:col>
      <xdr:colOff>638175</xdr:colOff>
      <xdr:row>198</xdr:row>
      <xdr:rowOff>95250</xdr:rowOff>
    </xdr:to>
    <xdr:sp macro="" textlink="">
      <xdr:nvSpPr>
        <xdr:cNvPr id="1237" name="Line 97213">
          <a:extLst>
            <a:ext uri="{FF2B5EF4-FFF2-40B4-BE49-F238E27FC236}">
              <a16:creationId xmlns:a16="http://schemas.microsoft.com/office/drawing/2014/main" id="{00000000-0008-0000-0000-0000D5040000}"/>
            </a:ext>
          </a:extLst>
        </xdr:cNvPr>
        <xdr:cNvSpPr>
          <a:spLocks noChangeShapeType="1"/>
        </xdr:cNvSpPr>
      </xdr:nvSpPr>
      <xdr:spPr bwMode="auto">
        <a:xfrm flipV="1">
          <a:off x="9877425" y="37938075"/>
          <a:ext cx="0" cy="466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16</xdr:col>
      <xdr:colOff>85725</xdr:colOff>
      <xdr:row>196</xdr:row>
      <xdr:rowOff>0</xdr:rowOff>
    </xdr:from>
    <xdr:to>
      <xdr:col>16</xdr:col>
      <xdr:colOff>85725</xdr:colOff>
      <xdr:row>198</xdr:row>
      <xdr:rowOff>104775</xdr:rowOff>
    </xdr:to>
    <xdr:sp macro="" textlink="">
      <xdr:nvSpPr>
        <xdr:cNvPr id="1238" name="Line 97214">
          <a:extLst>
            <a:ext uri="{FF2B5EF4-FFF2-40B4-BE49-F238E27FC236}">
              <a16:creationId xmlns:a16="http://schemas.microsoft.com/office/drawing/2014/main" id="{00000000-0008-0000-0000-0000D6040000}"/>
            </a:ext>
          </a:extLst>
        </xdr:cNvPr>
        <xdr:cNvSpPr>
          <a:spLocks noChangeShapeType="1"/>
        </xdr:cNvSpPr>
      </xdr:nvSpPr>
      <xdr:spPr bwMode="auto">
        <a:xfrm flipV="1">
          <a:off x="11001375" y="37928550"/>
          <a:ext cx="0" cy="485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14</xdr:col>
      <xdr:colOff>428625</xdr:colOff>
      <xdr:row>197</xdr:row>
      <xdr:rowOff>0</xdr:rowOff>
    </xdr:from>
    <xdr:to>
      <xdr:col>16</xdr:col>
      <xdr:colOff>419100</xdr:colOff>
      <xdr:row>197</xdr:row>
      <xdr:rowOff>0</xdr:rowOff>
    </xdr:to>
    <xdr:sp macro="" textlink="">
      <xdr:nvSpPr>
        <xdr:cNvPr id="1239" name="Line 97215">
          <a:extLst>
            <a:ext uri="{FF2B5EF4-FFF2-40B4-BE49-F238E27FC236}">
              <a16:creationId xmlns:a16="http://schemas.microsoft.com/office/drawing/2014/main" id="{00000000-0008-0000-0000-0000D7040000}"/>
            </a:ext>
          </a:extLst>
        </xdr:cNvPr>
        <xdr:cNvSpPr>
          <a:spLocks noChangeShapeType="1"/>
        </xdr:cNvSpPr>
      </xdr:nvSpPr>
      <xdr:spPr bwMode="auto">
        <a:xfrm>
          <a:off x="9667875" y="38119050"/>
          <a:ext cx="1666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542925</xdr:colOff>
      <xdr:row>198</xdr:row>
      <xdr:rowOff>19050</xdr:rowOff>
    </xdr:from>
    <xdr:to>
      <xdr:col>16</xdr:col>
      <xdr:colOff>104775</xdr:colOff>
      <xdr:row>198</xdr:row>
      <xdr:rowOff>19050</xdr:rowOff>
    </xdr:to>
    <xdr:sp macro="" textlink="">
      <xdr:nvSpPr>
        <xdr:cNvPr id="1240" name="Line 97216">
          <a:extLst>
            <a:ext uri="{FF2B5EF4-FFF2-40B4-BE49-F238E27FC236}">
              <a16:creationId xmlns:a16="http://schemas.microsoft.com/office/drawing/2014/main" id="{00000000-0008-0000-0000-0000D8040000}"/>
            </a:ext>
          </a:extLst>
        </xdr:cNvPr>
        <xdr:cNvSpPr>
          <a:spLocks noChangeShapeType="1"/>
        </xdr:cNvSpPr>
      </xdr:nvSpPr>
      <xdr:spPr bwMode="auto">
        <a:xfrm>
          <a:off x="9782175" y="38328600"/>
          <a:ext cx="1238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9525</xdr:colOff>
      <xdr:row>196</xdr:row>
      <xdr:rowOff>85725</xdr:rowOff>
    </xdr:from>
    <xdr:to>
      <xdr:col>15</xdr:col>
      <xdr:colOff>9525</xdr:colOff>
      <xdr:row>197</xdr:row>
      <xdr:rowOff>104775</xdr:rowOff>
    </xdr:to>
    <xdr:sp macro="" textlink="">
      <xdr:nvSpPr>
        <xdr:cNvPr id="1241" name="Line 97218">
          <a:extLst>
            <a:ext uri="{FF2B5EF4-FFF2-40B4-BE49-F238E27FC236}">
              <a16:creationId xmlns:a16="http://schemas.microsoft.com/office/drawing/2014/main" id="{00000000-0008-0000-0000-0000D9040000}"/>
            </a:ext>
          </a:extLst>
        </xdr:cNvPr>
        <xdr:cNvSpPr>
          <a:spLocks noChangeShapeType="1"/>
        </xdr:cNvSpPr>
      </xdr:nvSpPr>
      <xdr:spPr bwMode="auto">
        <a:xfrm>
          <a:off x="10086975" y="38014275"/>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752475</xdr:colOff>
      <xdr:row>196</xdr:row>
      <xdr:rowOff>66675</xdr:rowOff>
    </xdr:from>
    <xdr:to>
      <xdr:col>15</xdr:col>
      <xdr:colOff>752475</xdr:colOff>
      <xdr:row>197</xdr:row>
      <xdr:rowOff>85725</xdr:rowOff>
    </xdr:to>
    <xdr:sp macro="" textlink="">
      <xdr:nvSpPr>
        <xdr:cNvPr id="1242" name="Line 97219">
          <a:extLst>
            <a:ext uri="{FF2B5EF4-FFF2-40B4-BE49-F238E27FC236}">
              <a16:creationId xmlns:a16="http://schemas.microsoft.com/office/drawing/2014/main" id="{00000000-0008-0000-0000-0000DA040000}"/>
            </a:ext>
          </a:extLst>
        </xdr:cNvPr>
        <xdr:cNvSpPr>
          <a:spLocks noChangeShapeType="1"/>
        </xdr:cNvSpPr>
      </xdr:nvSpPr>
      <xdr:spPr bwMode="auto">
        <a:xfrm>
          <a:off x="10829925" y="37995225"/>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571500</xdr:colOff>
      <xdr:row>196</xdr:row>
      <xdr:rowOff>123825</xdr:rowOff>
    </xdr:from>
    <xdr:to>
      <xdr:col>14</xdr:col>
      <xdr:colOff>733425</xdr:colOff>
      <xdr:row>197</xdr:row>
      <xdr:rowOff>76200</xdr:rowOff>
    </xdr:to>
    <xdr:sp macro="" textlink="">
      <xdr:nvSpPr>
        <xdr:cNvPr id="1243" name="Line 97220">
          <a:extLst>
            <a:ext uri="{FF2B5EF4-FFF2-40B4-BE49-F238E27FC236}">
              <a16:creationId xmlns:a16="http://schemas.microsoft.com/office/drawing/2014/main" id="{00000000-0008-0000-0000-0000DB040000}"/>
            </a:ext>
          </a:extLst>
        </xdr:cNvPr>
        <xdr:cNvSpPr>
          <a:spLocks noChangeShapeType="1"/>
        </xdr:cNvSpPr>
      </xdr:nvSpPr>
      <xdr:spPr bwMode="auto">
        <a:xfrm flipH="1">
          <a:off x="9810750" y="38052375"/>
          <a:ext cx="1619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762000</xdr:colOff>
      <xdr:row>196</xdr:row>
      <xdr:rowOff>123825</xdr:rowOff>
    </xdr:from>
    <xdr:to>
      <xdr:col>15</xdr:col>
      <xdr:colOff>76200</xdr:colOff>
      <xdr:row>197</xdr:row>
      <xdr:rowOff>66675</xdr:rowOff>
    </xdr:to>
    <xdr:sp macro="" textlink="">
      <xdr:nvSpPr>
        <xdr:cNvPr id="1244" name="Line 97222">
          <a:extLst>
            <a:ext uri="{FF2B5EF4-FFF2-40B4-BE49-F238E27FC236}">
              <a16:creationId xmlns:a16="http://schemas.microsoft.com/office/drawing/2014/main" id="{00000000-0008-0000-0000-0000DC040000}"/>
            </a:ext>
          </a:extLst>
        </xdr:cNvPr>
        <xdr:cNvSpPr>
          <a:spLocks noChangeShapeType="1"/>
        </xdr:cNvSpPr>
      </xdr:nvSpPr>
      <xdr:spPr bwMode="auto">
        <a:xfrm flipH="1">
          <a:off x="10001250" y="38052375"/>
          <a:ext cx="15240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704850</xdr:colOff>
      <xdr:row>196</xdr:row>
      <xdr:rowOff>104775</xdr:rowOff>
    </xdr:from>
    <xdr:to>
      <xdr:col>16</xdr:col>
      <xdr:colOff>0</xdr:colOff>
      <xdr:row>197</xdr:row>
      <xdr:rowOff>57150</xdr:rowOff>
    </xdr:to>
    <xdr:sp macro="" textlink="">
      <xdr:nvSpPr>
        <xdr:cNvPr id="1245" name="Line 97223">
          <a:extLst>
            <a:ext uri="{FF2B5EF4-FFF2-40B4-BE49-F238E27FC236}">
              <a16:creationId xmlns:a16="http://schemas.microsoft.com/office/drawing/2014/main" id="{00000000-0008-0000-0000-0000DD040000}"/>
            </a:ext>
          </a:extLst>
        </xdr:cNvPr>
        <xdr:cNvSpPr>
          <a:spLocks noChangeShapeType="1"/>
        </xdr:cNvSpPr>
      </xdr:nvSpPr>
      <xdr:spPr bwMode="auto">
        <a:xfrm flipH="1">
          <a:off x="10782300" y="38033325"/>
          <a:ext cx="133350"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28575</xdr:colOff>
      <xdr:row>196</xdr:row>
      <xdr:rowOff>142875</xdr:rowOff>
    </xdr:from>
    <xdr:to>
      <xdr:col>16</xdr:col>
      <xdr:colOff>142875</xdr:colOff>
      <xdr:row>197</xdr:row>
      <xdr:rowOff>66675</xdr:rowOff>
    </xdr:to>
    <xdr:sp macro="" textlink="">
      <xdr:nvSpPr>
        <xdr:cNvPr id="1246" name="Line 97224">
          <a:extLst>
            <a:ext uri="{FF2B5EF4-FFF2-40B4-BE49-F238E27FC236}">
              <a16:creationId xmlns:a16="http://schemas.microsoft.com/office/drawing/2014/main" id="{00000000-0008-0000-0000-0000DE040000}"/>
            </a:ext>
          </a:extLst>
        </xdr:cNvPr>
        <xdr:cNvSpPr>
          <a:spLocks noChangeShapeType="1"/>
        </xdr:cNvSpPr>
      </xdr:nvSpPr>
      <xdr:spPr bwMode="auto">
        <a:xfrm flipH="1">
          <a:off x="10944225" y="3807142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28575</xdr:colOff>
      <xdr:row>197</xdr:row>
      <xdr:rowOff>133350</xdr:rowOff>
    </xdr:from>
    <xdr:to>
      <xdr:col>16</xdr:col>
      <xdr:colOff>142875</xdr:colOff>
      <xdr:row>198</xdr:row>
      <xdr:rowOff>76200</xdr:rowOff>
    </xdr:to>
    <xdr:sp macro="" textlink="">
      <xdr:nvSpPr>
        <xdr:cNvPr id="1247" name="Line 97225">
          <a:extLst>
            <a:ext uri="{FF2B5EF4-FFF2-40B4-BE49-F238E27FC236}">
              <a16:creationId xmlns:a16="http://schemas.microsoft.com/office/drawing/2014/main" id="{00000000-0008-0000-0000-0000DF040000}"/>
            </a:ext>
          </a:extLst>
        </xdr:cNvPr>
        <xdr:cNvSpPr>
          <a:spLocks noChangeShapeType="1"/>
        </xdr:cNvSpPr>
      </xdr:nvSpPr>
      <xdr:spPr bwMode="auto">
        <a:xfrm flipH="1">
          <a:off x="10944225" y="38252400"/>
          <a:ext cx="11430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647700</xdr:colOff>
      <xdr:row>199</xdr:row>
      <xdr:rowOff>0</xdr:rowOff>
    </xdr:from>
    <xdr:to>
      <xdr:col>16</xdr:col>
      <xdr:colOff>114300</xdr:colOff>
      <xdr:row>200</xdr:row>
      <xdr:rowOff>171450</xdr:rowOff>
    </xdr:to>
    <xdr:sp macro="" textlink="">
      <xdr:nvSpPr>
        <xdr:cNvPr id="1248" name="Freeform 97226">
          <a:extLst>
            <a:ext uri="{FF2B5EF4-FFF2-40B4-BE49-F238E27FC236}">
              <a16:creationId xmlns:a16="http://schemas.microsoft.com/office/drawing/2014/main" id="{00000000-0008-0000-0000-0000E0040000}"/>
            </a:ext>
          </a:extLst>
        </xdr:cNvPr>
        <xdr:cNvSpPr>
          <a:spLocks/>
        </xdr:cNvSpPr>
      </xdr:nvSpPr>
      <xdr:spPr bwMode="auto">
        <a:xfrm>
          <a:off x="9886950" y="38500050"/>
          <a:ext cx="1143000" cy="361950"/>
        </a:xfrm>
        <a:custGeom>
          <a:avLst/>
          <a:gdLst>
            <a:gd name="T0" fmla="*/ 0 w 102"/>
            <a:gd name="T1" fmla="*/ 0 h 38"/>
            <a:gd name="T2" fmla="*/ 2147483647 w 102"/>
            <a:gd name="T3" fmla="*/ 0 h 38"/>
            <a:gd name="T4" fmla="*/ 2147483647 w 102"/>
            <a:gd name="T5" fmla="*/ 2147483647 h 38"/>
            <a:gd name="T6" fmla="*/ 2147483647 w 102"/>
            <a:gd name="T7" fmla="*/ 2147483647 h 3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02" h="38">
              <a:moveTo>
                <a:pt x="0" y="0"/>
              </a:moveTo>
              <a:lnTo>
                <a:pt x="26" y="0"/>
              </a:lnTo>
              <a:lnTo>
                <a:pt x="78" y="38"/>
              </a:lnTo>
              <a:lnTo>
                <a:pt x="102" y="3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14</xdr:col>
      <xdr:colOff>647700</xdr:colOff>
      <xdr:row>198</xdr:row>
      <xdr:rowOff>171450</xdr:rowOff>
    </xdr:from>
    <xdr:to>
      <xdr:col>14</xdr:col>
      <xdr:colOff>647700</xdr:colOff>
      <xdr:row>200</xdr:row>
      <xdr:rowOff>57150</xdr:rowOff>
    </xdr:to>
    <xdr:sp macro="" textlink="">
      <xdr:nvSpPr>
        <xdr:cNvPr id="1249" name="Line 97227">
          <a:extLst>
            <a:ext uri="{FF2B5EF4-FFF2-40B4-BE49-F238E27FC236}">
              <a16:creationId xmlns:a16="http://schemas.microsoft.com/office/drawing/2014/main" id="{00000000-0008-0000-0000-0000E1040000}"/>
            </a:ext>
          </a:extLst>
        </xdr:cNvPr>
        <xdr:cNvSpPr>
          <a:spLocks noChangeShapeType="1"/>
        </xdr:cNvSpPr>
      </xdr:nvSpPr>
      <xdr:spPr bwMode="auto">
        <a:xfrm flipV="1">
          <a:off x="9886950" y="384810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16</xdr:col>
      <xdr:colOff>104775</xdr:colOff>
      <xdr:row>200</xdr:row>
      <xdr:rowOff>161925</xdr:rowOff>
    </xdr:from>
    <xdr:to>
      <xdr:col>16</xdr:col>
      <xdr:colOff>104775</xdr:colOff>
      <xdr:row>202</xdr:row>
      <xdr:rowOff>76200</xdr:rowOff>
    </xdr:to>
    <xdr:sp macro="" textlink="">
      <xdr:nvSpPr>
        <xdr:cNvPr id="1250" name="Line 97228">
          <a:extLst>
            <a:ext uri="{FF2B5EF4-FFF2-40B4-BE49-F238E27FC236}">
              <a16:creationId xmlns:a16="http://schemas.microsoft.com/office/drawing/2014/main" id="{00000000-0008-0000-0000-0000E2040000}"/>
            </a:ext>
          </a:extLst>
        </xdr:cNvPr>
        <xdr:cNvSpPr>
          <a:spLocks noChangeShapeType="1"/>
        </xdr:cNvSpPr>
      </xdr:nvSpPr>
      <xdr:spPr bwMode="auto">
        <a:xfrm flipV="1">
          <a:off x="11020425" y="38852475"/>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123825</xdr:colOff>
      <xdr:row>192</xdr:row>
      <xdr:rowOff>95250</xdr:rowOff>
    </xdr:from>
    <xdr:to>
      <xdr:col>4</xdr:col>
      <xdr:colOff>247650</xdr:colOff>
      <xdr:row>194</xdr:row>
      <xdr:rowOff>9525</xdr:rowOff>
    </xdr:to>
    <xdr:sp macro="" textlink="">
      <xdr:nvSpPr>
        <xdr:cNvPr id="1251" name="Freeform 97229">
          <a:extLst>
            <a:ext uri="{FF2B5EF4-FFF2-40B4-BE49-F238E27FC236}">
              <a16:creationId xmlns:a16="http://schemas.microsoft.com/office/drawing/2014/main" id="{00000000-0008-0000-0000-0000E3040000}"/>
            </a:ext>
          </a:extLst>
        </xdr:cNvPr>
        <xdr:cNvSpPr>
          <a:spLocks/>
        </xdr:cNvSpPr>
      </xdr:nvSpPr>
      <xdr:spPr bwMode="auto">
        <a:xfrm>
          <a:off x="2457450" y="37261800"/>
          <a:ext cx="123825" cy="295275"/>
        </a:xfrm>
        <a:custGeom>
          <a:avLst/>
          <a:gdLst>
            <a:gd name="T0" fmla="*/ 0 w 13"/>
            <a:gd name="T1" fmla="*/ 0 h 31"/>
            <a:gd name="T2" fmla="*/ 1179433125 w 13"/>
            <a:gd name="T3" fmla="*/ 0 h 31"/>
            <a:gd name="T4" fmla="*/ 1179433125 w 13"/>
            <a:gd name="T5" fmla="*/ 2147483647 h 31"/>
            <a:gd name="T6" fmla="*/ 0 60000 65536"/>
            <a:gd name="T7" fmla="*/ 0 60000 65536"/>
            <a:gd name="T8" fmla="*/ 0 60000 65536"/>
          </a:gdLst>
          <a:ahLst/>
          <a:cxnLst>
            <a:cxn ang="T6">
              <a:pos x="T0" y="T1"/>
            </a:cxn>
            <a:cxn ang="T7">
              <a:pos x="T2" y="T3"/>
            </a:cxn>
            <a:cxn ang="T8">
              <a:pos x="T4" y="T5"/>
            </a:cxn>
          </a:cxnLst>
          <a:rect l="0" t="0" r="r" b="b"/>
          <a:pathLst>
            <a:path w="13" h="31">
              <a:moveTo>
                <a:pt x="0" y="0"/>
              </a:moveTo>
              <a:lnTo>
                <a:pt x="13" y="0"/>
              </a:lnTo>
              <a:lnTo>
                <a:pt x="13" y="3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190500</xdr:colOff>
      <xdr:row>192</xdr:row>
      <xdr:rowOff>161925</xdr:rowOff>
    </xdr:from>
    <xdr:to>
      <xdr:col>4</xdr:col>
      <xdr:colOff>304800</xdr:colOff>
      <xdr:row>193</xdr:row>
      <xdr:rowOff>85725</xdr:rowOff>
    </xdr:to>
    <xdr:sp macro="" textlink="">
      <xdr:nvSpPr>
        <xdr:cNvPr id="1252" name="Line 97230">
          <a:extLst>
            <a:ext uri="{FF2B5EF4-FFF2-40B4-BE49-F238E27FC236}">
              <a16:creationId xmlns:a16="http://schemas.microsoft.com/office/drawing/2014/main" id="{00000000-0008-0000-0000-0000E4040000}"/>
            </a:ext>
          </a:extLst>
        </xdr:cNvPr>
        <xdr:cNvSpPr>
          <a:spLocks noChangeShapeType="1"/>
        </xdr:cNvSpPr>
      </xdr:nvSpPr>
      <xdr:spPr bwMode="auto">
        <a:xfrm flipH="1">
          <a:off x="2524125" y="373284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193</xdr:row>
      <xdr:rowOff>95250</xdr:rowOff>
    </xdr:from>
    <xdr:to>
      <xdr:col>4</xdr:col>
      <xdr:colOff>304800</xdr:colOff>
      <xdr:row>194</xdr:row>
      <xdr:rowOff>0</xdr:rowOff>
    </xdr:to>
    <xdr:sp macro="" textlink="">
      <xdr:nvSpPr>
        <xdr:cNvPr id="1253" name="Line 97231">
          <a:extLst>
            <a:ext uri="{FF2B5EF4-FFF2-40B4-BE49-F238E27FC236}">
              <a16:creationId xmlns:a16="http://schemas.microsoft.com/office/drawing/2014/main" id="{00000000-0008-0000-0000-0000E5040000}"/>
            </a:ext>
          </a:extLst>
        </xdr:cNvPr>
        <xdr:cNvSpPr>
          <a:spLocks noChangeShapeType="1"/>
        </xdr:cNvSpPr>
      </xdr:nvSpPr>
      <xdr:spPr bwMode="auto">
        <a:xfrm flipH="1">
          <a:off x="2543175" y="3745230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199</xdr:row>
      <xdr:rowOff>66675</xdr:rowOff>
    </xdr:from>
    <xdr:to>
      <xdr:col>2</xdr:col>
      <xdr:colOff>533400</xdr:colOff>
      <xdr:row>200</xdr:row>
      <xdr:rowOff>152400</xdr:rowOff>
    </xdr:to>
    <xdr:sp macro="" textlink="">
      <xdr:nvSpPr>
        <xdr:cNvPr id="1254" name="Line 97232">
          <a:extLst>
            <a:ext uri="{FF2B5EF4-FFF2-40B4-BE49-F238E27FC236}">
              <a16:creationId xmlns:a16="http://schemas.microsoft.com/office/drawing/2014/main" id="{00000000-0008-0000-0000-0000E6040000}"/>
            </a:ext>
          </a:extLst>
        </xdr:cNvPr>
        <xdr:cNvSpPr>
          <a:spLocks noChangeShapeType="1"/>
        </xdr:cNvSpPr>
      </xdr:nvSpPr>
      <xdr:spPr bwMode="auto">
        <a:xfrm>
          <a:off x="1914525" y="3856672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200</xdr:row>
      <xdr:rowOff>104775</xdr:rowOff>
    </xdr:from>
    <xdr:to>
      <xdr:col>5</xdr:col>
      <xdr:colOff>171450</xdr:colOff>
      <xdr:row>200</xdr:row>
      <xdr:rowOff>104775</xdr:rowOff>
    </xdr:to>
    <xdr:sp macro="" textlink="">
      <xdr:nvSpPr>
        <xdr:cNvPr id="1255" name="Line 97234">
          <a:extLst>
            <a:ext uri="{FF2B5EF4-FFF2-40B4-BE49-F238E27FC236}">
              <a16:creationId xmlns:a16="http://schemas.microsoft.com/office/drawing/2014/main" id="{00000000-0008-0000-0000-0000E7040000}"/>
            </a:ext>
          </a:extLst>
        </xdr:cNvPr>
        <xdr:cNvSpPr>
          <a:spLocks noChangeShapeType="1"/>
        </xdr:cNvSpPr>
      </xdr:nvSpPr>
      <xdr:spPr bwMode="auto">
        <a:xfrm>
          <a:off x="1857375" y="38795325"/>
          <a:ext cx="971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200</xdr:row>
      <xdr:rowOff>47625</xdr:rowOff>
    </xdr:from>
    <xdr:to>
      <xdr:col>5</xdr:col>
      <xdr:colOff>133350</xdr:colOff>
      <xdr:row>200</xdr:row>
      <xdr:rowOff>161925</xdr:rowOff>
    </xdr:to>
    <xdr:sp macro="" textlink="">
      <xdr:nvSpPr>
        <xdr:cNvPr id="1256" name="Line 97235">
          <a:extLst>
            <a:ext uri="{FF2B5EF4-FFF2-40B4-BE49-F238E27FC236}">
              <a16:creationId xmlns:a16="http://schemas.microsoft.com/office/drawing/2014/main" id="{00000000-0008-0000-0000-0000E8040000}"/>
            </a:ext>
          </a:extLst>
        </xdr:cNvPr>
        <xdr:cNvSpPr>
          <a:spLocks noChangeShapeType="1"/>
        </xdr:cNvSpPr>
      </xdr:nvSpPr>
      <xdr:spPr bwMode="auto">
        <a:xfrm flipH="1">
          <a:off x="2676525" y="387381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466725</xdr:colOff>
      <xdr:row>200</xdr:row>
      <xdr:rowOff>47625</xdr:rowOff>
    </xdr:from>
    <xdr:to>
      <xdr:col>3</xdr:col>
      <xdr:colOff>0</xdr:colOff>
      <xdr:row>200</xdr:row>
      <xdr:rowOff>152400</xdr:rowOff>
    </xdr:to>
    <xdr:sp macro="" textlink="">
      <xdr:nvSpPr>
        <xdr:cNvPr id="1257" name="Line 97236">
          <a:extLst>
            <a:ext uri="{FF2B5EF4-FFF2-40B4-BE49-F238E27FC236}">
              <a16:creationId xmlns:a16="http://schemas.microsoft.com/office/drawing/2014/main" id="{00000000-0008-0000-0000-0000E9040000}"/>
            </a:ext>
          </a:extLst>
        </xdr:cNvPr>
        <xdr:cNvSpPr>
          <a:spLocks noChangeShapeType="1"/>
        </xdr:cNvSpPr>
      </xdr:nvSpPr>
      <xdr:spPr bwMode="auto">
        <a:xfrm flipH="1">
          <a:off x="1847850" y="38738175"/>
          <a:ext cx="11430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561975</xdr:colOff>
      <xdr:row>209</xdr:row>
      <xdr:rowOff>76200</xdr:rowOff>
    </xdr:from>
    <xdr:to>
      <xdr:col>4</xdr:col>
      <xdr:colOff>247650</xdr:colOff>
      <xdr:row>209</xdr:row>
      <xdr:rowOff>76200</xdr:rowOff>
    </xdr:to>
    <xdr:sp macro="" textlink="">
      <xdr:nvSpPr>
        <xdr:cNvPr id="1258" name="Line 97237">
          <a:extLst>
            <a:ext uri="{FF2B5EF4-FFF2-40B4-BE49-F238E27FC236}">
              <a16:creationId xmlns:a16="http://schemas.microsoft.com/office/drawing/2014/main" id="{00000000-0008-0000-0000-0000EA040000}"/>
            </a:ext>
          </a:extLst>
        </xdr:cNvPr>
        <xdr:cNvSpPr>
          <a:spLocks noChangeShapeType="1"/>
        </xdr:cNvSpPr>
      </xdr:nvSpPr>
      <xdr:spPr bwMode="auto">
        <a:xfrm>
          <a:off x="1943100" y="40500300"/>
          <a:ext cx="638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409575</xdr:colOff>
      <xdr:row>209</xdr:row>
      <xdr:rowOff>76200</xdr:rowOff>
    </xdr:from>
    <xdr:to>
      <xdr:col>5</xdr:col>
      <xdr:colOff>571500</xdr:colOff>
      <xdr:row>209</xdr:row>
      <xdr:rowOff>76200</xdr:rowOff>
    </xdr:to>
    <xdr:sp macro="" textlink="">
      <xdr:nvSpPr>
        <xdr:cNvPr id="1259" name="Line 97238">
          <a:extLst>
            <a:ext uri="{FF2B5EF4-FFF2-40B4-BE49-F238E27FC236}">
              <a16:creationId xmlns:a16="http://schemas.microsoft.com/office/drawing/2014/main" id="{00000000-0008-0000-0000-0000EB040000}"/>
            </a:ext>
          </a:extLst>
        </xdr:cNvPr>
        <xdr:cNvSpPr>
          <a:spLocks noChangeShapeType="1"/>
        </xdr:cNvSpPr>
      </xdr:nvSpPr>
      <xdr:spPr bwMode="auto">
        <a:xfrm>
          <a:off x="3067050" y="40500300"/>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561975</xdr:colOff>
      <xdr:row>197</xdr:row>
      <xdr:rowOff>133350</xdr:rowOff>
    </xdr:from>
    <xdr:to>
      <xdr:col>14</xdr:col>
      <xdr:colOff>723900</xdr:colOff>
      <xdr:row>198</xdr:row>
      <xdr:rowOff>95250</xdr:rowOff>
    </xdr:to>
    <xdr:sp macro="" textlink="">
      <xdr:nvSpPr>
        <xdr:cNvPr id="1260" name="Line 97239">
          <a:extLst>
            <a:ext uri="{FF2B5EF4-FFF2-40B4-BE49-F238E27FC236}">
              <a16:creationId xmlns:a16="http://schemas.microsoft.com/office/drawing/2014/main" id="{00000000-0008-0000-0000-0000EC040000}"/>
            </a:ext>
          </a:extLst>
        </xdr:cNvPr>
        <xdr:cNvSpPr>
          <a:spLocks noChangeShapeType="1"/>
        </xdr:cNvSpPr>
      </xdr:nvSpPr>
      <xdr:spPr bwMode="auto">
        <a:xfrm flipV="1">
          <a:off x="9801225" y="38252400"/>
          <a:ext cx="161925"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222</xdr:row>
      <xdr:rowOff>66675</xdr:rowOff>
    </xdr:from>
    <xdr:to>
      <xdr:col>5</xdr:col>
      <xdr:colOff>200025</xdr:colOff>
      <xdr:row>224</xdr:row>
      <xdr:rowOff>19050</xdr:rowOff>
    </xdr:to>
    <xdr:sp macro="" textlink="">
      <xdr:nvSpPr>
        <xdr:cNvPr id="1261" name="Tegning 344">
          <a:extLst>
            <a:ext uri="{FF2B5EF4-FFF2-40B4-BE49-F238E27FC236}">
              <a16:creationId xmlns:a16="http://schemas.microsoft.com/office/drawing/2014/main" id="{00000000-0008-0000-0000-0000ED040000}"/>
            </a:ext>
          </a:extLst>
        </xdr:cNvPr>
        <xdr:cNvSpPr>
          <a:spLocks/>
        </xdr:cNvSpPr>
      </xdr:nvSpPr>
      <xdr:spPr bwMode="auto">
        <a:xfrm flipV="1">
          <a:off x="1590675" y="42995850"/>
          <a:ext cx="1266825" cy="333375"/>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222</xdr:row>
      <xdr:rowOff>142875</xdr:rowOff>
    </xdr:from>
    <xdr:to>
      <xdr:col>5</xdr:col>
      <xdr:colOff>200025</xdr:colOff>
      <xdr:row>224</xdr:row>
      <xdr:rowOff>180975</xdr:rowOff>
    </xdr:to>
    <xdr:sp macro="" textlink="">
      <xdr:nvSpPr>
        <xdr:cNvPr id="1262" name="Tegning 344">
          <a:extLst>
            <a:ext uri="{FF2B5EF4-FFF2-40B4-BE49-F238E27FC236}">
              <a16:creationId xmlns:a16="http://schemas.microsoft.com/office/drawing/2014/main" id="{00000000-0008-0000-0000-0000EE040000}"/>
            </a:ext>
          </a:extLst>
        </xdr:cNvPr>
        <xdr:cNvSpPr>
          <a:spLocks/>
        </xdr:cNvSpPr>
      </xdr:nvSpPr>
      <xdr:spPr bwMode="auto">
        <a:xfrm>
          <a:off x="1590675" y="43072050"/>
          <a:ext cx="1266825" cy="419100"/>
        </a:xfrm>
        <a:custGeom>
          <a:avLst/>
          <a:gdLst>
            <a:gd name="T0" fmla="*/ 0 w 16384"/>
            <a:gd name="T1" fmla="*/ 0 h 16384"/>
            <a:gd name="T2" fmla="*/ 0 w 16384"/>
            <a:gd name="T3" fmla="*/ 2147483647 h 16384"/>
            <a:gd name="T4" fmla="*/ 2147483647 w 16384"/>
            <a:gd name="T5" fmla="*/ 2147483647 h 16384"/>
            <a:gd name="T6" fmla="*/ 2147483647 w 16384"/>
            <a:gd name="T7" fmla="*/ 2147483647 h 16384"/>
            <a:gd name="T8" fmla="*/ 2147483647 w 16384"/>
            <a:gd name="T9" fmla="*/ 2147483647 h 16384"/>
            <a:gd name="T10" fmla="*/ 2147483647 w 16384"/>
            <a:gd name="T11" fmla="*/ 2147483647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200025</xdr:colOff>
      <xdr:row>225</xdr:row>
      <xdr:rowOff>142875</xdr:rowOff>
    </xdr:from>
    <xdr:to>
      <xdr:col>5</xdr:col>
      <xdr:colOff>200025</xdr:colOff>
      <xdr:row>226</xdr:row>
      <xdr:rowOff>114300</xdr:rowOff>
    </xdr:to>
    <xdr:sp macro="" textlink="">
      <xdr:nvSpPr>
        <xdr:cNvPr id="1263" name="Line 97247">
          <a:extLst>
            <a:ext uri="{FF2B5EF4-FFF2-40B4-BE49-F238E27FC236}">
              <a16:creationId xmlns:a16="http://schemas.microsoft.com/office/drawing/2014/main" id="{00000000-0008-0000-0000-0000EF040000}"/>
            </a:ext>
          </a:extLst>
        </xdr:cNvPr>
        <xdr:cNvSpPr>
          <a:spLocks noChangeShapeType="1"/>
        </xdr:cNvSpPr>
      </xdr:nvSpPr>
      <xdr:spPr bwMode="auto">
        <a:xfrm>
          <a:off x="2857500" y="4364355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225</xdr:row>
      <xdr:rowOff>142875</xdr:rowOff>
    </xdr:from>
    <xdr:to>
      <xdr:col>2</xdr:col>
      <xdr:colOff>200025</xdr:colOff>
      <xdr:row>226</xdr:row>
      <xdr:rowOff>133350</xdr:rowOff>
    </xdr:to>
    <xdr:sp macro="" textlink="">
      <xdr:nvSpPr>
        <xdr:cNvPr id="1264" name="Line 97248">
          <a:extLst>
            <a:ext uri="{FF2B5EF4-FFF2-40B4-BE49-F238E27FC236}">
              <a16:creationId xmlns:a16="http://schemas.microsoft.com/office/drawing/2014/main" id="{00000000-0008-0000-0000-0000F0040000}"/>
            </a:ext>
          </a:extLst>
        </xdr:cNvPr>
        <xdr:cNvSpPr>
          <a:spLocks noChangeShapeType="1"/>
        </xdr:cNvSpPr>
      </xdr:nvSpPr>
      <xdr:spPr bwMode="auto">
        <a:xfrm>
          <a:off x="1581150" y="436435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171450</xdr:colOff>
      <xdr:row>226</xdr:row>
      <xdr:rowOff>28575</xdr:rowOff>
    </xdr:from>
    <xdr:to>
      <xdr:col>5</xdr:col>
      <xdr:colOff>266700</xdr:colOff>
      <xdr:row>226</xdr:row>
      <xdr:rowOff>28575</xdr:rowOff>
    </xdr:to>
    <xdr:sp macro="" textlink="">
      <xdr:nvSpPr>
        <xdr:cNvPr id="1265" name="Line 97249">
          <a:extLst>
            <a:ext uri="{FF2B5EF4-FFF2-40B4-BE49-F238E27FC236}">
              <a16:creationId xmlns:a16="http://schemas.microsoft.com/office/drawing/2014/main" id="{00000000-0008-0000-0000-0000F1040000}"/>
            </a:ext>
          </a:extLst>
        </xdr:cNvPr>
        <xdr:cNvSpPr>
          <a:spLocks noChangeShapeType="1"/>
        </xdr:cNvSpPr>
      </xdr:nvSpPr>
      <xdr:spPr bwMode="auto">
        <a:xfrm>
          <a:off x="1552575" y="4371975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226</xdr:row>
      <xdr:rowOff>0</xdr:rowOff>
    </xdr:from>
    <xdr:to>
      <xdr:col>2</xdr:col>
      <xdr:colOff>247650</xdr:colOff>
      <xdr:row>226</xdr:row>
      <xdr:rowOff>123825</xdr:rowOff>
    </xdr:to>
    <xdr:sp macro="" textlink="">
      <xdr:nvSpPr>
        <xdr:cNvPr id="1266" name="Line 97253">
          <a:extLst>
            <a:ext uri="{FF2B5EF4-FFF2-40B4-BE49-F238E27FC236}">
              <a16:creationId xmlns:a16="http://schemas.microsoft.com/office/drawing/2014/main" id="{00000000-0008-0000-0000-0000F2040000}"/>
            </a:ext>
          </a:extLst>
        </xdr:cNvPr>
        <xdr:cNvSpPr>
          <a:spLocks noChangeShapeType="1"/>
        </xdr:cNvSpPr>
      </xdr:nvSpPr>
      <xdr:spPr bwMode="auto">
        <a:xfrm flipH="1">
          <a:off x="1514475" y="436911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133350</xdr:colOff>
      <xdr:row>226</xdr:row>
      <xdr:rowOff>0</xdr:rowOff>
    </xdr:from>
    <xdr:to>
      <xdr:col>5</xdr:col>
      <xdr:colOff>257175</xdr:colOff>
      <xdr:row>226</xdr:row>
      <xdr:rowOff>133350</xdr:rowOff>
    </xdr:to>
    <xdr:sp macro="" textlink="">
      <xdr:nvSpPr>
        <xdr:cNvPr id="1267" name="Line 97254">
          <a:extLst>
            <a:ext uri="{FF2B5EF4-FFF2-40B4-BE49-F238E27FC236}">
              <a16:creationId xmlns:a16="http://schemas.microsoft.com/office/drawing/2014/main" id="{00000000-0008-0000-0000-0000F3040000}"/>
            </a:ext>
          </a:extLst>
        </xdr:cNvPr>
        <xdr:cNvSpPr>
          <a:spLocks noChangeShapeType="1"/>
        </xdr:cNvSpPr>
      </xdr:nvSpPr>
      <xdr:spPr bwMode="auto">
        <a:xfrm flipH="1">
          <a:off x="2790825" y="4369117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152400</xdr:colOff>
      <xdr:row>186</xdr:row>
      <xdr:rowOff>0</xdr:rowOff>
    </xdr:from>
    <xdr:to>
      <xdr:col>13</xdr:col>
      <xdr:colOff>152400</xdr:colOff>
      <xdr:row>217</xdr:row>
      <xdr:rowOff>0</xdr:rowOff>
    </xdr:to>
    <xdr:sp macro="" textlink="">
      <xdr:nvSpPr>
        <xdr:cNvPr id="1268" name="Line 97255">
          <a:extLst>
            <a:ext uri="{FF2B5EF4-FFF2-40B4-BE49-F238E27FC236}">
              <a16:creationId xmlns:a16="http://schemas.microsoft.com/office/drawing/2014/main" id="{00000000-0008-0000-0000-0000F4040000}"/>
            </a:ext>
          </a:extLst>
        </xdr:cNvPr>
        <xdr:cNvSpPr>
          <a:spLocks noChangeShapeType="1"/>
        </xdr:cNvSpPr>
      </xdr:nvSpPr>
      <xdr:spPr bwMode="auto">
        <a:xfrm>
          <a:off x="8296275" y="36004500"/>
          <a:ext cx="0" cy="5972175"/>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arrow" w="lg" len="lg"/>
          <a:tailEnd type="arrow" w="lg" len="lg"/>
        </a:ln>
        <a:extLst>
          <a:ext uri="{909E8E84-426E-40DD-AFC4-6F175D3DCCD1}">
            <a14:hiddenFill xmlns:a14="http://schemas.microsoft.com/office/drawing/2010/main">
              <a:noFill/>
            </a14:hiddenFill>
          </a:ext>
        </a:extLst>
      </xdr:spPr>
    </xdr:sp>
    <xdr:clientData/>
  </xdr:twoCellAnchor>
  <xdr:twoCellAnchor>
    <xdr:from>
      <xdr:col>13</xdr:col>
      <xdr:colOff>95250</xdr:colOff>
      <xdr:row>188</xdr:row>
      <xdr:rowOff>123825</xdr:rowOff>
    </xdr:from>
    <xdr:to>
      <xdr:col>13</xdr:col>
      <xdr:colOff>704850</xdr:colOff>
      <xdr:row>188</xdr:row>
      <xdr:rowOff>123825</xdr:rowOff>
    </xdr:to>
    <xdr:sp macro="" textlink="">
      <xdr:nvSpPr>
        <xdr:cNvPr id="1269" name="Line 97258">
          <a:extLst>
            <a:ext uri="{FF2B5EF4-FFF2-40B4-BE49-F238E27FC236}">
              <a16:creationId xmlns:a16="http://schemas.microsoft.com/office/drawing/2014/main" id="{00000000-0008-0000-0000-0000F5040000}"/>
            </a:ext>
          </a:extLst>
        </xdr:cNvPr>
        <xdr:cNvSpPr>
          <a:spLocks noChangeShapeType="1"/>
        </xdr:cNvSpPr>
      </xdr:nvSpPr>
      <xdr:spPr bwMode="auto">
        <a:xfrm flipH="1">
          <a:off x="8239125" y="36509325"/>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104775</xdr:colOff>
      <xdr:row>188</xdr:row>
      <xdr:rowOff>76200</xdr:rowOff>
    </xdr:from>
    <xdr:to>
      <xdr:col>13</xdr:col>
      <xdr:colOff>180975</xdr:colOff>
      <xdr:row>188</xdr:row>
      <xdr:rowOff>152400</xdr:rowOff>
    </xdr:to>
    <xdr:sp macro="" textlink="">
      <xdr:nvSpPr>
        <xdr:cNvPr id="1270" name="Oval 97259">
          <a:extLst>
            <a:ext uri="{FF2B5EF4-FFF2-40B4-BE49-F238E27FC236}">
              <a16:creationId xmlns:a16="http://schemas.microsoft.com/office/drawing/2014/main" id="{00000000-0008-0000-0000-0000F6040000}"/>
            </a:ext>
          </a:extLst>
        </xdr:cNvPr>
        <xdr:cNvSpPr>
          <a:spLocks noChangeArrowheads="1"/>
        </xdr:cNvSpPr>
      </xdr:nvSpPr>
      <xdr:spPr bwMode="auto">
        <a:xfrm>
          <a:off x="8248650" y="36461700"/>
          <a:ext cx="76200" cy="76200"/>
        </a:xfrm>
        <a:prstGeom prst="ellipse">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152400</xdr:colOff>
      <xdr:row>221</xdr:row>
      <xdr:rowOff>28575</xdr:rowOff>
    </xdr:from>
    <xdr:to>
      <xdr:col>13</xdr:col>
      <xdr:colOff>152400</xdr:colOff>
      <xdr:row>227</xdr:row>
      <xdr:rowOff>171450</xdr:rowOff>
    </xdr:to>
    <xdr:sp macro="" textlink="">
      <xdr:nvSpPr>
        <xdr:cNvPr id="1271" name="Line 97261">
          <a:extLst>
            <a:ext uri="{FF2B5EF4-FFF2-40B4-BE49-F238E27FC236}">
              <a16:creationId xmlns:a16="http://schemas.microsoft.com/office/drawing/2014/main" id="{00000000-0008-0000-0000-0000F7040000}"/>
            </a:ext>
          </a:extLst>
        </xdr:cNvPr>
        <xdr:cNvSpPr>
          <a:spLocks noChangeShapeType="1"/>
        </xdr:cNvSpPr>
      </xdr:nvSpPr>
      <xdr:spPr bwMode="auto">
        <a:xfrm>
          <a:off x="8296275" y="42767250"/>
          <a:ext cx="0" cy="1285875"/>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arrow" w="lg" len="lg"/>
          <a:tailEnd type="arrow" w="lg" len="lg"/>
        </a:ln>
        <a:extLst>
          <a:ext uri="{909E8E84-426E-40DD-AFC4-6F175D3DCCD1}">
            <a14:hiddenFill xmlns:a14="http://schemas.microsoft.com/office/drawing/2010/main">
              <a:noFill/>
            </a14:hiddenFill>
          </a:ext>
        </a:extLst>
      </xdr:spPr>
    </xdr:sp>
    <xdr:clientData/>
  </xdr:twoCellAnchor>
  <xdr:twoCellAnchor>
    <xdr:from>
      <xdr:col>2</xdr:col>
      <xdr:colOff>200025</xdr:colOff>
      <xdr:row>201</xdr:row>
      <xdr:rowOff>142875</xdr:rowOff>
    </xdr:from>
    <xdr:to>
      <xdr:col>2</xdr:col>
      <xdr:colOff>304800</xdr:colOff>
      <xdr:row>202</xdr:row>
      <xdr:rowOff>66675</xdr:rowOff>
    </xdr:to>
    <xdr:sp macro="" textlink="">
      <xdr:nvSpPr>
        <xdr:cNvPr id="1272" name="Line 97263">
          <a:extLst>
            <a:ext uri="{FF2B5EF4-FFF2-40B4-BE49-F238E27FC236}">
              <a16:creationId xmlns:a16="http://schemas.microsoft.com/office/drawing/2014/main" id="{00000000-0008-0000-0000-0000F8040000}"/>
            </a:ext>
          </a:extLst>
        </xdr:cNvPr>
        <xdr:cNvSpPr>
          <a:spLocks noChangeShapeType="1"/>
        </xdr:cNvSpPr>
      </xdr:nvSpPr>
      <xdr:spPr bwMode="auto">
        <a:xfrm flipH="1">
          <a:off x="1581150" y="39023925"/>
          <a:ext cx="1047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201</xdr:row>
      <xdr:rowOff>123825</xdr:rowOff>
    </xdr:from>
    <xdr:to>
      <xdr:col>5</xdr:col>
      <xdr:colOff>142875</xdr:colOff>
      <xdr:row>202</xdr:row>
      <xdr:rowOff>57150</xdr:rowOff>
    </xdr:to>
    <xdr:sp macro="" textlink="">
      <xdr:nvSpPr>
        <xdr:cNvPr id="1273" name="Line 97264">
          <a:extLst>
            <a:ext uri="{FF2B5EF4-FFF2-40B4-BE49-F238E27FC236}">
              <a16:creationId xmlns:a16="http://schemas.microsoft.com/office/drawing/2014/main" id="{00000000-0008-0000-0000-0000F9040000}"/>
            </a:ext>
          </a:extLst>
        </xdr:cNvPr>
        <xdr:cNvSpPr>
          <a:spLocks noChangeShapeType="1"/>
        </xdr:cNvSpPr>
      </xdr:nvSpPr>
      <xdr:spPr bwMode="auto">
        <a:xfrm flipH="1">
          <a:off x="2686050" y="390048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202</xdr:row>
      <xdr:rowOff>0</xdr:rowOff>
    </xdr:from>
    <xdr:to>
      <xdr:col>5</xdr:col>
      <xdr:colOff>200025</xdr:colOff>
      <xdr:row>202</xdr:row>
      <xdr:rowOff>0</xdr:rowOff>
    </xdr:to>
    <xdr:sp macro="" textlink="">
      <xdr:nvSpPr>
        <xdr:cNvPr id="1274" name="Line 97265">
          <a:extLst>
            <a:ext uri="{FF2B5EF4-FFF2-40B4-BE49-F238E27FC236}">
              <a16:creationId xmlns:a16="http://schemas.microsoft.com/office/drawing/2014/main" id="{00000000-0008-0000-0000-0000FA040000}"/>
            </a:ext>
          </a:extLst>
        </xdr:cNvPr>
        <xdr:cNvSpPr>
          <a:spLocks noChangeShapeType="1"/>
        </xdr:cNvSpPr>
      </xdr:nvSpPr>
      <xdr:spPr bwMode="auto">
        <a:xfrm>
          <a:off x="1581150" y="39071550"/>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201</xdr:row>
      <xdr:rowOff>142875</xdr:rowOff>
    </xdr:from>
    <xdr:to>
      <xdr:col>3</xdr:col>
      <xdr:colOff>142875</xdr:colOff>
      <xdr:row>202</xdr:row>
      <xdr:rowOff>47625</xdr:rowOff>
    </xdr:to>
    <xdr:sp macro="" textlink="">
      <xdr:nvSpPr>
        <xdr:cNvPr id="1275" name="Line 97266">
          <a:extLst>
            <a:ext uri="{FF2B5EF4-FFF2-40B4-BE49-F238E27FC236}">
              <a16:creationId xmlns:a16="http://schemas.microsoft.com/office/drawing/2014/main" id="{00000000-0008-0000-0000-0000FB040000}"/>
            </a:ext>
          </a:extLst>
        </xdr:cNvPr>
        <xdr:cNvSpPr>
          <a:spLocks noChangeShapeType="1"/>
        </xdr:cNvSpPr>
      </xdr:nvSpPr>
      <xdr:spPr bwMode="auto">
        <a:xfrm flipH="1">
          <a:off x="1990725" y="39023925"/>
          <a:ext cx="1143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28575</xdr:colOff>
          <xdr:row>163</xdr:row>
          <xdr:rowOff>28575</xdr:rowOff>
        </xdr:from>
        <xdr:to>
          <xdr:col>14</xdr:col>
          <xdr:colOff>381000</xdr:colOff>
          <xdr:row>165</xdr:row>
          <xdr:rowOff>76200</xdr:rowOff>
        </xdr:to>
        <xdr:sp macro="" textlink="">
          <xdr:nvSpPr>
            <xdr:cNvPr id="7" name="Button 41" hidden="1">
              <a:extLst>
                <a:ext uri="{63B3BB69-23CF-44E3-9099-C40C66FF867C}">
                  <a14:compatExt spid="_x0000_s1065"/>
                </a:ext>
                <a:ext uri="{FF2B5EF4-FFF2-40B4-BE49-F238E27FC236}">
                  <a16:creationId xmlns:a16="http://schemas.microsoft.com/office/drawing/2014/main" id="{00000000-0008-0000-0000-000007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MT"/>
                </a:rPr>
                <a:t>Gå til andre typer fast vederlag</a:t>
              </a:r>
            </a:p>
          </xdr:txBody>
        </xdr:sp>
        <xdr:clientData fLocksWithSheet="0" fPrintsWithSheet="0"/>
      </xdr:twoCellAnchor>
    </mc:Choice>
    <mc:Fallback/>
  </mc:AlternateContent>
  <xdr:twoCellAnchor>
    <xdr:from>
      <xdr:col>2</xdr:col>
      <xdr:colOff>123825</xdr:colOff>
      <xdr:row>170</xdr:row>
      <xdr:rowOff>57150</xdr:rowOff>
    </xdr:from>
    <xdr:to>
      <xdr:col>5</xdr:col>
      <xdr:colOff>742950</xdr:colOff>
      <xdr:row>175</xdr:row>
      <xdr:rowOff>19050</xdr:rowOff>
    </xdr:to>
    <xdr:sp macro="" textlink="">
      <xdr:nvSpPr>
        <xdr:cNvPr id="1302" name="Freeform 100907">
          <a:extLst>
            <a:ext uri="{FF2B5EF4-FFF2-40B4-BE49-F238E27FC236}">
              <a16:creationId xmlns:a16="http://schemas.microsoft.com/office/drawing/2014/main" id="{00000000-0008-0000-0000-000016050000}"/>
            </a:ext>
          </a:extLst>
        </xdr:cNvPr>
        <xdr:cNvSpPr>
          <a:spLocks/>
        </xdr:cNvSpPr>
      </xdr:nvSpPr>
      <xdr:spPr bwMode="auto">
        <a:xfrm>
          <a:off x="1504950" y="33004125"/>
          <a:ext cx="1895475" cy="914400"/>
        </a:xfrm>
        <a:custGeom>
          <a:avLst/>
          <a:gdLst>
            <a:gd name="T0" fmla="*/ 199 w 199"/>
            <a:gd name="T1" fmla="*/ 0 h 96"/>
            <a:gd name="T2" fmla="*/ 0 w 199"/>
            <a:gd name="T3" fmla="*/ 0 h 96"/>
            <a:gd name="T4" fmla="*/ 0 w 199"/>
            <a:gd name="T5" fmla="*/ 77 h 96"/>
            <a:gd name="T6" fmla="*/ 45 w 199"/>
            <a:gd name="T7" fmla="*/ 77 h 96"/>
            <a:gd name="T8" fmla="*/ 45 w 199"/>
            <a:gd name="T9" fmla="*/ 96 h 96"/>
            <a:gd name="T10" fmla="*/ 199 w 199"/>
            <a:gd name="T11" fmla="*/ 96 h 96"/>
          </a:gdLst>
          <a:ahLst/>
          <a:cxnLst>
            <a:cxn ang="0">
              <a:pos x="T0" y="T1"/>
            </a:cxn>
            <a:cxn ang="0">
              <a:pos x="T2" y="T3"/>
            </a:cxn>
            <a:cxn ang="0">
              <a:pos x="T4" y="T5"/>
            </a:cxn>
            <a:cxn ang="0">
              <a:pos x="T6" y="T7"/>
            </a:cxn>
            <a:cxn ang="0">
              <a:pos x="T8" y="T9"/>
            </a:cxn>
            <a:cxn ang="0">
              <a:pos x="T10" y="T11"/>
            </a:cxn>
          </a:cxnLst>
          <a:rect l="0" t="0" r="r" b="b"/>
          <a:pathLst>
            <a:path w="199" h="96">
              <a:moveTo>
                <a:pt x="199" y="0"/>
              </a:moveTo>
              <a:lnTo>
                <a:pt x="0" y="0"/>
              </a:lnTo>
              <a:lnTo>
                <a:pt x="0" y="77"/>
              </a:lnTo>
              <a:lnTo>
                <a:pt x="45" y="77"/>
              </a:lnTo>
              <a:lnTo>
                <a:pt x="45" y="96"/>
              </a:lnTo>
              <a:lnTo>
                <a:pt x="199" y="96"/>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314325</xdr:colOff>
      <xdr:row>208</xdr:row>
      <xdr:rowOff>104775</xdr:rowOff>
    </xdr:from>
    <xdr:to>
      <xdr:col>2</xdr:col>
      <xdr:colOff>523875</xdr:colOff>
      <xdr:row>208</xdr:row>
      <xdr:rowOff>104775</xdr:rowOff>
    </xdr:to>
    <xdr:sp macro="" textlink="">
      <xdr:nvSpPr>
        <xdr:cNvPr id="1335" name="Line 100953">
          <a:extLst>
            <a:ext uri="{FF2B5EF4-FFF2-40B4-BE49-F238E27FC236}">
              <a16:creationId xmlns:a16="http://schemas.microsoft.com/office/drawing/2014/main" id="{00000000-0008-0000-0000-000037050000}"/>
            </a:ext>
          </a:extLst>
        </xdr:cNvPr>
        <xdr:cNvSpPr>
          <a:spLocks noChangeShapeType="1"/>
        </xdr:cNvSpPr>
      </xdr:nvSpPr>
      <xdr:spPr bwMode="auto">
        <a:xfrm flipH="1">
          <a:off x="1695450" y="40328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204</xdr:row>
      <xdr:rowOff>104775</xdr:rowOff>
    </xdr:from>
    <xdr:to>
      <xdr:col>2</xdr:col>
      <xdr:colOff>533400</xdr:colOff>
      <xdr:row>204</xdr:row>
      <xdr:rowOff>104775</xdr:rowOff>
    </xdr:to>
    <xdr:sp macro="" textlink="">
      <xdr:nvSpPr>
        <xdr:cNvPr id="1336" name="Line 100954">
          <a:extLst>
            <a:ext uri="{FF2B5EF4-FFF2-40B4-BE49-F238E27FC236}">
              <a16:creationId xmlns:a16="http://schemas.microsoft.com/office/drawing/2014/main" id="{00000000-0008-0000-0000-000038050000}"/>
            </a:ext>
          </a:extLst>
        </xdr:cNvPr>
        <xdr:cNvSpPr>
          <a:spLocks noChangeShapeType="1"/>
        </xdr:cNvSpPr>
      </xdr:nvSpPr>
      <xdr:spPr bwMode="auto">
        <a:xfrm flipH="1">
          <a:off x="1704975" y="39557325"/>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204</xdr:row>
      <xdr:rowOff>66675</xdr:rowOff>
    </xdr:from>
    <xdr:to>
      <xdr:col>2</xdr:col>
      <xdr:colOff>371475</xdr:colOff>
      <xdr:row>208</xdr:row>
      <xdr:rowOff>142875</xdr:rowOff>
    </xdr:to>
    <xdr:sp macro="" textlink="">
      <xdr:nvSpPr>
        <xdr:cNvPr id="1337" name="Line 100955">
          <a:extLst>
            <a:ext uri="{FF2B5EF4-FFF2-40B4-BE49-F238E27FC236}">
              <a16:creationId xmlns:a16="http://schemas.microsoft.com/office/drawing/2014/main" id="{00000000-0008-0000-0000-000039050000}"/>
            </a:ext>
          </a:extLst>
        </xdr:cNvPr>
        <xdr:cNvSpPr>
          <a:spLocks noChangeShapeType="1"/>
        </xdr:cNvSpPr>
      </xdr:nvSpPr>
      <xdr:spPr bwMode="auto">
        <a:xfrm>
          <a:off x="1752600" y="39519225"/>
          <a:ext cx="0" cy="847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323850</xdr:colOff>
      <xdr:row>204</xdr:row>
      <xdr:rowOff>66675</xdr:rowOff>
    </xdr:from>
    <xdr:to>
      <xdr:col>2</xdr:col>
      <xdr:colOff>409575</xdr:colOff>
      <xdr:row>204</xdr:row>
      <xdr:rowOff>152400</xdr:rowOff>
    </xdr:to>
    <xdr:sp macro="" textlink="">
      <xdr:nvSpPr>
        <xdr:cNvPr id="1338" name="Line 100956">
          <a:extLst>
            <a:ext uri="{FF2B5EF4-FFF2-40B4-BE49-F238E27FC236}">
              <a16:creationId xmlns:a16="http://schemas.microsoft.com/office/drawing/2014/main" id="{00000000-0008-0000-0000-00003A050000}"/>
            </a:ext>
          </a:extLst>
        </xdr:cNvPr>
        <xdr:cNvSpPr>
          <a:spLocks noChangeShapeType="1"/>
        </xdr:cNvSpPr>
      </xdr:nvSpPr>
      <xdr:spPr bwMode="auto">
        <a:xfrm flipH="1">
          <a:off x="1704975" y="3951922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342900</xdr:colOff>
      <xdr:row>208</xdr:row>
      <xdr:rowOff>66675</xdr:rowOff>
    </xdr:from>
    <xdr:to>
      <xdr:col>2</xdr:col>
      <xdr:colOff>409575</xdr:colOff>
      <xdr:row>208</xdr:row>
      <xdr:rowOff>133350</xdr:rowOff>
    </xdr:to>
    <xdr:sp macro="" textlink="">
      <xdr:nvSpPr>
        <xdr:cNvPr id="1339" name="Line 100957">
          <a:extLst>
            <a:ext uri="{FF2B5EF4-FFF2-40B4-BE49-F238E27FC236}">
              <a16:creationId xmlns:a16="http://schemas.microsoft.com/office/drawing/2014/main" id="{00000000-0008-0000-0000-00003B050000}"/>
            </a:ext>
          </a:extLst>
        </xdr:cNvPr>
        <xdr:cNvSpPr>
          <a:spLocks noChangeShapeType="1"/>
        </xdr:cNvSpPr>
      </xdr:nvSpPr>
      <xdr:spPr bwMode="auto">
        <a:xfrm flipH="1">
          <a:off x="1724025" y="402907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457200</xdr:colOff>
      <xdr:row>168</xdr:row>
      <xdr:rowOff>85725</xdr:rowOff>
    </xdr:from>
    <xdr:to>
      <xdr:col>17</xdr:col>
      <xdr:colOff>742950</xdr:colOff>
      <xdr:row>168</xdr:row>
      <xdr:rowOff>85725</xdr:rowOff>
    </xdr:to>
    <xdr:sp macro="" textlink="">
      <xdr:nvSpPr>
        <xdr:cNvPr id="1342" name="Line 100961">
          <a:extLst>
            <a:ext uri="{FF2B5EF4-FFF2-40B4-BE49-F238E27FC236}">
              <a16:creationId xmlns:a16="http://schemas.microsoft.com/office/drawing/2014/main" id="{00000000-0008-0000-0000-00003E050000}"/>
            </a:ext>
          </a:extLst>
        </xdr:cNvPr>
        <xdr:cNvSpPr>
          <a:spLocks noChangeShapeType="1"/>
        </xdr:cNvSpPr>
      </xdr:nvSpPr>
      <xdr:spPr bwMode="auto">
        <a:xfrm>
          <a:off x="11372850" y="32651700"/>
          <a:ext cx="1123950"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666750</xdr:colOff>
      <xdr:row>168</xdr:row>
      <xdr:rowOff>9525</xdr:rowOff>
    </xdr:from>
    <xdr:to>
      <xdr:col>16</xdr:col>
      <xdr:colOff>704850</xdr:colOff>
      <xdr:row>168</xdr:row>
      <xdr:rowOff>47625</xdr:rowOff>
    </xdr:to>
    <xdr:sp macro="" textlink="">
      <xdr:nvSpPr>
        <xdr:cNvPr id="1343" name="Oval 97100">
          <a:extLst>
            <a:ext uri="{FF2B5EF4-FFF2-40B4-BE49-F238E27FC236}">
              <a16:creationId xmlns:a16="http://schemas.microsoft.com/office/drawing/2014/main" id="{00000000-0008-0000-0000-00003F050000}"/>
            </a:ext>
          </a:extLst>
        </xdr:cNvPr>
        <xdr:cNvSpPr>
          <a:spLocks noChangeArrowheads="1"/>
        </xdr:cNvSpPr>
      </xdr:nvSpPr>
      <xdr:spPr bwMode="auto">
        <a:xfrm>
          <a:off x="11582400" y="325755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428625</xdr:colOff>
      <xdr:row>168</xdr:row>
      <xdr:rowOff>9525</xdr:rowOff>
    </xdr:from>
    <xdr:to>
      <xdr:col>17</xdr:col>
      <xdr:colOff>466725</xdr:colOff>
      <xdr:row>168</xdr:row>
      <xdr:rowOff>47625</xdr:rowOff>
    </xdr:to>
    <xdr:sp macro="" textlink="">
      <xdr:nvSpPr>
        <xdr:cNvPr id="1344" name="Oval 97100">
          <a:extLst>
            <a:ext uri="{FF2B5EF4-FFF2-40B4-BE49-F238E27FC236}">
              <a16:creationId xmlns:a16="http://schemas.microsoft.com/office/drawing/2014/main" id="{00000000-0008-0000-0000-000040050000}"/>
            </a:ext>
          </a:extLst>
        </xdr:cNvPr>
        <xdr:cNvSpPr>
          <a:spLocks noChangeArrowheads="1"/>
        </xdr:cNvSpPr>
      </xdr:nvSpPr>
      <xdr:spPr bwMode="auto">
        <a:xfrm>
          <a:off x="12182475" y="325755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390525</xdr:colOff>
      <xdr:row>168</xdr:row>
      <xdr:rowOff>152400</xdr:rowOff>
    </xdr:from>
    <xdr:to>
      <xdr:col>17</xdr:col>
      <xdr:colOff>552450</xdr:colOff>
      <xdr:row>170</xdr:row>
      <xdr:rowOff>133350</xdr:rowOff>
    </xdr:to>
    <xdr:sp macro="" textlink="">
      <xdr:nvSpPr>
        <xdr:cNvPr id="1345" name="Freeform 100964">
          <a:extLst>
            <a:ext uri="{FF2B5EF4-FFF2-40B4-BE49-F238E27FC236}">
              <a16:creationId xmlns:a16="http://schemas.microsoft.com/office/drawing/2014/main" id="{00000000-0008-0000-0000-000041050000}"/>
            </a:ext>
          </a:extLst>
        </xdr:cNvPr>
        <xdr:cNvSpPr>
          <a:spLocks/>
        </xdr:cNvSpPr>
      </xdr:nvSpPr>
      <xdr:spPr bwMode="auto">
        <a:xfrm>
          <a:off x="11306175" y="32718375"/>
          <a:ext cx="1000125" cy="361950"/>
        </a:xfrm>
        <a:custGeom>
          <a:avLst/>
          <a:gdLst>
            <a:gd name="T0" fmla="*/ 134 w 134"/>
            <a:gd name="T1" fmla="*/ 0 h 76"/>
            <a:gd name="T2" fmla="*/ 4 w 134"/>
            <a:gd name="T3" fmla="*/ 0 h 76"/>
            <a:gd name="T4" fmla="*/ 0 w 134"/>
            <a:gd name="T5" fmla="*/ 4 h 76"/>
            <a:gd name="T6" fmla="*/ 0 w 134"/>
            <a:gd name="T7" fmla="*/ 76 h 76"/>
          </a:gdLst>
          <a:ahLst/>
          <a:cxnLst>
            <a:cxn ang="0">
              <a:pos x="T0" y="T1"/>
            </a:cxn>
            <a:cxn ang="0">
              <a:pos x="T2" y="T3"/>
            </a:cxn>
            <a:cxn ang="0">
              <a:pos x="T4" y="T5"/>
            </a:cxn>
            <a:cxn ang="0">
              <a:pos x="T6" y="T7"/>
            </a:cxn>
          </a:cxnLst>
          <a:rect l="0" t="0" r="r" b="b"/>
          <a:pathLst>
            <a:path w="134" h="76">
              <a:moveTo>
                <a:pt x="134" y="0"/>
              </a:moveTo>
              <a:lnTo>
                <a:pt x="4" y="0"/>
              </a:lnTo>
              <a:lnTo>
                <a:pt x="0" y="4"/>
              </a:lnTo>
              <a:lnTo>
                <a:pt x="0" y="76"/>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16</xdr:col>
      <xdr:colOff>409575</xdr:colOff>
      <xdr:row>168</xdr:row>
      <xdr:rowOff>180975</xdr:rowOff>
    </xdr:from>
    <xdr:to>
      <xdr:col>16</xdr:col>
      <xdr:colOff>466725</xdr:colOff>
      <xdr:row>169</xdr:row>
      <xdr:rowOff>47625</xdr:rowOff>
    </xdr:to>
    <xdr:sp macro="" textlink="">
      <xdr:nvSpPr>
        <xdr:cNvPr id="1346" name="Oval 100965">
          <a:extLst>
            <a:ext uri="{FF2B5EF4-FFF2-40B4-BE49-F238E27FC236}">
              <a16:creationId xmlns:a16="http://schemas.microsoft.com/office/drawing/2014/main" id="{00000000-0008-0000-0000-000042050000}"/>
            </a:ext>
          </a:extLst>
        </xdr:cNvPr>
        <xdr:cNvSpPr>
          <a:spLocks noChangeArrowheads="1"/>
        </xdr:cNvSpPr>
      </xdr:nvSpPr>
      <xdr:spPr bwMode="auto">
        <a:xfrm>
          <a:off x="11325225" y="32746950"/>
          <a:ext cx="57150" cy="57150"/>
        </a:xfrm>
        <a:prstGeom prst="ellipse">
          <a:avLst/>
        </a:prstGeom>
        <a:solidFill>
          <a:srgbClr xmlns:mc="http://schemas.openxmlformats.org/markup-compatibility/2006" xmlns:a14="http://schemas.microsoft.com/office/drawing/2010/main" val="FFFFFF" mc:Ignorable="a14" a14:legacySpreadsheetColorIndex="65"/>
        </a:solidFill>
        <a:ln w="508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266700</xdr:colOff>
      <xdr:row>167</xdr:row>
      <xdr:rowOff>123825</xdr:rowOff>
    </xdr:from>
    <xdr:to>
      <xdr:col>17</xdr:col>
      <xdr:colOff>742950</xdr:colOff>
      <xdr:row>167</xdr:row>
      <xdr:rowOff>123825</xdr:rowOff>
    </xdr:to>
    <xdr:sp macro="" textlink="">
      <xdr:nvSpPr>
        <xdr:cNvPr id="1347" name="Line 100966">
          <a:extLst>
            <a:ext uri="{FF2B5EF4-FFF2-40B4-BE49-F238E27FC236}">
              <a16:creationId xmlns:a16="http://schemas.microsoft.com/office/drawing/2014/main" id="{00000000-0008-0000-0000-000043050000}"/>
            </a:ext>
          </a:extLst>
        </xdr:cNvPr>
        <xdr:cNvSpPr>
          <a:spLocks noChangeShapeType="1"/>
        </xdr:cNvSpPr>
      </xdr:nvSpPr>
      <xdr:spPr bwMode="auto">
        <a:xfrm flipH="1">
          <a:off x="11182350" y="32499300"/>
          <a:ext cx="1314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266700</xdr:colOff>
      <xdr:row>168</xdr:row>
      <xdr:rowOff>152400</xdr:rowOff>
    </xdr:from>
    <xdr:to>
      <xdr:col>16</xdr:col>
      <xdr:colOff>438150</xdr:colOff>
      <xdr:row>169</xdr:row>
      <xdr:rowOff>28575</xdr:rowOff>
    </xdr:to>
    <xdr:sp macro="" textlink="">
      <xdr:nvSpPr>
        <xdr:cNvPr id="1348" name="Line 100967">
          <a:extLst>
            <a:ext uri="{FF2B5EF4-FFF2-40B4-BE49-F238E27FC236}">
              <a16:creationId xmlns:a16="http://schemas.microsoft.com/office/drawing/2014/main" id="{00000000-0008-0000-0000-000044050000}"/>
            </a:ext>
          </a:extLst>
        </xdr:cNvPr>
        <xdr:cNvSpPr>
          <a:spLocks noChangeShapeType="1"/>
        </xdr:cNvSpPr>
      </xdr:nvSpPr>
      <xdr:spPr bwMode="auto">
        <a:xfrm>
          <a:off x="11182350" y="32718375"/>
          <a:ext cx="17145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167</xdr:row>
      <xdr:rowOff>123825</xdr:rowOff>
    </xdr:from>
    <xdr:to>
      <xdr:col>18</xdr:col>
      <xdr:colOff>142875</xdr:colOff>
      <xdr:row>167</xdr:row>
      <xdr:rowOff>123825</xdr:rowOff>
    </xdr:to>
    <xdr:sp macro="" textlink="">
      <xdr:nvSpPr>
        <xdr:cNvPr id="1349" name="Line 100968">
          <a:extLst>
            <a:ext uri="{FF2B5EF4-FFF2-40B4-BE49-F238E27FC236}">
              <a16:creationId xmlns:a16="http://schemas.microsoft.com/office/drawing/2014/main" id="{00000000-0008-0000-0000-000045050000}"/>
            </a:ext>
          </a:extLst>
        </xdr:cNvPr>
        <xdr:cNvSpPr>
          <a:spLocks noChangeShapeType="1"/>
        </xdr:cNvSpPr>
      </xdr:nvSpPr>
      <xdr:spPr bwMode="auto">
        <a:xfrm>
          <a:off x="12534900" y="3249930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57150</xdr:rowOff>
    </xdr:from>
    <xdr:to>
      <xdr:col>18</xdr:col>
      <xdr:colOff>123825</xdr:colOff>
      <xdr:row>168</xdr:row>
      <xdr:rowOff>57150</xdr:rowOff>
    </xdr:to>
    <xdr:sp macro="" textlink="">
      <xdr:nvSpPr>
        <xdr:cNvPr id="1350" name="Line 100969">
          <a:extLst>
            <a:ext uri="{FF2B5EF4-FFF2-40B4-BE49-F238E27FC236}">
              <a16:creationId xmlns:a16="http://schemas.microsoft.com/office/drawing/2014/main" id="{00000000-0008-0000-0000-000046050000}"/>
            </a:ext>
          </a:extLst>
        </xdr:cNvPr>
        <xdr:cNvSpPr>
          <a:spLocks noChangeShapeType="1"/>
        </xdr:cNvSpPr>
      </xdr:nvSpPr>
      <xdr:spPr bwMode="auto">
        <a:xfrm>
          <a:off x="12534900" y="32623125"/>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9525</xdr:rowOff>
    </xdr:from>
    <xdr:to>
      <xdr:col>18</xdr:col>
      <xdr:colOff>133350</xdr:colOff>
      <xdr:row>168</xdr:row>
      <xdr:rowOff>9525</xdr:rowOff>
    </xdr:to>
    <xdr:sp macro="" textlink="">
      <xdr:nvSpPr>
        <xdr:cNvPr id="1351" name="Line 100970">
          <a:extLst>
            <a:ext uri="{FF2B5EF4-FFF2-40B4-BE49-F238E27FC236}">
              <a16:creationId xmlns:a16="http://schemas.microsoft.com/office/drawing/2014/main" id="{00000000-0008-0000-0000-000047050000}"/>
            </a:ext>
          </a:extLst>
        </xdr:cNvPr>
        <xdr:cNvSpPr>
          <a:spLocks noChangeShapeType="1"/>
        </xdr:cNvSpPr>
      </xdr:nvSpPr>
      <xdr:spPr bwMode="auto">
        <a:xfrm>
          <a:off x="12534900" y="3257550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819150</xdr:colOff>
      <xdr:row>168</xdr:row>
      <xdr:rowOff>28575</xdr:rowOff>
    </xdr:from>
    <xdr:to>
      <xdr:col>17</xdr:col>
      <xdr:colOff>819150</xdr:colOff>
      <xdr:row>172</xdr:row>
      <xdr:rowOff>133350</xdr:rowOff>
    </xdr:to>
    <xdr:sp macro="" textlink="">
      <xdr:nvSpPr>
        <xdr:cNvPr id="1352" name="Line 100972">
          <a:extLst>
            <a:ext uri="{FF2B5EF4-FFF2-40B4-BE49-F238E27FC236}">
              <a16:creationId xmlns:a16="http://schemas.microsoft.com/office/drawing/2014/main" id="{00000000-0008-0000-0000-000048050000}"/>
            </a:ext>
          </a:extLst>
        </xdr:cNvPr>
        <xdr:cNvSpPr>
          <a:spLocks noChangeShapeType="1"/>
        </xdr:cNvSpPr>
      </xdr:nvSpPr>
      <xdr:spPr bwMode="auto">
        <a:xfrm>
          <a:off x="12573000" y="32594550"/>
          <a:ext cx="0" cy="866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114300</xdr:rowOff>
    </xdr:from>
    <xdr:to>
      <xdr:col>18</xdr:col>
      <xdr:colOff>9525</xdr:colOff>
      <xdr:row>168</xdr:row>
      <xdr:rowOff>171450</xdr:rowOff>
    </xdr:to>
    <xdr:sp macro="" textlink="">
      <xdr:nvSpPr>
        <xdr:cNvPr id="1353" name="Line 100974">
          <a:extLst>
            <a:ext uri="{FF2B5EF4-FFF2-40B4-BE49-F238E27FC236}">
              <a16:creationId xmlns:a16="http://schemas.microsoft.com/office/drawing/2014/main" id="{00000000-0008-0000-0000-000049050000}"/>
            </a:ext>
          </a:extLst>
        </xdr:cNvPr>
        <xdr:cNvSpPr>
          <a:spLocks noChangeShapeType="1"/>
        </xdr:cNvSpPr>
      </xdr:nvSpPr>
      <xdr:spPr bwMode="auto">
        <a:xfrm flipH="1">
          <a:off x="12534900" y="3268027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523875</xdr:colOff>
      <xdr:row>169</xdr:row>
      <xdr:rowOff>76200</xdr:rowOff>
    </xdr:from>
    <xdr:to>
      <xdr:col>17</xdr:col>
      <xdr:colOff>28575</xdr:colOff>
      <xdr:row>169</xdr:row>
      <xdr:rowOff>76200</xdr:rowOff>
    </xdr:to>
    <xdr:sp macro="" textlink="">
      <xdr:nvSpPr>
        <xdr:cNvPr id="1354" name="Line 100975">
          <a:extLst>
            <a:ext uri="{FF2B5EF4-FFF2-40B4-BE49-F238E27FC236}">
              <a16:creationId xmlns:a16="http://schemas.microsoft.com/office/drawing/2014/main" id="{00000000-0008-0000-0000-00004A050000}"/>
            </a:ext>
          </a:extLst>
        </xdr:cNvPr>
        <xdr:cNvSpPr>
          <a:spLocks noChangeShapeType="1"/>
        </xdr:cNvSpPr>
      </xdr:nvSpPr>
      <xdr:spPr bwMode="auto">
        <a:xfrm>
          <a:off x="11439525" y="32832675"/>
          <a:ext cx="3429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914400</xdr:colOff>
      <xdr:row>167</xdr:row>
      <xdr:rowOff>28575</xdr:rowOff>
    </xdr:from>
    <xdr:to>
      <xdr:col>16</xdr:col>
      <xdr:colOff>914400</xdr:colOff>
      <xdr:row>169</xdr:row>
      <xdr:rowOff>123825</xdr:rowOff>
    </xdr:to>
    <xdr:sp macro="" textlink="">
      <xdr:nvSpPr>
        <xdr:cNvPr id="1355" name="Line 100976">
          <a:extLst>
            <a:ext uri="{FF2B5EF4-FFF2-40B4-BE49-F238E27FC236}">
              <a16:creationId xmlns:a16="http://schemas.microsoft.com/office/drawing/2014/main" id="{00000000-0008-0000-0000-00004B050000}"/>
            </a:ext>
          </a:extLst>
        </xdr:cNvPr>
        <xdr:cNvSpPr>
          <a:spLocks noChangeShapeType="1"/>
        </xdr:cNvSpPr>
      </xdr:nvSpPr>
      <xdr:spPr bwMode="auto">
        <a:xfrm>
          <a:off x="11753850" y="3240405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857250</xdr:colOff>
      <xdr:row>167</xdr:row>
      <xdr:rowOff>76200</xdr:rowOff>
    </xdr:from>
    <xdr:to>
      <xdr:col>16</xdr:col>
      <xdr:colOff>838200</xdr:colOff>
      <xdr:row>167</xdr:row>
      <xdr:rowOff>161925</xdr:rowOff>
    </xdr:to>
    <xdr:sp macro="" textlink="">
      <xdr:nvSpPr>
        <xdr:cNvPr id="1356" name="Line 100977">
          <a:extLst>
            <a:ext uri="{FF2B5EF4-FFF2-40B4-BE49-F238E27FC236}">
              <a16:creationId xmlns:a16="http://schemas.microsoft.com/office/drawing/2014/main" id="{00000000-0008-0000-0000-00004C050000}"/>
            </a:ext>
          </a:extLst>
        </xdr:cNvPr>
        <xdr:cNvSpPr>
          <a:spLocks noChangeShapeType="1"/>
        </xdr:cNvSpPr>
      </xdr:nvSpPr>
      <xdr:spPr bwMode="auto">
        <a:xfrm flipH="1">
          <a:off x="11753850" y="32451675"/>
          <a:ext cx="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866775</xdr:colOff>
      <xdr:row>169</xdr:row>
      <xdr:rowOff>38100</xdr:rowOff>
    </xdr:from>
    <xdr:to>
      <xdr:col>16</xdr:col>
      <xdr:colOff>838200</xdr:colOff>
      <xdr:row>169</xdr:row>
      <xdr:rowOff>123825</xdr:rowOff>
    </xdr:to>
    <xdr:sp macro="" textlink="">
      <xdr:nvSpPr>
        <xdr:cNvPr id="1357" name="Line 100978">
          <a:extLst>
            <a:ext uri="{FF2B5EF4-FFF2-40B4-BE49-F238E27FC236}">
              <a16:creationId xmlns:a16="http://schemas.microsoft.com/office/drawing/2014/main" id="{00000000-0008-0000-0000-00004D050000}"/>
            </a:ext>
          </a:extLst>
        </xdr:cNvPr>
        <xdr:cNvSpPr>
          <a:spLocks noChangeShapeType="1"/>
        </xdr:cNvSpPr>
      </xdr:nvSpPr>
      <xdr:spPr bwMode="auto">
        <a:xfrm flipH="1">
          <a:off x="11753850" y="32794575"/>
          <a:ext cx="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266700</xdr:colOff>
      <xdr:row>173</xdr:row>
      <xdr:rowOff>66675</xdr:rowOff>
    </xdr:from>
    <xdr:to>
      <xdr:col>17</xdr:col>
      <xdr:colOff>742950</xdr:colOff>
      <xdr:row>173</xdr:row>
      <xdr:rowOff>66675</xdr:rowOff>
    </xdr:to>
    <xdr:sp macro="" textlink="">
      <xdr:nvSpPr>
        <xdr:cNvPr id="1358" name="Line 100979">
          <a:extLst>
            <a:ext uri="{FF2B5EF4-FFF2-40B4-BE49-F238E27FC236}">
              <a16:creationId xmlns:a16="http://schemas.microsoft.com/office/drawing/2014/main" id="{00000000-0008-0000-0000-00004E050000}"/>
            </a:ext>
          </a:extLst>
        </xdr:cNvPr>
        <xdr:cNvSpPr>
          <a:spLocks noChangeShapeType="1"/>
        </xdr:cNvSpPr>
      </xdr:nvSpPr>
      <xdr:spPr bwMode="auto">
        <a:xfrm>
          <a:off x="11182350" y="33585150"/>
          <a:ext cx="1314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476250</xdr:colOff>
      <xdr:row>172</xdr:row>
      <xdr:rowOff>114300</xdr:rowOff>
    </xdr:from>
    <xdr:to>
      <xdr:col>17</xdr:col>
      <xdr:colOff>733425</xdr:colOff>
      <xdr:row>172</xdr:row>
      <xdr:rowOff>114300</xdr:rowOff>
    </xdr:to>
    <xdr:sp macro="" textlink="">
      <xdr:nvSpPr>
        <xdr:cNvPr id="1359" name="Line 100980">
          <a:extLst>
            <a:ext uri="{FF2B5EF4-FFF2-40B4-BE49-F238E27FC236}">
              <a16:creationId xmlns:a16="http://schemas.microsoft.com/office/drawing/2014/main" id="{00000000-0008-0000-0000-00004F050000}"/>
            </a:ext>
          </a:extLst>
        </xdr:cNvPr>
        <xdr:cNvSpPr>
          <a:spLocks noChangeShapeType="1"/>
        </xdr:cNvSpPr>
      </xdr:nvSpPr>
      <xdr:spPr bwMode="auto">
        <a:xfrm>
          <a:off x="11391900" y="33442275"/>
          <a:ext cx="1095375"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676275</xdr:colOff>
      <xdr:row>172</xdr:row>
      <xdr:rowOff>142875</xdr:rowOff>
    </xdr:from>
    <xdr:to>
      <xdr:col>16</xdr:col>
      <xdr:colOff>714375</xdr:colOff>
      <xdr:row>172</xdr:row>
      <xdr:rowOff>180975</xdr:rowOff>
    </xdr:to>
    <xdr:sp macro="" textlink="">
      <xdr:nvSpPr>
        <xdr:cNvPr id="1360" name="Oval 97100">
          <a:extLst>
            <a:ext uri="{FF2B5EF4-FFF2-40B4-BE49-F238E27FC236}">
              <a16:creationId xmlns:a16="http://schemas.microsoft.com/office/drawing/2014/main" id="{00000000-0008-0000-0000-000050050000}"/>
            </a:ext>
          </a:extLst>
        </xdr:cNvPr>
        <xdr:cNvSpPr>
          <a:spLocks noChangeArrowheads="1"/>
        </xdr:cNvSpPr>
      </xdr:nvSpPr>
      <xdr:spPr bwMode="auto">
        <a:xfrm>
          <a:off x="11591925" y="334708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419100</xdr:colOff>
      <xdr:row>172</xdr:row>
      <xdr:rowOff>142875</xdr:rowOff>
    </xdr:from>
    <xdr:to>
      <xdr:col>17</xdr:col>
      <xdr:colOff>457200</xdr:colOff>
      <xdr:row>172</xdr:row>
      <xdr:rowOff>180975</xdr:rowOff>
    </xdr:to>
    <xdr:sp macro="" textlink="">
      <xdr:nvSpPr>
        <xdr:cNvPr id="1361" name="Oval 97100">
          <a:extLst>
            <a:ext uri="{FF2B5EF4-FFF2-40B4-BE49-F238E27FC236}">
              <a16:creationId xmlns:a16="http://schemas.microsoft.com/office/drawing/2014/main" id="{00000000-0008-0000-0000-000051050000}"/>
            </a:ext>
          </a:extLst>
        </xdr:cNvPr>
        <xdr:cNvSpPr>
          <a:spLocks noChangeArrowheads="1"/>
        </xdr:cNvSpPr>
      </xdr:nvSpPr>
      <xdr:spPr bwMode="auto">
        <a:xfrm>
          <a:off x="12172950" y="334708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16</xdr:col>
      <xdr:colOff>400050</xdr:colOff>
      <xdr:row>171</xdr:row>
      <xdr:rowOff>85725</xdr:rowOff>
    </xdr:from>
    <xdr:to>
      <xdr:col>17</xdr:col>
      <xdr:colOff>571500</xdr:colOff>
      <xdr:row>172</xdr:row>
      <xdr:rowOff>114300</xdr:rowOff>
    </xdr:to>
    <xdr:sp macro="" textlink="">
      <xdr:nvSpPr>
        <xdr:cNvPr id="1362" name="Freeform 100983">
          <a:extLst>
            <a:ext uri="{FF2B5EF4-FFF2-40B4-BE49-F238E27FC236}">
              <a16:creationId xmlns:a16="http://schemas.microsoft.com/office/drawing/2014/main" id="{00000000-0008-0000-0000-000052050000}"/>
            </a:ext>
          </a:extLst>
        </xdr:cNvPr>
        <xdr:cNvSpPr>
          <a:spLocks/>
        </xdr:cNvSpPr>
      </xdr:nvSpPr>
      <xdr:spPr bwMode="auto">
        <a:xfrm>
          <a:off x="11315700" y="33223200"/>
          <a:ext cx="1009650" cy="219075"/>
        </a:xfrm>
        <a:custGeom>
          <a:avLst/>
          <a:gdLst>
            <a:gd name="T0" fmla="*/ 0 w 133"/>
            <a:gd name="T1" fmla="*/ 0 h 18"/>
            <a:gd name="T2" fmla="*/ 0 w 133"/>
            <a:gd name="T3" fmla="*/ 15 h 18"/>
            <a:gd name="T4" fmla="*/ 2 w 133"/>
            <a:gd name="T5" fmla="*/ 18 h 18"/>
            <a:gd name="T6" fmla="*/ 133 w 133"/>
            <a:gd name="T7" fmla="*/ 18 h 18"/>
          </a:gdLst>
          <a:ahLst/>
          <a:cxnLst>
            <a:cxn ang="0">
              <a:pos x="T0" y="T1"/>
            </a:cxn>
            <a:cxn ang="0">
              <a:pos x="T2" y="T3"/>
            </a:cxn>
            <a:cxn ang="0">
              <a:pos x="T4" y="T5"/>
            </a:cxn>
            <a:cxn ang="0">
              <a:pos x="T6" y="T7"/>
            </a:cxn>
          </a:cxnLst>
          <a:rect l="0" t="0" r="r" b="b"/>
          <a:pathLst>
            <a:path w="133" h="18">
              <a:moveTo>
                <a:pt x="0" y="0"/>
              </a:moveTo>
              <a:lnTo>
                <a:pt x="0" y="15"/>
              </a:lnTo>
              <a:lnTo>
                <a:pt x="2" y="18"/>
              </a:lnTo>
              <a:lnTo>
                <a:pt x="133" y="18"/>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16</xdr:col>
      <xdr:colOff>428625</xdr:colOff>
      <xdr:row>172</xdr:row>
      <xdr:rowOff>47625</xdr:rowOff>
    </xdr:from>
    <xdr:to>
      <xdr:col>16</xdr:col>
      <xdr:colOff>466725</xdr:colOff>
      <xdr:row>172</xdr:row>
      <xdr:rowOff>85725</xdr:rowOff>
    </xdr:to>
    <xdr:sp macro="" textlink="">
      <xdr:nvSpPr>
        <xdr:cNvPr id="1363" name="Oval 97100">
          <a:extLst>
            <a:ext uri="{FF2B5EF4-FFF2-40B4-BE49-F238E27FC236}">
              <a16:creationId xmlns:a16="http://schemas.microsoft.com/office/drawing/2014/main" id="{00000000-0008-0000-0000-000053050000}"/>
            </a:ext>
          </a:extLst>
        </xdr:cNvPr>
        <xdr:cNvSpPr>
          <a:spLocks noChangeArrowheads="1"/>
        </xdr:cNvSpPr>
      </xdr:nvSpPr>
      <xdr:spPr bwMode="auto">
        <a:xfrm>
          <a:off x="11344275" y="333756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771525</xdr:colOff>
      <xdr:row>173</xdr:row>
      <xdr:rowOff>66675</xdr:rowOff>
    </xdr:from>
    <xdr:to>
      <xdr:col>18</xdr:col>
      <xdr:colOff>142875</xdr:colOff>
      <xdr:row>173</xdr:row>
      <xdr:rowOff>66675</xdr:rowOff>
    </xdr:to>
    <xdr:sp macro="" textlink="">
      <xdr:nvSpPr>
        <xdr:cNvPr id="1364" name="Line 100985">
          <a:extLst>
            <a:ext uri="{FF2B5EF4-FFF2-40B4-BE49-F238E27FC236}">
              <a16:creationId xmlns:a16="http://schemas.microsoft.com/office/drawing/2014/main" id="{00000000-0008-0000-0000-000054050000}"/>
            </a:ext>
          </a:extLst>
        </xdr:cNvPr>
        <xdr:cNvSpPr>
          <a:spLocks noChangeShapeType="1"/>
        </xdr:cNvSpPr>
      </xdr:nvSpPr>
      <xdr:spPr bwMode="auto">
        <a:xfrm>
          <a:off x="12525375" y="335851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600075</xdr:colOff>
      <xdr:row>172</xdr:row>
      <xdr:rowOff>180975</xdr:rowOff>
    </xdr:from>
    <xdr:to>
      <xdr:col>18</xdr:col>
      <xdr:colOff>142875</xdr:colOff>
      <xdr:row>172</xdr:row>
      <xdr:rowOff>180975</xdr:rowOff>
    </xdr:to>
    <xdr:sp macro="" textlink="">
      <xdr:nvSpPr>
        <xdr:cNvPr id="1365" name="Line 100986">
          <a:extLst>
            <a:ext uri="{FF2B5EF4-FFF2-40B4-BE49-F238E27FC236}">
              <a16:creationId xmlns:a16="http://schemas.microsoft.com/office/drawing/2014/main" id="{00000000-0008-0000-0000-000055050000}"/>
            </a:ext>
          </a:extLst>
        </xdr:cNvPr>
        <xdr:cNvSpPr>
          <a:spLocks noChangeShapeType="1"/>
        </xdr:cNvSpPr>
      </xdr:nvSpPr>
      <xdr:spPr bwMode="auto">
        <a:xfrm>
          <a:off x="12353925" y="33508950"/>
          <a:ext cx="381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752475</xdr:colOff>
      <xdr:row>172</xdr:row>
      <xdr:rowOff>123825</xdr:rowOff>
    </xdr:from>
    <xdr:to>
      <xdr:col>18</xdr:col>
      <xdr:colOff>133350</xdr:colOff>
      <xdr:row>172</xdr:row>
      <xdr:rowOff>123825</xdr:rowOff>
    </xdr:to>
    <xdr:sp macro="" textlink="">
      <xdr:nvSpPr>
        <xdr:cNvPr id="1366" name="Line 100987">
          <a:extLst>
            <a:ext uri="{FF2B5EF4-FFF2-40B4-BE49-F238E27FC236}">
              <a16:creationId xmlns:a16="http://schemas.microsoft.com/office/drawing/2014/main" id="{00000000-0008-0000-0000-000056050000}"/>
            </a:ext>
          </a:extLst>
        </xdr:cNvPr>
        <xdr:cNvSpPr>
          <a:spLocks noChangeShapeType="1"/>
        </xdr:cNvSpPr>
      </xdr:nvSpPr>
      <xdr:spPr bwMode="auto">
        <a:xfrm>
          <a:off x="12506325" y="33451800"/>
          <a:ext cx="219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209550</xdr:colOff>
      <xdr:row>169</xdr:row>
      <xdr:rowOff>133350</xdr:rowOff>
    </xdr:from>
    <xdr:to>
      <xdr:col>16</xdr:col>
      <xdr:colOff>409575</xdr:colOff>
      <xdr:row>169</xdr:row>
      <xdr:rowOff>152400</xdr:rowOff>
    </xdr:to>
    <xdr:sp macro="" textlink="">
      <xdr:nvSpPr>
        <xdr:cNvPr id="1367" name="Line 100989">
          <a:extLst>
            <a:ext uri="{FF2B5EF4-FFF2-40B4-BE49-F238E27FC236}">
              <a16:creationId xmlns:a16="http://schemas.microsoft.com/office/drawing/2014/main" id="{00000000-0008-0000-0000-000057050000}"/>
            </a:ext>
          </a:extLst>
        </xdr:cNvPr>
        <xdr:cNvSpPr>
          <a:spLocks noChangeShapeType="1"/>
        </xdr:cNvSpPr>
      </xdr:nvSpPr>
      <xdr:spPr bwMode="auto">
        <a:xfrm>
          <a:off x="11125200" y="32889825"/>
          <a:ext cx="20002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523875</xdr:colOff>
      <xdr:row>169</xdr:row>
      <xdr:rowOff>19050</xdr:rowOff>
    </xdr:from>
    <xdr:to>
      <xdr:col>16</xdr:col>
      <xdr:colOff>657225</xdr:colOff>
      <xdr:row>169</xdr:row>
      <xdr:rowOff>152400</xdr:rowOff>
    </xdr:to>
    <xdr:sp macro="" textlink="">
      <xdr:nvSpPr>
        <xdr:cNvPr id="1368" name="Line 100990">
          <a:extLst>
            <a:ext uri="{FF2B5EF4-FFF2-40B4-BE49-F238E27FC236}">
              <a16:creationId xmlns:a16="http://schemas.microsoft.com/office/drawing/2014/main" id="{00000000-0008-0000-0000-000058050000}"/>
            </a:ext>
          </a:extLst>
        </xdr:cNvPr>
        <xdr:cNvSpPr>
          <a:spLocks noChangeShapeType="1"/>
        </xdr:cNvSpPr>
      </xdr:nvSpPr>
      <xdr:spPr bwMode="auto">
        <a:xfrm>
          <a:off x="11439525" y="32775525"/>
          <a:ext cx="1333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447675</xdr:colOff>
      <xdr:row>169</xdr:row>
      <xdr:rowOff>104775</xdr:rowOff>
    </xdr:from>
    <xdr:to>
      <xdr:col>16</xdr:col>
      <xdr:colOff>561975</xdr:colOff>
      <xdr:row>170</xdr:row>
      <xdr:rowOff>28575</xdr:rowOff>
    </xdr:to>
    <xdr:sp macro="" textlink="">
      <xdr:nvSpPr>
        <xdr:cNvPr id="1369" name="Line 100991">
          <a:extLst>
            <a:ext uri="{FF2B5EF4-FFF2-40B4-BE49-F238E27FC236}">
              <a16:creationId xmlns:a16="http://schemas.microsoft.com/office/drawing/2014/main" id="{00000000-0008-0000-0000-000059050000}"/>
            </a:ext>
          </a:extLst>
        </xdr:cNvPr>
        <xdr:cNvSpPr>
          <a:spLocks noChangeShapeType="1"/>
        </xdr:cNvSpPr>
      </xdr:nvSpPr>
      <xdr:spPr bwMode="auto">
        <a:xfrm>
          <a:off x="11363325" y="328612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466725</xdr:colOff>
      <xdr:row>169</xdr:row>
      <xdr:rowOff>104775</xdr:rowOff>
    </xdr:from>
    <xdr:to>
      <xdr:col>16</xdr:col>
      <xdr:colOff>647700</xdr:colOff>
      <xdr:row>170</xdr:row>
      <xdr:rowOff>95250</xdr:rowOff>
    </xdr:to>
    <xdr:sp macro="" textlink="">
      <xdr:nvSpPr>
        <xdr:cNvPr id="1370" name="Line 100992">
          <a:extLst>
            <a:ext uri="{FF2B5EF4-FFF2-40B4-BE49-F238E27FC236}">
              <a16:creationId xmlns:a16="http://schemas.microsoft.com/office/drawing/2014/main" id="{00000000-0008-0000-0000-00005A050000}"/>
            </a:ext>
          </a:extLst>
        </xdr:cNvPr>
        <xdr:cNvSpPr>
          <a:spLocks noChangeShapeType="1"/>
        </xdr:cNvSpPr>
      </xdr:nvSpPr>
      <xdr:spPr bwMode="auto">
        <a:xfrm flipH="1">
          <a:off x="11382375" y="32861250"/>
          <a:ext cx="180975"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333375</xdr:colOff>
      <xdr:row>170</xdr:row>
      <xdr:rowOff>95250</xdr:rowOff>
    </xdr:from>
    <xdr:to>
      <xdr:col>16</xdr:col>
      <xdr:colOff>466725</xdr:colOff>
      <xdr:row>170</xdr:row>
      <xdr:rowOff>95250</xdr:rowOff>
    </xdr:to>
    <xdr:sp macro="" textlink="">
      <xdr:nvSpPr>
        <xdr:cNvPr id="1371" name="Line 100993">
          <a:extLst>
            <a:ext uri="{FF2B5EF4-FFF2-40B4-BE49-F238E27FC236}">
              <a16:creationId xmlns:a16="http://schemas.microsoft.com/office/drawing/2014/main" id="{00000000-0008-0000-0000-00005B050000}"/>
            </a:ext>
          </a:extLst>
        </xdr:cNvPr>
        <xdr:cNvSpPr>
          <a:spLocks noChangeShapeType="1"/>
        </xdr:cNvSpPr>
      </xdr:nvSpPr>
      <xdr:spPr bwMode="auto">
        <a:xfrm flipH="1">
          <a:off x="11249025" y="33042225"/>
          <a:ext cx="133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600075</xdr:colOff>
      <xdr:row>169</xdr:row>
      <xdr:rowOff>123825</xdr:rowOff>
    </xdr:from>
    <xdr:to>
      <xdr:col>16</xdr:col>
      <xdr:colOff>657225</xdr:colOff>
      <xdr:row>169</xdr:row>
      <xdr:rowOff>123825</xdr:rowOff>
    </xdr:to>
    <xdr:sp macro="" textlink="">
      <xdr:nvSpPr>
        <xdr:cNvPr id="1372" name="Line 100994">
          <a:extLst>
            <a:ext uri="{FF2B5EF4-FFF2-40B4-BE49-F238E27FC236}">
              <a16:creationId xmlns:a16="http://schemas.microsoft.com/office/drawing/2014/main" id="{00000000-0008-0000-0000-00005C050000}"/>
            </a:ext>
          </a:extLst>
        </xdr:cNvPr>
        <xdr:cNvSpPr>
          <a:spLocks noChangeShapeType="1"/>
        </xdr:cNvSpPr>
      </xdr:nvSpPr>
      <xdr:spPr bwMode="auto">
        <a:xfrm flipH="1">
          <a:off x="11515725" y="32880300"/>
          <a:ext cx="571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504825</xdr:colOff>
      <xdr:row>170</xdr:row>
      <xdr:rowOff>9525</xdr:rowOff>
    </xdr:from>
    <xdr:to>
      <xdr:col>16</xdr:col>
      <xdr:colOff>581025</xdr:colOff>
      <xdr:row>170</xdr:row>
      <xdr:rowOff>19050</xdr:rowOff>
    </xdr:to>
    <xdr:sp macro="" textlink="">
      <xdr:nvSpPr>
        <xdr:cNvPr id="1373" name="Line 100995">
          <a:extLst>
            <a:ext uri="{FF2B5EF4-FFF2-40B4-BE49-F238E27FC236}">
              <a16:creationId xmlns:a16="http://schemas.microsoft.com/office/drawing/2014/main" id="{00000000-0008-0000-0000-00005D050000}"/>
            </a:ext>
          </a:extLst>
        </xdr:cNvPr>
        <xdr:cNvSpPr>
          <a:spLocks noChangeShapeType="1"/>
        </xdr:cNvSpPr>
      </xdr:nvSpPr>
      <xdr:spPr bwMode="auto">
        <a:xfrm flipH="1" flipV="1">
          <a:off x="11420475" y="32956500"/>
          <a:ext cx="76200" cy="9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381000</xdr:colOff>
      <xdr:row>170</xdr:row>
      <xdr:rowOff>180975</xdr:rowOff>
    </xdr:from>
    <xdr:to>
      <xdr:col>16</xdr:col>
      <xdr:colOff>381000</xdr:colOff>
      <xdr:row>171</xdr:row>
      <xdr:rowOff>66675</xdr:rowOff>
    </xdr:to>
    <xdr:sp macro="" textlink="">
      <xdr:nvSpPr>
        <xdr:cNvPr id="1374" name="Line 100996">
          <a:extLst>
            <a:ext uri="{FF2B5EF4-FFF2-40B4-BE49-F238E27FC236}">
              <a16:creationId xmlns:a16="http://schemas.microsoft.com/office/drawing/2014/main" id="{00000000-0008-0000-0000-00005E050000}"/>
            </a:ext>
          </a:extLst>
        </xdr:cNvPr>
        <xdr:cNvSpPr>
          <a:spLocks noChangeShapeType="1"/>
        </xdr:cNvSpPr>
      </xdr:nvSpPr>
      <xdr:spPr bwMode="auto">
        <a:xfrm>
          <a:off x="11296650" y="331279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409575</xdr:colOff>
      <xdr:row>170</xdr:row>
      <xdr:rowOff>180975</xdr:rowOff>
    </xdr:from>
    <xdr:to>
      <xdr:col>16</xdr:col>
      <xdr:colOff>409575</xdr:colOff>
      <xdr:row>171</xdr:row>
      <xdr:rowOff>66675</xdr:rowOff>
    </xdr:to>
    <xdr:sp macro="" textlink="">
      <xdr:nvSpPr>
        <xdr:cNvPr id="1375" name="Line 100997">
          <a:extLst>
            <a:ext uri="{FF2B5EF4-FFF2-40B4-BE49-F238E27FC236}">
              <a16:creationId xmlns:a16="http://schemas.microsoft.com/office/drawing/2014/main" id="{00000000-0008-0000-0000-00005F050000}"/>
            </a:ext>
          </a:extLst>
        </xdr:cNvPr>
        <xdr:cNvSpPr>
          <a:spLocks noChangeShapeType="1"/>
        </xdr:cNvSpPr>
      </xdr:nvSpPr>
      <xdr:spPr bwMode="auto">
        <a:xfrm>
          <a:off x="11325225" y="331279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361950</xdr:colOff>
      <xdr:row>171</xdr:row>
      <xdr:rowOff>28575</xdr:rowOff>
    </xdr:from>
    <xdr:to>
      <xdr:col>16</xdr:col>
      <xdr:colOff>504825</xdr:colOff>
      <xdr:row>171</xdr:row>
      <xdr:rowOff>28575</xdr:rowOff>
    </xdr:to>
    <xdr:sp macro="" textlink="">
      <xdr:nvSpPr>
        <xdr:cNvPr id="1376" name="Line 100998">
          <a:extLst>
            <a:ext uri="{FF2B5EF4-FFF2-40B4-BE49-F238E27FC236}">
              <a16:creationId xmlns:a16="http://schemas.microsoft.com/office/drawing/2014/main" id="{00000000-0008-0000-0000-000060050000}"/>
            </a:ext>
          </a:extLst>
        </xdr:cNvPr>
        <xdr:cNvSpPr>
          <a:spLocks noChangeShapeType="1"/>
        </xdr:cNvSpPr>
      </xdr:nvSpPr>
      <xdr:spPr bwMode="auto">
        <a:xfrm>
          <a:off x="11277600" y="33166050"/>
          <a:ext cx="142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381000</xdr:colOff>
      <xdr:row>171</xdr:row>
      <xdr:rowOff>0</xdr:rowOff>
    </xdr:from>
    <xdr:to>
      <xdr:col>16</xdr:col>
      <xdr:colOff>438150</xdr:colOff>
      <xdr:row>171</xdr:row>
      <xdr:rowOff>57150</xdr:rowOff>
    </xdr:to>
    <xdr:sp macro="" textlink="">
      <xdr:nvSpPr>
        <xdr:cNvPr id="1377" name="Line 100999">
          <a:extLst>
            <a:ext uri="{FF2B5EF4-FFF2-40B4-BE49-F238E27FC236}">
              <a16:creationId xmlns:a16="http://schemas.microsoft.com/office/drawing/2014/main" id="{00000000-0008-0000-0000-000061050000}"/>
            </a:ext>
          </a:extLst>
        </xdr:cNvPr>
        <xdr:cNvSpPr>
          <a:spLocks noChangeShapeType="1"/>
        </xdr:cNvSpPr>
      </xdr:nvSpPr>
      <xdr:spPr bwMode="auto">
        <a:xfrm flipH="1">
          <a:off x="11296650" y="331374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352425</xdr:colOff>
      <xdr:row>171</xdr:row>
      <xdr:rowOff>0</xdr:rowOff>
    </xdr:from>
    <xdr:to>
      <xdr:col>16</xdr:col>
      <xdr:colOff>409575</xdr:colOff>
      <xdr:row>171</xdr:row>
      <xdr:rowOff>57150</xdr:rowOff>
    </xdr:to>
    <xdr:sp macro="" textlink="">
      <xdr:nvSpPr>
        <xdr:cNvPr id="1378" name="Line 101000">
          <a:extLst>
            <a:ext uri="{FF2B5EF4-FFF2-40B4-BE49-F238E27FC236}">
              <a16:creationId xmlns:a16="http://schemas.microsoft.com/office/drawing/2014/main" id="{00000000-0008-0000-0000-000062050000}"/>
            </a:ext>
          </a:extLst>
        </xdr:cNvPr>
        <xdr:cNvSpPr>
          <a:spLocks noChangeShapeType="1"/>
        </xdr:cNvSpPr>
      </xdr:nvSpPr>
      <xdr:spPr bwMode="auto">
        <a:xfrm flipH="1">
          <a:off x="11268075" y="331374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85725</xdr:colOff>
      <xdr:row>167</xdr:row>
      <xdr:rowOff>76201</xdr:rowOff>
    </xdr:from>
    <xdr:to>
      <xdr:col>18</xdr:col>
      <xdr:colOff>85725</xdr:colOff>
      <xdr:row>168</xdr:row>
      <xdr:rowOff>95251</xdr:rowOff>
    </xdr:to>
    <xdr:sp macro="" textlink="">
      <xdr:nvSpPr>
        <xdr:cNvPr id="1379" name="Line 101006">
          <a:extLst>
            <a:ext uri="{FF2B5EF4-FFF2-40B4-BE49-F238E27FC236}">
              <a16:creationId xmlns:a16="http://schemas.microsoft.com/office/drawing/2014/main" id="{00000000-0008-0000-0000-000063050000}"/>
            </a:ext>
          </a:extLst>
        </xdr:cNvPr>
        <xdr:cNvSpPr>
          <a:spLocks noChangeShapeType="1"/>
        </xdr:cNvSpPr>
      </xdr:nvSpPr>
      <xdr:spPr bwMode="auto">
        <a:xfrm>
          <a:off x="12763500" y="32451676"/>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167</xdr:row>
      <xdr:rowOff>95250</xdr:rowOff>
    </xdr:from>
    <xdr:to>
      <xdr:col>18</xdr:col>
      <xdr:colOff>114300</xdr:colOff>
      <xdr:row>167</xdr:row>
      <xdr:rowOff>152400</xdr:rowOff>
    </xdr:to>
    <xdr:sp macro="" textlink="">
      <xdr:nvSpPr>
        <xdr:cNvPr id="1380" name="Line 101007">
          <a:extLst>
            <a:ext uri="{FF2B5EF4-FFF2-40B4-BE49-F238E27FC236}">
              <a16:creationId xmlns:a16="http://schemas.microsoft.com/office/drawing/2014/main" id="{00000000-0008-0000-0000-000064050000}"/>
            </a:ext>
          </a:extLst>
        </xdr:cNvPr>
        <xdr:cNvSpPr>
          <a:spLocks noChangeShapeType="1"/>
        </xdr:cNvSpPr>
      </xdr:nvSpPr>
      <xdr:spPr bwMode="auto">
        <a:xfrm flipH="1">
          <a:off x="12649200" y="3247072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47625</xdr:colOff>
      <xdr:row>168</xdr:row>
      <xdr:rowOff>38100</xdr:rowOff>
    </xdr:from>
    <xdr:to>
      <xdr:col>18</xdr:col>
      <xdr:colOff>104775</xdr:colOff>
      <xdr:row>168</xdr:row>
      <xdr:rowOff>95250</xdr:rowOff>
    </xdr:to>
    <xdr:sp macro="" textlink="">
      <xdr:nvSpPr>
        <xdr:cNvPr id="1381" name="Line 101008">
          <a:extLst>
            <a:ext uri="{FF2B5EF4-FFF2-40B4-BE49-F238E27FC236}">
              <a16:creationId xmlns:a16="http://schemas.microsoft.com/office/drawing/2014/main" id="{00000000-0008-0000-0000-000065050000}"/>
            </a:ext>
          </a:extLst>
        </xdr:cNvPr>
        <xdr:cNvSpPr>
          <a:spLocks noChangeShapeType="1"/>
        </xdr:cNvSpPr>
      </xdr:nvSpPr>
      <xdr:spPr bwMode="auto">
        <a:xfrm flipH="1">
          <a:off x="12639675" y="326040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167</xdr:row>
      <xdr:rowOff>161925</xdr:rowOff>
    </xdr:from>
    <xdr:to>
      <xdr:col>18</xdr:col>
      <xdr:colOff>114300</xdr:colOff>
      <xdr:row>168</xdr:row>
      <xdr:rowOff>28575</xdr:rowOff>
    </xdr:to>
    <xdr:sp macro="" textlink="">
      <xdr:nvSpPr>
        <xdr:cNvPr id="1382" name="Line 101010">
          <a:extLst>
            <a:ext uri="{FF2B5EF4-FFF2-40B4-BE49-F238E27FC236}">
              <a16:creationId xmlns:a16="http://schemas.microsoft.com/office/drawing/2014/main" id="{00000000-0008-0000-0000-000066050000}"/>
            </a:ext>
          </a:extLst>
        </xdr:cNvPr>
        <xdr:cNvSpPr>
          <a:spLocks noChangeShapeType="1"/>
        </xdr:cNvSpPr>
      </xdr:nvSpPr>
      <xdr:spPr bwMode="auto">
        <a:xfrm flipH="1">
          <a:off x="12649200" y="3253740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172</xdr:row>
      <xdr:rowOff>95250</xdr:rowOff>
    </xdr:from>
    <xdr:to>
      <xdr:col>18</xdr:col>
      <xdr:colOff>104775</xdr:colOff>
      <xdr:row>172</xdr:row>
      <xdr:rowOff>142875</xdr:rowOff>
    </xdr:to>
    <xdr:sp macro="" textlink="">
      <xdr:nvSpPr>
        <xdr:cNvPr id="1383" name="Line 101012">
          <a:extLst>
            <a:ext uri="{FF2B5EF4-FFF2-40B4-BE49-F238E27FC236}">
              <a16:creationId xmlns:a16="http://schemas.microsoft.com/office/drawing/2014/main" id="{00000000-0008-0000-0000-000067050000}"/>
            </a:ext>
          </a:extLst>
        </xdr:cNvPr>
        <xdr:cNvSpPr>
          <a:spLocks noChangeShapeType="1"/>
        </xdr:cNvSpPr>
      </xdr:nvSpPr>
      <xdr:spPr bwMode="auto">
        <a:xfrm flipH="1">
          <a:off x="12649200" y="334232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57150</xdr:colOff>
      <xdr:row>172</xdr:row>
      <xdr:rowOff>152400</xdr:rowOff>
    </xdr:from>
    <xdr:to>
      <xdr:col>18</xdr:col>
      <xdr:colOff>104775</xdr:colOff>
      <xdr:row>173</xdr:row>
      <xdr:rowOff>9525</xdr:rowOff>
    </xdr:to>
    <xdr:sp macro="" textlink="">
      <xdr:nvSpPr>
        <xdr:cNvPr id="1384" name="Line 101013">
          <a:extLst>
            <a:ext uri="{FF2B5EF4-FFF2-40B4-BE49-F238E27FC236}">
              <a16:creationId xmlns:a16="http://schemas.microsoft.com/office/drawing/2014/main" id="{00000000-0008-0000-0000-000068050000}"/>
            </a:ext>
          </a:extLst>
        </xdr:cNvPr>
        <xdr:cNvSpPr>
          <a:spLocks noChangeShapeType="1"/>
        </xdr:cNvSpPr>
      </xdr:nvSpPr>
      <xdr:spPr bwMode="auto">
        <a:xfrm flipH="1">
          <a:off x="12649200" y="334803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66675</xdr:colOff>
      <xdr:row>173</xdr:row>
      <xdr:rowOff>38100</xdr:rowOff>
    </xdr:from>
    <xdr:to>
      <xdr:col>18</xdr:col>
      <xdr:colOff>114300</xdr:colOff>
      <xdr:row>173</xdr:row>
      <xdr:rowOff>85725</xdr:rowOff>
    </xdr:to>
    <xdr:sp macro="" textlink="">
      <xdr:nvSpPr>
        <xdr:cNvPr id="1385" name="Line 101014">
          <a:extLst>
            <a:ext uri="{FF2B5EF4-FFF2-40B4-BE49-F238E27FC236}">
              <a16:creationId xmlns:a16="http://schemas.microsoft.com/office/drawing/2014/main" id="{00000000-0008-0000-0000-000069050000}"/>
            </a:ext>
          </a:extLst>
        </xdr:cNvPr>
        <xdr:cNvSpPr>
          <a:spLocks noChangeShapeType="1"/>
        </xdr:cNvSpPr>
      </xdr:nvSpPr>
      <xdr:spPr bwMode="auto">
        <a:xfrm flipH="1">
          <a:off x="12658725" y="3355657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123825</xdr:colOff>
      <xdr:row>173</xdr:row>
      <xdr:rowOff>28575</xdr:rowOff>
    </xdr:from>
    <xdr:to>
      <xdr:col>18</xdr:col>
      <xdr:colOff>247650</xdr:colOff>
      <xdr:row>173</xdr:row>
      <xdr:rowOff>114300</xdr:rowOff>
    </xdr:to>
    <xdr:sp macro="" textlink="">
      <xdr:nvSpPr>
        <xdr:cNvPr id="1386" name="Line 101015">
          <a:extLst>
            <a:ext uri="{FF2B5EF4-FFF2-40B4-BE49-F238E27FC236}">
              <a16:creationId xmlns:a16="http://schemas.microsoft.com/office/drawing/2014/main" id="{00000000-0008-0000-0000-00006A050000}"/>
            </a:ext>
          </a:extLst>
        </xdr:cNvPr>
        <xdr:cNvSpPr>
          <a:spLocks noChangeShapeType="1"/>
        </xdr:cNvSpPr>
      </xdr:nvSpPr>
      <xdr:spPr bwMode="auto">
        <a:xfrm flipH="1" flipV="1">
          <a:off x="12715875" y="33547050"/>
          <a:ext cx="1238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123825</xdr:colOff>
      <xdr:row>172</xdr:row>
      <xdr:rowOff>123825</xdr:rowOff>
    </xdr:from>
    <xdr:to>
      <xdr:col>18</xdr:col>
      <xdr:colOff>247650</xdr:colOff>
      <xdr:row>172</xdr:row>
      <xdr:rowOff>161925</xdr:rowOff>
    </xdr:to>
    <xdr:sp macro="" textlink="">
      <xdr:nvSpPr>
        <xdr:cNvPr id="1387" name="Line 101016">
          <a:extLst>
            <a:ext uri="{FF2B5EF4-FFF2-40B4-BE49-F238E27FC236}">
              <a16:creationId xmlns:a16="http://schemas.microsoft.com/office/drawing/2014/main" id="{00000000-0008-0000-0000-00006B050000}"/>
            </a:ext>
          </a:extLst>
        </xdr:cNvPr>
        <xdr:cNvSpPr>
          <a:spLocks noChangeShapeType="1"/>
        </xdr:cNvSpPr>
      </xdr:nvSpPr>
      <xdr:spPr bwMode="auto">
        <a:xfrm flipH="1">
          <a:off x="12715875" y="33451800"/>
          <a:ext cx="12382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800100</xdr:colOff>
      <xdr:row>167</xdr:row>
      <xdr:rowOff>85725</xdr:rowOff>
    </xdr:from>
    <xdr:to>
      <xdr:col>17</xdr:col>
      <xdr:colOff>47625</xdr:colOff>
      <xdr:row>167</xdr:row>
      <xdr:rowOff>171450</xdr:rowOff>
    </xdr:to>
    <xdr:sp macro="" textlink="">
      <xdr:nvSpPr>
        <xdr:cNvPr id="1388" name="Line 101017">
          <a:extLst>
            <a:ext uri="{FF2B5EF4-FFF2-40B4-BE49-F238E27FC236}">
              <a16:creationId xmlns:a16="http://schemas.microsoft.com/office/drawing/2014/main" id="{00000000-0008-0000-0000-00006C050000}"/>
            </a:ext>
          </a:extLst>
        </xdr:cNvPr>
        <xdr:cNvSpPr>
          <a:spLocks noChangeShapeType="1"/>
        </xdr:cNvSpPr>
      </xdr:nvSpPr>
      <xdr:spPr bwMode="auto">
        <a:xfrm flipH="1">
          <a:off x="11715750" y="324612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790575</xdr:colOff>
      <xdr:row>169</xdr:row>
      <xdr:rowOff>28575</xdr:rowOff>
    </xdr:from>
    <xdr:to>
      <xdr:col>17</xdr:col>
      <xdr:colOff>47625</xdr:colOff>
      <xdr:row>169</xdr:row>
      <xdr:rowOff>123825</xdr:rowOff>
    </xdr:to>
    <xdr:sp macro="" textlink="">
      <xdr:nvSpPr>
        <xdr:cNvPr id="1389" name="Line 101018">
          <a:extLst>
            <a:ext uri="{FF2B5EF4-FFF2-40B4-BE49-F238E27FC236}">
              <a16:creationId xmlns:a16="http://schemas.microsoft.com/office/drawing/2014/main" id="{00000000-0008-0000-0000-00006D050000}"/>
            </a:ext>
          </a:extLst>
        </xdr:cNvPr>
        <xdr:cNvSpPr>
          <a:spLocks noChangeShapeType="1"/>
        </xdr:cNvSpPr>
      </xdr:nvSpPr>
      <xdr:spPr bwMode="auto">
        <a:xfrm flipH="1">
          <a:off x="11706225" y="327850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172</xdr:row>
      <xdr:rowOff>95250</xdr:rowOff>
    </xdr:from>
    <xdr:to>
      <xdr:col>18</xdr:col>
      <xdr:colOff>9525</xdr:colOff>
      <xdr:row>172</xdr:row>
      <xdr:rowOff>161925</xdr:rowOff>
    </xdr:to>
    <xdr:sp macro="" textlink="">
      <xdr:nvSpPr>
        <xdr:cNvPr id="1390" name="Line 101020">
          <a:extLst>
            <a:ext uri="{FF2B5EF4-FFF2-40B4-BE49-F238E27FC236}">
              <a16:creationId xmlns:a16="http://schemas.microsoft.com/office/drawing/2014/main" id="{00000000-0008-0000-0000-00006E050000}"/>
            </a:ext>
          </a:extLst>
        </xdr:cNvPr>
        <xdr:cNvSpPr>
          <a:spLocks noChangeShapeType="1"/>
        </xdr:cNvSpPr>
      </xdr:nvSpPr>
      <xdr:spPr bwMode="auto">
        <a:xfrm flipH="1">
          <a:off x="12534900" y="334232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600075</xdr:colOff>
      <xdr:row>168</xdr:row>
      <xdr:rowOff>142875</xdr:rowOff>
    </xdr:from>
    <xdr:to>
      <xdr:col>18</xdr:col>
      <xdr:colOff>28575</xdr:colOff>
      <xdr:row>168</xdr:row>
      <xdr:rowOff>142875</xdr:rowOff>
    </xdr:to>
    <xdr:sp macro="" textlink="">
      <xdr:nvSpPr>
        <xdr:cNvPr id="1391" name="Line 101021">
          <a:extLst>
            <a:ext uri="{FF2B5EF4-FFF2-40B4-BE49-F238E27FC236}">
              <a16:creationId xmlns:a16="http://schemas.microsoft.com/office/drawing/2014/main" id="{00000000-0008-0000-0000-00006F050000}"/>
            </a:ext>
          </a:extLst>
        </xdr:cNvPr>
        <xdr:cNvSpPr>
          <a:spLocks noChangeShapeType="1"/>
        </xdr:cNvSpPr>
      </xdr:nvSpPr>
      <xdr:spPr bwMode="auto">
        <a:xfrm>
          <a:off x="12353925" y="32708850"/>
          <a:ext cx="2667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104775</xdr:colOff>
      <xdr:row>166</xdr:row>
      <xdr:rowOff>142875</xdr:rowOff>
    </xdr:from>
    <xdr:to>
      <xdr:col>18</xdr:col>
      <xdr:colOff>257175</xdr:colOff>
      <xdr:row>167</xdr:row>
      <xdr:rowOff>142875</xdr:rowOff>
    </xdr:to>
    <xdr:sp macro="" textlink="">
      <xdr:nvSpPr>
        <xdr:cNvPr id="1394" name="Line 101024">
          <a:extLst>
            <a:ext uri="{FF2B5EF4-FFF2-40B4-BE49-F238E27FC236}">
              <a16:creationId xmlns:a16="http://schemas.microsoft.com/office/drawing/2014/main" id="{00000000-0008-0000-0000-000072050000}"/>
            </a:ext>
          </a:extLst>
        </xdr:cNvPr>
        <xdr:cNvSpPr>
          <a:spLocks noChangeShapeType="1"/>
        </xdr:cNvSpPr>
      </xdr:nvSpPr>
      <xdr:spPr bwMode="auto">
        <a:xfrm flipH="1">
          <a:off x="12696825" y="32318325"/>
          <a:ext cx="15240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114300</xdr:colOff>
      <xdr:row>167</xdr:row>
      <xdr:rowOff>133350</xdr:rowOff>
    </xdr:from>
    <xdr:to>
      <xdr:col>18</xdr:col>
      <xdr:colOff>304800</xdr:colOff>
      <xdr:row>168</xdr:row>
      <xdr:rowOff>38100</xdr:rowOff>
    </xdr:to>
    <xdr:sp macro="" textlink="">
      <xdr:nvSpPr>
        <xdr:cNvPr id="1395" name="Line 101025">
          <a:extLst>
            <a:ext uri="{FF2B5EF4-FFF2-40B4-BE49-F238E27FC236}">
              <a16:creationId xmlns:a16="http://schemas.microsoft.com/office/drawing/2014/main" id="{00000000-0008-0000-0000-000073050000}"/>
            </a:ext>
          </a:extLst>
        </xdr:cNvPr>
        <xdr:cNvSpPr>
          <a:spLocks noChangeShapeType="1"/>
        </xdr:cNvSpPr>
      </xdr:nvSpPr>
      <xdr:spPr bwMode="auto">
        <a:xfrm flipH="1">
          <a:off x="12706350" y="32508825"/>
          <a:ext cx="1905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504825</xdr:colOff>
      <xdr:row>171</xdr:row>
      <xdr:rowOff>28575</xdr:rowOff>
    </xdr:from>
    <xdr:to>
      <xdr:col>16</xdr:col>
      <xdr:colOff>561975</xdr:colOff>
      <xdr:row>171</xdr:row>
      <xdr:rowOff>57150</xdr:rowOff>
    </xdr:to>
    <xdr:sp macro="" textlink="">
      <xdr:nvSpPr>
        <xdr:cNvPr id="1396" name="Line 101026">
          <a:extLst>
            <a:ext uri="{FF2B5EF4-FFF2-40B4-BE49-F238E27FC236}">
              <a16:creationId xmlns:a16="http://schemas.microsoft.com/office/drawing/2014/main" id="{00000000-0008-0000-0000-000074050000}"/>
            </a:ext>
          </a:extLst>
        </xdr:cNvPr>
        <xdr:cNvSpPr>
          <a:spLocks noChangeShapeType="1"/>
        </xdr:cNvSpPr>
      </xdr:nvSpPr>
      <xdr:spPr bwMode="auto">
        <a:xfrm>
          <a:off x="11420475" y="33166050"/>
          <a:ext cx="57150"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47625</xdr:colOff>
      <xdr:row>165</xdr:row>
      <xdr:rowOff>0</xdr:rowOff>
    </xdr:from>
    <xdr:to>
      <xdr:col>15</xdr:col>
      <xdr:colOff>323850</xdr:colOff>
      <xdr:row>165</xdr:row>
      <xdr:rowOff>171450</xdr:rowOff>
    </xdr:to>
    <xdr:sp macro="" textlink="">
      <xdr:nvSpPr>
        <xdr:cNvPr id="1397" name="Line 101028">
          <a:extLst>
            <a:ext uri="{FF2B5EF4-FFF2-40B4-BE49-F238E27FC236}">
              <a16:creationId xmlns:a16="http://schemas.microsoft.com/office/drawing/2014/main" id="{00000000-0008-0000-0000-000075050000}"/>
            </a:ext>
          </a:extLst>
        </xdr:cNvPr>
        <xdr:cNvSpPr>
          <a:spLocks noChangeShapeType="1"/>
        </xdr:cNvSpPr>
      </xdr:nvSpPr>
      <xdr:spPr bwMode="auto">
        <a:xfrm flipH="1">
          <a:off x="10125075" y="31984950"/>
          <a:ext cx="276225"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352425</xdr:colOff>
      <xdr:row>165</xdr:row>
      <xdr:rowOff>0</xdr:rowOff>
    </xdr:from>
    <xdr:to>
      <xdr:col>17</xdr:col>
      <xdr:colOff>466725</xdr:colOff>
      <xdr:row>166</xdr:row>
      <xdr:rowOff>19050</xdr:rowOff>
    </xdr:to>
    <xdr:sp macro="" textlink="">
      <xdr:nvSpPr>
        <xdr:cNvPr id="1398" name="Line 101029">
          <a:extLst>
            <a:ext uri="{FF2B5EF4-FFF2-40B4-BE49-F238E27FC236}">
              <a16:creationId xmlns:a16="http://schemas.microsoft.com/office/drawing/2014/main" id="{00000000-0008-0000-0000-000076050000}"/>
            </a:ext>
          </a:extLst>
        </xdr:cNvPr>
        <xdr:cNvSpPr>
          <a:spLocks noChangeShapeType="1"/>
        </xdr:cNvSpPr>
      </xdr:nvSpPr>
      <xdr:spPr bwMode="auto">
        <a:xfrm>
          <a:off x="10429875" y="31984950"/>
          <a:ext cx="179070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114300</xdr:colOff>
      <xdr:row>179</xdr:row>
      <xdr:rowOff>66675</xdr:rowOff>
    </xdr:from>
    <xdr:to>
      <xdr:col>5</xdr:col>
      <xdr:colOff>466725</xdr:colOff>
      <xdr:row>184</xdr:row>
      <xdr:rowOff>47625</xdr:rowOff>
    </xdr:to>
    <xdr:sp macro="" textlink="">
      <xdr:nvSpPr>
        <xdr:cNvPr id="1399" name="Freeform 101030">
          <a:extLst>
            <a:ext uri="{FF2B5EF4-FFF2-40B4-BE49-F238E27FC236}">
              <a16:creationId xmlns:a16="http://schemas.microsoft.com/office/drawing/2014/main" id="{00000000-0008-0000-0000-000077050000}"/>
            </a:ext>
          </a:extLst>
        </xdr:cNvPr>
        <xdr:cNvSpPr>
          <a:spLocks/>
        </xdr:cNvSpPr>
      </xdr:nvSpPr>
      <xdr:spPr bwMode="auto">
        <a:xfrm>
          <a:off x="1495425" y="34728150"/>
          <a:ext cx="1628775" cy="942975"/>
        </a:xfrm>
        <a:custGeom>
          <a:avLst/>
          <a:gdLst>
            <a:gd name="T0" fmla="*/ 171 w 171"/>
            <a:gd name="T1" fmla="*/ 0 h 99"/>
            <a:gd name="T2" fmla="*/ 0 w 171"/>
            <a:gd name="T3" fmla="*/ 0 h 99"/>
            <a:gd name="T4" fmla="*/ 0 w 171"/>
            <a:gd name="T5" fmla="*/ 79 h 99"/>
            <a:gd name="T6" fmla="*/ 45 w 171"/>
            <a:gd name="T7" fmla="*/ 79 h 99"/>
            <a:gd name="T8" fmla="*/ 45 w 171"/>
            <a:gd name="T9" fmla="*/ 99 h 99"/>
            <a:gd name="T10" fmla="*/ 169 w 171"/>
            <a:gd name="T11" fmla="*/ 99 h 99"/>
          </a:gdLst>
          <a:ahLst/>
          <a:cxnLst>
            <a:cxn ang="0">
              <a:pos x="T0" y="T1"/>
            </a:cxn>
            <a:cxn ang="0">
              <a:pos x="T2" y="T3"/>
            </a:cxn>
            <a:cxn ang="0">
              <a:pos x="T4" y="T5"/>
            </a:cxn>
            <a:cxn ang="0">
              <a:pos x="T6" y="T7"/>
            </a:cxn>
            <a:cxn ang="0">
              <a:pos x="T8" y="T9"/>
            </a:cxn>
            <a:cxn ang="0">
              <a:pos x="T10" y="T11"/>
            </a:cxn>
          </a:cxnLst>
          <a:rect l="0" t="0" r="r" b="b"/>
          <a:pathLst>
            <a:path w="171" h="99">
              <a:moveTo>
                <a:pt x="171" y="0"/>
              </a:moveTo>
              <a:lnTo>
                <a:pt x="0" y="0"/>
              </a:lnTo>
              <a:lnTo>
                <a:pt x="0" y="79"/>
              </a:lnTo>
              <a:lnTo>
                <a:pt x="45" y="79"/>
              </a:lnTo>
              <a:lnTo>
                <a:pt x="45" y="99"/>
              </a:lnTo>
              <a:lnTo>
                <a:pt x="169" y="9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123825</xdr:colOff>
      <xdr:row>194</xdr:row>
      <xdr:rowOff>47625</xdr:rowOff>
    </xdr:from>
    <xdr:to>
      <xdr:col>5</xdr:col>
      <xdr:colOff>95250</xdr:colOff>
      <xdr:row>199</xdr:row>
      <xdr:rowOff>9525</xdr:rowOff>
    </xdr:to>
    <xdr:sp macro="" textlink="">
      <xdr:nvSpPr>
        <xdr:cNvPr id="1400" name="Freeform 101031">
          <a:extLst>
            <a:ext uri="{FF2B5EF4-FFF2-40B4-BE49-F238E27FC236}">
              <a16:creationId xmlns:a16="http://schemas.microsoft.com/office/drawing/2014/main" id="{00000000-0008-0000-0000-000078050000}"/>
            </a:ext>
          </a:extLst>
        </xdr:cNvPr>
        <xdr:cNvSpPr>
          <a:spLocks/>
        </xdr:cNvSpPr>
      </xdr:nvSpPr>
      <xdr:spPr bwMode="auto">
        <a:xfrm>
          <a:off x="1504950" y="37595175"/>
          <a:ext cx="1247775" cy="914400"/>
        </a:xfrm>
        <a:custGeom>
          <a:avLst/>
          <a:gdLst>
            <a:gd name="T0" fmla="*/ 131 w 131"/>
            <a:gd name="T1" fmla="*/ 0 h 96"/>
            <a:gd name="T2" fmla="*/ 0 w 131"/>
            <a:gd name="T3" fmla="*/ 0 h 96"/>
            <a:gd name="T4" fmla="*/ 0 w 131"/>
            <a:gd name="T5" fmla="*/ 79 h 96"/>
            <a:gd name="T6" fmla="*/ 44 w 131"/>
            <a:gd name="T7" fmla="*/ 79 h 96"/>
            <a:gd name="T8" fmla="*/ 44 w 131"/>
            <a:gd name="T9" fmla="*/ 96 h 96"/>
            <a:gd name="T10" fmla="*/ 57 w 131"/>
            <a:gd name="T11" fmla="*/ 96 h 96"/>
          </a:gdLst>
          <a:ahLst/>
          <a:cxnLst>
            <a:cxn ang="0">
              <a:pos x="T0" y="T1"/>
            </a:cxn>
            <a:cxn ang="0">
              <a:pos x="T2" y="T3"/>
            </a:cxn>
            <a:cxn ang="0">
              <a:pos x="T4" y="T5"/>
            </a:cxn>
            <a:cxn ang="0">
              <a:pos x="T6" y="T7"/>
            </a:cxn>
            <a:cxn ang="0">
              <a:pos x="T8" y="T9"/>
            </a:cxn>
            <a:cxn ang="0">
              <a:pos x="T10" y="T11"/>
            </a:cxn>
          </a:cxnLst>
          <a:rect l="0" t="0" r="r" b="b"/>
          <a:pathLst>
            <a:path w="131" h="96">
              <a:moveTo>
                <a:pt x="131" y="0"/>
              </a:moveTo>
              <a:lnTo>
                <a:pt x="0" y="0"/>
              </a:lnTo>
              <a:lnTo>
                <a:pt x="0" y="79"/>
              </a:lnTo>
              <a:lnTo>
                <a:pt x="44" y="79"/>
              </a:lnTo>
              <a:lnTo>
                <a:pt x="44" y="96"/>
              </a:lnTo>
              <a:lnTo>
                <a:pt x="57" y="96"/>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590550</xdr:colOff>
      <xdr:row>170</xdr:row>
      <xdr:rowOff>104775</xdr:rowOff>
    </xdr:from>
    <xdr:to>
      <xdr:col>13</xdr:col>
      <xdr:colOff>676275</xdr:colOff>
      <xdr:row>170</xdr:row>
      <xdr:rowOff>123825</xdr:rowOff>
    </xdr:to>
    <xdr:sp macro="" textlink="">
      <xdr:nvSpPr>
        <xdr:cNvPr id="1401" name="Line 101034">
          <a:extLst>
            <a:ext uri="{FF2B5EF4-FFF2-40B4-BE49-F238E27FC236}">
              <a16:creationId xmlns:a16="http://schemas.microsoft.com/office/drawing/2014/main" id="{00000000-0008-0000-0000-000079050000}"/>
            </a:ext>
          </a:extLst>
        </xdr:cNvPr>
        <xdr:cNvSpPr>
          <a:spLocks noChangeShapeType="1"/>
        </xdr:cNvSpPr>
      </xdr:nvSpPr>
      <xdr:spPr bwMode="auto">
        <a:xfrm>
          <a:off x="9829800" y="33051750"/>
          <a:ext cx="8572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17</xdr:col>
      <xdr:colOff>781050</xdr:colOff>
      <xdr:row>168</xdr:row>
      <xdr:rowOff>19050</xdr:rowOff>
    </xdr:from>
    <xdr:to>
      <xdr:col>18</xdr:col>
      <xdr:colOff>9525</xdr:colOff>
      <xdr:row>168</xdr:row>
      <xdr:rowOff>85725</xdr:rowOff>
    </xdr:to>
    <xdr:sp macro="" textlink="">
      <xdr:nvSpPr>
        <xdr:cNvPr id="1402" name="Line 101036">
          <a:extLst>
            <a:ext uri="{FF2B5EF4-FFF2-40B4-BE49-F238E27FC236}">
              <a16:creationId xmlns:a16="http://schemas.microsoft.com/office/drawing/2014/main" id="{00000000-0008-0000-0000-00007A050000}"/>
            </a:ext>
          </a:extLst>
        </xdr:cNvPr>
        <xdr:cNvSpPr>
          <a:spLocks noChangeShapeType="1"/>
        </xdr:cNvSpPr>
      </xdr:nvSpPr>
      <xdr:spPr bwMode="auto">
        <a:xfrm flipH="1">
          <a:off x="12534900" y="325850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0</xdr:colOff>
      <xdr:row>168</xdr:row>
      <xdr:rowOff>95250</xdr:rowOff>
    </xdr:from>
    <xdr:to>
      <xdr:col>18</xdr:col>
      <xdr:colOff>266700</xdr:colOff>
      <xdr:row>169</xdr:row>
      <xdr:rowOff>57150</xdr:rowOff>
    </xdr:to>
    <xdr:sp macro="" textlink="">
      <xdr:nvSpPr>
        <xdr:cNvPr id="1403" name="Line 101037">
          <a:extLst>
            <a:ext uri="{FF2B5EF4-FFF2-40B4-BE49-F238E27FC236}">
              <a16:creationId xmlns:a16="http://schemas.microsoft.com/office/drawing/2014/main" id="{00000000-0008-0000-0000-00007B050000}"/>
            </a:ext>
          </a:extLst>
        </xdr:cNvPr>
        <xdr:cNvSpPr>
          <a:spLocks noChangeShapeType="1"/>
        </xdr:cNvSpPr>
      </xdr:nvSpPr>
      <xdr:spPr bwMode="auto">
        <a:xfrm flipH="1" flipV="1">
          <a:off x="12592050" y="32661225"/>
          <a:ext cx="266700" cy="152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171</xdr:row>
      <xdr:rowOff>57150</xdr:rowOff>
    </xdr:from>
    <xdr:to>
      <xdr:col>3</xdr:col>
      <xdr:colOff>114300</xdr:colOff>
      <xdr:row>171</xdr:row>
      <xdr:rowOff>104775</xdr:rowOff>
    </xdr:to>
    <xdr:sp macro="" textlink="">
      <xdr:nvSpPr>
        <xdr:cNvPr id="1404" name="Line 101040">
          <a:extLst>
            <a:ext uri="{FF2B5EF4-FFF2-40B4-BE49-F238E27FC236}">
              <a16:creationId xmlns:a16="http://schemas.microsoft.com/office/drawing/2014/main" id="{00000000-0008-0000-0000-00007C050000}"/>
            </a:ext>
          </a:extLst>
        </xdr:cNvPr>
        <xdr:cNvSpPr>
          <a:spLocks noChangeShapeType="1"/>
        </xdr:cNvSpPr>
      </xdr:nvSpPr>
      <xdr:spPr bwMode="auto">
        <a:xfrm>
          <a:off x="2038350" y="33194625"/>
          <a:ext cx="381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171</xdr:row>
      <xdr:rowOff>0</xdr:rowOff>
    </xdr:from>
    <xdr:to>
      <xdr:col>3</xdr:col>
      <xdr:colOff>171450</xdr:colOff>
      <xdr:row>171</xdr:row>
      <xdr:rowOff>47625</xdr:rowOff>
    </xdr:to>
    <xdr:sp macro="" textlink="">
      <xdr:nvSpPr>
        <xdr:cNvPr id="1405" name="Line 101041">
          <a:extLst>
            <a:ext uri="{FF2B5EF4-FFF2-40B4-BE49-F238E27FC236}">
              <a16:creationId xmlns:a16="http://schemas.microsoft.com/office/drawing/2014/main" id="{00000000-0008-0000-0000-00007D050000}"/>
            </a:ext>
          </a:extLst>
        </xdr:cNvPr>
        <xdr:cNvSpPr>
          <a:spLocks noChangeShapeType="1"/>
        </xdr:cNvSpPr>
      </xdr:nvSpPr>
      <xdr:spPr bwMode="auto">
        <a:xfrm>
          <a:off x="2095500" y="33137475"/>
          <a:ext cx="381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171</xdr:row>
      <xdr:rowOff>9525</xdr:rowOff>
    </xdr:from>
    <xdr:to>
      <xdr:col>3</xdr:col>
      <xdr:colOff>190500</xdr:colOff>
      <xdr:row>171</xdr:row>
      <xdr:rowOff>133350</xdr:rowOff>
    </xdr:to>
    <xdr:sp macro="" textlink="">
      <xdr:nvSpPr>
        <xdr:cNvPr id="1406" name="Line 101042">
          <a:extLst>
            <a:ext uri="{FF2B5EF4-FFF2-40B4-BE49-F238E27FC236}">
              <a16:creationId xmlns:a16="http://schemas.microsoft.com/office/drawing/2014/main" id="{00000000-0008-0000-0000-00007E050000}"/>
            </a:ext>
          </a:extLst>
        </xdr:cNvPr>
        <xdr:cNvSpPr>
          <a:spLocks noChangeShapeType="1"/>
        </xdr:cNvSpPr>
      </xdr:nvSpPr>
      <xdr:spPr bwMode="auto">
        <a:xfrm flipH="1">
          <a:off x="2028825" y="33147000"/>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161925</xdr:colOff>
      <xdr:row>171</xdr:row>
      <xdr:rowOff>0</xdr:rowOff>
    </xdr:from>
    <xdr:to>
      <xdr:col>3</xdr:col>
      <xdr:colOff>161925</xdr:colOff>
      <xdr:row>171</xdr:row>
      <xdr:rowOff>76200</xdr:rowOff>
    </xdr:to>
    <xdr:sp macro="" textlink="">
      <xdr:nvSpPr>
        <xdr:cNvPr id="1407" name="Line 101043">
          <a:extLst>
            <a:ext uri="{FF2B5EF4-FFF2-40B4-BE49-F238E27FC236}">
              <a16:creationId xmlns:a16="http://schemas.microsoft.com/office/drawing/2014/main" id="{00000000-0008-0000-0000-00007F050000}"/>
            </a:ext>
          </a:extLst>
        </xdr:cNvPr>
        <xdr:cNvSpPr>
          <a:spLocks noChangeShapeType="1"/>
        </xdr:cNvSpPr>
      </xdr:nvSpPr>
      <xdr:spPr bwMode="auto">
        <a:xfrm>
          <a:off x="2124075" y="33137475"/>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104775</xdr:colOff>
      <xdr:row>171</xdr:row>
      <xdr:rowOff>57150</xdr:rowOff>
    </xdr:from>
    <xdr:to>
      <xdr:col>3</xdr:col>
      <xdr:colOff>104775</xdr:colOff>
      <xdr:row>171</xdr:row>
      <xdr:rowOff>142875</xdr:rowOff>
    </xdr:to>
    <xdr:sp macro="" textlink="">
      <xdr:nvSpPr>
        <xdr:cNvPr id="1408" name="Line 101044">
          <a:extLst>
            <a:ext uri="{FF2B5EF4-FFF2-40B4-BE49-F238E27FC236}">
              <a16:creationId xmlns:a16="http://schemas.microsoft.com/office/drawing/2014/main" id="{00000000-0008-0000-0000-000080050000}"/>
            </a:ext>
          </a:extLst>
        </xdr:cNvPr>
        <xdr:cNvSpPr>
          <a:spLocks noChangeShapeType="1"/>
        </xdr:cNvSpPr>
      </xdr:nvSpPr>
      <xdr:spPr bwMode="auto">
        <a:xfrm>
          <a:off x="2066925" y="33194625"/>
          <a:ext cx="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285750</xdr:colOff>
      <xdr:row>109</xdr:row>
      <xdr:rowOff>57150</xdr:rowOff>
    </xdr:from>
    <xdr:to>
      <xdr:col>5</xdr:col>
      <xdr:colOff>714375</xdr:colOff>
      <xdr:row>111</xdr:row>
      <xdr:rowOff>0</xdr:rowOff>
    </xdr:to>
    <xdr:sp macro="" textlink="">
      <xdr:nvSpPr>
        <xdr:cNvPr id="1409" name="Freeform 93446">
          <a:extLst>
            <a:ext uri="{FF2B5EF4-FFF2-40B4-BE49-F238E27FC236}">
              <a16:creationId xmlns:a16="http://schemas.microsoft.com/office/drawing/2014/main" id="{00000000-0008-0000-0000-000081050000}"/>
            </a:ext>
          </a:extLst>
        </xdr:cNvPr>
        <xdr:cNvSpPr>
          <a:spLocks/>
        </xdr:cNvSpPr>
      </xdr:nvSpPr>
      <xdr:spPr bwMode="auto">
        <a:xfrm>
          <a:off x="2619375" y="21145500"/>
          <a:ext cx="752475" cy="333375"/>
        </a:xfrm>
        <a:custGeom>
          <a:avLst/>
          <a:gdLst>
            <a:gd name="T0" fmla="*/ 0 w 72"/>
            <a:gd name="T1" fmla="*/ 2147483647 h 30"/>
            <a:gd name="T2" fmla="*/ 2147483647 w 72"/>
            <a:gd name="T3" fmla="*/ 2147483647 h 30"/>
            <a:gd name="T4" fmla="*/ 2147483647 w 72"/>
            <a:gd name="T5" fmla="*/ 0 h 30"/>
            <a:gd name="T6" fmla="*/ 2147483647 w 72"/>
            <a:gd name="T7" fmla="*/ 0 h 30"/>
            <a:gd name="T8" fmla="*/ 2147483647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285750</xdr:colOff>
      <xdr:row>107</xdr:row>
      <xdr:rowOff>66675</xdr:rowOff>
    </xdr:from>
    <xdr:to>
      <xdr:col>4</xdr:col>
      <xdr:colOff>285750</xdr:colOff>
      <xdr:row>110</xdr:row>
      <xdr:rowOff>85725</xdr:rowOff>
    </xdr:to>
    <xdr:sp macro="" textlink="">
      <xdr:nvSpPr>
        <xdr:cNvPr id="1410" name="Line 101047">
          <a:extLst>
            <a:ext uri="{FF2B5EF4-FFF2-40B4-BE49-F238E27FC236}">
              <a16:creationId xmlns:a16="http://schemas.microsoft.com/office/drawing/2014/main" id="{00000000-0008-0000-0000-000082050000}"/>
            </a:ext>
          </a:extLst>
        </xdr:cNvPr>
        <xdr:cNvSpPr>
          <a:spLocks noChangeShapeType="1"/>
        </xdr:cNvSpPr>
      </xdr:nvSpPr>
      <xdr:spPr bwMode="auto">
        <a:xfrm flipV="1">
          <a:off x="2619375" y="20754975"/>
          <a:ext cx="0"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247650</xdr:colOff>
      <xdr:row>107</xdr:row>
      <xdr:rowOff>85725</xdr:rowOff>
    </xdr:from>
    <xdr:to>
      <xdr:col>5</xdr:col>
      <xdr:colOff>285750</xdr:colOff>
      <xdr:row>107</xdr:row>
      <xdr:rowOff>85725</xdr:rowOff>
    </xdr:to>
    <xdr:sp macro="" textlink="">
      <xdr:nvSpPr>
        <xdr:cNvPr id="1411" name="Line 101048">
          <a:extLst>
            <a:ext uri="{FF2B5EF4-FFF2-40B4-BE49-F238E27FC236}">
              <a16:creationId xmlns:a16="http://schemas.microsoft.com/office/drawing/2014/main" id="{00000000-0008-0000-0000-000083050000}"/>
            </a:ext>
          </a:extLst>
        </xdr:cNvPr>
        <xdr:cNvSpPr>
          <a:spLocks noChangeShapeType="1"/>
        </xdr:cNvSpPr>
      </xdr:nvSpPr>
      <xdr:spPr bwMode="auto">
        <a:xfrm>
          <a:off x="2581275" y="20774025"/>
          <a:ext cx="3619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108</xdr:row>
      <xdr:rowOff>47625</xdr:rowOff>
    </xdr:from>
    <xdr:to>
      <xdr:col>6</xdr:col>
      <xdr:colOff>133350</xdr:colOff>
      <xdr:row>109</xdr:row>
      <xdr:rowOff>57150</xdr:rowOff>
    </xdr:to>
    <xdr:sp macro="" textlink="">
      <xdr:nvSpPr>
        <xdr:cNvPr id="1412" name="Line 101049">
          <a:extLst>
            <a:ext uri="{FF2B5EF4-FFF2-40B4-BE49-F238E27FC236}">
              <a16:creationId xmlns:a16="http://schemas.microsoft.com/office/drawing/2014/main" id="{00000000-0008-0000-0000-000084050000}"/>
            </a:ext>
          </a:extLst>
        </xdr:cNvPr>
        <xdr:cNvSpPr>
          <a:spLocks noChangeShapeType="1"/>
        </xdr:cNvSpPr>
      </xdr:nvSpPr>
      <xdr:spPr bwMode="auto">
        <a:xfrm flipH="1">
          <a:off x="3257550" y="20935950"/>
          <a:ext cx="28575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200025</xdr:colOff>
      <xdr:row>107</xdr:row>
      <xdr:rowOff>38100</xdr:rowOff>
    </xdr:from>
    <xdr:to>
      <xdr:col>5</xdr:col>
      <xdr:colOff>285750</xdr:colOff>
      <xdr:row>107</xdr:row>
      <xdr:rowOff>123825</xdr:rowOff>
    </xdr:to>
    <xdr:sp macro="" textlink="">
      <xdr:nvSpPr>
        <xdr:cNvPr id="1413" name="Line 101050">
          <a:extLst>
            <a:ext uri="{FF2B5EF4-FFF2-40B4-BE49-F238E27FC236}">
              <a16:creationId xmlns:a16="http://schemas.microsoft.com/office/drawing/2014/main" id="{00000000-0008-0000-0000-000085050000}"/>
            </a:ext>
          </a:extLst>
        </xdr:cNvPr>
        <xdr:cNvSpPr>
          <a:spLocks noChangeShapeType="1"/>
        </xdr:cNvSpPr>
      </xdr:nvSpPr>
      <xdr:spPr bwMode="auto">
        <a:xfrm flipH="1">
          <a:off x="2857500" y="2072640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107</xdr:row>
      <xdr:rowOff>38100</xdr:rowOff>
    </xdr:from>
    <xdr:to>
      <xdr:col>5</xdr:col>
      <xdr:colOff>9525</xdr:colOff>
      <xdr:row>107</xdr:row>
      <xdr:rowOff>133350</xdr:rowOff>
    </xdr:to>
    <xdr:sp macro="" textlink="">
      <xdr:nvSpPr>
        <xdr:cNvPr id="1414" name="Line 101051">
          <a:extLst>
            <a:ext uri="{FF2B5EF4-FFF2-40B4-BE49-F238E27FC236}">
              <a16:creationId xmlns:a16="http://schemas.microsoft.com/office/drawing/2014/main" id="{00000000-0008-0000-0000-000086050000}"/>
            </a:ext>
          </a:extLst>
        </xdr:cNvPr>
        <xdr:cNvSpPr>
          <a:spLocks noChangeShapeType="1"/>
        </xdr:cNvSpPr>
      </xdr:nvSpPr>
      <xdr:spPr bwMode="auto">
        <a:xfrm flipH="1">
          <a:off x="2571750" y="2072640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209550</xdr:colOff>
      <xdr:row>105</xdr:row>
      <xdr:rowOff>142875</xdr:rowOff>
    </xdr:from>
    <xdr:to>
      <xdr:col>5</xdr:col>
      <xdr:colOff>285750</xdr:colOff>
      <xdr:row>106</xdr:row>
      <xdr:rowOff>38100</xdr:rowOff>
    </xdr:to>
    <xdr:sp macro="" textlink="">
      <xdr:nvSpPr>
        <xdr:cNvPr id="1415" name="Line 328">
          <a:extLst>
            <a:ext uri="{FF2B5EF4-FFF2-40B4-BE49-F238E27FC236}">
              <a16:creationId xmlns:a16="http://schemas.microsoft.com/office/drawing/2014/main" id="{00000000-0008-0000-0000-000087050000}"/>
            </a:ext>
          </a:extLst>
        </xdr:cNvPr>
        <xdr:cNvSpPr>
          <a:spLocks noChangeShapeType="1"/>
        </xdr:cNvSpPr>
      </xdr:nvSpPr>
      <xdr:spPr bwMode="auto">
        <a:xfrm flipH="1">
          <a:off x="2867025" y="204501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184</xdr:row>
      <xdr:rowOff>66675</xdr:rowOff>
    </xdr:from>
    <xdr:to>
      <xdr:col>2</xdr:col>
      <xdr:colOff>533400</xdr:colOff>
      <xdr:row>185</xdr:row>
      <xdr:rowOff>47625</xdr:rowOff>
    </xdr:to>
    <xdr:sp macro="" textlink="">
      <xdr:nvSpPr>
        <xdr:cNvPr id="1416" name="Line 97159">
          <a:extLst>
            <a:ext uri="{FF2B5EF4-FFF2-40B4-BE49-F238E27FC236}">
              <a16:creationId xmlns:a16="http://schemas.microsoft.com/office/drawing/2014/main" id="{00000000-0008-0000-0000-000088050000}"/>
            </a:ext>
          </a:extLst>
        </xdr:cNvPr>
        <xdr:cNvSpPr>
          <a:spLocks noChangeShapeType="1"/>
        </xdr:cNvSpPr>
      </xdr:nvSpPr>
      <xdr:spPr bwMode="auto">
        <a:xfrm>
          <a:off x="1914525" y="35690175"/>
          <a:ext cx="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66675</xdr:colOff>
      <xdr:row>184</xdr:row>
      <xdr:rowOff>161925</xdr:rowOff>
    </xdr:from>
    <xdr:to>
      <xdr:col>2</xdr:col>
      <xdr:colOff>133350</xdr:colOff>
      <xdr:row>185</xdr:row>
      <xdr:rowOff>28575</xdr:rowOff>
    </xdr:to>
    <xdr:sp macro="" textlink="">
      <xdr:nvSpPr>
        <xdr:cNvPr id="1417" name="Line 97163">
          <a:extLst>
            <a:ext uri="{FF2B5EF4-FFF2-40B4-BE49-F238E27FC236}">
              <a16:creationId xmlns:a16="http://schemas.microsoft.com/office/drawing/2014/main" id="{00000000-0008-0000-0000-000089050000}"/>
            </a:ext>
          </a:extLst>
        </xdr:cNvPr>
        <xdr:cNvSpPr>
          <a:spLocks noChangeShapeType="1"/>
        </xdr:cNvSpPr>
      </xdr:nvSpPr>
      <xdr:spPr bwMode="auto">
        <a:xfrm flipH="1">
          <a:off x="1447800" y="3578542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485775</xdr:colOff>
      <xdr:row>184</xdr:row>
      <xdr:rowOff>152400</xdr:rowOff>
    </xdr:from>
    <xdr:to>
      <xdr:col>2</xdr:col>
      <xdr:colOff>561975</xdr:colOff>
      <xdr:row>185</xdr:row>
      <xdr:rowOff>38100</xdr:rowOff>
    </xdr:to>
    <xdr:sp macro="" textlink="">
      <xdr:nvSpPr>
        <xdr:cNvPr id="1418" name="Line 97164">
          <a:extLst>
            <a:ext uri="{FF2B5EF4-FFF2-40B4-BE49-F238E27FC236}">
              <a16:creationId xmlns:a16="http://schemas.microsoft.com/office/drawing/2014/main" id="{00000000-0008-0000-0000-00008A050000}"/>
            </a:ext>
          </a:extLst>
        </xdr:cNvPr>
        <xdr:cNvSpPr>
          <a:spLocks noChangeShapeType="1"/>
        </xdr:cNvSpPr>
      </xdr:nvSpPr>
      <xdr:spPr bwMode="auto">
        <a:xfrm flipH="1">
          <a:off x="1866900" y="35775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590550</xdr:colOff>
      <xdr:row>170</xdr:row>
      <xdr:rowOff>104775</xdr:rowOff>
    </xdr:from>
    <xdr:to>
      <xdr:col>13</xdr:col>
      <xdr:colOff>676275</xdr:colOff>
      <xdr:row>170</xdr:row>
      <xdr:rowOff>123825</xdr:rowOff>
    </xdr:to>
    <xdr:sp macro="" textlink="">
      <xdr:nvSpPr>
        <xdr:cNvPr id="1419" name="Line 101034">
          <a:extLst>
            <a:ext uri="{FF2B5EF4-FFF2-40B4-BE49-F238E27FC236}">
              <a16:creationId xmlns:a16="http://schemas.microsoft.com/office/drawing/2014/main" id="{00000000-0008-0000-0000-00008B050000}"/>
            </a:ext>
          </a:extLst>
        </xdr:cNvPr>
        <xdr:cNvSpPr>
          <a:spLocks noChangeShapeType="1"/>
        </xdr:cNvSpPr>
      </xdr:nvSpPr>
      <xdr:spPr bwMode="auto">
        <a:xfrm>
          <a:off x="9829800" y="33051750"/>
          <a:ext cx="8572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708025</xdr:colOff>
      <xdr:row>168</xdr:row>
      <xdr:rowOff>28575</xdr:rowOff>
    </xdr:from>
    <xdr:to>
      <xdr:col>14</xdr:col>
      <xdr:colOff>752475</xdr:colOff>
      <xdr:row>168</xdr:row>
      <xdr:rowOff>28575</xdr:rowOff>
    </xdr:to>
    <xdr:sp macro="" textlink="">
      <xdr:nvSpPr>
        <xdr:cNvPr id="1421" name="Line 23412">
          <a:extLst>
            <a:ext uri="{FF2B5EF4-FFF2-40B4-BE49-F238E27FC236}">
              <a16:creationId xmlns:a16="http://schemas.microsoft.com/office/drawing/2014/main" id="{00000000-0008-0000-0000-00008D050000}"/>
            </a:ext>
          </a:extLst>
        </xdr:cNvPr>
        <xdr:cNvSpPr>
          <a:spLocks noChangeShapeType="1"/>
        </xdr:cNvSpPr>
      </xdr:nvSpPr>
      <xdr:spPr bwMode="auto">
        <a:xfrm>
          <a:off x="8861425" y="31813500"/>
          <a:ext cx="1225550"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990600</xdr:colOff>
      <xdr:row>168</xdr:row>
      <xdr:rowOff>66675</xdr:rowOff>
    </xdr:from>
    <xdr:to>
      <xdr:col>13</xdr:col>
      <xdr:colOff>1028700</xdr:colOff>
      <xdr:row>168</xdr:row>
      <xdr:rowOff>104775</xdr:rowOff>
    </xdr:to>
    <xdr:sp macro="" textlink="">
      <xdr:nvSpPr>
        <xdr:cNvPr id="1422" name="Oval 97100">
          <a:extLst>
            <a:ext uri="{FF2B5EF4-FFF2-40B4-BE49-F238E27FC236}">
              <a16:creationId xmlns:a16="http://schemas.microsoft.com/office/drawing/2014/main" id="{00000000-0008-0000-0000-00008E050000}"/>
            </a:ext>
          </a:extLst>
        </xdr:cNvPr>
        <xdr:cNvSpPr>
          <a:spLocks noChangeArrowheads="1"/>
        </xdr:cNvSpPr>
      </xdr:nvSpPr>
      <xdr:spPr bwMode="auto">
        <a:xfrm>
          <a:off x="9144000" y="318516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428625</xdr:colOff>
      <xdr:row>168</xdr:row>
      <xdr:rowOff>66675</xdr:rowOff>
    </xdr:from>
    <xdr:to>
      <xdr:col>14</xdr:col>
      <xdr:colOff>466725</xdr:colOff>
      <xdr:row>168</xdr:row>
      <xdr:rowOff>104775</xdr:rowOff>
    </xdr:to>
    <xdr:sp macro="" textlink="">
      <xdr:nvSpPr>
        <xdr:cNvPr id="1423" name="Oval 97100">
          <a:extLst>
            <a:ext uri="{FF2B5EF4-FFF2-40B4-BE49-F238E27FC236}">
              <a16:creationId xmlns:a16="http://schemas.microsoft.com/office/drawing/2014/main" id="{00000000-0008-0000-0000-00008F050000}"/>
            </a:ext>
          </a:extLst>
        </xdr:cNvPr>
        <xdr:cNvSpPr>
          <a:spLocks noChangeArrowheads="1"/>
        </xdr:cNvSpPr>
      </xdr:nvSpPr>
      <xdr:spPr bwMode="auto">
        <a:xfrm>
          <a:off x="9763125" y="3185160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628650</xdr:colOff>
      <xdr:row>168</xdr:row>
      <xdr:rowOff>171450</xdr:rowOff>
    </xdr:from>
    <xdr:to>
      <xdr:col>14</xdr:col>
      <xdr:colOff>546101</xdr:colOff>
      <xdr:row>171</xdr:row>
      <xdr:rowOff>50800</xdr:rowOff>
    </xdr:to>
    <xdr:sp macro="" textlink="">
      <xdr:nvSpPr>
        <xdr:cNvPr id="1424" name="Freeform 23415">
          <a:extLst>
            <a:ext uri="{FF2B5EF4-FFF2-40B4-BE49-F238E27FC236}">
              <a16:creationId xmlns:a16="http://schemas.microsoft.com/office/drawing/2014/main" id="{00000000-0008-0000-0000-000090050000}"/>
            </a:ext>
          </a:extLst>
        </xdr:cNvPr>
        <xdr:cNvSpPr>
          <a:spLocks/>
        </xdr:cNvSpPr>
      </xdr:nvSpPr>
      <xdr:spPr bwMode="auto">
        <a:xfrm>
          <a:off x="8782050" y="31956375"/>
          <a:ext cx="1098551" cy="450850"/>
        </a:xfrm>
        <a:custGeom>
          <a:avLst/>
          <a:gdLst>
            <a:gd name="T0" fmla="*/ 1171575 w 134"/>
            <a:gd name="T1" fmla="*/ 0 h 76"/>
            <a:gd name="T2" fmla="*/ 34972 w 134"/>
            <a:gd name="T3" fmla="*/ 0 h 76"/>
            <a:gd name="T4" fmla="*/ 0 w 134"/>
            <a:gd name="T5" fmla="*/ 20053 h 76"/>
            <a:gd name="T6" fmla="*/ 0 w 134"/>
            <a:gd name="T7" fmla="*/ 381000 h 76"/>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76">
              <a:moveTo>
                <a:pt x="134" y="0"/>
              </a:moveTo>
              <a:lnTo>
                <a:pt x="4" y="0"/>
              </a:lnTo>
              <a:lnTo>
                <a:pt x="0" y="4"/>
              </a:lnTo>
              <a:lnTo>
                <a:pt x="0" y="76"/>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669925</xdr:colOff>
      <xdr:row>169</xdr:row>
      <xdr:rowOff>9525</xdr:rowOff>
    </xdr:from>
    <xdr:to>
      <xdr:col>13</xdr:col>
      <xdr:colOff>727075</xdr:colOff>
      <xdr:row>169</xdr:row>
      <xdr:rowOff>66675</xdr:rowOff>
    </xdr:to>
    <xdr:sp macro="" textlink="">
      <xdr:nvSpPr>
        <xdr:cNvPr id="1425" name="Oval 23416">
          <a:extLst>
            <a:ext uri="{FF2B5EF4-FFF2-40B4-BE49-F238E27FC236}">
              <a16:creationId xmlns:a16="http://schemas.microsoft.com/office/drawing/2014/main" id="{00000000-0008-0000-0000-000091050000}"/>
            </a:ext>
          </a:extLst>
        </xdr:cNvPr>
        <xdr:cNvSpPr>
          <a:spLocks noChangeArrowheads="1"/>
        </xdr:cNvSpPr>
      </xdr:nvSpPr>
      <xdr:spPr bwMode="auto">
        <a:xfrm>
          <a:off x="8823325" y="31984950"/>
          <a:ext cx="57150" cy="57150"/>
        </a:xfrm>
        <a:prstGeom prst="ellipse">
          <a:avLst/>
        </a:prstGeom>
        <a:solidFill>
          <a:srgbClr xmlns:mc="http://schemas.openxmlformats.org/markup-compatibility/2006" xmlns:a14="http://schemas.microsoft.com/office/drawing/2010/main" val="FFFFFF" mc:Ignorable="a14" a14:legacySpreadsheetColorIndex="65"/>
        </a:solidFill>
        <a:ln w="508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814387</xdr:colOff>
      <xdr:row>167</xdr:row>
      <xdr:rowOff>120650</xdr:rowOff>
    </xdr:from>
    <xdr:to>
      <xdr:col>14</xdr:col>
      <xdr:colOff>749298</xdr:colOff>
      <xdr:row>167</xdr:row>
      <xdr:rowOff>120650</xdr:rowOff>
    </xdr:to>
    <xdr:sp macro="" textlink="">
      <xdr:nvSpPr>
        <xdr:cNvPr id="1426" name="Line 23417">
          <a:extLst>
            <a:ext uri="{FF2B5EF4-FFF2-40B4-BE49-F238E27FC236}">
              <a16:creationId xmlns:a16="http://schemas.microsoft.com/office/drawing/2014/main" id="{00000000-0008-0000-0000-000092050000}"/>
            </a:ext>
          </a:extLst>
        </xdr:cNvPr>
        <xdr:cNvSpPr>
          <a:spLocks noChangeShapeType="1"/>
        </xdr:cNvSpPr>
      </xdr:nvSpPr>
      <xdr:spPr bwMode="auto">
        <a:xfrm flipH="1">
          <a:off x="8967787" y="31715075"/>
          <a:ext cx="1116011"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546100</xdr:colOff>
      <xdr:row>168</xdr:row>
      <xdr:rowOff>114300</xdr:rowOff>
    </xdr:from>
    <xdr:to>
      <xdr:col>13</xdr:col>
      <xdr:colOff>666750</xdr:colOff>
      <xdr:row>169</xdr:row>
      <xdr:rowOff>22226</xdr:rowOff>
    </xdr:to>
    <xdr:sp macro="" textlink="">
      <xdr:nvSpPr>
        <xdr:cNvPr id="1427" name="Line 23418">
          <a:extLst>
            <a:ext uri="{FF2B5EF4-FFF2-40B4-BE49-F238E27FC236}">
              <a16:creationId xmlns:a16="http://schemas.microsoft.com/office/drawing/2014/main" id="{00000000-0008-0000-0000-000093050000}"/>
            </a:ext>
          </a:extLst>
        </xdr:cNvPr>
        <xdr:cNvSpPr>
          <a:spLocks noChangeShapeType="1"/>
        </xdr:cNvSpPr>
      </xdr:nvSpPr>
      <xdr:spPr bwMode="auto">
        <a:xfrm>
          <a:off x="8699500" y="31899225"/>
          <a:ext cx="120650" cy="984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104775</xdr:colOff>
      <xdr:row>167</xdr:row>
      <xdr:rowOff>76201</xdr:rowOff>
    </xdr:from>
    <xdr:to>
      <xdr:col>15</xdr:col>
      <xdr:colOff>104775</xdr:colOff>
      <xdr:row>168</xdr:row>
      <xdr:rowOff>171451</xdr:rowOff>
    </xdr:to>
    <xdr:sp macro="" textlink="">
      <xdr:nvSpPr>
        <xdr:cNvPr id="1428" name="Line 23419">
          <a:extLst>
            <a:ext uri="{FF2B5EF4-FFF2-40B4-BE49-F238E27FC236}">
              <a16:creationId xmlns:a16="http://schemas.microsoft.com/office/drawing/2014/main" id="{00000000-0008-0000-0000-000094050000}"/>
            </a:ext>
          </a:extLst>
        </xdr:cNvPr>
        <xdr:cNvSpPr>
          <a:spLocks noChangeShapeType="1"/>
        </xdr:cNvSpPr>
      </xdr:nvSpPr>
      <xdr:spPr bwMode="auto">
        <a:xfrm>
          <a:off x="10277475" y="31670626"/>
          <a:ext cx="0" cy="285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167</xdr:row>
      <xdr:rowOff>123825</xdr:rowOff>
    </xdr:from>
    <xdr:to>
      <xdr:col>15</xdr:col>
      <xdr:colOff>142875</xdr:colOff>
      <xdr:row>167</xdr:row>
      <xdr:rowOff>123825</xdr:rowOff>
    </xdr:to>
    <xdr:sp macro="" textlink="">
      <xdr:nvSpPr>
        <xdr:cNvPr id="1429" name="Line 23420">
          <a:extLst>
            <a:ext uri="{FF2B5EF4-FFF2-40B4-BE49-F238E27FC236}">
              <a16:creationId xmlns:a16="http://schemas.microsoft.com/office/drawing/2014/main" id="{00000000-0008-0000-0000-000095050000}"/>
            </a:ext>
          </a:extLst>
        </xdr:cNvPr>
        <xdr:cNvSpPr>
          <a:spLocks noChangeShapeType="1"/>
        </xdr:cNvSpPr>
      </xdr:nvSpPr>
      <xdr:spPr bwMode="auto">
        <a:xfrm>
          <a:off x="10115550" y="3171825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168</xdr:row>
      <xdr:rowOff>47625</xdr:rowOff>
    </xdr:from>
    <xdr:to>
      <xdr:col>15</xdr:col>
      <xdr:colOff>123825</xdr:colOff>
      <xdr:row>168</xdr:row>
      <xdr:rowOff>47625</xdr:rowOff>
    </xdr:to>
    <xdr:sp macro="" textlink="">
      <xdr:nvSpPr>
        <xdr:cNvPr id="1430" name="Line 23421">
          <a:extLst>
            <a:ext uri="{FF2B5EF4-FFF2-40B4-BE49-F238E27FC236}">
              <a16:creationId xmlns:a16="http://schemas.microsoft.com/office/drawing/2014/main" id="{00000000-0008-0000-0000-000096050000}"/>
            </a:ext>
          </a:extLst>
        </xdr:cNvPr>
        <xdr:cNvSpPr>
          <a:spLocks noChangeShapeType="1"/>
        </xdr:cNvSpPr>
      </xdr:nvSpPr>
      <xdr:spPr bwMode="auto">
        <a:xfrm>
          <a:off x="10115550" y="31832550"/>
          <a:ext cx="1809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781050</xdr:colOff>
      <xdr:row>168</xdr:row>
      <xdr:rowOff>9525</xdr:rowOff>
    </xdr:from>
    <xdr:to>
      <xdr:col>15</xdr:col>
      <xdr:colOff>133350</xdr:colOff>
      <xdr:row>168</xdr:row>
      <xdr:rowOff>9525</xdr:rowOff>
    </xdr:to>
    <xdr:sp macro="" textlink="">
      <xdr:nvSpPr>
        <xdr:cNvPr id="1431" name="Line 23422">
          <a:extLst>
            <a:ext uri="{FF2B5EF4-FFF2-40B4-BE49-F238E27FC236}">
              <a16:creationId xmlns:a16="http://schemas.microsoft.com/office/drawing/2014/main" id="{00000000-0008-0000-0000-000097050000}"/>
            </a:ext>
          </a:extLst>
        </xdr:cNvPr>
        <xdr:cNvSpPr>
          <a:spLocks noChangeShapeType="1"/>
        </xdr:cNvSpPr>
      </xdr:nvSpPr>
      <xdr:spPr bwMode="auto">
        <a:xfrm>
          <a:off x="10115550" y="31794450"/>
          <a:ext cx="190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523875</xdr:colOff>
      <xdr:row>168</xdr:row>
      <xdr:rowOff>114300</xdr:rowOff>
    </xdr:from>
    <xdr:to>
      <xdr:col>15</xdr:col>
      <xdr:colOff>142875</xdr:colOff>
      <xdr:row>168</xdr:row>
      <xdr:rowOff>114300</xdr:rowOff>
    </xdr:to>
    <xdr:sp macro="" textlink="">
      <xdr:nvSpPr>
        <xdr:cNvPr id="1432" name="Line 23423">
          <a:extLst>
            <a:ext uri="{FF2B5EF4-FFF2-40B4-BE49-F238E27FC236}">
              <a16:creationId xmlns:a16="http://schemas.microsoft.com/office/drawing/2014/main" id="{00000000-0008-0000-0000-000098050000}"/>
            </a:ext>
          </a:extLst>
        </xdr:cNvPr>
        <xdr:cNvSpPr>
          <a:spLocks noChangeShapeType="1"/>
        </xdr:cNvSpPr>
      </xdr:nvSpPr>
      <xdr:spPr bwMode="auto">
        <a:xfrm>
          <a:off x="9858375" y="31899225"/>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676275</xdr:colOff>
      <xdr:row>168</xdr:row>
      <xdr:rowOff>76201</xdr:rowOff>
    </xdr:from>
    <xdr:to>
      <xdr:col>14</xdr:col>
      <xdr:colOff>676275</xdr:colOff>
      <xdr:row>169</xdr:row>
      <xdr:rowOff>31751</xdr:rowOff>
    </xdr:to>
    <xdr:sp macro="" textlink="">
      <xdr:nvSpPr>
        <xdr:cNvPr id="1433" name="Line 23424">
          <a:extLst>
            <a:ext uri="{FF2B5EF4-FFF2-40B4-BE49-F238E27FC236}">
              <a16:creationId xmlns:a16="http://schemas.microsoft.com/office/drawing/2014/main" id="{00000000-0008-0000-0000-000099050000}"/>
            </a:ext>
          </a:extLst>
        </xdr:cNvPr>
        <xdr:cNvSpPr>
          <a:spLocks noChangeShapeType="1"/>
        </xdr:cNvSpPr>
      </xdr:nvSpPr>
      <xdr:spPr bwMode="auto">
        <a:xfrm>
          <a:off x="10010775" y="31861126"/>
          <a:ext cx="0" cy="146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638175</xdr:colOff>
      <xdr:row>168</xdr:row>
      <xdr:rowOff>76200</xdr:rowOff>
    </xdr:from>
    <xdr:to>
      <xdr:col>14</xdr:col>
      <xdr:colOff>704850</xdr:colOff>
      <xdr:row>168</xdr:row>
      <xdr:rowOff>133350</xdr:rowOff>
    </xdr:to>
    <xdr:sp macro="" textlink="">
      <xdr:nvSpPr>
        <xdr:cNvPr id="1434" name="Line 23425">
          <a:extLst>
            <a:ext uri="{FF2B5EF4-FFF2-40B4-BE49-F238E27FC236}">
              <a16:creationId xmlns:a16="http://schemas.microsoft.com/office/drawing/2014/main" id="{00000000-0008-0000-0000-00009A050000}"/>
            </a:ext>
          </a:extLst>
        </xdr:cNvPr>
        <xdr:cNvSpPr>
          <a:spLocks noChangeShapeType="1"/>
        </xdr:cNvSpPr>
      </xdr:nvSpPr>
      <xdr:spPr bwMode="auto">
        <a:xfrm flipH="1">
          <a:off x="9972675" y="31861125"/>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647700</xdr:colOff>
      <xdr:row>168</xdr:row>
      <xdr:rowOff>123825</xdr:rowOff>
    </xdr:from>
    <xdr:to>
      <xdr:col>14</xdr:col>
      <xdr:colOff>714375</xdr:colOff>
      <xdr:row>168</xdr:row>
      <xdr:rowOff>180975</xdr:rowOff>
    </xdr:to>
    <xdr:sp macro="" textlink="">
      <xdr:nvSpPr>
        <xdr:cNvPr id="1435" name="Line 23426">
          <a:extLst>
            <a:ext uri="{FF2B5EF4-FFF2-40B4-BE49-F238E27FC236}">
              <a16:creationId xmlns:a16="http://schemas.microsoft.com/office/drawing/2014/main" id="{00000000-0008-0000-0000-00009B050000}"/>
            </a:ext>
          </a:extLst>
        </xdr:cNvPr>
        <xdr:cNvSpPr>
          <a:spLocks noChangeShapeType="1"/>
        </xdr:cNvSpPr>
      </xdr:nvSpPr>
      <xdr:spPr bwMode="auto">
        <a:xfrm flipH="1">
          <a:off x="9982200" y="31908750"/>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167</xdr:row>
      <xdr:rowOff>95250</xdr:rowOff>
    </xdr:from>
    <xdr:to>
      <xdr:col>15</xdr:col>
      <xdr:colOff>133350</xdr:colOff>
      <xdr:row>167</xdr:row>
      <xdr:rowOff>152400</xdr:rowOff>
    </xdr:to>
    <xdr:sp macro="" textlink="">
      <xdr:nvSpPr>
        <xdr:cNvPr id="1436" name="Line 23427">
          <a:extLst>
            <a:ext uri="{FF2B5EF4-FFF2-40B4-BE49-F238E27FC236}">
              <a16:creationId xmlns:a16="http://schemas.microsoft.com/office/drawing/2014/main" id="{00000000-0008-0000-0000-00009C050000}"/>
            </a:ext>
          </a:extLst>
        </xdr:cNvPr>
        <xdr:cNvSpPr>
          <a:spLocks noChangeShapeType="1"/>
        </xdr:cNvSpPr>
      </xdr:nvSpPr>
      <xdr:spPr bwMode="auto">
        <a:xfrm flipH="1">
          <a:off x="10248900" y="316896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168</xdr:row>
      <xdr:rowOff>19050</xdr:rowOff>
    </xdr:from>
    <xdr:to>
      <xdr:col>15</xdr:col>
      <xdr:colOff>133350</xdr:colOff>
      <xdr:row>168</xdr:row>
      <xdr:rowOff>76200</xdr:rowOff>
    </xdr:to>
    <xdr:sp macro="" textlink="">
      <xdr:nvSpPr>
        <xdr:cNvPr id="1437" name="Line 23428">
          <a:extLst>
            <a:ext uri="{FF2B5EF4-FFF2-40B4-BE49-F238E27FC236}">
              <a16:creationId xmlns:a16="http://schemas.microsoft.com/office/drawing/2014/main" id="{00000000-0008-0000-0000-00009D050000}"/>
            </a:ext>
          </a:extLst>
        </xdr:cNvPr>
        <xdr:cNvSpPr>
          <a:spLocks noChangeShapeType="1"/>
        </xdr:cNvSpPr>
      </xdr:nvSpPr>
      <xdr:spPr bwMode="auto">
        <a:xfrm flipH="1">
          <a:off x="10248900" y="318039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168</xdr:row>
      <xdr:rowOff>85725</xdr:rowOff>
    </xdr:from>
    <xdr:to>
      <xdr:col>15</xdr:col>
      <xdr:colOff>133350</xdr:colOff>
      <xdr:row>168</xdr:row>
      <xdr:rowOff>142875</xdr:rowOff>
    </xdr:to>
    <xdr:sp macro="" textlink="">
      <xdr:nvSpPr>
        <xdr:cNvPr id="1438" name="Line 23429">
          <a:extLst>
            <a:ext uri="{FF2B5EF4-FFF2-40B4-BE49-F238E27FC236}">
              <a16:creationId xmlns:a16="http://schemas.microsoft.com/office/drawing/2014/main" id="{00000000-0008-0000-0000-00009E050000}"/>
            </a:ext>
          </a:extLst>
        </xdr:cNvPr>
        <xdr:cNvSpPr>
          <a:spLocks noChangeShapeType="1"/>
        </xdr:cNvSpPr>
      </xdr:nvSpPr>
      <xdr:spPr bwMode="auto">
        <a:xfrm flipH="1">
          <a:off x="10248900" y="318706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167</xdr:row>
      <xdr:rowOff>161925</xdr:rowOff>
    </xdr:from>
    <xdr:to>
      <xdr:col>15</xdr:col>
      <xdr:colOff>133350</xdr:colOff>
      <xdr:row>168</xdr:row>
      <xdr:rowOff>28575</xdr:rowOff>
    </xdr:to>
    <xdr:sp macro="" textlink="">
      <xdr:nvSpPr>
        <xdr:cNvPr id="1439" name="Line 23430">
          <a:extLst>
            <a:ext uri="{FF2B5EF4-FFF2-40B4-BE49-F238E27FC236}">
              <a16:creationId xmlns:a16="http://schemas.microsoft.com/office/drawing/2014/main" id="{00000000-0008-0000-0000-00009F050000}"/>
            </a:ext>
          </a:extLst>
        </xdr:cNvPr>
        <xdr:cNvSpPr>
          <a:spLocks noChangeShapeType="1"/>
        </xdr:cNvSpPr>
      </xdr:nvSpPr>
      <xdr:spPr bwMode="auto">
        <a:xfrm flipH="1">
          <a:off x="10248900" y="317563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133350</xdr:colOff>
      <xdr:row>166</xdr:row>
      <xdr:rowOff>171450</xdr:rowOff>
    </xdr:from>
    <xdr:to>
      <xdr:col>15</xdr:col>
      <xdr:colOff>333375</xdr:colOff>
      <xdr:row>167</xdr:row>
      <xdr:rowOff>142875</xdr:rowOff>
    </xdr:to>
    <xdr:sp macro="" textlink="">
      <xdr:nvSpPr>
        <xdr:cNvPr id="1440" name="Line 23431">
          <a:extLst>
            <a:ext uri="{FF2B5EF4-FFF2-40B4-BE49-F238E27FC236}">
              <a16:creationId xmlns:a16="http://schemas.microsoft.com/office/drawing/2014/main" id="{00000000-0008-0000-0000-0000A0050000}"/>
            </a:ext>
          </a:extLst>
        </xdr:cNvPr>
        <xdr:cNvSpPr>
          <a:spLocks noChangeShapeType="1"/>
        </xdr:cNvSpPr>
      </xdr:nvSpPr>
      <xdr:spPr bwMode="auto">
        <a:xfrm flipH="1">
          <a:off x="10306050" y="31575375"/>
          <a:ext cx="200025"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152400</xdr:colOff>
      <xdr:row>168</xdr:row>
      <xdr:rowOff>76200</xdr:rowOff>
    </xdr:from>
    <xdr:to>
      <xdr:col>15</xdr:col>
      <xdr:colOff>333375</xdr:colOff>
      <xdr:row>168</xdr:row>
      <xdr:rowOff>114300</xdr:rowOff>
    </xdr:to>
    <xdr:sp macro="" textlink="">
      <xdr:nvSpPr>
        <xdr:cNvPr id="1441" name="Line 23432">
          <a:extLst>
            <a:ext uri="{FF2B5EF4-FFF2-40B4-BE49-F238E27FC236}">
              <a16:creationId xmlns:a16="http://schemas.microsoft.com/office/drawing/2014/main" id="{00000000-0008-0000-0000-0000A1050000}"/>
            </a:ext>
          </a:extLst>
        </xdr:cNvPr>
        <xdr:cNvSpPr>
          <a:spLocks noChangeShapeType="1"/>
        </xdr:cNvSpPr>
      </xdr:nvSpPr>
      <xdr:spPr bwMode="auto">
        <a:xfrm flipH="1" flipV="1">
          <a:off x="10325100" y="31861125"/>
          <a:ext cx="1809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133350</xdr:colOff>
      <xdr:row>167</xdr:row>
      <xdr:rowOff>161925</xdr:rowOff>
    </xdr:from>
    <xdr:to>
      <xdr:col>15</xdr:col>
      <xdr:colOff>266700</xdr:colOff>
      <xdr:row>168</xdr:row>
      <xdr:rowOff>28575</xdr:rowOff>
    </xdr:to>
    <xdr:sp macro="" textlink="">
      <xdr:nvSpPr>
        <xdr:cNvPr id="1442" name="Line 23433">
          <a:extLst>
            <a:ext uri="{FF2B5EF4-FFF2-40B4-BE49-F238E27FC236}">
              <a16:creationId xmlns:a16="http://schemas.microsoft.com/office/drawing/2014/main" id="{00000000-0008-0000-0000-0000A2050000}"/>
            </a:ext>
          </a:extLst>
        </xdr:cNvPr>
        <xdr:cNvSpPr>
          <a:spLocks noChangeShapeType="1"/>
        </xdr:cNvSpPr>
      </xdr:nvSpPr>
      <xdr:spPr bwMode="auto">
        <a:xfrm flipH="1">
          <a:off x="10306050" y="31756350"/>
          <a:ext cx="1333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749300</xdr:colOff>
      <xdr:row>169</xdr:row>
      <xdr:rowOff>85725</xdr:rowOff>
    </xdr:from>
    <xdr:to>
      <xdr:col>13</xdr:col>
      <xdr:colOff>1009650</xdr:colOff>
      <xdr:row>169</xdr:row>
      <xdr:rowOff>85725</xdr:rowOff>
    </xdr:to>
    <xdr:sp macro="" textlink="">
      <xdr:nvSpPr>
        <xdr:cNvPr id="1443" name="Line 23434">
          <a:extLst>
            <a:ext uri="{FF2B5EF4-FFF2-40B4-BE49-F238E27FC236}">
              <a16:creationId xmlns:a16="http://schemas.microsoft.com/office/drawing/2014/main" id="{00000000-0008-0000-0000-0000A3050000}"/>
            </a:ext>
          </a:extLst>
        </xdr:cNvPr>
        <xdr:cNvSpPr>
          <a:spLocks noChangeShapeType="1"/>
        </xdr:cNvSpPr>
      </xdr:nvSpPr>
      <xdr:spPr bwMode="auto">
        <a:xfrm>
          <a:off x="8902700" y="32061150"/>
          <a:ext cx="260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914400</xdr:colOff>
      <xdr:row>167</xdr:row>
      <xdr:rowOff>28575</xdr:rowOff>
    </xdr:from>
    <xdr:to>
      <xdr:col>13</xdr:col>
      <xdr:colOff>914400</xdr:colOff>
      <xdr:row>169</xdr:row>
      <xdr:rowOff>123825</xdr:rowOff>
    </xdr:to>
    <xdr:sp macro="" textlink="">
      <xdr:nvSpPr>
        <xdr:cNvPr id="1444" name="Line 23435">
          <a:extLst>
            <a:ext uri="{FF2B5EF4-FFF2-40B4-BE49-F238E27FC236}">
              <a16:creationId xmlns:a16="http://schemas.microsoft.com/office/drawing/2014/main" id="{00000000-0008-0000-0000-0000A4050000}"/>
            </a:ext>
          </a:extLst>
        </xdr:cNvPr>
        <xdr:cNvSpPr>
          <a:spLocks noChangeShapeType="1"/>
        </xdr:cNvSpPr>
      </xdr:nvSpPr>
      <xdr:spPr bwMode="auto">
        <a:xfrm>
          <a:off x="9067800" y="316230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857250</xdr:colOff>
      <xdr:row>167</xdr:row>
      <xdr:rowOff>76200</xdr:rowOff>
    </xdr:from>
    <xdr:to>
      <xdr:col>13</xdr:col>
      <xdr:colOff>952500</xdr:colOff>
      <xdr:row>167</xdr:row>
      <xdr:rowOff>161925</xdr:rowOff>
    </xdr:to>
    <xdr:sp macro="" textlink="">
      <xdr:nvSpPr>
        <xdr:cNvPr id="1445" name="Line 23436">
          <a:extLst>
            <a:ext uri="{FF2B5EF4-FFF2-40B4-BE49-F238E27FC236}">
              <a16:creationId xmlns:a16="http://schemas.microsoft.com/office/drawing/2014/main" id="{00000000-0008-0000-0000-0000A5050000}"/>
            </a:ext>
          </a:extLst>
        </xdr:cNvPr>
        <xdr:cNvSpPr>
          <a:spLocks noChangeShapeType="1"/>
        </xdr:cNvSpPr>
      </xdr:nvSpPr>
      <xdr:spPr bwMode="auto">
        <a:xfrm flipH="1">
          <a:off x="9010650" y="31670625"/>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876300</xdr:colOff>
      <xdr:row>169</xdr:row>
      <xdr:rowOff>47625</xdr:rowOff>
    </xdr:from>
    <xdr:to>
      <xdr:col>13</xdr:col>
      <xdr:colOff>962025</xdr:colOff>
      <xdr:row>169</xdr:row>
      <xdr:rowOff>133350</xdr:rowOff>
    </xdr:to>
    <xdr:sp macro="" textlink="">
      <xdr:nvSpPr>
        <xdr:cNvPr id="1446" name="Line 23437">
          <a:extLst>
            <a:ext uri="{FF2B5EF4-FFF2-40B4-BE49-F238E27FC236}">
              <a16:creationId xmlns:a16="http://schemas.microsoft.com/office/drawing/2014/main" id="{00000000-0008-0000-0000-0000A6050000}"/>
            </a:ext>
          </a:extLst>
        </xdr:cNvPr>
        <xdr:cNvSpPr>
          <a:spLocks noChangeShapeType="1"/>
        </xdr:cNvSpPr>
      </xdr:nvSpPr>
      <xdr:spPr bwMode="auto">
        <a:xfrm flipH="1">
          <a:off x="9029700" y="320230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527050</xdr:colOff>
      <xdr:row>173</xdr:row>
      <xdr:rowOff>66675</xdr:rowOff>
    </xdr:from>
    <xdr:to>
      <xdr:col>14</xdr:col>
      <xdr:colOff>742950</xdr:colOff>
      <xdr:row>173</xdr:row>
      <xdr:rowOff>66675</xdr:rowOff>
    </xdr:to>
    <xdr:sp macro="" textlink="">
      <xdr:nvSpPr>
        <xdr:cNvPr id="1447" name="Line 23438">
          <a:extLst>
            <a:ext uri="{FF2B5EF4-FFF2-40B4-BE49-F238E27FC236}">
              <a16:creationId xmlns:a16="http://schemas.microsoft.com/office/drawing/2014/main" id="{00000000-0008-0000-0000-0000A7050000}"/>
            </a:ext>
          </a:extLst>
        </xdr:cNvPr>
        <xdr:cNvSpPr>
          <a:spLocks noChangeShapeType="1"/>
        </xdr:cNvSpPr>
      </xdr:nvSpPr>
      <xdr:spPr bwMode="auto">
        <a:xfrm>
          <a:off x="8680450" y="32804100"/>
          <a:ext cx="1397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746124</xdr:colOff>
      <xdr:row>172</xdr:row>
      <xdr:rowOff>161925</xdr:rowOff>
    </xdr:from>
    <xdr:to>
      <xdr:col>14</xdr:col>
      <xdr:colOff>742949</xdr:colOff>
      <xdr:row>172</xdr:row>
      <xdr:rowOff>161925</xdr:rowOff>
    </xdr:to>
    <xdr:sp macro="" textlink="">
      <xdr:nvSpPr>
        <xdr:cNvPr id="1448" name="Line 23439">
          <a:extLst>
            <a:ext uri="{FF2B5EF4-FFF2-40B4-BE49-F238E27FC236}">
              <a16:creationId xmlns:a16="http://schemas.microsoft.com/office/drawing/2014/main" id="{00000000-0008-0000-0000-0000A8050000}"/>
            </a:ext>
          </a:extLst>
        </xdr:cNvPr>
        <xdr:cNvSpPr>
          <a:spLocks noChangeShapeType="1"/>
        </xdr:cNvSpPr>
      </xdr:nvSpPr>
      <xdr:spPr bwMode="auto">
        <a:xfrm>
          <a:off x="8899524" y="32708850"/>
          <a:ext cx="1177925" cy="0"/>
        </a:xfrm>
        <a:prstGeom prst="line">
          <a:avLst/>
        </a:prstGeom>
        <a:noFill/>
        <a:ln w="444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968375</xdr:colOff>
      <xdr:row>172</xdr:row>
      <xdr:rowOff>82550</xdr:rowOff>
    </xdr:from>
    <xdr:to>
      <xdr:col>13</xdr:col>
      <xdr:colOff>1006475</xdr:colOff>
      <xdr:row>172</xdr:row>
      <xdr:rowOff>120650</xdr:rowOff>
    </xdr:to>
    <xdr:sp macro="" textlink="">
      <xdr:nvSpPr>
        <xdr:cNvPr id="1449" name="Oval 97100">
          <a:extLst>
            <a:ext uri="{FF2B5EF4-FFF2-40B4-BE49-F238E27FC236}">
              <a16:creationId xmlns:a16="http://schemas.microsoft.com/office/drawing/2014/main" id="{00000000-0008-0000-0000-0000A9050000}"/>
            </a:ext>
          </a:extLst>
        </xdr:cNvPr>
        <xdr:cNvSpPr>
          <a:spLocks noChangeArrowheads="1"/>
        </xdr:cNvSpPr>
      </xdr:nvSpPr>
      <xdr:spPr bwMode="auto">
        <a:xfrm>
          <a:off x="9121775" y="32629475"/>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438150</xdr:colOff>
      <xdr:row>172</xdr:row>
      <xdr:rowOff>85725</xdr:rowOff>
    </xdr:from>
    <xdr:to>
      <xdr:col>14</xdr:col>
      <xdr:colOff>476250</xdr:colOff>
      <xdr:row>172</xdr:row>
      <xdr:rowOff>123825</xdr:rowOff>
    </xdr:to>
    <xdr:sp macro="" textlink="">
      <xdr:nvSpPr>
        <xdr:cNvPr id="1450" name="Oval 97100">
          <a:extLst>
            <a:ext uri="{FF2B5EF4-FFF2-40B4-BE49-F238E27FC236}">
              <a16:creationId xmlns:a16="http://schemas.microsoft.com/office/drawing/2014/main" id="{00000000-0008-0000-0000-0000AA050000}"/>
            </a:ext>
          </a:extLst>
        </xdr:cNvPr>
        <xdr:cNvSpPr>
          <a:spLocks noChangeArrowheads="1"/>
        </xdr:cNvSpPr>
      </xdr:nvSpPr>
      <xdr:spPr bwMode="auto">
        <a:xfrm>
          <a:off x="9772650" y="326326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13</xdr:col>
      <xdr:colOff>625475</xdr:colOff>
      <xdr:row>171</xdr:row>
      <xdr:rowOff>171450</xdr:rowOff>
    </xdr:from>
    <xdr:to>
      <xdr:col>14</xdr:col>
      <xdr:colOff>552450</xdr:colOff>
      <xdr:row>172</xdr:row>
      <xdr:rowOff>152400</xdr:rowOff>
    </xdr:to>
    <xdr:sp macro="" textlink="">
      <xdr:nvSpPr>
        <xdr:cNvPr id="1451" name="Freeform 23442">
          <a:extLst>
            <a:ext uri="{FF2B5EF4-FFF2-40B4-BE49-F238E27FC236}">
              <a16:creationId xmlns:a16="http://schemas.microsoft.com/office/drawing/2014/main" id="{00000000-0008-0000-0000-0000AB050000}"/>
            </a:ext>
          </a:extLst>
        </xdr:cNvPr>
        <xdr:cNvSpPr>
          <a:spLocks/>
        </xdr:cNvSpPr>
      </xdr:nvSpPr>
      <xdr:spPr bwMode="auto">
        <a:xfrm>
          <a:off x="8778875" y="32527875"/>
          <a:ext cx="1108075" cy="171450"/>
        </a:xfrm>
        <a:custGeom>
          <a:avLst/>
          <a:gdLst>
            <a:gd name="T0" fmla="*/ 0 w 133"/>
            <a:gd name="T1" fmla="*/ 0 h 18"/>
            <a:gd name="T2" fmla="*/ 0 w 133"/>
            <a:gd name="T3" fmla="*/ 127000 h 18"/>
            <a:gd name="T4" fmla="*/ 17761 w 133"/>
            <a:gd name="T5" fmla="*/ 152400 h 18"/>
            <a:gd name="T6" fmla="*/ 1181100 w 133"/>
            <a:gd name="T7" fmla="*/ 152400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3" h="18">
              <a:moveTo>
                <a:pt x="0" y="0"/>
              </a:moveTo>
              <a:lnTo>
                <a:pt x="0" y="15"/>
              </a:lnTo>
              <a:lnTo>
                <a:pt x="2" y="18"/>
              </a:lnTo>
              <a:lnTo>
                <a:pt x="133" y="18"/>
              </a:lnTo>
            </a:path>
          </a:pathLst>
        </a:custGeom>
        <a:noFill/>
        <a:ln w="285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13</xdr:col>
      <xdr:colOff>663575</xdr:colOff>
      <xdr:row>172</xdr:row>
      <xdr:rowOff>85725</xdr:rowOff>
    </xdr:from>
    <xdr:to>
      <xdr:col>13</xdr:col>
      <xdr:colOff>701675</xdr:colOff>
      <xdr:row>172</xdr:row>
      <xdr:rowOff>123825</xdr:rowOff>
    </xdr:to>
    <xdr:sp macro="" textlink="">
      <xdr:nvSpPr>
        <xdr:cNvPr id="1452" name="Oval 97100">
          <a:extLst>
            <a:ext uri="{FF2B5EF4-FFF2-40B4-BE49-F238E27FC236}">
              <a16:creationId xmlns:a16="http://schemas.microsoft.com/office/drawing/2014/main" id="{00000000-0008-0000-0000-0000AC050000}"/>
            </a:ext>
          </a:extLst>
        </xdr:cNvPr>
        <xdr:cNvSpPr>
          <a:spLocks noChangeArrowheads="1"/>
        </xdr:cNvSpPr>
      </xdr:nvSpPr>
      <xdr:spPr bwMode="auto">
        <a:xfrm>
          <a:off x="8816975" y="32632650"/>
          <a:ext cx="38100" cy="38100"/>
        </a:xfrm>
        <a:prstGeom prst="ellipse">
          <a:avLst/>
        </a:prstGeom>
        <a:solidFill>
          <a:srgbClr xmlns:mc="http://schemas.openxmlformats.org/markup-compatibility/2006" xmlns:a14="http://schemas.microsoft.com/office/drawing/2010/main" val="FFFFFF" mc:Ignorable="a14" a14:legacySpreadsheetColorIndex="65"/>
        </a:solidFill>
        <a:ln w="444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14</xdr:col>
      <xdr:colOff>771525</xdr:colOff>
      <xdr:row>173</xdr:row>
      <xdr:rowOff>66675</xdr:rowOff>
    </xdr:from>
    <xdr:to>
      <xdr:col>15</xdr:col>
      <xdr:colOff>142875</xdr:colOff>
      <xdr:row>173</xdr:row>
      <xdr:rowOff>66675</xdr:rowOff>
    </xdr:to>
    <xdr:sp macro="" textlink="">
      <xdr:nvSpPr>
        <xdr:cNvPr id="1453" name="Line 23444">
          <a:extLst>
            <a:ext uri="{FF2B5EF4-FFF2-40B4-BE49-F238E27FC236}">
              <a16:creationId xmlns:a16="http://schemas.microsoft.com/office/drawing/2014/main" id="{00000000-0008-0000-0000-0000AD050000}"/>
            </a:ext>
          </a:extLst>
        </xdr:cNvPr>
        <xdr:cNvSpPr>
          <a:spLocks noChangeShapeType="1"/>
        </xdr:cNvSpPr>
      </xdr:nvSpPr>
      <xdr:spPr bwMode="auto">
        <a:xfrm>
          <a:off x="10106025" y="3280410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771525</xdr:colOff>
      <xdr:row>172</xdr:row>
      <xdr:rowOff>180975</xdr:rowOff>
    </xdr:from>
    <xdr:to>
      <xdr:col>15</xdr:col>
      <xdr:colOff>133350</xdr:colOff>
      <xdr:row>172</xdr:row>
      <xdr:rowOff>180975</xdr:rowOff>
    </xdr:to>
    <xdr:sp macro="" textlink="">
      <xdr:nvSpPr>
        <xdr:cNvPr id="1454" name="Line 23445">
          <a:extLst>
            <a:ext uri="{FF2B5EF4-FFF2-40B4-BE49-F238E27FC236}">
              <a16:creationId xmlns:a16="http://schemas.microsoft.com/office/drawing/2014/main" id="{00000000-0008-0000-0000-0000AE050000}"/>
            </a:ext>
          </a:extLst>
        </xdr:cNvPr>
        <xdr:cNvSpPr>
          <a:spLocks noChangeShapeType="1"/>
        </xdr:cNvSpPr>
      </xdr:nvSpPr>
      <xdr:spPr bwMode="auto">
        <a:xfrm>
          <a:off x="10106025" y="32727900"/>
          <a:ext cx="200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771525</xdr:colOff>
      <xdr:row>172</xdr:row>
      <xdr:rowOff>142875</xdr:rowOff>
    </xdr:from>
    <xdr:to>
      <xdr:col>15</xdr:col>
      <xdr:colOff>142875</xdr:colOff>
      <xdr:row>172</xdr:row>
      <xdr:rowOff>142875</xdr:rowOff>
    </xdr:to>
    <xdr:sp macro="" textlink="">
      <xdr:nvSpPr>
        <xdr:cNvPr id="1455" name="Line 23446">
          <a:extLst>
            <a:ext uri="{FF2B5EF4-FFF2-40B4-BE49-F238E27FC236}">
              <a16:creationId xmlns:a16="http://schemas.microsoft.com/office/drawing/2014/main" id="{00000000-0008-0000-0000-0000AF050000}"/>
            </a:ext>
          </a:extLst>
        </xdr:cNvPr>
        <xdr:cNvSpPr>
          <a:spLocks noChangeShapeType="1"/>
        </xdr:cNvSpPr>
      </xdr:nvSpPr>
      <xdr:spPr bwMode="auto">
        <a:xfrm>
          <a:off x="10106025" y="3268980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172</xdr:row>
      <xdr:rowOff>114300</xdr:rowOff>
    </xdr:from>
    <xdr:to>
      <xdr:col>15</xdr:col>
      <xdr:colOff>123825</xdr:colOff>
      <xdr:row>172</xdr:row>
      <xdr:rowOff>161925</xdr:rowOff>
    </xdr:to>
    <xdr:sp macro="" textlink="">
      <xdr:nvSpPr>
        <xdr:cNvPr id="1456" name="Line 23449">
          <a:extLst>
            <a:ext uri="{FF2B5EF4-FFF2-40B4-BE49-F238E27FC236}">
              <a16:creationId xmlns:a16="http://schemas.microsoft.com/office/drawing/2014/main" id="{00000000-0008-0000-0000-0000B0050000}"/>
            </a:ext>
          </a:extLst>
        </xdr:cNvPr>
        <xdr:cNvSpPr>
          <a:spLocks noChangeShapeType="1"/>
        </xdr:cNvSpPr>
      </xdr:nvSpPr>
      <xdr:spPr bwMode="auto">
        <a:xfrm flipH="1">
          <a:off x="10248900" y="326612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76200</xdr:colOff>
      <xdr:row>172</xdr:row>
      <xdr:rowOff>152400</xdr:rowOff>
    </xdr:from>
    <xdr:to>
      <xdr:col>15</xdr:col>
      <xdr:colOff>123825</xdr:colOff>
      <xdr:row>173</xdr:row>
      <xdr:rowOff>9525</xdr:rowOff>
    </xdr:to>
    <xdr:sp macro="" textlink="">
      <xdr:nvSpPr>
        <xdr:cNvPr id="1457" name="Line 23450">
          <a:extLst>
            <a:ext uri="{FF2B5EF4-FFF2-40B4-BE49-F238E27FC236}">
              <a16:creationId xmlns:a16="http://schemas.microsoft.com/office/drawing/2014/main" id="{00000000-0008-0000-0000-0000B1050000}"/>
            </a:ext>
          </a:extLst>
        </xdr:cNvPr>
        <xdr:cNvSpPr>
          <a:spLocks noChangeShapeType="1"/>
        </xdr:cNvSpPr>
      </xdr:nvSpPr>
      <xdr:spPr bwMode="auto">
        <a:xfrm flipH="1">
          <a:off x="10248900" y="326993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85725</xdr:colOff>
      <xdr:row>173</xdr:row>
      <xdr:rowOff>38100</xdr:rowOff>
    </xdr:from>
    <xdr:to>
      <xdr:col>15</xdr:col>
      <xdr:colOff>133350</xdr:colOff>
      <xdr:row>173</xdr:row>
      <xdr:rowOff>85725</xdr:rowOff>
    </xdr:to>
    <xdr:sp macro="" textlink="">
      <xdr:nvSpPr>
        <xdr:cNvPr id="1458" name="Line 23451">
          <a:extLst>
            <a:ext uri="{FF2B5EF4-FFF2-40B4-BE49-F238E27FC236}">
              <a16:creationId xmlns:a16="http://schemas.microsoft.com/office/drawing/2014/main" id="{00000000-0008-0000-0000-0000B2050000}"/>
            </a:ext>
          </a:extLst>
        </xdr:cNvPr>
        <xdr:cNvSpPr>
          <a:spLocks noChangeShapeType="1"/>
        </xdr:cNvSpPr>
      </xdr:nvSpPr>
      <xdr:spPr bwMode="auto">
        <a:xfrm flipH="1">
          <a:off x="10258425" y="32775525"/>
          <a:ext cx="476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781051</xdr:colOff>
      <xdr:row>169</xdr:row>
      <xdr:rowOff>38100</xdr:rowOff>
    </xdr:from>
    <xdr:to>
      <xdr:col>13</xdr:col>
      <xdr:colOff>990601</xdr:colOff>
      <xdr:row>170</xdr:row>
      <xdr:rowOff>15875</xdr:rowOff>
    </xdr:to>
    <xdr:sp macro="" textlink="">
      <xdr:nvSpPr>
        <xdr:cNvPr id="1459" name="Line 23453">
          <a:extLst>
            <a:ext uri="{FF2B5EF4-FFF2-40B4-BE49-F238E27FC236}">
              <a16:creationId xmlns:a16="http://schemas.microsoft.com/office/drawing/2014/main" id="{00000000-0008-0000-0000-0000B3050000}"/>
            </a:ext>
          </a:extLst>
        </xdr:cNvPr>
        <xdr:cNvSpPr>
          <a:spLocks noChangeShapeType="1"/>
        </xdr:cNvSpPr>
      </xdr:nvSpPr>
      <xdr:spPr bwMode="auto">
        <a:xfrm>
          <a:off x="8934451" y="32013525"/>
          <a:ext cx="209550" cy="168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708024</xdr:colOff>
      <xdr:row>169</xdr:row>
      <xdr:rowOff>114299</xdr:rowOff>
    </xdr:from>
    <xdr:to>
      <xdr:col>13</xdr:col>
      <xdr:colOff>914400</xdr:colOff>
      <xdr:row>170</xdr:row>
      <xdr:rowOff>101600</xdr:rowOff>
    </xdr:to>
    <xdr:sp macro="" textlink="">
      <xdr:nvSpPr>
        <xdr:cNvPr id="1460" name="Line 23454">
          <a:extLst>
            <a:ext uri="{FF2B5EF4-FFF2-40B4-BE49-F238E27FC236}">
              <a16:creationId xmlns:a16="http://schemas.microsoft.com/office/drawing/2014/main" id="{00000000-0008-0000-0000-0000B4050000}"/>
            </a:ext>
          </a:extLst>
        </xdr:cNvPr>
        <xdr:cNvSpPr>
          <a:spLocks noChangeShapeType="1"/>
        </xdr:cNvSpPr>
      </xdr:nvSpPr>
      <xdr:spPr bwMode="auto">
        <a:xfrm>
          <a:off x="8861424" y="32089724"/>
          <a:ext cx="206376" cy="1778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866772</xdr:colOff>
      <xdr:row>169</xdr:row>
      <xdr:rowOff>161925</xdr:rowOff>
    </xdr:from>
    <xdr:to>
      <xdr:col>13</xdr:col>
      <xdr:colOff>990599</xdr:colOff>
      <xdr:row>170</xdr:row>
      <xdr:rowOff>101600</xdr:rowOff>
    </xdr:to>
    <xdr:sp macro="" textlink="">
      <xdr:nvSpPr>
        <xdr:cNvPr id="1461" name="Line 23455">
          <a:extLst>
            <a:ext uri="{FF2B5EF4-FFF2-40B4-BE49-F238E27FC236}">
              <a16:creationId xmlns:a16="http://schemas.microsoft.com/office/drawing/2014/main" id="{00000000-0008-0000-0000-0000B5050000}"/>
            </a:ext>
          </a:extLst>
        </xdr:cNvPr>
        <xdr:cNvSpPr>
          <a:spLocks noChangeShapeType="1"/>
        </xdr:cNvSpPr>
      </xdr:nvSpPr>
      <xdr:spPr bwMode="auto">
        <a:xfrm flipH="1">
          <a:off x="9020172" y="32137350"/>
          <a:ext cx="123827" cy="130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927098</xdr:colOff>
      <xdr:row>169</xdr:row>
      <xdr:rowOff>180975</xdr:rowOff>
    </xdr:from>
    <xdr:to>
      <xdr:col>13</xdr:col>
      <xdr:colOff>1000124</xdr:colOff>
      <xdr:row>170</xdr:row>
      <xdr:rowOff>6350</xdr:rowOff>
    </xdr:to>
    <xdr:sp macro="" textlink="">
      <xdr:nvSpPr>
        <xdr:cNvPr id="1462" name="Line 23457">
          <a:extLst>
            <a:ext uri="{FF2B5EF4-FFF2-40B4-BE49-F238E27FC236}">
              <a16:creationId xmlns:a16="http://schemas.microsoft.com/office/drawing/2014/main" id="{00000000-0008-0000-0000-0000B6050000}"/>
            </a:ext>
          </a:extLst>
        </xdr:cNvPr>
        <xdr:cNvSpPr>
          <a:spLocks noChangeShapeType="1"/>
        </xdr:cNvSpPr>
      </xdr:nvSpPr>
      <xdr:spPr bwMode="auto">
        <a:xfrm flipH="1">
          <a:off x="9080498" y="32156400"/>
          <a:ext cx="73026" cy="15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841372</xdr:colOff>
      <xdr:row>170</xdr:row>
      <xdr:rowOff>73025</xdr:rowOff>
    </xdr:from>
    <xdr:to>
      <xdr:col>13</xdr:col>
      <xdr:colOff>936624</xdr:colOff>
      <xdr:row>170</xdr:row>
      <xdr:rowOff>92074</xdr:rowOff>
    </xdr:to>
    <xdr:sp macro="" textlink="">
      <xdr:nvSpPr>
        <xdr:cNvPr id="1463" name="Line 23458">
          <a:extLst>
            <a:ext uri="{FF2B5EF4-FFF2-40B4-BE49-F238E27FC236}">
              <a16:creationId xmlns:a16="http://schemas.microsoft.com/office/drawing/2014/main" id="{00000000-0008-0000-0000-0000B7050000}"/>
            </a:ext>
          </a:extLst>
        </xdr:cNvPr>
        <xdr:cNvSpPr>
          <a:spLocks noChangeShapeType="1"/>
        </xdr:cNvSpPr>
      </xdr:nvSpPr>
      <xdr:spPr bwMode="auto">
        <a:xfrm flipH="1">
          <a:off x="8994772" y="32238950"/>
          <a:ext cx="95252" cy="19049"/>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123825</xdr:colOff>
      <xdr:row>173</xdr:row>
      <xdr:rowOff>28575</xdr:rowOff>
    </xdr:from>
    <xdr:to>
      <xdr:col>15</xdr:col>
      <xdr:colOff>266700</xdr:colOff>
      <xdr:row>173</xdr:row>
      <xdr:rowOff>104775</xdr:rowOff>
    </xdr:to>
    <xdr:sp macro="" textlink="">
      <xdr:nvSpPr>
        <xdr:cNvPr id="1464" name="Line 23459">
          <a:extLst>
            <a:ext uri="{FF2B5EF4-FFF2-40B4-BE49-F238E27FC236}">
              <a16:creationId xmlns:a16="http://schemas.microsoft.com/office/drawing/2014/main" id="{00000000-0008-0000-0000-0000B8050000}"/>
            </a:ext>
          </a:extLst>
        </xdr:cNvPr>
        <xdr:cNvSpPr>
          <a:spLocks noChangeShapeType="1"/>
        </xdr:cNvSpPr>
      </xdr:nvSpPr>
      <xdr:spPr bwMode="auto">
        <a:xfrm flipH="1" flipV="1">
          <a:off x="10296525" y="32766000"/>
          <a:ext cx="14287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142875</xdr:colOff>
      <xdr:row>172</xdr:row>
      <xdr:rowOff>114300</xdr:rowOff>
    </xdr:from>
    <xdr:to>
      <xdr:col>15</xdr:col>
      <xdr:colOff>266700</xdr:colOff>
      <xdr:row>172</xdr:row>
      <xdr:rowOff>161925</xdr:rowOff>
    </xdr:to>
    <xdr:sp macro="" textlink="">
      <xdr:nvSpPr>
        <xdr:cNvPr id="1465" name="Line 23460">
          <a:extLst>
            <a:ext uri="{FF2B5EF4-FFF2-40B4-BE49-F238E27FC236}">
              <a16:creationId xmlns:a16="http://schemas.microsoft.com/office/drawing/2014/main" id="{00000000-0008-0000-0000-0000B9050000}"/>
            </a:ext>
          </a:extLst>
        </xdr:cNvPr>
        <xdr:cNvSpPr>
          <a:spLocks noChangeShapeType="1"/>
        </xdr:cNvSpPr>
      </xdr:nvSpPr>
      <xdr:spPr bwMode="auto">
        <a:xfrm flipH="1">
          <a:off x="10315575" y="32661225"/>
          <a:ext cx="1238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612775</xdr:colOff>
      <xdr:row>171</xdr:row>
      <xdr:rowOff>79375</xdr:rowOff>
    </xdr:from>
    <xdr:to>
      <xdr:col>13</xdr:col>
      <xdr:colOff>612775</xdr:colOff>
      <xdr:row>171</xdr:row>
      <xdr:rowOff>155575</xdr:rowOff>
    </xdr:to>
    <xdr:sp macro="" textlink="">
      <xdr:nvSpPr>
        <xdr:cNvPr id="1466" name="Line 23462">
          <a:extLst>
            <a:ext uri="{FF2B5EF4-FFF2-40B4-BE49-F238E27FC236}">
              <a16:creationId xmlns:a16="http://schemas.microsoft.com/office/drawing/2014/main" id="{00000000-0008-0000-0000-0000BA050000}"/>
            </a:ext>
          </a:extLst>
        </xdr:cNvPr>
        <xdr:cNvSpPr>
          <a:spLocks noChangeShapeType="1"/>
        </xdr:cNvSpPr>
      </xdr:nvSpPr>
      <xdr:spPr bwMode="auto">
        <a:xfrm>
          <a:off x="8766175" y="3243580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635000</xdr:colOff>
      <xdr:row>171</xdr:row>
      <xdr:rowOff>73025</xdr:rowOff>
    </xdr:from>
    <xdr:to>
      <xdr:col>13</xdr:col>
      <xdr:colOff>635000</xdr:colOff>
      <xdr:row>171</xdr:row>
      <xdr:rowOff>149225</xdr:rowOff>
    </xdr:to>
    <xdr:sp macro="" textlink="">
      <xdr:nvSpPr>
        <xdr:cNvPr id="1467" name="Line 23463">
          <a:extLst>
            <a:ext uri="{FF2B5EF4-FFF2-40B4-BE49-F238E27FC236}">
              <a16:creationId xmlns:a16="http://schemas.microsoft.com/office/drawing/2014/main" id="{00000000-0008-0000-0000-0000BB050000}"/>
            </a:ext>
          </a:extLst>
        </xdr:cNvPr>
        <xdr:cNvSpPr>
          <a:spLocks noChangeShapeType="1"/>
        </xdr:cNvSpPr>
      </xdr:nvSpPr>
      <xdr:spPr bwMode="auto">
        <a:xfrm>
          <a:off x="8788400" y="32429450"/>
          <a:ext cx="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590550</xdr:colOff>
      <xdr:row>171</xdr:row>
      <xdr:rowOff>107950</xdr:rowOff>
    </xdr:from>
    <xdr:to>
      <xdr:col>13</xdr:col>
      <xdr:colOff>879475</xdr:colOff>
      <xdr:row>171</xdr:row>
      <xdr:rowOff>107950</xdr:rowOff>
    </xdr:to>
    <xdr:sp macro="" textlink="">
      <xdr:nvSpPr>
        <xdr:cNvPr id="1468" name="Line 23464">
          <a:extLst>
            <a:ext uri="{FF2B5EF4-FFF2-40B4-BE49-F238E27FC236}">
              <a16:creationId xmlns:a16="http://schemas.microsoft.com/office/drawing/2014/main" id="{00000000-0008-0000-0000-0000BC050000}"/>
            </a:ext>
          </a:extLst>
        </xdr:cNvPr>
        <xdr:cNvSpPr>
          <a:spLocks noChangeShapeType="1"/>
        </xdr:cNvSpPr>
      </xdr:nvSpPr>
      <xdr:spPr bwMode="auto">
        <a:xfrm>
          <a:off x="8743950" y="32464375"/>
          <a:ext cx="288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609600</xdr:colOff>
      <xdr:row>171</xdr:row>
      <xdr:rowOff>85725</xdr:rowOff>
    </xdr:from>
    <xdr:to>
      <xdr:col>13</xdr:col>
      <xdr:colOff>666750</xdr:colOff>
      <xdr:row>171</xdr:row>
      <xdr:rowOff>142875</xdr:rowOff>
    </xdr:to>
    <xdr:sp macro="" textlink="">
      <xdr:nvSpPr>
        <xdr:cNvPr id="1469" name="Line 23465">
          <a:extLst>
            <a:ext uri="{FF2B5EF4-FFF2-40B4-BE49-F238E27FC236}">
              <a16:creationId xmlns:a16="http://schemas.microsoft.com/office/drawing/2014/main" id="{00000000-0008-0000-0000-0000BD050000}"/>
            </a:ext>
          </a:extLst>
        </xdr:cNvPr>
        <xdr:cNvSpPr>
          <a:spLocks noChangeShapeType="1"/>
        </xdr:cNvSpPr>
      </xdr:nvSpPr>
      <xdr:spPr bwMode="auto">
        <a:xfrm flipH="1">
          <a:off x="8763000" y="32442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581025</xdr:colOff>
      <xdr:row>171</xdr:row>
      <xdr:rowOff>85725</xdr:rowOff>
    </xdr:from>
    <xdr:to>
      <xdr:col>13</xdr:col>
      <xdr:colOff>638175</xdr:colOff>
      <xdr:row>171</xdr:row>
      <xdr:rowOff>142875</xdr:rowOff>
    </xdr:to>
    <xdr:sp macro="" textlink="">
      <xdr:nvSpPr>
        <xdr:cNvPr id="1470" name="Line 23466">
          <a:extLst>
            <a:ext uri="{FF2B5EF4-FFF2-40B4-BE49-F238E27FC236}">
              <a16:creationId xmlns:a16="http://schemas.microsoft.com/office/drawing/2014/main" id="{00000000-0008-0000-0000-0000BE050000}"/>
            </a:ext>
          </a:extLst>
        </xdr:cNvPr>
        <xdr:cNvSpPr>
          <a:spLocks noChangeShapeType="1"/>
        </xdr:cNvSpPr>
      </xdr:nvSpPr>
      <xdr:spPr bwMode="auto">
        <a:xfrm flipH="1">
          <a:off x="8734425" y="324421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590550</xdr:colOff>
      <xdr:row>168</xdr:row>
      <xdr:rowOff>152400</xdr:rowOff>
    </xdr:from>
    <xdr:to>
      <xdr:col>14</xdr:col>
      <xdr:colOff>714375</xdr:colOff>
      <xdr:row>168</xdr:row>
      <xdr:rowOff>152400</xdr:rowOff>
    </xdr:to>
    <xdr:sp macro="" textlink="">
      <xdr:nvSpPr>
        <xdr:cNvPr id="1471" name="Line 23469">
          <a:extLst>
            <a:ext uri="{FF2B5EF4-FFF2-40B4-BE49-F238E27FC236}">
              <a16:creationId xmlns:a16="http://schemas.microsoft.com/office/drawing/2014/main" id="{00000000-0008-0000-0000-0000BF050000}"/>
            </a:ext>
          </a:extLst>
        </xdr:cNvPr>
        <xdr:cNvSpPr>
          <a:spLocks noChangeShapeType="1"/>
        </xdr:cNvSpPr>
      </xdr:nvSpPr>
      <xdr:spPr bwMode="auto">
        <a:xfrm>
          <a:off x="9925050" y="31937325"/>
          <a:ext cx="123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728661</xdr:colOff>
      <xdr:row>168</xdr:row>
      <xdr:rowOff>152399</xdr:rowOff>
    </xdr:from>
    <xdr:to>
      <xdr:col>15</xdr:col>
      <xdr:colOff>238124</xdr:colOff>
      <xdr:row>169</xdr:row>
      <xdr:rowOff>61913</xdr:rowOff>
    </xdr:to>
    <xdr:sp macro="" textlink="">
      <xdr:nvSpPr>
        <xdr:cNvPr id="1472" name="Line 23470">
          <a:extLst>
            <a:ext uri="{FF2B5EF4-FFF2-40B4-BE49-F238E27FC236}">
              <a16:creationId xmlns:a16="http://schemas.microsoft.com/office/drawing/2014/main" id="{00000000-0008-0000-0000-0000C0050000}"/>
            </a:ext>
          </a:extLst>
        </xdr:cNvPr>
        <xdr:cNvSpPr>
          <a:spLocks noChangeShapeType="1"/>
        </xdr:cNvSpPr>
      </xdr:nvSpPr>
      <xdr:spPr bwMode="auto">
        <a:xfrm flipH="1" flipV="1">
          <a:off x="10063161" y="31937324"/>
          <a:ext cx="347663" cy="10001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88900</xdr:colOff>
      <xdr:row>172</xdr:row>
      <xdr:rowOff>165100</xdr:rowOff>
    </xdr:from>
    <xdr:to>
      <xdr:col>13</xdr:col>
      <xdr:colOff>590550</xdr:colOff>
      <xdr:row>172</xdr:row>
      <xdr:rowOff>165100</xdr:rowOff>
    </xdr:to>
    <xdr:cxnSp macro="">
      <xdr:nvCxnSpPr>
        <xdr:cNvPr id="1473" name="Lige forbindelse 1472">
          <a:extLst>
            <a:ext uri="{FF2B5EF4-FFF2-40B4-BE49-F238E27FC236}">
              <a16:creationId xmlns:a16="http://schemas.microsoft.com/office/drawing/2014/main" id="{00000000-0008-0000-0000-0000C1050000}"/>
            </a:ext>
          </a:extLst>
        </xdr:cNvPr>
        <xdr:cNvCxnSpPr/>
      </xdr:nvCxnSpPr>
      <xdr:spPr>
        <a:xfrm flipH="1">
          <a:off x="8242300" y="32712025"/>
          <a:ext cx="50165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98425</xdr:colOff>
      <xdr:row>168</xdr:row>
      <xdr:rowOff>168275</xdr:rowOff>
    </xdr:from>
    <xdr:to>
      <xdr:col>13</xdr:col>
      <xdr:colOff>600075</xdr:colOff>
      <xdr:row>168</xdr:row>
      <xdr:rowOff>168275</xdr:rowOff>
    </xdr:to>
    <xdr:cxnSp macro="">
      <xdr:nvCxnSpPr>
        <xdr:cNvPr id="1474" name="Lige forbindelse 1473">
          <a:extLst>
            <a:ext uri="{FF2B5EF4-FFF2-40B4-BE49-F238E27FC236}">
              <a16:creationId xmlns:a16="http://schemas.microsoft.com/office/drawing/2014/main" id="{00000000-0008-0000-0000-0000C2050000}"/>
            </a:ext>
          </a:extLst>
        </xdr:cNvPr>
        <xdr:cNvCxnSpPr/>
      </xdr:nvCxnSpPr>
      <xdr:spPr>
        <a:xfrm flipH="1">
          <a:off x="8251825" y="31953200"/>
          <a:ext cx="50165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152400</xdr:colOff>
      <xdr:row>170</xdr:row>
      <xdr:rowOff>187325</xdr:rowOff>
    </xdr:from>
    <xdr:to>
      <xdr:col>13</xdr:col>
      <xdr:colOff>152400</xdr:colOff>
      <xdr:row>172</xdr:row>
      <xdr:rowOff>180976</xdr:rowOff>
    </xdr:to>
    <xdr:cxnSp macro="">
      <xdr:nvCxnSpPr>
        <xdr:cNvPr id="1475" name="Lige forbindelse 1474">
          <a:extLst>
            <a:ext uri="{FF2B5EF4-FFF2-40B4-BE49-F238E27FC236}">
              <a16:creationId xmlns:a16="http://schemas.microsoft.com/office/drawing/2014/main" id="{00000000-0008-0000-0000-0000C3050000}"/>
            </a:ext>
          </a:extLst>
        </xdr:cNvPr>
        <xdr:cNvCxnSpPr/>
      </xdr:nvCxnSpPr>
      <xdr:spPr>
        <a:xfrm flipV="1">
          <a:off x="8305800" y="32353250"/>
          <a:ext cx="0" cy="374651"/>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114300</xdr:colOff>
      <xdr:row>168</xdr:row>
      <xdr:rowOff>117475</xdr:rowOff>
    </xdr:from>
    <xdr:to>
      <xdr:col>13</xdr:col>
      <xdr:colOff>187325</xdr:colOff>
      <xdr:row>169</xdr:row>
      <xdr:rowOff>0</xdr:rowOff>
    </xdr:to>
    <xdr:cxnSp macro="">
      <xdr:nvCxnSpPr>
        <xdr:cNvPr id="1476" name="Lige forbindelse 1475">
          <a:extLst>
            <a:ext uri="{FF2B5EF4-FFF2-40B4-BE49-F238E27FC236}">
              <a16:creationId xmlns:a16="http://schemas.microsoft.com/office/drawing/2014/main" id="{00000000-0008-0000-0000-0000C4050000}"/>
            </a:ext>
          </a:extLst>
        </xdr:cNvPr>
        <xdr:cNvCxnSpPr/>
      </xdr:nvCxnSpPr>
      <xdr:spPr>
        <a:xfrm flipH="1">
          <a:off x="8267700" y="31902400"/>
          <a:ext cx="73025" cy="730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107950</xdr:colOff>
      <xdr:row>172</xdr:row>
      <xdr:rowOff>136525</xdr:rowOff>
    </xdr:from>
    <xdr:to>
      <xdr:col>13</xdr:col>
      <xdr:colOff>180975</xdr:colOff>
      <xdr:row>173</xdr:row>
      <xdr:rowOff>19050</xdr:rowOff>
    </xdr:to>
    <xdr:cxnSp macro="">
      <xdr:nvCxnSpPr>
        <xdr:cNvPr id="1477" name="Lige forbindelse 1476">
          <a:extLst>
            <a:ext uri="{FF2B5EF4-FFF2-40B4-BE49-F238E27FC236}">
              <a16:creationId xmlns:a16="http://schemas.microsoft.com/office/drawing/2014/main" id="{00000000-0008-0000-0000-0000C5050000}"/>
            </a:ext>
          </a:extLst>
        </xdr:cNvPr>
        <xdr:cNvCxnSpPr/>
      </xdr:nvCxnSpPr>
      <xdr:spPr>
        <a:xfrm flipH="1">
          <a:off x="8261350" y="32683450"/>
          <a:ext cx="73025" cy="730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149225</xdr:colOff>
      <xdr:row>168</xdr:row>
      <xdr:rowOff>111126</xdr:rowOff>
    </xdr:from>
    <xdr:to>
      <xdr:col>13</xdr:col>
      <xdr:colOff>149225</xdr:colOff>
      <xdr:row>170</xdr:row>
      <xdr:rowOff>31750</xdr:rowOff>
    </xdr:to>
    <xdr:cxnSp macro="">
      <xdr:nvCxnSpPr>
        <xdr:cNvPr id="1478" name="Lige forbindelse 1477">
          <a:extLst>
            <a:ext uri="{FF2B5EF4-FFF2-40B4-BE49-F238E27FC236}">
              <a16:creationId xmlns:a16="http://schemas.microsoft.com/office/drawing/2014/main" id="{00000000-0008-0000-0000-0000C6050000}"/>
            </a:ext>
          </a:extLst>
        </xdr:cNvPr>
        <xdr:cNvCxnSpPr/>
      </xdr:nvCxnSpPr>
      <xdr:spPr>
        <a:xfrm flipV="1">
          <a:off x="8302625" y="31896051"/>
          <a:ext cx="0" cy="301624"/>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431800</xdr:colOff>
      <xdr:row>169</xdr:row>
      <xdr:rowOff>130175</xdr:rowOff>
    </xdr:from>
    <xdr:to>
      <xdr:col>13</xdr:col>
      <xdr:colOff>628650</xdr:colOff>
      <xdr:row>170</xdr:row>
      <xdr:rowOff>41275</xdr:rowOff>
    </xdr:to>
    <xdr:cxnSp macro="">
      <xdr:nvCxnSpPr>
        <xdr:cNvPr id="1479" name="Lige forbindelse 1478">
          <a:extLst>
            <a:ext uri="{FF2B5EF4-FFF2-40B4-BE49-F238E27FC236}">
              <a16:creationId xmlns:a16="http://schemas.microsoft.com/office/drawing/2014/main" id="{00000000-0008-0000-0000-0000C7050000}"/>
            </a:ext>
          </a:extLst>
        </xdr:cNvPr>
        <xdr:cNvCxnSpPr/>
      </xdr:nvCxnSpPr>
      <xdr:spPr>
        <a:xfrm>
          <a:off x="8585200" y="32105600"/>
          <a:ext cx="196850" cy="1016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936625</xdr:colOff>
      <xdr:row>170</xdr:row>
      <xdr:rowOff>44450</xdr:rowOff>
    </xdr:from>
    <xdr:to>
      <xdr:col>14</xdr:col>
      <xdr:colOff>1</xdr:colOff>
      <xdr:row>170</xdr:row>
      <xdr:rowOff>104776</xdr:rowOff>
    </xdr:to>
    <xdr:cxnSp macro="">
      <xdr:nvCxnSpPr>
        <xdr:cNvPr id="1480" name="Lige forbindelse 1479">
          <a:extLst>
            <a:ext uri="{FF2B5EF4-FFF2-40B4-BE49-F238E27FC236}">
              <a16:creationId xmlns:a16="http://schemas.microsoft.com/office/drawing/2014/main" id="{00000000-0008-0000-0000-0000C8050000}"/>
            </a:ext>
          </a:extLst>
        </xdr:cNvPr>
        <xdr:cNvCxnSpPr/>
      </xdr:nvCxnSpPr>
      <xdr:spPr>
        <a:xfrm flipH="1" flipV="1">
          <a:off x="9090025" y="32210375"/>
          <a:ext cx="244476" cy="6032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100012</xdr:colOff>
      <xdr:row>172</xdr:row>
      <xdr:rowOff>76200</xdr:rowOff>
    </xdr:from>
    <xdr:to>
      <xdr:col>15</xdr:col>
      <xdr:colOff>103622</xdr:colOff>
      <xdr:row>173</xdr:row>
      <xdr:rowOff>109538</xdr:rowOff>
    </xdr:to>
    <xdr:cxnSp macro="">
      <xdr:nvCxnSpPr>
        <xdr:cNvPr id="1481" name="Lige forbindelse 1480">
          <a:extLst>
            <a:ext uri="{FF2B5EF4-FFF2-40B4-BE49-F238E27FC236}">
              <a16:creationId xmlns:a16="http://schemas.microsoft.com/office/drawing/2014/main" id="{00000000-0008-0000-0000-0000C9050000}"/>
            </a:ext>
          </a:extLst>
        </xdr:cNvPr>
        <xdr:cNvCxnSpPr/>
      </xdr:nvCxnSpPr>
      <xdr:spPr>
        <a:xfrm flipH="1">
          <a:off x="10272712" y="32623125"/>
          <a:ext cx="3610" cy="223838"/>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85725</xdr:colOff>
      <xdr:row>172</xdr:row>
      <xdr:rowOff>61913</xdr:rowOff>
    </xdr:from>
    <xdr:to>
      <xdr:col>18</xdr:col>
      <xdr:colOff>85725</xdr:colOff>
      <xdr:row>173</xdr:row>
      <xdr:rowOff>100013</xdr:rowOff>
    </xdr:to>
    <xdr:cxnSp macro="">
      <xdr:nvCxnSpPr>
        <xdr:cNvPr id="278" name="Lige forbindelse 277">
          <a:extLst>
            <a:ext uri="{FF2B5EF4-FFF2-40B4-BE49-F238E27FC236}">
              <a16:creationId xmlns:a16="http://schemas.microsoft.com/office/drawing/2014/main" id="{00000000-0008-0000-0000-000016010000}"/>
            </a:ext>
          </a:extLst>
        </xdr:cNvPr>
        <xdr:cNvCxnSpPr/>
      </xdr:nvCxnSpPr>
      <xdr:spPr>
        <a:xfrm>
          <a:off x="12763500" y="33389888"/>
          <a:ext cx="0" cy="22860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15</xdr:col>
          <xdr:colOff>390525</xdr:colOff>
          <xdr:row>4</xdr:row>
          <xdr:rowOff>47625</xdr:rowOff>
        </xdr:from>
        <xdr:to>
          <xdr:col>16</xdr:col>
          <xdr:colOff>647700</xdr:colOff>
          <xdr:row>6</xdr:row>
          <xdr:rowOff>19050</xdr:rowOff>
        </xdr:to>
        <xdr:sp macro="" textlink="">
          <xdr:nvSpPr>
            <xdr:cNvPr id="8" name="Button 42" hidden="1">
              <a:extLst>
                <a:ext uri="{63B3BB69-23CF-44E3-9099-C40C66FF867C}">
                  <a14:compatExt spid="_x0000_s1066"/>
                </a:ext>
                <a:ext uri="{FF2B5EF4-FFF2-40B4-BE49-F238E27FC236}">
                  <a16:creationId xmlns:a16="http://schemas.microsoft.com/office/drawing/2014/main" id="{00000000-0008-0000-0000-000008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 Brand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474</xdr:row>
          <xdr:rowOff>161925</xdr:rowOff>
        </xdr:from>
        <xdr:to>
          <xdr:col>5</xdr:col>
          <xdr:colOff>200025</xdr:colOff>
          <xdr:row>477</xdr:row>
          <xdr:rowOff>0</xdr:rowOff>
        </xdr:to>
        <xdr:sp macro="" textlink="">
          <xdr:nvSpPr>
            <xdr:cNvPr id="144" name="Button 44" hidden="1">
              <a:extLst>
                <a:ext uri="{63B3BB69-23CF-44E3-9099-C40C66FF867C}">
                  <a14:compatExt spid="_x0000_s1068"/>
                </a:ext>
                <a:ext uri="{FF2B5EF4-FFF2-40B4-BE49-F238E27FC236}">
                  <a16:creationId xmlns:a16="http://schemas.microsoft.com/office/drawing/2014/main" id="{00000000-0008-0000-0000-000090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retur til top af ark A</a:t>
              </a:r>
            </a:p>
          </xdr:txBody>
        </xdr:sp>
        <xdr:clientData fLocksWithSheet="0"/>
      </xdr:twoCellAnchor>
    </mc:Choice>
    <mc:Fallback/>
  </mc:AlternateContent>
  <xdr:twoCellAnchor>
    <xdr:from>
      <xdr:col>3</xdr:col>
      <xdr:colOff>328613</xdr:colOff>
      <xdr:row>372</xdr:row>
      <xdr:rowOff>28575</xdr:rowOff>
    </xdr:from>
    <xdr:to>
      <xdr:col>3</xdr:col>
      <xdr:colOff>328613</xdr:colOff>
      <xdr:row>372</xdr:row>
      <xdr:rowOff>171450</xdr:rowOff>
    </xdr:to>
    <xdr:sp macro="" textlink="">
      <xdr:nvSpPr>
        <xdr:cNvPr id="1392" name="Line 228">
          <a:extLst>
            <a:ext uri="{FF2B5EF4-FFF2-40B4-BE49-F238E27FC236}">
              <a16:creationId xmlns:a16="http://schemas.microsoft.com/office/drawing/2014/main" id="{00000000-0008-0000-0000-000070050000}"/>
            </a:ext>
          </a:extLst>
        </xdr:cNvPr>
        <xdr:cNvSpPr>
          <a:spLocks noChangeShapeType="1"/>
        </xdr:cNvSpPr>
      </xdr:nvSpPr>
      <xdr:spPr bwMode="auto">
        <a:xfrm>
          <a:off x="2290763" y="71647050"/>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83</xdr:col>
      <xdr:colOff>229914</xdr:colOff>
      <xdr:row>6</xdr:row>
      <xdr:rowOff>87586</xdr:rowOff>
    </xdr:from>
    <xdr:to>
      <xdr:col>83</xdr:col>
      <xdr:colOff>229914</xdr:colOff>
      <xdr:row>8</xdr:row>
      <xdr:rowOff>186121</xdr:rowOff>
    </xdr:to>
    <xdr:cxnSp macro="">
      <xdr:nvCxnSpPr>
        <xdr:cNvPr id="297" name="Lige pilforbindelse 296">
          <a:extLst>
            <a:ext uri="{FF2B5EF4-FFF2-40B4-BE49-F238E27FC236}">
              <a16:creationId xmlns:a16="http://schemas.microsoft.com/office/drawing/2014/main" id="{00000000-0008-0000-0000-000029010000}"/>
            </a:ext>
          </a:extLst>
        </xdr:cNvPr>
        <xdr:cNvCxnSpPr/>
      </xdr:nvCxnSpPr>
      <xdr:spPr>
        <a:xfrm>
          <a:off x="71798793" y="1007241"/>
          <a:ext cx="0" cy="492673"/>
        </a:xfrm>
        <a:prstGeom prst="straightConnector1">
          <a:avLst/>
        </a:prstGeom>
        <a:ln w="19050">
          <a:solidFill>
            <a:schemeClr val="tx1"/>
          </a:solidFill>
          <a:tailEnd type="arrow" w="lg" len="lg"/>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19050</xdr:colOff>
          <xdr:row>43</xdr:row>
          <xdr:rowOff>19050</xdr:rowOff>
        </xdr:from>
        <xdr:to>
          <xdr:col>1</xdr:col>
          <xdr:colOff>171450</xdr:colOff>
          <xdr:row>43</xdr:row>
          <xdr:rowOff>171450</xdr:rowOff>
        </xdr:to>
        <xdr:sp macro="" textlink="">
          <xdr:nvSpPr>
            <xdr:cNvPr id="211" name="Button 45" hidden="1">
              <a:extLst>
                <a:ext uri="{63B3BB69-23CF-44E3-9099-C40C66FF867C}">
                  <a14:compatExt spid="_x0000_s1069"/>
                </a:ext>
                <a:ext uri="{FF2B5EF4-FFF2-40B4-BE49-F238E27FC236}">
                  <a16:creationId xmlns:a16="http://schemas.microsoft.com/office/drawing/2014/main" id="{00000000-0008-0000-0000-0000D3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51</xdr:row>
          <xdr:rowOff>19050</xdr:rowOff>
        </xdr:from>
        <xdr:to>
          <xdr:col>1</xdr:col>
          <xdr:colOff>171450</xdr:colOff>
          <xdr:row>51</xdr:row>
          <xdr:rowOff>171450</xdr:rowOff>
        </xdr:to>
        <xdr:sp macro="" textlink="">
          <xdr:nvSpPr>
            <xdr:cNvPr id="226" name="Button 46" hidden="1">
              <a:extLst>
                <a:ext uri="{63B3BB69-23CF-44E3-9099-C40C66FF867C}">
                  <a14:compatExt spid="_x0000_s1070"/>
                </a:ext>
                <a:ext uri="{FF2B5EF4-FFF2-40B4-BE49-F238E27FC236}">
                  <a16:creationId xmlns:a16="http://schemas.microsoft.com/office/drawing/2014/main" id="{00000000-0008-0000-0000-0000E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304800</xdr:colOff>
          <xdr:row>43</xdr:row>
          <xdr:rowOff>47625</xdr:rowOff>
        </xdr:from>
        <xdr:to>
          <xdr:col>14</xdr:col>
          <xdr:colOff>828675</xdr:colOff>
          <xdr:row>44</xdr:row>
          <xdr:rowOff>19050</xdr:rowOff>
        </xdr:to>
        <xdr:sp macro="" textlink="">
          <xdr:nvSpPr>
            <xdr:cNvPr id="251" name="Button 47" hidden="1">
              <a:extLst>
                <a:ext uri="{63B3BB69-23CF-44E3-9099-C40C66FF867C}">
                  <a14:compatExt spid="_x0000_s1071"/>
                </a:ext>
                <a:ext uri="{FF2B5EF4-FFF2-40B4-BE49-F238E27FC236}">
                  <a16:creationId xmlns:a16="http://schemas.microsoft.com/office/drawing/2014/main" id="{00000000-0008-0000-0000-0000FB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Arial"/>
                  <a:cs typeface="Arial"/>
                </a:rPr>
                <a:t>Genindsæt formel i H44</a:t>
              </a:r>
            </a:p>
            <a:p>
              <a:pPr algn="ctr" rtl="0">
                <a:defRPr sz="1000"/>
              </a:pPr>
              <a:endParaRPr lang="da-DK" sz="1000" b="1" i="0" u="none" strike="noStrike" baseline="0">
                <a:solidFill>
                  <a:srgbClr val="000000"/>
                </a:solidFill>
                <a:latin typeface="Arial"/>
                <a:cs typeface="Arial"/>
              </a:endParaRPr>
            </a:p>
          </xdr:txBody>
        </xdr:sp>
        <xdr:clientData fLocksWithSheet="0" fPrintsWithSheet="0"/>
      </xdr:twoCellAnchor>
    </mc:Choice>
    <mc:Fallback/>
  </mc:AlternateContent>
  <xdr:twoCellAnchor>
    <xdr:from>
      <xdr:col>2</xdr:col>
      <xdr:colOff>536575</xdr:colOff>
      <xdr:row>22</xdr:row>
      <xdr:rowOff>155575</xdr:rowOff>
    </xdr:from>
    <xdr:to>
      <xdr:col>3</xdr:col>
      <xdr:colOff>95250</xdr:colOff>
      <xdr:row>23</xdr:row>
      <xdr:rowOff>73025</xdr:rowOff>
    </xdr:to>
    <xdr:cxnSp macro="">
      <xdr:nvCxnSpPr>
        <xdr:cNvPr id="365" name="Lige forbindelse 364">
          <a:extLst>
            <a:ext uri="{FF2B5EF4-FFF2-40B4-BE49-F238E27FC236}">
              <a16:creationId xmlns:a16="http://schemas.microsoft.com/office/drawing/2014/main" id="{00000000-0008-0000-0000-00006D010000}"/>
            </a:ext>
          </a:extLst>
        </xdr:cNvPr>
        <xdr:cNvCxnSpPr/>
      </xdr:nvCxnSpPr>
      <xdr:spPr>
        <a:xfrm flipV="1">
          <a:off x="1917700" y="4289425"/>
          <a:ext cx="139700" cy="13652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22</xdr:row>
      <xdr:rowOff>119381</xdr:rowOff>
    </xdr:from>
    <xdr:to>
      <xdr:col>3</xdr:col>
      <xdr:colOff>121919</xdr:colOff>
      <xdr:row>22</xdr:row>
      <xdr:rowOff>165100</xdr:rowOff>
    </xdr:to>
    <xdr:sp macro="" textlink="">
      <xdr:nvSpPr>
        <xdr:cNvPr id="366" name="Ellipse 365">
          <a:extLst>
            <a:ext uri="{FF2B5EF4-FFF2-40B4-BE49-F238E27FC236}">
              <a16:creationId xmlns:a16="http://schemas.microsoft.com/office/drawing/2014/main" id="{00000000-0008-0000-0000-00006E010000}"/>
            </a:ext>
          </a:extLst>
        </xdr:cNvPr>
        <xdr:cNvSpPr/>
      </xdr:nvSpPr>
      <xdr:spPr>
        <a:xfrm>
          <a:off x="2038350" y="4253231"/>
          <a:ext cx="45719" cy="45719"/>
        </a:xfrm>
        <a:prstGeom prst="ellipse">
          <a:avLst/>
        </a:prstGeom>
        <a:noFill/>
        <a:ln w="9525">
          <a:solidFill>
            <a:schemeClr val="tx1">
              <a:alpha val="99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2</xdr:col>
      <xdr:colOff>542925</xdr:colOff>
      <xdr:row>420</xdr:row>
      <xdr:rowOff>57150</xdr:rowOff>
    </xdr:from>
    <xdr:to>
      <xdr:col>2</xdr:col>
      <xdr:colOff>542925</xdr:colOff>
      <xdr:row>421</xdr:row>
      <xdr:rowOff>33338</xdr:rowOff>
    </xdr:to>
    <xdr:cxnSp macro="">
      <xdr:nvCxnSpPr>
        <xdr:cNvPr id="367" name="Lige forbindelse 366">
          <a:extLst>
            <a:ext uri="{FF2B5EF4-FFF2-40B4-BE49-F238E27FC236}">
              <a16:creationId xmlns:a16="http://schemas.microsoft.com/office/drawing/2014/main" id="{00000000-0008-0000-0000-00006F010000}"/>
            </a:ext>
          </a:extLst>
        </xdr:cNvPr>
        <xdr:cNvCxnSpPr/>
      </xdr:nvCxnSpPr>
      <xdr:spPr>
        <a:xfrm flipV="1">
          <a:off x="1924050" y="81143475"/>
          <a:ext cx="0" cy="166688"/>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504825</xdr:colOff>
      <xdr:row>390</xdr:row>
      <xdr:rowOff>28576</xdr:rowOff>
    </xdr:from>
    <xdr:to>
      <xdr:col>2</xdr:col>
      <xdr:colOff>504825</xdr:colOff>
      <xdr:row>391</xdr:row>
      <xdr:rowOff>28575</xdr:rowOff>
    </xdr:to>
    <xdr:cxnSp macro="">
      <xdr:nvCxnSpPr>
        <xdr:cNvPr id="370" name="Lige forbindelse 369">
          <a:extLst>
            <a:ext uri="{FF2B5EF4-FFF2-40B4-BE49-F238E27FC236}">
              <a16:creationId xmlns:a16="http://schemas.microsoft.com/office/drawing/2014/main" id="{00000000-0008-0000-0000-000072010000}"/>
            </a:ext>
          </a:extLst>
        </xdr:cNvPr>
        <xdr:cNvCxnSpPr/>
      </xdr:nvCxnSpPr>
      <xdr:spPr>
        <a:xfrm flipV="1">
          <a:off x="1885950" y="75304651"/>
          <a:ext cx="0" cy="190499"/>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52389</xdr:colOff>
      <xdr:row>174</xdr:row>
      <xdr:rowOff>23813</xdr:rowOff>
    </xdr:from>
    <xdr:to>
      <xdr:col>2</xdr:col>
      <xdr:colOff>47626</xdr:colOff>
      <xdr:row>174</xdr:row>
      <xdr:rowOff>23813</xdr:rowOff>
    </xdr:to>
    <xdr:cxnSp macro="">
      <xdr:nvCxnSpPr>
        <xdr:cNvPr id="1393" name="Lige forbindelse 1392">
          <a:extLst>
            <a:ext uri="{FF2B5EF4-FFF2-40B4-BE49-F238E27FC236}">
              <a16:creationId xmlns:a16="http://schemas.microsoft.com/office/drawing/2014/main" id="{00000000-0008-0000-0000-000071050000}"/>
            </a:ext>
          </a:extLst>
        </xdr:cNvPr>
        <xdr:cNvCxnSpPr/>
      </xdr:nvCxnSpPr>
      <xdr:spPr>
        <a:xfrm flipH="1">
          <a:off x="1195389" y="33913763"/>
          <a:ext cx="233362"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52389</xdr:colOff>
      <xdr:row>173</xdr:row>
      <xdr:rowOff>95250</xdr:rowOff>
    </xdr:from>
    <xdr:to>
      <xdr:col>2</xdr:col>
      <xdr:colOff>171451</xdr:colOff>
      <xdr:row>173</xdr:row>
      <xdr:rowOff>95250</xdr:rowOff>
    </xdr:to>
    <xdr:cxnSp macro="">
      <xdr:nvCxnSpPr>
        <xdr:cNvPr id="1420" name="Lige forbindelse 1419">
          <a:extLst>
            <a:ext uri="{FF2B5EF4-FFF2-40B4-BE49-F238E27FC236}">
              <a16:creationId xmlns:a16="http://schemas.microsoft.com/office/drawing/2014/main" id="{00000000-0008-0000-0000-00008C050000}"/>
            </a:ext>
          </a:extLst>
        </xdr:cNvPr>
        <xdr:cNvCxnSpPr/>
      </xdr:nvCxnSpPr>
      <xdr:spPr>
        <a:xfrm flipH="1">
          <a:off x="1195389" y="33794700"/>
          <a:ext cx="3571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71439</xdr:colOff>
      <xdr:row>173</xdr:row>
      <xdr:rowOff>57150</xdr:rowOff>
    </xdr:from>
    <xdr:to>
      <xdr:col>1</xdr:col>
      <xdr:colOff>71439</xdr:colOff>
      <xdr:row>174</xdr:row>
      <xdr:rowOff>76200</xdr:rowOff>
    </xdr:to>
    <xdr:cxnSp macro="">
      <xdr:nvCxnSpPr>
        <xdr:cNvPr id="1482" name="Lige forbindelse 1481">
          <a:extLst>
            <a:ext uri="{FF2B5EF4-FFF2-40B4-BE49-F238E27FC236}">
              <a16:creationId xmlns:a16="http://schemas.microsoft.com/office/drawing/2014/main" id="{00000000-0008-0000-0000-0000CA050000}"/>
            </a:ext>
          </a:extLst>
        </xdr:cNvPr>
        <xdr:cNvCxnSpPr/>
      </xdr:nvCxnSpPr>
      <xdr:spPr>
        <a:xfrm>
          <a:off x="1214439" y="33756600"/>
          <a:ext cx="0" cy="20955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38101</xdr:colOff>
      <xdr:row>173</xdr:row>
      <xdr:rowOff>61913</xdr:rowOff>
    </xdr:from>
    <xdr:to>
      <xdr:col>1</xdr:col>
      <xdr:colOff>104776</xdr:colOff>
      <xdr:row>173</xdr:row>
      <xdr:rowOff>128588</xdr:rowOff>
    </xdr:to>
    <xdr:sp macro="" textlink="">
      <xdr:nvSpPr>
        <xdr:cNvPr id="1483" name="Line 19076">
          <a:extLst>
            <a:ext uri="{FF2B5EF4-FFF2-40B4-BE49-F238E27FC236}">
              <a16:creationId xmlns:a16="http://schemas.microsoft.com/office/drawing/2014/main" id="{00000000-0008-0000-0000-0000CB050000}"/>
            </a:ext>
          </a:extLst>
        </xdr:cNvPr>
        <xdr:cNvSpPr>
          <a:spLocks noChangeShapeType="1"/>
        </xdr:cNvSpPr>
      </xdr:nvSpPr>
      <xdr:spPr bwMode="auto">
        <a:xfrm flipH="1">
          <a:off x="1181101" y="33761363"/>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33338</xdr:colOff>
      <xdr:row>173</xdr:row>
      <xdr:rowOff>180975</xdr:rowOff>
    </xdr:from>
    <xdr:to>
      <xdr:col>1</xdr:col>
      <xdr:colOff>100013</xdr:colOff>
      <xdr:row>174</xdr:row>
      <xdr:rowOff>57150</xdr:rowOff>
    </xdr:to>
    <xdr:sp macro="" textlink="">
      <xdr:nvSpPr>
        <xdr:cNvPr id="1484" name="Line 19076">
          <a:extLst>
            <a:ext uri="{FF2B5EF4-FFF2-40B4-BE49-F238E27FC236}">
              <a16:creationId xmlns:a16="http://schemas.microsoft.com/office/drawing/2014/main" id="{00000000-0008-0000-0000-0000CC050000}"/>
            </a:ext>
          </a:extLst>
        </xdr:cNvPr>
        <xdr:cNvSpPr>
          <a:spLocks noChangeShapeType="1"/>
        </xdr:cNvSpPr>
      </xdr:nvSpPr>
      <xdr:spPr bwMode="auto">
        <a:xfrm flipH="1">
          <a:off x="1176338" y="3388042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223025</xdr:colOff>
      <xdr:row>182</xdr:row>
      <xdr:rowOff>100012</xdr:rowOff>
    </xdr:from>
    <xdr:to>
      <xdr:col>2</xdr:col>
      <xdr:colOff>318275</xdr:colOff>
      <xdr:row>182</xdr:row>
      <xdr:rowOff>166687</xdr:rowOff>
    </xdr:to>
    <xdr:sp macro="" textlink="">
      <xdr:nvSpPr>
        <xdr:cNvPr id="1500" name="AutoShape 131">
          <a:extLst>
            <a:ext uri="{FF2B5EF4-FFF2-40B4-BE49-F238E27FC236}">
              <a16:creationId xmlns:a16="http://schemas.microsoft.com/office/drawing/2014/main" id="{00000000-0008-0000-0000-0000DC050000}"/>
            </a:ext>
          </a:extLst>
        </xdr:cNvPr>
        <xdr:cNvSpPr>
          <a:spLocks noChangeArrowheads="1"/>
        </xdr:cNvSpPr>
      </xdr:nvSpPr>
      <xdr:spPr bwMode="auto">
        <a:xfrm>
          <a:off x="1602988" y="35505134"/>
          <a:ext cx="95250" cy="666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223026</xdr:colOff>
      <xdr:row>179</xdr:row>
      <xdr:rowOff>185854</xdr:rowOff>
    </xdr:from>
    <xdr:to>
      <xdr:col>3</xdr:col>
      <xdr:colOff>0</xdr:colOff>
      <xdr:row>182</xdr:row>
      <xdr:rowOff>114300</xdr:rowOff>
    </xdr:to>
    <xdr:cxnSp macro="">
      <xdr:nvCxnSpPr>
        <xdr:cNvPr id="1501" name="Lige forbindelse 1500">
          <a:extLst>
            <a:ext uri="{FF2B5EF4-FFF2-40B4-BE49-F238E27FC236}">
              <a16:creationId xmlns:a16="http://schemas.microsoft.com/office/drawing/2014/main" id="{00000000-0008-0000-0000-0000DD050000}"/>
            </a:ext>
          </a:extLst>
        </xdr:cNvPr>
        <xdr:cNvCxnSpPr/>
      </xdr:nvCxnSpPr>
      <xdr:spPr>
        <a:xfrm flipH="1">
          <a:off x="1602989" y="35010183"/>
          <a:ext cx="357767" cy="509239"/>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318275</xdr:colOff>
      <xdr:row>180</xdr:row>
      <xdr:rowOff>66675</xdr:rowOff>
    </xdr:from>
    <xdr:to>
      <xdr:col>3</xdr:col>
      <xdr:colOff>70857</xdr:colOff>
      <xdr:row>182</xdr:row>
      <xdr:rowOff>171450</xdr:rowOff>
    </xdr:to>
    <xdr:cxnSp macro="">
      <xdr:nvCxnSpPr>
        <xdr:cNvPr id="1502" name="Lige forbindelse 1501">
          <a:extLst>
            <a:ext uri="{FF2B5EF4-FFF2-40B4-BE49-F238E27FC236}">
              <a16:creationId xmlns:a16="http://schemas.microsoft.com/office/drawing/2014/main" id="{00000000-0008-0000-0000-0000DE050000}"/>
            </a:ext>
          </a:extLst>
        </xdr:cNvPr>
        <xdr:cNvCxnSpPr/>
      </xdr:nvCxnSpPr>
      <xdr:spPr>
        <a:xfrm flipH="1">
          <a:off x="1698238" y="35090797"/>
          <a:ext cx="333375" cy="485775"/>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223025</xdr:colOff>
      <xdr:row>182</xdr:row>
      <xdr:rowOff>166687</xdr:rowOff>
    </xdr:from>
    <xdr:to>
      <xdr:col>2</xdr:col>
      <xdr:colOff>223025</xdr:colOff>
      <xdr:row>183</xdr:row>
      <xdr:rowOff>57150</xdr:rowOff>
    </xdr:to>
    <xdr:cxnSp macro="">
      <xdr:nvCxnSpPr>
        <xdr:cNvPr id="1503" name="Lige forbindelse 1502">
          <a:extLst>
            <a:ext uri="{FF2B5EF4-FFF2-40B4-BE49-F238E27FC236}">
              <a16:creationId xmlns:a16="http://schemas.microsoft.com/office/drawing/2014/main" id="{00000000-0008-0000-0000-0000DF050000}"/>
            </a:ext>
          </a:extLst>
        </xdr:cNvPr>
        <xdr:cNvCxnSpPr>
          <a:endCxn id="1500" idx="2"/>
        </xdr:cNvCxnSpPr>
      </xdr:nvCxnSpPr>
      <xdr:spPr>
        <a:xfrm flipV="1">
          <a:off x="1602988" y="35571809"/>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323037</xdr:colOff>
      <xdr:row>182</xdr:row>
      <xdr:rowOff>171449</xdr:rowOff>
    </xdr:from>
    <xdr:to>
      <xdr:col>2</xdr:col>
      <xdr:colOff>323037</xdr:colOff>
      <xdr:row>183</xdr:row>
      <xdr:rowOff>61912</xdr:rowOff>
    </xdr:to>
    <xdr:cxnSp macro="">
      <xdr:nvCxnSpPr>
        <xdr:cNvPr id="1504" name="Lige forbindelse 1503">
          <a:extLst>
            <a:ext uri="{FF2B5EF4-FFF2-40B4-BE49-F238E27FC236}">
              <a16:creationId xmlns:a16="http://schemas.microsoft.com/office/drawing/2014/main" id="{00000000-0008-0000-0000-0000E0050000}"/>
            </a:ext>
          </a:extLst>
        </xdr:cNvPr>
        <xdr:cNvCxnSpPr/>
      </xdr:nvCxnSpPr>
      <xdr:spPr>
        <a:xfrm flipV="1">
          <a:off x="1703000" y="35576571"/>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47625</xdr:colOff>
      <xdr:row>34</xdr:row>
      <xdr:rowOff>138113</xdr:rowOff>
    </xdr:from>
    <xdr:to>
      <xdr:col>15</xdr:col>
      <xdr:colOff>681038</xdr:colOff>
      <xdr:row>35</xdr:row>
      <xdr:rowOff>119063</xdr:rowOff>
    </xdr:to>
    <xdr:sp macro="" textlink="">
      <xdr:nvSpPr>
        <xdr:cNvPr id="368" name="Kombinationstegning: figur 367">
          <a:extLst>
            <a:ext uri="{FF2B5EF4-FFF2-40B4-BE49-F238E27FC236}">
              <a16:creationId xmlns:a16="http://schemas.microsoft.com/office/drawing/2014/main" id="{00000000-0008-0000-0000-000070010000}"/>
            </a:ext>
          </a:extLst>
        </xdr:cNvPr>
        <xdr:cNvSpPr/>
      </xdr:nvSpPr>
      <xdr:spPr>
        <a:xfrm>
          <a:off x="10210800" y="6634163"/>
          <a:ext cx="633413" cy="180975"/>
        </a:xfrm>
        <a:custGeom>
          <a:avLst/>
          <a:gdLst>
            <a:gd name="connsiteX0" fmla="*/ 509588 w 633413"/>
            <a:gd name="connsiteY0" fmla="*/ 0 h 180975"/>
            <a:gd name="connsiteX1" fmla="*/ 633413 w 633413"/>
            <a:gd name="connsiteY1" fmla="*/ 0 h 180975"/>
            <a:gd name="connsiteX2" fmla="*/ 633413 w 633413"/>
            <a:gd name="connsiteY2" fmla="*/ 180975 h 180975"/>
            <a:gd name="connsiteX3" fmla="*/ 0 w 633413"/>
            <a:gd name="connsiteY3" fmla="*/ 180975 h 180975"/>
          </a:gdLst>
          <a:ahLst/>
          <a:cxnLst>
            <a:cxn ang="0">
              <a:pos x="connsiteX0" y="connsiteY0"/>
            </a:cxn>
            <a:cxn ang="0">
              <a:pos x="connsiteX1" y="connsiteY1"/>
            </a:cxn>
            <a:cxn ang="0">
              <a:pos x="connsiteX2" y="connsiteY2"/>
            </a:cxn>
            <a:cxn ang="0">
              <a:pos x="connsiteX3" y="connsiteY3"/>
            </a:cxn>
          </a:cxnLst>
          <a:rect l="l" t="t" r="r" b="b"/>
          <a:pathLst>
            <a:path w="633413" h="180975">
              <a:moveTo>
                <a:pt x="509588" y="0"/>
              </a:moveTo>
              <a:lnTo>
                <a:pt x="633413" y="0"/>
              </a:lnTo>
              <a:lnTo>
                <a:pt x="633413" y="180975"/>
              </a:lnTo>
              <a:lnTo>
                <a:pt x="0" y="180975"/>
              </a:lnTo>
            </a:path>
          </a:pathLst>
        </a:custGeom>
        <a:noFill/>
        <a:ln w="12700">
          <a:solidFill>
            <a:schemeClr val="accent6">
              <a:lumMod val="50000"/>
            </a:schemeClr>
          </a:solidFill>
          <a:tailEnd type="arrow" w="lg"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mc:AlternateContent xmlns:mc="http://schemas.openxmlformats.org/markup-compatibility/2006">
    <mc:Choice xmlns:a14="http://schemas.microsoft.com/office/drawing/2010/main" Requires="a14">
      <xdr:twoCellAnchor>
        <xdr:from>
          <xdr:col>6</xdr:col>
          <xdr:colOff>38100</xdr:colOff>
          <xdr:row>32</xdr:row>
          <xdr:rowOff>161925</xdr:rowOff>
        </xdr:from>
        <xdr:to>
          <xdr:col>6</xdr:col>
          <xdr:colOff>666750</xdr:colOff>
          <xdr:row>34</xdr:row>
          <xdr:rowOff>0</xdr:rowOff>
        </xdr:to>
        <xdr:sp macro="" textlink="">
          <xdr:nvSpPr>
            <xdr:cNvPr id="279" name="Button 58" hidden="1">
              <a:extLst>
                <a:ext uri="{63B3BB69-23CF-44E3-9099-C40C66FF867C}">
                  <a14:compatExt spid="_x0000_s1082"/>
                </a:ext>
                <a:ext uri="{FF2B5EF4-FFF2-40B4-BE49-F238E27FC236}">
                  <a16:creationId xmlns:a16="http://schemas.microsoft.com/office/drawing/2014/main" id="{00000000-0008-0000-0000-0000170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Lås op</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428625</xdr:colOff>
          <xdr:row>19</xdr:row>
          <xdr:rowOff>19050</xdr:rowOff>
        </xdr:from>
        <xdr:to>
          <xdr:col>7</xdr:col>
          <xdr:colOff>600075</xdr:colOff>
          <xdr:row>19</xdr:row>
          <xdr:rowOff>190500</xdr:rowOff>
        </xdr:to>
        <xdr:sp macro="" textlink="">
          <xdr:nvSpPr>
            <xdr:cNvPr id="300" name="Button 59" hidden="1">
              <a:extLst>
                <a:ext uri="{63B3BB69-23CF-44E3-9099-C40C66FF867C}">
                  <a14:compatExt spid="_x0000_s1083"/>
                </a:ext>
                <a:ext uri="{FF2B5EF4-FFF2-40B4-BE49-F238E27FC236}">
                  <a16:creationId xmlns:a16="http://schemas.microsoft.com/office/drawing/2014/main" id="{00000000-0008-0000-0000-00002C0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3</xdr:col>
      <xdr:colOff>247650</xdr:colOff>
      <xdr:row>16</xdr:row>
      <xdr:rowOff>66675</xdr:rowOff>
    </xdr:from>
    <xdr:to>
      <xdr:col>3</xdr:col>
      <xdr:colOff>347663</xdr:colOff>
      <xdr:row>16</xdr:row>
      <xdr:rowOff>166687</xdr:rowOff>
    </xdr:to>
    <xdr:sp macro="" textlink="">
      <xdr:nvSpPr>
        <xdr:cNvPr id="1485" name="Line 289">
          <a:extLst>
            <a:ext uri="{FF2B5EF4-FFF2-40B4-BE49-F238E27FC236}">
              <a16:creationId xmlns:a16="http://schemas.microsoft.com/office/drawing/2014/main" id="{00000000-0008-0000-0000-0000CD050000}"/>
            </a:ext>
          </a:extLst>
        </xdr:cNvPr>
        <xdr:cNvSpPr>
          <a:spLocks noChangeShapeType="1"/>
        </xdr:cNvSpPr>
      </xdr:nvSpPr>
      <xdr:spPr bwMode="auto">
        <a:xfrm flipH="1">
          <a:off x="2209800" y="3000375"/>
          <a:ext cx="100013" cy="10001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242888</xdr:colOff>
      <xdr:row>26</xdr:row>
      <xdr:rowOff>161925</xdr:rowOff>
    </xdr:from>
    <xdr:to>
      <xdr:col>3</xdr:col>
      <xdr:colOff>338138</xdr:colOff>
      <xdr:row>27</xdr:row>
      <xdr:rowOff>47625</xdr:rowOff>
    </xdr:to>
    <xdr:sp macro="" textlink="">
      <xdr:nvSpPr>
        <xdr:cNvPr id="1486" name="Line 148">
          <a:extLst>
            <a:ext uri="{FF2B5EF4-FFF2-40B4-BE49-F238E27FC236}">
              <a16:creationId xmlns:a16="http://schemas.microsoft.com/office/drawing/2014/main" id="{00000000-0008-0000-0000-0000CE050000}"/>
            </a:ext>
          </a:extLst>
        </xdr:cNvPr>
        <xdr:cNvSpPr>
          <a:spLocks noChangeShapeType="1"/>
        </xdr:cNvSpPr>
      </xdr:nvSpPr>
      <xdr:spPr bwMode="auto">
        <a:xfrm flipH="1">
          <a:off x="2205038" y="51054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7</xdr:col>
          <xdr:colOff>428625</xdr:colOff>
          <xdr:row>20</xdr:row>
          <xdr:rowOff>19050</xdr:rowOff>
        </xdr:from>
        <xdr:to>
          <xdr:col>7</xdr:col>
          <xdr:colOff>600075</xdr:colOff>
          <xdr:row>20</xdr:row>
          <xdr:rowOff>190500</xdr:rowOff>
        </xdr:to>
        <xdr:sp macro="" textlink="">
          <xdr:nvSpPr>
            <xdr:cNvPr id="301" name="Button 60" hidden="1">
              <a:extLst>
                <a:ext uri="{63B3BB69-23CF-44E3-9099-C40C66FF867C}">
                  <a14:compatExt spid="_x0000_s1084"/>
                </a:ext>
                <a:ext uri="{FF2B5EF4-FFF2-40B4-BE49-F238E27FC236}">
                  <a16:creationId xmlns:a16="http://schemas.microsoft.com/office/drawing/2014/main" id="{00000000-0008-0000-0000-00002D0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3</xdr:col>
      <xdr:colOff>102367</xdr:colOff>
      <xdr:row>109</xdr:row>
      <xdr:rowOff>119118</xdr:rowOff>
    </xdr:from>
    <xdr:to>
      <xdr:col>3</xdr:col>
      <xdr:colOff>139700</xdr:colOff>
      <xdr:row>109</xdr:row>
      <xdr:rowOff>154262</xdr:rowOff>
    </xdr:to>
    <xdr:sp macro="" textlink="">
      <xdr:nvSpPr>
        <xdr:cNvPr id="304" name="Oval 36">
          <a:extLst>
            <a:ext uri="{FF2B5EF4-FFF2-40B4-BE49-F238E27FC236}">
              <a16:creationId xmlns:a16="http://schemas.microsoft.com/office/drawing/2014/main" id="{00000000-0008-0000-0000-000030010000}"/>
            </a:ext>
          </a:extLst>
        </xdr:cNvPr>
        <xdr:cNvSpPr>
          <a:spLocks noChangeArrowheads="1"/>
        </xdr:cNvSpPr>
      </xdr:nvSpPr>
      <xdr:spPr bwMode="auto">
        <a:xfrm>
          <a:off x="2062108" y="21008428"/>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265715</xdr:colOff>
      <xdr:row>110</xdr:row>
      <xdr:rowOff>151087</xdr:rowOff>
    </xdr:from>
    <xdr:to>
      <xdr:col>4</xdr:col>
      <xdr:colOff>303048</xdr:colOff>
      <xdr:row>111</xdr:row>
      <xdr:rowOff>110</xdr:rowOff>
    </xdr:to>
    <xdr:sp macro="" textlink="">
      <xdr:nvSpPr>
        <xdr:cNvPr id="369" name="Oval 36">
          <a:extLst>
            <a:ext uri="{FF2B5EF4-FFF2-40B4-BE49-F238E27FC236}">
              <a16:creationId xmlns:a16="http://schemas.microsoft.com/office/drawing/2014/main" id="{00000000-0008-0000-0000-000071010000}"/>
            </a:ext>
          </a:extLst>
        </xdr:cNvPr>
        <xdr:cNvSpPr>
          <a:spLocks noChangeArrowheads="1"/>
        </xdr:cNvSpPr>
      </xdr:nvSpPr>
      <xdr:spPr bwMode="auto">
        <a:xfrm>
          <a:off x="2597698" y="21237466"/>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11</xdr:col>
      <xdr:colOff>190500</xdr:colOff>
      <xdr:row>0</xdr:row>
      <xdr:rowOff>0</xdr:rowOff>
    </xdr:from>
    <xdr:to>
      <xdr:col>11</xdr:col>
      <xdr:colOff>190500</xdr:colOff>
      <xdr:row>6</xdr:row>
      <xdr:rowOff>0</xdr:rowOff>
    </xdr:to>
    <xdr:sp macro="" textlink="">
      <xdr:nvSpPr>
        <xdr:cNvPr id="2" name="Line 678">
          <a:extLst>
            <a:ext uri="{FF2B5EF4-FFF2-40B4-BE49-F238E27FC236}">
              <a16:creationId xmlns:a16="http://schemas.microsoft.com/office/drawing/2014/main" id="{00000000-0008-0000-0100-000002000000}"/>
            </a:ext>
          </a:extLst>
        </xdr:cNvPr>
        <xdr:cNvSpPr>
          <a:spLocks noChangeShapeType="1"/>
        </xdr:cNvSpPr>
      </xdr:nvSpPr>
      <xdr:spPr bwMode="auto">
        <a:xfrm flipV="1">
          <a:off x="6753225" y="0"/>
          <a:ext cx="0" cy="981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466725</xdr:colOff>
      <xdr:row>0</xdr:row>
      <xdr:rowOff>104775</xdr:rowOff>
    </xdr:from>
    <xdr:to>
      <xdr:col>0</xdr:col>
      <xdr:colOff>1076325</xdr:colOff>
      <xdr:row>3</xdr:row>
      <xdr:rowOff>114300</xdr:rowOff>
    </xdr:to>
    <xdr:pic>
      <xdr:nvPicPr>
        <xdr:cNvPr id="3" name="Picture 197" descr="CRH_office_panton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10477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xdr:from>
      <xdr:col>15</xdr:col>
      <xdr:colOff>123825</xdr:colOff>
      <xdr:row>18</xdr:row>
      <xdr:rowOff>95250</xdr:rowOff>
    </xdr:from>
    <xdr:to>
      <xdr:col>15</xdr:col>
      <xdr:colOff>800100</xdr:colOff>
      <xdr:row>18</xdr:row>
      <xdr:rowOff>95250</xdr:rowOff>
    </xdr:to>
    <xdr:sp macro="" textlink="">
      <xdr:nvSpPr>
        <xdr:cNvPr id="5" name="Line 825">
          <a:extLst>
            <a:ext uri="{FF2B5EF4-FFF2-40B4-BE49-F238E27FC236}">
              <a16:creationId xmlns:a16="http://schemas.microsoft.com/office/drawing/2014/main" id="{00000000-0008-0000-0100-000005000000}"/>
            </a:ext>
          </a:extLst>
        </xdr:cNvPr>
        <xdr:cNvSpPr>
          <a:spLocks noChangeShapeType="1"/>
        </xdr:cNvSpPr>
      </xdr:nvSpPr>
      <xdr:spPr bwMode="auto">
        <a:xfrm>
          <a:off x="10210800" y="3390900"/>
          <a:ext cx="676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15</xdr:col>
      <xdr:colOff>123825</xdr:colOff>
      <xdr:row>21</xdr:row>
      <xdr:rowOff>95250</xdr:rowOff>
    </xdr:from>
    <xdr:to>
      <xdr:col>15</xdr:col>
      <xdr:colOff>790575</xdr:colOff>
      <xdr:row>21</xdr:row>
      <xdr:rowOff>95250</xdr:rowOff>
    </xdr:to>
    <xdr:sp macro="" textlink="">
      <xdr:nvSpPr>
        <xdr:cNvPr id="6" name="Line 826">
          <a:extLst>
            <a:ext uri="{FF2B5EF4-FFF2-40B4-BE49-F238E27FC236}">
              <a16:creationId xmlns:a16="http://schemas.microsoft.com/office/drawing/2014/main" id="{00000000-0008-0000-0100-000006000000}"/>
            </a:ext>
          </a:extLst>
        </xdr:cNvPr>
        <xdr:cNvSpPr>
          <a:spLocks noChangeShapeType="1"/>
        </xdr:cNvSpPr>
      </xdr:nvSpPr>
      <xdr:spPr bwMode="auto">
        <a:xfrm>
          <a:off x="10210800" y="3962400"/>
          <a:ext cx="6667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104775</xdr:colOff>
      <xdr:row>0</xdr:row>
      <xdr:rowOff>9525</xdr:rowOff>
    </xdr:from>
    <xdr:to>
      <xdr:col>11</xdr:col>
      <xdr:colOff>104775</xdr:colOff>
      <xdr:row>6</xdr:row>
      <xdr:rowOff>9525</xdr:rowOff>
    </xdr:to>
    <xdr:sp macro="" textlink="">
      <xdr:nvSpPr>
        <xdr:cNvPr id="2" name="Line 679">
          <a:extLst>
            <a:ext uri="{FF2B5EF4-FFF2-40B4-BE49-F238E27FC236}">
              <a16:creationId xmlns:a16="http://schemas.microsoft.com/office/drawing/2014/main" id="{00000000-0008-0000-0200-000002000000}"/>
            </a:ext>
          </a:extLst>
        </xdr:cNvPr>
        <xdr:cNvSpPr>
          <a:spLocks noChangeShapeType="1"/>
        </xdr:cNvSpPr>
      </xdr:nvSpPr>
      <xdr:spPr bwMode="auto">
        <a:xfrm>
          <a:off x="6838950" y="9525"/>
          <a:ext cx="0" cy="981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209550</xdr:colOff>
      <xdr:row>10</xdr:row>
      <xdr:rowOff>38100</xdr:rowOff>
    </xdr:from>
    <xdr:to>
      <xdr:col>3</xdr:col>
      <xdr:colOff>209550</xdr:colOff>
      <xdr:row>12</xdr:row>
      <xdr:rowOff>142875</xdr:rowOff>
    </xdr:to>
    <xdr:sp macro="" textlink="">
      <xdr:nvSpPr>
        <xdr:cNvPr id="3" name="Line 680">
          <a:extLst>
            <a:ext uri="{FF2B5EF4-FFF2-40B4-BE49-F238E27FC236}">
              <a16:creationId xmlns:a16="http://schemas.microsoft.com/office/drawing/2014/main" id="{00000000-0008-0000-0200-000003000000}"/>
            </a:ext>
          </a:extLst>
        </xdr:cNvPr>
        <xdr:cNvSpPr>
          <a:spLocks noChangeShapeType="1"/>
        </xdr:cNvSpPr>
      </xdr:nvSpPr>
      <xdr:spPr bwMode="auto">
        <a:xfrm flipV="1">
          <a:off x="2209800" y="1809750"/>
          <a:ext cx="0" cy="495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142875</xdr:colOff>
      <xdr:row>11</xdr:row>
      <xdr:rowOff>114300</xdr:rowOff>
    </xdr:from>
    <xdr:to>
      <xdr:col>5</xdr:col>
      <xdr:colOff>666750</xdr:colOff>
      <xdr:row>11</xdr:row>
      <xdr:rowOff>114300</xdr:rowOff>
    </xdr:to>
    <xdr:sp macro="" textlink="">
      <xdr:nvSpPr>
        <xdr:cNvPr id="4" name="Line 681">
          <a:extLst>
            <a:ext uri="{FF2B5EF4-FFF2-40B4-BE49-F238E27FC236}">
              <a16:creationId xmlns:a16="http://schemas.microsoft.com/office/drawing/2014/main" id="{00000000-0008-0000-0200-000004000000}"/>
            </a:ext>
          </a:extLst>
        </xdr:cNvPr>
        <xdr:cNvSpPr>
          <a:spLocks noChangeShapeType="1"/>
        </xdr:cNvSpPr>
      </xdr:nvSpPr>
      <xdr:spPr bwMode="auto">
        <a:xfrm>
          <a:off x="2143125" y="2076450"/>
          <a:ext cx="1171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17</xdr:row>
      <xdr:rowOff>0</xdr:rowOff>
    </xdr:from>
    <xdr:to>
      <xdr:col>3</xdr:col>
      <xdr:colOff>142875</xdr:colOff>
      <xdr:row>17</xdr:row>
      <xdr:rowOff>9525</xdr:rowOff>
    </xdr:to>
    <xdr:sp macro="" textlink="">
      <xdr:nvSpPr>
        <xdr:cNvPr id="5" name="Line 682">
          <a:extLst>
            <a:ext uri="{FF2B5EF4-FFF2-40B4-BE49-F238E27FC236}">
              <a16:creationId xmlns:a16="http://schemas.microsoft.com/office/drawing/2014/main" id="{00000000-0008-0000-0200-000005000000}"/>
            </a:ext>
          </a:extLst>
        </xdr:cNvPr>
        <xdr:cNvSpPr>
          <a:spLocks noChangeShapeType="1"/>
        </xdr:cNvSpPr>
      </xdr:nvSpPr>
      <xdr:spPr bwMode="auto">
        <a:xfrm>
          <a:off x="1733550" y="3124200"/>
          <a:ext cx="40957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19</xdr:row>
      <xdr:rowOff>47625</xdr:rowOff>
    </xdr:from>
    <xdr:to>
      <xdr:col>1</xdr:col>
      <xdr:colOff>209550</xdr:colOff>
      <xdr:row>20</xdr:row>
      <xdr:rowOff>0</xdr:rowOff>
    </xdr:to>
    <xdr:sp macro="" textlink="">
      <xdr:nvSpPr>
        <xdr:cNvPr id="7" name="Line 684">
          <a:extLst>
            <a:ext uri="{FF2B5EF4-FFF2-40B4-BE49-F238E27FC236}">
              <a16:creationId xmlns:a16="http://schemas.microsoft.com/office/drawing/2014/main" id="{00000000-0008-0000-0200-000007000000}"/>
            </a:ext>
          </a:extLst>
        </xdr:cNvPr>
        <xdr:cNvSpPr>
          <a:spLocks noChangeShapeType="1"/>
        </xdr:cNvSpPr>
      </xdr:nvSpPr>
      <xdr:spPr bwMode="auto">
        <a:xfrm>
          <a:off x="1390650" y="3562350"/>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10</xdr:row>
      <xdr:rowOff>85725</xdr:rowOff>
    </xdr:from>
    <xdr:to>
      <xdr:col>1</xdr:col>
      <xdr:colOff>209550</xdr:colOff>
      <xdr:row>12</xdr:row>
      <xdr:rowOff>171450</xdr:rowOff>
    </xdr:to>
    <xdr:sp macro="" textlink="">
      <xdr:nvSpPr>
        <xdr:cNvPr id="9" name="Line 686">
          <a:extLst>
            <a:ext uri="{FF2B5EF4-FFF2-40B4-BE49-F238E27FC236}">
              <a16:creationId xmlns:a16="http://schemas.microsoft.com/office/drawing/2014/main" id="{00000000-0008-0000-0200-000009000000}"/>
            </a:ext>
          </a:extLst>
        </xdr:cNvPr>
        <xdr:cNvSpPr>
          <a:spLocks noChangeShapeType="1"/>
        </xdr:cNvSpPr>
      </xdr:nvSpPr>
      <xdr:spPr bwMode="auto">
        <a:xfrm>
          <a:off x="1390650" y="1857375"/>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190500</xdr:colOff>
      <xdr:row>17</xdr:row>
      <xdr:rowOff>0</xdr:rowOff>
    </xdr:from>
    <xdr:to>
      <xdr:col>5</xdr:col>
      <xdr:colOff>495300</xdr:colOff>
      <xdr:row>17</xdr:row>
      <xdr:rowOff>0</xdr:rowOff>
    </xdr:to>
    <xdr:sp macro="" textlink="">
      <xdr:nvSpPr>
        <xdr:cNvPr id="10" name="Line 687">
          <a:extLst>
            <a:ext uri="{FF2B5EF4-FFF2-40B4-BE49-F238E27FC236}">
              <a16:creationId xmlns:a16="http://schemas.microsoft.com/office/drawing/2014/main" id="{00000000-0008-0000-0200-00000A000000}"/>
            </a:ext>
          </a:extLst>
        </xdr:cNvPr>
        <xdr:cNvSpPr>
          <a:spLocks noChangeShapeType="1"/>
        </xdr:cNvSpPr>
      </xdr:nvSpPr>
      <xdr:spPr bwMode="auto">
        <a:xfrm>
          <a:off x="2514600" y="3124200"/>
          <a:ext cx="628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13</xdr:col>
          <xdr:colOff>123825</xdr:colOff>
          <xdr:row>0</xdr:row>
          <xdr:rowOff>95250</xdr:rowOff>
        </xdr:from>
        <xdr:to>
          <xdr:col>14</xdr:col>
          <xdr:colOff>19050</xdr:colOff>
          <xdr:row>2</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a:t>
              </a:r>
            </a:p>
          </xdr:txBody>
        </xdr:sp>
        <xdr:clientData fLocksWithSheet="0"/>
      </xdr:twoCellAnchor>
    </mc:Choice>
    <mc:Fallback/>
  </mc:AlternateContent>
  <xdr:twoCellAnchor>
    <xdr:from>
      <xdr:col>4</xdr:col>
      <xdr:colOff>263525</xdr:colOff>
      <xdr:row>16</xdr:row>
      <xdr:rowOff>95250</xdr:rowOff>
    </xdr:from>
    <xdr:to>
      <xdr:col>4</xdr:col>
      <xdr:colOff>263525</xdr:colOff>
      <xdr:row>19</xdr:row>
      <xdr:rowOff>0</xdr:rowOff>
    </xdr:to>
    <xdr:sp macro="" textlink="">
      <xdr:nvSpPr>
        <xdr:cNvPr id="12" name="Line 689">
          <a:extLst>
            <a:ext uri="{FF2B5EF4-FFF2-40B4-BE49-F238E27FC236}">
              <a16:creationId xmlns:a16="http://schemas.microsoft.com/office/drawing/2014/main" id="{00000000-0008-0000-0200-00000C000000}"/>
            </a:ext>
          </a:extLst>
        </xdr:cNvPr>
        <xdr:cNvSpPr>
          <a:spLocks noChangeShapeType="1"/>
        </xdr:cNvSpPr>
      </xdr:nvSpPr>
      <xdr:spPr bwMode="auto">
        <a:xfrm>
          <a:off x="2593975" y="3003550"/>
          <a:ext cx="0" cy="47625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523871</xdr:colOff>
      <xdr:row>11</xdr:row>
      <xdr:rowOff>100011</xdr:rowOff>
    </xdr:from>
    <xdr:to>
      <xdr:col>2</xdr:col>
      <xdr:colOff>523871</xdr:colOff>
      <xdr:row>22</xdr:row>
      <xdr:rowOff>100013</xdr:rowOff>
    </xdr:to>
    <xdr:sp macro="" textlink="">
      <xdr:nvSpPr>
        <xdr:cNvPr id="13" name="Line 690">
          <a:extLst>
            <a:ext uri="{FF2B5EF4-FFF2-40B4-BE49-F238E27FC236}">
              <a16:creationId xmlns:a16="http://schemas.microsoft.com/office/drawing/2014/main" id="{00000000-0008-0000-0200-00000D000000}"/>
            </a:ext>
          </a:extLst>
        </xdr:cNvPr>
        <xdr:cNvSpPr>
          <a:spLocks noChangeShapeType="1"/>
        </xdr:cNvSpPr>
      </xdr:nvSpPr>
      <xdr:spPr bwMode="auto">
        <a:xfrm flipH="1">
          <a:off x="1943096" y="2043111"/>
          <a:ext cx="0" cy="2095502"/>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18</xdr:row>
      <xdr:rowOff>180975</xdr:rowOff>
    </xdr:from>
    <xdr:to>
      <xdr:col>2</xdr:col>
      <xdr:colOff>85725</xdr:colOff>
      <xdr:row>19</xdr:row>
      <xdr:rowOff>85725</xdr:rowOff>
    </xdr:to>
    <xdr:sp macro="" textlink="">
      <xdr:nvSpPr>
        <xdr:cNvPr id="14" name="Line 691">
          <a:extLst>
            <a:ext uri="{FF2B5EF4-FFF2-40B4-BE49-F238E27FC236}">
              <a16:creationId xmlns:a16="http://schemas.microsoft.com/office/drawing/2014/main" id="{00000000-0008-0000-0200-00000E000000}"/>
            </a:ext>
          </a:extLst>
        </xdr:cNvPr>
        <xdr:cNvSpPr>
          <a:spLocks noChangeShapeType="1"/>
        </xdr:cNvSpPr>
      </xdr:nvSpPr>
      <xdr:spPr bwMode="auto">
        <a:xfrm>
          <a:off x="1504950" y="35052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133350</xdr:colOff>
      <xdr:row>19</xdr:row>
      <xdr:rowOff>0</xdr:rowOff>
    </xdr:from>
    <xdr:to>
      <xdr:col>4</xdr:col>
      <xdr:colOff>133350</xdr:colOff>
      <xdr:row>19</xdr:row>
      <xdr:rowOff>95250</xdr:rowOff>
    </xdr:to>
    <xdr:sp macro="" textlink="">
      <xdr:nvSpPr>
        <xdr:cNvPr id="15" name="Line 692">
          <a:extLst>
            <a:ext uri="{FF2B5EF4-FFF2-40B4-BE49-F238E27FC236}">
              <a16:creationId xmlns:a16="http://schemas.microsoft.com/office/drawing/2014/main" id="{00000000-0008-0000-0200-00000F000000}"/>
            </a:ext>
          </a:extLst>
        </xdr:cNvPr>
        <xdr:cNvSpPr>
          <a:spLocks noChangeShapeType="1"/>
        </xdr:cNvSpPr>
      </xdr:nvSpPr>
      <xdr:spPr bwMode="auto">
        <a:xfrm>
          <a:off x="2457450" y="3514725"/>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11</xdr:col>
          <xdr:colOff>47625</xdr:colOff>
          <xdr:row>39</xdr:row>
          <xdr:rowOff>76200</xdr:rowOff>
        </xdr:from>
        <xdr:to>
          <xdr:col>12</xdr:col>
          <xdr:colOff>152400</xdr:colOff>
          <xdr:row>40</xdr:row>
          <xdr:rowOff>152400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optimer</a:t>
              </a:r>
            </a:p>
          </xdr:txBody>
        </xdr:sp>
        <xdr:clientData fLocksWithSheet="0"/>
      </xdr:twoCellAnchor>
    </mc:Choice>
    <mc:Fallback/>
  </mc:AlternateContent>
  <xdr:twoCellAnchor>
    <xdr:from>
      <xdr:col>3</xdr:col>
      <xdr:colOff>114300</xdr:colOff>
      <xdr:row>35</xdr:row>
      <xdr:rowOff>142875</xdr:rowOff>
    </xdr:from>
    <xdr:to>
      <xdr:col>3</xdr:col>
      <xdr:colOff>114300</xdr:colOff>
      <xdr:row>36</xdr:row>
      <xdr:rowOff>161925</xdr:rowOff>
    </xdr:to>
    <xdr:sp macro="" textlink="">
      <xdr:nvSpPr>
        <xdr:cNvPr id="17" name="Line 694">
          <a:extLst>
            <a:ext uri="{FF2B5EF4-FFF2-40B4-BE49-F238E27FC236}">
              <a16:creationId xmlns:a16="http://schemas.microsoft.com/office/drawing/2014/main" id="{00000000-0008-0000-0200-000011000000}"/>
            </a:ext>
          </a:extLst>
        </xdr:cNvPr>
        <xdr:cNvSpPr>
          <a:spLocks noChangeShapeType="1"/>
        </xdr:cNvSpPr>
      </xdr:nvSpPr>
      <xdr:spPr bwMode="auto">
        <a:xfrm>
          <a:off x="2114550" y="6724650"/>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36</xdr:row>
      <xdr:rowOff>114300</xdr:rowOff>
    </xdr:from>
    <xdr:to>
      <xdr:col>5</xdr:col>
      <xdr:colOff>704850</xdr:colOff>
      <xdr:row>36</xdr:row>
      <xdr:rowOff>114300</xdr:rowOff>
    </xdr:to>
    <xdr:sp macro="" textlink="">
      <xdr:nvSpPr>
        <xdr:cNvPr id="18" name="Line 695">
          <a:extLst>
            <a:ext uri="{FF2B5EF4-FFF2-40B4-BE49-F238E27FC236}">
              <a16:creationId xmlns:a16="http://schemas.microsoft.com/office/drawing/2014/main" id="{00000000-0008-0000-0200-000012000000}"/>
            </a:ext>
          </a:extLst>
        </xdr:cNvPr>
        <xdr:cNvSpPr>
          <a:spLocks noChangeShapeType="1"/>
        </xdr:cNvSpPr>
      </xdr:nvSpPr>
      <xdr:spPr bwMode="auto">
        <a:xfrm>
          <a:off x="2057400" y="6896100"/>
          <a:ext cx="1295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36</xdr:row>
      <xdr:rowOff>78397</xdr:rowOff>
    </xdr:from>
    <xdr:to>
      <xdr:col>5</xdr:col>
      <xdr:colOff>33338</xdr:colOff>
      <xdr:row>36</xdr:row>
      <xdr:rowOff>161924</xdr:rowOff>
    </xdr:to>
    <xdr:sp macro="" textlink="">
      <xdr:nvSpPr>
        <xdr:cNvPr id="19" name="Line 696">
          <a:extLst>
            <a:ext uri="{FF2B5EF4-FFF2-40B4-BE49-F238E27FC236}">
              <a16:creationId xmlns:a16="http://schemas.microsoft.com/office/drawing/2014/main" id="{00000000-0008-0000-0200-000013000000}"/>
            </a:ext>
          </a:extLst>
        </xdr:cNvPr>
        <xdr:cNvSpPr>
          <a:spLocks noChangeShapeType="1"/>
        </xdr:cNvSpPr>
      </xdr:nvSpPr>
      <xdr:spPr bwMode="auto">
        <a:xfrm flipH="1">
          <a:off x="2590800" y="6812572"/>
          <a:ext cx="90488" cy="83527"/>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66675</xdr:colOff>
      <xdr:row>36</xdr:row>
      <xdr:rowOff>66676</xdr:rowOff>
    </xdr:from>
    <xdr:to>
      <xdr:col>3</xdr:col>
      <xdr:colOff>161925</xdr:colOff>
      <xdr:row>36</xdr:row>
      <xdr:rowOff>155122</xdr:rowOff>
    </xdr:to>
    <xdr:sp macro="" textlink="">
      <xdr:nvSpPr>
        <xdr:cNvPr id="20" name="Line 697">
          <a:extLst>
            <a:ext uri="{FF2B5EF4-FFF2-40B4-BE49-F238E27FC236}">
              <a16:creationId xmlns:a16="http://schemas.microsoft.com/office/drawing/2014/main" id="{00000000-0008-0000-0200-000014000000}"/>
            </a:ext>
          </a:extLst>
        </xdr:cNvPr>
        <xdr:cNvSpPr>
          <a:spLocks noChangeShapeType="1"/>
        </xdr:cNvSpPr>
      </xdr:nvSpPr>
      <xdr:spPr bwMode="auto">
        <a:xfrm flipH="1">
          <a:off x="2066925" y="6800851"/>
          <a:ext cx="95250" cy="8844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180975</xdr:colOff>
      <xdr:row>32</xdr:row>
      <xdr:rowOff>0</xdr:rowOff>
    </xdr:from>
    <xdr:to>
      <xdr:col>4</xdr:col>
      <xdr:colOff>304800</xdr:colOff>
      <xdr:row>38</xdr:row>
      <xdr:rowOff>0</xdr:rowOff>
    </xdr:to>
    <xdr:sp macro="" textlink="">
      <xdr:nvSpPr>
        <xdr:cNvPr id="21" name="Tegning 698">
          <a:extLst>
            <a:ext uri="{FF2B5EF4-FFF2-40B4-BE49-F238E27FC236}">
              <a16:creationId xmlns:a16="http://schemas.microsoft.com/office/drawing/2014/main" id="{00000000-0008-0000-0200-000015000000}"/>
            </a:ext>
          </a:extLst>
        </xdr:cNvPr>
        <xdr:cNvSpPr>
          <a:spLocks/>
        </xdr:cNvSpPr>
      </xdr:nvSpPr>
      <xdr:spPr bwMode="auto">
        <a:xfrm>
          <a:off x="1362075" y="5943600"/>
          <a:ext cx="1266825" cy="1181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6384" h="16384">
              <a:moveTo>
                <a:pt x="0" y="0"/>
              </a:moveTo>
              <a:lnTo>
                <a:pt x="0" y="16384"/>
              </a:lnTo>
              <a:lnTo>
                <a:pt x="16384" y="16384"/>
              </a:lnTo>
              <a:lnTo>
                <a:pt x="16384" y="9387"/>
              </a:lnTo>
              <a:lnTo>
                <a:pt x="9728" y="9387"/>
              </a:lnTo>
              <a:lnTo>
                <a:pt x="9728" y="7339"/>
              </a:lnTo>
              <a:lnTo>
                <a:pt x="16384" y="7339"/>
              </a:lnTo>
              <a:lnTo>
                <a:pt x="16384" y="171"/>
              </a:lnTo>
              <a:lnTo>
                <a:pt x="171" y="17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252413</xdr:colOff>
      <xdr:row>31</xdr:row>
      <xdr:rowOff>185737</xdr:rowOff>
    </xdr:from>
    <xdr:to>
      <xdr:col>4</xdr:col>
      <xdr:colOff>252413</xdr:colOff>
      <xdr:row>34</xdr:row>
      <xdr:rowOff>138112</xdr:rowOff>
    </xdr:to>
    <xdr:sp macro="" textlink="">
      <xdr:nvSpPr>
        <xdr:cNvPr id="22" name="Line 699">
          <a:extLst>
            <a:ext uri="{FF2B5EF4-FFF2-40B4-BE49-F238E27FC236}">
              <a16:creationId xmlns:a16="http://schemas.microsoft.com/office/drawing/2014/main" id="{00000000-0008-0000-0200-000016000000}"/>
            </a:ext>
          </a:extLst>
        </xdr:cNvPr>
        <xdr:cNvSpPr>
          <a:spLocks noChangeShapeType="1"/>
        </xdr:cNvSpPr>
      </xdr:nvSpPr>
      <xdr:spPr bwMode="auto">
        <a:xfrm>
          <a:off x="2576513" y="5938837"/>
          <a:ext cx="0" cy="5334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252412</xdr:colOff>
      <xdr:row>35</xdr:row>
      <xdr:rowOff>76200</xdr:rowOff>
    </xdr:from>
    <xdr:to>
      <xdr:col>4</xdr:col>
      <xdr:colOff>252412</xdr:colOff>
      <xdr:row>38</xdr:row>
      <xdr:rowOff>0</xdr:rowOff>
    </xdr:to>
    <xdr:sp macro="" textlink="">
      <xdr:nvSpPr>
        <xdr:cNvPr id="23" name="Line 700">
          <a:extLst>
            <a:ext uri="{FF2B5EF4-FFF2-40B4-BE49-F238E27FC236}">
              <a16:creationId xmlns:a16="http://schemas.microsoft.com/office/drawing/2014/main" id="{00000000-0008-0000-0200-000017000000}"/>
            </a:ext>
          </a:extLst>
        </xdr:cNvPr>
        <xdr:cNvSpPr>
          <a:spLocks noChangeShapeType="1"/>
        </xdr:cNvSpPr>
      </xdr:nvSpPr>
      <xdr:spPr bwMode="auto">
        <a:xfrm>
          <a:off x="2576512" y="6600825"/>
          <a:ext cx="0" cy="5048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31</xdr:row>
      <xdr:rowOff>123825</xdr:rowOff>
    </xdr:from>
    <xdr:to>
      <xdr:col>2</xdr:col>
      <xdr:colOff>76200</xdr:colOff>
      <xdr:row>32</xdr:row>
      <xdr:rowOff>9525</xdr:rowOff>
    </xdr:to>
    <xdr:sp macro="" textlink="">
      <xdr:nvSpPr>
        <xdr:cNvPr id="24" name="Line 701">
          <a:extLst>
            <a:ext uri="{FF2B5EF4-FFF2-40B4-BE49-F238E27FC236}">
              <a16:creationId xmlns:a16="http://schemas.microsoft.com/office/drawing/2014/main" id="{00000000-0008-0000-0200-000018000000}"/>
            </a:ext>
          </a:extLst>
        </xdr:cNvPr>
        <xdr:cNvSpPr>
          <a:spLocks noChangeShapeType="1"/>
        </xdr:cNvSpPr>
      </xdr:nvSpPr>
      <xdr:spPr bwMode="auto">
        <a:xfrm>
          <a:off x="1495425" y="594360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31</xdr:row>
      <xdr:rowOff>123825</xdr:rowOff>
    </xdr:from>
    <xdr:to>
      <xdr:col>3</xdr:col>
      <xdr:colOff>28575</xdr:colOff>
      <xdr:row>32</xdr:row>
      <xdr:rowOff>28575</xdr:rowOff>
    </xdr:to>
    <xdr:sp macro="" textlink="">
      <xdr:nvSpPr>
        <xdr:cNvPr id="25" name="Line 702">
          <a:extLst>
            <a:ext uri="{FF2B5EF4-FFF2-40B4-BE49-F238E27FC236}">
              <a16:creationId xmlns:a16="http://schemas.microsoft.com/office/drawing/2014/main" id="{00000000-0008-0000-0200-000019000000}"/>
            </a:ext>
          </a:extLst>
        </xdr:cNvPr>
        <xdr:cNvSpPr>
          <a:spLocks noChangeShapeType="1"/>
        </xdr:cNvSpPr>
      </xdr:nvSpPr>
      <xdr:spPr bwMode="auto">
        <a:xfrm>
          <a:off x="2028825" y="59436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37</xdr:row>
      <xdr:rowOff>190500</xdr:rowOff>
    </xdr:from>
    <xdr:to>
      <xdr:col>2</xdr:col>
      <xdr:colOff>76200</xdr:colOff>
      <xdr:row>38</xdr:row>
      <xdr:rowOff>85725</xdr:rowOff>
    </xdr:to>
    <xdr:sp macro="" textlink="">
      <xdr:nvSpPr>
        <xdr:cNvPr id="26" name="Line 703">
          <a:extLst>
            <a:ext uri="{FF2B5EF4-FFF2-40B4-BE49-F238E27FC236}">
              <a16:creationId xmlns:a16="http://schemas.microsoft.com/office/drawing/2014/main" id="{00000000-0008-0000-0200-00001A000000}"/>
            </a:ext>
          </a:extLst>
        </xdr:cNvPr>
        <xdr:cNvSpPr>
          <a:spLocks noChangeShapeType="1"/>
        </xdr:cNvSpPr>
      </xdr:nvSpPr>
      <xdr:spPr bwMode="auto">
        <a:xfrm flipV="1">
          <a:off x="1495425" y="716280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133350</xdr:colOff>
      <xdr:row>37</xdr:row>
      <xdr:rowOff>190500</xdr:rowOff>
    </xdr:from>
    <xdr:to>
      <xdr:col>4</xdr:col>
      <xdr:colOff>133350</xdr:colOff>
      <xdr:row>38</xdr:row>
      <xdr:rowOff>85725</xdr:rowOff>
    </xdr:to>
    <xdr:sp macro="" textlink="">
      <xdr:nvSpPr>
        <xdr:cNvPr id="27" name="Line 704">
          <a:extLst>
            <a:ext uri="{FF2B5EF4-FFF2-40B4-BE49-F238E27FC236}">
              <a16:creationId xmlns:a16="http://schemas.microsoft.com/office/drawing/2014/main" id="{00000000-0008-0000-0200-00001B000000}"/>
            </a:ext>
          </a:extLst>
        </xdr:cNvPr>
        <xdr:cNvSpPr>
          <a:spLocks noChangeShapeType="1"/>
        </xdr:cNvSpPr>
      </xdr:nvSpPr>
      <xdr:spPr bwMode="auto">
        <a:xfrm flipV="1">
          <a:off x="2457450" y="716280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10</xdr:row>
      <xdr:rowOff>66675</xdr:rowOff>
    </xdr:from>
    <xdr:to>
      <xdr:col>5</xdr:col>
      <xdr:colOff>0</xdr:colOff>
      <xdr:row>16</xdr:row>
      <xdr:rowOff>66675</xdr:rowOff>
    </xdr:to>
    <xdr:sp macro="" textlink="">
      <xdr:nvSpPr>
        <xdr:cNvPr id="28" name="Line 705">
          <a:extLst>
            <a:ext uri="{FF2B5EF4-FFF2-40B4-BE49-F238E27FC236}">
              <a16:creationId xmlns:a16="http://schemas.microsoft.com/office/drawing/2014/main" id="{00000000-0008-0000-0200-00001C000000}"/>
            </a:ext>
          </a:extLst>
        </xdr:cNvPr>
        <xdr:cNvSpPr>
          <a:spLocks noChangeShapeType="1"/>
        </xdr:cNvSpPr>
      </xdr:nvSpPr>
      <xdr:spPr bwMode="auto">
        <a:xfrm flipH="1" flipV="1">
          <a:off x="2647950" y="1838325"/>
          <a:ext cx="0" cy="1162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142875</xdr:colOff>
      <xdr:row>11</xdr:row>
      <xdr:rowOff>66675</xdr:rowOff>
    </xdr:from>
    <xdr:to>
      <xdr:col>3</xdr:col>
      <xdr:colOff>276225</xdr:colOff>
      <xdr:row>11</xdr:row>
      <xdr:rowOff>171450</xdr:rowOff>
    </xdr:to>
    <xdr:sp macro="" textlink="">
      <xdr:nvSpPr>
        <xdr:cNvPr id="29" name="Line 706">
          <a:extLst>
            <a:ext uri="{FF2B5EF4-FFF2-40B4-BE49-F238E27FC236}">
              <a16:creationId xmlns:a16="http://schemas.microsoft.com/office/drawing/2014/main" id="{00000000-0008-0000-0200-00001D000000}"/>
            </a:ext>
          </a:extLst>
        </xdr:cNvPr>
        <xdr:cNvSpPr>
          <a:spLocks noChangeShapeType="1"/>
        </xdr:cNvSpPr>
      </xdr:nvSpPr>
      <xdr:spPr bwMode="auto">
        <a:xfrm flipH="1">
          <a:off x="2143125" y="2028825"/>
          <a:ext cx="1333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14</xdr:row>
      <xdr:rowOff>12700</xdr:rowOff>
    </xdr:from>
    <xdr:to>
      <xdr:col>3</xdr:col>
      <xdr:colOff>247650</xdr:colOff>
      <xdr:row>14</xdr:row>
      <xdr:rowOff>12700</xdr:rowOff>
    </xdr:to>
    <xdr:sp macro="" textlink="">
      <xdr:nvSpPr>
        <xdr:cNvPr id="30" name="Line 707">
          <a:extLst>
            <a:ext uri="{FF2B5EF4-FFF2-40B4-BE49-F238E27FC236}">
              <a16:creationId xmlns:a16="http://schemas.microsoft.com/office/drawing/2014/main" id="{00000000-0008-0000-0200-00001E000000}"/>
            </a:ext>
          </a:extLst>
        </xdr:cNvPr>
        <xdr:cNvSpPr>
          <a:spLocks noChangeShapeType="1"/>
        </xdr:cNvSpPr>
      </xdr:nvSpPr>
      <xdr:spPr bwMode="auto">
        <a:xfrm>
          <a:off x="1698625" y="2540000"/>
          <a:ext cx="555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171450</xdr:colOff>
      <xdr:row>13</xdr:row>
      <xdr:rowOff>146051</xdr:rowOff>
    </xdr:from>
    <xdr:to>
      <xdr:col>3</xdr:col>
      <xdr:colOff>285750</xdr:colOff>
      <xdr:row>14</xdr:row>
      <xdr:rowOff>62707</xdr:rowOff>
    </xdr:to>
    <xdr:sp macro="" textlink="">
      <xdr:nvSpPr>
        <xdr:cNvPr id="31" name="Line 708">
          <a:extLst>
            <a:ext uri="{FF2B5EF4-FFF2-40B4-BE49-F238E27FC236}">
              <a16:creationId xmlns:a16="http://schemas.microsoft.com/office/drawing/2014/main" id="{00000000-0008-0000-0200-00001F000000}"/>
            </a:ext>
          </a:extLst>
        </xdr:cNvPr>
        <xdr:cNvSpPr>
          <a:spLocks noChangeShapeType="1"/>
        </xdr:cNvSpPr>
      </xdr:nvSpPr>
      <xdr:spPr bwMode="auto">
        <a:xfrm flipH="1">
          <a:off x="2178050" y="2482851"/>
          <a:ext cx="114300" cy="10715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79374</xdr:colOff>
      <xdr:row>13</xdr:row>
      <xdr:rowOff>147637</xdr:rowOff>
    </xdr:from>
    <xdr:to>
      <xdr:col>3</xdr:col>
      <xdr:colOff>217487</xdr:colOff>
      <xdr:row>14</xdr:row>
      <xdr:rowOff>85724</xdr:rowOff>
    </xdr:to>
    <xdr:sp macro="" textlink="">
      <xdr:nvSpPr>
        <xdr:cNvPr id="32" name="Line 709">
          <a:extLst>
            <a:ext uri="{FF2B5EF4-FFF2-40B4-BE49-F238E27FC236}">
              <a16:creationId xmlns:a16="http://schemas.microsoft.com/office/drawing/2014/main" id="{00000000-0008-0000-0200-000020000000}"/>
            </a:ext>
          </a:extLst>
        </xdr:cNvPr>
        <xdr:cNvSpPr>
          <a:spLocks noChangeShapeType="1"/>
        </xdr:cNvSpPr>
      </xdr:nvSpPr>
      <xdr:spPr bwMode="auto">
        <a:xfrm flipH="1">
          <a:off x="2085974" y="2484437"/>
          <a:ext cx="138113" cy="128587"/>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285750</xdr:colOff>
      <xdr:row>11</xdr:row>
      <xdr:rowOff>76200</xdr:rowOff>
    </xdr:from>
    <xdr:to>
      <xdr:col>5</xdr:col>
      <xdr:colOff>47625</xdr:colOff>
      <xdr:row>11</xdr:row>
      <xdr:rowOff>152400</xdr:rowOff>
    </xdr:to>
    <xdr:sp macro="" textlink="">
      <xdr:nvSpPr>
        <xdr:cNvPr id="33" name="Line 710">
          <a:extLst>
            <a:ext uri="{FF2B5EF4-FFF2-40B4-BE49-F238E27FC236}">
              <a16:creationId xmlns:a16="http://schemas.microsoft.com/office/drawing/2014/main" id="{00000000-0008-0000-0200-000021000000}"/>
            </a:ext>
          </a:extLst>
        </xdr:cNvPr>
        <xdr:cNvSpPr>
          <a:spLocks noChangeShapeType="1"/>
        </xdr:cNvSpPr>
      </xdr:nvSpPr>
      <xdr:spPr bwMode="auto">
        <a:xfrm flipH="1">
          <a:off x="2609850" y="20383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23813</xdr:colOff>
      <xdr:row>16</xdr:row>
      <xdr:rowOff>152400</xdr:rowOff>
    </xdr:from>
    <xdr:to>
      <xdr:col>3</xdr:col>
      <xdr:colOff>128588</xdr:colOff>
      <xdr:row>17</xdr:row>
      <xdr:rowOff>57150</xdr:rowOff>
    </xdr:to>
    <xdr:sp macro="" textlink="">
      <xdr:nvSpPr>
        <xdr:cNvPr id="34" name="Line 711">
          <a:extLst>
            <a:ext uri="{FF2B5EF4-FFF2-40B4-BE49-F238E27FC236}">
              <a16:creationId xmlns:a16="http://schemas.microsoft.com/office/drawing/2014/main" id="{00000000-0008-0000-0200-000022000000}"/>
            </a:ext>
          </a:extLst>
        </xdr:cNvPr>
        <xdr:cNvSpPr>
          <a:spLocks noChangeShapeType="1"/>
        </xdr:cNvSpPr>
      </xdr:nvSpPr>
      <xdr:spPr bwMode="auto">
        <a:xfrm flipH="1">
          <a:off x="2024063" y="3048000"/>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16</xdr:row>
      <xdr:rowOff>157162</xdr:rowOff>
    </xdr:from>
    <xdr:to>
      <xdr:col>2</xdr:col>
      <xdr:colOff>571500</xdr:colOff>
      <xdr:row>17</xdr:row>
      <xdr:rowOff>61912</xdr:rowOff>
    </xdr:to>
    <xdr:sp macro="" textlink="">
      <xdr:nvSpPr>
        <xdr:cNvPr id="35" name="Line 712">
          <a:extLst>
            <a:ext uri="{FF2B5EF4-FFF2-40B4-BE49-F238E27FC236}">
              <a16:creationId xmlns:a16="http://schemas.microsoft.com/office/drawing/2014/main" id="{00000000-0008-0000-0200-000023000000}"/>
            </a:ext>
          </a:extLst>
        </xdr:cNvPr>
        <xdr:cNvSpPr>
          <a:spLocks noChangeShapeType="1"/>
        </xdr:cNvSpPr>
      </xdr:nvSpPr>
      <xdr:spPr bwMode="auto">
        <a:xfrm flipH="1">
          <a:off x="1885950" y="3052762"/>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8</xdr:row>
      <xdr:rowOff>161925</xdr:rowOff>
    </xdr:from>
    <xdr:to>
      <xdr:col>3</xdr:col>
      <xdr:colOff>200025</xdr:colOff>
      <xdr:row>10</xdr:row>
      <xdr:rowOff>0</xdr:rowOff>
    </xdr:to>
    <xdr:sp macro="" textlink="">
      <xdr:nvSpPr>
        <xdr:cNvPr id="36" name="Tegning 713">
          <a:extLst>
            <a:ext uri="{FF2B5EF4-FFF2-40B4-BE49-F238E27FC236}">
              <a16:creationId xmlns:a16="http://schemas.microsoft.com/office/drawing/2014/main" id="{00000000-0008-0000-0200-000024000000}"/>
            </a:ext>
          </a:extLst>
        </xdr:cNvPr>
        <xdr:cNvSpPr>
          <a:spLocks/>
        </xdr:cNvSpPr>
      </xdr:nvSpPr>
      <xdr:spPr bwMode="auto">
        <a:xfrm>
          <a:off x="1390650" y="1543050"/>
          <a:ext cx="809625" cy="2286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0" y="0"/>
              </a:moveTo>
              <a:lnTo>
                <a:pt x="0" y="16384"/>
              </a:lnTo>
              <a:lnTo>
                <a:pt x="16384" y="16384"/>
              </a:lnTo>
              <a:lnTo>
                <a:pt x="16384" y="8192"/>
              </a:lnTo>
              <a:lnTo>
                <a:pt x="14564" y="8192"/>
              </a:lnTo>
              <a:lnTo>
                <a:pt x="14564" y="1024"/>
              </a:lnTo>
              <a:lnTo>
                <a:pt x="0" y="102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47625</xdr:colOff>
      <xdr:row>9</xdr:row>
      <xdr:rowOff>47625</xdr:rowOff>
    </xdr:from>
    <xdr:to>
      <xdr:col>2</xdr:col>
      <xdr:colOff>93344</xdr:colOff>
      <xdr:row>9</xdr:row>
      <xdr:rowOff>93344</xdr:rowOff>
    </xdr:to>
    <xdr:sp macro="" textlink="">
      <xdr:nvSpPr>
        <xdr:cNvPr id="37" name="Oval 714">
          <a:extLst>
            <a:ext uri="{FF2B5EF4-FFF2-40B4-BE49-F238E27FC236}">
              <a16:creationId xmlns:a16="http://schemas.microsoft.com/office/drawing/2014/main" id="{00000000-0008-0000-0200-000025000000}"/>
            </a:ext>
          </a:extLst>
        </xdr:cNvPr>
        <xdr:cNvSpPr>
          <a:spLocks noChangeArrowheads="1"/>
        </xdr:cNvSpPr>
      </xdr:nvSpPr>
      <xdr:spPr bwMode="auto">
        <a:xfrm>
          <a:off x="1466850" y="1609725"/>
          <a:ext cx="45719" cy="45719"/>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9</xdr:row>
      <xdr:rowOff>47625</xdr:rowOff>
    </xdr:from>
    <xdr:to>
      <xdr:col>3</xdr:col>
      <xdr:colOff>17144</xdr:colOff>
      <xdr:row>9</xdr:row>
      <xdr:rowOff>93344</xdr:rowOff>
    </xdr:to>
    <xdr:sp macro="" textlink="">
      <xdr:nvSpPr>
        <xdr:cNvPr id="38" name="Oval 715">
          <a:extLst>
            <a:ext uri="{FF2B5EF4-FFF2-40B4-BE49-F238E27FC236}">
              <a16:creationId xmlns:a16="http://schemas.microsoft.com/office/drawing/2014/main" id="{00000000-0008-0000-0200-000026000000}"/>
            </a:ext>
          </a:extLst>
        </xdr:cNvPr>
        <xdr:cNvSpPr>
          <a:spLocks noChangeArrowheads="1"/>
        </xdr:cNvSpPr>
      </xdr:nvSpPr>
      <xdr:spPr bwMode="auto">
        <a:xfrm>
          <a:off x="1971675" y="1609725"/>
          <a:ext cx="45719" cy="45719"/>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76200</xdr:colOff>
      <xdr:row>9</xdr:row>
      <xdr:rowOff>142875</xdr:rowOff>
    </xdr:from>
    <xdr:to>
      <xdr:col>2</xdr:col>
      <xdr:colOff>76200</xdr:colOff>
      <xdr:row>11</xdr:row>
      <xdr:rowOff>38100</xdr:rowOff>
    </xdr:to>
    <xdr:sp macro="" textlink="">
      <xdr:nvSpPr>
        <xdr:cNvPr id="39" name="Line 716">
          <a:extLst>
            <a:ext uri="{FF2B5EF4-FFF2-40B4-BE49-F238E27FC236}">
              <a16:creationId xmlns:a16="http://schemas.microsoft.com/office/drawing/2014/main" id="{00000000-0008-0000-0200-000027000000}"/>
            </a:ext>
          </a:extLst>
        </xdr:cNvPr>
        <xdr:cNvSpPr>
          <a:spLocks noChangeShapeType="1"/>
        </xdr:cNvSpPr>
      </xdr:nvSpPr>
      <xdr:spPr bwMode="auto">
        <a:xfrm>
          <a:off x="1495425" y="17240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9</xdr:row>
      <xdr:rowOff>142875</xdr:rowOff>
    </xdr:from>
    <xdr:to>
      <xdr:col>3</xdr:col>
      <xdr:colOff>0</xdr:colOff>
      <xdr:row>11</xdr:row>
      <xdr:rowOff>38100</xdr:rowOff>
    </xdr:to>
    <xdr:sp macro="" textlink="">
      <xdr:nvSpPr>
        <xdr:cNvPr id="40" name="Line 717">
          <a:extLst>
            <a:ext uri="{FF2B5EF4-FFF2-40B4-BE49-F238E27FC236}">
              <a16:creationId xmlns:a16="http://schemas.microsoft.com/office/drawing/2014/main" id="{00000000-0008-0000-0200-000028000000}"/>
            </a:ext>
          </a:extLst>
        </xdr:cNvPr>
        <xdr:cNvSpPr>
          <a:spLocks noChangeShapeType="1"/>
        </xdr:cNvSpPr>
      </xdr:nvSpPr>
      <xdr:spPr bwMode="auto">
        <a:xfrm>
          <a:off x="2000250" y="17240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85725</xdr:colOff>
      <xdr:row>11</xdr:row>
      <xdr:rowOff>0</xdr:rowOff>
    </xdr:from>
    <xdr:to>
      <xdr:col>5</xdr:col>
      <xdr:colOff>57150</xdr:colOff>
      <xdr:row>11</xdr:row>
      <xdr:rowOff>0</xdr:rowOff>
    </xdr:to>
    <xdr:sp macro="" textlink="">
      <xdr:nvSpPr>
        <xdr:cNvPr id="41" name="Line 718">
          <a:extLst>
            <a:ext uri="{FF2B5EF4-FFF2-40B4-BE49-F238E27FC236}">
              <a16:creationId xmlns:a16="http://schemas.microsoft.com/office/drawing/2014/main" id="{00000000-0008-0000-0200-000029000000}"/>
            </a:ext>
          </a:extLst>
        </xdr:cNvPr>
        <xdr:cNvSpPr>
          <a:spLocks noChangeShapeType="1"/>
        </xdr:cNvSpPr>
      </xdr:nvSpPr>
      <xdr:spPr bwMode="auto">
        <a:xfrm>
          <a:off x="1266825" y="1962150"/>
          <a:ext cx="1438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10</xdr:row>
      <xdr:rowOff>142875</xdr:rowOff>
    </xdr:from>
    <xdr:to>
      <xdr:col>2</xdr:col>
      <xdr:colOff>123825</xdr:colOff>
      <xdr:row>11</xdr:row>
      <xdr:rowOff>38100</xdr:rowOff>
    </xdr:to>
    <xdr:sp macro="" textlink="">
      <xdr:nvSpPr>
        <xdr:cNvPr id="42" name="Line 719">
          <a:extLst>
            <a:ext uri="{FF2B5EF4-FFF2-40B4-BE49-F238E27FC236}">
              <a16:creationId xmlns:a16="http://schemas.microsoft.com/office/drawing/2014/main" id="{00000000-0008-0000-0200-00002A000000}"/>
            </a:ext>
          </a:extLst>
        </xdr:cNvPr>
        <xdr:cNvSpPr>
          <a:spLocks noChangeShapeType="1"/>
        </xdr:cNvSpPr>
      </xdr:nvSpPr>
      <xdr:spPr bwMode="auto">
        <a:xfrm flipH="1">
          <a:off x="1447800" y="1914525"/>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10</xdr:row>
      <xdr:rowOff>142875</xdr:rowOff>
    </xdr:from>
    <xdr:to>
      <xdr:col>3</xdr:col>
      <xdr:colOff>57150</xdr:colOff>
      <xdr:row>11</xdr:row>
      <xdr:rowOff>47625</xdr:rowOff>
    </xdr:to>
    <xdr:sp macro="" textlink="">
      <xdr:nvSpPr>
        <xdr:cNvPr id="43" name="Line 720">
          <a:extLst>
            <a:ext uri="{FF2B5EF4-FFF2-40B4-BE49-F238E27FC236}">
              <a16:creationId xmlns:a16="http://schemas.microsoft.com/office/drawing/2014/main" id="{00000000-0008-0000-0200-00002B000000}"/>
            </a:ext>
          </a:extLst>
        </xdr:cNvPr>
        <xdr:cNvSpPr>
          <a:spLocks noChangeShapeType="1"/>
        </xdr:cNvSpPr>
      </xdr:nvSpPr>
      <xdr:spPr bwMode="auto">
        <a:xfrm flipH="1">
          <a:off x="1952625" y="191452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19</xdr:row>
      <xdr:rowOff>142875</xdr:rowOff>
    </xdr:from>
    <xdr:to>
      <xdr:col>5</xdr:col>
      <xdr:colOff>685800</xdr:colOff>
      <xdr:row>19</xdr:row>
      <xdr:rowOff>142875</xdr:rowOff>
    </xdr:to>
    <xdr:sp macro="" textlink="">
      <xdr:nvSpPr>
        <xdr:cNvPr id="44" name="Line 721">
          <a:extLst>
            <a:ext uri="{FF2B5EF4-FFF2-40B4-BE49-F238E27FC236}">
              <a16:creationId xmlns:a16="http://schemas.microsoft.com/office/drawing/2014/main" id="{00000000-0008-0000-0200-00002C000000}"/>
            </a:ext>
          </a:extLst>
        </xdr:cNvPr>
        <xdr:cNvSpPr>
          <a:spLocks noChangeShapeType="1"/>
        </xdr:cNvSpPr>
      </xdr:nvSpPr>
      <xdr:spPr bwMode="auto">
        <a:xfrm flipH="1">
          <a:off x="1390650" y="3657600"/>
          <a:ext cx="1943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152400</xdr:colOff>
      <xdr:row>19</xdr:row>
      <xdr:rowOff>85725</xdr:rowOff>
    </xdr:from>
    <xdr:to>
      <xdr:col>2</xdr:col>
      <xdr:colOff>28575</xdr:colOff>
      <xdr:row>20</xdr:row>
      <xdr:rowOff>0</xdr:rowOff>
    </xdr:to>
    <xdr:sp macro="" textlink="">
      <xdr:nvSpPr>
        <xdr:cNvPr id="46" name="Line 723">
          <a:extLst>
            <a:ext uri="{FF2B5EF4-FFF2-40B4-BE49-F238E27FC236}">
              <a16:creationId xmlns:a16="http://schemas.microsoft.com/office/drawing/2014/main" id="{00000000-0008-0000-0200-00002E000000}"/>
            </a:ext>
          </a:extLst>
        </xdr:cNvPr>
        <xdr:cNvSpPr>
          <a:spLocks noChangeShapeType="1"/>
        </xdr:cNvSpPr>
      </xdr:nvSpPr>
      <xdr:spPr bwMode="auto">
        <a:xfrm flipH="1">
          <a:off x="1333500" y="3600450"/>
          <a:ext cx="1143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152400</xdr:colOff>
      <xdr:row>10</xdr:row>
      <xdr:rowOff>142875</xdr:rowOff>
    </xdr:from>
    <xdr:to>
      <xdr:col>2</xdr:col>
      <xdr:colOff>28575</xdr:colOff>
      <xdr:row>11</xdr:row>
      <xdr:rowOff>38100</xdr:rowOff>
    </xdr:to>
    <xdr:sp macro="" textlink="">
      <xdr:nvSpPr>
        <xdr:cNvPr id="47" name="Line 724">
          <a:extLst>
            <a:ext uri="{FF2B5EF4-FFF2-40B4-BE49-F238E27FC236}">
              <a16:creationId xmlns:a16="http://schemas.microsoft.com/office/drawing/2014/main" id="{00000000-0008-0000-0200-00002F000000}"/>
            </a:ext>
          </a:extLst>
        </xdr:cNvPr>
        <xdr:cNvSpPr>
          <a:spLocks noChangeShapeType="1"/>
        </xdr:cNvSpPr>
      </xdr:nvSpPr>
      <xdr:spPr bwMode="auto">
        <a:xfrm flipH="1">
          <a:off x="1333500" y="1914525"/>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490537</xdr:colOff>
      <xdr:row>21</xdr:row>
      <xdr:rowOff>104775</xdr:rowOff>
    </xdr:from>
    <xdr:to>
      <xdr:col>4</xdr:col>
      <xdr:colOff>284655</xdr:colOff>
      <xdr:row>21</xdr:row>
      <xdr:rowOff>104775</xdr:rowOff>
    </xdr:to>
    <xdr:sp macro="" textlink="">
      <xdr:nvSpPr>
        <xdr:cNvPr id="48" name="Line 725">
          <a:extLst>
            <a:ext uri="{FF2B5EF4-FFF2-40B4-BE49-F238E27FC236}">
              <a16:creationId xmlns:a16="http://schemas.microsoft.com/office/drawing/2014/main" id="{00000000-0008-0000-0200-000030000000}"/>
            </a:ext>
          </a:extLst>
        </xdr:cNvPr>
        <xdr:cNvSpPr>
          <a:spLocks noChangeShapeType="1"/>
        </xdr:cNvSpPr>
      </xdr:nvSpPr>
      <xdr:spPr bwMode="auto">
        <a:xfrm flipH="1">
          <a:off x="1913813" y="3870982"/>
          <a:ext cx="702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190499</xdr:colOff>
      <xdr:row>16</xdr:row>
      <xdr:rowOff>139348</xdr:rowOff>
    </xdr:from>
    <xdr:to>
      <xdr:col>4</xdr:col>
      <xdr:colOff>317499</xdr:colOff>
      <xdr:row>17</xdr:row>
      <xdr:rowOff>47626</xdr:rowOff>
    </xdr:to>
    <xdr:sp macro="" textlink="">
      <xdr:nvSpPr>
        <xdr:cNvPr id="49" name="Line 726">
          <a:extLst>
            <a:ext uri="{FF2B5EF4-FFF2-40B4-BE49-F238E27FC236}">
              <a16:creationId xmlns:a16="http://schemas.microsoft.com/office/drawing/2014/main" id="{00000000-0008-0000-0200-000031000000}"/>
            </a:ext>
          </a:extLst>
        </xdr:cNvPr>
        <xdr:cNvSpPr>
          <a:spLocks noChangeShapeType="1"/>
        </xdr:cNvSpPr>
      </xdr:nvSpPr>
      <xdr:spPr bwMode="auto">
        <a:xfrm flipH="1">
          <a:off x="2520949" y="3047648"/>
          <a:ext cx="127000" cy="98778"/>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131</xdr:row>
      <xdr:rowOff>123825</xdr:rowOff>
    </xdr:from>
    <xdr:to>
      <xdr:col>5</xdr:col>
      <xdr:colOff>161925</xdr:colOff>
      <xdr:row>133</xdr:row>
      <xdr:rowOff>47625</xdr:rowOff>
    </xdr:to>
    <xdr:sp macro="" textlink="">
      <xdr:nvSpPr>
        <xdr:cNvPr id="51" name="Line 728">
          <a:extLst>
            <a:ext uri="{FF2B5EF4-FFF2-40B4-BE49-F238E27FC236}">
              <a16:creationId xmlns:a16="http://schemas.microsoft.com/office/drawing/2014/main" id="{00000000-0008-0000-0200-000033000000}"/>
            </a:ext>
          </a:extLst>
        </xdr:cNvPr>
        <xdr:cNvSpPr>
          <a:spLocks noChangeShapeType="1"/>
        </xdr:cNvSpPr>
      </xdr:nvSpPr>
      <xdr:spPr bwMode="auto">
        <a:xfrm flipH="1">
          <a:off x="2533650" y="25107900"/>
          <a:ext cx="276225"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12</xdr:row>
      <xdr:rowOff>104775</xdr:rowOff>
    </xdr:from>
    <xdr:to>
      <xdr:col>2</xdr:col>
      <xdr:colOff>76200</xdr:colOff>
      <xdr:row>13</xdr:row>
      <xdr:rowOff>0</xdr:rowOff>
    </xdr:to>
    <xdr:sp macro="" textlink="">
      <xdr:nvSpPr>
        <xdr:cNvPr id="53" name="Line 730">
          <a:extLst>
            <a:ext uri="{FF2B5EF4-FFF2-40B4-BE49-F238E27FC236}">
              <a16:creationId xmlns:a16="http://schemas.microsoft.com/office/drawing/2014/main" id="{00000000-0008-0000-0200-000035000000}"/>
            </a:ext>
          </a:extLst>
        </xdr:cNvPr>
        <xdr:cNvSpPr>
          <a:spLocks noChangeShapeType="1"/>
        </xdr:cNvSpPr>
      </xdr:nvSpPr>
      <xdr:spPr bwMode="auto">
        <a:xfrm>
          <a:off x="1495425" y="22669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12</xdr:row>
      <xdr:rowOff>104775</xdr:rowOff>
    </xdr:from>
    <xdr:to>
      <xdr:col>3</xdr:col>
      <xdr:colOff>0</xdr:colOff>
      <xdr:row>13</xdr:row>
      <xdr:rowOff>0</xdr:rowOff>
    </xdr:to>
    <xdr:sp macro="" textlink="">
      <xdr:nvSpPr>
        <xdr:cNvPr id="54" name="Line 731">
          <a:extLst>
            <a:ext uri="{FF2B5EF4-FFF2-40B4-BE49-F238E27FC236}">
              <a16:creationId xmlns:a16="http://schemas.microsoft.com/office/drawing/2014/main" id="{00000000-0008-0000-0200-000036000000}"/>
            </a:ext>
          </a:extLst>
        </xdr:cNvPr>
        <xdr:cNvSpPr>
          <a:spLocks noChangeShapeType="1"/>
        </xdr:cNvSpPr>
      </xdr:nvSpPr>
      <xdr:spPr bwMode="auto">
        <a:xfrm>
          <a:off x="2000250" y="22669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279399</xdr:colOff>
      <xdr:row>16</xdr:row>
      <xdr:rowOff>139700</xdr:rowOff>
    </xdr:from>
    <xdr:to>
      <xdr:col>5</xdr:col>
      <xdr:colOff>60778</xdr:colOff>
      <xdr:row>17</xdr:row>
      <xdr:rowOff>41275</xdr:rowOff>
    </xdr:to>
    <xdr:sp macro="" textlink="">
      <xdr:nvSpPr>
        <xdr:cNvPr id="55" name="Line 732">
          <a:extLst>
            <a:ext uri="{FF2B5EF4-FFF2-40B4-BE49-F238E27FC236}">
              <a16:creationId xmlns:a16="http://schemas.microsoft.com/office/drawing/2014/main" id="{00000000-0008-0000-0200-000037000000}"/>
            </a:ext>
          </a:extLst>
        </xdr:cNvPr>
        <xdr:cNvSpPr>
          <a:spLocks noChangeShapeType="1"/>
        </xdr:cNvSpPr>
      </xdr:nvSpPr>
      <xdr:spPr bwMode="auto">
        <a:xfrm flipH="1">
          <a:off x="2609849" y="3048000"/>
          <a:ext cx="105229" cy="92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80963</xdr:colOff>
      <xdr:row>16</xdr:row>
      <xdr:rowOff>128588</xdr:rowOff>
    </xdr:from>
    <xdr:to>
      <xdr:col>3</xdr:col>
      <xdr:colOff>80963</xdr:colOff>
      <xdr:row>30</xdr:row>
      <xdr:rowOff>61913</xdr:rowOff>
    </xdr:to>
    <xdr:sp macro="" textlink="">
      <xdr:nvSpPr>
        <xdr:cNvPr id="56" name="Line 733">
          <a:extLst>
            <a:ext uri="{FF2B5EF4-FFF2-40B4-BE49-F238E27FC236}">
              <a16:creationId xmlns:a16="http://schemas.microsoft.com/office/drawing/2014/main" id="{00000000-0008-0000-0200-000038000000}"/>
            </a:ext>
          </a:extLst>
        </xdr:cNvPr>
        <xdr:cNvSpPr>
          <a:spLocks noChangeShapeType="1"/>
        </xdr:cNvSpPr>
      </xdr:nvSpPr>
      <xdr:spPr bwMode="auto">
        <a:xfrm>
          <a:off x="2081213" y="3024188"/>
          <a:ext cx="0" cy="2600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58</xdr:row>
      <xdr:rowOff>161925</xdr:rowOff>
    </xdr:from>
    <xdr:to>
      <xdr:col>4</xdr:col>
      <xdr:colOff>276225</xdr:colOff>
      <xdr:row>60</xdr:row>
      <xdr:rowOff>38100</xdr:rowOff>
    </xdr:to>
    <xdr:sp macro="" textlink="">
      <xdr:nvSpPr>
        <xdr:cNvPr id="58" name="Line 735">
          <a:extLst>
            <a:ext uri="{FF2B5EF4-FFF2-40B4-BE49-F238E27FC236}">
              <a16:creationId xmlns:a16="http://schemas.microsoft.com/office/drawing/2014/main" id="{00000000-0008-0000-0200-00003A000000}"/>
            </a:ext>
          </a:extLst>
        </xdr:cNvPr>
        <xdr:cNvSpPr>
          <a:spLocks noChangeShapeType="1"/>
        </xdr:cNvSpPr>
      </xdr:nvSpPr>
      <xdr:spPr bwMode="auto">
        <a:xfrm>
          <a:off x="2390775" y="11172825"/>
          <a:ext cx="20955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180974</xdr:colOff>
      <xdr:row>56</xdr:row>
      <xdr:rowOff>185736</xdr:rowOff>
    </xdr:from>
    <xdr:to>
      <xdr:col>3</xdr:col>
      <xdr:colOff>238125</xdr:colOff>
      <xdr:row>59</xdr:row>
      <xdr:rowOff>166687</xdr:rowOff>
    </xdr:to>
    <xdr:sp macro="" textlink="">
      <xdr:nvSpPr>
        <xdr:cNvPr id="59" name="Tegning 736">
          <a:extLst>
            <a:ext uri="{FF2B5EF4-FFF2-40B4-BE49-F238E27FC236}">
              <a16:creationId xmlns:a16="http://schemas.microsoft.com/office/drawing/2014/main" id="{00000000-0008-0000-0200-00003B000000}"/>
            </a:ext>
          </a:extLst>
        </xdr:cNvPr>
        <xdr:cNvSpPr>
          <a:spLocks/>
        </xdr:cNvSpPr>
      </xdr:nvSpPr>
      <xdr:spPr bwMode="auto">
        <a:xfrm>
          <a:off x="2181224" y="10758486"/>
          <a:ext cx="57151" cy="552451"/>
        </a:xfrm>
        <a:custGeom>
          <a:avLst/>
          <a:gdLst>
            <a:gd name="T0" fmla="*/ 0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300037</xdr:colOff>
      <xdr:row>60</xdr:row>
      <xdr:rowOff>95250</xdr:rowOff>
    </xdr:from>
    <xdr:to>
      <xdr:col>4</xdr:col>
      <xdr:colOff>300037</xdr:colOff>
      <xdr:row>63</xdr:row>
      <xdr:rowOff>0</xdr:rowOff>
    </xdr:to>
    <xdr:sp macro="" textlink="">
      <xdr:nvSpPr>
        <xdr:cNvPr id="60" name="Line 737">
          <a:extLst>
            <a:ext uri="{FF2B5EF4-FFF2-40B4-BE49-F238E27FC236}">
              <a16:creationId xmlns:a16="http://schemas.microsoft.com/office/drawing/2014/main" id="{00000000-0008-0000-0200-00003C000000}"/>
            </a:ext>
          </a:extLst>
        </xdr:cNvPr>
        <xdr:cNvSpPr>
          <a:spLocks noChangeShapeType="1"/>
        </xdr:cNvSpPr>
      </xdr:nvSpPr>
      <xdr:spPr bwMode="auto">
        <a:xfrm>
          <a:off x="2624137" y="11430000"/>
          <a:ext cx="0" cy="47625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56</xdr:row>
      <xdr:rowOff>114300</xdr:rowOff>
    </xdr:from>
    <xdr:to>
      <xdr:col>2</xdr:col>
      <xdr:colOff>76200</xdr:colOff>
      <xdr:row>57</xdr:row>
      <xdr:rowOff>0</xdr:rowOff>
    </xdr:to>
    <xdr:sp macro="" textlink="">
      <xdr:nvSpPr>
        <xdr:cNvPr id="62" name="Line 739">
          <a:extLst>
            <a:ext uri="{FF2B5EF4-FFF2-40B4-BE49-F238E27FC236}">
              <a16:creationId xmlns:a16="http://schemas.microsoft.com/office/drawing/2014/main" id="{00000000-0008-0000-0200-00003E000000}"/>
            </a:ext>
          </a:extLst>
        </xdr:cNvPr>
        <xdr:cNvSpPr>
          <a:spLocks noChangeShapeType="1"/>
        </xdr:cNvSpPr>
      </xdr:nvSpPr>
      <xdr:spPr bwMode="auto">
        <a:xfrm>
          <a:off x="1495425" y="1074420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28575</xdr:colOff>
      <xdr:row>56</xdr:row>
      <xdr:rowOff>114300</xdr:rowOff>
    </xdr:from>
    <xdr:to>
      <xdr:col>3</xdr:col>
      <xdr:colOff>28575</xdr:colOff>
      <xdr:row>57</xdr:row>
      <xdr:rowOff>0</xdr:rowOff>
    </xdr:to>
    <xdr:sp macro="" textlink="">
      <xdr:nvSpPr>
        <xdr:cNvPr id="63" name="Line 740">
          <a:extLst>
            <a:ext uri="{FF2B5EF4-FFF2-40B4-BE49-F238E27FC236}">
              <a16:creationId xmlns:a16="http://schemas.microsoft.com/office/drawing/2014/main" id="{00000000-0008-0000-0200-00003F000000}"/>
            </a:ext>
          </a:extLst>
        </xdr:cNvPr>
        <xdr:cNvSpPr>
          <a:spLocks noChangeShapeType="1"/>
        </xdr:cNvSpPr>
      </xdr:nvSpPr>
      <xdr:spPr bwMode="auto">
        <a:xfrm>
          <a:off x="2028825" y="1074420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63</xdr:row>
      <xdr:rowOff>0</xdr:rowOff>
    </xdr:from>
    <xdr:to>
      <xdr:col>2</xdr:col>
      <xdr:colOff>85725</xdr:colOff>
      <xdr:row>63</xdr:row>
      <xdr:rowOff>95250</xdr:rowOff>
    </xdr:to>
    <xdr:sp macro="" textlink="">
      <xdr:nvSpPr>
        <xdr:cNvPr id="64" name="Line 741">
          <a:extLst>
            <a:ext uri="{FF2B5EF4-FFF2-40B4-BE49-F238E27FC236}">
              <a16:creationId xmlns:a16="http://schemas.microsoft.com/office/drawing/2014/main" id="{00000000-0008-0000-0200-000040000000}"/>
            </a:ext>
          </a:extLst>
        </xdr:cNvPr>
        <xdr:cNvSpPr>
          <a:spLocks noChangeShapeType="1"/>
        </xdr:cNvSpPr>
      </xdr:nvSpPr>
      <xdr:spPr bwMode="auto">
        <a:xfrm>
          <a:off x="1504950" y="119634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133350</xdr:colOff>
      <xdr:row>63</xdr:row>
      <xdr:rowOff>0</xdr:rowOff>
    </xdr:from>
    <xdr:to>
      <xdr:col>4</xdr:col>
      <xdr:colOff>133350</xdr:colOff>
      <xdr:row>63</xdr:row>
      <xdr:rowOff>95250</xdr:rowOff>
    </xdr:to>
    <xdr:sp macro="" textlink="">
      <xdr:nvSpPr>
        <xdr:cNvPr id="65" name="Line 742">
          <a:extLst>
            <a:ext uri="{FF2B5EF4-FFF2-40B4-BE49-F238E27FC236}">
              <a16:creationId xmlns:a16="http://schemas.microsoft.com/office/drawing/2014/main" id="{00000000-0008-0000-0200-000041000000}"/>
            </a:ext>
          </a:extLst>
        </xdr:cNvPr>
        <xdr:cNvSpPr>
          <a:spLocks noChangeShapeType="1"/>
        </xdr:cNvSpPr>
      </xdr:nvSpPr>
      <xdr:spPr bwMode="auto">
        <a:xfrm>
          <a:off x="2457450" y="1196340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59</xdr:row>
      <xdr:rowOff>80963</xdr:rowOff>
    </xdr:from>
    <xdr:to>
      <xdr:col>4</xdr:col>
      <xdr:colOff>247650</xdr:colOff>
      <xdr:row>63</xdr:row>
      <xdr:rowOff>142875</xdr:rowOff>
    </xdr:to>
    <xdr:sp macro="" textlink="">
      <xdr:nvSpPr>
        <xdr:cNvPr id="66" name="Line 743">
          <a:extLst>
            <a:ext uri="{FF2B5EF4-FFF2-40B4-BE49-F238E27FC236}">
              <a16:creationId xmlns:a16="http://schemas.microsoft.com/office/drawing/2014/main" id="{00000000-0008-0000-0200-000042000000}"/>
            </a:ext>
          </a:extLst>
        </xdr:cNvPr>
        <xdr:cNvSpPr>
          <a:spLocks noChangeShapeType="1"/>
        </xdr:cNvSpPr>
      </xdr:nvSpPr>
      <xdr:spPr bwMode="auto">
        <a:xfrm flipH="1" flipV="1">
          <a:off x="1781175" y="11225213"/>
          <a:ext cx="790575" cy="823912"/>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390526</xdr:colOff>
      <xdr:row>59</xdr:row>
      <xdr:rowOff>28575</xdr:rowOff>
    </xdr:from>
    <xdr:to>
      <xdr:col>4</xdr:col>
      <xdr:colOff>100013</xdr:colOff>
      <xdr:row>62</xdr:row>
      <xdr:rowOff>80962</xdr:rowOff>
    </xdr:to>
    <xdr:sp macro="" textlink="">
      <xdr:nvSpPr>
        <xdr:cNvPr id="67" name="Line 744">
          <a:extLst>
            <a:ext uri="{FF2B5EF4-FFF2-40B4-BE49-F238E27FC236}">
              <a16:creationId xmlns:a16="http://schemas.microsoft.com/office/drawing/2014/main" id="{00000000-0008-0000-0200-000043000000}"/>
            </a:ext>
          </a:extLst>
        </xdr:cNvPr>
        <xdr:cNvSpPr>
          <a:spLocks noChangeShapeType="1"/>
        </xdr:cNvSpPr>
      </xdr:nvSpPr>
      <xdr:spPr bwMode="auto">
        <a:xfrm flipH="1" flipV="1">
          <a:off x="1809751" y="11172825"/>
          <a:ext cx="614362" cy="623887"/>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280988</xdr:colOff>
      <xdr:row>61</xdr:row>
      <xdr:rowOff>123825</xdr:rowOff>
    </xdr:from>
    <xdr:to>
      <xdr:col>4</xdr:col>
      <xdr:colOff>23813</xdr:colOff>
      <xdr:row>61</xdr:row>
      <xdr:rowOff>180975</xdr:rowOff>
    </xdr:to>
    <xdr:sp macro="" textlink="">
      <xdr:nvSpPr>
        <xdr:cNvPr id="68" name="Oval 745">
          <a:extLst>
            <a:ext uri="{FF2B5EF4-FFF2-40B4-BE49-F238E27FC236}">
              <a16:creationId xmlns:a16="http://schemas.microsoft.com/office/drawing/2014/main" id="{00000000-0008-0000-0200-000044000000}"/>
            </a:ext>
          </a:extLst>
        </xdr:cNvPr>
        <xdr:cNvSpPr>
          <a:spLocks noChangeArrowheads="1"/>
        </xdr:cNvSpPr>
      </xdr:nvSpPr>
      <xdr:spPr bwMode="auto">
        <a:xfrm>
          <a:off x="2281238" y="11668125"/>
          <a:ext cx="66675"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57</xdr:row>
      <xdr:rowOff>123825</xdr:rowOff>
    </xdr:from>
    <xdr:to>
      <xdr:col>5</xdr:col>
      <xdr:colOff>733425</xdr:colOff>
      <xdr:row>61</xdr:row>
      <xdr:rowOff>47625</xdr:rowOff>
    </xdr:to>
    <xdr:sp macro="" textlink="">
      <xdr:nvSpPr>
        <xdr:cNvPr id="69" name="Tegning 746">
          <a:extLst>
            <a:ext uri="{FF2B5EF4-FFF2-40B4-BE49-F238E27FC236}">
              <a16:creationId xmlns:a16="http://schemas.microsoft.com/office/drawing/2014/main" id="{00000000-0008-0000-0200-000045000000}"/>
            </a:ext>
          </a:extLst>
        </xdr:cNvPr>
        <xdr:cNvSpPr>
          <a:spLocks/>
        </xdr:cNvSpPr>
      </xdr:nvSpPr>
      <xdr:spPr bwMode="auto">
        <a:xfrm>
          <a:off x="2162175" y="10944225"/>
          <a:ext cx="1219200" cy="685800"/>
        </a:xfrm>
        <a:custGeom>
          <a:avLst/>
          <a:gdLst>
            <a:gd name="T0" fmla="*/ 0 w 16384"/>
            <a:gd name="T1" fmla="*/ 2147483646 h 16384"/>
            <a:gd name="T2" fmla="*/ 0 w 16384"/>
            <a:gd name="T3" fmla="*/ 2147483646 h 16384"/>
            <a:gd name="T4" fmla="*/ 2147483646 w 16384"/>
            <a:gd name="T5" fmla="*/ 2147483646 h 16384"/>
            <a:gd name="T6" fmla="*/ 0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3607"/>
              </a:moveTo>
              <a:lnTo>
                <a:pt x="0" y="16384"/>
              </a:lnTo>
              <a:lnTo>
                <a:pt x="1858" y="16384"/>
              </a:lnTo>
              <a:lnTo>
                <a:pt x="0" y="16384"/>
              </a:lnTo>
              <a:lnTo>
                <a:pt x="9966"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59</xdr:row>
      <xdr:rowOff>114300</xdr:rowOff>
    </xdr:from>
    <xdr:to>
      <xdr:col>4</xdr:col>
      <xdr:colOff>190500</xdr:colOff>
      <xdr:row>60</xdr:row>
      <xdr:rowOff>9525</xdr:rowOff>
    </xdr:to>
    <xdr:sp macro="" textlink="">
      <xdr:nvSpPr>
        <xdr:cNvPr id="70" name="Tegning 747">
          <a:extLst>
            <a:ext uri="{FF2B5EF4-FFF2-40B4-BE49-F238E27FC236}">
              <a16:creationId xmlns:a16="http://schemas.microsoft.com/office/drawing/2014/main" id="{00000000-0008-0000-0200-000046000000}"/>
            </a:ext>
          </a:extLst>
        </xdr:cNvPr>
        <xdr:cNvSpPr>
          <a:spLocks/>
        </xdr:cNvSpPr>
      </xdr:nvSpPr>
      <xdr:spPr bwMode="auto">
        <a:xfrm>
          <a:off x="2409825" y="11315700"/>
          <a:ext cx="104775" cy="85725"/>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820"/>
              </a:moveTo>
              <a:lnTo>
                <a:pt x="14746"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4763</xdr:colOff>
      <xdr:row>58</xdr:row>
      <xdr:rowOff>95250</xdr:rowOff>
    </xdr:from>
    <xdr:to>
      <xdr:col>5</xdr:col>
      <xdr:colOff>704850</xdr:colOff>
      <xdr:row>61</xdr:row>
      <xdr:rowOff>133350</xdr:rowOff>
    </xdr:to>
    <xdr:sp macro="" textlink="">
      <xdr:nvSpPr>
        <xdr:cNvPr id="71" name="Tegning 748">
          <a:extLst>
            <a:ext uri="{FF2B5EF4-FFF2-40B4-BE49-F238E27FC236}">
              <a16:creationId xmlns:a16="http://schemas.microsoft.com/office/drawing/2014/main" id="{00000000-0008-0000-0200-000047000000}"/>
            </a:ext>
          </a:extLst>
        </xdr:cNvPr>
        <xdr:cNvSpPr>
          <a:spLocks/>
        </xdr:cNvSpPr>
      </xdr:nvSpPr>
      <xdr:spPr bwMode="auto">
        <a:xfrm>
          <a:off x="2328863" y="11068050"/>
          <a:ext cx="1023937" cy="609600"/>
        </a:xfrm>
        <a:custGeom>
          <a:avLst/>
          <a:gdLst>
            <a:gd name="T0" fmla="*/ 0 w 16384"/>
            <a:gd name="T1" fmla="*/ 2147483646 h 16384"/>
            <a:gd name="T2" fmla="*/ 2147483646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10577"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0</xdr:colOff>
      <xdr:row>88</xdr:row>
      <xdr:rowOff>38100</xdr:rowOff>
    </xdr:from>
    <xdr:to>
      <xdr:col>5</xdr:col>
      <xdr:colOff>0</xdr:colOff>
      <xdr:row>92</xdr:row>
      <xdr:rowOff>161925</xdr:rowOff>
    </xdr:to>
    <xdr:sp macro="" textlink="">
      <xdr:nvSpPr>
        <xdr:cNvPr id="72" name="Line 749">
          <a:extLst>
            <a:ext uri="{FF2B5EF4-FFF2-40B4-BE49-F238E27FC236}">
              <a16:creationId xmlns:a16="http://schemas.microsoft.com/office/drawing/2014/main" id="{00000000-0008-0000-0200-000048000000}"/>
            </a:ext>
          </a:extLst>
        </xdr:cNvPr>
        <xdr:cNvSpPr>
          <a:spLocks noChangeShapeType="1"/>
        </xdr:cNvSpPr>
      </xdr:nvSpPr>
      <xdr:spPr bwMode="auto">
        <a:xfrm flipV="1">
          <a:off x="2647950" y="16792575"/>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92</xdr:row>
      <xdr:rowOff>38100</xdr:rowOff>
    </xdr:from>
    <xdr:to>
      <xdr:col>3</xdr:col>
      <xdr:colOff>285750</xdr:colOff>
      <xdr:row>92</xdr:row>
      <xdr:rowOff>152400</xdr:rowOff>
    </xdr:to>
    <xdr:sp macro="" textlink="">
      <xdr:nvSpPr>
        <xdr:cNvPr id="73" name="Line 750">
          <a:extLst>
            <a:ext uri="{FF2B5EF4-FFF2-40B4-BE49-F238E27FC236}">
              <a16:creationId xmlns:a16="http://schemas.microsoft.com/office/drawing/2014/main" id="{00000000-0008-0000-0200-000049000000}"/>
            </a:ext>
          </a:extLst>
        </xdr:cNvPr>
        <xdr:cNvSpPr>
          <a:spLocks noChangeShapeType="1"/>
        </xdr:cNvSpPr>
      </xdr:nvSpPr>
      <xdr:spPr bwMode="auto">
        <a:xfrm flipH="1">
          <a:off x="2168525" y="17538700"/>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85</xdr:row>
      <xdr:rowOff>0</xdr:rowOff>
    </xdr:from>
    <xdr:to>
      <xdr:col>3</xdr:col>
      <xdr:colOff>247650</xdr:colOff>
      <xdr:row>85</xdr:row>
      <xdr:rowOff>9525</xdr:rowOff>
    </xdr:to>
    <xdr:sp macro="" textlink="">
      <xdr:nvSpPr>
        <xdr:cNvPr id="74" name="Line 751">
          <a:extLst>
            <a:ext uri="{FF2B5EF4-FFF2-40B4-BE49-F238E27FC236}">
              <a16:creationId xmlns:a16="http://schemas.microsoft.com/office/drawing/2014/main" id="{00000000-0008-0000-0200-00004A000000}"/>
            </a:ext>
          </a:extLst>
        </xdr:cNvPr>
        <xdr:cNvSpPr>
          <a:spLocks noChangeShapeType="1"/>
        </xdr:cNvSpPr>
      </xdr:nvSpPr>
      <xdr:spPr bwMode="auto">
        <a:xfrm>
          <a:off x="1695450" y="16173450"/>
          <a:ext cx="552450"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247650</xdr:colOff>
      <xdr:row>92</xdr:row>
      <xdr:rowOff>47625</xdr:rowOff>
    </xdr:from>
    <xdr:to>
      <xdr:col>5</xdr:col>
      <xdr:colOff>57150</xdr:colOff>
      <xdr:row>92</xdr:row>
      <xdr:rowOff>161925</xdr:rowOff>
    </xdr:to>
    <xdr:sp macro="" textlink="">
      <xdr:nvSpPr>
        <xdr:cNvPr id="75" name="Line 752">
          <a:extLst>
            <a:ext uri="{FF2B5EF4-FFF2-40B4-BE49-F238E27FC236}">
              <a16:creationId xmlns:a16="http://schemas.microsoft.com/office/drawing/2014/main" id="{00000000-0008-0000-0200-00004B000000}"/>
            </a:ext>
          </a:extLst>
        </xdr:cNvPr>
        <xdr:cNvSpPr>
          <a:spLocks noChangeShapeType="1"/>
        </xdr:cNvSpPr>
      </xdr:nvSpPr>
      <xdr:spPr bwMode="auto">
        <a:xfrm flipH="1">
          <a:off x="2571750" y="17564100"/>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89</xdr:row>
      <xdr:rowOff>209550</xdr:rowOff>
    </xdr:from>
    <xdr:to>
      <xdr:col>3</xdr:col>
      <xdr:colOff>209550</xdr:colOff>
      <xdr:row>91</xdr:row>
      <xdr:rowOff>0</xdr:rowOff>
    </xdr:to>
    <xdr:sp macro="" textlink="">
      <xdr:nvSpPr>
        <xdr:cNvPr id="76" name="Tegning 753">
          <a:extLst>
            <a:ext uri="{FF2B5EF4-FFF2-40B4-BE49-F238E27FC236}">
              <a16:creationId xmlns:a16="http://schemas.microsoft.com/office/drawing/2014/main" id="{00000000-0008-0000-0200-00004C000000}"/>
            </a:ext>
          </a:extLst>
        </xdr:cNvPr>
        <xdr:cNvSpPr>
          <a:spLocks/>
        </xdr:cNvSpPr>
      </xdr:nvSpPr>
      <xdr:spPr bwMode="auto">
        <a:xfrm>
          <a:off x="1381125" y="17135475"/>
          <a:ext cx="828675" cy="1905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0" y="0"/>
              </a:moveTo>
              <a:lnTo>
                <a:pt x="0" y="16384"/>
              </a:lnTo>
              <a:lnTo>
                <a:pt x="16384" y="16384"/>
              </a:lnTo>
              <a:lnTo>
                <a:pt x="16384" y="8192"/>
              </a:lnTo>
              <a:lnTo>
                <a:pt x="14564" y="8192"/>
              </a:lnTo>
              <a:lnTo>
                <a:pt x="14564" y="1024"/>
              </a:lnTo>
              <a:lnTo>
                <a:pt x="0" y="102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47625</xdr:colOff>
      <xdr:row>90</xdr:row>
      <xdr:rowOff>47625</xdr:rowOff>
    </xdr:from>
    <xdr:to>
      <xdr:col>2</xdr:col>
      <xdr:colOff>95250</xdr:colOff>
      <xdr:row>90</xdr:row>
      <xdr:rowOff>95250</xdr:rowOff>
    </xdr:to>
    <xdr:sp macro="" textlink="">
      <xdr:nvSpPr>
        <xdr:cNvPr id="77" name="Oval 754">
          <a:extLst>
            <a:ext uri="{FF2B5EF4-FFF2-40B4-BE49-F238E27FC236}">
              <a16:creationId xmlns:a16="http://schemas.microsoft.com/office/drawing/2014/main" id="{00000000-0008-0000-0200-00004D000000}"/>
            </a:ext>
          </a:extLst>
        </xdr:cNvPr>
        <xdr:cNvSpPr>
          <a:spLocks noChangeArrowheads="1"/>
        </xdr:cNvSpPr>
      </xdr:nvSpPr>
      <xdr:spPr bwMode="auto">
        <a:xfrm>
          <a:off x="1466850" y="17145000"/>
          <a:ext cx="47625" cy="47625"/>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90</xdr:row>
      <xdr:rowOff>47625</xdr:rowOff>
    </xdr:from>
    <xdr:to>
      <xdr:col>3</xdr:col>
      <xdr:colOff>28575</xdr:colOff>
      <xdr:row>90</xdr:row>
      <xdr:rowOff>95250</xdr:rowOff>
    </xdr:to>
    <xdr:sp macro="" textlink="">
      <xdr:nvSpPr>
        <xdr:cNvPr id="78" name="Oval 755">
          <a:extLst>
            <a:ext uri="{FF2B5EF4-FFF2-40B4-BE49-F238E27FC236}">
              <a16:creationId xmlns:a16="http://schemas.microsoft.com/office/drawing/2014/main" id="{00000000-0008-0000-0200-00004E000000}"/>
            </a:ext>
          </a:extLst>
        </xdr:cNvPr>
        <xdr:cNvSpPr>
          <a:spLocks noChangeArrowheads="1"/>
        </xdr:cNvSpPr>
      </xdr:nvSpPr>
      <xdr:spPr bwMode="auto">
        <a:xfrm>
          <a:off x="1971675" y="17145000"/>
          <a:ext cx="57150" cy="47625"/>
        </a:xfrm>
        <a:prstGeom prst="ellipse">
          <a:avLst/>
        </a:prstGeom>
        <a:noFill/>
        <a:ln w="2540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76200</xdr:colOff>
      <xdr:row>90</xdr:row>
      <xdr:rowOff>142875</xdr:rowOff>
    </xdr:from>
    <xdr:to>
      <xdr:col>2</xdr:col>
      <xdr:colOff>76200</xdr:colOff>
      <xdr:row>92</xdr:row>
      <xdr:rowOff>38100</xdr:rowOff>
    </xdr:to>
    <xdr:sp macro="" textlink="">
      <xdr:nvSpPr>
        <xdr:cNvPr id="79" name="Line 756">
          <a:extLst>
            <a:ext uri="{FF2B5EF4-FFF2-40B4-BE49-F238E27FC236}">
              <a16:creationId xmlns:a16="http://schemas.microsoft.com/office/drawing/2014/main" id="{00000000-0008-0000-0200-00004F000000}"/>
            </a:ext>
          </a:extLst>
        </xdr:cNvPr>
        <xdr:cNvSpPr>
          <a:spLocks noChangeShapeType="1"/>
        </xdr:cNvSpPr>
      </xdr:nvSpPr>
      <xdr:spPr bwMode="auto">
        <a:xfrm>
          <a:off x="1495425" y="17278350"/>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90</xdr:row>
      <xdr:rowOff>142875</xdr:rowOff>
    </xdr:from>
    <xdr:to>
      <xdr:col>3</xdr:col>
      <xdr:colOff>0</xdr:colOff>
      <xdr:row>92</xdr:row>
      <xdr:rowOff>66675</xdr:rowOff>
    </xdr:to>
    <xdr:sp macro="" textlink="">
      <xdr:nvSpPr>
        <xdr:cNvPr id="80" name="Line 757">
          <a:extLst>
            <a:ext uri="{FF2B5EF4-FFF2-40B4-BE49-F238E27FC236}">
              <a16:creationId xmlns:a16="http://schemas.microsoft.com/office/drawing/2014/main" id="{00000000-0008-0000-0200-000050000000}"/>
            </a:ext>
          </a:extLst>
        </xdr:cNvPr>
        <xdr:cNvSpPr>
          <a:spLocks noChangeShapeType="1"/>
        </xdr:cNvSpPr>
      </xdr:nvSpPr>
      <xdr:spPr bwMode="auto">
        <a:xfrm>
          <a:off x="2000250" y="1727835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1133475</xdr:colOff>
      <xdr:row>92</xdr:row>
      <xdr:rowOff>0</xdr:rowOff>
    </xdr:from>
    <xdr:to>
      <xdr:col>5</xdr:col>
      <xdr:colOff>38100</xdr:colOff>
      <xdr:row>92</xdr:row>
      <xdr:rowOff>0</xdr:rowOff>
    </xdr:to>
    <xdr:sp macro="" textlink="">
      <xdr:nvSpPr>
        <xdr:cNvPr id="81" name="Line 758">
          <a:extLst>
            <a:ext uri="{FF2B5EF4-FFF2-40B4-BE49-F238E27FC236}">
              <a16:creationId xmlns:a16="http://schemas.microsoft.com/office/drawing/2014/main" id="{00000000-0008-0000-0200-000051000000}"/>
            </a:ext>
          </a:extLst>
        </xdr:cNvPr>
        <xdr:cNvSpPr>
          <a:spLocks noChangeShapeType="1"/>
        </xdr:cNvSpPr>
      </xdr:nvSpPr>
      <xdr:spPr bwMode="auto">
        <a:xfrm>
          <a:off x="1133475" y="17516475"/>
          <a:ext cx="1552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28575</xdr:colOff>
      <xdr:row>91</xdr:row>
      <xdr:rowOff>171450</xdr:rowOff>
    </xdr:from>
    <xdr:to>
      <xdr:col>2</xdr:col>
      <xdr:colOff>123825</xdr:colOff>
      <xdr:row>92</xdr:row>
      <xdr:rowOff>38100</xdr:rowOff>
    </xdr:to>
    <xdr:sp macro="" textlink="">
      <xdr:nvSpPr>
        <xdr:cNvPr id="82" name="Line 759">
          <a:extLst>
            <a:ext uri="{FF2B5EF4-FFF2-40B4-BE49-F238E27FC236}">
              <a16:creationId xmlns:a16="http://schemas.microsoft.com/office/drawing/2014/main" id="{00000000-0008-0000-0200-000052000000}"/>
            </a:ext>
          </a:extLst>
        </xdr:cNvPr>
        <xdr:cNvSpPr>
          <a:spLocks noChangeShapeType="1"/>
        </xdr:cNvSpPr>
      </xdr:nvSpPr>
      <xdr:spPr bwMode="auto">
        <a:xfrm flipH="1">
          <a:off x="1447800" y="17497425"/>
          <a:ext cx="9525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533400</xdr:colOff>
      <xdr:row>91</xdr:row>
      <xdr:rowOff>161925</xdr:rowOff>
    </xdr:from>
    <xdr:to>
      <xdr:col>3</xdr:col>
      <xdr:colOff>38100</xdr:colOff>
      <xdr:row>92</xdr:row>
      <xdr:rowOff>47625</xdr:rowOff>
    </xdr:to>
    <xdr:sp macro="" textlink="">
      <xdr:nvSpPr>
        <xdr:cNvPr id="83" name="Line 760">
          <a:extLst>
            <a:ext uri="{FF2B5EF4-FFF2-40B4-BE49-F238E27FC236}">
              <a16:creationId xmlns:a16="http://schemas.microsoft.com/office/drawing/2014/main" id="{00000000-0008-0000-0200-000053000000}"/>
            </a:ext>
          </a:extLst>
        </xdr:cNvPr>
        <xdr:cNvSpPr>
          <a:spLocks noChangeShapeType="1"/>
        </xdr:cNvSpPr>
      </xdr:nvSpPr>
      <xdr:spPr bwMode="auto">
        <a:xfrm flipH="1">
          <a:off x="1952625" y="174879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88</xdr:row>
      <xdr:rowOff>142875</xdr:rowOff>
    </xdr:from>
    <xdr:to>
      <xdr:col>5</xdr:col>
      <xdr:colOff>685800</xdr:colOff>
      <xdr:row>88</xdr:row>
      <xdr:rowOff>142875</xdr:rowOff>
    </xdr:to>
    <xdr:sp macro="" textlink="">
      <xdr:nvSpPr>
        <xdr:cNvPr id="84" name="Line 761">
          <a:extLst>
            <a:ext uri="{FF2B5EF4-FFF2-40B4-BE49-F238E27FC236}">
              <a16:creationId xmlns:a16="http://schemas.microsoft.com/office/drawing/2014/main" id="{00000000-0008-0000-0200-000054000000}"/>
            </a:ext>
          </a:extLst>
        </xdr:cNvPr>
        <xdr:cNvSpPr>
          <a:spLocks noChangeShapeType="1"/>
        </xdr:cNvSpPr>
      </xdr:nvSpPr>
      <xdr:spPr bwMode="auto">
        <a:xfrm flipH="1">
          <a:off x="1390650" y="16897350"/>
          <a:ext cx="1943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152400</xdr:colOff>
      <xdr:row>91</xdr:row>
      <xdr:rowOff>161925</xdr:rowOff>
    </xdr:from>
    <xdr:to>
      <xdr:col>2</xdr:col>
      <xdr:colOff>28575</xdr:colOff>
      <xdr:row>92</xdr:row>
      <xdr:rowOff>38100</xdr:rowOff>
    </xdr:to>
    <xdr:sp macro="" textlink="">
      <xdr:nvSpPr>
        <xdr:cNvPr id="85" name="Line 762">
          <a:extLst>
            <a:ext uri="{FF2B5EF4-FFF2-40B4-BE49-F238E27FC236}">
              <a16:creationId xmlns:a16="http://schemas.microsoft.com/office/drawing/2014/main" id="{00000000-0008-0000-0200-000055000000}"/>
            </a:ext>
          </a:extLst>
        </xdr:cNvPr>
        <xdr:cNvSpPr>
          <a:spLocks noChangeShapeType="1"/>
        </xdr:cNvSpPr>
      </xdr:nvSpPr>
      <xdr:spPr bwMode="auto">
        <a:xfrm flipH="1">
          <a:off x="1333500" y="17487900"/>
          <a:ext cx="1143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91</xdr:row>
      <xdr:rowOff>161925</xdr:rowOff>
    </xdr:from>
    <xdr:to>
      <xdr:col>5</xdr:col>
      <xdr:colOff>47625</xdr:colOff>
      <xdr:row>92</xdr:row>
      <xdr:rowOff>47625</xdr:rowOff>
    </xdr:to>
    <xdr:sp macro="" textlink="">
      <xdr:nvSpPr>
        <xdr:cNvPr id="86" name="Line 763">
          <a:extLst>
            <a:ext uri="{FF2B5EF4-FFF2-40B4-BE49-F238E27FC236}">
              <a16:creationId xmlns:a16="http://schemas.microsoft.com/office/drawing/2014/main" id="{00000000-0008-0000-0200-000056000000}"/>
            </a:ext>
          </a:extLst>
        </xdr:cNvPr>
        <xdr:cNvSpPr>
          <a:spLocks noChangeShapeType="1"/>
        </xdr:cNvSpPr>
      </xdr:nvSpPr>
      <xdr:spPr bwMode="auto">
        <a:xfrm flipH="1">
          <a:off x="2590800" y="17487900"/>
          <a:ext cx="1047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481013</xdr:colOff>
      <xdr:row>87</xdr:row>
      <xdr:rowOff>104775</xdr:rowOff>
    </xdr:from>
    <xdr:to>
      <xdr:col>3</xdr:col>
      <xdr:colOff>266700</xdr:colOff>
      <xdr:row>87</xdr:row>
      <xdr:rowOff>104775</xdr:rowOff>
    </xdr:to>
    <xdr:sp macro="" textlink="">
      <xdr:nvSpPr>
        <xdr:cNvPr id="87" name="Line 764">
          <a:extLst>
            <a:ext uri="{FF2B5EF4-FFF2-40B4-BE49-F238E27FC236}">
              <a16:creationId xmlns:a16="http://schemas.microsoft.com/office/drawing/2014/main" id="{00000000-0008-0000-0200-000057000000}"/>
            </a:ext>
          </a:extLst>
        </xdr:cNvPr>
        <xdr:cNvSpPr>
          <a:spLocks noChangeShapeType="1"/>
        </xdr:cNvSpPr>
      </xdr:nvSpPr>
      <xdr:spPr bwMode="auto">
        <a:xfrm flipH="1">
          <a:off x="1900238" y="16592550"/>
          <a:ext cx="366712"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86</xdr:row>
      <xdr:rowOff>0</xdr:rowOff>
    </xdr:from>
    <xdr:to>
      <xdr:col>3</xdr:col>
      <xdr:colOff>0</xdr:colOff>
      <xdr:row>86</xdr:row>
      <xdr:rowOff>95250</xdr:rowOff>
    </xdr:to>
    <xdr:sp macro="" textlink="">
      <xdr:nvSpPr>
        <xdr:cNvPr id="88" name="Line 765">
          <a:extLst>
            <a:ext uri="{FF2B5EF4-FFF2-40B4-BE49-F238E27FC236}">
              <a16:creationId xmlns:a16="http://schemas.microsoft.com/office/drawing/2014/main" id="{00000000-0008-0000-0200-000058000000}"/>
            </a:ext>
          </a:extLst>
        </xdr:cNvPr>
        <xdr:cNvSpPr>
          <a:spLocks noChangeShapeType="1"/>
        </xdr:cNvSpPr>
      </xdr:nvSpPr>
      <xdr:spPr bwMode="auto">
        <a:xfrm>
          <a:off x="2000250" y="16363950"/>
          <a:ext cx="0" cy="952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209550</xdr:colOff>
      <xdr:row>91</xdr:row>
      <xdr:rowOff>114300</xdr:rowOff>
    </xdr:from>
    <xdr:to>
      <xdr:col>1</xdr:col>
      <xdr:colOff>209550</xdr:colOff>
      <xdr:row>92</xdr:row>
      <xdr:rowOff>38100</xdr:rowOff>
    </xdr:to>
    <xdr:sp macro="" textlink="">
      <xdr:nvSpPr>
        <xdr:cNvPr id="89" name="Line 766">
          <a:extLst>
            <a:ext uri="{FF2B5EF4-FFF2-40B4-BE49-F238E27FC236}">
              <a16:creationId xmlns:a16="http://schemas.microsoft.com/office/drawing/2014/main" id="{00000000-0008-0000-0200-000059000000}"/>
            </a:ext>
          </a:extLst>
        </xdr:cNvPr>
        <xdr:cNvSpPr>
          <a:spLocks noChangeShapeType="1"/>
        </xdr:cNvSpPr>
      </xdr:nvSpPr>
      <xdr:spPr bwMode="auto">
        <a:xfrm>
          <a:off x="1390650" y="17440275"/>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155575</xdr:colOff>
      <xdr:row>92</xdr:row>
      <xdr:rowOff>85725</xdr:rowOff>
    </xdr:from>
    <xdr:to>
      <xdr:col>5</xdr:col>
      <xdr:colOff>688975</xdr:colOff>
      <xdr:row>92</xdr:row>
      <xdr:rowOff>85725</xdr:rowOff>
    </xdr:to>
    <xdr:sp macro="" textlink="">
      <xdr:nvSpPr>
        <xdr:cNvPr id="90" name="Line 767">
          <a:extLst>
            <a:ext uri="{FF2B5EF4-FFF2-40B4-BE49-F238E27FC236}">
              <a16:creationId xmlns:a16="http://schemas.microsoft.com/office/drawing/2014/main" id="{00000000-0008-0000-0200-00005A000000}"/>
            </a:ext>
          </a:extLst>
        </xdr:cNvPr>
        <xdr:cNvSpPr>
          <a:spLocks noChangeShapeType="1"/>
        </xdr:cNvSpPr>
      </xdr:nvSpPr>
      <xdr:spPr bwMode="auto">
        <a:xfrm>
          <a:off x="2162175" y="17586325"/>
          <a:ext cx="1181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215900</xdr:colOff>
      <xdr:row>91</xdr:row>
      <xdr:rowOff>76200</xdr:rowOff>
    </xdr:from>
    <xdr:to>
      <xdr:col>3</xdr:col>
      <xdr:colOff>215900</xdr:colOff>
      <xdr:row>92</xdr:row>
      <xdr:rowOff>152400</xdr:rowOff>
    </xdr:to>
    <xdr:sp macro="" textlink="">
      <xdr:nvSpPr>
        <xdr:cNvPr id="91" name="Line 768">
          <a:extLst>
            <a:ext uri="{FF2B5EF4-FFF2-40B4-BE49-F238E27FC236}">
              <a16:creationId xmlns:a16="http://schemas.microsoft.com/office/drawing/2014/main" id="{00000000-0008-0000-0200-00005B000000}"/>
            </a:ext>
          </a:extLst>
        </xdr:cNvPr>
        <xdr:cNvSpPr>
          <a:spLocks noChangeShapeType="1"/>
        </xdr:cNvSpPr>
      </xdr:nvSpPr>
      <xdr:spPr bwMode="auto">
        <a:xfrm flipV="1">
          <a:off x="2222500" y="17386300"/>
          <a:ext cx="0" cy="2667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81</xdr:row>
      <xdr:rowOff>209550</xdr:rowOff>
    </xdr:from>
    <xdr:to>
      <xdr:col>3</xdr:col>
      <xdr:colOff>133350</xdr:colOff>
      <xdr:row>81</xdr:row>
      <xdr:rowOff>209550</xdr:rowOff>
    </xdr:to>
    <xdr:sp macro="" textlink="">
      <xdr:nvSpPr>
        <xdr:cNvPr id="92" name="Line 769">
          <a:extLst>
            <a:ext uri="{FF2B5EF4-FFF2-40B4-BE49-F238E27FC236}">
              <a16:creationId xmlns:a16="http://schemas.microsoft.com/office/drawing/2014/main" id="{00000000-0008-0000-0200-00005C000000}"/>
            </a:ext>
          </a:extLst>
        </xdr:cNvPr>
        <xdr:cNvSpPr>
          <a:spLocks noChangeShapeType="1"/>
        </xdr:cNvSpPr>
      </xdr:nvSpPr>
      <xdr:spPr bwMode="auto">
        <a:xfrm>
          <a:off x="1685925" y="15601950"/>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82</xdr:row>
      <xdr:rowOff>0</xdr:rowOff>
    </xdr:from>
    <xdr:to>
      <xdr:col>5</xdr:col>
      <xdr:colOff>476250</xdr:colOff>
      <xdr:row>82</xdr:row>
      <xdr:rowOff>0</xdr:rowOff>
    </xdr:to>
    <xdr:sp macro="" textlink="">
      <xdr:nvSpPr>
        <xdr:cNvPr id="93" name="Line 770">
          <a:extLst>
            <a:ext uri="{FF2B5EF4-FFF2-40B4-BE49-F238E27FC236}">
              <a16:creationId xmlns:a16="http://schemas.microsoft.com/office/drawing/2014/main" id="{00000000-0008-0000-0200-00005D000000}"/>
            </a:ext>
          </a:extLst>
        </xdr:cNvPr>
        <xdr:cNvSpPr>
          <a:spLocks noChangeShapeType="1"/>
        </xdr:cNvSpPr>
      </xdr:nvSpPr>
      <xdr:spPr bwMode="auto">
        <a:xfrm flipH="1">
          <a:off x="2486025" y="15563850"/>
          <a:ext cx="6381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290512</xdr:colOff>
      <xdr:row>81</xdr:row>
      <xdr:rowOff>142875</xdr:rowOff>
    </xdr:from>
    <xdr:to>
      <xdr:col>5</xdr:col>
      <xdr:colOff>71438</xdr:colOff>
      <xdr:row>82</xdr:row>
      <xdr:rowOff>28575</xdr:rowOff>
    </xdr:to>
    <xdr:sp macro="" textlink="">
      <xdr:nvSpPr>
        <xdr:cNvPr id="94" name="Line 771">
          <a:extLst>
            <a:ext uri="{FF2B5EF4-FFF2-40B4-BE49-F238E27FC236}">
              <a16:creationId xmlns:a16="http://schemas.microsoft.com/office/drawing/2014/main" id="{00000000-0008-0000-0200-00005E000000}"/>
            </a:ext>
          </a:extLst>
        </xdr:cNvPr>
        <xdr:cNvSpPr>
          <a:spLocks noChangeShapeType="1"/>
        </xdr:cNvSpPr>
      </xdr:nvSpPr>
      <xdr:spPr bwMode="auto">
        <a:xfrm flipH="1">
          <a:off x="2614612" y="15516225"/>
          <a:ext cx="104776"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203200</xdr:colOff>
      <xdr:row>81</xdr:row>
      <xdr:rowOff>136789</xdr:rowOff>
    </xdr:from>
    <xdr:to>
      <xdr:col>4</xdr:col>
      <xdr:colOff>309563</xdr:colOff>
      <xdr:row>82</xdr:row>
      <xdr:rowOff>34925</xdr:rowOff>
    </xdr:to>
    <xdr:sp macro="" textlink="">
      <xdr:nvSpPr>
        <xdr:cNvPr id="95" name="Line 772">
          <a:extLst>
            <a:ext uri="{FF2B5EF4-FFF2-40B4-BE49-F238E27FC236}">
              <a16:creationId xmlns:a16="http://schemas.microsoft.com/office/drawing/2014/main" id="{00000000-0008-0000-0200-00005F000000}"/>
            </a:ext>
          </a:extLst>
        </xdr:cNvPr>
        <xdr:cNvSpPr>
          <a:spLocks noChangeShapeType="1"/>
        </xdr:cNvSpPr>
      </xdr:nvSpPr>
      <xdr:spPr bwMode="auto">
        <a:xfrm flipH="1">
          <a:off x="2527300" y="15510139"/>
          <a:ext cx="106363" cy="8863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79</xdr:row>
      <xdr:rowOff>104775</xdr:rowOff>
    </xdr:from>
    <xdr:to>
      <xdr:col>2</xdr:col>
      <xdr:colOff>76200</xdr:colOff>
      <xdr:row>80</xdr:row>
      <xdr:rowOff>19050</xdr:rowOff>
    </xdr:to>
    <xdr:sp macro="" textlink="">
      <xdr:nvSpPr>
        <xdr:cNvPr id="96" name="Line 773">
          <a:extLst>
            <a:ext uri="{FF2B5EF4-FFF2-40B4-BE49-F238E27FC236}">
              <a16:creationId xmlns:a16="http://schemas.microsoft.com/office/drawing/2014/main" id="{00000000-0008-0000-0200-000060000000}"/>
            </a:ext>
          </a:extLst>
        </xdr:cNvPr>
        <xdr:cNvSpPr>
          <a:spLocks noChangeShapeType="1"/>
        </xdr:cNvSpPr>
      </xdr:nvSpPr>
      <xdr:spPr bwMode="auto">
        <a:xfrm>
          <a:off x="1495425" y="15135225"/>
          <a:ext cx="0" cy="1047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139700</xdr:colOff>
      <xdr:row>83</xdr:row>
      <xdr:rowOff>19050</xdr:rowOff>
    </xdr:from>
    <xdr:to>
      <xdr:col>3</xdr:col>
      <xdr:colOff>190500</xdr:colOff>
      <xdr:row>86</xdr:row>
      <xdr:rowOff>0</xdr:rowOff>
    </xdr:to>
    <xdr:sp macro="" textlink="">
      <xdr:nvSpPr>
        <xdr:cNvPr id="98" name="Tegning 775">
          <a:extLst>
            <a:ext uri="{FF2B5EF4-FFF2-40B4-BE49-F238E27FC236}">
              <a16:creationId xmlns:a16="http://schemas.microsoft.com/office/drawing/2014/main" id="{00000000-0008-0000-0200-000062000000}"/>
            </a:ext>
          </a:extLst>
        </xdr:cNvPr>
        <xdr:cNvSpPr>
          <a:spLocks/>
        </xdr:cNvSpPr>
      </xdr:nvSpPr>
      <xdr:spPr bwMode="auto">
        <a:xfrm>
          <a:off x="2146300" y="15792450"/>
          <a:ext cx="50800" cy="552450"/>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250825</xdr:colOff>
      <xdr:row>79</xdr:row>
      <xdr:rowOff>177800</xdr:rowOff>
    </xdr:from>
    <xdr:to>
      <xdr:col>4</xdr:col>
      <xdr:colOff>250825</xdr:colOff>
      <xdr:row>82</xdr:row>
      <xdr:rowOff>82550</xdr:rowOff>
    </xdr:to>
    <xdr:sp macro="" textlink="">
      <xdr:nvSpPr>
        <xdr:cNvPr id="99" name="Line 776">
          <a:extLst>
            <a:ext uri="{FF2B5EF4-FFF2-40B4-BE49-F238E27FC236}">
              <a16:creationId xmlns:a16="http://schemas.microsoft.com/office/drawing/2014/main" id="{00000000-0008-0000-0200-000063000000}"/>
            </a:ext>
          </a:extLst>
        </xdr:cNvPr>
        <xdr:cNvSpPr>
          <a:spLocks noChangeShapeType="1"/>
        </xdr:cNvSpPr>
      </xdr:nvSpPr>
      <xdr:spPr bwMode="auto">
        <a:xfrm flipV="1">
          <a:off x="2581275" y="15189200"/>
          <a:ext cx="0" cy="47625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66675</xdr:colOff>
      <xdr:row>80</xdr:row>
      <xdr:rowOff>95251</xdr:rowOff>
    </xdr:from>
    <xdr:to>
      <xdr:col>3</xdr:col>
      <xdr:colOff>66675</xdr:colOff>
      <xdr:row>103</xdr:row>
      <xdr:rowOff>6351</xdr:rowOff>
    </xdr:to>
    <xdr:sp macro="" textlink="">
      <xdr:nvSpPr>
        <xdr:cNvPr id="100" name="Line 777">
          <a:extLst>
            <a:ext uri="{FF2B5EF4-FFF2-40B4-BE49-F238E27FC236}">
              <a16:creationId xmlns:a16="http://schemas.microsoft.com/office/drawing/2014/main" id="{00000000-0008-0000-0200-000064000000}"/>
            </a:ext>
          </a:extLst>
        </xdr:cNvPr>
        <xdr:cNvSpPr>
          <a:spLocks noChangeShapeType="1"/>
        </xdr:cNvSpPr>
      </xdr:nvSpPr>
      <xdr:spPr bwMode="auto">
        <a:xfrm>
          <a:off x="2066925" y="15278101"/>
          <a:ext cx="0" cy="43116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528638</xdr:colOff>
      <xdr:row>79</xdr:row>
      <xdr:rowOff>38100</xdr:rowOff>
    </xdr:from>
    <xdr:to>
      <xdr:col>2</xdr:col>
      <xdr:colOff>528638</xdr:colOff>
      <xdr:row>87</xdr:row>
      <xdr:rowOff>196850</xdr:rowOff>
    </xdr:to>
    <xdr:sp macro="" textlink="">
      <xdr:nvSpPr>
        <xdr:cNvPr id="101" name="Line 778">
          <a:extLst>
            <a:ext uri="{FF2B5EF4-FFF2-40B4-BE49-F238E27FC236}">
              <a16:creationId xmlns:a16="http://schemas.microsoft.com/office/drawing/2014/main" id="{00000000-0008-0000-0200-000065000000}"/>
            </a:ext>
          </a:extLst>
        </xdr:cNvPr>
        <xdr:cNvSpPr>
          <a:spLocks noChangeShapeType="1"/>
        </xdr:cNvSpPr>
      </xdr:nvSpPr>
      <xdr:spPr bwMode="auto">
        <a:xfrm>
          <a:off x="1951038" y="15049500"/>
          <a:ext cx="0" cy="16827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481012</xdr:colOff>
      <xdr:row>81</xdr:row>
      <xdr:rowOff>142875</xdr:rowOff>
    </xdr:from>
    <xdr:to>
      <xdr:col>3</xdr:col>
      <xdr:colOff>4762</xdr:colOff>
      <xdr:row>82</xdr:row>
      <xdr:rowOff>38100</xdr:rowOff>
    </xdr:to>
    <xdr:sp macro="" textlink="">
      <xdr:nvSpPr>
        <xdr:cNvPr id="102" name="Line 779">
          <a:extLst>
            <a:ext uri="{FF2B5EF4-FFF2-40B4-BE49-F238E27FC236}">
              <a16:creationId xmlns:a16="http://schemas.microsoft.com/office/drawing/2014/main" id="{00000000-0008-0000-0200-000066000000}"/>
            </a:ext>
          </a:extLst>
        </xdr:cNvPr>
        <xdr:cNvSpPr>
          <a:spLocks noChangeShapeType="1"/>
        </xdr:cNvSpPr>
      </xdr:nvSpPr>
      <xdr:spPr bwMode="auto">
        <a:xfrm flipH="1">
          <a:off x="1900237" y="15487650"/>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81</xdr:row>
      <xdr:rowOff>152400</xdr:rowOff>
    </xdr:from>
    <xdr:to>
      <xdr:col>3</xdr:col>
      <xdr:colOff>123825</xdr:colOff>
      <xdr:row>82</xdr:row>
      <xdr:rowOff>47625</xdr:rowOff>
    </xdr:to>
    <xdr:sp macro="" textlink="">
      <xdr:nvSpPr>
        <xdr:cNvPr id="103" name="Line 780">
          <a:extLst>
            <a:ext uri="{FF2B5EF4-FFF2-40B4-BE49-F238E27FC236}">
              <a16:creationId xmlns:a16="http://schemas.microsoft.com/office/drawing/2014/main" id="{00000000-0008-0000-0200-000067000000}"/>
            </a:ext>
          </a:extLst>
        </xdr:cNvPr>
        <xdr:cNvSpPr>
          <a:spLocks noChangeShapeType="1"/>
        </xdr:cNvSpPr>
      </xdr:nvSpPr>
      <xdr:spPr bwMode="auto">
        <a:xfrm flipH="1">
          <a:off x="2019300" y="15525750"/>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177800</xdr:colOff>
      <xdr:row>84</xdr:row>
      <xdr:rowOff>161925</xdr:rowOff>
    </xdr:from>
    <xdr:to>
      <xdr:col>3</xdr:col>
      <xdr:colOff>282575</xdr:colOff>
      <xdr:row>85</xdr:row>
      <xdr:rowOff>66675</xdr:rowOff>
    </xdr:to>
    <xdr:sp macro="" textlink="">
      <xdr:nvSpPr>
        <xdr:cNvPr id="104" name="Line 781">
          <a:extLst>
            <a:ext uri="{FF2B5EF4-FFF2-40B4-BE49-F238E27FC236}">
              <a16:creationId xmlns:a16="http://schemas.microsoft.com/office/drawing/2014/main" id="{00000000-0008-0000-0200-000068000000}"/>
            </a:ext>
          </a:extLst>
        </xdr:cNvPr>
        <xdr:cNvSpPr>
          <a:spLocks noChangeShapeType="1"/>
        </xdr:cNvSpPr>
      </xdr:nvSpPr>
      <xdr:spPr bwMode="auto">
        <a:xfrm flipH="1">
          <a:off x="2184400" y="1612582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82550</xdr:colOff>
      <xdr:row>84</xdr:row>
      <xdr:rowOff>165100</xdr:rowOff>
    </xdr:from>
    <xdr:to>
      <xdr:col>3</xdr:col>
      <xdr:colOff>177800</xdr:colOff>
      <xdr:row>85</xdr:row>
      <xdr:rowOff>50800</xdr:rowOff>
    </xdr:to>
    <xdr:sp macro="" textlink="">
      <xdr:nvSpPr>
        <xdr:cNvPr id="105" name="Line 782">
          <a:extLst>
            <a:ext uri="{FF2B5EF4-FFF2-40B4-BE49-F238E27FC236}">
              <a16:creationId xmlns:a16="http://schemas.microsoft.com/office/drawing/2014/main" id="{00000000-0008-0000-0200-000069000000}"/>
            </a:ext>
          </a:extLst>
        </xdr:cNvPr>
        <xdr:cNvSpPr>
          <a:spLocks noChangeShapeType="1"/>
        </xdr:cNvSpPr>
      </xdr:nvSpPr>
      <xdr:spPr bwMode="auto">
        <a:xfrm flipH="1">
          <a:off x="2089150" y="161290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476249</xdr:colOff>
      <xdr:row>87</xdr:row>
      <xdr:rowOff>38099</xdr:rowOff>
    </xdr:from>
    <xdr:to>
      <xdr:col>3</xdr:col>
      <xdr:colOff>19050</xdr:colOff>
      <xdr:row>87</xdr:row>
      <xdr:rowOff>161924</xdr:rowOff>
    </xdr:to>
    <xdr:sp macro="" textlink="">
      <xdr:nvSpPr>
        <xdr:cNvPr id="106" name="Line 783">
          <a:extLst>
            <a:ext uri="{FF2B5EF4-FFF2-40B4-BE49-F238E27FC236}">
              <a16:creationId xmlns:a16="http://schemas.microsoft.com/office/drawing/2014/main" id="{00000000-0008-0000-0200-00006A000000}"/>
            </a:ext>
          </a:extLst>
        </xdr:cNvPr>
        <xdr:cNvSpPr>
          <a:spLocks noChangeShapeType="1"/>
        </xdr:cNvSpPr>
      </xdr:nvSpPr>
      <xdr:spPr bwMode="auto">
        <a:xfrm flipH="1">
          <a:off x="1895474" y="16525874"/>
          <a:ext cx="123826"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86</xdr:row>
      <xdr:rowOff>57150</xdr:rowOff>
    </xdr:from>
    <xdr:to>
      <xdr:col>1</xdr:col>
      <xdr:colOff>200025</xdr:colOff>
      <xdr:row>89</xdr:row>
      <xdr:rowOff>28575</xdr:rowOff>
    </xdr:to>
    <xdr:sp macro="" textlink="">
      <xdr:nvSpPr>
        <xdr:cNvPr id="107" name="Line 784">
          <a:extLst>
            <a:ext uri="{FF2B5EF4-FFF2-40B4-BE49-F238E27FC236}">
              <a16:creationId xmlns:a16="http://schemas.microsoft.com/office/drawing/2014/main" id="{00000000-0008-0000-0200-00006B000000}"/>
            </a:ext>
          </a:extLst>
        </xdr:cNvPr>
        <xdr:cNvSpPr>
          <a:spLocks noChangeShapeType="1"/>
        </xdr:cNvSpPr>
      </xdr:nvSpPr>
      <xdr:spPr bwMode="auto">
        <a:xfrm>
          <a:off x="1381125" y="16421100"/>
          <a:ext cx="0" cy="552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129</xdr:row>
      <xdr:rowOff>142875</xdr:rowOff>
    </xdr:from>
    <xdr:to>
      <xdr:col>2</xdr:col>
      <xdr:colOff>76200</xdr:colOff>
      <xdr:row>130</xdr:row>
      <xdr:rowOff>9525</xdr:rowOff>
    </xdr:to>
    <xdr:sp macro="" textlink="">
      <xdr:nvSpPr>
        <xdr:cNvPr id="108" name="Line 785">
          <a:extLst>
            <a:ext uri="{FF2B5EF4-FFF2-40B4-BE49-F238E27FC236}">
              <a16:creationId xmlns:a16="http://schemas.microsoft.com/office/drawing/2014/main" id="{00000000-0008-0000-0200-00006C000000}"/>
            </a:ext>
          </a:extLst>
        </xdr:cNvPr>
        <xdr:cNvSpPr>
          <a:spLocks noChangeShapeType="1"/>
        </xdr:cNvSpPr>
      </xdr:nvSpPr>
      <xdr:spPr bwMode="auto">
        <a:xfrm>
          <a:off x="1495425" y="24745950"/>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129</xdr:row>
      <xdr:rowOff>200025</xdr:rowOff>
    </xdr:from>
    <xdr:to>
      <xdr:col>4</xdr:col>
      <xdr:colOff>295275</xdr:colOff>
      <xdr:row>136</xdr:row>
      <xdr:rowOff>0</xdr:rowOff>
    </xdr:to>
    <xdr:sp macro="" textlink="">
      <xdr:nvSpPr>
        <xdr:cNvPr id="109" name="Tegning 786">
          <a:extLst>
            <a:ext uri="{FF2B5EF4-FFF2-40B4-BE49-F238E27FC236}">
              <a16:creationId xmlns:a16="http://schemas.microsoft.com/office/drawing/2014/main" id="{00000000-0008-0000-0200-00006D000000}"/>
            </a:ext>
          </a:extLst>
        </xdr:cNvPr>
        <xdr:cNvSpPr>
          <a:spLocks/>
        </xdr:cNvSpPr>
      </xdr:nvSpPr>
      <xdr:spPr bwMode="auto">
        <a:xfrm>
          <a:off x="1419225" y="24793575"/>
          <a:ext cx="1200150" cy="114300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w 16384"/>
            <a:gd name="T11" fmla="*/ 2147483646 h 16384"/>
            <a:gd name="T12" fmla="*/ 2147483646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16384" y="0"/>
              </a:moveTo>
              <a:lnTo>
                <a:pt x="16384" y="7263"/>
              </a:lnTo>
              <a:lnTo>
                <a:pt x="10693" y="7263"/>
              </a:lnTo>
              <a:lnTo>
                <a:pt x="10693" y="16384"/>
              </a:lnTo>
              <a:lnTo>
                <a:pt x="0" y="16384"/>
              </a:lnTo>
              <a:lnTo>
                <a:pt x="0" y="169"/>
              </a:lnTo>
              <a:lnTo>
                <a:pt x="16384" y="169"/>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104775</xdr:colOff>
      <xdr:row>133</xdr:row>
      <xdr:rowOff>95250</xdr:rowOff>
    </xdr:from>
    <xdr:to>
      <xdr:col>3</xdr:col>
      <xdr:colOff>190500</xdr:colOff>
      <xdr:row>136</xdr:row>
      <xdr:rowOff>0</xdr:rowOff>
    </xdr:to>
    <xdr:sp macro="" textlink="">
      <xdr:nvSpPr>
        <xdr:cNvPr id="110" name="Tegning 787">
          <a:extLst>
            <a:ext uri="{FF2B5EF4-FFF2-40B4-BE49-F238E27FC236}">
              <a16:creationId xmlns:a16="http://schemas.microsoft.com/office/drawing/2014/main" id="{00000000-0008-0000-0200-00006E000000}"/>
            </a:ext>
          </a:extLst>
        </xdr:cNvPr>
        <xdr:cNvSpPr>
          <a:spLocks/>
        </xdr:cNvSpPr>
      </xdr:nvSpPr>
      <xdr:spPr bwMode="auto">
        <a:xfrm>
          <a:off x="2105025" y="25460325"/>
          <a:ext cx="85725" cy="476250"/>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130</xdr:row>
      <xdr:rowOff>0</xdr:rowOff>
    </xdr:from>
    <xdr:to>
      <xdr:col>4</xdr:col>
      <xdr:colOff>219075</xdr:colOff>
      <xdr:row>132</xdr:row>
      <xdr:rowOff>142875</xdr:rowOff>
    </xdr:to>
    <xdr:sp macro="" textlink="">
      <xdr:nvSpPr>
        <xdr:cNvPr id="111" name="Line 788">
          <a:extLst>
            <a:ext uri="{FF2B5EF4-FFF2-40B4-BE49-F238E27FC236}">
              <a16:creationId xmlns:a16="http://schemas.microsoft.com/office/drawing/2014/main" id="{00000000-0008-0000-0200-00006F000000}"/>
            </a:ext>
          </a:extLst>
        </xdr:cNvPr>
        <xdr:cNvSpPr>
          <a:spLocks noChangeShapeType="1"/>
        </xdr:cNvSpPr>
      </xdr:nvSpPr>
      <xdr:spPr bwMode="auto">
        <a:xfrm flipV="1">
          <a:off x="2543175" y="24793575"/>
          <a:ext cx="0" cy="52387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85</xdr:row>
      <xdr:rowOff>219075</xdr:rowOff>
    </xdr:from>
    <xdr:to>
      <xdr:col>2</xdr:col>
      <xdr:colOff>76200</xdr:colOff>
      <xdr:row>86</xdr:row>
      <xdr:rowOff>104775</xdr:rowOff>
    </xdr:to>
    <xdr:sp macro="" textlink="">
      <xdr:nvSpPr>
        <xdr:cNvPr id="112" name="Line 789">
          <a:extLst>
            <a:ext uri="{FF2B5EF4-FFF2-40B4-BE49-F238E27FC236}">
              <a16:creationId xmlns:a16="http://schemas.microsoft.com/office/drawing/2014/main" id="{00000000-0008-0000-0200-000070000000}"/>
            </a:ext>
          </a:extLst>
        </xdr:cNvPr>
        <xdr:cNvSpPr>
          <a:spLocks noChangeShapeType="1"/>
        </xdr:cNvSpPr>
      </xdr:nvSpPr>
      <xdr:spPr bwMode="auto">
        <a:xfrm flipV="1">
          <a:off x="1495425" y="16363950"/>
          <a:ext cx="0" cy="1047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152400</xdr:colOff>
      <xdr:row>79</xdr:row>
      <xdr:rowOff>123825</xdr:rowOff>
    </xdr:from>
    <xdr:to>
      <xdr:col>4</xdr:col>
      <xdr:colOff>152400</xdr:colOff>
      <xdr:row>80</xdr:row>
      <xdr:rowOff>0</xdr:rowOff>
    </xdr:to>
    <xdr:sp macro="" textlink="">
      <xdr:nvSpPr>
        <xdr:cNvPr id="113" name="Line 790">
          <a:extLst>
            <a:ext uri="{FF2B5EF4-FFF2-40B4-BE49-F238E27FC236}">
              <a16:creationId xmlns:a16="http://schemas.microsoft.com/office/drawing/2014/main" id="{00000000-0008-0000-0200-000071000000}"/>
            </a:ext>
          </a:extLst>
        </xdr:cNvPr>
        <xdr:cNvSpPr>
          <a:spLocks noChangeShapeType="1"/>
        </xdr:cNvSpPr>
      </xdr:nvSpPr>
      <xdr:spPr bwMode="auto">
        <a:xfrm>
          <a:off x="2476500" y="15154275"/>
          <a:ext cx="0" cy="666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83</xdr:row>
      <xdr:rowOff>0</xdr:rowOff>
    </xdr:from>
    <xdr:to>
      <xdr:col>5</xdr:col>
      <xdr:colOff>0</xdr:colOff>
      <xdr:row>87</xdr:row>
      <xdr:rowOff>9525</xdr:rowOff>
    </xdr:to>
    <xdr:sp macro="" textlink="">
      <xdr:nvSpPr>
        <xdr:cNvPr id="114" name="Line 791">
          <a:extLst>
            <a:ext uri="{FF2B5EF4-FFF2-40B4-BE49-F238E27FC236}">
              <a16:creationId xmlns:a16="http://schemas.microsoft.com/office/drawing/2014/main" id="{00000000-0008-0000-0200-000072000000}"/>
            </a:ext>
          </a:extLst>
        </xdr:cNvPr>
        <xdr:cNvSpPr>
          <a:spLocks noChangeShapeType="1"/>
        </xdr:cNvSpPr>
      </xdr:nvSpPr>
      <xdr:spPr bwMode="auto">
        <a:xfrm>
          <a:off x="2647950" y="1579245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184150</xdr:colOff>
      <xdr:row>104</xdr:row>
      <xdr:rowOff>177800</xdr:rowOff>
    </xdr:from>
    <xdr:to>
      <xdr:col>4</xdr:col>
      <xdr:colOff>298450</xdr:colOff>
      <xdr:row>110</xdr:row>
      <xdr:rowOff>177800</xdr:rowOff>
    </xdr:to>
    <xdr:sp macro="" textlink="">
      <xdr:nvSpPr>
        <xdr:cNvPr id="115" name="Tegning 792">
          <a:extLst>
            <a:ext uri="{FF2B5EF4-FFF2-40B4-BE49-F238E27FC236}">
              <a16:creationId xmlns:a16="http://schemas.microsoft.com/office/drawing/2014/main" id="{00000000-0008-0000-0200-000073000000}"/>
            </a:ext>
          </a:extLst>
        </xdr:cNvPr>
        <xdr:cNvSpPr>
          <a:spLocks/>
        </xdr:cNvSpPr>
      </xdr:nvSpPr>
      <xdr:spPr bwMode="auto">
        <a:xfrm>
          <a:off x="1365250" y="19989800"/>
          <a:ext cx="1263650" cy="11557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6384" h="16384">
              <a:moveTo>
                <a:pt x="0" y="0"/>
              </a:moveTo>
              <a:lnTo>
                <a:pt x="0" y="16384"/>
              </a:lnTo>
              <a:lnTo>
                <a:pt x="16384" y="16384"/>
              </a:lnTo>
              <a:lnTo>
                <a:pt x="16384" y="9387"/>
              </a:lnTo>
              <a:lnTo>
                <a:pt x="9728" y="9387"/>
              </a:lnTo>
              <a:lnTo>
                <a:pt x="9728" y="7339"/>
              </a:lnTo>
              <a:lnTo>
                <a:pt x="16384" y="7339"/>
              </a:lnTo>
              <a:lnTo>
                <a:pt x="16384" y="171"/>
              </a:lnTo>
              <a:lnTo>
                <a:pt x="171" y="17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104</xdr:row>
      <xdr:rowOff>187325</xdr:rowOff>
    </xdr:from>
    <xdr:to>
      <xdr:col>4</xdr:col>
      <xdr:colOff>219075</xdr:colOff>
      <xdr:row>107</xdr:row>
      <xdr:rowOff>139700</xdr:rowOff>
    </xdr:to>
    <xdr:sp macro="" textlink="">
      <xdr:nvSpPr>
        <xdr:cNvPr id="116" name="Line 793">
          <a:extLst>
            <a:ext uri="{FF2B5EF4-FFF2-40B4-BE49-F238E27FC236}">
              <a16:creationId xmlns:a16="http://schemas.microsoft.com/office/drawing/2014/main" id="{00000000-0008-0000-0200-000074000000}"/>
            </a:ext>
          </a:extLst>
        </xdr:cNvPr>
        <xdr:cNvSpPr>
          <a:spLocks noChangeShapeType="1"/>
        </xdr:cNvSpPr>
      </xdr:nvSpPr>
      <xdr:spPr bwMode="auto">
        <a:xfrm>
          <a:off x="2549525" y="19999325"/>
          <a:ext cx="0"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212725</xdr:colOff>
      <xdr:row>108</xdr:row>
      <xdr:rowOff>76200</xdr:rowOff>
    </xdr:from>
    <xdr:to>
      <xdr:col>4</xdr:col>
      <xdr:colOff>212725</xdr:colOff>
      <xdr:row>111</xdr:row>
      <xdr:rowOff>9525</xdr:rowOff>
    </xdr:to>
    <xdr:sp macro="" textlink="">
      <xdr:nvSpPr>
        <xdr:cNvPr id="117" name="Line 794">
          <a:extLst>
            <a:ext uri="{FF2B5EF4-FFF2-40B4-BE49-F238E27FC236}">
              <a16:creationId xmlns:a16="http://schemas.microsoft.com/office/drawing/2014/main" id="{00000000-0008-0000-0200-000075000000}"/>
            </a:ext>
          </a:extLst>
        </xdr:cNvPr>
        <xdr:cNvSpPr>
          <a:spLocks noChangeShapeType="1"/>
        </xdr:cNvSpPr>
      </xdr:nvSpPr>
      <xdr:spPr bwMode="auto">
        <a:xfrm>
          <a:off x="2543175" y="20650200"/>
          <a:ext cx="0" cy="517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104</xdr:row>
      <xdr:rowOff>142875</xdr:rowOff>
    </xdr:from>
    <xdr:to>
      <xdr:col>2</xdr:col>
      <xdr:colOff>76200</xdr:colOff>
      <xdr:row>105</xdr:row>
      <xdr:rowOff>9525</xdr:rowOff>
    </xdr:to>
    <xdr:sp macro="" textlink="">
      <xdr:nvSpPr>
        <xdr:cNvPr id="118" name="Line 795">
          <a:extLst>
            <a:ext uri="{FF2B5EF4-FFF2-40B4-BE49-F238E27FC236}">
              <a16:creationId xmlns:a16="http://schemas.microsoft.com/office/drawing/2014/main" id="{00000000-0008-0000-0200-000076000000}"/>
            </a:ext>
          </a:extLst>
        </xdr:cNvPr>
        <xdr:cNvSpPr>
          <a:spLocks noChangeShapeType="1"/>
        </xdr:cNvSpPr>
      </xdr:nvSpPr>
      <xdr:spPr bwMode="auto">
        <a:xfrm>
          <a:off x="1495425" y="19964400"/>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111</xdr:row>
      <xdr:rowOff>0</xdr:rowOff>
    </xdr:from>
    <xdr:to>
      <xdr:col>3</xdr:col>
      <xdr:colOff>0</xdr:colOff>
      <xdr:row>111</xdr:row>
      <xdr:rowOff>85725</xdr:rowOff>
    </xdr:to>
    <xdr:sp macro="" textlink="">
      <xdr:nvSpPr>
        <xdr:cNvPr id="119" name="Line 796">
          <a:extLst>
            <a:ext uri="{FF2B5EF4-FFF2-40B4-BE49-F238E27FC236}">
              <a16:creationId xmlns:a16="http://schemas.microsoft.com/office/drawing/2014/main" id="{00000000-0008-0000-0200-000077000000}"/>
            </a:ext>
          </a:extLst>
        </xdr:cNvPr>
        <xdr:cNvSpPr>
          <a:spLocks noChangeShapeType="1"/>
        </xdr:cNvSpPr>
      </xdr:nvSpPr>
      <xdr:spPr bwMode="auto">
        <a:xfrm>
          <a:off x="2000250" y="21164550"/>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110</xdr:row>
      <xdr:rowOff>219075</xdr:rowOff>
    </xdr:from>
    <xdr:to>
      <xdr:col>2</xdr:col>
      <xdr:colOff>76200</xdr:colOff>
      <xdr:row>111</xdr:row>
      <xdr:rowOff>104775</xdr:rowOff>
    </xdr:to>
    <xdr:sp macro="" textlink="">
      <xdr:nvSpPr>
        <xdr:cNvPr id="120" name="Line 797">
          <a:extLst>
            <a:ext uri="{FF2B5EF4-FFF2-40B4-BE49-F238E27FC236}">
              <a16:creationId xmlns:a16="http://schemas.microsoft.com/office/drawing/2014/main" id="{00000000-0008-0000-0200-000078000000}"/>
            </a:ext>
          </a:extLst>
        </xdr:cNvPr>
        <xdr:cNvSpPr>
          <a:spLocks noChangeShapeType="1"/>
        </xdr:cNvSpPr>
      </xdr:nvSpPr>
      <xdr:spPr bwMode="auto">
        <a:xfrm flipV="1">
          <a:off x="1495425" y="21164550"/>
          <a:ext cx="0" cy="10477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104</xdr:row>
      <xdr:rowOff>149225</xdr:rowOff>
    </xdr:from>
    <xdr:to>
      <xdr:col>4</xdr:col>
      <xdr:colOff>123825</xdr:colOff>
      <xdr:row>105</xdr:row>
      <xdr:rowOff>15875</xdr:rowOff>
    </xdr:to>
    <xdr:sp macro="" textlink="">
      <xdr:nvSpPr>
        <xdr:cNvPr id="121" name="Line 798">
          <a:extLst>
            <a:ext uri="{FF2B5EF4-FFF2-40B4-BE49-F238E27FC236}">
              <a16:creationId xmlns:a16="http://schemas.microsoft.com/office/drawing/2014/main" id="{00000000-0008-0000-0200-000079000000}"/>
            </a:ext>
          </a:extLst>
        </xdr:cNvPr>
        <xdr:cNvSpPr>
          <a:spLocks noChangeShapeType="1"/>
        </xdr:cNvSpPr>
      </xdr:nvSpPr>
      <xdr:spPr bwMode="auto">
        <a:xfrm flipV="1">
          <a:off x="2454275" y="19961225"/>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57150</xdr:colOff>
      <xdr:row>106</xdr:row>
      <xdr:rowOff>123825</xdr:rowOff>
    </xdr:from>
    <xdr:to>
      <xdr:col>5</xdr:col>
      <xdr:colOff>704850</xdr:colOff>
      <xdr:row>106</xdr:row>
      <xdr:rowOff>123825</xdr:rowOff>
    </xdr:to>
    <xdr:sp macro="" textlink="">
      <xdr:nvSpPr>
        <xdr:cNvPr id="122" name="Line 799">
          <a:extLst>
            <a:ext uri="{FF2B5EF4-FFF2-40B4-BE49-F238E27FC236}">
              <a16:creationId xmlns:a16="http://schemas.microsoft.com/office/drawing/2014/main" id="{00000000-0008-0000-0200-00007A000000}"/>
            </a:ext>
          </a:extLst>
        </xdr:cNvPr>
        <xdr:cNvSpPr>
          <a:spLocks noChangeShapeType="1"/>
        </xdr:cNvSpPr>
      </xdr:nvSpPr>
      <xdr:spPr bwMode="auto">
        <a:xfrm>
          <a:off x="2057400" y="20326350"/>
          <a:ext cx="12954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106</xdr:row>
      <xdr:rowOff>47625</xdr:rowOff>
    </xdr:from>
    <xdr:to>
      <xdr:col>5</xdr:col>
      <xdr:colOff>66675</xdr:colOff>
      <xdr:row>106</xdr:row>
      <xdr:rowOff>171450</xdr:rowOff>
    </xdr:to>
    <xdr:sp macro="" textlink="">
      <xdr:nvSpPr>
        <xdr:cNvPr id="123" name="Line 800">
          <a:extLst>
            <a:ext uri="{FF2B5EF4-FFF2-40B4-BE49-F238E27FC236}">
              <a16:creationId xmlns:a16="http://schemas.microsoft.com/office/drawing/2014/main" id="{00000000-0008-0000-0200-00007B000000}"/>
            </a:ext>
          </a:extLst>
        </xdr:cNvPr>
        <xdr:cNvSpPr>
          <a:spLocks noChangeShapeType="1"/>
        </xdr:cNvSpPr>
      </xdr:nvSpPr>
      <xdr:spPr bwMode="auto">
        <a:xfrm flipH="1">
          <a:off x="2590800" y="20250150"/>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106</xdr:row>
      <xdr:rowOff>66675</xdr:rowOff>
    </xdr:from>
    <xdr:to>
      <xdr:col>3</xdr:col>
      <xdr:colOff>171450</xdr:colOff>
      <xdr:row>106</xdr:row>
      <xdr:rowOff>190500</xdr:rowOff>
    </xdr:to>
    <xdr:sp macro="" textlink="">
      <xdr:nvSpPr>
        <xdr:cNvPr id="124" name="Line 801">
          <a:extLst>
            <a:ext uri="{FF2B5EF4-FFF2-40B4-BE49-F238E27FC236}">
              <a16:creationId xmlns:a16="http://schemas.microsoft.com/office/drawing/2014/main" id="{00000000-0008-0000-0200-00007C000000}"/>
            </a:ext>
          </a:extLst>
        </xdr:cNvPr>
        <xdr:cNvSpPr>
          <a:spLocks noChangeShapeType="1"/>
        </xdr:cNvSpPr>
      </xdr:nvSpPr>
      <xdr:spPr bwMode="auto">
        <a:xfrm flipH="1">
          <a:off x="2038350" y="20269200"/>
          <a:ext cx="1333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0</xdr:colOff>
      <xdr:row>136</xdr:row>
      <xdr:rowOff>0</xdr:rowOff>
    </xdr:from>
    <xdr:to>
      <xdr:col>3</xdr:col>
      <xdr:colOff>0</xdr:colOff>
      <xdr:row>136</xdr:row>
      <xdr:rowOff>85725</xdr:rowOff>
    </xdr:to>
    <xdr:sp macro="" textlink="">
      <xdr:nvSpPr>
        <xdr:cNvPr id="125" name="Line 802">
          <a:extLst>
            <a:ext uri="{FF2B5EF4-FFF2-40B4-BE49-F238E27FC236}">
              <a16:creationId xmlns:a16="http://schemas.microsoft.com/office/drawing/2014/main" id="{00000000-0008-0000-0200-00007D000000}"/>
            </a:ext>
          </a:extLst>
        </xdr:cNvPr>
        <xdr:cNvSpPr>
          <a:spLocks noChangeShapeType="1"/>
        </xdr:cNvSpPr>
      </xdr:nvSpPr>
      <xdr:spPr bwMode="auto">
        <a:xfrm>
          <a:off x="2000250" y="259365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76200</xdr:colOff>
      <xdr:row>136</xdr:row>
      <xdr:rowOff>0</xdr:rowOff>
    </xdr:from>
    <xdr:to>
      <xdr:col>2</xdr:col>
      <xdr:colOff>76200</xdr:colOff>
      <xdr:row>136</xdr:row>
      <xdr:rowOff>85725</xdr:rowOff>
    </xdr:to>
    <xdr:sp macro="" textlink="">
      <xdr:nvSpPr>
        <xdr:cNvPr id="126" name="Line 803">
          <a:extLst>
            <a:ext uri="{FF2B5EF4-FFF2-40B4-BE49-F238E27FC236}">
              <a16:creationId xmlns:a16="http://schemas.microsoft.com/office/drawing/2014/main" id="{00000000-0008-0000-0200-00007E000000}"/>
            </a:ext>
          </a:extLst>
        </xdr:cNvPr>
        <xdr:cNvSpPr>
          <a:spLocks noChangeShapeType="1"/>
        </xdr:cNvSpPr>
      </xdr:nvSpPr>
      <xdr:spPr bwMode="auto">
        <a:xfrm flipV="1">
          <a:off x="1495425" y="259365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129</xdr:row>
      <xdr:rowOff>142875</xdr:rowOff>
    </xdr:from>
    <xdr:to>
      <xdr:col>4</xdr:col>
      <xdr:colOff>161925</xdr:colOff>
      <xdr:row>130</xdr:row>
      <xdr:rowOff>9525</xdr:rowOff>
    </xdr:to>
    <xdr:sp macro="" textlink="">
      <xdr:nvSpPr>
        <xdr:cNvPr id="127" name="Line 804">
          <a:extLst>
            <a:ext uri="{FF2B5EF4-FFF2-40B4-BE49-F238E27FC236}">
              <a16:creationId xmlns:a16="http://schemas.microsoft.com/office/drawing/2014/main" id="{00000000-0008-0000-0200-00007F000000}"/>
            </a:ext>
          </a:extLst>
        </xdr:cNvPr>
        <xdr:cNvSpPr>
          <a:spLocks noChangeShapeType="1"/>
        </xdr:cNvSpPr>
      </xdr:nvSpPr>
      <xdr:spPr bwMode="auto">
        <a:xfrm flipV="1">
          <a:off x="2486025" y="24745950"/>
          <a:ext cx="0" cy="5715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131</xdr:row>
      <xdr:rowOff>28575</xdr:rowOff>
    </xdr:from>
    <xdr:to>
      <xdr:col>4</xdr:col>
      <xdr:colOff>76200</xdr:colOff>
      <xdr:row>134</xdr:row>
      <xdr:rowOff>28575</xdr:rowOff>
    </xdr:to>
    <xdr:sp macro="" textlink="">
      <xdr:nvSpPr>
        <xdr:cNvPr id="128" name="Line 805">
          <a:extLst>
            <a:ext uri="{FF2B5EF4-FFF2-40B4-BE49-F238E27FC236}">
              <a16:creationId xmlns:a16="http://schemas.microsoft.com/office/drawing/2014/main" id="{00000000-0008-0000-0200-000080000000}"/>
            </a:ext>
          </a:extLst>
        </xdr:cNvPr>
        <xdr:cNvSpPr>
          <a:spLocks noChangeShapeType="1"/>
        </xdr:cNvSpPr>
      </xdr:nvSpPr>
      <xdr:spPr bwMode="auto">
        <a:xfrm flipH="1">
          <a:off x="1905000" y="25012650"/>
          <a:ext cx="495300" cy="5715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xdr:colOff>
      <xdr:row>131</xdr:row>
      <xdr:rowOff>0</xdr:rowOff>
    </xdr:from>
    <xdr:to>
      <xdr:col>5</xdr:col>
      <xdr:colOff>742950</xdr:colOff>
      <xdr:row>133</xdr:row>
      <xdr:rowOff>133350</xdr:rowOff>
    </xdr:to>
    <xdr:sp macro="" textlink="">
      <xdr:nvSpPr>
        <xdr:cNvPr id="129" name="Tegning 806">
          <a:extLst>
            <a:ext uri="{FF2B5EF4-FFF2-40B4-BE49-F238E27FC236}">
              <a16:creationId xmlns:a16="http://schemas.microsoft.com/office/drawing/2014/main" id="{00000000-0008-0000-0200-000081000000}"/>
            </a:ext>
          </a:extLst>
        </xdr:cNvPr>
        <xdr:cNvSpPr>
          <a:spLocks/>
        </xdr:cNvSpPr>
      </xdr:nvSpPr>
      <xdr:spPr bwMode="auto">
        <a:xfrm flipV="1">
          <a:off x="2343150" y="24984075"/>
          <a:ext cx="1047750" cy="514350"/>
        </a:xfrm>
        <a:custGeom>
          <a:avLst/>
          <a:gdLst>
            <a:gd name="T0" fmla="*/ 0 w 16384"/>
            <a:gd name="T1" fmla="*/ 2147483646 h 16384"/>
            <a:gd name="T2" fmla="*/ 0 w 16384"/>
            <a:gd name="T3" fmla="*/ 2147483646 h 16384"/>
            <a:gd name="T4" fmla="*/ 2147483646 w 16384"/>
            <a:gd name="T5" fmla="*/ 2147483646 h 16384"/>
            <a:gd name="T6" fmla="*/ 0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3607"/>
              </a:moveTo>
              <a:lnTo>
                <a:pt x="0" y="16384"/>
              </a:lnTo>
              <a:lnTo>
                <a:pt x="1858" y="16384"/>
              </a:lnTo>
              <a:lnTo>
                <a:pt x="0" y="16384"/>
              </a:lnTo>
              <a:lnTo>
                <a:pt x="9966"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209550</xdr:colOff>
      <xdr:row>131</xdr:row>
      <xdr:rowOff>142875</xdr:rowOff>
    </xdr:from>
    <xdr:to>
      <xdr:col>5</xdr:col>
      <xdr:colOff>28575</xdr:colOff>
      <xdr:row>132</xdr:row>
      <xdr:rowOff>85725</xdr:rowOff>
    </xdr:to>
    <xdr:sp macro="" textlink="">
      <xdr:nvSpPr>
        <xdr:cNvPr id="130" name="Tegning 807">
          <a:extLst>
            <a:ext uri="{FF2B5EF4-FFF2-40B4-BE49-F238E27FC236}">
              <a16:creationId xmlns:a16="http://schemas.microsoft.com/office/drawing/2014/main" id="{00000000-0008-0000-0200-000082000000}"/>
            </a:ext>
          </a:extLst>
        </xdr:cNvPr>
        <xdr:cNvSpPr>
          <a:spLocks/>
        </xdr:cNvSpPr>
      </xdr:nvSpPr>
      <xdr:spPr bwMode="auto">
        <a:xfrm flipV="1">
          <a:off x="2533650" y="25126950"/>
          <a:ext cx="142875" cy="133350"/>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820"/>
              </a:moveTo>
              <a:lnTo>
                <a:pt x="14746"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238125</xdr:colOff>
      <xdr:row>131</xdr:row>
      <xdr:rowOff>161925</xdr:rowOff>
    </xdr:from>
    <xdr:to>
      <xdr:col>5</xdr:col>
      <xdr:colOff>695325</xdr:colOff>
      <xdr:row>134</xdr:row>
      <xdr:rowOff>133350</xdr:rowOff>
    </xdr:to>
    <xdr:sp macro="" textlink="">
      <xdr:nvSpPr>
        <xdr:cNvPr id="131" name="Tegning 808">
          <a:extLst>
            <a:ext uri="{FF2B5EF4-FFF2-40B4-BE49-F238E27FC236}">
              <a16:creationId xmlns:a16="http://schemas.microsoft.com/office/drawing/2014/main" id="{00000000-0008-0000-0200-000083000000}"/>
            </a:ext>
          </a:extLst>
        </xdr:cNvPr>
        <xdr:cNvSpPr>
          <a:spLocks/>
        </xdr:cNvSpPr>
      </xdr:nvSpPr>
      <xdr:spPr bwMode="auto">
        <a:xfrm flipV="1">
          <a:off x="2238375" y="25146000"/>
          <a:ext cx="1104900" cy="542925"/>
        </a:xfrm>
        <a:custGeom>
          <a:avLst/>
          <a:gdLst>
            <a:gd name="T0" fmla="*/ 0 w 16384"/>
            <a:gd name="T1" fmla="*/ 2147483646 h 16384"/>
            <a:gd name="T2" fmla="*/ 2147483646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10577"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129</xdr:row>
      <xdr:rowOff>28575</xdr:rowOff>
    </xdr:from>
    <xdr:to>
      <xdr:col>3</xdr:col>
      <xdr:colOff>0</xdr:colOff>
      <xdr:row>136</xdr:row>
      <xdr:rowOff>161925</xdr:rowOff>
    </xdr:to>
    <xdr:sp macro="" textlink="">
      <xdr:nvSpPr>
        <xdr:cNvPr id="132" name="Line 809">
          <a:extLst>
            <a:ext uri="{FF2B5EF4-FFF2-40B4-BE49-F238E27FC236}">
              <a16:creationId xmlns:a16="http://schemas.microsoft.com/office/drawing/2014/main" id="{00000000-0008-0000-0200-000084000000}"/>
            </a:ext>
          </a:extLst>
        </xdr:cNvPr>
        <xdr:cNvSpPr>
          <a:spLocks noChangeShapeType="1"/>
        </xdr:cNvSpPr>
      </xdr:nvSpPr>
      <xdr:spPr bwMode="auto">
        <a:xfrm>
          <a:off x="2000250" y="24631650"/>
          <a:ext cx="0" cy="14668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130</xdr:row>
      <xdr:rowOff>47625</xdr:rowOff>
    </xdr:from>
    <xdr:to>
      <xdr:col>4</xdr:col>
      <xdr:colOff>123825</xdr:colOff>
      <xdr:row>133</xdr:row>
      <xdr:rowOff>171450</xdr:rowOff>
    </xdr:to>
    <xdr:sp macro="" textlink="">
      <xdr:nvSpPr>
        <xdr:cNvPr id="133" name="Line 810">
          <a:extLst>
            <a:ext uri="{FF2B5EF4-FFF2-40B4-BE49-F238E27FC236}">
              <a16:creationId xmlns:a16="http://schemas.microsoft.com/office/drawing/2014/main" id="{00000000-0008-0000-0200-000085000000}"/>
            </a:ext>
          </a:extLst>
        </xdr:cNvPr>
        <xdr:cNvSpPr>
          <a:spLocks noChangeShapeType="1"/>
        </xdr:cNvSpPr>
      </xdr:nvSpPr>
      <xdr:spPr bwMode="auto">
        <a:xfrm flipH="1">
          <a:off x="1857375" y="24841200"/>
          <a:ext cx="590550" cy="695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10</xdr:row>
      <xdr:rowOff>123825</xdr:rowOff>
    </xdr:from>
    <xdr:to>
      <xdr:col>5</xdr:col>
      <xdr:colOff>47625</xdr:colOff>
      <xdr:row>11</xdr:row>
      <xdr:rowOff>47625</xdr:rowOff>
    </xdr:to>
    <xdr:sp macro="" textlink="">
      <xdr:nvSpPr>
        <xdr:cNvPr id="134" name="Line 811">
          <a:extLst>
            <a:ext uri="{FF2B5EF4-FFF2-40B4-BE49-F238E27FC236}">
              <a16:creationId xmlns:a16="http://schemas.microsoft.com/office/drawing/2014/main" id="{00000000-0008-0000-0200-000086000000}"/>
            </a:ext>
          </a:extLst>
        </xdr:cNvPr>
        <xdr:cNvSpPr>
          <a:spLocks noChangeShapeType="1"/>
        </xdr:cNvSpPr>
      </xdr:nvSpPr>
      <xdr:spPr bwMode="auto">
        <a:xfrm flipH="1">
          <a:off x="2590800" y="1895475"/>
          <a:ext cx="1047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21</xdr:row>
      <xdr:rowOff>47625</xdr:rowOff>
    </xdr:from>
    <xdr:to>
      <xdr:col>2</xdr:col>
      <xdr:colOff>571500</xdr:colOff>
      <xdr:row>21</xdr:row>
      <xdr:rowOff>152400</xdr:rowOff>
    </xdr:to>
    <xdr:sp macro="" textlink="">
      <xdr:nvSpPr>
        <xdr:cNvPr id="135" name="Line 812">
          <a:extLst>
            <a:ext uri="{FF2B5EF4-FFF2-40B4-BE49-F238E27FC236}">
              <a16:creationId xmlns:a16="http://schemas.microsoft.com/office/drawing/2014/main" id="{00000000-0008-0000-0200-000087000000}"/>
            </a:ext>
          </a:extLst>
        </xdr:cNvPr>
        <xdr:cNvSpPr>
          <a:spLocks noChangeShapeType="1"/>
        </xdr:cNvSpPr>
      </xdr:nvSpPr>
      <xdr:spPr bwMode="auto">
        <a:xfrm flipH="1">
          <a:off x="1885950" y="389572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238125</xdr:colOff>
      <xdr:row>131</xdr:row>
      <xdr:rowOff>161925</xdr:rowOff>
    </xdr:from>
    <xdr:to>
      <xdr:col>3</xdr:col>
      <xdr:colOff>304800</xdr:colOff>
      <xdr:row>132</xdr:row>
      <xdr:rowOff>28575</xdr:rowOff>
    </xdr:to>
    <xdr:sp macro="" textlink="">
      <xdr:nvSpPr>
        <xdr:cNvPr id="136" name="Oval 813">
          <a:extLst>
            <a:ext uri="{FF2B5EF4-FFF2-40B4-BE49-F238E27FC236}">
              <a16:creationId xmlns:a16="http://schemas.microsoft.com/office/drawing/2014/main" id="{00000000-0008-0000-0200-000088000000}"/>
            </a:ext>
          </a:extLst>
        </xdr:cNvPr>
        <xdr:cNvSpPr>
          <a:spLocks noChangeArrowheads="1"/>
        </xdr:cNvSpPr>
      </xdr:nvSpPr>
      <xdr:spPr bwMode="auto">
        <a:xfrm>
          <a:off x="2238375" y="25146000"/>
          <a:ext cx="66675" cy="571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85725</xdr:colOff>
      <xdr:row>108</xdr:row>
      <xdr:rowOff>85725</xdr:rowOff>
    </xdr:from>
    <xdr:to>
      <xdr:col>6</xdr:col>
      <xdr:colOff>552450</xdr:colOff>
      <xdr:row>108</xdr:row>
      <xdr:rowOff>85725</xdr:rowOff>
    </xdr:to>
    <xdr:sp macro="" textlink="">
      <xdr:nvSpPr>
        <xdr:cNvPr id="137" name="Line 814">
          <a:extLst>
            <a:ext uri="{FF2B5EF4-FFF2-40B4-BE49-F238E27FC236}">
              <a16:creationId xmlns:a16="http://schemas.microsoft.com/office/drawing/2014/main" id="{00000000-0008-0000-0200-000089000000}"/>
            </a:ext>
          </a:extLst>
        </xdr:cNvPr>
        <xdr:cNvSpPr>
          <a:spLocks noChangeShapeType="1"/>
        </xdr:cNvSpPr>
      </xdr:nvSpPr>
      <xdr:spPr bwMode="auto">
        <a:xfrm>
          <a:off x="2733675" y="20669250"/>
          <a:ext cx="1219200"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111</xdr:row>
      <xdr:rowOff>0</xdr:rowOff>
    </xdr:from>
    <xdr:to>
      <xdr:col>6</xdr:col>
      <xdr:colOff>581025</xdr:colOff>
      <xdr:row>111</xdr:row>
      <xdr:rowOff>0</xdr:rowOff>
    </xdr:to>
    <xdr:sp macro="" textlink="">
      <xdr:nvSpPr>
        <xdr:cNvPr id="138" name="Line 815">
          <a:extLst>
            <a:ext uri="{FF2B5EF4-FFF2-40B4-BE49-F238E27FC236}">
              <a16:creationId xmlns:a16="http://schemas.microsoft.com/office/drawing/2014/main" id="{00000000-0008-0000-0200-00008A000000}"/>
            </a:ext>
          </a:extLst>
        </xdr:cNvPr>
        <xdr:cNvSpPr>
          <a:spLocks noChangeShapeType="1"/>
        </xdr:cNvSpPr>
      </xdr:nvSpPr>
      <xdr:spPr bwMode="auto">
        <a:xfrm>
          <a:off x="2733675" y="21164550"/>
          <a:ext cx="1247775"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6</xdr:col>
      <xdr:colOff>438150</xdr:colOff>
      <xdr:row>109</xdr:row>
      <xdr:rowOff>28575</xdr:rowOff>
    </xdr:from>
    <xdr:to>
      <xdr:col>6</xdr:col>
      <xdr:colOff>552450</xdr:colOff>
      <xdr:row>110</xdr:row>
      <xdr:rowOff>76200</xdr:rowOff>
    </xdr:to>
    <xdr:sp macro="" textlink="">
      <xdr:nvSpPr>
        <xdr:cNvPr id="139" name="Tegning 816">
          <a:extLst>
            <a:ext uri="{FF2B5EF4-FFF2-40B4-BE49-F238E27FC236}">
              <a16:creationId xmlns:a16="http://schemas.microsoft.com/office/drawing/2014/main" id="{00000000-0008-0000-0200-00008B000000}"/>
            </a:ext>
          </a:extLst>
        </xdr:cNvPr>
        <xdr:cNvSpPr>
          <a:spLocks/>
        </xdr:cNvSpPr>
      </xdr:nvSpPr>
      <xdr:spPr bwMode="auto">
        <a:xfrm>
          <a:off x="3838575" y="20812125"/>
          <a:ext cx="114300" cy="238125"/>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257175</xdr:colOff>
      <xdr:row>109</xdr:row>
      <xdr:rowOff>28575</xdr:rowOff>
    </xdr:from>
    <xdr:to>
      <xdr:col>5</xdr:col>
      <xdr:colOff>47625</xdr:colOff>
      <xdr:row>110</xdr:row>
      <xdr:rowOff>57150</xdr:rowOff>
    </xdr:to>
    <xdr:sp macro="" textlink="">
      <xdr:nvSpPr>
        <xdr:cNvPr id="140" name="Tegning 817">
          <a:extLst>
            <a:ext uri="{FF2B5EF4-FFF2-40B4-BE49-F238E27FC236}">
              <a16:creationId xmlns:a16="http://schemas.microsoft.com/office/drawing/2014/main" id="{00000000-0008-0000-0200-00008C000000}"/>
            </a:ext>
          </a:extLst>
        </xdr:cNvPr>
        <xdr:cNvSpPr>
          <a:spLocks/>
        </xdr:cNvSpPr>
      </xdr:nvSpPr>
      <xdr:spPr bwMode="auto">
        <a:xfrm flipH="1">
          <a:off x="2581275" y="20812125"/>
          <a:ext cx="114300" cy="219075"/>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6</xdr:col>
      <xdr:colOff>381000</xdr:colOff>
      <xdr:row>32</xdr:row>
      <xdr:rowOff>114300</xdr:rowOff>
    </xdr:from>
    <xdr:to>
      <xdr:col>6</xdr:col>
      <xdr:colOff>533400</xdr:colOff>
      <xdr:row>33</xdr:row>
      <xdr:rowOff>190500</xdr:rowOff>
    </xdr:to>
    <xdr:sp macro="" textlink="">
      <xdr:nvSpPr>
        <xdr:cNvPr id="141" name="Tegning 818">
          <a:extLst>
            <a:ext uri="{FF2B5EF4-FFF2-40B4-BE49-F238E27FC236}">
              <a16:creationId xmlns:a16="http://schemas.microsoft.com/office/drawing/2014/main" id="{00000000-0008-0000-0200-00008D000000}"/>
            </a:ext>
          </a:extLst>
        </xdr:cNvPr>
        <xdr:cNvSpPr>
          <a:spLocks/>
        </xdr:cNvSpPr>
      </xdr:nvSpPr>
      <xdr:spPr bwMode="auto">
        <a:xfrm>
          <a:off x="3781425" y="6124575"/>
          <a:ext cx="152400" cy="266700"/>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257175</xdr:colOff>
      <xdr:row>32</xdr:row>
      <xdr:rowOff>114300</xdr:rowOff>
    </xdr:from>
    <xdr:to>
      <xdr:col>5</xdr:col>
      <xdr:colOff>95250</xdr:colOff>
      <xdr:row>33</xdr:row>
      <xdr:rowOff>180975</xdr:rowOff>
    </xdr:to>
    <xdr:sp macro="" textlink="">
      <xdr:nvSpPr>
        <xdr:cNvPr id="142" name="Tegning 819">
          <a:extLst>
            <a:ext uri="{FF2B5EF4-FFF2-40B4-BE49-F238E27FC236}">
              <a16:creationId xmlns:a16="http://schemas.microsoft.com/office/drawing/2014/main" id="{00000000-0008-0000-0200-00008E000000}"/>
            </a:ext>
          </a:extLst>
        </xdr:cNvPr>
        <xdr:cNvSpPr>
          <a:spLocks/>
        </xdr:cNvSpPr>
      </xdr:nvSpPr>
      <xdr:spPr bwMode="auto">
        <a:xfrm flipH="1">
          <a:off x="2581275" y="6124575"/>
          <a:ext cx="161925" cy="257175"/>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38100</xdr:colOff>
      <xdr:row>32</xdr:row>
      <xdr:rowOff>9525</xdr:rowOff>
    </xdr:from>
    <xdr:to>
      <xdr:col>6</xdr:col>
      <xdr:colOff>504825</xdr:colOff>
      <xdr:row>32</xdr:row>
      <xdr:rowOff>9525</xdr:rowOff>
    </xdr:to>
    <xdr:sp macro="" textlink="">
      <xdr:nvSpPr>
        <xdr:cNvPr id="143" name="Line 820">
          <a:extLst>
            <a:ext uri="{FF2B5EF4-FFF2-40B4-BE49-F238E27FC236}">
              <a16:creationId xmlns:a16="http://schemas.microsoft.com/office/drawing/2014/main" id="{00000000-0008-0000-0200-00008F000000}"/>
            </a:ext>
          </a:extLst>
        </xdr:cNvPr>
        <xdr:cNvSpPr>
          <a:spLocks noChangeShapeType="1"/>
        </xdr:cNvSpPr>
      </xdr:nvSpPr>
      <xdr:spPr bwMode="auto">
        <a:xfrm>
          <a:off x="2686050" y="6019800"/>
          <a:ext cx="1219200"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34</xdr:row>
      <xdr:rowOff>142875</xdr:rowOff>
    </xdr:from>
    <xdr:to>
      <xdr:col>6</xdr:col>
      <xdr:colOff>523875</xdr:colOff>
      <xdr:row>34</xdr:row>
      <xdr:rowOff>142875</xdr:rowOff>
    </xdr:to>
    <xdr:sp macro="" textlink="">
      <xdr:nvSpPr>
        <xdr:cNvPr id="144" name="Line 821">
          <a:extLst>
            <a:ext uri="{FF2B5EF4-FFF2-40B4-BE49-F238E27FC236}">
              <a16:creationId xmlns:a16="http://schemas.microsoft.com/office/drawing/2014/main" id="{00000000-0008-0000-0200-000090000000}"/>
            </a:ext>
          </a:extLst>
        </xdr:cNvPr>
        <xdr:cNvSpPr>
          <a:spLocks noChangeShapeType="1"/>
        </xdr:cNvSpPr>
      </xdr:nvSpPr>
      <xdr:spPr bwMode="auto">
        <a:xfrm>
          <a:off x="2695575" y="6534150"/>
          <a:ext cx="1228725" cy="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290512</xdr:colOff>
      <xdr:row>33</xdr:row>
      <xdr:rowOff>47625</xdr:rowOff>
    </xdr:from>
    <xdr:to>
      <xdr:col>6</xdr:col>
      <xdr:colOff>495299</xdr:colOff>
      <xdr:row>33</xdr:row>
      <xdr:rowOff>47625</xdr:rowOff>
    </xdr:to>
    <xdr:sp macro="" textlink="">
      <xdr:nvSpPr>
        <xdr:cNvPr id="145" name="Line 822">
          <a:extLst>
            <a:ext uri="{FF2B5EF4-FFF2-40B4-BE49-F238E27FC236}">
              <a16:creationId xmlns:a16="http://schemas.microsoft.com/office/drawing/2014/main" id="{00000000-0008-0000-0200-000091000000}"/>
            </a:ext>
          </a:extLst>
        </xdr:cNvPr>
        <xdr:cNvSpPr>
          <a:spLocks noChangeShapeType="1"/>
        </xdr:cNvSpPr>
      </xdr:nvSpPr>
      <xdr:spPr bwMode="auto">
        <a:xfrm flipH="1">
          <a:off x="2614612" y="6181725"/>
          <a:ext cx="1281112"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31</xdr:row>
      <xdr:rowOff>9525</xdr:rowOff>
    </xdr:from>
    <xdr:to>
      <xdr:col>3</xdr:col>
      <xdr:colOff>104775</xdr:colOff>
      <xdr:row>34</xdr:row>
      <xdr:rowOff>57150</xdr:rowOff>
    </xdr:to>
    <xdr:sp macro="" textlink="">
      <xdr:nvSpPr>
        <xdr:cNvPr id="146" name="Line 823">
          <a:extLst>
            <a:ext uri="{FF2B5EF4-FFF2-40B4-BE49-F238E27FC236}">
              <a16:creationId xmlns:a16="http://schemas.microsoft.com/office/drawing/2014/main" id="{00000000-0008-0000-0200-000092000000}"/>
            </a:ext>
          </a:extLst>
        </xdr:cNvPr>
        <xdr:cNvSpPr>
          <a:spLocks noChangeShapeType="1"/>
        </xdr:cNvSpPr>
      </xdr:nvSpPr>
      <xdr:spPr bwMode="auto">
        <a:xfrm>
          <a:off x="2105025" y="5829300"/>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104</xdr:row>
      <xdr:rowOff>66675</xdr:rowOff>
    </xdr:from>
    <xdr:to>
      <xdr:col>3</xdr:col>
      <xdr:colOff>123825</xdr:colOff>
      <xdr:row>107</xdr:row>
      <xdr:rowOff>95250</xdr:rowOff>
    </xdr:to>
    <xdr:sp macro="" textlink="">
      <xdr:nvSpPr>
        <xdr:cNvPr id="147" name="Line 824">
          <a:extLst>
            <a:ext uri="{FF2B5EF4-FFF2-40B4-BE49-F238E27FC236}">
              <a16:creationId xmlns:a16="http://schemas.microsoft.com/office/drawing/2014/main" id="{00000000-0008-0000-0200-000093000000}"/>
            </a:ext>
          </a:extLst>
        </xdr:cNvPr>
        <xdr:cNvSpPr>
          <a:spLocks noChangeShapeType="1"/>
        </xdr:cNvSpPr>
      </xdr:nvSpPr>
      <xdr:spPr bwMode="auto">
        <a:xfrm>
          <a:off x="2124075" y="1988820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88</xdr:row>
      <xdr:rowOff>66675</xdr:rowOff>
    </xdr:from>
    <xdr:to>
      <xdr:col>5</xdr:col>
      <xdr:colOff>66675</xdr:colOff>
      <xdr:row>89</xdr:row>
      <xdr:rowOff>28575</xdr:rowOff>
    </xdr:to>
    <xdr:sp macro="" textlink="">
      <xdr:nvSpPr>
        <xdr:cNvPr id="148" name="Line 825">
          <a:extLst>
            <a:ext uri="{FF2B5EF4-FFF2-40B4-BE49-F238E27FC236}">
              <a16:creationId xmlns:a16="http://schemas.microsoft.com/office/drawing/2014/main" id="{00000000-0008-0000-0200-000094000000}"/>
            </a:ext>
          </a:extLst>
        </xdr:cNvPr>
        <xdr:cNvSpPr>
          <a:spLocks noChangeShapeType="1"/>
        </xdr:cNvSpPr>
      </xdr:nvSpPr>
      <xdr:spPr bwMode="auto">
        <a:xfrm flipH="1">
          <a:off x="2552700" y="16821150"/>
          <a:ext cx="161925"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133350</xdr:colOff>
      <xdr:row>88</xdr:row>
      <xdr:rowOff>76200</xdr:rowOff>
    </xdr:from>
    <xdr:to>
      <xdr:col>2</xdr:col>
      <xdr:colOff>38100</xdr:colOff>
      <xdr:row>89</xdr:row>
      <xdr:rowOff>9525</xdr:rowOff>
    </xdr:to>
    <xdr:sp macro="" textlink="">
      <xdr:nvSpPr>
        <xdr:cNvPr id="149" name="Line 826">
          <a:extLst>
            <a:ext uri="{FF2B5EF4-FFF2-40B4-BE49-F238E27FC236}">
              <a16:creationId xmlns:a16="http://schemas.microsoft.com/office/drawing/2014/main" id="{00000000-0008-0000-0200-000095000000}"/>
            </a:ext>
          </a:extLst>
        </xdr:cNvPr>
        <xdr:cNvSpPr>
          <a:spLocks noChangeShapeType="1"/>
        </xdr:cNvSpPr>
      </xdr:nvSpPr>
      <xdr:spPr bwMode="auto">
        <a:xfrm flipH="1">
          <a:off x="1314450" y="16830675"/>
          <a:ext cx="14287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266700</xdr:colOff>
      <xdr:row>109</xdr:row>
      <xdr:rowOff>142875</xdr:rowOff>
    </xdr:from>
    <xdr:to>
      <xdr:col>6</xdr:col>
      <xdr:colOff>476250</xdr:colOff>
      <xdr:row>109</xdr:row>
      <xdr:rowOff>142875</xdr:rowOff>
    </xdr:to>
    <xdr:sp macro="" textlink="">
      <xdr:nvSpPr>
        <xdr:cNvPr id="150" name="Line 827">
          <a:extLst>
            <a:ext uri="{FF2B5EF4-FFF2-40B4-BE49-F238E27FC236}">
              <a16:creationId xmlns:a16="http://schemas.microsoft.com/office/drawing/2014/main" id="{00000000-0008-0000-0200-000096000000}"/>
            </a:ext>
          </a:extLst>
        </xdr:cNvPr>
        <xdr:cNvSpPr>
          <a:spLocks noChangeShapeType="1"/>
        </xdr:cNvSpPr>
      </xdr:nvSpPr>
      <xdr:spPr bwMode="auto">
        <a:xfrm flipH="1">
          <a:off x="2590800" y="20926425"/>
          <a:ext cx="1285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466725</xdr:colOff>
      <xdr:row>0</xdr:row>
      <xdr:rowOff>104775</xdr:rowOff>
    </xdr:from>
    <xdr:to>
      <xdr:col>0</xdr:col>
      <xdr:colOff>1076325</xdr:colOff>
      <xdr:row>3</xdr:row>
      <xdr:rowOff>114300</xdr:rowOff>
    </xdr:to>
    <xdr:pic>
      <xdr:nvPicPr>
        <xdr:cNvPr id="151" name="Picture 197" descr="CRH_office_pantone">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104775"/>
          <a:ext cx="609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0</xdr:row>
          <xdr:rowOff>95250</xdr:rowOff>
        </xdr:from>
        <xdr:to>
          <xdr:col>15</xdr:col>
          <xdr:colOff>28575</xdr:colOff>
          <xdr:row>1</xdr:row>
          <xdr:rowOff>180975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a:t>
              </a:r>
            </a:p>
          </xdr:txBody>
        </xdr:sp>
        <xdr:clientData fLocksWithSheet="0"/>
      </xdr:twoCellAnchor>
    </mc:Choice>
    <mc:Fallback/>
  </mc:AlternateContent>
  <xdr:twoCellAnchor>
    <xdr:from>
      <xdr:col>13</xdr:col>
      <xdr:colOff>689742</xdr:colOff>
      <xdr:row>5</xdr:row>
      <xdr:rowOff>142327</xdr:rowOff>
    </xdr:from>
    <xdr:to>
      <xdr:col>14</xdr:col>
      <xdr:colOff>120431</xdr:colOff>
      <xdr:row>6</xdr:row>
      <xdr:rowOff>76637</xdr:rowOff>
    </xdr:to>
    <xdr:cxnSp macro="">
      <xdr:nvCxnSpPr>
        <xdr:cNvPr id="16" name="Lige pilforbindelse 15">
          <a:extLst>
            <a:ext uri="{FF2B5EF4-FFF2-40B4-BE49-F238E27FC236}">
              <a16:creationId xmlns:a16="http://schemas.microsoft.com/office/drawing/2014/main" id="{00000000-0008-0000-0200-000010000000}"/>
            </a:ext>
          </a:extLst>
        </xdr:cNvPr>
        <xdr:cNvCxnSpPr/>
      </xdr:nvCxnSpPr>
      <xdr:spPr>
        <a:xfrm flipH="1">
          <a:off x="8868104" y="919655"/>
          <a:ext cx="273706" cy="131379"/>
        </a:xfrm>
        <a:prstGeom prst="straightConnector1">
          <a:avLst/>
        </a:prstGeom>
        <a:ln w="9525">
          <a:solidFill>
            <a:schemeClr val="tx1"/>
          </a:solidFill>
          <a:headEnd type="none"/>
          <a:tailEnd type="arrow" w="lg"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711638</xdr:colOff>
      <xdr:row>7</xdr:row>
      <xdr:rowOff>153276</xdr:rowOff>
    </xdr:from>
    <xdr:to>
      <xdr:col>14</xdr:col>
      <xdr:colOff>142327</xdr:colOff>
      <xdr:row>8</xdr:row>
      <xdr:rowOff>87587</xdr:rowOff>
    </xdr:to>
    <xdr:cxnSp macro="">
      <xdr:nvCxnSpPr>
        <xdr:cNvPr id="157" name="Lige pilforbindelse 156">
          <a:extLst>
            <a:ext uri="{FF2B5EF4-FFF2-40B4-BE49-F238E27FC236}">
              <a16:creationId xmlns:a16="http://schemas.microsoft.com/office/drawing/2014/main" id="{00000000-0008-0000-0200-00009D000000}"/>
            </a:ext>
          </a:extLst>
        </xdr:cNvPr>
        <xdr:cNvCxnSpPr/>
      </xdr:nvCxnSpPr>
      <xdr:spPr>
        <a:xfrm flipH="1">
          <a:off x="8890000" y="1324742"/>
          <a:ext cx="273706" cy="131379"/>
        </a:xfrm>
        <a:prstGeom prst="straightConnector1">
          <a:avLst/>
        </a:prstGeom>
        <a:ln w="9525">
          <a:solidFill>
            <a:schemeClr val="tx1"/>
          </a:solidFill>
          <a:headEnd type="none"/>
          <a:tailEnd type="arrow" w="lg" len="med"/>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15</xdr:col>
          <xdr:colOff>161925</xdr:colOff>
          <xdr:row>0</xdr:row>
          <xdr:rowOff>104775</xdr:rowOff>
        </xdr:from>
        <xdr:to>
          <xdr:col>17</xdr:col>
          <xdr:colOff>0</xdr:colOff>
          <xdr:row>3</xdr:row>
          <xdr:rowOff>142875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retur og vis igen</a:t>
              </a:r>
            </a:p>
            <a:p>
              <a:pPr algn="ctr" rtl="0">
                <a:defRPr sz="1000"/>
              </a:pPr>
              <a:r>
                <a:rPr lang="da-DK" sz="1200" b="1" i="0" u="none" strike="noStrike" baseline="0">
                  <a:solidFill>
                    <a:srgbClr val="000000"/>
                  </a:solidFill>
                  <a:latin typeface="Arial"/>
                  <a:cs typeface="Arial"/>
                </a:rPr>
                <a:t> skjulte rækker</a:t>
              </a:r>
            </a:p>
          </xdr:txBody>
        </xdr:sp>
        <xdr:clientData fLocksWithSheet="0"/>
      </xdr:twoCellAnchor>
    </mc:Choice>
    <mc:Fallback/>
  </mc:AlternateContent>
  <xdr:twoCellAnchor>
    <xdr:from>
      <xdr:col>1</xdr:col>
      <xdr:colOff>209550</xdr:colOff>
      <xdr:row>12</xdr:row>
      <xdr:rowOff>184150</xdr:rowOff>
    </xdr:from>
    <xdr:to>
      <xdr:col>5</xdr:col>
      <xdr:colOff>6350</xdr:colOff>
      <xdr:row>19</xdr:row>
      <xdr:rowOff>0</xdr:rowOff>
    </xdr:to>
    <xdr:sp macro="" textlink="">
      <xdr:nvSpPr>
        <xdr:cNvPr id="11" name="Kombinationstegning: figur 10">
          <a:extLst>
            <a:ext uri="{FF2B5EF4-FFF2-40B4-BE49-F238E27FC236}">
              <a16:creationId xmlns:a16="http://schemas.microsoft.com/office/drawing/2014/main" id="{00000000-0008-0000-0200-00000B000000}"/>
            </a:ext>
          </a:extLst>
        </xdr:cNvPr>
        <xdr:cNvSpPr/>
      </xdr:nvSpPr>
      <xdr:spPr>
        <a:xfrm>
          <a:off x="1390650" y="2330450"/>
          <a:ext cx="1270000" cy="1149350"/>
        </a:xfrm>
        <a:custGeom>
          <a:avLst/>
          <a:gdLst>
            <a:gd name="connsiteX0" fmla="*/ 0 w 1270000"/>
            <a:gd name="connsiteY0" fmla="*/ 0 h 1149350"/>
            <a:gd name="connsiteX1" fmla="*/ 831850 w 1270000"/>
            <a:gd name="connsiteY1" fmla="*/ 0 h 1149350"/>
            <a:gd name="connsiteX2" fmla="*/ 831850 w 1270000"/>
            <a:gd name="connsiteY2" fmla="*/ 546100 h 1149350"/>
            <a:gd name="connsiteX3" fmla="*/ 692150 w 1270000"/>
            <a:gd name="connsiteY3" fmla="*/ 546100 h 1149350"/>
            <a:gd name="connsiteX4" fmla="*/ 692150 w 1270000"/>
            <a:gd name="connsiteY4" fmla="*/ 666750 h 1149350"/>
            <a:gd name="connsiteX5" fmla="*/ 1270000 w 1270000"/>
            <a:gd name="connsiteY5" fmla="*/ 666750 h 1149350"/>
            <a:gd name="connsiteX6" fmla="*/ 1270000 w 1270000"/>
            <a:gd name="connsiteY6" fmla="*/ 1149350 h 1149350"/>
            <a:gd name="connsiteX7" fmla="*/ 6350 w 1270000"/>
            <a:gd name="connsiteY7" fmla="*/ 1149350 h 1149350"/>
            <a:gd name="connsiteX8" fmla="*/ 0 w 1270000"/>
            <a:gd name="connsiteY8" fmla="*/ 0 h 1149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70000" h="1149350">
              <a:moveTo>
                <a:pt x="0" y="0"/>
              </a:moveTo>
              <a:lnTo>
                <a:pt x="831850" y="0"/>
              </a:lnTo>
              <a:lnTo>
                <a:pt x="831850" y="546100"/>
              </a:lnTo>
              <a:lnTo>
                <a:pt x="692150" y="546100"/>
              </a:lnTo>
              <a:lnTo>
                <a:pt x="692150" y="666750"/>
              </a:lnTo>
              <a:lnTo>
                <a:pt x="1270000" y="666750"/>
              </a:lnTo>
              <a:lnTo>
                <a:pt x="1270000" y="1149350"/>
              </a:lnTo>
              <a:lnTo>
                <a:pt x="6350" y="1149350"/>
              </a:lnTo>
              <a:cubicBezTo>
                <a:pt x="4233" y="766233"/>
                <a:pt x="2117" y="383117"/>
                <a:pt x="0" y="0"/>
              </a:cubicBez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3</xdr:col>
      <xdr:colOff>158750</xdr:colOff>
      <xdr:row>13</xdr:row>
      <xdr:rowOff>6350</xdr:rowOff>
    </xdr:from>
    <xdr:to>
      <xdr:col>3</xdr:col>
      <xdr:colOff>158750</xdr:colOff>
      <xdr:row>15</xdr:row>
      <xdr:rowOff>146050</xdr:rowOff>
    </xdr:to>
    <xdr:cxnSp macro="">
      <xdr:nvCxnSpPr>
        <xdr:cNvPr id="4103" name="Lige forbindelse 4102">
          <a:extLst>
            <a:ext uri="{FF2B5EF4-FFF2-40B4-BE49-F238E27FC236}">
              <a16:creationId xmlns:a16="http://schemas.microsoft.com/office/drawing/2014/main" id="{00000000-0008-0000-0200-000007100000}"/>
            </a:ext>
          </a:extLst>
        </xdr:cNvPr>
        <xdr:cNvCxnSpPr/>
      </xdr:nvCxnSpPr>
      <xdr:spPr>
        <a:xfrm>
          <a:off x="2165350" y="2343150"/>
          <a:ext cx="0" cy="520700"/>
        </a:xfrm>
        <a:prstGeom prst="line">
          <a:avLst/>
        </a:prstGeom>
        <a:ln w="158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282575</xdr:colOff>
      <xdr:row>15</xdr:row>
      <xdr:rowOff>6350</xdr:rowOff>
    </xdr:from>
    <xdr:to>
      <xdr:col>3</xdr:col>
      <xdr:colOff>254000</xdr:colOff>
      <xdr:row>15</xdr:row>
      <xdr:rowOff>6350</xdr:rowOff>
    </xdr:to>
    <xdr:sp macro="" textlink="">
      <xdr:nvSpPr>
        <xdr:cNvPr id="164" name="Line 707">
          <a:extLst>
            <a:ext uri="{FF2B5EF4-FFF2-40B4-BE49-F238E27FC236}">
              <a16:creationId xmlns:a16="http://schemas.microsoft.com/office/drawing/2014/main" id="{00000000-0008-0000-0200-0000A4000000}"/>
            </a:ext>
          </a:extLst>
        </xdr:cNvPr>
        <xdr:cNvSpPr>
          <a:spLocks noChangeShapeType="1"/>
        </xdr:cNvSpPr>
      </xdr:nvSpPr>
      <xdr:spPr bwMode="auto">
        <a:xfrm>
          <a:off x="1704975" y="2724150"/>
          <a:ext cx="555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177800</xdr:colOff>
      <xdr:row>14</xdr:row>
      <xdr:rowOff>139700</xdr:rowOff>
    </xdr:from>
    <xdr:to>
      <xdr:col>3</xdr:col>
      <xdr:colOff>292100</xdr:colOff>
      <xdr:row>15</xdr:row>
      <xdr:rowOff>56356</xdr:rowOff>
    </xdr:to>
    <xdr:sp macro="" textlink="">
      <xdr:nvSpPr>
        <xdr:cNvPr id="165" name="Line 708">
          <a:extLst>
            <a:ext uri="{FF2B5EF4-FFF2-40B4-BE49-F238E27FC236}">
              <a16:creationId xmlns:a16="http://schemas.microsoft.com/office/drawing/2014/main" id="{00000000-0008-0000-0200-0000A5000000}"/>
            </a:ext>
          </a:extLst>
        </xdr:cNvPr>
        <xdr:cNvSpPr>
          <a:spLocks noChangeShapeType="1"/>
        </xdr:cNvSpPr>
      </xdr:nvSpPr>
      <xdr:spPr bwMode="auto">
        <a:xfrm flipH="1">
          <a:off x="2184400" y="2667000"/>
          <a:ext cx="114300" cy="10715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31750</xdr:colOff>
      <xdr:row>14</xdr:row>
      <xdr:rowOff>139700</xdr:rowOff>
    </xdr:from>
    <xdr:to>
      <xdr:col>3</xdr:col>
      <xdr:colOff>146050</xdr:colOff>
      <xdr:row>15</xdr:row>
      <xdr:rowOff>56356</xdr:rowOff>
    </xdr:to>
    <xdr:sp macro="" textlink="">
      <xdr:nvSpPr>
        <xdr:cNvPr id="166" name="Line 708">
          <a:extLst>
            <a:ext uri="{FF2B5EF4-FFF2-40B4-BE49-F238E27FC236}">
              <a16:creationId xmlns:a16="http://schemas.microsoft.com/office/drawing/2014/main" id="{00000000-0008-0000-0200-0000A6000000}"/>
            </a:ext>
          </a:extLst>
        </xdr:cNvPr>
        <xdr:cNvSpPr>
          <a:spLocks noChangeShapeType="1"/>
        </xdr:cNvSpPr>
      </xdr:nvSpPr>
      <xdr:spPr bwMode="auto">
        <a:xfrm flipH="1">
          <a:off x="2038350" y="2667000"/>
          <a:ext cx="114300" cy="10715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88900</xdr:colOff>
      <xdr:row>14</xdr:row>
      <xdr:rowOff>165100</xdr:rowOff>
    </xdr:from>
    <xdr:to>
      <xdr:col>3</xdr:col>
      <xdr:colOff>88900</xdr:colOff>
      <xdr:row>15</xdr:row>
      <xdr:rowOff>133350</xdr:rowOff>
    </xdr:to>
    <xdr:cxnSp macro="">
      <xdr:nvCxnSpPr>
        <xdr:cNvPr id="4107" name="Lige forbindelse 4106">
          <a:extLst>
            <a:ext uri="{FF2B5EF4-FFF2-40B4-BE49-F238E27FC236}">
              <a16:creationId xmlns:a16="http://schemas.microsoft.com/office/drawing/2014/main" id="{00000000-0008-0000-0200-00000B100000}"/>
            </a:ext>
          </a:extLst>
        </xdr:cNvPr>
        <xdr:cNvCxnSpPr/>
      </xdr:nvCxnSpPr>
      <xdr:spPr>
        <a:xfrm>
          <a:off x="2095500" y="2692400"/>
          <a:ext cx="0" cy="15875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233362</xdr:colOff>
      <xdr:row>56</xdr:row>
      <xdr:rowOff>188912</xdr:rowOff>
    </xdr:from>
    <xdr:to>
      <xdr:col>5</xdr:col>
      <xdr:colOff>26987</xdr:colOff>
      <xdr:row>63</xdr:row>
      <xdr:rowOff>4762</xdr:rowOff>
    </xdr:to>
    <xdr:sp macro="" textlink="">
      <xdr:nvSpPr>
        <xdr:cNvPr id="172" name="Kombinationstegning: figur 171">
          <a:extLst>
            <a:ext uri="{FF2B5EF4-FFF2-40B4-BE49-F238E27FC236}">
              <a16:creationId xmlns:a16="http://schemas.microsoft.com/office/drawing/2014/main" id="{00000000-0008-0000-0200-0000AC000000}"/>
            </a:ext>
          </a:extLst>
        </xdr:cNvPr>
        <xdr:cNvSpPr/>
      </xdr:nvSpPr>
      <xdr:spPr>
        <a:xfrm>
          <a:off x="1414462" y="10793412"/>
          <a:ext cx="1266825" cy="1149350"/>
        </a:xfrm>
        <a:custGeom>
          <a:avLst/>
          <a:gdLst>
            <a:gd name="connsiteX0" fmla="*/ 0 w 1270000"/>
            <a:gd name="connsiteY0" fmla="*/ 0 h 1149350"/>
            <a:gd name="connsiteX1" fmla="*/ 831850 w 1270000"/>
            <a:gd name="connsiteY1" fmla="*/ 0 h 1149350"/>
            <a:gd name="connsiteX2" fmla="*/ 831850 w 1270000"/>
            <a:gd name="connsiteY2" fmla="*/ 546100 h 1149350"/>
            <a:gd name="connsiteX3" fmla="*/ 692150 w 1270000"/>
            <a:gd name="connsiteY3" fmla="*/ 546100 h 1149350"/>
            <a:gd name="connsiteX4" fmla="*/ 692150 w 1270000"/>
            <a:gd name="connsiteY4" fmla="*/ 666750 h 1149350"/>
            <a:gd name="connsiteX5" fmla="*/ 1270000 w 1270000"/>
            <a:gd name="connsiteY5" fmla="*/ 666750 h 1149350"/>
            <a:gd name="connsiteX6" fmla="*/ 1270000 w 1270000"/>
            <a:gd name="connsiteY6" fmla="*/ 1149350 h 1149350"/>
            <a:gd name="connsiteX7" fmla="*/ 6350 w 1270000"/>
            <a:gd name="connsiteY7" fmla="*/ 1149350 h 1149350"/>
            <a:gd name="connsiteX8" fmla="*/ 0 w 1270000"/>
            <a:gd name="connsiteY8" fmla="*/ 0 h 1149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70000" h="1149350">
              <a:moveTo>
                <a:pt x="0" y="0"/>
              </a:moveTo>
              <a:lnTo>
                <a:pt x="831850" y="0"/>
              </a:lnTo>
              <a:lnTo>
                <a:pt x="831850" y="546100"/>
              </a:lnTo>
              <a:lnTo>
                <a:pt x="692150" y="546100"/>
              </a:lnTo>
              <a:lnTo>
                <a:pt x="692150" y="666750"/>
              </a:lnTo>
              <a:lnTo>
                <a:pt x="1270000" y="666750"/>
              </a:lnTo>
              <a:lnTo>
                <a:pt x="1270000" y="1149350"/>
              </a:lnTo>
              <a:lnTo>
                <a:pt x="6350" y="1149350"/>
              </a:lnTo>
              <a:cubicBezTo>
                <a:pt x="4233" y="766233"/>
                <a:pt x="2117" y="383117"/>
                <a:pt x="0" y="0"/>
              </a:cubicBez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xdr:col>
      <xdr:colOff>203200</xdr:colOff>
      <xdr:row>80</xdr:row>
      <xdr:rowOff>0</xdr:rowOff>
    </xdr:from>
    <xdr:to>
      <xdr:col>4</xdr:col>
      <xdr:colOff>317500</xdr:colOff>
      <xdr:row>85</xdr:row>
      <xdr:rowOff>177800</xdr:rowOff>
    </xdr:to>
    <xdr:sp macro="" textlink="">
      <xdr:nvSpPr>
        <xdr:cNvPr id="173" name="Kombinationstegning: figur 172">
          <a:extLst>
            <a:ext uri="{FF2B5EF4-FFF2-40B4-BE49-F238E27FC236}">
              <a16:creationId xmlns:a16="http://schemas.microsoft.com/office/drawing/2014/main" id="{00000000-0008-0000-0200-0000AD000000}"/>
            </a:ext>
          </a:extLst>
        </xdr:cNvPr>
        <xdr:cNvSpPr/>
      </xdr:nvSpPr>
      <xdr:spPr>
        <a:xfrm flipV="1">
          <a:off x="1384300" y="15201900"/>
          <a:ext cx="1263650" cy="1130300"/>
        </a:xfrm>
        <a:custGeom>
          <a:avLst/>
          <a:gdLst>
            <a:gd name="connsiteX0" fmla="*/ 0 w 1270000"/>
            <a:gd name="connsiteY0" fmla="*/ 0 h 1149350"/>
            <a:gd name="connsiteX1" fmla="*/ 831850 w 1270000"/>
            <a:gd name="connsiteY1" fmla="*/ 0 h 1149350"/>
            <a:gd name="connsiteX2" fmla="*/ 831850 w 1270000"/>
            <a:gd name="connsiteY2" fmla="*/ 546100 h 1149350"/>
            <a:gd name="connsiteX3" fmla="*/ 692150 w 1270000"/>
            <a:gd name="connsiteY3" fmla="*/ 546100 h 1149350"/>
            <a:gd name="connsiteX4" fmla="*/ 692150 w 1270000"/>
            <a:gd name="connsiteY4" fmla="*/ 666750 h 1149350"/>
            <a:gd name="connsiteX5" fmla="*/ 1270000 w 1270000"/>
            <a:gd name="connsiteY5" fmla="*/ 666750 h 1149350"/>
            <a:gd name="connsiteX6" fmla="*/ 1270000 w 1270000"/>
            <a:gd name="connsiteY6" fmla="*/ 1149350 h 1149350"/>
            <a:gd name="connsiteX7" fmla="*/ 6350 w 1270000"/>
            <a:gd name="connsiteY7" fmla="*/ 1149350 h 1149350"/>
            <a:gd name="connsiteX8" fmla="*/ 0 w 1270000"/>
            <a:gd name="connsiteY8" fmla="*/ 0 h 1149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70000" h="1149350">
              <a:moveTo>
                <a:pt x="0" y="0"/>
              </a:moveTo>
              <a:lnTo>
                <a:pt x="831850" y="0"/>
              </a:lnTo>
              <a:lnTo>
                <a:pt x="831850" y="546100"/>
              </a:lnTo>
              <a:lnTo>
                <a:pt x="692150" y="546100"/>
              </a:lnTo>
              <a:lnTo>
                <a:pt x="692150" y="666750"/>
              </a:lnTo>
              <a:lnTo>
                <a:pt x="1270000" y="666750"/>
              </a:lnTo>
              <a:lnTo>
                <a:pt x="1270000" y="1149350"/>
              </a:lnTo>
              <a:lnTo>
                <a:pt x="6350" y="1149350"/>
              </a:lnTo>
              <a:cubicBezTo>
                <a:pt x="4233" y="766233"/>
                <a:pt x="2117" y="383117"/>
                <a:pt x="0" y="0"/>
              </a:cubicBez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2</xdr:col>
      <xdr:colOff>254000</xdr:colOff>
      <xdr:row>83</xdr:row>
      <xdr:rowOff>187325</xdr:rowOff>
    </xdr:from>
    <xdr:to>
      <xdr:col>3</xdr:col>
      <xdr:colOff>225425</xdr:colOff>
      <xdr:row>84</xdr:row>
      <xdr:rowOff>6350</xdr:rowOff>
    </xdr:to>
    <xdr:sp macro="" textlink="">
      <xdr:nvSpPr>
        <xdr:cNvPr id="176" name="Line 751">
          <a:extLst>
            <a:ext uri="{FF2B5EF4-FFF2-40B4-BE49-F238E27FC236}">
              <a16:creationId xmlns:a16="http://schemas.microsoft.com/office/drawing/2014/main" id="{00000000-0008-0000-0200-0000B0000000}"/>
            </a:ext>
          </a:extLst>
        </xdr:cNvPr>
        <xdr:cNvSpPr>
          <a:spLocks noChangeShapeType="1"/>
        </xdr:cNvSpPr>
      </xdr:nvSpPr>
      <xdr:spPr bwMode="auto">
        <a:xfrm>
          <a:off x="1676400" y="15960725"/>
          <a:ext cx="555625" cy="9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155574</xdr:colOff>
      <xdr:row>83</xdr:row>
      <xdr:rowOff>124114</xdr:rowOff>
    </xdr:from>
    <xdr:to>
      <xdr:col>3</xdr:col>
      <xdr:colOff>298449</xdr:colOff>
      <xdr:row>84</xdr:row>
      <xdr:rowOff>63500</xdr:rowOff>
    </xdr:to>
    <xdr:sp macro="" textlink="">
      <xdr:nvSpPr>
        <xdr:cNvPr id="177" name="Line 781">
          <a:extLst>
            <a:ext uri="{FF2B5EF4-FFF2-40B4-BE49-F238E27FC236}">
              <a16:creationId xmlns:a16="http://schemas.microsoft.com/office/drawing/2014/main" id="{00000000-0008-0000-0200-0000B1000000}"/>
            </a:ext>
          </a:extLst>
        </xdr:cNvPr>
        <xdr:cNvSpPr>
          <a:spLocks noChangeShapeType="1"/>
        </xdr:cNvSpPr>
      </xdr:nvSpPr>
      <xdr:spPr bwMode="auto">
        <a:xfrm flipH="1">
          <a:off x="2162174" y="15897514"/>
          <a:ext cx="142875" cy="129886"/>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9524</xdr:colOff>
      <xdr:row>83</xdr:row>
      <xdr:rowOff>142874</xdr:rowOff>
    </xdr:from>
    <xdr:to>
      <xdr:col>3</xdr:col>
      <xdr:colOff>120650</xdr:colOff>
      <xdr:row>84</xdr:row>
      <xdr:rowOff>41275</xdr:rowOff>
    </xdr:to>
    <xdr:sp macro="" textlink="">
      <xdr:nvSpPr>
        <xdr:cNvPr id="178" name="Line 782">
          <a:extLst>
            <a:ext uri="{FF2B5EF4-FFF2-40B4-BE49-F238E27FC236}">
              <a16:creationId xmlns:a16="http://schemas.microsoft.com/office/drawing/2014/main" id="{00000000-0008-0000-0200-0000B2000000}"/>
            </a:ext>
          </a:extLst>
        </xdr:cNvPr>
        <xdr:cNvSpPr>
          <a:spLocks noChangeShapeType="1"/>
        </xdr:cNvSpPr>
      </xdr:nvSpPr>
      <xdr:spPr bwMode="auto">
        <a:xfrm flipH="1">
          <a:off x="2016124" y="15916274"/>
          <a:ext cx="111126" cy="88901"/>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43794</xdr:colOff>
      <xdr:row>20</xdr:row>
      <xdr:rowOff>133294</xdr:rowOff>
    </xdr:from>
    <xdr:to>
      <xdr:col>5</xdr:col>
      <xdr:colOff>685800</xdr:colOff>
      <xdr:row>20</xdr:row>
      <xdr:rowOff>133294</xdr:rowOff>
    </xdr:to>
    <xdr:cxnSp macro="">
      <xdr:nvCxnSpPr>
        <xdr:cNvPr id="50" name="Lige forbindelse 49">
          <a:extLst>
            <a:ext uri="{FF2B5EF4-FFF2-40B4-BE49-F238E27FC236}">
              <a16:creationId xmlns:a16="http://schemas.microsoft.com/office/drawing/2014/main" id="{00000000-0008-0000-0200-000032000000}"/>
            </a:ext>
          </a:extLst>
        </xdr:cNvPr>
        <xdr:cNvCxnSpPr/>
      </xdr:nvCxnSpPr>
      <xdr:spPr>
        <a:xfrm flipH="1">
          <a:off x="2044044" y="3790894"/>
          <a:ext cx="1289706"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33338</xdr:colOff>
      <xdr:row>20</xdr:row>
      <xdr:rowOff>80962</xdr:rowOff>
    </xdr:from>
    <xdr:to>
      <xdr:col>3</xdr:col>
      <xdr:colOff>138113</xdr:colOff>
      <xdr:row>20</xdr:row>
      <xdr:rowOff>185737</xdr:rowOff>
    </xdr:to>
    <xdr:sp macro="" textlink="">
      <xdr:nvSpPr>
        <xdr:cNvPr id="167" name="Line 812">
          <a:extLst>
            <a:ext uri="{FF2B5EF4-FFF2-40B4-BE49-F238E27FC236}">
              <a16:creationId xmlns:a16="http://schemas.microsoft.com/office/drawing/2014/main" id="{00000000-0008-0000-0200-0000A7000000}"/>
            </a:ext>
          </a:extLst>
        </xdr:cNvPr>
        <xdr:cNvSpPr>
          <a:spLocks noChangeShapeType="1"/>
        </xdr:cNvSpPr>
      </xdr:nvSpPr>
      <xdr:spPr bwMode="auto">
        <a:xfrm flipH="1">
          <a:off x="2033588" y="3738562"/>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9526</xdr:colOff>
      <xdr:row>19</xdr:row>
      <xdr:rowOff>176213</xdr:rowOff>
    </xdr:from>
    <xdr:to>
      <xdr:col>5</xdr:col>
      <xdr:colOff>9526</xdr:colOff>
      <xdr:row>20</xdr:row>
      <xdr:rowOff>176213</xdr:rowOff>
    </xdr:to>
    <xdr:sp macro="" textlink="">
      <xdr:nvSpPr>
        <xdr:cNvPr id="168" name="Line 705">
          <a:extLst>
            <a:ext uri="{FF2B5EF4-FFF2-40B4-BE49-F238E27FC236}">
              <a16:creationId xmlns:a16="http://schemas.microsoft.com/office/drawing/2014/main" id="{00000000-0008-0000-0200-0000A8000000}"/>
            </a:ext>
          </a:extLst>
        </xdr:cNvPr>
        <xdr:cNvSpPr>
          <a:spLocks noChangeShapeType="1"/>
        </xdr:cNvSpPr>
      </xdr:nvSpPr>
      <xdr:spPr bwMode="auto">
        <a:xfrm flipH="1" flipV="1">
          <a:off x="2657476" y="3643313"/>
          <a:ext cx="0"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276225</xdr:colOff>
      <xdr:row>20</xdr:row>
      <xdr:rowOff>71437</xdr:rowOff>
    </xdr:from>
    <xdr:to>
      <xdr:col>5</xdr:col>
      <xdr:colOff>57150</xdr:colOff>
      <xdr:row>20</xdr:row>
      <xdr:rowOff>176212</xdr:rowOff>
    </xdr:to>
    <xdr:sp macro="" textlink="">
      <xdr:nvSpPr>
        <xdr:cNvPr id="169" name="Line 812">
          <a:extLst>
            <a:ext uri="{FF2B5EF4-FFF2-40B4-BE49-F238E27FC236}">
              <a16:creationId xmlns:a16="http://schemas.microsoft.com/office/drawing/2014/main" id="{00000000-0008-0000-0200-0000A9000000}"/>
            </a:ext>
          </a:extLst>
        </xdr:cNvPr>
        <xdr:cNvSpPr>
          <a:spLocks noChangeShapeType="1"/>
        </xdr:cNvSpPr>
      </xdr:nvSpPr>
      <xdr:spPr bwMode="auto">
        <a:xfrm flipH="1">
          <a:off x="2600325" y="3729037"/>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19</xdr:row>
      <xdr:rowOff>38100</xdr:rowOff>
    </xdr:from>
    <xdr:to>
      <xdr:col>5</xdr:col>
      <xdr:colOff>9525</xdr:colOff>
      <xdr:row>19</xdr:row>
      <xdr:rowOff>109538</xdr:rowOff>
    </xdr:to>
    <xdr:sp macro="" textlink="">
      <xdr:nvSpPr>
        <xdr:cNvPr id="174" name="Line 705">
          <a:extLst>
            <a:ext uri="{FF2B5EF4-FFF2-40B4-BE49-F238E27FC236}">
              <a16:creationId xmlns:a16="http://schemas.microsoft.com/office/drawing/2014/main" id="{00000000-0008-0000-0200-0000AE000000}"/>
            </a:ext>
          </a:extLst>
        </xdr:cNvPr>
        <xdr:cNvSpPr>
          <a:spLocks noChangeShapeType="1"/>
        </xdr:cNvSpPr>
      </xdr:nvSpPr>
      <xdr:spPr bwMode="auto">
        <a:xfrm flipH="1" flipV="1">
          <a:off x="2657475" y="3505200"/>
          <a:ext cx="0" cy="71438"/>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23812</xdr:colOff>
      <xdr:row>80</xdr:row>
      <xdr:rowOff>128588</xdr:rowOff>
    </xdr:from>
    <xdr:to>
      <xdr:col>6</xdr:col>
      <xdr:colOff>9524</xdr:colOff>
      <xdr:row>80</xdr:row>
      <xdr:rowOff>128588</xdr:rowOff>
    </xdr:to>
    <xdr:sp macro="" textlink="">
      <xdr:nvSpPr>
        <xdr:cNvPr id="175" name="Line 761">
          <a:extLst>
            <a:ext uri="{FF2B5EF4-FFF2-40B4-BE49-F238E27FC236}">
              <a16:creationId xmlns:a16="http://schemas.microsoft.com/office/drawing/2014/main" id="{00000000-0008-0000-0200-0000AF000000}"/>
            </a:ext>
          </a:extLst>
        </xdr:cNvPr>
        <xdr:cNvSpPr>
          <a:spLocks noChangeShapeType="1"/>
        </xdr:cNvSpPr>
      </xdr:nvSpPr>
      <xdr:spPr bwMode="auto">
        <a:xfrm flipH="1">
          <a:off x="2024062" y="15311438"/>
          <a:ext cx="1385887"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80</xdr:row>
      <xdr:rowOff>90488</xdr:rowOff>
    </xdr:from>
    <xdr:to>
      <xdr:col>3</xdr:col>
      <xdr:colOff>114300</xdr:colOff>
      <xdr:row>80</xdr:row>
      <xdr:rowOff>176213</xdr:rowOff>
    </xdr:to>
    <xdr:sp macro="" textlink="">
      <xdr:nvSpPr>
        <xdr:cNvPr id="179" name="Line 779">
          <a:extLst>
            <a:ext uri="{FF2B5EF4-FFF2-40B4-BE49-F238E27FC236}">
              <a16:creationId xmlns:a16="http://schemas.microsoft.com/office/drawing/2014/main" id="{00000000-0008-0000-0200-0000B3000000}"/>
            </a:ext>
          </a:extLst>
        </xdr:cNvPr>
        <xdr:cNvSpPr>
          <a:spLocks noChangeShapeType="1"/>
        </xdr:cNvSpPr>
      </xdr:nvSpPr>
      <xdr:spPr bwMode="auto">
        <a:xfrm flipH="1">
          <a:off x="2009775" y="15273338"/>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271462</xdr:colOff>
      <xdr:row>80</xdr:row>
      <xdr:rowOff>85725</xdr:rowOff>
    </xdr:from>
    <xdr:to>
      <xdr:col>5</xdr:col>
      <xdr:colOff>52387</xdr:colOff>
      <xdr:row>80</xdr:row>
      <xdr:rowOff>171450</xdr:rowOff>
    </xdr:to>
    <xdr:sp macro="" textlink="">
      <xdr:nvSpPr>
        <xdr:cNvPr id="180" name="Line 779">
          <a:extLst>
            <a:ext uri="{FF2B5EF4-FFF2-40B4-BE49-F238E27FC236}">
              <a16:creationId xmlns:a16="http://schemas.microsoft.com/office/drawing/2014/main" id="{00000000-0008-0000-0200-0000B4000000}"/>
            </a:ext>
          </a:extLst>
        </xdr:cNvPr>
        <xdr:cNvSpPr>
          <a:spLocks noChangeShapeType="1"/>
        </xdr:cNvSpPr>
      </xdr:nvSpPr>
      <xdr:spPr bwMode="auto">
        <a:xfrm flipH="1">
          <a:off x="2595562" y="15268575"/>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16</xdr:col>
      <xdr:colOff>366663</xdr:colOff>
      <xdr:row>17</xdr:row>
      <xdr:rowOff>96250</xdr:rowOff>
    </xdr:from>
    <xdr:to>
      <xdr:col>16</xdr:col>
      <xdr:colOff>366663</xdr:colOff>
      <xdr:row>19</xdr:row>
      <xdr:rowOff>184780</xdr:rowOff>
    </xdr:to>
    <xdr:sp macro="" textlink="">
      <xdr:nvSpPr>
        <xdr:cNvPr id="185" name="Line 689">
          <a:extLst>
            <a:ext uri="{FF2B5EF4-FFF2-40B4-BE49-F238E27FC236}">
              <a16:creationId xmlns:a16="http://schemas.microsoft.com/office/drawing/2014/main" id="{00000000-0008-0000-0200-0000B9000000}"/>
            </a:ext>
          </a:extLst>
        </xdr:cNvPr>
        <xdr:cNvSpPr>
          <a:spLocks noChangeShapeType="1"/>
        </xdr:cNvSpPr>
      </xdr:nvSpPr>
      <xdr:spPr bwMode="auto">
        <a:xfrm>
          <a:off x="11074077" y="2931853"/>
          <a:ext cx="0" cy="460772"/>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15</xdr:col>
      <xdr:colOff>777328</xdr:colOff>
      <xdr:row>13</xdr:row>
      <xdr:rowOff>186119</xdr:rowOff>
    </xdr:from>
    <xdr:to>
      <xdr:col>15</xdr:col>
      <xdr:colOff>777328</xdr:colOff>
      <xdr:row>16</xdr:row>
      <xdr:rowOff>139700</xdr:rowOff>
    </xdr:to>
    <xdr:cxnSp macro="">
      <xdr:nvCxnSpPr>
        <xdr:cNvPr id="186" name="Lige forbindelse 185">
          <a:extLst>
            <a:ext uri="{FF2B5EF4-FFF2-40B4-BE49-F238E27FC236}">
              <a16:creationId xmlns:a16="http://schemas.microsoft.com/office/drawing/2014/main" id="{00000000-0008-0000-0200-0000BA000000}"/>
            </a:ext>
          </a:extLst>
        </xdr:cNvPr>
        <xdr:cNvCxnSpPr/>
      </xdr:nvCxnSpPr>
      <xdr:spPr>
        <a:xfrm>
          <a:off x="10641725" y="2277240"/>
          <a:ext cx="0" cy="511943"/>
        </a:xfrm>
        <a:prstGeom prst="line">
          <a:avLst/>
        </a:prstGeom>
        <a:ln w="158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5093</xdr:colOff>
      <xdr:row>14</xdr:row>
      <xdr:rowOff>2342</xdr:rowOff>
    </xdr:from>
    <xdr:to>
      <xdr:col>16</xdr:col>
      <xdr:colOff>449699</xdr:colOff>
      <xdr:row>19</xdr:row>
      <xdr:rowOff>183369</xdr:rowOff>
    </xdr:to>
    <xdr:sp macro="" textlink="">
      <xdr:nvSpPr>
        <xdr:cNvPr id="57" name="Kombinationstegning: figur 56">
          <a:extLst>
            <a:ext uri="{FF2B5EF4-FFF2-40B4-BE49-F238E27FC236}">
              <a16:creationId xmlns:a16="http://schemas.microsoft.com/office/drawing/2014/main" id="{00000000-0008-0000-0200-000039000000}"/>
            </a:ext>
          </a:extLst>
        </xdr:cNvPr>
        <xdr:cNvSpPr/>
      </xdr:nvSpPr>
      <xdr:spPr>
        <a:xfrm>
          <a:off x="9869490" y="2279583"/>
          <a:ext cx="1287623" cy="1111631"/>
        </a:xfrm>
        <a:custGeom>
          <a:avLst/>
          <a:gdLst>
            <a:gd name="connsiteX0" fmla="*/ 0 w 1283583"/>
            <a:gd name="connsiteY0" fmla="*/ 0 h 1125682"/>
            <a:gd name="connsiteX1" fmla="*/ 840442 w 1283583"/>
            <a:gd name="connsiteY1" fmla="*/ 0 h 1125682"/>
            <a:gd name="connsiteX2" fmla="*/ 840442 w 1283583"/>
            <a:gd name="connsiteY2" fmla="*/ 667260 h 1125682"/>
            <a:gd name="connsiteX3" fmla="*/ 1283583 w 1283583"/>
            <a:gd name="connsiteY3" fmla="*/ 667260 h 1125682"/>
            <a:gd name="connsiteX4" fmla="*/ 1283583 w 1283583"/>
            <a:gd name="connsiteY4" fmla="*/ 1125682 h 1125682"/>
            <a:gd name="connsiteX5" fmla="*/ 5094 w 1283583"/>
            <a:gd name="connsiteY5" fmla="*/ 1125682 h 1125682"/>
            <a:gd name="connsiteX6" fmla="*/ 0 w 1283583"/>
            <a:gd name="connsiteY6" fmla="*/ 0 h 112568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283583" h="1125682">
              <a:moveTo>
                <a:pt x="0" y="0"/>
              </a:moveTo>
              <a:lnTo>
                <a:pt x="840442" y="0"/>
              </a:lnTo>
              <a:lnTo>
                <a:pt x="840442" y="667260"/>
              </a:lnTo>
              <a:lnTo>
                <a:pt x="1283583" y="667260"/>
              </a:lnTo>
              <a:lnTo>
                <a:pt x="1283583" y="1125682"/>
              </a:lnTo>
              <a:lnTo>
                <a:pt x="5094" y="1125682"/>
              </a:lnTo>
              <a:lnTo>
                <a:pt x="0" y="0"/>
              </a:lnTo>
              <a:close/>
            </a:path>
          </a:pathLst>
        </a:custGeom>
        <a:no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15</xdr:col>
      <xdr:colOff>780079</xdr:colOff>
      <xdr:row>16</xdr:row>
      <xdr:rowOff>152045</xdr:rowOff>
    </xdr:from>
    <xdr:to>
      <xdr:col>16</xdr:col>
      <xdr:colOff>10949</xdr:colOff>
      <xdr:row>16</xdr:row>
      <xdr:rowOff>152045</xdr:rowOff>
    </xdr:to>
    <xdr:cxnSp macro="">
      <xdr:nvCxnSpPr>
        <xdr:cNvPr id="4096" name="Lige forbindelse 4095">
          <a:extLst>
            <a:ext uri="{FF2B5EF4-FFF2-40B4-BE49-F238E27FC236}">
              <a16:creationId xmlns:a16="http://schemas.microsoft.com/office/drawing/2014/main" id="{00000000-0008-0000-0200-000000100000}"/>
            </a:ext>
          </a:extLst>
        </xdr:cNvPr>
        <xdr:cNvCxnSpPr/>
      </xdr:nvCxnSpPr>
      <xdr:spPr>
        <a:xfrm>
          <a:off x="10644476" y="2801528"/>
          <a:ext cx="738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536465</xdr:colOff>
      <xdr:row>15</xdr:row>
      <xdr:rowOff>131380</xdr:rowOff>
    </xdr:from>
    <xdr:to>
      <xdr:col>16</xdr:col>
      <xdr:colOff>208017</xdr:colOff>
      <xdr:row>18</xdr:row>
      <xdr:rowOff>54742</xdr:rowOff>
    </xdr:to>
    <xdr:sp macro="" textlink="">
      <xdr:nvSpPr>
        <xdr:cNvPr id="4113" name="Ellipse 4112">
          <a:extLst>
            <a:ext uri="{FF2B5EF4-FFF2-40B4-BE49-F238E27FC236}">
              <a16:creationId xmlns:a16="http://schemas.microsoft.com/office/drawing/2014/main" id="{00000000-0008-0000-0200-000011100000}"/>
            </a:ext>
          </a:extLst>
        </xdr:cNvPr>
        <xdr:cNvSpPr/>
      </xdr:nvSpPr>
      <xdr:spPr>
        <a:xfrm>
          <a:off x="10400862" y="2594742"/>
          <a:ext cx="514569" cy="481724"/>
        </a:xfrm>
        <a:prstGeom prst="ellipse">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15</xdr:col>
      <xdr:colOff>164224</xdr:colOff>
      <xdr:row>13</xdr:row>
      <xdr:rowOff>109483</xdr:rowOff>
    </xdr:from>
    <xdr:to>
      <xdr:col>15</xdr:col>
      <xdr:colOff>611822</xdr:colOff>
      <xdr:row>16</xdr:row>
      <xdr:rowOff>26755</xdr:rowOff>
    </xdr:to>
    <xdr:cxnSp macro="">
      <xdr:nvCxnSpPr>
        <xdr:cNvPr id="4115" name="Lige forbindelse 4114">
          <a:extLst>
            <a:ext uri="{FF2B5EF4-FFF2-40B4-BE49-F238E27FC236}">
              <a16:creationId xmlns:a16="http://schemas.microsoft.com/office/drawing/2014/main" id="{00000000-0008-0000-0200-000013100000}"/>
            </a:ext>
          </a:extLst>
        </xdr:cNvPr>
        <xdr:cNvCxnSpPr/>
      </xdr:nvCxnSpPr>
      <xdr:spPr>
        <a:xfrm flipH="1" flipV="1">
          <a:off x="10028621" y="2386724"/>
          <a:ext cx="447598" cy="47563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780079</xdr:colOff>
      <xdr:row>15</xdr:row>
      <xdr:rowOff>152045</xdr:rowOff>
    </xdr:from>
    <xdr:to>
      <xdr:col>16</xdr:col>
      <xdr:colOff>10949</xdr:colOff>
      <xdr:row>15</xdr:row>
      <xdr:rowOff>152045</xdr:rowOff>
    </xdr:to>
    <xdr:cxnSp macro="">
      <xdr:nvCxnSpPr>
        <xdr:cNvPr id="195" name="Lige forbindelse 194">
          <a:extLst>
            <a:ext uri="{FF2B5EF4-FFF2-40B4-BE49-F238E27FC236}">
              <a16:creationId xmlns:a16="http://schemas.microsoft.com/office/drawing/2014/main" id="{00000000-0008-0000-0200-0000C3000000}"/>
            </a:ext>
          </a:extLst>
        </xdr:cNvPr>
        <xdr:cNvCxnSpPr/>
      </xdr:nvCxnSpPr>
      <xdr:spPr>
        <a:xfrm>
          <a:off x="10644476" y="2987648"/>
          <a:ext cx="73887"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280987</xdr:colOff>
      <xdr:row>19</xdr:row>
      <xdr:rowOff>85725</xdr:rowOff>
    </xdr:from>
    <xdr:to>
      <xdr:col>5</xdr:col>
      <xdr:colOff>61912</xdr:colOff>
      <xdr:row>20</xdr:row>
      <xdr:rowOff>0</xdr:rowOff>
    </xdr:to>
    <xdr:sp macro="" textlink="">
      <xdr:nvSpPr>
        <xdr:cNvPr id="181" name="Line 812">
          <a:extLst>
            <a:ext uri="{FF2B5EF4-FFF2-40B4-BE49-F238E27FC236}">
              <a16:creationId xmlns:a16="http://schemas.microsoft.com/office/drawing/2014/main" id="{00000000-0008-0000-0200-0000B5000000}"/>
            </a:ext>
          </a:extLst>
        </xdr:cNvPr>
        <xdr:cNvSpPr>
          <a:spLocks noChangeShapeType="1"/>
        </xdr:cNvSpPr>
      </xdr:nvSpPr>
      <xdr:spPr bwMode="auto">
        <a:xfrm flipH="1">
          <a:off x="2605087" y="3552825"/>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wsDr>
</file>

<file path=xl/drawings/drawing4.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20</xdr:row>
      <xdr:rowOff>142875</xdr:rowOff>
    </xdr:from>
    <xdr:to>
      <xdr:col>3</xdr:col>
      <xdr:colOff>304800</xdr:colOff>
      <xdr:row>22</xdr:row>
      <xdr:rowOff>76200</xdr:rowOff>
    </xdr:to>
    <xdr:sp macro="" textlink="">
      <xdr:nvSpPr>
        <xdr:cNvPr id="3" name="Line 92">
          <a:extLst>
            <a:ext uri="{FF2B5EF4-FFF2-40B4-BE49-F238E27FC236}">
              <a16:creationId xmlns:a16="http://schemas.microsoft.com/office/drawing/2014/main" id="{00000000-0008-0000-0300-000003000000}"/>
            </a:ext>
          </a:extLst>
        </xdr:cNvPr>
        <xdr:cNvSpPr>
          <a:spLocks noChangeShapeType="1"/>
        </xdr:cNvSpPr>
      </xdr:nvSpPr>
      <xdr:spPr bwMode="auto">
        <a:xfrm>
          <a:off x="2162175" y="36385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200025</xdr:colOff>
      <xdr:row>20</xdr:row>
      <xdr:rowOff>66675</xdr:rowOff>
    </xdr:from>
    <xdr:to>
      <xdr:col>3</xdr:col>
      <xdr:colOff>304800</xdr:colOff>
      <xdr:row>24</xdr:row>
      <xdr:rowOff>200025</xdr:rowOff>
    </xdr:to>
    <xdr:sp macro="" textlink="">
      <xdr:nvSpPr>
        <xdr:cNvPr id="4" name="Tegning 93">
          <a:extLst>
            <a:ext uri="{FF2B5EF4-FFF2-40B4-BE49-F238E27FC236}">
              <a16:creationId xmlns:a16="http://schemas.microsoft.com/office/drawing/2014/main" id="{00000000-0008-0000-0300-000004000000}"/>
            </a:ext>
          </a:extLst>
        </xdr:cNvPr>
        <xdr:cNvSpPr>
          <a:spLocks/>
        </xdr:cNvSpPr>
      </xdr:nvSpPr>
      <xdr:spPr bwMode="auto">
        <a:xfrm>
          <a:off x="1476375" y="3562350"/>
          <a:ext cx="685800" cy="885825"/>
        </a:xfrm>
        <a:custGeom>
          <a:avLst/>
          <a:gdLst>
            <a:gd name="T0" fmla="*/ 2147483646 w 16384"/>
            <a:gd name="T1" fmla="*/ 2147483646 h 16384"/>
            <a:gd name="T2" fmla="*/ 2147483646 w 16384"/>
            <a:gd name="T3" fmla="*/ 0 h 16384"/>
            <a:gd name="T4" fmla="*/ 0 w 16384"/>
            <a:gd name="T5" fmla="*/ 0 h 16384"/>
            <a:gd name="T6" fmla="*/ 0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384" y="1315"/>
              </a:moveTo>
              <a:lnTo>
                <a:pt x="16384" y="0"/>
              </a:lnTo>
              <a:lnTo>
                <a:pt x="0" y="0"/>
              </a:lnTo>
              <a:lnTo>
                <a:pt x="0" y="16384"/>
              </a:lnTo>
              <a:lnTo>
                <a:pt x="16240" y="16384"/>
              </a:lnTo>
              <a:lnTo>
                <a:pt x="16240" y="15069"/>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257175</xdr:colOff>
      <xdr:row>20</xdr:row>
      <xdr:rowOff>142875</xdr:rowOff>
    </xdr:from>
    <xdr:to>
      <xdr:col>4</xdr:col>
      <xdr:colOff>238125</xdr:colOff>
      <xdr:row>22</xdr:row>
      <xdr:rowOff>57150</xdr:rowOff>
    </xdr:to>
    <xdr:sp macro="" textlink="">
      <xdr:nvSpPr>
        <xdr:cNvPr id="5" name="Tegning 94">
          <a:extLst>
            <a:ext uri="{FF2B5EF4-FFF2-40B4-BE49-F238E27FC236}">
              <a16:creationId xmlns:a16="http://schemas.microsoft.com/office/drawing/2014/main" id="{00000000-0008-0000-0300-000005000000}"/>
            </a:ext>
          </a:extLst>
        </xdr:cNvPr>
        <xdr:cNvSpPr>
          <a:spLocks/>
        </xdr:cNvSpPr>
      </xdr:nvSpPr>
      <xdr:spPr bwMode="auto">
        <a:xfrm>
          <a:off x="2114550" y="3638550"/>
          <a:ext cx="352425" cy="2952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0" y="0"/>
              </a:lnTo>
              <a:lnTo>
                <a:pt x="0" y="16384"/>
              </a:lnTo>
              <a:lnTo>
                <a:pt x="1612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47625</xdr:colOff>
      <xdr:row>20</xdr:row>
      <xdr:rowOff>142875</xdr:rowOff>
    </xdr:from>
    <xdr:to>
      <xdr:col>4</xdr:col>
      <xdr:colOff>47625</xdr:colOff>
      <xdr:row>22</xdr:row>
      <xdr:rowOff>57150</xdr:rowOff>
    </xdr:to>
    <xdr:sp macro="" textlink="">
      <xdr:nvSpPr>
        <xdr:cNvPr id="6" name="Line 95">
          <a:extLst>
            <a:ext uri="{FF2B5EF4-FFF2-40B4-BE49-F238E27FC236}">
              <a16:creationId xmlns:a16="http://schemas.microsoft.com/office/drawing/2014/main" id="{00000000-0008-0000-0300-000006000000}"/>
            </a:ext>
          </a:extLst>
        </xdr:cNvPr>
        <xdr:cNvSpPr>
          <a:spLocks noChangeShapeType="1"/>
        </xdr:cNvSpPr>
      </xdr:nvSpPr>
      <xdr:spPr bwMode="auto">
        <a:xfrm>
          <a:off x="2276475" y="363855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161925</xdr:colOff>
      <xdr:row>20</xdr:row>
      <xdr:rowOff>142875</xdr:rowOff>
    </xdr:from>
    <xdr:to>
      <xdr:col>4</xdr:col>
      <xdr:colOff>161925</xdr:colOff>
      <xdr:row>22</xdr:row>
      <xdr:rowOff>57150</xdr:rowOff>
    </xdr:to>
    <xdr:sp macro="" textlink="">
      <xdr:nvSpPr>
        <xdr:cNvPr id="7" name="Line 96">
          <a:extLst>
            <a:ext uri="{FF2B5EF4-FFF2-40B4-BE49-F238E27FC236}">
              <a16:creationId xmlns:a16="http://schemas.microsoft.com/office/drawing/2014/main" id="{00000000-0008-0000-0300-000007000000}"/>
            </a:ext>
          </a:extLst>
        </xdr:cNvPr>
        <xdr:cNvSpPr>
          <a:spLocks noChangeShapeType="1"/>
        </xdr:cNvSpPr>
      </xdr:nvSpPr>
      <xdr:spPr bwMode="auto">
        <a:xfrm>
          <a:off x="2390775" y="3638550"/>
          <a:ext cx="0" cy="2952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23</xdr:row>
      <xdr:rowOff>0</xdr:rowOff>
    </xdr:from>
    <xdr:to>
      <xdr:col>4</xdr:col>
      <xdr:colOff>238125</xdr:colOff>
      <xdr:row>24</xdr:row>
      <xdr:rowOff>123825</xdr:rowOff>
    </xdr:to>
    <xdr:sp macro="" textlink="">
      <xdr:nvSpPr>
        <xdr:cNvPr id="8" name="Tegning 97">
          <a:extLst>
            <a:ext uri="{FF2B5EF4-FFF2-40B4-BE49-F238E27FC236}">
              <a16:creationId xmlns:a16="http://schemas.microsoft.com/office/drawing/2014/main" id="{00000000-0008-0000-0300-000008000000}"/>
            </a:ext>
          </a:extLst>
        </xdr:cNvPr>
        <xdr:cNvSpPr>
          <a:spLocks/>
        </xdr:cNvSpPr>
      </xdr:nvSpPr>
      <xdr:spPr bwMode="auto">
        <a:xfrm>
          <a:off x="2114550" y="4067175"/>
          <a:ext cx="352425" cy="31432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90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23</xdr:row>
      <xdr:rowOff>0</xdr:rowOff>
    </xdr:from>
    <xdr:to>
      <xdr:col>4</xdr:col>
      <xdr:colOff>57150</xdr:colOff>
      <xdr:row>24</xdr:row>
      <xdr:rowOff>123825</xdr:rowOff>
    </xdr:to>
    <xdr:sp macro="" textlink="">
      <xdr:nvSpPr>
        <xdr:cNvPr id="9" name="Line 98">
          <a:extLst>
            <a:ext uri="{FF2B5EF4-FFF2-40B4-BE49-F238E27FC236}">
              <a16:creationId xmlns:a16="http://schemas.microsoft.com/office/drawing/2014/main" id="{00000000-0008-0000-0300-000009000000}"/>
            </a:ext>
          </a:extLst>
        </xdr:cNvPr>
        <xdr:cNvSpPr>
          <a:spLocks noChangeShapeType="1"/>
        </xdr:cNvSpPr>
      </xdr:nvSpPr>
      <xdr:spPr bwMode="auto">
        <a:xfrm>
          <a:off x="2286000" y="40671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23</xdr:row>
      <xdr:rowOff>0</xdr:rowOff>
    </xdr:from>
    <xdr:to>
      <xdr:col>4</xdr:col>
      <xdr:colOff>171450</xdr:colOff>
      <xdr:row>24</xdr:row>
      <xdr:rowOff>123825</xdr:rowOff>
    </xdr:to>
    <xdr:sp macro="" textlink="">
      <xdr:nvSpPr>
        <xdr:cNvPr id="10" name="Line 99">
          <a:extLst>
            <a:ext uri="{FF2B5EF4-FFF2-40B4-BE49-F238E27FC236}">
              <a16:creationId xmlns:a16="http://schemas.microsoft.com/office/drawing/2014/main" id="{00000000-0008-0000-0300-00000A000000}"/>
            </a:ext>
          </a:extLst>
        </xdr:cNvPr>
        <xdr:cNvSpPr>
          <a:spLocks noChangeShapeType="1"/>
        </xdr:cNvSpPr>
      </xdr:nvSpPr>
      <xdr:spPr bwMode="auto">
        <a:xfrm>
          <a:off x="2400300" y="40671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19</xdr:row>
      <xdr:rowOff>180975</xdr:rowOff>
    </xdr:from>
    <xdr:to>
      <xdr:col>2</xdr:col>
      <xdr:colOff>342900</xdr:colOff>
      <xdr:row>20</xdr:row>
      <xdr:rowOff>66675</xdr:rowOff>
    </xdr:to>
    <xdr:sp macro="" textlink="">
      <xdr:nvSpPr>
        <xdr:cNvPr id="11" name="Line 100">
          <a:extLst>
            <a:ext uri="{FF2B5EF4-FFF2-40B4-BE49-F238E27FC236}">
              <a16:creationId xmlns:a16="http://schemas.microsoft.com/office/drawing/2014/main" id="{00000000-0008-0000-0300-00000B000000}"/>
            </a:ext>
          </a:extLst>
        </xdr:cNvPr>
        <xdr:cNvSpPr>
          <a:spLocks noChangeShapeType="1"/>
        </xdr:cNvSpPr>
      </xdr:nvSpPr>
      <xdr:spPr bwMode="auto">
        <a:xfrm>
          <a:off x="161925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19</xdr:row>
      <xdr:rowOff>180975</xdr:rowOff>
    </xdr:from>
    <xdr:to>
      <xdr:col>3</xdr:col>
      <xdr:colOff>200025</xdr:colOff>
      <xdr:row>20</xdr:row>
      <xdr:rowOff>66675</xdr:rowOff>
    </xdr:to>
    <xdr:sp macro="" textlink="">
      <xdr:nvSpPr>
        <xdr:cNvPr id="12" name="Line 101">
          <a:extLst>
            <a:ext uri="{FF2B5EF4-FFF2-40B4-BE49-F238E27FC236}">
              <a16:creationId xmlns:a16="http://schemas.microsoft.com/office/drawing/2014/main" id="{00000000-0008-0000-0300-00000C000000}"/>
            </a:ext>
          </a:extLst>
        </xdr:cNvPr>
        <xdr:cNvSpPr>
          <a:spLocks noChangeShapeType="1"/>
        </xdr:cNvSpPr>
      </xdr:nvSpPr>
      <xdr:spPr bwMode="auto">
        <a:xfrm>
          <a:off x="205740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0</xdr:rowOff>
    </xdr:from>
    <xdr:to>
      <xdr:col>2</xdr:col>
      <xdr:colOff>333375</xdr:colOff>
      <xdr:row>25</xdr:row>
      <xdr:rowOff>85725</xdr:rowOff>
    </xdr:to>
    <xdr:sp macro="" textlink="">
      <xdr:nvSpPr>
        <xdr:cNvPr id="13" name="Line 102">
          <a:extLst>
            <a:ext uri="{FF2B5EF4-FFF2-40B4-BE49-F238E27FC236}">
              <a16:creationId xmlns:a16="http://schemas.microsoft.com/office/drawing/2014/main" id="{00000000-0008-0000-0300-00000D000000}"/>
            </a:ext>
          </a:extLst>
        </xdr:cNvPr>
        <xdr:cNvSpPr>
          <a:spLocks noChangeShapeType="1"/>
        </xdr:cNvSpPr>
      </xdr:nvSpPr>
      <xdr:spPr bwMode="auto">
        <a:xfrm>
          <a:off x="1609725"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24</xdr:row>
      <xdr:rowOff>219075</xdr:rowOff>
    </xdr:from>
    <xdr:to>
      <xdr:col>3</xdr:col>
      <xdr:colOff>180975</xdr:colOff>
      <xdr:row>25</xdr:row>
      <xdr:rowOff>85725</xdr:rowOff>
    </xdr:to>
    <xdr:sp macro="" textlink="">
      <xdr:nvSpPr>
        <xdr:cNvPr id="14" name="Line 103">
          <a:extLst>
            <a:ext uri="{FF2B5EF4-FFF2-40B4-BE49-F238E27FC236}">
              <a16:creationId xmlns:a16="http://schemas.microsoft.com/office/drawing/2014/main" id="{00000000-0008-0000-0300-00000E000000}"/>
            </a:ext>
          </a:extLst>
        </xdr:cNvPr>
        <xdr:cNvSpPr>
          <a:spLocks noChangeShapeType="1"/>
        </xdr:cNvSpPr>
      </xdr:nvSpPr>
      <xdr:spPr bwMode="auto">
        <a:xfrm>
          <a:off x="2038350"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20</xdr:row>
      <xdr:rowOff>47625</xdr:rowOff>
    </xdr:from>
    <xdr:to>
      <xdr:col>5</xdr:col>
      <xdr:colOff>342900</xdr:colOff>
      <xdr:row>24</xdr:row>
      <xdr:rowOff>190500</xdr:rowOff>
    </xdr:to>
    <xdr:sp macro="" textlink="">
      <xdr:nvSpPr>
        <xdr:cNvPr id="15" name="Tegning 104">
          <a:extLst>
            <a:ext uri="{FF2B5EF4-FFF2-40B4-BE49-F238E27FC236}">
              <a16:creationId xmlns:a16="http://schemas.microsoft.com/office/drawing/2014/main" id="{00000000-0008-0000-0300-00000F000000}"/>
            </a:ext>
          </a:extLst>
        </xdr:cNvPr>
        <xdr:cNvSpPr>
          <a:spLocks/>
        </xdr:cNvSpPr>
      </xdr:nvSpPr>
      <xdr:spPr bwMode="auto">
        <a:xfrm>
          <a:off x="2790825" y="3543300"/>
          <a:ext cx="104775" cy="90487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101"/>
              </a:moveTo>
              <a:lnTo>
                <a:pt x="16384" y="101"/>
              </a:lnTo>
              <a:lnTo>
                <a:pt x="16384" y="16384"/>
              </a:lnTo>
              <a:lnTo>
                <a:pt x="1638" y="16384"/>
              </a:lnTo>
              <a:lnTo>
                <a:pt x="1638"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20</xdr:row>
      <xdr:rowOff>142875</xdr:rowOff>
    </xdr:from>
    <xdr:to>
      <xdr:col>5</xdr:col>
      <xdr:colOff>276225</xdr:colOff>
      <xdr:row>22</xdr:row>
      <xdr:rowOff>57150</xdr:rowOff>
    </xdr:to>
    <xdr:sp macro="" textlink="">
      <xdr:nvSpPr>
        <xdr:cNvPr id="16" name="Tegning 105">
          <a:extLst>
            <a:ext uri="{FF2B5EF4-FFF2-40B4-BE49-F238E27FC236}">
              <a16:creationId xmlns:a16="http://schemas.microsoft.com/office/drawing/2014/main" id="{00000000-0008-0000-0300-000010000000}"/>
            </a:ext>
          </a:extLst>
        </xdr:cNvPr>
        <xdr:cNvSpPr>
          <a:spLocks/>
        </xdr:cNvSpPr>
      </xdr:nvSpPr>
      <xdr:spPr bwMode="auto">
        <a:xfrm>
          <a:off x="2790825" y="3638550"/>
          <a:ext cx="38100" cy="295275"/>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238125</xdr:colOff>
      <xdr:row>23</xdr:row>
      <xdr:rowOff>28575</xdr:rowOff>
    </xdr:from>
    <xdr:to>
      <xdr:col>5</xdr:col>
      <xdr:colOff>276225</xdr:colOff>
      <xdr:row>24</xdr:row>
      <xdr:rowOff>104775</xdr:rowOff>
    </xdr:to>
    <xdr:sp macro="" textlink="">
      <xdr:nvSpPr>
        <xdr:cNvPr id="17" name="Tegning 106">
          <a:extLst>
            <a:ext uri="{FF2B5EF4-FFF2-40B4-BE49-F238E27FC236}">
              <a16:creationId xmlns:a16="http://schemas.microsoft.com/office/drawing/2014/main" id="{00000000-0008-0000-0300-000011000000}"/>
            </a:ext>
          </a:extLst>
        </xdr:cNvPr>
        <xdr:cNvSpPr>
          <a:spLocks/>
        </xdr:cNvSpPr>
      </xdr:nvSpPr>
      <xdr:spPr bwMode="auto">
        <a:xfrm>
          <a:off x="2790825" y="4095750"/>
          <a:ext cx="38100" cy="266700"/>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334"/>
              </a:moveTo>
              <a:lnTo>
                <a:pt x="16384" y="0"/>
              </a:lnTo>
              <a:lnTo>
                <a:pt x="16384" y="16384"/>
              </a:lnTo>
              <a:lnTo>
                <a:pt x="2341"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285750</xdr:colOff>
      <xdr:row>19</xdr:row>
      <xdr:rowOff>180975</xdr:rowOff>
    </xdr:from>
    <xdr:to>
      <xdr:col>5</xdr:col>
      <xdr:colOff>285750</xdr:colOff>
      <xdr:row>20</xdr:row>
      <xdr:rowOff>66675</xdr:rowOff>
    </xdr:to>
    <xdr:sp macro="" textlink="">
      <xdr:nvSpPr>
        <xdr:cNvPr id="18" name="Line 107">
          <a:extLst>
            <a:ext uri="{FF2B5EF4-FFF2-40B4-BE49-F238E27FC236}">
              <a16:creationId xmlns:a16="http://schemas.microsoft.com/office/drawing/2014/main" id="{00000000-0008-0000-0300-000012000000}"/>
            </a:ext>
          </a:extLst>
        </xdr:cNvPr>
        <xdr:cNvSpPr>
          <a:spLocks noChangeShapeType="1"/>
        </xdr:cNvSpPr>
      </xdr:nvSpPr>
      <xdr:spPr bwMode="auto">
        <a:xfrm flipV="1">
          <a:off x="283845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295275</xdr:colOff>
      <xdr:row>24</xdr:row>
      <xdr:rowOff>190500</xdr:rowOff>
    </xdr:from>
    <xdr:to>
      <xdr:col>5</xdr:col>
      <xdr:colOff>295275</xdr:colOff>
      <xdr:row>25</xdr:row>
      <xdr:rowOff>76200</xdr:rowOff>
    </xdr:to>
    <xdr:sp macro="" textlink="">
      <xdr:nvSpPr>
        <xdr:cNvPr id="19" name="Line 108">
          <a:extLst>
            <a:ext uri="{FF2B5EF4-FFF2-40B4-BE49-F238E27FC236}">
              <a16:creationId xmlns:a16="http://schemas.microsoft.com/office/drawing/2014/main" id="{00000000-0008-0000-0300-000013000000}"/>
            </a:ext>
          </a:extLst>
        </xdr:cNvPr>
        <xdr:cNvSpPr>
          <a:spLocks noChangeShapeType="1"/>
        </xdr:cNvSpPr>
      </xdr:nvSpPr>
      <xdr:spPr bwMode="auto">
        <a:xfrm>
          <a:off x="2847975" y="4448175"/>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333375</xdr:colOff>
      <xdr:row>19</xdr:row>
      <xdr:rowOff>85725</xdr:rowOff>
    </xdr:from>
    <xdr:to>
      <xdr:col>5</xdr:col>
      <xdr:colOff>409575</xdr:colOff>
      <xdr:row>20</xdr:row>
      <xdr:rowOff>66675</xdr:rowOff>
    </xdr:to>
    <xdr:sp macro="" textlink="">
      <xdr:nvSpPr>
        <xdr:cNvPr id="20" name="Tegning 109">
          <a:extLst>
            <a:ext uri="{FF2B5EF4-FFF2-40B4-BE49-F238E27FC236}">
              <a16:creationId xmlns:a16="http://schemas.microsoft.com/office/drawing/2014/main" id="{00000000-0008-0000-0300-000014000000}"/>
            </a:ext>
          </a:extLst>
        </xdr:cNvPr>
        <xdr:cNvSpPr>
          <a:spLocks/>
        </xdr:cNvSpPr>
      </xdr:nvSpPr>
      <xdr:spPr bwMode="auto">
        <a:xfrm>
          <a:off x="2886075" y="3390900"/>
          <a:ext cx="76200" cy="171450"/>
        </a:xfrm>
        <a:custGeom>
          <a:avLst/>
          <a:gdLst>
            <a:gd name="T0" fmla="*/ 0 w 16384"/>
            <a:gd name="T1" fmla="*/ 2147483646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8474"/>
              </a:moveTo>
              <a:lnTo>
                <a:pt x="16384" y="0"/>
              </a:lnTo>
              <a:lnTo>
                <a:pt x="16384" y="16384"/>
              </a:lnTo>
              <a:lnTo>
                <a:pt x="0" y="791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352425</xdr:colOff>
      <xdr:row>24</xdr:row>
      <xdr:rowOff>200025</xdr:rowOff>
    </xdr:from>
    <xdr:to>
      <xdr:col>5</xdr:col>
      <xdr:colOff>428625</xdr:colOff>
      <xdr:row>25</xdr:row>
      <xdr:rowOff>133350</xdr:rowOff>
    </xdr:to>
    <xdr:sp macro="" textlink="">
      <xdr:nvSpPr>
        <xdr:cNvPr id="21" name="Tegning 110">
          <a:extLst>
            <a:ext uri="{FF2B5EF4-FFF2-40B4-BE49-F238E27FC236}">
              <a16:creationId xmlns:a16="http://schemas.microsoft.com/office/drawing/2014/main" id="{00000000-0008-0000-0300-000015000000}"/>
            </a:ext>
          </a:extLst>
        </xdr:cNvPr>
        <xdr:cNvSpPr>
          <a:spLocks/>
        </xdr:cNvSpPr>
      </xdr:nvSpPr>
      <xdr:spPr bwMode="auto">
        <a:xfrm>
          <a:off x="2905125" y="4448175"/>
          <a:ext cx="76200" cy="133350"/>
        </a:xfrm>
        <a:custGeom>
          <a:avLst/>
          <a:gdLst>
            <a:gd name="T0" fmla="*/ 0 w 16384"/>
            <a:gd name="T1" fmla="*/ 2147483646 h 16384"/>
            <a:gd name="T2" fmla="*/ 2147483646 w 16384"/>
            <a:gd name="T3" fmla="*/ 0 h 16384"/>
            <a:gd name="T4" fmla="*/ 2147483646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9452"/>
              </a:moveTo>
              <a:lnTo>
                <a:pt x="16384" y="0"/>
              </a:lnTo>
              <a:lnTo>
                <a:pt x="16384" y="16384"/>
              </a:lnTo>
              <a:lnTo>
                <a:pt x="1092" y="756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295275</xdr:colOff>
      <xdr:row>19</xdr:row>
      <xdr:rowOff>161925</xdr:rowOff>
    </xdr:from>
    <xdr:to>
      <xdr:col>5</xdr:col>
      <xdr:colOff>323850</xdr:colOff>
      <xdr:row>20</xdr:row>
      <xdr:rowOff>0</xdr:rowOff>
    </xdr:to>
    <xdr:sp macro="" textlink="">
      <xdr:nvSpPr>
        <xdr:cNvPr id="22" name="Oval 111">
          <a:extLst>
            <a:ext uri="{FF2B5EF4-FFF2-40B4-BE49-F238E27FC236}">
              <a16:creationId xmlns:a16="http://schemas.microsoft.com/office/drawing/2014/main" id="{00000000-0008-0000-0300-000016000000}"/>
            </a:ext>
          </a:extLst>
        </xdr:cNvPr>
        <xdr:cNvSpPr>
          <a:spLocks noChangeArrowheads="1"/>
        </xdr:cNvSpPr>
      </xdr:nvSpPr>
      <xdr:spPr bwMode="auto">
        <a:xfrm>
          <a:off x="2847975" y="3467100"/>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25</xdr:row>
      <xdr:rowOff>57150</xdr:rowOff>
    </xdr:from>
    <xdr:to>
      <xdr:col>5</xdr:col>
      <xdr:colOff>352425</xdr:colOff>
      <xdr:row>25</xdr:row>
      <xdr:rowOff>95250</xdr:rowOff>
    </xdr:to>
    <xdr:sp macro="" textlink="">
      <xdr:nvSpPr>
        <xdr:cNvPr id="23" name="Oval 112">
          <a:extLst>
            <a:ext uri="{FF2B5EF4-FFF2-40B4-BE49-F238E27FC236}">
              <a16:creationId xmlns:a16="http://schemas.microsoft.com/office/drawing/2014/main" id="{00000000-0008-0000-0300-000017000000}"/>
            </a:ext>
          </a:extLst>
        </xdr:cNvPr>
        <xdr:cNvSpPr>
          <a:spLocks noChangeArrowheads="1"/>
        </xdr:cNvSpPr>
      </xdr:nvSpPr>
      <xdr:spPr bwMode="auto">
        <a:xfrm>
          <a:off x="2867025" y="4505325"/>
          <a:ext cx="38100" cy="381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19</xdr:row>
      <xdr:rowOff>123825</xdr:rowOff>
    </xdr:from>
    <xdr:to>
      <xdr:col>5</xdr:col>
      <xdr:colOff>447675</xdr:colOff>
      <xdr:row>19</xdr:row>
      <xdr:rowOff>152400</xdr:rowOff>
    </xdr:to>
    <xdr:sp macro="" textlink="">
      <xdr:nvSpPr>
        <xdr:cNvPr id="24" name="Oval 113">
          <a:extLst>
            <a:ext uri="{FF2B5EF4-FFF2-40B4-BE49-F238E27FC236}">
              <a16:creationId xmlns:a16="http://schemas.microsoft.com/office/drawing/2014/main" id="{00000000-0008-0000-0300-000018000000}"/>
            </a:ext>
          </a:extLst>
        </xdr:cNvPr>
        <xdr:cNvSpPr>
          <a:spLocks noChangeArrowheads="1"/>
        </xdr:cNvSpPr>
      </xdr:nvSpPr>
      <xdr:spPr bwMode="auto">
        <a:xfrm>
          <a:off x="2971800" y="3429000"/>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419100</xdr:colOff>
      <xdr:row>20</xdr:row>
      <xdr:rowOff>0</xdr:rowOff>
    </xdr:from>
    <xdr:to>
      <xdr:col>5</xdr:col>
      <xdr:colOff>447675</xdr:colOff>
      <xdr:row>20</xdr:row>
      <xdr:rowOff>28575</xdr:rowOff>
    </xdr:to>
    <xdr:sp macro="" textlink="">
      <xdr:nvSpPr>
        <xdr:cNvPr id="25" name="Oval 114">
          <a:extLst>
            <a:ext uri="{FF2B5EF4-FFF2-40B4-BE49-F238E27FC236}">
              <a16:creationId xmlns:a16="http://schemas.microsoft.com/office/drawing/2014/main" id="{00000000-0008-0000-0300-000019000000}"/>
            </a:ext>
          </a:extLst>
        </xdr:cNvPr>
        <xdr:cNvSpPr>
          <a:spLocks noChangeArrowheads="1"/>
        </xdr:cNvSpPr>
      </xdr:nvSpPr>
      <xdr:spPr bwMode="auto">
        <a:xfrm>
          <a:off x="2971800" y="3495675"/>
          <a:ext cx="28575" cy="285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25</xdr:row>
      <xdr:rowOff>28575</xdr:rowOff>
    </xdr:from>
    <xdr:to>
      <xdr:col>2</xdr:col>
      <xdr:colOff>200025</xdr:colOff>
      <xdr:row>27</xdr:row>
      <xdr:rowOff>57150</xdr:rowOff>
    </xdr:to>
    <xdr:sp macro="" textlink="">
      <xdr:nvSpPr>
        <xdr:cNvPr id="26" name="Line 115">
          <a:extLst>
            <a:ext uri="{FF2B5EF4-FFF2-40B4-BE49-F238E27FC236}">
              <a16:creationId xmlns:a16="http://schemas.microsoft.com/office/drawing/2014/main" id="{00000000-0008-0000-0300-00001A000000}"/>
            </a:ext>
          </a:extLst>
        </xdr:cNvPr>
        <xdr:cNvSpPr>
          <a:spLocks noChangeShapeType="1"/>
        </xdr:cNvSpPr>
      </xdr:nvSpPr>
      <xdr:spPr bwMode="auto">
        <a:xfrm>
          <a:off x="1476375" y="44767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27</xdr:row>
      <xdr:rowOff>190500</xdr:rowOff>
    </xdr:from>
    <xdr:to>
      <xdr:col>3</xdr:col>
      <xdr:colOff>314325</xdr:colOff>
      <xdr:row>28</xdr:row>
      <xdr:rowOff>123825</xdr:rowOff>
    </xdr:to>
    <xdr:sp macro="" textlink="">
      <xdr:nvSpPr>
        <xdr:cNvPr id="27" name="Tegning 116">
          <a:extLst>
            <a:ext uri="{FF2B5EF4-FFF2-40B4-BE49-F238E27FC236}">
              <a16:creationId xmlns:a16="http://schemas.microsoft.com/office/drawing/2014/main" id="{00000000-0008-0000-0300-00001B000000}"/>
            </a:ext>
          </a:extLst>
        </xdr:cNvPr>
        <xdr:cNvSpPr>
          <a:spLocks/>
        </xdr:cNvSpPr>
      </xdr:nvSpPr>
      <xdr:spPr bwMode="auto">
        <a:xfrm>
          <a:off x="1466850" y="5019675"/>
          <a:ext cx="704850" cy="123825"/>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w 16384"/>
            <a:gd name="T13" fmla="*/ 0 h 16384"/>
            <a:gd name="T14" fmla="*/ 2147483646 w 16384"/>
            <a:gd name="T15" fmla="*/ 0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37" y="0"/>
              </a:moveTo>
              <a:lnTo>
                <a:pt x="14609" y="0"/>
              </a:lnTo>
              <a:lnTo>
                <a:pt x="14609" y="7836"/>
              </a:lnTo>
              <a:lnTo>
                <a:pt x="16384" y="7836"/>
              </a:lnTo>
              <a:lnTo>
                <a:pt x="16384" y="16384"/>
              </a:lnTo>
              <a:lnTo>
                <a:pt x="0" y="16384"/>
              </a:lnTo>
              <a:lnTo>
                <a:pt x="0" y="0"/>
              </a:lnTo>
              <a:lnTo>
                <a:pt x="956"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171450</xdr:colOff>
      <xdr:row>28</xdr:row>
      <xdr:rowOff>28575</xdr:rowOff>
    </xdr:from>
    <xdr:to>
      <xdr:col>3</xdr:col>
      <xdr:colOff>219075</xdr:colOff>
      <xdr:row>28</xdr:row>
      <xdr:rowOff>76200</xdr:rowOff>
    </xdr:to>
    <xdr:sp macro="" textlink="">
      <xdr:nvSpPr>
        <xdr:cNvPr id="28" name="Oval 117">
          <a:extLst>
            <a:ext uri="{FF2B5EF4-FFF2-40B4-BE49-F238E27FC236}">
              <a16:creationId xmlns:a16="http://schemas.microsoft.com/office/drawing/2014/main" id="{00000000-0008-0000-0300-00001C000000}"/>
            </a:ext>
          </a:extLst>
        </xdr:cNvPr>
        <xdr:cNvSpPr>
          <a:spLocks noChangeArrowheads="1"/>
        </xdr:cNvSpPr>
      </xdr:nvSpPr>
      <xdr:spPr bwMode="auto">
        <a:xfrm>
          <a:off x="2028825" y="5048250"/>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247650</xdr:colOff>
      <xdr:row>27</xdr:row>
      <xdr:rowOff>28575</xdr:rowOff>
    </xdr:from>
    <xdr:to>
      <xdr:col>5</xdr:col>
      <xdr:colOff>19050</xdr:colOff>
      <xdr:row>27</xdr:row>
      <xdr:rowOff>190500</xdr:rowOff>
    </xdr:to>
    <xdr:sp macro="" textlink="">
      <xdr:nvSpPr>
        <xdr:cNvPr id="29" name="Tegning 118">
          <a:extLst>
            <a:ext uri="{FF2B5EF4-FFF2-40B4-BE49-F238E27FC236}">
              <a16:creationId xmlns:a16="http://schemas.microsoft.com/office/drawing/2014/main" id="{00000000-0008-0000-0300-00001D000000}"/>
            </a:ext>
          </a:extLst>
        </xdr:cNvPr>
        <xdr:cNvSpPr>
          <a:spLocks/>
        </xdr:cNvSpPr>
      </xdr:nvSpPr>
      <xdr:spPr bwMode="auto">
        <a:xfrm>
          <a:off x="2105025" y="4857750"/>
          <a:ext cx="466725" cy="161925"/>
        </a:xfrm>
        <a:custGeom>
          <a:avLst/>
          <a:gdLst>
            <a:gd name="T0" fmla="*/ 0 w 16384"/>
            <a:gd name="T1" fmla="*/ 2147483646 h 16384"/>
            <a:gd name="T2" fmla="*/ 2147483646 w 16384"/>
            <a:gd name="T3" fmla="*/ 2147483646 h 16384"/>
            <a:gd name="T4" fmla="*/ 2147483646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16384"/>
              </a:moveTo>
              <a:lnTo>
                <a:pt x="5851" y="16384"/>
              </a:lnTo>
              <a:lnTo>
                <a:pt x="5851" y="8192"/>
              </a:lnTo>
              <a:lnTo>
                <a:pt x="11469" y="8192"/>
              </a:lnTo>
              <a:lnTo>
                <a:pt x="11469"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9525</xdr:colOff>
      <xdr:row>28</xdr:row>
      <xdr:rowOff>123825</xdr:rowOff>
    </xdr:from>
    <xdr:to>
      <xdr:col>5</xdr:col>
      <xdr:colOff>19050</xdr:colOff>
      <xdr:row>29</xdr:row>
      <xdr:rowOff>95250</xdr:rowOff>
    </xdr:to>
    <xdr:sp macro="" textlink="">
      <xdr:nvSpPr>
        <xdr:cNvPr id="30" name="Line 119">
          <a:extLst>
            <a:ext uri="{FF2B5EF4-FFF2-40B4-BE49-F238E27FC236}">
              <a16:creationId xmlns:a16="http://schemas.microsoft.com/office/drawing/2014/main" id="{00000000-0008-0000-0300-00001E000000}"/>
            </a:ext>
          </a:extLst>
        </xdr:cNvPr>
        <xdr:cNvSpPr>
          <a:spLocks noChangeShapeType="1"/>
        </xdr:cNvSpPr>
      </xdr:nvSpPr>
      <xdr:spPr bwMode="auto">
        <a:xfrm>
          <a:off x="2238375" y="5143500"/>
          <a:ext cx="333375" cy="161925"/>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22</xdr:row>
      <xdr:rowOff>47625</xdr:rowOff>
    </xdr:from>
    <xdr:to>
      <xdr:col>5</xdr:col>
      <xdr:colOff>276225</xdr:colOff>
      <xdr:row>22</xdr:row>
      <xdr:rowOff>47625</xdr:rowOff>
    </xdr:to>
    <xdr:sp macro="" textlink="">
      <xdr:nvSpPr>
        <xdr:cNvPr id="31" name="Line 120">
          <a:extLst>
            <a:ext uri="{FF2B5EF4-FFF2-40B4-BE49-F238E27FC236}">
              <a16:creationId xmlns:a16="http://schemas.microsoft.com/office/drawing/2014/main" id="{00000000-0008-0000-0300-00001F000000}"/>
            </a:ext>
          </a:extLst>
        </xdr:cNvPr>
        <xdr:cNvSpPr>
          <a:spLocks noChangeShapeType="1"/>
        </xdr:cNvSpPr>
      </xdr:nvSpPr>
      <xdr:spPr bwMode="auto">
        <a:xfrm>
          <a:off x="2800350" y="3924300"/>
          <a:ext cx="285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32" name="Line 121">
          <a:extLst>
            <a:ext uri="{FF2B5EF4-FFF2-40B4-BE49-F238E27FC236}">
              <a16:creationId xmlns:a16="http://schemas.microsoft.com/office/drawing/2014/main" id="{00000000-0008-0000-0300-000020000000}"/>
            </a:ext>
          </a:extLst>
        </xdr:cNvPr>
        <xdr:cNvSpPr>
          <a:spLocks noChangeShapeType="1"/>
        </xdr:cNvSpPr>
      </xdr:nvSpPr>
      <xdr:spPr bwMode="auto">
        <a:xfrm flipH="1">
          <a:off x="3000375" y="336232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33" name="Line 122">
          <a:extLst>
            <a:ext uri="{FF2B5EF4-FFF2-40B4-BE49-F238E27FC236}">
              <a16:creationId xmlns:a16="http://schemas.microsoft.com/office/drawing/2014/main" id="{00000000-0008-0000-0300-000021000000}"/>
            </a:ext>
          </a:extLst>
        </xdr:cNvPr>
        <xdr:cNvSpPr>
          <a:spLocks noChangeShapeType="1"/>
        </xdr:cNvSpPr>
      </xdr:nvSpPr>
      <xdr:spPr bwMode="auto">
        <a:xfrm flipH="1">
          <a:off x="3000375" y="338137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19</xdr:row>
      <xdr:rowOff>133350</xdr:rowOff>
    </xdr:from>
    <xdr:to>
      <xdr:col>5</xdr:col>
      <xdr:colOff>542925</xdr:colOff>
      <xdr:row>20</xdr:row>
      <xdr:rowOff>38100</xdr:rowOff>
    </xdr:to>
    <xdr:sp macro="" textlink="">
      <xdr:nvSpPr>
        <xdr:cNvPr id="34" name="Line 123">
          <a:extLst>
            <a:ext uri="{FF2B5EF4-FFF2-40B4-BE49-F238E27FC236}">
              <a16:creationId xmlns:a16="http://schemas.microsoft.com/office/drawing/2014/main" id="{00000000-0008-0000-0300-000022000000}"/>
            </a:ext>
          </a:extLst>
        </xdr:cNvPr>
        <xdr:cNvSpPr>
          <a:spLocks noChangeShapeType="1"/>
        </xdr:cNvSpPr>
      </xdr:nvSpPr>
      <xdr:spPr bwMode="auto">
        <a:xfrm flipH="1">
          <a:off x="3009900" y="343852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180975</xdr:rowOff>
    </xdr:from>
    <xdr:to>
      <xdr:col>5</xdr:col>
      <xdr:colOff>542925</xdr:colOff>
      <xdr:row>20</xdr:row>
      <xdr:rowOff>95250</xdr:rowOff>
    </xdr:to>
    <xdr:sp macro="" textlink="">
      <xdr:nvSpPr>
        <xdr:cNvPr id="35" name="Line 124">
          <a:extLst>
            <a:ext uri="{FF2B5EF4-FFF2-40B4-BE49-F238E27FC236}">
              <a16:creationId xmlns:a16="http://schemas.microsoft.com/office/drawing/2014/main" id="{00000000-0008-0000-0300-000023000000}"/>
            </a:ext>
          </a:extLst>
        </xdr:cNvPr>
        <xdr:cNvSpPr>
          <a:spLocks noChangeShapeType="1"/>
        </xdr:cNvSpPr>
      </xdr:nvSpPr>
      <xdr:spPr bwMode="auto">
        <a:xfrm flipH="1">
          <a:off x="3000375" y="348615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20</xdr:row>
      <xdr:rowOff>28575</xdr:rowOff>
    </xdr:from>
    <xdr:to>
      <xdr:col>5</xdr:col>
      <xdr:colOff>542925</xdr:colOff>
      <xdr:row>20</xdr:row>
      <xdr:rowOff>123825</xdr:rowOff>
    </xdr:to>
    <xdr:sp macro="" textlink="">
      <xdr:nvSpPr>
        <xdr:cNvPr id="36" name="Line 125">
          <a:extLst>
            <a:ext uri="{FF2B5EF4-FFF2-40B4-BE49-F238E27FC236}">
              <a16:creationId xmlns:a16="http://schemas.microsoft.com/office/drawing/2014/main" id="{00000000-0008-0000-0300-000024000000}"/>
            </a:ext>
          </a:extLst>
        </xdr:cNvPr>
        <xdr:cNvSpPr>
          <a:spLocks noChangeShapeType="1"/>
        </xdr:cNvSpPr>
      </xdr:nvSpPr>
      <xdr:spPr bwMode="auto">
        <a:xfrm flipH="1">
          <a:off x="3009900" y="352425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476250</xdr:colOff>
      <xdr:row>20</xdr:row>
      <xdr:rowOff>76200</xdr:rowOff>
    </xdr:from>
    <xdr:to>
      <xdr:col>5</xdr:col>
      <xdr:colOff>533400</xdr:colOff>
      <xdr:row>20</xdr:row>
      <xdr:rowOff>133350</xdr:rowOff>
    </xdr:to>
    <xdr:sp macro="" textlink="">
      <xdr:nvSpPr>
        <xdr:cNvPr id="37" name="Line 126">
          <a:extLst>
            <a:ext uri="{FF2B5EF4-FFF2-40B4-BE49-F238E27FC236}">
              <a16:creationId xmlns:a16="http://schemas.microsoft.com/office/drawing/2014/main" id="{00000000-0008-0000-0300-000025000000}"/>
            </a:ext>
          </a:extLst>
        </xdr:cNvPr>
        <xdr:cNvSpPr>
          <a:spLocks noChangeShapeType="1"/>
        </xdr:cNvSpPr>
      </xdr:nvSpPr>
      <xdr:spPr bwMode="auto">
        <a:xfrm flipH="1">
          <a:off x="3028950" y="3571875"/>
          <a:ext cx="5715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514350</xdr:colOff>
      <xdr:row>19</xdr:row>
      <xdr:rowOff>133350</xdr:rowOff>
    </xdr:to>
    <xdr:sp macro="" textlink="">
      <xdr:nvSpPr>
        <xdr:cNvPr id="38" name="Line 127">
          <a:extLst>
            <a:ext uri="{FF2B5EF4-FFF2-40B4-BE49-F238E27FC236}">
              <a16:creationId xmlns:a16="http://schemas.microsoft.com/office/drawing/2014/main" id="{00000000-0008-0000-0300-000026000000}"/>
            </a:ext>
          </a:extLst>
        </xdr:cNvPr>
        <xdr:cNvSpPr>
          <a:spLocks noChangeShapeType="1"/>
        </xdr:cNvSpPr>
      </xdr:nvSpPr>
      <xdr:spPr bwMode="auto">
        <a:xfrm flipH="1">
          <a:off x="3000375" y="336232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76200</xdr:rowOff>
    </xdr:from>
    <xdr:to>
      <xdr:col>5</xdr:col>
      <xdr:colOff>542925</xdr:colOff>
      <xdr:row>19</xdr:row>
      <xdr:rowOff>200025</xdr:rowOff>
    </xdr:to>
    <xdr:sp macro="" textlink="">
      <xdr:nvSpPr>
        <xdr:cNvPr id="39" name="Line 128">
          <a:extLst>
            <a:ext uri="{FF2B5EF4-FFF2-40B4-BE49-F238E27FC236}">
              <a16:creationId xmlns:a16="http://schemas.microsoft.com/office/drawing/2014/main" id="{00000000-0008-0000-0300-000027000000}"/>
            </a:ext>
          </a:extLst>
        </xdr:cNvPr>
        <xdr:cNvSpPr>
          <a:spLocks noChangeShapeType="1"/>
        </xdr:cNvSpPr>
      </xdr:nvSpPr>
      <xdr:spPr bwMode="auto">
        <a:xfrm flipH="1">
          <a:off x="3000375" y="3381375"/>
          <a:ext cx="952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447675</xdr:colOff>
      <xdr:row>19</xdr:row>
      <xdr:rowOff>57150</xdr:rowOff>
    </xdr:from>
    <xdr:to>
      <xdr:col>5</xdr:col>
      <xdr:colOff>447675</xdr:colOff>
      <xdr:row>20</xdr:row>
      <xdr:rowOff>123825</xdr:rowOff>
    </xdr:to>
    <xdr:sp macro="" textlink="">
      <xdr:nvSpPr>
        <xdr:cNvPr id="40" name="Line 129">
          <a:extLst>
            <a:ext uri="{FF2B5EF4-FFF2-40B4-BE49-F238E27FC236}">
              <a16:creationId xmlns:a16="http://schemas.microsoft.com/office/drawing/2014/main" id="{00000000-0008-0000-0300-000028000000}"/>
            </a:ext>
          </a:extLst>
        </xdr:cNvPr>
        <xdr:cNvSpPr>
          <a:spLocks noChangeShapeType="1"/>
        </xdr:cNvSpPr>
      </xdr:nvSpPr>
      <xdr:spPr bwMode="auto">
        <a:xfrm>
          <a:off x="3000375" y="336232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142875</xdr:rowOff>
    </xdr:from>
    <xdr:to>
      <xdr:col>5</xdr:col>
      <xdr:colOff>428625</xdr:colOff>
      <xdr:row>25</xdr:row>
      <xdr:rowOff>209550</xdr:rowOff>
    </xdr:to>
    <xdr:sp macro="" textlink="">
      <xdr:nvSpPr>
        <xdr:cNvPr id="41" name="Line 130">
          <a:extLst>
            <a:ext uri="{FF2B5EF4-FFF2-40B4-BE49-F238E27FC236}">
              <a16:creationId xmlns:a16="http://schemas.microsoft.com/office/drawing/2014/main" id="{00000000-0008-0000-0300-000029000000}"/>
            </a:ext>
          </a:extLst>
        </xdr:cNvPr>
        <xdr:cNvSpPr>
          <a:spLocks noChangeShapeType="1"/>
        </xdr:cNvSpPr>
      </xdr:nvSpPr>
      <xdr:spPr bwMode="auto">
        <a:xfrm>
          <a:off x="2981325" y="4400550"/>
          <a:ext cx="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466725</xdr:colOff>
      <xdr:row>24</xdr:row>
      <xdr:rowOff>171450</xdr:rowOff>
    </xdr:to>
    <xdr:sp macro="" textlink="">
      <xdr:nvSpPr>
        <xdr:cNvPr id="42" name="Line 131">
          <a:extLst>
            <a:ext uri="{FF2B5EF4-FFF2-40B4-BE49-F238E27FC236}">
              <a16:creationId xmlns:a16="http://schemas.microsoft.com/office/drawing/2014/main" id="{00000000-0008-0000-0300-00002A000000}"/>
            </a:ext>
          </a:extLst>
        </xdr:cNvPr>
        <xdr:cNvSpPr>
          <a:spLocks noChangeShapeType="1"/>
        </xdr:cNvSpPr>
      </xdr:nvSpPr>
      <xdr:spPr bwMode="auto">
        <a:xfrm flipH="1">
          <a:off x="2981325" y="4391025"/>
          <a:ext cx="38100" cy="38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133350</xdr:rowOff>
    </xdr:from>
    <xdr:to>
      <xdr:col>5</xdr:col>
      <xdr:colOff>504825</xdr:colOff>
      <xdr:row>25</xdr:row>
      <xdr:rowOff>0</xdr:rowOff>
    </xdr:to>
    <xdr:sp macro="" textlink="">
      <xdr:nvSpPr>
        <xdr:cNvPr id="43" name="Line 132">
          <a:extLst>
            <a:ext uri="{FF2B5EF4-FFF2-40B4-BE49-F238E27FC236}">
              <a16:creationId xmlns:a16="http://schemas.microsoft.com/office/drawing/2014/main" id="{00000000-0008-0000-0300-00002B000000}"/>
            </a:ext>
          </a:extLst>
        </xdr:cNvPr>
        <xdr:cNvSpPr>
          <a:spLocks noChangeShapeType="1"/>
        </xdr:cNvSpPr>
      </xdr:nvSpPr>
      <xdr:spPr bwMode="auto">
        <a:xfrm flipH="1">
          <a:off x="2981325" y="4391025"/>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24</xdr:row>
      <xdr:rowOff>161925</xdr:rowOff>
    </xdr:from>
    <xdr:to>
      <xdr:col>5</xdr:col>
      <xdr:colOff>514350</xdr:colOff>
      <xdr:row>25</xdr:row>
      <xdr:rowOff>28575</xdr:rowOff>
    </xdr:to>
    <xdr:sp macro="" textlink="">
      <xdr:nvSpPr>
        <xdr:cNvPr id="44" name="Line 133">
          <a:extLst>
            <a:ext uri="{FF2B5EF4-FFF2-40B4-BE49-F238E27FC236}">
              <a16:creationId xmlns:a16="http://schemas.microsoft.com/office/drawing/2014/main" id="{00000000-0008-0000-0300-00002C000000}"/>
            </a:ext>
          </a:extLst>
        </xdr:cNvPr>
        <xdr:cNvSpPr>
          <a:spLocks noChangeShapeType="1"/>
        </xdr:cNvSpPr>
      </xdr:nvSpPr>
      <xdr:spPr bwMode="auto">
        <a:xfrm flipH="1">
          <a:off x="2981325" y="4419600"/>
          <a:ext cx="8572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419100</xdr:colOff>
      <xdr:row>25</xdr:row>
      <xdr:rowOff>9525</xdr:rowOff>
    </xdr:from>
    <xdr:to>
      <xdr:col>5</xdr:col>
      <xdr:colOff>504825</xdr:colOff>
      <xdr:row>25</xdr:row>
      <xdr:rowOff>76200</xdr:rowOff>
    </xdr:to>
    <xdr:sp macro="" textlink="">
      <xdr:nvSpPr>
        <xdr:cNvPr id="45" name="Line 134">
          <a:extLst>
            <a:ext uri="{FF2B5EF4-FFF2-40B4-BE49-F238E27FC236}">
              <a16:creationId xmlns:a16="http://schemas.microsoft.com/office/drawing/2014/main" id="{00000000-0008-0000-0300-00002D000000}"/>
            </a:ext>
          </a:extLst>
        </xdr:cNvPr>
        <xdr:cNvSpPr>
          <a:spLocks noChangeShapeType="1"/>
        </xdr:cNvSpPr>
      </xdr:nvSpPr>
      <xdr:spPr bwMode="auto">
        <a:xfrm flipH="1">
          <a:off x="2971800" y="445770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38100</xdr:rowOff>
    </xdr:from>
    <xdr:to>
      <xdr:col>5</xdr:col>
      <xdr:colOff>514350</xdr:colOff>
      <xdr:row>25</xdr:row>
      <xdr:rowOff>104775</xdr:rowOff>
    </xdr:to>
    <xdr:sp macro="" textlink="">
      <xdr:nvSpPr>
        <xdr:cNvPr id="46" name="Line 135">
          <a:extLst>
            <a:ext uri="{FF2B5EF4-FFF2-40B4-BE49-F238E27FC236}">
              <a16:creationId xmlns:a16="http://schemas.microsoft.com/office/drawing/2014/main" id="{00000000-0008-0000-0300-00002E000000}"/>
            </a:ext>
          </a:extLst>
        </xdr:cNvPr>
        <xdr:cNvSpPr>
          <a:spLocks noChangeShapeType="1"/>
        </xdr:cNvSpPr>
      </xdr:nvSpPr>
      <xdr:spPr bwMode="auto">
        <a:xfrm flipH="1">
          <a:off x="2981325" y="448627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438150</xdr:colOff>
      <xdr:row>25</xdr:row>
      <xdr:rowOff>76200</xdr:rowOff>
    </xdr:from>
    <xdr:to>
      <xdr:col>5</xdr:col>
      <xdr:colOff>514350</xdr:colOff>
      <xdr:row>25</xdr:row>
      <xdr:rowOff>133350</xdr:rowOff>
    </xdr:to>
    <xdr:sp macro="" textlink="">
      <xdr:nvSpPr>
        <xdr:cNvPr id="47" name="Line 136">
          <a:extLst>
            <a:ext uri="{FF2B5EF4-FFF2-40B4-BE49-F238E27FC236}">
              <a16:creationId xmlns:a16="http://schemas.microsoft.com/office/drawing/2014/main" id="{00000000-0008-0000-0300-00002F000000}"/>
            </a:ext>
          </a:extLst>
        </xdr:cNvPr>
        <xdr:cNvSpPr>
          <a:spLocks noChangeShapeType="1"/>
        </xdr:cNvSpPr>
      </xdr:nvSpPr>
      <xdr:spPr bwMode="auto">
        <a:xfrm flipH="1">
          <a:off x="2990850" y="4524375"/>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428625</xdr:colOff>
      <xdr:row>25</xdr:row>
      <xdr:rowOff>104775</xdr:rowOff>
    </xdr:from>
    <xdr:to>
      <xdr:col>5</xdr:col>
      <xdr:colOff>514350</xdr:colOff>
      <xdr:row>25</xdr:row>
      <xdr:rowOff>171450</xdr:rowOff>
    </xdr:to>
    <xdr:sp macro="" textlink="">
      <xdr:nvSpPr>
        <xdr:cNvPr id="48" name="Line 137">
          <a:extLst>
            <a:ext uri="{FF2B5EF4-FFF2-40B4-BE49-F238E27FC236}">
              <a16:creationId xmlns:a16="http://schemas.microsoft.com/office/drawing/2014/main" id="{00000000-0008-0000-0300-000030000000}"/>
            </a:ext>
          </a:extLst>
        </xdr:cNvPr>
        <xdr:cNvSpPr>
          <a:spLocks noChangeShapeType="1"/>
        </xdr:cNvSpPr>
      </xdr:nvSpPr>
      <xdr:spPr bwMode="auto">
        <a:xfrm flipH="1">
          <a:off x="2981325" y="455295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457200</xdr:colOff>
      <xdr:row>25</xdr:row>
      <xdr:rowOff>152400</xdr:rowOff>
    </xdr:from>
    <xdr:to>
      <xdr:col>5</xdr:col>
      <xdr:colOff>504825</xdr:colOff>
      <xdr:row>25</xdr:row>
      <xdr:rowOff>180975</xdr:rowOff>
    </xdr:to>
    <xdr:sp macro="" textlink="">
      <xdr:nvSpPr>
        <xdr:cNvPr id="49" name="Line 138">
          <a:extLst>
            <a:ext uri="{FF2B5EF4-FFF2-40B4-BE49-F238E27FC236}">
              <a16:creationId xmlns:a16="http://schemas.microsoft.com/office/drawing/2014/main" id="{00000000-0008-0000-0300-000031000000}"/>
            </a:ext>
          </a:extLst>
        </xdr:cNvPr>
        <xdr:cNvSpPr>
          <a:spLocks noChangeShapeType="1"/>
        </xdr:cNvSpPr>
      </xdr:nvSpPr>
      <xdr:spPr bwMode="auto">
        <a:xfrm flipH="1">
          <a:off x="3009900" y="4600575"/>
          <a:ext cx="47625" cy="28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23</xdr:row>
      <xdr:rowOff>0</xdr:rowOff>
    </xdr:from>
    <xdr:to>
      <xdr:col>3</xdr:col>
      <xdr:colOff>295275</xdr:colOff>
      <xdr:row>24</xdr:row>
      <xdr:rowOff>123825</xdr:rowOff>
    </xdr:to>
    <xdr:sp macro="" textlink="">
      <xdr:nvSpPr>
        <xdr:cNvPr id="50" name="Line 139">
          <a:extLst>
            <a:ext uri="{FF2B5EF4-FFF2-40B4-BE49-F238E27FC236}">
              <a16:creationId xmlns:a16="http://schemas.microsoft.com/office/drawing/2014/main" id="{00000000-0008-0000-0300-000032000000}"/>
            </a:ext>
          </a:extLst>
        </xdr:cNvPr>
        <xdr:cNvSpPr>
          <a:spLocks noChangeShapeType="1"/>
        </xdr:cNvSpPr>
      </xdr:nvSpPr>
      <xdr:spPr bwMode="auto">
        <a:xfrm flipV="1">
          <a:off x="2152650" y="4067175"/>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27</xdr:row>
      <xdr:rowOff>104775</xdr:rowOff>
    </xdr:from>
    <xdr:to>
      <xdr:col>5</xdr:col>
      <xdr:colOff>0</xdr:colOff>
      <xdr:row>28</xdr:row>
      <xdr:rowOff>66675</xdr:rowOff>
    </xdr:to>
    <xdr:sp macro="" textlink="">
      <xdr:nvSpPr>
        <xdr:cNvPr id="51" name="Line 140">
          <a:extLst>
            <a:ext uri="{FF2B5EF4-FFF2-40B4-BE49-F238E27FC236}">
              <a16:creationId xmlns:a16="http://schemas.microsoft.com/office/drawing/2014/main" id="{00000000-0008-0000-0300-000033000000}"/>
            </a:ext>
          </a:extLst>
        </xdr:cNvPr>
        <xdr:cNvSpPr>
          <a:spLocks noChangeShapeType="1"/>
        </xdr:cNvSpPr>
      </xdr:nvSpPr>
      <xdr:spPr bwMode="auto">
        <a:xfrm flipH="1">
          <a:off x="2295525" y="4933950"/>
          <a:ext cx="257175" cy="15240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219075</xdr:colOff>
      <xdr:row>27</xdr:row>
      <xdr:rowOff>0</xdr:rowOff>
    </xdr:from>
    <xdr:to>
      <xdr:col>4</xdr:col>
      <xdr:colOff>171450</xdr:colOff>
      <xdr:row>27</xdr:row>
      <xdr:rowOff>0</xdr:rowOff>
    </xdr:to>
    <xdr:sp macro="" textlink="">
      <xdr:nvSpPr>
        <xdr:cNvPr id="52" name="Line 141">
          <a:extLst>
            <a:ext uri="{FF2B5EF4-FFF2-40B4-BE49-F238E27FC236}">
              <a16:creationId xmlns:a16="http://schemas.microsoft.com/office/drawing/2014/main" id="{00000000-0008-0000-0300-000034000000}"/>
            </a:ext>
          </a:extLst>
        </xdr:cNvPr>
        <xdr:cNvSpPr>
          <a:spLocks noChangeShapeType="1"/>
        </xdr:cNvSpPr>
      </xdr:nvSpPr>
      <xdr:spPr bwMode="auto">
        <a:xfrm>
          <a:off x="1276350" y="4829175"/>
          <a:ext cx="11239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104775</xdr:rowOff>
    </xdr:from>
    <xdr:to>
      <xdr:col>2</xdr:col>
      <xdr:colOff>333375</xdr:colOff>
      <xdr:row>27</xdr:row>
      <xdr:rowOff>47625</xdr:rowOff>
    </xdr:to>
    <xdr:sp macro="" textlink="">
      <xdr:nvSpPr>
        <xdr:cNvPr id="53" name="Line 142">
          <a:extLst>
            <a:ext uri="{FF2B5EF4-FFF2-40B4-BE49-F238E27FC236}">
              <a16:creationId xmlns:a16="http://schemas.microsoft.com/office/drawing/2014/main" id="{00000000-0008-0000-0300-000035000000}"/>
            </a:ext>
          </a:extLst>
        </xdr:cNvPr>
        <xdr:cNvSpPr>
          <a:spLocks noChangeShapeType="1"/>
        </xdr:cNvSpPr>
      </xdr:nvSpPr>
      <xdr:spPr bwMode="auto">
        <a:xfrm>
          <a:off x="1609725" y="4552950"/>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25</xdr:row>
      <xdr:rowOff>123825</xdr:rowOff>
    </xdr:from>
    <xdr:to>
      <xdr:col>3</xdr:col>
      <xdr:colOff>180975</xdr:colOff>
      <xdr:row>27</xdr:row>
      <xdr:rowOff>57150</xdr:rowOff>
    </xdr:to>
    <xdr:sp macro="" textlink="">
      <xdr:nvSpPr>
        <xdr:cNvPr id="54" name="Line 143">
          <a:extLst>
            <a:ext uri="{FF2B5EF4-FFF2-40B4-BE49-F238E27FC236}">
              <a16:creationId xmlns:a16="http://schemas.microsoft.com/office/drawing/2014/main" id="{00000000-0008-0000-0300-000036000000}"/>
            </a:ext>
          </a:extLst>
        </xdr:cNvPr>
        <xdr:cNvSpPr>
          <a:spLocks noChangeShapeType="1"/>
        </xdr:cNvSpPr>
      </xdr:nvSpPr>
      <xdr:spPr bwMode="auto">
        <a:xfrm>
          <a:off x="2038350" y="45720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25</xdr:row>
      <xdr:rowOff>28575</xdr:rowOff>
    </xdr:from>
    <xdr:to>
      <xdr:col>3</xdr:col>
      <xdr:colOff>295275</xdr:colOff>
      <xdr:row>27</xdr:row>
      <xdr:rowOff>47625</xdr:rowOff>
    </xdr:to>
    <xdr:sp macro="" textlink="">
      <xdr:nvSpPr>
        <xdr:cNvPr id="55" name="Line 144">
          <a:extLst>
            <a:ext uri="{FF2B5EF4-FFF2-40B4-BE49-F238E27FC236}">
              <a16:creationId xmlns:a16="http://schemas.microsoft.com/office/drawing/2014/main" id="{00000000-0008-0000-0300-000037000000}"/>
            </a:ext>
          </a:extLst>
        </xdr:cNvPr>
        <xdr:cNvSpPr>
          <a:spLocks noChangeShapeType="1"/>
        </xdr:cNvSpPr>
      </xdr:nvSpPr>
      <xdr:spPr bwMode="auto">
        <a:xfrm>
          <a:off x="2152650" y="4476750"/>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26</xdr:row>
      <xdr:rowOff>161925</xdr:rowOff>
    </xdr:from>
    <xdr:to>
      <xdr:col>2</xdr:col>
      <xdr:colOff>238125</xdr:colOff>
      <xdr:row>27</xdr:row>
      <xdr:rowOff>28575</xdr:rowOff>
    </xdr:to>
    <xdr:sp macro="" textlink="">
      <xdr:nvSpPr>
        <xdr:cNvPr id="56" name="Line 145">
          <a:extLst>
            <a:ext uri="{FF2B5EF4-FFF2-40B4-BE49-F238E27FC236}">
              <a16:creationId xmlns:a16="http://schemas.microsoft.com/office/drawing/2014/main" id="{00000000-0008-0000-0300-000038000000}"/>
            </a:ext>
          </a:extLst>
        </xdr:cNvPr>
        <xdr:cNvSpPr>
          <a:spLocks noChangeShapeType="1"/>
        </xdr:cNvSpPr>
      </xdr:nvSpPr>
      <xdr:spPr bwMode="auto">
        <a:xfrm flipH="1">
          <a:off x="1438275" y="48006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xdr:row>
      <xdr:rowOff>161925</xdr:rowOff>
    </xdr:from>
    <xdr:to>
      <xdr:col>2</xdr:col>
      <xdr:colOff>361950</xdr:colOff>
      <xdr:row>27</xdr:row>
      <xdr:rowOff>28575</xdr:rowOff>
    </xdr:to>
    <xdr:sp macro="" textlink="">
      <xdr:nvSpPr>
        <xdr:cNvPr id="57" name="Line 146">
          <a:extLst>
            <a:ext uri="{FF2B5EF4-FFF2-40B4-BE49-F238E27FC236}">
              <a16:creationId xmlns:a16="http://schemas.microsoft.com/office/drawing/2014/main" id="{00000000-0008-0000-0300-000039000000}"/>
            </a:ext>
          </a:extLst>
        </xdr:cNvPr>
        <xdr:cNvSpPr>
          <a:spLocks noChangeShapeType="1"/>
        </xdr:cNvSpPr>
      </xdr:nvSpPr>
      <xdr:spPr bwMode="auto">
        <a:xfrm flipH="1">
          <a:off x="1571625" y="48006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26</xdr:row>
      <xdr:rowOff>161925</xdr:rowOff>
    </xdr:from>
    <xdr:to>
      <xdr:col>4</xdr:col>
      <xdr:colOff>9525</xdr:colOff>
      <xdr:row>27</xdr:row>
      <xdr:rowOff>47625</xdr:rowOff>
    </xdr:to>
    <xdr:sp macro="" textlink="">
      <xdr:nvSpPr>
        <xdr:cNvPr id="58" name="Line 147">
          <a:extLst>
            <a:ext uri="{FF2B5EF4-FFF2-40B4-BE49-F238E27FC236}">
              <a16:creationId xmlns:a16="http://schemas.microsoft.com/office/drawing/2014/main" id="{00000000-0008-0000-0300-00003A000000}"/>
            </a:ext>
          </a:extLst>
        </xdr:cNvPr>
        <xdr:cNvSpPr>
          <a:spLocks noChangeShapeType="1"/>
        </xdr:cNvSpPr>
      </xdr:nvSpPr>
      <xdr:spPr bwMode="auto">
        <a:xfrm flipH="1">
          <a:off x="2105025" y="4800600"/>
          <a:ext cx="1333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26</xdr:row>
      <xdr:rowOff>161925</xdr:rowOff>
    </xdr:from>
    <xdr:to>
      <xdr:col>3</xdr:col>
      <xdr:colOff>228600</xdr:colOff>
      <xdr:row>27</xdr:row>
      <xdr:rowOff>47625</xdr:rowOff>
    </xdr:to>
    <xdr:sp macro="" textlink="">
      <xdr:nvSpPr>
        <xdr:cNvPr id="59" name="Line 148">
          <a:extLst>
            <a:ext uri="{FF2B5EF4-FFF2-40B4-BE49-F238E27FC236}">
              <a16:creationId xmlns:a16="http://schemas.microsoft.com/office/drawing/2014/main" id="{00000000-0008-0000-0300-00003B000000}"/>
            </a:ext>
          </a:extLst>
        </xdr:cNvPr>
        <xdr:cNvSpPr>
          <a:spLocks noChangeShapeType="1"/>
        </xdr:cNvSpPr>
      </xdr:nvSpPr>
      <xdr:spPr bwMode="auto">
        <a:xfrm flipH="1">
          <a:off x="1990725" y="48006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257175</xdr:colOff>
      <xdr:row>28</xdr:row>
      <xdr:rowOff>152400</xdr:rowOff>
    </xdr:from>
    <xdr:to>
      <xdr:col>2</xdr:col>
      <xdr:colOff>419100</xdr:colOff>
      <xdr:row>30</xdr:row>
      <xdr:rowOff>0</xdr:rowOff>
    </xdr:to>
    <xdr:sp macro="" textlink="">
      <xdr:nvSpPr>
        <xdr:cNvPr id="60" name="Tegning 149">
          <a:extLst>
            <a:ext uri="{FF2B5EF4-FFF2-40B4-BE49-F238E27FC236}">
              <a16:creationId xmlns:a16="http://schemas.microsoft.com/office/drawing/2014/main" id="{00000000-0008-0000-0300-00003C000000}"/>
            </a:ext>
          </a:extLst>
        </xdr:cNvPr>
        <xdr:cNvSpPr>
          <a:spLocks/>
        </xdr:cNvSpPr>
      </xdr:nvSpPr>
      <xdr:spPr bwMode="auto">
        <a:xfrm>
          <a:off x="1533525" y="5172075"/>
          <a:ext cx="161925" cy="2286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104775</xdr:colOff>
      <xdr:row>28</xdr:row>
      <xdr:rowOff>152400</xdr:rowOff>
    </xdr:from>
    <xdr:to>
      <xdr:col>3</xdr:col>
      <xdr:colOff>266700</xdr:colOff>
      <xdr:row>29</xdr:row>
      <xdr:rowOff>200025</xdr:rowOff>
    </xdr:to>
    <xdr:sp macro="" textlink="">
      <xdr:nvSpPr>
        <xdr:cNvPr id="61" name="Tegning 150">
          <a:extLst>
            <a:ext uri="{FF2B5EF4-FFF2-40B4-BE49-F238E27FC236}">
              <a16:creationId xmlns:a16="http://schemas.microsoft.com/office/drawing/2014/main" id="{00000000-0008-0000-0300-00003D000000}"/>
            </a:ext>
          </a:extLst>
        </xdr:cNvPr>
        <xdr:cNvSpPr>
          <a:spLocks/>
        </xdr:cNvSpPr>
      </xdr:nvSpPr>
      <xdr:spPr bwMode="auto">
        <a:xfrm>
          <a:off x="1962150" y="5172075"/>
          <a:ext cx="161925" cy="2286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509" y="16384"/>
              </a:moveTo>
              <a:lnTo>
                <a:pt x="7509" y="0"/>
              </a:lnTo>
              <a:lnTo>
                <a:pt x="0" y="5149"/>
              </a:lnTo>
              <a:lnTo>
                <a:pt x="7509" y="0"/>
              </a:lnTo>
              <a:lnTo>
                <a:pt x="16384" y="6085"/>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190500</xdr:colOff>
      <xdr:row>29</xdr:row>
      <xdr:rowOff>0</xdr:rowOff>
    </xdr:from>
    <xdr:to>
      <xdr:col>2</xdr:col>
      <xdr:colOff>190500</xdr:colOff>
      <xdr:row>32</xdr:row>
      <xdr:rowOff>47625</xdr:rowOff>
    </xdr:to>
    <xdr:sp macro="" textlink="">
      <xdr:nvSpPr>
        <xdr:cNvPr id="62" name="Line 151">
          <a:extLst>
            <a:ext uri="{FF2B5EF4-FFF2-40B4-BE49-F238E27FC236}">
              <a16:creationId xmlns:a16="http://schemas.microsoft.com/office/drawing/2014/main" id="{00000000-0008-0000-0300-00003E000000}"/>
            </a:ext>
          </a:extLst>
        </xdr:cNvPr>
        <xdr:cNvSpPr>
          <a:spLocks noChangeShapeType="1"/>
        </xdr:cNvSpPr>
      </xdr:nvSpPr>
      <xdr:spPr bwMode="auto">
        <a:xfrm>
          <a:off x="1466850" y="521017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304800</xdr:colOff>
      <xdr:row>28</xdr:row>
      <xdr:rowOff>190500</xdr:rowOff>
    </xdr:from>
    <xdr:to>
      <xdr:col>3</xdr:col>
      <xdr:colOff>304800</xdr:colOff>
      <xdr:row>32</xdr:row>
      <xdr:rowOff>28575</xdr:rowOff>
    </xdr:to>
    <xdr:sp macro="" textlink="">
      <xdr:nvSpPr>
        <xdr:cNvPr id="63" name="Line 152">
          <a:extLst>
            <a:ext uri="{FF2B5EF4-FFF2-40B4-BE49-F238E27FC236}">
              <a16:creationId xmlns:a16="http://schemas.microsoft.com/office/drawing/2014/main" id="{00000000-0008-0000-0300-00003F000000}"/>
            </a:ext>
          </a:extLst>
        </xdr:cNvPr>
        <xdr:cNvSpPr>
          <a:spLocks noChangeShapeType="1"/>
        </xdr:cNvSpPr>
      </xdr:nvSpPr>
      <xdr:spPr bwMode="auto">
        <a:xfrm>
          <a:off x="2162175" y="5210175"/>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31</xdr:row>
      <xdr:rowOff>161925</xdr:rowOff>
    </xdr:from>
    <xdr:to>
      <xdr:col>4</xdr:col>
      <xdr:colOff>0</xdr:colOff>
      <xdr:row>31</xdr:row>
      <xdr:rowOff>161925</xdr:rowOff>
    </xdr:to>
    <xdr:sp macro="" textlink="">
      <xdr:nvSpPr>
        <xdr:cNvPr id="64" name="Line 153">
          <a:extLst>
            <a:ext uri="{FF2B5EF4-FFF2-40B4-BE49-F238E27FC236}">
              <a16:creationId xmlns:a16="http://schemas.microsoft.com/office/drawing/2014/main" id="{00000000-0008-0000-0300-000040000000}"/>
            </a:ext>
          </a:extLst>
        </xdr:cNvPr>
        <xdr:cNvSpPr>
          <a:spLocks noChangeShapeType="1"/>
        </xdr:cNvSpPr>
      </xdr:nvSpPr>
      <xdr:spPr bwMode="auto">
        <a:xfrm>
          <a:off x="1447800" y="5753100"/>
          <a:ext cx="781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257175</xdr:colOff>
      <xdr:row>31</xdr:row>
      <xdr:rowOff>123825</xdr:rowOff>
    </xdr:from>
    <xdr:to>
      <xdr:col>4</xdr:col>
      <xdr:colOff>0</xdr:colOff>
      <xdr:row>32</xdr:row>
      <xdr:rowOff>19050</xdr:rowOff>
    </xdr:to>
    <xdr:sp macro="" textlink="">
      <xdr:nvSpPr>
        <xdr:cNvPr id="65" name="Line 154">
          <a:extLst>
            <a:ext uri="{FF2B5EF4-FFF2-40B4-BE49-F238E27FC236}">
              <a16:creationId xmlns:a16="http://schemas.microsoft.com/office/drawing/2014/main" id="{00000000-0008-0000-0300-000041000000}"/>
            </a:ext>
          </a:extLst>
        </xdr:cNvPr>
        <xdr:cNvSpPr>
          <a:spLocks noChangeShapeType="1"/>
        </xdr:cNvSpPr>
      </xdr:nvSpPr>
      <xdr:spPr bwMode="auto">
        <a:xfrm flipH="1">
          <a:off x="2114550" y="5715000"/>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31</xdr:row>
      <xdr:rowOff>142875</xdr:rowOff>
    </xdr:from>
    <xdr:to>
      <xdr:col>2</xdr:col>
      <xdr:colOff>219075</xdr:colOff>
      <xdr:row>32</xdr:row>
      <xdr:rowOff>19050</xdr:rowOff>
    </xdr:to>
    <xdr:sp macro="" textlink="">
      <xdr:nvSpPr>
        <xdr:cNvPr id="66" name="Line 155">
          <a:extLst>
            <a:ext uri="{FF2B5EF4-FFF2-40B4-BE49-F238E27FC236}">
              <a16:creationId xmlns:a16="http://schemas.microsoft.com/office/drawing/2014/main" id="{00000000-0008-0000-0300-000042000000}"/>
            </a:ext>
          </a:extLst>
        </xdr:cNvPr>
        <xdr:cNvSpPr>
          <a:spLocks noChangeShapeType="1"/>
        </xdr:cNvSpPr>
      </xdr:nvSpPr>
      <xdr:spPr bwMode="auto">
        <a:xfrm flipH="1">
          <a:off x="1438275" y="5734050"/>
          <a:ext cx="571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19050</xdr:colOff>
      <xdr:row>20</xdr:row>
      <xdr:rowOff>66675</xdr:rowOff>
    </xdr:from>
    <xdr:to>
      <xdr:col>5</xdr:col>
      <xdr:colOff>114300</xdr:colOff>
      <xdr:row>20</xdr:row>
      <xdr:rowOff>66675</xdr:rowOff>
    </xdr:to>
    <xdr:sp macro="" textlink="">
      <xdr:nvSpPr>
        <xdr:cNvPr id="67" name="Line 156">
          <a:extLst>
            <a:ext uri="{FF2B5EF4-FFF2-40B4-BE49-F238E27FC236}">
              <a16:creationId xmlns:a16="http://schemas.microsoft.com/office/drawing/2014/main" id="{00000000-0008-0000-0300-000043000000}"/>
            </a:ext>
          </a:extLst>
        </xdr:cNvPr>
        <xdr:cNvSpPr>
          <a:spLocks noChangeShapeType="1"/>
        </xdr:cNvSpPr>
      </xdr:nvSpPr>
      <xdr:spPr bwMode="auto">
        <a:xfrm>
          <a:off x="2247900" y="3562350"/>
          <a:ext cx="4191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20</xdr:row>
      <xdr:rowOff>28575</xdr:rowOff>
    </xdr:from>
    <xdr:to>
      <xdr:col>5</xdr:col>
      <xdr:colOff>85725</xdr:colOff>
      <xdr:row>25</xdr:row>
      <xdr:rowOff>0</xdr:rowOff>
    </xdr:to>
    <xdr:sp macro="" textlink="">
      <xdr:nvSpPr>
        <xdr:cNvPr id="68" name="Line 157">
          <a:extLst>
            <a:ext uri="{FF2B5EF4-FFF2-40B4-BE49-F238E27FC236}">
              <a16:creationId xmlns:a16="http://schemas.microsoft.com/office/drawing/2014/main" id="{00000000-0008-0000-0300-000044000000}"/>
            </a:ext>
          </a:extLst>
        </xdr:cNvPr>
        <xdr:cNvSpPr>
          <a:spLocks noChangeShapeType="1"/>
        </xdr:cNvSpPr>
      </xdr:nvSpPr>
      <xdr:spPr bwMode="auto">
        <a:xfrm>
          <a:off x="2638425" y="3524250"/>
          <a:ext cx="0" cy="923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9525</xdr:colOff>
      <xdr:row>25</xdr:row>
      <xdr:rowOff>0</xdr:rowOff>
    </xdr:from>
    <xdr:to>
      <xdr:col>5</xdr:col>
      <xdr:colOff>152400</xdr:colOff>
      <xdr:row>25</xdr:row>
      <xdr:rowOff>0</xdr:rowOff>
    </xdr:to>
    <xdr:sp macro="" textlink="">
      <xdr:nvSpPr>
        <xdr:cNvPr id="69" name="Line 158">
          <a:extLst>
            <a:ext uri="{FF2B5EF4-FFF2-40B4-BE49-F238E27FC236}">
              <a16:creationId xmlns:a16="http://schemas.microsoft.com/office/drawing/2014/main" id="{00000000-0008-0000-0300-000045000000}"/>
            </a:ext>
          </a:extLst>
        </xdr:cNvPr>
        <xdr:cNvSpPr>
          <a:spLocks noChangeShapeType="1"/>
        </xdr:cNvSpPr>
      </xdr:nvSpPr>
      <xdr:spPr bwMode="auto">
        <a:xfrm>
          <a:off x="2238375" y="4448175"/>
          <a:ext cx="4667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20</xdr:row>
      <xdr:rowOff>28575</xdr:rowOff>
    </xdr:from>
    <xdr:to>
      <xdr:col>5</xdr:col>
      <xdr:colOff>123825</xdr:colOff>
      <xdr:row>20</xdr:row>
      <xdr:rowOff>104775</xdr:rowOff>
    </xdr:to>
    <xdr:sp macro="" textlink="">
      <xdr:nvSpPr>
        <xdr:cNvPr id="70" name="Line 159">
          <a:extLst>
            <a:ext uri="{FF2B5EF4-FFF2-40B4-BE49-F238E27FC236}">
              <a16:creationId xmlns:a16="http://schemas.microsoft.com/office/drawing/2014/main" id="{00000000-0008-0000-0300-000046000000}"/>
            </a:ext>
          </a:extLst>
        </xdr:cNvPr>
        <xdr:cNvSpPr>
          <a:spLocks noChangeShapeType="1"/>
        </xdr:cNvSpPr>
      </xdr:nvSpPr>
      <xdr:spPr bwMode="auto">
        <a:xfrm flipH="1">
          <a:off x="2600325" y="35242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24</xdr:row>
      <xdr:rowOff>142875</xdr:rowOff>
    </xdr:from>
    <xdr:to>
      <xdr:col>5</xdr:col>
      <xdr:colOff>123825</xdr:colOff>
      <xdr:row>25</xdr:row>
      <xdr:rowOff>28575</xdr:rowOff>
    </xdr:to>
    <xdr:sp macro="" textlink="">
      <xdr:nvSpPr>
        <xdr:cNvPr id="71" name="Line 160">
          <a:extLst>
            <a:ext uri="{FF2B5EF4-FFF2-40B4-BE49-F238E27FC236}">
              <a16:creationId xmlns:a16="http://schemas.microsoft.com/office/drawing/2014/main" id="{00000000-0008-0000-0300-000047000000}"/>
            </a:ext>
          </a:extLst>
        </xdr:cNvPr>
        <xdr:cNvSpPr>
          <a:spLocks noChangeShapeType="1"/>
        </xdr:cNvSpPr>
      </xdr:nvSpPr>
      <xdr:spPr bwMode="auto">
        <a:xfrm flipH="1">
          <a:off x="2600325" y="44005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647700</xdr:colOff>
      <xdr:row>19</xdr:row>
      <xdr:rowOff>180975</xdr:rowOff>
    </xdr:from>
    <xdr:to>
      <xdr:col>5</xdr:col>
      <xdr:colOff>647700</xdr:colOff>
      <xdr:row>25</xdr:row>
      <xdr:rowOff>85725</xdr:rowOff>
    </xdr:to>
    <xdr:sp macro="" textlink="">
      <xdr:nvSpPr>
        <xdr:cNvPr id="72" name="Line 161">
          <a:extLst>
            <a:ext uri="{FF2B5EF4-FFF2-40B4-BE49-F238E27FC236}">
              <a16:creationId xmlns:a16="http://schemas.microsoft.com/office/drawing/2014/main" id="{00000000-0008-0000-0300-000048000000}"/>
            </a:ext>
          </a:extLst>
        </xdr:cNvPr>
        <xdr:cNvSpPr>
          <a:spLocks noChangeShapeType="1"/>
        </xdr:cNvSpPr>
      </xdr:nvSpPr>
      <xdr:spPr bwMode="auto">
        <a:xfrm>
          <a:off x="3200400" y="3486150"/>
          <a:ext cx="0" cy="1047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25</xdr:row>
      <xdr:rowOff>57150</xdr:rowOff>
    </xdr:from>
    <xdr:to>
      <xdr:col>5</xdr:col>
      <xdr:colOff>685800</xdr:colOff>
      <xdr:row>25</xdr:row>
      <xdr:rowOff>57150</xdr:rowOff>
    </xdr:to>
    <xdr:sp macro="" textlink="">
      <xdr:nvSpPr>
        <xdr:cNvPr id="73" name="Line 162">
          <a:extLst>
            <a:ext uri="{FF2B5EF4-FFF2-40B4-BE49-F238E27FC236}">
              <a16:creationId xmlns:a16="http://schemas.microsoft.com/office/drawing/2014/main" id="{00000000-0008-0000-0300-000049000000}"/>
            </a:ext>
          </a:extLst>
        </xdr:cNvPr>
        <xdr:cNvSpPr>
          <a:spLocks noChangeShapeType="1"/>
        </xdr:cNvSpPr>
      </xdr:nvSpPr>
      <xdr:spPr bwMode="auto">
        <a:xfrm>
          <a:off x="3095625" y="4505325"/>
          <a:ext cx="142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600075</xdr:colOff>
      <xdr:row>25</xdr:row>
      <xdr:rowOff>19050</xdr:rowOff>
    </xdr:from>
    <xdr:to>
      <xdr:col>5</xdr:col>
      <xdr:colOff>676275</xdr:colOff>
      <xdr:row>25</xdr:row>
      <xdr:rowOff>123825</xdr:rowOff>
    </xdr:to>
    <xdr:sp macro="" textlink="">
      <xdr:nvSpPr>
        <xdr:cNvPr id="74" name="Line 163">
          <a:extLst>
            <a:ext uri="{FF2B5EF4-FFF2-40B4-BE49-F238E27FC236}">
              <a16:creationId xmlns:a16="http://schemas.microsoft.com/office/drawing/2014/main" id="{00000000-0008-0000-0300-00004A000000}"/>
            </a:ext>
          </a:extLst>
        </xdr:cNvPr>
        <xdr:cNvSpPr>
          <a:spLocks noChangeShapeType="1"/>
        </xdr:cNvSpPr>
      </xdr:nvSpPr>
      <xdr:spPr bwMode="auto">
        <a:xfrm flipH="1">
          <a:off x="3152775" y="4467225"/>
          <a:ext cx="762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19</xdr:row>
      <xdr:rowOff>180975</xdr:rowOff>
    </xdr:from>
    <xdr:to>
      <xdr:col>5</xdr:col>
      <xdr:colOff>695325</xdr:colOff>
      <xdr:row>19</xdr:row>
      <xdr:rowOff>180975</xdr:rowOff>
    </xdr:to>
    <xdr:sp macro="" textlink="">
      <xdr:nvSpPr>
        <xdr:cNvPr id="75" name="Line 164">
          <a:extLst>
            <a:ext uri="{FF2B5EF4-FFF2-40B4-BE49-F238E27FC236}">
              <a16:creationId xmlns:a16="http://schemas.microsoft.com/office/drawing/2014/main" id="{00000000-0008-0000-0300-00004B000000}"/>
            </a:ext>
          </a:extLst>
        </xdr:cNvPr>
        <xdr:cNvSpPr>
          <a:spLocks noChangeShapeType="1"/>
        </xdr:cNvSpPr>
      </xdr:nvSpPr>
      <xdr:spPr bwMode="auto">
        <a:xfrm>
          <a:off x="3124200" y="3486150"/>
          <a:ext cx="1238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609600</xdr:colOff>
      <xdr:row>19</xdr:row>
      <xdr:rowOff>133350</xdr:rowOff>
    </xdr:from>
    <xdr:to>
      <xdr:col>5</xdr:col>
      <xdr:colOff>685800</xdr:colOff>
      <xdr:row>20</xdr:row>
      <xdr:rowOff>19050</xdr:rowOff>
    </xdr:to>
    <xdr:sp macro="" textlink="">
      <xdr:nvSpPr>
        <xdr:cNvPr id="76" name="Line 165">
          <a:extLst>
            <a:ext uri="{FF2B5EF4-FFF2-40B4-BE49-F238E27FC236}">
              <a16:creationId xmlns:a16="http://schemas.microsoft.com/office/drawing/2014/main" id="{00000000-0008-0000-0300-00004C000000}"/>
            </a:ext>
          </a:extLst>
        </xdr:cNvPr>
        <xdr:cNvSpPr>
          <a:spLocks noChangeShapeType="1"/>
        </xdr:cNvSpPr>
      </xdr:nvSpPr>
      <xdr:spPr bwMode="auto">
        <a:xfrm flipH="1">
          <a:off x="3162300" y="343852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27</xdr:row>
      <xdr:rowOff>190500</xdr:rowOff>
    </xdr:from>
    <xdr:to>
      <xdr:col>5</xdr:col>
      <xdr:colOff>0</xdr:colOff>
      <xdr:row>28</xdr:row>
      <xdr:rowOff>152400</xdr:rowOff>
    </xdr:to>
    <xdr:sp macro="" textlink="">
      <xdr:nvSpPr>
        <xdr:cNvPr id="77" name="Tegning 166">
          <a:extLst>
            <a:ext uri="{FF2B5EF4-FFF2-40B4-BE49-F238E27FC236}">
              <a16:creationId xmlns:a16="http://schemas.microsoft.com/office/drawing/2014/main" id="{00000000-0008-0000-0300-00004D000000}"/>
            </a:ext>
          </a:extLst>
        </xdr:cNvPr>
        <xdr:cNvSpPr>
          <a:spLocks/>
        </xdr:cNvSpPr>
      </xdr:nvSpPr>
      <xdr:spPr bwMode="auto">
        <a:xfrm>
          <a:off x="2295525" y="5019675"/>
          <a:ext cx="257175" cy="1524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0" y="0"/>
              </a:moveTo>
              <a:lnTo>
                <a:pt x="0" y="7607"/>
              </a:lnTo>
              <a:lnTo>
                <a:pt x="8764" y="7607"/>
              </a:lnTo>
              <a:lnTo>
                <a:pt x="8764"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333375</xdr:colOff>
      <xdr:row>19</xdr:row>
      <xdr:rowOff>180975</xdr:rowOff>
    </xdr:from>
    <xdr:to>
      <xdr:col>5</xdr:col>
      <xdr:colOff>419100</xdr:colOff>
      <xdr:row>20</xdr:row>
      <xdr:rowOff>66675</xdr:rowOff>
    </xdr:to>
    <xdr:sp macro="" textlink="">
      <xdr:nvSpPr>
        <xdr:cNvPr id="78" name="Line 167">
          <a:extLst>
            <a:ext uri="{FF2B5EF4-FFF2-40B4-BE49-F238E27FC236}">
              <a16:creationId xmlns:a16="http://schemas.microsoft.com/office/drawing/2014/main" id="{00000000-0008-0000-0300-00004E000000}"/>
            </a:ext>
          </a:extLst>
        </xdr:cNvPr>
        <xdr:cNvSpPr>
          <a:spLocks noChangeShapeType="1"/>
        </xdr:cNvSpPr>
      </xdr:nvSpPr>
      <xdr:spPr bwMode="auto">
        <a:xfrm>
          <a:off x="2886075" y="34861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28</xdr:row>
      <xdr:rowOff>28575</xdr:rowOff>
    </xdr:from>
    <xdr:to>
      <xdr:col>2</xdr:col>
      <xdr:colOff>361950</xdr:colOff>
      <xdr:row>28</xdr:row>
      <xdr:rowOff>76200</xdr:rowOff>
    </xdr:to>
    <xdr:sp macro="" textlink="">
      <xdr:nvSpPr>
        <xdr:cNvPr id="79" name="Oval 168">
          <a:extLst>
            <a:ext uri="{FF2B5EF4-FFF2-40B4-BE49-F238E27FC236}">
              <a16:creationId xmlns:a16="http://schemas.microsoft.com/office/drawing/2014/main" id="{00000000-0008-0000-0300-00004F000000}"/>
            </a:ext>
          </a:extLst>
        </xdr:cNvPr>
        <xdr:cNvSpPr>
          <a:spLocks noChangeArrowheads="1"/>
        </xdr:cNvSpPr>
      </xdr:nvSpPr>
      <xdr:spPr bwMode="auto">
        <a:xfrm>
          <a:off x="1590675" y="5048250"/>
          <a:ext cx="47625" cy="476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171450</xdr:colOff>
      <xdr:row>34</xdr:row>
      <xdr:rowOff>0</xdr:rowOff>
    </xdr:from>
    <xdr:to>
      <xdr:col>5</xdr:col>
      <xdr:colOff>400050</xdr:colOff>
      <xdr:row>35</xdr:row>
      <xdr:rowOff>85725</xdr:rowOff>
    </xdr:to>
    <xdr:sp macro="" textlink="">
      <xdr:nvSpPr>
        <xdr:cNvPr id="80" name="Tegning 169">
          <a:extLst>
            <a:ext uri="{FF2B5EF4-FFF2-40B4-BE49-F238E27FC236}">
              <a16:creationId xmlns:a16="http://schemas.microsoft.com/office/drawing/2014/main" id="{00000000-0008-0000-0300-000050000000}"/>
            </a:ext>
          </a:extLst>
        </xdr:cNvPr>
        <xdr:cNvSpPr>
          <a:spLocks/>
        </xdr:cNvSpPr>
      </xdr:nvSpPr>
      <xdr:spPr bwMode="auto">
        <a:xfrm>
          <a:off x="2028825" y="6162675"/>
          <a:ext cx="923925" cy="27622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12971" y="0"/>
              </a:lnTo>
              <a:lnTo>
                <a:pt x="12971" y="8192"/>
              </a:lnTo>
              <a:lnTo>
                <a:pt x="16384" y="8192"/>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33</xdr:row>
      <xdr:rowOff>104775</xdr:rowOff>
    </xdr:from>
    <xdr:to>
      <xdr:col>5</xdr:col>
      <xdr:colOff>428625</xdr:colOff>
      <xdr:row>33</xdr:row>
      <xdr:rowOff>104775</xdr:rowOff>
    </xdr:to>
    <xdr:sp macro="" textlink="">
      <xdr:nvSpPr>
        <xdr:cNvPr id="81" name="Line 170">
          <a:extLst>
            <a:ext uri="{FF2B5EF4-FFF2-40B4-BE49-F238E27FC236}">
              <a16:creationId xmlns:a16="http://schemas.microsoft.com/office/drawing/2014/main" id="{00000000-0008-0000-0300-000051000000}"/>
            </a:ext>
          </a:extLst>
        </xdr:cNvPr>
        <xdr:cNvSpPr>
          <a:spLocks noChangeShapeType="1"/>
        </xdr:cNvSpPr>
      </xdr:nvSpPr>
      <xdr:spPr bwMode="auto">
        <a:xfrm>
          <a:off x="2762250" y="6076950"/>
          <a:ext cx="2190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352425</xdr:colOff>
      <xdr:row>33</xdr:row>
      <xdr:rowOff>66675</xdr:rowOff>
    </xdr:from>
    <xdr:to>
      <xdr:col>5</xdr:col>
      <xdr:colOff>428625</xdr:colOff>
      <xdr:row>33</xdr:row>
      <xdr:rowOff>142875</xdr:rowOff>
    </xdr:to>
    <xdr:sp macro="" textlink="">
      <xdr:nvSpPr>
        <xdr:cNvPr id="82" name="Line 171">
          <a:extLst>
            <a:ext uri="{FF2B5EF4-FFF2-40B4-BE49-F238E27FC236}">
              <a16:creationId xmlns:a16="http://schemas.microsoft.com/office/drawing/2014/main" id="{00000000-0008-0000-0300-000052000000}"/>
            </a:ext>
          </a:extLst>
        </xdr:cNvPr>
        <xdr:cNvSpPr>
          <a:spLocks noChangeShapeType="1"/>
        </xdr:cNvSpPr>
      </xdr:nvSpPr>
      <xdr:spPr bwMode="auto">
        <a:xfrm flipH="1">
          <a:off x="2905125" y="60388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34</xdr:row>
      <xdr:rowOff>9525</xdr:rowOff>
    </xdr:from>
    <xdr:to>
      <xdr:col>4</xdr:col>
      <xdr:colOff>295275</xdr:colOff>
      <xdr:row>35</xdr:row>
      <xdr:rowOff>85725</xdr:rowOff>
    </xdr:to>
    <xdr:sp macro="" textlink="">
      <xdr:nvSpPr>
        <xdr:cNvPr id="83" name="Tegning 172">
          <a:extLst>
            <a:ext uri="{FF2B5EF4-FFF2-40B4-BE49-F238E27FC236}">
              <a16:creationId xmlns:a16="http://schemas.microsoft.com/office/drawing/2014/main" id="{00000000-0008-0000-0300-000053000000}"/>
            </a:ext>
          </a:extLst>
        </xdr:cNvPr>
        <xdr:cNvSpPr>
          <a:spLocks/>
        </xdr:cNvSpPr>
      </xdr:nvSpPr>
      <xdr:spPr bwMode="auto">
        <a:xfrm>
          <a:off x="2333625" y="6172200"/>
          <a:ext cx="190500" cy="266700"/>
        </a:xfrm>
        <a:custGeom>
          <a:avLst/>
          <a:gdLst>
            <a:gd name="T0" fmla="*/ 2147483646 w 16384"/>
            <a:gd name="T1" fmla="*/ 0 h 16384"/>
            <a:gd name="T2" fmla="*/ 2147483646 w 16384"/>
            <a:gd name="T3" fmla="*/ 2147483646 h 16384"/>
            <a:gd name="T4" fmla="*/ 0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384" y="0"/>
              </a:moveTo>
              <a:lnTo>
                <a:pt x="16384" y="8192"/>
              </a:lnTo>
              <a:lnTo>
                <a:pt x="0"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228600</xdr:colOff>
      <xdr:row>32</xdr:row>
      <xdr:rowOff>123825</xdr:rowOff>
    </xdr:from>
    <xdr:to>
      <xdr:col>5</xdr:col>
      <xdr:colOff>381000</xdr:colOff>
      <xdr:row>32</xdr:row>
      <xdr:rowOff>123825</xdr:rowOff>
    </xdr:to>
    <xdr:sp macro="" textlink="">
      <xdr:nvSpPr>
        <xdr:cNvPr id="84" name="Line 173">
          <a:extLst>
            <a:ext uri="{FF2B5EF4-FFF2-40B4-BE49-F238E27FC236}">
              <a16:creationId xmlns:a16="http://schemas.microsoft.com/office/drawing/2014/main" id="{00000000-0008-0000-0300-000054000000}"/>
            </a:ext>
          </a:extLst>
        </xdr:cNvPr>
        <xdr:cNvSpPr>
          <a:spLocks noChangeShapeType="1"/>
        </xdr:cNvSpPr>
      </xdr:nvSpPr>
      <xdr:spPr bwMode="auto">
        <a:xfrm>
          <a:off x="2457450" y="5905500"/>
          <a:ext cx="476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295275</xdr:colOff>
      <xdr:row>32</xdr:row>
      <xdr:rowOff>76200</xdr:rowOff>
    </xdr:from>
    <xdr:to>
      <xdr:col>4</xdr:col>
      <xdr:colOff>295275</xdr:colOff>
      <xdr:row>33</xdr:row>
      <xdr:rowOff>142875</xdr:rowOff>
    </xdr:to>
    <xdr:sp macro="" textlink="">
      <xdr:nvSpPr>
        <xdr:cNvPr id="85" name="Line 174">
          <a:extLst>
            <a:ext uri="{FF2B5EF4-FFF2-40B4-BE49-F238E27FC236}">
              <a16:creationId xmlns:a16="http://schemas.microsoft.com/office/drawing/2014/main" id="{00000000-0008-0000-0300-000055000000}"/>
            </a:ext>
          </a:extLst>
        </xdr:cNvPr>
        <xdr:cNvSpPr>
          <a:spLocks noChangeShapeType="1"/>
        </xdr:cNvSpPr>
      </xdr:nvSpPr>
      <xdr:spPr bwMode="auto">
        <a:xfrm>
          <a:off x="2524125" y="585787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32</xdr:row>
      <xdr:rowOff>76200</xdr:rowOff>
    </xdr:from>
    <xdr:to>
      <xdr:col>5</xdr:col>
      <xdr:colOff>228600</xdr:colOff>
      <xdr:row>33</xdr:row>
      <xdr:rowOff>171450</xdr:rowOff>
    </xdr:to>
    <xdr:sp macro="" textlink="">
      <xdr:nvSpPr>
        <xdr:cNvPr id="86" name="Line 175">
          <a:extLst>
            <a:ext uri="{FF2B5EF4-FFF2-40B4-BE49-F238E27FC236}">
              <a16:creationId xmlns:a16="http://schemas.microsoft.com/office/drawing/2014/main" id="{00000000-0008-0000-0300-000056000000}"/>
            </a:ext>
          </a:extLst>
        </xdr:cNvPr>
        <xdr:cNvSpPr>
          <a:spLocks noChangeShapeType="1"/>
        </xdr:cNvSpPr>
      </xdr:nvSpPr>
      <xdr:spPr bwMode="auto">
        <a:xfrm>
          <a:off x="2781300" y="585787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20</xdr:row>
      <xdr:rowOff>142875</xdr:rowOff>
    </xdr:from>
    <xdr:to>
      <xdr:col>3</xdr:col>
      <xdr:colOff>85725</xdr:colOff>
      <xdr:row>24</xdr:row>
      <xdr:rowOff>152400</xdr:rowOff>
    </xdr:to>
    <xdr:sp macro="" textlink="">
      <xdr:nvSpPr>
        <xdr:cNvPr id="87" name="Line 176">
          <a:extLst>
            <a:ext uri="{FF2B5EF4-FFF2-40B4-BE49-F238E27FC236}">
              <a16:creationId xmlns:a16="http://schemas.microsoft.com/office/drawing/2014/main" id="{00000000-0008-0000-0300-000057000000}"/>
            </a:ext>
          </a:extLst>
        </xdr:cNvPr>
        <xdr:cNvSpPr>
          <a:spLocks noChangeShapeType="1"/>
        </xdr:cNvSpPr>
      </xdr:nvSpPr>
      <xdr:spPr bwMode="auto">
        <a:xfrm>
          <a:off x="1943100" y="3638550"/>
          <a:ext cx="0" cy="771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428625</xdr:colOff>
      <xdr:row>21</xdr:row>
      <xdr:rowOff>0</xdr:rowOff>
    </xdr:from>
    <xdr:to>
      <xdr:col>2</xdr:col>
      <xdr:colOff>428625</xdr:colOff>
      <xdr:row>24</xdr:row>
      <xdr:rowOff>28575</xdr:rowOff>
    </xdr:to>
    <xdr:sp macro="" textlink="">
      <xdr:nvSpPr>
        <xdr:cNvPr id="88" name="Line 177">
          <a:extLst>
            <a:ext uri="{FF2B5EF4-FFF2-40B4-BE49-F238E27FC236}">
              <a16:creationId xmlns:a16="http://schemas.microsoft.com/office/drawing/2014/main" id="{00000000-0008-0000-0300-000058000000}"/>
            </a:ext>
          </a:extLst>
        </xdr:cNvPr>
        <xdr:cNvSpPr>
          <a:spLocks noChangeShapeType="1"/>
        </xdr:cNvSpPr>
      </xdr:nvSpPr>
      <xdr:spPr bwMode="auto">
        <a:xfrm flipV="1">
          <a:off x="1704975" y="3686175"/>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23</xdr:row>
      <xdr:rowOff>180975</xdr:rowOff>
    </xdr:from>
    <xdr:to>
      <xdr:col>2</xdr:col>
      <xdr:colOff>476250</xdr:colOff>
      <xdr:row>24</xdr:row>
      <xdr:rowOff>47625</xdr:rowOff>
    </xdr:to>
    <xdr:sp macro="" textlink="">
      <xdr:nvSpPr>
        <xdr:cNvPr id="89" name="Tegning 178">
          <a:extLst>
            <a:ext uri="{FF2B5EF4-FFF2-40B4-BE49-F238E27FC236}">
              <a16:creationId xmlns:a16="http://schemas.microsoft.com/office/drawing/2014/main" id="{00000000-0008-0000-0300-000059000000}"/>
            </a:ext>
          </a:extLst>
        </xdr:cNvPr>
        <xdr:cNvSpPr>
          <a:spLocks/>
        </xdr:cNvSpPr>
      </xdr:nvSpPr>
      <xdr:spPr bwMode="auto">
        <a:xfrm>
          <a:off x="1638300" y="4248150"/>
          <a:ext cx="114300" cy="57150"/>
        </a:xfrm>
        <a:custGeom>
          <a:avLst/>
          <a:gdLst>
            <a:gd name="T0" fmla="*/ 2147483646 w 16384"/>
            <a:gd name="T1" fmla="*/ 0 h 16384"/>
            <a:gd name="T2" fmla="*/ 2147483646 w 16384"/>
            <a:gd name="T3" fmla="*/ 2147483646 h 16384"/>
            <a:gd name="T4" fmla="*/ 0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8192" y="16384"/>
              </a:lnTo>
              <a:lnTo>
                <a:pt x="0"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114300</xdr:colOff>
      <xdr:row>35</xdr:row>
      <xdr:rowOff>171450</xdr:rowOff>
    </xdr:from>
    <xdr:to>
      <xdr:col>5</xdr:col>
      <xdr:colOff>695325</xdr:colOff>
      <xdr:row>35</xdr:row>
      <xdr:rowOff>171450</xdr:rowOff>
    </xdr:to>
    <xdr:sp macro="" textlink="">
      <xdr:nvSpPr>
        <xdr:cNvPr id="90" name="Line 179">
          <a:extLst>
            <a:ext uri="{FF2B5EF4-FFF2-40B4-BE49-F238E27FC236}">
              <a16:creationId xmlns:a16="http://schemas.microsoft.com/office/drawing/2014/main" id="{00000000-0008-0000-0300-00005A000000}"/>
            </a:ext>
          </a:extLst>
        </xdr:cNvPr>
        <xdr:cNvSpPr>
          <a:spLocks noChangeShapeType="1"/>
        </xdr:cNvSpPr>
      </xdr:nvSpPr>
      <xdr:spPr bwMode="auto">
        <a:xfrm>
          <a:off x="2667000" y="6524625"/>
          <a:ext cx="581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400050</xdr:colOff>
      <xdr:row>33</xdr:row>
      <xdr:rowOff>66675</xdr:rowOff>
    </xdr:from>
    <xdr:to>
      <xdr:col>5</xdr:col>
      <xdr:colOff>400050</xdr:colOff>
      <xdr:row>34</xdr:row>
      <xdr:rowOff>95250</xdr:rowOff>
    </xdr:to>
    <xdr:sp macro="" textlink="">
      <xdr:nvSpPr>
        <xdr:cNvPr id="91" name="Line 180">
          <a:extLst>
            <a:ext uri="{FF2B5EF4-FFF2-40B4-BE49-F238E27FC236}">
              <a16:creationId xmlns:a16="http://schemas.microsoft.com/office/drawing/2014/main" id="{00000000-0008-0000-0300-00005B000000}"/>
            </a:ext>
          </a:extLst>
        </xdr:cNvPr>
        <xdr:cNvSpPr>
          <a:spLocks noChangeShapeType="1"/>
        </xdr:cNvSpPr>
      </xdr:nvSpPr>
      <xdr:spPr bwMode="auto">
        <a:xfrm flipV="1">
          <a:off x="2952750" y="6038850"/>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35</xdr:row>
      <xdr:rowOff>133350</xdr:rowOff>
    </xdr:from>
    <xdr:to>
      <xdr:col>4</xdr:col>
      <xdr:colOff>104775</xdr:colOff>
      <xdr:row>37</xdr:row>
      <xdr:rowOff>28575</xdr:rowOff>
    </xdr:to>
    <xdr:sp macro="" textlink="">
      <xdr:nvSpPr>
        <xdr:cNvPr id="92" name="Line 181">
          <a:extLst>
            <a:ext uri="{FF2B5EF4-FFF2-40B4-BE49-F238E27FC236}">
              <a16:creationId xmlns:a16="http://schemas.microsoft.com/office/drawing/2014/main" id="{00000000-0008-0000-0300-00005C000000}"/>
            </a:ext>
          </a:extLst>
        </xdr:cNvPr>
        <xdr:cNvSpPr>
          <a:spLocks noChangeShapeType="1"/>
        </xdr:cNvSpPr>
      </xdr:nvSpPr>
      <xdr:spPr bwMode="auto">
        <a:xfrm>
          <a:off x="2333625" y="6486525"/>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409575</xdr:colOff>
      <xdr:row>35</xdr:row>
      <xdr:rowOff>133350</xdr:rowOff>
    </xdr:from>
    <xdr:to>
      <xdr:col>5</xdr:col>
      <xdr:colOff>409575</xdr:colOff>
      <xdr:row>37</xdr:row>
      <xdr:rowOff>9525</xdr:rowOff>
    </xdr:to>
    <xdr:sp macro="" textlink="">
      <xdr:nvSpPr>
        <xdr:cNvPr id="93" name="Line 182">
          <a:extLst>
            <a:ext uri="{FF2B5EF4-FFF2-40B4-BE49-F238E27FC236}">
              <a16:creationId xmlns:a16="http://schemas.microsoft.com/office/drawing/2014/main" id="{00000000-0008-0000-0300-00005D000000}"/>
            </a:ext>
          </a:extLst>
        </xdr:cNvPr>
        <xdr:cNvSpPr>
          <a:spLocks noChangeShapeType="1"/>
        </xdr:cNvSpPr>
      </xdr:nvSpPr>
      <xdr:spPr bwMode="auto">
        <a:xfrm>
          <a:off x="2962275" y="6486525"/>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47625</xdr:colOff>
      <xdr:row>37</xdr:row>
      <xdr:rowOff>0</xdr:rowOff>
    </xdr:from>
    <xdr:to>
      <xdr:col>5</xdr:col>
      <xdr:colOff>476250</xdr:colOff>
      <xdr:row>37</xdr:row>
      <xdr:rowOff>0</xdr:rowOff>
    </xdr:to>
    <xdr:sp macro="" textlink="">
      <xdr:nvSpPr>
        <xdr:cNvPr id="94" name="Line 183">
          <a:extLst>
            <a:ext uri="{FF2B5EF4-FFF2-40B4-BE49-F238E27FC236}">
              <a16:creationId xmlns:a16="http://schemas.microsoft.com/office/drawing/2014/main" id="{00000000-0008-0000-0300-00005E000000}"/>
            </a:ext>
          </a:extLst>
        </xdr:cNvPr>
        <xdr:cNvSpPr>
          <a:spLocks noChangeShapeType="1"/>
        </xdr:cNvSpPr>
      </xdr:nvSpPr>
      <xdr:spPr bwMode="auto">
        <a:xfrm>
          <a:off x="2276475" y="6734175"/>
          <a:ext cx="752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66675</xdr:colOff>
      <xdr:row>36</xdr:row>
      <xdr:rowOff>152400</xdr:rowOff>
    </xdr:from>
    <xdr:to>
      <xdr:col>4</xdr:col>
      <xdr:colOff>142875</xdr:colOff>
      <xdr:row>37</xdr:row>
      <xdr:rowOff>38100</xdr:rowOff>
    </xdr:to>
    <xdr:sp macro="" textlink="">
      <xdr:nvSpPr>
        <xdr:cNvPr id="95" name="Line 184">
          <a:extLst>
            <a:ext uri="{FF2B5EF4-FFF2-40B4-BE49-F238E27FC236}">
              <a16:creationId xmlns:a16="http://schemas.microsoft.com/office/drawing/2014/main" id="{00000000-0008-0000-0300-00005F000000}"/>
            </a:ext>
          </a:extLst>
        </xdr:cNvPr>
        <xdr:cNvSpPr>
          <a:spLocks noChangeShapeType="1"/>
        </xdr:cNvSpPr>
      </xdr:nvSpPr>
      <xdr:spPr bwMode="auto">
        <a:xfrm flipH="1">
          <a:off x="2295525" y="66960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36</xdr:row>
      <xdr:rowOff>161925</xdr:rowOff>
    </xdr:from>
    <xdr:to>
      <xdr:col>5</xdr:col>
      <xdr:colOff>438150</xdr:colOff>
      <xdr:row>37</xdr:row>
      <xdr:rowOff>38100</xdr:rowOff>
    </xdr:to>
    <xdr:sp macro="" textlink="">
      <xdr:nvSpPr>
        <xdr:cNvPr id="96" name="Line 185">
          <a:extLst>
            <a:ext uri="{FF2B5EF4-FFF2-40B4-BE49-F238E27FC236}">
              <a16:creationId xmlns:a16="http://schemas.microsoft.com/office/drawing/2014/main" id="{00000000-0008-0000-0300-000060000000}"/>
            </a:ext>
          </a:extLst>
        </xdr:cNvPr>
        <xdr:cNvSpPr>
          <a:spLocks noChangeShapeType="1"/>
        </xdr:cNvSpPr>
      </xdr:nvSpPr>
      <xdr:spPr bwMode="auto">
        <a:xfrm flipH="1">
          <a:off x="2933700" y="6705600"/>
          <a:ext cx="571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35</xdr:row>
      <xdr:rowOff>133350</xdr:rowOff>
    </xdr:from>
    <xdr:to>
      <xdr:col>5</xdr:col>
      <xdr:colOff>142875</xdr:colOff>
      <xdr:row>36</xdr:row>
      <xdr:rowOff>9525</xdr:rowOff>
    </xdr:to>
    <xdr:sp macro="" textlink="">
      <xdr:nvSpPr>
        <xdr:cNvPr id="97" name="Line 186">
          <a:extLst>
            <a:ext uri="{FF2B5EF4-FFF2-40B4-BE49-F238E27FC236}">
              <a16:creationId xmlns:a16="http://schemas.microsoft.com/office/drawing/2014/main" id="{00000000-0008-0000-0300-000061000000}"/>
            </a:ext>
          </a:extLst>
        </xdr:cNvPr>
        <xdr:cNvSpPr>
          <a:spLocks noChangeShapeType="1"/>
        </xdr:cNvSpPr>
      </xdr:nvSpPr>
      <xdr:spPr bwMode="auto">
        <a:xfrm flipH="1">
          <a:off x="2619375" y="64865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371475</xdr:colOff>
      <xdr:row>35</xdr:row>
      <xdr:rowOff>133350</xdr:rowOff>
    </xdr:from>
    <xdr:to>
      <xdr:col>5</xdr:col>
      <xdr:colOff>438150</xdr:colOff>
      <xdr:row>36</xdr:row>
      <xdr:rowOff>9525</xdr:rowOff>
    </xdr:to>
    <xdr:sp macro="" textlink="">
      <xdr:nvSpPr>
        <xdr:cNvPr id="98" name="Line 187">
          <a:extLst>
            <a:ext uri="{FF2B5EF4-FFF2-40B4-BE49-F238E27FC236}">
              <a16:creationId xmlns:a16="http://schemas.microsoft.com/office/drawing/2014/main" id="{00000000-0008-0000-0300-000062000000}"/>
            </a:ext>
          </a:extLst>
        </xdr:cNvPr>
        <xdr:cNvSpPr>
          <a:spLocks noChangeShapeType="1"/>
        </xdr:cNvSpPr>
      </xdr:nvSpPr>
      <xdr:spPr bwMode="auto">
        <a:xfrm flipH="1">
          <a:off x="2924175" y="6486525"/>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257175</xdr:colOff>
      <xdr:row>32</xdr:row>
      <xdr:rowOff>76200</xdr:rowOff>
    </xdr:from>
    <xdr:to>
      <xdr:col>5</xdr:col>
      <xdr:colOff>0</xdr:colOff>
      <xdr:row>32</xdr:row>
      <xdr:rowOff>161925</xdr:rowOff>
    </xdr:to>
    <xdr:sp macro="" textlink="">
      <xdr:nvSpPr>
        <xdr:cNvPr id="99" name="Line 188">
          <a:extLst>
            <a:ext uri="{FF2B5EF4-FFF2-40B4-BE49-F238E27FC236}">
              <a16:creationId xmlns:a16="http://schemas.microsoft.com/office/drawing/2014/main" id="{00000000-0008-0000-0300-000063000000}"/>
            </a:ext>
          </a:extLst>
        </xdr:cNvPr>
        <xdr:cNvSpPr>
          <a:spLocks noChangeShapeType="1"/>
        </xdr:cNvSpPr>
      </xdr:nvSpPr>
      <xdr:spPr bwMode="auto">
        <a:xfrm flipH="1">
          <a:off x="2486025" y="5857875"/>
          <a:ext cx="666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32</xdr:row>
      <xdr:rowOff>76200</xdr:rowOff>
    </xdr:from>
    <xdr:to>
      <xdr:col>5</xdr:col>
      <xdr:colOff>266700</xdr:colOff>
      <xdr:row>32</xdr:row>
      <xdr:rowOff>161925</xdr:rowOff>
    </xdr:to>
    <xdr:sp macro="" textlink="">
      <xdr:nvSpPr>
        <xdr:cNvPr id="100" name="Line 189">
          <a:extLst>
            <a:ext uri="{FF2B5EF4-FFF2-40B4-BE49-F238E27FC236}">
              <a16:creationId xmlns:a16="http://schemas.microsoft.com/office/drawing/2014/main" id="{00000000-0008-0000-0300-000064000000}"/>
            </a:ext>
          </a:extLst>
        </xdr:cNvPr>
        <xdr:cNvSpPr>
          <a:spLocks noChangeShapeType="1"/>
        </xdr:cNvSpPr>
      </xdr:nvSpPr>
      <xdr:spPr bwMode="auto">
        <a:xfrm flipH="1">
          <a:off x="2743200" y="58578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190500</xdr:colOff>
      <xdr:row>33</xdr:row>
      <xdr:rowOff>66675</xdr:rowOff>
    </xdr:from>
    <xdr:to>
      <xdr:col>5</xdr:col>
      <xdr:colOff>266700</xdr:colOff>
      <xdr:row>33</xdr:row>
      <xdr:rowOff>142875</xdr:rowOff>
    </xdr:to>
    <xdr:sp macro="" textlink="">
      <xdr:nvSpPr>
        <xdr:cNvPr id="101" name="Line 190">
          <a:extLst>
            <a:ext uri="{FF2B5EF4-FFF2-40B4-BE49-F238E27FC236}">
              <a16:creationId xmlns:a16="http://schemas.microsoft.com/office/drawing/2014/main" id="{00000000-0008-0000-0300-000065000000}"/>
            </a:ext>
          </a:extLst>
        </xdr:cNvPr>
        <xdr:cNvSpPr>
          <a:spLocks noChangeShapeType="1"/>
        </xdr:cNvSpPr>
      </xdr:nvSpPr>
      <xdr:spPr bwMode="auto">
        <a:xfrm flipH="1">
          <a:off x="2743200" y="6038850"/>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20</xdr:row>
      <xdr:rowOff>95250</xdr:rowOff>
    </xdr:from>
    <xdr:to>
      <xdr:col>3</xdr:col>
      <xdr:colOff>57150</xdr:colOff>
      <xdr:row>20</xdr:row>
      <xdr:rowOff>190500</xdr:rowOff>
    </xdr:to>
    <xdr:sp macro="" textlink="">
      <xdr:nvSpPr>
        <xdr:cNvPr id="102" name="Tegning 191">
          <a:extLst>
            <a:ext uri="{FF2B5EF4-FFF2-40B4-BE49-F238E27FC236}">
              <a16:creationId xmlns:a16="http://schemas.microsoft.com/office/drawing/2014/main" id="{00000000-0008-0000-0300-000066000000}"/>
            </a:ext>
          </a:extLst>
        </xdr:cNvPr>
        <xdr:cNvSpPr>
          <a:spLocks/>
        </xdr:cNvSpPr>
      </xdr:nvSpPr>
      <xdr:spPr bwMode="auto">
        <a:xfrm>
          <a:off x="1619250" y="3590925"/>
          <a:ext cx="295275" cy="95250"/>
        </a:xfrm>
        <a:custGeom>
          <a:avLst/>
          <a:gdLst>
            <a:gd name="T0" fmla="*/ 2147483646 w 16384"/>
            <a:gd name="T1" fmla="*/ 2147483646 h 16384"/>
            <a:gd name="T2" fmla="*/ 2147483646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2171" y="745"/>
              </a:moveTo>
              <a:lnTo>
                <a:pt x="197" y="8192"/>
              </a:lnTo>
              <a:lnTo>
                <a:pt x="2369" y="16384"/>
              </a:lnTo>
              <a:lnTo>
                <a:pt x="0" y="7447"/>
              </a:lnTo>
              <a:lnTo>
                <a:pt x="16384" y="7447"/>
              </a:lnTo>
              <a:lnTo>
                <a:pt x="14410" y="0"/>
              </a:lnTo>
              <a:lnTo>
                <a:pt x="16384" y="7447"/>
              </a:lnTo>
              <a:lnTo>
                <a:pt x="14015"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323850</xdr:colOff>
      <xdr:row>24</xdr:row>
      <xdr:rowOff>95250</xdr:rowOff>
    </xdr:from>
    <xdr:to>
      <xdr:col>3</xdr:col>
      <xdr:colOff>57150</xdr:colOff>
      <xdr:row>24</xdr:row>
      <xdr:rowOff>190500</xdr:rowOff>
    </xdr:to>
    <xdr:sp macro="" textlink="">
      <xdr:nvSpPr>
        <xdr:cNvPr id="103" name="Tegning 192">
          <a:extLst>
            <a:ext uri="{FF2B5EF4-FFF2-40B4-BE49-F238E27FC236}">
              <a16:creationId xmlns:a16="http://schemas.microsoft.com/office/drawing/2014/main" id="{00000000-0008-0000-0300-000067000000}"/>
            </a:ext>
          </a:extLst>
        </xdr:cNvPr>
        <xdr:cNvSpPr>
          <a:spLocks/>
        </xdr:cNvSpPr>
      </xdr:nvSpPr>
      <xdr:spPr bwMode="auto">
        <a:xfrm>
          <a:off x="1600200" y="4352925"/>
          <a:ext cx="314325" cy="95250"/>
        </a:xfrm>
        <a:custGeom>
          <a:avLst/>
          <a:gdLst>
            <a:gd name="T0" fmla="*/ 2147483646 w 16384"/>
            <a:gd name="T1" fmla="*/ 2147483646 h 16384"/>
            <a:gd name="T2" fmla="*/ 2147483646 w 16384"/>
            <a:gd name="T3" fmla="*/ 2147483646 h 16384"/>
            <a:gd name="T4" fmla="*/ 2147483646 w 16384"/>
            <a:gd name="T5" fmla="*/ 2147483646 h 16384"/>
            <a:gd name="T6" fmla="*/ 0 w 16384"/>
            <a:gd name="T7" fmla="*/ 2147483646 h 16384"/>
            <a:gd name="T8" fmla="*/ 2147483646 w 16384"/>
            <a:gd name="T9" fmla="*/ 2147483646 h 16384"/>
            <a:gd name="T10" fmla="*/ 2147483646 w 16384"/>
            <a:gd name="T11" fmla="*/ 0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2171" y="745"/>
              </a:moveTo>
              <a:lnTo>
                <a:pt x="197" y="8192"/>
              </a:lnTo>
              <a:lnTo>
                <a:pt x="2369" y="16384"/>
              </a:lnTo>
              <a:lnTo>
                <a:pt x="0" y="7447"/>
              </a:lnTo>
              <a:lnTo>
                <a:pt x="16384" y="7447"/>
              </a:lnTo>
              <a:lnTo>
                <a:pt x="14410" y="0"/>
              </a:lnTo>
              <a:lnTo>
                <a:pt x="16384" y="7447"/>
              </a:lnTo>
              <a:lnTo>
                <a:pt x="14015"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24</xdr:row>
      <xdr:rowOff>47625</xdr:rowOff>
    </xdr:from>
    <xdr:to>
      <xdr:col>3</xdr:col>
      <xdr:colOff>161925</xdr:colOff>
      <xdr:row>24</xdr:row>
      <xdr:rowOff>142875</xdr:rowOff>
    </xdr:to>
    <xdr:sp macro="" textlink="">
      <xdr:nvSpPr>
        <xdr:cNvPr id="104" name="Tegning 193">
          <a:extLst>
            <a:ext uri="{FF2B5EF4-FFF2-40B4-BE49-F238E27FC236}">
              <a16:creationId xmlns:a16="http://schemas.microsoft.com/office/drawing/2014/main" id="{00000000-0008-0000-0300-000068000000}"/>
            </a:ext>
          </a:extLst>
        </xdr:cNvPr>
        <xdr:cNvSpPr>
          <a:spLocks/>
        </xdr:cNvSpPr>
      </xdr:nvSpPr>
      <xdr:spPr bwMode="auto">
        <a:xfrm>
          <a:off x="1885950" y="4305300"/>
          <a:ext cx="133350" cy="95250"/>
        </a:xfrm>
        <a:custGeom>
          <a:avLst/>
          <a:gdLst>
            <a:gd name="T0" fmla="*/ 0 w 16384"/>
            <a:gd name="T1" fmla="*/ 2147483646 h 16384"/>
            <a:gd name="T2" fmla="*/ 2147483646 w 16384"/>
            <a:gd name="T3" fmla="*/ 2147483646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092"/>
              </a:moveTo>
              <a:lnTo>
                <a:pt x="7910" y="16384"/>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352425</xdr:colOff>
      <xdr:row>21</xdr:row>
      <xdr:rowOff>0</xdr:rowOff>
    </xdr:from>
    <xdr:to>
      <xdr:col>2</xdr:col>
      <xdr:colOff>485775</xdr:colOff>
      <xdr:row>21</xdr:row>
      <xdr:rowOff>76200</xdr:rowOff>
    </xdr:to>
    <xdr:sp macro="" textlink="">
      <xdr:nvSpPr>
        <xdr:cNvPr id="105" name="Tegning 194">
          <a:extLst>
            <a:ext uri="{FF2B5EF4-FFF2-40B4-BE49-F238E27FC236}">
              <a16:creationId xmlns:a16="http://schemas.microsoft.com/office/drawing/2014/main" id="{00000000-0008-0000-0300-000069000000}"/>
            </a:ext>
          </a:extLst>
        </xdr:cNvPr>
        <xdr:cNvSpPr>
          <a:spLocks/>
        </xdr:cNvSpPr>
      </xdr:nvSpPr>
      <xdr:spPr bwMode="auto">
        <a:xfrm>
          <a:off x="1628775" y="3686175"/>
          <a:ext cx="133350" cy="76200"/>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8456" y="0"/>
              </a:lnTo>
              <a:lnTo>
                <a:pt x="16384" y="1536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495300</xdr:colOff>
      <xdr:row>19</xdr:row>
      <xdr:rowOff>180975</xdr:rowOff>
    </xdr:from>
    <xdr:to>
      <xdr:col>2</xdr:col>
      <xdr:colOff>533400</xdr:colOff>
      <xdr:row>20</xdr:row>
      <xdr:rowOff>142875</xdr:rowOff>
    </xdr:to>
    <xdr:sp macro="" textlink="">
      <xdr:nvSpPr>
        <xdr:cNvPr id="106" name="Line 245">
          <a:extLst>
            <a:ext uri="{FF2B5EF4-FFF2-40B4-BE49-F238E27FC236}">
              <a16:creationId xmlns:a16="http://schemas.microsoft.com/office/drawing/2014/main" id="{00000000-0008-0000-0300-00006A000000}"/>
            </a:ext>
          </a:extLst>
        </xdr:cNvPr>
        <xdr:cNvSpPr>
          <a:spLocks noChangeShapeType="1"/>
        </xdr:cNvSpPr>
      </xdr:nvSpPr>
      <xdr:spPr bwMode="auto">
        <a:xfrm>
          <a:off x="1771650" y="3486150"/>
          <a:ext cx="381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32</xdr:row>
      <xdr:rowOff>190500</xdr:rowOff>
    </xdr:from>
    <xdr:to>
      <xdr:col>5</xdr:col>
      <xdr:colOff>104775</xdr:colOff>
      <xdr:row>36</xdr:row>
      <xdr:rowOff>19050</xdr:rowOff>
    </xdr:to>
    <xdr:sp macro="" textlink="">
      <xdr:nvSpPr>
        <xdr:cNvPr id="107" name="Line 257">
          <a:extLst>
            <a:ext uri="{FF2B5EF4-FFF2-40B4-BE49-F238E27FC236}">
              <a16:creationId xmlns:a16="http://schemas.microsoft.com/office/drawing/2014/main" id="{00000000-0008-0000-0300-00006B000000}"/>
            </a:ext>
          </a:extLst>
        </xdr:cNvPr>
        <xdr:cNvSpPr>
          <a:spLocks noChangeShapeType="1"/>
        </xdr:cNvSpPr>
      </xdr:nvSpPr>
      <xdr:spPr bwMode="auto">
        <a:xfrm flipV="1">
          <a:off x="2657475" y="5972175"/>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prstDash val="lgDashDotDot"/>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38100</xdr:colOff>
      <xdr:row>20</xdr:row>
      <xdr:rowOff>161925</xdr:rowOff>
    </xdr:from>
    <xdr:to>
      <xdr:col>3</xdr:col>
      <xdr:colOff>152400</xdr:colOff>
      <xdr:row>21</xdr:row>
      <xdr:rowOff>19050</xdr:rowOff>
    </xdr:to>
    <xdr:sp macro="" textlink="">
      <xdr:nvSpPr>
        <xdr:cNvPr id="108" name="Tegning 279">
          <a:extLst>
            <a:ext uri="{FF2B5EF4-FFF2-40B4-BE49-F238E27FC236}">
              <a16:creationId xmlns:a16="http://schemas.microsoft.com/office/drawing/2014/main" id="{00000000-0008-0000-0300-00006C000000}"/>
            </a:ext>
          </a:extLst>
        </xdr:cNvPr>
        <xdr:cNvSpPr>
          <a:spLocks/>
        </xdr:cNvSpPr>
      </xdr:nvSpPr>
      <xdr:spPr bwMode="auto">
        <a:xfrm>
          <a:off x="1895475" y="3657600"/>
          <a:ext cx="114300" cy="47625"/>
        </a:xfrm>
        <a:custGeom>
          <a:avLst/>
          <a:gdLst>
            <a:gd name="T0" fmla="*/ 0 w 16384"/>
            <a:gd name="T1" fmla="*/ 2147483646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4564"/>
              </a:moveTo>
              <a:lnTo>
                <a:pt x="7710"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22</xdr:row>
      <xdr:rowOff>57150</xdr:rowOff>
    </xdr:from>
    <xdr:to>
      <xdr:col>3</xdr:col>
      <xdr:colOff>257175</xdr:colOff>
      <xdr:row>22</xdr:row>
      <xdr:rowOff>209550</xdr:rowOff>
    </xdr:to>
    <xdr:sp macro="" textlink="">
      <xdr:nvSpPr>
        <xdr:cNvPr id="109" name="Tegning 280">
          <a:extLst>
            <a:ext uri="{FF2B5EF4-FFF2-40B4-BE49-F238E27FC236}">
              <a16:creationId xmlns:a16="http://schemas.microsoft.com/office/drawing/2014/main" id="{00000000-0008-0000-0300-00006D000000}"/>
            </a:ext>
          </a:extLst>
        </xdr:cNvPr>
        <xdr:cNvSpPr>
          <a:spLocks/>
        </xdr:cNvSpPr>
      </xdr:nvSpPr>
      <xdr:spPr bwMode="auto">
        <a:xfrm>
          <a:off x="2019300" y="3933825"/>
          <a:ext cx="95250" cy="1333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4456"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180975</xdr:colOff>
      <xdr:row>16</xdr:row>
      <xdr:rowOff>123825</xdr:rowOff>
    </xdr:from>
    <xdr:to>
      <xdr:col>5</xdr:col>
      <xdr:colOff>704850</xdr:colOff>
      <xdr:row>16</xdr:row>
      <xdr:rowOff>123825</xdr:rowOff>
    </xdr:to>
    <xdr:sp macro="" textlink="">
      <xdr:nvSpPr>
        <xdr:cNvPr id="110" name="Line 281">
          <a:extLst>
            <a:ext uri="{FF2B5EF4-FFF2-40B4-BE49-F238E27FC236}">
              <a16:creationId xmlns:a16="http://schemas.microsoft.com/office/drawing/2014/main" id="{00000000-0008-0000-0300-00006E000000}"/>
            </a:ext>
          </a:extLst>
        </xdr:cNvPr>
        <xdr:cNvSpPr>
          <a:spLocks noChangeShapeType="1"/>
        </xdr:cNvSpPr>
      </xdr:nvSpPr>
      <xdr:spPr bwMode="auto">
        <a:xfrm flipH="1">
          <a:off x="1457325" y="2847975"/>
          <a:ext cx="1800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209550</xdr:colOff>
      <xdr:row>16</xdr:row>
      <xdr:rowOff>57150</xdr:rowOff>
    </xdr:from>
    <xdr:to>
      <xdr:col>2</xdr:col>
      <xdr:colOff>209550</xdr:colOff>
      <xdr:row>20</xdr:row>
      <xdr:rowOff>19050</xdr:rowOff>
    </xdr:to>
    <xdr:sp macro="" textlink="">
      <xdr:nvSpPr>
        <xdr:cNvPr id="111" name="Line 282">
          <a:extLst>
            <a:ext uri="{FF2B5EF4-FFF2-40B4-BE49-F238E27FC236}">
              <a16:creationId xmlns:a16="http://schemas.microsoft.com/office/drawing/2014/main" id="{00000000-0008-0000-0300-00006F000000}"/>
            </a:ext>
          </a:extLst>
        </xdr:cNvPr>
        <xdr:cNvSpPr>
          <a:spLocks noChangeShapeType="1"/>
        </xdr:cNvSpPr>
      </xdr:nvSpPr>
      <xdr:spPr bwMode="auto">
        <a:xfrm flipV="1">
          <a:off x="1485900" y="2781300"/>
          <a:ext cx="0" cy="733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16</xdr:row>
      <xdr:rowOff>85725</xdr:rowOff>
    </xdr:from>
    <xdr:to>
      <xdr:col>2</xdr:col>
      <xdr:colOff>238125</xdr:colOff>
      <xdr:row>16</xdr:row>
      <xdr:rowOff>161925</xdr:rowOff>
    </xdr:to>
    <xdr:sp macro="" textlink="">
      <xdr:nvSpPr>
        <xdr:cNvPr id="112" name="Line 283">
          <a:extLst>
            <a:ext uri="{FF2B5EF4-FFF2-40B4-BE49-F238E27FC236}">
              <a16:creationId xmlns:a16="http://schemas.microsoft.com/office/drawing/2014/main" id="{00000000-0008-0000-0300-000070000000}"/>
            </a:ext>
          </a:extLst>
        </xdr:cNvPr>
        <xdr:cNvSpPr>
          <a:spLocks noChangeShapeType="1"/>
        </xdr:cNvSpPr>
      </xdr:nvSpPr>
      <xdr:spPr bwMode="auto">
        <a:xfrm flipH="1">
          <a:off x="1447800" y="28098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16</xdr:row>
      <xdr:rowOff>76200</xdr:rowOff>
    </xdr:from>
    <xdr:to>
      <xdr:col>3</xdr:col>
      <xdr:colOff>295275</xdr:colOff>
      <xdr:row>20</xdr:row>
      <xdr:rowOff>0</xdr:rowOff>
    </xdr:to>
    <xdr:sp macro="" textlink="">
      <xdr:nvSpPr>
        <xdr:cNvPr id="113" name="Line 284">
          <a:extLst>
            <a:ext uri="{FF2B5EF4-FFF2-40B4-BE49-F238E27FC236}">
              <a16:creationId xmlns:a16="http://schemas.microsoft.com/office/drawing/2014/main" id="{00000000-0008-0000-0300-000071000000}"/>
            </a:ext>
          </a:extLst>
        </xdr:cNvPr>
        <xdr:cNvSpPr>
          <a:spLocks noChangeShapeType="1"/>
        </xdr:cNvSpPr>
      </xdr:nvSpPr>
      <xdr:spPr bwMode="auto">
        <a:xfrm flipV="1">
          <a:off x="2152650" y="2800350"/>
          <a:ext cx="0" cy="695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266700</xdr:colOff>
      <xdr:row>16</xdr:row>
      <xdr:rowOff>85725</xdr:rowOff>
    </xdr:from>
    <xdr:to>
      <xdr:col>4</xdr:col>
      <xdr:colOff>19050</xdr:colOff>
      <xdr:row>16</xdr:row>
      <xdr:rowOff>161925</xdr:rowOff>
    </xdr:to>
    <xdr:sp macro="" textlink="">
      <xdr:nvSpPr>
        <xdr:cNvPr id="114" name="Line 285">
          <a:extLst>
            <a:ext uri="{FF2B5EF4-FFF2-40B4-BE49-F238E27FC236}">
              <a16:creationId xmlns:a16="http://schemas.microsoft.com/office/drawing/2014/main" id="{00000000-0008-0000-0300-000072000000}"/>
            </a:ext>
          </a:extLst>
        </xdr:cNvPr>
        <xdr:cNvSpPr>
          <a:spLocks noChangeShapeType="1"/>
        </xdr:cNvSpPr>
      </xdr:nvSpPr>
      <xdr:spPr bwMode="auto">
        <a:xfrm flipH="1">
          <a:off x="2124075" y="2809875"/>
          <a:ext cx="1238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123825</xdr:rowOff>
    </xdr:from>
    <xdr:to>
      <xdr:col>5</xdr:col>
      <xdr:colOff>714375</xdr:colOff>
      <xdr:row>17</xdr:row>
      <xdr:rowOff>123825</xdr:rowOff>
    </xdr:to>
    <xdr:sp macro="" textlink="">
      <xdr:nvSpPr>
        <xdr:cNvPr id="115" name="Line 286">
          <a:extLst>
            <a:ext uri="{FF2B5EF4-FFF2-40B4-BE49-F238E27FC236}">
              <a16:creationId xmlns:a16="http://schemas.microsoft.com/office/drawing/2014/main" id="{00000000-0008-0000-0300-000073000000}"/>
            </a:ext>
          </a:extLst>
        </xdr:cNvPr>
        <xdr:cNvSpPr>
          <a:spLocks noChangeShapeType="1"/>
        </xdr:cNvSpPr>
      </xdr:nvSpPr>
      <xdr:spPr bwMode="auto">
        <a:xfrm flipH="1">
          <a:off x="1981200" y="3038475"/>
          <a:ext cx="1285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17</xdr:row>
      <xdr:rowOff>76200</xdr:rowOff>
    </xdr:from>
    <xdr:to>
      <xdr:col>3</xdr:col>
      <xdr:colOff>161925</xdr:colOff>
      <xdr:row>22</xdr:row>
      <xdr:rowOff>0</xdr:rowOff>
    </xdr:to>
    <xdr:sp macro="" textlink="">
      <xdr:nvSpPr>
        <xdr:cNvPr id="116" name="Line 287">
          <a:extLst>
            <a:ext uri="{FF2B5EF4-FFF2-40B4-BE49-F238E27FC236}">
              <a16:creationId xmlns:a16="http://schemas.microsoft.com/office/drawing/2014/main" id="{00000000-0008-0000-0300-000074000000}"/>
            </a:ext>
          </a:extLst>
        </xdr:cNvPr>
        <xdr:cNvSpPr>
          <a:spLocks noChangeShapeType="1"/>
        </xdr:cNvSpPr>
      </xdr:nvSpPr>
      <xdr:spPr bwMode="auto">
        <a:xfrm flipV="1">
          <a:off x="2019300" y="2990850"/>
          <a:ext cx="0" cy="885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17</xdr:row>
      <xdr:rowOff>76200</xdr:rowOff>
    </xdr:from>
    <xdr:to>
      <xdr:col>3</xdr:col>
      <xdr:colOff>200025</xdr:colOff>
      <xdr:row>17</xdr:row>
      <xdr:rowOff>171450</xdr:rowOff>
    </xdr:to>
    <xdr:sp macro="" textlink="">
      <xdr:nvSpPr>
        <xdr:cNvPr id="117" name="Line 288">
          <a:extLst>
            <a:ext uri="{FF2B5EF4-FFF2-40B4-BE49-F238E27FC236}">
              <a16:creationId xmlns:a16="http://schemas.microsoft.com/office/drawing/2014/main" id="{00000000-0008-0000-0300-000075000000}"/>
            </a:ext>
          </a:extLst>
        </xdr:cNvPr>
        <xdr:cNvSpPr>
          <a:spLocks noChangeShapeType="1"/>
        </xdr:cNvSpPr>
      </xdr:nvSpPr>
      <xdr:spPr bwMode="auto">
        <a:xfrm flipH="1">
          <a:off x="1981200" y="2990850"/>
          <a:ext cx="7620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17</xdr:row>
      <xdr:rowOff>76200</xdr:rowOff>
    </xdr:from>
    <xdr:to>
      <xdr:col>4</xdr:col>
      <xdr:colOff>19050</xdr:colOff>
      <xdr:row>17</xdr:row>
      <xdr:rowOff>171450</xdr:rowOff>
    </xdr:to>
    <xdr:sp macro="" textlink="">
      <xdr:nvSpPr>
        <xdr:cNvPr id="118" name="Line 289">
          <a:extLst>
            <a:ext uri="{FF2B5EF4-FFF2-40B4-BE49-F238E27FC236}">
              <a16:creationId xmlns:a16="http://schemas.microsoft.com/office/drawing/2014/main" id="{00000000-0008-0000-0300-000076000000}"/>
            </a:ext>
          </a:extLst>
        </xdr:cNvPr>
        <xdr:cNvSpPr>
          <a:spLocks noChangeShapeType="1"/>
        </xdr:cNvSpPr>
      </xdr:nvSpPr>
      <xdr:spPr bwMode="auto">
        <a:xfrm flipH="1">
          <a:off x="2105025" y="2990850"/>
          <a:ext cx="1428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27</xdr:row>
      <xdr:rowOff>190500</xdr:rowOff>
    </xdr:from>
    <xdr:to>
      <xdr:col>3</xdr:col>
      <xdr:colOff>161925</xdr:colOff>
      <xdr:row>28</xdr:row>
      <xdr:rowOff>123825</xdr:rowOff>
    </xdr:to>
    <xdr:sp macro="" textlink="">
      <xdr:nvSpPr>
        <xdr:cNvPr id="119" name="Line 290">
          <a:extLst>
            <a:ext uri="{FF2B5EF4-FFF2-40B4-BE49-F238E27FC236}">
              <a16:creationId xmlns:a16="http://schemas.microsoft.com/office/drawing/2014/main" id="{00000000-0008-0000-0300-000077000000}"/>
            </a:ext>
          </a:extLst>
        </xdr:cNvPr>
        <xdr:cNvSpPr>
          <a:spLocks noChangeShapeType="1"/>
        </xdr:cNvSpPr>
      </xdr:nvSpPr>
      <xdr:spPr bwMode="auto">
        <a:xfrm>
          <a:off x="2019300" y="5019675"/>
          <a:ext cx="0" cy="1238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78</xdr:row>
      <xdr:rowOff>142875</xdr:rowOff>
    </xdr:from>
    <xdr:to>
      <xdr:col>5</xdr:col>
      <xdr:colOff>590550</xdr:colOff>
      <xdr:row>80</xdr:row>
      <xdr:rowOff>123825</xdr:rowOff>
    </xdr:to>
    <xdr:sp macro="" textlink="">
      <xdr:nvSpPr>
        <xdr:cNvPr id="120" name="Tegning 67">
          <a:extLst>
            <a:ext uri="{FF2B5EF4-FFF2-40B4-BE49-F238E27FC236}">
              <a16:creationId xmlns:a16="http://schemas.microsoft.com/office/drawing/2014/main" id="{00000000-0008-0000-0300-000078000000}"/>
            </a:ext>
          </a:extLst>
        </xdr:cNvPr>
        <xdr:cNvSpPr>
          <a:spLocks/>
        </xdr:cNvSpPr>
      </xdr:nvSpPr>
      <xdr:spPr bwMode="auto">
        <a:xfrm>
          <a:off x="1323975" y="14620875"/>
          <a:ext cx="1819275" cy="3619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0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14336" y="0"/>
              </a:moveTo>
              <a:lnTo>
                <a:pt x="0" y="0"/>
              </a:lnTo>
              <a:lnTo>
                <a:pt x="0" y="16384"/>
              </a:lnTo>
              <a:lnTo>
                <a:pt x="16384" y="16384"/>
              </a:lnTo>
              <a:lnTo>
                <a:pt x="16384" y="8353"/>
              </a:lnTo>
              <a:lnTo>
                <a:pt x="14270" y="8353"/>
              </a:lnTo>
              <a:lnTo>
                <a:pt x="14270" y="0"/>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38100</xdr:colOff>
      <xdr:row>79</xdr:row>
      <xdr:rowOff>19050</xdr:rowOff>
    </xdr:from>
    <xdr:to>
      <xdr:col>5</xdr:col>
      <xdr:colOff>552450</xdr:colOff>
      <xdr:row>80</xdr:row>
      <xdr:rowOff>47625</xdr:rowOff>
    </xdr:to>
    <xdr:sp macro="" textlink="">
      <xdr:nvSpPr>
        <xdr:cNvPr id="121" name="Tegning 68">
          <a:extLst>
            <a:ext uri="{FF2B5EF4-FFF2-40B4-BE49-F238E27FC236}">
              <a16:creationId xmlns:a16="http://schemas.microsoft.com/office/drawing/2014/main" id="{00000000-0008-0000-0300-000079000000}"/>
            </a:ext>
          </a:extLst>
        </xdr:cNvPr>
        <xdr:cNvSpPr>
          <a:spLocks/>
        </xdr:cNvSpPr>
      </xdr:nvSpPr>
      <xdr:spPr bwMode="auto">
        <a:xfrm>
          <a:off x="2590800" y="14687550"/>
          <a:ext cx="514350" cy="219075"/>
        </a:xfrm>
        <a:custGeom>
          <a:avLst/>
          <a:gdLst>
            <a:gd name="T0" fmla="*/ 0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9362" y="0"/>
              </a:lnTo>
              <a:lnTo>
                <a:pt x="9362" y="16384"/>
              </a:lnTo>
              <a:lnTo>
                <a:pt x="16384" y="16384"/>
              </a:lnTo>
              <a:lnTo>
                <a:pt x="16384" y="11812"/>
              </a:lnTo>
              <a:lnTo>
                <a:pt x="468" y="1181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78</xdr:row>
      <xdr:rowOff>171450</xdr:rowOff>
    </xdr:from>
    <xdr:to>
      <xdr:col>5</xdr:col>
      <xdr:colOff>333375</xdr:colOff>
      <xdr:row>78</xdr:row>
      <xdr:rowOff>171450</xdr:rowOff>
    </xdr:to>
    <xdr:sp macro="" textlink="">
      <xdr:nvSpPr>
        <xdr:cNvPr id="122" name="Line 69">
          <a:extLst>
            <a:ext uri="{FF2B5EF4-FFF2-40B4-BE49-F238E27FC236}">
              <a16:creationId xmlns:a16="http://schemas.microsoft.com/office/drawing/2014/main" id="{00000000-0008-0000-0300-00007A000000}"/>
            </a:ext>
          </a:extLst>
        </xdr:cNvPr>
        <xdr:cNvSpPr>
          <a:spLocks noChangeShapeType="1"/>
        </xdr:cNvSpPr>
      </xdr:nvSpPr>
      <xdr:spPr bwMode="auto">
        <a:xfrm flipH="1">
          <a:off x="1362075" y="14649450"/>
          <a:ext cx="1524000"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79</xdr:row>
      <xdr:rowOff>19050</xdr:rowOff>
    </xdr:from>
    <xdr:to>
      <xdr:col>2</xdr:col>
      <xdr:colOff>419100</xdr:colOff>
      <xdr:row>80</xdr:row>
      <xdr:rowOff>47625</xdr:rowOff>
    </xdr:to>
    <xdr:sp macro="" textlink="">
      <xdr:nvSpPr>
        <xdr:cNvPr id="123" name="Tegning 70">
          <a:extLst>
            <a:ext uri="{FF2B5EF4-FFF2-40B4-BE49-F238E27FC236}">
              <a16:creationId xmlns:a16="http://schemas.microsoft.com/office/drawing/2014/main" id="{00000000-0008-0000-0300-00007B000000}"/>
            </a:ext>
          </a:extLst>
        </xdr:cNvPr>
        <xdr:cNvSpPr>
          <a:spLocks/>
        </xdr:cNvSpPr>
      </xdr:nvSpPr>
      <xdr:spPr bwMode="auto">
        <a:xfrm>
          <a:off x="1381125" y="14687550"/>
          <a:ext cx="314325" cy="2190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5864"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85725</xdr:colOff>
      <xdr:row>80</xdr:row>
      <xdr:rowOff>76200</xdr:rowOff>
    </xdr:from>
    <xdr:to>
      <xdr:col>5</xdr:col>
      <xdr:colOff>514350</xdr:colOff>
      <xdr:row>80</xdr:row>
      <xdr:rowOff>76200</xdr:rowOff>
    </xdr:to>
    <xdr:sp macro="" textlink="">
      <xdr:nvSpPr>
        <xdr:cNvPr id="124" name="Line 71">
          <a:extLst>
            <a:ext uri="{FF2B5EF4-FFF2-40B4-BE49-F238E27FC236}">
              <a16:creationId xmlns:a16="http://schemas.microsoft.com/office/drawing/2014/main" id="{00000000-0008-0000-0300-00007C000000}"/>
            </a:ext>
          </a:extLst>
        </xdr:cNvPr>
        <xdr:cNvSpPr>
          <a:spLocks noChangeShapeType="1"/>
        </xdr:cNvSpPr>
      </xdr:nvSpPr>
      <xdr:spPr bwMode="auto">
        <a:xfrm flipH="1">
          <a:off x="1362075" y="14935200"/>
          <a:ext cx="1704975" cy="0"/>
        </a:xfrm>
        <a:prstGeom prst="lin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79</xdr:row>
      <xdr:rowOff>66675</xdr:rowOff>
    </xdr:from>
    <xdr:to>
      <xdr:col>2</xdr:col>
      <xdr:colOff>409575</xdr:colOff>
      <xdr:row>79</xdr:row>
      <xdr:rowOff>161925</xdr:rowOff>
    </xdr:to>
    <xdr:sp macro="" textlink="">
      <xdr:nvSpPr>
        <xdr:cNvPr id="125" name="Oval 72">
          <a:extLst>
            <a:ext uri="{FF2B5EF4-FFF2-40B4-BE49-F238E27FC236}">
              <a16:creationId xmlns:a16="http://schemas.microsoft.com/office/drawing/2014/main" id="{00000000-0008-0000-0300-00007D000000}"/>
            </a:ext>
          </a:extLst>
        </xdr:cNvPr>
        <xdr:cNvSpPr>
          <a:spLocks noChangeArrowheads="1"/>
        </xdr:cNvSpPr>
      </xdr:nvSpPr>
      <xdr:spPr bwMode="auto">
        <a:xfrm>
          <a:off x="1590675" y="1473517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79</xdr:row>
      <xdr:rowOff>66675</xdr:rowOff>
    </xdr:from>
    <xdr:to>
      <xdr:col>5</xdr:col>
      <xdr:colOff>219075</xdr:colOff>
      <xdr:row>79</xdr:row>
      <xdr:rowOff>161925</xdr:rowOff>
    </xdr:to>
    <xdr:sp macro="" textlink="">
      <xdr:nvSpPr>
        <xdr:cNvPr id="126" name="Oval 73">
          <a:extLst>
            <a:ext uri="{FF2B5EF4-FFF2-40B4-BE49-F238E27FC236}">
              <a16:creationId xmlns:a16="http://schemas.microsoft.com/office/drawing/2014/main" id="{00000000-0008-0000-0300-00007E000000}"/>
            </a:ext>
          </a:extLst>
        </xdr:cNvPr>
        <xdr:cNvSpPr>
          <a:spLocks noChangeArrowheads="1"/>
        </xdr:cNvSpPr>
      </xdr:nvSpPr>
      <xdr:spPr bwMode="auto">
        <a:xfrm>
          <a:off x="2676525" y="14735175"/>
          <a:ext cx="95250" cy="95250"/>
        </a:xfrm>
        <a:prstGeom prst="ellipse">
          <a:avLst/>
        </a:prstGeom>
        <a:noFill/>
        <a:ln w="1587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19050</xdr:colOff>
      <xdr:row>78</xdr:row>
      <xdr:rowOff>171450</xdr:rowOff>
    </xdr:from>
    <xdr:to>
      <xdr:col>4</xdr:col>
      <xdr:colOff>19050</xdr:colOff>
      <xdr:row>80</xdr:row>
      <xdr:rowOff>104775</xdr:rowOff>
    </xdr:to>
    <xdr:sp macro="" textlink="">
      <xdr:nvSpPr>
        <xdr:cNvPr id="127" name="Line 74">
          <a:extLst>
            <a:ext uri="{FF2B5EF4-FFF2-40B4-BE49-F238E27FC236}">
              <a16:creationId xmlns:a16="http://schemas.microsoft.com/office/drawing/2014/main" id="{00000000-0008-0000-0300-00007F000000}"/>
            </a:ext>
          </a:extLst>
        </xdr:cNvPr>
        <xdr:cNvSpPr>
          <a:spLocks noChangeShapeType="1"/>
        </xdr:cNvSpPr>
      </xdr:nvSpPr>
      <xdr:spPr bwMode="auto">
        <a:xfrm flipV="1">
          <a:off x="2247900" y="1464945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352425</xdr:colOff>
      <xdr:row>78</xdr:row>
      <xdr:rowOff>152400</xdr:rowOff>
    </xdr:from>
    <xdr:to>
      <xdr:col>4</xdr:col>
      <xdr:colOff>47625</xdr:colOff>
      <xdr:row>79</xdr:row>
      <xdr:rowOff>38100</xdr:rowOff>
    </xdr:to>
    <xdr:sp macro="" textlink="">
      <xdr:nvSpPr>
        <xdr:cNvPr id="128" name="Oval 75">
          <a:extLst>
            <a:ext uri="{FF2B5EF4-FFF2-40B4-BE49-F238E27FC236}">
              <a16:creationId xmlns:a16="http://schemas.microsoft.com/office/drawing/2014/main" id="{00000000-0008-0000-0300-000080000000}"/>
            </a:ext>
          </a:extLst>
        </xdr:cNvPr>
        <xdr:cNvSpPr>
          <a:spLocks noChangeArrowheads="1"/>
        </xdr:cNvSpPr>
      </xdr:nvSpPr>
      <xdr:spPr bwMode="auto">
        <a:xfrm>
          <a:off x="2209800" y="14630400"/>
          <a:ext cx="6667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352425</xdr:colOff>
      <xdr:row>80</xdr:row>
      <xdr:rowOff>47625</xdr:rowOff>
    </xdr:from>
    <xdr:to>
      <xdr:col>4</xdr:col>
      <xdr:colOff>57150</xdr:colOff>
      <xdr:row>80</xdr:row>
      <xdr:rowOff>123825</xdr:rowOff>
    </xdr:to>
    <xdr:sp macro="" textlink="">
      <xdr:nvSpPr>
        <xdr:cNvPr id="129" name="Oval 76">
          <a:extLst>
            <a:ext uri="{FF2B5EF4-FFF2-40B4-BE49-F238E27FC236}">
              <a16:creationId xmlns:a16="http://schemas.microsoft.com/office/drawing/2014/main" id="{00000000-0008-0000-0300-000081000000}"/>
            </a:ext>
          </a:extLst>
        </xdr:cNvPr>
        <xdr:cNvSpPr>
          <a:spLocks noChangeArrowheads="1"/>
        </xdr:cNvSpPr>
      </xdr:nvSpPr>
      <xdr:spPr bwMode="auto">
        <a:xfrm>
          <a:off x="2209800" y="14906625"/>
          <a:ext cx="76200"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83</xdr:row>
      <xdr:rowOff>152400</xdr:rowOff>
    </xdr:from>
    <xdr:to>
      <xdr:col>4</xdr:col>
      <xdr:colOff>219075</xdr:colOff>
      <xdr:row>95</xdr:row>
      <xdr:rowOff>9525</xdr:rowOff>
    </xdr:to>
    <xdr:sp macro="" textlink="">
      <xdr:nvSpPr>
        <xdr:cNvPr id="130" name="Line 249">
          <a:extLst>
            <a:ext uri="{FF2B5EF4-FFF2-40B4-BE49-F238E27FC236}">
              <a16:creationId xmlns:a16="http://schemas.microsoft.com/office/drawing/2014/main" id="{00000000-0008-0000-0300-000082000000}"/>
            </a:ext>
          </a:extLst>
        </xdr:cNvPr>
        <xdr:cNvSpPr>
          <a:spLocks noChangeShapeType="1"/>
        </xdr:cNvSpPr>
      </xdr:nvSpPr>
      <xdr:spPr bwMode="auto">
        <a:xfrm>
          <a:off x="2447925" y="15582900"/>
          <a:ext cx="0" cy="2143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80</xdr:row>
      <xdr:rowOff>171450</xdr:rowOff>
    </xdr:from>
    <xdr:to>
      <xdr:col>5</xdr:col>
      <xdr:colOff>381000</xdr:colOff>
      <xdr:row>86</xdr:row>
      <xdr:rowOff>161925</xdr:rowOff>
    </xdr:to>
    <xdr:sp macro="" textlink="">
      <xdr:nvSpPr>
        <xdr:cNvPr id="131" name="Line 250">
          <a:extLst>
            <a:ext uri="{FF2B5EF4-FFF2-40B4-BE49-F238E27FC236}">
              <a16:creationId xmlns:a16="http://schemas.microsoft.com/office/drawing/2014/main" id="{00000000-0008-0000-0300-000083000000}"/>
            </a:ext>
          </a:extLst>
        </xdr:cNvPr>
        <xdr:cNvSpPr>
          <a:spLocks noChangeShapeType="1"/>
        </xdr:cNvSpPr>
      </xdr:nvSpPr>
      <xdr:spPr bwMode="auto">
        <a:xfrm>
          <a:off x="2933700" y="15030450"/>
          <a:ext cx="0" cy="11334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209550</xdr:colOff>
      <xdr:row>85</xdr:row>
      <xdr:rowOff>85725</xdr:rowOff>
    </xdr:from>
    <xdr:to>
      <xdr:col>5</xdr:col>
      <xdr:colOff>647700</xdr:colOff>
      <xdr:row>85</xdr:row>
      <xdr:rowOff>85725</xdr:rowOff>
    </xdr:to>
    <xdr:sp macro="" textlink="">
      <xdr:nvSpPr>
        <xdr:cNvPr id="132" name="Line 251">
          <a:extLst>
            <a:ext uri="{FF2B5EF4-FFF2-40B4-BE49-F238E27FC236}">
              <a16:creationId xmlns:a16="http://schemas.microsoft.com/office/drawing/2014/main" id="{00000000-0008-0000-0300-000084000000}"/>
            </a:ext>
          </a:extLst>
        </xdr:cNvPr>
        <xdr:cNvSpPr>
          <a:spLocks noChangeShapeType="1"/>
        </xdr:cNvSpPr>
      </xdr:nvSpPr>
      <xdr:spPr bwMode="auto">
        <a:xfrm>
          <a:off x="2438400" y="15897225"/>
          <a:ext cx="7620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86</xdr:row>
      <xdr:rowOff>104775</xdr:rowOff>
    </xdr:from>
    <xdr:to>
      <xdr:col>5</xdr:col>
      <xdr:colOff>619125</xdr:colOff>
      <xdr:row>86</xdr:row>
      <xdr:rowOff>104775</xdr:rowOff>
    </xdr:to>
    <xdr:sp macro="" textlink="">
      <xdr:nvSpPr>
        <xdr:cNvPr id="133" name="Line 252">
          <a:extLst>
            <a:ext uri="{FF2B5EF4-FFF2-40B4-BE49-F238E27FC236}">
              <a16:creationId xmlns:a16="http://schemas.microsoft.com/office/drawing/2014/main" id="{00000000-0008-0000-0300-000085000000}"/>
            </a:ext>
          </a:extLst>
        </xdr:cNvPr>
        <xdr:cNvSpPr>
          <a:spLocks noChangeShapeType="1"/>
        </xdr:cNvSpPr>
      </xdr:nvSpPr>
      <xdr:spPr bwMode="auto">
        <a:xfrm flipH="1">
          <a:off x="2724150" y="16106775"/>
          <a:ext cx="4476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657225</xdr:colOff>
      <xdr:row>84</xdr:row>
      <xdr:rowOff>9525</xdr:rowOff>
    </xdr:from>
    <xdr:to>
      <xdr:col>5</xdr:col>
      <xdr:colOff>742950</xdr:colOff>
      <xdr:row>86</xdr:row>
      <xdr:rowOff>142875</xdr:rowOff>
    </xdr:to>
    <xdr:sp macro="" textlink="">
      <xdr:nvSpPr>
        <xdr:cNvPr id="134" name="Tegning 253">
          <a:extLst>
            <a:ext uri="{FF2B5EF4-FFF2-40B4-BE49-F238E27FC236}">
              <a16:creationId xmlns:a16="http://schemas.microsoft.com/office/drawing/2014/main" id="{00000000-0008-0000-0300-000086000000}"/>
            </a:ext>
          </a:extLst>
        </xdr:cNvPr>
        <xdr:cNvSpPr>
          <a:spLocks/>
        </xdr:cNvSpPr>
      </xdr:nvSpPr>
      <xdr:spPr bwMode="auto">
        <a:xfrm>
          <a:off x="3209925" y="15630525"/>
          <a:ext cx="85725" cy="5143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w 16384"/>
            <a:gd name="T13" fmla="*/ 2147483646 h 1638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6384" h="16384">
              <a:moveTo>
                <a:pt x="3781" y="0"/>
              </a:moveTo>
              <a:lnTo>
                <a:pt x="7562" y="655"/>
              </a:lnTo>
              <a:lnTo>
                <a:pt x="7562" y="3058"/>
              </a:lnTo>
              <a:lnTo>
                <a:pt x="16384" y="3714"/>
              </a:lnTo>
              <a:lnTo>
                <a:pt x="6302" y="4151"/>
              </a:lnTo>
              <a:lnTo>
                <a:pt x="6302" y="152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94</xdr:row>
      <xdr:rowOff>104775</xdr:rowOff>
    </xdr:from>
    <xdr:to>
      <xdr:col>5</xdr:col>
      <xdr:colOff>704850</xdr:colOff>
      <xdr:row>94</xdr:row>
      <xdr:rowOff>104775</xdr:rowOff>
    </xdr:to>
    <xdr:sp macro="" textlink="">
      <xdr:nvSpPr>
        <xdr:cNvPr id="135" name="Line 254">
          <a:extLst>
            <a:ext uri="{FF2B5EF4-FFF2-40B4-BE49-F238E27FC236}">
              <a16:creationId xmlns:a16="http://schemas.microsoft.com/office/drawing/2014/main" id="{00000000-0008-0000-0300-000087000000}"/>
            </a:ext>
          </a:extLst>
        </xdr:cNvPr>
        <xdr:cNvSpPr>
          <a:spLocks noChangeShapeType="1"/>
        </xdr:cNvSpPr>
      </xdr:nvSpPr>
      <xdr:spPr bwMode="auto">
        <a:xfrm flipH="1">
          <a:off x="2447925" y="17630775"/>
          <a:ext cx="809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161925</xdr:colOff>
      <xdr:row>97</xdr:row>
      <xdr:rowOff>85725</xdr:rowOff>
    </xdr:from>
    <xdr:to>
      <xdr:col>5</xdr:col>
      <xdr:colOff>723900</xdr:colOff>
      <xdr:row>97</xdr:row>
      <xdr:rowOff>85725</xdr:rowOff>
    </xdr:to>
    <xdr:sp macro="" textlink="">
      <xdr:nvSpPr>
        <xdr:cNvPr id="136" name="Line 255">
          <a:extLst>
            <a:ext uri="{FF2B5EF4-FFF2-40B4-BE49-F238E27FC236}">
              <a16:creationId xmlns:a16="http://schemas.microsoft.com/office/drawing/2014/main" id="{00000000-0008-0000-0300-000088000000}"/>
            </a:ext>
          </a:extLst>
        </xdr:cNvPr>
        <xdr:cNvSpPr>
          <a:spLocks noChangeShapeType="1"/>
        </xdr:cNvSpPr>
      </xdr:nvSpPr>
      <xdr:spPr bwMode="auto">
        <a:xfrm flipH="1">
          <a:off x="2714625" y="18183225"/>
          <a:ext cx="561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97</xdr:row>
      <xdr:rowOff>28575</xdr:rowOff>
    </xdr:from>
    <xdr:to>
      <xdr:col>5</xdr:col>
      <xdr:colOff>381000</xdr:colOff>
      <xdr:row>97</xdr:row>
      <xdr:rowOff>152400</xdr:rowOff>
    </xdr:to>
    <xdr:sp macro="" textlink="">
      <xdr:nvSpPr>
        <xdr:cNvPr id="137" name="Line 256">
          <a:extLst>
            <a:ext uri="{FF2B5EF4-FFF2-40B4-BE49-F238E27FC236}">
              <a16:creationId xmlns:a16="http://schemas.microsoft.com/office/drawing/2014/main" id="{00000000-0008-0000-0300-000089000000}"/>
            </a:ext>
          </a:extLst>
        </xdr:cNvPr>
        <xdr:cNvSpPr>
          <a:spLocks noChangeShapeType="1"/>
        </xdr:cNvSpPr>
      </xdr:nvSpPr>
      <xdr:spPr bwMode="auto">
        <a:xfrm>
          <a:off x="2933700" y="18126075"/>
          <a:ext cx="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84</xdr:row>
      <xdr:rowOff>47625</xdr:rowOff>
    </xdr:from>
    <xdr:to>
      <xdr:col>4</xdr:col>
      <xdr:colOff>219075</xdr:colOff>
      <xdr:row>84</xdr:row>
      <xdr:rowOff>123825</xdr:rowOff>
    </xdr:to>
    <xdr:sp macro="" textlink="">
      <xdr:nvSpPr>
        <xdr:cNvPr id="138" name="Tegning 339">
          <a:extLst>
            <a:ext uri="{FF2B5EF4-FFF2-40B4-BE49-F238E27FC236}">
              <a16:creationId xmlns:a16="http://schemas.microsoft.com/office/drawing/2014/main" id="{00000000-0008-0000-0300-00008A000000}"/>
            </a:ext>
          </a:extLst>
        </xdr:cNvPr>
        <xdr:cNvSpPr>
          <a:spLocks/>
        </xdr:cNvSpPr>
      </xdr:nvSpPr>
      <xdr:spPr bwMode="auto">
        <a:xfrm>
          <a:off x="2352675" y="15668625"/>
          <a:ext cx="95250"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95250</xdr:colOff>
      <xdr:row>85</xdr:row>
      <xdr:rowOff>47625</xdr:rowOff>
    </xdr:from>
    <xdr:to>
      <xdr:col>5</xdr:col>
      <xdr:colOff>171450</xdr:colOff>
      <xdr:row>85</xdr:row>
      <xdr:rowOff>123825</xdr:rowOff>
    </xdr:to>
    <xdr:sp macro="" textlink="">
      <xdr:nvSpPr>
        <xdr:cNvPr id="139" name="Tegning 340">
          <a:extLst>
            <a:ext uri="{FF2B5EF4-FFF2-40B4-BE49-F238E27FC236}">
              <a16:creationId xmlns:a16="http://schemas.microsoft.com/office/drawing/2014/main" id="{00000000-0008-0000-0300-00008B000000}"/>
            </a:ext>
          </a:extLst>
        </xdr:cNvPr>
        <xdr:cNvSpPr>
          <a:spLocks/>
        </xdr:cNvSpPr>
      </xdr:nvSpPr>
      <xdr:spPr bwMode="auto">
        <a:xfrm>
          <a:off x="2647950" y="15859125"/>
          <a:ext cx="76200"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86</xdr:row>
      <xdr:rowOff>66675</xdr:rowOff>
    </xdr:from>
    <xdr:to>
      <xdr:col>5</xdr:col>
      <xdr:colOff>381000</xdr:colOff>
      <xdr:row>86</xdr:row>
      <xdr:rowOff>142875</xdr:rowOff>
    </xdr:to>
    <xdr:sp macro="" textlink="">
      <xdr:nvSpPr>
        <xdr:cNvPr id="140" name="Tegning 341">
          <a:extLst>
            <a:ext uri="{FF2B5EF4-FFF2-40B4-BE49-F238E27FC236}">
              <a16:creationId xmlns:a16="http://schemas.microsoft.com/office/drawing/2014/main" id="{00000000-0008-0000-0300-00008C000000}"/>
            </a:ext>
          </a:extLst>
        </xdr:cNvPr>
        <xdr:cNvSpPr>
          <a:spLocks/>
        </xdr:cNvSpPr>
      </xdr:nvSpPr>
      <xdr:spPr bwMode="auto">
        <a:xfrm>
          <a:off x="2867025" y="16068675"/>
          <a:ext cx="66675"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97</xdr:row>
      <xdr:rowOff>47625</xdr:rowOff>
    </xdr:from>
    <xdr:to>
      <xdr:col>5</xdr:col>
      <xdr:colOff>390525</xdr:colOff>
      <xdr:row>97</xdr:row>
      <xdr:rowOff>123825</xdr:rowOff>
    </xdr:to>
    <xdr:sp macro="" textlink="">
      <xdr:nvSpPr>
        <xdr:cNvPr id="141" name="Tegning 342">
          <a:extLst>
            <a:ext uri="{FF2B5EF4-FFF2-40B4-BE49-F238E27FC236}">
              <a16:creationId xmlns:a16="http://schemas.microsoft.com/office/drawing/2014/main" id="{00000000-0008-0000-0300-00008D000000}"/>
            </a:ext>
          </a:extLst>
        </xdr:cNvPr>
        <xdr:cNvSpPr>
          <a:spLocks/>
        </xdr:cNvSpPr>
      </xdr:nvSpPr>
      <xdr:spPr bwMode="auto">
        <a:xfrm>
          <a:off x="2867025" y="18145125"/>
          <a:ext cx="76200" cy="76200"/>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85</xdr:row>
      <xdr:rowOff>47625</xdr:rowOff>
    </xdr:from>
    <xdr:to>
      <xdr:col>4</xdr:col>
      <xdr:colOff>304800</xdr:colOff>
      <xdr:row>85</xdr:row>
      <xdr:rowOff>123825</xdr:rowOff>
    </xdr:to>
    <xdr:sp macro="" textlink="">
      <xdr:nvSpPr>
        <xdr:cNvPr id="142" name="Tegning 343">
          <a:extLst>
            <a:ext uri="{FF2B5EF4-FFF2-40B4-BE49-F238E27FC236}">
              <a16:creationId xmlns:a16="http://schemas.microsoft.com/office/drawing/2014/main" id="{00000000-0008-0000-0300-00008E000000}"/>
            </a:ext>
          </a:extLst>
        </xdr:cNvPr>
        <xdr:cNvSpPr>
          <a:spLocks/>
        </xdr:cNvSpPr>
      </xdr:nvSpPr>
      <xdr:spPr bwMode="auto">
        <a:xfrm>
          <a:off x="2447925" y="15859125"/>
          <a:ext cx="8572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180975</xdr:colOff>
      <xdr:row>86</xdr:row>
      <xdr:rowOff>66675</xdr:rowOff>
    </xdr:from>
    <xdr:to>
      <xdr:col>5</xdr:col>
      <xdr:colOff>257175</xdr:colOff>
      <xdr:row>86</xdr:row>
      <xdr:rowOff>142875</xdr:rowOff>
    </xdr:to>
    <xdr:sp macro="" textlink="">
      <xdr:nvSpPr>
        <xdr:cNvPr id="143" name="Tegning 344">
          <a:extLst>
            <a:ext uri="{FF2B5EF4-FFF2-40B4-BE49-F238E27FC236}">
              <a16:creationId xmlns:a16="http://schemas.microsoft.com/office/drawing/2014/main" id="{00000000-0008-0000-0300-00008F000000}"/>
            </a:ext>
          </a:extLst>
        </xdr:cNvPr>
        <xdr:cNvSpPr>
          <a:spLocks/>
        </xdr:cNvSpPr>
      </xdr:nvSpPr>
      <xdr:spPr bwMode="auto">
        <a:xfrm>
          <a:off x="2733675" y="16068675"/>
          <a:ext cx="76200"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219075</xdr:colOff>
      <xdr:row>94</xdr:row>
      <xdr:rowOff>66675</xdr:rowOff>
    </xdr:from>
    <xdr:to>
      <xdr:col>4</xdr:col>
      <xdr:colOff>304800</xdr:colOff>
      <xdr:row>94</xdr:row>
      <xdr:rowOff>142875</xdr:rowOff>
    </xdr:to>
    <xdr:sp macro="" textlink="">
      <xdr:nvSpPr>
        <xdr:cNvPr id="144" name="Tegning 345">
          <a:extLst>
            <a:ext uri="{FF2B5EF4-FFF2-40B4-BE49-F238E27FC236}">
              <a16:creationId xmlns:a16="http://schemas.microsoft.com/office/drawing/2014/main" id="{00000000-0008-0000-0300-000090000000}"/>
            </a:ext>
          </a:extLst>
        </xdr:cNvPr>
        <xdr:cNvSpPr>
          <a:spLocks/>
        </xdr:cNvSpPr>
      </xdr:nvSpPr>
      <xdr:spPr bwMode="auto">
        <a:xfrm>
          <a:off x="2447925" y="17592675"/>
          <a:ext cx="85725"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76</xdr:row>
      <xdr:rowOff>161925</xdr:rowOff>
    </xdr:from>
    <xdr:to>
      <xdr:col>2</xdr:col>
      <xdr:colOff>361950</xdr:colOff>
      <xdr:row>92</xdr:row>
      <xdr:rowOff>66675</xdr:rowOff>
    </xdr:to>
    <xdr:sp macro="" textlink="">
      <xdr:nvSpPr>
        <xdr:cNvPr id="145" name="Line 346">
          <a:extLst>
            <a:ext uri="{FF2B5EF4-FFF2-40B4-BE49-F238E27FC236}">
              <a16:creationId xmlns:a16="http://schemas.microsoft.com/office/drawing/2014/main" id="{00000000-0008-0000-0300-000091000000}"/>
            </a:ext>
          </a:extLst>
        </xdr:cNvPr>
        <xdr:cNvSpPr>
          <a:spLocks noChangeShapeType="1"/>
        </xdr:cNvSpPr>
      </xdr:nvSpPr>
      <xdr:spPr bwMode="auto">
        <a:xfrm flipV="1">
          <a:off x="1638300" y="14258925"/>
          <a:ext cx="0" cy="2952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171450</xdr:colOff>
      <xdr:row>76</xdr:row>
      <xdr:rowOff>190500</xdr:rowOff>
    </xdr:from>
    <xdr:to>
      <xdr:col>5</xdr:col>
      <xdr:colOff>171450</xdr:colOff>
      <xdr:row>98</xdr:row>
      <xdr:rowOff>0</xdr:rowOff>
    </xdr:to>
    <xdr:sp macro="" textlink="">
      <xdr:nvSpPr>
        <xdr:cNvPr id="146" name="Line 347">
          <a:extLst>
            <a:ext uri="{FF2B5EF4-FFF2-40B4-BE49-F238E27FC236}">
              <a16:creationId xmlns:a16="http://schemas.microsoft.com/office/drawing/2014/main" id="{00000000-0008-0000-0300-000092000000}"/>
            </a:ext>
          </a:extLst>
        </xdr:cNvPr>
        <xdr:cNvSpPr>
          <a:spLocks noChangeShapeType="1"/>
        </xdr:cNvSpPr>
      </xdr:nvSpPr>
      <xdr:spPr bwMode="auto">
        <a:xfrm flipV="1">
          <a:off x="2724150" y="14287500"/>
          <a:ext cx="0" cy="400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76</xdr:row>
      <xdr:rowOff>123825</xdr:rowOff>
    </xdr:from>
    <xdr:to>
      <xdr:col>2</xdr:col>
      <xdr:colOff>47625</xdr:colOff>
      <xdr:row>78</xdr:row>
      <xdr:rowOff>28575</xdr:rowOff>
    </xdr:to>
    <xdr:sp macro="" textlink="">
      <xdr:nvSpPr>
        <xdr:cNvPr id="147" name="Line 348">
          <a:extLst>
            <a:ext uri="{FF2B5EF4-FFF2-40B4-BE49-F238E27FC236}">
              <a16:creationId xmlns:a16="http://schemas.microsoft.com/office/drawing/2014/main" id="{00000000-0008-0000-0300-000093000000}"/>
            </a:ext>
          </a:extLst>
        </xdr:cNvPr>
        <xdr:cNvSpPr>
          <a:spLocks noChangeShapeType="1"/>
        </xdr:cNvSpPr>
      </xdr:nvSpPr>
      <xdr:spPr bwMode="auto">
        <a:xfrm flipV="1">
          <a:off x="1323975" y="142208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77</xdr:row>
      <xdr:rowOff>0</xdr:rowOff>
    </xdr:from>
    <xdr:to>
      <xdr:col>6</xdr:col>
      <xdr:colOff>19050</xdr:colOff>
      <xdr:row>77</xdr:row>
      <xdr:rowOff>0</xdr:rowOff>
    </xdr:to>
    <xdr:sp macro="" textlink="">
      <xdr:nvSpPr>
        <xdr:cNvPr id="148" name="Line 349">
          <a:extLst>
            <a:ext uri="{FF2B5EF4-FFF2-40B4-BE49-F238E27FC236}">
              <a16:creationId xmlns:a16="http://schemas.microsoft.com/office/drawing/2014/main" id="{00000000-0008-0000-0300-000094000000}"/>
            </a:ext>
          </a:extLst>
        </xdr:cNvPr>
        <xdr:cNvSpPr>
          <a:spLocks noChangeShapeType="1"/>
        </xdr:cNvSpPr>
      </xdr:nvSpPr>
      <xdr:spPr bwMode="auto">
        <a:xfrm>
          <a:off x="1143000" y="14287500"/>
          <a:ext cx="21812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1162050</xdr:colOff>
      <xdr:row>78</xdr:row>
      <xdr:rowOff>0</xdr:rowOff>
    </xdr:from>
    <xdr:to>
      <xdr:col>6</xdr:col>
      <xdr:colOff>28575</xdr:colOff>
      <xdr:row>78</xdr:row>
      <xdr:rowOff>0</xdr:rowOff>
    </xdr:to>
    <xdr:sp macro="" textlink="">
      <xdr:nvSpPr>
        <xdr:cNvPr id="149" name="Line 350">
          <a:extLst>
            <a:ext uri="{FF2B5EF4-FFF2-40B4-BE49-F238E27FC236}">
              <a16:creationId xmlns:a16="http://schemas.microsoft.com/office/drawing/2014/main" id="{00000000-0008-0000-0300-000095000000}"/>
            </a:ext>
          </a:extLst>
        </xdr:cNvPr>
        <xdr:cNvSpPr>
          <a:spLocks noChangeShapeType="1"/>
        </xdr:cNvSpPr>
      </xdr:nvSpPr>
      <xdr:spPr bwMode="auto">
        <a:xfrm>
          <a:off x="1143000" y="14478000"/>
          <a:ext cx="2190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79</xdr:row>
      <xdr:rowOff>142875</xdr:rowOff>
    </xdr:from>
    <xdr:to>
      <xdr:col>4</xdr:col>
      <xdr:colOff>19050</xdr:colOff>
      <xdr:row>79</xdr:row>
      <xdr:rowOff>161925</xdr:rowOff>
    </xdr:to>
    <xdr:sp macro="" textlink="">
      <xdr:nvSpPr>
        <xdr:cNvPr id="150" name="Line 351">
          <a:extLst>
            <a:ext uri="{FF2B5EF4-FFF2-40B4-BE49-F238E27FC236}">
              <a16:creationId xmlns:a16="http://schemas.microsoft.com/office/drawing/2014/main" id="{00000000-0008-0000-0300-000096000000}"/>
            </a:ext>
          </a:extLst>
        </xdr:cNvPr>
        <xdr:cNvSpPr>
          <a:spLocks noChangeShapeType="1"/>
        </xdr:cNvSpPr>
      </xdr:nvSpPr>
      <xdr:spPr bwMode="auto">
        <a:xfrm>
          <a:off x="2152650" y="14811375"/>
          <a:ext cx="95250" cy="19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xdr:colOff>
      <xdr:row>76</xdr:row>
      <xdr:rowOff>161925</xdr:rowOff>
    </xdr:from>
    <xdr:to>
      <xdr:col>2</xdr:col>
      <xdr:colOff>85725</xdr:colOff>
      <xdr:row>77</xdr:row>
      <xdr:rowOff>38100</xdr:rowOff>
    </xdr:to>
    <xdr:sp macro="" textlink="">
      <xdr:nvSpPr>
        <xdr:cNvPr id="151" name="Line 352">
          <a:extLst>
            <a:ext uri="{FF2B5EF4-FFF2-40B4-BE49-F238E27FC236}">
              <a16:creationId xmlns:a16="http://schemas.microsoft.com/office/drawing/2014/main" id="{00000000-0008-0000-0300-000097000000}"/>
            </a:ext>
          </a:extLst>
        </xdr:cNvPr>
        <xdr:cNvSpPr>
          <a:spLocks noChangeShapeType="1"/>
        </xdr:cNvSpPr>
      </xdr:nvSpPr>
      <xdr:spPr bwMode="auto">
        <a:xfrm flipH="1">
          <a:off x="1285875" y="142589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77</xdr:row>
      <xdr:rowOff>152400</xdr:rowOff>
    </xdr:from>
    <xdr:to>
      <xdr:col>2</xdr:col>
      <xdr:colOff>85725</xdr:colOff>
      <xdr:row>78</xdr:row>
      <xdr:rowOff>38100</xdr:rowOff>
    </xdr:to>
    <xdr:sp macro="" textlink="">
      <xdr:nvSpPr>
        <xdr:cNvPr id="152" name="Line 353">
          <a:extLst>
            <a:ext uri="{FF2B5EF4-FFF2-40B4-BE49-F238E27FC236}">
              <a16:creationId xmlns:a16="http://schemas.microsoft.com/office/drawing/2014/main" id="{00000000-0008-0000-0300-000098000000}"/>
            </a:ext>
          </a:extLst>
        </xdr:cNvPr>
        <xdr:cNvSpPr>
          <a:spLocks noChangeShapeType="1"/>
        </xdr:cNvSpPr>
      </xdr:nvSpPr>
      <xdr:spPr bwMode="auto">
        <a:xfrm flipH="1">
          <a:off x="1276350" y="144399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76</xdr:row>
      <xdr:rowOff>152400</xdr:rowOff>
    </xdr:from>
    <xdr:to>
      <xdr:col>2</xdr:col>
      <xdr:colOff>419100</xdr:colOff>
      <xdr:row>77</xdr:row>
      <xdr:rowOff>38100</xdr:rowOff>
    </xdr:to>
    <xdr:sp macro="" textlink="">
      <xdr:nvSpPr>
        <xdr:cNvPr id="153" name="Line 354">
          <a:extLst>
            <a:ext uri="{FF2B5EF4-FFF2-40B4-BE49-F238E27FC236}">
              <a16:creationId xmlns:a16="http://schemas.microsoft.com/office/drawing/2014/main" id="{00000000-0008-0000-0300-000099000000}"/>
            </a:ext>
          </a:extLst>
        </xdr:cNvPr>
        <xdr:cNvSpPr>
          <a:spLocks noChangeShapeType="1"/>
        </xdr:cNvSpPr>
      </xdr:nvSpPr>
      <xdr:spPr bwMode="auto">
        <a:xfrm flipH="1">
          <a:off x="1581150" y="14249400"/>
          <a:ext cx="1143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314325</xdr:colOff>
      <xdr:row>77</xdr:row>
      <xdr:rowOff>161925</xdr:rowOff>
    </xdr:from>
    <xdr:to>
      <xdr:col>2</xdr:col>
      <xdr:colOff>409575</xdr:colOff>
      <xdr:row>78</xdr:row>
      <xdr:rowOff>47625</xdr:rowOff>
    </xdr:to>
    <xdr:sp macro="" textlink="">
      <xdr:nvSpPr>
        <xdr:cNvPr id="154" name="Line 355">
          <a:extLst>
            <a:ext uri="{FF2B5EF4-FFF2-40B4-BE49-F238E27FC236}">
              <a16:creationId xmlns:a16="http://schemas.microsoft.com/office/drawing/2014/main" id="{00000000-0008-0000-0300-00009A000000}"/>
            </a:ext>
          </a:extLst>
        </xdr:cNvPr>
        <xdr:cNvSpPr>
          <a:spLocks noChangeShapeType="1"/>
        </xdr:cNvSpPr>
      </xdr:nvSpPr>
      <xdr:spPr bwMode="auto">
        <a:xfrm flipH="1">
          <a:off x="1590675" y="144494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123825</xdr:colOff>
      <xdr:row>76</xdr:row>
      <xdr:rowOff>152400</xdr:rowOff>
    </xdr:from>
    <xdr:to>
      <xdr:col>5</xdr:col>
      <xdr:colOff>209550</xdr:colOff>
      <xdr:row>77</xdr:row>
      <xdr:rowOff>47625</xdr:rowOff>
    </xdr:to>
    <xdr:sp macro="" textlink="">
      <xdr:nvSpPr>
        <xdr:cNvPr id="155" name="Line 356">
          <a:extLst>
            <a:ext uri="{FF2B5EF4-FFF2-40B4-BE49-F238E27FC236}">
              <a16:creationId xmlns:a16="http://schemas.microsoft.com/office/drawing/2014/main" id="{00000000-0008-0000-0300-00009B000000}"/>
            </a:ext>
          </a:extLst>
        </xdr:cNvPr>
        <xdr:cNvSpPr>
          <a:spLocks noChangeShapeType="1"/>
        </xdr:cNvSpPr>
      </xdr:nvSpPr>
      <xdr:spPr bwMode="auto">
        <a:xfrm flipH="1">
          <a:off x="2676525" y="1424940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77</xdr:row>
      <xdr:rowOff>152400</xdr:rowOff>
    </xdr:from>
    <xdr:to>
      <xdr:col>5</xdr:col>
      <xdr:colOff>209550</xdr:colOff>
      <xdr:row>78</xdr:row>
      <xdr:rowOff>28575</xdr:rowOff>
    </xdr:to>
    <xdr:sp macro="" textlink="">
      <xdr:nvSpPr>
        <xdr:cNvPr id="156" name="Line 357">
          <a:extLst>
            <a:ext uri="{FF2B5EF4-FFF2-40B4-BE49-F238E27FC236}">
              <a16:creationId xmlns:a16="http://schemas.microsoft.com/office/drawing/2014/main" id="{00000000-0008-0000-0300-00009C000000}"/>
            </a:ext>
          </a:extLst>
        </xdr:cNvPr>
        <xdr:cNvSpPr>
          <a:spLocks noChangeShapeType="1"/>
        </xdr:cNvSpPr>
      </xdr:nvSpPr>
      <xdr:spPr bwMode="auto">
        <a:xfrm flipH="1">
          <a:off x="2686050" y="1443990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76</xdr:row>
      <xdr:rowOff>161925</xdr:rowOff>
    </xdr:from>
    <xdr:to>
      <xdr:col>5</xdr:col>
      <xdr:colOff>590550</xdr:colOff>
      <xdr:row>79</xdr:row>
      <xdr:rowOff>76200</xdr:rowOff>
    </xdr:to>
    <xdr:sp macro="" textlink="">
      <xdr:nvSpPr>
        <xdr:cNvPr id="157" name="Line 358">
          <a:extLst>
            <a:ext uri="{FF2B5EF4-FFF2-40B4-BE49-F238E27FC236}">
              <a16:creationId xmlns:a16="http://schemas.microsoft.com/office/drawing/2014/main" id="{00000000-0008-0000-0300-00009D000000}"/>
            </a:ext>
          </a:extLst>
        </xdr:cNvPr>
        <xdr:cNvSpPr>
          <a:spLocks noChangeShapeType="1"/>
        </xdr:cNvSpPr>
      </xdr:nvSpPr>
      <xdr:spPr bwMode="auto">
        <a:xfrm flipV="1">
          <a:off x="3143250" y="14258925"/>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76</xdr:row>
      <xdr:rowOff>152400</xdr:rowOff>
    </xdr:from>
    <xdr:to>
      <xdr:col>5</xdr:col>
      <xdr:colOff>619125</xdr:colOff>
      <xdr:row>77</xdr:row>
      <xdr:rowOff>28575</xdr:rowOff>
    </xdr:to>
    <xdr:sp macro="" textlink="">
      <xdr:nvSpPr>
        <xdr:cNvPr id="158" name="Line 359">
          <a:extLst>
            <a:ext uri="{FF2B5EF4-FFF2-40B4-BE49-F238E27FC236}">
              <a16:creationId xmlns:a16="http://schemas.microsoft.com/office/drawing/2014/main" id="{00000000-0008-0000-0300-00009E000000}"/>
            </a:ext>
          </a:extLst>
        </xdr:cNvPr>
        <xdr:cNvSpPr>
          <a:spLocks noChangeShapeType="1"/>
        </xdr:cNvSpPr>
      </xdr:nvSpPr>
      <xdr:spPr bwMode="auto">
        <a:xfrm flipH="1">
          <a:off x="3105150" y="1424940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542925</xdr:colOff>
      <xdr:row>77</xdr:row>
      <xdr:rowOff>161925</xdr:rowOff>
    </xdr:from>
    <xdr:to>
      <xdr:col>5</xdr:col>
      <xdr:colOff>628650</xdr:colOff>
      <xdr:row>78</xdr:row>
      <xdr:rowOff>47625</xdr:rowOff>
    </xdr:to>
    <xdr:sp macro="" textlink="">
      <xdr:nvSpPr>
        <xdr:cNvPr id="159" name="Line 360">
          <a:extLst>
            <a:ext uri="{FF2B5EF4-FFF2-40B4-BE49-F238E27FC236}">
              <a16:creationId xmlns:a16="http://schemas.microsoft.com/office/drawing/2014/main" id="{00000000-0008-0000-0300-00009F000000}"/>
            </a:ext>
          </a:extLst>
        </xdr:cNvPr>
        <xdr:cNvSpPr>
          <a:spLocks noChangeShapeType="1"/>
        </xdr:cNvSpPr>
      </xdr:nvSpPr>
      <xdr:spPr bwMode="auto">
        <a:xfrm flipH="1">
          <a:off x="3095625" y="1444942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91</xdr:row>
      <xdr:rowOff>85725</xdr:rowOff>
    </xdr:from>
    <xdr:to>
      <xdr:col>5</xdr:col>
      <xdr:colOff>704850</xdr:colOff>
      <xdr:row>91</xdr:row>
      <xdr:rowOff>85725</xdr:rowOff>
    </xdr:to>
    <xdr:sp macro="" textlink="">
      <xdr:nvSpPr>
        <xdr:cNvPr id="160" name="Line 426">
          <a:extLst>
            <a:ext uri="{FF2B5EF4-FFF2-40B4-BE49-F238E27FC236}">
              <a16:creationId xmlns:a16="http://schemas.microsoft.com/office/drawing/2014/main" id="{00000000-0008-0000-0300-0000A0000000}"/>
            </a:ext>
          </a:extLst>
        </xdr:cNvPr>
        <xdr:cNvSpPr>
          <a:spLocks noChangeShapeType="1"/>
        </xdr:cNvSpPr>
      </xdr:nvSpPr>
      <xdr:spPr bwMode="auto">
        <a:xfrm flipH="1">
          <a:off x="1638300" y="17040225"/>
          <a:ext cx="1619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91</xdr:row>
      <xdr:rowOff>38100</xdr:rowOff>
    </xdr:from>
    <xdr:to>
      <xdr:col>3</xdr:col>
      <xdr:colOff>266700</xdr:colOff>
      <xdr:row>91</xdr:row>
      <xdr:rowOff>142875</xdr:rowOff>
    </xdr:to>
    <xdr:sp macro="" textlink="">
      <xdr:nvSpPr>
        <xdr:cNvPr id="161" name="Tegning 427">
          <a:extLst>
            <a:ext uri="{FF2B5EF4-FFF2-40B4-BE49-F238E27FC236}">
              <a16:creationId xmlns:a16="http://schemas.microsoft.com/office/drawing/2014/main" id="{00000000-0008-0000-0300-0000A1000000}"/>
            </a:ext>
          </a:extLst>
        </xdr:cNvPr>
        <xdr:cNvSpPr>
          <a:spLocks/>
        </xdr:cNvSpPr>
      </xdr:nvSpPr>
      <xdr:spPr bwMode="auto">
        <a:xfrm>
          <a:off x="2019300" y="16992600"/>
          <a:ext cx="104775" cy="104775"/>
        </a:xfrm>
        <a:custGeom>
          <a:avLst/>
          <a:gdLst>
            <a:gd name="T0" fmla="*/ 2147483646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910" y="0"/>
              </a:moveTo>
              <a:lnTo>
                <a:pt x="16384" y="8192"/>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352425</xdr:colOff>
      <xdr:row>84</xdr:row>
      <xdr:rowOff>85725</xdr:rowOff>
    </xdr:from>
    <xdr:to>
      <xdr:col>5</xdr:col>
      <xdr:colOff>619125</xdr:colOff>
      <xdr:row>84</xdr:row>
      <xdr:rowOff>85725</xdr:rowOff>
    </xdr:to>
    <xdr:sp macro="" textlink="">
      <xdr:nvSpPr>
        <xdr:cNvPr id="162" name="Line 600">
          <a:extLst>
            <a:ext uri="{FF2B5EF4-FFF2-40B4-BE49-F238E27FC236}">
              <a16:creationId xmlns:a16="http://schemas.microsoft.com/office/drawing/2014/main" id="{00000000-0008-0000-0300-0000A2000000}"/>
            </a:ext>
          </a:extLst>
        </xdr:cNvPr>
        <xdr:cNvSpPr>
          <a:spLocks noChangeShapeType="1"/>
        </xdr:cNvSpPr>
      </xdr:nvSpPr>
      <xdr:spPr bwMode="auto">
        <a:xfrm flipH="1">
          <a:off x="1628775" y="15706725"/>
          <a:ext cx="15430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84</xdr:row>
      <xdr:rowOff>47625</xdr:rowOff>
    </xdr:from>
    <xdr:to>
      <xdr:col>2</xdr:col>
      <xdr:colOff>438150</xdr:colOff>
      <xdr:row>84</xdr:row>
      <xdr:rowOff>123825</xdr:rowOff>
    </xdr:to>
    <xdr:sp macro="" textlink="">
      <xdr:nvSpPr>
        <xdr:cNvPr id="163" name="Tegning 601">
          <a:extLst>
            <a:ext uri="{FF2B5EF4-FFF2-40B4-BE49-F238E27FC236}">
              <a16:creationId xmlns:a16="http://schemas.microsoft.com/office/drawing/2014/main" id="{00000000-0008-0000-0300-0000A3000000}"/>
            </a:ext>
          </a:extLst>
        </xdr:cNvPr>
        <xdr:cNvSpPr>
          <a:spLocks/>
        </xdr:cNvSpPr>
      </xdr:nvSpPr>
      <xdr:spPr bwMode="auto">
        <a:xfrm>
          <a:off x="1638300" y="15668625"/>
          <a:ext cx="76200" cy="762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314325</xdr:colOff>
      <xdr:row>91</xdr:row>
      <xdr:rowOff>38100</xdr:rowOff>
    </xdr:from>
    <xdr:to>
      <xdr:col>2</xdr:col>
      <xdr:colOff>409575</xdr:colOff>
      <xdr:row>91</xdr:row>
      <xdr:rowOff>123825</xdr:rowOff>
    </xdr:to>
    <xdr:sp macro="" textlink="">
      <xdr:nvSpPr>
        <xdr:cNvPr id="164" name="Oval 602">
          <a:extLst>
            <a:ext uri="{FF2B5EF4-FFF2-40B4-BE49-F238E27FC236}">
              <a16:creationId xmlns:a16="http://schemas.microsoft.com/office/drawing/2014/main" id="{00000000-0008-0000-0300-0000A4000000}"/>
            </a:ext>
          </a:extLst>
        </xdr:cNvPr>
        <xdr:cNvSpPr>
          <a:spLocks noChangeArrowheads="1"/>
        </xdr:cNvSpPr>
      </xdr:nvSpPr>
      <xdr:spPr bwMode="auto">
        <a:xfrm>
          <a:off x="1590675" y="1699260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94</xdr:row>
      <xdr:rowOff>57150</xdr:rowOff>
    </xdr:from>
    <xdr:to>
      <xdr:col>5</xdr:col>
      <xdr:colOff>219075</xdr:colOff>
      <xdr:row>94</xdr:row>
      <xdr:rowOff>142875</xdr:rowOff>
    </xdr:to>
    <xdr:sp macro="" textlink="">
      <xdr:nvSpPr>
        <xdr:cNvPr id="165" name="Oval 603">
          <a:extLst>
            <a:ext uri="{FF2B5EF4-FFF2-40B4-BE49-F238E27FC236}">
              <a16:creationId xmlns:a16="http://schemas.microsoft.com/office/drawing/2014/main" id="{00000000-0008-0000-0300-0000A5000000}"/>
            </a:ext>
          </a:extLst>
        </xdr:cNvPr>
        <xdr:cNvSpPr>
          <a:spLocks noChangeArrowheads="1"/>
        </xdr:cNvSpPr>
      </xdr:nvSpPr>
      <xdr:spPr bwMode="auto">
        <a:xfrm>
          <a:off x="2676525" y="175831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123825</xdr:colOff>
      <xdr:row>97</xdr:row>
      <xdr:rowOff>47625</xdr:rowOff>
    </xdr:from>
    <xdr:to>
      <xdr:col>5</xdr:col>
      <xdr:colOff>219075</xdr:colOff>
      <xdr:row>97</xdr:row>
      <xdr:rowOff>133350</xdr:rowOff>
    </xdr:to>
    <xdr:sp macro="" textlink="">
      <xdr:nvSpPr>
        <xdr:cNvPr id="166" name="Oval 604">
          <a:extLst>
            <a:ext uri="{FF2B5EF4-FFF2-40B4-BE49-F238E27FC236}">
              <a16:creationId xmlns:a16="http://schemas.microsoft.com/office/drawing/2014/main" id="{00000000-0008-0000-0300-0000A6000000}"/>
            </a:ext>
          </a:extLst>
        </xdr:cNvPr>
        <xdr:cNvSpPr>
          <a:spLocks noChangeArrowheads="1"/>
        </xdr:cNvSpPr>
      </xdr:nvSpPr>
      <xdr:spPr bwMode="auto">
        <a:xfrm>
          <a:off x="2676525" y="18145125"/>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723900</xdr:colOff>
      <xdr:row>137</xdr:row>
      <xdr:rowOff>123825</xdr:rowOff>
    </xdr:from>
    <xdr:to>
      <xdr:col>5</xdr:col>
      <xdr:colOff>723900</xdr:colOff>
      <xdr:row>139</xdr:row>
      <xdr:rowOff>47625</xdr:rowOff>
    </xdr:to>
    <xdr:sp macro="" textlink="">
      <xdr:nvSpPr>
        <xdr:cNvPr id="167" name="Line 2">
          <a:extLst>
            <a:ext uri="{FF2B5EF4-FFF2-40B4-BE49-F238E27FC236}">
              <a16:creationId xmlns:a16="http://schemas.microsoft.com/office/drawing/2014/main" id="{00000000-0008-0000-0300-0000A7000000}"/>
            </a:ext>
          </a:extLst>
        </xdr:cNvPr>
        <xdr:cNvSpPr>
          <a:spLocks noChangeShapeType="1"/>
        </xdr:cNvSpPr>
      </xdr:nvSpPr>
      <xdr:spPr bwMode="auto">
        <a:xfrm>
          <a:off x="3276600" y="2566035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137</xdr:row>
      <xdr:rowOff>142875</xdr:rowOff>
    </xdr:from>
    <xdr:to>
      <xdr:col>6</xdr:col>
      <xdr:colOff>19050</xdr:colOff>
      <xdr:row>137</xdr:row>
      <xdr:rowOff>142875</xdr:rowOff>
    </xdr:to>
    <xdr:sp macro="" textlink="">
      <xdr:nvSpPr>
        <xdr:cNvPr id="168" name="Line 3">
          <a:extLst>
            <a:ext uri="{FF2B5EF4-FFF2-40B4-BE49-F238E27FC236}">
              <a16:creationId xmlns:a16="http://schemas.microsoft.com/office/drawing/2014/main" id="{00000000-0008-0000-0300-0000A8000000}"/>
            </a:ext>
          </a:extLst>
        </xdr:cNvPr>
        <xdr:cNvSpPr>
          <a:spLocks noChangeShapeType="1"/>
        </xdr:cNvSpPr>
      </xdr:nvSpPr>
      <xdr:spPr bwMode="auto">
        <a:xfrm>
          <a:off x="3124200" y="25679400"/>
          <a:ext cx="200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xdr:colOff>
      <xdr:row>116</xdr:row>
      <xdr:rowOff>38100</xdr:rowOff>
    </xdr:from>
    <xdr:to>
      <xdr:col>5</xdr:col>
      <xdr:colOff>95250</xdr:colOff>
      <xdr:row>120</xdr:row>
      <xdr:rowOff>104775</xdr:rowOff>
    </xdr:to>
    <xdr:sp macro="" textlink="">
      <xdr:nvSpPr>
        <xdr:cNvPr id="169" name="Tegning 23">
          <a:extLst>
            <a:ext uri="{FF2B5EF4-FFF2-40B4-BE49-F238E27FC236}">
              <a16:creationId xmlns:a16="http://schemas.microsoft.com/office/drawing/2014/main" id="{00000000-0008-0000-0300-0000A9000000}"/>
            </a:ext>
          </a:extLst>
        </xdr:cNvPr>
        <xdr:cNvSpPr>
          <a:spLocks/>
        </xdr:cNvSpPr>
      </xdr:nvSpPr>
      <xdr:spPr bwMode="auto">
        <a:xfrm>
          <a:off x="1285875" y="21574125"/>
          <a:ext cx="1362075" cy="828675"/>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0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74" y="0"/>
              </a:moveTo>
              <a:lnTo>
                <a:pt x="9235" y="0"/>
              </a:lnTo>
              <a:lnTo>
                <a:pt x="9235" y="7851"/>
              </a:lnTo>
              <a:lnTo>
                <a:pt x="16384" y="7851"/>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xdr:colOff>
      <xdr:row>116</xdr:row>
      <xdr:rowOff>142875</xdr:rowOff>
    </xdr:from>
    <xdr:to>
      <xdr:col>5</xdr:col>
      <xdr:colOff>19050</xdr:colOff>
      <xdr:row>120</xdr:row>
      <xdr:rowOff>28575</xdr:rowOff>
    </xdr:to>
    <xdr:sp macro="" textlink="">
      <xdr:nvSpPr>
        <xdr:cNvPr id="170" name="Tegning 24">
          <a:extLst>
            <a:ext uri="{FF2B5EF4-FFF2-40B4-BE49-F238E27FC236}">
              <a16:creationId xmlns:a16="http://schemas.microsoft.com/office/drawing/2014/main" id="{00000000-0008-0000-0300-0000AA000000}"/>
            </a:ext>
          </a:extLst>
        </xdr:cNvPr>
        <xdr:cNvSpPr>
          <a:spLocks/>
        </xdr:cNvSpPr>
      </xdr:nvSpPr>
      <xdr:spPr bwMode="auto">
        <a:xfrm>
          <a:off x="1285875" y="21678900"/>
          <a:ext cx="1285875" cy="647700"/>
        </a:xfrm>
        <a:custGeom>
          <a:avLst/>
          <a:gdLst>
            <a:gd name="T0" fmla="*/ 2147483646 w 16384"/>
            <a:gd name="T1" fmla="*/ 0 h 16384"/>
            <a:gd name="T2" fmla="*/ 2147483646 w 16384"/>
            <a:gd name="T3" fmla="*/ 0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2147483646 w 16384"/>
            <a:gd name="T13" fmla="*/ 2147483646 h 16384"/>
            <a:gd name="T14" fmla="*/ 2147483646 w 16384"/>
            <a:gd name="T15" fmla="*/ 2147483646 h 16384"/>
            <a:gd name="T16" fmla="*/ 2147483646 w 16384"/>
            <a:gd name="T17" fmla="*/ 2147483646 h 16384"/>
            <a:gd name="T18" fmla="*/ 2147483646 w 16384"/>
            <a:gd name="T19" fmla="*/ 2147483646 h 16384"/>
            <a:gd name="T20" fmla="*/ 2147483646 w 16384"/>
            <a:gd name="T21" fmla="*/ 2147483646 h 16384"/>
            <a:gd name="T22" fmla="*/ 2147483646 w 16384"/>
            <a:gd name="T23" fmla="*/ 2147483646 h 16384"/>
            <a:gd name="T24" fmla="*/ 2147483646 w 16384"/>
            <a:gd name="T25" fmla="*/ 2147483646 h 16384"/>
            <a:gd name="T26" fmla="*/ 0 w 16384"/>
            <a:gd name="T27" fmla="*/ 2147483646 h 16384"/>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16384" h="16384">
              <a:moveTo>
                <a:pt x="80" y="0"/>
              </a:moveTo>
              <a:lnTo>
                <a:pt x="7715" y="0"/>
              </a:lnTo>
              <a:lnTo>
                <a:pt x="8112" y="148"/>
              </a:lnTo>
              <a:lnTo>
                <a:pt x="8351" y="886"/>
              </a:lnTo>
              <a:lnTo>
                <a:pt x="8431" y="15056"/>
              </a:lnTo>
              <a:lnTo>
                <a:pt x="8590" y="15941"/>
              </a:lnTo>
              <a:lnTo>
                <a:pt x="9067" y="16384"/>
              </a:lnTo>
              <a:lnTo>
                <a:pt x="15907" y="16384"/>
              </a:lnTo>
              <a:lnTo>
                <a:pt x="16384" y="15794"/>
              </a:lnTo>
              <a:lnTo>
                <a:pt x="16384" y="14908"/>
              </a:lnTo>
              <a:lnTo>
                <a:pt x="16384" y="10775"/>
              </a:lnTo>
              <a:lnTo>
                <a:pt x="16225" y="10185"/>
              </a:lnTo>
              <a:lnTo>
                <a:pt x="15748" y="9594"/>
              </a:lnTo>
              <a:lnTo>
                <a:pt x="0" y="959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116</xdr:row>
      <xdr:rowOff>28575</xdr:rowOff>
    </xdr:from>
    <xdr:to>
      <xdr:col>5</xdr:col>
      <xdr:colOff>28575</xdr:colOff>
      <xdr:row>118</xdr:row>
      <xdr:rowOff>47625</xdr:rowOff>
    </xdr:to>
    <xdr:sp macro="" textlink="">
      <xdr:nvSpPr>
        <xdr:cNvPr id="171" name="Tegning 25">
          <a:extLst>
            <a:ext uri="{FF2B5EF4-FFF2-40B4-BE49-F238E27FC236}">
              <a16:creationId xmlns:a16="http://schemas.microsoft.com/office/drawing/2014/main" id="{00000000-0008-0000-0300-0000AB000000}"/>
            </a:ext>
          </a:extLst>
        </xdr:cNvPr>
        <xdr:cNvSpPr>
          <a:spLocks/>
        </xdr:cNvSpPr>
      </xdr:nvSpPr>
      <xdr:spPr bwMode="auto">
        <a:xfrm>
          <a:off x="2314575" y="21564600"/>
          <a:ext cx="266700" cy="40005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764" y="0"/>
              </a:moveTo>
              <a:lnTo>
                <a:pt x="8764" y="16384"/>
              </a:lnTo>
              <a:lnTo>
                <a:pt x="16384" y="11703"/>
              </a:lnTo>
              <a:lnTo>
                <a:pt x="8764" y="16384"/>
              </a:lnTo>
              <a:lnTo>
                <a:pt x="0" y="11001"/>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114</xdr:row>
      <xdr:rowOff>161925</xdr:rowOff>
    </xdr:from>
    <xdr:to>
      <xdr:col>4</xdr:col>
      <xdr:colOff>285750</xdr:colOff>
      <xdr:row>114</xdr:row>
      <xdr:rowOff>161925</xdr:rowOff>
    </xdr:to>
    <xdr:sp macro="" textlink="">
      <xdr:nvSpPr>
        <xdr:cNvPr id="172" name="Line 26">
          <a:extLst>
            <a:ext uri="{FF2B5EF4-FFF2-40B4-BE49-F238E27FC236}">
              <a16:creationId xmlns:a16="http://schemas.microsoft.com/office/drawing/2014/main" id="{00000000-0008-0000-0300-0000AC000000}"/>
            </a:ext>
          </a:extLst>
        </xdr:cNvPr>
        <xdr:cNvSpPr>
          <a:spLocks noChangeShapeType="1"/>
        </xdr:cNvSpPr>
      </xdr:nvSpPr>
      <xdr:spPr bwMode="auto">
        <a:xfrm>
          <a:off x="1847850" y="21316950"/>
          <a:ext cx="666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228600</xdr:colOff>
      <xdr:row>114</xdr:row>
      <xdr:rowOff>133350</xdr:rowOff>
    </xdr:from>
    <xdr:to>
      <xdr:col>4</xdr:col>
      <xdr:colOff>228600</xdr:colOff>
      <xdr:row>115</xdr:row>
      <xdr:rowOff>152400</xdr:rowOff>
    </xdr:to>
    <xdr:sp macro="" textlink="">
      <xdr:nvSpPr>
        <xdr:cNvPr id="173" name="Line 27">
          <a:extLst>
            <a:ext uri="{FF2B5EF4-FFF2-40B4-BE49-F238E27FC236}">
              <a16:creationId xmlns:a16="http://schemas.microsoft.com/office/drawing/2014/main" id="{00000000-0008-0000-0300-0000AD000000}"/>
            </a:ext>
          </a:extLst>
        </xdr:cNvPr>
        <xdr:cNvSpPr>
          <a:spLocks noChangeShapeType="1"/>
        </xdr:cNvSpPr>
      </xdr:nvSpPr>
      <xdr:spPr bwMode="auto">
        <a:xfrm flipV="1">
          <a:off x="2457450" y="21288375"/>
          <a:ext cx="0" cy="209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47625</xdr:colOff>
      <xdr:row>114</xdr:row>
      <xdr:rowOff>104775</xdr:rowOff>
    </xdr:from>
    <xdr:to>
      <xdr:col>3</xdr:col>
      <xdr:colOff>47625</xdr:colOff>
      <xdr:row>116</xdr:row>
      <xdr:rowOff>76200</xdr:rowOff>
    </xdr:to>
    <xdr:sp macro="" textlink="">
      <xdr:nvSpPr>
        <xdr:cNvPr id="174" name="Line 28">
          <a:extLst>
            <a:ext uri="{FF2B5EF4-FFF2-40B4-BE49-F238E27FC236}">
              <a16:creationId xmlns:a16="http://schemas.microsoft.com/office/drawing/2014/main" id="{00000000-0008-0000-0300-0000AE000000}"/>
            </a:ext>
          </a:extLst>
        </xdr:cNvPr>
        <xdr:cNvSpPr>
          <a:spLocks noChangeShapeType="1"/>
        </xdr:cNvSpPr>
      </xdr:nvSpPr>
      <xdr:spPr bwMode="auto">
        <a:xfrm flipV="1">
          <a:off x="1905000" y="21259800"/>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114</xdr:row>
      <xdr:rowOff>104775</xdr:rowOff>
    </xdr:from>
    <xdr:to>
      <xdr:col>3</xdr:col>
      <xdr:colOff>95250</xdr:colOff>
      <xdr:row>115</xdr:row>
      <xdr:rowOff>9525</xdr:rowOff>
    </xdr:to>
    <xdr:sp macro="" textlink="">
      <xdr:nvSpPr>
        <xdr:cNvPr id="175" name="Line 29">
          <a:extLst>
            <a:ext uri="{FF2B5EF4-FFF2-40B4-BE49-F238E27FC236}">
              <a16:creationId xmlns:a16="http://schemas.microsoft.com/office/drawing/2014/main" id="{00000000-0008-0000-0300-0000AF000000}"/>
            </a:ext>
          </a:extLst>
        </xdr:cNvPr>
        <xdr:cNvSpPr>
          <a:spLocks noChangeShapeType="1"/>
        </xdr:cNvSpPr>
      </xdr:nvSpPr>
      <xdr:spPr bwMode="auto">
        <a:xfrm flipH="1">
          <a:off x="1847850" y="21259800"/>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171450</xdr:colOff>
      <xdr:row>114</xdr:row>
      <xdr:rowOff>114300</xdr:rowOff>
    </xdr:from>
    <xdr:to>
      <xdr:col>4</xdr:col>
      <xdr:colOff>285750</xdr:colOff>
      <xdr:row>115</xdr:row>
      <xdr:rowOff>28575</xdr:rowOff>
    </xdr:to>
    <xdr:sp macro="" textlink="">
      <xdr:nvSpPr>
        <xdr:cNvPr id="176" name="Line 30">
          <a:extLst>
            <a:ext uri="{FF2B5EF4-FFF2-40B4-BE49-F238E27FC236}">
              <a16:creationId xmlns:a16="http://schemas.microsoft.com/office/drawing/2014/main" id="{00000000-0008-0000-0300-0000B0000000}"/>
            </a:ext>
          </a:extLst>
        </xdr:cNvPr>
        <xdr:cNvSpPr>
          <a:spLocks noChangeShapeType="1"/>
        </xdr:cNvSpPr>
      </xdr:nvSpPr>
      <xdr:spPr bwMode="auto">
        <a:xfrm flipH="1">
          <a:off x="2400300" y="21269325"/>
          <a:ext cx="11430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117</xdr:row>
      <xdr:rowOff>142875</xdr:rowOff>
    </xdr:from>
    <xdr:to>
      <xdr:col>3</xdr:col>
      <xdr:colOff>9525</xdr:colOff>
      <xdr:row>117</xdr:row>
      <xdr:rowOff>142875</xdr:rowOff>
    </xdr:to>
    <xdr:sp macro="" textlink="">
      <xdr:nvSpPr>
        <xdr:cNvPr id="177" name="Line 31">
          <a:extLst>
            <a:ext uri="{FF2B5EF4-FFF2-40B4-BE49-F238E27FC236}">
              <a16:creationId xmlns:a16="http://schemas.microsoft.com/office/drawing/2014/main" id="{00000000-0008-0000-0300-0000B1000000}"/>
            </a:ext>
          </a:extLst>
        </xdr:cNvPr>
        <xdr:cNvSpPr>
          <a:spLocks noChangeShapeType="1"/>
        </xdr:cNvSpPr>
      </xdr:nvSpPr>
      <xdr:spPr bwMode="auto">
        <a:xfrm>
          <a:off x="1676400" y="21869400"/>
          <a:ext cx="1905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xdr:colOff>
      <xdr:row>117</xdr:row>
      <xdr:rowOff>104775</xdr:rowOff>
    </xdr:from>
    <xdr:to>
      <xdr:col>3</xdr:col>
      <xdr:colOff>104775</xdr:colOff>
      <xdr:row>117</xdr:row>
      <xdr:rowOff>180975</xdr:rowOff>
    </xdr:to>
    <xdr:sp macro="" textlink="">
      <xdr:nvSpPr>
        <xdr:cNvPr id="178" name="Oval 32">
          <a:extLst>
            <a:ext uri="{FF2B5EF4-FFF2-40B4-BE49-F238E27FC236}">
              <a16:creationId xmlns:a16="http://schemas.microsoft.com/office/drawing/2014/main" id="{00000000-0008-0000-0300-0000B2000000}"/>
            </a:ext>
          </a:extLst>
        </xdr:cNvPr>
        <xdr:cNvSpPr>
          <a:spLocks noChangeArrowheads="1"/>
        </xdr:cNvSpPr>
      </xdr:nvSpPr>
      <xdr:spPr bwMode="auto">
        <a:xfrm>
          <a:off x="1876425" y="21831300"/>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85725</xdr:colOff>
      <xdr:row>118</xdr:row>
      <xdr:rowOff>104775</xdr:rowOff>
    </xdr:from>
    <xdr:to>
      <xdr:col>4</xdr:col>
      <xdr:colOff>161925</xdr:colOff>
      <xdr:row>118</xdr:row>
      <xdr:rowOff>171450</xdr:rowOff>
    </xdr:to>
    <xdr:sp macro="" textlink="">
      <xdr:nvSpPr>
        <xdr:cNvPr id="179" name="Oval 33">
          <a:extLst>
            <a:ext uri="{FF2B5EF4-FFF2-40B4-BE49-F238E27FC236}">
              <a16:creationId xmlns:a16="http://schemas.microsoft.com/office/drawing/2014/main" id="{00000000-0008-0000-0300-0000B3000000}"/>
            </a:ext>
          </a:extLst>
        </xdr:cNvPr>
        <xdr:cNvSpPr>
          <a:spLocks noChangeArrowheads="1"/>
        </xdr:cNvSpPr>
      </xdr:nvSpPr>
      <xdr:spPr bwMode="auto">
        <a:xfrm>
          <a:off x="2314575" y="2202180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571500</xdr:colOff>
      <xdr:row>116</xdr:row>
      <xdr:rowOff>171450</xdr:rowOff>
    </xdr:from>
    <xdr:to>
      <xdr:col>3</xdr:col>
      <xdr:colOff>28575</xdr:colOff>
      <xdr:row>117</xdr:row>
      <xdr:rowOff>9525</xdr:rowOff>
    </xdr:to>
    <xdr:sp macro="" textlink="">
      <xdr:nvSpPr>
        <xdr:cNvPr id="180" name="Oval 36">
          <a:extLst>
            <a:ext uri="{FF2B5EF4-FFF2-40B4-BE49-F238E27FC236}">
              <a16:creationId xmlns:a16="http://schemas.microsoft.com/office/drawing/2014/main" id="{00000000-0008-0000-0300-0000B4000000}"/>
            </a:ext>
          </a:extLst>
        </xdr:cNvPr>
        <xdr:cNvSpPr>
          <a:spLocks noChangeArrowheads="1"/>
        </xdr:cNvSpPr>
      </xdr:nvSpPr>
      <xdr:spPr bwMode="auto">
        <a:xfrm>
          <a:off x="1847850" y="21707475"/>
          <a:ext cx="38100" cy="28575"/>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390525</xdr:colOff>
      <xdr:row>118</xdr:row>
      <xdr:rowOff>161925</xdr:rowOff>
    </xdr:from>
    <xdr:to>
      <xdr:col>5</xdr:col>
      <xdr:colOff>685800</xdr:colOff>
      <xdr:row>118</xdr:row>
      <xdr:rowOff>161925</xdr:rowOff>
    </xdr:to>
    <xdr:sp macro="" textlink="">
      <xdr:nvSpPr>
        <xdr:cNvPr id="181" name="Line 37">
          <a:extLst>
            <a:ext uri="{FF2B5EF4-FFF2-40B4-BE49-F238E27FC236}">
              <a16:creationId xmlns:a16="http://schemas.microsoft.com/office/drawing/2014/main" id="{00000000-0008-0000-0300-0000B5000000}"/>
            </a:ext>
          </a:extLst>
        </xdr:cNvPr>
        <xdr:cNvSpPr>
          <a:spLocks noChangeShapeType="1"/>
        </xdr:cNvSpPr>
      </xdr:nvSpPr>
      <xdr:spPr bwMode="auto">
        <a:xfrm>
          <a:off x="2943225" y="22078950"/>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120</xdr:row>
      <xdr:rowOff>114300</xdr:rowOff>
    </xdr:from>
    <xdr:to>
      <xdr:col>5</xdr:col>
      <xdr:colOff>676275</xdr:colOff>
      <xdr:row>120</xdr:row>
      <xdr:rowOff>114300</xdr:rowOff>
    </xdr:to>
    <xdr:sp macro="" textlink="">
      <xdr:nvSpPr>
        <xdr:cNvPr id="182" name="Line 38">
          <a:extLst>
            <a:ext uri="{FF2B5EF4-FFF2-40B4-BE49-F238E27FC236}">
              <a16:creationId xmlns:a16="http://schemas.microsoft.com/office/drawing/2014/main" id="{00000000-0008-0000-0300-0000B6000000}"/>
            </a:ext>
          </a:extLst>
        </xdr:cNvPr>
        <xdr:cNvSpPr>
          <a:spLocks noChangeShapeType="1"/>
        </xdr:cNvSpPr>
      </xdr:nvSpPr>
      <xdr:spPr bwMode="auto">
        <a:xfrm>
          <a:off x="2705100" y="22412325"/>
          <a:ext cx="5238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619125</xdr:colOff>
      <xdr:row>118</xdr:row>
      <xdr:rowOff>0</xdr:rowOff>
    </xdr:from>
    <xdr:to>
      <xdr:col>5</xdr:col>
      <xdr:colOff>619125</xdr:colOff>
      <xdr:row>120</xdr:row>
      <xdr:rowOff>142875</xdr:rowOff>
    </xdr:to>
    <xdr:sp macro="" textlink="">
      <xdr:nvSpPr>
        <xdr:cNvPr id="183" name="Line 39">
          <a:extLst>
            <a:ext uri="{FF2B5EF4-FFF2-40B4-BE49-F238E27FC236}">
              <a16:creationId xmlns:a16="http://schemas.microsoft.com/office/drawing/2014/main" id="{00000000-0008-0000-0300-0000B7000000}"/>
            </a:ext>
          </a:extLst>
        </xdr:cNvPr>
        <xdr:cNvSpPr>
          <a:spLocks noChangeShapeType="1"/>
        </xdr:cNvSpPr>
      </xdr:nvSpPr>
      <xdr:spPr bwMode="auto">
        <a:xfrm>
          <a:off x="3171825" y="21917025"/>
          <a:ext cx="0" cy="523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118</xdr:row>
      <xdr:rowOff>114300</xdr:rowOff>
    </xdr:from>
    <xdr:to>
      <xdr:col>5</xdr:col>
      <xdr:colOff>676275</xdr:colOff>
      <xdr:row>119</xdr:row>
      <xdr:rowOff>19050</xdr:rowOff>
    </xdr:to>
    <xdr:sp macro="" textlink="">
      <xdr:nvSpPr>
        <xdr:cNvPr id="184" name="Line 40">
          <a:extLst>
            <a:ext uri="{FF2B5EF4-FFF2-40B4-BE49-F238E27FC236}">
              <a16:creationId xmlns:a16="http://schemas.microsoft.com/office/drawing/2014/main" id="{00000000-0008-0000-0300-0000B8000000}"/>
            </a:ext>
          </a:extLst>
        </xdr:cNvPr>
        <xdr:cNvSpPr>
          <a:spLocks noChangeShapeType="1"/>
        </xdr:cNvSpPr>
      </xdr:nvSpPr>
      <xdr:spPr bwMode="auto">
        <a:xfrm flipH="1">
          <a:off x="3124200" y="22031325"/>
          <a:ext cx="1047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120</xdr:row>
      <xdr:rowOff>66675</xdr:rowOff>
    </xdr:from>
    <xdr:to>
      <xdr:col>5</xdr:col>
      <xdr:colOff>666750</xdr:colOff>
      <xdr:row>120</xdr:row>
      <xdr:rowOff>171450</xdr:rowOff>
    </xdr:to>
    <xdr:sp macro="" textlink="">
      <xdr:nvSpPr>
        <xdr:cNvPr id="185" name="Line 41">
          <a:extLst>
            <a:ext uri="{FF2B5EF4-FFF2-40B4-BE49-F238E27FC236}">
              <a16:creationId xmlns:a16="http://schemas.microsoft.com/office/drawing/2014/main" id="{00000000-0008-0000-0300-0000B9000000}"/>
            </a:ext>
          </a:extLst>
        </xdr:cNvPr>
        <xdr:cNvSpPr>
          <a:spLocks noChangeShapeType="1"/>
        </xdr:cNvSpPr>
      </xdr:nvSpPr>
      <xdr:spPr bwMode="auto">
        <a:xfrm flipH="1">
          <a:off x="3124200" y="22364700"/>
          <a:ext cx="95250"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135</xdr:row>
      <xdr:rowOff>161925</xdr:rowOff>
    </xdr:from>
    <xdr:to>
      <xdr:col>5</xdr:col>
      <xdr:colOff>647700</xdr:colOff>
      <xdr:row>139</xdr:row>
      <xdr:rowOff>47625</xdr:rowOff>
    </xdr:to>
    <xdr:sp macro="" textlink="">
      <xdr:nvSpPr>
        <xdr:cNvPr id="186" name="Tegning 42">
          <a:extLst>
            <a:ext uri="{FF2B5EF4-FFF2-40B4-BE49-F238E27FC236}">
              <a16:creationId xmlns:a16="http://schemas.microsoft.com/office/drawing/2014/main" id="{00000000-0008-0000-0300-0000BA000000}"/>
            </a:ext>
          </a:extLst>
        </xdr:cNvPr>
        <xdr:cNvSpPr>
          <a:spLocks/>
        </xdr:cNvSpPr>
      </xdr:nvSpPr>
      <xdr:spPr bwMode="auto">
        <a:xfrm>
          <a:off x="1847850" y="25317450"/>
          <a:ext cx="135255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104775</xdr:colOff>
      <xdr:row>136</xdr:row>
      <xdr:rowOff>161925</xdr:rowOff>
    </xdr:from>
    <xdr:to>
      <xdr:col>3</xdr:col>
      <xdr:colOff>9525</xdr:colOff>
      <xdr:row>137</xdr:row>
      <xdr:rowOff>142875</xdr:rowOff>
    </xdr:to>
    <xdr:sp macro="" textlink="">
      <xdr:nvSpPr>
        <xdr:cNvPr id="187" name="Tegning 43">
          <a:extLst>
            <a:ext uri="{FF2B5EF4-FFF2-40B4-BE49-F238E27FC236}">
              <a16:creationId xmlns:a16="http://schemas.microsoft.com/office/drawing/2014/main" id="{00000000-0008-0000-0300-0000BB000000}"/>
            </a:ext>
          </a:extLst>
        </xdr:cNvPr>
        <xdr:cNvSpPr>
          <a:spLocks/>
        </xdr:cNvSpPr>
      </xdr:nvSpPr>
      <xdr:spPr bwMode="auto">
        <a:xfrm>
          <a:off x="1381125" y="25507950"/>
          <a:ext cx="485775" cy="1714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xdr:colOff>
      <xdr:row>136</xdr:row>
      <xdr:rowOff>161925</xdr:rowOff>
    </xdr:from>
    <xdr:to>
      <xdr:col>5</xdr:col>
      <xdr:colOff>238125</xdr:colOff>
      <xdr:row>137</xdr:row>
      <xdr:rowOff>142875</xdr:rowOff>
    </xdr:to>
    <xdr:sp macro="" textlink="">
      <xdr:nvSpPr>
        <xdr:cNvPr id="188" name="Tegning 44">
          <a:extLst>
            <a:ext uri="{FF2B5EF4-FFF2-40B4-BE49-F238E27FC236}">
              <a16:creationId xmlns:a16="http://schemas.microsoft.com/office/drawing/2014/main" id="{00000000-0008-0000-0300-0000BC000000}"/>
            </a:ext>
          </a:extLst>
        </xdr:cNvPr>
        <xdr:cNvSpPr>
          <a:spLocks/>
        </xdr:cNvSpPr>
      </xdr:nvSpPr>
      <xdr:spPr bwMode="auto">
        <a:xfrm>
          <a:off x="1866900" y="25507950"/>
          <a:ext cx="923925" cy="171450"/>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561975</xdr:colOff>
      <xdr:row>139</xdr:row>
      <xdr:rowOff>76200</xdr:rowOff>
    </xdr:from>
    <xdr:to>
      <xdr:col>3</xdr:col>
      <xdr:colOff>285750</xdr:colOff>
      <xdr:row>141</xdr:row>
      <xdr:rowOff>85725</xdr:rowOff>
    </xdr:to>
    <xdr:sp macro="" textlink="">
      <xdr:nvSpPr>
        <xdr:cNvPr id="189" name="Tegning 45">
          <a:extLst>
            <a:ext uri="{FF2B5EF4-FFF2-40B4-BE49-F238E27FC236}">
              <a16:creationId xmlns:a16="http://schemas.microsoft.com/office/drawing/2014/main" id="{00000000-0008-0000-0300-0000BD000000}"/>
            </a:ext>
          </a:extLst>
        </xdr:cNvPr>
        <xdr:cNvSpPr>
          <a:spLocks/>
        </xdr:cNvSpPr>
      </xdr:nvSpPr>
      <xdr:spPr bwMode="auto">
        <a:xfrm>
          <a:off x="1838325" y="25993725"/>
          <a:ext cx="304800"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137</xdr:row>
      <xdr:rowOff>161925</xdr:rowOff>
    </xdr:from>
    <xdr:to>
      <xdr:col>2</xdr:col>
      <xdr:colOff>400050</xdr:colOff>
      <xdr:row>139</xdr:row>
      <xdr:rowOff>161925</xdr:rowOff>
    </xdr:to>
    <xdr:sp macro="" textlink="">
      <xdr:nvSpPr>
        <xdr:cNvPr id="190" name="Tegning 46">
          <a:extLst>
            <a:ext uri="{FF2B5EF4-FFF2-40B4-BE49-F238E27FC236}">
              <a16:creationId xmlns:a16="http://schemas.microsoft.com/office/drawing/2014/main" id="{00000000-0008-0000-0300-0000BE000000}"/>
            </a:ext>
          </a:extLst>
        </xdr:cNvPr>
        <xdr:cNvSpPr>
          <a:spLocks/>
        </xdr:cNvSpPr>
      </xdr:nvSpPr>
      <xdr:spPr bwMode="auto">
        <a:xfrm>
          <a:off x="1447800" y="25698450"/>
          <a:ext cx="228600"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142875</xdr:colOff>
      <xdr:row>137</xdr:row>
      <xdr:rowOff>142875</xdr:rowOff>
    </xdr:from>
    <xdr:to>
      <xdr:col>5</xdr:col>
      <xdr:colOff>238125</xdr:colOff>
      <xdr:row>137</xdr:row>
      <xdr:rowOff>142875</xdr:rowOff>
    </xdr:to>
    <xdr:sp macro="" textlink="">
      <xdr:nvSpPr>
        <xdr:cNvPr id="191" name="Line 47">
          <a:extLst>
            <a:ext uri="{FF2B5EF4-FFF2-40B4-BE49-F238E27FC236}">
              <a16:creationId xmlns:a16="http://schemas.microsoft.com/office/drawing/2014/main" id="{00000000-0008-0000-0300-0000BF000000}"/>
            </a:ext>
          </a:extLst>
        </xdr:cNvPr>
        <xdr:cNvSpPr>
          <a:spLocks noChangeShapeType="1"/>
        </xdr:cNvSpPr>
      </xdr:nvSpPr>
      <xdr:spPr bwMode="auto">
        <a:xfrm>
          <a:off x="2695575" y="25679400"/>
          <a:ext cx="95250"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200025</xdr:colOff>
      <xdr:row>137</xdr:row>
      <xdr:rowOff>171450</xdr:rowOff>
    </xdr:from>
    <xdr:to>
      <xdr:col>5</xdr:col>
      <xdr:colOff>142875</xdr:colOff>
      <xdr:row>139</xdr:row>
      <xdr:rowOff>28575</xdr:rowOff>
    </xdr:to>
    <xdr:sp macro="" textlink="">
      <xdr:nvSpPr>
        <xdr:cNvPr id="192" name="Line 48">
          <a:extLst>
            <a:ext uri="{FF2B5EF4-FFF2-40B4-BE49-F238E27FC236}">
              <a16:creationId xmlns:a16="http://schemas.microsoft.com/office/drawing/2014/main" id="{00000000-0008-0000-0300-0000C0000000}"/>
            </a:ext>
          </a:extLst>
        </xdr:cNvPr>
        <xdr:cNvSpPr>
          <a:spLocks noChangeShapeType="1"/>
        </xdr:cNvSpPr>
      </xdr:nvSpPr>
      <xdr:spPr bwMode="auto">
        <a:xfrm flipH="1">
          <a:off x="2428875" y="2570797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137</xdr:row>
      <xdr:rowOff>171450</xdr:rowOff>
    </xdr:from>
    <xdr:to>
      <xdr:col>5</xdr:col>
      <xdr:colOff>476250</xdr:colOff>
      <xdr:row>139</xdr:row>
      <xdr:rowOff>0</xdr:rowOff>
    </xdr:to>
    <xdr:sp macro="" textlink="">
      <xdr:nvSpPr>
        <xdr:cNvPr id="193" name="Line 49">
          <a:extLst>
            <a:ext uri="{FF2B5EF4-FFF2-40B4-BE49-F238E27FC236}">
              <a16:creationId xmlns:a16="http://schemas.microsoft.com/office/drawing/2014/main" id="{00000000-0008-0000-0300-0000C1000000}"/>
            </a:ext>
          </a:extLst>
        </xdr:cNvPr>
        <xdr:cNvSpPr>
          <a:spLocks noChangeShapeType="1"/>
        </xdr:cNvSpPr>
      </xdr:nvSpPr>
      <xdr:spPr bwMode="auto">
        <a:xfrm>
          <a:off x="2800350" y="25707975"/>
          <a:ext cx="22860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139</xdr:row>
      <xdr:rowOff>47625</xdr:rowOff>
    </xdr:from>
    <xdr:to>
      <xdr:col>5</xdr:col>
      <xdr:colOff>295275</xdr:colOff>
      <xdr:row>141</xdr:row>
      <xdr:rowOff>0</xdr:rowOff>
    </xdr:to>
    <xdr:sp macro="" textlink="">
      <xdr:nvSpPr>
        <xdr:cNvPr id="194" name="Tegning 50">
          <a:extLst>
            <a:ext uri="{FF2B5EF4-FFF2-40B4-BE49-F238E27FC236}">
              <a16:creationId xmlns:a16="http://schemas.microsoft.com/office/drawing/2014/main" id="{00000000-0008-0000-0300-0000C2000000}"/>
            </a:ext>
          </a:extLst>
        </xdr:cNvPr>
        <xdr:cNvSpPr>
          <a:spLocks/>
        </xdr:cNvSpPr>
      </xdr:nvSpPr>
      <xdr:spPr bwMode="auto">
        <a:xfrm>
          <a:off x="2619375" y="25965150"/>
          <a:ext cx="228600"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143</xdr:row>
      <xdr:rowOff>19050</xdr:rowOff>
    </xdr:from>
    <xdr:to>
      <xdr:col>5</xdr:col>
      <xdr:colOff>190500</xdr:colOff>
      <xdr:row>143</xdr:row>
      <xdr:rowOff>19050</xdr:rowOff>
    </xdr:to>
    <xdr:sp macro="" textlink="">
      <xdr:nvSpPr>
        <xdr:cNvPr id="195" name="Line 51">
          <a:extLst>
            <a:ext uri="{FF2B5EF4-FFF2-40B4-BE49-F238E27FC236}">
              <a16:creationId xmlns:a16="http://schemas.microsoft.com/office/drawing/2014/main" id="{00000000-0008-0000-0300-0000C3000000}"/>
            </a:ext>
          </a:extLst>
        </xdr:cNvPr>
        <xdr:cNvSpPr>
          <a:spLocks noChangeShapeType="1"/>
        </xdr:cNvSpPr>
      </xdr:nvSpPr>
      <xdr:spPr bwMode="auto">
        <a:xfrm>
          <a:off x="1504950" y="26698575"/>
          <a:ext cx="1238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141</xdr:row>
      <xdr:rowOff>28575</xdr:rowOff>
    </xdr:from>
    <xdr:to>
      <xdr:col>5</xdr:col>
      <xdr:colOff>180975</xdr:colOff>
      <xdr:row>143</xdr:row>
      <xdr:rowOff>66675</xdr:rowOff>
    </xdr:to>
    <xdr:sp macro="" textlink="">
      <xdr:nvSpPr>
        <xdr:cNvPr id="196" name="Line 52">
          <a:extLst>
            <a:ext uri="{FF2B5EF4-FFF2-40B4-BE49-F238E27FC236}">
              <a16:creationId xmlns:a16="http://schemas.microsoft.com/office/drawing/2014/main" id="{00000000-0008-0000-0300-0000C4000000}"/>
            </a:ext>
          </a:extLst>
        </xdr:cNvPr>
        <xdr:cNvSpPr>
          <a:spLocks noChangeShapeType="1"/>
        </xdr:cNvSpPr>
      </xdr:nvSpPr>
      <xdr:spPr bwMode="auto">
        <a:xfrm>
          <a:off x="2733675" y="26327100"/>
          <a:ext cx="0" cy="4191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141</xdr:row>
      <xdr:rowOff>142875</xdr:rowOff>
    </xdr:from>
    <xdr:to>
      <xdr:col>3</xdr:col>
      <xdr:colOff>133350</xdr:colOff>
      <xdr:row>143</xdr:row>
      <xdr:rowOff>114300</xdr:rowOff>
    </xdr:to>
    <xdr:sp macro="" textlink="">
      <xdr:nvSpPr>
        <xdr:cNvPr id="197" name="Line 53">
          <a:extLst>
            <a:ext uri="{FF2B5EF4-FFF2-40B4-BE49-F238E27FC236}">
              <a16:creationId xmlns:a16="http://schemas.microsoft.com/office/drawing/2014/main" id="{00000000-0008-0000-0300-0000C5000000}"/>
            </a:ext>
          </a:extLst>
        </xdr:cNvPr>
        <xdr:cNvSpPr>
          <a:spLocks noChangeShapeType="1"/>
        </xdr:cNvSpPr>
      </xdr:nvSpPr>
      <xdr:spPr bwMode="auto">
        <a:xfrm>
          <a:off x="1990725" y="26441400"/>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140</xdr:row>
      <xdr:rowOff>47625</xdr:rowOff>
    </xdr:from>
    <xdr:to>
      <xdr:col>2</xdr:col>
      <xdr:colOff>276225</xdr:colOff>
      <xdr:row>143</xdr:row>
      <xdr:rowOff>66675</xdr:rowOff>
    </xdr:to>
    <xdr:sp macro="" textlink="">
      <xdr:nvSpPr>
        <xdr:cNvPr id="198" name="Line 54">
          <a:extLst>
            <a:ext uri="{FF2B5EF4-FFF2-40B4-BE49-F238E27FC236}">
              <a16:creationId xmlns:a16="http://schemas.microsoft.com/office/drawing/2014/main" id="{00000000-0008-0000-0300-0000C6000000}"/>
            </a:ext>
          </a:extLst>
        </xdr:cNvPr>
        <xdr:cNvSpPr>
          <a:spLocks noChangeShapeType="1"/>
        </xdr:cNvSpPr>
      </xdr:nvSpPr>
      <xdr:spPr bwMode="auto">
        <a:xfrm>
          <a:off x="1552575" y="26155650"/>
          <a:ext cx="0" cy="5905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142</xdr:row>
      <xdr:rowOff>171450</xdr:rowOff>
    </xdr:from>
    <xdr:to>
      <xdr:col>2</xdr:col>
      <xdr:colOff>333375</xdr:colOff>
      <xdr:row>143</xdr:row>
      <xdr:rowOff>66675</xdr:rowOff>
    </xdr:to>
    <xdr:sp macro="" textlink="">
      <xdr:nvSpPr>
        <xdr:cNvPr id="199" name="Line 55">
          <a:extLst>
            <a:ext uri="{FF2B5EF4-FFF2-40B4-BE49-F238E27FC236}">
              <a16:creationId xmlns:a16="http://schemas.microsoft.com/office/drawing/2014/main" id="{00000000-0008-0000-0300-0000C7000000}"/>
            </a:ext>
          </a:extLst>
        </xdr:cNvPr>
        <xdr:cNvSpPr>
          <a:spLocks noChangeShapeType="1"/>
        </xdr:cNvSpPr>
      </xdr:nvSpPr>
      <xdr:spPr bwMode="auto">
        <a:xfrm flipH="1">
          <a:off x="1495425" y="26660475"/>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142</xdr:row>
      <xdr:rowOff>209550</xdr:rowOff>
    </xdr:from>
    <xdr:to>
      <xdr:col>3</xdr:col>
      <xdr:colOff>171450</xdr:colOff>
      <xdr:row>143</xdr:row>
      <xdr:rowOff>66675</xdr:rowOff>
    </xdr:to>
    <xdr:sp macro="" textlink="">
      <xdr:nvSpPr>
        <xdr:cNvPr id="200" name="Line 56">
          <a:extLst>
            <a:ext uri="{FF2B5EF4-FFF2-40B4-BE49-F238E27FC236}">
              <a16:creationId xmlns:a16="http://schemas.microsoft.com/office/drawing/2014/main" id="{00000000-0008-0000-0300-0000C8000000}"/>
            </a:ext>
          </a:extLst>
        </xdr:cNvPr>
        <xdr:cNvSpPr>
          <a:spLocks noChangeShapeType="1"/>
        </xdr:cNvSpPr>
      </xdr:nvSpPr>
      <xdr:spPr bwMode="auto">
        <a:xfrm flipH="1">
          <a:off x="1943100" y="26679525"/>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133350</xdr:colOff>
      <xdr:row>142</xdr:row>
      <xdr:rowOff>161925</xdr:rowOff>
    </xdr:from>
    <xdr:to>
      <xdr:col>5</xdr:col>
      <xdr:colOff>219075</xdr:colOff>
      <xdr:row>143</xdr:row>
      <xdr:rowOff>57150</xdr:rowOff>
    </xdr:to>
    <xdr:sp macro="" textlink="">
      <xdr:nvSpPr>
        <xdr:cNvPr id="201" name="Line 57">
          <a:extLst>
            <a:ext uri="{FF2B5EF4-FFF2-40B4-BE49-F238E27FC236}">
              <a16:creationId xmlns:a16="http://schemas.microsoft.com/office/drawing/2014/main" id="{00000000-0008-0000-0300-0000C9000000}"/>
            </a:ext>
          </a:extLst>
        </xdr:cNvPr>
        <xdr:cNvSpPr>
          <a:spLocks noChangeShapeType="1"/>
        </xdr:cNvSpPr>
      </xdr:nvSpPr>
      <xdr:spPr bwMode="auto">
        <a:xfrm flipH="1">
          <a:off x="2686050" y="266509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138</xdr:row>
      <xdr:rowOff>0</xdr:rowOff>
    </xdr:from>
    <xdr:to>
      <xdr:col>3</xdr:col>
      <xdr:colOff>171450</xdr:colOff>
      <xdr:row>138</xdr:row>
      <xdr:rowOff>76200</xdr:rowOff>
    </xdr:to>
    <xdr:sp macro="" textlink="">
      <xdr:nvSpPr>
        <xdr:cNvPr id="202" name="Oval 58">
          <a:extLst>
            <a:ext uri="{FF2B5EF4-FFF2-40B4-BE49-F238E27FC236}">
              <a16:creationId xmlns:a16="http://schemas.microsoft.com/office/drawing/2014/main" id="{00000000-0008-0000-0300-0000CA000000}"/>
            </a:ext>
          </a:extLst>
        </xdr:cNvPr>
        <xdr:cNvSpPr>
          <a:spLocks noChangeArrowheads="1"/>
        </xdr:cNvSpPr>
      </xdr:nvSpPr>
      <xdr:spPr bwMode="auto">
        <a:xfrm>
          <a:off x="1943100" y="25727025"/>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136</xdr:row>
      <xdr:rowOff>123825</xdr:rowOff>
    </xdr:from>
    <xdr:to>
      <xdr:col>4</xdr:col>
      <xdr:colOff>57150</xdr:colOff>
      <xdr:row>138</xdr:row>
      <xdr:rowOff>19050</xdr:rowOff>
    </xdr:to>
    <xdr:sp macro="" textlink="">
      <xdr:nvSpPr>
        <xdr:cNvPr id="203" name="Line 59">
          <a:extLst>
            <a:ext uri="{FF2B5EF4-FFF2-40B4-BE49-F238E27FC236}">
              <a16:creationId xmlns:a16="http://schemas.microsoft.com/office/drawing/2014/main" id="{00000000-0008-0000-0300-0000CB000000}"/>
            </a:ext>
          </a:extLst>
        </xdr:cNvPr>
        <xdr:cNvSpPr>
          <a:spLocks noChangeShapeType="1"/>
        </xdr:cNvSpPr>
      </xdr:nvSpPr>
      <xdr:spPr bwMode="auto">
        <a:xfrm flipH="1">
          <a:off x="2019300" y="25469850"/>
          <a:ext cx="26670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139</xdr:row>
      <xdr:rowOff>47625</xdr:rowOff>
    </xdr:from>
    <xdr:to>
      <xdr:col>6</xdr:col>
      <xdr:colOff>19050</xdr:colOff>
      <xdr:row>139</xdr:row>
      <xdr:rowOff>47625</xdr:rowOff>
    </xdr:to>
    <xdr:sp macro="" textlink="">
      <xdr:nvSpPr>
        <xdr:cNvPr id="204" name="Line 60">
          <a:extLst>
            <a:ext uri="{FF2B5EF4-FFF2-40B4-BE49-F238E27FC236}">
              <a16:creationId xmlns:a16="http://schemas.microsoft.com/office/drawing/2014/main" id="{00000000-0008-0000-0300-0000CC000000}"/>
            </a:ext>
          </a:extLst>
        </xdr:cNvPr>
        <xdr:cNvSpPr>
          <a:spLocks noChangeShapeType="1"/>
        </xdr:cNvSpPr>
      </xdr:nvSpPr>
      <xdr:spPr bwMode="auto">
        <a:xfrm>
          <a:off x="3219450" y="25965150"/>
          <a:ext cx="104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137</xdr:row>
      <xdr:rowOff>95250</xdr:rowOff>
    </xdr:from>
    <xdr:to>
      <xdr:col>6</xdr:col>
      <xdr:colOff>9525</xdr:colOff>
      <xdr:row>137</xdr:row>
      <xdr:rowOff>209550</xdr:rowOff>
    </xdr:to>
    <xdr:sp macro="" textlink="">
      <xdr:nvSpPr>
        <xdr:cNvPr id="205" name="Line 61">
          <a:extLst>
            <a:ext uri="{FF2B5EF4-FFF2-40B4-BE49-F238E27FC236}">
              <a16:creationId xmlns:a16="http://schemas.microsoft.com/office/drawing/2014/main" id="{00000000-0008-0000-0300-0000CD000000}"/>
            </a:ext>
          </a:extLst>
        </xdr:cNvPr>
        <xdr:cNvSpPr>
          <a:spLocks noChangeShapeType="1"/>
        </xdr:cNvSpPr>
      </xdr:nvSpPr>
      <xdr:spPr bwMode="auto">
        <a:xfrm flipH="1">
          <a:off x="3219450" y="2563177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676275</xdr:colOff>
      <xdr:row>139</xdr:row>
      <xdr:rowOff>0</xdr:rowOff>
    </xdr:from>
    <xdr:to>
      <xdr:col>6</xdr:col>
      <xdr:colOff>9525</xdr:colOff>
      <xdr:row>139</xdr:row>
      <xdr:rowOff>95250</xdr:rowOff>
    </xdr:to>
    <xdr:sp macro="" textlink="">
      <xdr:nvSpPr>
        <xdr:cNvPr id="206" name="Line 62">
          <a:extLst>
            <a:ext uri="{FF2B5EF4-FFF2-40B4-BE49-F238E27FC236}">
              <a16:creationId xmlns:a16="http://schemas.microsoft.com/office/drawing/2014/main" id="{00000000-0008-0000-0300-0000CE000000}"/>
            </a:ext>
          </a:extLst>
        </xdr:cNvPr>
        <xdr:cNvSpPr>
          <a:spLocks noChangeShapeType="1"/>
        </xdr:cNvSpPr>
      </xdr:nvSpPr>
      <xdr:spPr bwMode="auto">
        <a:xfrm flipH="1">
          <a:off x="3228975" y="2591752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152400</xdr:colOff>
      <xdr:row>135</xdr:row>
      <xdr:rowOff>47625</xdr:rowOff>
    </xdr:from>
    <xdr:to>
      <xdr:col>5</xdr:col>
      <xdr:colOff>152400</xdr:colOff>
      <xdr:row>137</xdr:row>
      <xdr:rowOff>19050</xdr:rowOff>
    </xdr:to>
    <xdr:sp macro="" textlink="">
      <xdr:nvSpPr>
        <xdr:cNvPr id="207" name="Line 241">
          <a:extLst>
            <a:ext uri="{FF2B5EF4-FFF2-40B4-BE49-F238E27FC236}">
              <a16:creationId xmlns:a16="http://schemas.microsoft.com/office/drawing/2014/main" id="{00000000-0008-0000-0300-0000CF000000}"/>
            </a:ext>
          </a:extLst>
        </xdr:cNvPr>
        <xdr:cNvSpPr>
          <a:spLocks noChangeShapeType="1"/>
        </xdr:cNvSpPr>
      </xdr:nvSpPr>
      <xdr:spPr bwMode="auto">
        <a:xfrm flipV="1">
          <a:off x="2705100" y="25203150"/>
          <a:ext cx="0" cy="352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132</xdr:row>
      <xdr:rowOff>152400</xdr:rowOff>
    </xdr:from>
    <xdr:to>
      <xdr:col>5</xdr:col>
      <xdr:colOff>247650</xdr:colOff>
      <xdr:row>136</xdr:row>
      <xdr:rowOff>123825</xdr:rowOff>
    </xdr:to>
    <xdr:sp macro="" textlink="">
      <xdr:nvSpPr>
        <xdr:cNvPr id="208" name="Line 242">
          <a:extLst>
            <a:ext uri="{FF2B5EF4-FFF2-40B4-BE49-F238E27FC236}">
              <a16:creationId xmlns:a16="http://schemas.microsoft.com/office/drawing/2014/main" id="{00000000-0008-0000-0300-0000D0000000}"/>
            </a:ext>
          </a:extLst>
        </xdr:cNvPr>
        <xdr:cNvSpPr>
          <a:spLocks noChangeShapeType="1"/>
        </xdr:cNvSpPr>
      </xdr:nvSpPr>
      <xdr:spPr bwMode="auto">
        <a:xfrm flipV="1">
          <a:off x="2800350" y="24736425"/>
          <a:ext cx="0" cy="733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135</xdr:row>
      <xdr:rowOff>85725</xdr:rowOff>
    </xdr:from>
    <xdr:to>
      <xdr:col>5</xdr:col>
      <xdr:colOff>285750</xdr:colOff>
      <xdr:row>135</xdr:row>
      <xdr:rowOff>85725</xdr:rowOff>
    </xdr:to>
    <xdr:sp macro="" textlink="">
      <xdr:nvSpPr>
        <xdr:cNvPr id="209" name="Line 243">
          <a:extLst>
            <a:ext uri="{FF2B5EF4-FFF2-40B4-BE49-F238E27FC236}">
              <a16:creationId xmlns:a16="http://schemas.microsoft.com/office/drawing/2014/main" id="{00000000-0008-0000-0300-0000D1000000}"/>
            </a:ext>
          </a:extLst>
        </xdr:cNvPr>
        <xdr:cNvSpPr>
          <a:spLocks noChangeShapeType="1"/>
        </xdr:cNvSpPr>
      </xdr:nvSpPr>
      <xdr:spPr bwMode="auto">
        <a:xfrm>
          <a:off x="2667000" y="25241250"/>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114300</xdr:colOff>
      <xdr:row>135</xdr:row>
      <xdr:rowOff>47625</xdr:rowOff>
    </xdr:from>
    <xdr:to>
      <xdr:col>5</xdr:col>
      <xdr:colOff>200025</xdr:colOff>
      <xdr:row>135</xdr:row>
      <xdr:rowOff>123825</xdr:rowOff>
    </xdr:to>
    <xdr:sp macro="" textlink="">
      <xdr:nvSpPr>
        <xdr:cNvPr id="210" name="Line 244">
          <a:extLst>
            <a:ext uri="{FF2B5EF4-FFF2-40B4-BE49-F238E27FC236}">
              <a16:creationId xmlns:a16="http://schemas.microsoft.com/office/drawing/2014/main" id="{00000000-0008-0000-0300-0000D2000000}"/>
            </a:ext>
          </a:extLst>
        </xdr:cNvPr>
        <xdr:cNvSpPr>
          <a:spLocks noChangeShapeType="1"/>
        </xdr:cNvSpPr>
      </xdr:nvSpPr>
      <xdr:spPr bwMode="auto">
        <a:xfrm flipV="1">
          <a:off x="2667000" y="252031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135</xdr:row>
      <xdr:rowOff>0</xdr:rowOff>
    </xdr:from>
    <xdr:to>
      <xdr:col>3</xdr:col>
      <xdr:colOff>276225</xdr:colOff>
      <xdr:row>135</xdr:row>
      <xdr:rowOff>0</xdr:rowOff>
    </xdr:to>
    <xdr:sp macro="" textlink="">
      <xdr:nvSpPr>
        <xdr:cNvPr id="211" name="Line 314">
          <a:extLst>
            <a:ext uri="{FF2B5EF4-FFF2-40B4-BE49-F238E27FC236}">
              <a16:creationId xmlns:a16="http://schemas.microsoft.com/office/drawing/2014/main" id="{00000000-0008-0000-0300-0000D3000000}"/>
            </a:ext>
          </a:extLst>
        </xdr:cNvPr>
        <xdr:cNvSpPr>
          <a:spLocks noChangeShapeType="1"/>
        </xdr:cNvSpPr>
      </xdr:nvSpPr>
      <xdr:spPr bwMode="auto">
        <a:xfrm>
          <a:off x="1276350" y="25155525"/>
          <a:ext cx="857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134</xdr:row>
      <xdr:rowOff>142875</xdr:rowOff>
    </xdr:from>
    <xdr:to>
      <xdr:col>3</xdr:col>
      <xdr:colOff>133350</xdr:colOff>
      <xdr:row>136</xdr:row>
      <xdr:rowOff>66675</xdr:rowOff>
    </xdr:to>
    <xdr:sp macro="" textlink="">
      <xdr:nvSpPr>
        <xdr:cNvPr id="212" name="Line 315">
          <a:extLst>
            <a:ext uri="{FF2B5EF4-FFF2-40B4-BE49-F238E27FC236}">
              <a16:creationId xmlns:a16="http://schemas.microsoft.com/office/drawing/2014/main" id="{00000000-0008-0000-0300-0000D4000000}"/>
            </a:ext>
          </a:extLst>
        </xdr:cNvPr>
        <xdr:cNvSpPr>
          <a:spLocks noChangeShapeType="1"/>
        </xdr:cNvSpPr>
      </xdr:nvSpPr>
      <xdr:spPr bwMode="auto">
        <a:xfrm flipV="1">
          <a:off x="1990725" y="2510790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134</xdr:row>
      <xdr:rowOff>142875</xdr:rowOff>
    </xdr:from>
    <xdr:to>
      <xdr:col>2</xdr:col>
      <xdr:colOff>276225</xdr:colOff>
      <xdr:row>137</xdr:row>
      <xdr:rowOff>76200</xdr:rowOff>
    </xdr:to>
    <xdr:sp macro="" textlink="">
      <xdr:nvSpPr>
        <xdr:cNvPr id="213" name="Line 316">
          <a:extLst>
            <a:ext uri="{FF2B5EF4-FFF2-40B4-BE49-F238E27FC236}">
              <a16:creationId xmlns:a16="http://schemas.microsoft.com/office/drawing/2014/main" id="{00000000-0008-0000-0300-0000D5000000}"/>
            </a:ext>
          </a:extLst>
        </xdr:cNvPr>
        <xdr:cNvSpPr>
          <a:spLocks noChangeShapeType="1"/>
        </xdr:cNvSpPr>
      </xdr:nvSpPr>
      <xdr:spPr bwMode="auto">
        <a:xfrm flipV="1">
          <a:off x="1552575" y="25107900"/>
          <a:ext cx="0" cy="504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134</xdr:row>
      <xdr:rowOff>114300</xdr:rowOff>
    </xdr:from>
    <xdr:to>
      <xdr:col>3</xdr:col>
      <xdr:colOff>9525</xdr:colOff>
      <xdr:row>135</xdr:row>
      <xdr:rowOff>104775</xdr:rowOff>
    </xdr:to>
    <xdr:sp macro="" textlink="">
      <xdr:nvSpPr>
        <xdr:cNvPr id="214" name="Line 317">
          <a:extLst>
            <a:ext uri="{FF2B5EF4-FFF2-40B4-BE49-F238E27FC236}">
              <a16:creationId xmlns:a16="http://schemas.microsoft.com/office/drawing/2014/main" id="{00000000-0008-0000-0300-0000D6000000}"/>
            </a:ext>
          </a:extLst>
        </xdr:cNvPr>
        <xdr:cNvSpPr>
          <a:spLocks noChangeShapeType="1"/>
        </xdr:cNvSpPr>
      </xdr:nvSpPr>
      <xdr:spPr bwMode="auto">
        <a:xfrm flipV="1">
          <a:off x="1866900" y="25079325"/>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136</xdr:row>
      <xdr:rowOff>9525</xdr:rowOff>
    </xdr:from>
    <xdr:to>
      <xdr:col>2</xdr:col>
      <xdr:colOff>447675</xdr:colOff>
      <xdr:row>140</xdr:row>
      <xdr:rowOff>142875</xdr:rowOff>
    </xdr:to>
    <xdr:sp macro="" textlink="">
      <xdr:nvSpPr>
        <xdr:cNvPr id="215" name="Line 318">
          <a:extLst>
            <a:ext uri="{FF2B5EF4-FFF2-40B4-BE49-F238E27FC236}">
              <a16:creationId xmlns:a16="http://schemas.microsoft.com/office/drawing/2014/main" id="{00000000-0008-0000-0300-0000D7000000}"/>
            </a:ext>
          </a:extLst>
        </xdr:cNvPr>
        <xdr:cNvSpPr>
          <a:spLocks noChangeShapeType="1"/>
        </xdr:cNvSpPr>
      </xdr:nvSpPr>
      <xdr:spPr bwMode="auto">
        <a:xfrm>
          <a:off x="1724025" y="2535555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134</xdr:row>
      <xdr:rowOff>104775</xdr:rowOff>
    </xdr:from>
    <xdr:to>
      <xdr:col>2</xdr:col>
      <xdr:colOff>447675</xdr:colOff>
      <xdr:row>135</xdr:row>
      <xdr:rowOff>114300</xdr:rowOff>
    </xdr:to>
    <xdr:sp macro="" textlink="">
      <xdr:nvSpPr>
        <xdr:cNvPr id="216" name="Line 319">
          <a:extLst>
            <a:ext uri="{FF2B5EF4-FFF2-40B4-BE49-F238E27FC236}">
              <a16:creationId xmlns:a16="http://schemas.microsoft.com/office/drawing/2014/main" id="{00000000-0008-0000-0300-0000D8000000}"/>
            </a:ext>
          </a:extLst>
        </xdr:cNvPr>
        <xdr:cNvSpPr>
          <a:spLocks noChangeShapeType="1"/>
        </xdr:cNvSpPr>
      </xdr:nvSpPr>
      <xdr:spPr bwMode="auto">
        <a:xfrm flipV="1">
          <a:off x="1724025" y="25069800"/>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134</xdr:row>
      <xdr:rowOff>152400</xdr:rowOff>
    </xdr:from>
    <xdr:to>
      <xdr:col>3</xdr:col>
      <xdr:colOff>171450</xdr:colOff>
      <xdr:row>135</xdr:row>
      <xdr:rowOff>38100</xdr:rowOff>
    </xdr:to>
    <xdr:sp macro="" textlink="">
      <xdr:nvSpPr>
        <xdr:cNvPr id="217" name="Line 320">
          <a:extLst>
            <a:ext uri="{FF2B5EF4-FFF2-40B4-BE49-F238E27FC236}">
              <a16:creationId xmlns:a16="http://schemas.microsoft.com/office/drawing/2014/main" id="{00000000-0008-0000-0300-0000D9000000}"/>
            </a:ext>
          </a:extLst>
        </xdr:cNvPr>
        <xdr:cNvSpPr>
          <a:spLocks noChangeShapeType="1"/>
        </xdr:cNvSpPr>
      </xdr:nvSpPr>
      <xdr:spPr bwMode="auto">
        <a:xfrm flipH="1">
          <a:off x="1952625" y="2511742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134</xdr:row>
      <xdr:rowOff>142875</xdr:rowOff>
    </xdr:from>
    <xdr:to>
      <xdr:col>3</xdr:col>
      <xdr:colOff>47625</xdr:colOff>
      <xdr:row>135</xdr:row>
      <xdr:rowOff>38100</xdr:rowOff>
    </xdr:to>
    <xdr:sp macro="" textlink="">
      <xdr:nvSpPr>
        <xdr:cNvPr id="218" name="Line 321">
          <a:extLst>
            <a:ext uri="{FF2B5EF4-FFF2-40B4-BE49-F238E27FC236}">
              <a16:creationId xmlns:a16="http://schemas.microsoft.com/office/drawing/2014/main" id="{00000000-0008-0000-0300-0000DA000000}"/>
            </a:ext>
          </a:extLst>
        </xdr:cNvPr>
        <xdr:cNvSpPr>
          <a:spLocks noChangeShapeType="1"/>
        </xdr:cNvSpPr>
      </xdr:nvSpPr>
      <xdr:spPr bwMode="auto">
        <a:xfrm flipH="1">
          <a:off x="1819275" y="2510790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134</xdr:row>
      <xdr:rowOff>152400</xdr:rowOff>
    </xdr:from>
    <xdr:to>
      <xdr:col>2</xdr:col>
      <xdr:colOff>476250</xdr:colOff>
      <xdr:row>135</xdr:row>
      <xdr:rowOff>47625</xdr:rowOff>
    </xdr:to>
    <xdr:sp macro="" textlink="">
      <xdr:nvSpPr>
        <xdr:cNvPr id="219" name="Line 322">
          <a:extLst>
            <a:ext uri="{FF2B5EF4-FFF2-40B4-BE49-F238E27FC236}">
              <a16:creationId xmlns:a16="http://schemas.microsoft.com/office/drawing/2014/main" id="{00000000-0008-0000-0300-0000DB000000}"/>
            </a:ext>
          </a:extLst>
        </xdr:cNvPr>
        <xdr:cNvSpPr>
          <a:spLocks noChangeShapeType="1"/>
        </xdr:cNvSpPr>
      </xdr:nvSpPr>
      <xdr:spPr bwMode="auto">
        <a:xfrm flipH="1">
          <a:off x="1676400" y="2511742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133</xdr:row>
      <xdr:rowOff>161925</xdr:rowOff>
    </xdr:from>
    <xdr:to>
      <xdr:col>2</xdr:col>
      <xdr:colOff>514350</xdr:colOff>
      <xdr:row>134</xdr:row>
      <xdr:rowOff>161925</xdr:rowOff>
    </xdr:to>
    <xdr:sp macro="" textlink="">
      <xdr:nvSpPr>
        <xdr:cNvPr id="220" name="Line 323">
          <a:extLst>
            <a:ext uri="{FF2B5EF4-FFF2-40B4-BE49-F238E27FC236}">
              <a16:creationId xmlns:a16="http://schemas.microsoft.com/office/drawing/2014/main" id="{00000000-0008-0000-0300-0000DC000000}"/>
            </a:ext>
          </a:extLst>
        </xdr:cNvPr>
        <xdr:cNvSpPr>
          <a:spLocks noChangeShapeType="1"/>
        </xdr:cNvSpPr>
      </xdr:nvSpPr>
      <xdr:spPr bwMode="auto">
        <a:xfrm>
          <a:off x="1743075" y="24936450"/>
          <a:ext cx="476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136</xdr:row>
      <xdr:rowOff>9525</xdr:rowOff>
    </xdr:from>
    <xdr:to>
      <xdr:col>2</xdr:col>
      <xdr:colOff>104775</xdr:colOff>
      <xdr:row>136</xdr:row>
      <xdr:rowOff>123825</xdr:rowOff>
    </xdr:to>
    <xdr:sp macro="" textlink="">
      <xdr:nvSpPr>
        <xdr:cNvPr id="221" name="Line 324">
          <a:extLst>
            <a:ext uri="{FF2B5EF4-FFF2-40B4-BE49-F238E27FC236}">
              <a16:creationId xmlns:a16="http://schemas.microsoft.com/office/drawing/2014/main" id="{00000000-0008-0000-0300-0000DD000000}"/>
            </a:ext>
          </a:extLst>
        </xdr:cNvPr>
        <xdr:cNvSpPr>
          <a:spLocks noChangeShapeType="1"/>
        </xdr:cNvSpPr>
      </xdr:nvSpPr>
      <xdr:spPr bwMode="auto">
        <a:xfrm flipV="1">
          <a:off x="1381125" y="25355550"/>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134</xdr:row>
      <xdr:rowOff>123825</xdr:rowOff>
    </xdr:from>
    <xdr:to>
      <xdr:col>2</xdr:col>
      <xdr:colOff>161925</xdr:colOff>
      <xdr:row>135</xdr:row>
      <xdr:rowOff>28575</xdr:rowOff>
    </xdr:to>
    <xdr:sp macro="" textlink="">
      <xdr:nvSpPr>
        <xdr:cNvPr id="222" name="Line 325">
          <a:extLst>
            <a:ext uri="{FF2B5EF4-FFF2-40B4-BE49-F238E27FC236}">
              <a16:creationId xmlns:a16="http://schemas.microsoft.com/office/drawing/2014/main" id="{00000000-0008-0000-0300-0000DE000000}"/>
            </a:ext>
          </a:extLst>
        </xdr:cNvPr>
        <xdr:cNvSpPr>
          <a:spLocks noChangeShapeType="1"/>
        </xdr:cNvSpPr>
      </xdr:nvSpPr>
      <xdr:spPr bwMode="auto">
        <a:xfrm flipH="1">
          <a:off x="1371600" y="25088850"/>
          <a:ext cx="666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133</xdr:row>
      <xdr:rowOff>0</xdr:rowOff>
    </xdr:from>
    <xdr:to>
      <xdr:col>5</xdr:col>
      <xdr:colOff>304800</xdr:colOff>
      <xdr:row>133</xdr:row>
      <xdr:rowOff>0</xdr:rowOff>
    </xdr:to>
    <xdr:sp macro="" textlink="">
      <xdr:nvSpPr>
        <xdr:cNvPr id="223" name="Line 326">
          <a:extLst>
            <a:ext uri="{FF2B5EF4-FFF2-40B4-BE49-F238E27FC236}">
              <a16:creationId xmlns:a16="http://schemas.microsoft.com/office/drawing/2014/main" id="{00000000-0008-0000-0300-0000DF000000}"/>
            </a:ext>
          </a:extLst>
        </xdr:cNvPr>
        <xdr:cNvSpPr>
          <a:spLocks noChangeShapeType="1"/>
        </xdr:cNvSpPr>
      </xdr:nvSpPr>
      <xdr:spPr bwMode="auto">
        <a:xfrm flipH="1">
          <a:off x="1323975" y="24774525"/>
          <a:ext cx="15335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132</xdr:row>
      <xdr:rowOff>152400</xdr:rowOff>
    </xdr:from>
    <xdr:to>
      <xdr:col>2</xdr:col>
      <xdr:colOff>142875</xdr:colOff>
      <xdr:row>133</xdr:row>
      <xdr:rowOff>47625</xdr:rowOff>
    </xdr:to>
    <xdr:sp macro="" textlink="">
      <xdr:nvSpPr>
        <xdr:cNvPr id="224" name="Line 327">
          <a:extLst>
            <a:ext uri="{FF2B5EF4-FFF2-40B4-BE49-F238E27FC236}">
              <a16:creationId xmlns:a16="http://schemas.microsoft.com/office/drawing/2014/main" id="{00000000-0008-0000-0300-0000E0000000}"/>
            </a:ext>
          </a:extLst>
        </xdr:cNvPr>
        <xdr:cNvSpPr>
          <a:spLocks noChangeShapeType="1"/>
        </xdr:cNvSpPr>
      </xdr:nvSpPr>
      <xdr:spPr bwMode="auto">
        <a:xfrm flipH="1">
          <a:off x="1333500" y="2473642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132</xdr:row>
      <xdr:rowOff>142875</xdr:rowOff>
    </xdr:from>
    <xdr:to>
      <xdr:col>5</xdr:col>
      <xdr:colOff>285750</xdr:colOff>
      <xdr:row>133</xdr:row>
      <xdr:rowOff>38100</xdr:rowOff>
    </xdr:to>
    <xdr:sp macro="" textlink="">
      <xdr:nvSpPr>
        <xdr:cNvPr id="225" name="Line 328">
          <a:extLst>
            <a:ext uri="{FF2B5EF4-FFF2-40B4-BE49-F238E27FC236}">
              <a16:creationId xmlns:a16="http://schemas.microsoft.com/office/drawing/2014/main" id="{00000000-0008-0000-0300-0000E1000000}"/>
            </a:ext>
          </a:extLst>
        </xdr:cNvPr>
        <xdr:cNvSpPr>
          <a:spLocks noChangeShapeType="1"/>
        </xdr:cNvSpPr>
      </xdr:nvSpPr>
      <xdr:spPr bwMode="auto">
        <a:xfrm flipH="1">
          <a:off x="2762250" y="2472690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134</xdr:row>
      <xdr:rowOff>152400</xdr:rowOff>
    </xdr:from>
    <xdr:to>
      <xdr:col>2</xdr:col>
      <xdr:colOff>304800</xdr:colOff>
      <xdr:row>135</xdr:row>
      <xdr:rowOff>38100</xdr:rowOff>
    </xdr:to>
    <xdr:sp macro="" textlink="">
      <xdr:nvSpPr>
        <xdr:cNvPr id="226" name="Line 329">
          <a:extLst>
            <a:ext uri="{FF2B5EF4-FFF2-40B4-BE49-F238E27FC236}">
              <a16:creationId xmlns:a16="http://schemas.microsoft.com/office/drawing/2014/main" id="{00000000-0008-0000-0300-0000E2000000}"/>
            </a:ext>
          </a:extLst>
        </xdr:cNvPr>
        <xdr:cNvSpPr>
          <a:spLocks noChangeShapeType="1"/>
        </xdr:cNvSpPr>
      </xdr:nvSpPr>
      <xdr:spPr bwMode="auto">
        <a:xfrm flipH="1">
          <a:off x="1514475" y="2511742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114300</xdr:colOff>
      <xdr:row>132</xdr:row>
      <xdr:rowOff>123825</xdr:rowOff>
    </xdr:from>
    <xdr:to>
      <xdr:col>2</xdr:col>
      <xdr:colOff>114300</xdr:colOff>
      <xdr:row>135</xdr:row>
      <xdr:rowOff>9525</xdr:rowOff>
    </xdr:to>
    <xdr:sp macro="" textlink="">
      <xdr:nvSpPr>
        <xdr:cNvPr id="227" name="Line 330">
          <a:extLst>
            <a:ext uri="{FF2B5EF4-FFF2-40B4-BE49-F238E27FC236}">
              <a16:creationId xmlns:a16="http://schemas.microsoft.com/office/drawing/2014/main" id="{00000000-0008-0000-0300-0000E3000000}"/>
            </a:ext>
          </a:extLst>
        </xdr:cNvPr>
        <xdr:cNvSpPr>
          <a:spLocks noChangeShapeType="1"/>
        </xdr:cNvSpPr>
      </xdr:nvSpPr>
      <xdr:spPr bwMode="auto">
        <a:xfrm>
          <a:off x="1390650" y="24707850"/>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136</xdr:row>
      <xdr:rowOff>142875</xdr:rowOff>
    </xdr:from>
    <xdr:to>
      <xdr:col>5</xdr:col>
      <xdr:colOff>647700</xdr:colOff>
      <xdr:row>138</xdr:row>
      <xdr:rowOff>209550</xdr:rowOff>
    </xdr:to>
    <xdr:sp macro="" textlink="">
      <xdr:nvSpPr>
        <xdr:cNvPr id="228" name="Tegning 332">
          <a:extLst>
            <a:ext uri="{FF2B5EF4-FFF2-40B4-BE49-F238E27FC236}">
              <a16:creationId xmlns:a16="http://schemas.microsoft.com/office/drawing/2014/main" id="{00000000-0008-0000-0300-0000E4000000}"/>
            </a:ext>
          </a:extLst>
        </xdr:cNvPr>
        <xdr:cNvSpPr>
          <a:spLocks/>
        </xdr:cNvSpPr>
      </xdr:nvSpPr>
      <xdr:spPr bwMode="auto">
        <a:xfrm>
          <a:off x="1990725" y="25488900"/>
          <a:ext cx="120967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219075</xdr:colOff>
      <xdr:row>135</xdr:row>
      <xdr:rowOff>47625</xdr:rowOff>
    </xdr:from>
    <xdr:to>
      <xdr:col>5</xdr:col>
      <xdr:colOff>285750</xdr:colOff>
      <xdr:row>135</xdr:row>
      <xdr:rowOff>114300</xdr:rowOff>
    </xdr:to>
    <xdr:sp macro="" textlink="">
      <xdr:nvSpPr>
        <xdr:cNvPr id="229" name="Line 333">
          <a:extLst>
            <a:ext uri="{FF2B5EF4-FFF2-40B4-BE49-F238E27FC236}">
              <a16:creationId xmlns:a16="http://schemas.microsoft.com/office/drawing/2014/main" id="{00000000-0008-0000-0300-0000E5000000}"/>
            </a:ext>
          </a:extLst>
        </xdr:cNvPr>
        <xdr:cNvSpPr>
          <a:spLocks noChangeShapeType="1"/>
        </xdr:cNvSpPr>
      </xdr:nvSpPr>
      <xdr:spPr bwMode="auto">
        <a:xfrm flipH="1">
          <a:off x="2771775" y="2520315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118</xdr:row>
      <xdr:rowOff>161925</xdr:rowOff>
    </xdr:from>
    <xdr:to>
      <xdr:col>4</xdr:col>
      <xdr:colOff>95250</xdr:colOff>
      <xdr:row>119</xdr:row>
      <xdr:rowOff>104775</xdr:rowOff>
    </xdr:to>
    <xdr:sp macro="" textlink="">
      <xdr:nvSpPr>
        <xdr:cNvPr id="230" name="Line 361">
          <a:extLst>
            <a:ext uri="{FF2B5EF4-FFF2-40B4-BE49-F238E27FC236}">
              <a16:creationId xmlns:a16="http://schemas.microsoft.com/office/drawing/2014/main" id="{00000000-0008-0000-0300-0000E6000000}"/>
            </a:ext>
          </a:extLst>
        </xdr:cNvPr>
        <xdr:cNvSpPr>
          <a:spLocks noChangeShapeType="1"/>
        </xdr:cNvSpPr>
      </xdr:nvSpPr>
      <xdr:spPr bwMode="auto">
        <a:xfrm flipH="1">
          <a:off x="1676400" y="22078950"/>
          <a:ext cx="647700"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123825</xdr:colOff>
      <xdr:row>117</xdr:row>
      <xdr:rowOff>19050</xdr:rowOff>
    </xdr:from>
    <xdr:to>
      <xdr:col>5</xdr:col>
      <xdr:colOff>390525</xdr:colOff>
      <xdr:row>117</xdr:row>
      <xdr:rowOff>19050</xdr:rowOff>
    </xdr:to>
    <xdr:sp macro="" textlink="">
      <xdr:nvSpPr>
        <xdr:cNvPr id="231" name="Line 362">
          <a:extLst>
            <a:ext uri="{FF2B5EF4-FFF2-40B4-BE49-F238E27FC236}">
              <a16:creationId xmlns:a16="http://schemas.microsoft.com/office/drawing/2014/main" id="{00000000-0008-0000-0300-0000E7000000}"/>
            </a:ext>
          </a:extLst>
        </xdr:cNvPr>
        <xdr:cNvSpPr>
          <a:spLocks noChangeShapeType="1"/>
        </xdr:cNvSpPr>
      </xdr:nvSpPr>
      <xdr:spPr bwMode="auto">
        <a:xfrm flipH="1">
          <a:off x="1981200" y="21745575"/>
          <a:ext cx="962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104775</xdr:colOff>
      <xdr:row>116</xdr:row>
      <xdr:rowOff>133350</xdr:rowOff>
    </xdr:from>
    <xdr:to>
      <xdr:col>3</xdr:col>
      <xdr:colOff>228600</xdr:colOff>
      <xdr:row>117</xdr:row>
      <xdr:rowOff>76200</xdr:rowOff>
    </xdr:to>
    <xdr:sp macro="" textlink="">
      <xdr:nvSpPr>
        <xdr:cNvPr id="232" name="Line 363">
          <a:extLst>
            <a:ext uri="{FF2B5EF4-FFF2-40B4-BE49-F238E27FC236}">
              <a16:creationId xmlns:a16="http://schemas.microsoft.com/office/drawing/2014/main" id="{00000000-0008-0000-0300-0000E8000000}"/>
            </a:ext>
          </a:extLst>
        </xdr:cNvPr>
        <xdr:cNvSpPr>
          <a:spLocks noChangeShapeType="1"/>
        </xdr:cNvSpPr>
      </xdr:nvSpPr>
      <xdr:spPr bwMode="auto">
        <a:xfrm flipH="1">
          <a:off x="1962150" y="21669375"/>
          <a:ext cx="123825" cy="133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104775</xdr:colOff>
      <xdr:row>116</xdr:row>
      <xdr:rowOff>123825</xdr:rowOff>
    </xdr:from>
    <xdr:to>
      <xdr:col>5</xdr:col>
      <xdr:colOff>104775</xdr:colOff>
      <xdr:row>118</xdr:row>
      <xdr:rowOff>19050</xdr:rowOff>
    </xdr:to>
    <xdr:sp macro="" textlink="">
      <xdr:nvSpPr>
        <xdr:cNvPr id="233" name="Line 364">
          <a:extLst>
            <a:ext uri="{FF2B5EF4-FFF2-40B4-BE49-F238E27FC236}">
              <a16:creationId xmlns:a16="http://schemas.microsoft.com/office/drawing/2014/main" id="{00000000-0008-0000-0300-0000E9000000}"/>
            </a:ext>
          </a:extLst>
        </xdr:cNvPr>
        <xdr:cNvSpPr>
          <a:spLocks noChangeShapeType="1"/>
        </xdr:cNvSpPr>
      </xdr:nvSpPr>
      <xdr:spPr bwMode="auto">
        <a:xfrm flipV="1">
          <a:off x="2657475" y="21659850"/>
          <a:ext cx="0"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116</xdr:row>
      <xdr:rowOff>104775</xdr:rowOff>
    </xdr:from>
    <xdr:to>
      <xdr:col>5</xdr:col>
      <xdr:colOff>190500</xdr:colOff>
      <xdr:row>117</xdr:row>
      <xdr:rowOff>76200</xdr:rowOff>
    </xdr:to>
    <xdr:sp macro="" textlink="">
      <xdr:nvSpPr>
        <xdr:cNvPr id="234" name="Line 365">
          <a:extLst>
            <a:ext uri="{FF2B5EF4-FFF2-40B4-BE49-F238E27FC236}">
              <a16:creationId xmlns:a16="http://schemas.microsoft.com/office/drawing/2014/main" id="{00000000-0008-0000-0300-0000EA000000}"/>
            </a:ext>
          </a:extLst>
        </xdr:cNvPr>
        <xdr:cNvSpPr>
          <a:spLocks noChangeShapeType="1"/>
        </xdr:cNvSpPr>
      </xdr:nvSpPr>
      <xdr:spPr bwMode="auto">
        <a:xfrm flipH="1">
          <a:off x="2600325" y="21640800"/>
          <a:ext cx="142875"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118</xdr:row>
      <xdr:rowOff>133350</xdr:rowOff>
    </xdr:from>
    <xdr:to>
      <xdr:col>5</xdr:col>
      <xdr:colOff>323850</xdr:colOff>
      <xdr:row>118</xdr:row>
      <xdr:rowOff>133350</xdr:rowOff>
    </xdr:to>
    <xdr:sp macro="" textlink="">
      <xdr:nvSpPr>
        <xdr:cNvPr id="235" name="Line 366">
          <a:extLst>
            <a:ext uri="{FF2B5EF4-FFF2-40B4-BE49-F238E27FC236}">
              <a16:creationId xmlns:a16="http://schemas.microsoft.com/office/drawing/2014/main" id="{00000000-0008-0000-0300-0000EB000000}"/>
            </a:ext>
          </a:extLst>
        </xdr:cNvPr>
        <xdr:cNvSpPr>
          <a:spLocks noChangeShapeType="1"/>
        </xdr:cNvSpPr>
      </xdr:nvSpPr>
      <xdr:spPr bwMode="auto">
        <a:xfrm>
          <a:off x="2581275" y="22050375"/>
          <a:ext cx="2952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xdr:colOff>
      <xdr:row>120</xdr:row>
      <xdr:rowOff>38100</xdr:rowOff>
    </xdr:from>
    <xdr:to>
      <xdr:col>5</xdr:col>
      <xdr:colOff>323850</xdr:colOff>
      <xdr:row>120</xdr:row>
      <xdr:rowOff>38100</xdr:rowOff>
    </xdr:to>
    <xdr:sp macro="" textlink="">
      <xdr:nvSpPr>
        <xdr:cNvPr id="236" name="Line 367">
          <a:extLst>
            <a:ext uri="{FF2B5EF4-FFF2-40B4-BE49-F238E27FC236}">
              <a16:creationId xmlns:a16="http://schemas.microsoft.com/office/drawing/2014/main" id="{00000000-0008-0000-0300-0000EC000000}"/>
            </a:ext>
          </a:extLst>
        </xdr:cNvPr>
        <xdr:cNvSpPr>
          <a:spLocks noChangeShapeType="1"/>
        </xdr:cNvSpPr>
      </xdr:nvSpPr>
      <xdr:spPr bwMode="auto">
        <a:xfrm>
          <a:off x="2590800" y="22336125"/>
          <a:ext cx="2857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266700</xdr:colOff>
      <xdr:row>118</xdr:row>
      <xdr:rowOff>95250</xdr:rowOff>
    </xdr:from>
    <xdr:to>
      <xdr:col>5</xdr:col>
      <xdr:colOff>266700</xdr:colOff>
      <xdr:row>120</xdr:row>
      <xdr:rowOff>76200</xdr:rowOff>
    </xdr:to>
    <xdr:sp macro="" textlink="">
      <xdr:nvSpPr>
        <xdr:cNvPr id="237" name="Line 368">
          <a:extLst>
            <a:ext uri="{FF2B5EF4-FFF2-40B4-BE49-F238E27FC236}">
              <a16:creationId xmlns:a16="http://schemas.microsoft.com/office/drawing/2014/main" id="{00000000-0008-0000-0300-0000ED000000}"/>
            </a:ext>
          </a:extLst>
        </xdr:cNvPr>
        <xdr:cNvSpPr>
          <a:spLocks noChangeShapeType="1"/>
        </xdr:cNvSpPr>
      </xdr:nvSpPr>
      <xdr:spPr bwMode="auto">
        <a:xfrm flipV="1">
          <a:off x="2819400" y="22012275"/>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228600</xdr:colOff>
      <xdr:row>118</xdr:row>
      <xdr:rowOff>85725</xdr:rowOff>
    </xdr:from>
    <xdr:to>
      <xdr:col>5</xdr:col>
      <xdr:colOff>323850</xdr:colOff>
      <xdr:row>118</xdr:row>
      <xdr:rowOff>180975</xdr:rowOff>
    </xdr:to>
    <xdr:sp macro="" textlink="">
      <xdr:nvSpPr>
        <xdr:cNvPr id="238" name="Line 369">
          <a:extLst>
            <a:ext uri="{FF2B5EF4-FFF2-40B4-BE49-F238E27FC236}">
              <a16:creationId xmlns:a16="http://schemas.microsoft.com/office/drawing/2014/main" id="{00000000-0008-0000-0300-0000EE000000}"/>
            </a:ext>
          </a:extLst>
        </xdr:cNvPr>
        <xdr:cNvSpPr>
          <a:spLocks noChangeShapeType="1"/>
        </xdr:cNvSpPr>
      </xdr:nvSpPr>
      <xdr:spPr bwMode="auto">
        <a:xfrm flipH="1">
          <a:off x="2781300" y="2200275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219075</xdr:colOff>
      <xdr:row>120</xdr:row>
      <xdr:rowOff>0</xdr:rowOff>
    </xdr:from>
    <xdr:to>
      <xdr:col>5</xdr:col>
      <xdr:colOff>304800</xdr:colOff>
      <xdr:row>120</xdr:row>
      <xdr:rowOff>76200</xdr:rowOff>
    </xdr:to>
    <xdr:sp macro="" textlink="">
      <xdr:nvSpPr>
        <xdr:cNvPr id="239" name="Line 370">
          <a:extLst>
            <a:ext uri="{FF2B5EF4-FFF2-40B4-BE49-F238E27FC236}">
              <a16:creationId xmlns:a16="http://schemas.microsoft.com/office/drawing/2014/main" id="{00000000-0008-0000-0300-0000EF000000}"/>
            </a:ext>
          </a:extLst>
        </xdr:cNvPr>
        <xdr:cNvSpPr>
          <a:spLocks noChangeShapeType="1"/>
        </xdr:cNvSpPr>
      </xdr:nvSpPr>
      <xdr:spPr bwMode="auto">
        <a:xfrm flipH="1">
          <a:off x="2771775" y="22298025"/>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119</xdr:row>
      <xdr:rowOff>161925</xdr:rowOff>
    </xdr:from>
    <xdr:to>
      <xdr:col>3</xdr:col>
      <xdr:colOff>133350</xdr:colOff>
      <xdr:row>120</xdr:row>
      <xdr:rowOff>9525</xdr:rowOff>
    </xdr:to>
    <xdr:sp macro="" textlink="">
      <xdr:nvSpPr>
        <xdr:cNvPr id="240" name="Oval 681">
          <a:extLst>
            <a:ext uri="{FF2B5EF4-FFF2-40B4-BE49-F238E27FC236}">
              <a16:creationId xmlns:a16="http://schemas.microsoft.com/office/drawing/2014/main" id="{00000000-0008-0000-0300-0000F0000000}"/>
            </a:ext>
          </a:extLst>
        </xdr:cNvPr>
        <xdr:cNvSpPr>
          <a:spLocks noChangeArrowheads="1"/>
        </xdr:cNvSpPr>
      </xdr:nvSpPr>
      <xdr:spPr bwMode="auto">
        <a:xfrm>
          <a:off x="1952625" y="222694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266700</xdr:colOff>
      <xdr:row>118</xdr:row>
      <xdr:rowOff>161925</xdr:rowOff>
    </xdr:from>
    <xdr:to>
      <xdr:col>4</xdr:col>
      <xdr:colOff>304800</xdr:colOff>
      <xdr:row>119</xdr:row>
      <xdr:rowOff>9525</xdr:rowOff>
    </xdr:to>
    <xdr:sp macro="" textlink="">
      <xdr:nvSpPr>
        <xdr:cNvPr id="241" name="Oval 682">
          <a:extLst>
            <a:ext uri="{FF2B5EF4-FFF2-40B4-BE49-F238E27FC236}">
              <a16:creationId xmlns:a16="http://schemas.microsoft.com/office/drawing/2014/main" id="{00000000-0008-0000-0300-0000F1000000}"/>
            </a:ext>
          </a:extLst>
        </xdr:cNvPr>
        <xdr:cNvSpPr>
          <a:spLocks noChangeArrowheads="1"/>
        </xdr:cNvSpPr>
      </xdr:nvSpPr>
      <xdr:spPr bwMode="auto">
        <a:xfrm>
          <a:off x="2495550" y="220789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333375</xdr:colOff>
      <xdr:row>262</xdr:row>
      <xdr:rowOff>171450</xdr:rowOff>
    </xdr:from>
    <xdr:to>
      <xdr:col>2</xdr:col>
      <xdr:colOff>523875</xdr:colOff>
      <xdr:row>262</xdr:row>
      <xdr:rowOff>171450</xdr:rowOff>
    </xdr:to>
    <xdr:sp macro="" textlink="">
      <xdr:nvSpPr>
        <xdr:cNvPr id="242" name="Line 265">
          <a:extLst>
            <a:ext uri="{FF2B5EF4-FFF2-40B4-BE49-F238E27FC236}">
              <a16:creationId xmlns:a16="http://schemas.microsoft.com/office/drawing/2014/main" id="{00000000-0008-0000-0300-0000F2000000}"/>
            </a:ext>
          </a:extLst>
        </xdr:cNvPr>
        <xdr:cNvSpPr>
          <a:spLocks noChangeShapeType="1"/>
        </xdr:cNvSpPr>
      </xdr:nvSpPr>
      <xdr:spPr bwMode="auto">
        <a:xfrm>
          <a:off x="1609725" y="49558575"/>
          <a:ext cx="190500" cy="0"/>
        </a:xfrm>
        <a:prstGeom prst="line">
          <a:avLst/>
        </a:prstGeom>
        <a:noFill/>
        <a:ln w="4064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267</xdr:row>
      <xdr:rowOff>114300</xdr:rowOff>
    </xdr:from>
    <xdr:to>
      <xdr:col>5</xdr:col>
      <xdr:colOff>657225</xdr:colOff>
      <xdr:row>267</xdr:row>
      <xdr:rowOff>114300</xdr:rowOff>
    </xdr:to>
    <xdr:sp macro="" textlink="">
      <xdr:nvSpPr>
        <xdr:cNvPr id="243" name="Line 266">
          <a:extLst>
            <a:ext uri="{FF2B5EF4-FFF2-40B4-BE49-F238E27FC236}">
              <a16:creationId xmlns:a16="http://schemas.microsoft.com/office/drawing/2014/main" id="{00000000-0008-0000-0300-0000F3000000}"/>
            </a:ext>
          </a:extLst>
        </xdr:cNvPr>
        <xdr:cNvSpPr>
          <a:spLocks noChangeShapeType="1"/>
        </xdr:cNvSpPr>
      </xdr:nvSpPr>
      <xdr:spPr bwMode="auto">
        <a:xfrm flipH="1">
          <a:off x="1571625" y="50453925"/>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268</xdr:row>
      <xdr:rowOff>85725</xdr:rowOff>
    </xdr:from>
    <xdr:to>
      <xdr:col>5</xdr:col>
      <xdr:colOff>638175</xdr:colOff>
      <xdr:row>268</xdr:row>
      <xdr:rowOff>85725</xdr:rowOff>
    </xdr:to>
    <xdr:sp macro="" textlink="">
      <xdr:nvSpPr>
        <xdr:cNvPr id="244" name="Line 267">
          <a:extLst>
            <a:ext uri="{FF2B5EF4-FFF2-40B4-BE49-F238E27FC236}">
              <a16:creationId xmlns:a16="http://schemas.microsoft.com/office/drawing/2014/main" id="{00000000-0008-0000-0300-0000F4000000}"/>
            </a:ext>
          </a:extLst>
        </xdr:cNvPr>
        <xdr:cNvSpPr>
          <a:spLocks noChangeShapeType="1"/>
        </xdr:cNvSpPr>
      </xdr:nvSpPr>
      <xdr:spPr bwMode="auto">
        <a:xfrm flipH="1">
          <a:off x="1495425" y="50615850"/>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262</xdr:row>
      <xdr:rowOff>47625</xdr:rowOff>
    </xdr:from>
    <xdr:to>
      <xdr:col>5</xdr:col>
      <xdr:colOff>304800</xdr:colOff>
      <xdr:row>262</xdr:row>
      <xdr:rowOff>133350</xdr:rowOff>
    </xdr:to>
    <xdr:sp macro="" textlink="">
      <xdr:nvSpPr>
        <xdr:cNvPr id="245" name="Oval 268">
          <a:extLst>
            <a:ext uri="{FF2B5EF4-FFF2-40B4-BE49-F238E27FC236}">
              <a16:creationId xmlns:a16="http://schemas.microsoft.com/office/drawing/2014/main" id="{00000000-0008-0000-0300-0000F5000000}"/>
            </a:ext>
          </a:extLst>
        </xdr:cNvPr>
        <xdr:cNvSpPr>
          <a:spLocks noChangeArrowheads="1"/>
        </xdr:cNvSpPr>
      </xdr:nvSpPr>
      <xdr:spPr bwMode="auto">
        <a:xfrm>
          <a:off x="2762250" y="49434750"/>
          <a:ext cx="95250"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258</xdr:row>
      <xdr:rowOff>85725</xdr:rowOff>
    </xdr:from>
    <xdr:to>
      <xdr:col>5</xdr:col>
      <xdr:colOff>733425</xdr:colOff>
      <xdr:row>262</xdr:row>
      <xdr:rowOff>38100</xdr:rowOff>
    </xdr:to>
    <xdr:sp macro="" textlink="">
      <xdr:nvSpPr>
        <xdr:cNvPr id="246" name="Tegning 269">
          <a:extLst>
            <a:ext uri="{FF2B5EF4-FFF2-40B4-BE49-F238E27FC236}">
              <a16:creationId xmlns:a16="http://schemas.microsoft.com/office/drawing/2014/main" id="{00000000-0008-0000-0300-0000F6000000}"/>
            </a:ext>
          </a:extLst>
        </xdr:cNvPr>
        <xdr:cNvSpPr>
          <a:spLocks/>
        </xdr:cNvSpPr>
      </xdr:nvSpPr>
      <xdr:spPr bwMode="auto">
        <a:xfrm>
          <a:off x="2809875" y="48710850"/>
          <a:ext cx="476250" cy="71437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28575</xdr:colOff>
      <xdr:row>260</xdr:row>
      <xdr:rowOff>47625</xdr:rowOff>
    </xdr:from>
    <xdr:to>
      <xdr:col>5</xdr:col>
      <xdr:colOff>685800</xdr:colOff>
      <xdr:row>264</xdr:row>
      <xdr:rowOff>66675</xdr:rowOff>
    </xdr:to>
    <xdr:sp macro="" textlink="">
      <xdr:nvSpPr>
        <xdr:cNvPr id="247" name="Tegning 270">
          <a:extLst>
            <a:ext uri="{FF2B5EF4-FFF2-40B4-BE49-F238E27FC236}">
              <a16:creationId xmlns:a16="http://schemas.microsoft.com/office/drawing/2014/main" id="{00000000-0008-0000-0300-0000F7000000}"/>
            </a:ext>
          </a:extLst>
        </xdr:cNvPr>
        <xdr:cNvSpPr>
          <a:spLocks/>
        </xdr:cNvSpPr>
      </xdr:nvSpPr>
      <xdr:spPr bwMode="auto">
        <a:xfrm>
          <a:off x="2257425" y="49053750"/>
          <a:ext cx="981075" cy="781050"/>
        </a:xfrm>
        <a:custGeom>
          <a:avLst/>
          <a:gdLst>
            <a:gd name="T0" fmla="*/ 2147483646 w 16384"/>
            <a:gd name="T1" fmla="*/ 2147483646 h 16384"/>
            <a:gd name="T2" fmla="*/ 0 w 16384"/>
            <a:gd name="T3" fmla="*/ 2147483646 h 16384"/>
            <a:gd name="T4" fmla="*/ 0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16384"/>
              </a:moveTo>
              <a:lnTo>
                <a:pt x="0" y="16384"/>
              </a:lnTo>
              <a:lnTo>
                <a:pt x="0"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347662</xdr:colOff>
      <xdr:row>260</xdr:row>
      <xdr:rowOff>4761</xdr:rowOff>
    </xdr:from>
    <xdr:to>
      <xdr:col>4</xdr:col>
      <xdr:colOff>80962</xdr:colOff>
      <xdr:row>260</xdr:row>
      <xdr:rowOff>104774</xdr:rowOff>
    </xdr:to>
    <xdr:sp macro="" textlink="">
      <xdr:nvSpPr>
        <xdr:cNvPr id="248" name="Oval 271">
          <a:extLst>
            <a:ext uri="{FF2B5EF4-FFF2-40B4-BE49-F238E27FC236}">
              <a16:creationId xmlns:a16="http://schemas.microsoft.com/office/drawing/2014/main" id="{00000000-0008-0000-0300-0000F8000000}"/>
            </a:ext>
          </a:extLst>
        </xdr:cNvPr>
        <xdr:cNvSpPr>
          <a:spLocks noChangeArrowheads="1"/>
        </xdr:cNvSpPr>
      </xdr:nvSpPr>
      <xdr:spPr bwMode="auto">
        <a:xfrm>
          <a:off x="2205037" y="49353786"/>
          <a:ext cx="104775" cy="100013"/>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952500</xdr:colOff>
      <xdr:row>262</xdr:row>
      <xdr:rowOff>152400</xdr:rowOff>
    </xdr:from>
    <xdr:to>
      <xdr:col>2</xdr:col>
      <xdr:colOff>0</xdr:colOff>
      <xdr:row>262</xdr:row>
      <xdr:rowOff>152400</xdr:rowOff>
    </xdr:to>
    <xdr:sp macro="" textlink="">
      <xdr:nvSpPr>
        <xdr:cNvPr id="249" name="Line 619">
          <a:extLst>
            <a:ext uri="{FF2B5EF4-FFF2-40B4-BE49-F238E27FC236}">
              <a16:creationId xmlns:a16="http://schemas.microsoft.com/office/drawing/2014/main" id="{00000000-0008-0000-0300-0000F9000000}"/>
            </a:ext>
          </a:extLst>
        </xdr:cNvPr>
        <xdr:cNvSpPr>
          <a:spLocks noChangeShapeType="1"/>
        </xdr:cNvSpPr>
      </xdr:nvSpPr>
      <xdr:spPr bwMode="auto">
        <a:xfrm flipH="1" flipV="1">
          <a:off x="952500" y="49539525"/>
          <a:ext cx="3238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171450</xdr:colOff>
      <xdr:row>269</xdr:row>
      <xdr:rowOff>66675</xdr:rowOff>
    </xdr:from>
    <xdr:to>
      <xdr:col>2</xdr:col>
      <xdr:colOff>485775</xdr:colOff>
      <xdr:row>269</xdr:row>
      <xdr:rowOff>66675</xdr:rowOff>
    </xdr:to>
    <xdr:sp macro="" textlink="">
      <xdr:nvSpPr>
        <xdr:cNvPr id="250" name="Line 620">
          <a:extLst>
            <a:ext uri="{FF2B5EF4-FFF2-40B4-BE49-F238E27FC236}">
              <a16:creationId xmlns:a16="http://schemas.microsoft.com/office/drawing/2014/main" id="{00000000-0008-0000-0300-0000FA000000}"/>
            </a:ext>
          </a:extLst>
        </xdr:cNvPr>
        <xdr:cNvSpPr>
          <a:spLocks noChangeShapeType="1"/>
        </xdr:cNvSpPr>
      </xdr:nvSpPr>
      <xdr:spPr bwMode="auto">
        <a:xfrm flipH="1">
          <a:off x="1447800" y="50787300"/>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269</xdr:row>
      <xdr:rowOff>9525</xdr:rowOff>
    </xdr:from>
    <xdr:to>
      <xdr:col>2</xdr:col>
      <xdr:colOff>504825</xdr:colOff>
      <xdr:row>269</xdr:row>
      <xdr:rowOff>123825</xdr:rowOff>
    </xdr:to>
    <xdr:sp macro="" textlink="">
      <xdr:nvSpPr>
        <xdr:cNvPr id="251" name="Line 621">
          <a:extLst>
            <a:ext uri="{FF2B5EF4-FFF2-40B4-BE49-F238E27FC236}">
              <a16:creationId xmlns:a16="http://schemas.microsoft.com/office/drawing/2014/main" id="{00000000-0008-0000-0300-0000FB000000}"/>
            </a:ext>
          </a:extLst>
        </xdr:cNvPr>
        <xdr:cNvSpPr>
          <a:spLocks noChangeShapeType="1"/>
        </xdr:cNvSpPr>
      </xdr:nvSpPr>
      <xdr:spPr bwMode="auto">
        <a:xfrm flipH="1">
          <a:off x="1638300" y="50730150"/>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190500</xdr:colOff>
      <xdr:row>260</xdr:row>
      <xdr:rowOff>47625</xdr:rowOff>
    </xdr:from>
    <xdr:to>
      <xdr:col>5</xdr:col>
      <xdr:colOff>19050</xdr:colOff>
      <xdr:row>262</xdr:row>
      <xdr:rowOff>38100</xdr:rowOff>
    </xdr:to>
    <xdr:sp macro="" textlink="">
      <xdr:nvSpPr>
        <xdr:cNvPr id="252" name="Tegning 622">
          <a:extLst>
            <a:ext uri="{FF2B5EF4-FFF2-40B4-BE49-F238E27FC236}">
              <a16:creationId xmlns:a16="http://schemas.microsoft.com/office/drawing/2014/main" id="{00000000-0008-0000-0300-0000FC000000}"/>
            </a:ext>
          </a:extLst>
        </xdr:cNvPr>
        <xdr:cNvSpPr>
          <a:spLocks/>
        </xdr:cNvSpPr>
      </xdr:nvSpPr>
      <xdr:spPr bwMode="auto">
        <a:xfrm>
          <a:off x="1466850" y="49053750"/>
          <a:ext cx="1104900" cy="37147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238125</xdr:colOff>
      <xdr:row>262</xdr:row>
      <xdr:rowOff>85725</xdr:rowOff>
    </xdr:from>
    <xdr:to>
      <xdr:col>5</xdr:col>
      <xdr:colOff>381000</xdr:colOff>
      <xdr:row>262</xdr:row>
      <xdr:rowOff>85725</xdr:rowOff>
    </xdr:to>
    <xdr:sp macro="" textlink="">
      <xdr:nvSpPr>
        <xdr:cNvPr id="253" name="Line 623">
          <a:extLst>
            <a:ext uri="{FF2B5EF4-FFF2-40B4-BE49-F238E27FC236}">
              <a16:creationId xmlns:a16="http://schemas.microsoft.com/office/drawing/2014/main" id="{00000000-0008-0000-0300-0000FD000000}"/>
            </a:ext>
          </a:extLst>
        </xdr:cNvPr>
        <xdr:cNvSpPr>
          <a:spLocks noChangeShapeType="1"/>
        </xdr:cNvSpPr>
      </xdr:nvSpPr>
      <xdr:spPr bwMode="auto">
        <a:xfrm flipH="1">
          <a:off x="1514475" y="4947285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9525</xdr:colOff>
      <xdr:row>263</xdr:row>
      <xdr:rowOff>0</xdr:rowOff>
    </xdr:from>
    <xdr:to>
      <xdr:col>3</xdr:col>
      <xdr:colOff>38100</xdr:colOff>
      <xdr:row>264</xdr:row>
      <xdr:rowOff>133350</xdr:rowOff>
    </xdr:to>
    <xdr:sp macro="" textlink="">
      <xdr:nvSpPr>
        <xdr:cNvPr id="254" name="Tegning 624">
          <a:extLst>
            <a:ext uri="{FF2B5EF4-FFF2-40B4-BE49-F238E27FC236}">
              <a16:creationId xmlns:a16="http://schemas.microsoft.com/office/drawing/2014/main" id="{00000000-0008-0000-0300-0000FE000000}"/>
            </a:ext>
          </a:extLst>
        </xdr:cNvPr>
        <xdr:cNvSpPr>
          <a:spLocks/>
        </xdr:cNvSpPr>
      </xdr:nvSpPr>
      <xdr:spPr bwMode="auto">
        <a:xfrm>
          <a:off x="1152525" y="49577625"/>
          <a:ext cx="742950" cy="323850"/>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428625</xdr:colOff>
      <xdr:row>260</xdr:row>
      <xdr:rowOff>180975</xdr:rowOff>
    </xdr:from>
    <xdr:to>
      <xdr:col>2</xdr:col>
      <xdr:colOff>428625</xdr:colOff>
      <xdr:row>269</xdr:row>
      <xdr:rowOff>152400</xdr:rowOff>
    </xdr:to>
    <xdr:sp macro="" textlink="">
      <xdr:nvSpPr>
        <xdr:cNvPr id="255" name="Line 625">
          <a:extLst>
            <a:ext uri="{FF2B5EF4-FFF2-40B4-BE49-F238E27FC236}">
              <a16:creationId xmlns:a16="http://schemas.microsoft.com/office/drawing/2014/main" id="{00000000-0008-0000-0300-0000FF000000}"/>
            </a:ext>
          </a:extLst>
        </xdr:cNvPr>
        <xdr:cNvSpPr>
          <a:spLocks noChangeShapeType="1"/>
        </xdr:cNvSpPr>
      </xdr:nvSpPr>
      <xdr:spPr bwMode="auto">
        <a:xfrm flipV="1">
          <a:off x="1704975" y="49187100"/>
          <a:ext cx="0" cy="1685925"/>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267</xdr:row>
      <xdr:rowOff>66675</xdr:rowOff>
    </xdr:from>
    <xdr:to>
      <xdr:col>2</xdr:col>
      <xdr:colOff>419100</xdr:colOff>
      <xdr:row>267</xdr:row>
      <xdr:rowOff>171450</xdr:rowOff>
    </xdr:to>
    <xdr:sp macro="" textlink="">
      <xdr:nvSpPr>
        <xdr:cNvPr id="256" name="Line 626">
          <a:extLst>
            <a:ext uri="{FF2B5EF4-FFF2-40B4-BE49-F238E27FC236}">
              <a16:creationId xmlns:a16="http://schemas.microsoft.com/office/drawing/2014/main" id="{00000000-0008-0000-0300-000000010000}"/>
            </a:ext>
          </a:extLst>
        </xdr:cNvPr>
        <xdr:cNvSpPr>
          <a:spLocks noChangeShapeType="1"/>
        </xdr:cNvSpPr>
      </xdr:nvSpPr>
      <xdr:spPr bwMode="auto">
        <a:xfrm flipH="1">
          <a:off x="1571625" y="50406300"/>
          <a:ext cx="12382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267</xdr:row>
      <xdr:rowOff>76993</xdr:rowOff>
    </xdr:from>
    <xdr:to>
      <xdr:col>2</xdr:col>
      <xdr:colOff>566738</xdr:colOff>
      <xdr:row>267</xdr:row>
      <xdr:rowOff>176212</xdr:rowOff>
    </xdr:to>
    <xdr:sp macro="" textlink="">
      <xdr:nvSpPr>
        <xdr:cNvPr id="257" name="Line 627">
          <a:extLst>
            <a:ext uri="{FF2B5EF4-FFF2-40B4-BE49-F238E27FC236}">
              <a16:creationId xmlns:a16="http://schemas.microsoft.com/office/drawing/2014/main" id="{00000000-0008-0000-0300-000001010000}"/>
            </a:ext>
          </a:extLst>
        </xdr:cNvPr>
        <xdr:cNvSpPr>
          <a:spLocks noChangeShapeType="1"/>
        </xdr:cNvSpPr>
      </xdr:nvSpPr>
      <xdr:spPr bwMode="auto">
        <a:xfrm flipH="1">
          <a:off x="1724025" y="50769043"/>
          <a:ext cx="119063" cy="99219"/>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263</xdr:row>
      <xdr:rowOff>76200</xdr:rowOff>
    </xdr:from>
    <xdr:to>
      <xdr:col>2</xdr:col>
      <xdr:colOff>342900</xdr:colOff>
      <xdr:row>267</xdr:row>
      <xdr:rowOff>152400</xdr:rowOff>
    </xdr:to>
    <xdr:sp macro="" textlink="">
      <xdr:nvSpPr>
        <xdr:cNvPr id="258" name="Line 628">
          <a:extLst>
            <a:ext uri="{FF2B5EF4-FFF2-40B4-BE49-F238E27FC236}">
              <a16:creationId xmlns:a16="http://schemas.microsoft.com/office/drawing/2014/main" id="{00000000-0008-0000-0300-000002010000}"/>
            </a:ext>
          </a:extLst>
        </xdr:cNvPr>
        <xdr:cNvSpPr>
          <a:spLocks noChangeShapeType="1"/>
        </xdr:cNvSpPr>
      </xdr:nvSpPr>
      <xdr:spPr bwMode="auto">
        <a:xfrm>
          <a:off x="1619250" y="49653825"/>
          <a:ext cx="0" cy="838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504825</xdr:colOff>
      <xdr:row>265</xdr:row>
      <xdr:rowOff>166688</xdr:rowOff>
    </xdr:from>
    <xdr:to>
      <xdr:col>2</xdr:col>
      <xdr:colOff>504825</xdr:colOff>
      <xdr:row>267</xdr:row>
      <xdr:rowOff>152400</xdr:rowOff>
    </xdr:to>
    <xdr:sp macro="" textlink="">
      <xdr:nvSpPr>
        <xdr:cNvPr id="259" name="Line 629">
          <a:extLst>
            <a:ext uri="{FF2B5EF4-FFF2-40B4-BE49-F238E27FC236}">
              <a16:creationId xmlns:a16="http://schemas.microsoft.com/office/drawing/2014/main" id="{00000000-0008-0000-0300-000003010000}"/>
            </a:ext>
          </a:extLst>
        </xdr:cNvPr>
        <xdr:cNvSpPr>
          <a:spLocks noChangeShapeType="1"/>
        </xdr:cNvSpPr>
      </xdr:nvSpPr>
      <xdr:spPr bwMode="auto">
        <a:xfrm>
          <a:off x="1781175" y="50477738"/>
          <a:ext cx="0" cy="36671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262</xdr:row>
      <xdr:rowOff>123825</xdr:rowOff>
    </xdr:from>
    <xdr:to>
      <xdr:col>2</xdr:col>
      <xdr:colOff>219075</xdr:colOff>
      <xdr:row>268</xdr:row>
      <xdr:rowOff>152400</xdr:rowOff>
    </xdr:to>
    <xdr:sp macro="" textlink="">
      <xdr:nvSpPr>
        <xdr:cNvPr id="260" name="Line 630">
          <a:extLst>
            <a:ext uri="{FF2B5EF4-FFF2-40B4-BE49-F238E27FC236}">
              <a16:creationId xmlns:a16="http://schemas.microsoft.com/office/drawing/2014/main" id="{00000000-0008-0000-0300-000004010000}"/>
            </a:ext>
          </a:extLst>
        </xdr:cNvPr>
        <xdr:cNvSpPr>
          <a:spLocks noChangeShapeType="1"/>
        </xdr:cNvSpPr>
      </xdr:nvSpPr>
      <xdr:spPr bwMode="auto">
        <a:xfrm>
          <a:off x="1495425" y="49510950"/>
          <a:ext cx="0" cy="1171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268</xdr:row>
      <xdr:rowOff>23813</xdr:rowOff>
    </xdr:from>
    <xdr:to>
      <xdr:col>2</xdr:col>
      <xdr:colOff>504825</xdr:colOff>
      <xdr:row>268</xdr:row>
      <xdr:rowOff>142875</xdr:rowOff>
    </xdr:to>
    <xdr:sp macro="" textlink="">
      <xdr:nvSpPr>
        <xdr:cNvPr id="261" name="Line 631">
          <a:extLst>
            <a:ext uri="{FF2B5EF4-FFF2-40B4-BE49-F238E27FC236}">
              <a16:creationId xmlns:a16="http://schemas.microsoft.com/office/drawing/2014/main" id="{00000000-0008-0000-0300-000005010000}"/>
            </a:ext>
          </a:extLst>
        </xdr:cNvPr>
        <xdr:cNvSpPr>
          <a:spLocks noChangeShapeType="1"/>
        </xdr:cNvSpPr>
      </xdr:nvSpPr>
      <xdr:spPr bwMode="auto">
        <a:xfrm flipH="1">
          <a:off x="1638300" y="50906363"/>
          <a:ext cx="142875" cy="119062"/>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268</xdr:row>
      <xdr:rowOff>38100</xdr:rowOff>
    </xdr:from>
    <xdr:to>
      <xdr:col>2</xdr:col>
      <xdr:colOff>285750</xdr:colOff>
      <xdr:row>268</xdr:row>
      <xdr:rowOff>152400</xdr:rowOff>
    </xdr:to>
    <xdr:sp macro="" textlink="">
      <xdr:nvSpPr>
        <xdr:cNvPr id="262" name="Line 632">
          <a:extLst>
            <a:ext uri="{FF2B5EF4-FFF2-40B4-BE49-F238E27FC236}">
              <a16:creationId xmlns:a16="http://schemas.microsoft.com/office/drawing/2014/main" id="{00000000-0008-0000-0300-000006010000}"/>
            </a:ext>
          </a:extLst>
        </xdr:cNvPr>
        <xdr:cNvSpPr>
          <a:spLocks noChangeShapeType="1"/>
        </xdr:cNvSpPr>
      </xdr:nvSpPr>
      <xdr:spPr bwMode="auto">
        <a:xfrm flipH="1">
          <a:off x="1419225" y="50568225"/>
          <a:ext cx="14287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133350</xdr:colOff>
      <xdr:row>259</xdr:row>
      <xdr:rowOff>19050</xdr:rowOff>
    </xdr:from>
    <xdr:to>
      <xdr:col>5</xdr:col>
      <xdr:colOff>409575</xdr:colOff>
      <xdr:row>262</xdr:row>
      <xdr:rowOff>142875</xdr:rowOff>
    </xdr:to>
    <xdr:sp macro="" textlink="">
      <xdr:nvSpPr>
        <xdr:cNvPr id="263" name="Tegning 633">
          <a:extLst>
            <a:ext uri="{FF2B5EF4-FFF2-40B4-BE49-F238E27FC236}">
              <a16:creationId xmlns:a16="http://schemas.microsoft.com/office/drawing/2014/main" id="{00000000-0008-0000-0300-000007010000}"/>
            </a:ext>
          </a:extLst>
        </xdr:cNvPr>
        <xdr:cNvSpPr>
          <a:spLocks/>
        </xdr:cNvSpPr>
      </xdr:nvSpPr>
      <xdr:spPr bwMode="auto">
        <a:xfrm>
          <a:off x="1409700" y="48834675"/>
          <a:ext cx="1552575" cy="69532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259</xdr:row>
      <xdr:rowOff>76200</xdr:rowOff>
    </xdr:from>
    <xdr:to>
      <xdr:col>5</xdr:col>
      <xdr:colOff>381000</xdr:colOff>
      <xdr:row>259</xdr:row>
      <xdr:rowOff>76200</xdr:rowOff>
    </xdr:to>
    <xdr:sp macro="" textlink="">
      <xdr:nvSpPr>
        <xdr:cNvPr id="264" name="Line 634">
          <a:extLst>
            <a:ext uri="{FF2B5EF4-FFF2-40B4-BE49-F238E27FC236}">
              <a16:creationId xmlns:a16="http://schemas.microsoft.com/office/drawing/2014/main" id="{00000000-0008-0000-0300-000008010000}"/>
            </a:ext>
          </a:extLst>
        </xdr:cNvPr>
        <xdr:cNvSpPr>
          <a:spLocks noChangeShapeType="1"/>
        </xdr:cNvSpPr>
      </xdr:nvSpPr>
      <xdr:spPr bwMode="auto">
        <a:xfrm>
          <a:off x="2076450" y="48891825"/>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254</xdr:row>
      <xdr:rowOff>76200</xdr:rowOff>
    </xdr:from>
    <xdr:to>
      <xdr:col>5</xdr:col>
      <xdr:colOff>704850</xdr:colOff>
      <xdr:row>262</xdr:row>
      <xdr:rowOff>47625</xdr:rowOff>
    </xdr:to>
    <xdr:sp macro="" textlink="">
      <xdr:nvSpPr>
        <xdr:cNvPr id="265" name="Tegning 635">
          <a:extLst>
            <a:ext uri="{FF2B5EF4-FFF2-40B4-BE49-F238E27FC236}">
              <a16:creationId xmlns:a16="http://schemas.microsoft.com/office/drawing/2014/main" id="{00000000-0008-0000-0300-000009010000}"/>
            </a:ext>
          </a:extLst>
        </xdr:cNvPr>
        <xdr:cNvSpPr>
          <a:spLocks/>
        </xdr:cNvSpPr>
      </xdr:nvSpPr>
      <xdr:spPr bwMode="auto">
        <a:xfrm>
          <a:off x="1266825" y="47939325"/>
          <a:ext cx="1990725" cy="1495425"/>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xdr:col>
      <xdr:colOff>38100</xdr:colOff>
      <xdr:row>259</xdr:row>
      <xdr:rowOff>171450</xdr:rowOff>
    </xdr:from>
    <xdr:to>
      <xdr:col>2</xdr:col>
      <xdr:colOff>76200</xdr:colOff>
      <xdr:row>259</xdr:row>
      <xdr:rowOff>171450</xdr:rowOff>
    </xdr:to>
    <xdr:sp macro="" textlink="">
      <xdr:nvSpPr>
        <xdr:cNvPr id="266" name="Line 636">
          <a:extLst>
            <a:ext uri="{FF2B5EF4-FFF2-40B4-BE49-F238E27FC236}">
              <a16:creationId xmlns:a16="http://schemas.microsoft.com/office/drawing/2014/main" id="{00000000-0008-0000-0300-00000A010000}"/>
            </a:ext>
          </a:extLst>
        </xdr:cNvPr>
        <xdr:cNvSpPr>
          <a:spLocks noChangeShapeType="1"/>
        </xdr:cNvSpPr>
      </xdr:nvSpPr>
      <xdr:spPr bwMode="auto">
        <a:xfrm flipH="1">
          <a:off x="1181100" y="48987075"/>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66675</xdr:colOff>
      <xdr:row>259</xdr:row>
      <xdr:rowOff>133350</xdr:rowOff>
    </xdr:from>
    <xdr:to>
      <xdr:col>2</xdr:col>
      <xdr:colOff>38100</xdr:colOff>
      <xdr:row>260</xdr:row>
      <xdr:rowOff>28575</xdr:rowOff>
    </xdr:to>
    <xdr:sp macro="" textlink="">
      <xdr:nvSpPr>
        <xdr:cNvPr id="267" name="Line 637">
          <a:extLst>
            <a:ext uri="{FF2B5EF4-FFF2-40B4-BE49-F238E27FC236}">
              <a16:creationId xmlns:a16="http://schemas.microsoft.com/office/drawing/2014/main" id="{00000000-0008-0000-0300-00000B010000}"/>
            </a:ext>
          </a:extLst>
        </xdr:cNvPr>
        <xdr:cNvSpPr>
          <a:spLocks noChangeShapeType="1"/>
        </xdr:cNvSpPr>
      </xdr:nvSpPr>
      <xdr:spPr bwMode="auto">
        <a:xfrm flipH="1">
          <a:off x="1209675" y="48948975"/>
          <a:ext cx="10477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28575</xdr:colOff>
      <xdr:row>262</xdr:row>
      <xdr:rowOff>38100</xdr:rowOff>
    </xdr:from>
    <xdr:to>
      <xdr:col>2</xdr:col>
      <xdr:colOff>76200</xdr:colOff>
      <xdr:row>262</xdr:row>
      <xdr:rowOff>38100</xdr:rowOff>
    </xdr:to>
    <xdr:sp macro="" textlink="">
      <xdr:nvSpPr>
        <xdr:cNvPr id="268" name="Line 638">
          <a:extLst>
            <a:ext uri="{FF2B5EF4-FFF2-40B4-BE49-F238E27FC236}">
              <a16:creationId xmlns:a16="http://schemas.microsoft.com/office/drawing/2014/main" id="{00000000-0008-0000-0300-00000C010000}"/>
            </a:ext>
          </a:extLst>
        </xdr:cNvPr>
        <xdr:cNvSpPr>
          <a:spLocks noChangeShapeType="1"/>
        </xdr:cNvSpPr>
      </xdr:nvSpPr>
      <xdr:spPr bwMode="auto">
        <a:xfrm flipH="1">
          <a:off x="1171575" y="49425225"/>
          <a:ext cx="1809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76200</xdr:colOff>
      <xdr:row>261</xdr:row>
      <xdr:rowOff>171450</xdr:rowOff>
    </xdr:from>
    <xdr:to>
      <xdr:col>2</xdr:col>
      <xdr:colOff>38100</xdr:colOff>
      <xdr:row>262</xdr:row>
      <xdr:rowOff>76200</xdr:rowOff>
    </xdr:to>
    <xdr:sp macro="" textlink="">
      <xdr:nvSpPr>
        <xdr:cNvPr id="269" name="Line 639">
          <a:extLst>
            <a:ext uri="{FF2B5EF4-FFF2-40B4-BE49-F238E27FC236}">
              <a16:creationId xmlns:a16="http://schemas.microsoft.com/office/drawing/2014/main" id="{00000000-0008-0000-0300-00000D010000}"/>
            </a:ext>
          </a:extLst>
        </xdr:cNvPr>
        <xdr:cNvSpPr>
          <a:spLocks noChangeShapeType="1"/>
        </xdr:cNvSpPr>
      </xdr:nvSpPr>
      <xdr:spPr bwMode="auto">
        <a:xfrm flipH="1">
          <a:off x="1219200" y="4936807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263</xdr:row>
      <xdr:rowOff>28575</xdr:rowOff>
    </xdr:from>
    <xdr:to>
      <xdr:col>2</xdr:col>
      <xdr:colOff>552450</xdr:colOff>
      <xdr:row>265</xdr:row>
      <xdr:rowOff>161925</xdr:rowOff>
    </xdr:to>
    <xdr:sp macro="" textlink="">
      <xdr:nvSpPr>
        <xdr:cNvPr id="270" name="Tegning 640">
          <a:extLst>
            <a:ext uri="{FF2B5EF4-FFF2-40B4-BE49-F238E27FC236}">
              <a16:creationId xmlns:a16="http://schemas.microsoft.com/office/drawing/2014/main" id="{00000000-0008-0000-0300-00000E010000}"/>
            </a:ext>
          </a:extLst>
        </xdr:cNvPr>
        <xdr:cNvSpPr>
          <a:spLocks/>
        </xdr:cNvSpPr>
      </xdr:nvSpPr>
      <xdr:spPr bwMode="auto">
        <a:xfrm>
          <a:off x="1571625" y="49606200"/>
          <a:ext cx="257175" cy="514350"/>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268</xdr:row>
      <xdr:rowOff>171450</xdr:rowOff>
    </xdr:from>
    <xdr:to>
      <xdr:col>2</xdr:col>
      <xdr:colOff>266700</xdr:colOff>
      <xdr:row>269</xdr:row>
      <xdr:rowOff>161925</xdr:rowOff>
    </xdr:to>
    <xdr:sp macro="" textlink="">
      <xdr:nvSpPr>
        <xdr:cNvPr id="271" name="Tegning 641">
          <a:extLst>
            <a:ext uri="{FF2B5EF4-FFF2-40B4-BE49-F238E27FC236}">
              <a16:creationId xmlns:a16="http://schemas.microsoft.com/office/drawing/2014/main" id="{00000000-0008-0000-0300-00000F010000}"/>
            </a:ext>
          </a:extLst>
        </xdr:cNvPr>
        <xdr:cNvSpPr>
          <a:spLocks/>
        </xdr:cNvSpPr>
      </xdr:nvSpPr>
      <xdr:spPr bwMode="auto">
        <a:xfrm>
          <a:off x="1447800" y="50701575"/>
          <a:ext cx="95250" cy="180975"/>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981075</xdr:colOff>
      <xdr:row>262</xdr:row>
      <xdr:rowOff>95250</xdr:rowOff>
    </xdr:from>
    <xdr:to>
      <xdr:col>2</xdr:col>
      <xdr:colOff>9525</xdr:colOff>
      <xdr:row>262</xdr:row>
      <xdr:rowOff>95250</xdr:rowOff>
    </xdr:to>
    <xdr:sp macro="" textlink="">
      <xdr:nvSpPr>
        <xdr:cNvPr id="272" name="Line 642">
          <a:extLst>
            <a:ext uri="{FF2B5EF4-FFF2-40B4-BE49-F238E27FC236}">
              <a16:creationId xmlns:a16="http://schemas.microsoft.com/office/drawing/2014/main" id="{00000000-0008-0000-0300-000010010000}"/>
            </a:ext>
          </a:extLst>
        </xdr:cNvPr>
        <xdr:cNvSpPr>
          <a:spLocks noChangeShapeType="1"/>
        </xdr:cNvSpPr>
      </xdr:nvSpPr>
      <xdr:spPr bwMode="auto">
        <a:xfrm flipH="1">
          <a:off x="981075" y="49482375"/>
          <a:ext cx="304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262</xdr:row>
      <xdr:rowOff>47625</xdr:rowOff>
    </xdr:from>
    <xdr:to>
      <xdr:col>0</xdr:col>
      <xdr:colOff>1019175</xdr:colOff>
      <xdr:row>264</xdr:row>
      <xdr:rowOff>142875</xdr:rowOff>
    </xdr:to>
    <xdr:sp macro="" textlink="">
      <xdr:nvSpPr>
        <xdr:cNvPr id="273" name="Line 643">
          <a:extLst>
            <a:ext uri="{FF2B5EF4-FFF2-40B4-BE49-F238E27FC236}">
              <a16:creationId xmlns:a16="http://schemas.microsoft.com/office/drawing/2014/main" id="{00000000-0008-0000-0300-000011010000}"/>
            </a:ext>
          </a:extLst>
        </xdr:cNvPr>
        <xdr:cNvSpPr>
          <a:spLocks noChangeShapeType="1"/>
        </xdr:cNvSpPr>
      </xdr:nvSpPr>
      <xdr:spPr bwMode="auto">
        <a:xfrm>
          <a:off x="1019175" y="49434750"/>
          <a:ext cx="0" cy="476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262</xdr:row>
      <xdr:rowOff>47625</xdr:rowOff>
    </xdr:from>
    <xdr:to>
      <xdr:col>0</xdr:col>
      <xdr:colOff>1066800</xdr:colOff>
      <xdr:row>262</xdr:row>
      <xdr:rowOff>133350</xdr:rowOff>
    </xdr:to>
    <xdr:sp macro="" textlink="">
      <xdr:nvSpPr>
        <xdr:cNvPr id="274" name="Line 644">
          <a:extLst>
            <a:ext uri="{FF2B5EF4-FFF2-40B4-BE49-F238E27FC236}">
              <a16:creationId xmlns:a16="http://schemas.microsoft.com/office/drawing/2014/main" id="{00000000-0008-0000-0300-000012010000}"/>
            </a:ext>
          </a:extLst>
        </xdr:cNvPr>
        <xdr:cNvSpPr>
          <a:spLocks noChangeShapeType="1"/>
        </xdr:cNvSpPr>
      </xdr:nvSpPr>
      <xdr:spPr bwMode="auto">
        <a:xfrm flipH="1">
          <a:off x="971550" y="49434750"/>
          <a:ext cx="9525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262</xdr:row>
      <xdr:rowOff>104775</xdr:rowOff>
    </xdr:from>
    <xdr:to>
      <xdr:col>0</xdr:col>
      <xdr:colOff>1066800</xdr:colOff>
      <xdr:row>263</xdr:row>
      <xdr:rowOff>9525</xdr:rowOff>
    </xdr:to>
    <xdr:sp macro="" textlink="">
      <xdr:nvSpPr>
        <xdr:cNvPr id="275" name="Line 645">
          <a:extLst>
            <a:ext uri="{FF2B5EF4-FFF2-40B4-BE49-F238E27FC236}">
              <a16:creationId xmlns:a16="http://schemas.microsoft.com/office/drawing/2014/main" id="{00000000-0008-0000-0300-000013010000}"/>
            </a:ext>
          </a:extLst>
        </xdr:cNvPr>
        <xdr:cNvSpPr>
          <a:spLocks noChangeShapeType="1"/>
        </xdr:cNvSpPr>
      </xdr:nvSpPr>
      <xdr:spPr bwMode="auto">
        <a:xfrm flipH="1">
          <a:off x="971550" y="4949190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260</xdr:row>
      <xdr:rowOff>66675</xdr:rowOff>
    </xdr:from>
    <xdr:to>
      <xdr:col>2</xdr:col>
      <xdr:colOff>257175</xdr:colOff>
      <xdr:row>260</xdr:row>
      <xdr:rowOff>104775</xdr:rowOff>
    </xdr:to>
    <xdr:sp macro="" textlink="">
      <xdr:nvSpPr>
        <xdr:cNvPr id="276" name="Oval 688">
          <a:extLst>
            <a:ext uri="{FF2B5EF4-FFF2-40B4-BE49-F238E27FC236}">
              <a16:creationId xmlns:a16="http://schemas.microsoft.com/office/drawing/2014/main" id="{00000000-0008-0000-0300-000014010000}"/>
            </a:ext>
          </a:extLst>
        </xdr:cNvPr>
        <xdr:cNvSpPr>
          <a:spLocks noChangeArrowheads="1"/>
        </xdr:cNvSpPr>
      </xdr:nvSpPr>
      <xdr:spPr bwMode="auto">
        <a:xfrm>
          <a:off x="1495425" y="4907280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261</xdr:row>
      <xdr:rowOff>171450</xdr:rowOff>
    </xdr:from>
    <xdr:to>
      <xdr:col>2</xdr:col>
      <xdr:colOff>247650</xdr:colOff>
      <xdr:row>262</xdr:row>
      <xdr:rowOff>19050</xdr:rowOff>
    </xdr:to>
    <xdr:sp macro="" textlink="">
      <xdr:nvSpPr>
        <xdr:cNvPr id="277" name="Oval 689">
          <a:extLst>
            <a:ext uri="{FF2B5EF4-FFF2-40B4-BE49-F238E27FC236}">
              <a16:creationId xmlns:a16="http://schemas.microsoft.com/office/drawing/2014/main" id="{00000000-0008-0000-0300-000015010000}"/>
            </a:ext>
          </a:extLst>
        </xdr:cNvPr>
        <xdr:cNvSpPr>
          <a:spLocks noChangeArrowheads="1"/>
        </xdr:cNvSpPr>
      </xdr:nvSpPr>
      <xdr:spPr bwMode="auto">
        <a:xfrm>
          <a:off x="1485900" y="4936807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288</xdr:row>
      <xdr:rowOff>85725</xdr:rowOff>
    </xdr:from>
    <xdr:to>
      <xdr:col>2</xdr:col>
      <xdr:colOff>485775</xdr:colOff>
      <xdr:row>288</xdr:row>
      <xdr:rowOff>85725</xdr:rowOff>
    </xdr:to>
    <xdr:sp macro="" textlink="">
      <xdr:nvSpPr>
        <xdr:cNvPr id="278" name="Line 647">
          <a:extLst>
            <a:ext uri="{FF2B5EF4-FFF2-40B4-BE49-F238E27FC236}">
              <a16:creationId xmlns:a16="http://schemas.microsoft.com/office/drawing/2014/main" id="{00000000-0008-0000-0300-000016010000}"/>
            </a:ext>
          </a:extLst>
        </xdr:cNvPr>
        <xdr:cNvSpPr>
          <a:spLocks noChangeShapeType="1"/>
        </xdr:cNvSpPr>
      </xdr:nvSpPr>
      <xdr:spPr bwMode="auto">
        <a:xfrm flipH="1">
          <a:off x="1447800" y="54425850"/>
          <a:ext cx="3143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381000</xdr:colOff>
      <xdr:row>288</xdr:row>
      <xdr:rowOff>19050</xdr:rowOff>
    </xdr:from>
    <xdr:to>
      <xdr:col>2</xdr:col>
      <xdr:colOff>504825</xdr:colOff>
      <xdr:row>288</xdr:row>
      <xdr:rowOff>142875</xdr:rowOff>
    </xdr:to>
    <xdr:sp macro="" textlink="">
      <xdr:nvSpPr>
        <xdr:cNvPr id="279" name="Line 648">
          <a:extLst>
            <a:ext uri="{FF2B5EF4-FFF2-40B4-BE49-F238E27FC236}">
              <a16:creationId xmlns:a16="http://schemas.microsoft.com/office/drawing/2014/main" id="{00000000-0008-0000-0300-000017010000}"/>
            </a:ext>
          </a:extLst>
        </xdr:cNvPr>
        <xdr:cNvSpPr>
          <a:spLocks noChangeShapeType="1"/>
        </xdr:cNvSpPr>
      </xdr:nvSpPr>
      <xdr:spPr bwMode="auto">
        <a:xfrm flipH="1">
          <a:off x="1657350" y="54359175"/>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228600</xdr:colOff>
      <xdr:row>283</xdr:row>
      <xdr:rowOff>85725</xdr:rowOff>
    </xdr:from>
    <xdr:to>
      <xdr:col>5</xdr:col>
      <xdr:colOff>371475</xdr:colOff>
      <xdr:row>283</xdr:row>
      <xdr:rowOff>85725</xdr:rowOff>
    </xdr:to>
    <xdr:sp macro="" textlink="">
      <xdr:nvSpPr>
        <xdr:cNvPr id="280" name="Line 649">
          <a:extLst>
            <a:ext uri="{FF2B5EF4-FFF2-40B4-BE49-F238E27FC236}">
              <a16:creationId xmlns:a16="http://schemas.microsoft.com/office/drawing/2014/main" id="{00000000-0008-0000-0300-000018010000}"/>
            </a:ext>
          </a:extLst>
        </xdr:cNvPr>
        <xdr:cNvSpPr>
          <a:spLocks noChangeShapeType="1"/>
        </xdr:cNvSpPr>
      </xdr:nvSpPr>
      <xdr:spPr bwMode="auto">
        <a:xfrm flipH="1">
          <a:off x="1504950" y="53473350"/>
          <a:ext cx="1419225"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0</xdr:colOff>
      <xdr:row>284</xdr:row>
      <xdr:rowOff>28575</xdr:rowOff>
    </xdr:from>
    <xdr:to>
      <xdr:col>3</xdr:col>
      <xdr:colOff>28575</xdr:colOff>
      <xdr:row>285</xdr:row>
      <xdr:rowOff>209550</xdr:rowOff>
    </xdr:to>
    <xdr:sp macro="" textlink="">
      <xdr:nvSpPr>
        <xdr:cNvPr id="281" name="Tegning 650">
          <a:extLst>
            <a:ext uri="{FF2B5EF4-FFF2-40B4-BE49-F238E27FC236}">
              <a16:creationId xmlns:a16="http://schemas.microsoft.com/office/drawing/2014/main" id="{00000000-0008-0000-0300-000019010000}"/>
            </a:ext>
          </a:extLst>
        </xdr:cNvPr>
        <xdr:cNvSpPr>
          <a:spLocks/>
        </xdr:cNvSpPr>
      </xdr:nvSpPr>
      <xdr:spPr bwMode="auto">
        <a:xfrm>
          <a:off x="1143000" y="53606700"/>
          <a:ext cx="742950" cy="352425"/>
        </a:xfrm>
        <a:custGeom>
          <a:avLst/>
          <a:gdLst>
            <a:gd name="T0" fmla="*/ 0 w 16384"/>
            <a:gd name="T1" fmla="*/ 0 h 16384"/>
            <a:gd name="T2" fmla="*/ 2147483646 w 16384"/>
            <a:gd name="T3" fmla="*/ 0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0"/>
              </a:lnTo>
              <a:lnTo>
                <a:pt x="16384"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438150</xdr:colOff>
      <xdr:row>281</xdr:row>
      <xdr:rowOff>209550</xdr:rowOff>
    </xdr:from>
    <xdr:to>
      <xdr:col>2</xdr:col>
      <xdr:colOff>438150</xdr:colOff>
      <xdr:row>288</xdr:row>
      <xdr:rowOff>209550</xdr:rowOff>
    </xdr:to>
    <xdr:sp macro="" textlink="">
      <xdr:nvSpPr>
        <xdr:cNvPr id="282" name="Line 651">
          <a:extLst>
            <a:ext uri="{FF2B5EF4-FFF2-40B4-BE49-F238E27FC236}">
              <a16:creationId xmlns:a16="http://schemas.microsoft.com/office/drawing/2014/main" id="{00000000-0008-0000-0300-00001A010000}"/>
            </a:ext>
          </a:extLst>
        </xdr:cNvPr>
        <xdr:cNvSpPr>
          <a:spLocks noChangeShapeType="1"/>
        </xdr:cNvSpPr>
      </xdr:nvSpPr>
      <xdr:spPr bwMode="auto">
        <a:xfrm flipV="1">
          <a:off x="1714500" y="53197125"/>
          <a:ext cx="0" cy="1333500"/>
        </a:xfrm>
        <a:prstGeom prst="line">
          <a:avLst/>
        </a:prstGeom>
        <a:noFill/>
        <a:ln w="9525">
          <a:pattFill prst="pct75">
            <a:fgClr>
              <a:srgbClr xmlns:mc="http://schemas.openxmlformats.org/markup-compatibility/2006" xmlns:a14="http://schemas.microsoft.com/office/drawing/2010/main" val="000000" mc:Ignorable="a14" a14:legacySpreadsheetColorIndex="8"/>
            </a:fgClr>
            <a:bgClr>
              <a:srgbClr val="FFFFFF"/>
            </a:bgClr>
          </a:patt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266700</xdr:colOff>
      <xdr:row>286</xdr:row>
      <xdr:rowOff>57150</xdr:rowOff>
    </xdr:from>
    <xdr:to>
      <xdr:col>2</xdr:col>
      <xdr:colOff>390525</xdr:colOff>
      <xdr:row>286</xdr:row>
      <xdr:rowOff>171450</xdr:rowOff>
    </xdr:to>
    <xdr:sp macro="" textlink="">
      <xdr:nvSpPr>
        <xdr:cNvPr id="283" name="Line 652">
          <a:extLst>
            <a:ext uri="{FF2B5EF4-FFF2-40B4-BE49-F238E27FC236}">
              <a16:creationId xmlns:a16="http://schemas.microsoft.com/office/drawing/2014/main" id="{00000000-0008-0000-0300-00001B010000}"/>
            </a:ext>
          </a:extLst>
        </xdr:cNvPr>
        <xdr:cNvSpPr>
          <a:spLocks noChangeShapeType="1"/>
        </xdr:cNvSpPr>
      </xdr:nvSpPr>
      <xdr:spPr bwMode="auto">
        <a:xfrm flipH="1">
          <a:off x="1543050" y="54016275"/>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286</xdr:row>
      <xdr:rowOff>57150</xdr:rowOff>
    </xdr:from>
    <xdr:to>
      <xdr:col>3</xdr:col>
      <xdr:colOff>19050</xdr:colOff>
      <xdr:row>286</xdr:row>
      <xdr:rowOff>171450</xdr:rowOff>
    </xdr:to>
    <xdr:sp macro="" textlink="">
      <xdr:nvSpPr>
        <xdr:cNvPr id="284" name="Line 653">
          <a:extLst>
            <a:ext uri="{FF2B5EF4-FFF2-40B4-BE49-F238E27FC236}">
              <a16:creationId xmlns:a16="http://schemas.microsoft.com/office/drawing/2014/main" id="{00000000-0008-0000-0300-00001C010000}"/>
            </a:ext>
          </a:extLst>
        </xdr:cNvPr>
        <xdr:cNvSpPr>
          <a:spLocks noChangeShapeType="1"/>
        </xdr:cNvSpPr>
      </xdr:nvSpPr>
      <xdr:spPr bwMode="auto">
        <a:xfrm flipH="1">
          <a:off x="1743075" y="54016275"/>
          <a:ext cx="13335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283</xdr:row>
      <xdr:rowOff>161925</xdr:rowOff>
    </xdr:from>
    <xdr:to>
      <xdr:col>2</xdr:col>
      <xdr:colOff>219075</xdr:colOff>
      <xdr:row>287</xdr:row>
      <xdr:rowOff>161925</xdr:rowOff>
    </xdr:to>
    <xdr:sp macro="" textlink="">
      <xdr:nvSpPr>
        <xdr:cNvPr id="285" name="Line 654">
          <a:extLst>
            <a:ext uri="{FF2B5EF4-FFF2-40B4-BE49-F238E27FC236}">
              <a16:creationId xmlns:a16="http://schemas.microsoft.com/office/drawing/2014/main" id="{00000000-0008-0000-0300-00001D010000}"/>
            </a:ext>
          </a:extLst>
        </xdr:cNvPr>
        <xdr:cNvSpPr>
          <a:spLocks noChangeShapeType="1"/>
        </xdr:cNvSpPr>
      </xdr:nvSpPr>
      <xdr:spPr bwMode="auto">
        <a:xfrm>
          <a:off x="1495425" y="53549550"/>
          <a:ext cx="0" cy="7620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287</xdr:row>
      <xdr:rowOff>47625</xdr:rowOff>
    </xdr:from>
    <xdr:to>
      <xdr:col>2</xdr:col>
      <xdr:colOff>495300</xdr:colOff>
      <xdr:row>287</xdr:row>
      <xdr:rowOff>161925</xdr:rowOff>
    </xdr:to>
    <xdr:sp macro="" textlink="">
      <xdr:nvSpPr>
        <xdr:cNvPr id="286" name="Line 655">
          <a:extLst>
            <a:ext uri="{FF2B5EF4-FFF2-40B4-BE49-F238E27FC236}">
              <a16:creationId xmlns:a16="http://schemas.microsoft.com/office/drawing/2014/main" id="{00000000-0008-0000-0300-00001E010000}"/>
            </a:ext>
          </a:extLst>
        </xdr:cNvPr>
        <xdr:cNvSpPr>
          <a:spLocks noChangeShapeType="1"/>
        </xdr:cNvSpPr>
      </xdr:nvSpPr>
      <xdr:spPr bwMode="auto">
        <a:xfrm flipH="1">
          <a:off x="1647825" y="54197250"/>
          <a:ext cx="123825"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287</xdr:row>
      <xdr:rowOff>47625</xdr:rowOff>
    </xdr:from>
    <xdr:to>
      <xdr:col>2</xdr:col>
      <xdr:colOff>285750</xdr:colOff>
      <xdr:row>287</xdr:row>
      <xdr:rowOff>190500</xdr:rowOff>
    </xdr:to>
    <xdr:sp macro="" textlink="">
      <xdr:nvSpPr>
        <xdr:cNvPr id="287" name="Line 656">
          <a:extLst>
            <a:ext uri="{FF2B5EF4-FFF2-40B4-BE49-F238E27FC236}">
              <a16:creationId xmlns:a16="http://schemas.microsoft.com/office/drawing/2014/main" id="{00000000-0008-0000-0300-00001F010000}"/>
            </a:ext>
          </a:extLst>
        </xdr:cNvPr>
        <xdr:cNvSpPr>
          <a:spLocks noChangeShapeType="1"/>
        </xdr:cNvSpPr>
      </xdr:nvSpPr>
      <xdr:spPr bwMode="auto">
        <a:xfrm flipH="1">
          <a:off x="1419225" y="54197250"/>
          <a:ext cx="142875"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142875</xdr:colOff>
      <xdr:row>280</xdr:row>
      <xdr:rowOff>28575</xdr:rowOff>
    </xdr:from>
    <xdr:to>
      <xdr:col>5</xdr:col>
      <xdr:colOff>400050</xdr:colOff>
      <xdr:row>283</xdr:row>
      <xdr:rowOff>171450</xdr:rowOff>
    </xdr:to>
    <xdr:sp macro="" textlink="">
      <xdr:nvSpPr>
        <xdr:cNvPr id="288" name="Tegning 657">
          <a:extLst>
            <a:ext uri="{FF2B5EF4-FFF2-40B4-BE49-F238E27FC236}">
              <a16:creationId xmlns:a16="http://schemas.microsoft.com/office/drawing/2014/main" id="{00000000-0008-0000-0300-000020010000}"/>
            </a:ext>
          </a:extLst>
        </xdr:cNvPr>
        <xdr:cNvSpPr>
          <a:spLocks/>
        </xdr:cNvSpPr>
      </xdr:nvSpPr>
      <xdr:spPr bwMode="auto">
        <a:xfrm>
          <a:off x="1419225" y="52844700"/>
          <a:ext cx="1533525" cy="714375"/>
        </a:xfrm>
        <a:custGeom>
          <a:avLst/>
          <a:gdLst>
            <a:gd name="T0" fmla="*/ 2147483646 w 16384"/>
            <a:gd name="T1" fmla="*/ 2147483646 h 16384"/>
            <a:gd name="T2" fmla="*/ 0 w 16384"/>
            <a:gd name="T3" fmla="*/ 2147483646 h 16384"/>
            <a:gd name="T4" fmla="*/ 0 w 16384"/>
            <a:gd name="T5" fmla="*/ 2147483646 h 16384"/>
            <a:gd name="T6" fmla="*/ 2147483646 w 16384"/>
            <a:gd name="T7" fmla="*/ 2147483646 h 16384"/>
            <a:gd name="T8" fmla="*/ 2147483646 w 16384"/>
            <a:gd name="T9" fmla="*/ 0 h 16384"/>
            <a:gd name="T10" fmla="*/ 2147483646 w 16384"/>
            <a:gd name="T11" fmla="*/ 0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16104" y="16384"/>
              </a:moveTo>
              <a:lnTo>
                <a:pt x="0" y="16384"/>
              </a:lnTo>
              <a:lnTo>
                <a:pt x="0" y="3550"/>
              </a:lnTo>
              <a:lnTo>
                <a:pt x="6162" y="3550"/>
              </a:lnTo>
              <a:lnTo>
                <a:pt x="6162" y="0"/>
              </a:lnTo>
              <a:lnTo>
                <a:pt x="16384" y="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219075</xdr:colOff>
      <xdr:row>280</xdr:row>
      <xdr:rowOff>85725</xdr:rowOff>
    </xdr:from>
    <xdr:to>
      <xdr:col>5</xdr:col>
      <xdr:colOff>381000</xdr:colOff>
      <xdr:row>280</xdr:row>
      <xdr:rowOff>85725</xdr:rowOff>
    </xdr:to>
    <xdr:sp macro="" textlink="">
      <xdr:nvSpPr>
        <xdr:cNvPr id="289" name="Line 658">
          <a:extLst>
            <a:ext uri="{FF2B5EF4-FFF2-40B4-BE49-F238E27FC236}">
              <a16:creationId xmlns:a16="http://schemas.microsoft.com/office/drawing/2014/main" id="{00000000-0008-0000-0300-000021010000}"/>
            </a:ext>
          </a:extLst>
        </xdr:cNvPr>
        <xdr:cNvSpPr>
          <a:spLocks noChangeShapeType="1"/>
        </xdr:cNvSpPr>
      </xdr:nvSpPr>
      <xdr:spPr bwMode="auto">
        <a:xfrm>
          <a:off x="2076450" y="52901850"/>
          <a:ext cx="857250" cy="0"/>
        </a:xfrm>
        <a:prstGeom prst="line">
          <a:avLst/>
        </a:prstGeom>
        <a:noFill/>
        <a:ln w="2667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123825</xdr:colOff>
      <xdr:row>275</xdr:row>
      <xdr:rowOff>76200</xdr:rowOff>
    </xdr:from>
    <xdr:to>
      <xdr:col>5</xdr:col>
      <xdr:colOff>704850</xdr:colOff>
      <xdr:row>283</xdr:row>
      <xdr:rowOff>95250</xdr:rowOff>
    </xdr:to>
    <xdr:sp macro="" textlink="">
      <xdr:nvSpPr>
        <xdr:cNvPr id="290" name="Tegning 659">
          <a:extLst>
            <a:ext uri="{FF2B5EF4-FFF2-40B4-BE49-F238E27FC236}">
              <a16:creationId xmlns:a16="http://schemas.microsoft.com/office/drawing/2014/main" id="{00000000-0008-0000-0300-000022010000}"/>
            </a:ext>
          </a:extLst>
        </xdr:cNvPr>
        <xdr:cNvSpPr>
          <a:spLocks/>
        </xdr:cNvSpPr>
      </xdr:nvSpPr>
      <xdr:spPr bwMode="auto">
        <a:xfrm>
          <a:off x="1266825" y="51939825"/>
          <a:ext cx="1990725" cy="1543050"/>
        </a:xfrm>
        <a:custGeom>
          <a:avLst/>
          <a:gdLst>
            <a:gd name="T0" fmla="*/ 2147483646 w 16384"/>
            <a:gd name="T1" fmla="*/ 0 h 16384"/>
            <a:gd name="T2" fmla="*/ 0 w 16384"/>
            <a:gd name="T3" fmla="*/ 0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xdr:twoCellAnchor>
  <xdr:twoCellAnchor>
    <xdr:from>
      <xdr:col>1</xdr:col>
      <xdr:colOff>57150</xdr:colOff>
      <xdr:row>280</xdr:row>
      <xdr:rowOff>209550</xdr:rowOff>
    </xdr:from>
    <xdr:to>
      <xdr:col>2</xdr:col>
      <xdr:colOff>95250</xdr:colOff>
      <xdr:row>280</xdr:row>
      <xdr:rowOff>209550</xdr:rowOff>
    </xdr:to>
    <xdr:sp macro="" textlink="">
      <xdr:nvSpPr>
        <xdr:cNvPr id="291" name="Line 660">
          <a:extLst>
            <a:ext uri="{FF2B5EF4-FFF2-40B4-BE49-F238E27FC236}">
              <a16:creationId xmlns:a16="http://schemas.microsoft.com/office/drawing/2014/main" id="{00000000-0008-0000-0300-000023010000}"/>
            </a:ext>
          </a:extLst>
        </xdr:cNvPr>
        <xdr:cNvSpPr>
          <a:spLocks noChangeShapeType="1"/>
        </xdr:cNvSpPr>
      </xdr:nvSpPr>
      <xdr:spPr bwMode="auto">
        <a:xfrm flipH="1">
          <a:off x="1200150" y="53006625"/>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76200</xdr:colOff>
      <xdr:row>280</xdr:row>
      <xdr:rowOff>133350</xdr:rowOff>
    </xdr:from>
    <xdr:to>
      <xdr:col>2</xdr:col>
      <xdr:colOff>38100</xdr:colOff>
      <xdr:row>281</xdr:row>
      <xdr:rowOff>66675</xdr:rowOff>
    </xdr:to>
    <xdr:sp macro="" textlink="">
      <xdr:nvSpPr>
        <xdr:cNvPr id="292" name="Line 661">
          <a:extLst>
            <a:ext uri="{FF2B5EF4-FFF2-40B4-BE49-F238E27FC236}">
              <a16:creationId xmlns:a16="http://schemas.microsoft.com/office/drawing/2014/main" id="{00000000-0008-0000-0300-000024010000}"/>
            </a:ext>
          </a:extLst>
        </xdr:cNvPr>
        <xdr:cNvSpPr>
          <a:spLocks noChangeShapeType="1"/>
        </xdr:cNvSpPr>
      </xdr:nvSpPr>
      <xdr:spPr bwMode="auto">
        <a:xfrm flipH="1">
          <a:off x="1219200" y="52949475"/>
          <a:ext cx="9525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283</xdr:row>
      <xdr:rowOff>85725</xdr:rowOff>
    </xdr:from>
    <xdr:to>
      <xdr:col>2</xdr:col>
      <xdr:colOff>76200</xdr:colOff>
      <xdr:row>283</xdr:row>
      <xdr:rowOff>85725</xdr:rowOff>
    </xdr:to>
    <xdr:sp macro="" textlink="">
      <xdr:nvSpPr>
        <xdr:cNvPr id="293" name="Line 662">
          <a:extLst>
            <a:ext uri="{FF2B5EF4-FFF2-40B4-BE49-F238E27FC236}">
              <a16:creationId xmlns:a16="http://schemas.microsoft.com/office/drawing/2014/main" id="{00000000-0008-0000-0300-000025010000}"/>
            </a:ext>
          </a:extLst>
        </xdr:cNvPr>
        <xdr:cNvSpPr>
          <a:spLocks noChangeShapeType="1"/>
        </xdr:cNvSpPr>
      </xdr:nvSpPr>
      <xdr:spPr bwMode="auto">
        <a:xfrm flipH="1">
          <a:off x="1181100" y="53473350"/>
          <a:ext cx="171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66675</xdr:colOff>
      <xdr:row>283</xdr:row>
      <xdr:rowOff>19050</xdr:rowOff>
    </xdr:from>
    <xdr:to>
      <xdr:col>2</xdr:col>
      <xdr:colOff>57150</xdr:colOff>
      <xdr:row>283</xdr:row>
      <xdr:rowOff>142875</xdr:rowOff>
    </xdr:to>
    <xdr:sp macro="" textlink="">
      <xdr:nvSpPr>
        <xdr:cNvPr id="294" name="Line 663">
          <a:extLst>
            <a:ext uri="{FF2B5EF4-FFF2-40B4-BE49-F238E27FC236}">
              <a16:creationId xmlns:a16="http://schemas.microsoft.com/office/drawing/2014/main" id="{00000000-0008-0000-0300-000026010000}"/>
            </a:ext>
          </a:extLst>
        </xdr:cNvPr>
        <xdr:cNvSpPr>
          <a:spLocks noChangeShapeType="1"/>
        </xdr:cNvSpPr>
      </xdr:nvSpPr>
      <xdr:spPr bwMode="auto">
        <a:xfrm flipH="1">
          <a:off x="1209675" y="53406675"/>
          <a:ext cx="123825"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284</xdr:row>
      <xdr:rowOff>28575</xdr:rowOff>
    </xdr:from>
    <xdr:to>
      <xdr:col>2</xdr:col>
      <xdr:colOff>561975</xdr:colOff>
      <xdr:row>286</xdr:row>
      <xdr:rowOff>161925</xdr:rowOff>
    </xdr:to>
    <xdr:sp macro="" textlink="">
      <xdr:nvSpPr>
        <xdr:cNvPr id="295" name="Tegning 664">
          <a:extLst>
            <a:ext uri="{FF2B5EF4-FFF2-40B4-BE49-F238E27FC236}">
              <a16:creationId xmlns:a16="http://schemas.microsoft.com/office/drawing/2014/main" id="{00000000-0008-0000-0300-000027010000}"/>
            </a:ext>
          </a:extLst>
        </xdr:cNvPr>
        <xdr:cNvSpPr>
          <a:spLocks/>
        </xdr:cNvSpPr>
      </xdr:nvSpPr>
      <xdr:spPr bwMode="auto">
        <a:xfrm>
          <a:off x="1581150" y="53606700"/>
          <a:ext cx="257175" cy="514350"/>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287</xdr:row>
      <xdr:rowOff>180975</xdr:rowOff>
    </xdr:from>
    <xdr:to>
      <xdr:col>2</xdr:col>
      <xdr:colOff>276225</xdr:colOff>
      <xdr:row>288</xdr:row>
      <xdr:rowOff>180975</xdr:rowOff>
    </xdr:to>
    <xdr:sp macro="" textlink="">
      <xdr:nvSpPr>
        <xdr:cNvPr id="296" name="Tegning 665">
          <a:extLst>
            <a:ext uri="{FF2B5EF4-FFF2-40B4-BE49-F238E27FC236}">
              <a16:creationId xmlns:a16="http://schemas.microsoft.com/office/drawing/2014/main" id="{00000000-0008-0000-0300-000028010000}"/>
            </a:ext>
          </a:extLst>
        </xdr:cNvPr>
        <xdr:cNvSpPr>
          <a:spLocks/>
        </xdr:cNvSpPr>
      </xdr:nvSpPr>
      <xdr:spPr bwMode="auto">
        <a:xfrm>
          <a:off x="1438275" y="54330600"/>
          <a:ext cx="114300" cy="19050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4336" y="0"/>
              </a:moveTo>
              <a:lnTo>
                <a:pt x="0" y="7646"/>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0</xdr:col>
      <xdr:colOff>971550</xdr:colOff>
      <xdr:row>283</xdr:row>
      <xdr:rowOff>114300</xdr:rowOff>
    </xdr:from>
    <xdr:to>
      <xdr:col>2</xdr:col>
      <xdr:colOff>0</xdr:colOff>
      <xdr:row>283</xdr:row>
      <xdr:rowOff>114300</xdr:rowOff>
    </xdr:to>
    <xdr:sp macro="" textlink="">
      <xdr:nvSpPr>
        <xdr:cNvPr id="297" name="Line 666">
          <a:extLst>
            <a:ext uri="{FF2B5EF4-FFF2-40B4-BE49-F238E27FC236}">
              <a16:creationId xmlns:a16="http://schemas.microsoft.com/office/drawing/2014/main" id="{00000000-0008-0000-0300-000029010000}"/>
            </a:ext>
          </a:extLst>
        </xdr:cNvPr>
        <xdr:cNvSpPr>
          <a:spLocks noChangeShapeType="1"/>
        </xdr:cNvSpPr>
      </xdr:nvSpPr>
      <xdr:spPr bwMode="auto">
        <a:xfrm flipH="1">
          <a:off x="971550" y="53501925"/>
          <a:ext cx="3048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1019175</xdr:colOff>
      <xdr:row>283</xdr:row>
      <xdr:rowOff>66675</xdr:rowOff>
    </xdr:from>
    <xdr:to>
      <xdr:col>0</xdr:col>
      <xdr:colOff>1019175</xdr:colOff>
      <xdr:row>285</xdr:row>
      <xdr:rowOff>171450</xdr:rowOff>
    </xdr:to>
    <xdr:sp macro="" textlink="">
      <xdr:nvSpPr>
        <xdr:cNvPr id="298" name="Line 667">
          <a:extLst>
            <a:ext uri="{FF2B5EF4-FFF2-40B4-BE49-F238E27FC236}">
              <a16:creationId xmlns:a16="http://schemas.microsoft.com/office/drawing/2014/main" id="{00000000-0008-0000-0300-00002A010000}"/>
            </a:ext>
          </a:extLst>
        </xdr:cNvPr>
        <xdr:cNvSpPr>
          <a:spLocks noChangeShapeType="1"/>
        </xdr:cNvSpPr>
      </xdr:nvSpPr>
      <xdr:spPr bwMode="auto">
        <a:xfrm>
          <a:off x="1019175" y="53454300"/>
          <a:ext cx="0" cy="485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962025</xdr:colOff>
      <xdr:row>283</xdr:row>
      <xdr:rowOff>66675</xdr:rowOff>
    </xdr:from>
    <xdr:to>
      <xdr:col>0</xdr:col>
      <xdr:colOff>1066800</xdr:colOff>
      <xdr:row>283</xdr:row>
      <xdr:rowOff>171450</xdr:rowOff>
    </xdr:to>
    <xdr:sp macro="" textlink="">
      <xdr:nvSpPr>
        <xdr:cNvPr id="299" name="Line 668">
          <a:extLst>
            <a:ext uri="{FF2B5EF4-FFF2-40B4-BE49-F238E27FC236}">
              <a16:creationId xmlns:a16="http://schemas.microsoft.com/office/drawing/2014/main" id="{00000000-0008-0000-0300-00002B010000}"/>
            </a:ext>
          </a:extLst>
        </xdr:cNvPr>
        <xdr:cNvSpPr>
          <a:spLocks noChangeShapeType="1"/>
        </xdr:cNvSpPr>
      </xdr:nvSpPr>
      <xdr:spPr bwMode="auto">
        <a:xfrm flipH="1">
          <a:off x="962025" y="53454300"/>
          <a:ext cx="104775" cy="1047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295275</xdr:colOff>
      <xdr:row>286</xdr:row>
      <xdr:rowOff>114300</xdr:rowOff>
    </xdr:from>
    <xdr:to>
      <xdr:col>5</xdr:col>
      <xdr:colOff>657225</xdr:colOff>
      <xdr:row>286</xdr:row>
      <xdr:rowOff>114300</xdr:rowOff>
    </xdr:to>
    <xdr:sp macro="" textlink="">
      <xdr:nvSpPr>
        <xdr:cNvPr id="300" name="Line 669">
          <a:extLst>
            <a:ext uri="{FF2B5EF4-FFF2-40B4-BE49-F238E27FC236}">
              <a16:creationId xmlns:a16="http://schemas.microsoft.com/office/drawing/2014/main" id="{00000000-0008-0000-0300-00002C010000}"/>
            </a:ext>
          </a:extLst>
        </xdr:cNvPr>
        <xdr:cNvSpPr>
          <a:spLocks noChangeShapeType="1"/>
        </xdr:cNvSpPr>
      </xdr:nvSpPr>
      <xdr:spPr bwMode="auto">
        <a:xfrm flipH="1">
          <a:off x="1571625" y="54073425"/>
          <a:ext cx="16383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287</xdr:row>
      <xdr:rowOff>114300</xdr:rowOff>
    </xdr:from>
    <xdr:to>
      <xdr:col>5</xdr:col>
      <xdr:colOff>638175</xdr:colOff>
      <xdr:row>287</xdr:row>
      <xdr:rowOff>114300</xdr:rowOff>
    </xdr:to>
    <xdr:sp macro="" textlink="">
      <xdr:nvSpPr>
        <xdr:cNvPr id="301" name="Line 670">
          <a:extLst>
            <a:ext uri="{FF2B5EF4-FFF2-40B4-BE49-F238E27FC236}">
              <a16:creationId xmlns:a16="http://schemas.microsoft.com/office/drawing/2014/main" id="{00000000-0008-0000-0300-00002D010000}"/>
            </a:ext>
          </a:extLst>
        </xdr:cNvPr>
        <xdr:cNvSpPr>
          <a:spLocks noChangeShapeType="1"/>
        </xdr:cNvSpPr>
      </xdr:nvSpPr>
      <xdr:spPr bwMode="auto">
        <a:xfrm flipH="1">
          <a:off x="1495425" y="54263925"/>
          <a:ext cx="16954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283</xdr:row>
      <xdr:rowOff>38100</xdr:rowOff>
    </xdr:from>
    <xdr:to>
      <xdr:col>5</xdr:col>
      <xdr:colOff>314325</xdr:colOff>
      <xdr:row>283</xdr:row>
      <xdr:rowOff>133350</xdr:rowOff>
    </xdr:to>
    <xdr:sp macro="" textlink="">
      <xdr:nvSpPr>
        <xdr:cNvPr id="302" name="Oval 671">
          <a:extLst>
            <a:ext uri="{FF2B5EF4-FFF2-40B4-BE49-F238E27FC236}">
              <a16:creationId xmlns:a16="http://schemas.microsoft.com/office/drawing/2014/main" id="{00000000-0008-0000-0300-00002E010000}"/>
            </a:ext>
          </a:extLst>
        </xdr:cNvPr>
        <xdr:cNvSpPr>
          <a:spLocks noChangeArrowheads="1"/>
        </xdr:cNvSpPr>
      </xdr:nvSpPr>
      <xdr:spPr bwMode="auto">
        <a:xfrm>
          <a:off x="2762250" y="53425725"/>
          <a:ext cx="104775" cy="9525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257175</xdr:colOff>
      <xdr:row>279</xdr:row>
      <xdr:rowOff>114300</xdr:rowOff>
    </xdr:from>
    <xdr:to>
      <xdr:col>5</xdr:col>
      <xdr:colOff>733425</xdr:colOff>
      <xdr:row>283</xdr:row>
      <xdr:rowOff>47625</xdr:rowOff>
    </xdr:to>
    <xdr:sp macro="" textlink="">
      <xdr:nvSpPr>
        <xdr:cNvPr id="303" name="Tegning 672">
          <a:extLst>
            <a:ext uri="{FF2B5EF4-FFF2-40B4-BE49-F238E27FC236}">
              <a16:creationId xmlns:a16="http://schemas.microsoft.com/office/drawing/2014/main" id="{00000000-0008-0000-0300-00002F010000}"/>
            </a:ext>
          </a:extLst>
        </xdr:cNvPr>
        <xdr:cNvSpPr>
          <a:spLocks/>
        </xdr:cNvSpPr>
      </xdr:nvSpPr>
      <xdr:spPr bwMode="auto">
        <a:xfrm>
          <a:off x="2809875" y="52739925"/>
          <a:ext cx="476250" cy="695325"/>
        </a:xfrm>
        <a:custGeom>
          <a:avLst/>
          <a:gdLst>
            <a:gd name="T0" fmla="*/ 0 w 16384"/>
            <a:gd name="T1" fmla="*/ 2147483646 h 16384"/>
            <a:gd name="T2" fmla="*/ 0 w 16384"/>
            <a:gd name="T3" fmla="*/ 0 h 16384"/>
            <a:gd name="T4" fmla="*/ 2147483646 w 16384"/>
            <a:gd name="T5" fmla="*/ 0 h 16384"/>
            <a:gd name="T6" fmla="*/ 0 60000 65536"/>
            <a:gd name="T7" fmla="*/ 0 60000 65536"/>
            <a:gd name="T8" fmla="*/ 0 60000 65536"/>
          </a:gdLst>
          <a:ahLst/>
          <a:cxnLst>
            <a:cxn ang="T6">
              <a:pos x="T0" y="T1"/>
            </a:cxn>
            <a:cxn ang="T7">
              <a:pos x="T2" y="T3"/>
            </a:cxn>
            <a:cxn ang="T8">
              <a:pos x="T4" y="T5"/>
            </a:cxn>
          </a:cxnLst>
          <a:rect l="0" t="0" r="r" b="b"/>
          <a:pathLst>
            <a:path w="16384" h="16384">
              <a:moveTo>
                <a:pt x="0" y="16384"/>
              </a:moveTo>
              <a:lnTo>
                <a:pt x="0" y="0"/>
              </a:lnTo>
              <a:lnTo>
                <a:pt x="16384" y="0"/>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333375</xdr:colOff>
      <xdr:row>284</xdr:row>
      <xdr:rowOff>76200</xdr:rowOff>
    </xdr:from>
    <xdr:to>
      <xdr:col>2</xdr:col>
      <xdr:colOff>333375</xdr:colOff>
      <xdr:row>289</xdr:row>
      <xdr:rowOff>19050</xdr:rowOff>
    </xdr:to>
    <xdr:sp macro="" textlink="">
      <xdr:nvSpPr>
        <xdr:cNvPr id="304" name="Line 673">
          <a:extLst>
            <a:ext uri="{FF2B5EF4-FFF2-40B4-BE49-F238E27FC236}">
              <a16:creationId xmlns:a16="http://schemas.microsoft.com/office/drawing/2014/main" id="{00000000-0008-0000-0300-000030010000}"/>
            </a:ext>
          </a:extLst>
        </xdr:cNvPr>
        <xdr:cNvSpPr>
          <a:spLocks noChangeShapeType="1"/>
        </xdr:cNvSpPr>
      </xdr:nvSpPr>
      <xdr:spPr bwMode="auto">
        <a:xfrm>
          <a:off x="1609725" y="53654325"/>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285</xdr:row>
      <xdr:rowOff>180975</xdr:rowOff>
    </xdr:from>
    <xdr:to>
      <xdr:col>2</xdr:col>
      <xdr:colOff>542925</xdr:colOff>
      <xdr:row>287</xdr:row>
      <xdr:rowOff>28575</xdr:rowOff>
    </xdr:to>
    <xdr:sp macro="" textlink="">
      <xdr:nvSpPr>
        <xdr:cNvPr id="305" name="Line 674">
          <a:extLst>
            <a:ext uri="{FF2B5EF4-FFF2-40B4-BE49-F238E27FC236}">
              <a16:creationId xmlns:a16="http://schemas.microsoft.com/office/drawing/2014/main" id="{00000000-0008-0000-0300-000031010000}"/>
            </a:ext>
          </a:extLst>
        </xdr:cNvPr>
        <xdr:cNvSpPr>
          <a:spLocks noChangeShapeType="1"/>
        </xdr:cNvSpPr>
      </xdr:nvSpPr>
      <xdr:spPr bwMode="auto">
        <a:xfrm>
          <a:off x="1819275" y="54302025"/>
          <a:ext cx="0" cy="2286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283</xdr:row>
      <xdr:rowOff>209550</xdr:rowOff>
    </xdr:from>
    <xdr:to>
      <xdr:col>2</xdr:col>
      <xdr:colOff>533400</xdr:colOff>
      <xdr:row>283</xdr:row>
      <xdr:rowOff>209550</xdr:rowOff>
    </xdr:to>
    <xdr:sp macro="" textlink="">
      <xdr:nvSpPr>
        <xdr:cNvPr id="306" name="Line 675">
          <a:extLst>
            <a:ext uri="{FF2B5EF4-FFF2-40B4-BE49-F238E27FC236}">
              <a16:creationId xmlns:a16="http://schemas.microsoft.com/office/drawing/2014/main" id="{00000000-0008-0000-0300-000032010000}"/>
            </a:ext>
          </a:extLst>
        </xdr:cNvPr>
        <xdr:cNvSpPr>
          <a:spLocks noChangeShapeType="1"/>
        </xdr:cNvSpPr>
      </xdr:nvSpPr>
      <xdr:spPr bwMode="auto">
        <a:xfrm>
          <a:off x="1619250" y="53578125"/>
          <a:ext cx="190500" cy="0"/>
        </a:xfrm>
        <a:prstGeom prst="line">
          <a:avLst/>
        </a:prstGeom>
        <a:noFill/>
        <a:ln w="3746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1000125</xdr:colOff>
      <xdr:row>283</xdr:row>
      <xdr:rowOff>180975</xdr:rowOff>
    </xdr:from>
    <xdr:to>
      <xdr:col>2</xdr:col>
      <xdr:colOff>66675</xdr:colOff>
      <xdr:row>283</xdr:row>
      <xdr:rowOff>180975</xdr:rowOff>
    </xdr:to>
    <xdr:sp macro="" textlink="">
      <xdr:nvSpPr>
        <xdr:cNvPr id="307" name="Line 676">
          <a:extLst>
            <a:ext uri="{FF2B5EF4-FFF2-40B4-BE49-F238E27FC236}">
              <a16:creationId xmlns:a16="http://schemas.microsoft.com/office/drawing/2014/main" id="{00000000-0008-0000-0300-000033010000}"/>
            </a:ext>
          </a:extLst>
        </xdr:cNvPr>
        <xdr:cNvSpPr>
          <a:spLocks noChangeShapeType="1"/>
        </xdr:cNvSpPr>
      </xdr:nvSpPr>
      <xdr:spPr bwMode="auto">
        <a:xfrm flipH="1">
          <a:off x="1000125" y="53568600"/>
          <a:ext cx="342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0</xdr:col>
      <xdr:colOff>971550</xdr:colOff>
      <xdr:row>283</xdr:row>
      <xdr:rowOff>142875</xdr:rowOff>
    </xdr:from>
    <xdr:to>
      <xdr:col>0</xdr:col>
      <xdr:colOff>1066800</xdr:colOff>
      <xdr:row>284</xdr:row>
      <xdr:rowOff>47625</xdr:rowOff>
    </xdr:to>
    <xdr:sp macro="" textlink="">
      <xdr:nvSpPr>
        <xdr:cNvPr id="308" name="Line 677">
          <a:extLst>
            <a:ext uri="{FF2B5EF4-FFF2-40B4-BE49-F238E27FC236}">
              <a16:creationId xmlns:a16="http://schemas.microsoft.com/office/drawing/2014/main" id="{00000000-0008-0000-0300-000034010000}"/>
            </a:ext>
          </a:extLst>
        </xdr:cNvPr>
        <xdr:cNvSpPr>
          <a:spLocks noChangeShapeType="1"/>
        </xdr:cNvSpPr>
      </xdr:nvSpPr>
      <xdr:spPr bwMode="auto">
        <a:xfrm flipH="1">
          <a:off x="971550" y="53530500"/>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304800</xdr:colOff>
      <xdr:row>294</xdr:row>
      <xdr:rowOff>161925</xdr:rowOff>
    </xdr:from>
    <xdr:to>
      <xdr:col>5</xdr:col>
      <xdr:colOff>581025</xdr:colOff>
      <xdr:row>298</xdr:row>
      <xdr:rowOff>123825</xdr:rowOff>
    </xdr:to>
    <xdr:sp macro="" textlink="">
      <xdr:nvSpPr>
        <xdr:cNvPr id="309" name="Tegning 63">
          <a:extLst>
            <a:ext uri="{FF2B5EF4-FFF2-40B4-BE49-F238E27FC236}">
              <a16:creationId xmlns:a16="http://schemas.microsoft.com/office/drawing/2014/main" id="{00000000-0008-0000-0300-000035010000}"/>
            </a:ext>
          </a:extLst>
        </xdr:cNvPr>
        <xdr:cNvSpPr>
          <a:spLocks/>
        </xdr:cNvSpPr>
      </xdr:nvSpPr>
      <xdr:spPr bwMode="auto">
        <a:xfrm>
          <a:off x="1581150" y="55645050"/>
          <a:ext cx="1552575" cy="723900"/>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25" y="0"/>
              </a:lnTo>
              <a:lnTo>
                <a:pt x="6325" y="3179"/>
              </a:lnTo>
              <a:lnTo>
                <a:pt x="0" y="3179"/>
              </a:lnTo>
              <a:lnTo>
                <a:pt x="0" y="14550"/>
              </a:lnTo>
              <a:lnTo>
                <a:pt x="6445" y="14550"/>
              </a:lnTo>
              <a:lnTo>
                <a:pt x="6445"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95250</xdr:colOff>
      <xdr:row>295</xdr:row>
      <xdr:rowOff>19050</xdr:rowOff>
    </xdr:from>
    <xdr:to>
      <xdr:col>5</xdr:col>
      <xdr:colOff>590550</xdr:colOff>
      <xdr:row>298</xdr:row>
      <xdr:rowOff>66675</xdr:rowOff>
    </xdr:to>
    <xdr:sp macro="" textlink="">
      <xdr:nvSpPr>
        <xdr:cNvPr id="310" name="Tegning 64">
          <a:extLst>
            <a:ext uri="{FF2B5EF4-FFF2-40B4-BE49-F238E27FC236}">
              <a16:creationId xmlns:a16="http://schemas.microsoft.com/office/drawing/2014/main" id="{00000000-0008-0000-0300-000036010000}"/>
            </a:ext>
          </a:extLst>
        </xdr:cNvPr>
        <xdr:cNvSpPr>
          <a:spLocks/>
        </xdr:cNvSpPr>
      </xdr:nvSpPr>
      <xdr:spPr bwMode="auto">
        <a:xfrm>
          <a:off x="2324100" y="55692675"/>
          <a:ext cx="819150" cy="61912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868" y="0"/>
              </a:lnTo>
              <a:lnTo>
                <a:pt x="326" y="477"/>
              </a:lnTo>
              <a:lnTo>
                <a:pt x="0" y="1750"/>
              </a:lnTo>
              <a:lnTo>
                <a:pt x="0" y="14793"/>
              </a:lnTo>
              <a:lnTo>
                <a:pt x="434" y="15589"/>
              </a:lnTo>
              <a:lnTo>
                <a:pt x="1628" y="16384"/>
              </a:lnTo>
              <a:lnTo>
                <a:pt x="16275"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361950</xdr:colOff>
      <xdr:row>295</xdr:row>
      <xdr:rowOff>171450</xdr:rowOff>
    </xdr:from>
    <xdr:to>
      <xdr:col>5</xdr:col>
      <xdr:colOff>581025</xdr:colOff>
      <xdr:row>297</xdr:row>
      <xdr:rowOff>161925</xdr:rowOff>
    </xdr:to>
    <xdr:sp macro="" textlink="">
      <xdr:nvSpPr>
        <xdr:cNvPr id="311" name="Tegning 65">
          <a:extLst>
            <a:ext uri="{FF2B5EF4-FFF2-40B4-BE49-F238E27FC236}">
              <a16:creationId xmlns:a16="http://schemas.microsoft.com/office/drawing/2014/main" id="{00000000-0008-0000-0300-000037010000}"/>
            </a:ext>
          </a:extLst>
        </xdr:cNvPr>
        <xdr:cNvSpPr>
          <a:spLocks/>
        </xdr:cNvSpPr>
      </xdr:nvSpPr>
      <xdr:spPr bwMode="auto">
        <a:xfrm>
          <a:off x="1638300" y="55845075"/>
          <a:ext cx="1495425" cy="371475"/>
        </a:xfrm>
        <a:custGeom>
          <a:avLst/>
          <a:gdLst>
            <a:gd name="T0" fmla="*/ 2147483646 w 16384"/>
            <a:gd name="T1" fmla="*/ 0 h 16384"/>
            <a:gd name="T2" fmla="*/ 2147483646 w 16384"/>
            <a:gd name="T3" fmla="*/ 0 h 16384"/>
            <a:gd name="T4" fmla="*/ 2147483646 w 16384"/>
            <a:gd name="T5" fmla="*/ 2147483646 h 16384"/>
            <a:gd name="T6" fmla="*/ 0 w 16384"/>
            <a:gd name="T7" fmla="*/ 2147483646 h 16384"/>
            <a:gd name="T8" fmla="*/ 0 w 16384"/>
            <a:gd name="T9" fmla="*/ 2147483646 h 16384"/>
            <a:gd name="T10" fmla="*/ 2147483646 w 16384"/>
            <a:gd name="T11" fmla="*/ 2147483646 h 16384"/>
            <a:gd name="T12" fmla="*/ 2147483646 w 16384"/>
            <a:gd name="T13" fmla="*/ 2147483646 h 16384"/>
            <a:gd name="T14" fmla="*/ 2147483646 w 16384"/>
            <a:gd name="T15" fmla="*/ 2147483646 h 16384"/>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6384" h="16384">
              <a:moveTo>
                <a:pt x="16384" y="0"/>
              </a:moveTo>
              <a:lnTo>
                <a:pt x="635" y="0"/>
              </a:lnTo>
              <a:lnTo>
                <a:pt x="254" y="437"/>
              </a:lnTo>
              <a:lnTo>
                <a:pt x="0" y="2185"/>
              </a:lnTo>
              <a:lnTo>
                <a:pt x="0" y="14199"/>
              </a:lnTo>
              <a:lnTo>
                <a:pt x="127" y="16166"/>
              </a:lnTo>
              <a:lnTo>
                <a:pt x="635" y="16384"/>
              </a:lnTo>
              <a:lnTo>
                <a:pt x="16257"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342900</xdr:colOff>
      <xdr:row>298</xdr:row>
      <xdr:rowOff>57150</xdr:rowOff>
    </xdr:from>
    <xdr:to>
      <xdr:col>3</xdr:col>
      <xdr:colOff>47625</xdr:colOff>
      <xdr:row>300</xdr:row>
      <xdr:rowOff>180975</xdr:rowOff>
    </xdr:to>
    <xdr:sp macro="" textlink="">
      <xdr:nvSpPr>
        <xdr:cNvPr id="312" name="Tegning 66">
          <a:extLst>
            <a:ext uri="{FF2B5EF4-FFF2-40B4-BE49-F238E27FC236}">
              <a16:creationId xmlns:a16="http://schemas.microsoft.com/office/drawing/2014/main" id="{00000000-0008-0000-0300-000038010000}"/>
            </a:ext>
          </a:extLst>
        </xdr:cNvPr>
        <xdr:cNvSpPr>
          <a:spLocks/>
        </xdr:cNvSpPr>
      </xdr:nvSpPr>
      <xdr:spPr bwMode="auto">
        <a:xfrm>
          <a:off x="1619250" y="56302275"/>
          <a:ext cx="285750" cy="504825"/>
        </a:xfrm>
        <a:custGeom>
          <a:avLst/>
          <a:gdLst>
            <a:gd name="T0" fmla="*/ 2147483646 w 16384"/>
            <a:gd name="T1" fmla="*/ 2147483646 h 16384"/>
            <a:gd name="T2" fmla="*/ 2147483646 w 16384"/>
            <a:gd name="T3" fmla="*/ 0 h 16384"/>
            <a:gd name="T4" fmla="*/ 0 w 16384"/>
            <a:gd name="T5" fmla="*/ 2147483646 h 16384"/>
            <a:gd name="T6" fmla="*/ 2147483646 w 16384"/>
            <a:gd name="T7" fmla="*/ 2147483646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347" y="16384"/>
              </a:moveTo>
              <a:lnTo>
                <a:pt x="8347" y="0"/>
              </a:lnTo>
              <a:lnTo>
                <a:pt x="0" y="4706"/>
              </a:lnTo>
              <a:lnTo>
                <a:pt x="8037" y="174"/>
              </a:lnTo>
              <a:lnTo>
                <a:pt x="16384" y="4880"/>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104775</xdr:colOff>
      <xdr:row>298</xdr:row>
      <xdr:rowOff>190500</xdr:rowOff>
    </xdr:from>
    <xdr:to>
      <xdr:col>4</xdr:col>
      <xdr:colOff>104775</xdr:colOff>
      <xdr:row>302</xdr:row>
      <xdr:rowOff>47625</xdr:rowOff>
    </xdr:to>
    <xdr:sp macro="" textlink="">
      <xdr:nvSpPr>
        <xdr:cNvPr id="313" name="Line 78">
          <a:extLst>
            <a:ext uri="{FF2B5EF4-FFF2-40B4-BE49-F238E27FC236}">
              <a16:creationId xmlns:a16="http://schemas.microsoft.com/office/drawing/2014/main" id="{00000000-0008-0000-0300-000039010000}"/>
            </a:ext>
          </a:extLst>
        </xdr:cNvPr>
        <xdr:cNvSpPr>
          <a:spLocks noChangeShapeType="1"/>
        </xdr:cNvSpPr>
      </xdr:nvSpPr>
      <xdr:spPr bwMode="auto">
        <a:xfrm>
          <a:off x="2333625" y="56435625"/>
          <a:ext cx="0" cy="619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485775</xdr:colOff>
      <xdr:row>301</xdr:row>
      <xdr:rowOff>38100</xdr:rowOff>
    </xdr:from>
    <xdr:to>
      <xdr:col>2</xdr:col>
      <xdr:colOff>485775</xdr:colOff>
      <xdr:row>302</xdr:row>
      <xdr:rowOff>47625</xdr:rowOff>
    </xdr:to>
    <xdr:sp macro="" textlink="">
      <xdr:nvSpPr>
        <xdr:cNvPr id="314" name="Line 79">
          <a:extLst>
            <a:ext uri="{FF2B5EF4-FFF2-40B4-BE49-F238E27FC236}">
              <a16:creationId xmlns:a16="http://schemas.microsoft.com/office/drawing/2014/main" id="{00000000-0008-0000-0300-00003A010000}"/>
            </a:ext>
          </a:extLst>
        </xdr:cNvPr>
        <xdr:cNvSpPr>
          <a:spLocks noChangeShapeType="1"/>
        </xdr:cNvSpPr>
      </xdr:nvSpPr>
      <xdr:spPr bwMode="auto">
        <a:xfrm>
          <a:off x="1762125" y="56854725"/>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408152</xdr:colOff>
      <xdr:row>301</xdr:row>
      <xdr:rowOff>172873</xdr:rowOff>
    </xdr:from>
    <xdr:to>
      <xdr:col>4</xdr:col>
      <xdr:colOff>179552</xdr:colOff>
      <xdr:row>301</xdr:row>
      <xdr:rowOff>172873</xdr:rowOff>
    </xdr:to>
    <xdr:sp macro="" textlink="">
      <xdr:nvSpPr>
        <xdr:cNvPr id="315" name="Line 80">
          <a:extLst>
            <a:ext uri="{FF2B5EF4-FFF2-40B4-BE49-F238E27FC236}">
              <a16:creationId xmlns:a16="http://schemas.microsoft.com/office/drawing/2014/main" id="{00000000-0008-0000-0300-00003B010000}"/>
            </a:ext>
          </a:extLst>
        </xdr:cNvPr>
        <xdr:cNvSpPr>
          <a:spLocks noChangeShapeType="1"/>
        </xdr:cNvSpPr>
      </xdr:nvSpPr>
      <xdr:spPr bwMode="auto">
        <a:xfrm>
          <a:off x="1678152" y="55691580"/>
          <a:ext cx="723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409575</xdr:colOff>
      <xdr:row>301</xdr:row>
      <xdr:rowOff>114300</xdr:rowOff>
    </xdr:from>
    <xdr:to>
      <xdr:col>2</xdr:col>
      <xdr:colOff>523875</xdr:colOff>
      <xdr:row>302</xdr:row>
      <xdr:rowOff>47625</xdr:rowOff>
    </xdr:to>
    <xdr:sp macro="" textlink="">
      <xdr:nvSpPr>
        <xdr:cNvPr id="316" name="Line 81">
          <a:extLst>
            <a:ext uri="{FF2B5EF4-FFF2-40B4-BE49-F238E27FC236}">
              <a16:creationId xmlns:a16="http://schemas.microsoft.com/office/drawing/2014/main" id="{00000000-0008-0000-0300-00003C010000}"/>
            </a:ext>
          </a:extLst>
        </xdr:cNvPr>
        <xdr:cNvSpPr>
          <a:spLocks noChangeShapeType="1"/>
        </xdr:cNvSpPr>
      </xdr:nvSpPr>
      <xdr:spPr bwMode="auto">
        <a:xfrm flipH="1">
          <a:off x="1685925" y="56930925"/>
          <a:ext cx="114300" cy="123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57150</xdr:colOff>
      <xdr:row>301</xdr:row>
      <xdr:rowOff>104775</xdr:rowOff>
    </xdr:from>
    <xdr:to>
      <xdr:col>4</xdr:col>
      <xdr:colOff>171450</xdr:colOff>
      <xdr:row>302</xdr:row>
      <xdr:rowOff>28575</xdr:rowOff>
    </xdr:to>
    <xdr:sp macro="" textlink="">
      <xdr:nvSpPr>
        <xdr:cNvPr id="317" name="Line 82">
          <a:extLst>
            <a:ext uri="{FF2B5EF4-FFF2-40B4-BE49-F238E27FC236}">
              <a16:creationId xmlns:a16="http://schemas.microsoft.com/office/drawing/2014/main" id="{00000000-0008-0000-0300-00003D010000}"/>
            </a:ext>
          </a:extLst>
        </xdr:cNvPr>
        <xdr:cNvSpPr>
          <a:spLocks noChangeShapeType="1"/>
        </xdr:cNvSpPr>
      </xdr:nvSpPr>
      <xdr:spPr bwMode="auto">
        <a:xfrm flipH="1">
          <a:off x="2286000" y="56921400"/>
          <a:ext cx="11430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114300</xdr:colOff>
      <xdr:row>294</xdr:row>
      <xdr:rowOff>0</xdr:rowOff>
    </xdr:from>
    <xdr:to>
      <xdr:col>5</xdr:col>
      <xdr:colOff>114300</xdr:colOff>
      <xdr:row>294</xdr:row>
      <xdr:rowOff>171450</xdr:rowOff>
    </xdr:to>
    <xdr:sp macro="" textlink="">
      <xdr:nvSpPr>
        <xdr:cNvPr id="318" name="Line 83">
          <a:extLst>
            <a:ext uri="{FF2B5EF4-FFF2-40B4-BE49-F238E27FC236}">
              <a16:creationId xmlns:a16="http://schemas.microsoft.com/office/drawing/2014/main" id="{00000000-0008-0000-0300-00003E010000}"/>
            </a:ext>
          </a:extLst>
        </xdr:cNvPr>
        <xdr:cNvSpPr>
          <a:spLocks noChangeShapeType="1"/>
        </xdr:cNvSpPr>
      </xdr:nvSpPr>
      <xdr:spPr bwMode="auto">
        <a:xfrm>
          <a:off x="2343150" y="55483125"/>
          <a:ext cx="323850" cy="171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294</xdr:row>
      <xdr:rowOff>180975</xdr:rowOff>
    </xdr:from>
    <xdr:to>
      <xdr:col>2</xdr:col>
      <xdr:colOff>561975</xdr:colOff>
      <xdr:row>295</xdr:row>
      <xdr:rowOff>152400</xdr:rowOff>
    </xdr:to>
    <xdr:sp macro="" textlink="">
      <xdr:nvSpPr>
        <xdr:cNvPr id="319" name="Line 84">
          <a:extLst>
            <a:ext uri="{FF2B5EF4-FFF2-40B4-BE49-F238E27FC236}">
              <a16:creationId xmlns:a16="http://schemas.microsoft.com/office/drawing/2014/main" id="{00000000-0008-0000-0300-00003F010000}"/>
            </a:ext>
          </a:extLst>
        </xdr:cNvPr>
        <xdr:cNvSpPr>
          <a:spLocks noChangeShapeType="1"/>
        </xdr:cNvSpPr>
      </xdr:nvSpPr>
      <xdr:spPr bwMode="auto">
        <a:xfrm>
          <a:off x="1743075" y="55664100"/>
          <a:ext cx="95250"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85725</xdr:colOff>
      <xdr:row>294</xdr:row>
      <xdr:rowOff>171450</xdr:rowOff>
    </xdr:from>
    <xdr:to>
      <xdr:col>5</xdr:col>
      <xdr:colOff>171450</xdr:colOff>
      <xdr:row>295</xdr:row>
      <xdr:rowOff>66675</xdr:rowOff>
    </xdr:to>
    <xdr:sp macro="" textlink="">
      <xdr:nvSpPr>
        <xdr:cNvPr id="320" name="Oval 85">
          <a:extLst>
            <a:ext uri="{FF2B5EF4-FFF2-40B4-BE49-F238E27FC236}">
              <a16:creationId xmlns:a16="http://schemas.microsoft.com/office/drawing/2014/main" id="{00000000-0008-0000-0300-000040010000}"/>
            </a:ext>
          </a:extLst>
        </xdr:cNvPr>
        <xdr:cNvSpPr>
          <a:spLocks noChangeArrowheads="1"/>
        </xdr:cNvSpPr>
      </xdr:nvSpPr>
      <xdr:spPr bwMode="auto">
        <a:xfrm>
          <a:off x="2638425" y="55654575"/>
          <a:ext cx="85725" cy="8572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523875</xdr:colOff>
      <xdr:row>295</xdr:row>
      <xdr:rowOff>142875</xdr:rowOff>
    </xdr:from>
    <xdr:to>
      <xdr:col>3</xdr:col>
      <xdr:colOff>19050</xdr:colOff>
      <xdr:row>296</xdr:row>
      <xdr:rowOff>19050</xdr:rowOff>
    </xdr:to>
    <xdr:sp macro="" textlink="">
      <xdr:nvSpPr>
        <xdr:cNvPr id="321" name="Oval 86">
          <a:extLst>
            <a:ext uri="{FF2B5EF4-FFF2-40B4-BE49-F238E27FC236}">
              <a16:creationId xmlns:a16="http://schemas.microsoft.com/office/drawing/2014/main" id="{00000000-0008-0000-0300-000041010000}"/>
            </a:ext>
          </a:extLst>
        </xdr:cNvPr>
        <xdr:cNvSpPr>
          <a:spLocks noChangeArrowheads="1"/>
        </xdr:cNvSpPr>
      </xdr:nvSpPr>
      <xdr:spPr bwMode="auto">
        <a:xfrm>
          <a:off x="1800225" y="55816500"/>
          <a:ext cx="76200" cy="66675"/>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28575</xdr:colOff>
      <xdr:row>295</xdr:row>
      <xdr:rowOff>95250</xdr:rowOff>
    </xdr:from>
    <xdr:to>
      <xdr:col>2</xdr:col>
      <xdr:colOff>247650</xdr:colOff>
      <xdr:row>295</xdr:row>
      <xdr:rowOff>95250</xdr:rowOff>
    </xdr:to>
    <xdr:sp macro="" textlink="">
      <xdr:nvSpPr>
        <xdr:cNvPr id="322" name="Line 87">
          <a:extLst>
            <a:ext uri="{FF2B5EF4-FFF2-40B4-BE49-F238E27FC236}">
              <a16:creationId xmlns:a16="http://schemas.microsoft.com/office/drawing/2014/main" id="{00000000-0008-0000-0300-000042010000}"/>
            </a:ext>
          </a:extLst>
        </xdr:cNvPr>
        <xdr:cNvSpPr>
          <a:spLocks noChangeShapeType="1"/>
        </xdr:cNvSpPr>
      </xdr:nvSpPr>
      <xdr:spPr bwMode="auto">
        <a:xfrm flipH="1">
          <a:off x="1304925" y="55768875"/>
          <a:ext cx="2190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38100</xdr:colOff>
      <xdr:row>297</xdr:row>
      <xdr:rowOff>161925</xdr:rowOff>
    </xdr:from>
    <xdr:to>
      <xdr:col>2</xdr:col>
      <xdr:colOff>247650</xdr:colOff>
      <xdr:row>297</xdr:row>
      <xdr:rowOff>161925</xdr:rowOff>
    </xdr:to>
    <xdr:sp macro="" textlink="">
      <xdr:nvSpPr>
        <xdr:cNvPr id="323" name="Line 88">
          <a:extLst>
            <a:ext uri="{FF2B5EF4-FFF2-40B4-BE49-F238E27FC236}">
              <a16:creationId xmlns:a16="http://schemas.microsoft.com/office/drawing/2014/main" id="{00000000-0008-0000-0300-000043010000}"/>
            </a:ext>
          </a:extLst>
        </xdr:cNvPr>
        <xdr:cNvSpPr>
          <a:spLocks noChangeShapeType="1"/>
        </xdr:cNvSpPr>
      </xdr:nvSpPr>
      <xdr:spPr bwMode="auto">
        <a:xfrm flipH="1">
          <a:off x="1314450" y="56216550"/>
          <a:ext cx="2095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85725</xdr:colOff>
      <xdr:row>295</xdr:row>
      <xdr:rowOff>66675</xdr:rowOff>
    </xdr:from>
    <xdr:to>
      <xdr:col>2</xdr:col>
      <xdr:colOff>85725</xdr:colOff>
      <xdr:row>298</xdr:row>
      <xdr:rowOff>28575</xdr:rowOff>
    </xdr:to>
    <xdr:sp macro="" textlink="">
      <xdr:nvSpPr>
        <xdr:cNvPr id="324" name="Line 89">
          <a:extLst>
            <a:ext uri="{FF2B5EF4-FFF2-40B4-BE49-F238E27FC236}">
              <a16:creationId xmlns:a16="http://schemas.microsoft.com/office/drawing/2014/main" id="{00000000-0008-0000-0300-000044010000}"/>
            </a:ext>
          </a:extLst>
        </xdr:cNvPr>
        <xdr:cNvSpPr>
          <a:spLocks noChangeShapeType="1"/>
        </xdr:cNvSpPr>
      </xdr:nvSpPr>
      <xdr:spPr bwMode="auto">
        <a:xfrm>
          <a:off x="1362075" y="55740300"/>
          <a:ext cx="0" cy="533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295</xdr:row>
      <xdr:rowOff>47625</xdr:rowOff>
    </xdr:from>
    <xdr:to>
      <xdr:col>2</xdr:col>
      <xdr:colOff>133350</xdr:colOff>
      <xdr:row>295</xdr:row>
      <xdr:rowOff>142875</xdr:rowOff>
    </xdr:to>
    <xdr:sp macro="" textlink="">
      <xdr:nvSpPr>
        <xdr:cNvPr id="325" name="Line 90">
          <a:extLst>
            <a:ext uri="{FF2B5EF4-FFF2-40B4-BE49-F238E27FC236}">
              <a16:creationId xmlns:a16="http://schemas.microsoft.com/office/drawing/2014/main" id="{00000000-0008-0000-0300-000045010000}"/>
            </a:ext>
          </a:extLst>
        </xdr:cNvPr>
        <xdr:cNvSpPr>
          <a:spLocks noChangeShapeType="1"/>
        </xdr:cNvSpPr>
      </xdr:nvSpPr>
      <xdr:spPr bwMode="auto">
        <a:xfrm flipH="1">
          <a:off x="1323975" y="55721250"/>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297</xdr:row>
      <xdr:rowOff>123825</xdr:rowOff>
    </xdr:from>
    <xdr:to>
      <xdr:col>2</xdr:col>
      <xdr:colOff>133350</xdr:colOff>
      <xdr:row>298</xdr:row>
      <xdr:rowOff>19050</xdr:rowOff>
    </xdr:to>
    <xdr:sp macro="" textlink="">
      <xdr:nvSpPr>
        <xdr:cNvPr id="326" name="Line 91">
          <a:extLst>
            <a:ext uri="{FF2B5EF4-FFF2-40B4-BE49-F238E27FC236}">
              <a16:creationId xmlns:a16="http://schemas.microsoft.com/office/drawing/2014/main" id="{00000000-0008-0000-0300-000046010000}"/>
            </a:ext>
          </a:extLst>
        </xdr:cNvPr>
        <xdr:cNvSpPr>
          <a:spLocks noChangeShapeType="1"/>
        </xdr:cNvSpPr>
      </xdr:nvSpPr>
      <xdr:spPr bwMode="auto">
        <a:xfrm flipH="1">
          <a:off x="1323975" y="561784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371475</xdr:colOff>
      <xdr:row>310</xdr:row>
      <xdr:rowOff>95250</xdr:rowOff>
    </xdr:from>
    <xdr:to>
      <xdr:col>6</xdr:col>
      <xdr:colOff>1057275</xdr:colOff>
      <xdr:row>310</xdr:row>
      <xdr:rowOff>95250</xdr:rowOff>
    </xdr:to>
    <xdr:sp macro="" textlink="">
      <xdr:nvSpPr>
        <xdr:cNvPr id="327" name="Line 227">
          <a:extLst>
            <a:ext uri="{FF2B5EF4-FFF2-40B4-BE49-F238E27FC236}">
              <a16:creationId xmlns:a16="http://schemas.microsoft.com/office/drawing/2014/main" id="{00000000-0008-0000-0300-000047010000}"/>
            </a:ext>
          </a:extLst>
        </xdr:cNvPr>
        <xdr:cNvSpPr>
          <a:spLocks noChangeShapeType="1"/>
        </xdr:cNvSpPr>
      </xdr:nvSpPr>
      <xdr:spPr bwMode="auto">
        <a:xfrm flipH="1">
          <a:off x="1647825" y="58626375"/>
          <a:ext cx="2714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352425</xdr:colOff>
      <xdr:row>310</xdr:row>
      <xdr:rowOff>28575</xdr:rowOff>
    </xdr:from>
    <xdr:to>
      <xdr:col>2</xdr:col>
      <xdr:colOff>352425</xdr:colOff>
      <xdr:row>310</xdr:row>
      <xdr:rowOff>171450</xdr:rowOff>
    </xdr:to>
    <xdr:sp macro="" textlink="">
      <xdr:nvSpPr>
        <xdr:cNvPr id="328" name="Line 228">
          <a:extLst>
            <a:ext uri="{FF2B5EF4-FFF2-40B4-BE49-F238E27FC236}">
              <a16:creationId xmlns:a16="http://schemas.microsoft.com/office/drawing/2014/main" id="{00000000-0008-0000-0300-000048010000}"/>
            </a:ext>
          </a:extLst>
        </xdr:cNvPr>
        <xdr:cNvSpPr>
          <a:spLocks noChangeShapeType="1"/>
        </xdr:cNvSpPr>
      </xdr:nvSpPr>
      <xdr:spPr bwMode="auto">
        <a:xfrm>
          <a:off x="1628775" y="58559700"/>
          <a:ext cx="0" cy="1428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361950</xdr:colOff>
      <xdr:row>310</xdr:row>
      <xdr:rowOff>9525</xdr:rowOff>
    </xdr:from>
    <xdr:to>
      <xdr:col>2</xdr:col>
      <xdr:colOff>466725</xdr:colOff>
      <xdr:row>310</xdr:row>
      <xdr:rowOff>180975</xdr:rowOff>
    </xdr:to>
    <xdr:sp macro="" textlink="">
      <xdr:nvSpPr>
        <xdr:cNvPr id="329" name="Tegning 230">
          <a:extLst>
            <a:ext uri="{FF2B5EF4-FFF2-40B4-BE49-F238E27FC236}">
              <a16:creationId xmlns:a16="http://schemas.microsoft.com/office/drawing/2014/main" id="{00000000-0008-0000-0300-000049010000}"/>
            </a:ext>
          </a:extLst>
        </xdr:cNvPr>
        <xdr:cNvSpPr>
          <a:spLocks/>
        </xdr:cNvSpPr>
      </xdr:nvSpPr>
      <xdr:spPr bwMode="auto">
        <a:xfrm>
          <a:off x="1638300" y="58540650"/>
          <a:ext cx="104775" cy="171450"/>
        </a:xfrm>
        <a:custGeom>
          <a:avLst/>
          <a:gdLst>
            <a:gd name="T0" fmla="*/ 2147483646 w 16384"/>
            <a:gd name="T1" fmla="*/ 0 h 16384"/>
            <a:gd name="T2" fmla="*/ 0 w 16384"/>
            <a:gd name="T3" fmla="*/ 2147483646 h 16384"/>
            <a:gd name="T4" fmla="*/ 2147483646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8192"/>
              </a:lnTo>
              <a:lnTo>
                <a:pt x="16384" y="16384"/>
              </a:lnTo>
            </a:path>
          </a:pathLst>
        </a:custGeom>
        <a:noFill/>
        <a:ln w="952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228600</xdr:colOff>
      <xdr:row>310</xdr:row>
      <xdr:rowOff>19050</xdr:rowOff>
    </xdr:from>
    <xdr:to>
      <xdr:col>3</xdr:col>
      <xdr:colOff>314325</xdr:colOff>
      <xdr:row>310</xdr:row>
      <xdr:rowOff>190500</xdr:rowOff>
    </xdr:to>
    <xdr:sp macro="" textlink="">
      <xdr:nvSpPr>
        <xdr:cNvPr id="330" name="Tegning 231">
          <a:extLst>
            <a:ext uri="{FF2B5EF4-FFF2-40B4-BE49-F238E27FC236}">
              <a16:creationId xmlns:a16="http://schemas.microsoft.com/office/drawing/2014/main" id="{00000000-0008-0000-0300-00004A010000}"/>
            </a:ext>
          </a:extLst>
        </xdr:cNvPr>
        <xdr:cNvSpPr>
          <a:spLocks/>
        </xdr:cNvSpPr>
      </xdr:nvSpPr>
      <xdr:spPr bwMode="auto">
        <a:xfrm>
          <a:off x="2085975" y="58550175"/>
          <a:ext cx="85725" cy="171450"/>
        </a:xfrm>
        <a:custGeom>
          <a:avLst/>
          <a:gdLst>
            <a:gd name="T0" fmla="*/ 0 w 16384"/>
            <a:gd name="T1" fmla="*/ 0 h 16384"/>
            <a:gd name="T2" fmla="*/ 2147483646 w 16384"/>
            <a:gd name="T3" fmla="*/ 2147483646 h 16384"/>
            <a:gd name="T4" fmla="*/ 0 w 16384"/>
            <a:gd name="T5" fmla="*/ 2147483646 h 16384"/>
            <a:gd name="T6" fmla="*/ 0 60000 65536"/>
            <a:gd name="T7" fmla="*/ 0 60000 65536"/>
            <a:gd name="T8" fmla="*/ 0 60000 65536"/>
          </a:gdLst>
          <a:ahLst/>
          <a:cxnLst>
            <a:cxn ang="T6">
              <a:pos x="T0" y="T1"/>
            </a:cxn>
            <a:cxn ang="T7">
              <a:pos x="T2" y="T3"/>
            </a:cxn>
            <a:cxn ang="T8">
              <a:pos x="T4" y="T5"/>
            </a:cxn>
          </a:cxnLst>
          <a:rect l="0" t="0" r="r" b="b"/>
          <a:pathLst>
            <a:path w="16384" h="16384">
              <a:moveTo>
                <a:pt x="0" y="0"/>
              </a:moveTo>
              <a:lnTo>
                <a:pt x="16384" y="8192"/>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152400</xdr:colOff>
      <xdr:row>296</xdr:row>
      <xdr:rowOff>142875</xdr:rowOff>
    </xdr:from>
    <xdr:to>
      <xdr:col>5</xdr:col>
      <xdr:colOff>0</xdr:colOff>
      <xdr:row>297</xdr:row>
      <xdr:rowOff>209550</xdr:rowOff>
    </xdr:to>
    <xdr:sp macro="" textlink="">
      <xdr:nvSpPr>
        <xdr:cNvPr id="331" name="Line 262">
          <a:extLst>
            <a:ext uri="{FF2B5EF4-FFF2-40B4-BE49-F238E27FC236}">
              <a16:creationId xmlns:a16="http://schemas.microsoft.com/office/drawing/2014/main" id="{00000000-0008-0000-0300-00004B010000}"/>
            </a:ext>
          </a:extLst>
        </xdr:cNvPr>
        <xdr:cNvSpPr>
          <a:spLocks noChangeShapeType="1"/>
        </xdr:cNvSpPr>
      </xdr:nvSpPr>
      <xdr:spPr bwMode="auto">
        <a:xfrm flipH="1">
          <a:off x="2381250" y="56007000"/>
          <a:ext cx="171450" cy="2381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296</xdr:row>
      <xdr:rowOff>123825</xdr:rowOff>
    </xdr:from>
    <xdr:to>
      <xdr:col>3</xdr:col>
      <xdr:colOff>28575</xdr:colOff>
      <xdr:row>297</xdr:row>
      <xdr:rowOff>95250</xdr:rowOff>
    </xdr:to>
    <xdr:sp macro="" textlink="">
      <xdr:nvSpPr>
        <xdr:cNvPr id="332" name="Line 263">
          <a:extLst>
            <a:ext uri="{FF2B5EF4-FFF2-40B4-BE49-F238E27FC236}">
              <a16:creationId xmlns:a16="http://schemas.microsoft.com/office/drawing/2014/main" id="{00000000-0008-0000-0300-00004C010000}"/>
            </a:ext>
          </a:extLst>
        </xdr:cNvPr>
        <xdr:cNvSpPr>
          <a:spLocks noChangeShapeType="1"/>
        </xdr:cNvSpPr>
      </xdr:nvSpPr>
      <xdr:spPr bwMode="auto">
        <a:xfrm flipH="1">
          <a:off x="1724025" y="55987950"/>
          <a:ext cx="161925" cy="1619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296</xdr:row>
      <xdr:rowOff>9525</xdr:rowOff>
    </xdr:from>
    <xdr:to>
      <xdr:col>2</xdr:col>
      <xdr:colOff>438150</xdr:colOff>
      <xdr:row>296</xdr:row>
      <xdr:rowOff>47625</xdr:rowOff>
    </xdr:to>
    <xdr:sp macro="" textlink="">
      <xdr:nvSpPr>
        <xdr:cNvPr id="333" name="Oval 683">
          <a:extLst>
            <a:ext uri="{FF2B5EF4-FFF2-40B4-BE49-F238E27FC236}">
              <a16:creationId xmlns:a16="http://schemas.microsoft.com/office/drawing/2014/main" id="{00000000-0008-0000-0300-00004D010000}"/>
            </a:ext>
          </a:extLst>
        </xdr:cNvPr>
        <xdr:cNvSpPr>
          <a:spLocks noChangeArrowheads="1"/>
        </xdr:cNvSpPr>
      </xdr:nvSpPr>
      <xdr:spPr bwMode="auto">
        <a:xfrm>
          <a:off x="1676400" y="55873650"/>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390525</xdr:colOff>
      <xdr:row>297</xdr:row>
      <xdr:rowOff>95250</xdr:rowOff>
    </xdr:from>
    <xdr:to>
      <xdr:col>2</xdr:col>
      <xdr:colOff>428625</xdr:colOff>
      <xdr:row>297</xdr:row>
      <xdr:rowOff>133350</xdr:rowOff>
    </xdr:to>
    <xdr:sp macro="" textlink="">
      <xdr:nvSpPr>
        <xdr:cNvPr id="334" name="Oval 684">
          <a:extLst>
            <a:ext uri="{FF2B5EF4-FFF2-40B4-BE49-F238E27FC236}">
              <a16:creationId xmlns:a16="http://schemas.microsoft.com/office/drawing/2014/main" id="{00000000-0008-0000-0300-00004E010000}"/>
            </a:ext>
          </a:extLst>
        </xdr:cNvPr>
        <xdr:cNvSpPr>
          <a:spLocks noChangeArrowheads="1"/>
        </xdr:cNvSpPr>
      </xdr:nvSpPr>
      <xdr:spPr bwMode="auto">
        <a:xfrm>
          <a:off x="1666875" y="5614987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123825</xdr:colOff>
      <xdr:row>295</xdr:row>
      <xdr:rowOff>38100</xdr:rowOff>
    </xdr:from>
    <xdr:to>
      <xdr:col>4</xdr:col>
      <xdr:colOff>161925</xdr:colOff>
      <xdr:row>295</xdr:row>
      <xdr:rowOff>76200</xdr:rowOff>
    </xdr:to>
    <xdr:sp macro="" textlink="">
      <xdr:nvSpPr>
        <xdr:cNvPr id="335" name="Oval 686">
          <a:extLst>
            <a:ext uri="{FF2B5EF4-FFF2-40B4-BE49-F238E27FC236}">
              <a16:creationId xmlns:a16="http://schemas.microsoft.com/office/drawing/2014/main" id="{00000000-0008-0000-0300-00004F010000}"/>
            </a:ext>
          </a:extLst>
        </xdr:cNvPr>
        <xdr:cNvSpPr>
          <a:spLocks noChangeArrowheads="1"/>
        </xdr:cNvSpPr>
      </xdr:nvSpPr>
      <xdr:spPr bwMode="auto">
        <a:xfrm>
          <a:off x="2352675" y="5571172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133350</xdr:colOff>
      <xdr:row>298</xdr:row>
      <xdr:rowOff>0</xdr:rowOff>
    </xdr:from>
    <xdr:to>
      <xdr:col>4</xdr:col>
      <xdr:colOff>171450</xdr:colOff>
      <xdr:row>298</xdr:row>
      <xdr:rowOff>38100</xdr:rowOff>
    </xdr:to>
    <xdr:sp macro="" textlink="">
      <xdr:nvSpPr>
        <xdr:cNvPr id="336" name="Oval 687">
          <a:extLst>
            <a:ext uri="{FF2B5EF4-FFF2-40B4-BE49-F238E27FC236}">
              <a16:creationId xmlns:a16="http://schemas.microsoft.com/office/drawing/2014/main" id="{00000000-0008-0000-0300-000050010000}"/>
            </a:ext>
          </a:extLst>
        </xdr:cNvPr>
        <xdr:cNvSpPr>
          <a:spLocks noChangeArrowheads="1"/>
        </xdr:cNvSpPr>
      </xdr:nvSpPr>
      <xdr:spPr bwMode="auto">
        <a:xfrm>
          <a:off x="2362200" y="56245125"/>
          <a:ext cx="38100" cy="38100"/>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37" name="Line 1">
          <a:extLst>
            <a:ext uri="{FF2B5EF4-FFF2-40B4-BE49-F238E27FC236}">
              <a16:creationId xmlns:a16="http://schemas.microsoft.com/office/drawing/2014/main" id="{00000000-0008-0000-0300-00005101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38" name="Line 1">
          <a:extLst>
            <a:ext uri="{FF2B5EF4-FFF2-40B4-BE49-F238E27FC236}">
              <a16:creationId xmlns:a16="http://schemas.microsoft.com/office/drawing/2014/main" id="{00000000-0008-0000-0300-00005201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39" name="Line 1">
          <a:extLst>
            <a:ext uri="{FF2B5EF4-FFF2-40B4-BE49-F238E27FC236}">
              <a16:creationId xmlns:a16="http://schemas.microsoft.com/office/drawing/2014/main" id="{00000000-0008-0000-0300-000053010000}"/>
            </a:ext>
          </a:extLst>
        </xdr:cNvPr>
        <xdr:cNvSpPr>
          <a:spLocks noChangeShapeType="1"/>
        </xdr:cNvSpPr>
      </xdr:nvSpPr>
      <xdr:spPr bwMode="auto">
        <a:xfrm>
          <a:off x="666750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editAs="oneCell">
    <xdr:from>
      <xdr:col>0</xdr:col>
      <xdr:colOff>447675</xdr:colOff>
      <xdr:row>0</xdr:row>
      <xdr:rowOff>104775</xdr:rowOff>
    </xdr:from>
    <xdr:to>
      <xdr:col>0</xdr:col>
      <xdr:colOff>1066800</xdr:colOff>
      <xdr:row>3</xdr:row>
      <xdr:rowOff>142875</xdr:rowOff>
    </xdr:to>
    <xdr:pic>
      <xdr:nvPicPr>
        <xdr:cNvPr id="340" name="Picture 197" descr="CRH_office_pantone">
          <a:extLst>
            <a:ext uri="{FF2B5EF4-FFF2-40B4-BE49-F238E27FC236}">
              <a16:creationId xmlns:a16="http://schemas.microsoft.com/office/drawing/2014/main" id="{00000000-0008-0000-0300-00005401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47675" y="104775"/>
          <a:ext cx="619125"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866775</xdr:colOff>
      <xdr:row>368</xdr:row>
      <xdr:rowOff>19050</xdr:rowOff>
    </xdr:from>
    <xdr:to>
      <xdr:col>12</xdr:col>
      <xdr:colOff>409575</xdr:colOff>
      <xdr:row>388</xdr:row>
      <xdr:rowOff>171450</xdr:rowOff>
    </xdr:to>
    <xdr:graphicFrame macro="">
      <xdr:nvGraphicFramePr>
        <xdr:cNvPr id="341" name="Diagram 6">
          <a:extLst>
            <a:ext uri="{FF2B5EF4-FFF2-40B4-BE49-F238E27FC236}">
              <a16:creationId xmlns:a16="http://schemas.microsoft.com/office/drawing/2014/main" id="{00000000-0008-0000-0300-00005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6</xdr:row>
          <xdr:rowOff>76200</xdr:rowOff>
        </xdr:from>
        <xdr:to>
          <xdr:col>12</xdr:col>
          <xdr:colOff>762000</xdr:colOff>
          <xdr:row>9</xdr:row>
          <xdr:rowOff>19050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tilbage til ark A</a:t>
              </a:r>
            </a:p>
          </xdr:txBody>
        </xdr:sp>
        <xdr:clientData fLocksWithSheet="0" fPrintsWithSheet="0"/>
      </xdr:twoCellAnchor>
    </mc:Choice>
    <mc:Fallback/>
  </mc:AlternateContent>
  <xdr:twoCellAnchor>
    <xdr:from>
      <xdr:col>2</xdr:col>
      <xdr:colOff>342900</xdr:colOff>
      <xdr:row>19</xdr:row>
      <xdr:rowOff>180975</xdr:rowOff>
    </xdr:from>
    <xdr:to>
      <xdr:col>2</xdr:col>
      <xdr:colOff>342900</xdr:colOff>
      <xdr:row>20</xdr:row>
      <xdr:rowOff>66675</xdr:rowOff>
    </xdr:to>
    <xdr:sp macro="" textlink="">
      <xdr:nvSpPr>
        <xdr:cNvPr id="344" name="Line 100">
          <a:extLst>
            <a:ext uri="{FF2B5EF4-FFF2-40B4-BE49-F238E27FC236}">
              <a16:creationId xmlns:a16="http://schemas.microsoft.com/office/drawing/2014/main" id="{00000000-0008-0000-0300-000058010000}"/>
            </a:ext>
          </a:extLst>
        </xdr:cNvPr>
        <xdr:cNvSpPr>
          <a:spLocks noChangeShapeType="1"/>
        </xdr:cNvSpPr>
      </xdr:nvSpPr>
      <xdr:spPr bwMode="auto">
        <a:xfrm>
          <a:off x="161925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200025</xdr:colOff>
      <xdr:row>19</xdr:row>
      <xdr:rowOff>180975</xdr:rowOff>
    </xdr:from>
    <xdr:to>
      <xdr:col>3</xdr:col>
      <xdr:colOff>200025</xdr:colOff>
      <xdr:row>20</xdr:row>
      <xdr:rowOff>66675</xdr:rowOff>
    </xdr:to>
    <xdr:sp macro="" textlink="">
      <xdr:nvSpPr>
        <xdr:cNvPr id="345" name="Line 101">
          <a:extLst>
            <a:ext uri="{FF2B5EF4-FFF2-40B4-BE49-F238E27FC236}">
              <a16:creationId xmlns:a16="http://schemas.microsoft.com/office/drawing/2014/main" id="{00000000-0008-0000-0300-000059010000}"/>
            </a:ext>
          </a:extLst>
        </xdr:cNvPr>
        <xdr:cNvSpPr>
          <a:spLocks noChangeShapeType="1"/>
        </xdr:cNvSpPr>
      </xdr:nvSpPr>
      <xdr:spPr bwMode="auto">
        <a:xfrm>
          <a:off x="2057400" y="3486150"/>
          <a:ext cx="0" cy="76200"/>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495300</xdr:colOff>
      <xdr:row>19</xdr:row>
      <xdr:rowOff>180975</xdr:rowOff>
    </xdr:from>
    <xdr:to>
      <xdr:col>2</xdr:col>
      <xdr:colOff>533400</xdr:colOff>
      <xdr:row>20</xdr:row>
      <xdr:rowOff>142875</xdr:rowOff>
    </xdr:to>
    <xdr:sp macro="" textlink="">
      <xdr:nvSpPr>
        <xdr:cNvPr id="346" name="Line 245">
          <a:extLst>
            <a:ext uri="{FF2B5EF4-FFF2-40B4-BE49-F238E27FC236}">
              <a16:creationId xmlns:a16="http://schemas.microsoft.com/office/drawing/2014/main" id="{00000000-0008-0000-0300-00005A010000}"/>
            </a:ext>
          </a:extLst>
        </xdr:cNvPr>
        <xdr:cNvSpPr>
          <a:spLocks noChangeShapeType="1"/>
        </xdr:cNvSpPr>
      </xdr:nvSpPr>
      <xdr:spPr bwMode="auto">
        <a:xfrm>
          <a:off x="1771650" y="3486150"/>
          <a:ext cx="38100" cy="1524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161925</xdr:colOff>
      <xdr:row>17</xdr:row>
      <xdr:rowOff>76200</xdr:rowOff>
    </xdr:from>
    <xdr:to>
      <xdr:col>3</xdr:col>
      <xdr:colOff>161925</xdr:colOff>
      <xdr:row>20</xdr:row>
      <xdr:rowOff>47625</xdr:rowOff>
    </xdr:to>
    <xdr:sp macro="" textlink="">
      <xdr:nvSpPr>
        <xdr:cNvPr id="347" name="Line 287">
          <a:extLst>
            <a:ext uri="{FF2B5EF4-FFF2-40B4-BE49-F238E27FC236}">
              <a16:creationId xmlns:a16="http://schemas.microsoft.com/office/drawing/2014/main" id="{00000000-0008-0000-0300-00005B010000}"/>
            </a:ext>
          </a:extLst>
        </xdr:cNvPr>
        <xdr:cNvSpPr>
          <a:spLocks noChangeShapeType="1"/>
        </xdr:cNvSpPr>
      </xdr:nvSpPr>
      <xdr:spPr bwMode="auto">
        <a:xfrm flipV="1">
          <a:off x="2019300" y="2990850"/>
          <a:ext cx="0" cy="552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342900</xdr:colOff>
      <xdr:row>18</xdr:row>
      <xdr:rowOff>114300</xdr:rowOff>
    </xdr:from>
    <xdr:to>
      <xdr:col>2</xdr:col>
      <xdr:colOff>342900</xdr:colOff>
      <xdr:row>19</xdr:row>
      <xdr:rowOff>142875</xdr:rowOff>
    </xdr:to>
    <xdr:sp macro="" textlink="">
      <xdr:nvSpPr>
        <xdr:cNvPr id="348" name="Line 142">
          <a:extLst>
            <a:ext uri="{FF2B5EF4-FFF2-40B4-BE49-F238E27FC236}">
              <a16:creationId xmlns:a16="http://schemas.microsoft.com/office/drawing/2014/main" id="{00000000-0008-0000-0300-00005C010000}"/>
            </a:ext>
          </a:extLst>
        </xdr:cNvPr>
        <xdr:cNvSpPr>
          <a:spLocks noChangeShapeType="1"/>
        </xdr:cNvSpPr>
      </xdr:nvSpPr>
      <xdr:spPr bwMode="auto">
        <a:xfrm>
          <a:off x="1619250" y="3228975"/>
          <a:ext cx="0" cy="219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190500</xdr:colOff>
      <xdr:row>18</xdr:row>
      <xdr:rowOff>152400</xdr:rowOff>
    </xdr:from>
    <xdr:to>
      <xdr:col>3</xdr:col>
      <xdr:colOff>190500</xdr:colOff>
      <xdr:row>19</xdr:row>
      <xdr:rowOff>161925</xdr:rowOff>
    </xdr:to>
    <xdr:sp macro="" textlink="">
      <xdr:nvSpPr>
        <xdr:cNvPr id="349" name="Line 143">
          <a:extLst>
            <a:ext uri="{FF2B5EF4-FFF2-40B4-BE49-F238E27FC236}">
              <a16:creationId xmlns:a16="http://schemas.microsoft.com/office/drawing/2014/main" id="{00000000-0008-0000-0300-00005D010000}"/>
            </a:ext>
          </a:extLst>
        </xdr:cNvPr>
        <xdr:cNvSpPr>
          <a:spLocks noChangeShapeType="1"/>
        </xdr:cNvSpPr>
      </xdr:nvSpPr>
      <xdr:spPr bwMode="auto">
        <a:xfrm>
          <a:off x="2047875" y="3267075"/>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17</xdr:row>
      <xdr:rowOff>28575</xdr:rowOff>
    </xdr:from>
    <xdr:to>
      <xdr:col>3</xdr:col>
      <xdr:colOff>295275</xdr:colOff>
      <xdr:row>19</xdr:row>
      <xdr:rowOff>47625</xdr:rowOff>
    </xdr:to>
    <xdr:sp macro="" textlink="">
      <xdr:nvSpPr>
        <xdr:cNvPr id="350" name="Line 144">
          <a:extLst>
            <a:ext uri="{FF2B5EF4-FFF2-40B4-BE49-F238E27FC236}">
              <a16:creationId xmlns:a16="http://schemas.microsoft.com/office/drawing/2014/main" id="{00000000-0008-0000-0300-00005E010000}"/>
            </a:ext>
          </a:extLst>
        </xdr:cNvPr>
        <xdr:cNvSpPr>
          <a:spLocks noChangeShapeType="1"/>
        </xdr:cNvSpPr>
      </xdr:nvSpPr>
      <xdr:spPr bwMode="auto">
        <a:xfrm>
          <a:off x="2152650" y="2943225"/>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18</xdr:row>
      <xdr:rowOff>161925</xdr:rowOff>
    </xdr:from>
    <xdr:to>
      <xdr:col>2</xdr:col>
      <xdr:colOff>238125</xdr:colOff>
      <xdr:row>19</xdr:row>
      <xdr:rowOff>28575</xdr:rowOff>
    </xdr:to>
    <xdr:sp macro="" textlink="">
      <xdr:nvSpPr>
        <xdr:cNvPr id="351" name="Line 145">
          <a:extLst>
            <a:ext uri="{FF2B5EF4-FFF2-40B4-BE49-F238E27FC236}">
              <a16:creationId xmlns:a16="http://schemas.microsoft.com/office/drawing/2014/main" id="{00000000-0008-0000-0300-00005F010000}"/>
            </a:ext>
          </a:extLst>
        </xdr:cNvPr>
        <xdr:cNvSpPr>
          <a:spLocks noChangeShapeType="1"/>
        </xdr:cNvSpPr>
      </xdr:nvSpPr>
      <xdr:spPr bwMode="auto">
        <a:xfrm flipH="1">
          <a:off x="1438275" y="32766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304800</xdr:colOff>
      <xdr:row>18</xdr:row>
      <xdr:rowOff>161925</xdr:rowOff>
    </xdr:from>
    <xdr:to>
      <xdr:col>2</xdr:col>
      <xdr:colOff>371475</xdr:colOff>
      <xdr:row>19</xdr:row>
      <xdr:rowOff>28575</xdr:rowOff>
    </xdr:to>
    <xdr:sp macro="" textlink="">
      <xdr:nvSpPr>
        <xdr:cNvPr id="352" name="Line 146">
          <a:extLst>
            <a:ext uri="{FF2B5EF4-FFF2-40B4-BE49-F238E27FC236}">
              <a16:creationId xmlns:a16="http://schemas.microsoft.com/office/drawing/2014/main" id="{00000000-0008-0000-0300-000060010000}"/>
            </a:ext>
          </a:extLst>
        </xdr:cNvPr>
        <xdr:cNvSpPr>
          <a:spLocks noChangeShapeType="1"/>
        </xdr:cNvSpPr>
      </xdr:nvSpPr>
      <xdr:spPr bwMode="auto">
        <a:xfrm flipH="1">
          <a:off x="1581150" y="32766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18</xdr:row>
      <xdr:rowOff>161925</xdr:rowOff>
    </xdr:from>
    <xdr:to>
      <xdr:col>4</xdr:col>
      <xdr:colOff>9525</xdr:colOff>
      <xdr:row>19</xdr:row>
      <xdr:rowOff>47625</xdr:rowOff>
    </xdr:to>
    <xdr:sp macro="" textlink="">
      <xdr:nvSpPr>
        <xdr:cNvPr id="353" name="Line 147">
          <a:extLst>
            <a:ext uri="{FF2B5EF4-FFF2-40B4-BE49-F238E27FC236}">
              <a16:creationId xmlns:a16="http://schemas.microsoft.com/office/drawing/2014/main" id="{00000000-0008-0000-0300-000061010000}"/>
            </a:ext>
          </a:extLst>
        </xdr:cNvPr>
        <xdr:cNvSpPr>
          <a:spLocks noChangeShapeType="1"/>
        </xdr:cNvSpPr>
      </xdr:nvSpPr>
      <xdr:spPr bwMode="auto">
        <a:xfrm flipH="1">
          <a:off x="2105025" y="3276600"/>
          <a:ext cx="1333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18</xdr:row>
      <xdr:rowOff>161925</xdr:rowOff>
    </xdr:from>
    <xdr:to>
      <xdr:col>3</xdr:col>
      <xdr:colOff>228600</xdr:colOff>
      <xdr:row>19</xdr:row>
      <xdr:rowOff>47625</xdr:rowOff>
    </xdr:to>
    <xdr:sp macro="" textlink="">
      <xdr:nvSpPr>
        <xdr:cNvPr id="354" name="Line 148">
          <a:extLst>
            <a:ext uri="{FF2B5EF4-FFF2-40B4-BE49-F238E27FC236}">
              <a16:creationId xmlns:a16="http://schemas.microsoft.com/office/drawing/2014/main" id="{00000000-0008-0000-0300-000062010000}"/>
            </a:ext>
          </a:extLst>
        </xdr:cNvPr>
        <xdr:cNvSpPr>
          <a:spLocks noChangeShapeType="1"/>
        </xdr:cNvSpPr>
      </xdr:nvSpPr>
      <xdr:spPr bwMode="auto">
        <a:xfrm flipH="1">
          <a:off x="1990725" y="32766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xdr:col>
      <xdr:colOff>200025</xdr:colOff>
      <xdr:row>19</xdr:row>
      <xdr:rowOff>0</xdr:rowOff>
    </xdr:from>
    <xdr:to>
      <xdr:col>4</xdr:col>
      <xdr:colOff>238125</xdr:colOff>
      <xdr:row>19</xdr:row>
      <xdr:rowOff>0</xdr:rowOff>
    </xdr:to>
    <xdr:sp macro="" textlink="">
      <xdr:nvSpPr>
        <xdr:cNvPr id="355" name="Line 19881">
          <a:extLst>
            <a:ext uri="{FF2B5EF4-FFF2-40B4-BE49-F238E27FC236}">
              <a16:creationId xmlns:a16="http://schemas.microsoft.com/office/drawing/2014/main" id="{00000000-0008-0000-0300-000063010000}"/>
            </a:ext>
          </a:extLst>
        </xdr:cNvPr>
        <xdr:cNvSpPr>
          <a:spLocks noChangeShapeType="1"/>
        </xdr:cNvSpPr>
      </xdr:nvSpPr>
      <xdr:spPr bwMode="auto">
        <a:xfrm>
          <a:off x="1276350" y="3305175"/>
          <a:ext cx="1190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25</xdr:row>
      <xdr:rowOff>28575</xdr:rowOff>
    </xdr:from>
    <xdr:to>
      <xdr:col>2</xdr:col>
      <xdr:colOff>200025</xdr:colOff>
      <xdr:row>27</xdr:row>
      <xdr:rowOff>57150</xdr:rowOff>
    </xdr:to>
    <xdr:sp macro="" textlink="">
      <xdr:nvSpPr>
        <xdr:cNvPr id="356" name="Line 115">
          <a:extLst>
            <a:ext uri="{FF2B5EF4-FFF2-40B4-BE49-F238E27FC236}">
              <a16:creationId xmlns:a16="http://schemas.microsoft.com/office/drawing/2014/main" id="{00000000-0008-0000-0300-000064010000}"/>
            </a:ext>
          </a:extLst>
        </xdr:cNvPr>
        <xdr:cNvSpPr>
          <a:spLocks noChangeShapeType="1"/>
        </xdr:cNvSpPr>
      </xdr:nvSpPr>
      <xdr:spPr bwMode="auto">
        <a:xfrm>
          <a:off x="1476375" y="4476750"/>
          <a:ext cx="0" cy="4095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104775</xdr:rowOff>
    </xdr:from>
    <xdr:to>
      <xdr:col>2</xdr:col>
      <xdr:colOff>333375</xdr:colOff>
      <xdr:row>27</xdr:row>
      <xdr:rowOff>47625</xdr:rowOff>
    </xdr:to>
    <xdr:sp macro="" textlink="">
      <xdr:nvSpPr>
        <xdr:cNvPr id="357" name="Line 142">
          <a:extLst>
            <a:ext uri="{FF2B5EF4-FFF2-40B4-BE49-F238E27FC236}">
              <a16:creationId xmlns:a16="http://schemas.microsoft.com/office/drawing/2014/main" id="{00000000-0008-0000-0300-000065010000}"/>
            </a:ext>
          </a:extLst>
        </xdr:cNvPr>
        <xdr:cNvSpPr>
          <a:spLocks noChangeShapeType="1"/>
        </xdr:cNvSpPr>
      </xdr:nvSpPr>
      <xdr:spPr bwMode="auto">
        <a:xfrm>
          <a:off x="1609725" y="4552950"/>
          <a:ext cx="0" cy="3238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25</xdr:row>
      <xdr:rowOff>123825</xdr:rowOff>
    </xdr:from>
    <xdr:to>
      <xdr:col>3</xdr:col>
      <xdr:colOff>180975</xdr:colOff>
      <xdr:row>27</xdr:row>
      <xdr:rowOff>57150</xdr:rowOff>
    </xdr:to>
    <xdr:sp macro="" textlink="">
      <xdr:nvSpPr>
        <xdr:cNvPr id="358" name="Line 143">
          <a:extLst>
            <a:ext uri="{FF2B5EF4-FFF2-40B4-BE49-F238E27FC236}">
              <a16:creationId xmlns:a16="http://schemas.microsoft.com/office/drawing/2014/main" id="{00000000-0008-0000-0300-000066010000}"/>
            </a:ext>
          </a:extLst>
        </xdr:cNvPr>
        <xdr:cNvSpPr>
          <a:spLocks noChangeShapeType="1"/>
        </xdr:cNvSpPr>
      </xdr:nvSpPr>
      <xdr:spPr bwMode="auto">
        <a:xfrm>
          <a:off x="2038350" y="4572000"/>
          <a:ext cx="0" cy="3143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295275</xdr:colOff>
      <xdr:row>25</xdr:row>
      <xdr:rowOff>28575</xdr:rowOff>
    </xdr:from>
    <xdr:to>
      <xdr:col>3</xdr:col>
      <xdr:colOff>295275</xdr:colOff>
      <xdr:row>27</xdr:row>
      <xdr:rowOff>47625</xdr:rowOff>
    </xdr:to>
    <xdr:sp macro="" textlink="">
      <xdr:nvSpPr>
        <xdr:cNvPr id="359" name="Line 144">
          <a:extLst>
            <a:ext uri="{FF2B5EF4-FFF2-40B4-BE49-F238E27FC236}">
              <a16:creationId xmlns:a16="http://schemas.microsoft.com/office/drawing/2014/main" id="{00000000-0008-0000-0300-000067010000}"/>
            </a:ext>
          </a:extLst>
        </xdr:cNvPr>
        <xdr:cNvSpPr>
          <a:spLocks noChangeShapeType="1"/>
        </xdr:cNvSpPr>
      </xdr:nvSpPr>
      <xdr:spPr bwMode="auto">
        <a:xfrm>
          <a:off x="2152650" y="4476750"/>
          <a:ext cx="0" cy="4000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161925</xdr:colOff>
      <xdr:row>26</xdr:row>
      <xdr:rowOff>161925</xdr:rowOff>
    </xdr:from>
    <xdr:to>
      <xdr:col>2</xdr:col>
      <xdr:colOff>238125</xdr:colOff>
      <xdr:row>27</xdr:row>
      <xdr:rowOff>28575</xdr:rowOff>
    </xdr:to>
    <xdr:sp macro="" textlink="">
      <xdr:nvSpPr>
        <xdr:cNvPr id="360" name="Line 145">
          <a:extLst>
            <a:ext uri="{FF2B5EF4-FFF2-40B4-BE49-F238E27FC236}">
              <a16:creationId xmlns:a16="http://schemas.microsoft.com/office/drawing/2014/main" id="{00000000-0008-0000-0300-000068010000}"/>
            </a:ext>
          </a:extLst>
        </xdr:cNvPr>
        <xdr:cNvSpPr>
          <a:spLocks noChangeShapeType="1"/>
        </xdr:cNvSpPr>
      </xdr:nvSpPr>
      <xdr:spPr bwMode="auto">
        <a:xfrm flipH="1">
          <a:off x="1438275" y="4800600"/>
          <a:ext cx="76200"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295275</xdr:colOff>
      <xdr:row>26</xdr:row>
      <xdr:rowOff>161925</xdr:rowOff>
    </xdr:from>
    <xdr:to>
      <xdr:col>2</xdr:col>
      <xdr:colOff>361950</xdr:colOff>
      <xdr:row>27</xdr:row>
      <xdr:rowOff>28575</xdr:rowOff>
    </xdr:to>
    <xdr:sp macro="" textlink="">
      <xdr:nvSpPr>
        <xdr:cNvPr id="361" name="Line 146">
          <a:extLst>
            <a:ext uri="{FF2B5EF4-FFF2-40B4-BE49-F238E27FC236}">
              <a16:creationId xmlns:a16="http://schemas.microsoft.com/office/drawing/2014/main" id="{00000000-0008-0000-0300-000069010000}"/>
            </a:ext>
          </a:extLst>
        </xdr:cNvPr>
        <xdr:cNvSpPr>
          <a:spLocks noChangeShapeType="1"/>
        </xdr:cNvSpPr>
      </xdr:nvSpPr>
      <xdr:spPr bwMode="auto">
        <a:xfrm flipH="1">
          <a:off x="1571625" y="4800600"/>
          <a:ext cx="66675" cy="571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247650</xdr:colOff>
      <xdr:row>26</xdr:row>
      <xdr:rowOff>161925</xdr:rowOff>
    </xdr:from>
    <xdr:to>
      <xdr:col>4</xdr:col>
      <xdr:colOff>9525</xdr:colOff>
      <xdr:row>27</xdr:row>
      <xdr:rowOff>47625</xdr:rowOff>
    </xdr:to>
    <xdr:sp macro="" textlink="">
      <xdr:nvSpPr>
        <xdr:cNvPr id="362" name="Line 147">
          <a:extLst>
            <a:ext uri="{FF2B5EF4-FFF2-40B4-BE49-F238E27FC236}">
              <a16:creationId xmlns:a16="http://schemas.microsoft.com/office/drawing/2014/main" id="{00000000-0008-0000-0300-00006A010000}"/>
            </a:ext>
          </a:extLst>
        </xdr:cNvPr>
        <xdr:cNvSpPr>
          <a:spLocks noChangeShapeType="1"/>
        </xdr:cNvSpPr>
      </xdr:nvSpPr>
      <xdr:spPr bwMode="auto">
        <a:xfrm flipH="1">
          <a:off x="2105025" y="4800600"/>
          <a:ext cx="1333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26</xdr:row>
      <xdr:rowOff>161925</xdr:rowOff>
    </xdr:from>
    <xdr:to>
      <xdr:col>3</xdr:col>
      <xdr:colOff>228600</xdr:colOff>
      <xdr:row>27</xdr:row>
      <xdr:rowOff>47625</xdr:rowOff>
    </xdr:to>
    <xdr:sp macro="" textlink="">
      <xdr:nvSpPr>
        <xdr:cNvPr id="363" name="Line 148">
          <a:extLst>
            <a:ext uri="{FF2B5EF4-FFF2-40B4-BE49-F238E27FC236}">
              <a16:creationId xmlns:a16="http://schemas.microsoft.com/office/drawing/2014/main" id="{00000000-0008-0000-0300-00006B010000}"/>
            </a:ext>
          </a:extLst>
        </xdr:cNvPr>
        <xdr:cNvSpPr>
          <a:spLocks noChangeShapeType="1"/>
        </xdr:cNvSpPr>
      </xdr:nvSpPr>
      <xdr:spPr bwMode="auto">
        <a:xfrm flipH="1">
          <a:off x="1990725" y="480060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333375</xdr:colOff>
      <xdr:row>25</xdr:row>
      <xdr:rowOff>0</xdr:rowOff>
    </xdr:from>
    <xdr:to>
      <xdr:col>2</xdr:col>
      <xdr:colOff>333375</xdr:colOff>
      <xdr:row>25</xdr:row>
      <xdr:rowOff>85725</xdr:rowOff>
    </xdr:to>
    <xdr:sp macro="" textlink="">
      <xdr:nvSpPr>
        <xdr:cNvPr id="364" name="Line 102">
          <a:extLst>
            <a:ext uri="{FF2B5EF4-FFF2-40B4-BE49-F238E27FC236}">
              <a16:creationId xmlns:a16="http://schemas.microsoft.com/office/drawing/2014/main" id="{00000000-0008-0000-0300-00006C010000}"/>
            </a:ext>
          </a:extLst>
        </xdr:cNvPr>
        <xdr:cNvSpPr>
          <a:spLocks noChangeShapeType="1"/>
        </xdr:cNvSpPr>
      </xdr:nvSpPr>
      <xdr:spPr bwMode="auto">
        <a:xfrm>
          <a:off x="1609725"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180975</xdr:colOff>
      <xdr:row>24</xdr:row>
      <xdr:rowOff>219075</xdr:rowOff>
    </xdr:from>
    <xdr:to>
      <xdr:col>3</xdr:col>
      <xdr:colOff>180975</xdr:colOff>
      <xdr:row>25</xdr:row>
      <xdr:rowOff>85725</xdr:rowOff>
    </xdr:to>
    <xdr:sp macro="" textlink="">
      <xdr:nvSpPr>
        <xdr:cNvPr id="365" name="Line 103">
          <a:extLst>
            <a:ext uri="{FF2B5EF4-FFF2-40B4-BE49-F238E27FC236}">
              <a16:creationId xmlns:a16="http://schemas.microsoft.com/office/drawing/2014/main" id="{00000000-0008-0000-0300-00006D010000}"/>
            </a:ext>
          </a:extLst>
        </xdr:cNvPr>
        <xdr:cNvSpPr>
          <a:spLocks noChangeShapeType="1"/>
        </xdr:cNvSpPr>
      </xdr:nvSpPr>
      <xdr:spPr bwMode="auto">
        <a:xfrm>
          <a:off x="2038350" y="4448175"/>
          <a:ext cx="0" cy="85725"/>
        </a:xfrm>
        <a:prstGeom prst="lin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438150</xdr:colOff>
      <xdr:row>24</xdr:row>
      <xdr:rowOff>123825</xdr:rowOff>
    </xdr:from>
    <xdr:to>
      <xdr:col>2</xdr:col>
      <xdr:colOff>466725</xdr:colOff>
      <xdr:row>25</xdr:row>
      <xdr:rowOff>47625</xdr:rowOff>
    </xdr:to>
    <xdr:sp macro="" textlink="">
      <xdr:nvSpPr>
        <xdr:cNvPr id="366" name="Line 19892">
          <a:extLst>
            <a:ext uri="{FF2B5EF4-FFF2-40B4-BE49-F238E27FC236}">
              <a16:creationId xmlns:a16="http://schemas.microsoft.com/office/drawing/2014/main" id="{00000000-0008-0000-0300-00006E010000}"/>
            </a:ext>
          </a:extLst>
        </xdr:cNvPr>
        <xdr:cNvSpPr>
          <a:spLocks noChangeShapeType="1"/>
        </xdr:cNvSpPr>
      </xdr:nvSpPr>
      <xdr:spPr bwMode="auto">
        <a:xfrm flipH="1" flipV="1">
          <a:off x="1714500" y="4381500"/>
          <a:ext cx="285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628650</xdr:colOff>
      <xdr:row>179</xdr:row>
      <xdr:rowOff>38100</xdr:rowOff>
    </xdr:from>
    <xdr:to>
      <xdr:col>6</xdr:col>
      <xdr:colOff>485775</xdr:colOff>
      <xdr:row>180</xdr:row>
      <xdr:rowOff>180975</xdr:rowOff>
    </xdr:to>
    <xdr:sp macro="" textlink="">
      <xdr:nvSpPr>
        <xdr:cNvPr id="367" name="AutoShape 59">
          <a:extLst>
            <a:ext uri="{FF2B5EF4-FFF2-40B4-BE49-F238E27FC236}">
              <a16:creationId xmlns:a16="http://schemas.microsoft.com/office/drawing/2014/main" id="{00000000-0008-0000-0300-00006F010000}"/>
            </a:ext>
          </a:extLst>
        </xdr:cNvPr>
        <xdr:cNvSpPr>
          <a:spLocks noChangeArrowheads="1"/>
        </xdr:cNvSpPr>
      </xdr:nvSpPr>
      <xdr:spPr bwMode="auto">
        <a:xfrm flipH="1" flipV="1">
          <a:off x="3181350" y="33594675"/>
          <a:ext cx="609600" cy="3333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209550</xdr:colOff>
      <xdr:row>177</xdr:row>
      <xdr:rowOff>123825</xdr:rowOff>
    </xdr:from>
    <xdr:to>
      <xdr:col>6</xdr:col>
      <xdr:colOff>209550</xdr:colOff>
      <xdr:row>179</xdr:row>
      <xdr:rowOff>38100</xdr:rowOff>
    </xdr:to>
    <xdr:sp macro="" textlink="">
      <xdr:nvSpPr>
        <xdr:cNvPr id="368" name="Line 60">
          <a:extLst>
            <a:ext uri="{FF2B5EF4-FFF2-40B4-BE49-F238E27FC236}">
              <a16:creationId xmlns:a16="http://schemas.microsoft.com/office/drawing/2014/main" id="{00000000-0008-0000-0300-000070010000}"/>
            </a:ext>
          </a:extLst>
        </xdr:cNvPr>
        <xdr:cNvSpPr>
          <a:spLocks noChangeShapeType="1"/>
        </xdr:cNvSpPr>
      </xdr:nvSpPr>
      <xdr:spPr bwMode="auto">
        <a:xfrm>
          <a:off x="3514725" y="332994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6</xdr:col>
      <xdr:colOff>495300</xdr:colOff>
      <xdr:row>180</xdr:row>
      <xdr:rowOff>0</xdr:rowOff>
    </xdr:from>
    <xdr:to>
      <xdr:col>6</xdr:col>
      <xdr:colOff>914400</xdr:colOff>
      <xdr:row>180</xdr:row>
      <xdr:rowOff>0</xdr:rowOff>
    </xdr:to>
    <xdr:sp macro="" textlink="">
      <xdr:nvSpPr>
        <xdr:cNvPr id="369" name="Line 61">
          <a:extLst>
            <a:ext uri="{FF2B5EF4-FFF2-40B4-BE49-F238E27FC236}">
              <a16:creationId xmlns:a16="http://schemas.microsoft.com/office/drawing/2014/main" id="{00000000-0008-0000-0300-000071010000}"/>
            </a:ext>
          </a:extLst>
        </xdr:cNvPr>
        <xdr:cNvSpPr>
          <a:spLocks noChangeShapeType="1"/>
        </xdr:cNvSpPr>
      </xdr:nvSpPr>
      <xdr:spPr bwMode="auto">
        <a:xfrm flipH="1">
          <a:off x="3800475" y="33747075"/>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742950</xdr:colOff>
      <xdr:row>179</xdr:row>
      <xdr:rowOff>209550</xdr:rowOff>
    </xdr:from>
    <xdr:to>
      <xdr:col>6</xdr:col>
      <xdr:colOff>161925</xdr:colOff>
      <xdr:row>181</xdr:row>
      <xdr:rowOff>66675</xdr:rowOff>
    </xdr:to>
    <xdr:sp macro="" textlink="">
      <xdr:nvSpPr>
        <xdr:cNvPr id="370" name="Line 62">
          <a:extLst>
            <a:ext uri="{FF2B5EF4-FFF2-40B4-BE49-F238E27FC236}">
              <a16:creationId xmlns:a16="http://schemas.microsoft.com/office/drawing/2014/main" id="{00000000-0008-0000-0300-000072010000}"/>
            </a:ext>
          </a:extLst>
        </xdr:cNvPr>
        <xdr:cNvSpPr>
          <a:spLocks noChangeShapeType="1"/>
        </xdr:cNvSpPr>
      </xdr:nvSpPr>
      <xdr:spPr bwMode="auto">
        <a:xfrm flipV="1">
          <a:off x="3295650" y="33747075"/>
          <a:ext cx="171450" cy="257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5</xdr:col>
      <xdr:colOff>619125</xdr:colOff>
      <xdr:row>176</xdr:row>
      <xdr:rowOff>152400</xdr:rowOff>
    </xdr:from>
    <xdr:to>
      <xdr:col>5</xdr:col>
      <xdr:colOff>619125</xdr:colOff>
      <xdr:row>178</xdr:row>
      <xdr:rowOff>180975</xdr:rowOff>
    </xdr:to>
    <xdr:sp macro="" textlink="">
      <xdr:nvSpPr>
        <xdr:cNvPr id="372" name="Line 74">
          <a:extLst>
            <a:ext uri="{FF2B5EF4-FFF2-40B4-BE49-F238E27FC236}">
              <a16:creationId xmlns:a16="http://schemas.microsoft.com/office/drawing/2014/main" id="{00000000-0008-0000-0300-000074010000}"/>
            </a:ext>
          </a:extLst>
        </xdr:cNvPr>
        <xdr:cNvSpPr>
          <a:spLocks noChangeShapeType="1"/>
        </xdr:cNvSpPr>
      </xdr:nvSpPr>
      <xdr:spPr bwMode="auto">
        <a:xfrm flipV="1">
          <a:off x="3171825" y="331374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495300</xdr:colOff>
      <xdr:row>176</xdr:row>
      <xdr:rowOff>152400</xdr:rowOff>
    </xdr:from>
    <xdr:to>
      <xdr:col>6</xdr:col>
      <xdr:colOff>495300</xdr:colOff>
      <xdr:row>178</xdr:row>
      <xdr:rowOff>142875</xdr:rowOff>
    </xdr:to>
    <xdr:sp macro="" textlink="">
      <xdr:nvSpPr>
        <xdr:cNvPr id="373" name="Line 75">
          <a:extLst>
            <a:ext uri="{FF2B5EF4-FFF2-40B4-BE49-F238E27FC236}">
              <a16:creationId xmlns:a16="http://schemas.microsoft.com/office/drawing/2014/main" id="{00000000-0008-0000-0300-000075010000}"/>
            </a:ext>
          </a:extLst>
        </xdr:cNvPr>
        <xdr:cNvSpPr>
          <a:spLocks noChangeShapeType="1"/>
        </xdr:cNvSpPr>
      </xdr:nvSpPr>
      <xdr:spPr bwMode="auto">
        <a:xfrm flipV="1">
          <a:off x="3800475" y="33137475"/>
          <a:ext cx="0"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600075</xdr:colOff>
      <xdr:row>177</xdr:row>
      <xdr:rowOff>9525</xdr:rowOff>
    </xdr:from>
    <xdr:to>
      <xdr:col>6</xdr:col>
      <xdr:colOff>561975</xdr:colOff>
      <xdr:row>177</xdr:row>
      <xdr:rowOff>9525</xdr:rowOff>
    </xdr:to>
    <xdr:sp macro="" textlink="">
      <xdr:nvSpPr>
        <xdr:cNvPr id="374" name="Line 76">
          <a:extLst>
            <a:ext uri="{FF2B5EF4-FFF2-40B4-BE49-F238E27FC236}">
              <a16:creationId xmlns:a16="http://schemas.microsoft.com/office/drawing/2014/main" id="{00000000-0008-0000-0300-000076010000}"/>
            </a:ext>
          </a:extLst>
        </xdr:cNvPr>
        <xdr:cNvSpPr>
          <a:spLocks noChangeShapeType="1"/>
        </xdr:cNvSpPr>
      </xdr:nvSpPr>
      <xdr:spPr bwMode="auto">
        <a:xfrm>
          <a:off x="3152775" y="33185100"/>
          <a:ext cx="714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552450</xdr:colOff>
      <xdr:row>179</xdr:row>
      <xdr:rowOff>38100</xdr:rowOff>
    </xdr:from>
    <xdr:to>
      <xdr:col>6</xdr:col>
      <xdr:colOff>1076325</xdr:colOff>
      <xdr:row>179</xdr:row>
      <xdr:rowOff>38100</xdr:rowOff>
    </xdr:to>
    <xdr:sp macro="" textlink="">
      <xdr:nvSpPr>
        <xdr:cNvPr id="375" name="Line 77">
          <a:extLst>
            <a:ext uri="{FF2B5EF4-FFF2-40B4-BE49-F238E27FC236}">
              <a16:creationId xmlns:a16="http://schemas.microsoft.com/office/drawing/2014/main" id="{00000000-0008-0000-0300-000077010000}"/>
            </a:ext>
          </a:extLst>
        </xdr:cNvPr>
        <xdr:cNvSpPr>
          <a:spLocks noChangeShapeType="1"/>
        </xdr:cNvSpPr>
      </xdr:nvSpPr>
      <xdr:spPr bwMode="auto">
        <a:xfrm>
          <a:off x="3857625" y="3359467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533400</xdr:colOff>
      <xdr:row>181</xdr:row>
      <xdr:rowOff>0</xdr:rowOff>
    </xdr:from>
    <xdr:to>
      <xdr:col>6</xdr:col>
      <xdr:colOff>1057275</xdr:colOff>
      <xdr:row>181</xdr:row>
      <xdr:rowOff>0</xdr:rowOff>
    </xdr:to>
    <xdr:sp macro="" textlink="">
      <xdr:nvSpPr>
        <xdr:cNvPr id="376" name="Line 78">
          <a:extLst>
            <a:ext uri="{FF2B5EF4-FFF2-40B4-BE49-F238E27FC236}">
              <a16:creationId xmlns:a16="http://schemas.microsoft.com/office/drawing/2014/main" id="{00000000-0008-0000-0300-000078010000}"/>
            </a:ext>
          </a:extLst>
        </xdr:cNvPr>
        <xdr:cNvSpPr>
          <a:spLocks noChangeShapeType="1"/>
        </xdr:cNvSpPr>
      </xdr:nvSpPr>
      <xdr:spPr bwMode="auto">
        <a:xfrm>
          <a:off x="3838575" y="3393757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962025</xdr:colOff>
      <xdr:row>178</xdr:row>
      <xdr:rowOff>171450</xdr:rowOff>
    </xdr:from>
    <xdr:to>
      <xdr:col>6</xdr:col>
      <xdr:colOff>962025</xdr:colOff>
      <xdr:row>181</xdr:row>
      <xdr:rowOff>57150</xdr:rowOff>
    </xdr:to>
    <xdr:sp macro="" textlink="">
      <xdr:nvSpPr>
        <xdr:cNvPr id="377" name="Line 79">
          <a:extLst>
            <a:ext uri="{FF2B5EF4-FFF2-40B4-BE49-F238E27FC236}">
              <a16:creationId xmlns:a16="http://schemas.microsoft.com/office/drawing/2014/main" id="{00000000-0008-0000-0300-000079010000}"/>
            </a:ext>
          </a:extLst>
        </xdr:cNvPr>
        <xdr:cNvSpPr>
          <a:spLocks noChangeShapeType="1"/>
        </xdr:cNvSpPr>
      </xdr:nvSpPr>
      <xdr:spPr bwMode="auto">
        <a:xfrm>
          <a:off x="4267200" y="33537525"/>
          <a:ext cx="0" cy="457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914400</xdr:colOff>
      <xdr:row>178</xdr:row>
      <xdr:rowOff>180975</xdr:rowOff>
    </xdr:from>
    <xdr:to>
      <xdr:col>6</xdr:col>
      <xdr:colOff>1009650</xdr:colOff>
      <xdr:row>179</xdr:row>
      <xdr:rowOff>85725</xdr:rowOff>
    </xdr:to>
    <xdr:sp macro="" textlink="">
      <xdr:nvSpPr>
        <xdr:cNvPr id="378" name="Line 81">
          <a:extLst>
            <a:ext uri="{FF2B5EF4-FFF2-40B4-BE49-F238E27FC236}">
              <a16:creationId xmlns:a16="http://schemas.microsoft.com/office/drawing/2014/main" id="{00000000-0008-0000-0300-00007A010000}"/>
            </a:ext>
          </a:extLst>
        </xdr:cNvPr>
        <xdr:cNvSpPr>
          <a:spLocks noChangeShapeType="1"/>
        </xdr:cNvSpPr>
      </xdr:nvSpPr>
      <xdr:spPr bwMode="auto">
        <a:xfrm flipH="1">
          <a:off x="4219575" y="33547050"/>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895350</xdr:colOff>
      <xdr:row>180</xdr:row>
      <xdr:rowOff>161925</xdr:rowOff>
    </xdr:from>
    <xdr:to>
      <xdr:col>6</xdr:col>
      <xdr:colOff>1000125</xdr:colOff>
      <xdr:row>181</xdr:row>
      <xdr:rowOff>76200</xdr:rowOff>
    </xdr:to>
    <xdr:sp macro="" textlink="">
      <xdr:nvSpPr>
        <xdr:cNvPr id="379" name="Line 82">
          <a:extLst>
            <a:ext uri="{FF2B5EF4-FFF2-40B4-BE49-F238E27FC236}">
              <a16:creationId xmlns:a16="http://schemas.microsoft.com/office/drawing/2014/main" id="{00000000-0008-0000-0300-00007B010000}"/>
            </a:ext>
          </a:extLst>
        </xdr:cNvPr>
        <xdr:cNvSpPr>
          <a:spLocks noChangeShapeType="1"/>
        </xdr:cNvSpPr>
      </xdr:nvSpPr>
      <xdr:spPr bwMode="auto">
        <a:xfrm flipH="1">
          <a:off x="4200525" y="3390900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571500</xdr:colOff>
      <xdr:row>176</xdr:row>
      <xdr:rowOff>142875</xdr:rowOff>
    </xdr:from>
    <xdr:to>
      <xdr:col>5</xdr:col>
      <xdr:colOff>676275</xdr:colOff>
      <xdr:row>177</xdr:row>
      <xdr:rowOff>57150</xdr:rowOff>
    </xdr:to>
    <xdr:sp macro="" textlink="">
      <xdr:nvSpPr>
        <xdr:cNvPr id="380" name="Line 83">
          <a:extLst>
            <a:ext uri="{FF2B5EF4-FFF2-40B4-BE49-F238E27FC236}">
              <a16:creationId xmlns:a16="http://schemas.microsoft.com/office/drawing/2014/main" id="{00000000-0008-0000-0300-00007C010000}"/>
            </a:ext>
          </a:extLst>
        </xdr:cNvPr>
        <xdr:cNvSpPr>
          <a:spLocks noChangeShapeType="1"/>
        </xdr:cNvSpPr>
      </xdr:nvSpPr>
      <xdr:spPr bwMode="auto">
        <a:xfrm flipH="1">
          <a:off x="3124200" y="33127950"/>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438150</xdr:colOff>
      <xdr:row>176</xdr:row>
      <xdr:rowOff>142875</xdr:rowOff>
    </xdr:from>
    <xdr:to>
      <xdr:col>6</xdr:col>
      <xdr:colOff>552450</xdr:colOff>
      <xdr:row>177</xdr:row>
      <xdr:rowOff>66675</xdr:rowOff>
    </xdr:to>
    <xdr:sp macro="" textlink="">
      <xdr:nvSpPr>
        <xdr:cNvPr id="381" name="Line 84">
          <a:extLst>
            <a:ext uri="{FF2B5EF4-FFF2-40B4-BE49-F238E27FC236}">
              <a16:creationId xmlns:a16="http://schemas.microsoft.com/office/drawing/2014/main" id="{00000000-0008-0000-0300-00007D010000}"/>
            </a:ext>
          </a:extLst>
        </xdr:cNvPr>
        <xdr:cNvSpPr>
          <a:spLocks noChangeShapeType="1"/>
        </xdr:cNvSpPr>
      </xdr:nvSpPr>
      <xdr:spPr bwMode="auto">
        <a:xfrm flipH="1">
          <a:off x="3743325" y="3312795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381000</xdr:colOff>
      <xdr:row>179</xdr:row>
      <xdr:rowOff>66675</xdr:rowOff>
    </xdr:from>
    <xdr:to>
      <xdr:col>5</xdr:col>
      <xdr:colOff>600075</xdr:colOff>
      <xdr:row>181</xdr:row>
      <xdr:rowOff>19050</xdr:rowOff>
    </xdr:to>
    <xdr:sp macro="" textlink="">
      <xdr:nvSpPr>
        <xdr:cNvPr id="382" name="Line 85">
          <a:extLst>
            <a:ext uri="{FF2B5EF4-FFF2-40B4-BE49-F238E27FC236}">
              <a16:creationId xmlns:a16="http://schemas.microsoft.com/office/drawing/2014/main" id="{00000000-0008-0000-0300-00007E010000}"/>
            </a:ext>
          </a:extLst>
        </xdr:cNvPr>
        <xdr:cNvSpPr>
          <a:spLocks noChangeShapeType="1"/>
        </xdr:cNvSpPr>
      </xdr:nvSpPr>
      <xdr:spPr bwMode="auto">
        <a:xfrm flipH="1">
          <a:off x="2933700" y="33623250"/>
          <a:ext cx="2190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238125</xdr:colOff>
      <xdr:row>181</xdr:row>
      <xdr:rowOff>19050</xdr:rowOff>
    </xdr:from>
    <xdr:to>
      <xdr:col>6</xdr:col>
      <xdr:colOff>457200</xdr:colOff>
      <xdr:row>183</xdr:row>
      <xdr:rowOff>9525</xdr:rowOff>
    </xdr:to>
    <xdr:sp macro="" textlink="">
      <xdr:nvSpPr>
        <xdr:cNvPr id="383" name="Line 86">
          <a:extLst>
            <a:ext uri="{FF2B5EF4-FFF2-40B4-BE49-F238E27FC236}">
              <a16:creationId xmlns:a16="http://schemas.microsoft.com/office/drawing/2014/main" id="{00000000-0008-0000-0300-00007F010000}"/>
            </a:ext>
          </a:extLst>
        </xdr:cNvPr>
        <xdr:cNvSpPr>
          <a:spLocks noChangeShapeType="1"/>
        </xdr:cNvSpPr>
      </xdr:nvSpPr>
      <xdr:spPr bwMode="auto">
        <a:xfrm flipH="1">
          <a:off x="3543300" y="33956625"/>
          <a:ext cx="219075" cy="371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371475</xdr:colOff>
      <xdr:row>180</xdr:row>
      <xdr:rowOff>161925</xdr:rowOff>
    </xdr:from>
    <xdr:to>
      <xdr:col>6</xdr:col>
      <xdr:colOff>314325</xdr:colOff>
      <xdr:row>183</xdr:row>
      <xdr:rowOff>0</xdr:rowOff>
    </xdr:to>
    <xdr:sp macro="" textlink="">
      <xdr:nvSpPr>
        <xdr:cNvPr id="384" name="Line 87">
          <a:extLst>
            <a:ext uri="{FF2B5EF4-FFF2-40B4-BE49-F238E27FC236}">
              <a16:creationId xmlns:a16="http://schemas.microsoft.com/office/drawing/2014/main" id="{00000000-0008-0000-0300-000080010000}"/>
            </a:ext>
          </a:extLst>
        </xdr:cNvPr>
        <xdr:cNvSpPr>
          <a:spLocks noChangeShapeType="1"/>
        </xdr:cNvSpPr>
      </xdr:nvSpPr>
      <xdr:spPr bwMode="auto">
        <a:xfrm flipH="1" flipV="1">
          <a:off x="2924175" y="33909000"/>
          <a:ext cx="695325"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247650</xdr:colOff>
      <xdr:row>175</xdr:row>
      <xdr:rowOff>104775</xdr:rowOff>
    </xdr:from>
    <xdr:to>
      <xdr:col>6</xdr:col>
      <xdr:colOff>1247775</xdr:colOff>
      <xdr:row>183</xdr:row>
      <xdr:rowOff>180975</xdr:rowOff>
    </xdr:to>
    <xdr:sp macro="" textlink="">
      <xdr:nvSpPr>
        <xdr:cNvPr id="385" name="Oval 88">
          <a:extLst>
            <a:ext uri="{FF2B5EF4-FFF2-40B4-BE49-F238E27FC236}">
              <a16:creationId xmlns:a16="http://schemas.microsoft.com/office/drawing/2014/main" id="{00000000-0008-0000-0300-000081010000}"/>
            </a:ext>
          </a:extLst>
        </xdr:cNvPr>
        <xdr:cNvSpPr>
          <a:spLocks noChangeArrowheads="1"/>
        </xdr:cNvSpPr>
      </xdr:nvSpPr>
      <xdr:spPr bwMode="auto">
        <a:xfrm>
          <a:off x="2800350" y="32899350"/>
          <a:ext cx="1752600" cy="1600200"/>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3</xdr:col>
      <xdr:colOff>219075</xdr:colOff>
      <xdr:row>178</xdr:row>
      <xdr:rowOff>104775</xdr:rowOff>
    </xdr:from>
    <xdr:to>
      <xdr:col>5</xdr:col>
      <xdr:colOff>295275</xdr:colOff>
      <xdr:row>179</xdr:row>
      <xdr:rowOff>57150</xdr:rowOff>
    </xdr:to>
    <xdr:sp macro="" textlink="">
      <xdr:nvSpPr>
        <xdr:cNvPr id="386" name="Line 89">
          <a:extLst>
            <a:ext uri="{FF2B5EF4-FFF2-40B4-BE49-F238E27FC236}">
              <a16:creationId xmlns:a16="http://schemas.microsoft.com/office/drawing/2014/main" id="{00000000-0008-0000-0300-000082010000}"/>
            </a:ext>
          </a:extLst>
        </xdr:cNvPr>
        <xdr:cNvSpPr>
          <a:spLocks noChangeShapeType="1"/>
        </xdr:cNvSpPr>
      </xdr:nvSpPr>
      <xdr:spPr bwMode="auto">
        <a:xfrm flipV="1">
          <a:off x="2076450" y="33470850"/>
          <a:ext cx="771525" cy="142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161925</xdr:colOff>
      <xdr:row>174</xdr:row>
      <xdr:rowOff>66675</xdr:rowOff>
    </xdr:from>
    <xdr:to>
      <xdr:col>2</xdr:col>
      <xdr:colOff>381000</xdr:colOff>
      <xdr:row>176</xdr:row>
      <xdr:rowOff>66675</xdr:rowOff>
    </xdr:to>
    <xdr:sp macro="" textlink="">
      <xdr:nvSpPr>
        <xdr:cNvPr id="387" name="Tegning 312">
          <a:extLst>
            <a:ext uri="{FF2B5EF4-FFF2-40B4-BE49-F238E27FC236}">
              <a16:creationId xmlns:a16="http://schemas.microsoft.com/office/drawing/2014/main" id="{00000000-0008-0000-0300-000083010000}"/>
            </a:ext>
          </a:extLst>
        </xdr:cNvPr>
        <xdr:cNvSpPr>
          <a:spLocks/>
        </xdr:cNvSpPr>
      </xdr:nvSpPr>
      <xdr:spPr bwMode="auto">
        <a:xfrm>
          <a:off x="1438275" y="3267075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179</xdr:row>
      <xdr:rowOff>180975</xdr:rowOff>
    </xdr:from>
    <xdr:to>
      <xdr:col>3</xdr:col>
      <xdr:colOff>85725</xdr:colOff>
      <xdr:row>180</xdr:row>
      <xdr:rowOff>76200</xdr:rowOff>
    </xdr:to>
    <xdr:sp macro="" textlink="">
      <xdr:nvSpPr>
        <xdr:cNvPr id="388" name="AutoShape 130">
          <a:extLst>
            <a:ext uri="{FF2B5EF4-FFF2-40B4-BE49-F238E27FC236}">
              <a16:creationId xmlns:a16="http://schemas.microsoft.com/office/drawing/2014/main" id="{00000000-0008-0000-0300-000084010000}"/>
            </a:ext>
          </a:extLst>
        </xdr:cNvPr>
        <xdr:cNvSpPr>
          <a:spLocks noChangeArrowheads="1"/>
        </xdr:cNvSpPr>
      </xdr:nvSpPr>
      <xdr:spPr bwMode="auto">
        <a:xfrm flipH="1" flipV="1">
          <a:off x="1857375" y="33737550"/>
          <a:ext cx="85725" cy="8572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247650</xdr:colOff>
      <xdr:row>174</xdr:row>
      <xdr:rowOff>76200</xdr:rowOff>
    </xdr:from>
    <xdr:to>
      <xdr:col>2</xdr:col>
      <xdr:colOff>457200</xdr:colOff>
      <xdr:row>177</xdr:row>
      <xdr:rowOff>76200</xdr:rowOff>
    </xdr:to>
    <xdr:sp macro="" textlink="">
      <xdr:nvSpPr>
        <xdr:cNvPr id="390" name="Freeform 21009">
          <a:extLst>
            <a:ext uri="{FF2B5EF4-FFF2-40B4-BE49-F238E27FC236}">
              <a16:creationId xmlns:a16="http://schemas.microsoft.com/office/drawing/2014/main" id="{00000000-0008-0000-0300-000086010000}"/>
            </a:ext>
          </a:extLst>
        </xdr:cNvPr>
        <xdr:cNvSpPr>
          <a:spLocks/>
        </xdr:cNvSpPr>
      </xdr:nvSpPr>
      <xdr:spPr bwMode="auto">
        <a:xfrm>
          <a:off x="1276350" y="32680275"/>
          <a:ext cx="457200" cy="571500"/>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409575</xdr:colOff>
      <xdr:row>174</xdr:row>
      <xdr:rowOff>123825</xdr:rowOff>
    </xdr:from>
    <xdr:to>
      <xdr:col>2</xdr:col>
      <xdr:colOff>409575</xdr:colOff>
      <xdr:row>176</xdr:row>
      <xdr:rowOff>47625</xdr:rowOff>
    </xdr:to>
    <xdr:sp macro="" textlink="">
      <xdr:nvSpPr>
        <xdr:cNvPr id="391" name="Line 21010">
          <a:extLst>
            <a:ext uri="{FF2B5EF4-FFF2-40B4-BE49-F238E27FC236}">
              <a16:creationId xmlns:a16="http://schemas.microsoft.com/office/drawing/2014/main" id="{00000000-0008-0000-0300-000087010000}"/>
            </a:ext>
          </a:extLst>
        </xdr:cNvPr>
        <xdr:cNvSpPr>
          <a:spLocks noChangeShapeType="1"/>
        </xdr:cNvSpPr>
      </xdr:nvSpPr>
      <xdr:spPr bwMode="auto">
        <a:xfrm>
          <a:off x="1685925" y="327279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180975</xdr:colOff>
      <xdr:row>174</xdr:row>
      <xdr:rowOff>104775</xdr:rowOff>
    </xdr:from>
    <xdr:to>
      <xdr:col>2</xdr:col>
      <xdr:colOff>180975</xdr:colOff>
      <xdr:row>176</xdr:row>
      <xdr:rowOff>28575</xdr:rowOff>
    </xdr:to>
    <xdr:sp macro="" textlink="">
      <xdr:nvSpPr>
        <xdr:cNvPr id="392" name="Line 21011">
          <a:extLst>
            <a:ext uri="{FF2B5EF4-FFF2-40B4-BE49-F238E27FC236}">
              <a16:creationId xmlns:a16="http://schemas.microsoft.com/office/drawing/2014/main" id="{00000000-0008-0000-0300-000088010000}"/>
            </a:ext>
          </a:extLst>
        </xdr:cNvPr>
        <xdr:cNvSpPr>
          <a:spLocks noChangeShapeType="1"/>
        </xdr:cNvSpPr>
      </xdr:nvSpPr>
      <xdr:spPr bwMode="auto">
        <a:xfrm>
          <a:off x="1457325" y="327088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176</xdr:row>
      <xdr:rowOff>28575</xdr:rowOff>
    </xdr:from>
    <xdr:to>
      <xdr:col>2</xdr:col>
      <xdr:colOff>542925</xdr:colOff>
      <xdr:row>177</xdr:row>
      <xdr:rowOff>47625</xdr:rowOff>
    </xdr:to>
    <xdr:sp macro="" textlink="">
      <xdr:nvSpPr>
        <xdr:cNvPr id="393" name="Line 21012">
          <a:extLst>
            <a:ext uri="{FF2B5EF4-FFF2-40B4-BE49-F238E27FC236}">
              <a16:creationId xmlns:a16="http://schemas.microsoft.com/office/drawing/2014/main" id="{00000000-0008-0000-0300-000089010000}"/>
            </a:ext>
          </a:extLst>
        </xdr:cNvPr>
        <xdr:cNvSpPr>
          <a:spLocks noChangeShapeType="1"/>
        </xdr:cNvSpPr>
      </xdr:nvSpPr>
      <xdr:spPr bwMode="auto">
        <a:xfrm>
          <a:off x="1819275" y="330136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1143000</xdr:colOff>
      <xdr:row>176</xdr:row>
      <xdr:rowOff>0</xdr:rowOff>
    </xdr:from>
    <xdr:to>
      <xdr:col>3</xdr:col>
      <xdr:colOff>200025</xdr:colOff>
      <xdr:row>176</xdr:row>
      <xdr:rowOff>0</xdr:rowOff>
    </xdr:to>
    <xdr:sp macro="" textlink="">
      <xdr:nvSpPr>
        <xdr:cNvPr id="394" name="Line 21013">
          <a:extLst>
            <a:ext uri="{FF2B5EF4-FFF2-40B4-BE49-F238E27FC236}">
              <a16:creationId xmlns:a16="http://schemas.microsoft.com/office/drawing/2014/main" id="{00000000-0008-0000-0300-00008A010000}"/>
            </a:ext>
          </a:extLst>
        </xdr:cNvPr>
        <xdr:cNvSpPr>
          <a:spLocks noChangeShapeType="1"/>
        </xdr:cNvSpPr>
      </xdr:nvSpPr>
      <xdr:spPr bwMode="auto">
        <a:xfrm flipH="1">
          <a:off x="1143000" y="32985075"/>
          <a:ext cx="9144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175</xdr:row>
      <xdr:rowOff>152400</xdr:rowOff>
    </xdr:from>
    <xdr:to>
      <xdr:col>2</xdr:col>
      <xdr:colOff>209550</xdr:colOff>
      <xdr:row>176</xdr:row>
      <xdr:rowOff>19050</xdr:rowOff>
    </xdr:to>
    <xdr:sp macro="" textlink="">
      <xdr:nvSpPr>
        <xdr:cNvPr id="395" name="Line 21014">
          <a:extLst>
            <a:ext uri="{FF2B5EF4-FFF2-40B4-BE49-F238E27FC236}">
              <a16:creationId xmlns:a16="http://schemas.microsoft.com/office/drawing/2014/main" id="{00000000-0008-0000-0300-00008B010000}"/>
            </a:ext>
          </a:extLst>
        </xdr:cNvPr>
        <xdr:cNvSpPr>
          <a:spLocks noChangeShapeType="1"/>
        </xdr:cNvSpPr>
      </xdr:nvSpPr>
      <xdr:spPr bwMode="auto">
        <a:xfrm flipH="1">
          <a:off x="1428750" y="32946975"/>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371475</xdr:colOff>
      <xdr:row>175</xdr:row>
      <xdr:rowOff>152400</xdr:rowOff>
    </xdr:from>
    <xdr:to>
      <xdr:col>2</xdr:col>
      <xdr:colOff>438150</xdr:colOff>
      <xdr:row>176</xdr:row>
      <xdr:rowOff>28575</xdr:rowOff>
    </xdr:to>
    <xdr:sp macro="" textlink="">
      <xdr:nvSpPr>
        <xdr:cNvPr id="396" name="Line 21015">
          <a:extLst>
            <a:ext uri="{FF2B5EF4-FFF2-40B4-BE49-F238E27FC236}">
              <a16:creationId xmlns:a16="http://schemas.microsoft.com/office/drawing/2014/main" id="{00000000-0008-0000-0300-00008C010000}"/>
            </a:ext>
          </a:extLst>
        </xdr:cNvPr>
        <xdr:cNvSpPr>
          <a:spLocks noChangeShapeType="1"/>
        </xdr:cNvSpPr>
      </xdr:nvSpPr>
      <xdr:spPr bwMode="auto">
        <a:xfrm flipH="1">
          <a:off x="1647825" y="329469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175</xdr:row>
      <xdr:rowOff>152400</xdr:rowOff>
    </xdr:from>
    <xdr:to>
      <xdr:col>2</xdr:col>
      <xdr:colOff>485775</xdr:colOff>
      <xdr:row>176</xdr:row>
      <xdr:rowOff>28575</xdr:rowOff>
    </xdr:to>
    <xdr:sp macro="" textlink="">
      <xdr:nvSpPr>
        <xdr:cNvPr id="397" name="Line 21016">
          <a:extLst>
            <a:ext uri="{FF2B5EF4-FFF2-40B4-BE49-F238E27FC236}">
              <a16:creationId xmlns:a16="http://schemas.microsoft.com/office/drawing/2014/main" id="{00000000-0008-0000-0300-00008D010000}"/>
            </a:ext>
          </a:extLst>
        </xdr:cNvPr>
        <xdr:cNvSpPr>
          <a:spLocks noChangeShapeType="1"/>
        </xdr:cNvSpPr>
      </xdr:nvSpPr>
      <xdr:spPr bwMode="auto">
        <a:xfrm flipH="1">
          <a:off x="1695450" y="329469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176</xdr:row>
      <xdr:rowOff>152400</xdr:rowOff>
    </xdr:from>
    <xdr:to>
      <xdr:col>3</xdr:col>
      <xdr:colOff>0</xdr:colOff>
      <xdr:row>177</xdr:row>
      <xdr:rowOff>28575</xdr:rowOff>
    </xdr:to>
    <xdr:sp macro="" textlink="">
      <xdr:nvSpPr>
        <xdr:cNvPr id="398" name="Line 21017">
          <a:extLst>
            <a:ext uri="{FF2B5EF4-FFF2-40B4-BE49-F238E27FC236}">
              <a16:creationId xmlns:a16="http://schemas.microsoft.com/office/drawing/2014/main" id="{00000000-0008-0000-0300-00008E010000}"/>
            </a:ext>
          </a:extLst>
        </xdr:cNvPr>
        <xdr:cNvSpPr>
          <a:spLocks noChangeShapeType="1"/>
        </xdr:cNvSpPr>
      </xdr:nvSpPr>
      <xdr:spPr bwMode="auto">
        <a:xfrm flipH="1">
          <a:off x="1790700" y="331374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177</xdr:row>
      <xdr:rowOff>0</xdr:rowOff>
    </xdr:from>
    <xdr:to>
      <xdr:col>3</xdr:col>
      <xdr:colOff>295275</xdr:colOff>
      <xdr:row>177</xdr:row>
      <xdr:rowOff>0</xdr:rowOff>
    </xdr:to>
    <xdr:sp macro="" textlink="">
      <xdr:nvSpPr>
        <xdr:cNvPr id="399" name="Line 21018">
          <a:extLst>
            <a:ext uri="{FF2B5EF4-FFF2-40B4-BE49-F238E27FC236}">
              <a16:creationId xmlns:a16="http://schemas.microsoft.com/office/drawing/2014/main" id="{00000000-0008-0000-0300-00008F010000}"/>
            </a:ext>
          </a:extLst>
        </xdr:cNvPr>
        <xdr:cNvSpPr>
          <a:spLocks noChangeShapeType="1"/>
        </xdr:cNvSpPr>
      </xdr:nvSpPr>
      <xdr:spPr bwMode="auto">
        <a:xfrm>
          <a:off x="1733550" y="33175575"/>
          <a:ext cx="4191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419100</xdr:colOff>
      <xdr:row>176</xdr:row>
      <xdr:rowOff>152400</xdr:rowOff>
    </xdr:from>
    <xdr:to>
      <xdr:col>2</xdr:col>
      <xdr:colOff>485775</xdr:colOff>
      <xdr:row>177</xdr:row>
      <xdr:rowOff>28575</xdr:rowOff>
    </xdr:to>
    <xdr:sp macro="" textlink="">
      <xdr:nvSpPr>
        <xdr:cNvPr id="400" name="Line 21019">
          <a:extLst>
            <a:ext uri="{FF2B5EF4-FFF2-40B4-BE49-F238E27FC236}">
              <a16:creationId xmlns:a16="http://schemas.microsoft.com/office/drawing/2014/main" id="{00000000-0008-0000-0300-000090010000}"/>
            </a:ext>
          </a:extLst>
        </xdr:cNvPr>
        <xdr:cNvSpPr>
          <a:spLocks noChangeShapeType="1"/>
        </xdr:cNvSpPr>
      </xdr:nvSpPr>
      <xdr:spPr bwMode="auto">
        <a:xfrm flipH="1">
          <a:off x="1695450" y="331374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172</xdr:row>
      <xdr:rowOff>57150</xdr:rowOff>
    </xdr:from>
    <xdr:to>
      <xdr:col>5</xdr:col>
      <xdr:colOff>542925</xdr:colOff>
      <xdr:row>174</xdr:row>
      <xdr:rowOff>104775</xdr:rowOff>
    </xdr:to>
    <xdr:sp macro="" textlink="">
      <xdr:nvSpPr>
        <xdr:cNvPr id="401" name="Tegning 344">
          <a:extLst>
            <a:ext uri="{FF2B5EF4-FFF2-40B4-BE49-F238E27FC236}">
              <a16:creationId xmlns:a16="http://schemas.microsoft.com/office/drawing/2014/main" id="{00000000-0008-0000-0300-000091010000}"/>
            </a:ext>
          </a:extLst>
        </xdr:cNvPr>
        <xdr:cNvSpPr>
          <a:spLocks/>
        </xdr:cNvSpPr>
      </xdr:nvSpPr>
      <xdr:spPr bwMode="auto">
        <a:xfrm>
          <a:off x="1885950" y="32280225"/>
          <a:ext cx="120967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170</xdr:row>
      <xdr:rowOff>133350</xdr:rowOff>
    </xdr:from>
    <xdr:to>
      <xdr:col>5</xdr:col>
      <xdr:colOff>523875</xdr:colOff>
      <xdr:row>172</xdr:row>
      <xdr:rowOff>85725</xdr:rowOff>
    </xdr:to>
    <xdr:sp macro="" textlink="">
      <xdr:nvSpPr>
        <xdr:cNvPr id="402" name="Tegning 344">
          <a:extLst>
            <a:ext uri="{FF2B5EF4-FFF2-40B4-BE49-F238E27FC236}">
              <a16:creationId xmlns:a16="http://schemas.microsoft.com/office/drawing/2014/main" id="{00000000-0008-0000-0300-000092010000}"/>
            </a:ext>
          </a:extLst>
        </xdr:cNvPr>
        <xdr:cNvSpPr>
          <a:spLocks/>
        </xdr:cNvSpPr>
      </xdr:nvSpPr>
      <xdr:spPr bwMode="auto">
        <a:xfrm flipV="1">
          <a:off x="1885950" y="31975425"/>
          <a:ext cx="11906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170</xdr:row>
      <xdr:rowOff>133350</xdr:rowOff>
    </xdr:from>
    <xdr:to>
      <xdr:col>5</xdr:col>
      <xdr:colOff>200025</xdr:colOff>
      <xdr:row>172</xdr:row>
      <xdr:rowOff>180975</xdr:rowOff>
    </xdr:to>
    <xdr:sp macro="" textlink="">
      <xdr:nvSpPr>
        <xdr:cNvPr id="403" name="Tegning 344">
          <a:extLst>
            <a:ext uri="{FF2B5EF4-FFF2-40B4-BE49-F238E27FC236}">
              <a16:creationId xmlns:a16="http://schemas.microsoft.com/office/drawing/2014/main" id="{00000000-0008-0000-0300-000093010000}"/>
            </a:ext>
          </a:extLst>
        </xdr:cNvPr>
        <xdr:cNvSpPr>
          <a:spLocks/>
        </xdr:cNvSpPr>
      </xdr:nvSpPr>
      <xdr:spPr bwMode="auto">
        <a:xfrm flipV="1">
          <a:off x="1476375" y="31975425"/>
          <a:ext cx="1276350"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171</xdr:row>
      <xdr:rowOff>123825</xdr:rowOff>
    </xdr:from>
    <xdr:to>
      <xdr:col>5</xdr:col>
      <xdr:colOff>190500</xdr:colOff>
      <xdr:row>173</xdr:row>
      <xdr:rowOff>171450</xdr:rowOff>
    </xdr:to>
    <xdr:sp macro="" textlink="">
      <xdr:nvSpPr>
        <xdr:cNvPr id="404" name="Tegning 344">
          <a:extLst>
            <a:ext uri="{FF2B5EF4-FFF2-40B4-BE49-F238E27FC236}">
              <a16:creationId xmlns:a16="http://schemas.microsoft.com/office/drawing/2014/main" id="{00000000-0008-0000-0300-000094010000}"/>
            </a:ext>
          </a:extLst>
        </xdr:cNvPr>
        <xdr:cNvSpPr>
          <a:spLocks/>
        </xdr:cNvSpPr>
      </xdr:nvSpPr>
      <xdr:spPr bwMode="auto">
        <a:xfrm>
          <a:off x="1476375" y="32156400"/>
          <a:ext cx="126682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173</xdr:row>
      <xdr:rowOff>104775</xdr:rowOff>
    </xdr:from>
    <xdr:to>
      <xdr:col>2</xdr:col>
      <xdr:colOff>266700</xdr:colOff>
      <xdr:row>173</xdr:row>
      <xdr:rowOff>142875</xdr:rowOff>
    </xdr:to>
    <xdr:sp macro="" textlink="">
      <xdr:nvSpPr>
        <xdr:cNvPr id="405" name="Oval 21024">
          <a:extLst>
            <a:ext uri="{FF2B5EF4-FFF2-40B4-BE49-F238E27FC236}">
              <a16:creationId xmlns:a16="http://schemas.microsoft.com/office/drawing/2014/main" id="{00000000-0008-0000-0300-000095010000}"/>
            </a:ext>
          </a:extLst>
        </xdr:cNvPr>
        <xdr:cNvSpPr>
          <a:spLocks noChangeArrowheads="1"/>
        </xdr:cNvSpPr>
      </xdr:nvSpPr>
      <xdr:spPr bwMode="auto">
        <a:xfrm>
          <a:off x="1504950" y="325183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219075</xdr:colOff>
      <xdr:row>170</xdr:row>
      <xdr:rowOff>152400</xdr:rowOff>
    </xdr:from>
    <xdr:to>
      <xdr:col>2</xdr:col>
      <xdr:colOff>257175</xdr:colOff>
      <xdr:row>171</xdr:row>
      <xdr:rowOff>0</xdr:rowOff>
    </xdr:to>
    <xdr:sp macro="" textlink="">
      <xdr:nvSpPr>
        <xdr:cNvPr id="406" name="Oval 21025">
          <a:extLst>
            <a:ext uri="{FF2B5EF4-FFF2-40B4-BE49-F238E27FC236}">
              <a16:creationId xmlns:a16="http://schemas.microsoft.com/office/drawing/2014/main" id="{00000000-0008-0000-0300-000096010000}"/>
            </a:ext>
          </a:extLst>
        </xdr:cNvPr>
        <xdr:cNvSpPr>
          <a:spLocks noChangeArrowheads="1"/>
        </xdr:cNvSpPr>
      </xdr:nvSpPr>
      <xdr:spPr bwMode="auto">
        <a:xfrm>
          <a:off x="1495425" y="319944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170</xdr:row>
      <xdr:rowOff>152400</xdr:rowOff>
    </xdr:from>
    <xdr:to>
      <xdr:col>3</xdr:col>
      <xdr:colOff>95250</xdr:colOff>
      <xdr:row>171</xdr:row>
      <xdr:rowOff>0</xdr:rowOff>
    </xdr:to>
    <xdr:sp macro="" textlink="">
      <xdr:nvSpPr>
        <xdr:cNvPr id="407" name="Oval 21026">
          <a:extLst>
            <a:ext uri="{FF2B5EF4-FFF2-40B4-BE49-F238E27FC236}">
              <a16:creationId xmlns:a16="http://schemas.microsoft.com/office/drawing/2014/main" id="{00000000-0008-0000-0300-000097010000}"/>
            </a:ext>
          </a:extLst>
        </xdr:cNvPr>
        <xdr:cNvSpPr>
          <a:spLocks noChangeArrowheads="1"/>
        </xdr:cNvSpPr>
      </xdr:nvSpPr>
      <xdr:spPr bwMode="auto">
        <a:xfrm>
          <a:off x="1914525" y="319944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174</xdr:row>
      <xdr:rowOff>38100</xdr:rowOff>
    </xdr:from>
    <xdr:to>
      <xdr:col>3</xdr:col>
      <xdr:colOff>95250</xdr:colOff>
      <xdr:row>174</xdr:row>
      <xdr:rowOff>76200</xdr:rowOff>
    </xdr:to>
    <xdr:sp macro="" textlink="">
      <xdr:nvSpPr>
        <xdr:cNvPr id="408" name="Oval 21027">
          <a:extLst>
            <a:ext uri="{FF2B5EF4-FFF2-40B4-BE49-F238E27FC236}">
              <a16:creationId xmlns:a16="http://schemas.microsoft.com/office/drawing/2014/main" id="{00000000-0008-0000-0300-000098010000}"/>
            </a:ext>
          </a:extLst>
        </xdr:cNvPr>
        <xdr:cNvSpPr>
          <a:spLocks noChangeArrowheads="1"/>
        </xdr:cNvSpPr>
      </xdr:nvSpPr>
      <xdr:spPr bwMode="auto">
        <a:xfrm>
          <a:off x="1914525" y="326421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183</xdr:row>
      <xdr:rowOff>47625</xdr:rowOff>
    </xdr:from>
    <xdr:to>
      <xdr:col>2</xdr:col>
      <xdr:colOff>371475</xdr:colOff>
      <xdr:row>184</xdr:row>
      <xdr:rowOff>161925</xdr:rowOff>
    </xdr:to>
    <xdr:sp macro="" textlink="">
      <xdr:nvSpPr>
        <xdr:cNvPr id="409" name="Tegning 312">
          <a:extLst>
            <a:ext uri="{FF2B5EF4-FFF2-40B4-BE49-F238E27FC236}">
              <a16:creationId xmlns:a16="http://schemas.microsoft.com/office/drawing/2014/main" id="{00000000-0008-0000-0300-000099010000}"/>
            </a:ext>
          </a:extLst>
        </xdr:cNvPr>
        <xdr:cNvSpPr>
          <a:spLocks/>
        </xdr:cNvSpPr>
      </xdr:nvSpPr>
      <xdr:spPr bwMode="auto">
        <a:xfrm>
          <a:off x="1457325" y="34366200"/>
          <a:ext cx="190500" cy="3048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180</xdr:row>
      <xdr:rowOff>28575</xdr:rowOff>
    </xdr:from>
    <xdr:to>
      <xdr:col>4</xdr:col>
      <xdr:colOff>57150</xdr:colOff>
      <xdr:row>180</xdr:row>
      <xdr:rowOff>28575</xdr:rowOff>
    </xdr:to>
    <xdr:sp macro="" textlink="">
      <xdr:nvSpPr>
        <xdr:cNvPr id="410" name="Line 21029">
          <a:extLst>
            <a:ext uri="{FF2B5EF4-FFF2-40B4-BE49-F238E27FC236}">
              <a16:creationId xmlns:a16="http://schemas.microsoft.com/office/drawing/2014/main" id="{00000000-0008-0000-0300-00009A010000}"/>
            </a:ext>
          </a:extLst>
        </xdr:cNvPr>
        <xdr:cNvSpPr>
          <a:spLocks noChangeShapeType="1"/>
        </xdr:cNvSpPr>
      </xdr:nvSpPr>
      <xdr:spPr bwMode="auto">
        <a:xfrm flipH="1">
          <a:off x="1952625" y="33775650"/>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57150</xdr:colOff>
      <xdr:row>178</xdr:row>
      <xdr:rowOff>161925</xdr:rowOff>
    </xdr:from>
    <xdr:to>
      <xdr:col>3</xdr:col>
      <xdr:colOff>57150</xdr:colOff>
      <xdr:row>180</xdr:row>
      <xdr:rowOff>0</xdr:rowOff>
    </xdr:to>
    <xdr:sp macro="" textlink="">
      <xdr:nvSpPr>
        <xdr:cNvPr id="411" name="Line 21030">
          <a:extLst>
            <a:ext uri="{FF2B5EF4-FFF2-40B4-BE49-F238E27FC236}">
              <a16:creationId xmlns:a16="http://schemas.microsoft.com/office/drawing/2014/main" id="{00000000-0008-0000-0300-00009B010000}"/>
            </a:ext>
          </a:extLst>
        </xdr:cNvPr>
        <xdr:cNvSpPr>
          <a:spLocks noChangeShapeType="1"/>
        </xdr:cNvSpPr>
      </xdr:nvSpPr>
      <xdr:spPr bwMode="auto">
        <a:xfrm>
          <a:off x="1914525" y="33528000"/>
          <a:ext cx="0" cy="219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457200</xdr:colOff>
      <xdr:row>180</xdr:row>
      <xdr:rowOff>19048</xdr:rowOff>
    </xdr:from>
    <xdr:to>
      <xdr:col>3</xdr:col>
      <xdr:colOff>47625</xdr:colOff>
      <xdr:row>181</xdr:row>
      <xdr:rowOff>57149</xdr:rowOff>
    </xdr:to>
    <xdr:sp macro="" textlink="">
      <xdr:nvSpPr>
        <xdr:cNvPr id="412" name="Line 21031">
          <a:extLst>
            <a:ext uri="{FF2B5EF4-FFF2-40B4-BE49-F238E27FC236}">
              <a16:creationId xmlns:a16="http://schemas.microsoft.com/office/drawing/2014/main" id="{00000000-0008-0000-0300-00009C010000}"/>
            </a:ext>
          </a:extLst>
        </xdr:cNvPr>
        <xdr:cNvSpPr>
          <a:spLocks noChangeShapeType="1"/>
        </xdr:cNvSpPr>
      </xdr:nvSpPr>
      <xdr:spPr bwMode="auto">
        <a:xfrm flipV="1">
          <a:off x="1733550" y="34109023"/>
          <a:ext cx="171450" cy="22860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333375</xdr:colOff>
      <xdr:row>180</xdr:row>
      <xdr:rowOff>161925</xdr:rowOff>
    </xdr:from>
    <xdr:to>
      <xdr:col>5</xdr:col>
      <xdr:colOff>476250</xdr:colOff>
      <xdr:row>181</xdr:row>
      <xdr:rowOff>9525</xdr:rowOff>
    </xdr:to>
    <xdr:sp macro="" textlink="">
      <xdr:nvSpPr>
        <xdr:cNvPr id="413" name="Line 21032">
          <a:extLst>
            <a:ext uri="{FF2B5EF4-FFF2-40B4-BE49-F238E27FC236}">
              <a16:creationId xmlns:a16="http://schemas.microsoft.com/office/drawing/2014/main" id="{00000000-0008-0000-0300-00009D010000}"/>
            </a:ext>
          </a:extLst>
        </xdr:cNvPr>
        <xdr:cNvSpPr>
          <a:spLocks noChangeShapeType="1"/>
        </xdr:cNvSpPr>
      </xdr:nvSpPr>
      <xdr:spPr bwMode="auto">
        <a:xfrm flipH="1">
          <a:off x="2886075" y="33909000"/>
          <a:ext cx="142875" cy="38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200025</xdr:colOff>
      <xdr:row>182</xdr:row>
      <xdr:rowOff>142875</xdr:rowOff>
    </xdr:from>
    <xdr:to>
      <xdr:col>6</xdr:col>
      <xdr:colOff>323850</xdr:colOff>
      <xdr:row>182</xdr:row>
      <xdr:rowOff>171450</xdr:rowOff>
    </xdr:to>
    <xdr:sp macro="" textlink="">
      <xdr:nvSpPr>
        <xdr:cNvPr id="414" name="Line 21033">
          <a:extLst>
            <a:ext uri="{FF2B5EF4-FFF2-40B4-BE49-F238E27FC236}">
              <a16:creationId xmlns:a16="http://schemas.microsoft.com/office/drawing/2014/main" id="{00000000-0008-0000-0300-00009E010000}"/>
            </a:ext>
          </a:extLst>
        </xdr:cNvPr>
        <xdr:cNvSpPr>
          <a:spLocks noChangeShapeType="1"/>
        </xdr:cNvSpPr>
      </xdr:nvSpPr>
      <xdr:spPr bwMode="auto">
        <a:xfrm flipH="1">
          <a:off x="3505200" y="34270950"/>
          <a:ext cx="123825" cy="28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180</xdr:row>
      <xdr:rowOff>161925</xdr:rowOff>
    </xdr:from>
    <xdr:to>
      <xdr:col>3</xdr:col>
      <xdr:colOff>57150</xdr:colOff>
      <xdr:row>182</xdr:row>
      <xdr:rowOff>85725</xdr:rowOff>
    </xdr:to>
    <xdr:sp macro="" textlink="">
      <xdr:nvSpPr>
        <xdr:cNvPr id="415" name="Line 21034">
          <a:extLst>
            <a:ext uri="{FF2B5EF4-FFF2-40B4-BE49-F238E27FC236}">
              <a16:creationId xmlns:a16="http://schemas.microsoft.com/office/drawing/2014/main" id="{00000000-0008-0000-0300-00009F010000}"/>
            </a:ext>
          </a:extLst>
        </xdr:cNvPr>
        <xdr:cNvSpPr>
          <a:spLocks noChangeShapeType="1"/>
        </xdr:cNvSpPr>
      </xdr:nvSpPr>
      <xdr:spPr bwMode="auto">
        <a:xfrm>
          <a:off x="1914525" y="339090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181</xdr:row>
      <xdr:rowOff>133350</xdr:rowOff>
    </xdr:from>
    <xdr:to>
      <xdr:col>2</xdr:col>
      <xdr:colOff>314325</xdr:colOff>
      <xdr:row>182</xdr:row>
      <xdr:rowOff>38100</xdr:rowOff>
    </xdr:to>
    <xdr:sp macro="" textlink="">
      <xdr:nvSpPr>
        <xdr:cNvPr id="416" name="Line 21035">
          <a:extLst>
            <a:ext uri="{FF2B5EF4-FFF2-40B4-BE49-F238E27FC236}">
              <a16:creationId xmlns:a16="http://schemas.microsoft.com/office/drawing/2014/main" id="{00000000-0008-0000-0300-0000A0010000}"/>
            </a:ext>
          </a:extLst>
        </xdr:cNvPr>
        <xdr:cNvSpPr>
          <a:spLocks noChangeShapeType="1"/>
        </xdr:cNvSpPr>
      </xdr:nvSpPr>
      <xdr:spPr bwMode="auto">
        <a:xfrm flipH="1">
          <a:off x="1485900" y="34070925"/>
          <a:ext cx="104775"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168</xdr:row>
      <xdr:rowOff>38100</xdr:rowOff>
    </xdr:from>
    <xdr:to>
      <xdr:col>3</xdr:col>
      <xdr:colOff>28575</xdr:colOff>
      <xdr:row>170</xdr:row>
      <xdr:rowOff>95250</xdr:rowOff>
    </xdr:to>
    <xdr:sp macro="" textlink="">
      <xdr:nvSpPr>
        <xdr:cNvPr id="417" name="Line 21036">
          <a:extLst>
            <a:ext uri="{FF2B5EF4-FFF2-40B4-BE49-F238E27FC236}">
              <a16:creationId xmlns:a16="http://schemas.microsoft.com/office/drawing/2014/main" id="{00000000-0008-0000-0300-0000A1010000}"/>
            </a:ext>
          </a:extLst>
        </xdr:cNvPr>
        <xdr:cNvSpPr>
          <a:spLocks noChangeShapeType="1"/>
        </xdr:cNvSpPr>
      </xdr:nvSpPr>
      <xdr:spPr bwMode="auto">
        <a:xfrm flipV="1">
          <a:off x="1885950" y="31499175"/>
          <a:ext cx="0" cy="438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169</xdr:row>
      <xdr:rowOff>28575</xdr:rowOff>
    </xdr:from>
    <xdr:to>
      <xdr:col>2</xdr:col>
      <xdr:colOff>542925</xdr:colOff>
      <xdr:row>173</xdr:row>
      <xdr:rowOff>0</xdr:rowOff>
    </xdr:to>
    <xdr:sp macro="" textlink="">
      <xdr:nvSpPr>
        <xdr:cNvPr id="418" name="Line 21037">
          <a:extLst>
            <a:ext uri="{FF2B5EF4-FFF2-40B4-BE49-F238E27FC236}">
              <a16:creationId xmlns:a16="http://schemas.microsoft.com/office/drawing/2014/main" id="{00000000-0008-0000-0300-0000A2010000}"/>
            </a:ext>
          </a:extLst>
        </xdr:cNvPr>
        <xdr:cNvSpPr>
          <a:spLocks noChangeShapeType="1"/>
        </xdr:cNvSpPr>
      </xdr:nvSpPr>
      <xdr:spPr bwMode="auto">
        <a:xfrm flipV="1">
          <a:off x="1819275" y="31680150"/>
          <a:ext cx="0" cy="733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168</xdr:row>
      <xdr:rowOff>85725</xdr:rowOff>
    </xdr:from>
    <xdr:to>
      <xdr:col>3</xdr:col>
      <xdr:colOff>104775</xdr:colOff>
      <xdr:row>168</xdr:row>
      <xdr:rowOff>85725</xdr:rowOff>
    </xdr:to>
    <xdr:sp macro="" textlink="">
      <xdr:nvSpPr>
        <xdr:cNvPr id="419" name="Line 21038">
          <a:extLst>
            <a:ext uri="{FF2B5EF4-FFF2-40B4-BE49-F238E27FC236}">
              <a16:creationId xmlns:a16="http://schemas.microsoft.com/office/drawing/2014/main" id="{00000000-0008-0000-0300-0000A3010000}"/>
            </a:ext>
          </a:extLst>
        </xdr:cNvPr>
        <xdr:cNvSpPr>
          <a:spLocks noChangeShapeType="1"/>
        </xdr:cNvSpPr>
      </xdr:nvSpPr>
      <xdr:spPr bwMode="auto">
        <a:xfrm flipH="1">
          <a:off x="1657350" y="31546800"/>
          <a:ext cx="304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495300</xdr:colOff>
      <xdr:row>169</xdr:row>
      <xdr:rowOff>95250</xdr:rowOff>
    </xdr:from>
    <xdr:to>
      <xdr:col>3</xdr:col>
      <xdr:colOff>285750</xdr:colOff>
      <xdr:row>169</xdr:row>
      <xdr:rowOff>95250</xdr:rowOff>
    </xdr:to>
    <xdr:sp macro="" textlink="">
      <xdr:nvSpPr>
        <xdr:cNvPr id="420" name="Line 21039">
          <a:extLst>
            <a:ext uri="{FF2B5EF4-FFF2-40B4-BE49-F238E27FC236}">
              <a16:creationId xmlns:a16="http://schemas.microsoft.com/office/drawing/2014/main" id="{00000000-0008-0000-0300-0000A4010000}"/>
            </a:ext>
          </a:extLst>
        </xdr:cNvPr>
        <xdr:cNvSpPr>
          <a:spLocks noChangeShapeType="1"/>
        </xdr:cNvSpPr>
      </xdr:nvSpPr>
      <xdr:spPr bwMode="auto">
        <a:xfrm flipH="1">
          <a:off x="1771650" y="31746825"/>
          <a:ext cx="371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169</xdr:row>
      <xdr:rowOff>66675</xdr:rowOff>
    </xdr:from>
    <xdr:to>
      <xdr:col>3</xdr:col>
      <xdr:colOff>66675</xdr:colOff>
      <xdr:row>169</xdr:row>
      <xdr:rowOff>133350</xdr:rowOff>
    </xdr:to>
    <xdr:sp macro="" textlink="">
      <xdr:nvSpPr>
        <xdr:cNvPr id="421" name="Line 21040">
          <a:extLst>
            <a:ext uri="{FF2B5EF4-FFF2-40B4-BE49-F238E27FC236}">
              <a16:creationId xmlns:a16="http://schemas.microsoft.com/office/drawing/2014/main" id="{00000000-0008-0000-0300-0000A5010000}"/>
            </a:ext>
          </a:extLst>
        </xdr:cNvPr>
        <xdr:cNvSpPr>
          <a:spLocks noChangeShapeType="1"/>
        </xdr:cNvSpPr>
      </xdr:nvSpPr>
      <xdr:spPr bwMode="auto">
        <a:xfrm flipH="1">
          <a:off x="1857375" y="3171825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514350</xdr:colOff>
      <xdr:row>169</xdr:row>
      <xdr:rowOff>66675</xdr:rowOff>
    </xdr:from>
    <xdr:to>
      <xdr:col>2</xdr:col>
      <xdr:colOff>571500</xdr:colOff>
      <xdr:row>169</xdr:row>
      <xdr:rowOff>123825</xdr:rowOff>
    </xdr:to>
    <xdr:sp macro="" textlink="">
      <xdr:nvSpPr>
        <xdr:cNvPr id="422" name="Line 21041">
          <a:extLst>
            <a:ext uri="{FF2B5EF4-FFF2-40B4-BE49-F238E27FC236}">
              <a16:creationId xmlns:a16="http://schemas.microsoft.com/office/drawing/2014/main" id="{00000000-0008-0000-0300-0000A6010000}"/>
            </a:ext>
          </a:extLst>
        </xdr:cNvPr>
        <xdr:cNvSpPr>
          <a:spLocks noChangeShapeType="1"/>
        </xdr:cNvSpPr>
      </xdr:nvSpPr>
      <xdr:spPr bwMode="auto">
        <a:xfrm flipH="1">
          <a:off x="1790700" y="31718250"/>
          <a:ext cx="5715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181</xdr:row>
      <xdr:rowOff>142875</xdr:rowOff>
    </xdr:from>
    <xdr:to>
      <xdr:col>3</xdr:col>
      <xdr:colOff>95250</xdr:colOff>
      <xdr:row>182</xdr:row>
      <xdr:rowOff>19050</xdr:rowOff>
    </xdr:to>
    <xdr:sp macro="" textlink="">
      <xdr:nvSpPr>
        <xdr:cNvPr id="423" name="Line 21042">
          <a:extLst>
            <a:ext uri="{FF2B5EF4-FFF2-40B4-BE49-F238E27FC236}">
              <a16:creationId xmlns:a16="http://schemas.microsoft.com/office/drawing/2014/main" id="{00000000-0008-0000-0300-0000A7010000}"/>
            </a:ext>
          </a:extLst>
        </xdr:cNvPr>
        <xdr:cNvSpPr>
          <a:spLocks noChangeShapeType="1"/>
        </xdr:cNvSpPr>
      </xdr:nvSpPr>
      <xdr:spPr bwMode="auto">
        <a:xfrm flipH="1">
          <a:off x="1876425" y="3408045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19050</xdr:colOff>
      <xdr:row>172</xdr:row>
      <xdr:rowOff>114300</xdr:rowOff>
    </xdr:from>
    <xdr:to>
      <xdr:col>3</xdr:col>
      <xdr:colOff>123825</xdr:colOff>
      <xdr:row>172</xdr:row>
      <xdr:rowOff>133350</xdr:rowOff>
    </xdr:to>
    <xdr:sp macro="" textlink="">
      <xdr:nvSpPr>
        <xdr:cNvPr id="424" name="Line 21043">
          <a:extLst>
            <a:ext uri="{FF2B5EF4-FFF2-40B4-BE49-F238E27FC236}">
              <a16:creationId xmlns:a16="http://schemas.microsoft.com/office/drawing/2014/main" id="{00000000-0008-0000-0300-0000A8010000}"/>
            </a:ext>
          </a:extLst>
        </xdr:cNvPr>
        <xdr:cNvSpPr>
          <a:spLocks noChangeShapeType="1"/>
        </xdr:cNvSpPr>
      </xdr:nvSpPr>
      <xdr:spPr bwMode="auto">
        <a:xfrm flipH="1">
          <a:off x="1876425" y="32337375"/>
          <a:ext cx="104775" cy="19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57150</xdr:colOff>
      <xdr:row>172</xdr:row>
      <xdr:rowOff>180975</xdr:rowOff>
    </xdr:from>
    <xdr:to>
      <xdr:col>4</xdr:col>
      <xdr:colOff>133350</xdr:colOff>
      <xdr:row>173</xdr:row>
      <xdr:rowOff>161925</xdr:rowOff>
    </xdr:to>
    <xdr:sp macro="" textlink="">
      <xdr:nvSpPr>
        <xdr:cNvPr id="425" name="Line 21044">
          <a:extLst>
            <a:ext uri="{FF2B5EF4-FFF2-40B4-BE49-F238E27FC236}">
              <a16:creationId xmlns:a16="http://schemas.microsoft.com/office/drawing/2014/main" id="{00000000-0008-0000-0300-0000A9010000}"/>
            </a:ext>
          </a:extLst>
        </xdr:cNvPr>
        <xdr:cNvSpPr>
          <a:spLocks noChangeShapeType="1"/>
        </xdr:cNvSpPr>
      </xdr:nvSpPr>
      <xdr:spPr bwMode="auto">
        <a:xfrm flipH="1">
          <a:off x="2286000" y="32404050"/>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171</xdr:row>
      <xdr:rowOff>9525</xdr:rowOff>
    </xdr:from>
    <xdr:to>
      <xdr:col>5</xdr:col>
      <xdr:colOff>695325</xdr:colOff>
      <xdr:row>171</xdr:row>
      <xdr:rowOff>9525</xdr:rowOff>
    </xdr:to>
    <xdr:sp macro="" textlink="">
      <xdr:nvSpPr>
        <xdr:cNvPr id="426" name="Line 21045">
          <a:extLst>
            <a:ext uri="{FF2B5EF4-FFF2-40B4-BE49-F238E27FC236}">
              <a16:creationId xmlns:a16="http://schemas.microsoft.com/office/drawing/2014/main" id="{00000000-0008-0000-0300-0000AA010000}"/>
            </a:ext>
          </a:extLst>
        </xdr:cNvPr>
        <xdr:cNvSpPr>
          <a:spLocks noChangeShapeType="1"/>
        </xdr:cNvSpPr>
      </xdr:nvSpPr>
      <xdr:spPr bwMode="auto">
        <a:xfrm>
          <a:off x="2266950" y="32042100"/>
          <a:ext cx="981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352425</xdr:colOff>
      <xdr:row>169</xdr:row>
      <xdr:rowOff>180975</xdr:rowOff>
    </xdr:from>
    <xdr:to>
      <xdr:col>5</xdr:col>
      <xdr:colOff>352425</xdr:colOff>
      <xdr:row>171</xdr:row>
      <xdr:rowOff>47625</xdr:rowOff>
    </xdr:to>
    <xdr:sp macro="" textlink="">
      <xdr:nvSpPr>
        <xdr:cNvPr id="427" name="Line 21046">
          <a:extLst>
            <a:ext uri="{FF2B5EF4-FFF2-40B4-BE49-F238E27FC236}">
              <a16:creationId xmlns:a16="http://schemas.microsoft.com/office/drawing/2014/main" id="{00000000-0008-0000-0300-0000AB010000}"/>
            </a:ext>
          </a:extLst>
        </xdr:cNvPr>
        <xdr:cNvSpPr>
          <a:spLocks noChangeShapeType="1"/>
        </xdr:cNvSpPr>
      </xdr:nvSpPr>
      <xdr:spPr bwMode="auto">
        <a:xfrm>
          <a:off x="2905125" y="31832550"/>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170</xdr:row>
      <xdr:rowOff>9525</xdr:rowOff>
    </xdr:from>
    <xdr:to>
      <xdr:col>5</xdr:col>
      <xdr:colOff>400050</xdr:colOff>
      <xdr:row>170</xdr:row>
      <xdr:rowOff>85725</xdr:rowOff>
    </xdr:to>
    <xdr:sp macro="" textlink="">
      <xdr:nvSpPr>
        <xdr:cNvPr id="428" name="Line 21047">
          <a:extLst>
            <a:ext uri="{FF2B5EF4-FFF2-40B4-BE49-F238E27FC236}">
              <a16:creationId xmlns:a16="http://schemas.microsoft.com/office/drawing/2014/main" id="{00000000-0008-0000-0300-0000AC010000}"/>
            </a:ext>
          </a:extLst>
        </xdr:cNvPr>
        <xdr:cNvSpPr>
          <a:spLocks noChangeShapeType="1"/>
        </xdr:cNvSpPr>
      </xdr:nvSpPr>
      <xdr:spPr bwMode="auto">
        <a:xfrm flipH="1">
          <a:off x="2857500" y="31851600"/>
          <a:ext cx="952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170</xdr:row>
      <xdr:rowOff>171450</xdr:rowOff>
    </xdr:from>
    <xdr:to>
      <xdr:col>5</xdr:col>
      <xdr:colOff>390525</xdr:colOff>
      <xdr:row>171</xdr:row>
      <xdr:rowOff>38100</xdr:rowOff>
    </xdr:to>
    <xdr:sp macro="" textlink="">
      <xdr:nvSpPr>
        <xdr:cNvPr id="429" name="Line 21048">
          <a:extLst>
            <a:ext uri="{FF2B5EF4-FFF2-40B4-BE49-F238E27FC236}">
              <a16:creationId xmlns:a16="http://schemas.microsoft.com/office/drawing/2014/main" id="{00000000-0008-0000-0300-0000AD010000}"/>
            </a:ext>
          </a:extLst>
        </xdr:cNvPr>
        <xdr:cNvSpPr>
          <a:spLocks noChangeShapeType="1"/>
        </xdr:cNvSpPr>
      </xdr:nvSpPr>
      <xdr:spPr bwMode="auto">
        <a:xfrm flipH="1">
          <a:off x="2867025" y="32013525"/>
          <a:ext cx="76200"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390525</xdr:colOff>
      <xdr:row>169</xdr:row>
      <xdr:rowOff>171450</xdr:rowOff>
    </xdr:from>
    <xdr:to>
      <xdr:col>3</xdr:col>
      <xdr:colOff>76200</xdr:colOff>
      <xdr:row>170</xdr:row>
      <xdr:rowOff>161925</xdr:rowOff>
    </xdr:to>
    <xdr:sp macro="" textlink="">
      <xdr:nvSpPr>
        <xdr:cNvPr id="430" name="Line 21049">
          <a:extLst>
            <a:ext uri="{FF2B5EF4-FFF2-40B4-BE49-F238E27FC236}">
              <a16:creationId xmlns:a16="http://schemas.microsoft.com/office/drawing/2014/main" id="{00000000-0008-0000-0300-0000AE010000}"/>
            </a:ext>
          </a:extLst>
        </xdr:cNvPr>
        <xdr:cNvSpPr>
          <a:spLocks noChangeShapeType="1"/>
        </xdr:cNvSpPr>
      </xdr:nvSpPr>
      <xdr:spPr bwMode="auto">
        <a:xfrm>
          <a:off x="1666875" y="31823025"/>
          <a:ext cx="26670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169</xdr:row>
      <xdr:rowOff>47625</xdr:rowOff>
    </xdr:from>
    <xdr:to>
      <xdr:col>5</xdr:col>
      <xdr:colOff>647700</xdr:colOff>
      <xdr:row>171</xdr:row>
      <xdr:rowOff>28575</xdr:rowOff>
    </xdr:to>
    <xdr:sp macro="" textlink="">
      <xdr:nvSpPr>
        <xdr:cNvPr id="431" name="Line 21050">
          <a:extLst>
            <a:ext uri="{FF2B5EF4-FFF2-40B4-BE49-F238E27FC236}">
              <a16:creationId xmlns:a16="http://schemas.microsoft.com/office/drawing/2014/main" id="{00000000-0008-0000-0300-0000AF010000}"/>
            </a:ext>
          </a:extLst>
        </xdr:cNvPr>
        <xdr:cNvSpPr>
          <a:spLocks noChangeShapeType="1"/>
        </xdr:cNvSpPr>
      </xdr:nvSpPr>
      <xdr:spPr bwMode="auto">
        <a:xfrm flipV="1">
          <a:off x="3200400" y="31699200"/>
          <a:ext cx="0" cy="3619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447675</xdr:colOff>
      <xdr:row>179</xdr:row>
      <xdr:rowOff>0</xdr:rowOff>
    </xdr:from>
    <xdr:to>
      <xdr:col>3</xdr:col>
      <xdr:colOff>295275</xdr:colOff>
      <xdr:row>181</xdr:row>
      <xdr:rowOff>38100</xdr:rowOff>
    </xdr:to>
    <xdr:sp macro="" textlink="">
      <xdr:nvSpPr>
        <xdr:cNvPr id="432" name="Oval 21052">
          <a:extLst>
            <a:ext uri="{FF2B5EF4-FFF2-40B4-BE49-F238E27FC236}">
              <a16:creationId xmlns:a16="http://schemas.microsoft.com/office/drawing/2014/main" id="{00000000-0008-0000-0300-0000B0010000}"/>
            </a:ext>
          </a:extLst>
        </xdr:cNvPr>
        <xdr:cNvSpPr>
          <a:spLocks noChangeArrowheads="1"/>
        </xdr:cNvSpPr>
      </xdr:nvSpPr>
      <xdr:spPr bwMode="auto">
        <a:xfrm>
          <a:off x="1724025" y="33556575"/>
          <a:ext cx="428625" cy="419100"/>
        </a:xfrm>
        <a:prstGeom prst="ellipse">
          <a:avLst/>
        </a:prstGeom>
        <a:solidFill>
          <a:srgbClr xmlns:mc="http://schemas.openxmlformats.org/markup-compatibility/2006" xmlns:a14="http://schemas.microsoft.com/office/drawing/2010/main" val="FFFFFF" mc:Ignorable="a14" a14:legacySpreadsheetColorIndex="65">
            <a:alpha val="0"/>
          </a:srgbClr>
        </a:solidFill>
        <a:ln w="6350">
          <a:solidFill>
            <a:srgbClr xmlns:mc="http://schemas.openxmlformats.org/markup-compatibility/2006" xmlns:a14="http://schemas.microsoft.com/office/drawing/2010/main" val="000000" mc:Ignorable="a14" a14:legacySpreadsheetColorIndex="64"/>
          </a:solidFill>
          <a:prstDash val="dash"/>
          <a:round/>
          <a:headEnd/>
          <a:tailEnd/>
        </a:ln>
      </xdr:spPr>
    </xdr:sp>
    <xdr:clientData/>
  </xdr:twoCellAnchor>
  <xdr:twoCellAnchor>
    <xdr:from>
      <xdr:col>2</xdr:col>
      <xdr:colOff>180975</xdr:colOff>
      <xdr:row>174</xdr:row>
      <xdr:rowOff>57150</xdr:rowOff>
    </xdr:from>
    <xdr:to>
      <xdr:col>2</xdr:col>
      <xdr:colOff>409575</xdr:colOff>
      <xdr:row>174</xdr:row>
      <xdr:rowOff>57150</xdr:rowOff>
    </xdr:to>
    <xdr:sp macro="" textlink="">
      <xdr:nvSpPr>
        <xdr:cNvPr id="433" name="Line 21053">
          <a:extLst>
            <a:ext uri="{FF2B5EF4-FFF2-40B4-BE49-F238E27FC236}">
              <a16:creationId xmlns:a16="http://schemas.microsoft.com/office/drawing/2014/main" id="{00000000-0008-0000-0300-0000B1010000}"/>
            </a:ext>
          </a:extLst>
        </xdr:cNvPr>
        <xdr:cNvSpPr>
          <a:spLocks noChangeShapeType="1"/>
        </xdr:cNvSpPr>
      </xdr:nvSpPr>
      <xdr:spPr bwMode="auto">
        <a:xfrm>
          <a:off x="1457325" y="326612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609600</xdr:colOff>
      <xdr:row>170</xdr:row>
      <xdr:rowOff>171450</xdr:rowOff>
    </xdr:from>
    <xdr:to>
      <xdr:col>5</xdr:col>
      <xdr:colOff>676275</xdr:colOff>
      <xdr:row>171</xdr:row>
      <xdr:rowOff>47625</xdr:rowOff>
    </xdr:to>
    <xdr:sp macro="" textlink="">
      <xdr:nvSpPr>
        <xdr:cNvPr id="434" name="Oval 21054">
          <a:extLst>
            <a:ext uri="{FF2B5EF4-FFF2-40B4-BE49-F238E27FC236}">
              <a16:creationId xmlns:a16="http://schemas.microsoft.com/office/drawing/2014/main" id="{00000000-0008-0000-0300-0000B2010000}"/>
            </a:ext>
          </a:extLst>
        </xdr:cNvPr>
        <xdr:cNvSpPr>
          <a:spLocks noChangeArrowheads="1"/>
        </xdr:cNvSpPr>
      </xdr:nvSpPr>
      <xdr:spPr bwMode="auto">
        <a:xfrm>
          <a:off x="3162300" y="320135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0</xdr:colOff>
      <xdr:row>168</xdr:row>
      <xdr:rowOff>57150</xdr:rowOff>
    </xdr:from>
    <xdr:to>
      <xdr:col>3</xdr:col>
      <xdr:colOff>66675</xdr:colOff>
      <xdr:row>168</xdr:row>
      <xdr:rowOff>123825</xdr:rowOff>
    </xdr:to>
    <xdr:sp macro="" textlink="">
      <xdr:nvSpPr>
        <xdr:cNvPr id="435" name="Oval 21055">
          <a:extLst>
            <a:ext uri="{FF2B5EF4-FFF2-40B4-BE49-F238E27FC236}">
              <a16:creationId xmlns:a16="http://schemas.microsoft.com/office/drawing/2014/main" id="{00000000-0008-0000-0300-0000B3010000}"/>
            </a:ext>
          </a:extLst>
        </xdr:cNvPr>
        <xdr:cNvSpPr>
          <a:spLocks noChangeArrowheads="1"/>
        </xdr:cNvSpPr>
      </xdr:nvSpPr>
      <xdr:spPr bwMode="auto">
        <a:xfrm>
          <a:off x="1857375" y="31518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xdr:col>
      <xdr:colOff>28575</xdr:colOff>
      <xdr:row>183</xdr:row>
      <xdr:rowOff>28575</xdr:rowOff>
    </xdr:from>
    <xdr:to>
      <xdr:col>2</xdr:col>
      <xdr:colOff>19050</xdr:colOff>
      <xdr:row>183</xdr:row>
      <xdr:rowOff>28575</xdr:rowOff>
    </xdr:to>
    <xdr:sp macro="" textlink="">
      <xdr:nvSpPr>
        <xdr:cNvPr id="436" name="Line 21056">
          <a:extLst>
            <a:ext uri="{FF2B5EF4-FFF2-40B4-BE49-F238E27FC236}">
              <a16:creationId xmlns:a16="http://schemas.microsoft.com/office/drawing/2014/main" id="{00000000-0008-0000-0300-0000B4010000}"/>
            </a:ext>
          </a:extLst>
        </xdr:cNvPr>
        <xdr:cNvSpPr>
          <a:spLocks noChangeShapeType="1"/>
        </xdr:cNvSpPr>
      </xdr:nvSpPr>
      <xdr:spPr bwMode="auto">
        <a:xfrm flipH="1">
          <a:off x="1171575" y="34347150"/>
          <a:ext cx="1238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76200</xdr:colOff>
      <xdr:row>182</xdr:row>
      <xdr:rowOff>152400</xdr:rowOff>
    </xdr:from>
    <xdr:to>
      <xdr:col>1</xdr:col>
      <xdr:colOff>76200</xdr:colOff>
      <xdr:row>184</xdr:row>
      <xdr:rowOff>47625</xdr:rowOff>
    </xdr:to>
    <xdr:sp macro="" textlink="">
      <xdr:nvSpPr>
        <xdr:cNvPr id="437" name="Line 21057">
          <a:extLst>
            <a:ext uri="{FF2B5EF4-FFF2-40B4-BE49-F238E27FC236}">
              <a16:creationId xmlns:a16="http://schemas.microsoft.com/office/drawing/2014/main" id="{00000000-0008-0000-0300-0000B5010000}"/>
            </a:ext>
          </a:extLst>
        </xdr:cNvPr>
        <xdr:cNvSpPr>
          <a:spLocks noChangeShapeType="1"/>
        </xdr:cNvSpPr>
      </xdr:nvSpPr>
      <xdr:spPr bwMode="auto">
        <a:xfrm flipV="1">
          <a:off x="1219200" y="3428047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28575</xdr:colOff>
      <xdr:row>182</xdr:row>
      <xdr:rowOff>180975</xdr:rowOff>
    </xdr:from>
    <xdr:to>
      <xdr:col>1</xdr:col>
      <xdr:colOff>114300</xdr:colOff>
      <xdr:row>183</xdr:row>
      <xdr:rowOff>66675</xdr:rowOff>
    </xdr:to>
    <xdr:sp macro="" textlink="">
      <xdr:nvSpPr>
        <xdr:cNvPr id="438" name="Line 21058">
          <a:extLst>
            <a:ext uri="{FF2B5EF4-FFF2-40B4-BE49-F238E27FC236}">
              <a16:creationId xmlns:a16="http://schemas.microsoft.com/office/drawing/2014/main" id="{00000000-0008-0000-0300-0000B6010000}"/>
            </a:ext>
          </a:extLst>
        </xdr:cNvPr>
        <xdr:cNvSpPr>
          <a:spLocks noChangeShapeType="1"/>
        </xdr:cNvSpPr>
      </xdr:nvSpPr>
      <xdr:spPr bwMode="auto">
        <a:xfrm flipH="1">
          <a:off x="1171575" y="34309050"/>
          <a:ext cx="857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174</xdr:row>
      <xdr:rowOff>142875</xdr:rowOff>
    </xdr:from>
    <xdr:to>
      <xdr:col>6</xdr:col>
      <xdr:colOff>0</xdr:colOff>
      <xdr:row>174</xdr:row>
      <xdr:rowOff>142875</xdr:rowOff>
    </xdr:to>
    <xdr:sp macro="" textlink="">
      <xdr:nvSpPr>
        <xdr:cNvPr id="439" name="Line 21059">
          <a:extLst>
            <a:ext uri="{FF2B5EF4-FFF2-40B4-BE49-F238E27FC236}">
              <a16:creationId xmlns:a16="http://schemas.microsoft.com/office/drawing/2014/main" id="{00000000-0008-0000-0300-0000B7010000}"/>
            </a:ext>
          </a:extLst>
        </xdr:cNvPr>
        <xdr:cNvSpPr>
          <a:spLocks noChangeShapeType="1"/>
        </xdr:cNvSpPr>
      </xdr:nvSpPr>
      <xdr:spPr bwMode="auto">
        <a:xfrm>
          <a:off x="1905000" y="32746950"/>
          <a:ext cx="1400175" cy="0"/>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170</xdr:row>
      <xdr:rowOff>95250</xdr:rowOff>
    </xdr:from>
    <xdr:to>
      <xdr:col>6</xdr:col>
      <xdr:colOff>0</xdr:colOff>
      <xdr:row>170</xdr:row>
      <xdr:rowOff>95250</xdr:rowOff>
    </xdr:to>
    <xdr:sp macro="" textlink="">
      <xdr:nvSpPr>
        <xdr:cNvPr id="440" name="Line 21061">
          <a:extLst>
            <a:ext uri="{FF2B5EF4-FFF2-40B4-BE49-F238E27FC236}">
              <a16:creationId xmlns:a16="http://schemas.microsoft.com/office/drawing/2014/main" id="{00000000-0008-0000-0300-0000B8010000}"/>
            </a:ext>
          </a:extLst>
        </xdr:cNvPr>
        <xdr:cNvSpPr>
          <a:spLocks noChangeShapeType="1"/>
        </xdr:cNvSpPr>
      </xdr:nvSpPr>
      <xdr:spPr bwMode="auto">
        <a:xfrm>
          <a:off x="1924050" y="31937325"/>
          <a:ext cx="1381125"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28575</xdr:rowOff>
    </xdr:from>
    <xdr:to>
      <xdr:col>2</xdr:col>
      <xdr:colOff>419100</xdr:colOff>
      <xdr:row>184</xdr:row>
      <xdr:rowOff>28575</xdr:rowOff>
    </xdr:to>
    <xdr:sp macro="" textlink="">
      <xdr:nvSpPr>
        <xdr:cNvPr id="441" name="Line 21063">
          <a:extLst>
            <a:ext uri="{FF2B5EF4-FFF2-40B4-BE49-F238E27FC236}">
              <a16:creationId xmlns:a16="http://schemas.microsoft.com/office/drawing/2014/main" id="{00000000-0008-0000-0300-0000B9010000}"/>
            </a:ext>
          </a:extLst>
        </xdr:cNvPr>
        <xdr:cNvSpPr>
          <a:spLocks noChangeShapeType="1"/>
        </xdr:cNvSpPr>
      </xdr:nvSpPr>
      <xdr:spPr bwMode="auto">
        <a:xfrm flipH="1">
          <a:off x="1181100" y="34537650"/>
          <a:ext cx="514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xdr:colOff>
      <xdr:row>179</xdr:row>
      <xdr:rowOff>57150</xdr:rowOff>
    </xdr:from>
    <xdr:to>
      <xdr:col>5</xdr:col>
      <xdr:colOff>66675</xdr:colOff>
      <xdr:row>184</xdr:row>
      <xdr:rowOff>95250</xdr:rowOff>
    </xdr:to>
    <xdr:sp macro="" textlink="">
      <xdr:nvSpPr>
        <xdr:cNvPr id="442" name="Line 21064">
          <a:extLst>
            <a:ext uri="{FF2B5EF4-FFF2-40B4-BE49-F238E27FC236}">
              <a16:creationId xmlns:a16="http://schemas.microsoft.com/office/drawing/2014/main" id="{00000000-0008-0000-0300-0000BA010000}"/>
            </a:ext>
          </a:extLst>
        </xdr:cNvPr>
        <xdr:cNvSpPr>
          <a:spLocks noChangeShapeType="1"/>
        </xdr:cNvSpPr>
      </xdr:nvSpPr>
      <xdr:spPr bwMode="auto">
        <a:xfrm>
          <a:off x="2619375" y="33613725"/>
          <a:ext cx="0" cy="990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179</xdr:row>
      <xdr:rowOff>0</xdr:rowOff>
    </xdr:from>
    <xdr:to>
      <xdr:col>5</xdr:col>
      <xdr:colOff>123825</xdr:colOff>
      <xdr:row>179</xdr:row>
      <xdr:rowOff>114300</xdr:rowOff>
    </xdr:to>
    <xdr:sp macro="" textlink="">
      <xdr:nvSpPr>
        <xdr:cNvPr id="443" name="Line 21065">
          <a:extLst>
            <a:ext uri="{FF2B5EF4-FFF2-40B4-BE49-F238E27FC236}">
              <a16:creationId xmlns:a16="http://schemas.microsoft.com/office/drawing/2014/main" id="{00000000-0008-0000-0300-0000BB010000}"/>
            </a:ext>
          </a:extLst>
        </xdr:cNvPr>
        <xdr:cNvSpPr>
          <a:spLocks noChangeShapeType="1"/>
        </xdr:cNvSpPr>
      </xdr:nvSpPr>
      <xdr:spPr bwMode="auto">
        <a:xfrm flipH="1">
          <a:off x="2562225" y="33556575"/>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183</xdr:row>
      <xdr:rowOff>171450</xdr:rowOff>
    </xdr:from>
    <xdr:to>
      <xdr:col>5</xdr:col>
      <xdr:colOff>114300</xdr:colOff>
      <xdr:row>184</xdr:row>
      <xdr:rowOff>85725</xdr:rowOff>
    </xdr:to>
    <xdr:sp macro="" textlink="">
      <xdr:nvSpPr>
        <xdr:cNvPr id="444" name="Line 21066">
          <a:extLst>
            <a:ext uri="{FF2B5EF4-FFF2-40B4-BE49-F238E27FC236}">
              <a16:creationId xmlns:a16="http://schemas.microsoft.com/office/drawing/2014/main" id="{00000000-0008-0000-0300-0000BC010000}"/>
            </a:ext>
          </a:extLst>
        </xdr:cNvPr>
        <xdr:cNvSpPr>
          <a:spLocks noChangeShapeType="1"/>
        </xdr:cNvSpPr>
      </xdr:nvSpPr>
      <xdr:spPr bwMode="auto">
        <a:xfrm flipH="1">
          <a:off x="2562225" y="34490025"/>
          <a:ext cx="104775"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184</xdr:row>
      <xdr:rowOff>0</xdr:rowOff>
    </xdr:from>
    <xdr:to>
      <xdr:col>1</xdr:col>
      <xdr:colOff>114300</xdr:colOff>
      <xdr:row>184</xdr:row>
      <xdr:rowOff>76200</xdr:rowOff>
    </xdr:to>
    <xdr:sp macro="" textlink="">
      <xdr:nvSpPr>
        <xdr:cNvPr id="445" name="Line 21067">
          <a:extLst>
            <a:ext uri="{FF2B5EF4-FFF2-40B4-BE49-F238E27FC236}">
              <a16:creationId xmlns:a16="http://schemas.microsoft.com/office/drawing/2014/main" id="{00000000-0008-0000-0300-0000BD010000}"/>
            </a:ext>
          </a:extLst>
        </xdr:cNvPr>
        <xdr:cNvSpPr>
          <a:spLocks noChangeShapeType="1"/>
        </xdr:cNvSpPr>
      </xdr:nvSpPr>
      <xdr:spPr bwMode="auto">
        <a:xfrm flipH="1">
          <a:off x="1181100" y="345090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173</xdr:row>
      <xdr:rowOff>104775</xdr:rowOff>
    </xdr:from>
    <xdr:to>
      <xdr:col>5</xdr:col>
      <xdr:colOff>723900</xdr:colOff>
      <xdr:row>174</xdr:row>
      <xdr:rowOff>161925</xdr:rowOff>
    </xdr:to>
    <xdr:sp macro="" textlink="">
      <xdr:nvSpPr>
        <xdr:cNvPr id="446" name="Freeform 21068">
          <a:extLst>
            <a:ext uri="{FF2B5EF4-FFF2-40B4-BE49-F238E27FC236}">
              <a16:creationId xmlns:a16="http://schemas.microsoft.com/office/drawing/2014/main" id="{00000000-0008-0000-0300-0000BE010000}"/>
            </a:ext>
          </a:extLst>
        </xdr:cNvPr>
        <xdr:cNvSpPr>
          <a:spLocks/>
        </xdr:cNvSpPr>
      </xdr:nvSpPr>
      <xdr:spPr bwMode="auto">
        <a:xfrm>
          <a:off x="3200400" y="32518350"/>
          <a:ext cx="76200" cy="247650"/>
        </a:xfrm>
        <a:custGeom>
          <a:avLst/>
          <a:gdLst>
            <a:gd name="T0" fmla="*/ 2147483646 w 8"/>
            <a:gd name="T1" fmla="*/ 0 h 26"/>
            <a:gd name="T2" fmla="*/ 0 w 8"/>
            <a:gd name="T3" fmla="*/ 0 h 26"/>
            <a:gd name="T4" fmla="*/ 0 w 8"/>
            <a:gd name="T5" fmla="*/ 2147483646 h 26"/>
            <a:gd name="T6" fmla="*/ 0 60000 65536"/>
            <a:gd name="T7" fmla="*/ 0 60000 65536"/>
            <a:gd name="T8" fmla="*/ 0 60000 65536"/>
          </a:gdLst>
          <a:ahLst/>
          <a:cxnLst>
            <a:cxn ang="T6">
              <a:pos x="T0" y="T1"/>
            </a:cxn>
            <a:cxn ang="T7">
              <a:pos x="T2" y="T3"/>
            </a:cxn>
            <a:cxn ang="T8">
              <a:pos x="T4" y="T5"/>
            </a:cxn>
          </a:cxnLst>
          <a:rect l="0" t="0" r="r" b="b"/>
          <a:pathLst>
            <a:path w="8" h="26">
              <a:moveTo>
                <a:pt x="8" y="0"/>
              </a:moveTo>
              <a:lnTo>
                <a:pt x="0" y="0"/>
              </a:lnTo>
              <a:lnTo>
                <a:pt x="0" y="26"/>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609600</xdr:colOff>
      <xdr:row>174</xdr:row>
      <xdr:rowOff>95250</xdr:rowOff>
    </xdr:from>
    <xdr:to>
      <xdr:col>5</xdr:col>
      <xdr:colOff>676275</xdr:colOff>
      <xdr:row>174</xdr:row>
      <xdr:rowOff>161925</xdr:rowOff>
    </xdr:to>
    <xdr:sp macro="" textlink="">
      <xdr:nvSpPr>
        <xdr:cNvPr id="447" name="Oval 21069">
          <a:extLst>
            <a:ext uri="{FF2B5EF4-FFF2-40B4-BE49-F238E27FC236}">
              <a16:creationId xmlns:a16="http://schemas.microsoft.com/office/drawing/2014/main" id="{00000000-0008-0000-0300-0000BF010000}"/>
            </a:ext>
          </a:extLst>
        </xdr:cNvPr>
        <xdr:cNvSpPr>
          <a:spLocks noChangeArrowheads="1"/>
        </xdr:cNvSpPr>
      </xdr:nvSpPr>
      <xdr:spPr bwMode="auto">
        <a:xfrm>
          <a:off x="3162300" y="326993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200025</xdr:colOff>
      <xdr:row>187</xdr:row>
      <xdr:rowOff>38100</xdr:rowOff>
    </xdr:from>
    <xdr:to>
      <xdr:col>5</xdr:col>
      <xdr:colOff>190500</xdr:colOff>
      <xdr:row>188</xdr:row>
      <xdr:rowOff>180975</xdr:rowOff>
    </xdr:to>
    <xdr:sp macro="" textlink="">
      <xdr:nvSpPr>
        <xdr:cNvPr id="448" name="Tegning 344">
          <a:extLst>
            <a:ext uri="{FF2B5EF4-FFF2-40B4-BE49-F238E27FC236}">
              <a16:creationId xmlns:a16="http://schemas.microsoft.com/office/drawing/2014/main" id="{00000000-0008-0000-0300-0000C0010000}"/>
            </a:ext>
          </a:extLst>
        </xdr:cNvPr>
        <xdr:cNvSpPr>
          <a:spLocks/>
        </xdr:cNvSpPr>
      </xdr:nvSpPr>
      <xdr:spPr bwMode="auto">
        <a:xfrm flipV="1">
          <a:off x="1476375" y="35118675"/>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187</xdr:row>
      <xdr:rowOff>123825</xdr:rowOff>
    </xdr:from>
    <xdr:to>
      <xdr:col>5</xdr:col>
      <xdr:colOff>190500</xdr:colOff>
      <xdr:row>189</xdr:row>
      <xdr:rowOff>161925</xdr:rowOff>
    </xdr:to>
    <xdr:sp macro="" textlink="">
      <xdr:nvSpPr>
        <xdr:cNvPr id="449" name="Tegning 344">
          <a:extLst>
            <a:ext uri="{FF2B5EF4-FFF2-40B4-BE49-F238E27FC236}">
              <a16:creationId xmlns:a16="http://schemas.microsoft.com/office/drawing/2014/main" id="{00000000-0008-0000-0300-0000C1010000}"/>
            </a:ext>
          </a:extLst>
        </xdr:cNvPr>
        <xdr:cNvSpPr>
          <a:spLocks/>
        </xdr:cNvSpPr>
      </xdr:nvSpPr>
      <xdr:spPr bwMode="auto">
        <a:xfrm>
          <a:off x="1476375" y="35204400"/>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4</xdr:col>
      <xdr:colOff>57150</xdr:colOff>
      <xdr:row>188</xdr:row>
      <xdr:rowOff>180975</xdr:rowOff>
    </xdr:from>
    <xdr:to>
      <xdr:col>4</xdr:col>
      <xdr:colOff>133350</xdr:colOff>
      <xdr:row>189</xdr:row>
      <xdr:rowOff>161925</xdr:rowOff>
    </xdr:to>
    <xdr:sp macro="" textlink="">
      <xdr:nvSpPr>
        <xdr:cNvPr id="450" name="Line 21072">
          <a:extLst>
            <a:ext uri="{FF2B5EF4-FFF2-40B4-BE49-F238E27FC236}">
              <a16:creationId xmlns:a16="http://schemas.microsoft.com/office/drawing/2014/main" id="{00000000-0008-0000-0300-0000C2010000}"/>
            </a:ext>
          </a:extLst>
        </xdr:cNvPr>
        <xdr:cNvSpPr>
          <a:spLocks noChangeShapeType="1"/>
        </xdr:cNvSpPr>
      </xdr:nvSpPr>
      <xdr:spPr bwMode="auto">
        <a:xfrm flipH="1">
          <a:off x="2286000" y="35452050"/>
          <a:ext cx="76200" cy="171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171450</xdr:colOff>
      <xdr:row>190</xdr:row>
      <xdr:rowOff>28575</xdr:rowOff>
    </xdr:from>
    <xdr:to>
      <xdr:col>5</xdr:col>
      <xdr:colOff>171450</xdr:colOff>
      <xdr:row>191</xdr:row>
      <xdr:rowOff>0</xdr:rowOff>
    </xdr:to>
    <xdr:sp macro="" textlink="">
      <xdr:nvSpPr>
        <xdr:cNvPr id="451" name="Line 21073">
          <a:extLst>
            <a:ext uri="{FF2B5EF4-FFF2-40B4-BE49-F238E27FC236}">
              <a16:creationId xmlns:a16="http://schemas.microsoft.com/office/drawing/2014/main" id="{00000000-0008-0000-0300-0000C3010000}"/>
            </a:ext>
          </a:extLst>
        </xdr:cNvPr>
        <xdr:cNvSpPr>
          <a:spLocks noChangeShapeType="1"/>
        </xdr:cNvSpPr>
      </xdr:nvSpPr>
      <xdr:spPr bwMode="auto">
        <a:xfrm>
          <a:off x="2724150" y="3568065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190500</xdr:colOff>
      <xdr:row>190</xdr:row>
      <xdr:rowOff>9525</xdr:rowOff>
    </xdr:from>
    <xdr:to>
      <xdr:col>2</xdr:col>
      <xdr:colOff>190500</xdr:colOff>
      <xdr:row>190</xdr:row>
      <xdr:rowOff>190500</xdr:rowOff>
    </xdr:to>
    <xdr:sp macro="" textlink="">
      <xdr:nvSpPr>
        <xdr:cNvPr id="452" name="Line 21074">
          <a:extLst>
            <a:ext uri="{FF2B5EF4-FFF2-40B4-BE49-F238E27FC236}">
              <a16:creationId xmlns:a16="http://schemas.microsoft.com/office/drawing/2014/main" id="{00000000-0008-0000-0300-0000C4010000}"/>
            </a:ext>
          </a:extLst>
        </xdr:cNvPr>
        <xdr:cNvSpPr>
          <a:spLocks noChangeShapeType="1"/>
        </xdr:cNvSpPr>
      </xdr:nvSpPr>
      <xdr:spPr bwMode="auto">
        <a:xfrm>
          <a:off x="1466850" y="356616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190</xdr:row>
      <xdr:rowOff>104775</xdr:rowOff>
    </xdr:from>
    <xdr:to>
      <xdr:col>5</xdr:col>
      <xdr:colOff>228600</xdr:colOff>
      <xdr:row>190</xdr:row>
      <xdr:rowOff>104775</xdr:rowOff>
    </xdr:to>
    <xdr:sp macro="" textlink="">
      <xdr:nvSpPr>
        <xdr:cNvPr id="453" name="Line 21075">
          <a:extLst>
            <a:ext uri="{FF2B5EF4-FFF2-40B4-BE49-F238E27FC236}">
              <a16:creationId xmlns:a16="http://schemas.microsoft.com/office/drawing/2014/main" id="{00000000-0008-0000-0300-0000C5010000}"/>
            </a:ext>
          </a:extLst>
        </xdr:cNvPr>
        <xdr:cNvSpPr>
          <a:spLocks noChangeShapeType="1"/>
        </xdr:cNvSpPr>
      </xdr:nvSpPr>
      <xdr:spPr bwMode="auto">
        <a:xfrm>
          <a:off x="1409700" y="3575685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38100</xdr:colOff>
      <xdr:row>189</xdr:row>
      <xdr:rowOff>123825</xdr:rowOff>
    </xdr:from>
    <xdr:to>
      <xdr:col>4</xdr:col>
      <xdr:colOff>104775</xdr:colOff>
      <xdr:row>190</xdr:row>
      <xdr:rowOff>0</xdr:rowOff>
    </xdr:to>
    <xdr:sp macro="" textlink="">
      <xdr:nvSpPr>
        <xdr:cNvPr id="454" name="Oval 21076">
          <a:extLst>
            <a:ext uri="{FF2B5EF4-FFF2-40B4-BE49-F238E27FC236}">
              <a16:creationId xmlns:a16="http://schemas.microsoft.com/office/drawing/2014/main" id="{00000000-0008-0000-0300-0000C6010000}"/>
            </a:ext>
          </a:extLst>
        </xdr:cNvPr>
        <xdr:cNvSpPr>
          <a:spLocks noChangeArrowheads="1"/>
        </xdr:cNvSpPr>
      </xdr:nvSpPr>
      <xdr:spPr bwMode="auto">
        <a:xfrm>
          <a:off x="2266950" y="35585400"/>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104775</xdr:colOff>
      <xdr:row>183</xdr:row>
      <xdr:rowOff>133350</xdr:rowOff>
    </xdr:from>
    <xdr:to>
      <xdr:col>2</xdr:col>
      <xdr:colOff>104775</xdr:colOff>
      <xdr:row>185</xdr:row>
      <xdr:rowOff>28575</xdr:rowOff>
    </xdr:to>
    <xdr:sp macro="" textlink="">
      <xdr:nvSpPr>
        <xdr:cNvPr id="455" name="Line 21077">
          <a:extLst>
            <a:ext uri="{FF2B5EF4-FFF2-40B4-BE49-F238E27FC236}">
              <a16:creationId xmlns:a16="http://schemas.microsoft.com/office/drawing/2014/main" id="{00000000-0008-0000-0300-0000C7010000}"/>
            </a:ext>
          </a:extLst>
        </xdr:cNvPr>
        <xdr:cNvSpPr>
          <a:spLocks noChangeShapeType="1"/>
        </xdr:cNvSpPr>
      </xdr:nvSpPr>
      <xdr:spPr bwMode="auto">
        <a:xfrm>
          <a:off x="1381125" y="34451925"/>
          <a:ext cx="0" cy="2762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184</xdr:row>
      <xdr:rowOff>95250</xdr:rowOff>
    </xdr:from>
    <xdr:to>
      <xdr:col>2</xdr:col>
      <xdr:colOff>533400</xdr:colOff>
      <xdr:row>185</xdr:row>
      <xdr:rowOff>38100</xdr:rowOff>
    </xdr:to>
    <xdr:sp macro="" textlink="">
      <xdr:nvSpPr>
        <xdr:cNvPr id="456" name="Line 21078">
          <a:extLst>
            <a:ext uri="{FF2B5EF4-FFF2-40B4-BE49-F238E27FC236}">
              <a16:creationId xmlns:a16="http://schemas.microsoft.com/office/drawing/2014/main" id="{00000000-0008-0000-0300-0000C8010000}"/>
            </a:ext>
          </a:extLst>
        </xdr:cNvPr>
        <xdr:cNvSpPr>
          <a:spLocks noChangeShapeType="1"/>
        </xdr:cNvSpPr>
      </xdr:nvSpPr>
      <xdr:spPr bwMode="auto">
        <a:xfrm>
          <a:off x="1809750" y="34604325"/>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181</xdr:row>
      <xdr:rowOff>114300</xdr:rowOff>
    </xdr:from>
    <xdr:to>
      <xdr:col>2</xdr:col>
      <xdr:colOff>266700</xdr:colOff>
      <xdr:row>183</xdr:row>
      <xdr:rowOff>180975</xdr:rowOff>
    </xdr:to>
    <xdr:sp macro="" textlink="">
      <xdr:nvSpPr>
        <xdr:cNvPr id="457" name="Line 21079">
          <a:extLst>
            <a:ext uri="{FF2B5EF4-FFF2-40B4-BE49-F238E27FC236}">
              <a16:creationId xmlns:a16="http://schemas.microsoft.com/office/drawing/2014/main" id="{00000000-0008-0000-0300-0000C9010000}"/>
            </a:ext>
          </a:extLst>
        </xdr:cNvPr>
        <xdr:cNvSpPr>
          <a:spLocks noChangeShapeType="1"/>
        </xdr:cNvSpPr>
      </xdr:nvSpPr>
      <xdr:spPr bwMode="auto">
        <a:xfrm flipV="1">
          <a:off x="1543050" y="34051875"/>
          <a:ext cx="0" cy="447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181</xdr:row>
      <xdr:rowOff>180975</xdr:rowOff>
    </xdr:from>
    <xdr:to>
      <xdr:col>3</xdr:col>
      <xdr:colOff>228600</xdr:colOff>
      <xdr:row>181</xdr:row>
      <xdr:rowOff>180975</xdr:rowOff>
    </xdr:to>
    <xdr:sp macro="" textlink="">
      <xdr:nvSpPr>
        <xdr:cNvPr id="458" name="Line 21080">
          <a:extLst>
            <a:ext uri="{FF2B5EF4-FFF2-40B4-BE49-F238E27FC236}">
              <a16:creationId xmlns:a16="http://schemas.microsoft.com/office/drawing/2014/main" id="{00000000-0008-0000-0300-0000CA010000}"/>
            </a:ext>
          </a:extLst>
        </xdr:cNvPr>
        <xdr:cNvSpPr>
          <a:spLocks noChangeShapeType="1"/>
        </xdr:cNvSpPr>
      </xdr:nvSpPr>
      <xdr:spPr bwMode="auto">
        <a:xfrm>
          <a:off x="1504950" y="34118550"/>
          <a:ext cx="5810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184</xdr:row>
      <xdr:rowOff>180975</xdr:rowOff>
    </xdr:from>
    <xdr:to>
      <xdr:col>2</xdr:col>
      <xdr:colOff>533400</xdr:colOff>
      <xdr:row>184</xdr:row>
      <xdr:rowOff>180975</xdr:rowOff>
    </xdr:to>
    <xdr:sp macro="" textlink="">
      <xdr:nvSpPr>
        <xdr:cNvPr id="459" name="Line 21081">
          <a:extLst>
            <a:ext uri="{FF2B5EF4-FFF2-40B4-BE49-F238E27FC236}">
              <a16:creationId xmlns:a16="http://schemas.microsoft.com/office/drawing/2014/main" id="{00000000-0008-0000-0300-0000CB010000}"/>
            </a:ext>
          </a:extLst>
        </xdr:cNvPr>
        <xdr:cNvSpPr>
          <a:spLocks noChangeShapeType="1"/>
        </xdr:cNvSpPr>
      </xdr:nvSpPr>
      <xdr:spPr bwMode="auto">
        <a:xfrm flipH="1">
          <a:off x="1333500" y="34690050"/>
          <a:ext cx="476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57150</xdr:colOff>
      <xdr:row>184</xdr:row>
      <xdr:rowOff>161925</xdr:rowOff>
    </xdr:from>
    <xdr:to>
      <xdr:col>2</xdr:col>
      <xdr:colOff>123825</xdr:colOff>
      <xdr:row>185</xdr:row>
      <xdr:rowOff>28575</xdr:rowOff>
    </xdr:to>
    <xdr:sp macro="" textlink="">
      <xdr:nvSpPr>
        <xdr:cNvPr id="460" name="Line 21082">
          <a:extLst>
            <a:ext uri="{FF2B5EF4-FFF2-40B4-BE49-F238E27FC236}">
              <a16:creationId xmlns:a16="http://schemas.microsoft.com/office/drawing/2014/main" id="{00000000-0008-0000-0300-0000CC010000}"/>
            </a:ext>
          </a:extLst>
        </xdr:cNvPr>
        <xdr:cNvSpPr>
          <a:spLocks noChangeShapeType="1"/>
        </xdr:cNvSpPr>
      </xdr:nvSpPr>
      <xdr:spPr bwMode="auto">
        <a:xfrm flipH="1">
          <a:off x="1333500" y="34671000"/>
          <a:ext cx="66675" cy="571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184</xdr:row>
      <xdr:rowOff>152400</xdr:rowOff>
    </xdr:from>
    <xdr:to>
      <xdr:col>2</xdr:col>
      <xdr:colOff>552450</xdr:colOff>
      <xdr:row>185</xdr:row>
      <xdr:rowOff>38100</xdr:rowOff>
    </xdr:to>
    <xdr:sp macro="" textlink="">
      <xdr:nvSpPr>
        <xdr:cNvPr id="461" name="Line 21083">
          <a:extLst>
            <a:ext uri="{FF2B5EF4-FFF2-40B4-BE49-F238E27FC236}">
              <a16:creationId xmlns:a16="http://schemas.microsoft.com/office/drawing/2014/main" id="{00000000-0008-0000-0300-0000CD010000}"/>
            </a:ext>
          </a:extLst>
        </xdr:cNvPr>
        <xdr:cNvSpPr>
          <a:spLocks noChangeShapeType="1"/>
        </xdr:cNvSpPr>
      </xdr:nvSpPr>
      <xdr:spPr bwMode="auto">
        <a:xfrm flipH="1">
          <a:off x="1752600" y="346614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123825</xdr:colOff>
      <xdr:row>179</xdr:row>
      <xdr:rowOff>180975</xdr:rowOff>
    </xdr:from>
    <xdr:to>
      <xdr:col>4</xdr:col>
      <xdr:colOff>209550</xdr:colOff>
      <xdr:row>179</xdr:row>
      <xdr:rowOff>180975</xdr:rowOff>
    </xdr:to>
    <xdr:sp macro="" textlink="">
      <xdr:nvSpPr>
        <xdr:cNvPr id="462" name="Line 21084">
          <a:extLst>
            <a:ext uri="{FF2B5EF4-FFF2-40B4-BE49-F238E27FC236}">
              <a16:creationId xmlns:a16="http://schemas.microsoft.com/office/drawing/2014/main" id="{00000000-0008-0000-0300-0000CE010000}"/>
            </a:ext>
          </a:extLst>
        </xdr:cNvPr>
        <xdr:cNvSpPr>
          <a:spLocks noChangeShapeType="1"/>
        </xdr:cNvSpPr>
      </xdr:nvSpPr>
      <xdr:spPr bwMode="auto">
        <a:xfrm>
          <a:off x="1981200" y="33737550"/>
          <a:ext cx="457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xdr:colOff>
      <xdr:row>182</xdr:row>
      <xdr:rowOff>157163</xdr:rowOff>
    </xdr:from>
    <xdr:to>
      <xdr:col>4</xdr:col>
      <xdr:colOff>190500</xdr:colOff>
      <xdr:row>182</xdr:row>
      <xdr:rowOff>157163</xdr:rowOff>
    </xdr:to>
    <xdr:sp macro="" textlink="">
      <xdr:nvSpPr>
        <xdr:cNvPr id="463" name="Line 21085">
          <a:extLst>
            <a:ext uri="{FF2B5EF4-FFF2-40B4-BE49-F238E27FC236}">
              <a16:creationId xmlns:a16="http://schemas.microsoft.com/office/drawing/2014/main" id="{00000000-0008-0000-0300-0000CF010000}"/>
            </a:ext>
          </a:extLst>
        </xdr:cNvPr>
        <xdr:cNvSpPr>
          <a:spLocks noChangeShapeType="1"/>
        </xdr:cNvSpPr>
      </xdr:nvSpPr>
      <xdr:spPr bwMode="auto">
        <a:xfrm>
          <a:off x="1866900" y="34628138"/>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179</xdr:row>
      <xdr:rowOff>171450</xdr:rowOff>
    </xdr:from>
    <xdr:to>
      <xdr:col>4</xdr:col>
      <xdr:colOff>133350</xdr:colOff>
      <xdr:row>181</xdr:row>
      <xdr:rowOff>38100</xdr:rowOff>
    </xdr:to>
    <xdr:sp macro="" textlink="">
      <xdr:nvSpPr>
        <xdr:cNvPr id="464" name="Line 21086">
          <a:extLst>
            <a:ext uri="{FF2B5EF4-FFF2-40B4-BE49-F238E27FC236}">
              <a16:creationId xmlns:a16="http://schemas.microsoft.com/office/drawing/2014/main" id="{00000000-0008-0000-0300-0000D0010000}"/>
            </a:ext>
          </a:extLst>
        </xdr:cNvPr>
        <xdr:cNvSpPr>
          <a:spLocks noChangeShapeType="1"/>
        </xdr:cNvSpPr>
      </xdr:nvSpPr>
      <xdr:spPr bwMode="auto">
        <a:xfrm>
          <a:off x="2362200" y="33728025"/>
          <a:ext cx="0" cy="247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133350</xdr:colOff>
      <xdr:row>181</xdr:row>
      <xdr:rowOff>180975</xdr:rowOff>
    </xdr:from>
    <xdr:to>
      <xdr:col>4</xdr:col>
      <xdr:colOff>133350</xdr:colOff>
      <xdr:row>183</xdr:row>
      <xdr:rowOff>38100</xdr:rowOff>
    </xdr:to>
    <xdr:sp macro="" textlink="">
      <xdr:nvSpPr>
        <xdr:cNvPr id="465" name="Line 21087">
          <a:extLst>
            <a:ext uri="{FF2B5EF4-FFF2-40B4-BE49-F238E27FC236}">
              <a16:creationId xmlns:a16="http://schemas.microsoft.com/office/drawing/2014/main" id="{00000000-0008-0000-0300-0000D1010000}"/>
            </a:ext>
          </a:extLst>
        </xdr:cNvPr>
        <xdr:cNvSpPr>
          <a:spLocks noChangeShapeType="1"/>
        </xdr:cNvSpPr>
      </xdr:nvSpPr>
      <xdr:spPr bwMode="auto">
        <a:xfrm>
          <a:off x="2362200" y="34461450"/>
          <a:ext cx="0" cy="238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85725</xdr:colOff>
      <xdr:row>182</xdr:row>
      <xdr:rowOff>114300</xdr:rowOff>
    </xdr:from>
    <xdr:to>
      <xdr:col>4</xdr:col>
      <xdr:colOff>171450</xdr:colOff>
      <xdr:row>183</xdr:row>
      <xdr:rowOff>9525</xdr:rowOff>
    </xdr:to>
    <xdr:sp macro="" textlink="">
      <xdr:nvSpPr>
        <xdr:cNvPr id="466" name="Line 21088">
          <a:extLst>
            <a:ext uri="{FF2B5EF4-FFF2-40B4-BE49-F238E27FC236}">
              <a16:creationId xmlns:a16="http://schemas.microsoft.com/office/drawing/2014/main" id="{00000000-0008-0000-0300-0000D2010000}"/>
            </a:ext>
          </a:extLst>
        </xdr:cNvPr>
        <xdr:cNvSpPr>
          <a:spLocks noChangeShapeType="1"/>
        </xdr:cNvSpPr>
      </xdr:nvSpPr>
      <xdr:spPr bwMode="auto">
        <a:xfrm flipH="1">
          <a:off x="2314575" y="3458527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95250</xdr:colOff>
      <xdr:row>179</xdr:row>
      <xdr:rowOff>142875</xdr:rowOff>
    </xdr:from>
    <xdr:to>
      <xdr:col>4</xdr:col>
      <xdr:colOff>171450</xdr:colOff>
      <xdr:row>180</xdr:row>
      <xdr:rowOff>19050</xdr:rowOff>
    </xdr:to>
    <xdr:sp macro="" textlink="">
      <xdr:nvSpPr>
        <xdr:cNvPr id="467" name="Line 21089">
          <a:extLst>
            <a:ext uri="{FF2B5EF4-FFF2-40B4-BE49-F238E27FC236}">
              <a16:creationId xmlns:a16="http://schemas.microsoft.com/office/drawing/2014/main" id="{00000000-0008-0000-0300-0000D3010000}"/>
            </a:ext>
          </a:extLst>
        </xdr:cNvPr>
        <xdr:cNvSpPr>
          <a:spLocks noChangeShapeType="1"/>
        </xdr:cNvSpPr>
      </xdr:nvSpPr>
      <xdr:spPr bwMode="auto">
        <a:xfrm flipH="1">
          <a:off x="2324100" y="3369945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190</xdr:row>
      <xdr:rowOff>66675</xdr:rowOff>
    </xdr:from>
    <xdr:to>
      <xdr:col>2</xdr:col>
      <xdr:colOff>238125</xdr:colOff>
      <xdr:row>190</xdr:row>
      <xdr:rowOff>190500</xdr:rowOff>
    </xdr:to>
    <xdr:sp macro="" textlink="">
      <xdr:nvSpPr>
        <xdr:cNvPr id="468" name="Line 21090">
          <a:extLst>
            <a:ext uri="{FF2B5EF4-FFF2-40B4-BE49-F238E27FC236}">
              <a16:creationId xmlns:a16="http://schemas.microsoft.com/office/drawing/2014/main" id="{00000000-0008-0000-0300-0000D4010000}"/>
            </a:ext>
          </a:extLst>
        </xdr:cNvPr>
        <xdr:cNvSpPr>
          <a:spLocks noChangeShapeType="1"/>
        </xdr:cNvSpPr>
      </xdr:nvSpPr>
      <xdr:spPr bwMode="auto">
        <a:xfrm flipH="1">
          <a:off x="1400175" y="3571875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104775</xdr:colOff>
      <xdr:row>190</xdr:row>
      <xdr:rowOff>57150</xdr:rowOff>
    </xdr:from>
    <xdr:to>
      <xdr:col>5</xdr:col>
      <xdr:colOff>228600</xdr:colOff>
      <xdr:row>190</xdr:row>
      <xdr:rowOff>190500</xdr:rowOff>
    </xdr:to>
    <xdr:sp macro="" textlink="">
      <xdr:nvSpPr>
        <xdr:cNvPr id="469" name="Line 21091">
          <a:extLst>
            <a:ext uri="{FF2B5EF4-FFF2-40B4-BE49-F238E27FC236}">
              <a16:creationId xmlns:a16="http://schemas.microsoft.com/office/drawing/2014/main" id="{00000000-0008-0000-0300-0000D5010000}"/>
            </a:ext>
          </a:extLst>
        </xdr:cNvPr>
        <xdr:cNvSpPr>
          <a:spLocks noChangeShapeType="1"/>
        </xdr:cNvSpPr>
      </xdr:nvSpPr>
      <xdr:spPr bwMode="auto">
        <a:xfrm flipH="1">
          <a:off x="2657475" y="3570922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206</xdr:row>
      <xdr:rowOff>57150</xdr:rowOff>
    </xdr:from>
    <xdr:to>
      <xdr:col>5</xdr:col>
      <xdr:colOff>542925</xdr:colOff>
      <xdr:row>208</xdr:row>
      <xdr:rowOff>85725</xdr:rowOff>
    </xdr:to>
    <xdr:sp macro="" textlink="">
      <xdr:nvSpPr>
        <xdr:cNvPr id="470" name="Tegning 344">
          <a:extLst>
            <a:ext uri="{FF2B5EF4-FFF2-40B4-BE49-F238E27FC236}">
              <a16:creationId xmlns:a16="http://schemas.microsoft.com/office/drawing/2014/main" id="{00000000-0008-0000-0300-0000D6010000}"/>
            </a:ext>
          </a:extLst>
        </xdr:cNvPr>
        <xdr:cNvSpPr>
          <a:spLocks/>
        </xdr:cNvSpPr>
      </xdr:nvSpPr>
      <xdr:spPr bwMode="auto">
        <a:xfrm>
          <a:off x="1885950" y="38757225"/>
          <a:ext cx="1209675"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204</xdr:row>
      <xdr:rowOff>123825</xdr:rowOff>
    </xdr:from>
    <xdr:to>
      <xdr:col>5</xdr:col>
      <xdr:colOff>523875</xdr:colOff>
      <xdr:row>206</xdr:row>
      <xdr:rowOff>76200</xdr:rowOff>
    </xdr:to>
    <xdr:sp macro="" textlink="">
      <xdr:nvSpPr>
        <xdr:cNvPr id="471" name="Tegning 344">
          <a:extLst>
            <a:ext uri="{FF2B5EF4-FFF2-40B4-BE49-F238E27FC236}">
              <a16:creationId xmlns:a16="http://schemas.microsoft.com/office/drawing/2014/main" id="{00000000-0008-0000-0300-0000D7010000}"/>
            </a:ext>
          </a:extLst>
        </xdr:cNvPr>
        <xdr:cNvSpPr>
          <a:spLocks/>
        </xdr:cNvSpPr>
      </xdr:nvSpPr>
      <xdr:spPr bwMode="auto">
        <a:xfrm flipV="1">
          <a:off x="1885950" y="38442900"/>
          <a:ext cx="11906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208</xdr:row>
      <xdr:rowOff>161925</xdr:rowOff>
    </xdr:from>
    <xdr:to>
      <xdr:col>3</xdr:col>
      <xdr:colOff>28575</xdr:colOff>
      <xdr:row>209</xdr:row>
      <xdr:rowOff>152400</xdr:rowOff>
    </xdr:to>
    <xdr:sp macro="" textlink="">
      <xdr:nvSpPr>
        <xdr:cNvPr id="472" name="Line 21094">
          <a:extLst>
            <a:ext uri="{FF2B5EF4-FFF2-40B4-BE49-F238E27FC236}">
              <a16:creationId xmlns:a16="http://schemas.microsoft.com/office/drawing/2014/main" id="{00000000-0008-0000-0300-0000D8010000}"/>
            </a:ext>
          </a:extLst>
        </xdr:cNvPr>
        <xdr:cNvSpPr>
          <a:spLocks noChangeShapeType="1"/>
        </xdr:cNvSpPr>
      </xdr:nvSpPr>
      <xdr:spPr bwMode="auto">
        <a:xfrm>
          <a:off x="1885950" y="3924300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533400</xdr:colOff>
      <xdr:row>208</xdr:row>
      <xdr:rowOff>161925</xdr:rowOff>
    </xdr:from>
    <xdr:to>
      <xdr:col>5</xdr:col>
      <xdr:colOff>533400</xdr:colOff>
      <xdr:row>209</xdr:row>
      <xdr:rowOff>161925</xdr:rowOff>
    </xdr:to>
    <xdr:sp macro="" textlink="">
      <xdr:nvSpPr>
        <xdr:cNvPr id="473" name="Line 21095">
          <a:extLst>
            <a:ext uri="{FF2B5EF4-FFF2-40B4-BE49-F238E27FC236}">
              <a16:creationId xmlns:a16="http://schemas.microsoft.com/office/drawing/2014/main" id="{00000000-0008-0000-0300-0000D9010000}"/>
            </a:ext>
          </a:extLst>
        </xdr:cNvPr>
        <xdr:cNvSpPr>
          <a:spLocks noChangeShapeType="1"/>
        </xdr:cNvSpPr>
      </xdr:nvSpPr>
      <xdr:spPr bwMode="auto">
        <a:xfrm>
          <a:off x="3086100" y="39243000"/>
          <a:ext cx="0" cy="190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542925</xdr:colOff>
      <xdr:row>209</xdr:row>
      <xdr:rowOff>0</xdr:rowOff>
    </xdr:from>
    <xdr:to>
      <xdr:col>3</xdr:col>
      <xdr:colOff>123825</xdr:colOff>
      <xdr:row>209</xdr:row>
      <xdr:rowOff>133350</xdr:rowOff>
    </xdr:to>
    <xdr:sp macro="" textlink="">
      <xdr:nvSpPr>
        <xdr:cNvPr id="474" name="Line 21096">
          <a:extLst>
            <a:ext uri="{FF2B5EF4-FFF2-40B4-BE49-F238E27FC236}">
              <a16:creationId xmlns:a16="http://schemas.microsoft.com/office/drawing/2014/main" id="{00000000-0008-0000-0300-0000DA010000}"/>
            </a:ext>
          </a:extLst>
        </xdr:cNvPr>
        <xdr:cNvSpPr>
          <a:spLocks noChangeShapeType="1"/>
        </xdr:cNvSpPr>
      </xdr:nvSpPr>
      <xdr:spPr bwMode="auto">
        <a:xfrm flipH="1">
          <a:off x="1819275" y="39271575"/>
          <a:ext cx="1619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209</xdr:row>
      <xdr:rowOff>19050</xdr:rowOff>
    </xdr:from>
    <xdr:to>
      <xdr:col>5</xdr:col>
      <xdr:colOff>590550</xdr:colOff>
      <xdr:row>209</xdr:row>
      <xdr:rowOff>142875</xdr:rowOff>
    </xdr:to>
    <xdr:sp macro="" textlink="">
      <xdr:nvSpPr>
        <xdr:cNvPr id="475" name="Line 21097">
          <a:extLst>
            <a:ext uri="{FF2B5EF4-FFF2-40B4-BE49-F238E27FC236}">
              <a16:creationId xmlns:a16="http://schemas.microsoft.com/office/drawing/2014/main" id="{00000000-0008-0000-0300-0000DB010000}"/>
            </a:ext>
          </a:extLst>
        </xdr:cNvPr>
        <xdr:cNvSpPr>
          <a:spLocks noChangeShapeType="1"/>
        </xdr:cNvSpPr>
      </xdr:nvSpPr>
      <xdr:spPr bwMode="auto">
        <a:xfrm flipH="1">
          <a:off x="3019425" y="39290625"/>
          <a:ext cx="123825"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238125</xdr:colOff>
      <xdr:row>207</xdr:row>
      <xdr:rowOff>19050</xdr:rowOff>
    </xdr:from>
    <xdr:to>
      <xdr:col>5</xdr:col>
      <xdr:colOff>57150</xdr:colOff>
      <xdr:row>208</xdr:row>
      <xdr:rowOff>57150</xdr:rowOff>
    </xdr:to>
    <xdr:sp macro="" textlink="">
      <xdr:nvSpPr>
        <xdr:cNvPr id="476" name="Line 21098">
          <a:extLst>
            <a:ext uri="{FF2B5EF4-FFF2-40B4-BE49-F238E27FC236}">
              <a16:creationId xmlns:a16="http://schemas.microsoft.com/office/drawing/2014/main" id="{00000000-0008-0000-0300-0000DC010000}"/>
            </a:ext>
          </a:extLst>
        </xdr:cNvPr>
        <xdr:cNvSpPr>
          <a:spLocks noChangeShapeType="1"/>
        </xdr:cNvSpPr>
      </xdr:nvSpPr>
      <xdr:spPr bwMode="auto">
        <a:xfrm flipH="1">
          <a:off x="2466975" y="38909625"/>
          <a:ext cx="142875" cy="2286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190500</xdr:colOff>
      <xdr:row>208</xdr:row>
      <xdr:rowOff>57150</xdr:rowOff>
    </xdr:from>
    <xdr:to>
      <xdr:col>4</xdr:col>
      <xdr:colOff>257175</xdr:colOff>
      <xdr:row>208</xdr:row>
      <xdr:rowOff>123825</xdr:rowOff>
    </xdr:to>
    <xdr:sp macro="" textlink="">
      <xdr:nvSpPr>
        <xdr:cNvPr id="477" name="Oval 21099">
          <a:extLst>
            <a:ext uri="{FF2B5EF4-FFF2-40B4-BE49-F238E27FC236}">
              <a16:creationId xmlns:a16="http://schemas.microsoft.com/office/drawing/2014/main" id="{00000000-0008-0000-0300-0000DD010000}"/>
            </a:ext>
          </a:extLst>
        </xdr:cNvPr>
        <xdr:cNvSpPr>
          <a:spLocks noChangeArrowheads="1"/>
        </xdr:cNvSpPr>
      </xdr:nvSpPr>
      <xdr:spPr bwMode="auto">
        <a:xfrm>
          <a:off x="2419350" y="39138225"/>
          <a:ext cx="66675" cy="66675"/>
        </a:xfrm>
        <a:prstGeom prst="ellips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95250</xdr:rowOff>
    </xdr:from>
    <xdr:to>
      <xdr:col>4</xdr:col>
      <xdr:colOff>200025</xdr:colOff>
      <xdr:row>198</xdr:row>
      <xdr:rowOff>95250</xdr:rowOff>
    </xdr:to>
    <xdr:sp macro="" textlink="">
      <xdr:nvSpPr>
        <xdr:cNvPr id="478" name="Line 21100">
          <a:extLst>
            <a:ext uri="{FF2B5EF4-FFF2-40B4-BE49-F238E27FC236}">
              <a16:creationId xmlns:a16="http://schemas.microsoft.com/office/drawing/2014/main" id="{00000000-0008-0000-0300-0000DE010000}"/>
            </a:ext>
          </a:extLst>
        </xdr:cNvPr>
        <xdr:cNvSpPr>
          <a:spLocks noChangeShapeType="1"/>
        </xdr:cNvSpPr>
      </xdr:nvSpPr>
      <xdr:spPr bwMode="auto">
        <a:xfrm>
          <a:off x="1914525" y="37271325"/>
          <a:ext cx="5143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3</xdr:col>
      <xdr:colOff>76200</xdr:colOff>
      <xdr:row>194</xdr:row>
      <xdr:rowOff>9525</xdr:rowOff>
    </xdr:from>
    <xdr:to>
      <xdr:col>5</xdr:col>
      <xdr:colOff>85725</xdr:colOff>
      <xdr:row>198</xdr:row>
      <xdr:rowOff>180975</xdr:rowOff>
    </xdr:to>
    <xdr:sp macro="" textlink="">
      <xdr:nvSpPr>
        <xdr:cNvPr id="479" name="Freeform 21101">
          <a:extLst>
            <a:ext uri="{FF2B5EF4-FFF2-40B4-BE49-F238E27FC236}">
              <a16:creationId xmlns:a16="http://schemas.microsoft.com/office/drawing/2014/main" id="{00000000-0008-0000-0300-0000DF010000}"/>
            </a:ext>
          </a:extLst>
        </xdr:cNvPr>
        <xdr:cNvSpPr>
          <a:spLocks/>
        </xdr:cNvSpPr>
      </xdr:nvSpPr>
      <xdr:spPr bwMode="auto">
        <a:xfrm>
          <a:off x="1933575" y="36423600"/>
          <a:ext cx="704850" cy="933450"/>
        </a:xfrm>
        <a:custGeom>
          <a:avLst/>
          <a:gdLst>
            <a:gd name="T0" fmla="*/ 0 w 69"/>
            <a:gd name="T1" fmla="*/ 2147483646 h 99"/>
            <a:gd name="T2" fmla="*/ 0 w 69"/>
            <a:gd name="T3" fmla="*/ 2147483646 h 99"/>
            <a:gd name="T4" fmla="*/ 2147483646 w 69"/>
            <a:gd name="T5" fmla="*/ 2147483646 h 99"/>
            <a:gd name="T6" fmla="*/ 2147483646 w 69"/>
            <a:gd name="T7" fmla="*/ 0 h 9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9" h="99">
              <a:moveTo>
                <a:pt x="0" y="99"/>
              </a:moveTo>
              <a:lnTo>
                <a:pt x="0" y="85"/>
              </a:lnTo>
              <a:lnTo>
                <a:pt x="69" y="16"/>
              </a:lnTo>
              <a:lnTo>
                <a:pt x="69" y="0"/>
              </a:lnTo>
            </a:path>
          </a:pathLst>
        </a:custGeom>
        <a:noFill/>
        <a:ln w="9525" cap="flat" cmpd="sng">
          <a:solidFill>
            <a:srgbClr xmlns:mc="http://schemas.openxmlformats.org/markup-compatibility/2006" xmlns:a14="http://schemas.microsoft.com/office/drawing/2010/main" val="000000" mc:Ignorable="a14" a14:legacySpreadsheetColorIndex="64"/>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95250</xdr:colOff>
      <xdr:row>194</xdr:row>
      <xdr:rowOff>104775</xdr:rowOff>
    </xdr:from>
    <xdr:to>
      <xdr:col>5</xdr:col>
      <xdr:colOff>647700</xdr:colOff>
      <xdr:row>194</xdr:row>
      <xdr:rowOff>104775</xdr:rowOff>
    </xdr:to>
    <xdr:sp macro="" textlink="">
      <xdr:nvSpPr>
        <xdr:cNvPr id="480" name="Line 21102">
          <a:extLst>
            <a:ext uri="{FF2B5EF4-FFF2-40B4-BE49-F238E27FC236}">
              <a16:creationId xmlns:a16="http://schemas.microsoft.com/office/drawing/2014/main" id="{00000000-0008-0000-0300-0000E0010000}"/>
            </a:ext>
          </a:extLst>
        </xdr:cNvPr>
        <xdr:cNvSpPr>
          <a:spLocks noChangeShapeType="1"/>
        </xdr:cNvSpPr>
      </xdr:nvSpPr>
      <xdr:spPr bwMode="auto">
        <a:xfrm flipH="1">
          <a:off x="2647950" y="36518850"/>
          <a:ext cx="552450" cy="0"/>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type="triangle" w="lg" len="lg"/>
        </a:ln>
        <a:extLst>
          <a:ext uri="{909E8E84-426E-40DD-AFC4-6F175D3DCCD1}">
            <a14:hiddenFill xmlns:a14="http://schemas.microsoft.com/office/drawing/2010/main">
              <a:noFill/>
            </a14:hiddenFill>
          </a:ext>
        </a:extLst>
      </xdr:spPr>
    </xdr:sp>
    <xdr:clientData/>
  </xdr:twoCellAnchor>
  <xdr:twoCellAnchor>
    <xdr:from>
      <xdr:col>4</xdr:col>
      <xdr:colOff>238125</xdr:colOff>
      <xdr:row>198</xdr:row>
      <xdr:rowOff>95250</xdr:rowOff>
    </xdr:from>
    <xdr:to>
      <xdr:col>5</xdr:col>
      <xdr:colOff>438150</xdr:colOff>
      <xdr:row>198</xdr:row>
      <xdr:rowOff>95250</xdr:rowOff>
    </xdr:to>
    <xdr:sp macro="" textlink="">
      <xdr:nvSpPr>
        <xdr:cNvPr id="481" name="Line 21103">
          <a:extLst>
            <a:ext uri="{FF2B5EF4-FFF2-40B4-BE49-F238E27FC236}">
              <a16:creationId xmlns:a16="http://schemas.microsoft.com/office/drawing/2014/main" id="{00000000-0008-0000-0300-0000E1010000}"/>
            </a:ext>
          </a:extLst>
        </xdr:cNvPr>
        <xdr:cNvSpPr>
          <a:spLocks noChangeShapeType="1"/>
        </xdr:cNvSpPr>
      </xdr:nvSpPr>
      <xdr:spPr bwMode="auto">
        <a:xfrm>
          <a:off x="2466975" y="37271325"/>
          <a:ext cx="5238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193</xdr:row>
      <xdr:rowOff>28575</xdr:rowOff>
    </xdr:from>
    <xdr:to>
      <xdr:col>5</xdr:col>
      <xdr:colOff>66675</xdr:colOff>
      <xdr:row>193</xdr:row>
      <xdr:rowOff>152400</xdr:rowOff>
    </xdr:to>
    <xdr:sp macro="" textlink="">
      <xdr:nvSpPr>
        <xdr:cNvPr id="482" name="Rectangle 21104">
          <a:extLst>
            <a:ext uri="{FF2B5EF4-FFF2-40B4-BE49-F238E27FC236}">
              <a16:creationId xmlns:a16="http://schemas.microsoft.com/office/drawing/2014/main" id="{00000000-0008-0000-0300-0000E2010000}"/>
            </a:ext>
          </a:extLst>
        </xdr:cNvPr>
        <xdr:cNvSpPr>
          <a:spLocks noChangeArrowheads="1"/>
        </xdr:cNvSpPr>
      </xdr:nvSpPr>
      <xdr:spPr bwMode="auto">
        <a:xfrm>
          <a:off x="1809750" y="36252150"/>
          <a:ext cx="809625" cy="12382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161925</xdr:colOff>
      <xdr:row>198</xdr:row>
      <xdr:rowOff>66675</xdr:rowOff>
    </xdr:from>
    <xdr:to>
      <xdr:col>2</xdr:col>
      <xdr:colOff>381000</xdr:colOff>
      <xdr:row>200</xdr:row>
      <xdr:rowOff>66675</xdr:rowOff>
    </xdr:to>
    <xdr:sp macro="" textlink="">
      <xdr:nvSpPr>
        <xdr:cNvPr id="483" name="Tegning 312">
          <a:extLst>
            <a:ext uri="{FF2B5EF4-FFF2-40B4-BE49-F238E27FC236}">
              <a16:creationId xmlns:a16="http://schemas.microsoft.com/office/drawing/2014/main" id="{00000000-0008-0000-0300-0000E3010000}"/>
            </a:ext>
          </a:extLst>
        </xdr:cNvPr>
        <xdr:cNvSpPr>
          <a:spLocks/>
        </xdr:cNvSpPr>
      </xdr:nvSpPr>
      <xdr:spPr bwMode="auto">
        <a:xfrm>
          <a:off x="1438275" y="3724275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0</xdr:colOff>
      <xdr:row>198</xdr:row>
      <xdr:rowOff>76200</xdr:rowOff>
    </xdr:from>
    <xdr:to>
      <xdr:col>2</xdr:col>
      <xdr:colOff>457200</xdr:colOff>
      <xdr:row>200</xdr:row>
      <xdr:rowOff>47625</xdr:rowOff>
    </xdr:to>
    <xdr:sp macro="" textlink="">
      <xdr:nvSpPr>
        <xdr:cNvPr id="484" name="Freeform 21106">
          <a:extLst>
            <a:ext uri="{FF2B5EF4-FFF2-40B4-BE49-F238E27FC236}">
              <a16:creationId xmlns:a16="http://schemas.microsoft.com/office/drawing/2014/main" id="{00000000-0008-0000-0300-0000E4010000}"/>
            </a:ext>
          </a:extLst>
        </xdr:cNvPr>
        <xdr:cNvSpPr>
          <a:spLocks/>
        </xdr:cNvSpPr>
      </xdr:nvSpPr>
      <xdr:spPr bwMode="auto">
        <a:xfrm>
          <a:off x="1276350" y="37252275"/>
          <a:ext cx="457200" cy="352425"/>
        </a:xfrm>
        <a:custGeom>
          <a:avLst/>
          <a:gdLst>
            <a:gd name="T0" fmla="*/ 0 w 57"/>
            <a:gd name="T1" fmla="*/ 0 h 49"/>
            <a:gd name="T2" fmla="*/ 2147483646 w 57"/>
            <a:gd name="T3" fmla="*/ 0 h 49"/>
            <a:gd name="T4" fmla="*/ 2147483646 w 57"/>
            <a:gd name="T5" fmla="*/ 2147483646 h 49"/>
            <a:gd name="T6" fmla="*/ 0 60000 65536"/>
            <a:gd name="T7" fmla="*/ 0 60000 65536"/>
            <a:gd name="T8" fmla="*/ 0 60000 65536"/>
          </a:gdLst>
          <a:ahLst/>
          <a:cxnLst>
            <a:cxn ang="T6">
              <a:pos x="T0" y="T1"/>
            </a:cxn>
            <a:cxn ang="T7">
              <a:pos x="T2" y="T3"/>
            </a:cxn>
            <a:cxn ang="T8">
              <a:pos x="T4" y="T5"/>
            </a:cxn>
          </a:cxnLst>
          <a:rect l="0" t="0" r="r" b="b"/>
          <a:pathLst>
            <a:path w="57" h="49">
              <a:moveTo>
                <a:pt x="0" y="0"/>
              </a:moveTo>
              <a:lnTo>
                <a:pt x="57" y="0"/>
              </a:lnTo>
              <a:lnTo>
                <a:pt x="57" y="49"/>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28575</xdr:colOff>
      <xdr:row>196</xdr:row>
      <xdr:rowOff>57150</xdr:rowOff>
    </xdr:from>
    <xdr:to>
      <xdr:col>3</xdr:col>
      <xdr:colOff>57150</xdr:colOff>
      <xdr:row>198</xdr:row>
      <xdr:rowOff>104775</xdr:rowOff>
    </xdr:to>
    <xdr:sp macro="" textlink="">
      <xdr:nvSpPr>
        <xdr:cNvPr id="485" name="Tegning 344">
          <a:extLst>
            <a:ext uri="{FF2B5EF4-FFF2-40B4-BE49-F238E27FC236}">
              <a16:creationId xmlns:a16="http://schemas.microsoft.com/office/drawing/2014/main" id="{00000000-0008-0000-0300-0000E5010000}"/>
            </a:ext>
          </a:extLst>
        </xdr:cNvPr>
        <xdr:cNvSpPr>
          <a:spLocks/>
        </xdr:cNvSpPr>
      </xdr:nvSpPr>
      <xdr:spPr bwMode="auto">
        <a:xfrm>
          <a:off x="1885950" y="36852225"/>
          <a:ext cx="28575" cy="428625"/>
        </a:xfrm>
        <a:custGeom>
          <a:avLst/>
          <a:gdLst>
            <a:gd name="T0" fmla="*/ 0 w 16384"/>
            <a:gd name="T1" fmla="*/ 0 h 16384"/>
            <a:gd name="T2" fmla="*/ 0 w 16384"/>
            <a:gd name="T3" fmla="*/ 2147483646 h 16384"/>
            <a:gd name="T4" fmla="*/ 133161727 w 16384"/>
            <a:gd name="T5" fmla="*/ 2147483646 h 16384"/>
            <a:gd name="T6" fmla="*/ 667793906 w 16384"/>
            <a:gd name="T7" fmla="*/ 2147483646 h 16384"/>
            <a:gd name="T8" fmla="*/ 1601883354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28575</xdr:colOff>
      <xdr:row>194</xdr:row>
      <xdr:rowOff>123825</xdr:rowOff>
    </xdr:from>
    <xdr:to>
      <xdr:col>5</xdr:col>
      <xdr:colOff>95250</xdr:colOff>
      <xdr:row>196</xdr:row>
      <xdr:rowOff>76200</xdr:rowOff>
    </xdr:to>
    <xdr:sp macro="" textlink="">
      <xdr:nvSpPr>
        <xdr:cNvPr id="486" name="Tegning 344">
          <a:extLst>
            <a:ext uri="{FF2B5EF4-FFF2-40B4-BE49-F238E27FC236}">
              <a16:creationId xmlns:a16="http://schemas.microsoft.com/office/drawing/2014/main" id="{00000000-0008-0000-0300-0000E6010000}"/>
            </a:ext>
          </a:extLst>
        </xdr:cNvPr>
        <xdr:cNvSpPr>
          <a:spLocks/>
        </xdr:cNvSpPr>
      </xdr:nvSpPr>
      <xdr:spPr bwMode="auto">
        <a:xfrm flipV="1">
          <a:off x="1885950" y="36537900"/>
          <a:ext cx="762000"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194</xdr:row>
      <xdr:rowOff>123825</xdr:rowOff>
    </xdr:from>
    <xdr:to>
      <xdr:col>5</xdr:col>
      <xdr:colOff>9525</xdr:colOff>
      <xdr:row>196</xdr:row>
      <xdr:rowOff>180975</xdr:rowOff>
    </xdr:to>
    <xdr:sp macro="" textlink="">
      <xdr:nvSpPr>
        <xdr:cNvPr id="487" name="Tegning 344">
          <a:extLst>
            <a:ext uri="{FF2B5EF4-FFF2-40B4-BE49-F238E27FC236}">
              <a16:creationId xmlns:a16="http://schemas.microsoft.com/office/drawing/2014/main" id="{00000000-0008-0000-0300-0000E7010000}"/>
            </a:ext>
          </a:extLst>
        </xdr:cNvPr>
        <xdr:cNvSpPr>
          <a:spLocks/>
        </xdr:cNvSpPr>
      </xdr:nvSpPr>
      <xdr:spPr bwMode="auto">
        <a:xfrm flipV="1">
          <a:off x="1476375" y="36537900"/>
          <a:ext cx="1085850" cy="43815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200025</xdr:colOff>
      <xdr:row>195</xdr:row>
      <xdr:rowOff>123825</xdr:rowOff>
    </xdr:from>
    <xdr:to>
      <xdr:col>3</xdr:col>
      <xdr:colOff>190500</xdr:colOff>
      <xdr:row>197</xdr:row>
      <xdr:rowOff>152400</xdr:rowOff>
    </xdr:to>
    <xdr:sp macro="" textlink="">
      <xdr:nvSpPr>
        <xdr:cNvPr id="488" name="Tegning 344">
          <a:extLst>
            <a:ext uri="{FF2B5EF4-FFF2-40B4-BE49-F238E27FC236}">
              <a16:creationId xmlns:a16="http://schemas.microsoft.com/office/drawing/2014/main" id="{00000000-0008-0000-0300-0000E8010000}"/>
            </a:ext>
          </a:extLst>
        </xdr:cNvPr>
        <xdr:cNvSpPr>
          <a:spLocks/>
        </xdr:cNvSpPr>
      </xdr:nvSpPr>
      <xdr:spPr bwMode="auto">
        <a:xfrm>
          <a:off x="1476375" y="36728400"/>
          <a:ext cx="571500" cy="4095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1905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197</xdr:row>
      <xdr:rowOff>104775</xdr:rowOff>
    </xdr:from>
    <xdr:to>
      <xdr:col>2</xdr:col>
      <xdr:colOff>266700</xdr:colOff>
      <xdr:row>197</xdr:row>
      <xdr:rowOff>142875</xdr:rowOff>
    </xdr:to>
    <xdr:sp macro="" textlink="">
      <xdr:nvSpPr>
        <xdr:cNvPr id="489" name="Oval 21111">
          <a:extLst>
            <a:ext uri="{FF2B5EF4-FFF2-40B4-BE49-F238E27FC236}">
              <a16:creationId xmlns:a16="http://schemas.microsoft.com/office/drawing/2014/main" id="{00000000-0008-0000-0300-0000E9010000}"/>
            </a:ext>
          </a:extLst>
        </xdr:cNvPr>
        <xdr:cNvSpPr>
          <a:spLocks noChangeArrowheads="1"/>
        </xdr:cNvSpPr>
      </xdr:nvSpPr>
      <xdr:spPr bwMode="auto">
        <a:xfrm>
          <a:off x="1504950" y="370903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219075</xdr:colOff>
      <xdr:row>194</xdr:row>
      <xdr:rowOff>142875</xdr:rowOff>
    </xdr:from>
    <xdr:to>
      <xdr:col>2</xdr:col>
      <xdr:colOff>257175</xdr:colOff>
      <xdr:row>194</xdr:row>
      <xdr:rowOff>180975</xdr:rowOff>
    </xdr:to>
    <xdr:sp macro="" textlink="">
      <xdr:nvSpPr>
        <xdr:cNvPr id="490" name="Oval 21112">
          <a:extLst>
            <a:ext uri="{FF2B5EF4-FFF2-40B4-BE49-F238E27FC236}">
              <a16:creationId xmlns:a16="http://schemas.microsoft.com/office/drawing/2014/main" id="{00000000-0008-0000-0300-0000EA010000}"/>
            </a:ext>
          </a:extLst>
        </xdr:cNvPr>
        <xdr:cNvSpPr>
          <a:spLocks noChangeArrowheads="1"/>
        </xdr:cNvSpPr>
      </xdr:nvSpPr>
      <xdr:spPr bwMode="auto">
        <a:xfrm>
          <a:off x="1495425" y="365569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194</xdr:row>
      <xdr:rowOff>142875</xdr:rowOff>
    </xdr:from>
    <xdr:to>
      <xdr:col>3</xdr:col>
      <xdr:colOff>95250</xdr:colOff>
      <xdr:row>194</xdr:row>
      <xdr:rowOff>180975</xdr:rowOff>
    </xdr:to>
    <xdr:sp macro="" textlink="">
      <xdr:nvSpPr>
        <xdr:cNvPr id="491" name="Oval 21113">
          <a:extLst>
            <a:ext uri="{FF2B5EF4-FFF2-40B4-BE49-F238E27FC236}">
              <a16:creationId xmlns:a16="http://schemas.microsoft.com/office/drawing/2014/main" id="{00000000-0008-0000-0300-0000EB010000}"/>
            </a:ext>
          </a:extLst>
        </xdr:cNvPr>
        <xdr:cNvSpPr>
          <a:spLocks noChangeArrowheads="1"/>
        </xdr:cNvSpPr>
      </xdr:nvSpPr>
      <xdr:spPr bwMode="auto">
        <a:xfrm>
          <a:off x="1914525" y="36556950"/>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57150</xdr:colOff>
      <xdr:row>198</xdr:row>
      <xdr:rowOff>38100</xdr:rowOff>
    </xdr:from>
    <xdr:to>
      <xdr:col>3</xdr:col>
      <xdr:colOff>95250</xdr:colOff>
      <xdr:row>198</xdr:row>
      <xdr:rowOff>76200</xdr:rowOff>
    </xdr:to>
    <xdr:sp macro="" textlink="">
      <xdr:nvSpPr>
        <xdr:cNvPr id="492" name="Oval 21114">
          <a:extLst>
            <a:ext uri="{FF2B5EF4-FFF2-40B4-BE49-F238E27FC236}">
              <a16:creationId xmlns:a16="http://schemas.microsoft.com/office/drawing/2014/main" id="{00000000-0008-0000-0300-0000EC010000}"/>
            </a:ext>
          </a:extLst>
        </xdr:cNvPr>
        <xdr:cNvSpPr>
          <a:spLocks noChangeArrowheads="1"/>
        </xdr:cNvSpPr>
      </xdr:nvSpPr>
      <xdr:spPr bwMode="auto">
        <a:xfrm>
          <a:off x="1914525" y="37214175"/>
          <a:ext cx="38100" cy="38100"/>
        </a:xfrm>
        <a:prstGeom prst="ellipse">
          <a:avLst/>
        </a:prstGeom>
        <a:solidFill>
          <a:srgbClr xmlns:mc="http://schemas.openxmlformats.org/markup-compatibility/2006" xmlns:a14="http://schemas.microsoft.com/office/drawing/2010/main" val="FFFFFF" mc:Ignorable="a14" a14:legacySpreadsheetColorIndex="65"/>
        </a:solidFill>
        <a:ln w="3810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2</xdr:col>
      <xdr:colOff>180975</xdr:colOff>
      <xdr:row>198</xdr:row>
      <xdr:rowOff>57150</xdr:rowOff>
    </xdr:from>
    <xdr:to>
      <xdr:col>2</xdr:col>
      <xdr:colOff>409575</xdr:colOff>
      <xdr:row>198</xdr:row>
      <xdr:rowOff>57150</xdr:rowOff>
    </xdr:to>
    <xdr:sp macro="" textlink="">
      <xdr:nvSpPr>
        <xdr:cNvPr id="493" name="Line 21115">
          <a:extLst>
            <a:ext uri="{FF2B5EF4-FFF2-40B4-BE49-F238E27FC236}">
              <a16:creationId xmlns:a16="http://schemas.microsoft.com/office/drawing/2014/main" id="{00000000-0008-0000-0300-0000ED010000}"/>
            </a:ext>
          </a:extLst>
        </xdr:cNvPr>
        <xdr:cNvSpPr>
          <a:spLocks noChangeShapeType="1"/>
        </xdr:cNvSpPr>
      </xdr:nvSpPr>
      <xdr:spPr bwMode="auto">
        <a:xfrm>
          <a:off x="1457325" y="37233225"/>
          <a:ext cx="228600" cy="0"/>
        </a:xfrm>
        <a:prstGeom prst="line">
          <a:avLst/>
        </a:prstGeom>
        <a:noFill/>
        <a:ln w="317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201</xdr:row>
      <xdr:rowOff>66675</xdr:rowOff>
    </xdr:to>
    <xdr:sp macro="" textlink="">
      <xdr:nvSpPr>
        <xdr:cNvPr id="494" name="Line 21119">
          <a:extLst>
            <a:ext uri="{FF2B5EF4-FFF2-40B4-BE49-F238E27FC236}">
              <a16:creationId xmlns:a16="http://schemas.microsoft.com/office/drawing/2014/main" id="{00000000-0008-0000-0300-0000EE010000}"/>
            </a:ext>
          </a:extLst>
        </xdr:cNvPr>
        <xdr:cNvSpPr>
          <a:spLocks noChangeShapeType="1"/>
        </xdr:cNvSpPr>
      </xdr:nvSpPr>
      <xdr:spPr bwMode="auto">
        <a:xfrm>
          <a:off x="1933575" y="37395150"/>
          <a:ext cx="0" cy="419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197</xdr:row>
      <xdr:rowOff>28575</xdr:rowOff>
    </xdr:from>
    <xdr:to>
      <xdr:col>5</xdr:col>
      <xdr:colOff>361950</xdr:colOff>
      <xdr:row>199</xdr:row>
      <xdr:rowOff>123825</xdr:rowOff>
    </xdr:to>
    <xdr:sp macro="" textlink="">
      <xdr:nvSpPr>
        <xdr:cNvPr id="495" name="Line 21123">
          <a:extLst>
            <a:ext uri="{FF2B5EF4-FFF2-40B4-BE49-F238E27FC236}">
              <a16:creationId xmlns:a16="http://schemas.microsoft.com/office/drawing/2014/main" id="{00000000-0008-0000-0300-0000EF010000}"/>
            </a:ext>
          </a:extLst>
        </xdr:cNvPr>
        <xdr:cNvSpPr>
          <a:spLocks noChangeShapeType="1"/>
        </xdr:cNvSpPr>
      </xdr:nvSpPr>
      <xdr:spPr bwMode="auto">
        <a:xfrm>
          <a:off x="2914650" y="3701415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123825</xdr:rowOff>
    </xdr:from>
    <xdr:to>
      <xdr:col>5</xdr:col>
      <xdr:colOff>428625</xdr:colOff>
      <xdr:row>199</xdr:row>
      <xdr:rowOff>66675</xdr:rowOff>
    </xdr:to>
    <xdr:sp macro="" textlink="">
      <xdr:nvSpPr>
        <xdr:cNvPr id="496" name="Line 21124">
          <a:extLst>
            <a:ext uri="{FF2B5EF4-FFF2-40B4-BE49-F238E27FC236}">
              <a16:creationId xmlns:a16="http://schemas.microsoft.com/office/drawing/2014/main" id="{00000000-0008-0000-0300-0000F0010000}"/>
            </a:ext>
          </a:extLst>
        </xdr:cNvPr>
        <xdr:cNvSpPr>
          <a:spLocks noChangeShapeType="1"/>
        </xdr:cNvSpPr>
      </xdr:nvSpPr>
      <xdr:spPr bwMode="auto">
        <a:xfrm flipH="1">
          <a:off x="2847975" y="37299900"/>
          <a:ext cx="13335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314325</xdr:colOff>
      <xdr:row>194</xdr:row>
      <xdr:rowOff>57150</xdr:rowOff>
    </xdr:from>
    <xdr:to>
      <xdr:col>5</xdr:col>
      <xdr:colOff>409575</xdr:colOff>
      <xdr:row>194</xdr:row>
      <xdr:rowOff>152400</xdr:rowOff>
    </xdr:to>
    <xdr:sp macro="" textlink="">
      <xdr:nvSpPr>
        <xdr:cNvPr id="497" name="Line 21125">
          <a:extLst>
            <a:ext uri="{FF2B5EF4-FFF2-40B4-BE49-F238E27FC236}">
              <a16:creationId xmlns:a16="http://schemas.microsoft.com/office/drawing/2014/main" id="{00000000-0008-0000-0300-0000F1010000}"/>
            </a:ext>
          </a:extLst>
        </xdr:cNvPr>
        <xdr:cNvSpPr>
          <a:spLocks noChangeShapeType="1"/>
        </xdr:cNvSpPr>
      </xdr:nvSpPr>
      <xdr:spPr bwMode="auto">
        <a:xfrm flipH="1">
          <a:off x="2867025" y="364712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85725</xdr:colOff>
      <xdr:row>195</xdr:row>
      <xdr:rowOff>57150</xdr:rowOff>
    </xdr:from>
    <xdr:to>
      <xdr:col>5</xdr:col>
      <xdr:colOff>85725</xdr:colOff>
      <xdr:row>202</xdr:row>
      <xdr:rowOff>66675</xdr:rowOff>
    </xdr:to>
    <xdr:sp macro="" textlink="">
      <xdr:nvSpPr>
        <xdr:cNvPr id="498" name="Line 21126">
          <a:extLst>
            <a:ext uri="{FF2B5EF4-FFF2-40B4-BE49-F238E27FC236}">
              <a16:creationId xmlns:a16="http://schemas.microsoft.com/office/drawing/2014/main" id="{00000000-0008-0000-0300-0000F2010000}"/>
            </a:ext>
          </a:extLst>
        </xdr:cNvPr>
        <xdr:cNvSpPr>
          <a:spLocks noChangeShapeType="1"/>
        </xdr:cNvSpPr>
      </xdr:nvSpPr>
      <xdr:spPr bwMode="auto">
        <a:xfrm flipV="1">
          <a:off x="2638425" y="36661725"/>
          <a:ext cx="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200025</xdr:colOff>
      <xdr:row>199</xdr:row>
      <xdr:rowOff>9525</xdr:rowOff>
    </xdr:from>
    <xdr:to>
      <xdr:col>5</xdr:col>
      <xdr:colOff>438150</xdr:colOff>
      <xdr:row>199</xdr:row>
      <xdr:rowOff>9525</xdr:rowOff>
    </xdr:to>
    <xdr:sp macro="" textlink="">
      <xdr:nvSpPr>
        <xdr:cNvPr id="499" name="Line 21127">
          <a:extLst>
            <a:ext uri="{FF2B5EF4-FFF2-40B4-BE49-F238E27FC236}">
              <a16:creationId xmlns:a16="http://schemas.microsoft.com/office/drawing/2014/main" id="{00000000-0008-0000-0300-0000F3010000}"/>
            </a:ext>
          </a:extLst>
        </xdr:cNvPr>
        <xdr:cNvSpPr>
          <a:spLocks noChangeShapeType="1"/>
        </xdr:cNvSpPr>
      </xdr:nvSpPr>
      <xdr:spPr bwMode="auto">
        <a:xfrm>
          <a:off x="2057400" y="37376100"/>
          <a:ext cx="933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198</xdr:row>
      <xdr:rowOff>47625</xdr:rowOff>
    </xdr:from>
    <xdr:to>
      <xdr:col>5</xdr:col>
      <xdr:colOff>419100</xdr:colOff>
      <xdr:row>198</xdr:row>
      <xdr:rowOff>161925</xdr:rowOff>
    </xdr:to>
    <xdr:sp macro="" textlink="">
      <xdr:nvSpPr>
        <xdr:cNvPr id="500" name="Line 21128">
          <a:extLst>
            <a:ext uri="{FF2B5EF4-FFF2-40B4-BE49-F238E27FC236}">
              <a16:creationId xmlns:a16="http://schemas.microsoft.com/office/drawing/2014/main" id="{00000000-0008-0000-0300-0000F4010000}"/>
            </a:ext>
          </a:extLst>
        </xdr:cNvPr>
        <xdr:cNvSpPr>
          <a:spLocks noChangeShapeType="1"/>
        </xdr:cNvSpPr>
      </xdr:nvSpPr>
      <xdr:spPr bwMode="auto">
        <a:xfrm flipH="1">
          <a:off x="2847975" y="37223700"/>
          <a:ext cx="12382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361950</xdr:colOff>
      <xdr:row>194</xdr:row>
      <xdr:rowOff>85725</xdr:rowOff>
    </xdr:from>
    <xdr:to>
      <xdr:col>5</xdr:col>
      <xdr:colOff>361950</xdr:colOff>
      <xdr:row>196</xdr:row>
      <xdr:rowOff>0</xdr:rowOff>
    </xdr:to>
    <xdr:sp macro="" textlink="">
      <xdr:nvSpPr>
        <xdr:cNvPr id="501" name="Line 21129">
          <a:extLst>
            <a:ext uri="{FF2B5EF4-FFF2-40B4-BE49-F238E27FC236}">
              <a16:creationId xmlns:a16="http://schemas.microsoft.com/office/drawing/2014/main" id="{00000000-0008-0000-0300-0000F5010000}"/>
            </a:ext>
          </a:extLst>
        </xdr:cNvPr>
        <xdr:cNvSpPr>
          <a:spLocks noChangeShapeType="1"/>
        </xdr:cNvSpPr>
      </xdr:nvSpPr>
      <xdr:spPr bwMode="auto">
        <a:xfrm flipV="1">
          <a:off x="2914650" y="36499800"/>
          <a:ext cx="0" cy="295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123825</xdr:colOff>
      <xdr:row>192</xdr:row>
      <xdr:rowOff>95250</xdr:rowOff>
    </xdr:from>
    <xdr:to>
      <xdr:col>4</xdr:col>
      <xdr:colOff>247650</xdr:colOff>
      <xdr:row>194</xdr:row>
      <xdr:rowOff>9525</xdr:rowOff>
    </xdr:to>
    <xdr:sp macro="" textlink="">
      <xdr:nvSpPr>
        <xdr:cNvPr id="502" name="Freeform 21130">
          <a:extLst>
            <a:ext uri="{FF2B5EF4-FFF2-40B4-BE49-F238E27FC236}">
              <a16:creationId xmlns:a16="http://schemas.microsoft.com/office/drawing/2014/main" id="{00000000-0008-0000-0300-0000F6010000}"/>
            </a:ext>
          </a:extLst>
        </xdr:cNvPr>
        <xdr:cNvSpPr>
          <a:spLocks/>
        </xdr:cNvSpPr>
      </xdr:nvSpPr>
      <xdr:spPr bwMode="auto">
        <a:xfrm>
          <a:off x="2352675" y="36128325"/>
          <a:ext cx="123825" cy="295275"/>
        </a:xfrm>
        <a:custGeom>
          <a:avLst/>
          <a:gdLst>
            <a:gd name="T0" fmla="*/ 0 w 13"/>
            <a:gd name="T1" fmla="*/ 0 h 31"/>
            <a:gd name="T2" fmla="*/ 2147483646 w 13"/>
            <a:gd name="T3" fmla="*/ 0 h 31"/>
            <a:gd name="T4" fmla="*/ 2147483646 w 13"/>
            <a:gd name="T5" fmla="*/ 2147483646 h 31"/>
            <a:gd name="T6" fmla="*/ 0 60000 65536"/>
            <a:gd name="T7" fmla="*/ 0 60000 65536"/>
            <a:gd name="T8" fmla="*/ 0 60000 65536"/>
          </a:gdLst>
          <a:ahLst/>
          <a:cxnLst>
            <a:cxn ang="T6">
              <a:pos x="T0" y="T1"/>
            </a:cxn>
            <a:cxn ang="T7">
              <a:pos x="T2" y="T3"/>
            </a:cxn>
            <a:cxn ang="T8">
              <a:pos x="T4" y="T5"/>
            </a:cxn>
          </a:cxnLst>
          <a:rect l="0" t="0" r="r" b="b"/>
          <a:pathLst>
            <a:path w="13" h="31">
              <a:moveTo>
                <a:pt x="0" y="0"/>
              </a:moveTo>
              <a:lnTo>
                <a:pt x="13" y="0"/>
              </a:lnTo>
              <a:lnTo>
                <a:pt x="13" y="31"/>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190500</xdr:colOff>
      <xdr:row>192</xdr:row>
      <xdr:rowOff>161925</xdr:rowOff>
    </xdr:from>
    <xdr:to>
      <xdr:col>4</xdr:col>
      <xdr:colOff>304800</xdr:colOff>
      <xdr:row>193</xdr:row>
      <xdr:rowOff>85725</xdr:rowOff>
    </xdr:to>
    <xdr:sp macro="" textlink="">
      <xdr:nvSpPr>
        <xdr:cNvPr id="503" name="Line 21131">
          <a:extLst>
            <a:ext uri="{FF2B5EF4-FFF2-40B4-BE49-F238E27FC236}">
              <a16:creationId xmlns:a16="http://schemas.microsoft.com/office/drawing/2014/main" id="{00000000-0008-0000-0300-0000F7010000}"/>
            </a:ext>
          </a:extLst>
        </xdr:cNvPr>
        <xdr:cNvSpPr>
          <a:spLocks noChangeShapeType="1"/>
        </xdr:cNvSpPr>
      </xdr:nvSpPr>
      <xdr:spPr bwMode="auto">
        <a:xfrm flipH="1">
          <a:off x="2419350" y="361950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209550</xdr:colOff>
      <xdr:row>193</xdr:row>
      <xdr:rowOff>95250</xdr:rowOff>
    </xdr:from>
    <xdr:to>
      <xdr:col>4</xdr:col>
      <xdr:colOff>304800</xdr:colOff>
      <xdr:row>194</xdr:row>
      <xdr:rowOff>0</xdr:rowOff>
    </xdr:to>
    <xdr:sp macro="" textlink="">
      <xdr:nvSpPr>
        <xdr:cNvPr id="504" name="Line 21132">
          <a:extLst>
            <a:ext uri="{FF2B5EF4-FFF2-40B4-BE49-F238E27FC236}">
              <a16:creationId xmlns:a16="http://schemas.microsoft.com/office/drawing/2014/main" id="{00000000-0008-0000-0300-0000F8010000}"/>
            </a:ext>
          </a:extLst>
        </xdr:cNvPr>
        <xdr:cNvSpPr>
          <a:spLocks noChangeShapeType="1"/>
        </xdr:cNvSpPr>
      </xdr:nvSpPr>
      <xdr:spPr bwMode="auto">
        <a:xfrm flipH="1">
          <a:off x="2438400" y="3631882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199</xdr:row>
      <xdr:rowOff>47625</xdr:rowOff>
    </xdr:from>
    <xdr:to>
      <xdr:col>2</xdr:col>
      <xdr:colOff>533400</xdr:colOff>
      <xdr:row>200</xdr:row>
      <xdr:rowOff>180975</xdr:rowOff>
    </xdr:to>
    <xdr:sp macro="" textlink="">
      <xdr:nvSpPr>
        <xdr:cNvPr id="505" name="Line 21133">
          <a:extLst>
            <a:ext uri="{FF2B5EF4-FFF2-40B4-BE49-F238E27FC236}">
              <a16:creationId xmlns:a16="http://schemas.microsoft.com/office/drawing/2014/main" id="{00000000-0008-0000-0300-0000F9010000}"/>
            </a:ext>
          </a:extLst>
        </xdr:cNvPr>
        <xdr:cNvSpPr>
          <a:spLocks noChangeShapeType="1"/>
        </xdr:cNvSpPr>
      </xdr:nvSpPr>
      <xdr:spPr bwMode="auto">
        <a:xfrm>
          <a:off x="1809750" y="37414200"/>
          <a:ext cx="0" cy="323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561975</xdr:colOff>
      <xdr:row>209</xdr:row>
      <xdr:rowOff>76200</xdr:rowOff>
    </xdr:from>
    <xdr:to>
      <xdr:col>4</xdr:col>
      <xdr:colOff>247650</xdr:colOff>
      <xdr:row>209</xdr:row>
      <xdr:rowOff>76200</xdr:rowOff>
    </xdr:to>
    <xdr:sp macro="" textlink="">
      <xdr:nvSpPr>
        <xdr:cNvPr id="506" name="Line 21138">
          <a:extLst>
            <a:ext uri="{FF2B5EF4-FFF2-40B4-BE49-F238E27FC236}">
              <a16:creationId xmlns:a16="http://schemas.microsoft.com/office/drawing/2014/main" id="{00000000-0008-0000-0300-0000FA010000}"/>
            </a:ext>
          </a:extLst>
        </xdr:cNvPr>
        <xdr:cNvSpPr>
          <a:spLocks noChangeShapeType="1"/>
        </xdr:cNvSpPr>
      </xdr:nvSpPr>
      <xdr:spPr bwMode="auto">
        <a:xfrm>
          <a:off x="1838325" y="39347775"/>
          <a:ext cx="638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409575</xdr:colOff>
      <xdr:row>209</xdr:row>
      <xdr:rowOff>76200</xdr:rowOff>
    </xdr:from>
    <xdr:to>
      <xdr:col>5</xdr:col>
      <xdr:colOff>571500</xdr:colOff>
      <xdr:row>209</xdr:row>
      <xdr:rowOff>76200</xdr:rowOff>
    </xdr:to>
    <xdr:sp macro="" textlink="">
      <xdr:nvSpPr>
        <xdr:cNvPr id="507" name="Line 21139">
          <a:extLst>
            <a:ext uri="{FF2B5EF4-FFF2-40B4-BE49-F238E27FC236}">
              <a16:creationId xmlns:a16="http://schemas.microsoft.com/office/drawing/2014/main" id="{00000000-0008-0000-0300-0000FB010000}"/>
            </a:ext>
          </a:extLst>
        </xdr:cNvPr>
        <xdr:cNvSpPr>
          <a:spLocks noChangeShapeType="1"/>
        </xdr:cNvSpPr>
      </xdr:nvSpPr>
      <xdr:spPr bwMode="auto">
        <a:xfrm>
          <a:off x="2962275" y="39347775"/>
          <a:ext cx="1619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209550</xdr:colOff>
      <xdr:row>222</xdr:row>
      <xdr:rowOff>66675</xdr:rowOff>
    </xdr:from>
    <xdr:to>
      <xdr:col>5</xdr:col>
      <xdr:colOff>200025</xdr:colOff>
      <xdr:row>224</xdr:row>
      <xdr:rowOff>19050</xdr:rowOff>
    </xdr:to>
    <xdr:sp macro="" textlink="">
      <xdr:nvSpPr>
        <xdr:cNvPr id="508" name="Tegning 344">
          <a:extLst>
            <a:ext uri="{FF2B5EF4-FFF2-40B4-BE49-F238E27FC236}">
              <a16:creationId xmlns:a16="http://schemas.microsoft.com/office/drawing/2014/main" id="{00000000-0008-0000-0300-0000FC010000}"/>
            </a:ext>
          </a:extLst>
        </xdr:cNvPr>
        <xdr:cNvSpPr>
          <a:spLocks/>
        </xdr:cNvSpPr>
      </xdr:nvSpPr>
      <xdr:spPr bwMode="auto">
        <a:xfrm flipV="1">
          <a:off x="1485900" y="41814750"/>
          <a:ext cx="1266825" cy="33337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209550</xdr:colOff>
      <xdr:row>222</xdr:row>
      <xdr:rowOff>142875</xdr:rowOff>
    </xdr:from>
    <xdr:to>
      <xdr:col>5</xdr:col>
      <xdr:colOff>200025</xdr:colOff>
      <xdr:row>224</xdr:row>
      <xdr:rowOff>180975</xdr:rowOff>
    </xdr:to>
    <xdr:sp macro="" textlink="">
      <xdr:nvSpPr>
        <xdr:cNvPr id="509" name="Tegning 344">
          <a:extLst>
            <a:ext uri="{FF2B5EF4-FFF2-40B4-BE49-F238E27FC236}">
              <a16:creationId xmlns:a16="http://schemas.microsoft.com/office/drawing/2014/main" id="{00000000-0008-0000-0300-0000FD010000}"/>
            </a:ext>
          </a:extLst>
        </xdr:cNvPr>
        <xdr:cNvSpPr>
          <a:spLocks/>
        </xdr:cNvSpPr>
      </xdr:nvSpPr>
      <xdr:spPr bwMode="auto">
        <a:xfrm>
          <a:off x="1485900" y="41890950"/>
          <a:ext cx="1266825" cy="419100"/>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540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200025</xdr:colOff>
      <xdr:row>225</xdr:row>
      <xdr:rowOff>142875</xdr:rowOff>
    </xdr:from>
    <xdr:to>
      <xdr:col>5</xdr:col>
      <xdr:colOff>200025</xdr:colOff>
      <xdr:row>226</xdr:row>
      <xdr:rowOff>114300</xdr:rowOff>
    </xdr:to>
    <xdr:sp macro="" textlink="">
      <xdr:nvSpPr>
        <xdr:cNvPr id="510" name="Line 21142">
          <a:extLst>
            <a:ext uri="{FF2B5EF4-FFF2-40B4-BE49-F238E27FC236}">
              <a16:creationId xmlns:a16="http://schemas.microsoft.com/office/drawing/2014/main" id="{00000000-0008-0000-0300-0000FE010000}"/>
            </a:ext>
          </a:extLst>
        </xdr:cNvPr>
        <xdr:cNvSpPr>
          <a:spLocks noChangeShapeType="1"/>
        </xdr:cNvSpPr>
      </xdr:nvSpPr>
      <xdr:spPr bwMode="auto">
        <a:xfrm>
          <a:off x="2752725" y="42462450"/>
          <a:ext cx="0" cy="1619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225</xdr:row>
      <xdr:rowOff>142875</xdr:rowOff>
    </xdr:from>
    <xdr:to>
      <xdr:col>2</xdr:col>
      <xdr:colOff>200025</xdr:colOff>
      <xdr:row>226</xdr:row>
      <xdr:rowOff>133350</xdr:rowOff>
    </xdr:to>
    <xdr:sp macro="" textlink="">
      <xdr:nvSpPr>
        <xdr:cNvPr id="511" name="Line 21143">
          <a:extLst>
            <a:ext uri="{FF2B5EF4-FFF2-40B4-BE49-F238E27FC236}">
              <a16:creationId xmlns:a16="http://schemas.microsoft.com/office/drawing/2014/main" id="{00000000-0008-0000-0300-0000FF010000}"/>
            </a:ext>
          </a:extLst>
        </xdr:cNvPr>
        <xdr:cNvSpPr>
          <a:spLocks noChangeShapeType="1"/>
        </xdr:cNvSpPr>
      </xdr:nvSpPr>
      <xdr:spPr bwMode="auto">
        <a:xfrm>
          <a:off x="1476375" y="42462450"/>
          <a:ext cx="0" cy="1809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171450</xdr:colOff>
      <xdr:row>226</xdr:row>
      <xdr:rowOff>28575</xdr:rowOff>
    </xdr:from>
    <xdr:to>
      <xdr:col>5</xdr:col>
      <xdr:colOff>266700</xdr:colOff>
      <xdr:row>226</xdr:row>
      <xdr:rowOff>28575</xdr:rowOff>
    </xdr:to>
    <xdr:sp macro="" textlink="">
      <xdr:nvSpPr>
        <xdr:cNvPr id="512" name="Line 21144">
          <a:extLst>
            <a:ext uri="{FF2B5EF4-FFF2-40B4-BE49-F238E27FC236}">
              <a16:creationId xmlns:a16="http://schemas.microsoft.com/office/drawing/2014/main" id="{00000000-0008-0000-0300-000000020000}"/>
            </a:ext>
          </a:extLst>
        </xdr:cNvPr>
        <xdr:cNvSpPr>
          <a:spLocks noChangeShapeType="1"/>
        </xdr:cNvSpPr>
      </xdr:nvSpPr>
      <xdr:spPr bwMode="auto">
        <a:xfrm>
          <a:off x="1447800" y="42538650"/>
          <a:ext cx="1371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133350</xdr:colOff>
      <xdr:row>226</xdr:row>
      <xdr:rowOff>0</xdr:rowOff>
    </xdr:from>
    <xdr:to>
      <xdr:col>2</xdr:col>
      <xdr:colOff>247650</xdr:colOff>
      <xdr:row>226</xdr:row>
      <xdr:rowOff>123825</xdr:rowOff>
    </xdr:to>
    <xdr:sp macro="" textlink="">
      <xdr:nvSpPr>
        <xdr:cNvPr id="513" name="Line 21145">
          <a:extLst>
            <a:ext uri="{FF2B5EF4-FFF2-40B4-BE49-F238E27FC236}">
              <a16:creationId xmlns:a16="http://schemas.microsoft.com/office/drawing/2014/main" id="{00000000-0008-0000-0300-000001020000}"/>
            </a:ext>
          </a:extLst>
        </xdr:cNvPr>
        <xdr:cNvSpPr>
          <a:spLocks noChangeShapeType="1"/>
        </xdr:cNvSpPr>
      </xdr:nvSpPr>
      <xdr:spPr bwMode="auto">
        <a:xfrm flipH="1">
          <a:off x="1409700" y="42510075"/>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133350</xdr:colOff>
      <xdr:row>226</xdr:row>
      <xdr:rowOff>0</xdr:rowOff>
    </xdr:from>
    <xdr:to>
      <xdr:col>5</xdr:col>
      <xdr:colOff>257175</xdr:colOff>
      <xdr:row>226</xdr:row>
      <xdr:rowOff>133350</xdr:rowOff>
    </xdr:to>
    <xdr:sp macro="" textlink="">
      <xdr:nvSpPr>
        <xdr:cNvPr id="514" name="Line 21146">
          <a:extLst>
            <a:ext uri="{FF2B5EF4-FFF2-40B4-BE49-F238E27FC236}">
              <a16:creationId xmlns:a16="http://schemas.microsoft.com/office/drawing/2014/main" id="{00000000-0008-0000-0300-000002020000}"/>
            </a:ext>
          </a:extLst>
        </xdr:cNvPr>
        <xdr:cNvSpPr>
          <a:spLocks noChangeShapeType="1"/>
        </xdr:cNvSpPr>
      </xdr:nvSpPr>
      <xdr:spPr bwMode="auto">
        <a:xfrm flipH="1">
          <a:off x="2686050" y="42510075"/>
          <a:ext cx="123825"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200</xdr:row>
      <xdr:rowOff>104775</xdr:rowOff>
    </xdr:from>
    <xdr:to>
      <xdr:col>2</xdr:col>
      <xdr:colOff>266700</xdr:colOff>
      <xdr:row>202</xdr:row>
      <xdr:rowOff>76200</xdr:rowOff>
    </xdr:to>
    <xdr:sp macro="" textlink="">
      <xdr:nvSpPr>
        <xdr:cNvPr id="515" name="Line 21147">
          <a:extLst>
            <a:ext uri="{FF2B5EF4-FFF2-40B4-BE49-F238E27FC236}">
              <a16:creationId xmlns:a16="http://schemas.microsoft.com/office/drawing/2014/main" id="{00000000-0008-0000-0300-000003020000}"/>
            </a:ext>
          </a:extLst>
        </xdr:cNvPr>
        <xdr:cNvSpPr>
          <a:spLocks noChangeShapeType="1"/>
        </xdr:cNvSpPr>
      </xdr:nvSpPr>
      <xdr:spPr bwMode="auto">
        <a:xfrm>
          <a:off x="1543050" y="37661850"/>
          <a:ext cx="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199</xdr:row>
      <xdr:rowOff>28575</xdr:rowOff>
    </xdr:from>
    <xdr:to>
      <xdr:col>3</xdr:col>
      <xdr:colOff>76200</xdr:colOff>
      <xdr:row>202</xdr:row>
      <xdr:rowOff>57150</xdr:rowOff>
    </xdr:to>
    <xdr:sp macro="" textlink="">
      <xdr:nvSpPr>
        <xdr:cNvPr id="516" name="Line 21148">
          <a:extLst>
            <a:ext uri="{FF2B5EF4-FFF2-40B4-BE49-F238E27FC236}">
              <a16:creationId xmlns:a16="http://schemas.microsoft.com/office/drawing/2014/main" id="{00000000-0008-0000-0300-000004020000}"/>
            </a:ext>
          </a:extLst>
        </xdr:cNvPr>
        <xdr:cNvSpPr>
          <a:spLocks noChangeShapeType="1"/>
        </xdr:cNvSpPr>
      </xdr:nvSpPr>
      <xdr:spPr bwMode="auto">
        <a:xfrm>
          <a:off x="1933575" y="37395150"/>
          <a:ext cx="0" cy="6000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476250</xdr:colOff>
      <xdr:row>200</xdr:row>
      <xdr:rowOff>104775</xdr:rowOff>
    </xdr:from>
    <xdr:to>
      <xdr:col>5</xdr:col>
      <xdr:colOff>171450</xdr:colOff>
      <xdr:row>200</xdr:row>
      <xdr:rowOff>104775</xdr:rowOff>
    </xdr:to>
    <xdr:sp macro="" textlink="">
      <xdr:nvSpPr>
        <xdr:cNvPr id="517" name="Line 21150">
          <a:extLst>
            <a:ext uri="{FF2B5EF4-FFF2-40B4-BE49-F238E27FC236}">
              <a16:creationId xmlns:a16="http://schemas.microsoft.com/office/drawing/2014/main" id="{00000000-0008-0000-0300-000005020000}"/>
            </a:ext>
          </a:extLst>
        </xdr:cNvPr>
        <xdr:cNvSpPr>
          <a:spLocks noChangeShapeType="1"/>
        </xdr:cNvSpPr>
      </xdr:nvSpPr>
      <xdr:spPr bwMode="auto">
        <a:xfrm>
          <a:off x="1752600" y="37661850"/>
          <a:ext cx="971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19050</xdr:colOff>
      <xdr:row>200</xdr:row>
      <xdr:rowOff>47625</xdr:rowOff>
    </xdr:from>
    <xdr:to>
      <xdr:col>5</xdr:col>
      <xdr:colOff>133350</xdr:colOff>
      <xdr:row>200</xdr:row>
      <xdr:rowOff>161925</xdr:rowOff>
    </xdr:to>
    <xdr:sp macro="" textlink="">
      <xdr:nvSpPr>
        <xdr:cNvPr id="518" name="Line 21151">
          <a:extLst>
            <a:ext uri="{FF2B5EF4-FFF2-40B4-BE49-F238E27FC236}">
              <a16:creationId xmlns:a16="http://schemas.microsoft.com/office/drawing/2014/main" id="{00000000-0008-0000-0300-000006020000}"/>
            </a:ext>
          </a:extLst>
        </xdr:cNvPr>
        <xdr:cNvSpPr>
          <a:spLocks noChangeShapeType="1"/>
        </xdr:cNvSpPr>
      </xdr:nvSpPr>
      <xdr:spPr bwMode="auto">
        <a:xfrm flipH="1">
          <a:off x="2571750" y="37604700"/>
          <a:ext cx="11430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466725</xdr:colOff>
      <xdr:row>200</xdr:row>
      <xdr:rowOff>47625</xdr:rowOff>
    </xdr:from>
    <xdr:to>
      <xdr:col>3</xdr:col>
      <xdr:colOff>0</xdr:colOff>
      <xdr:row>200</xdr:row>
      <xdr:rowOff>152400</xdr:rowOff>
    </xdr:to>
    <xdr:sp macro="" textlink="">
      <xdr:nvSpPr>
        <xdr:cNvPr id="519" name="Line 21152">
          <a:extLst>
            <a:ext uri="{FF2B5EF4-FFF2-40B4-BE49-F238E27FC236}">
              <a16:creationId xmlns:a16="http://schemas.microsoft.com/office/drawing/2014/main" id="{00000000-0008-0000-0300-000007020000}"/>
            </a:ext>
          </a:extLst>
        </xdr:cNvPr>
        <xdr:cNvSpPr>
          <a:spLocks noChangeShapeType="1"/>
        </xdr:cNvSpPr>
      </xdr:nvSpPr>
      <xdr:spPr bwMode="auto">
        <a:xfrm flipH="1">
          <a:off x="1743075" y="37604700"/>
          <a:ext cx="114300" cy="1047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201</xdr:row>
      <xdr:rowOff>142875</xdr:rowOff>
    </xdr:from>
    <xdr:to>
      <xdr:col>2</xdr:col>
      <xdr:colOff>304800</xdr:colOff>
      <xdr:row>202</xdr:row>
      <xdr:rowOff>66675</xdr:rowOff>
    </xdr:to>
    <xdr:sp macro="" textlink="">
      <xdr:nvSpPr>
        <xdr:cNvPr id="520" name="Line 21153">
          <a:extLst>
            <a:ext uri="{FF2B5EF4-FFF2-40B4-BE49-F238E27FC236}">
              <a16:creationId xmlns:a16="http://schemas.microsoft.com/office/drawing/2014/main" id="{00000000-0008-0000-0300-000008020000}"/>
            </a:ext>
          </a:extLst>
        </xdr:cNvPr>
        <xdr:cNvSpPr>
          <a:spLocks noChangeShapeType="1"/>
        </xdr:cNvSpPr>
      </xdr:nvSpPr>
      <xdr:spPr bwMode="auto">
        <a:xfrm flipH="1">
          <a:off x="1476375" y="37890450"/>
          <a:ext cx="104775"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28575</xdr:colOff>
      <xdr:row>201</xdr:row>
      <xdr:rowOff>123825</xdr:rowOff>
    </xdr:from>
    <xdr:to>
      <xdr:col>5</xdr:col>
      <xdr:colOff>142875</xdr:colOff>
      <xdr:row>202</xdr:row>
      <xdr:rowOff>57150</xdr:rowOff>
    </xdr:to>
    <xdr:sp macro="" textlink="">
      <xdr:nvSpPr>
        <xdr:cNvPr id="521" name="Line 21154">
          <a:extLst>
            <a:ext uri="{FF2B5EF4-FFF2-40B4-BE49-F238E27FC236}">
              <a16:creationId xmlns:a16="http://schemas.microsoft.com/office/drawing/2014/main" id="{00000000-0008-0000-0300-000009020000}"/>
            </a:ext>
          </a:extLst>
        </xdr:cNvPr>
        <xdr:cNvSpPr>
          <a:spLocks noChangeShapeType="1"/>
        </xdr:cNvSpPr>
      </xdr:nvSpPr>
      <xdr:spPr bwMode="auto">
        <a:xfrm flipH="1">
          <a:off x="2581275" y="37871400"/>
          <a:ext cx="114300" cy="123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202</xdr:row>
      <xdr:rowOff>0</xdr:rowOff>
    </xdr:from>
    <xdr:to>
      <xdr:col>5</xdr:col>
      <xdr:colOff>200025</xdr:colOff>
      <xdr:row>202</xdr:row>
      <xdr:rowOff>0</xdr:rowOff>
    </xdr:to>
    <xdr:sp macro="" textlink="">
      <xdr:nvSpPr>
        <xdr:cNvPr id="522" name="Line 21155">
          <a:extLst>
            <a:ext uri="{FF2B5EF4-FFF2-40B4-BE49-F238E27FC236}">
              <a16:creationId xmlns:a16="http://schemas.microsoft.com/office/drawing/2014/main" id="{00000000-0008-0000-0300-00000A020000}"/>
            </a:ext>
          </a:extLst>
        </xdr:cNvPr>
        <xdr:cNvSpPr>
          <a:spLocks noChangeShapeType="1"/>
        </xdr:cNvSpPr>
      </xdr:nvSpPr>
      <xdr:spPr bwMode="auto">
        <a:xfrm>
          <a:off x="1476375" y="37938075"/>
          <a:ext cx="12763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28575</xdr:colOff>
      <xdr:row>201</xdr:row>
      <xdr:rowOff>142875</xdr:rowOff>
    </xdr:from>
    <xdr:to>
      <xdr:col>3</xdr:col>
      <xdr:colOff>142875</xdr:colOff>
      <xdr:row>202</xdr:row>
      <xdr:rowOff>47625</xdr:rowOff>
    </xdr:to>
    <xdr:sp macro="" textlink="">
      <xdr:nvSpPr>
        <xdr:cNvPr id="523" name="Line 21156">
          <a:extLst>
            <a:ext uri="{FF2B5EF4-FFF2-40B4-BE49-F238E27FC236}">
              <a16:creationId xmlns:a16="http://schemas.microsoft.com/office/drawing/2014/main" id="{00000000-0008-0000-0300-00000B020000}"/>
            </a:ext>
          </a:extLst>
        </xdr:cNvPr>
        <xdr:cNvSpPr>
          <a:spLocks noChangeShapeType="1"/>
        </xdr:cNvSpPr>
      </xdr:nvSpPr>
      <xdr:spPr bwMode="auto">
        <a:xfrm flipH="1">
          <a:off x="1885950" y="37890450"/>
          <a:ext cx="1143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352425</xdr:colOff>
      <xdr:row>208</xdr:row>
      <xdr:rowOff>104775</xdr:rowOff>
    </xdr:from>
    <xdr:to>
      <xdr:col>2</xdr:col>
      <xdr:colOff>561975</xdr:colOff>
      <xdr:row>208</xdr:row>
      <xdr:rowOff>104775</xdr:rowOff>
    </xdr:to>
    <xdr:sp macro="" textlink="">
      <xdr:nvSpPr>
        <xdr:cNvPr id="524" name="Line 22732">
          <a:extLst>
            <a:ext uri="{FF2B5EF4-FFF2-40B4-BE49-F238E27FC236}">
              <a16:creationId xmlns:a16="http://schemas.microsoft.com/office/drawing/2014/main" id="{00000000-0008-0000-0300-00000C020000}"/>
            </a:ext>
          </a:extLst>
        </xdr:cNvPr>
        <xdr:cNvSpPr>
          <a:spLocks noChangeShapeType="1"/>
        </xdr:cNvSpPr>
      </xdr:nvSpPr>
      <xdr:spPr bwMode="auto">
        <a:xfrm flipH="1">
          <a:off x="1628775" y="39185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361950</xdr:colOff>
      <xdr:row>204</xdr:row>
      <xdr:rowOff>104775</xdr:rowOff>
    </xdr:from>
    <xdr:to>
      <xdr:col>2</xdr:col>
      <xdr:colOff>571500</xdr:colOff>
      <xdr:row>204</xdr:row>
      <xdr:rowOff>104775</xdr:rowOff>
    </xdr:to>
    <xdr:sp macro="" textlink="">
      <xdr:nvSpPr>
        <xdr:cNvPr id="525" name="Line 22733">
          <a:extLst>
            <a:ext uri="{FF2B5EF4-FFF2-40B4-BE49-F238E27FC236}">
              <a16:creationId xmlns:a16="http://schemas.microsoft.com/office/drawing/2014/main" id="{00000000-0008-0000-0300-00000D020000}"/>
            </a:ext>
          </a:extLst>
        </xdr:cNvPr>
        <xdr:cNvSpPr>
          <a:spLocks noChangeShapeType="1"/>
        </xdr:cNvSpPr>
      </xdr:nvSpPr>
      <xdr:spPr bwMode="auto">
        <a:xfrm flipH="1">
          <a:off x="1638300" y="384238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409575</xdr:colOff>
      <xdr:row>204</xdr:row>
      <xdr:rowOff>66675</xdr:rowOff>
    </xdr:from>
    <xdr:to>
      <xdr:col>2</xdr:col>
      <xdr:colOff>409575</xdr:colOff>
      <xdr:row>208</xdr:row>
      <xdr:rowOff>152400</xdr:rowOff>
    </xdr:to>
    <xdr:sp macro="" textlink="">
      <xdr:nvSpPr>
        <xdr:cNvPr id="526" name="Line 22734">
          <a:extLst>
            <a:ext uri="{FF2B5EF4-FFF2-40B4-BE49-F238E27FC236}">
              <a16:creationId xmlns:a16="http://schemas.microsoft.com/office/drawing/2014/main" id="{00000000-0008-0000-0300-00000E020000}"/>
            </a:ext>
          </a:extLst>
        </xdr:cNvPr>
        <xdr:cNvSpPr>
          <a:spLocks noChangeShapeType="1"/>
        </xdr:cNvSpPr>
      </xdr:nvSpPr>
      <xdr:spPr bwMode="auto">
        <a:xfrm>
          <a:off x="1685925" y="38385750"/>
          <a:ext cx="0" cy="847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361950</xdr:colOff>
      <xdr:row>204</xdr:row>
      <xdr:rowOff>66675</xdr:rowOff>
    </xdr:from>
    <xdr:to>
      <xdr:col>2</xdr:col>
      <xdr:colOff>447675</xdr:colOff>
      <xdr:row>204</xdr:row>
      <xdr:rowOff>152400</xdr:rowOff>
    </xdr:to>
    <xdr:sp macro="" textlink="">
      <xdr:nvSpPr>
        <xdr:cNvPr id="527" name="Line 22735">
          <a:extLst>
            <a:ext uri="{FF2B5EF4-FFF2-40B4-BE49-F238E27FC236}">
              <a16:creationId xmlns:a16="http://schemas.microsoft.com/office/drawing/2014/main" id="{00000000-0008-0000-0300-00000F020000}"/>
            </a:ext>
          </a:extLst>
        </xdr:cNvPr>
        <xdr:cNvSpPr>
          <a:spLocks noChangeShapeType="1"/>
        </xdr:cNvSpPr>
      </xdr:nvSpPr>
      <xdr:spPr bwMode="auto">
        <a:xfrm flipH="1">
          <a:off x="1638300" y="38385750"/>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208</xdr:row>
      <xdr:rowOff>76200</xdr:rowOff>
    </xdr:from>
    <xdr:to>
      <xdr:col>2</xdr:col>
      <xdr:colOff>447675</xdr:colOff>
      <xdr:row>208</xdr:row>
      <xdr:rowOff>142875</xdr:rowOff>
    </xdr:to>
    <xdr:sp macro="" textlink="">
      <xdr:nvSpPr>
        <xdr:cNvPr id="528" name="Line 22736">
          <a:extLst>
            <a:ext uri="{FF2B5EF4-FFF2-40B4-BE49-F238E27FC236}">
              <a16:creationId xmlns:a16="http://schemas.microsoft.com/office/drawing/2014/main" id="{00000000-0008-0000-0300-000010020000}"/>
            </a:ext>
          </a:extLst>
        </xdr:cNvPr>
        <xdr:cNvSpPr>
          <a:spLocks noChangeShapeType="1"/>
        </xdr:cNvSpPr>
      </xdr:nvSpPr>
      <xdr:spPr bwMode="auto">
        <a:xfrm flipH="1">
          <a:off x="1657350" y="391572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114300</xdr:colOff>
      <xdr:row>170</xdr:row>
      <xdr:rowOff>66675</xdr:rowOff>
    </xdr:from>
    <xdr:to>
      <xdr:col>5</xdr:col>
      <xdr:colOff>733425</xdr:colOff>
      <xdr:row>175</xdr:row>
      <xdr:rowOff>28575</xdr:rowOff>
    </xdr:to>
    <xdr:sp macro="" textlink="">
      <xdr:nvSpPr>
        <xdr:cNvPr id="529" name="Freeform 22737">
          <a:extLst>
            <a:ext uri="{FF2B5EF4-FFF2-40B4-BE49-F238E27FC236}">
              <a16:creationId xmlns:a16="http://schemas.microsoft.com/office/drawing/2014/main" id="{00000000-0008-0000-0300-000011020000}"/>
            </a:ext>
          </a:extLst>
        </xdr:cNvPr>
        <xdr:cNvSpPr>
          <a:spLocks/>
        </xdr:cNvSpPr>
      </xdr:nvSpPr>
      <xdr:spPr bwMode="auto">
        <a:xfrm>
          <a:off x="1390650" y="31908750"/>
          <a:ext cx="1895475" cy="914400"/>
        </a:xfrm>
        <a:custGeom>
          <a:avLst/>
          <a:gdLst>
            <a:gd name="T0" fmla="*/ 1895475 w 199"/>
            <a:gd name="T1" fmla="*/ 0 h 96"/>
            <a:gd name="T2" fmla="*/ 0 w 199"/>
            <a:gd name="T3" fmla="*/ 0 h 96"/>
            <a:gd name="T4" fmla="*/ 0 w 199"/>
            <a:gd name="T5" fmla="*/ 733425 h 96"/>
            <a:gd name="T6" fmla="*/ 428625 w 199"/>
            <a:gd name="T7" fmla="*/ 733425 h 96"/>
            <a:gd name="T8" fmla="*/ 428625 w 199"/>
            <a:gd name="T9" fmla="*/ 914400 h 96"/>
            <a:gd name="T10" fmla="*/ 1895475 w 199"/>
            <a:gd name="T11" fmla="*/ 914400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99" h="96">
              <a:moveTo>
                <a:pt x="199" y="0"/>
              </a:moveTo>
              <a:lnTo>
                <a:pt x="0" y="0"/>
              </a:lnTo>
              <a:lnTo>
                <a:pt x="0" y="77"/>
              </a:lnTo>
              <a:lnTo>
                <a:pt x="45" y="77"/>
              </a:lnTo>
              <a:lnTo>
                <a:pt x="45" y="96"/>
              </a:lnTo>
              <a:lnTo>
                <a:pt x="199" y="96"/>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104775</xdr:colOff>
      <xdr:row>179</xdr:row>
      <xdr:rowOff>47625</xdr:rowOff>
    </xdr:from>
    <xdr:to>
      <xdr:col>5</xdr:col>
      <xdr:colOff>457200</xdr:colOff>
      <xdr:row>184</xdr:row>
      <xdr:rowOff>38100</xdr:rowOff>
    </xdr:to>
    <xdr:sp macro="" textlink="">
      <xdr:nvSpPr>
        <xdr:cNvPr id="530" name="Freeform 22738">
          <a:extLst>
            <a:ext uri="{FF2B5EF4-FFF2-40B4-BE49-F238E27FC236}">
              <a16:creationId xmlns:a16="http://schemas.microsoft.com/office/drawing/2014/main" id="{00000000-0008-0000-0300-000012020000}"/>
            </a:ext>
          </a:extLst>
        </xdr:cNvPr>
        <xdr:cNvSpPr>
          <a:spLocks/>
        </xdr:cNvSpPr>
      </xdr:nvSpPr>
      <xdr:spPr bwMode="auto">
        <a:xfrm>
          <a:off x="1381125" y="33604200"/>
          <a:ext cx="1628775" cy="942975"/>
        </a:xfrm>
        <a:custGeom>
          <a:avLst/>
          <a:gdLst>
            <a:gd name="T0" fmla="*/ 1628775 w 171"/>
            <a:gd name="T1" fmla="*/ 0 h 99"/>
            <a:gd name="T2" fmla="*/ 0 w 171"/>
            <a:gd name="T3" fmla="*/ 0 h 99"/>
            <a:gd name="T4" fmla="*/ 0 w 171"/>
            <a:gd name="T5" fmla="*/ 752475 h 99"/>
            <a:gd name="T6" fmla="*/ 428625 w 171"/>
            <a:gd name="T7" fmla="*/ 752475 h 99"/>
            <a:gd name="T8" fmla="*/ 428625 w 171"/>
            <a:gd name="T9" fmla="*/ 942975 h 99"/>
            <a:gd name="T10" fmla="*/ 1609725 w 171"/>
            <a:gd name="T11" fmla="*/ 942975 h 9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71" h="99">
              <a:moveTo>
                <a:pt x="171" y="0"/>
              </a:moveTo>
              <a:lnTo>
                <a:pt x="0" y="0"/>
              </a:lnTo>
              <a:lnTo>
                <a:pt x="0" y="79"/>
              </a:lnTo>
              <a:lnTo>
                <a:pt x="45" y="79"/>
              </a:lnTo>
              <a:lnTo>
                <a:pt x="45" y="99"/>
              </a:lnTo>
              <a:lnTo>
                <a:pt x="169" y="9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123825</xdr:colOff>
      <xdr:row>170</xdr:row>
      <xdr:rowOff>171450</xdr:rowOff>
    </xdr:from>
    <xdr:to>
      <xdr:col>3</xdr:col>
      <xdr:colOff>180975</xdr:colOff>
      <xdr:row>171</xdr:row>
      <xdr:rowOff>66675</xdr:rowOff>
    </xdr:to>
    <xdr:sp macro="" textlink="">
      <xdr:nvSpPr>
        <xdr:cNvPr id="531" name="Line 22740">
          <a:extLst>
            <a:ext uri="{FF2B5EF4-FFF2-40B4-BE49-F238E27FC236}">
              <a16:creationId xmlns:a16="http://schemas.microsoft.com/office/drawing/2014/main" id="{00000000-0008-0000-0300-000013020000}"/>
            </a:ext>
          </a:extLst>
        </xdr:cNvPr>
        <xdr:cNvSpPr>
          <a:spLocks noChangeShapeType="1"/>
        </xdr:cNvSpPr>
      </xdr:nvSpPr>
      <xdr:spPr bwMode="auto">
        <a:xfrm>
          <a:off x="1981200" y="32013525"/>
          <a:ext cx="571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76200</xdr:colOff>
      <xdr:row>171</xdr:row>
      <xdr:rowOff>19050</xdr:rowOff>
    </xdr:from>
    <xdr:to>
      <xdr:col>3</xdr:col>
      <xdr:colOff>190500</xdr:colOff>
      <xdr:row>171</xdr:row>
      <xdr:rowOff>104775</xdr:rowOff>
    </xdr:to>
    <xdr:sp macro="" textlink="">
      <xdr:nvSpPr>
        <xdr:cNvPr id="532" name="Line 22741">
          <a:extLst>
            <a:ext uri="{FF2B5EF4-FFF2-40B4-BE49-F238E27FC236}">
              <a16:creationId xmlns:a16="http://schemas.microsoft.com/office/drawing/2014/main" id="{00000000-0008-0000-0300-000014020000}"/>
            </a:ext>
          </a:extLst>
        </xdr:cNvPr>
        <xdr:cNvSpPr>
          <a:spLocks noChangeShapeType="1"/>
        </xdr:cNvSpPr>
      </xdr:nvSpPr>
      <xdr:spPr bwMode="auto">
        <a:xfrm flipH="1">
          <a:off x="1933575" y="32051625"/>
          <a:ext cx="11430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171</xdr:row>
      <xdr:rowOff>28575</xdr:rowOff>
    </xdr:from>
    <xdr:to>
      <xdr:col>3</xdr:col>
      <xdr:colOff>114300</xdr:colOff>
      <xdr:row>171</xdr:row>
      <xdr:rowOff>123825</xdr:rowOff>
    </xdr:to>
    <xdr:sp macro="" textlink="">
      <xdr:nvSpPr>
        <xdr:cNvPr id="533" name="Line 22742">
          <a:extLst>
            <a:ext uri="{FF2B5EF4-FFF2-40B4-BE49-F238E27FC236}">
              <a16:creationId xmlns:a16="http://schemas.microsoft.com/office/drawing/2014/main" id="{00000000-0008-0000-0300-000015020000}"/>
            </a:ext>
          </a:extLst>
        </xdr:cNvPr>
        <xdr:cNvSpPr>
          <a:spLocks noChangeShapeType="1"/>
        </xdr:cNvSpPr>
      </xdr:nvSpPr>
      <xdr:spPr bwMode="auto">
        <a:xfrm>
          <a:off x="1914525" y="32061150"/>
          <a:ext cx="571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152400</xdr:colOff>
      <xdr:row>171</xdr:row>
      <xdr:rowOff>0</xdr:rowOff>
    </xdr:from>
    <xdr:to>
      <xdr:col>3</xdr:col>
      <xdr:colOff>171450</xdr:colOff>
      <xdr:row>171</xdr:row>
      <xdr:rowOff>85725</xdr:rowOff>
    </xdr:to>
    <xdr:sp macro="" textlink="">
      <xdr:nvSpPr>
        <xdr:cNvPr id="534" name="Line 22743">
          <a:extLst>
            <a:ext uri="{FF2B5EF4-FFF2-40B4-BE49-F238E27FC236}">
              <a16:creationId xmlns:a16="http://schemas.microsoft.com/office/drawing/2014/main" id="{00000000-0008-0000-0300-000016020000}"/>
            </a:ext>
          </a:extLst>
        </xdr:cNvPr>
        <xdr:cNvSpPr>
          <a:spLocks noChangeShapeType="1"/>
        </xdr:cNvSpPr>
      </xdr:nvSpPr>
      <xdr:spPr bwMode="auto">
        <a:xfrm flipH="1">
          <a:off x="2009775" y="32032575"/>
          <a:ext cx="190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85725</xdr:colOff>
      <xdr:row>171</xdr:row>
      <xdr:rowOff>57150</xdr:rowOff>
    </xdr:from>
    <xdr:to>
      <xdr:col>3</xdr:col>
      <xdr:colOff>104775</xdr:colOff>
      <xdr:row>171</xdr:row>
      <xdr:rowOff>133350</xdr:rowOff>
    </xdr:to>
    <xdr:sp macro="" textlink="">
      <xdr:nvSpPr>
        <xdr:cNvPr id="535" name="Line 22744">
          <a:extLst>
            <a:ext uri="{FF2B5EF4-FFF2-40B4-BE49-F238E27FC236}">
              <a16:creationId xmlns:a16="http://schemas.microsoft.com/office/drawing/2014/main" id="{00000000-0008-0000-0300-000017020000}"/>
            </a:ext>
          </a:extLst>
        </xdr:cNvPr>
        <xdr:cNvSpPr>
          <a:spLocks noChangeShapeType="1"/>
        </xdr:cNvSpPr>
      </xdr:nvSpPr>
      <xdr:spPr bwMode="auto">
        <a:xfrm flipH="1">
          <a:off x="1943100" y="32089725"/>
          <a:ext cx="1905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123825</xdr:colOff>
      <xdr:row>194</xdr:row>
      <xdr:rowOff>47625</xdr:rowOff>
    </xdr:from>
    <xdr:to>
      <xdr:col>5</xdr:col>
      <xdr:colOff>95250</xdr:colOff>
      <xdr:row>199</xdr:row>
      <xdr:rowOff>9525</xdr:rowOff>
    </xdr:to>
    <xdr:sp macro="" textlink="">
      <xdr:nvSpPr>
        <xdr:cNvPr id="536" name="Freeform 22745">
          <a:extLst>
            <a:ext uri="{FF2B5EF4-FFF2-40B4-BE49-F238E27FC236}">
              <a16:creationId xmlns:a16="http://schemas.microsoft.com/office/drawing/2014/main" id="{00000000-0008-0000-0300-000018020000}"/>
            </a:ext>
          </a:extLst>
        </xdr:cNvPr>
        <xdr:cNvSpPr>
          <a:spLocks/>
        </xdr:cNvSpPr>
      </xdr:nvSpPr>
      <xdr:spPr bwMode="auto">
        <a:xfrm>
          <a:off x="1400175" y="36461700"/>
          <a:ext cx="1247775" cy="914400"/>
        </a:xfrm>
        <a:custGeom>
          <a:avLst/>
          <a:gdLst>
            <a:gd name="T0" fmla="*/ 1247775 w 131"/>
            <a:gd name="T1" fmla="*/ 0 h 96"/>
            <a:gd name="T2" fmla="*/ 0 w 131"/>
            <a:gd name="T3" fmla="*/ 0 h 96"/>
            <a:gd name="T4" fmla="*/ 0 w 131"/>
            <a:gd name="T5" fmla="*/ 752475 h 96"/>
            <a:gd name="T6" fmla="*/ 419100 w 131"/>
            <a:gd name="T7" fmla="*/ 752475 h 96"/>
            <a:gd name="T8" fmla="*/ 419100 w 131"/>
            <a:gd name="T9" fmla="*/ 914400 h 96"/>
            <a:gd name="T10" fmla="*/ 542925 w 131"/>
            <a:gd name="T11" fmla="*/ 914400 h 9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1" h="96">
              <a:moveTo>
                <a:pt x="131" y="0"/>
              </a:moveTo>
              <a:lnTo>
                <a:pt x="0" y="0"/>
              </a:lnTo>
              <a:lnTo>
                <a:pt x="0" y="79"/>
              </a:lnTo>
              <a:lnTo>
                <a:pt x="44" y="79"/>
              </a:lnTo>
              <a:lnTo>
                <a:pt x="44" y="96"/>
              </a:lnTo>
              <a:lnTo>
                <a:pt x="57" y="96"/>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0</xdr:colOff>
      <xdr:row>136</xdr:row>
      <xdr:rowOff>47625</xdr:rowOff>
    </xdr:from>
    <xdr:to>
      <xdr:col>6</xdr:col>
      <xdr:colOff>0</xdr:colOff>
      <xdr:row>137</xdr:row>
      <xdr:rowOff>180975</xdr:rowOff>
    </xdr:to>
    <xdr:sp macro="" textlink="">
      <xdr:nvSpPr>
        <xdr:cNvPr id="537" name="Freeform 93446">
          <a:extLst>
            <a:ext uri="{FF2B5EF4-FFF2-40B4-BE49-F238E27FC236}">
              <a16:creationId xmlns:a16="http://schemas.microsoft.com/office/drawing/2014/main" id="{00000000-0008-0000-0300-000019020000}"/>
            </a:ext>
          </a:extLst>
        </xdr:cNvPr>
        <xdr:cNvSpPr>
          <a:spLocks/>
        </xdr:cNvSpPr>
      </xdr:nvSpPr>
      <xdr:spPr bwMode="auto">
        <a:xfrm>
          <a:off x="2552700" y="25393650"/>
          <a:ext cx="752475" cy="323850"/>
        </a:xfrm>
        <a:custGeom>
          <a:avLst/>
          <a:gdLst>
            <a:gd name="T0" fmla="*/ 0 w 72"/>
            <a:gd name="T1" fmla="*/ 2147483646 h 30"/>
            <a:gd name="T2" fmla="*/ 2147483646 w 72"/>
            <a:gd name="T3" fmla="*/ 2147483646 h 30"/>
            <a:gd name="T4" fmla="*/ 2147483646 w 72"/>
            <a:gd name="T5" fmla="*/ 0 h 30"/>
            <a:gd name="T6" fmla="*/ 2147483646 w 72"/>
            <a:gd name="T7" fmla="*/ 0 h 30"/>
            <a:gd name="T8" fmla="*/ 2147483646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266700</xdr:colOff>
      <xdr:row>134</xdr:row>
      <xdr:rowOff>85725</xdr:rowOff>
    </xdr:from>
    <xdr:to>
      <xdr:col>5</xdr:col>
      <xdr:colOff>285750</xdr:colOff>
      <xdr:row>134</xdr:row>
      <xdr:rowOff>85725</xdr:rowOff>
    </xdr:to>
    <xdr:sp macro="" textlink="">
      <xdr:nvSpPr>
        <xdr:cNvPr id="538" name="Line 243">
          <a:extLst>
            <a:ext uri="{FF2B5EF4-FFF2-40B4-BE49-F238E27FC236}">
              <a16:creationId xmlns:a16="http://schemas.microsoft.com/office/drawing/2014/main" id="{00000000-0008-0000-0300-00001A020000}"/>
            </a:ext>
          </a:extLst>
        </xdr:cNvPr>
        <xdr:cNvSpPr>
          <a:spLocks noChangeShapeType="1"/>
        </xdr:cNvSpPr>
      </xdr:nvSpPr>
      <xdr:spPr bwMode="auto">
        <a:xfrm>
          <a:off x="2495550" y="25050750"/>
          <a:ext cx="342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276225</xdr:colOff>
      <xdr:row>134</xdr:row>
      <xdr:rowOff>47625</xdr:rowOff>
    </xdr:from>
    <xdr:to>
      <xdr:col>5</xdr:col>
      <xdr:colOff>38100</xdr:colOff>
      <xdr:row>134</xdr:row>
      <xdr:rowOff>123825</xdr:rowOff>
    </xdr:to>
    <xdr:sp macro="" textlink="">
      <xdr:nvSpPr>
        <xdr:cNvPr id="539" name="Line 244">
          <a:extLst>
            <a:ext uri="{FF2B5EF4-FFF2-40B4-BE49-F238E27FC236}">
              <a16:creationId xmlns:a16="http://schemas.microsoft.com/office/drawing/2014/main" id="{00000000-0008-0000-0300-00001B020000}"/>
            </a:ext>
          </a:extLst>
        </xdr:cNvPr>
        <xdr:cNvSpPr>
          <a:spLocks noChangeShapeType="1"/>
        </xdr:cNvSpPr>
      </xdr:nvSpPr>
      <xdr:spPr bwMode="auto">
        <a:xfrm flipV="1">
          <a:off x="2505075" y="2501265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134</xdr:row>
      <xdr:rowOff>57150</xdr:rowOff>
    </xdr:from>
    <xdr:to>
      <xdr:col>5</xdr:col>
      <xdr:colOff>276225</xdr:colOff>
      <xdr:row>134</xdr:row>
      <xdr:rowOff>123825</xdr:rowOff>
    </xdr:to>
    <xdr:sp macro="" textlink="">
      <xdr:nvSpPr>
        <xdr:cNvPr id="540" name="Line 333">
          <a:extLst>
            <a:ext uri="{FF2B5EF4-FFF2-40B4-BE49-F238E27FC236}">
              <a16:creationId xmlns:a16="http://schemas.microsoft.com/office/drawing/2014/main" id="{00000000-0008-0000-0300-00001C020000}"/>
            </a:ext>
          </a:extLst>
        </xdr:cNvPr>
        <xdr:cNvSpPr>
          <a:spLocks noChangeShapeType="1"/>
        </xdr:cNvSpPr>
      </xdr:nvSpPr>
      <xdr:spPr bwMode="auto">
        <a:xfrm flipH="1">
          <a:off x="2762250" y="25022175"/>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134</xdr:row>
      <xdr:rowOff>38100</xdr:rowOff>
    </xdr:from>
    <xdr:to>
      <xdr:col>5</xdr:col>
      <xdr:colOff>0</xdr:colOff>
      <xdr:row>137</xdr:row>
      <xdr:rowOff>85725</xdr:rowOff>
    </xdr:to>
    <xdr:sp macro="" textlink="">
      <xdr:nvSpPr>
        <xdr:cNvPr id="541" name="Line 22750">
          <a:extLst>
            <a:ext uri="{FF2B5EF4-FFF2-40B4-BE49-F238E27FC236}">
              <a16:creationId xmlns:a16="http://schemas.microsoft.com/office/drawing/2014/main" id="{00000000-0008-0000-0300-00001D020000}"/>
            </a:ext>
          </a:extLst>
        </xdr:cNvPr>
        <xdr:cNvSpPr>
          <a:spLocks noChangeShapeType="1"/>
        </xdr:cNvSpPr>
      </xdr:nvSpPr>
      <xdr:spPr bwMode="auto">
        <a:xfrm flipV="1">
          <a:off x="2552700" y="25003125"/>
          <a:ext cx="0" cy="6191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135</xdr:row>
      <xdr:rowOff>28575</xdr:rowOff>
    </xdr:from>
    <xdr:to>
      <xdr:col>6</xdr:col>
      <xdr:colOff>142875</xdr:colOff>
      <xdr:row>136</xdr:row>
      <xdr:rowOff>38100</xdr:rowOff>
    </xdr:to>
    <xdr:sp macro="" textlink="">
      <xdr:nvSpPr>
        <xdr:cNvPr id="542" name="Line 22751">
          <a:extLst>
            <a:ext uri="{FF2B5EF4-FFF2-40B4-BE49-F238E27FC236}">
              <a16:creationId xmlns:a16="http://schemas.microsoft.com/office/drawing/2014/main" id="{00000000-0008-0000-0300-00001E020000}"/>
            </a:ext>
          </a:extLst>
        </xdr:cNvPr>
        <xdr:cNvSpPr>
          <a:spLocks noChangeShapeType="1"/>
        </xdr:cNvSpPr>
      </xdr:nvSpPr>
      <xdr:spPr bwMode="auto">
        <a:xfrm flipH="1">
          <a:off x="3219450" y="25184100"/>
          <a:ext cx="22860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314325</xdr:colOff>
      <xdr:row>310</xdr:row>
      <xdr:rowOff>9525</xdr:rowOff>
    </xdr:from>
    <xdr:to>
      <xdr:col>3</xdr:col>
      <xdr:colOff>314325</xdr:colOff>
      <xdr:row>311</xdr:row>
      <xdr:rowOff>28575</xdr:rowOff>
    </xdr:to>
    <xdr:sp macro="" textlink="">
      <xdr:nvSpPr>
        <xdr:cNvPr id="543" name="Line 22753">
          <a:extLst>
            <a:ext uri="{FF2B5EF4-FFF2-40B4-BE49-F238E27FC236}">
              <a16:creationId xmlns:a16="http://schemas.microsoft.com/office/drawing/2014/main" id="{00000000-0008-0000-0300-00001F020000}"/>
            </a:ext>
          </a:extLst>
        </xdr:cNvPr>
        <xdr:cNvSpPr>
          <a:spLocks noChangeShapeType="1"/>
        </xdr:cNvSpPr>
      </xdr:nvSpPr>
      <xdr:spPr bwMode="auto">
        <a:xfrm>
          <a:off x="2171700" y="58540650"/>
          <a:ext cx="0" cy="209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509588</xdr:colOff>
      <xdr:row>263</xdr:row>
      <xdr:rowOff>66675</xdr:rowOff>
    </xdr:from>
    <xdr:to>
      <xdr:col>2</xdr:col>
      <xdr:colOff>509588</xdr:colOff>
      <xdr:row>265</xdr:row>
      <xdr:rowOff>23814</xdr:rowOff>
    </xdr:to>
    <xdr:cxnSp macro="">
      <xdr:nvCxnSpPr>
        <xdr:cNvPr id="545" name="Lige forbindelse 544">
          <a:extLst>
            <a:ext uri="{FF2B5EF4-FFF2-40B4-BE49-F238E27FC236}">
              <a16:creationId xmlns:a16="http://schemas.microsoft.com/office/drawing/2014/main" id="{00000000-0008-0000-0300-000021020000}"/>
            </a:ext>
          </a:extLst>
        </xdr:cNvPr>
        <xdr:cNvCxnSpPr/>
      </xdr:nvCxnSpPr>
      <xdr:spPr>
        <a:xfrm flipV="1">
          <a:off x="1785938" y="49996725"/>
          <a:ext cx="0" cy="338139"/>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547688</xdr:colOff>
      <xdr:row>284</xdr:row>
      <xdr:rowOff>57150</xdr:rowOff>
    </xdr:from>
    <xdr:to>
      <xdr:col>2</xdr:col>
      <xdr:colOff>547688</xdr:colOff>
      <xdr:row>285</xdr:row>
      <xdr:rowOff>42863</xdr:rowOff>
    </xdr:to>
    <xdr:cxnSp macro="">
      <xdr:nvCxnSpPr>
        <xdr:cNvPr id="548" name="Lige forbindelse 547">
          <a:extLst>
            <a:ext uri="{FF2B5EF4-FFF2-40B4-BE49-F238E27FC236}">
              <a16:creationId xmlns:a16="http://schemas.microsoft.com/office/drawing/2014/main" id="{00000000-0008-0000-0300-000024020000}"/>
            </a:ext>
          </a:extLst>
        </xdr:cNvPr>
        <xdr:cNvCxnSpPr/>
      </xdr:nvCxnSpPr>
      <xdr:spPr>
        <a:xfrm flipV="1">
          <a:off x="1824038" y="53987700"/>
          <a:ext cx="0" cy="17621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57151</xdr:colOff>
      <xdr:row>174</xdr:row>
      <xdr:rowOff>33338</xdr:rowOff>
    </xdr:from>
    <xdr:to>
      <xdr:col>2</xdr:col>
      <xdr:colOff>66675</xdr:colOff>
      <xdr:row>174</xdr:row>
      <xdr:rowOff>33338</xdr:rowOff>
    </xdr:to>
    <xdr:cxnSp macro="">
      <xdr:nvCxnSpPr>
        <xdr:cNvPr id="552" name="Lige forbindelse 551">
          <a:extLst>
            <a:ext uri="{FF2B5EF4-FFF2-40B4-BE49-F238E27FC236}">
              <a16:creationId xmlns:a16="http://schemas.microsoft.com/office/drawing/2014/main" id="{00000000-0008-0000-0300-000028020000}"/>
            </a:ext>
          </a:extLst>
        </xdr:cNvPr>
        <xdr:cNvCxnSpPr/>
      </xdr:nvCxnSpPr>
      <xdr:spPr>
        <a:xfrm flipH="1">
          <a:off x="1200151" y="32980313"/>
          <a:ext cx="142874"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57153</xdr:colOff>
      <xdr:row>173</xdr:row>
      <xdr:rowOff>104775</xdr:rowOff>
    </xdr:from>
    <xdr:to>
      <xdr:col>2</xdr:col>
      <xdr:colOff>161925</xdr:colOff>
      <xdr:row>173</xdr:row>
      <xdr:rowOff>104775</xdr:rowOff>
    </xdr:to>
    <xdr:cxnSp macro="">
      <xdr:nvCxnSpPr>
        <xdr:cNvPr id="553" name="Lige forbindelse 552">
          <a:extLst>
            <a:ext uri="{FF2B5EF4-FFF2-40B4-BE49-F238E27FC236}">
              <a16:creationId xmlns:a16="http://schemas.microsoft.com/office/drawing/2014/main" id="{00000000-0008-0000-0300-000029020000}"/>
            </a:ext>
          </a:extLst>
        </xdr:cNvPr>
        <xdr:cNvCxnSpPr/>
      </xdr:nvCxnSpPr>
      <xdr:spPr>
        <a:xfrm flipH="1">
          <a:off x="1200153" y="32861250"/>
          <a:ext cx="238122"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76201</xdr:colOff>
      <xdr:row>173</xdr:row>
      <xdr:rowOff>66675</xdr:rowOff>
    </xdr:from>
    <xdr:to>
      <xdr:col>1</xdr:col>
      <xdr:colOff>76201</xdr:colOff>
      <xdr:row>174</xdr:row>
      <xdr:rowOff>85725</xdr:rowOff>
    </xdr:to>
    <xdr:cxnSp macro="">
      <xdr:nvCxnSpPr>
        <xdr:cNvPr id="554" name="Lige forbindelse 553">
          <a:extLst>
            <a:ext uri="{FF2B5EF4-FFF2-40B4-BE49-F238E27FC236}">
              <a16:creationId xmlns:a16="http://schemas.microsoft.com/office/drawing/2014/main" id="{00000000-0008-0000-0300-00002A020000}"/>
            </a:ext>
          </a:extLst>
        </xdr:cNvPr>
        <xdr:cNvCxnSpPr/>
      </xdr:nvCxnSpPr>
      <xdr:spPr>
        <a:xfrm>
          <a:off x="1219201" y="32823150"/>
          <a:ext cx="0" cy="20955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42863</xdr:colOff>
      <xdr:row>173</xdr:row>
      <xdr:rowOff>71438</xdr:rowOff>
    </xdr:from>
    <xdr:to>
      <xdr:col>1</xdr:col>
      <xdr:colOff>109538</xdr:colOff>
      <xdr:row>173</xdr:row>
      <xdr:rowOff>138113</xdr:rowOff>
    </xdr:to>
    <xdr:sp macro="" textlink="">
      <xdr:nvSpPr>
        <xdr:cNvPr id="555" name="Line 19076">
          <a:extLst>
            <a:ext uri="{FF2B5EF4-FFF2-40B4-BE49-F238E27FC236}">
              <a16:creationId xmlns:a16="http://schemas.microsoft.com/office/drawing/2014/main" id="{00000000-0008-0000-0300-00002B020000}"/>
            </a:ext>
          </a:extLst>
        </xdr:cNvPr>
        <xdr:cNvSpPr>
          <a:spLocks noChangeShapeType="1"/>
        </xdr:cNvSpPr>
      </xdr:nvSpPr>
      <xdr:spPr bwMode="auto">
        <a:xfrm flipH="1">
          <a:off x="1185863" y="32827913"/>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38100</xdr:colOff>
      <xdr:row>174</xdr:row>
      <xdr:rowOff>0</xdr:rowOff>
    </xdr:from>
    <xdr:to>
      <xdr:col>1</xdr:col>
      <xdr:colOff>104775</xdr:colOff>
      <xdr:row>174</xdr:row>
      <xdr:rowOff>66675</xdr:rowOff>
    </xdr:to>
    <xdr:sp macro="" textlink="">
      <xdr:nvSpPr>
        <xdr:cNvPr id="556" name="Line 19076">
          <a:extLst>
            <a:ext uri="{FF2B5EF4-FFF2-40B4-BE49-F238E27FC236}">
              <a16:creationId xmlns:a16="http://schemas.microsoft.com/office/drawing/2014/main" id="{00000000-0008-0000-0300-00002C020000}"/>
            </a:ext>
          </a:extLst>
        </xdr:cNvPr>
        <xdr:cNvSpPr>
          <a:spLocks noChangeShapeType="1"/>
        </xdr:cNvSpPr>
      </xdr:nvSpPr>
      <xdr:spPr bwMode="auto">
        <a:xfrm flipH="1">
          <a:off x="1181100" y="329469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214312</xdr:colOff>
      <xdr:row>182</xdr:row>
      <xdr:rowOff>85608</xdr:rowOff>
    </xdr:from>
    <xdr:to>
      <xdr:col>2</xdr:col>
      <xdr:colOff>309562</xdr:colOff>
      <xdr:row>182</xdr:row>
      <xdr:rowOff>152283</xdr:rowOff>
    </xdr:to>
    <xdr:sp macro="" textlink="">
      <xdr:nvSpPr>
        <xdr:cNvPr id="564" name="AutoShape 131">
          <a:extLst>
            <a:ext uri="{FF2B5EF4-FFF2-40B4-BE49-F238E27FC236}">
              <a16:creationId xmlns:a16="http://schemas.microsoft.com/office/drawing/2014/main" id="{00000000-0008-0000-0300-000034020000}"/>
            </a:ext>
          </a:extLst>
        </xdr:cNvPr>
        <xdr:cNvSpPr>
          <a:spLocks noChangeArrowheads="1"/>
        </xdr:cNvSpPr>
      </xdr:nvSpPr>
      <xdr:spPr bwMode="auto">
        <a:xfrm>
          <a:off x="1490662" y="34556583"/>
          <a:ext cx="95250" cy="66675"/>
        </a:xfrm>
        <a:prstGeom prst="rtTriangle">
          <a:avLst/>
        </a:prstGeom>
        <a:solidFill>
          <a:srgbClr xmlns:mc="http://schemas.openxmlformats.org/markup-compatibility/2006" xmlns:a14="http://schemas.microsoft.com/office/drawing/2010/main" val="FFFFFF" mc:Ignorable="a14" a14:legacySpreadsheetColorIndex="65">
            <a:alpha val="0"/>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214314</xdr:colOff>
      <xdr:row>179</xdr:row>
      <xdr:rowOff>176213</xdr:rowOff>
    </xdr:from>
    <xdr:to>
      <xdr:col>2</xdr:col>
      <xdr:colOff>576263</xdr:colOff>
      <xdr:row>182</xdr:row>
      <xdr:rowOff>99896</xdr:rowOff>
    </xdr:to>
    <xdr:cxnSp macro="">
      <xdr:nvCxnSpPr>
        <xdr:cNvPr id="565" name="Lige forbindelse 564">
          <a:extLst>
            <a:ext uri="{FF2B5EF4-FFF2-40B4-BE49-F238E27FC236}">
              <a16:creationId xmlns:a16="http://schemas.microsoft.com/office/drawing/2014/main" id="{00000000-0008-0000-0300-000035020000}"/>
            </a:ext>
          </a:extLst>
        </xdr:cNvPr>
        <xdr:cNvCxnSpPr/>
      </xdr:nvCxnSpPr>
      <xdr:spPr>
        <a:xfrm flipH="1">
          <a:off x="1490664" y="34075688"/>
          <a:ext cx="361949" cy="49518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309563</xdr:colOff>
      <xdr:row>180</xdr:row>
      <xdr:rowOff>71438</xdr:rowOff>
    </xdr:from>
    <xdr:to>
      <xdr:col>3</xdr:col>
      <xdr:colOff>76200</xdr:colOff>
      <xdr:row>182</xdr:row>
      <xdr:rowOff>157046</xdr:rowOff>
    </xdr:to>
    <xdr:cxnSp macro="">
      <xdr:nvCxnSpPr>
        <xdr:cNvPr id="566" name="Lige forbindelse 565">
          <a:extLst>
            <a:ext uri="{FF2B5EF4-FFF2-40B4-BE49-F238E27FC236}">
              <a16:creationId xmlns:a16="http://schemas.microsoft.com/office/drawing/2014/main" id="{00000000-0008-0000-0300-000036020000}"/>
            </a:ext>
          </a:extLst>
        </xdr:cNvPr>
        <xdr:cNvCxnSpPr/>
      </xdr:nvCxnSpPr>
      <xdr:spPr>
        <a:xfrm flipH="1">
          <a:off x="1585913" y="34161413"/>
          <a:ext cx="347662" cy="466608"/>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214312</xdr:colOff>
      <xdr:row>182</xdr:row>
      <xdr:rowOff>152283</xdr:rowOff>
    </xdr:from>
    <xdr:to>
      <xdr:col>2</xdr:col>
      <xdr:colOff>214312</xdr:colOff>
      <xdr:row>183</xdr:row>
      <xdr:rowOff>42746</xdr:rowOff>
    </xdr:to>
    <xdr:cxnSp macro="">
      <xdr:nvCxnSpPr>
        <xdr:cNvPr id="567" name="Lige forbindelse 566">
          <a:extLst>
            <a:ext uri="{FF2B5EF4-FFF2-40B4-BE49-F238E27FC236}">
              <a16:creationId xmlns:a16="http://schemas.microsoft.com/office/drawing/2014/main" id="{00000000-0008-0000-0300-000037020000}"/>
            </a:ext>
          </a:extLst>
        </xdr:cNvPr>
        <xdr:cNvCxnSpPr>
          <a:endCxn id="564" idx="2"/>
        </xdr:cNvCxnSpPr>
      </xdr:nvCxnSpPr>
      <xdr:spPr>
        <a:xfrm flipV="1">
          <a:off x="1490662" y="34623258"/>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314324</xdr:colOff>
      <xdr:row>182</xdr:row>
      <xdr:rowOff>157045</xdr:rowOff>
    </xdr:from>
    <xdr:to>
      <xdr:col>2</xdr:col>
      <xdr:colOff>314324</xdr:colOff>
      <xdr:row>183</xdr:row>
      <xdr:rowOff>47508</xdr:rowOff>
    </xdr:to>
    <xdr:cxnSp macro="">
      <xdr:nvCxnSpPr>
        <xdr:cNvPr id="568" name="Lige forbindelse 567">
          <a:extLst>
            <a:ext uri="{FF2B5EF4-FFF2-40B4-BE49-F238E27FC236}">
              <a16:creationId xmlns:a16="http://schemas.microsoft.com/office/drawing/2014/main" id="{00000000-0008-0000-0300-000038020000}"/>
            </a:ext>
          </a:extLst>
        </xdr:cNvPr>
        <xdr:cNvCxnSpPr/>
      </xdr:nvCxnSpPr>
      <xdr:spPr>
        <a:xfrm flipV="1">
          <a:off x="1590674" y="34628020"/>
          <a:ext cx="0" cy="8096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3" name="Line 1">
          <a:extLst>
            <a:ext uri="{FF2B5EF4-FFF2-40B4-BE49-F238E27FC236}">
              <a16:creationId xmlns:a16="http://schemas.microsoft.com/office/drawing/2014/main" id="{00000000-0008-0000-0400-000003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4" name="Line 1">
          <a:extLst>
            <a:ext uri="{FF2B5EF4-FFF2-40B4-BE49-F238E27FC236}">
              <a16:creationId xmlns:a16="http://schemas.microsoft.com/office/drawing/2014/main" id="{00000000-0008-0000-0400-000004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11</xdr:col>
      <xdr:colOff>200025</xdr:colOff>
      <xdr:row>0</xdr:row>
      <xdr:rowOff>9525</xdr:rowOff>
    </xdr:from>
    <xdr:to>
      <xdr:col>11</xdr:col>
      <xdr:colOff>200025</xdr:colOff>
      <xdr:row>6</xdr:row>
      <xdr:rowOff>0</xdr:rowOff>
    </xdr:to>
    <xdr:sp macro="" textlink="">
      <xdr:nvSpPr>
        <xdr:cNvPr id="5" name="Line 1">
          <a:extLst>
            <a:ext uri="{FF2B5EF4-FFF2-40B4-BE49-F238E27FC236}">
              <a16:creationId xmlns:a16="http://schemas.microsoft.com/office/drawing/2014/main" id="{00000000-0008-0000-0400-000005000000}"/>
            </a:ext>
          </a:extLst>
        </xdr:cNvPr>
        <xdr:cNvSpPr>
          <a:spLocks noChangeShapeType="1"/>
        </xdr:cNvSpPr>
      </xdr:nvSpPr>
      <xdr:spPr bwMode="auto">
        <a:xfrm>
          <a:off x="6762750"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twoCellAnchor editAs="oneCell">
    <xdr:from>
      <xdr:col>0</xdr:col>
      <xdr:colOff>502417</xdr:colOff>
      <xdr:row>1</xdr:row>
      <xdr:rowOff>6241</xdr:rowOff>
    </xdr:from>
    <xdr:to>
      <xdr:col>0</xdr:col>
      <xdr:colOff>1121542</xdr:colOff>
      <xdr:row>4</xdr:row>
      <xdr:rowOff>25291</xdr:rowOff>
    </xdr:to>
    <xdr:pic>
      <xdr:nvPicPr>
        <xdr:cNvPr id="7" name="Picture 197" descr="CRH_office_pantone">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2417" y="126672"/>
          <a:ext cx="619125" cy="5117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723900</xdr:colOff>
      <xdr:row>21</xdr:row>
      <xdr:rowOff>123825</xdr:rowOff>
    </xdr:from>
    <xdr:to>
      <xdr:col>5</xdr:col>
      <xdr:colOff>723900</xdr:colOff>
      <xdr:row>23</xdr:row>
      <xdr:rowOff>47625</xdr:rowOff>
    </xdr:to>
    <xdr:sp macro="" textlink="">
      <xdr:nvSpPr>
        <xdr:cNvPr id="8" name="Line 2">
          <a:extLst>
            <a:ext uri="{FF2B5EF4-FFF2-40B4-BE49-F238E27FC236}">
              <a16:creationId xmlns:a16="http://schemas.microsoft.com/office/drawing/2014/main" id="{00000000-0008-0000-0400-000008000000}"/>
            </a:ext>
          </a:extLst>
        </xdr:cNvPr>
        <xdr:cNvSpPr>
          <a:spLocks noChangeShapeType="1"/>
        </xdr:cNvSpPr>
      </xdr:nvSpPr>
      <xdr:spPr bwMode="auto">
        <a:xfrm>
          <a:off x="3371850" y="392430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571500</xdr:colOff>
      <xdr:row>21</xdr:row>
      <xdr:rowOff>142875</xdr:rowOff>
    </xdr:from>
    <xdr:to>
      <xdr:col>6</xdr:col>
      <xdr:colOff>19050</xdr:colOff>
      <xdr:row>21</xdr:row>
      <xdr:rowOff>142875</xdr:rowOff>
    </xdr:to>
    <xdr:sp macro="" textlink="">
      <xdr:nvSpPr>
        <xdr:cNvPr id="9" name="Line 3">
          <a:extLst>
            <a:ext uri="{FF2B5EF4-FFF2-40B4-BE49-F238E27FC236}">
              <a16:creationId xmlns:a16="http://schemas.microsoft.com/office/drawing/2014/main" id="{00000000-0008-0000-0400-000009000000}"/>
            </a:ext>
          </a:extLst>
        </xdr:cNvPr>
        <xdr:cNvSpPr>
          <a:spLocks noChangeShapeType="1"/>
        </xdr:cNvSpPr>
      </xdr:nvSpPr>
      <xdr:spPr bwMode="auto">
        <a:xfrm>
          <a:off x="3219450" y="3943350"/>
          <a:ext cx="2000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571500</xdr:colOff>
      <xdr:row>19</xdr:row>
      <xdr:rowOff>161925</xdr:rowOff>
    </xdr:from>
    <xdr:to>
      <xdr:col>5</xdr:col>
      <xdr:colOff>647700</xdr:colOff>
      <xdr:row>23</xdr:row>
      <xdr:rowOff>47625</xdr:rowOff>
    </xdr:to>
    <xdr:sp macro="" textlink="">
      <xdr:nvSpPr>
        <xdr:cNvPr id="10" name="Tegning 42">
          <a:extLst>
            <a:ext uri="{FF2B5EF4-FFF2-40B4-BE49-F238E27FC236}">
              <a16:creationId xmlns:a16="http://schemas.microsoft.com/office/drawing/2014/main" id="{00000000-0008-0000-0400-00000A000000}"/>
            </a:ext>
          </a:extLst>
        </xdr:cNvPr>
        <xdr:cNvSpPr>
          <a:spLocks/>
        </xdr:cNvSpPr>
      </xdr:nvSpPr>
      <xdr:spPr bwMode="auto">
        <a:xfrm>
          <a:off x="1990725" y="3581400"/>
          <a:ext cx="1304925"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104775</xdr:colOff>
      <xdr:row>20</xdr:row>
      <xdr:rowOff>161925</xdr:rowOff>
    </xdr:from>
    <xdr:to>
      <xdr:col>3</xdr:col>
      <xdr:colOff>9525</xdr:colOff>
      <xdr:row>21</xdr:row>
      <xdr:rowOff>142875</xdr:rowOff>
    </xdr:to>
    <xdr:sp macro="" textlink="">
      <xdr:nvSpPr>
        <xdr:cNvPr id="11" name="Tegning 43">
          <a:extLst>
            <a:ext uri="{FF2B5EF4-FFF2-40B4-BE49-F238E27FC236}">
              <a16:creationId xmlns:a16="http://schemas.microsoft.com/office/drawing/2014/main" id="{00000000-0008-0000-0400-00000B000000}"/>
            </a:ext>
          </a:extLst>
        </xdr:cNvPr>
        <xdr:cNvSpPr>
          <a:spLocks/>
        </xdr:cNvSpPr>
      </xdr:nvSpPr>
      <xdr:spPr bwMode="auto">
        <a:xfrm>
          <a:off x="1524000" y="3771900"/>
          <a:ext cx="485775" cy="17145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xdr:colOff>
      <xdr:row>20</xdr:row>
      <xdr:rowOff>161925</xdr:rowOff>
    </xdr:from>
    <xdr:to>
      <xdr:col>5</xdr:col>
      <xdr:colOff>238125</xdr:colOff>
      <xdr:row>21</xdr:row>
      <xdr:rowOff>142875</xdr:rowOff>
    </xdr:to>
    <xdr:sp macro="" textlink="">
      <xdr:nvSpPr>
        <xdr:cNvPr id="12" name="Tegning 44">
          <a:extLst>
            <a:ext uri="{FF2B5EF4-FFF2-40B4-BE49-F238E27FC236}">
              <a16:creationId xmlns:a16="http://schemas.microsoft.com/office/drawing/2014/main" id="{00000000-0008-0000-0400-00000C000000}"/>
            </a:ext>
          </a:extLst>
        </xdr:cNvPr>
        <xdr:cNvSpPr>
          <a:spLocks/>
        </xdr:cNvSpPr>
      </xdr:nvSpPr>
      <xdr:spPr bwMode="auto">
        <a:xfrm>
          <a:off x="2009775" y="3771900"/>
          <a:ext cx="876300" cy="171450"/>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dash"/>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561975</xdr:colOff>
      <xdr:row>23</xdr:row>
      <xdr:rowOff>76200</xdr:rowOff>
    </xdr:from>
    <xdr:to>
      <xdr:col>3</xdr:col>
      <xdr:colOff>285750</xdr:colOff>
      <xdr:row>25</xdr:row>
      <xdr:rowOff>85725</xdr:rowOff>
    </xdr:to>
    <xdr:sp macro="" textlink="">
      <xdr:nvSpPr>
        <xdr:cNvPr id="13" name="Tegning 45">
          <a:extLst>
            <a:ext uri="{FF2B5EF4-FFF2-40B4-BE49-F238E27FC236}">
              <a16:creationId xmlns:a16="http://schemas.microsoft.com/office/drawing/2014/main" id="{00000000-0008-0000-0400-00000D000000}"/>
            </a:ext>
          </a:extLst>
        </xdr:cNvPr>
        <xdr:cNvSpPr>
          <a:spLocks/>
        </xdr:cNvSpPr>
      </xdr:nvSpPr>
      <xdr:spPr bwMode="auto">
        <a:xfrm>
          <a:off x="1981200" y="4257675"/>
          <a:ext cx="304800"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171450</xdr:colOff>
      <xdr:row>21</xdr:row>
      <xdr:rowOff>161925</xdr:rowOff>
    </xdr:from>
    <xdr:to>
      <xdr:col>2</xdr:col>
      <xdr:colOff>400050</xdr:colOff>
      <xdr:row>23</xdr:row>
      <xdr:rowOff>161925</xdr:rowOff>
    </xdr:to>
    <xdr:sp macro="" textlink="">
      <xdr:nvSpPr>
        <xdr:cNvPr id="14" name="Tegning 46">
          <a:extLst>
            <a:ext uri="{FF2B5EF4-FFF2-40B4-BE49-F238E27FC236}">
              <a16:creationId xmlns:a16="http://schemas.microsoft.com/office/drawing/2014/main" id="{00000000-0008-0000-0400-00000E000000}"/>
            </a:ext>
          </a:extLst>
        </xdr:cNvPr>
        <xdr:cNvSpPr>
          <a:spLocks/>
        </xdr:cNvSpPr>
      </xdr:nvSpPr>
      <xdr:spPr bwMode="auto">
        <a:xfrm>
          <a:off x="1590675" y="3962400"/>
          <a:ext cx="228600"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66675</xdr:colOff>
      <xdr:row>21</xdr:row>
      <xdr:rowOff>142875</xdr:rowOff>
    </xdr:from>
    <xdr:to>
      <xdr:col>5</xdr:col>
      <xdr:colOff>238125</xdr:colOff>
      <xdr:row>21</xdr:row>
      <xdr:rowOff>142875</xdr:rowOff>
    </xdr:to>
    <xdr:sp macro="" textlink="">
      <xdr:nvSpPr>
        <xdr:cNvPr id="15" name="Line 47">
          <a:extLst>
            <a:ext uri="{FF2B5EF4-FFF2-40B4-BE49-F238E27FC236}">
              <a16:creationId xmlns:a16="http://schemas.microsoft.com/office/drawing/2014/main" id="{00000000-0008-0000-0400-00000F000000}"/>
            </a:ext>
          </a:extLst>
        </xdr:cNvPr>
        <xdr:cNvSpPr>
          <a:spLocks noChangeShapeType="1"/>
        </xdr:cNvSpPr>
      </xdr:nvSpPr>
      <xdr:spPr bwMode="auto">
        <a:xfrm>
          <a:off x="2714625" y="3943350"/>
          <a:ext cx="171450"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123825</xdr:colOff>
      <xdr:row>21</xdr:row>
      <xdr:rowOff>171450</xdr:rowOff>
    </xdr:from>
    <xdr:to>
      <xdr:col>5</xdr:col>
      <xdr:colOff>66675</xdr:colOff>
      <xdr:row>23</xdr:row>
      <xdr:rowOff>28575</xdr:rowOff>
    </xdr:to>
    <xdr:sp macro="" textlink="">
      <xdr:nvSpPr>
        <xdr:cNvPr id="16" name="Line 48">
          <a:extLst>
            <a:ext uri="{FF2B5EF4-FFF2-40B4-BE49-F238E27FC236}">
              <a16:creationId xmlns:a16="http://schemas.microsoft.com/office/drawing/2014/main" id="{00000000-0008-0000-0400-000010000000}"/>
            </a:ext>
          </a:extLst>
        </xdr:cNvPr>
        <xdr:cNvSpPr>
          <a:spLocks noChangeShapeType="1"/>
        </xdr:cNvSpPr>
      </xdr:nvSpPr>
      <xdr:spPr bwMode="auto">
        <a:xfrm flipH="1">
          <a:off x="2447925" y="3971925"/>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21</xdr:row>
      <xdr:rowOff>171450</xdr:rowOff>
    </xdr:from>
    <xdr:to>
      <xdr:col>5</xdr:col>
      <xdr:colOff>476250</xdr:colOff>
      <xdr:row>23</xdr:row>
      <xdr:rowOff>0</xdr:rowOff>
    </xdr:to>
    <xdr:sp macro="" textlink="">
      <xdr:nvSpPr>
        <xdr:cNvPr id="17" name="Line 49">
          <a:extLst>
            <a:ext uri="{FF2B5EF4-FFF2-40B4-BE49-F238E27FC236}">
              <a16:creationId xmlns:a16="http://schemas.microsoft.com/office/drawing/2014/main" id="{00000000-0008-0000-0400-000011000000}"/>
            </a:ext>
          </a:extLst>
        </xdr:cNvPr>
        <xdr:cNvSpPr>
          <a:spLocks noChangeShapeType="1"/>
        </xdr:cNvSpPr>
      </xdr:nvSpPr>
      <xdr:spPr bwMode="auto">
        <a:xfrm>
          <a:off x="2895600" y="3971925"/>
          <a:ext cx="22860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23</xdr:row>
      <xdr:rowOff>47625</xdr:rowOff>
    </xdr:from>
    <xdr:to>
      <xdr:col>5</xdr:col>
      <xdr:colOff>257175</xdr:colOff>
      <xdr:row>24</xdr:row>
      <xdr:rowOff>209550</xdr:rowOff>
    </xdr:to>
    <xdr:sp macro="" textlink="">
      <xdr:nvSpPr>
        <xdr:cNvPr id="18" name="Tegning 50">
          <a:extLst>
            <a:ext uri="{FF2B5EF4-FFF2-40B4-BE49-F238E27FC236}">
              <a16:creationId xmlns:a16="http://schemas.microsoft.com/office/drawing/2014/main" id="{00000000-0008-0000-0400-000012000000}"/>
            </a:ext>
          </a:extLst>
        </xdr:cNvPr>
        <xdr:cNvSpPr>
          <a:spLocks/>
        </xdr:cNvSpPr>
      </xdr:nvSpPr>
      <xdr:spPr bwMode="auto">
        <a:xfrm>
          <a:off x="2676525" y="4229100"/>
          <a:ext cx="228600"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228600</xdr:colOff>
      <xdr:row>27</xdr:row>
      <xdr:rowOff>19050</xdr:rowOff>
    </xdr:from>
    <xdr:to>
      <xdr:col>5</xdr:col>
      <xdr:colOff>190500</xdr:colOff>
      <xdr:row>27</xdr:row>
      <xdr:rowOff>19050</xdr:rowOff>
    </xdr:to>
    <xdr:sp macro="" textlink="">
      <xdr:nvSpPr>
        <xdr:cNvPr id="19" name="Line 51">
          <a:extLst>
            <a:ext uri="{FF2B5EF4-FFF2-40B4-BE49-F238E27FC236}">
              <a16:creationId xmlns:a16="http://schemas.microsoft.com/office/drawing/2014/main" id="{00000000-0008-0000-0400-000013000000}"/>
            </a:ext>
          </a:extLst>
        </xdr:cNvPr>
        <xdr:cNvSpPr>
          <a:spLocks noChangeShapeType="1"/>
        </xdr:cNvSpPr>
      </xdr:nvSpPr>
      <xdr:spPr bwMode="auto">
        <a:xfrm>
          <a:off x="1647825" y="4972050"/>
          <a:ext cx="119062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142875</xdr:colOff>
      <xdr:row>25</xdr:row>
      <xdr:rowOff>28575</xdr:rowOff>
    </xdr:from>
    <xdr:to>
      <xdr:col>5</xdr:col>
      <xdr:colOff>142875</xdr:colOff>
      <xdr:row>27</xdr:row>
      <xdr:rowOff>66675</xdr:rowOff>
    </xdr:to>
    <xdr:sp macro="" textlink="">
      <xdr:nvSpPr>
        <xdr:cNvPr id="20" name="Line 52">
          <a:extLst>
            <a:ext uri="{FF2B5EF4-FFF2-40B4-BE49-F238E27FC236}">
              <a16:creationId xmlns:a16="http://schemas.microsoft.com/office/drawing/2014/main" id="{00000000-0008-0000-0400-000014000000}"/>
            </a:ext>
          </a:extLst>
        </xdr:cNvPr>
        <xdr:cNvSpPr>
          <a:spLocks noChangeShapeType="1"/>
        </xdr:cNvSpPr>
      </xdr:nvSpPr>
      <xdr:spPr bwMode="auto">
        <a:xfrm>
          <a:off x="2790825" y="4591050"/>
          <a:ext cx="0" cy="4286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25</xdr:row>
      <xdr:rowOff>142875</xdr:rowOff>
    </xdr:from>
    <xdr:to>
      <xdr:col>3</xdr:col>
      <xdr:colOff>133350</xdr:colOff>
      <xdr:row>27</xdr:row>
      <xdr:rowOff>114300</xdr:rowOff>
    </xdr:to>
    <xdr:sp macro="" textlink="">
      <xdr:nvSpPr>
        <xdr:cNvPr id="21" name="Line 53">
          <a:extLst>
            <a:ext uri="{FF2B5EF4-FFF2-40B4-BE49-F238E27FC236}">
              <a16:creationId xmlns:a16="http://schemas.microsoft.com/office/drawing/2014/main" id="{00000000-0008-0000-0400-000015000000}"/>
            </a:ext>
          </a:extLst>
        </xdr:cNvPr>
        <xdr:cNvSpPr>
          <a:spLocks noChangeShapeType="1"/>
        </xdr:cNvSpPr>
      </xdr:nvSpPr>
      <xdr:spPr bwMode="auto">
        <a:xfrm>
          <a:off x="2133600" y="4705350"/>
          <a:ext cx="0" cy="3619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24</xdr:row>
      <xdr:rowOff>47625</xdr:rowOff>
    </xdr:from>
    <xdr:to>
      <xdr:col>2</xdr:col>
      <xdr:colOff>276225</xdr:colOff>
      <xdr:row>27</xdr:row>
      <xdr:rowOff>66675</xdr:rowOff>
    </xdr:to>
    <xdr:sp macro="" textlink="">
      <xdr:nvSpPr>
        <xdr:cNvPr id="22" name="Line 54">
          <a:extLst>
            <a:ext uri="{FF2B5EF4-FFF2-40B4-BE49-F238E27FC236}">
              <a16:creationId xmlns:a16="http://schemas.microsoft.com/office/drawing/2014/main" id="{00000000-0008-0000-0400-000016000000}"/>
            </a:ext>
          </a:extLst>
        </xdr:cNvPr>
        <xdr:cNvSpPr>
          <a:spLocks noChangeShapeType="1"/>
        </xdr:cNvSpPr>
      </xdr:nvSpPr>
      <xdr:spPr bwMode="auto">
        <a:xfrm>
          <a:off x="1695450" y="4419600"/>
          <a:ext cx="0" cy="6000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219075</xdr:colOff>
      <xdr:row>26</xdr:row>
      <xdr:rowOff>171450</xdr:rowOff>
    </xdr:from>
    <xdr:to>
      <xdr:col>2</xdr:col>
      <xdr:colOff>333375</xdr:colOff>
      <xdr:row>27</xdr:row>
      <xdr:rowOff>66675</xdr:rowOff>
    </xdr:to>
    <xdr:sp macro="" textlink="">
      <xdr:nvSpPr>
        <xdr:cNvPr id="23" name="Line 55">
          <a:extLst>
            <a:ext uri="{FF2B5EF4-FFF2-40B4-BE49-F238E27FC236}">
              <a16:creationId xmlns:a16="http://schemas.microsoft.com/office/drawing/2014/main" id="{00000000-0008-0000-0400-000017000000}"/>
            </a:ext>
          </a:extLst>
        </xdr:cNvPr>
        <xdr:cNvSpPr>
          <a:spLocks noChangeShapeType="1"/>
        </xdr:cNvSpPr>
      </xdr:nvSpPr>
      <xdr:spPr bwMode="auto">
        <a:xfrm flipH="1">
          <a:off x="1638300" y="4933950"/>
          <a:ext cx="1143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26</xdr:row>
      <xdr:rowOff>209550</xdr:rowOff>
    </xdr:from>
    <xdr:to>
      <xdr:col>3</xdr:col>
      <xdr:colOff>171450</xdr:colOff>
      <xdr:row>27</xdr:row>
      <xdr:rowOff>66675</xdr:rowOff>
    </xdr:to>
    <xdr:sp macro="" textlink="">
      <xdr:nvSpPr>
        <xdr:cNvPr id="24" name="Line 56">
          <a:extLst>
            <a:ext uri="{FF2B5EF4-FFF2-40B4-BE49-F238E27FC236}">
              <a16:creationId xmlns:a16="http://schemas.microsoft.com/office/drawing/2014/main" id="{00000000-0008-0000-0400-000018000000}"/>
            </a:ext>
          </a:extLst>
        </xdr:cNvPr>
        <xdr:cNvSpPr>
          <a:spLocks noChangeShapeType="1"/>
        </xdr:cNvSpPr>
      </xdr:nvSpPr>
      <xdr:spPr bwMode="auto">
        <a:xfrm flipH="1">
          <a:off x="2085975" y="4953000"/>
          <a:ext cx="8572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95250</xdr:colOff>
      <xdr:row>26</xdr:row>
      <xdr:rowOff>190500</xdr:rowOff>
    </xdr:from>
    <xdr:to>
      <xdr:col>5</xdr:col>
      <xdr:colOff>190500</xdr:colOff>
      <xdr:row>27</xdr:row>
      <xdr:rowOff>66675</xdr:rowOff>
    </xdr:to>
    <xdr:sp macro="" textlink="">
      <xdr:nvSpPr>
        <xdr:cNvPr id="25" name="Line 57">
          <a:extLst>
            <a:ext uri="{FF2B5EF4-FFF2-40B4-BE49-F238E27FC236}">
              <a16:creationId xmlns:a16="http://schemas.microsoft.com/office/drawing/2014/main" id="{00000000-0008-0000-0400-000019000000}"/>
            </a:ext>
          </a:extLst>
        </xdr:cNvPr>
        <xdr:cNvSpPr>
          <a:spLocks noChangeShapeType="1"/>
        </xdr:cNvSpPr>
      </xdr:nvSpPr>
      <xdr:spPr bwMode="auto">
        <a:xfrm flipH="1">
          <a:off x="2743200" y="4953000"/>
          <a:ext cx="9525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85725</xdr:colOff>
      <xdr:row>22</xdr:row>
      <xdr:rowOff>0</xdr:rowOff>
    </xdr:from>
    <xdr:to>
      <xdr:col>3</xdr:col>
      <xdr:colOff>171450</xdr:colOff>
      <xdr:row>22</xdr:row>
      <xdr:rowOff>76200</xdr:rowOff>
    </xdr:to>
    <xdr:sp macro="" textlink="">
      <xdr:nvSpPr>
        <xdr:cNvPr id="26" name="Oval 58">
          <a:extLst>
            <a:ext uri="{FF2B5EF4-FFF2-40B4-BE49-F238E27FC236}">
              <a16:creationId xmlns:a16="http://schemas.microsoft.com/office/drawing/2014/main" id="{00000000-0008-0000-0400-00001A000000}"/>
            </a:ext>
          </a:extLst>
        </xdr:cNvPr>
        <xdr:cNvSpPr>
          <a:spLocks noChangeArrowheads="1"/>
        </xdr:cNvSpPr>
      </xdr:nvSpPr>
      <xdr:spPr bwMode="auto">
        <a:xfrm>
          <a:off x="2085975" y="3990975"/>
          <a:ext cx="85725" cy="76200"/>
        </a:xfrm>
        <a:prstGeom prst="ellips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161925</xdr:colOff>
      <xdr:row>20</xdr:row>
      <xdr:rowOff>123825</xdr:rowOff>
    </xdr:from>
    <xdr:to>
      <xdr:col>4</xdr:col>
      <xdr:colOff>57150</xdr:colOff>
      <xdr:row>22</xdr:row>
      <xdr:rowOff>19050</xdr:rowOff>
    </xdr:to>
    <xdr:sp macro="" textlink="">
      <xdr:nvSpPr>
        <xdr:cNvPr id="27" name="Line 59">
          <a:extLst>
            <a:ext uri="{FF2B5EF4-FFF2-40B4-BE49-F238E27FC236}">
              <a16:creationId xmlns:a16="http://schemas.microsoft.com/office/drawing/2014/main" id="{00000000-0008-0000-0400-00001B000000}"/>
            </a:ext>
          </a:extLst>
        </xdr:cNvPr>
        <xdr:cNvSpPr>
          <a:spLocks noChangeShapeType="1"/>
        </xdr:cNvSpPr>
      </xdr:nvSpPr>
      <xdr:spPr bwMode="auto">
        <a:xfrm flipH="1">
          <a:off x="2162175" y="3733800"/>
          <a:ext cx="219075" cy="2762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23</xdr:row>
      <xdr:rowOff>47625</xdr:rowOff>
    </xdr:from>
    <xdr:to>
      <xdr:col>6</xdr:col>
      <xdr:colOff>19050</xdr:colOff>
      <xdr:row>23</xdr:row>
      <xdr:rowOff>47625</xdr:rowOff>
    </xdr:to>
    <xdr:sp macro="" textlink="">
      <xdr:nvSpPr>
        <xdr:cNvPr id="28" name="Line 60">
          <a:extLst>
            <a:ext uri="{FF2B5EF4-FFF2-40B4-BE49-F238E27FC236}">
              <a16:creationId xmlns:a16="http://schemas.microsoft.com/office/drawing/2014/main" id="{00000000-0008-0000-0400-00001C000000}"/>
            </a:ext>
          </a:extLst>
        </xdr:cNvPr>
        <xdr:cNvSpPr>
          <a:spLocks noChangeShapeType="1"/>
        </xdr:cNvSpPr>
      </xdr:nvSpPr>
      <xdr:spPr bwMode="auto">
        <a:xfrm>
          <a:off x="3314700" y="4229100"/>
          <a:ext cx="1047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666750</xdr:colOff>
      <xdr:row>21</xdr:row>
      <xdr:rowOff>95250</xdr:rowOff>
    </xdr:from>
    <xdr:to>
      <xdr:col>6</xdr:col>
      <xdr:colOff>9525</xdr:colOff>
      <xdr:row>21</xdr:row>
      <xdr:rowOff>209550</xdr:rowOff>
    </xdr:to>
    <xdr:sp macro="" textlink="">
      <xdr:nvSpPr>
        <xdr:cNvPr id="29" name="Line 61">
          <a:extLst>
            <a:ext uri="{FF2B5EF4-FFF2-40B4-BE49-F238E27FC236}">
              <a16:creationId xmlns:a16="http://schemas.microsoft.com/office/drawing/2014/main" id="{00000000-0008-0000-0400-00001D000000}"/>
            </a:ext>
          </a:extLst>
        </xdr:cNvPr>
        <xdr:cNvSpPr>
          <a:spLocks noChangeShapeType="1"/>
        </xdr:cNvSpPr>
      </xdr:nvSpPr>
      <xdr:spPr bwMode="auto">
        <a:xfrm flipH="1">
          <a:off x="3314700" y="3895725"/>
          <a:ext cx="95250"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676275</xdr:colOff>
      <xdr:row>23</xdr:row>
      <xdr:rowOff>0</xdr:rowOff>
    </xdr:from>
    <xdr:to>
      <xdr:col>6</xdr:col>
      <xdr:colOff>9525</xdr:colOff>
      <xdr:row>23</xdr:row>
      <xdr:rowOff>95250</xdr:rowOff>
    </xdr:to>
    <xdr:sp macro="" textlink="">
      <xdr:nvSpPr>
        <xdr:cNvPr id="30" name="Line 62">
          <a:extLst>
            <a:ext uri="{FF2B5EF4-FFF2-40B4-BE49-F238E27FC236}">
              <a16:creationId xmlns:a16="http://schemas.microsoft.com/office/drawing/2014/main" id="{00000000-0008-0000-0400-00001E000000}"/>
            </a:ext>
          </a:extLst>
        </xdr:cNvPr>
        <xdr:cNvSpPr>
          <a:spLocks noChangeShapeType="1"/>
        </xdr:cNvSpPr>
      </xdr:nvSpPr>
      <xdr:spPr bwMode="auto">
        <a:xfrm flipH="1">
          <a:off x="3324225" y="4181475"/>
          <a:ext cx="8572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66675</xdr:colOff>
      <xdr:row>19</xdr:row>
      <xdr:rowOff>47625</xdr:rowOff>
    </xdr:from>
    <xdr:to>
      <xdr:col>5</xdr:col>
      <xdr:colOff>66675</xdr:colOff>
      <xdr:row>20</xdr:row>
      <xdr:rowOff>114300</xdr:rowOff>
    </xdr:to>
    <xdr:sp macro="" textlink="">
      <xdr:nvSpPr>
        <xdr:cNvPr id="31" name="Line 241">
          <a:extLst>
            <a:ext uri="{FF2B5EF4-FFF2-40B4-BE49-F238E27FC236}">
              <a16:creationId xmlns:a16="http://schemas.microsoft.com/office/drawing/2014/main" id="{00000000-0008-0000-0400-00001F000000}"/>
            </a:ext>
          </a:extLst>
        </xdr:cNvPr>
        <xdr:cNvSpPr>
          <a:spLocks noChangeShapeType="1"/>
        </xdr:cNvSpPr>
      </xdr:nvSpPr>
      <xdr:spPr bwMode="auto">
        <a:xfrm flipV="1">
          <a:off x="2714625" y="3467100"/>
          <a:ext cx="0" cy="2571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247650</xdr:colOff>
      <xdr:row>16</xdr:row>
      <xdr:rowOff>152400</xdr:rowOff>
    </xdr:from>
    <xdr:to>
      <xdr:col>5</xdr:col>
      <xdr:colOff>247650</xdr:colOff>
      <xdr:row>20</xdr:row>
      <xdr:rowOff>123825</xdr:rowOff>
    </xdr:to>
    <xdr:sp macro="" textlink="">
      <xdr:nvSpPr>
        <xdr:cNvPr id="32" name="Line 242">
          <a:extLst>
            <a:ext uri="{FF2B5EF4-FFF2-40B4-BE49-F238E27FC236}">
              <a16:creationId xmlns:a16="http://schemas.microsoft.com/office/drawing/2014/main" id="{00000000-0008-0000-0400-000020000000}"/>
            </a:ext>
          </a:extLst>
        </xdr:cNvPr>
        <xdr:cNvSpPr>
          <a:spLocks noChangeShapeType="1"/>
        </xdr:cNvSpPr>
      </xdr:nvSpPr>
      <xdr:spPr bwMode="auto">
        <a:xfrm flipV="1">
          <a:off x="2895600" y="3000375"/>
          <a:ext cx="0" cy="7334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57150</xdr:colOff>
      <xdr:row>19</xdr:row>
      <xdr:rowOff>85725</xdr:rowOff>
    </xdr:from>
    <xdr:to>
      <xdr:col>5</xdr:col>
      <xdr:colOff>285750</xdr:colOff>
      <xdr:row>19</xdr:row>
      <xdr:rowOff>85725</xdr:rowOff>
    </xdr:to>
    <xdr:sp macro="" textlink="">
      <xdr:nvSpPr>
        <xdr:cNvPr id="33" name="Line 243">
          <a:extLst>
            <a:ext uri="{FF2B5EF4-FFF2-40B4-BE49-F238E27FC236}">
              <a16:creationId xmlns:a16="http://schemas.microsoft.com/office/drawing/2014/main" id="{00000000-0008-0000-0400-000021000000}"/>
            </a:ext>
          </a:extLst>
        </xdr:cNvPr>
        <xdr:cNvSpPr>
          <a:spLocks noChangeShapeType="1"/>
        </xdr:cNvSpPr>
      </xdr:nvSpPr>
      <xdr:spPr bwMode="auto">
        <a:xfrm>
          <a:off x="2705100" y="3505200"/>
          <a:ext cx="2286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19</xdr:row>
      <xdr:rowOff>47625</xdr:rowOff>
    </xdr:from>
    <xdr:to>
      <xdr:col>5</xdr:col>
      <xdr:colOff>114300</xdr:colOff>
      <xdr:row>19</xdr:row>
      <xdr:rowOff>123825</xdr:rowOff>
    </xdr:to>
    <xdr:sp macro="" textlink="">
      <xdr:nvSpPr>
        <xdr:cNvPr id="34" name="Line 244">
          <a:extLst>
            <a:ext uri="{FF2B5EF4-FFF2-40B4-BE49-F238E27FC236}">
              <a16:creationId xmlns:a16="http://schemas.microsoft.com/office/drawing/2014/main" id="{00000000-0008-0000-0400-000022000000}"/>
            </a:ext>
          </a:extLst>
        </xdr:cNvPr>
        <xdr:cNvSpPr>
          <a:spLocks noChangeShapeType="1"/>
        </xdr:cNvSpPr>
      </xdr:nvSpPr>
      <xdr:spPr bwMode="auto">
        <a:xfrm flipV="1">
          <a:off x="2676525" y="3467100"/>
          <a:ext cx="8572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0</xdr:colOff>
      <xdr:row>19</xdr:row>
      <xdr:rowOff>0</xdr:rowOff>
    </xdr:from>
    <xdr:to>
      <xdr:col>3</xdr:col>
      <xdr:colOff>276225</xdr:colOff>
      <xdr:row>19</xdr:row>
      <xdr:rowOff>0</xdr:rowOff>
    </xdr:to>
    <xdr:sp macro="" textlink="">
      <xdr:nvSpPr>
        <xdr:cNvPr id="35" name="Line 314">
          <a:extLst>
            <a:ext uri="{FF2B5EF4-FFF2-40B4-BE49-F238E27FC236}">
              <a16:creationId xmlns:a16="http://schemas.microsoft.com/office/drawing/2014/main" id="{00000000-0008-0000-0400-000023000000}"/>
            </a:ext>
          </a:extLst>
        </xdr:cNvPr>
        <xdr:cNvSpPr>
          <a:spLocks noChangeShapeType="1"/>
        </xdr:cNvSpPr>
      </xdr:nvSpPr>
      <xdr:spPr bwMode="auto">
        <a:xfrm>
          <a:off x="1419225" y="3419475"/>
          <a:ext cx="8572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18</xdr:row>
      <xdr:rowOff>142875</xdr:rowOff>
    </xdr:from>
    <xdr:to>
      <xdr:col>3</xdr:col>
      <xdr:colOff>133350</xdr:colOff>
      <xdr:row>20</xdr:row>
      <xdr:rowOff>66675</xdr:rowOff>
    </xdr:to>
    <xdr:sp macro="" textlink="">
      <xdr:nvSpPr>
        <xdr:cNvPr id="36" name="Line 315">
          <a:extLst>
            <a:ext uri="{FF2B5EF4-FFF2-40B4-BE49-F238E27FC236}">
              <a16:creationId xmlns:a16="http://schemas.microsoft.com/office/drawing/2014/main" id="{00000000-0008-0000-0400-000024000000}"/>
            </a:ext>
          </a:extLst>
        </xdr:cNvPr>
        <xdr:cNvSpPr>
          <a:spLocks noChangeShapeType="1"/>
        </xdr:cNvSpPr>
      </xdr:nvSpPr>
      <xdr:spPr bwMode="auto">
        <a:xfrm flipV="1">
          <a:off x="2133600" y="3371850"/>
          <a:ext cx="0" cy="3048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276225</xdr:colOff>
      <xdr:row>18</xdr:row>
      <xdr:rowOff>142875</xdr:rowOff>
    </xdr:from>
    <xdr:to>
      <xdr:col>2</xdr:col>
      <xdr:colOff>276225</xdr:colOff>
      <xdr:row>21</xdr:row>
      <xdr:rowOff>76200</xdr:rowOff>
    </xdr:to>
    <xdr:sp macro="" textlink="">
      <xdr:nvSpPr>
        <xdr:cNvPr id="37" name="Line 316">
          <a:extLst>
            <a:ext uri="{FF2B5EF4-FFF2-40B4-BE49-F238E27FC236}">
              <a16:creationId xmlns:a16="http://schemas.microsoft.com/office/drawing/2014/main" id="{00000000-0008-0000-0400-000025000000}"/>
            </a:ext>
          </a:extLst>
        </xdr:cNvPr>
        <xdr:cNvSpPr>
          <a:spLocks noChangeShapeType="1"/>
        </xdr:cNvSpPr>
      </xdr:nvSpPr>
      <xdr:spPr bwMode="auto">
        <a:xfrm flipV="1">
          <a:off x="1695450" y="3371850"/>
          <a:ext cx="0" cy="5048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xdr:colOff>
      <xdr:row>18</xdr:row>
      <xdr:rowOff>114300</xdr:rowOff>
    </xdr:from>
    <xdr:to>
      <xdr:col>3</xdr:col>
      <xdr:colOff>9525</xdr:colOff>
      <xdr:row>19</xdr:row>
      <xdr:rowOff>104775</xdr:rowOff>
    </xdr:to>
    <xdr:sp macro="" textlink="">
      <xdr:nvSpPr>
        <xdr:cNvPr id="38" name="Line 317">
          <a:extLst>
            <a:ext uri="{FF2B5EF4-FFF2-40B4-BE49-F238E27FC236}">
              <a16:creationId xmlns:a16="http://schemas.microsoft.com/office/drawing/2014/main" id="{00000000-0008-0000-0400-000026000000}"/>
            </a:ext>
          </a:extLst>
        </xdr:cNvPr>
        <xdr:cNvSpPr>
          <a:spLocks noChangeShapeType="1"/>
        </xdr:cNvSpPr>
      </xdr:nvSpPr>
      <xdr:spPr bwMode="auto">
        <a:xfrm flipV="1">
          <a:off x="2009775" y="3343275"/>
          <a:ext cx="0" cy="1809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20</xdr:row>
      <xdr:rowOff>9525</xdr:rowOff>
    </xdr:from>
    <xdr:to>
      <xdr:col>2</xdr:col>
      <xdr:colOff>447675</xdr:colOff>
      <xdr:row>24</xdr:row>
      <xdr:rowOff>142875</xdr:rowOff>
    </xdr:to>
    <xdr:sp macro="" textlink="">
      <xdr:nvSpPr>
        <xdr:cNvPr id="39" name="Line 318">
          <a:extLst>
            <a:ext uri="{FF2B5EF4-FFF2-40B4-BE49-F238E27FC236}">
              <a16:creationId xmlns:a16="http://schemas.microsoft.com/office/drawing/2014/main" id="{00000000-0008-0000-0400-000027000000}"/>
            </a:ext>
          </a:extLst>
        </xdr:cNvPr>
        <xdr:cNvSpPr>
          <a:spLocks noChangeShapeType="1"/>
        </xdr:cNvSpPr>
      </xdr:nvSpPr>
      <xdr:spPr bwMode="auto">
        <a:xfrm>
          <a:off x="1866900" y="3619500"/>
          <a:ext cx="0" cy="8953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447675</xdr:colOff>
      <xdr:row>18</xdr:row>
      <xdr:rowOff>104775</xdr:rowOff>
    </xdr:from>
    <xdr:to>
      <xdr:col>2</xdr:col>
      <xdr:colOff>447675</xdr:colOff>
      <xdr:row>19</xdr:row>
      <xdr:rowOff>114300</xdr:rowOff>
    </xdr:to>
    <xdr:sp macro="" textlink="">
      <xdr:nvSpPr>
        <xdr:cNvPr id="40" name="Line 319">
          <a:extLst>
            <a:ext uri="{FF2B5EF4-FFF2-40B4-BE49-F238E27FC236}">
              <a16:creationId xmlns:a16="http://schemas.microsoft.com/office/drawing/2014/main" id="{00000000-0008-0000-0400-000028000000}"/>
            </a:ext>
          </a:extLst>
        </xdr:cNvPr>
        <xdr:cNvSpPr>
          <a:spLocks noChangeShapeType="1"/>
        </xdr:cNvSpPr>
      </xdr:nvSpPr>
      <xdr:spPr bwMode="auto">
        <a:xfrm flipV="1">
          <a:off x="1866900" y="3333750"/>
          <a:ext cx="0" cy="2000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95250</xdr:colOff>
      <xdr:row>18</xdr:row>
      <xdr:rowOff>152400</xdr:rowOff>
    </xdr:from>
    <xdr:to>
      <xdr:col>3</xdr:col>
      <xdr:colOff>171450</xdr:colOff>
      <xdr:row>19</xdr:row>
      <xdr:rowOff>38100</xdr:rowOff>
    </xdr:to>
    <xdr:sp macro="" textlink="">
      <xdr:nvSpPr>
        <xdr:cNvPr id="41" name="Line 320">
          <a:extLst>
            <a:ext uri="{FF2B5EF4-FFF2-40B4-BE49-F238E27FC236}">
              <a16:creationId xmlns:a16="http://schemas.microsoft.com/office/drawing/2014/main" id="{00000000-0008-0000-0400-000029000000}"/>
            </a:ext>
          </a:extLst>
        </xdr:cNvPr>
        <xdr:cNvSpPr>
          <a:spLocks noChangeShapeType="1"/>
        </xdr:cNvSpPr>
      </xdr:nvSpPr>
      <xdr:spPr bwMode="auto">
        <a:xfrm flipH="1">
          <a:off x="2095500" y="3381375"/>
          <a:ext cx="7620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542925</xdr:colOff>
      <xdr:row>18</xdr:row>
      <xdr:rowOff>142875</xdr:rowOff>
    </xdr:from>
    <xdr:to>
      <xdr:col>3</xdr:col>
      <xdr:colOff>47625</xdr:colOff>
      <xdr:row>19</xdr:row>
      <xdr:rowOff>38100</xdr:rowOff>
    </xdr:to>
    <xdr:sp macro="" textlink="">
      <xdr:nvSpPr>
        <xdr:cNvPr id="42" name="Line 321">
          <a:extLst>
            <a:ext uri="{FF2B5EF4-FFF2-40B4-BE49-F238E27FC236}">
              <a16:creationId xmlns:a16="http://schemas.microsoft.com/office/drawing/2014/main" id="{00000000-0008-0000-0400-00002A000000}"/>
            </a:ext>
          </a:extLst>
        </xdr:cNvPr>
        <xdr:cNvSpPr>
          <a:spLocks noChangeShapeType="1"/>
        </xdr:cNvSpPr>
      </xdr:nvSpPr>
      <xdr:spPr bwMode="auto">
        <a:xfrm flipH="1">
          <a:off x="1962150" y="3371850"/>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400050</xdr:colOff>
      <xdr:row>18</xdr:row>
      <xdr:rowOff>152400</xdr:rowOff>
    </xdr:from>
    <xdr:to>
      <xdr:col>2</xdr:col>
      <xdr:colOff>476250</xdr:colOff>
      <xdr:row>19</xdr:row>
      <xdr:rowOff>47625</xdr:rowOff>
    </xdr:to>
    <xdr:sp macro="" textlink="">
      <xdr:nvSpPr>
        <xdr:cNvPr id="43" name="Line 322">
          <a:extLst>
            <a:ext uri="{FF2B5EF4-FFF2-40B4-BE49-F238E27FC236}">
              <a16:creationId xmlns:a16="http://schemas.microsoft.com/office/drawing/2014/main" id="{00000000-0008-0000-0400-00002B000000}"/>
            </a:ext>
          </a:extLst>
        </xdr:cNvPr>
        <xdr:cNvSpPr>
          <a:spLocks noChangeShapeType="1"/>
        </xdr:cNvSpPr>
      </xdr:nvSpPr>
      <xdr:spPr bwMode="auto">
        <a:xfrm flipH="1">
          <a:off x="1819275" y="3381375"/>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466725</xdr:colOff>
      <xdr:row>17</xdr:row>
      <xdr:rowOff>161925</xdr:rowOff>
    </xdr:from>
    <xdr:to>
      <xdr:col>2</xdr:col>
      <xdr:colOff>514350</xdr:colOff>
      <xdr:row>18</xdr:row>
      <xdr:rowOff>161925</xdr:rowOff>
    </xdr:to>
    <xdr:sp macro="" textlink="">
      <xdr:nvSpPr>
        <xdr:cNvPr id="44" name="Line 323">
          <a:extLst>
            <a:ext uri="{FF2B5EF4-FFF2-40B4-BE49-F238E27FC236}">
              <a16:creationId xmlns:a16="http://schemas.microsoft.com/office/drawing/2014/main" id="{00000000-0008-0000-0400-00002C000000}"/>
            </a:ext>
          </a:extLst>
        </xdr:cNvPr>
        <xdr:cNvSpPr>
          <a:spLocks noChangeShapeType="1"/>
        </xdr:cNvSpPr>
      </xdr:nvSpPr>
      <xdr:spPr bwMode="auto">
        <a:xfrm>
          <a:off x="1885950" y="3200400"/>
          <a:ext cx="47625" cy="1905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104775</xdr:colOff>
      <xdr:row>20</xdr:row>
      <xdr:rowOff>9525</xdr:rowOff>
    </xdr:from>
    <xdr:to>
      <xdr:col>2</xdr:col>
      <xdr:colOff>104775</xdr:colOff>
      <xdr:row>20</xdr:row>
      <xdr:rowOff>123825</xdr:rowOff>
    </xdr:to>
    <xdr:sp macro="" textlink="">
      <xdr:nvSpPr>
        <xdr:cNvPr id="45" name="Line 324">
          <a:extLst>
            <a:ext uri="{FF2B5EF4-FFF2-40B4-BE49-F238E27FC236}">
              <a16:creationId xmlns:a16="http://schemas.microsoft.com/office/drawing/2014/main" id="{00000000-0008-0000-0400-00002D000000}"/>
            </a:ext>
          </a:extLst>
        </xdr:cNvPr>
        <xdr:cNvSpPr>
          <a:spLocks noChangeShapeType="1"/>
        </xdr:cNvSpPr>
      </xdr:nvSpPr>
      <xdr:spPr bwMode="auto">
        <a:xfrm flipV="1">
          <a:off x="1524000" y="3619500"/>
          <a:ext cx="0" cy="1143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95250</xdr:colOff>
      <xdr:row>18</xdr:row>
      <xdr:rowOff>123825</xdr:rowOff>
    </xdr:from>
    <xdr:to>
      <xdr:col>2</xdr:col>
      <xdr:colOff>161925</xdr:colOff>
      <xdr:row>19</xdr:row>
      <xdr:rowOff>28575</xdr:rowOff>
    </xdr:to>
    <xdr:sp macro="" textlink="">
      <xdr:nvSpPr>
        <xdr:cNvPr id="46" name="Line 325">
          <a:extLst>
            <a:ext uri="{FF2B5EF4-FFF2-40B4-BE49-F238E27FC236}">
              <a16:creationId xmlns:a16="http://schemas.microsoft.com/office/drawing/2014/main" id="{00000000-0008-0000-0400-00002E000000}"/>
            </a:ext>
          </a:extLst>
        </xdr:cNvPr>
        <xdr:cNvSpPr>
          <a:spLocks noChangeShapeType="1"/>
        </xdr:cNvSpPr>
      </xdr:nvSpPr>
      <xdr:spPr bwMode="auto">
        <a:xfrm flipH="1">
          <a:off x="1514475" y="3352800"/>
          <a:ext cx="66675" cy="952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47625</xdr:colOff>
      <xdr:row>17</xdr:row>
      <xdr:rowOff>0</xdr:rowOff>
    </xdr:from>
    <xdr:to>
      <xdr:col>5</xdr:col>
      <xdr:colOff>304800</xdr:colOff>
      <xdr:row>17</xdr:row>
      <xdr:rowOff>0</xdr:rowOff>
    </xdr:to>
    <xdr:sp macro="" textlink="">
      <xdr:nvSpPr>
        <xdr:cNvPr id="47" name="Line 326">
          <a:extLst>
            <a:ext uri="{FF2B5EF4-FFF2-40B4-BE49-F238E27FC236}">
              <a16:creationId xmlns:a16="http://schemas.microsoft.com/office/drawing/2014/main" id="{00000000-0008-0000-0400-00002F000000}"/>
            </a:ext>
          </a:extLst>
        </xdr:cNvPr>
        <xdr:cNvSpPr>
          <a:spLocks noChangeShapeType="1"/>
        </xdr:cNvSpPr>
      </xdr:nvSpPr>
      <xdr:spPr bwMode="auto">
        <a:xfrm flipH="1">
          <a:off x="1466850" y="3038475"/>
          <a:ext cx="148590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57150</xdr:colOff>
      <xdr:row>16</xdr:row>
      <xdr:rowOff>152400</xdr:rowOff>
    </xdr:from>
    <xdr:to>
      <xdr:col>2</xdr:col>
      <xdr:colOff>142875</xdr:colOff>
      <xdr:row>17</xdr:row>
      <xdr:rowOff>47625</xdr:rowOff>
    </xdr:to>
    <xdr:sp macro="" textlink="">
      <xdr:nvSpPr>
        <xdr:cNvPr id="48" name="Line 327">
          <a:extLst>
            <a:ext uri="{FF2B5EF4-FFF2-40B4-BE49-F238E27FC236}">
              <a16:creationId xmlns:a16="http://schemas.microsoft.com/office/drawing/2014/main" id="{00000000-0008-0000-0400-000030000000}"/>
            </a:ext>
          </a:extLst>
        </xdr:cNvPr>
        <xdr:cNvSpPr>
          <a:spLocks noChangeShapeType="1"/>
        </xdr:cNvSpPr>
      </xdr:nvSpPr>
      <xdr:spPr bwMode="auto">
        <a:xfrm flipH="1">
          <a:off x="1476375" y="3000375"/>
          <a:ext cx="85725"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209550</xdr:colOff>
      <xdr:row>16</xdr:row>
      <xdr:rowOff>142875</xdr:rowOff>
    </xdr:from>
    <xdr:to>
      <xdr:col>5</xdr:col>
      <xdr:colOff>285750</xdr:colOff>
      <xdr:row>17</xdr:row>
      <xdr:rowOff>38100</xdr:rowOff>
    </xdr:to>
    <xdr:sp macro="" textlink="">
      <xdr:nvSpPr>
        <xdr:cNvPr id="49" name="Line 328">
          <a:extLst>
            <a:ext uri="{FF2B5EF4-FFF2-40B4-BE49-F238E27FC236}">
              <a16:creationId xmlns:a16="http://schemas.microsoft.com/office/drawing/2014/main" id="{00000000-0008-0000-0400-000031000000}"/>
            </a:ext>
          </a:extLst>
        </xdr:cNvPr>
        <xdr:cNvSpPr>
          <a:spLocks noChangeShapeType="1"/>
        </xdr:cNvSpPr>
      </xdr:nvSpPr>
      <xdr:spPr bwMode="auto">
        <a:xfrm flipH="1">
          <a:off x="2857500" y="2990850"/>
          <a:ext cx="76200" cy="857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238125</xdr:colOff>
      <xdr:row>18</xdr:row>
      <xdr:rowOff>152400</xdr:rowOff>
    </xdr:from>
    <xdr:to>
      <xdr:col>2</xdr:col>
      <xdr:colOff>304800</xdr:colOff>
      <xdr:row>19</xdr:row>
      <xdr:rowOff>38100</xdr:rowOff>
    </xdr:to>
    <xdr:sp macro="" textlink="">
      <xdr:nvSpPr>
        <xdr:cNvPr id="50" name="Line 329">
          <a:extLst>
            <a:ext uri="{FF2B5EF4-FFF2-40B4-BE49-F238E27FC236}">
              <a16:creationId xmlns:a16="http://schemas.microsoft.com/office/drawing/2014/main" id="{00000000-0008-0000-0400-000032000000}"/>
            </a:ext>
          </a:extLst>
        </xdr:cNvPr>
        <xdr:cNvSpPr>
          <a:spLocks noChangeShapeType="1"/>
        </xdr:cNvSpPr>
      </xdr:nvSpPr>
      <xdr:spPr bwMode="auto">
        <a:xfrm flipH="1">
          <a:off x="1657350" y="3381375"/>
          <a:ext cx="66675"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114300</xdr:colOff>
      <xdr:row>16</xdr:row>
      <xdr:rowOff>123825</xdr:rowOff>
    </xdr:from>
    <xdr:to>
      <xdr:col>2</xdr:col>
      <xdr:colOff>114300</xdr:colOff>
      <xdr:row>19</xdr:row>
      <xdr:rowOff>9525</xdr:rowOff>
    </xdr:to>
    <xdr:sp macro="" textlink="">
      <xdr:nvSpPr>
        <xdr:cNvPr id="51" name="Line 330">
          <a:extLst>
            <a:ext uri="{FF2B5EF4-FFF2-40B4-BE49-F238E27FC236}">
              <a16:creationId xmlns:a16="http://schemas.microsoft.com/office/drawing/2014/main" id="{00000000-0008-0000-0400-000033000000}"/>
            </a:ext>
          </a:extLst>
        </xdr:cNvPr>
        <xdr:cNvSpPr>
          <a:spLocks noChangeShapeType="1"/>
        </xdr:cNvSpPr>
      </xdr:nvSpPr>
      <xdr:spPr bwMode="auto">
        <a:xfrm>
          <a:off x="1533525" y="2971800"/>
          <a:ext cx="0" cy="457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3</xdr:col>
      <xdr:colOff>133350</xdr:colOff>
      <xdr:row>20</xdr:row>
      <xdr:rowOff>142875</xdr:rowOff>
    </xdr:from>
    <xdr:to>
      <xdr:col>5</xdr:col>
      <xdr:colOff>647700</xdr:colOff>
      <xdr:row>22</xdr:row>
      <xdr:rowOff>209550</xdr:rowOff>
    </xdr:to>
    <xdr:sp macro="" textlink="">
      <xdr:nvSpPr>
        <xdr:cNvPr id="52" name="Tegning 332">
          <a:extLst>
            <a:ext uri="{FF2B5EF4-FFF2-40B4-BE49-F238E27FC236}">
              <a16:creationId xmlns:a16="http://schemas.microsoft.com/office/drawing/2014/main" id="{00000000-0008-0000-0400-000034000000}"/>
            </a:ext>
          </a:extLst>
        </xdr:cNvPr>
        <xdr:cNvSpPr>
          <a:spLocks/>
        </xdr:cNvSpPr>
      </xdr:nvSpPr>
      <xdr:spPr bwMode="auto">
        <a:xfrm>
          <a:off x="2133600" y="3752850"/>
          <a:ext cx="1162050"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209550</xdr:colOff>
      <xdr:row>19</xdr:row>
      <xdr:rowOff>66675</xdr:rowOff>
    </xdr:from>
    <xdr:to>
      <xdr:col>5</xdr:col>
      <xdr:colOff>276225</xdr:colOff>
      <xdr:row>19</xdr:row>
      <xdr:rowOff>133350</xdr:rowOff>
    </xdr:to>
    <xdr:sp macro="" textlink="">
      <xdr:nvSpPr>
        <xdr:cNvPr id="53" name="Line 333">
          <a:extLst>
            <a:ext uri="{FF2B5EF4-FFF2-40B4-BE49-F238E27FC236}">
              <a16:creationId xmlns:a16="http://schemas.microsoft.com/office/drawing/2014/main" id="{00000000-0008-0000-0400-000035000000}"/>
            </a:ext>
          </a:extLst>
        </xdr:cNvPr>
        <xdr:cNvSpPr>
          <a:spLocks noChangeShapeType="1"/>
        </xdr:cNvSpPr>
      </xdr:nvSpPr>
      <xdr:spPr bwMode="auto">
        <a:xfrm flipH="1">
          <a:off x="2857500" y="3486150"/>
          <a:ext cx="66675"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2</xdr:col>
      <xdr:colOff>552450</xdr:colOff>
      <xdr:row>30</xdr:row>
      <xdr:rowOff>161925</xdr:rowOff>
    </xdr:from>
    <xdr:to>
      <xdr:col>5</xdr:col>
      <xdr:colOff>609600</xdr:colOff>
      <xdr:row>34</xdr:row>
      <xdr:rowOff>47625</xdr:rowOff>
    </xdr:to>
    <xdr:sp macro="" textlink="">
      <xdr:nvSpPr>
        <xdr:cNvPr id="54" name="Tegning 308">
          <a:extLst>
            <a:ext uri="{FF2B5EF4-FFF2-40B4-BE49-F238E27FC236}">
              <a16:creationId xmlns:a16="http://schemas.microsoft.com/office/drawing/2014/main" id="{00000000-0008-0000-0400-000036000000}"/>
            </a:ext>
          </a:extLst>
        </xdr:cNvPr>
        <xdr:cNvSpPr>
          <a:spLocks/>
        </xdr:cNvSpPr>
      </xdr:nvSpPr>
      <xdr:spPr bwMode="auto">
        <a:xfrm>
          <a:off x="1971675" y="5686425"/>
          <a:ext cx="1285875"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95250</xdr:colOff>
      <xdr:row>31</xdr:row>
      <xdr:rowOff>209550</xdr:rowOff>
    </xdr:from>
    <xdr:to>
      <xdr:col>3</xdr:col>
      <xdr:colOff>0</xdr:colOff>
      <xdr:row>32</xdr:row>
      <xdr:rowOff>142875</xdr:rowOff>
    </xdr:to>
    <xdr:sp macro="" textlink="">
      <xdr:nvSpPr>
        <xdr:cNvPr id="55" name="Tegning 309">
          <a:extLst>
            <a:ext uri="{FF2B5EF4-FFF2-40B4-BE49-F238E27FC236}">
              <a16:creationId xmlns:a16="http://schemas.microsoft.com/office/drawing/2014/main" id="{00000000-0008-0000-0400-000037000000}"/>
            </a:ext>
          </a:extLst>
        </xdr:cNvPr>
        <xdr:cNvSpPr>
          <a:spLocks/>
        </xdr:cNvSpPr>
      </xdr:nvSpPr>
      <xdr:spPr bwMode="auto">
        <a:xfrm>
          <a:off x="1514475" y="5905500"/>
          <a:ext cx="485775" cy="142875"/>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039"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0</xdr:colOff>
      <xdr:row>31</xdr:row>
      <xdr:rowOff>209550</xdr:rowOff>
    </xdr:from>
    <xdr:to>
      <xdr:col>5</xdr:col>
      <xdr:colOff>209550</xdr:colOff>
      <xdr:row>32</xdr:row>
      <xdr:rowOff>142875</xdr:rowOff>
    </xdr:to>
    <xdr:sp macro="" textlink="">
      <xdr:nvSpPr>
        <xdr:cNvPr id="56" name="Tegning 310">
          <a:extLst>
            <a:ext uri="{FF2B5EF4-FFF2-40B4-BE49-F238E27FC236}">
              <a16:creationId xmlns:a16="http://schemas.microsoft.com/office/drawing/2014/main" id="{00000000-0008-0000-0400-000038000000}"/>
            </a:ext>
          </a:extLst>
        </xdr:cNvPr>
        <xdr:cNvSpPr>
          <a:spLocks/>
        </xdr:cNvSpPr>
      </xdr:nvSpPr>
      <xdr:spPr bwMode="auto">
        <a:xfrm>
          <a:off x="2000250" y="5905500"/>
          <a:ext cx="857250" cy="142875"/>
        </a:xfrm>
        <a:custGeom>
          <a:avLst/>
          <a:gdLst>
            <a:gd name="T0" fmla="*/ 0 w 16384"/>
            <a:gd name="T1" fmla="*/ 0 h 16384"/>
            <a:gd name="T2" fmla="*/ 2147483646 w 16384"/>
            <a:gd name="T3" fmla="*/ 0 h 16384"/>
            <a:gd name="T4" fmla="*/ 2147483646 w 16384"/>
            <a:gd name="T5" fmla="*/ 2147483646 h 16384"/>
            <a:gd name="T6" fmla="*/ 0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0" y="0"/>
              </a:moveTo>
              <a:lnTo>
                <a:pt x="16384" y="0"/>
              </a:lnTo>
              <a:lnTo>
                <a:pt x="16384" y="16384"/>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29</xdr:row>
      <xdr:rowOff>171450</xdr:rowOff>
    </xdr:from>
    <xdr:to>
      <xdr:col>3</xdr:col>
      <xdr:colOff>257175</xdr:colOff>
      <xdr:row>31</xdr:row>
      <xdr:rowOff>180975</xdr:rowOff>
    </xdr:to>
    <xdr:sp macro="" textlink="">
      <xdr:nvSpPr>
        <xdr:cNvPr id="57" name="Tegning 311">
          <a:extLst>
            <a:ext uri="{FF2B5EF4-FFF2-40B4-BE49-F238E27FC236}">
              <a16:creationId xmlns:a16="http://schemas.microsoft.com/office/drawing/2014/main" id="{00000000-0008-0000-0400-000039000000}"/>
            </a:ext>
          </a:extLst>
        </xdr:cNvPr>
        <xdr:cNvSpPr>
          <a:spLocks/>
        </xdr:cNvSpPr>
      </xdr:nvSpPr>
      <xdr:spPr bwMode="auto">
        <a:xfrm>
          <a:off x="1962150" y="5505450"/>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32</xdr:row>
      <xdr:rowOff>152400</xdr:rowOff>
    </xdr:from>
    <xdr:to>
      <xdr:col>2</xdr:col>
      <xdr:colOff>381000</xdr:colOff>
      <xdr:row>34</xdr:row>
      <xdr:rowOff>152400</xdr:rowOff>
    </xdr:to>
    <xdr:sp macro="" textlink="">
      <xdr:nvSpPr>
        <xdr:cNvPr id="58" name="Tegning 312">
          <a:extLst>
            <a:ext uri="{FF2B5EF4-FFF2-40B4-BE49-F238E27FC236}">
              <a16:creationId xmlns:a16="http://schemas.microsoft.com/office/drawing/2014/main" id="{00000000-0008-0000-0400-00003A000000}"/>
            </a:ext>
          </a:extLst>
        </xdr:cNvPr>
        <xdr:cNvSpPr>
          <a:spLocks/>
        </xdr:cNvSpPr>
      </xdr:nvSpPr>
      <xdr:spPr bwMode="auto">
        <a:xfrm>
          <a:off x="1581150" y="6057900"/>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32</xdr:row>
      <xdr:rowOff>142875</xdr:rowOff>
    </xdr:from>
    <xdr:to>
      <xdr:col>5</xdr:col>
      <xdr:colOff>209550</xdr:colOff>
      <xdr:row>32</xdr:row>
      <xdr:rowOff>142875</xdr:rowOff>
    </xdr:to>
    <xdr:sp macro="" textlink="">
      <xdr:nvSpPr>
        <xdr:cNvPr id="59" name="Line 114">
          <a:extLst>
            <a:ext uri="{FF2B5EF4-FFF2-40B4-BE49-F238E27FC236}">
              <a16:creationId xmlns:a16="http://schemas.microsoft.com/office/drawing/2014/main" id="{00000000-0008-0000-0400-00003B000000}"/>
            </a:ext>
          </a:extLst>
        </xdr:cNvPr>
        <xdr:cNvSpPr>
          <a:spLocks noChangeShapeType="1"/>
        </xdr:cNvSpPr>
      </xdr:nvSpPr>
      <xdr:spPr bwMode="auto">
        <a:xfrm>
          <a:off x="2695575" y="6048375"/>
          <a:ext cx="161925" cy="0"/>
        </a:xfrm>
        <a:prstGeom prst="line">
          <a:avLst/>
        </a:prstGeom>
        <a:noFill/>
        <a:ln w="1714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4</xdr:col>
      <xdr:colOff>104775</xdr:colOff>
      <xdr:row>32</xdr:row>
      <xdr:rowOff>171450</xdr:rowOff>
    </xdr:from>
    <xdr:to>
      <xdr:col>5</xdr:col>
      <xdr:colOff>47625</xdr:colOff>
      <xdr:row>34</xdr:row>
      <xdr:rowOff>28575</xdr:rowOff>
    </xdr:to>
    <xdr:sp macro="" textlink="">
      <xdr:nvSpPr>
        <xdr:cNvPr id="60" name="Line 115">
          <a:extLst>
            <a:ext uri="{FF2B5EF4-FFF2-40B4-BE49-F238E27FC236}">
              <a16:creationId xmlns:a16="http://schemas.microsoft.com/office/drawing/2014/main" id="{00000000-0008-0000-0400-00003C000000}"/>
            </a:ext>
          </a:extLst>
        </xdr:cNvPr>
        <xdr:cNvSpPr>
          <a:spLocks noChangeShapeType="1"/>
        </xdr:cNvSpPr>
      </xdr:nvSpPr>
      <xdr:spPr bwMode="auto">
        <a:xfrm flipH="1">
          <a:off x="2428875" y="6076950"/>
          <a:ext cx="266700" cy="238125"/>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238125</xdr:colOff>
      <xdr:row>32</xdr:row>
      <xdr:rowOff>171450</xdr:rowOff>
    </xdr:from>
    <xdr:to>
      <xdr:col>5</xdr:col>
      <xdr:colOff>447675</xdr:colOff>
      <xdr:row>34</xdr:row>
      <xdr:rowOff>0</xdr:rowOff>
    </xdr:to>
    <xdr:sp macro="" textlink="">
      <xdr:nvSpPr>
        <xdr:cNvPr id="61" name="Line 116">
          <a:extLst>
            <a:ext uri="{FF2B5EF4-FFF2-40B4-BE49-F238E27FC236}">
              <a16:creationId xmlns:a16="http://schemas.microsoft.com/office/drawing/2014/main" id="{00000000-0008-0000-0400-00003D000000}"/>
            </a:ext>
          </a:extLst>
        </xdr:cNvPr>
        <xdr:cNvSpPr>
          <a:spLocks noChangeShapeType="1"/>
        </xdr:cNvSpPr>
      </xdr:nvSpPr>
      <xdr:spPr bwMode="auto">
        <a:xfrm>
          <a:off x="2886075" y="6076950"/>
          <a:ext cx="209550" cy="209550"/>
        </a:xfrm>
        <a:prstGeom prst="line">
          <a:avLst/>
        </a:prstGeom>
        <a:noFill/>
        <a:ln w="9525">
          <a:solidFill>
            <a:srgbClr xmlns:mc="http://schemas.openxmlformats.org/markup-compatibility/2006" xmlns:a14="http://schemas.microsoft.com/office/drawing/2010/main" val="000000" mc:Ignorable="a14" a14:legacySpreadsheetColorIndex="8"/>
          </a:solidFill>
          <a:prstDash val="dash"/>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9525</xdr:colOff>
      <xdr:row>32</xdr:row>
      <xdr:rowOff>152400</xdr:rowOff>
    </xdr:from>
    <xdr:to>
      <xdr:col>5</xdr:col>
      <xdr:colOff>247650</xdr:colOff>
      <xdr:row>34</xdr:row>
      <xdr:rowOff>104775</xdr:rowOff>
    </xdr:to>
    <xdr:sp macro="" textlink="">
      <xdr:nvSpPr>
        <xdr:cNvPr id="62" name="Tegning 316">
          <a:extLst>
            <a:ext uri="{FF2B5EF4-FFF2-40B4-BE49-F238E27FC236}">
              <a16:creationId xmlns:a16="http://schemas.microsoft.com/office/drawing/2014/main" id="{00000000-0008-0000-0400-00003E000000}"/>
            </a:ext>
          </a:extLst>
        </xdr:cNvPr>
        <xdr:cNvSpPr>
          <a:spLocks/>
        </xdr:cNvSpPr>
      </xdr:nvSpPr>
      <xdr:spPr bwMode="auto">
        <a:xfrm>
          <a:off x="2657475" y="6057900"/>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47625</xdr:colOff>
      <xdr:row>37</xdr:row>
      <xdr:rowOff>47625</xdr:rowOff>
    </xdr:from>
    <xdr:to>
      <xdr:col>5</xdr:col>
      <xdr:colOff>47625</xdr:colOff>
      <xdr:row>38</xdr:row>
      <xdr:rowOff>142875</xdr:rowOff>
    </xdr:to>
    <xdr:sp macro="" textlink="">
      <xdr:nvSpPr>
        <xdr:cNvPr id="63" name="Line 118">
          <a:extLst>
            <a:ext uri="{FF2B5EF4-FFF2-40B4-BE49-F238E27FC236}">
              <a16:creationId xmlns:a16="http://schemas.microsoft.com/office/drawing/2014/main" id="{00000000-0008-0000-0400-00003F000000}"/>
            </a:ext>
          </a:extLst>
        </xdr:cNvPr>
        <xdr:cNvSpPr>
          <a:spLocks noChangeShapeType="1"/>
        </xdr:cNvSpPr>
      </xdr:nvSpPr>
      <xdr:spPr bwMode="auto">
        <a:xfrm flipV="1">
          <a:off x="2695575" y="6905625"/>
          <a:ext cx="0" cy="2857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28575</xdr:colOff>
      <xdr:row>37</xdr:row>
      <xdr:rowOff>85725</xdr:rowOff>
    </xdr:from>
    <xdr:to>
      <xdr:col>5</xdr:col>
      <xdr:colOff>276225</xdr:colOff>
      <xdr:row>37</xdr:row>
      <xdr:rowOff>85725</xdr:rowOff>
    </xdr:to>
    <xdr:sp macro="" textlink="">
      <xdr:nvSpPr>
        <xdr:cNvPr id="64" name="Line 119">
          <a:extLst>
            <a:ext uri="{FF2B5EF4-FFF2-40B4-BE49-F238E27FC236}">
              <a16:creationId xmlns:a16="http://schemas.microsoft.com/office/drawing/2014/main" id="{00000000-0008-0000-0400-000040000000}"/>
            </a:ext>
          </a:extLst>
        </xdr:cNvPr>
        <xdr:cNvSpPr>
          <a:spLocks noChangeShapeType="1"/>
        </xdr:cNvSpPr>
      </xdr:nvSpPr>
      <xdr:spPr bwMode="auto">
        <a:xfrm>
          <a:off x="2676525" y="6943725"/>
          <a:ext cx="247650"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0</xdr:colOff>
      <xdr:row>37</xdr:row>
      <xdr:rowOff>47625</xdr:rowOff>
    </xdr:from>
    <xdr:to>
      <xdr:col>5</xdr:col>
      <xdr:colOff>95250</xdr:colOff>
      <xdr:row>37</xdr:row>
      <xdr:rowOff>123825</xdr:rowOff>
    </xdr:to>
    <xdr:sp macro="" textlink="">
      <xdr:nvSpPr>
        <xdr:cNvPr id="65" name="Line 120">
          <a:extLst>
            <a:ext uri="{FF2B5EF4-FFF2-40B4-BE49-F238E27FC236}">
              <a16:creationId xmlns:a16="http://schemas.microsoft.com/office/drawing/2014/main" id="{00000000-0008-0000-0400-000041000000}"/>
            </a:ext>
          </a:extLst>
        </xdr:cNvPr>
        <xdr:cNvSpPr>
          <a:spLocks noChangeShapeType="1"/>
        </xdr:cNvSpPr>
      </xdr:nvSpPr>
      <xdr:spPr bwMode="auto">
        <a:xfrm flipV="1">
          <a:off x="2647950" y="6905625"/>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180975</xdr:colOff>
      <xdr:row>37</xdr:row>
      <xdr:rowOff>57150</xdr:rowOff>
    </xdr:from>
    <xdr:to>
      <xdr:col>5</xdr:col>
      <xdr:colOff>257175</xdr:colOff>
      <xdr:row>37</xdr:row>
      <xdr:rowOff>123825</xdr:rowOff>
    </xdr:to>
    <xdr:sp macro="" textlink="">
      <xdr:nvSpPr>
        <xdr:cNvPr id="66" name="Line 121">
          <a:extLst>
            <a:ext uri="{FF2B5EF4-FFF2-40B4-BE49-F238E27FC236}">
              <a16:creationId xmlns:a16="http://schemas.microsoft.com/office/drawing/2014/main" id="{00000000-0008-0000-0400-000042000000}"/>
            </a:ext>
          </a:extLst>
        </xdr:cNvPr>
        <xdr:cNvSpPr>
          <a:spLocks noChangeShapeType="1"/>
        </xdr:cNvSpPr>
      </xdr:nvSpPr>
      <xdr:spPr bwMode="auto">
        <a:xfrm flipH="1">
          <a:off x="2828925" y="6915150"/>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47625</xdr:colOff>
      <xdr:row>38</xdr:row>
      <xdr:rowOff>180975</xdr:rowOff>
    </xdr:from>
    <xdr:to>
      <xdr:col>5</xdr:col>
      <xdr:colOff>228600</xdr:colOff>
      <xdr:row>40</xdr:row>
      <xdr:rowOff>0</xdr:rowOff>
    </xdr:to>
    <xdr:sp macro="" textlink="">
      <xdr:nvSpPr>
        <xdr:cNvPr id="67" name="Rectangle 122">
          <a:extLst>
            <a:ext uri="{FF2B5EF4-FFF2-40B4-BE49-F238E27FC236}">
              <a16:creationId xmlns:a16="http://schemas.microsoft.com/office/drawing/2014/main" id="{00000000-0008-0000-0400-000043000000}"/>
            </a:ext>
          </a:extLst>
        </xdr:cNvPr>
        <xdr:cNvSpPr>
          <a:spLocks noChangeArrowheads="1"/>
        </xdr:cNvSpPr>
      </xdr:nvSpPr>
      <xdr:spPr bwMode="auto">
        <a:xfrm>
          <a:off x="2695575" y="7229475"/>
          <a:ext cx="180975" cy="200025"/>
        </a:xfrm>
        <a:prstGeom prst="rect">
          <a:avLst/>
        </a:prstGeom>
        <a:solidFill>
          <a:srgbClr xmlns:mc="http://schemas.openxmlformats.org/markup-compatibility/2006" xmlns:a14="http://schemas.microsoft.com/office/drawing/2010/main" val="FFFFFF" mc:Ignorable="a14" a14:legacySpreadsheetColorIndex="65">
            <a:alpha val="0"/>
          </a:srgbClr>
        </a:solidFill>
        <a:ln w="222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152400</xdr:colOff>
      <xdr:row>38</xdr:row>
      <xdr:rowOff>114300</xdr:rowOff>
    </xdr:from>
    <xdr:to>
      <xdr:col>4</xdr:col>
      <xdr:colOff>152400</xdr:colOff>
      <xdr:row>40</xdr:row>
      <xdr:rowOff>38100</xdr:rowOff>
    </xdr:to>
    <xdr:sp macro="" textlink="">
      <xdr:nvSpPr>
        <xdr:cNvPr id="68" name="Line 123">
          <a:extLst>
            <a:ext uri="{FF2B5EF4-FFF2-40B4-BE49-F238E27FC236}">
              <a16:creationId xmlns:a16="http://schemas.microsoft.com/office/drawing/2014/main" id="{00000000-0008-0000-0400-000044000000}"/>
            </a:ext>
          </a:extLst>
        </xdr:cNvPr>
        <xdr:cNvSpPr>
          <a:spLocks noChangeShapeType="1"/>
        </xdr:cNvSpPr>
      </xdr:nvSpPr>
      <xdr:spPr bwMode="auto">
        <a:xfrm>
          <a:off x="2476500" y="71628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438150</xdr:colOff>
      <xdr:row>38</xdr:row>
      <xdr:rowOff>133350</xdr:rowOff>
    </xdr:from>
    <xdr:to>
      <xdr:col>5</xdr:col>
      <xdr:colOff>438150</xdr:colOff>
      <xdr:row>40</xdr:row>
      <xdr:rowOff>85725</xdr:rowOff>
    </xdr:to>
    <xdr:sp macro="" textlink="">
      <xdr:nvSpPr>
        <xdr:cNvPr id="69" name="Line 124">
          <a:extLst>
            <a:ext uri="{FF2B5EF4-FFF2-40B4-BE49-F238E27FC236}">
              <a16:creationId xmlns:a16="http://schemas.microsoft.com/office/drawing/2014/main" id="{00000000-0008-0000-0400-000045000000}"/>
            </a:ext>
          </a:extLst>
        </xdr:cNvPr>
        <xdr:cNvSpPr>
          <a:spLocks noChangeShapeType="1"/>
        </xdr:cNvSpPr>
      </xdr:nvSpPr>
      <xdr:spPr bwMode="auto">
        <a:xfrm>
          <a:off x="3086100" y="7181850"/>
          <a:ext cx="0" cy="3333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152400</xdr:colOff>
      <xdr:row>37</xdr:row>
      <xdr:rowOff>180975</xdr:rowOff>
    </xdr:from>
    <xdr:to>
      <xdr:col>5</xdr:col>
      <xdr:colOff>0</xdr:colOff>
      <xdr:row>38</xdr:row>
      <xdr:rowOff>123825</xdr:rowOff>
    </xdr:to>
    <xdr:sp macro="" textlink="">
      <xdr:nvSpPr>
        <xdr:cNvPr id="70" name="Arc 125">
          <a:extLst>
            <a:ext uri="{FF2B5EF4-FFF2-40B4-BE49-F238E27FC236}">
              <a16:creationId xmlns:a16="http://schemas.microsoft.com/office/drawing/2014/main" id="{00000000-0008-0000-0400-000046000000}"/>
            </a:ext>
          </a:extLst>
        </xdr:cNvPr>
        <xdr:cNvSpPr>
          <a:spLocks/>
        </xdr:cNvSpPr>
      </xdr:nvSpPr>
      <xdr:spPr bwMode="auto">
        <a:xfrm flipH="1">
          <a:off x="2476500" y="7038975"/>
          <a:ext cx="171450" cy="133350"/>
        </a:xfrm>
        <a:custGeom>
          <a:avLst/>
          <a:gdLst>
            <a:gd name="T0" fmla="*/ 0 w 21600"/>
            <a:gd name="T1" fmla="*/ 0 h 21600"/>
            <a:gd name="T2" fmla="*/ 2147483646 w 21600"/>
            <a:gd name="T3" fmla="*/ 1195884918 h 21600"/>
            <a:gd name="T4" fmla="*/ 0 w 21600"/>
            <a:gd name="T5" fmla="*/ 1195884918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266700</xdr:colOff>
      <xdr:row>37</xdr:row>
      <xdr:rowOff>180975</xdr:rowOff>
    </xdr:from>
    <xdr:to>
      <xdr:col>5</xdr:col>
      <xdr:colOff>438150</xdr:colOff>
      <xdr:row>39</xdr:row>
      <xdr:rowOff>19050</xdr:rowOff>
    </xdr:to>
    <xdr:sp macro="" textlink="">
      <xdr:nvSpPr>
        <xdr:cNvPr id="71" name="Arc 126">
          <a:extLst>
            <a:ext uri="{FF2B5EF4-FFF2-40B4-BE49-F238E27FC236}">
              <a16:creationId xmlns:a16="http://schemas.microsoft.com/office/drawing/2014/main" id="{00000000-0008-0000-0400-000047000000}"/>
            </a:ext>
          </a:extLst>
        </xdr:cNvPr>
        <xdr:cNvSpPr>
          <a:spLocks/>
        </xdr:cNvSpPr>
      </xdr:nvSpPr>
      <xdr:spPr bwMode="auto">
        <a:xfrm>
          <a:off x="2914650" y="7038975"/>
          <a:ext cx="171450" cy="219075"/>
        </a:xfrm>
        <a:custGeom>
          <a:avLst/>
          <a:gdLst>
            <a:gd name="T0" fmla="*/ 0 w 19492"/>
            <a:gd name="T1" fmla="*/ 0 h 21600"/>
            <a:gd name="T2" fmla="*/ 2147483646 w 19492"/>
            <a:gd name="T3" fmla="*/ 2147483646 h 21600"/>
            <a:gd name="T4" fmla="*/ 0 w 19492"/>
            <a:gd name="T5" fmla="*/ 2147483646 h 21600"/>
            <a:gd name="T6" fmla="*/ 0 60000 65536"/>
            <a:gd name="T7" fmla="*/ 0 60000 65536"/>
            <a:gd name="T8" fmla="*/ 0 60000 65536"/>
          </a:gdLst>
          <a:ahLst/>
          <a:cxnLst>
            <a:cxn ang="T6">
              <a:pos x="T0" y="T1"/>
            </a:cxn>
            <a:cxn ang="T7">
              <a:pos x="T2" y="T3"/>
            </a:cxn>
            <a:cxn ang="T8">
              <a:pos x="T4" y="T5"/>
            </a:cxn>
          </a:cxnLst>
          <a:rect l="0" t="0" r="r" b="b"/>
          <a:pathLst>
            <a:path w="19492" h="21600" fill="none" extrusionOk="0">
              <a:moveTo>
                <a:pt x="-1" y="0"/>
              </a:moveTo>
              <a:cubicBezTo>
                <a:pt x="8323" y="0"/>
                <a:pt x="15906" y="4782"/>
                <a:pt x="19492" y="12293"/>
              </a:cubicBezTo>
            </a:path>
            <a:path w="19492" h="21600" stroke="0" extrusionOk="0">
              <a:moveTo>
                <a:pt x="-1" y="0"/>
              </a:moveTo>
              <a:cubicBezTo>
                <a:pt x="8323" y="0"/>
                <a:pt x="15906" y="4782"/>
                <a:pt x="19492" y="12293"/>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37</xdr:row>
      <xdr:rowOff>180975</xdr:rowOff>
    </xdr:from>
    <xdr:to>
      <xdr:col>5</xdr:col>
      <xdr:colOff>266700</xdr:colOff>
      <xdr:row>37</xdr:row>
      <xdr:rowOff>180975</xdr:rowOff>
    </xdr:to>
    <xdr:sp macro="" textlink="">
      <xdr:nvSpPr>
        <xdr:cNvPr id="72" name="Line 127">
          <a:extLst>
            <a:ext uri="{FF2B5EF4-FFF2-40B4-BE49-F238E27FC236}">
              <a16:creationId xmlns:a16="http://schemas.microsoft.com/office/drawing/2014/main" id="{00000000-0008-0000-0400-000048000000}"/>
            </a:ext>
          </a:extLst>
        </xdr:cNvPr>
        <xdr:cNvSpPr>
          <a:spLocks noChangeShapeType="1"/>
        </xdr:cNvSpPr>
      </xdr:nvSpPr>
      <xdr:spPr bwMode="auto">
        <a:xfrm>
          <a:off x="2638425" y="70389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4</xdr:col>
      <xdr:colOff>295275</xdr:colOff>
      <xdr:row>41</xdr:row>
      <xdr:rowOff>9525</xdr:rowOff>
    </xdr:from>
    <xdr:to>
      <xdr:col>5</xdr:col>
      <xdr:colOff>266700</xdr:colOff>
      <xdr:row>41</xdr:row>
      <xdr:rowOff>9525</xdr:rowOff>
    </xdr:to>
    <xdr:sp macro="" textlink="">
      <xdr:nvSpPr>
        <xdr:cNvPr id="73" name="Line 128">
          <a:extLst>
            <a:ext uri="{FF2B5EF4-FFF2-40B4-BE49-F238E27FC236}">
              <a16:creationId xmlns:a16="http://schemas.microsoft.com/office/drawing/2014/main" id="{00000000-0008-0000-0400-000049000000}"/>
            </a:ext>
          </a:extLst>
        </xdr:cNvPr>
        <xdr:cNvSpPr>
          <a:spLocks noChangeShapeType="1"/>
        </xdr:cNvSpPr>
      </xdr:nvSpPr>
      <xdr:spPr bwMode="auto">
        <a:xfrm>
          <a:off x="2619375" y="76295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40</xdr:row>
      <xdr:rowOff>76200</xdr:rowOff>
    </xdr:from>
    <xdr:to>
      <xdr:col>5</xdr:col>
      <xdr:colOff>438150</xdr:colOff>
      <xdr:row>41</xdr:row>
      <xdr:rowOff>9525</xdr:rowOff>
    </xdr:to>
    <xdr:sp macro="" textlink="">
      <xdr:nvSpPr>
        <xdr:cNvPr id="74" name="Arc 129">
          <a:extLst>
            <a:ext uri="{FF2B5EF4-FFF2-40B4-BE49-F238E27FC236}">
              <a16:creationId xmlns:a16="http://schemas.microsoft.com/office/drawing/2014/main" id="{00000000-0008-0000-0400-00004A000000}"/>
            </a:ext>
          </a:extLst>
        </xdr:cNvPr>
        <xdr:cNvSpPr>
          <a:spLocks/>
        </xdr:cNvSpPr>
      </xdr:nvSpPr>
      <xdr:spPr bwMode="auto">
        <a:xfrm flipV="1">
          <a:off x="2914650" y="7505700"/>
          <a:ext cx="171450" cy="123825"/>
        </a:xfrm>
        <a:custGeom>
          <a:avLst/>
          <a:gdLst>
            <a:gd name="T0" fmla="*/ 0 w 21600"/>
            <a:gd name="T1" fmla="*/ 0 h 21600"/>
            <a:gd name="T2" fmla="*/ 2147483646 w 21600"/>
            <a:gd name="T3" fmla="*/ 766621900 h 21600"/>
            <a:gd name="T4" fmla="*/ 0 w 21600"/>
            <a:gd name="T5" fmla="*/ 76662190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152400</xdr:colOff>
      <xdr:row>40</xdr:row>
      <xdr:rowOff>57150</xdr:rowOff>
    </xdr:from>
    <xdr:to>
      <xdr:col>4</xdr:col>
      <xdr:colOff>314325</xdr:colOff>
      <xdr:row>41</xdr:row>
      <xdr:rowOff>9525</xdr:rowOff>
    </xdr:to>
    <xdr:sp macro="" textlink="">
      <xdr:nvSpPr>
        <xdr:cNvPr id="75" name="Arc 130">
          <a:extLst>
            <a:ext uri="{FF2B5EF4-FFF2-40B4-BE49-F238E27FC236}">
              <a16:creationId xmlns:a16="http://schemas.microsoft.com/office/drawing/2014/main" id="{00000000-0008-0000-0400-00004B000000}"/>
            </a:ext>
          </a:extLst>
        </xdr:cNvPr>
        <xdr:cNvSpPr>
          <a:spLocks/>
        </xdr:cNvSpPr>
      </xdr:nvSpPr>
      <xdr:spPr bwMode="auto">
        <a:xfrm flipH="1" flipV="1">
          <a:off x="2476500" y="7486650"/>
          <a:ext cx="161925" cy="142875"/>
        </a:xfrm>
        <a:custGeom>
          <a:avLst/>
          <a:gdLst>
            <a:gd name="T0" fmla="*/ 0 w 21600"/>
            <a:gd name="T1" fmla="*/ 0 h 21600"/>
            <a:gd name="T2" fmla="*/ 2147483646 w 21600"/>
            <a:gd name="T3" fmla="*/ 1809126456 h 21600"/>
            <a:gd name="T4" fmla="*/ 0 w 21600"/>
            <a:gd name="T5" fmla="*/ 1809126456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228600</xdr:colOff>
      <xdr:row>37</xdr:row>
      <xdr:rowOff>38100</xdr:rowOff>
    </xdr:from>
    <xdr:to>
      <xdr:col>5</xdr:col>
      <xdr:colOff>228600</xdr:colOff>
      <xdr:row>38</xdr:row>
      <xdr:rowOff>152400</xdr:rowOff>
    </xdr:to>
    <xdr:sp macro="" textlink="">
      <xdr:nvSpPr>
        <xdr:cNvPr id="76" name="Line 131">
          <a:extLst>
            <a:ext uri="{FF2B5EF4-FFF2-40B4-BE49-F238E27FC236}">
              <a16:creationId xmlns:a16="http://schemas.microsoft.com/office/drawing/2014/main" id="{00000000-0008-0000-0400-00004C000000}"/>
            </a:ext>
          </a:extLst>
        </xdr:cNvPr>
        <xdr:cNvSpPr>
          <a:spLocks noChangeShapeType="1"/>
        </xdr:cNvSpPr>
      </xdr:nvSpPr>
      <xdr:spPr bwMode="auto">
        <a:xfrm flipV="1">
          <a:off x="2876550" y="689610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266700</xdr:colOff>
      <xdr:row>38</xdr:row>
      <xdr:rowOff>180975</xdr:rowOff>
    </xdr:from>
    <xdr:to>
      <xdr:col>5</xdr:col>
      <xdr:colOff>542925</xdr:colOff>
      <xdr:row>38</xdr:row>
      <xdr:rowOff>180975</xdr:rowOff>
    </xdr:to>
    <xdr:sp macro="" textlink="">
      <xdr:nvSpPr>
        <xdr:cNvPr id="77" name="Line 132">
          <a:extLst>
            <a:ext uri="{FF2B5EF4-FFF2-40B4-BE49-F238E27FC236}">
              <a16:creationId xmlns:a16="http://schemas.microsoft.com/office/drawing/2014/main" id="{00000000-0008-0000-0400-00004D000000}"/>
            </a:ext>
          </a:extLst>
        </xdr:cNvPr>
        <xdr:cNvSpPr>
          <a:spLocks noChangeShapeType="1"/>
        </xdr:cNvSpPr>
      </xdr:nvSpPr>
      <xdr:spPr bwMode="auto">
        <a:xfrm>
          <a:off x="2914650" y="7229475"/>
          <a:ext cx="2762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276225</xdr:colOff>
      <xdr:row>40</xdr:row>
      <xdr:rowOff>0</xdr:rowOff>
    </xdr:from>
    <xdr:to>
      <xdr:col>5</xdr:col>
      <xdr:colOff>523875</xdr:colOff>
      <xdr:row>40</xdr:row>
      <xdr:rowOff>0</xdr:rowOff>
    </xdr:to>
    <xdr:sp macro="" textlink="">
      <xdr:nvSpPr>
        <xdr:cNvPr id="78" name="Line 133">
          <a:extLst>
            <a:ext uri="{FF2B5EF4-FFF2-40B4-BE49-F238E27FC236}">
              <a16:creationId xmlns:a16="http://schemas.microsoft.com/office/drawing/2014/main" id="{00000000-0008-0000-0400-00004E000000}"/>
            </a:ext>
          </a:extLst>
        </xdr:cNvPr>
        <xdr:cNvSpPr>
          <a:spLocks noChangeShapeType="1"/>
        </xdr:cNvSpPr>
      </xdr:nvSpPr>
      <xdr:spPr bwMode="auto">
        <a:xfrm>
          <a:off x="2924175" y="7429500"/>
          <a:ext cx="247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504825</xdr:colOff>
      <xdr:row>38</xdr:row>
      <xdr:rowOff>152400</xdr:rowOff>
    </xdr:from>
    <xdr:to>
      <xdr:col>5</xdr:col>
      <xdr:colOff>504825</xdr:colOff>
      <xdr:row>40</xdr:row>
      <xdr:rowOff>38100</xdr:rowOff>
    </xdr:to>
    <xdr:sp macro="" textlink="">
      <xdr:nvSpPr>
        <xdr:cNvPr id="79" name="Line 134">
          <a:extLst>
            <a:ext uri="{FF2B5EF4-FFF2-40B4-BE49-F238E27FC236}">
              <a16:creationId xmlns:a16="http://schemas.microsoft.com/office/drawing/2014/main" id="{00000000-0008-0000-0400-00004F000000}"/>
            </a:ext>
          </a:extLst>
        </xdr:cNvPr>
        <xdr:cNvSpPr>
          <a:spLocks noChangeShapeType="1"/>
        </xdr:cNvSpPr>
      </xdr:nvSpPr>
      <xdr:spPr bwMode="auto">
        <a:xfrm>
          <a:off x="3152775" y="72009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38</xdr:row>
      <xdr:rowOff>152400</xdr:rowOff>
    </xdr:from>
    <xdr:to>
      <xdr:col>5</xdr:col>
      <xdr:colOff>542925</xdr:colOff>
      <xdr:row>39</xdr:row>
      <xdr:rowOff>9525</xdr:rowOff>
    </xdr:to>
    <xdr:sp macro="" textlink="">
      <xdr:nvSpPr>
        <xdr:cNvPr id="80" name="Line 135">
          <a:extLst>
            <a:ext uri="{FF2B5EF4-FFF2-40B4-BE49-F238E27FC236}">
              <a16:creationId xmlns:a16="http://schemas.microsoft.com/office/drawing/2014/main" id="{00000000-0008-0000-0400-000050000000}"/>
            </a:ext>
          </a:extLst>
        </xdr:cNvPr>
        <xdr:cNvSpPr>
          <a:spLocks noChangeShapeType="1"/>
        </xdr:cNvSpPr>
      </xdr:nvSpPr>
      <xdr:spPr bwMode="auto">
        <a:xfrm flipH="1">
          <a:off x="3114675" y="7200900"/>
          <a:ext cx="7620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466725</xdr:colOff>
      <xdr:row>39</xdr:row>
      <xdr:rowOff>152400</xdr:rowOff>
    </xdr:from>
    <xdr:to>
      <xdr:col>5</xdr:col>
      <xdr:colOff>542925</xdr:colOff>
      <xdr:row>40</xdr:row>
      <xdr:rowOff>38100</xdr:rowOff>
    </xdr:to>
    <xdr:sp macro="" textlink="">
      <xdr:nvSpPr>
        <xdr:cNvPr id="81" name="Line 136">
          <a:extLst>
            <a:ext uri="{FF2B5EF4-FFF2-40B4-BE49-F238E27FC236}">
              <a16:creationId xmlns:a16="http://schemas.microsoft.com/office/drawing/2014/main" id="{00000000-0008-0000-0400-000051000000}"/>
            </a:ext>
          </a:extLst>
        </xdr:cNvPr>
        <xdr:cNvSpPr>
          <a:spLocks noChangeShapeType="1"/>
        </xdr:cNvSpPr>
      </xdr:nvSpPr>
      <xdr:spPr bwMode="auto">
        <a:xfrm flipH="1">
          <a:off x="3114675" y="73914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142875</xdr:colOff>
      <xdr:row>39</xdr:row>
      <xdr:rowOff>180975</xdr:rowOff>
    </xdr:from>
    <xdr:to>
      <xdr:col>5</xdr:col>
      <xdr:colOff>47625</xdr:colOff>
      <xdr:row>40</xdr:row>
      <xdr:rowOff>85725</xdr:rowOff>
    </xdr:to>
    <xdr:sp macro="" textlink="">
      <xdr:nvSpPr>
        <xdr:cNvPr id="82" name="Line 137">
          <a:extLst>
            <a:ext uri="{FF2B5EF4-FFF2-40B4-BE49-F238E27FC236}">
              <a16:creationId xmlns:a16="http://schemas.microsoft.com/office/drawing/2014/main" id="{00000000-0008-0000-0400-000052000000}"/>
            </a:ext>
          </a:extLst>
        </xdr:cNvPr>
        <xdr:cNvSpPr>
          <a:spLocks noChangeShapeType="1"/>
        </xdr:cNvSpPr>
      </xdr:nvSpPr>
      <xdr:spPr bwMode="auto">
        <a:xfrm flipH="1">
          <a:off x="2466975" y="7419975"/>
          <a:ext cx="22860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40</xdr:row>
      <xdr:rowOff>57150</xdr:rowOff>
    </xdr:from>
    <xdr:to>
      <xdr:col>4</xdr:col>
      <xdr:colOff>200025</xdr:colOff>
      <xdr:row>40</xdr:row>
      <xdr:rowOff>104775</xdr:rowOff>
    </xdr:to>
    <xdr:sp macro="" textlink="">
      <xdr:nvSpPr>
        <xdr:cNvPr id="83" name="Line 138">
          <a:extLst>
            <a:ext uri="{FF2B5EF4-FFF2-40B4-BE49-F238E27FC236}">
              <a16:creationId xmlns:a16="http://schemas.microsoft.com/office/drawing/2014/main" id="{00000000-0008-0000-0400-000053000000}"/>
            </a:ext>
          </a:extLst>
        </xdr:cNvPr>
        <xdr:cNvSpPr>
          <a:spLocks noChangeShapeType="1"/>
        </xdr:cNvSpPr>
      </xdr:nvSpPr>
      <xdr:spPr bwMode="auto">
        <a:xfrm flipH="1" flipV="1">
          <a:off x="2438400" y="7486650"/>
          <a:ext cx="85725"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9525</xdr:colOff>
      <xdr:row>39</xdr:row>
      <xdr:rowOff>152400</xdr:rowOff>
    </xdr:from>
    <xdr:to>
      <xdr:col>5</xdr:col>
      <xdr:colOff>85725</xdr:colOff>
      <xdr:row>40</xdr:row>
      <xdr:rowOff>28575</xdr:rowOff>
    </xdr:to>
    <xdr:sp macro="" textlink="">
      <xdr:nvSpPr>
        <xdr:cNvPr id="84" name="Line 139">
          <a:extLst>
            <a:ext uri="{FF2B5EF4-FFF2-40B4-BE49-F238E27FC236}">
              <a16:creationId xmlns:a16="http://schemas.microsoft.com/office/drawing/2014/main" id="{00000000-0008-0000-0400-000054000000}"/>
            </a:ext>
          </a:extLst>
        </xdr:cNvPr>
        <xdr:cNvSpPr>
          <a:spLocks noChangeShapeType="1"/>
        </xdr:cNvSpPr>
      </xdr:nvSpPr>
      <xdr:spPr bwMode="auto">
        <a:xfrm flipH="1" flipV="1">
          <a:off x="2657475" y="7391400"/>
          <a:ext cx="76200"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66675</xdr:colOff>
      <xdr:row>33</xdr:row>
      <xdr:rowOff>180975</xdr:rowOff>
    </xdr:from>
    <xdr:to>
      <xdr:col>5</xdr:col>
      <xdr:colOff>619125</xdr:colOff>
      <xdr:row>33</xdr:row>
      <xdr:rowOff>180975</xdr:rowOff>
    </xdr:to>
    <xdr:sp macro="" textlink="">
      <xdr:nvSpPr>
        <xdr:cNvPr id="85" name="Line 140">
          <a:extLst>
            <a:ext uri="{FF2B5EF4-FFF2-40B4-BE49-F238E27FC236}">
              <a16:creationId xmlns:a16="http://schemas.microsoft.com/office/drawing/2014/main" id="{00000000-0008-0000-0400-000055000000}"/>
            </a:ext>
          </a:extLst>
        </xdr:cNvPr>
        <xdr:cNvSpPr>
          <a:spLocks noChangeShapeType="1"/>
        </xdr:cNvSpPr>
      </xdr:nvSpPr>
      <xdr:spPr bwMode="auto">
        <a:xfrm>
          <a:off x="2066925" y="6276975"/>
          <a:ext cx="120015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295275</xdr:colOff>
      <xdr:row>32</xdr:row>
      <xdr:rowOff>142875</xdr:rowOff>
    </xdr:from>
    <xdr:to>
      <xdr:col>6</xdr:col>
      <xdr:colOff>114300</xdr:colOff>
      <xdr:row>32</xdr:row>
      <xdr:rowOff>142875</xdr:rowOff>
    </xdr:to>
    <xdr:sp macro="" textlink="">
      <xdr:nvSpPr>
        <xdr:cNvPr id="86" name="Line 141">
          <a:extLst>
            <a:ext uri="{FF2B5EF4-FFF2-40B4-BE49-F238E27FC236}">
              <a16:creationId xmlns:a16="http://schemas.microsoft.com/office/drawing/2014/main" id="{00000000-0008-0000-0400-000056000000}"/>
            </a:ext>
          </a:extLst>
        </xdr:cNvPr>
        <xdr:cNvSpPr>
          <a:spLocks noChangeShapeType="1"/>
        </xdr:cNvSpPr>
      </xdr:nvSpPr>
      <xdr:spPr bwMode="auto">
        <a:xfrm>
          <a:off x="2943225" y="6048375"/>
          <a:ext cx="5715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676275</xdr:colOff>
      <xdr:row>33</xdr:row>
      <xdr:rowOff>171450</xdr:rowOff>
    </xdr:from>
    <xdr:to>
      <xdr:col>6</xdr:col>
      <xdr:colOff>133350</xdr:colOff>
      <xdr:row>33</xdr:row>
      <xdr:rowOff>171450</xdr:rowOff>
    </xdr:to>
    <xdr:sp macro="" textlink="">
      <xdr:nvSpPr>
        <xdr:cNvPr id="87" name="Line 142">
          <a:extLst>
            <a:ext uri="{FF2B5EF4-FFF2-40B4-BE49-F238E27FC236}">
              <a16:creationId xmlns:a16="http://schemas.microsoft.com/office/drawing/2014/main" id="{00000000-0008-0000-0400-000057000000}"/>
            </a:ext>
          </a:extLst>
        </xdr:cNvPr>
        <xdr:cNvSpPr>
          <a:spLocks noChangeShapeType="1"/>
        </xdr:cNvSpPr>
      </xdr:nvSpPr>
      <xdr:spPr bwMode="auto">
        <a:xfrm>
          <a:off x="3324225" y="6267450"/>
          <a:ext cx="2095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85725</xdr:colOff>
      <xdr:row>32</xdr:row>
      <xdr:rowOff>104775</xdr:rowOff>
    </xdr:from>
    <xdr:to>
      <xdr:col>6</xdr:col>
      <xdr:colOff>85725</xdr:colOff>
      <xdr:row>34</xdr:row>
      <xdr:rowOff>28575</xdr:rowOff>
    </xdr:to>
    <xdr:sp macro="" textlink="">
      <xdr:nvSpPr>
        <xdr:cNvPr id="88" name="Line 143">
          <a:extLst>
            <a:ext uri="{FF2B5EF4-FFF2-40B4-BE49-F238E27FC236}">
              <a16:creationId xmlns:a16="http://schemas.microsoft.com/office/drawing/2014/main" id="{00000000-0008-0000-0400-000058000000}"/>
            </a:ext>
          </a:extLst>
        </xdr:cNvPr>
        <xdr:cNvSpPr>
          <a:spLocks noChangeShapeType="1"/>
        </xdr:cNvSpPr>
      </xdr:nvSpPr>
      <xdr:spPr bwMode="auto">
        <a:xfrm>
          <a:off x="3486150" y="6010275"/>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32</xdr:row>
      <xdr:rowOff>104775</xdr:rowOff>
    </xdr:from>
    <xdr:to>
      <xdr:col>6</xdr:col>
      <xdr:colOff>123825</xdr:colOff>
      <xdr:row>32</xdr:row>
      <xdr:rowOff>180975</xdr:rowOff>
    </xdr:to>
    <xdr:sp macro="" textlink="">
      <xdr:nvSpPr>
        <xdr:cNvPr id="89" name="Line 144">
          <a:extLst>
            <a:ext uri="{FF2B5EF4-FFF2-40B4-BE49-F238E27FC236}">
              <a16:creationId xmlns:a16="http://schemas.microsoft.com/office/drawing/2014/main" id="{00000000-0008-0000-0400-000059000000}"/>
            </a:ext>
          </a:extLst>
        </xdr:cNvPr>
        <xdr:cNvSpPr>
          <a:spLocks noChangeShapeType="1"/>
        </xdr:cNvSpPr>
      </xdr:nvSpPr>
      <xdr:spPr bwMode="auto">
        <a:xfrm flipH="1">
          <a:off x="3448050" y="60102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47625</xdr:colOff>
      <xdr:row>33</xdr:row>
      <xdr:rowOff>142875</xdr:rowOff>
    </xdr:from>
    <xdr:to>
      <xdr:col>6</xdr:col>
      <xdr:colOff>114300</xdr:colOff>
      <xdr:row>34</xdr:row>
      <xdr:rowOff>19050</xdr:rowOff>
    </xdr:to>
    <xdr:sp macro="" textlink="">
      <xdr:nvSpPr>
        <xdr:cNvPr id="90" name="Line 145">
          <a:extLst>
            <a:ext uri="{FF2B5EF4-FFF2-40B4-BE49-F238E27FC236}">
              <a16:creationId xmlns:a16="http://schemas.microsoft.com/office/drawing/2014/main" id="{00000000-0008-0000-0400-00005A000000}"/>
            </a:ext>
          </a:extLst>
        </xdr:cNvPr>
        <xdr:cNvSpPr>
          <a:spLocks noChangeShapeType="1"/>
        </xdr:cNvSpPr>
      </xdr:nvSpPr>
      <xdr:spPr bwMode="auto">
        <a:xfrm flipH="1">
          <a:off x="3448050" y="6238875"/>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30</xdr:row>
      <xdr:rowOff>161925</xdr:rowOff>
    </xdr:from>
    <xdr:to>
      <xdr:col>0</xdr:col>
      <xdr:colOff>1057275</xdr:colOff>
      <xdr:row>34</xdr:row>
      <xdr:rowOff>47625</xdr:rowOff>
    </xdr:to>
    <xdr:sp macro="" textlink="">
      <xdr:nvSpPr>
        <xdr:cNvPr id="91" name="Freeform 146">
          <a:extLst>
            <a:ext uri="{FF2B5EF4-FFF2-40B4-BE49-F238E27FC236}">
              <a16:creationId xmlns:a16="http://schemas.microsoft.com/office/drawing/2014/main" id="{00000000-0008-0000-0400-00005B000000}"/>
            </a:ext>
          </a:extLst>
        </xdr:cNvPr>
        <xdr:cNvSpPr>
          <a:spLocks/>
        </xdr:cNvSpPr>
      </xdr:nvSpPr>
      <xdr:spPr bwMode="auto">
        <a:xfrm>
          <a:off x="266700" y="5686425"/>
          <a:ext cx="790575" cy="647700"/>
        </a:xfrm>
        <a:custGeom>
          <a:avLst/>
          <a:gdLst>
            <a:gd name="T0" fmla="*/ 0 w 83"/>
            <a:gd name="T1" fmla="*/ 0 h 68"/>
            <a:gd name="T2" fmla="*/ 2147483646 w 83"/>
            <a:gd name="T3" fmla="*/ 0 h 68"/>
            <a:gd name="T4" fmla="*/ 2147483646 w 83"/>
            <a:gd name="T5" fmla="*/ 2147483646 h 68"/>
            <a:gd name="T6" fmla="*/ 2147483646 w 83"/>
            <a:gd name="T7" fmla="*/ 2147483646 h 68"/>
            <a:gd name="T8" fmla="*/ 2147483646 w 83"/>
            <a:gd name="T9" fmla="*/ 2147483646 h 68"/>
            <a:gd name="T10" fmla="*/ 0 w 83"/>
            <a:gd name="T11" fmla="*/ 2147483646 h 6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3" h="68">
              <a:moveTo>
                <a:pt x="0" y="0"/>
              </a:moveTo>
              <a:lnTo>
                <a:pt x="50" y="0"/>
              </a:lnTo>
              <a:lnTo>
                <a:pt x="50" y="34"/>
              </a:lnTo>
              <a:lnTo>
                <a:pt x="83" y="34"/>
              </a:lnTo>
              <a:lnTo>
                <a:pt x="83" y="68"/>
              </a:lnTo>
              <a:lnTo>
                <a:pt x="0" y="68"/>
              </a:lnTo>
            </a:path>
          </a:pathLst>
        </a:cu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428625</xdr:colOff>
      <xdr:row>31</xdr:row>
      <xdr:rowOff>171450</xdr:rowOff>
    </xdr:from>
    <xdr:to>
      <xdr:col>0</xdr:col>
      <xdr:colOff>590550</xdr:colOff>
      <xdr:row>32</xdr:row>
      <xdr:rowOff>133350</xdr:rowOff>
    </xdr:to>
    <xdr:sp macro="" textlink="">
      <xdr:nvSpPr>
        <xdr:cNvPr id="92" name="Oval 147">
          <a:extLst>
            <a:ext uri="{FF2B5EF4-FFF2-40B4-BE49-F238E27FC236}">
              <a16:creationId xmlns:a16="http://schemas.microsoft.com/office/drawing/2014/main" id="{00000000-0008-0000-0400-00005C000000}"/>
            </a:ext>
          </a:extLst>
        </xdr:cNvPr>
        <xdr:cNvSpPr>
          <a:spLocks noChangeArrowheads="1"/>
        </xdr:cNvSpPr>
      </xdr:nvSpPr>
      <xdr:spPr bwMode="auto">
        <a:xfrm>
          <a:off x="428625" y="5886450"/>
          <a:ext cx="161925" cy="152400"/>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0</xdr:col>
      <xdr:colOff>504825</xdr:colOff>
      <xdr:row>33</xdr:row>
      <xdr:rowOff>38100</xdr:rowOff>
    </xdr:from>
    <xdr:to>
      <xdr:col>0</xdr:col>
      <xdr:colOff>504825</xdr:colOff>
      <xdr:row>37</xdr:row>
      <xdr:rowOff>28575</xdr:rowOff>
    </xdr:to>
    <xdr:sp macro="" textlink="">
      <xdr:nvSpPr>
        <xdr:cNvPr id="93" name="Line 148">
          <a:extLst>
            <a:ext uri="{FF2B5EF4-FFF2-40B4-BE49-F238E27FC236}">
              <a16:creationId xmlns:a16="http://schemas.microsoft.com/office/drawing/2014/main" id="{00000000-0008-0000-0400-00005D000000}"/>
            </a:ext>
          </a:extLst>
        </xdr:cNvPr>
        <xdr:cNvSpPr>
          <a:spLocks noChangeShapeType="1"/>
        </xdr:cNvSpPr>
      </xdr:nvSpPr>
      <xdr:spPr bwMode="auto">
        <a:xfrm>
          <a:off x="504825" y="6134100"/>
          <a:ext cx="0" cy="7524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1057275</xdr:colOff>
      <xdr:row>34</xdr:row>
      <xdr:rowOff>114300</xdr:rowOff>
    </xdr:from>
    <xdr:to>
      <xdr:col>0</xdr:col>
      <xdr:colOff>1057275</xdr:colOff>
      <xdr:row>37</xdr:row>
      <xdr:rowOff>19050</xdr:rowOff>
    </xdr:to>
    <xdr:sp macro="" textlink="">
      <xdr:nvSpPr>
        <xdr:cNvPr id="94" name="Line 149">
          <a:extLst>
            <a:ext uri="{FF2B5EF4-FFF2-40B4-BE49-F238E27FC236}">
              <a16:creationId xmlns:a16="http://schemas.microsoft.com/office/drawing/2014/main" id="{00000000-0008-0000-0400-00005E000000}"/>
            </a:ext>
          </a:extLst>
        </xdr:cNvPr>
        <xdr:cNvSpPr>
          <a:spLocks noChangeShapeType="1"/>
        </xdr:cNvSpPr>
      </xdr:nvSpPr>
      <xdr:spPr bwMode="auto">
        <a:xfrm>
          <a:off x="1057275" y="6400800"/>
          <a:ext cx="0" cy="476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495300</xdr:colOff>
      <xdr:row>36</xdr:row>
      <xdr:rowOff>180975</xdr:rowOff>
    </xdr:from>
    <xdr:to>
      <xdr:col>0</xdr:col>
      <xdr:colOff>1095375</xdr:colOff>
      <xdr:row>36</xdr:row>
      <xdr:rowOff>180975</xdr:rowOff>
    </xdr:to>
    <xdr:sp macro="" textlink="">
      <xdr:nvSpPr>
        <xdr:cNvPr id="95" name="Line 150">
          <a:extLst>
            <a:ext uri="{FF2B5EF4-FFF2-40B4-BE49-F238E27FC236}">
              <a16:creationId xmlns:a16="http://schemas.microsoft.com/office/drawing/2014/main" id="{00000000-0008-0000-0400-00005F000000}"/>
            </a:ext>
          </a:extLst>
        </xdr:cNvPr>
        <xdr:cNvSpPr>
          <a:spLocks noChangeShapeType="1"/>
        </xdr:cNvSpPr>
      </xdr:nvSpPr>
      <xdr:spPr bwMode="auto">
        <a:xfrm>
          <a:off x="495300" y="6848475"/>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419100</xdr:colOff>
      <xdr:row>32</xdr:row>
      <xdr:rowOff>133350</xdr:rowOff>
    </xdr:from>
    <xdr:to>
      <xdr:col>0</xdr:col>
      <xdr:colOff>600075</xdr:colOff>
      <xdr:row>32</xdr:row>
      <xdr:rowOff>133350</xdr:rowOff>
    </xdr:to>
    <xdr:sp macro="" textlink="">
      <xdr:nvSpPr>
        <xdr:cNvPr id="96" name="Line 151">
          <a:extLst>
            <a:ext uri="{FF2B5EF4-FFF2-40B4-BE49-F238E27FC236}">
              <a16:creationId xmlns:a16="http://schemas.microsoft.com/office/drawing/2014/main" id="{00000000-0008-0000-0400-000060000000}"/>
            </a:ext>
          </a:extLst>
        </xdr:cNvPr>
        <xdr:cNvSpPr>
          <a:spLocks noChangeShapeType="1"/>
        </xdr:cNvSpPr>
      </xdr:nvSpPr>
      <xdr:spPr bwMode="auto">
        <a:xfrm>
          <a:off x="419100" y="6038850"/>
          <a:ext cx="180975" cy="0"/>
        </a:xfrm>
        <a:prstGeom prst="line">
          <a:avLst/>
        </a:prstGeom>
        <a:noFill/>
        <a:ln w="1714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600075</xdr:colOff>
      <xdr:row>32</xdr:row>
      <xdr:rowOff>152400</xdr:rowOff>
    </xdr:from>
    <xdr:to>
      <xdr:col>0</xdr:col>
      <xdr:colOff>981075</xdr:colOff>
      <xdr:row>34</xdr:row>
      <xdr:rowOff>57150</xdr:rowOff>
    </xdr:to>
    <xdr:sp macro="" textlink="">
      <xdr:nvSpPr>
        <xdr:cNvPr id="97" name="Line 152">
          <a:extLst>
            <a:ext uri="{FF2B5EF4-FFF2-40B4-BE49-F238E27FC236}">
              <a16:creationId xmlns:a16="http://schemas.microsoft.com/office/drawing/2014/main" id="{00000000-0008-0000-0400-000061000000}"/>
            </a:ext>
          </a:extLst>
        </xdr:cNvPr>
        <xdr:cNvSpPr>
          <a:spLocks noChangeShapeType="1"/>
        </xdr:cNvSpPr>
      </xdr:nvSpPr>
      <xdr:spPr bwMode="auto">
        <a:xfrm>
          <a:off x="600075" y="6057900"/>
          <a:ext cx="381000" cy="28575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981075</xdr:colOff>
      <xdr:row>34</xdr:row>
      <xdr:rowOff>95250</xdr:rowOff>
    </xdr:from>
    <xdr:to>
      <xdr:col>0</xdr:col>
      <xdr:colOff>981075</xdr:colOff>
      <xdr:row>36</xdr:row>
      <xdr:rowOff>19050</xdr:rowOff>
    </xdr:to>
    <xdr:sp macro="" textlink="">
      <xdr:nvSpPr>
        <xdr:cNvPr id="98" name="Line 153">
          <a:extLst>
            <a:ext uri="{FF2B5EF4-FFF2-40B4-BE49-F238E27FC236}">
              <a16:creationId xmlns:a16="http://schemas.microsoft.com/office/drawing/2014/main" id="{00000000-0008-0000-0400-000062000000}"/>
            </a:ext>
          </a:extLst>
        </xdr:cNvPr>
        <xdr:cNvSpPr>
          <a:spLocks noChangeShapeType="1"/>
        </xdr:cNvSpPr>
      </xdr:nvSpPr>
      <xdr:spPr bwMode="auto">
        <a:xfrm>
          <a:off x="981075" y="63817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36</xdr:row>
      <xdr:rowOff>0</xdr:rowOff>
    </xdr:from>
    <xdr:to>
      <xdr:col>0</xdr:col>
      <xdr:colOff>1019175</xdr:colOff>
      <xdr:row>36</xdr:row>
      <xdr:rowOff>0</xdr:rowOff>
    </xdr:to>
    <xdr:sp macro="" textlink="">
      <xdr:nvSpPr>
        <xdr:cNvPr id="99" name="Line 154">
          <a:extLst>
            <a:ext uri="{FF2B5EF4-FFF2-40B4-BE49-F238E27FC236}">
              <a16:creationId xmlns:a16="http://schemas.microsoft.com/office/drawing/2014/main" id="{00000000-0008-0000-0400-000063000000}"/>
            </a:ext>
          </a:extLst>
        </xdr:cNvPr>
        <xdr:cNvSpPr>
          <a:spLocks noChangeShapeType="1"/>
        </xdr:cNvSpPr>
      </xdr:nvSpPr>
      <xdr:spPr bwMode="auto">
        <a:xfrm>
          <a:off x="466725" y="666750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257175</xdr:colOff>
      <xdr:row>32</xdr:row>
      <xdr:rowOff>161925</xdr:rowOff>
    </xdr:from>
    <xdr:to>
      <xdr:col>0</xdr:col>
      <xdr:colOff>409575</xdr:colOff>
      <xdr:row>33</xdr:row>
      <xdr:rowOff>114300</xdr:rowOff>
    </xdr:to>
    <xdr:sp macro="" textlink="">
      <xdr:nvSpPr>
        <xdr:cNvPr id="100" name="Line 155">
          <a:extLst>
            <a:ext uri="{FF2B5EF4-FFF2-40B4-BE49-F238E27FC236}">
              <a16:creationId xmlns:a16="http://schemas.microsoft.com/office/drawing/2014/main" id="{00000000-0008-0000-0400-000064000000}"/>
            </a:ext>
          </a:extLst>
        </xdr:cNvPr>
        <xdr:cNvSpPr>
          <a:spLocks noChangeShapeType="1"/>
        </xdr:cNvSpPr>
      </xdr:nvSpPr>
      <xdr:spPr bwMode="auto">
        <a:xfrm flipH="1">
          <a:off x="257175" y="6067425"/>
          <a:ext cx="152400" cy="142875"/>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0</xdr:col>
      <xdr:colOff>466725</xdr:colOff>
      <xdr:row>35</xdr:row>
      <xdr:rowOff>142875</xdr:rowOff>
    </xdr:from>
    <xdr:to>
      <xdr:col>0</xdr:col>
      <xdr:colOff>542925</xdr:colOff>
      <xdr:row>36</xdr:row>
      <xdr:rowOff>28575</xdr:rowOff>
    </xdr:to>
    <xdr:sp macro="" textlink="">
      <xdr:nvSpPr>
        <xdr:cNvPr id="101" name="Line 156">
          <a:extLst>
            <a:ext uri="{FF2B5EF4-FFF2-40B4-BE49-F238E27FC236}">
              <a16:creationId xmlns:a16="http://schemas.microsoft.com/office/drawing/2014/main" id="{00000000-0008-0000-0400-000065000000}"/>
            </a:ext>
          </a:extLst>
        </xdr:cNvPr>
        <xdr:cNvSpPr>
          <a:spLocks noChangeShapeType="1"/>
        </xdr:cNvSpPr>
      </xdr:nvSpPr>
      <xdr:spPr bwMode="auto">
        <a:xfrm flipH="1">
          <a:off x="466725" y="66198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952500</xdr:colOff>
      <xdr:row>35</xdr:row>
      <xdr:rowOff>152400</xdr:rowOff>
    </xdr:from>
    <xdr:to>
      <xdr:col>0</xdr:col>
      <xdr:colOff>1019175</xdr:colOff>
      <xdr:row>36</xdr:row>
      <xdr:rowOff>28575</xdr:rowOff>
    </xdr:to>
    <xdr:sp macro="" textlink="">
      <xdr:nvSpPr>
        <xdr:cNvPr id="102" name="Line 157">
          <a:extLst>
            <a:ext uri="{FF2B5EF4-FFF2-40B4-BE49-F238E27FC236}">
              <a16:creationId xmlns:a16="http://schemas.microsoft.com/office/drawing/2014/main" id="{00000000-0008-0000-0400-000066000000}"/>
            </a:ext>
          </a:extLst>
        </xdr:cNvPr>
        <xdr:cNvSpPr>
          <a:spLocks noChangeShapeType="1"/>
        </xdr:cNvSpPr>
      </xdr:nvSpPr>
      <xdr:spPr bwMode="auto">
        <a:xfrm flipH="1">
          <a:off x="952500" y="66294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457200</xdr:colOff>
      <xdr:row>36</xdr:row>
      <xdr:rowOff>133350</xdr:rowOff>
    </xdr:from>
    <xdr:to>
      <xdr:col>0</xdr:col>
      <xdr:colOff>552450</xdr:colOff>
      <xdr:row>37</xdr:row>
      <xdr:rowOff>28575</xdr:rowOff>
    </xdr:to>
    <xdr:sp macro="" textlink="">
      <xdr:nvSpPr>
        <xdr:cNvPr id="103" name="Line 158">
          <a:extLst>
            <a:ext uri="{FF2B5EF4-FFF2-40B4-BE49-F238E27FC236}">
              <a16:creationId xmlns:a16="http://schemas.microsoft.com/office/drawing/2014/main" id="{00000000-0008-0000-0400-000067000000}"/>
            </a:ext>
          </a:extLst>
        </xdr:cNvPr>
        <xdr:cNvSpPr>
          <a:spLocks noChangeShapeType="1"/>
        </xdr:cNvSpPr>
      </xdr:nvSpPr>
      <xdr:spPr bwMode="auto">
        <a:xfrm flipH="1">
          <a:off x="457200" y="6800850"/>
          <a:ext cx="95250"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1019175</xdr:colOff>
      <xdr:row>36</xdr:row>
      <xdr:rowOff>142875</xdr:rowOff>
    </xdr:from>
    <xdr:to>
      <xdr:col>0</xdr:col>
      <xdr:colOff>1095375</xdr:colOff>
      <xdr:row>37</xdr:row>
      <xdr:rowOff>28575</xdr:rowOff>
    </xdr:to>
    <xdr:sp macro="" textlink="">
      <xdr:nvSpPr>
        <xdr:cNvPr id="104" name="Line 159">
          <a:extLst>
            <a:ext uri="{FF2B5EF4-FFF2-40B4-BE49-F238E27FC236}">
              <a16:creationId xmlns:a16="http://schemas.microsoft.com/office/drawing/2014/main" id="{00000000-0008-0000-0400-000068000000}"/>
            </a:ext>
          </a:extLst>
        </xdr:cNvPr>
        <xdr:cNvSpPr>
          <a:spLocks noChangeShapeType="1"/>
        </xdr:cNvSpPr>
      </xdr:nvSpPr>
      <xdr:spPr bwMode="auto">
        <a:xfrm flipH="1">
          <a:off x="1019175" y="6810375"/>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33</xdr:row>
      <xdr:rowOff>142875</xdr:rowOff>
    </xdr:from>
    <xdr:to>
      <xdr:col>4</xdr:col>
      <xdr:colOff>28575</xdr:colOff>
      <xdr:row>33</xdr:row>
      <xdr:rowOff>171450</xdr:rowOff>
    </xdr:to>
    <xdr:sp macro="" textlink="">
      <xdr:nvSpPr>
        <xdr:cNvPr id="105" name="Oval 160">
          <a:extLst>
            <a:ext uri="{FF2B5EF4-FFF2-40B4-BE49-F238E27FC236}">
              <a16:creationId xmlns:a16="http://schemas.microsoft.com/office/drawing/2014/main" id="{00000000-0008-0000-0400-000069000000}"/>
            </a:ext>
          </a:extLst>
        </xdr:cNvPr>
        <xdr:cNvSpPr>
          <a:spLocks noChangeArrowheads="1"/>
        </xdr:cNvSpPr>
      </xdr:nvSpPr>
      <xdr:spPr bwMode="auto">
        <a:xfrm flipV="1">
          <a:off x="232410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571500</xdr:colOff>
      <xdr:row>33</xdr:row>
      <xdr:rowOff>142875</xdr:rowOff>
    </xdr:from>
    <xdr:to>
      <xdr:col>5</xdr:col>
      <xdr:colOff>600075</xdr:colOff>
      <xdr:row>33</xdr:row>
      <xdr:rowOff>171450</xdr:rowOff>
    </xdr:to>
    <xdr:sp macro="" textlink="">
      <xdr:nvSpPr>
        <xdr:cNvPr id="106" name="Oval 161">
          <a:extLst>
            <a:ext uri="{FF2B5EF4-FFF2-40B4-BE49-F238E27FC236}">
              <a16:creationId xmlns:a16="http://schemas.microsoft.com/office/drawing/2014/main" id="{00000000-0008-0000-0400-00006A000000}"/>
            </a:ext>
          </a:extLst>
        </xdr:cNvPr>
        <xdr:cNvSpPr>
          <a:spLocks noChangeArrowheads="1"/>
        </xdr:cNvSpPr>
      </xdr:nvSpPr>
      <xdr:spPr bwMode="auto">
        <a:xfrm flipV="1">
          <a:off x="321945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4</xdr:col>
      <xdr:colOff>304800</xdr:colOff>
      <xdr:row>33</xdr:row>
      <xdr:rowOff>142875</xdr:rowOff>
    </xdr:from>
    <xdr:to>
      <xdr:col>5</xdr:col>
      <xdr:colOff>9525</xdr:colOff>
      <xdr:row>33</xdr:row>
      <xdr:rowOff>171450</xdr:rowOff>
    </xdr:to>
    <xdr:sp macro="" textlink="">
      <xdr:nvSpPr>
        <xdr:cNvPr id="107" name="Oval 162">
          <a:extLst>
            <a:ext uri="{FF2B5EF4-FFF2-40B4-BE49-F238E27FC236}">
              <a16:creationId xmlns:a16="http://schemas.microsoft.com/office/drawing/2014/main" id="{00000000-0008-0000-0400-00006B000000}"/>
            </a:ext>
          </a:extLst>
        </xdr:cNvPr>
        <xdr:cNvSpPr>
          <a:spLocks noChangeArrowheads="1"/>
        </xdr:cNvSpPr>
      </xdr:nvSpPr>
      <xdr:spPr bwMode="auto">
        <a:xfrm flipV="1">
          <a:off x="262890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5</xdr:col>
      <xdr:colOff>266700</xdr:colOff>
      <xdr:row>33</xdr:row>
      <xdr:rowOff>142875</xdr:rowOff>
    </xdr:from>
    <xdr:to>
      <xdr:col>5</xdr:col>
      <xdr:colOff>295275</xdr:colOff>
      <xdr:row>33</xdr:row>
      <xdr:rowOff>171450</xdr:rowOff>
    </xdr:to>
    <xdr:sp macro="" textlink="">
      <xdr:nvSpPr>
        <xdr:cNvPr id="108" name="Oval 163">
          <a:extLst>
            <a:ext uri="{FF2B5EF4-FFF2-40B4-BE49-F238E27FC236}">
              <a16:creationId xmlns:a16="http://schemas.microsoft.com/office/drawing/2014/main" id="{00000000-0008-0000-0400-00006C000000}"/>
            </a:ext>
          </a:extLst>
        </xdr:cNvPr>
        <xdr:cNvSpPr>
          <a:spLocks noChangeArrowheads="1"/>
        </xdr:cNvSpPr>
      </xdr:nvSpPr>
      <xdr:spPr bwMode="auto">
        <a:xfrm flipV="1">
          <a:off x="2914650" y="6238875"/>
          <a:ext cx="28575" cy="28575"/>
        </a:xfrm>
        <a:prstGeom prst="ellipse">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3</xdr:col>
      <xdr:colOff>161925</xdr:colOff>
      <xdr:row>38</xdr:row>
      <xdr:rowOff>38100</xdr:rowOff>
    </xdr:from>
    <xdr:to>
      <xdr:col>5</xdr:col>
      <xdr:colOff>685800</xdr:colOff>
      <xdr:row>38</xdr:row>
      <xdr:rowOff>38100</xdr:rowOff>
    </xdr:to>
    <xdr:sp macro="" textlink="">
      <xdr:nvSpPr>
        <xdr:cNvPr id="109" name="Line 164">
          <a:extLst>
            <a:ext uri="{FF2B5EF4-FFF2-40B4-BE49-F238E27FC236}">
              <a16:creationId xmlns:a16="http://schemas.microsoft.com/office/drawing/2014/main" id="{00000000-0008-0000-0400-00006D000000}"/>
            </a:ext>
          </a:extLst>
        </xdr:cNvPr>
        <xdr:cNvSpPr>
          <a:spLocks noChangeShapeType="1"/>
        </xdr:cNvSpPr>
      </xdr:nvSpPr>
      <xdr:spPr bwMode="auto">
        <a:xfrm>
          <a:off x="2162175" y="7086600"/>
          <a:ext cx="1171575"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Dot"/>
          <a:round/>
          <a:headEnd/>
          <a:tailEnd/>
        </a:ln>
        <a:extLst>
          <a:ext uri="{909E8E84-426E-40DD-AFC4-6F175D3DCCD1}">
            <a14:hiddenFill xmlns:a14="http://schemas.microsoft.com/office/drawing/2010/main">
              <a:noFill/>
            </a14:hiddenFill>
          </a:ext>
        </a:extLst>
      </xdr:spPr>
    </xdr:sp>
    <xdr:clientData/>
  </xdr:twoCellAnchor>
  <xdr:twoCellAnchor>
    <xdr:from>
      <xdr:col>2</xdr:col>
      <xdr:colOff>552450</xdr:colOff>
      <xdr:row>43</xdr:row>
      <xdr:rowOff>161925</xdr:rowOff>
    </xdr:from>
    <xdr:to>
      <xdr:col>6</xdr:col>
      <xdr:colOff>114300</xdr:colOff>
      <xdr:row>47</xdr:row>
      <xdr:rowOff>47625</xdr:rowOff>
    </xdr:to>
    <xdr:sp macro="" textlink="">
      <xdr:nvSpPr>
        <xdr:cNvPr id="110" name="Tegning 308">
          <a:extLst>
            <a:ext uri="{FF2B5EF4-FFF2-40B4-BE49-F238E27FC236}">
              <a16:creationId xmlns:a16="http://schemas.microsoft.com/office/drawing/2014/main" id="{00000000-0008-0000-0400-00006E000000}"/>
            </a:ext>
          </a:extLst>
        </xdr:cNvPr>
        <xdr:cNvSpPr>
          <a:spLocks/>
        </xdr:cNvSpPr>
      </xdr:nvSpPr>
      <xdr:spPr bwMode="auto">
        <a:xfrm>
          <a:off x="1971675" y="8162925"/>
          <a:ext cx="1543050" cy="647700"/>
        </a:xfrm>
        <a:custGeom>
          <a:avLst/>
          <a:gdLst>
            <a:gd name="T0" fmla="*/ 2147483646 w 16384"/>
            <a:gd name="T1" fmla="*/ 0 h 16384"/>
            <a:gd name="T2" fmla="*/ 0 w 16384"/>
            <a:gd name="T3" fmla="*/ 0 h 16384"/>
            <a:gd name="T4" fmla="*/ 0 w 16384"/>
            <a:gd name="T5" fmla="*/ 2147483646 h 16384"/>
            <a:gd name="T6" fmla="*/ 2147483646 w 16384"/>
            <a:gd name="T7" fmla="*/ 2147483646 h 1638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6384" h="16384">
              <a:moveTo>
                <a:pt x="16183" y="0"/>
              </a:moveTo>
              <a:lnTo>
                <a:pt x="0" y="0"/>
              </a:lnTo>
              <a:lnTo>
                <a:pt x="0" y="16384"/>
              </a:lnTo>
              <a:lnTo>
                <a:pt x="16384" y="16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533400</xdr:colOff>
      <xdr:row>47</xdr:row>
      <xdr:rowOff>19050</xdr:rowOff>
    </xdr:from>
    <xdr:to>
      <xdr:col>3</xdr:col>
      <xdr:colOff>247650</xdr:colOff>
      <xdr:row>49</xdr:row>
      <xdr:rowOff>28575</xdr:rowOff>
    </xdr:to>
    <xdr:sp macro="" textlink="">
      <xdr:nvSpPr>
        <xdr:cNvPr id="111" name="Tegning 311">
          <a:extLst>
            <a:ext uri="{FF2B5EF4-FFF2-40B4-BE49-F238E27FC236}">
              <a16:creationId xmlns:a16="http://schemas.microsoft.com/office/drawing/2014/main" id="{00000000-0008-0000-0400-00006F000000}"/>
            </a:ext>
          </a:extLst>
        </xdr:cNvPr>
        <xdr:cNvSpPr>
          <a:spLocks/>
        </xdr:cNvSpPr>
      </xdr:nvSpPr>
      <xdr:spPr bwMode="auto">
        <a:xfrm>
          <a:off x="1952625" y="8782050"/>
          <a:ext cx="295275" cy="390525"/>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161925</xdr:colOff>
      <xdr:row>45</xdr:row>
      <xdr:rowOff>161925</xdr:rowOff>
    </xdr:from>
    <xdr:to>
      <xdr:col>2</xdr:col>
      <xdr:colOff>381000</xdr:colOff>
      <xdr:row>47</xdr:row>
      <xdr:rowOff>161925</xdr:rowOff>
    </xdr:to>
    <xdr:sp macro="" textlink="">
      <xdr:nvSpPr>
        <xdr:cNvPr id="112" name="Tegning 312">
          <a:extLst>
            <a:ext uri="{FF2B5EF4-FFF2-40B4-BE49-F238E27FC236}">
              <a16:creationId xmlns:a16="http://schemas.microsoft.com/office/drawing/2014/main" id="{00000000-0008-0000-0400-000070000000}"/>
            </a:ext>
          </a:extLst>
        </xdr:cNvPr>
        <xdr:cNvSpPr>
          <a:spLocks/>
        </xdr:cNvSpPr>
      </xdr:nvSpPr>
      <xdr:spPr bwMode="auto">
        <a:xfrm>
          <a:off x="1581150" y="8543925"/>
          <a:ext cx="219075" cy="381000"/>
        </a:xfrm>
        <a:custGeom>
          <a:avLst/>
          <a:gdLst>
            <a:gd name="T0" fmla="*/ 2147483646 w 16384"/>
            <a:gd name="T1" fmla="*/ 2147483646 h 16384"/>
            <a:gd name="T2" fmla="*/ 2147483646 w 16384"/>
            <a:gd name="T3" fmla="*/ 0 h 16384"/>
            <a:gd name="T4" fmla="*/ 0 w 16384"/>
            <a:gd name="T5" fmla="*/ 2147483646 h 16384"/>
            <a:gd name="T6" fmla="*/ 2147483646 w 16384"/>
            <a:gd name="T7" fmla="*/ 0 h 16384"/>
            <a:gd name="T8" fmla="*/ 2147483646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7620" y="16384"/>
              </a:moveTo>
              <a:lnTo>
                <a:pt x="7620" y="0"/>
              </a:lnTo>
              <a:lnTo>
                <a:pt x="0" y="4819"/>
              </a:lnTo>
              <a:lnTo>
                <a:pt x="7620" y="0"/>
              </a:lnTo>
              <a:lnTo>
                <a:pt x="16384" y="5542"/>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314325</xdr:colOff>
      <xdr:row>45</xdr:row>
      <xdr:rowOff>161925</xdr:rowOff>
    </xdr:from>
    <xdr:to>
      <xdr:col>5</xdr:col>
      <xdr:colOff>552450</xdr:colOff>
      <xdr:row>47</xdr:row>
      <xdr:rowOff>114300</xdr:rowOff>
    </xdr:to>
    <xdr:sp macro="" textlink="">
      <xdr:nvSpPr>
        <xdr:cNvPr id="113" name="Tegning 316">
          <a:extLst>
            <a:ext uri="{FF2B5EF4-FFF2-40B4-BE49-F238E27FC236}">
              <a16:creationId xmlns:a16="http://schemas.microsoft.com/office/drawing/2014/main" id="{00000000-0008-0000-0400-000071000000}"/>
            </a:ext>
          </a:extLst>
        </xdr:cNvPr>
        <xdr:cNvSpPr>
          <a:spLocks/>
        </xdr:cNvSpPr>
      </xdr:nvSpPr>
      <xdr:spPr bwMode="auto">
        <a:xfrm>
          <a:off x="2962275" y="8543925"/>
          <a:ext cx="238125" cy="333375"/>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95250</xdr:colOff>
      <xdr:row>44</xdr:row>
      <xdr:rowOff>142875</xdr:rowOff>
    </xdr:from>
    <xdr:to>
      <xdr:col>5</xdr:col>
      <xdr:colOff>638175</xdr:colOff>
      <xdr:row>47</xdr:row>
      <xdr:rowOff>0</xdr:rowOff>
    </xdr:to>
    <xdr:sp macro="" textlink="">
      <xdr:nvSpPr>
        <xdr:cNvPr id="114" name="Tegning 344">
          <a:extLst>
            <a:ext uri="{FF2B5EF4-FFF2-40B4-BE49-F238E27FC236}">
              <a16:creationId xmlns:a16="http://schemas.microsoft.com/office/drawing/2014/main" id="{00000000-0008-0000-0400-000072000000}"/>
            </a:ext>
          </a:extLst>
        </xdr:cNvPr>
        <xdr:cNvSpPr>
          <a:spLocks/>
        </xdr:cNvSpPr>
      </xdr:nvSpPr>
      <xdr:spPr bwMode="auto">
        <a:xfrm>
          <a:off x="2095500" y="8334375"/>
          <a:ext cx="1190625" cy="428625"/>
        </a:xfrm>
        <a:custGeom>
          <a:avLst/>
          <a:gdLst>
            <a:gd name="T0" fmla="*/ 0 w 16384"/>
            <a:gd name="T1" fmla="*/ 0 h 16384"/>
            <a:gd name="T2" fmla="*/ 0 w 16384"/>
            <a:gd name="T3" fmla="*/ 2147483646 h 16384"/>
            <a:gd name="T4" fmla="*/ 2147483646 w 16384"/>
            <a:gd name="T5" fmla="*/ 2147483646 h 16384"/>
            <a:gd name="T6" fmla="*/ 2147483646 w 16384"/>
            <a:gd name="T7" fmla="*/ 2147483646 h 16384"/>
            <a:gd name="T8" fmla="*/ 2147483646 w 16384"/>
            <a:gd name="T9" fmla="*/ 2147483646 h 16384"/>
            <a:gd name="T10" fmla="*/ 2147483646 w 16384"/>
            <a:gd name="T11" fmla="*/ 2147483646 h 1638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6384" h="16384">
              <a:moveTo>
                <a:pt x="0" y="0"/>
              </a:moveTo>
              <a:lnTo>
                <a:pt x="0" y="14444"/>
              </a:lnTo>
              <a:lnTo>
                <a:pt x="67" y="15522"/>
              </a:lnTo>
              <a:lnTo>
                <a:pt x="336" y="16168"/>
              </a:lnTo>
              <a:lnTo>
                <a:pt x="806" y="16384"/>
              </a:lnTo>
              <a:lnTo>
                <a:pt x="16384" y="16384"/>
              </a:lnTo>
            </a:path>
          </a:pathLst>
        </a:custGeom>
        <a:noFill/>
        <a:ln w="26670"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552450</xdr:colOff>
      <xdr:row>44</xdr:row>
      <xdr:rowOff>171450</xdr:rowOff>
    </xdr:from>
    <xdr:to>
      <xdr:col>5</xdr:col>
      <xdr:colOff>600075</xdr:colOff>
      <xdr:row>45</xdr:row>
      <xdr:rowOff>161925</xdr:rowOff>
    </xdr:to>
    <xdr:sp macro="" textlink="">
      <xdr:nvSpPr>
        <xdr:cNvPr id="115" name="Freeform 170">
          <a:extLst>
            <a:ext uri="{FF2B5EF4-FFF2-40B4-BE49-F238E27FC236}">
              <a16:creationId xmlns:a16="http://schemas.microsoft.com/office/drawing/2014/main" id="{00000000-0008-0000-0400-000073000000}"/>
            </a:ext>
          </a:extLst>
        </xdr:cNvPr>
        <xdr:cNvSpPr>
          <a:spLocks/>
        </xdr:cNvSpPr>
      </xdr:nvSpPr>
      <xdr:spPr bwMode="auto">
        <a:xfrm>
          <a:off x="1971675" y="8362950"/>
          <a:ext cx="1276350" cy="180975"/>
        </a:xfrm>
        <a:custGeom>
          <a:avLst/>
          <a:gdLst>
            <a:gd name="T0" fmla="*/ 2147483646 w 134"/>
            <a:gd name="T1" fmla="*/ 0 h 19"/>
            <a:gd name="T2" fmla="*/ 2147483646 w 134"/>
            <a:gd name="T3" fmla="*/ 0 h 19"/>
            <a:gd name="T4" fmla="*/ 2147483646 w 134"/>
            <a:gd name="T5" fmla="*/ 2147483646 h 19"/>
            <a:gd name="T6" fmla="*/ 0 w 134"/>
            <a:gd name="T7" fmla="*/ 2147483646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4" h="19">
              <a:moveTo>
                <a:pt x="1" y="0"/>
              </a:moveTo>
              <a:lnTo>
                <a:pt x="134" y="0"/>
              </a:lnTo>
              <a:lnTo>
                <a:pt x="134" y="19"/>
              </a:lnTo>
              <a:lnTo>
                <a:pt x="0" y="19"/>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95250</xdr:colOff>
      <xdr:row>45</xdr:row>
      <xdr:rowOff>0</xdr:rowOff>
    </xdr:from>
    <xdr:to>
      <xdr:col>5</xdr:col>
      <xdr:colOff>200025</xdr:colOff>
      <xdr:row>45</xdr:row>
      <xdr:rowOff>142875</xdr:rowOff>
    </xdr:to>
    <xdr:sp macro="" textlink="">
      <xdr:nvSpPr>
        <xdr:cNvPr id="116" name="Rectangle 171">
          <a:extLst>
            <a:ext uri="{FF2B5EF4-FFF2-40B4-BE49-F238E27FC236}">
              <a16:creationId xmlns:a16="http://schemas.microsoft.com/office/drawing/2014/main" id="{00000000-0008-0000-0400-000074000000}"/>
            </a:ext>
          </a:extLst>
        </xdr:cNvPr>
        <xdr:cNvSpPr>
          <a:spLocks noChangeArrowheads="1"/>
        </xdr:cNvSpPr>
      </xdr:nvSpPr>
      <xdr:spPr bwMode="auto">
        <a:xfrm>
          <a:off x="1514475" y="8382000"/>
          <a:ext cx="1333500" cy="142875"/>
        </a:xfrm>
        <a:prstGeom prst="rect">
          <a:avLst/>
        </a:prstGeom>
        <a:solidFill>
          <a:srgbClr xmlns:mc="http://schemas.openxmlformats.org/markup-compatibility/2006" xmlns:a14="http://schemas.microsoft.com/office/drawing/2010/main" val="FFFFFF" mc:Ignorable="a14" a14:legacySpreadsheetColorIndex="65">
            <a:alpha val="0"/>
          </a:srgbClr>
        </a:solidFill>
        <a:ln w="1587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447675</xdr:colOff>
      <xdr:row>49</xdr:row>
      <xdr:rowOff>19050</xdr:rowOff>
    </xdr:from>
    <xdr:to>
      <xdr:col>5</xdr:col>
      <xdr:colOff>447675</xdr:colOff>
      <xdr:row>50</xdr:row>
      <xdr:rowOff>28575</xdr:rowOff>
    </xdr:to>
    <xdr:sp macro="" textlink="">
      <xdr:nvSpPr>
        <xdr:cNvPr id="117" name="Line 172">
          <a:extLst>
            <a:ext uri="{FF2B5EF4-FFF2-40B4-BE49-F238E27FC236}">
              <a16:creationId xmlns:a16="http://schemas.microsoft.com/office/drawing/2014/main" id="{00000000-0008-0000-0400-000075000000}"/>
            </a:ext>
          </a:extLst>
        </xdr:cNvPr>
        <xdr:cNvSpPr>
          <a:spLocks noChangeShapeType="1"/>
        </xdr:cNvSpPr>
      </xdr:nvSpPr>
      <xdr:spPr bwMode="auto">
        <a:xfrm>
          <a:off x="3095625" y="9163050"/>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200025</xdr:colOff>
      <xdr:row>50</xdr:row>
      <xdr:rowOff>0</xdr:rowOff>
    </xdr:from>
    <xdr:to>
      <xdr:col>5</xdr:col>
      <xdr:colOff>571500</xdr:colOff>
      <xdr:row>50</xdr:row>
      <xdr:rowOff>0</xdr:rowOff>
    </xdr:to>
    <xdr:sp macro="" textlink="">
      <xdr:nvSpPr>
        <xdr:cNvPr id="118" name="Line 173">
          <a:extLst>
            <a:ext uri="{FF2B5EF4-FFF2-40B4-BE49-F238E27FC236}">
              <a16:creationId xmlns:a16="http://schemas.microsoft.com/office/drawing/2014/main" id="{00000000-0008-0000-0400-000076000000}"/>
            </a:ext>
          </a:extLst>
        </xdr:cNvPr>
        <xdr:cNvSpPr>
          <a:spLocks noChangeShapeType="1"/>
        </xdr:cNvSpPr>
      </xdr:nvSpPr>
      <xdr:spPr bwMode="auto">
        <a:xfrm flipH="1">
          <a:off x="1619250" y="9334500"/>
          <a:ext cx="1600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49</xdr:row>
      <xdr:rowOff>85725</xdr:rowOff>
    </xdr:from>
    <xdr:to>
      <xdr:col>3</xdr:col>
      <xdr:colOff>95250</xdr:colOff>
      <xdr:row>50</xdr:row>
      <xdr:rowOff>28575</xdr:rowOff>
    </xdr:to>
    <xdr:sp macro="" textlink="">
      <xdr:nvSpPr>
        <xdr:cNvPr id="119" name="Line 174">
          <a:extLst>
            <a:ext uri="{FF2B5EF4-FFF2-40B4-BE49-F238E27FC236}">
              <a16:creationId xmlns:a16="http://schemas.microsoft.com/office/drawing/2014/main" id="{00000000-0008-0000-0400-000077000000}"/>
            </a:ext>
          </a:extLst>
        </xdr:cNvPr>
        <xdr:cNvSpPr>
          <a:spLocks noChangeShapeType="1"/>
        </xdr:cNvSpPr>
      </xdr:nvSpPr>
      <xdr:spPr bwMode="auto">
        <a:xfrm>
          <a:off x="2095500" y="9229725"/>
          <a:ext cx="0" cy="133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57150</xdr:colOff>
      <xdr:row>49</xdr:row>
      <xdr:rowOff>152400</xdr:rowOff>
    </xdr:from>
    <xdr:to>
      <xdr:col>3</xdr:col>
      <xdr:colOff>123825</xdr:colOff>
      <xdr:row>50</xdr:row>
      <xdr:rowOff>28575</xdr:rowOff>
    </xdr:to>
    <xdr:sp macro="" textlink="">
      <xdr:nvSpPr>
        <xdr:cNvPr id="120" name="Line 175">
          <a:extLst>
            <a:ext uri="{FF2B5EF4-FFF2-40B4-BE49-F238E27FC236}">
              <a16:creationId xmlns:a16="http://schemas.microsoft.com/office/drawing/2014/main" id="{00000000-0008-0000-0400-000078000000}"/>
            </a:ext>
          </a:extLst>
        </xdr:cNvPr>
        <xdr:cNvSpPr>
          <a:spLocks noChangeShapeType="1"/>
        </xdr:cNvSpPr>
      </xdr:nvSpPr>
      <xdr:spPr bwMode="auto">
        <a:xfrm flipH="1">
          <a:off x="2057400" y="9296400"/>
          <a:ext cx="66675" cy="66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49</xdr:row>
      <xdr:rowOff>161925</xdr:rowOff>
    </xdr:from>
    <xdr:to>
      <xdr:col>5</xdr:col>
      <xdr:colOff>485775</xdr:colOff>
      <xdr:row>50</xdr:row>
      <xdr:rowOff>57150</xdr:rowOff>
    </xdr:to>
    <xdr:sp macro="" textlink="">
      <xdr:nvSpPr>
        <xdr:cNvPr id="121" name="Line 176">
          <a:extLst>
            <a:ext uri="{FF2B5EF4-FFF2-40B4-BE49-F238E27FC236}">
              <a16:creationId xmlns:a16="http://schemas.microsoft.com/office/drawing/2014/main" id="{00000000-0008-0000-0400-000079000000}"/>
            </a:ext>
          </a:extLst>
        </xdr:cNvPr>
        <xdr:cNvSpPr>
          <a:spLocks noChangeShapeType="1"/>
        </xdr:cNvSpPr>
      </xdr:nvSpPr>
      <xdr:spPr bwMode="auto">
        <a:xfrm flipH="1">
          <a:off x="3048000" y="9305925"/>
          <a:ext cx="85725" cy="857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266700</xdr:colOff>
      <xdr:row>48</xdr:row>
      <xdr:rowOff>28575</xdr:rowOff>
    </xdr:from>
    <xdr:to>
      <xdr:col>2</xdr:col>
      <xdr:colOff>266700</xdr:colOff>
      <xdr:row>50</xdr:row>
      <xdr:rowOff>57150</xdr:rowOff>
    </xdr:to>
    <xdr:sp macro="" textlink="">
      <xdr:nvSpPr>
        <xdr:cNvPr id="122" name="Line 177">
          <a:extLst>
            <a:ext uri="{FF2B5EF4-FFF2-40B4-BE49-F238E27FC236}">
              <a16:creationId xmlns:a16="http://schemas.microsoft.com/office/drawing/2014/main" id="{00000000-0008-0000-0400-00007A000000}"/>
            </a:ext>
          </a:extLst>
        </xdr:cNvPr>
        <xdr:cNvSpPr>
          <a:spLocks noChangeShapeType="1"/>
        </xdr:cNvSpPr>
      </xdr:nvSpPr>
      <xdr:spPr bwMode="auto">
        <a:xfrm>
          <a:off x="1685925" y="89820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228600</xdr:colOff>
      <xdr:row>49</xdr:row>
      <xdr:rowOff>152400</xdr:rowOff>
    </xdr:from>
    <xdr:to>
      <xdr:col>2</xdr:col>
      <xdr:colOff>304800</xdr:colOff>
      <xdr:row>50</xdr:row>
      <xdr:rowOff>38100</xdr:rowOff>
    </xdr:to>
    <xdr:sp macro="" textlink="">
      <xdr:nvSpPr>
        <xdr:cNvPr id="123" name="Line 178">
          <a:extLst>
            <a:ext uri="{FF2B5EF4-FFF2-40B4-BE49-F238E27FC236}">
              <a16:creationId xmlns:a16="http://schemas.microsoft.com/office/drawing/2014/main" id="{00000000-0008-0000-0400-00007B000000}"/>
            </a:ext>
          </a:extLst>
        </xdr:cNvPr>
        <xdr:cNvSpPr>
          <a:spLocks noChangeShapeType="1"/>
        </xdr:cNvSpPr>
      </xdr:nvSpPr>
      <xdr:spPr bwMode="auto">
        <a:xfrm flipH="1">
          <a:off x="1647825" y="92964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533400</xdr:colOff>
      <xdr:row>51</xdr:row>
      <xdr:rowOff>171450</xdr:rowOff>
    </xdr:from>
    <xdr:to>
      <xdr:col>3</xdr:col>
      <xdr:colOff>247650</xdr:colOff>
      <xdr:row>54</xdr:row>
      <xdr:rowOff>19050</xdr:rowOff>
    </xdr:to>
    <xdr:sp macro="" textlink="">
      <xdr:nvSpPr>
        <xdr:cNvPr id="124" name="Tegning 311">
          <a:extLst>
            <a:ext uri="{FF2B5EF4-FFF2-40B4-BE49-F238E27FC236}">
              <a16:creationId xmlns:a16="http://schemas.microsoft.com/office/drawing/2014/main" id="{00000000-0008-0000-0400-00007C000000}"/>
            </a:ext>
          </a:extLst>
        </xdr:cNvPr>
        <xdr:cNvSpPr>
          <a:spLocks/>
        </xdr:cNvSpPr>
      </xdr:nvSpPr>
      <xdr:spPr bwMode="auto">
        <a:xfrm flipV="1">
          <a:off x="1952625" y="9696450"/>
          <a:ext cx="295275" cy="419100"/>
        </a:xfrm>
        <a:custGeom>
          <a:avLst/>
          <a:gdLst>
            <a:gd name="T0" fmla="*/ 2147483646 w 16384"/>
            <a:gd name="T1" fmla="*/ 0 h 16384"/>
            <a:gd name="T2" fmla="*/ 2147483646 w 16384"/>
            <a:gd name="T3" fmla="*/ 2147483646 h 16384"/>
            <a:gd name="T4" fmla="*/ 2147483646 w 16384"/>
            <a:gd name="T5" fmla="*/ 2147483646 h 16384"/>
            <a:gd name="T6" fmla="*/ 2147483646 w 16384"/>
            <a:gd name="T7" fmla="*/ 2147483646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192" y="0"/>
              </a:moveTo>
              <a:lnTo>
                <a:pt x="8192" y="16384"/>
              </a:lnTo>
              <a:lnTo>
                <a:pt x="16384" y="10384"/>
              </a:lnTo>
              <a:lnTo>
                <a:pt x="8192" y="16384"/>
              </a:lnTo>
              <a:lnTo>
                <a:pt x="0" y="10384"/>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323850</xdr:colOff>
      <xdr:row>52</xdr:row>
      <xdr:rowOff>171450</xdr:rowOff>
    </xdr:from>
    <xdr:to>
      <xdr:col>5</xdr:col>
      <xdr:colOff>561975</xdr:colOff>
      <xdr:row>54</xdr:row>
      <xdr:rowOff>95250</xdr:rowOff>
    </xdr:to>
    <xdr:sp macro="" textlink="">
      <xdr:nvSpPr>
        <xdr:cNvPr id="125" name="Tegning 316">
          <a:extLst>
            <a:ext uri="{FF2B5EF4-FFF2-40B4-BE49-F238E27FC236}">
              <a16:creationId xmlns:a16="http://schemas.microsoft.com/office/drawing/2014/main" id="{00000000-0008-0000-0400-00007D000000}"/>
            </a:ext>
          </a:extLst>
        </xdr:cNvPr>
        <xdr:cNvSpPr>
          <a:spLocks/>
        </xdr:cNvSpPr>
      </xdr:nvSpPr>
      <xdr:spPr bwMode="auto">
        <a:xfrm>
          <a:off x="2971800" y="9886950"/>
          <a:ext cx="238125" cy="30480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2</xdr:col>
      <xdr:colOff>542925</xdr:colOff>
      <xdr:row>51</xdr:row>
      <xdr:rowOff>28575</xdr:rowOff>
    </xdr:from>
    <xdr:to>
      <xdr:col>5</xdr:col>
      <xdr:colOff>600075</xdr:colOff>
      <xdr:row>53</xdr:row>
      <xdr:rowOff>161925</xdr:rowOff>
    </xdr:to>
    <xdr:sp macro="" textlink="">
      <xdr:nvSpPr>
        <xdr:cNvPr id="126" name="Freeform 181">
          <a:extLst>
            <a:ext uri="{FF2B5EF4-FFF2-40B4-BE49-F238E27FC236}">
              <a16:creationId xmlns:a16="http://schemas.microsoft.com/office/drawing/2014/main" id="{00000000-0008-0000-0400-00007E000000}"/>
            </a:ext>
          </a:extLst>
        </xdr:cNvPr>
        <xdr:cNvSpPr>
          <a:spLocks/>
        </xdr:cNvSpPr>
      </xdr:nvSpPr>
      <xdr:spPr bwMode="auto">
        <a:xfrm>
          <a:off x="1962150" y="9553575"/>
          <a:ext cx="1285875" cy="514350"/>
        </a:xfrm>
        <a:custGeom>
          <a:avLst/>
          <a:gdLst>
            <a:gd name="T0" fmla="*/ 0 w 135"/>
            <a:gd name="T1" fmla="*/ 0 h 54"/>
            <a:gd name="T2" fmla="*/ 0 w 135"/>
            <a:gd name="T3" fmla="*/ 2147483646 h 54"/>
            <a:gd name="T4" fmla="*/ 2147483646 w 135"/>
            <a:gd name="T5" fmla="*/ 2147483646 h 54"/>
            <a:gd name="T6" fmla="*/ 2147483646 w 135"/>
            <a:gd name="T7" fmla="*/ 2147483646 h 54"/>
            <a:gd name="T8" fmla="*/ 2147483646 w 135"/>
            <a:gd name="T9" fmla="*/ 2147483646 h 54"/>
            <a:gd name="T10" fmla="*/ 2147483646 w 135"/>
            <a:gd name="T11" fmla="*/ 2147483646 h 54"/>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135" h="54">
              <a:moveTo>
                <a:pt x="0" y="0"/>
              </a:moveTo>
              <a:lnTo>
                <a:pt x="0" y="14"/>
              </a:lnTo>
              <a:lnTo>
                <a:pt x="135" y="14"/>
              </a:lnTo>
              <a:lnTo>
                <a:pt x="135" y="34"/>
              </a:lnTo>
              <a:lnTo>
                <a:pt x="1" y="34"/>
              </a:lnTo>
              <a:lnTo>
                <a:pt x="1" y="54"/>
              </a:lnTo>
            </a:path>
          </a:pathLst>
        </a:custGeom>
        <a:noFill/>
        <a:ln w="158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314325</xdr:colOff>
      <xdr:row>51</xdr:row>
      <xdr:rowOff>19050</xdr:rowOff>
    </xdr:from>
    <xdr:to>
      <xdr:col>5</xdr:col>
      <xdr:colOff>228600</xdr:colOff>
      <xdr:row>52</xdr:row>
      <xdr:rowOff>152400</xdr:rowOff>
    </xdr:to>
    <xdr:sp macro="" textlink="">
      <xdr:nvSpPr>
        <xdr:cNvPr id="127" name="Tegning 316">
          <a:extLst>
            <a:ext uri="{FF2B5EF4-FFF2-40B4-BE49-F238E27FC236}">
              <a16:creationId xmlns:a16="http://schemas.microsoft.com/office/drawing/2014/main" id="{00000000-0008-0000-0400-00007F000000}"/>
            </a:ext>
          </a:extLst>
        </xdr:cNvPr>
        <xdr:cNvSpPr>
          <a:spLocks/>
        </xdr:cNvSpPr>
      </xdr:nvSpPr>
      <xdr:spPr bwMode="auto">
        <a:xfrm flipV="1">
          <a:off x="2638425" y="9544050"/>
          <a:ext cx="238125" cy="323850"/>
        </a:xfrm>
        <a:custGeom>
          <a:avLst/>
          <a:gdLst>
            <a:gd name="T0" fmla="*/ 2147483646 w 16384"/>
            <a:gd name="T1" fmla="*/ 2147483646 h 16384"/>
            <a:gd name="T2" fmla="*/ 2147483646 w 16384"/>
            <a:gd name="T3" fmla="*/ 0 h 16384"/>
            <a:gd name="T4" fmla="*/ 2147483646 w 16384"/>
            <a:gd name="T5" fmla="*/ 2147483646 h 16384"/>
            <a:gd name="T6" fmla="*/ 2147483646 w 16384"/>
            <a:gd name="T7" fmla="*/ 0 h 16384"/>
            <a:gd name="T8" fmla="*/ 0 w 16384"/>
            <a:gd name="T9" fmla="*/ 2147483646 h 1638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6384" h="16384">
              <a:moveTo>
                <a:pt x="8495" y="16384"/>
              </a:moveTo>
              <a:lnTo>
                <a:pt x="8495" y="0"/>
              </a:lnTo>
              <a:lnTo>
                <a:pt x="16384" y="5605"/>
              </a:lnTo>
              <a:lnTo>
                <a:pt x="8495" y="0"/>
              </a:lnTo>
              <a:lnTo>
                <a:pt x="0" y="6036"/>
              </a:lnTo>
            </a:path>
          </a:pathLst>
        </a:custGeom>
        <a:noFill/>
        <a:ln w="15875" cap="flat" cmpd="sng">
          <a:solidFill>
            <a:srgbClr xmlns:mc="http://schemas.openxmlformats.org/markup-compatibility/2006" xmlns:a14="http://schemas.microsoft.com/office/drawing/2010/main" val="000000" mc:Ignorable="a14" a14:legacySpreadsheetColorIndex="8"/>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3</xdr:col>
      <xdr:colOff>85725</xdr:colOff>
      <xdr:row>55</xdr:row>
      <xdr:rowOff>0</xdr:rowOff>
    </xdr:from>
    <xdr:to>
      <xdr:col>5</xdr:col>
      <xdr:colOff>571500</xdr:colOff>
      <xdr:row>55</xdr:row>
      <xdr:rowOff>0</xdr:rowOff>
    </xdr:to>
    <xdr:sp macro="" textlink="">
      <xdr:nvSpPr>
        <xdr:cNvPr id="128" name="Line 183">
          <a:extLst>
            <a:ext uri="{FF2B5EF4-FFF2-40B4-BE49-F238E27FC236}">
              <a16:creationId xmlns:a16="http://schemas.microsoft.com/office/drawing/2014/main" id="{00000000-0008-0000-0400-000080000000}"/>
            </a:ext>
          </a:extLst>
        </xdr:cNvPr>
        <xdr:cNvSpPr>
          <a:spLocks noChangeShapeType="1"/>
        </xdr:cNvSpPr>
      </xdr:nvSpPr>
      <xdr:spPr bwMode="auto">
        <a:xfrm>
          <a:off x="2085975" y="10287000"/>
          <a:ext cx="1133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54</xdr:row>
      <xdr:rowOff>47625</xdr:rowOff>
    </xdr:from>
    <xdr:to>
      <xdr:col>3</xdr:col>
      <xdr:colOff>95250</xdr:colOff>
      <xdr:row>55</xdr:row>
      <xdr:rowOff>57150</xdr:rowOff>
    </xdr:to>
    <xdr:sp macro="" textlink="">
      <xdr:nvSpPr>
        <xdr:cNvPr id="129" name="Line 184">
          <a:extLst>
            <a:ext uri="{FF2B5EF4-FFF2-40B4-BE49-F238E27FC236}">
              <a16:creationId xmlns:a16="http://schemas.microsoft.com/office/drawing/2014/main" id="{00000000-0008-0000-0400-000081000000}"/>
            </a:ext>
          </a:extLst>
        </xdr:cNvPr>
        <xdr:cNvSpPr>
          <a:spLocks noChangeShapeType="1"/>
        </xdr:cNvSpPr>
      </xdr:nvSpPr>
      <xdr:spPr bwMode="auto">
        <a:xfrm>
          <a:off x="2095500" y="10144125"/>
          <a:ext cx="0" cy="200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53</xdr:row>
      <xdr:rowOff>28575</xdr:rowOff>
    </xdr:from>
    <xdr:to>
      <xdr:col>5</xdr:col>
      <xdr:colOff>114300</xdr:colOff>
      <xdr:row>55</xdr:row>
      <xdr:rowOff>57150</xdr:rowOff>
    </xdr:to>
    <xdr:sp macro="" textlink="">
      <xdr:nvSpPr>
        <xdr:cNvPr id="130" name="Line 185">
          <a:extLst>
            <a:ext uri="{FF2B5EF4-FFF2-40B4-BE49-F238E27FC236}">
              <a16:creationId xmlns:a16="http://schemas.microsoft.com/office/drawing/2014/main" id="{00000000-0008-0000-0400-000082000000}"/>
            </a:ext>
          </a:extLst>
        </xdr:cNvPr>
        <xdr:cNvSpPr>
          <a:spLocks noChangeShapeType="1"/>
        </xdr:cNvSpPr>
      </xdr:nvSpPr>
      <xdr:spPr bwMode="auto">
        <a:xfrm>
          <a:off x="2762250" y="9934575"/>
          <a:ext cx="0" cy="409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447675</xdr:colOff>
      <xdr:row>54</xdr:row>
      <xdr:rowOff>133350</xdr:rowOff>
    </xdr:from>
    <xdr:to>
      <xdr:col>5</xdr:col>
      <xdr:colOff>447675</xdr:colOff>
      <xdr:row>55</xdr:row>
      <xdr:rowOff>57150</xdr:rowOff>
    </xdr:to>
    <xdr:sp macro="" textlink="">
      <xdr:nvSpPr>
        <xdr:cNvPr id="131" name="Line 186">
          <a:extLst>
            <a:ext uri="{FF2B5EF4-FFF2-40B4-BE49-F238E27FC236}">
              <a16:creationId xmlns:a16="http://schemas.microsoft.com/office/drawing/2014/main" id="{00000000-0008-0000-0400-000083000000}"/>
            </a:ext>
          </a:extLst>
        </xdr:cNvPr>
        <xdr:cNvSpPr>
          <a:spLocks noChangeShapeType="1"/>
        </xdr:cNvSpPr>
      </xdr:nvSpPr>
      <xdr:spPr bwMode="auto">
        <a:xfrm>
          <a:off x="3095625" y="10229850"/>
          <a:ext cx="0" cy="114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43</xdr:row>
      <xdr:rowOff>76200</xdr:rowOff>
    </xdr:from>
    <xdr:to>
      <xdr:col>5</xdr:col>
      <xdr:colOff>428625</xdr:colOff>
      <xdr:row>45</xdr:row>
      <xdr:rowOff>85725</xdr:rowOff>
    </xdr:to>
    <xdr:sp macro="" textlink="">
      <xdr:nvSpPr>
        <xdr:cNvPr id="132" name="Line 187">
          <a:extLst>
            <a:ext uri="{FF2B5EF4-FFF2-40B4-BE49-F238E27FC236}">
              <a16:creationId xmlns:a16="http://schemas.microsoft.com/office/drawing/2014/main" id="{00000000-0008-0000-0400-000084000000}"/>
            </a:ext>
          </a:extLst>
        </xdr:cNvPr>
        <xdr:cNvSpPr>
          <a:spLocks noChangeShapeType="1"/>
        </xdr:cNvSpPr>
      </xdr:nvSpPr>
      <xdr:spPr bwMode="auto">
        <a:xfrm flipV="1">
          <a:off x="3076575" y="8077200"/>
          <a:ext cx="0" cy="39052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390525</xdr:colOff>
      <xdr:row>43</xdr:row>
      <xdr:rowOff>114300</xdr:rowOff>
    </xdr:from>
    <xdr:to>
      <xdr:col>6</xdr:col>
      <xdr:colOff>9525</xdr:colOff>
      <xdr:row>43</xdr:row>
      <xdr:rowOff>114300</xdr:rowOff>
    </xdr:to>
    <xdr:sp macro="" textlink="">
      <xdr:nvSpPr>
        <xdr:cNvPr id="133" name="Line 188">
          <a:extLst>
            <a:ext uri="{FF2B5EF4-FFF2-40B4-BE49-F238E27FC236}">
              <a16:creationId xmlns:a16="http://schemas.microsoft.com/office/drawing/2014/main" id="{00000000-0008-0000-0400-000085000000}"/>
            </a:ext>
          </a:extLst>
        </xdr:cNvPr>
        <xdr:cNvSpPr>
          <a:spLocks noChangeShapeType="1"/>
        </xdr:cNvSpPr>
      </xdr:nvSpPr>
      <xdr:spPr bwMode="auto">
        <a:xfrm>
          <a:off x="3038475" y="8115300"/>
          <a:ext cx="371475" cy="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552450</xdr:colOff>
      <xdr:row>43</xdr:row>
      <xdr:rowOff>57150</xdr:rowOff>
    </xdr:from>
    <xdr:to>
      <xdr:col>5</xdr:col>
      <xdr:colOff>647700</xdr:colOff>
      <xdr:row>43</xdr:row>
      <xdr:rowOff>133350</xdr:rowOff>
    </xdr:to>
    <xdr:sp macro="" textlink="">
      <xdr:nvSpPr>
        <xdr:cNvPr id="134" name="Line 189">
          <a:extLst>
            <a:ext uri="{FF2B5EF4-FFF2-40B4-BE49-F238E27FC236}">
              <a16:creationId xmlns:a16="http://schemas.microsoft.com/office/drawing/2014/main" id="{00000000-0008-0000-0400-000086000000}"/>
            </a:ext>
          </a:extLst>
        </xdr:cNvPr>
        <xdr:cNvSpPr>
          <a:spLocks noChangeShapeType="1"/>
        </xdr:cNvSpPr>
      </xdr:nvSpPr>
      <xdr:spPr bwMode="auto">
        <a:xfrm flipV="1">
          <a:off x="3200400" y="8058150"/>
          <a:ext cx="95250" cy="7620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381000</xdr:colOff>
      <xdr:row>43</xdr:row>
      <xdr:rowOff>85725</xdr:rowOff>
    </xdr:from>
    <xdr:to>
      <xdr:col>5</xdr:col>
      <xdr:colOff>457200</xdr:colOff>
      <xdr:row>43</xdr:row>
      <xdr:rowOff>152400</xdr:rowOff>
    </xdr:to>
    <xdr:sp macro="" textlink="">
      <xdr:nvSpPr>
        <xdr:cNvPr id="135" name="Line 190">
          <a:extLst>
            <a:ext uri="{FF2B5EF4-FFF2-40B4-BE49-F238E27FC236}">
              <a16:creationId xmlns:a16="http://schemas.microsoft.com/office/drawing/2014/main" id="{00000000-0008-0000-0400-000087000000}"/>
            </a:ext>
          </a:extLst>
        </xdr:cNvPr>
        <xdr:cNvSpPr>
          <a:spLocks noChangeShapeType="1"/>
        </xdr:cNvSpPr>
      </xdr:nvSpPr>
      <xdr:spPr bwMode="auto">
        <a:xfrm flipH="1">
          <a:off x="3028950" y="8086725"/>
          <a:ext cx="76200" cy="66675"/>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xdr:twoCellAnchor>
    <xdr:from>
      <xdr:col>5</xdr:col>
      <xdr:colOff>590550</xdr:colOff>
      <xdr:row>43</xdr:row>
      <xdr:rowOff>76200</xdr:rowOff>
    </xdr:from>
    <xdr:to>
      <xdr:col>5</xdr:col>
      <xdr:colOff>590550</xdr:colOff>
      <xdr:row>44</xdr:row>
      <xdr:rowOff>152400</xdr:rowOff>
    </xdr:to>
    <xdr:sp macro="" textlink="">
      <xdr:nvSpPr>
        <xdr:cNvPr id="136" name="Line 191">
          <a:extLst>
            <a:ext uri="{FF2B5EF4-FFF2-40B4-BE49-F238E27FC236}">
              <a16:creationId xmlns:a16="http://schemas.microsoft.com/office/drawing/2014/main" id="{00000000-0008-0000-0400-000088000000}"/>
            </a:ext>
          </a:extLst>
        </xdr:cNvPr>
        <xdr:cNvSpPr>
          <a:spLocks noChangeShapeType="1"/>
        </xdr:cNvSpPr>
      </xdr:nvSpPr>
      <xdr:spPr bwMode="auto">
        <a:xfrm flipV="1">
          <a:off x="3238500" y="8077200"/>
          <a:ext cx="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47625</xdr:colOff>
      <xdr:row>54</xdr:row>
      <xdr:rowOff>152400</xdr:rowOff>
    </xdr:from>
    <xdr:to>
      <xdr:col>3</xdr:col>
      <xdr:colOff>123825</xdr:colOff>
      <xdr:row>55</xdr:row>
      <xdr:rowOff>38100</xdr:rowOff>
    </xdr:to>
    <xdr:sp macro="" textlink="">
      <xdr:nvSpPr>
        <xdr:cNvPr id="137" name="Line 192">
          <a:extLst>
            <a:ext uri="{FF2B5EF4-FFF2-40B4-BE49-F238E27FC236}">
              <a16:creationId xmlns:a16="http://schemas.microsoft.com/office/drawing/2014/main" id="{00000000-0008-0000-0400-000089000000}"/>
            </a:ext>
          </a:extLst>
        </xdr:cNvPr>
        <xdr:cNvSpPr>
          <a:spLocks noChangeShapeType="1"/>
        </xdr:cNvSpPr>
      </xdr:nvSpPr>
      <xdr:spPr bwMode="auto">
        <a:xfrm flipH="1">
          <a:off x="2047875" y="10248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57150</xdr:colOff>
      <xdr:row>54</xdr:row>
      <xdr:rowOff>142875</xdr:rowOff>
    </xdr:from>
    <xdr:to>
      <xdr:col>5</xdr:col>
      <xdr:colOff>152400</xdr:colOff>
      <xdr:row>55</xdr:row>
      <xdr:rowOff>47625</xdr:rowOff>
    </xdr:to>
    <xdr:sp macro="" textlink="">
      <xdr:nvSpPr>
        <xdr:cNvPr id="138" name="Line 193">
          <a:extLst>
            <a:ext uri="{FF2B5EF4-FFF2-40B4-BE49-F238E27FC236}">
              <a16:creationId xmlns:a16="http://schemas.microsoft.com/office/drawing/2014/main" id="{00000000-0008-0000-0400-00008A000000}"/>
            </a:ext>
          </a:extLst>
        </xdr:cNvPr>
        <xdr:cNvSpPr>
          <a:spLocks noChangeShapeType="1"/>
        </xdr:cNvSpPr>
      </xdr:nvSpPr>
      <xdr:spPr bwMode="auto">
        <a:xfrm flipH="1">
          <a:off x="2705100" y="10239375"/>
          <a:ext cx="95250" cy="952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400050</xdr:colOff>
      <xdr:row>54</xdr:row>
      <xdr:rowOff>152400</xdr:rowOff>
    </xdr:from>
    <xdr:to>
      <xdr:col>5</xdr:col>
      <xdr:colOff>476250</xdr:colOff>
      <xdr:row>55</xdr:row>
      <xdr:rowOff>38100</xdr:rowOff>
    </xdr:to>
    <xdr:sp macro="" textlink="">
      <xdr:nvSpPr>
        <xdr:cNvPr id="139" name="Line 194">
          <a:extLst>
            <a:ext uri="{FF2B5EF4-FFF2-40B4-BE49-F238E27FC236}">
              <a16:creationId xmlns:a16="http://schemas.microsoft.com/office/drawing/2014/main" id="{00000000-0008-0000-0400-00008B000000}"/>
            </a:ext>
          </a:extLst>
        </xdr:cNvPr>
        <xdr:cNvSpPr>
          <a:spLocks noChangeShapeType="1"/>
        </xdr:cNvSpPr>
      </xdr:nvSpPr>
      <xdr:spPr bwMode="auto">
        <a:xfrm flipH="1">
          <a:off x="3048000" y="10248900"/>
          <a:ext cx="76200"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428625</xdr:colOff>
      <xdr:row>44</xdr:row>
      <xdr:rowOff>123825</xdr:rowOff>
    </xdr:from>
    <xdr:to>
      <xdr:col>6</xdr:col>
      <xdr:colOff>361950</xdr:colOff>
      <xdr:row>46</xdr:row>
      <xdr:rowOff>28575</xdr:rowOff>
    </xdr:to>
    <xdr:sp macro="" textlink="">
      <xdr:nvSpPr>
        <xdr:cNvPr id="140" name="Freeform 195">
          <a:extLst>
            <a:ext uri="{FF2B5EF4-FFF2-40B4-BE49-F238E27FC236}">
              <a16:creationId xmlns:a16="http://schemas.microsoft.com/office/drawing/2014/main" id="{00000000-0008-0000-0400-00008C000000}"/>
            </a:ext>
          </a:extLst>
        </xdr:cNvPr>
        <xdr:cNvSpPr>
          <a:spLocks/>
        </xdr:cNvSpPr>
      </xdr:nvSpPr>
      <xdr:spPr bwMode="auto">
        <a:xfrm>
          <a:off x="3076575" y="8315325"/>
          <a:ext cx="685800" cy="285750"/>
        </a:xfrm>
        <a:custGeom>
          <a:avLst/>
          <a:gdLst>
            <a:gd name="T0" fmla="*/ 0 w 72"/>
            <a:gd name="T1" fmla="*/ 2147483646 h 30"/>
            <a:gd name="T2" fmla="*/ 2147483646 w 72"/>
            <a:gd name="T3" fmla="*/ 2147483646 h 30"/>
            <a:gd name="T4" fmla="*/ 2147483646 w 72"/>
            <a:gd name="T5" fmla="*/ 0 h 30"/>
            <a:gd name="T6" fmla="*/ 2147483646 w 72"/>
            <a:gd name="T7" fmla="*/ 0 h 30"/>
            <a:gd name="T8" fmla="*/ 2147483646 w 72"/>
            <a:gd name="T9" fmla="*/ 0 h 3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2" h="30">
              <a:moveTo>
                <a:pt x="0" y="30"/>
              </a:moveTo>
              <a:lnTo>
                <a:pt x="11" y="4"/>
              </a:lnTo>
              <a:lnTo>
                <a:pt x="17" y="0"/>
              </a:lnTo>
              <a:lnTo>
                <a:pt x="21" y="0"/>
              </a:lnTo>
              <a:lnTo>
                <a:pt x="72" y="0"/>
              </a:lnTo>
            </a:path>
          </a:pathLst>
        </a:custGeom>
        <a:noFill/>
        <a:ln w="2540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390525</xdr:colOff>
      <xdr:row>40</xdr:row>
      <xdr:rowOff>123825</xdr:rowOff>
    </xdr:from>
    <xdr:to>
      <xdr:col>5</xdr:col>
      <xdr:colOff>685800</xdr:colOff>
      <xdr:row>40</xdr:row>
      <xdr:rowOff>123825</xdr:rowOff>
    </xdr:to>
    <xdr:sp macro="" textlink="">
      <xdr:nvSpPr>
        <xdr:cNvPr id="141" name="Line 198">
          <a:extLst>
            <a:ext uri="{FF2B5EF4-FFF2-40B4-BE49-F238E27FC236}">
              <a16:creationId xmlns:a16="http://schemas.microsoft.com/office/drawing/2014/main" id="{00000000-0008-0000-0400-00008D000000}"/>
            </a:ext>
          </a:extLst>
        </xdr:cNvPr>
        <xdr:cNvSpPr>
          <a:spLocks noChangeShapeType="1"/>
        </xdr:cNvSpPr>
      </xdr:nvSpPr>
      <xdr:spPr bwMode="auto">
        <a:xfrm flipH="1">
          <a:off x="3038475" y="7553325"/>
          <a:ext cx="2952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13</xdr:col>
          <xdr:colOff>57150</xdr:colOff>
          <xdr:row>8</xdr:row>
          <xdr:rowOff>66675</xdr:rowOff>
        </xdr:from>
        <xdr:to>
          <xdr:col>14</xdr:col>
          <xdr:colOff>295275</xdr:colOff>
          <xdr:row>10</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Gå tilbage til ark A</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13</xdr:col>
          <xdr:colOff>57150</xdr:colOff>
          <xdr:row>6</xdr:row>
          <xdr:rowOff>104775</xdr:rowOff>
        </xdr:from>
        <xdr:to>
          <xdr:col>14</xdr:col>
          <xdr:colOff>209550</xdr:colOff>
          <xdr:row>7</xdr:row>
          <xdr:rowOff>180975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a-DK" sz="1200" b="1" i="0" u="none" strike="noStrike" baseline="0">
                  <a:solidFill>
                    <a:srgbClr val="000000"/>
                  </a:solidFill>
                  <a:latin typeface="Arial"/>
                  <a:cs typeface="Arial"/>
                </a:rPr>
                <a:t>Udskrift</a:t>
              </a:r>
            </a:p>
          </xdr:txBody>
        </xdr:sp>
        <xdr:clientData fLocksWithSheet="0" fPrintsWithSheet="0"/>
      </xdr:twoCellAnchor>
    </mc:Choice>
    <mc:Fallback/>
  </mc:AlternateContent>
  <xdr:twoCellAnchor>
    <xdr:from>
      <xdr:col>3</xdr:col>
      <xdr:colOff>65690</xdr:colOff>
      <xdr:row>44</xdr:row>
      <xdr:rowOff>120431</xdr:rowOff>
    </xdr:from>
    <xdr:to>
      <xdr:col>3</xdr:col>
      <xdr:colOff>103023</xdr:colOff>
      <xdr:row>44</xdr:row>
      <xdr:rowOff>155575</xdr:rowOff>
    </xdr:to>
    <xdr:sp macro="" textlink="">
      <xdr:nvSpPr>
        <xdr:cNvPr id="142" name="Oval 36">
          <a:extLst>
            <a:ext uri="{FF2B5EF4-FFF2-40B4-BE49-F238E27FC236}">
              <a16:creationId xmlns:a16="http://schemas.microsoft.com/office/drawing/2014/main" id="{00000000-0008-0000-0400-00008E000000}"/>
            </a:ext>
          </a:extLst>
        </xdr:cNvPr>
        <xdr:cNvSpPr>
          <a:spLocks noChangeArrowheads="1"/>
        </xdr:cNvSpPr>
      </xdr:nvSpPr>
      <xdr:spPr bwMode="auto">
        <a:xfrm>
          <a:off x="2069224" y="8123621"/>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5</xdr:col>
      <xdr:colOff>415159</xdr:colOff>
      <xdr:row>45</xdr:row>
      <xdr:rowOff>185245</xdr:rowOff>
    </xdr:from>
    <xdr:to>
      <xdr:col>5</xdr:col>
      <xdr:colOff>452492</xdr:colOff>
      <xdr:row>46</xdr:row>
      <xdr:rowOff>34268</xdr:rowOff>
    </xdr:to>
    <xdr:sp macro="" textlink="">
      <xdr:nvSpPr>
        <xdr:cNvPr id="143" name="Oval 36">
          <a:extLst>
            <a:ext uri="{FF2B5EF4-FFF2-40B4-BE49-F238E27FC236}">
              <a16:creationId xmlns:a16="http://schemas.microsoft.com/office/drawing/2014/main" id="{00000000-0008-0000-0400-00008F000000}"/>
            </a:ext>
          </a:extLst>
        </xdr:cNvPr>
        <xdr:cNvSpPr>
          <a:spLocks noChangeArrowheads="1"/>
        </xdr:cNvSpPr>
      </xdr:nvSpPr>
      <xdr:spPr bwMode="auto">
        <a:xfrm>
          <a:off x="3075590" y="8374555"/>
          <a:ext cx="37333" cy="35144"/>
        </a:xfrm>
        <a:prstGeom prst="ellipse">
          <a:avLst/>
        </a:prstGeom>
        <a:noFill/>
        <a:ln w="33020">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11</xdr:col>
      <xdr:colOff>200025</xdr:colOff>
      <xdr:row>0</xdr:row>
      <xdr:rowOff>9525</xdr:rowOff>
    </xdr:from>
    <xdr:to>
      <xdr:col>11</xdr:col>
      <xdr:colOff>200025</xdr:colOff>
      <xdr:row>6</xdr:row>
      <xdr:rowOff>0</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6715125" y="9525"/>
          <a:ext cx="0" cy="933450"/>
        </a:xfrm>
        <a:prstGeom prst="line">
          <a:avLst/>
        </a:prstGeom>
        <a:noFill/>
        <a:ln w="9525">
          <a:solidFill>
            <a:srgbClr xmlns:mc="http://schemas.openxmlformats.org/markup-compatibility/2006" xmlns:a14="http://schemas.microsoft.com/office/drawing/2010/main" val="000000" mc:Ignorable="a14" a14:legacySpreadsheetColorIndex="8"/>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228600</xdr:colOff>
          <xdr:row>1</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xdr:twoCellAnchor>
    </mc:Choice>
    <mc:Fallback/>
  </mc:AlternateContent>
  <xdr:twoCellAnchor editAs="oneCell">
    <xdr:from>
      <xdr:col>0</xdr:col>
      <xdr:colOff>466725</xdr:colOff>
      <xdr:row>0</xdr:row>
      <xdr:rowOff>85725</xdr:rowOff>
    </xdr:from>
    <xdr:to>
      <xdr:col>0</xdr:col>
      <xdr:colOff>1076325</xdr:colOff>
      <xdr:row>3</xdr:row>
      <xdr:rowOff>85725</xdr:rowOff>
    </xdr:to>
    <xdr:pic>
      <xdr:nvPicPr>
        <xdr:cNvPr id="4" name="Picture 197" descr="CRH_office_pantone">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6725" y="85725"/>
          <a:ext cx="60960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571500</xdr:colOff>
      <xdr:row>78</xdr:row>
      <xdr:rowOff>85725</xdr:rowOff>
    </xdr:from>
    <xdr:to>
      <xdr:col>15</xdr:col>
      <xdr:colOff>66675</xdr:colOff>
      <xdr:row>78</xdr:row>
      <xdr:rowOff>161925</xdr:rowOff>
    </xdr:to>
    <xdr:sp macro="" textlink="">
      <xdr:nvSpPr>
        <xdr:cNvPr id="5" name="Tegning 398">
          <a:extLst>
            <a:ext uri="{FF2B5EF4-FFF2-40B4-BE49-F238E27FC236}">
              <a16:creationId xmlns:a16="http://schemas.microsoft.com/office/drawing/2014/main" id="{00000000-0008-0000-0500-000005000000}"/>
            </a:ext>
          </a:extLst>
        </xdr:cNvPr>
        <xdr:cNvSpPr>
          <a:spLocks/>
        </xdr:cNvSpPr>
      </xdr:nvSpPr>
      <xdr:spPr bwMode="auto">
        <a:xfrm>
          <a:off x="9610725" y="9667875"/>
          <a:ext cx="400050" cy="76200"/>
        </a:xfrm>
        <a:custGeom>
          <a:avLst/>
          <a:gdLst>
            <a:gd name="T0" fmla="*/ 2147483646 w 16384"/>
            <a:gd name="T1" fmla="*/ 0 h 16384"/>
            <a:gd name="T2" fmla="*/ 0 w 16384"/>
            <a:gd name="T3" fmla="*/ 0 h 16384"/>
            <a:gd name="T4" fmla="*/ 0 w 16384"/>
            <a:gd name="T5" fmla="*/ 165817465 h 16384"/>
            <a:gd name="T6" fmla="*/ 0 60000 65536"/>
            <a:gd name="T7" fmla="*/ 0 60000 65536"/>
            <a:gd name="T8" fmla="*/ 0 60000 65536"/>
          </a:gdLst>
          <a:ahLst/>
          <a:cxnLst>
            <a:cxn ang="T6">
              <a:pos x="T0" y="T1"/>
            </a:cxn>
            <a:cxn ang="T7">
              <a:pos x="T2" y="T3"/>
            </a:cxn>
            <a:cxn ang="T8">
              <a:pos x="T4" y="T5"/>
            </a:cxn>
          </a:cxnLst>
          <a:rect l="0" t="0" r="r" b="b"/>
          <a:pathLst>
            <a:path w="16384" h="16384">
              <a:moveTo>
                <a:pt x="16384" y="0"/>
              </a:moveTo>
              <a:lnTo>
                <a:pt x="0" y="0"/>
              </a:lnTo>
              <a:lnTo>
                <a:pt x="0" y="16384"/>
              </a:lnTo>
            </a:path>
          </a:pathLst>
        </a:custGeom>
        <a:noFill/>
        <a:ln w="9525" cap="flat">
          <a:solidFill>
            <a:srgbClr xmlns:mc="http://schemas.openxmlformats.org/markup-compatibility/2006" xmlns:a14="http://schemas.microsoft.com/office/drawing/2010/main" val="000000" mc:Ignorable="a14" a14:legacySpreadsheetColorIndex="8"/>
          </a:solidFill>
          <a:prstDash val="solid"/>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Lst>
      </xdr:spPr>
    </xdr:sp>
    <xdr:clientData fLocksWithSheet="0"/>
  </xdr:twoCellAnchor>
  <xdr:twoCellAnchor>
    <xdr:from>
      <xdr:col>6</xdr:col>
      <xdr:colOff>9525</xdr:colOff>
      <xdr:row>19</xdr:row>
      <xdr:rowOff>85725</xdr:rowOff>
    </xdr:from>
    <xdr:to>
      <xdr:col>7</xdr:col>
      <xdr:colOff>276225</xdr:colOff>
      <xdr:row>23</xdr:row>
      <xdr:rowOff>19050</xdr:rowOff>
    </xdr:to>
    <xdr:sp macro="" textlink="">
      <xdr:nvSpPr>
        <xdr:cNvPr id="6" name="Line 13">
          <a:extLst>
            <a:ext uri="{FF2B5EF4-FFF2-40B4-BE49-F238E27FC236}">
              <a16:creationId xmlns:a16="http://schemas.microsoft.com/office/drawing/2014/main" id="{00000000-0008-0000-0500-000006000000}"/>
            </a:ext>
          </a:extLst>
        </xdr:cNvPr>
        <xdr:cNvSpPr>
          <a:spLocks noChangeShapeType="1"/>
        </xdr:cNvSpPr>
      </xdr:nvSpPr>
      <xdr:spPr bwMode="auto">
        <a:xfrm flipV="1">
          <a:off x="3409950" y="3552825"/>
          <a:ext cx="1619250" cy="714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190500</xdr:colOff>
          <xdr:row>14</xdr:row>
          <xdr:rowOff>47625</xdr:rowOff>
        </xdr:from>
        <xdr:to>
          <xdr:col>0</xdr:col>
          <xdr:colOff>1162050</xdr:colOff>
          <xdr:row>15</xdr:row>
          <xdr:rowOff>104775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da-DK" sz="1000" b="1" i="0" u="none" strike="noStrike" baseline="0">
                  <a:solidFill>
                    <a:srgbClr val="000000"/>
                  </a:solidFill>
                  <a:latin typeface="Arial"/>
                  <a:cs typeface="Arial"/>
                </a:rPr>
                <a:t>Retur til ark A</a:t>
              </a:r>
            </a:p>
          </xdr:txBody>
        </xdr:sp>
        <xdr:clientData fLocksWithSheet="0"/>
      </xdr:twoCellAnchor>
    </mc:Choice>
    <mc:Fallback/>
  </mc:AlternateContent>
  <xdr:twoCellAnchor>
    <xdr:from>
      <xdr:col>8</xdr:col>
      <xdr:colOff>104775</xdr:colOff>
      <xdr:row>20</xdr:row>
      <xdr:rowOff>104775</xdr:rowOff>
    </xdr:from>
    <xdr:to>
      <xdr:col>9</xdr:col>
      <xdr:colOff>533400</xdr:colOff>
      <xdr:row>27</xdr:row>
      <xdr:rowOff>104775</xdr:rowOff>
    </xdr:to>
    <xdr:sp macro="" textlink="">
      <xdr:nvSpPr>
        <xdr:cNvPr id="8" name="Line 20">
          <a:extLst>
            <a:ext uri="{FF2B5EF4-FFF2-40B4-BE49-F238E27FC236}">
              <a16:creationId xmlns:a16="http://schemas.microsoft.com/office/drawing/2014/main" id="{00000000-0008-0000-0500-000008000000}"/>
            </a:ext>
          </a:extLst>
        </xdr:cNvPr>
        <xdr:cNvSpPr>
          <a:spLocks noChangeShapeType="1"/>
        </xdr:cNvSpPr>
      </xdr:nvSpPr>
      <xdr:spPr bwMode="auto">
        <a:xfrm flipH="1" flipV="1">
          <a:off x="5524500" y="3771900"/>
          <a:ext cx="666750" cy="13430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133350</xdr:colOff>
      <xdr:row>18</xdr:row>
      <xdr:rowOff>104775</xdr:rowOff>
    </xdr:from>
    <xdr:to>
      <xdr:col>9</xdr:col>
      <xdr:colOff>523875</xdr:colOff>
      <xdr:row>27</xdr:row>
      <xdr:rowOff>95250</xdr:rowOff>
    </xdr:to>
    <xdr:sp macro="" textlink="">
      <xdr:nvSpPr>
        <xdr:cNvPr id="9" name="Line 21">
          <a:extLst>
            <a:ext uri="{FF2B5EF4-FFF2-40B4-BE49-F238E27FC236}">
              <a16:creationId xmlns:a16="http://schemas.microsoft.com/office/drawing/2014/main" id="{00000000-0008-0000-0500-000009000000}"/>
            </a:ext>
          </a:extLst>
        </xdr:cNvPr>
        <xdr:cNvSpPr>
          <a:spLocks noChangeShapeType="1"/>
        </xdr:cNvSpPr>
      </xdr:nvSpPr>
      <xdr:spPr bwMode="auto">
        <a:xfrm flipH="1" flipV="1">
          <a:off x="5553075" y="3371850"/>
          <a:ext cx="628650" cy="17335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1247775</xdr:colOff>
      <xdr:row>19</xdr:row>
      <xdr:rowOff>104775</xdr:rowOff>
    </xdr:from>
    <xdr:to>
      <xdr:col>8</xdr:col>
      <xdr:colOff>114300</xdr:colOff>
      <xdr:row>26</xdr:row>
      <xdr:rowOff>85725</xdr:rowOff>
    </xdr:to>
    <xdr:sp macro="" textlink="">
      <xdr:nvSpPr>
        <xdr:cNvPr id="10" name="Line 22">
          <a:extLst>
            <a:ext uri="{FF2B5EF4-FFF2-40B4-BE49-F238E27FC236}">
              <a16:creationId xmlns:a16="http://schemas.microsoft.com/office/drawing/2014/main" id="{00000000-0008-0000-0500-00000A000000}"/>
            </a:ext>
          </a:extLst>
        </xdr:cNvPr>
        <xdr:cNvSpPr>
          <a:spLocks noChangeShapeType="1"/>
        </xdr:cNvSpPr>
      </xdr:nvSpPr>
      <xdr:spPr bwMode="auto">
        <a:xfrm flipV="1">
          <a:off x="4648200" y="3571875"/>
          <a:ext cx="885825" cy="13335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981075</xdr:colOff>
      <xdr:row>26</xdr:row>
      <xdr:rowOff>85725</xdr:rowOff>
    </xdr:from>
    <xdr:to>
      <xdr:col>6</xdr:col>
      <xdr:colOff>1238250</xdr:colOff>
      <xdr:row>26</xdr:row>
      <xdr:rowOff>85725</xdr:rowOff>
    </xdr:to>
    <xdr:sp macro="" textlink="">
      <xdr:nvSpPr>
        <xdr:cNvPr id="11" name="Line 23">
          <a:extLst>
            <a:ext uri="{FF2B5EF4-FFF2-40B4-BE49-F238E27FC236}">
              <a16:creationId xmlns:a16="http://schemas.microsoft.com/office/drawing/2014/main" id="{00000000-0008-0000-0500-00000B000000}"/>
            </a:ext>
          </a:extLst>
        </xdr:cNvPr>
        <xdr:cNvSpPr>
          <a:spLocks noChangeShapeType="1"/>
        </xdr:cNvSpPr>
      </xdr:nvSpPr>
      <xdr:spPr bwMode="auto">
        <a:xfrm flipH="1">
          <a:off x="4381500" y="4905375"/>
          <a:ext cx="2571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190500</xdr:colOff>
      <xdr:row>27</xdr:row>
      <xdr:rowOff>104775</xdr:rowOff>
    </xdr:from>
    <xdr:to>
      <xdr:col>9</xdr:col>
      <xdr:colOff>523875</xdr:colOff>
      <xdr:row>27</xdr:row>
      <xdr:rowOff>104775</xdr:rowOff>
    </xdr:to>
    <xdr:sp macro="" textlink="">
      <xdr:nvSpPr>
        <xdr:cNvPr id="12" name="Line 24">
          <a:extLst>
            <a:ext uri="{FF2B5EF4-FFF2-40B4-BE49-F238E27FC236}">
              <a16:creationId xmlns:a16="http://schemas.microsoft.com/office/drawing/2014/main" id="{00000000-0008-0000-0500-00000C000000}"/>
            </a:ext>
          </a:extLst>
        </xdr:cNvPr>
        <xdr:cNvSpPr>
          <a:spLocks noChangeShapeType="1"/>
        </xdr:cNvSpPr>
      </xdr:nvSpPr>
      <xdr:spPr bwMode="auto">
        <a:xfrm>
          <a:off x="5848350" y="5114925"/>
          <a:ext cx="3333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76200</xdr:rowOff>
        </xdr:from>
        <xdr:to>
          <xdr:col>0</xdr:col>
          <xdr:colOff>209550</xdr:colOff>
          <xdr:row>1</xdr:row>
          <xdr:rowOff>9525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18288" tIns="0" rIns="0" bIns="0" anchor="ctr" upright="1"/>
            <a:lstStyle/>
            <a:p>
              <a:pPr algn="ctr" rtl="0">
                <a:defRPr sz="1000"/>
              </a:pPr>
              <a:endParaRPr lang="da-DK"/>
            </a:p>
          </xdr:txBody>
        </xdr:sp>
        <xdr:clientData fLocksWithSheet="0"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Kont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ont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ont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0" Type="http://schemas.openxmlformats.org/officeDocument/2006/relationships/ctrlProp" Target="../ctrlProps/ctrlProp17.xml"/><Relationship Id="rId41"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3.vml"/><Relationship Id="rId7" Type="http://schemas.openxmlformats.org/officeDocument/2006/relationships/ctrlProp" Target="../ctrlProps/ctrlProp4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5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6.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IV518"/>
  <sheetViews>
    <sheetView tabSelected="1" zoomScale="87" zoomScaleNormal="87" workbookViewId="0">
      <selection activeCell="M15" sqref="M15"/>
    </sheetView>
  </sheetViews>
  <sheetFormatPr defaultColWidth="9.77734375" defaultRowHeight="15"/>
  <cols>
    <col min="1" max="1" width="13.33203125" customWidth="1"/>
    <col min="2" max="2" width="2.77734375" customWidth="1"/>
    <col min="3" max="3" width="6.77734375" customWidth="1"/>
    <col min="4" max="4" width="4.33203125" customWidth="1"/>
    <col min="5" max="5" width="3.77734375" customWidth="1"/>
    <col min="6" max="6" width="8.77734375" customWidth="1"/>
    <col min="7" max="7" width="15.77734375" customWidth="1"/>
    <col min="8" max="8" width="7.77734375" customWidth="1"/>
    <col min="9" max="9" width="3" customWidth="1"/>
    <col min="10" max="10" width="7.77734375" customWidth="1"/>
    <col min="11" max="11" width="3.5546875" customWidth="1"/>
    <col min="12" max="12" width="7.77734375" customWidth="1"/>
    <col min="13" max="13" width="9.5546875" customWidth="1"/>
    <col min="14" max="14" width="13.77734375" customWidth="1"/>
    <col min="18" max="18" width="9.77734375" customWidth="1"/>
    <col min="22" max="23" width="8.77734375" customWidth="1"/>
    <col min="24" max="24" width="10.77734375" customWidth="1"/>
    <col min="25" max="30" width="8.77734375" customWidth="1"/>
    <col min="31" max="31" width="9.109375" customWidth="1"/>
    <col min="32" max="42" width="8.77734375" customWidth="1"/>
    <col min="43" max="43" width="10.33203125" customWidth="1"/>
    <col min="44" max="44" width="8.77734375" customWidth="1"/>
    <col min="45" max="45" width="25.77734375" customWidth="1"/>
    <col min="46" max="47" width="8.77734375" customWidth="1"/>
    <col min="48" max="48" width="19.77734375" customWidth="1"/>
    <col min="49" max="51" width="8.77734375" customWidth="1"/>
    <col min="53" max="53" width="10.77734375" customWidth="1"/>
    <col min="55" max="56" width="11.77734375" customWidth="1"/>
    <col min="58" max="58" width="8.77734375" customWidth="1"/>
    <col min="60" max="60" width="21.77734375" customWidth="1"/>
    <col min="64" max="64" width="2.77734375" customWidth="1"/>
    <col min="65" max="65" width="20.77734375" customWidth="1"/>
    <col min="69" max="69" width="13.77734375" customWidth="1"/>
    <col min="83" max="83" width="32.5546875" bestFit="1" customWidth="1"/>
    <col min="84" max="84" width="4.88671875" customWidth="1"/>
    <col min="95" max="95" width="9.77734375" customWidth="1"/>
    <col min="251" max="255" width="9.77734375" customWidth="1"/>
    <col min="257" max="257" width="13.33203125" customWidth="1"/>
    <col min="258" max="258" width="2.77734375" customWidth="1"/>
    <col min="259" max="259" width="6.77734375" customWidth="1"/>
    <col min="260" max="260" width="4.33203125" customWidth="1"/>
    <col min="261" max="261" width="3.77734375" customWidth="1"/>
    <col min="262" max="262" width="8.77734375" customWidth="1"/>
    <col min="263" max="263" width="15.77734375" customWidth="1"/>
    <col min="264" max="264" width="7.77734375" customWidth="1"/>
    <col min="265" max="265" width="3" customWidth="1"/>
    <col min="266" max="266" width="7.77734375" customWidth="1"/>
    <col min="267" max="267" width="3.5546875" customWidth="1"/>
    <col min="268" max="268" width="7.77734375" customWidth="1"/>
    <col min="269" max="269" width="9.5546875" customWidth="1"/>
    <col min="270" max="270" width="12.77734375" customWidth="1"/>
    <col min="274" max="274" width="9.77734375" customWidth="1"/>
    <col min="278" max="279" width="8.77734375" customWidth="1"/>
    <col min="280" max="280" width="10.77734375" customWidth="1"/>
    <col min="281" max="286" width="8.77734375" customWidth="1"/>
    <col min="287" max="287" width="9.109375" customWidth="1"/>
    <col min="288" max="300" width="8.77734375" customWidth="1"/>
    <col min="301" max="301" width="25.77734375" customWidth="1"/>
    <col min="302" max="303" width="8.77734375" customWidth="1"/>
    <col min="304" max="304" width="19.77734375" customWidth="1"/>
    <col min="305" max="307" width="8.77734375" customWidth="1"/>
    <col min="309" max="309" width="10.77734375" customWidth="1"/>
    <col min="311" max="312" width="11.77734375" customWidth="1"/>
    <col min="314" max="314" width="8.77734375" customWidth="1"/>
    <col min="316" max="316" width="21.77734375" customWidth="1"/>
    <col min="320" max="320" width="2.77734375" customWidth="1"/>
    <col min="321" max="321" width="20.77734375" customWidth="1"/>
    <col min="325" max="325" width="13.77734375" customWidth="1"/>
    <col min="339" max="339" width="32.5546875" bestFit="1" customWidth="1"/>
    <col min="351" max="351" width="9.77734375" customWidth="1"/>
    <col min="507" max="511" width="9.77734375" customWidth="1"/>
    <col min="513" max="513" width="13.33203125" customWidth="1"/>
    <col min="514" max="514" width="2.77734375" customWidth="1"/>
    <col min="515" max="515" width="6.77734375" customWidth="1"/>
    <col min="516" max="516" width="4.33203125" customWidth="1"/>
    <col min="517" max="517" width="3.77734375" customWidth="1"/>
    <col min="518" max="518" width="8.77734375" customWidth="1"/>
    <col min="519" max="519" width="15.77734375" customWidth="1"/>
    <col min="520" max="520" width="7.77734375" customWidth="1"/>
    <col min="521" max="521" width="3" customWidth="1"/>
    <col min="522" max="522" width="7.77734375" customWidth="1"/>
    <col min="523" max="523" width="3.5546875" customWidth="1"/>
    <col min="524" max="524" width="7.77734375" customWidth="1"/>
    <col min="525" max="525" width="9.5546875" customWidth="1"/>
    <col min="526" max="526" width="12.77734375" customWidth="1"/>
    <col min="530" max="530" width="9.77734375" customWidth="1"/>
    <col min="534" max="535" width="8.77734375" customWidth="1"/>
    <col min="536" max="536" width="10.77734375" customWidth="1"/>
    <col min="537" max="542" width="8.77734375" customWidth="1"/>
    <col min="543" max="543" width="9.109375" customWidth="1"/>
    <col min="544" max="556" width="8.77734375" customWidth="1"/>
    <col min="557" max="557" width="25.77734375" customWidth="1"/>
    <col min="558" max="559" width="8.77734375" customWidth="1"/>
    <col min="560" max="560" width="19.77734375" customWidth="1"/>
    <col min="561" max="563" width="8.77734375" customWidth="1"/>
    <col min="565" max="565" width="10.77734375" customWidth="1"/>
    <col min="567" max="568" width="11.77734375" customWidth="1"/>
    <col min="570" max="570" width="8.77734375" customWidth="1"/>
    <col min="572" max="572" width="21.77734375" customWidth="1"/>
    <col min="576" max="576" width="2.77734375" customWidth="1"/>
    <col min="577" max="577" width="20.77734375" customWidth="1"/>
    <col min="581" max="581" width="13.77734375" customWidth="1"/>
    <col min="595" max="595" width="32.5546875" bestFit="1" customWidth="1"/>
    <col min="607" max="607" width="9.77734375" customWidth="1"/>
    <col min="763" max="767" width="9.77734375" customWidth="1"/>
    <col min="769" max="769" width="13.33203125" customWidth="1"/>
    <col min="770" max="770" width="2.77734375" customWidth="1"/>
    <col min="771" max="771" width="6.77734375" customWidth="1"/>
    <col min="772" max="772" width="4.33203125" customWidth="1"/>
    <col min="773" max="773" width="3.77734375" customWidth="1"/>
    <col min="774" max="774" width="8.77734375" customWidth="1"/>
    <col min="775" max="775" width="15.77734375" customWidth="1"/>
    <col min="776" max="776" width="7.77734375" customWidth="1"/>
    <col min="777" max="777" width="3" customWidth="1"/>
    <col min="778" max="778" width="7.77734375" customWidth="1"/>
    <col min="779" max="779" width="3.5546875" customWidth="1"/>
    <col min="780" max="780" width="7.77734375" customWidth="1"/>
    <col min="781" max="781" width="9.5546875" customWidth="1"/>
    <col min="782" max="782" width="12.77734375" customWidth="1"/>
    <col min="786" max="786" width="9.77734375" customWidth="1"/>
    <col min="790" max="791" width="8.77734375" customWidth="1"/>
    <col min="792" max="792" width="10.77734375" customWidth="1"/>
    <col min="793" max="798" width="8.77734375" customWidth="1"/>
    <col min="799" max="799" width="9.109375" customWidth="1"/>
    <col min="800" max="812" width="8.77734375" customWidth="1"/>
    <col min="813" max="813" width="25.77734375" customWidth="1"/>
    <col min="814" max="815" width="8.77734375" customWidth="1"/>
    <col min="816" max="816" width="19.77734375" customWidth="1"/>
    <col min="817" max="819" width="8.77734375" customWidth="1"/>
    <col min="821" max="821" width="10.77734375" customWidth="1"/>
    <col min="823" max="824" width="11.77734375" customWidth="1"/>
    <col min="826" max="826" width="8.77734375" customWidth="1"/>
    <col min="828" max="828" width="21.77734375" customWidth="1"/>
    <col min="832" max="832" width="2.77734375" customWidth="1"/>
    <col min="833" max="833" width="20.77734375" customWidth="1"/>
    <col min="837" max="837" width="13.77734375" customWidth="1"/>
    <col min="851" max="851" width="32.5546875" bestFit="1" customWidth="1"/>
    <col min="863" max="863" width="9.77734375" customWidth="1"/>
    <col min="1019" max="1023" width="9.77734375" customWidth="1"/>
    <col min="1025" max="1025" width="13.33203125" customWidth="1"/>
    <col min="1026" max="1026" width="2.77734375" customWidth="1"/>
    <col min="1027" max="1027" width="6.77734375" customWidth="1"/>
    <col min="1028" max="1028" width="4.33203125" customWidth="1"/>
    <col min="1029" max="1029" width="3.77734375" customWidth="1"/>
    <col min="1030" max="1030" width="8.77734375" customWidth="1"/>
    <col min="1031" max="1031" width="15.77734375" customWidth="1"/>
    <col min="1032" max="1032" width="7.77734375" customWidth="1"/>
    <col min="1033" max="1033" width="3" customWidth="1"/>
    <col min="1034" max="1034" width="7.77734375" customWidth="1"/>
    <col min="1035" max="1035" width="3.5546875" customWidth="1"/>
    <col min="1036" max="1036" width="7.77734375" customWidth="1"/>
    <col min="1037" max="1037" width="9.5546875" customWidth="1"/>
    <col min="1038" max="1038" width="12.77734375" customWidth="1"/>
    <col min="1042" max="1042" width="9.77734375" customWidth="1"/>
    <col min="1046" max="1047" width="8.77734375" customWidth="1"/>
    <col min="1048" max="1048" width="10.77734375" customWidth="1"/>
    <col min="1049" max="1054" width="8.77734375" customWidth="1"/>
    <col min="1055" max="1055" width="9.109375" customWidth="1"/>
    <col min="1056" max="1068" width="8.77734375" customWidth="1"/>
    <col min="1069" max="1069" width="25.77734375" customWidth="1"/>
    <col min="1070" max="1071" width="8.77734375" customWidth="1"/>
    <col min="1072" max="1072" width="19.77734375" customWidth="1"/>
    <col min="1073" max="1075" width="8.77734375" customWidth="1"/>
    <col min="1077" max="1077" width="10.77734375" customWidth="1"/>
    <col min="1079" max="1080" width="11.77734375" customWidth="1"/>
    <col min="1082" max="1082" width="8.77734375" customWidth="1"/>
    <col min="1084" max="1084" width="21.77734375" customWidth="1"/>
    <col min="1088" max="1088" width="2.77734375" customWidth="1"/>
    <col min="1089" max="1089" width="20.77734375" customWidth="1"/>
    <col min="1093" max="1093" width="13.77734375" customWidth="1"/>
    <col min="1107" max="1107" width="32.5546875" bestFit="1" customWidth="1"/>
    <col min="1119" max="1119" width="9.77734375" customWidth="1"/>
    <col min="1275" max="1279" width="9.77734375" customWidth="1"/>
    <col min="1281" max="1281" width="13.33203125" customWidth="1"/>
    <col min="1282" max="1282" width="2.77734375" customWidth="1"/>
    <col min="1283" max="1283" width="6.77734375" customWidth="1"/>
    <col min="1284" max="1284" width="4.33203125" customWidth="1"/>
    <col min="1285" max="1285" width="3.77734375" customWidth="1"/>
    <col min="1286" max="1286" width="8.77734375" customWidth="1"/>
    <col min="1287" max="1287" width="15.77734375" customWidth="1"/>
    <col min="1288" max="1288" width="7.77734375" customWidth="1"/>
    <col min="1289" max="1289" width="3" customWidth="1"/>
    <col min="1290" max="1290" width="7.77734375" customWidth="1"/>
    <col min="1291" max="1291" width="3.5546875" customWidth="1"/>
    <col min="1292" max="1292" width="7.77734375" customWidth="1"/>
    <col min="1293" max="1293" width="9.5546875" customWidth="1"/>
    <col min="1294" max="1294" width="12.77734375" customWidth="1"/>
    <col min="1298" max="1298" width="9.77734375" customWidth="1"/>
    <col min="1302" max="1303" width="8.77734375" customWidth="1"/>
    <col min="1304" max="1304" width="10.77734375" customWidth="1"/>
    <col min="1305" max="1310" width="8.77734375" customWidth="1"/>
    <col min="1311" max="1311" width="9.109375" customWidth="1"/>
    <col min="1312" max="1324" width="8.77734375" customWidth="1"/>
    <col min="1325" max="1325" width="25.77734375" customWidth="1"/>
    <col min="1326" max="1327" width="8.77734375" customWidth="1"/>
    <col min="1328" max="1328" width="19.77734375" customWidth="1"/>
    <col min="1329" max="1331" width="8.77734375" customWidth="1"/>
    <col min="1333" max="1333" width="10.77734375" customWidth="1"/>
    <col min="1335" max="1336" width="11.77734375" customWidth="1"/>
    <col min="1338" max="1338" width="8.77734375" customWidth="1"/>
    <col min="1340" max="1340" width="21.77734375" customWidth="1"/>
    <col min="1344" max="1344" width="2.77734375" customWidth="1"/>
    <col min="1345" max="1345" width="20.77734375" customWidth="1"/>
    <col min="1349" max="1349" width="13.77734375" customWidth="1"/>
    <col min="1363" max="1363" width="32.5546875" bestFit="1" customWidth="1"/>
    <col min="1375" max="1375" width="9.77734375" customWidth="1"/>
    <col min="1531" max="1535" width="9.77734375" customWidth="1"/>
    <col min="1537" max="1537" width="13.33203125" customWidth="1"/>
    <col min="1538" max="1538" width="2.77734375" customWidth="1"/>
    <col min="1539" max="1539" width="6.77734375" customWidth="1"/>
    <col min="1540" max="1540" width="4.33203125" customWidth="1"/>
    <col min="1541" max="1541" width="3.77734375" customWidth="1"/>
    <col min="1542" max="1542" width="8.77734375" customWidth="1"/>
    <col min="1543" max="1543" width="15.77734375" customWidth="1"/>
    <col min="1544" max="1544" width="7.77734375" customWidth="1"/>
    <col min="1545" max="1545" width="3" customWidth="1"/>
    <col min="1546" max="1546" width="7.77734375" customWidth="1"/>
    <col min="1547" max="1547" width="3.5546875" customWidth="1"/>
    <col min="1548" max="1548" width="7.77734375" customWidth="1"/>
    <col min="1549" max="1549" width="9.5546875" customWidth="1"/>
    <col min="1550" max="1550" width="12.77734375" customWidth="1"/>
    <col min="1554" max="1554" width="9.77734375" customWidth="1"/>
    <col min="1558" max="1559" width="8.77734375" customWidth="1"/>
    <col min="1560" max="1560" width="10.77734375" customWidth="1"/>
    <col min="1561" max="1566" width="8.77734375" customWidth="1"/>
    <col min="1567" max="1567" width="9.109375" customWidth="1"/>
    <col min="1568" max="1580" width="8.77734375" customWidth="1"/>
    <col min="1581" max="1581" width="25.77734375" customWidth="1"/>
    <col min="1582" max="1583" width="8.77734375" customWidth="1"/>
    <col min="1584" max="1584" width="19.77734375" customWidth="1"/>
    <col min="1585" max="1587" width="8.77734375" customWidth="1"/>
    <col min="1589" max="1589" width="10.77734375" customWidth="1"/>
    <col min="1591" max="1592" width="11.77734375" customWidth="1"/>
    <col min="1594" max="1594" width="8.77734375" customWidth="1"/>
    <col min="1596" max="1596" width="21.77734375" customWidth="1"/>
    <col min="1600" max="1600" width="2.77734375" customWidth="1"/>
    <col min="1601" max="1601" width="20.77734375" customWidth="1"/>
    <col min="1605" max="1605" width="13.77734375" customWidth="1"/>
    <col min="1619" max="1619" width="32.5546875" bestFit="1" customWidth="1"/>
    <col min="1631" max="1631" width="9.77734375" customWidth="1"/>
    <col min="1787" max="1791" width="9.77734375" customWidth="1"/>
    <col min="1793" max="1793" width="13.33203125" customWidth="1"/>
    <col min="1794" max="1794" width="2.77734375" customWidth="1"/>
    <col min="1795" max="1795" width="6.77734375" customWidth="1"/>
    <col min="1796" max="1796" width="4.33203125" customWidth="1"/>
    <col min="1797" max="1797" width="3.77734375" customWidth="1"/>
    <col min="1798" max="1798" width="8.77734375" customWidth="1"/>
    <col min="1799" max="1799" width="15.77734375" customWidth="1"/>
    <col min="1800" max="1800" width="7.77734375" customWidth="1"/>
    <col min="1801" max="1801" width="3" customWidth="1"/>
    <col min="1802" max="1802" width="7.77734375" customWidth="1"/>
    <col min="1803" max="1803" width="3.5546875" customWidth="1"/>
    <col min="1804" max="1804" width="7.77734375" customWidth="1"/>
    <col min="1805" max="1805" width="9.5546875" customWidth="1"/>
    <col min="1806" max="1806" width="12.77734375" customWidth="1"/>
    <col min="1810" max="1810" width="9.77734375" customWidth="1"/>
    <col min="1814" max="1815" width="8.77734375" customWidth="1"/>
    <col min="1816" max="1816" width="10.77734375" customWidth="1"/>
    <col min="1817" max="1822" width="8.77734375" customWidth="1"/>
    <col min="1823" max="1823" width="9.109375" customWidth="1"/>
    <col min="1824" max="1836" width="8.77734375" customWidth="1"/>
    <col min="1837" max="1837" width="25.77734375" customWidth="1"/>
    <col min="1838" max="1839" width="8.77734375" customWidth="1"/>
    <col min="1840" max="1840" width="19.77734375" customWidth="1"/>
    <col min="1841" max="1843" width="8.77734375" customWidth="1"/>
    <col min="1845" max="1845" width="10.77734375" customWidth="1"/>
    <col min="1847" max="1848" width="11.77734375" customWidth="1"/>
    <col min="1850" max="1850" width="8.77734375" customWidth="1"/>
    <col min="1852" max="1852" width="21.77734375" customWidth="1"/>
    <col min="1856" max="1856" width="2.77734375" customWidth="1"/>
    <col min="1857" max="1857" width="20.77734375" customWidth="1"/>
    <col min="1861" max="1861" width="13.77734375" customWidth="1"/>
    <col min="1875" max="1875" width="32.5546875" bestFit="1" customWidth="1"/>
    <col min="1887" max="1887" width="9.77734375" customWidth="1"/>
    <col min="2043" max="2047" width="9.77734375" customWidth="1"/>
    <col min="2049" max="2049" width="13.33203125" customWidth="1"/>
    <col min="2050" max="2050" width="2.77734375" customWidth="1"/>
    <col min="2051" max="2051" width="6.77734375" customWidth="1"/>
    <col min="2052" max="2052" width="4.33203125" customWidth="1"/>
    <col min="2053" max="2053" width="3.77734375" customWidth="1"/>
    <col min="2054" max="2054" width="8.77734375" customWidth="1"/>
    <col min="2055" max="2055" width="15.77734375" customWidth="1"/>
    <col min="2056" max="2056" width="7.77734375" customWidth="1"/>
    <col min="2057" max="2057" width="3" customWidth="1"/>
    <col min="2058" max="2058" width="7.77734375" customWidth="1"/>
    <col min="2059" max="2059" width="3.5546875" customWidth="1"/>
    <col min="2060" max="2060" width="7.77734375" customWidth="1"/>
    <col min="2061" max="2061" width="9.5546875" customWidth="1"/>
    <col min="2062" max="2062" width="12.77734375" customWidth="1"/>
    <col min="2066" max="2066" width="9.77734375" customWidth="1"/>
    <col min="2070" max="2071" width="8.77734375" customWidth="1"/>
    <col min="2072" max="2072" width="10.77734375" customWidth="1"/>
    <col min="2073" max="2078" width="8.77734375" customWidth="1"/>
    <col min="2079" max="2079" width="9.109375" customWidth="1"/>
    <col min="2080" max="2092" width="8.77734375" customWidth="1"/>
    <col min="2093" max="2093" width="25.77734375" customWidth="1"/>
    <col min="2094" max="2095" width="8.77734375" customWidth="1"/>
    <col min="2096" max="2096" width="19.77734375" customWidth="1"/>
    <col min="2097" max="2099" width="8.77734375" customWidth="1"/>
    <col min="2101" max="2101" width="10.77734375" customWidth="1"/>
    <col min="2103" max="2104" width="11.77734375" customWidth="1"/>
    <col min="2106" max="2106" width="8.77734375" customWidth="1"/>
    <col min="2108" max="2108" width="21.77734375" customWidth="1"/>
    <col min="2112" max="2112" width="2.77734375" customWidth="1"/>
    <col min="2113" max="2113" width="20.77734375" customWidth="1"/>
    <col min="2117" max="2117" width="13.77734375" customWidth="1"/>
    <col min="2131" max="2131" width="32.5546875" bestFit="1" customWidth="1"/>
    <col min="2143" max="2143" width="9.77734375" customWidth="1"/>
    <col min="2299" max="2303" width="9.77734375" customWidth="1"/>
    <col min="2305" max="2305" width="13.33203125" customWidth="1"/>
    <col min="2306" max="2306" width="2.77734375" customWidth="1"/>
    <col min="2307" max="2307" width="6.77734375" customWidth="1"/>
    <col min="2308" max="2308" width="4.33203125" customWidth="1"/>
    <col min="2309" max="2309" width="3.77734375" customWidth="1"/>
    <col min="2310" max="2310" width="8.77734375" customWidth="1"/>
    <col min="2311" max="2311" width="15.77734375" customWidth="1"/>
    <col min="2312" max="2312" width="7.77734375" customWidth="1"/>
    <col min="2313" max="2313" width="3" customWidth="1"/>
    <col min="2314" max="2314" width="7.77734375" customWidth="1"/>
    <col min="2315" max="2315" width="3.5546875" customWidth="1"/>
    <col min="2316" max="2316" width="7.77734375" customWidth="1"/>
    <col min="2317" max="2317" width="9.5546875" customWidth="1"/>
    <col min="2318" max="2318" width="12.77734375" customWidth="1"/>
    <col min="2322" max="2322" width="9.77734375" customWidth="1"/>
    <col min="2326" max="2327" width="8.77734375" customWidth="1"/>
    <col min="2328" max="2328" width="10.77734375" customWidth="1"/>
    <col min="2329" max="2334" width="8.77734375" customWidth="1"/>
    <col min="2335" max="2335" width="9.109375" customWidth="1"/>
    <col min="2336" max="2348" width="8.77734375" customWidth="1"/>
    <col min="2349" max="2349" width="25.77734375" customWidth="1"/>
    <col min="2350" max="2351" width="8.77734375" customWidth="1"/>
    <col min="2352" max="2352" width="19.77734375" customWidth="1"/>
    <col min="2353" max="2355" width="8.77734375" customWidth="1"/>
    <col min="2357" max="2357" width="10.77734375" customWidth="1"/>
    <col min="2359" max="2360" width="11.77734375" customWidth="1"/>
    <col min="2362" max="2362" width="8.77734375" customWidth="1"/>
    <col min="2364" max="2364" width="21.77734375" customWidth="1"/>
    <col min="2368" max="2368" width="2.77734375" customWidth="1"/>
    <col min="2369" max="2369" width="20.77734375" customWidth="1"/>
    <col min="2373" max="2373" width="13.77734375" customWidth="1"/>
    <col min="2387" max="2387" width="32.5546875" bestFit="1" customWidth="1"/>
    <col min="2399" max="2399" width="9.77734375" customWidth="1"/>
    <col min="2555" max="2559" width="9.77734375" customWidth="1"/>
    <col min="2561" max="2561" width="13.33203125" customWidth="1"/>
    <col min="2562" max="2562" width="2.77734375" customWidth="1"/>
    <col min="2563" max="2563" width="6.77734375" customWidth="1"/>
    <col min="2564" max="2564" width="4.33203125" customWidth="1"/>
    <col min="2565" max="2565" width="3.77734375" customWidth="1"/>
    <col min="2566" max="2566" width="8.77734375" customWidth="1"/>
    <col min="2567" max="2567" width="15.77734375" customWidth="1"/>
    <col min="2568" max="2568" width="7.77734375" customWidth="1"/>
    <col min="2569" max="2569" width="3" customWidth="1"/>
    <col min="2570" max="2570" width="7.77734375" customWidth="1"/>
    <col min="2571" max="2571" width="3.5546875" customWidth="1"/>
    <col min="2572" max="2572" width="7.77734375" customWidth="1"/>
    <col min="2573" max="2573" width="9.5546875" customWidth="1"/>
    <col min="2574" max="2574" width="12.77734375" customWidth="1"/>
    <col min="2578" max="2578" width="9.77734375" customWidth="1"/>
    <col min="2582" max="2583" width="8.77734375" customWidth="1"/>
    <col min="2584" max="2584" width="10.77734375" customWidth="1"/>
    <col min="2585" max="2590" width="8.77734375" customWidth="1"/>
    <col min="2591" max="2591" width="9.109375" customWidth="1"/>
    <col min="2592" max="2604" width="8.77734375" customWidth="1"/>
    <col min="2605" max="2605" width="25.77734375" customWidth="1"/>
    <col min="2606" max="2607" width="8.77734375" customWidth="1"/>
    <col min="2608" max="2608" width="19.77734375" customWidth="1"/>
    <col min="2609" max="2611" width="8.77734375" customWidth="1"/>
    <col min="2613" max="2613" width="10.77734375" customWidth="1"/>
    <col min="2615" max="2616" width="11.77734375" customWidth="1"/>
    <col min="2618" max="2618" width="8.77734375" customWidth="1"/>
    <col min="2620" max="2620" width="21.77734375" customWidth="1"/>
    <col min="2624" max="2624" width="2.77734375" customWidth="1"/>
    <col min="2625" max="2625" width="20.77734375" customWidth="1"/>
    <col min="2629" max="2629" width="13.77734375" customWidth="1"/>
    <col min="2643" max="2643" width="32.5546875" bestFit="1" customWidth="1"/>
    <col min="2655" max="2655" width="9.77734375" customWidth="1"/>
    <col min="2811" max="2815" width="9.77734375" customWidth="1"/>
    <col min="2817" max="2817" width="13.33203125" customWidth="1"/>
    <col min="2818" max="2818" width="2.77734375" customWidth="1"/>
    <col min="2819" max="2819" width="6.77734375" customWidth="1"/>
    <col min="2820" max="2820" width="4.33203125" customWidth="1"/>
    <col min="2821" max="2821" width="3.77734375" customWidth="1"/>
    <col min="2822" max="2822" width="8.77734375" customWidth="1"/>
    <col min="2823" max="2823" width="15.77734375" customWidth="1"/>
    <col min="2824" max="2824" width="7.77734375" customWidth="1"/>
    <col min="2825" max="2825" width="3" customWidth="1"/>
    <col min="2826" max="2826" width="7.77734375" customWidth="1"/>
    <col min="2827" max="2827" width="3.5546875" customWidth="1"/>
    <col min="2828" max="2828" width="7.77734375" customWidth="1"/>
    <col min="2829" max="2829" width="9.5546875" customWidth="1"/>
    <col min="2830" max="2830" width="12.77734375" customWidth="1"/>
    <col min="2834" max="2834" width="9.77734375" customWidth="1"/>
    <col min="2838" max="2839" width="8.77734375" customWidth="1"/>
    <col min="2840" max="2840" width="10.77734375" customWidth="1"/>
    <col min="2841" max="2846" width="8.77734375" customWidth="1"/>
    <col min="2847" max="2847" width="9.109375" customWidth="1"/>
    <col min="2848" max="2860" width="8.77734375" customWidth="1"/>
    <col min="2861" max="2861" width="25.77734375" customWidth="1"/>
    <col min="2862" max="2863" width="8.77734375" customWidth="1"/>
    <col min="2864" max="2864" width="19.77734375" customWidth="1"/>
    <col min="2865" max="2867" width="8.77734375" customWidth="1"/>
    <col min="2869" max="2869" width="10.77734375" customWidth="1"/>
    <col min="2871" max="2872" width="11.77734375" customWidth="1"/>
    <col min="2874" max="2874" width="8.77734375" customWidth="1"/>
    <col min="2876" max="2876" width="21.77734375" customWidth="1"/>
    <col min="2880" max="2880" width="2.77734375" customWidth="1"/>
    <col min="2881" max="2881" width="20.77734375" customWidth="1"/>
    <col min="2885" max="2885" width="13.77734375" customWidth="1"/>
    <col min="2899" max="2899" width="32.5546875" bestFit="1" customWidth="1"/>
    <col min="2911" max="2911" width="9.77734375" customWidth="1"/>
    <col min="3067" max="3071" width="9.77734375" customWidth="1"/>
    <col min="3073" max="3073" width="13.33203125" customWidth="1"/>
    <col min="3074" max="3074" width="2.77734375" customWidth="1"/>
    <col min="3075" max="3075" width="6.77734375" customWidth="1"/>
    <col min="3076" max="3076" width="4.33203125" customWidth="1"/>
    <col min="3077" max="3077" width="3.77734375" customWidth="1"/>
    <col min="3078" max="3078" width="8.77734375" customWidth="1"/>
    <col min="3079" max="3079" width="15.77734375" customWidth="1"/>
    <col min="3080" max="3080" width="7.77734375" customWidth="1"/>
    <col min="3081" max="3081" width="3" customWidth="1"/>
    <col min="3082" max="3082" width="7.77734375" customWidth="1"/>
    <col min="3083" max="3083" width="3.5546875" customWidth="1"/>
    <col min="3084" max="3084" width="7.77734375" customWidth="1"/>
    <col min="3085" max="3085" width="9.5546875" customWidth="1"/>
    <col min="3086" max="3086" width="12.77734375" customWidth="1"/>
    <col min="3090" max="3090" width="9.77734375" customWidth="1"/>
    <col min="3094" max="3095" width="8.77734375" customWidth="1"/>
    <col min="3096" max="3096" width="10.77734375" customWidth="1"/>
    <col min="3097" max="3102" width="8.77734375" customWidth="1"/>
    <col min="3103" max="3103" width="9.109375" customWidth="1"/>
    <col min="3104" max="3116" width="8.77734375" customWidth="1"/>
    <col min="3117" max="3117" width="25.77734375" customWidth="1"/>
    <col min="3118" max="3119" width="8.77734375" customWidth="1"/>
    <col min="3120" max="3120" width="19.77734375" customWidth="1"/>
    <col min="3121" max="3123" width="8.77734375" customWidth="1"/>
    <col min="3125" max="3125" width="10.77734375" customWidth="1"/>
    <col min="3127" max="3128" width="11.77734375" customWidth="1"/>
    <col min="3130" max="3130" width="8.77734375" customWidth="1"/>
    <col min="3132" max="3132" width="21.77734375" customWidth="1"/>
    <col min="3136" max="3136" width="2.77734375" customWidth="1"/>
    <col min="3137" max="3137" width="20.77734375" customWidth="1"/>
    <col min="3141" max="3141" width="13.77734375" customWidth="1"/>
    <col min="3155" max="3155" width="32.5546875" bestFit="1" customWidth="1"/>
    <col min="3167" max="3167" width="9.77734375" customWidth="1"/>
    <col min="3323" max="3327" width="9.77734375" customWidth="1"/>
    <col min="3329" max="3329" width="13.33203125" customWidth="1"/>
    <col min="3330" max="3330" width="2.77734375" customWidth="1"/>
    <col min="3331" max="3331" width="6.77734375" customWidth="1"/>
    <col min="3332" max="3332" width="4.33203125" customWidth="1"/>
    <col min="3333" max="3333" width="3.77734375" customWidth="1"/>
    <col min="3334" max="3334" width="8.77734375" customWidth="1"/>
    <col min="3335" max="3335" width="15.77734375" customWidth="1"/>
    <col min="3336" max="3336" width="7.77734375" customWidth="1"/>
    <col min="3337" max="3337" width="3" customWidth="1"/>
    <col min="3338" max="3338" width="7.77734375" customWidth="1"/>
    <col min="3339" max="3339" width="3.5546875" customWidth="1"/>
    <col min="3340" max="3340" width="7.77734375" customWidth="1"/>
    <col min="3341" max="3341" width="9.5546875" customWidth="1"/>
    <col min="3342" max="3342" width="12.77734375" customWidth="1"/>
    <col min="3346" max="3346" width="9.77734375" customWidth="1"/>
    <col min="3350" max="3351" width="8.77734375" customWidth="1"/>
    <col min="3352" max="3352" width="10.77734375" customWidth="1"/>
    <col min="3353" max="3358" width="8.77734375" customWidth="1"/>
    <col min="3359" max="3359" width="9.109375" customWidth="1"/>
    <col min="3360" max="3372" width="8.77734375" customWidth="1"/>
    <col min="3373" max="3373" width="25.77734375" customWidth="1"/>
    <col min="3374" max="3375" width="8.77734375" customWidth="1"/>
    <col min="3376" max="3376" width="19.77734375" customWidth="1"/>
    <col min="3377" max="3379" width="8.77734375" customWidth="1"/>
    <col min="3381" max="3381" width="10.77734375" customWidth="1"/>
    <col min="3383" max="3384" width="11.77734375" customWidth="1"/>
    <col min="3386" max="3386" width="8.77734375" customWidth="1"/>
    <col min="3388" max="3388" width="21.77734375" customWidth="1"/>
    <col min="3392" max="3392" width="2.77734375" customWidth="1"/>
    <col min="3393" max="3393" width="20.77734375" customWidth="1"/>
    <col min="3397" max="3397" width="13.77734375" customWidth="1"/>
    <col min="3411" max="3411" width="32.5546875" bestFit="1" customWidth="1"/>
    <col min="3423" max="3423" width="9.77734375" customWidth="1"/>
    <col min="3579" max="3583" width="9.77734375" customWidth="1"/>
    <col min="3585" max="3585" width="13.33203125" customWidth="1"/>
    <col min="3586" max="3586" width="2.77734375" customWidth="1"/>
    <col min="3587" max="3587" width="6.77734375" customWidth="1"/>
    <col min="3588" max="3588" width="4.33203125" customWidth="1"/>
    <col min="3589" max="3589" width="3.77734375" customWidth="1"/>
    <col min="3590" max="3590" width="8.77734375" customWidth="1"/>
    <col min="3591" max="3591" width="15.77734375" customWidth="1"/>
    <col min="3592" max="3592" width="7.77734375" customWidth="1"/>
    <col min="3593" max="3593" width="3" customWidth="1"/>
    <col min="3594" max="3594" width="7.77734375" customWidth="1"/>
    <col min="3595" max="3595" width="3.5546875" customWidth="1"/>
    <col min="3596" max="3596" width="7.77734375" customWidth="1"/>
    <col min="3597" max="3597" width="9.5546875" customWidth="1"/>
    <col min="3598" max="3598" width="12.77734375" customWidth="1"/>
    <col min="3602" max="3602" width="9.77734375" customWidth="1"/>
    <col min="3606" max="3607" width="8.77734375" customWidth="1"/>
    <col min="3608" max="3608" width="10.77734375" customWidth="1"/>
    <col min="3609" max="3614" width="8.77734375" customWidth="1"/>
    <col min="3615" max="3615" width="9.109375" customWidth="1"/>
    <col min="3616" max="3628" width="8.77734375" customWidth="1"/>
    <col min="3629" max="3629" width="25.77734375" customWidth="1"/>
    <col min="3630" max="3631" width="8.77734375" customWidth="1"/>
    <col min="3632" max="3632" width="19.77734375" customWidth="1"/>
    <col min="3633" max="3635" width="8.77734375" customWidth="1"/>
    <col min="3637" max="3637" width="10.77734375" customWidth="1"/>
    <col min="3639" max="3640" width="11.77734375" customWidth="1"/>
    <col min="3642" max="3642" width="8.77734375" customWidth="1"/>
    <col min="3644" max="3644" width="21.77734375" customWidth="1"/>
    <col min="3648" max="3648" width="2.77734375" customWidth="1"/>
    <col min="3649" max="3649" width="20.77734375" customWidth="1"/>
    <col min="3653" max="3653" width="13.77734375" customWidth="1"/>
    <col min="3667" max="3667" width="32.5546875" bestFit="1" customWidth="1"/>
    <col min="3679" max="3679" width="9.77734375" customWidth="1"/>
    <col min="3835" max="3839" width="9.77734375" customWidth="1"/>
    <col min="3841" max="3841" width="13.33203125" customWidth="1"/>
    <col min="3842" max="3842" width="2.77734375" customWidth="1"/>
    <col min="3843" max="3843" width="6.77734375" customWidth="1"/>
    <col min="3844" max="3844" width="4.33203125" customWidth="1"/>
    <col min="3845" max="3845" width="3.77734375" customWidth="1"/>
    <col min="3846" max="3846" width="8.77734375" customWidth="1"/>
    <col min="3847" max="3847" width="15.77734375" customWidth="1"/>
    <col min="3848" max="3848" width="7.77734375" customWidth="1"/>
    <col min="3849" max="3849" width="3" customWidth="1"/>
    <col min="3850" max="3850" width="7.77734375" customWidth="1"/>
    <col min="3851" max="3851" width="3.5546875" customWidth="1"/>
    <col min="3852" max="3852" width="7.77734375" customWidth="1"/>
    <col min="3853" max="3853" width="9.5546875" customWidth="1"/>
    <col min="3854" max="3854" width="12.77734375" customWidth="1"/>
    <col min="3858" max="3858" width="9.77734375" customWidth="1"/>
    <col min="3862" max="3863" width="8.77734375" customWidth="1"/>
    <col min="3864" max="3864" width="10.77734375" customWidth="1"/>
    <col min="3865" max="3870" width="8.77734375" customWidth="1"/>
    <col min="3871" max="3871" width="9.109375" customWidth="1"/>
    <col min="3872" max="3884" width="8.77734375" customWidth="1"/>
    <col min="3885" max="3885" width="25.77734375" customWidth="1"/>
    <col min="3886" max="3887" width="8.77734375" customWidth="1"/>
    <col min="3888" max="3888" width="19.77734375" customWidth="1"/>
    <col min="3889" max="3891" width="8.77734375" customWidth="1"/>
    <col min="3893" max="3893" width="10.77734375" customWidth="1"/>
    <col min="3895" max="3896" width="11.77734375" customWidth="1"/>
    <col min="3898" max="3898" width="8.77734375" customWidth="1"/>
    <col min="3900" max="3900" width="21.77734375" customWidth="1"/>
    <col min="3904" max="3904" width="2.77734375" customWidth="1"/>
    <col min="3905" max="3905" width="20.77734375" customWidth="1"/>
    <col min="3909" max="3909" width="13.77734375" customWidth="1"/>
    <col min="3923" max="3923" width="32.5546875" bestFit="1" customWidth="1"/>
    <col min="3935" max="3935" width="9.77734375" customWidth="1"/>
    <col min="4091" max="4095" width="9.77734375" customWidth="1"/>
    <col min="4097" max="4097" width="13.33203125" customWidth="1"/>
    <col min="4098" max="4098" width="2.77734375" customWidth="1"/>
    <col min="4099" max="4099" width="6.77734375" customWidth="1"/>
    <col min="4100" max="4100" width="4.33203125" customWidth="1"/>
    <col min="4101" max="4101" width="3.77734375" customWidth="1"/>
    <col min="4102" max="4102" width="8.77734375" customWidth="1"/>
    <col min="4103" max="4103" width="15.77734375" customWidth="1"/>
    <col min="4104" max="4104" width="7.77734375" customWidth="1"/>
    <col min="4105" max="4105" width="3" customWidth="1"/>
    <col min="4106" max="4106" width="7.77734375" customWidth="1"/>
    <col min="4107" max="4107" width="3.5546875" customWidth="1"/>
    <col min="4108" max="4108" width="7.77734375" customWidth="1"/>
    <col min="4109" max="4109" width="9.5546875" customWidth="1"/>
    <col min="4110" max="4110" width="12.77734375" customWidth="1"/>
    <col min="4114" max="4114" width="9.77734375" customWidth="1"/>
    <col min="4118" max="4119" width="8.77734375" customWidth="1"/>
    <col min="4120" max="4120" width="10.77734375" customWidth="1"/>
    <col min="4121" max="4126" width="8.77734375" customWidth="1"/>
    <col min="4127" max="4127" width="9.109375" customWidth="1"/>
    <col min="4128" max="4140" width="8.77734375" customWidth="1"/>
    <col min="4141" max="4141" width="25.77734375" customWidth="1"/>
    <col min="4142" max="4143" width="8.77734375" customWidth="1"/>
    <col min="4144" max="4144" width="19.77734375" customWidth="1"/>
    <col min="4145" max="4147" width="8.77734375" customWidth="1"/>
    <col min="4149" max="4149" width="10.77734375" customWidth="1"/>
    <col min="4151" max="4152" width="11.77734375" customWidth="1"/>
    <col min="4154" max="4154" width="8.77734375" customWidth="1"/>
    <col min="4156" max="4156" width="21.77734375" customWidth="1"/>
    <col min="4160" max="4160" width="2.77734375" customWidth="1"/>
    <col min="4161" max="4161" width="20.77734375" customWidth="1"/>
    <col min="4165" max="4165" width="13.77734375" customWidth="1"/>
    <col min="4179" max="4179" width="32.5546875" bestFit="1" customWidth="1"/>
    <col min="4191" max="4191" width="9.77734375" customWidth="1"/>
    <col min="4347" max="4351" width="9.77734375" customWidth="1"/>
    <col min="4353" max="4353" width="13.33203125" customWidth="1"/>
    <col min="4354" max="4354" width="2.77734375" customWidth="1"/>
    <col min="4355" max="4355" width="6.77734375" customWidth="1"/>
    <col min="4356" max="4356" width="4.33203125" customWidth="1"/>
    <col min="4357" max="4357" width="3.77734375" customWidth="1"/>
    <col min="4358" max="4358" width="8.77734375" customWidth="1"/>
    <col min="4359" max="4359" width="15.77734375" customWidth="1"/>
    <col min="4360" max="4360" width="7.77734375" customWidth="1"/>
    <col min="4361" max="4361" width="3" customWidth="1"/>
    <col min="4362" max="4362" width="7.77734375" customWidth="1"/>
    <col min="4363" max="4363" width="3.5546875" customWidth="1"/>
    <col min="4364" max="4364" width="7.77734375" customWidth="1"/>
    <col min="4365" max="4365" width="9.5546875" customWidth="1"/>
    <col min="4366" max="4366" width="12.77734375" customWidth="1"/>
    <col min="4370" max="4370" width="9.77734375" customWidth="1"/>
    <col min="4374" max="4375" width="8.77734375" customWidth="1"/>
    <col min="4376" max="4376" width="10.77734375" customWidth="1"/>
    <col min="4377" max="4382" width="8.77734375" customWidth="1"/>
    <col min="4383" max="4383" width="9.109375" customWidth="1"/>
    <col min="4384" max="4396" width="8.77734375" customWidth="1"/>
    <col min="4397" max="4397" width="25.77734375" customWidth="1"/>
    <col min="4398" max="4399" width="8.77734375" customWidth="1"/>
    <col min="4400" max="4400" width="19.77734375" customWidth="1"/>
    <col min="4401" max="4403" width="8.77734375" customWidth="1"/>
    <col min="4405" max="4405" width="10.77734375" customWidth="1"/>
    <col min="4407" max="4408" width="11.77734375" customWidth="1"/>
    <col min="4410" max="4410" width="8.77734375" customWidth="1"/>
    <col min="4412" max="4412" width="21.77734375" customWidth="1"/>
    <col min="4416" max="4416" width="2.77734375" customWidth="1"/>
    <col min="4417" max="4417" width="20.77734375" customWidth="1"/>
    <col min="4421" max="4421" width="13.77734375" customWidth="1"/>
    <col min="4435" max="4435" width="32.5546875" bestFit="1" customWidth="1"/>
    <col min="4447" max="4447" width="9.77734375" customWidth="1"/>
    <col min="4603" max="4607" width="9.77734375" customWidth="1"/>
    <col min="4609" max="4609" width="13.33203125" customWidth="1"/>
    <col min="4610" max="4610" width="2.77734375" customWidth="1"/>
    <col min="4611" max="4611" width="6.77734375" customWidth="1"/>
    <col min="4612" max="4612" width="4.33203125" customWidth="1"/>
    <col min="4613" max="4613" width="3.77734375" customWidth="1"/>
    <col min="4614" max="4614" width="8.77734375" customWidth="1"/>
    <col min="4615" max="4615" width="15.77734375" customWidth="1"/>
    <col min="4616" max="4616" width="7.77734375" customWidth="1"/>
    <col min="4617" max="4617" width="3" customWidth="1"/>
    <col min="4618" max="4618" width="7.77734375" customWidth="1"/>
    <col min="4619" max="4619" width="3.5546875" customWidth="1"/>
    <col min="4620" max="4620" width="7.77734375" customWidth="1"/>
    <col min="4621" max="4621" width="9.5546875" customWidth="1"/>
    <col min="4622" max="4622" width="12.77734375" customWidth="1"/>
    <col min="4626" max="4626" width="9.77734375" customWidth="1"/>
    <col min="4630" max="4631" width="8.77734375" customWidth="1"/>
    <col min="4632" max="4632" width="10.77734375" customWidth="1"/>
    <col min="4633" max="4638" width="8.77734375" customWidth="1"/>
    <col min="4639" max="4639" width="9.109375" customWidth="1"/>
    <col min="4640" max="4652" width="8.77734375" customWidth="1"/>
    <col min="4653" max="4653" width="25.77734375" customWidth="1"/>
    <col min="4654" max="4655" width="8.77734375" customWidth="1"/>
    <col min="4656" max="4656" width="19.77734375" customWidth="1"/>
    <col min="4657" max="4659" width="8.77734375" customWidth="1"/>
    <col min="4661" max="4661" width="10.77734375" customWidth="1"/>
    <col min="4663" max="4664" width="11.77734375" customWidth="1"/>
    <col min="4666" max="4666" width="8.77734375" customWidth="1"/>
    <col min="4668" max="4668" width="21.77734375" customWidth="1"/>
    <col min="4672" max="4672" width="2.77734375" customWidth="1"/>
    <col min="4673" max="4673" width="20.77734375" customWidth="1"/>
    <col min="4677" max="4677" width="13.77734375" customWidth="1"/>
    <col min="4691" max="4691" width="32.5546875" bestFit="1" customWidth="1"/>
    <col min="4703" max="4703" width="9.77734375" customWidth="1"/>
    <col min="4859" max="4863" width="9.77734375" customWidth="1"/>
    <col min="4865" max="4865" width="13.33203125" customWidth="1"/>
    <col min="4866" max="4866" width="2.77734375" customWidth="1"/>
    <col min="4867" max="4867" width="6.77734375" customWidth="1"/>
    <col min="4868" max="4868" width="4.33203125" customWidth="1"/>
    <col min="4869" max="4869" width="3.77734375" customWidth="1"/>
    <col min="4870" max="4870" width="8.77734375" customWidth="1"/>
    <col min="4871" max="4871" width="15.77734375" customWidth="1"/>
    <col min="4872" max="4872" width="7.77734375" customWidth="1"/>
    <col min="4873" max="4873" width="3" customWidth="1"/>
    <col min="4874" max="4874" width="7.77734375" customWidth="1"/>
    <col min="4875" max="4875" width="3.5546875" customWidth="1"/>
    <col min="4876" max="4876" width="7.77734375" customWidth="1"/>
    <col min="4877" max="4877" width="9.5546875" customWidth="1"/>
    <col min="4878" max="4878" width="12.77734375" customWidth="1"/>
    <col min="4882" max="4882" width="9.77734375" customWidth="1"/>
    <col min="4886" max="4887" width="8.77734375" customWidth="1"/>
    <col min="4888" max="4888" width="10.77734375" customWidth="1"/>
    <col min="4889" max="4894" width="8.77734375" customWidth="1"/>
    <col min="4895" max="4895" width="9.109375" customWidth="1"/>
    <col min="4896" max="4908" width="8.77734375" customWidth="1"/>
    <col min="4909" max="4909" width="25.77734375" customWidth="1"/>
    <col min="4910" max="4911" width="8.77734375" customWidth="1"/>
    <col min="4912" max="4912" width="19.77734375" customWidth="1"/>
    <col min="4913" max="4915" width="8.77734375" customWidth="1"/>
    <col min="4917" max="4917" width="10.77734375" customWidth="1"/>
    <col min="4919" max="4920" width="11.77734375" customWidth="1"/>
    <col min="4922" max="4922" width="8.77734375" customWidth="1"/>
    <col min="4924" max="4924" width="21.77734375" customWidth="1"/>
    <col min="4928" max="4928" width="2.77734375" customWidth="1"/>
    <col min="4929" max="4929" width="20.77734375" customWidth="1"/>
    <col min="4933" max="4933" width="13.77734375" customWidth="1"/>
    <col min="4947" max="4947" width="32.5546875" bestFit="1" customWidth="1"/>
    <col min="4959" max="4959" width="9.77734375" customWidth="1"/>
    <col min="5115" max="5119" width="9.77734375" customWidth="1"/>
    <col min="5121" max="5121" width="13.33203125" customWidth="1"/>
    <col min="5122" max="5122" width="2.77734375" customWidth="1"/>
    <col min="5123" max="5123" width="6.77734375" customWidth="1"/>
    <col min="5124" max="5124" width="4.33203125" customWidth="1"/>
    <col min="5125" max="5125" width="3.77734375" customWidth="1"/>
    <col min="5126" max="5126" width="8.77734375" customWidth="1"/>
    <col min="5127" max="5127" width="15.77734375" customWidth="1"/>
    <col min="5128" max="5128" width="7.77734375" customWidth="1"/>
    <col min="5129" max="5129" width="3" customWidth="1"/>
    <col min="5130" max="5130" width="7.77734375" customWidth="1"/>
    <col min="5131" max="5131" width="3.5546875" customWidth="1"/>
    <col min="5132" max="5132" width="7.77734375" customWidth="1"/>
    <col min="5133" max="5133" width="9.5546875" customWidth="1"/>
    <col min="5134" max="5134" width="12.77734375" customWidth="1"/>
    <col min="5138" max="5138" width="9.77734375" customWidth="1"/>
    <col min="5142" max="5143" width="8.77734375" customWidth="1"/>
    <col min="5144" max="5144" width="10.77734375" customWidth="1"/>
    <col min="5145" max="5150" width="8.77734375" customWidth="1"/>
    <col min="5151" max="5151" width="9.109375" customWidth="1"/>
    <col min="5152" max="5164" width="8.77734375" customWidth="1"/>
    <col min="5165" max="5165" width="25.77734375" customWidth="1"/>
    <col min="5166" max="5167" width="8.77734375" customWidth="1"/>
    <col min="5168" max="5168" width="19.77734375" customWidth="1"/>
    <col min="5169" max="5171" width="8.77734375" customWidth="1"/>
    <col min="5173" max="5173" width="10.77734375" customWidth="1"/>
    <col min="5175" max="5176" width="11.77734375" customWidth="1"/>
    <col min="5178" max="5178" width="8.77734375" customWidth="1"/>
    <col min="5180" max="5180" width="21.77734375" customWidth="1"/>
    <col min="5184" max="5184" width="2.77734375" customWidth="1"/>
    <col min="5185" max="5185" width="20.77734375" customWidth="1"/>
    <col min="5189" max="5189" width="13.77734375" customWidth="1"/>
    <col min="5203" max="5203" width="32.5546875" bestFit="1" customWidth="1"/>
    <col min="5215" max="5215" width="9.77734375" customWidth="1"/>
    <col min="5371" max="5375" width="9.77734375" customWidth="1"/>
    <col min="5377" max="5377" width="13.33203125" customWidth="1"/>
    <col min="5378" max="5378" width="2.77734375" customWidth="1"/>
    <col min="5379" max="5379" width="6.77734375" customWidth="1"/>
    <col min="5380" max="5380" width="4.33203125" customWidth="1"/>
    <col min="5381" max="5381" width="3.77734375" customWidth="1"/>
    <col min="5382" max="5382" width="8.77734375" customWidth="1"/>
    <col min="5383" max="5383" width="15.77734375" customWidth="1"/>
    <col min="5384" max="5384" width="7.77734375" customWidth="1"/>
    <col min="5385" max="5385" width="3" customWidth="1"/>
    <col min="5386" max="5386" width="7.77734375" customWidth="1"/>
    <col min="5387" max="5387" width="3.5546875" customWidth="1"/>
    <col min="5388" max="5388" width="7.77734375" customWidth="1"/>
    <col min="5389" max="5389" width="9.5546875" customWidth="1"/>
    <col min="5390" max="5390" width="12.77734375" customWidth="1"/>
    <col min="5394" max="5394" width="9.77734375" customWidth="1"/>
    <col min="5398" max="5399" width="8.77734375" customWidth="1"/>
    <col min="5400" max="5400" width="10.77734375" customWidth="1"/>
    <col min="5401" max="5406" width="8.77734375" customWidth="1"/>
    <col min="5407" max="5407" width="9.109375" customWidth="1"/>
    <col min="5408" max="5420" width="8.77734375" customWidth="1"/>
    <col min="5421" max="5421" width="25.77734375" customWidth="1"/>
    <col min="5422" max="5423" width="8.77734375" customWidth="1"/>
    <col min="5424" max="5424" width="19.77734375" customWidth="1"/>
    <col min="5425" max="5427" width="8.77734375" customWidth="1"/>
    <col min="5429" max="5429" width="10.77734375" customWidth="1"/>
    <col min="5431" max="5432" width="11.77734375" customWidth="1"/>
    <col min="5434" max="5434" width="8.77734375" customWidth="1"/>
    <col min="5436" max="5436" width="21.77734375" customWidth="1"/>
    <col min="5440" max="5440" width="2.77734375" customWidth="1"/>
    <col min="5441" max="5441" width="20.77734375" customWidth="1"/>
    <col min="5445" max="5445" width="13.77734375" customWidth="1"/>
    <col min="5459" max="5459" width="32.5546875" bestFit="1" customWidth="1"/>
    <col min="5471" max="5471" width="9.77734375" customWidth="1"/>
    <col min="5627" max="5631" width="9.77734375" customWidth="1"/>
    <col min="5633" max="5633" width="13.33203125" customWidth="1"/>
    <col min="5634" max="5634" width="2.77734375" customWidth="1"/>
    <col min="5635" max="5635" width="6.77734375" customWidth="1"/>
    <col min="5636" max="5636" width="4.33203125" customWidth="1"/>
    <col min="5637" max="5637" width="3.77734375" customWidth="1"/>
    <col min="5638" max="5638" width="8.77734375" customWidth="1"/>
    <col min="5639" max="5639" width="15.77734375" customWidth="1"/>
    <col min="5640" max="5640" width="7.77734375" customWidth="1"/>
    <col min="5641" max="5641" width="3" customWidth="1"/>
    <col min="5642" max="5642" width="7.77734375" customWidth="1"/>
    <col min="5643" max="5643" width="3.5546875" customWidth="1"/>
    <col min="5644" max="5644" width="7.77734375" customWidth="1"/>
    <col min="5645" max="5645" width="9.5546875" customWidth="1"/>
    <col min="5646" max="5646" width="12.77734375" customWidth="1"/>
    <col min="5650" max="5650" width="9.77734375" customWidth="1"/>
    <col min="5654" max="5655" width="8.77734375" customWidth="1"/>
    <col min="5656" max="5656" width="10.77734375" customWidth="1"/>
    <col min="5657" max="5662" width="8.77734375" customWidth="1"/>
    <col min="5663" max="5663" width="9.109375" customWidth="1"/>
    <col min="5664" max="5676" width="8.77734375" customWidth="1"/>
    <col min="5677" max="5677" width="25.77734375" customWidth="1"/>
    <col min="5678" max="5679" width="8.77734375" customWidth="1"/>
    <col min="5680" max="5680" width="19.77734375" customWidth="1"/>
    <col min="5681" max="5683" width="8.77734375" customWidth="1"/>
    <col min="5685" max="5685" width="10.77734375" customWidth="1"/>
    <col min="5687" max="5688" width="11.77734375" customWidth="1"/>
    <col min="5690" max="5690" width="8.77734375" customWidth="1"/>
    <col min="5692" max="5692" width="21.77734375" customWidth="1"/>
    <col min="5696" max="5696" width="2.77734375" customWidth="1"/>
    <col min="5697" max="5697" width="20.77734375" customWidth="1"/>
    <col min="5701" max="5701" width="13.77734375" customWidth="1"/>
    <col min="5715" max="5715" width="32.5546875" bestFit="1" customWidth="1"/>
    <col min="5727" max="5727" width="9.77734375" customWidth="1"/>
    <col min="5883" max="5887" width="9.77734375" customWidth="1"/>
    <col min="5889" max="5889" width="13.33203125" customWidth="1"/>
    <col min="5890" max="5890" width="2.77734375" customWidth="1"/>
    <col min="5891" max="5891" width="6.77734375" customWidth="1"/>
    <col min="5892" max="5892" width="4.33203125" customWidth="1"/>
    <col min="5893" max="5893" width="3.77734375" customWidth="1"/>
    <col min="5894" max="5894" width="8.77734375" customWidth="1"/>
    <col min="5895" max="5895" width="15.77734375" customWidth="1"/>
    <col min="5896" max="5896" width="7.77734375" customWidth="1"/>
    <col min="5897" max="5897" width="3" customWidth="1"/>
    <col min="5898" max="5898" width="7.77734375" customWidth="1"/>
    <col min="5899" max="5899" width="3.5546875" customWidth="1"/>
    <col min="5900" max="5900" width="7.77734375" customWidth="1"/>
    <col min="5901" max="5901" width="9.5546875" customWidth="1"/>
    <col min="5902" max="5902" width="12.77734375" customWidth="1"/>
    <col min="5906" max="5906" width="9.77734375" customWidth="1"/>
    <col min="5910" max="5911" width="8.77734375" customWidth="1"/>
    <col min="5912" max="5912" width="10.77734375" customWidth="1"/>
    <col min="5913" max="5918" width="8.77734375" customWidth="1"/>
    <col min="5919" max="5919" width="9.109375" customWidth="1"/>
    <col min="5920" max="5932" width="8.77734375" customWidth="1"/>
    <col min="5933" max="5933" width="25.77734375" customWidth="1"/>
    <col min="5934" max="5935" width="8.77734375" customWidth="1"/>
    <col min="5936" max="5936" width="19.77734375" customWidth="1"/>
    <col min="5937" max="5939" width="8.77734375" customWidth="1"/>
    <col min="5941" max="5941" width="10.77734375" customWidth="1"/>
    <col min="5943" max="5944" width="11.77734375" customWidth="1"/>
    <col min="5946" max="5946" width="8.77734375" customWidth="1"/>
    <col min="5948" max="5948" width="21.77734375" customWidth="1"/>
    <col min="5952" max="5952" width="2.77734375" customWidth="1"/>
    <col min="5953" max="5953" width="20.77734375" customWidth="1"/>
    <col min="5957" max="5957" width="13.77734375" customWidth="1"/>
    <col min="5971" max="5971" width="32.5546875" bestFit="1" customWidth="1"/>
    <col min="5983" max="5983" width="9.77734375" customWidth="1"/>
    <col min="6139" max="6143" width="9.77734375" customWidth="1"/>
    <col min="6145" max="6145" width="13.33203125" customWidth="1"/>
    <col min="6146" max="6146" width="2.77734375" customWidth="1"/>
    <col min="6147" max="6147" width="6.77734375" customWidth="1"/>
    <col min="6148" max="6148" width="4.33203125" customWidth="1"/>
    <col min="6149" max="6149" width="3.77734375" customWidth="1"/>
    <col min="6150" max="6150" width="8.77734375" customWidth="1"/>
    <col min="6151" max="6151" width="15.77734375" customWidth="1"/>
    <col min="6152" max="6152" width="7.77734375" customWidth="1"/>
    <col min="6153" max="6153" width="3" customWidth="1"/>
    <col min="6154" max="6154" width="7.77734375" customWidth="1"/>
    <col min="6155" max="6155" width="3.5546875" customWidth="1"/>
    <col min="6156" max="6156" width="7.77734375" customWidth="1"/>
    <col min="6157" max="6157" width="9.5546875" customWidth="1"/>
    <col min="6158" max="6158" width="12.77734375" customWidth="1"/>
    <col min="6162" max="6162" width="9.77734375" customWidth="1"/>
    <col min="6166" max="6167" width="8.77734375" customWidth="1"/>
    <col min="6168" max="6168" width="10.77734375" customWidth="1"/>
    <col min="6169" max="6174" width="8.77734375" customWidth="1"/>
    <col min="6175" max="6175" width="9.109375" customWidth="1"/>
    <col min="6176" max="6188" width="8.77734375" customWidth="1"/>
    <col min="6189" max="6189" width="25.77734375" customWidth="1"/>
    <col min="6190" max="6191" width="8.77734375" customWidth="1"/>
    <col min="6192" max="6192" width="19.77734375" customWidth="1"/>
    <col min="6193" max="6195" width="8.77734375" customWidth="1"/>
    <col min="6197" max="6197" width="10.77734375" customWidth="1"/>
    <col min="6199" max="6200" width="11.77734375" customWidth="1"/>
    <col min="6202" max="6202" width="8.77734375" customWidth="1"/>
    <col min="6204" max="6204" width="21.77734375" customWidth="1"/>
    <col min="6208" max="6208" width="2.77734375" customWidth="1"/>
    <col min="6209" max="6209" width="20.77734375" customWidth="1"/>
    <col min="6213" max="6213" width="13.77734375" customWidth="1"/>
    <col min="6227" max="6227" width="32.5546875" bestFit="1" customWidth="1"/>
    <col min="6239" max="6239" width="9.77734375" customWidth="1"/>
    <col min="6395" max="6399" width="9.77734375" customWidth="1"/>
    <col min="6401" max="6401" width="13.33203125" customWidth="1"/>
    <col min="6402" max="6402" width="2.77734375" customWidth="1"/>
    <col min="6403" max="6403" width="6.77734375" customWidth="1"/>
    <col min="6404" max="6404" width="4.33203125" customWidth="1"/>
    <col min="6405" max="6405" width="3.77734375" customWidth="1"/>
    <col min="6406" max="6406" width="8.77734375" customWidth="1"/>
    <col min="6407" max="6407" width="15.77734375" customWidth="1"/>
    <col min="6408" max="6408" width="7.77734375" customWidth="1"/>
    <col min="6409" max="6409" width="3" customWidth="1"/>
    <col min="6410" max="6410" width="7.77734375" customWidth="1"/>
    <col min="6411" max="6411" width="3.5546875" customWidth="1"/>
    <col min="6412" max="6412" width="7.77734375" customWidth="1"/>
    <col min="6413" max="6413" width="9.5546875" customWidth="1"/>
    <col min="6414" max="6414" width="12.77734375" customWidth="1"/>
    <col min="6418" max="6418" width="9.77734375" customWidth="1"/>
    <col min="6422" max="6423" width="8.77734375" customWidth="1"/>
    <col min="6424" max="6424" width="10.77734375" customWidth="1"/>
    <col min="6425" max="6430" width="8.77734375" customWidth="1"/>
    <col min="6431" max="6431" width="9.109375" customWidth="1"/>
    <col min="6432" max="6444" width="8.77734375" customWidth="1"/>
    <col min="6445" max="6445" width="25.77734375" customWidth="1"/>
    <col min="6446" max="6447" width="8.77734375" customWidth="1"/>
    <col min="6448" max="6448" width="19.77734375" customWidth="1"/>
    <col min="6449" max="6451" width="8.77734375" customWidth="1"/>
    <col min="6453" max="6453" width="10.77734375" customWidth="1"/>
    <col min="6455" max="6456" width="11.77734375" customWidth="1"/>
    <col min="6458" max="6458" width="8.77734375" customWidth="1"/>
    <col min="6460" max="6460" width="21.77734375" customWidth="1"/>
    <col min="6464" max="6464" width="2.77734375" customWidth="1"/>
    <col min="6465" max="6465" width="20.77734375" customWidth="1"/>
    <col min="6469" max="6469" width="13.77734375" customWidth="1"/>
    <col min="6483" max="6483" width="32.5546875" bestFit="1" customWidth="1"/>
    <col min="6495" max="6495" width="9.77734375" customWidth="1"/>
    <col min="6651" max="6655" width="9.77734375" customWidth="1"/>
    <col min="6657" max="6657" width="13.33203125" customWidth="1"/>
    <col min="6658" max="6658" width="2.77734375" customWidth="1"/>
    <col min="6659" max="6659" width="6.77734375" customWidth="1"/>
    <col min="6660" max="6660" width="4.33203125" customWidth="1"/>
    <col min="6661" max="6661" width="3.77734375" customWidth="1"/>
    <col min="6662" max="6662" width="8.77734375" customWidth="1"/>
    <col min="6663" max="6663" width="15.77734375" customWidth="1"/>
    <col min="6664" max="6664" width="7.77734375" customWidth="1"/>
    <col min="6665" max="6665" width="3" customWidth="1"/>
    <col min="6666" max="6666" width="7.77734375" customWidth="1"/>
    <col min="6667" max="6667" width="3.5546875" customWidth="1"/>
    <col min="6668" max="6668" width="7.77734375" customWidth="1"/>
    <col min="6669" max="6669" width="9.5546875" customWidth="1"/>
    <col min="6670" max="6670" width="12.77734375" customWidth="1"/>
    <col min="6674" max="6674" width="9.77734375" customWidth="1"/>
    <col min="6678" max="6679" width="8.77734375" customWidth="1"/>
    <col min="6680" max="6680" width="10.77734375" customWidth="1"/>
    <col min="6681" max="6686" width="8.77734375" customWidth="1"/>
    <col min="6687" max="6687" width="9.109375" customWidth="1"/>
    <col min="6688" max="6700" width="8.77734375" customWidth="1"/>
    <col min="6701" max="6701" width="25.77734375" customWidth="1"/>
    <col min="6702" max="6703" width="8.77734375" customWidth="1"/>
    <col min="6704" max="6704" width="19.77734375" customWidth="1"/>
    <col min="6705" max="6707" width="8.77734375" customWidth="1"/>
    <col min="6709" max="6709" width="10.77734375" customWidth="1"/>
    <col min="6711" max="6712" width="11.77734375" customWidth="1"/>
    <col min="6714" max="6714" width="8.77734375" customWidth="1"/>
    <col min="6716" max="6716" width="21.77734375" customWidth="1"/>
    <col min="6720" max="6720" width="2.77734375" customWidth="1"/>
    <col min="6721" max="6721" width="20.77734375" customWidth="1"/>
    <col min="6725" max="6725" width="13.77734375" customWidth="1"/>
    <col min="6739" max="6739" width="32.5546875" bestFit="1" customWidth="1"/>
    <col min="6751" max="6751" width="9.77734375" customWidth="1"/>
    <col min="6907" max="6911" width="9.77734375" customWidth="1"/>
    <col min="6913" max="6913" width="13.33203125" customWidth="1"/>
    <col min="6914" max="6914" width="2.77734375" customWidth="1"/>
    <col min="6915" max="6915" width="6.77734375" customWidth="1"/>
    <col min="6916" max="6916" width="4.33203125" customWidth="1"/>
    <col min="6917" max="6917" width="3.77734375" customWidth="1"/>
    <col min="6918" max="6918" width="8.77734375" customWidth="1"/>
    <col min="6919" max="6919" width="15.77734375" customWidth="1"/>
    <col min="6920" max="6920" width="7.77734375" customWidth="1"/>
    <col min="6921" max="6921" width="3" customWidth="1"/>
    <col min="6922" max="6922" width="7.77734375" customWidth="1"/>
    <col min="6923" max="6923" width="3.5546875" customWidth="1"/>
    <col min="6924" max="6924" width="7.77734375" customWidth="1"/>
    <col min="6925" max="6925" width="9.5546875" customWidth="1"/>
    <col min="6926" max="6926" width="12.77734375" customWidth="1"/>
    <col min="6930" max="6930" width="9.77734375" customWidth="1"/>
    <col min="6934" max="6935" width="8.77734375" customWidth="1"/>
    <col min="6936" max="6936" width="10.77734375" customWidth="1"/>
    <col min="6937" max="6942" width="8.77734375" customWidth="1"/>
    <col min="6943" max="6943" width="9.109375" customWidth="1"/>
    <col min="6944" max="6956" width="8.77734375" customWidth="1"/>
    <col min="6957" max="6957" width="25.77734375" customWidth="1"/>
    <col min="6958" max="6959" width="8.77734375" customWidth="1"/>
    <col min="6960" max="6960" width="19.77734375" customWidth="1"/>
    <col min="6961" max="6963" width="8.77734375" customWidth="1"/>
    <col min="6965" max="6965" width="10.77734375" customWidth="1"/>
    <col min="6967" max="6968" width="11.77734375" customWidth="1"/>
    <col min="6970" max="6970" width="8.77734375" customWidth="1"/>
    <col min="6972" max="6972" width="21.77734375" customWidth="1"/>
    <col min="6976" max="6976" width="2.77734375" customWidth="1"/>
    <col min="6977" max="6977" width="20.77734375" customWidth="1"/>
    <col min="6981" max="6981" width="13.77734375" customWidth="1"/>
    <col min="6995" max="6995" width="32.5546875" bestFit="1" customWidth="1"/>
    <col min="7007" max="7007" width="9.77734375" customWidth="1"/>
    <col min="7163" max="7167" width="9.77734375" customWidth="1"/>
    <col min="7169" max="7169" width="13.33203125" customWidth="1"/>
    <col min="7170" max="7170" width="2.77734375" customWidth="1"/>
    <col min="7171" max="7171" width="6.77734375" customWidth="1"/>
    <col min="7172" max="7172" width="4.33203125" customWidth="1"/>
    <col min="7173" max="7173" width="3.77734375" customWidth="1"/>
    <col min="7174" max="7174" width="8.77734375" customWidth="1"/>
    <col min="7175" max="7175" width="15.77734375" customWidth="1"/>
    <col min="7176" max="7176" width="7.77734375" customWidth="1"/>
    <col min="7177" max="7177" width="3" customWidth="1"/>
    <col min="7178" max="7178" width="7.77734375" customWidth="1"/>
    <col min="7179" max="7179" width="3.5546875" customWidth="1"/>
    <col min="7180" max="7180" width="7.77734375" customWidth="1"/>
    <col min="7181" max="7181" width="9.5546875" customWidth="1"/>
    <col min="7182" max="7182" width="12.77734375" customWidth="1"/>
    <col min="7186" max="7186" width="9.77734375" customWidth="1"/>
    <col min="7190" max="7191" width="8.77734375" customWidth="1"/>
    <col min="7192" max="7192" width="10.77734375" customWidth="1"/>
    <col min="7193" max="7198" width="8.77734375" customWidth="1"/>
    <col min="7199" max="7199" width="9.109375" customWidth="1"/>
    <col min="7200" max="7212" width="8.77734375" customWidth="1"/>
    <col min="7213" max="7213" width="25.77734375" customWidth="1"/>
    <col min="7214" max="7215" width="8.77734375" customWidth="1"/>
    <col min="7216" max="7216" width="19.77734375" customWidth="1"/>
    <col min="7217" max="7219" width="8.77734375" customWidth="1"/>
    <col min="7221" max="7221" width="10.77734375" customWidth="1"/>
    <col min="7223" max="7224" width="11.77734375" customWidth="1"/>
    <col min="7226" max="7226" width="8.77734375" customWidth="1"/>
    <col min="7228" max="7228" width="21.77734375" customWidth="1"/>
    <col min="7232" max="7232" width="2.77734375" customWidth="1"/>
    <col min="7233" max="7233" width="20.77734375" customWidth="1"/>
    <col min="7237" max="7237" width="13.77734375" customWidth="1"/>
    <col min="7251" max="7251" width="32.5546875" bestFit="1" customWidth="1"/>
    <col min="7263" max="7263" width="9.77734375" customWidth="1"/>
    <col min="7419" max="7423" width="9.77734375" customWidth="1"/>
    <col min="7425" max="7425" width="13.33203125" customWidth="1"/>
    <col min="7426" max="7426" width="2.77734375" customWidth="1"/>
    <col min="7427" max="7427" width="6.77734375" customWidth="1"/>
    <col min="7428" max="7428" width="4.33203125" customWidth="1"/>
    <col min="7429" max="7429" width="3.77734375" customWidth="1"/>
    <col min="7430" max="7430" width="8.77734375" customWidth="1"/>
    <col min="7431" max="7431" width="15.77734375" customWidth="1"/>
    <col min="7432" max="7432" width="7.77734375" customWidth="1"/>
    <col min="7433" max="7433" width="3" customWidth="1"/>
    <col min="7434" max="7434" width="7.77734375" customWidth="1"/>
    <col min="7435" max="7435" width="3.5546875" customWidth="1"/>
    <col min="7436" max="7436" width="7.77734375" customWidth="1"/>
    <col min="7437" max="7437" width="9.5546875" customWidth="1"/>
    <col min="7438" max="7438" width="12.77734375" customWidth="1"/>
    <col min="7442" max="7442" width="9.77734375" customWidth="1"/>
    <col min="7446" max="7447" width="8.77734375" customWidth="1"/>
    <col min="7448" max="7448" width="10.77734375" customWidth="1"/>
    <col min="7449" max="7454" width="8.77734375" customWidth="1"/>
    <col min="7455" max="7455" width="9.109375" customWidth="1"/>
    <col min="7456" max="7468" width="8.77734375" customWidth="1"/>
    <col min="7469" max="7469" width="25.77734375" customWidth="1"/>
    <col min="7470" max="7471" width="8.77734375" customWidth="1"/>
    <col min="7472" max="7472" width="19.77734375" customWidth="1"/>
    <col min="7473" max="7475" width="8.77734375" customWidth="1"/>
    <col min="7477" max="7477" width="10.77734375" customWidth="1"/>
    <col min="7479" max="7480" width="11.77734375" customWidth="1"/>
    <col min="7482" max="7482" width="8.77734375" customWidth="1"/>
    <col min="7484" max="7484" width="21.77734375" customWidth="1"/>
    <col min="7488" max="7488" width="2.77734375" customWidth="1"/>
    <col min="7489" max="7489" width="20.77734375" customWidth="1"/>
    <col min="7493" max="7493" width="13.77734375" customWidth="1"/>
    <col min="7507" max="7507" width="32.5546875" bestFit="1" customWidth="1"/>
    <col min="7519" max="7519" width="9.77734375" customWidth="1"/>
    <col min="7675" max="7679" width="9.77734375" customWidth="1"/>
    <col min="7681" max="7681" width="13.33203125" customWidth="1"/>
    <col min="7682" max="7682" width="2.77734375" customWidth="1"/>
    <col min="7683" max="7683" width="6.77734375" customWidth="1"/>
    <col min="7684" max="7684" width="4.33203125" customWidth="1"/>
    <col min="7685" max="7685" width="3.77734375" customWidth="1"/>
    <col min="7686" max="7686" width="8.77734375" customWidth="1"/>
    <col min="7687" max="7687" width="15.77734375" customWidth="1"/>
    <col min="7688" max="7688" width="7.77734375" customWidth="1"/>
    <col min="7689" max="7689" width="3" customWidth="1"/>
    <col min="7690" max="7690" width="7.77734375" customWidth="1"/>
    <col min="7691" max="7691" width="3.5546875" customWidth="1"/>
    <col min="7692" max="7692" width="7.77734375" customWidth="1"/>
    <col min="7693" max="7693" width="9.5546875" customWidth="1"/>
    <col min="7694" max="7694" width="12.77734375" customWidth="1"/>
    <col min="7698" max="7698" width="9.77734375" customWidth="1"/>
    <col min="7702" max="7703" width="8.77734375" customWidth="1"/>
    <col min="7704" max="7704" width="10.77734375" customWidth="1"/>
    <col min="7705" max="7710" width="8.77734375" customWidth="1"/>
    <col min="7711" max="7711" width="9.109375" customWidth="1"/>
    <col min="7712" max="7724" width="8.77734375" customWidth="1"/>
    <col min="7725" max="7725" width="25.77734375" customWidth="1"/>
    <col min="7726" max="7727" width="8.77734375" customWidth="1"/>
    <col min="7728" max="7728" width="19.77734375" customWidth="1"/>
    <col min="7729" max="7731" width="8.77734375" customWidth="1"/>
    <col min="7733" max="7733" width="10.77734375" customWidth="1"/>
    <col min="7735" max="7736" width="11.77734375" customWidth="1"/>
    <col min="7738" max="7738" width="8.77734375" customWidth="1"/>
    <col min="7740" max="7740" width="21.77734375" customWidth="1"/>
    <col min="7744" max="7744" width="2.77734375" customWidth="1"/>
    <col min="7745" max="7745" width="20.77734375" customWidth="1"/>
    <col min="7749" max="7749" width="13.77734375" customWidth="1"/>
    <col min="7763" max="7763" width="32.5546875" bestFit="1" customWidth="1"/>
    <col min="7775" max="7775" width="9.77734375" customWidth="1"/>
    <col min="7931" max="7935" width="9.77734375" customWidth="1"/>
    <col min="7937" max="7937" width="13.33203125" customWidth="1"/>
    <col min="7938" max="7938" width="2.77734375" customWidth="1"/>
    <col min="7939" max="7939" width="6.77734375" customWidth="1"/>
    <col min="7940" max="7940" width="4.33203125" customWidth="1"/>
    <col min="7941" max="7941" width="3.77734375" customWidth="1"/>
    <col min="7942" max="7942" width="8.77734375" customWidth="1"/>
    <col min="7943" max="7943" width="15.77734375" customWidth="1"/>
    <col min="7944" max="7944" width="7.77734375" customWidth="1"/>
    <col min="7945" max="7945" width="3" customWidth="1"/>
    <col min="7946" max="7946" width="7.77734375" customWidth="1"/>
    <col min="7947" max="7947" width="3.5546875" customWidth="1"/>
    <col min="7948" max="7948" width="7.77734375" customWidth="1"/>
    <col min="7949" max="7949" width="9.5546875" customWidth="1"/>
    <col min="7950" max="7950" width="12.77734375" customWidth="1"/>
    <col min="7954" max="7954" width="9.77734375" customWidth="1"/>
    <col min="7958" max="7959" width="8.77734375" customWidth="1"/>
    <col min="7960" max="7960" width="10.77734375" customWidth="1"/>
    <col min="7961" max="7966" width="8.77734375" customWidth="1"/>
    <col min="7967" max="7967" width="9.109375" customWidth="1"/>
    <col min="7968" max="7980" width="8.77734375" customWidth="1"/>
    <col min="7981" max="7981" width="25.77734375" customWidth="1"/>
    <col min="7982" max="7983" width="8.77734375" customWidth="1"/>
    <col min="7984" max="7984" width="19.77734375" customWidth="1"/>
    <col min="7985" max="7987" width="8.77734375" customWidth="1"/>
    <col min="7989" max="7989" width="10.77734375" customWidth="1"/>
    <col min="7991" max="7992" width="11.77734375" customWidth="1"/>
    <col min="7994" max="7994" width="8.77734375" customWidth="1"/>
    <col min="7996" max="7996" width="21.77734375" customWidth="1"/>
    <col min="8000" max="8000" width="2.77734375" customWidth="1"/>
    <col min="8001" max="8001" width="20.77734375" customWidth="1"/>
    <col min="8005" max="8005" width="13.77734375" customWidth="1"/>
    <col min="8019" max="8019" width="32.5546875" bestFit="1" customWidth="1"/>
    <col min="8031" max="8031" width="9.77734375" customWidth="1"/>
    <col min="8187" max="8191" width="9.77734375" customWidth="1"/>
    <col min="8193" max="8193" width="13.33203125" customWidth="1"/>
    <col min="8194" max="8194" width="2.77734375" customWidth="1"/>
    <col min="8195" max="8195" width="6.77734375" customWidth="1"/>
    <col min="8196" max="8196" width="4.33203125" customWidth="1"/>
    <col min="8197" max="8197" width="3.77734375" customWidth="1"/>
    <col min="8198" max="8198" width="8.77734375" customWidth="1"/>
    <col min="8199" max="8199" width="15.77734375" customWidth="1"/>
    <col min="8200" max="8200" width="7.77734375" customWidth="1"/>
    <col min="8201" max="8201" width="3" customWidth="1"/>
    <col min="8202" max="8202" width="7.77734375" customWidth="1"/>
    <col min="8203" max="8203" width="3.5546875" customWidth="1"/>
    <col min="8204" max="8204" width="7.77734375" customWidth="1"/>
    <col min="8205" max="8205" width="9.5546875" customWidth="1"/>
    <col min="8206" max="8206" width="12.77734375" customWidth="1"/>
    <col min="8210" max="8210" width="9.77734375" customWidth="1"/>
    <col min="8214" max="8215" width="8.77734375" customWidth="1"/>
    <col min="8216" max="8216" width="10.77734375" customWidth="1"/>
    <col min="8217" max="8222" width="8.77734375" customWidth="1"/>
    <col min="8223" max="8223" width="9.109375" customWidth="1"/>
    <col min="8224" max="8236" width="8.77734375" customWidth="1"/>
    <col min="8237" max="8237" width="25.77734375" customWidth="1"/>
    <col min="8238" max="8239" width="8.77734375" customWidth="1"/>
    <col min="8240" max="8240" width="19.77734375" customWidth="1"/>
    <col min="8241" max="8243" width="8.77734375" customWidth="1"/>
    <col min="8245" max="8245" width="10.77734375" customWidth="1"/>
    <col min="8247" max="8248" width="11.77734375" customWidth="1"/>
    <col min="8250" max="8250" width="8.77734375" customWidth="1"/>
    <col min="8252" max="8252" width="21.77734375" customWidth="1"/>
    <col min="8256" max="8256" width="2.77734375" customWidth="1"/>
    <col min="8257" max="8257" width="20.77734375" customWidth="1"/>
    <col min="8261" max="8261" width="13.77734375" customWidth="1"/>
    <col min="8275" max="8275" width="32.5546875" bestFit="1" customWidth="1"/>
    <col min="8287" max="8287" width="9.77734375" customWidth="1"/>
    <col min="8443" max="8447" width="9.77734375" customWidth="1"/>
    <col min="8449" max="8449" width="13.33203125" customWidth="1"/>
    <col min="8450" max="8450" width="2.77734375" customWidth="1"/>
    <col min="8451" max="8451" width="6.77734375" customWidth="1"/>
    <col min="8452" max="8452" width="4.33203125" customWidth="1"/>
    <col min="8453" max="8453" width="3.77734375" customWidth="1"/>
    <col min="8454" max="8454" width="8.77734375" customWidth="1"/>
    <col min="8455" max="8455" width="15.77734375" customWidth="1"/>
    <col min="8456" max="8456" width="7.77734375" customWidth="1"/>
    <col min="8457" max="8457" width="3" customWidth="1"/>
    <col min="8458" max="8458" width="7.77734375" customWidth="1"/>
    <col min="8459" max="8459" width="3.5546875" customWidth="1"/>
    <col min="8460" max="8460" width="7.77734375" customWidth="1"/>
    <col min="8461" max="8461" width="9.5546875" customWidth="1"/>
    <col min="8462" max="8462" width="12.77734375" customWidth="1"/>
    <col min="8466" max="8466" width="9.77734375" customWidth="1"/>
    <col min="8470" max="8471" width="8.77734375" customWidth="1"/>
    <col min="8472" max="8472" width="10.77734375" customWidth="1"/>
    <col min="8473" max="8478" width="8.77734375" customWidth="1"/>
    <col min="8479" max="8479" width="9.109375" customWidth="1"/>
    <col min="8480" max="8492" width="8.77734375" customWidth="1"/>
    <col min="8493" max="8493" width="25.77734375" customWidth="1"/>
    <col min="8494" max="8495" width="8.77734375" customWidth="1"/>
    <col min="8496" max="8496" width="19.77734375" customWidth="1"/>
    <col min="8497" max="8499" width="8.77734375" customWidth="1"/>
    <col min="8501" max="8501" width="10.77734375" customWidth="1"/>
    <col min="8503" max="8504" width="11.77734375" customWidth="1"/>
    <col min="8506" max="8506" width="8.77734375" customWidth="1"/>
    <col min="8508" max="8508" width="21.77734375" customWidth="1"/>
    <col min="8512" max="8512" width="2.77734375" customWidth="1"/>
    <col min="8513" max="8513" width="20.77734375" customWidth="1"/>
    <col min="8517" max="8517" width="13.77734375" customWidth="1"/>
    <col min="8531" max="8531" width="32.5546875" bestFit="1" customWidth="1"/>
    <col min="8543" max="8543" width="9.77734375" customWidth="1"/>
    <col min="8699" max="8703" width="9.77734375" customWidth="1"/>
    <col min="8705" max="8705" width="13.33203125" customWidth="1"/>
    <col min="8706" max="8706" width="2.77734375" customWidth="1"/>
    <col min="8707" max="8707" width="6.77734375" customWidth="1"/>
    <col min="8708" max="8708" width="4.33203125" customWidth="1"/>
    <col min="8709" max="8709" width="3.77734375" customWidth="1"/>
    <col min="8710" max="8710" width="8.77734375" customWidth="1"/>
    <col min="8711" max="8711" width="15.77734375" customWidth="1"/>
    <col min="8712" max="8712" width="7.77734375" customWidth="1"/>
    <col min="8713" max="8713" width="3" customWidth="1"/>
    <col min="8714" max="8714" width="7.77734375" customWidth="1"/>
    <col min="8715" max="8715" width="3.5546875" customWidth="1"/>
    <col min="8716" max="8716" width="7.77734375" customWidth="1"/>
    <col min="8717" max="8717" width="9.5546875" customWidth="1"/>
    <col min="8718" max="8718" width="12.77734375" customWidth="1"/>
    <col min="8722" max="8722" width="9.77734375" customWidth="1"/>
    <col min="8726" max="8727" width="8.77734375" customWidth="1"/>
    <col min="8728" max="8728" width="10.77734375" customWidth="1"/>
    <col min="8729" max="8734" width="8.77734375" customWidth="1"/>
    <col min="8735" max="8735" width="9.109375" customWidth="1"/>
    <col min="8736" max="8748" width="8.77734375" customWidth="1"/>
    <col min="8749" max="8749" width="25.77734375" customWidth="1"/>
    <col min="8750" max="8751" width="8.77734375" customWidth="1"/>
    <col min="8752" max="8752" width="19.77734375" customWidth="1"/>
    <col min="8753" max="8755" width="8.77734375" customWidth="1"/>
    <col min="8757" max="8757" width="10.77734375" customWidth="1"/>
    <col min="8759" max="8760" width="11.77734375" customWidth="1"/>
    <col min="8762" max="8762" width="8.77734375" customWidth="1"/>
    <col min="8764" max="8764" width="21.77734375" customWidth="1"/>
    <col min="8768" max="8768" width="2.77734375" customWidth="1"/>
    <col min="8769" max="8769" width="20.77734375" customWidth="1"/>
    <col min="8773" max="8773" width="13.77734375" customWidth="1"/>
    <col min="8787" max="8787" width="32.5546875" bestFit="1" customWidth="1"/>
    <col min="8799" max="8799" width="9.77734375" customWidth="1"/>
    <col min="8955" max="8959" width="9.77734375" customWidth="1"/>
    <col min="8961" max="8961" width="13.33203125" customWidth="1"/>
    <col min="8962" max="8962" width="2.77734375" customWidth="1"/>
    <col min="8963" max="8963" width="6.77734375" customWidth="1"/>
    <col min="8964" max="8964" width="4.33203125" customWidth="1"/>
    <col min="8965" max="8965" width="3.77734375" customWidth="1"/>
    <col min="8966" max="8966" width="8.77734375" customWidth="1"/>
    <col min="8967" max="8967" width="15.77734375" customWidth="1"/>
    <col min="8968" max="8968" width="7.77734375" customWidth="1"/>
    <col min="8969" max="8969" width="3" customWidth="1"/>
    <col min="8970" max="8970" width="7.77734375" customWidth="1"/>
    <col min="8971" max="8971" width="3.5546875" customWidth="1"/>
    <col min="8972" max="8972" width="7.77734375" customWidth="1"/>
    <col min="8973" max="8973" width="9.5546875" customWidth="1"/>
    <col min="8974" max="8974" width="12.77734375" customWidth="1"/>
    <col min="8978" max="8978" width="9.77734375" customWidth="1"/>
    <col min="8982" max="8983" width="8.77734375" customWidth="1"/>
    <col min="8984" max="8984" width="10.77734375" customWidth="1"/>
    <col min="8985" max="8990" width="8.77734375" customWidth="1"/>
    <col min="8991" max="8991" width="9.109375" customWidth="1"/>
    <col min="8992" max="9004" width="8.77734375" customWidth="1"/>
    <col min="9005" max="9005" width="25.77734375" customWidth="1"/>
    <col min="9006" max="9007" width="8.77734375" customWidth="1"/>
    <col min="9008" max="9008" width="19.77734375" customWidth="1"/>
    <col min="9009" max="9011" width="8.77734375" customWidth="1"/>
    <col min="9013" max="9013" width="10.77734375" customWidth="1"/>
    <col min="9015" max="9016" width="11.77734375" customWidth="1"/>
    <col min="9018" max="9018" width="8.77734375" customWidth="1"/>
    <col min="9020" max="9020" width="21.77734375" customWidth="1"/>
    <col min="9024" max="9024" width="2.77734375" customWidth="1"/>
    <col min="9025" max="9025" width="20.77734375" customWidth="1"/>
    <col min="9029" max="9029" width="13.77734375" customWidth="1"/>
    <col min="9043" max="9043" width="32.5546875" bestFit="1" customWidth="1"/>
    <col min="9055" max="9055" width="9.77734375" customWidth="1"/>
    <col min="9211" max="9215" width="9.77734375" customWidth="1"/>
    <col min="9217" max="9217" width="13.33203125" customWidth="1"/>
    <col min="9218" max="9218" width="2.77734375" customWidth="1"/>
    <col min="9219" max="9219" width="6.77734375" customWidth="1"/>
    <col min="9220" max="9220" width="4.33203125" customWidth="1"/>
    <col min="9221" max="9221" width="3.77734375" customWidth="1"/>
    <col min="9222" max="9222" width="8.77734375" customWidth="1"/>
    <col min="9223" max="9223" width="15.77734375" customWidth="1"/>
    <col min="9224" max="9224" width="7.77734375" customWidth="1"/>
    <col min="9225" max="9225" width="3" customWidth="1"/>
    <col min="9226" max="9226" width="7.77734375" customWidth="1"/>
    <col min="9227" max="9227" width="3.5546875" customWidth="1"/>
    <col min="9228" max="9228" width="7.77734375" customWidth="1"/>
    <col min="9229" max="9229" width="9.5546875" customWidth="1"/>
    <col min="9230" max="9230" width="12.77734375" customWidth="1"/>
    <col min="9234" max="9234" width="9.77734375" customWidth="1"/>
    <col min="9238" max="9239" width="8.77734375" customWidth="1"/>
    <col min="9240" max="9240" width="10.77734375" customWidth="1"/>
    <col min="9241" max="9246" width="8.77734375" customWidth="1"/>
    <col min="9247" max="9247" width="9.109375" customWidth="1"/>
    <col min="9248" max="9260" width="8.77734375" customWidth="1"/>
    <col min="9261" max="9261" width="25.77734375" customWidth="1"/>
    <col min="9262" max="9263" width="8.77734375" customWidth="1"/>
    <col min="9264" max="9264" width="19.77734375" customWidth="1"/>
    <col min="9265" max="9267" width="8.77734375" customWidth="1"/>
    <col min="9269" max="9269" width="10.77734375" customWidth="1"/>
    <col min="9271" max="9272" width="11.77734375" customWidth="1"/>
    <col min="9274" max="9274" width="8.77734375" customWidth="1"/>
    <col min="9276" max="9276" width="21.77734375" customWidth="1"/>
    <col min="9280" max="9280" width="2.77734375" customWidth="1"/>
    <col min="9281" max="9281" width="20.77734375" customWidth="1"/>
    <col min="9285" max="9285" width="13.77734375" customWidth="1"/>
    <col min="9299" max="9299" width="32.5546875" bestFit="1" customWidth="1"/>
    <col min="9311" max="9311" width="9.77734375" customWidth="1"/>
    <col min="9467" max="9471" width="9.77734375" customWidth="1"/>
    <col min="9473" max="9473" width="13.33203125" customWidth="1"/>
    <col min="9474" max="9474" width="2.77734375" customWidth="1"/>
    <col min="9475" max="9475" width="6.77734375" customWidth="1"/>
    <col min="9476" max="9476" width="4.33203125" customWidth="1"/>
    <col min="9477" max="9477" width="3.77734375" customWidth="1"/>
    <col min="9478" max="9478" width="8.77734375" customWidth="1"/>
    <col min="9479" max="9479" width="15.77734375" customWidth="1"/>
    <col min="9480" max="9480" width="7.77734375" customWidth="1"/>
    <col min="9481" max="9481" width="3" customWidth="1"/>
    <col min="9482" max="9482" width="7.77734375" customWidth="1"/>
    <col min="9483" max="9483" width="3.5546875" customWidth="1"/>
    <col min="9484" max="9484" width="7.77734375" customWidth="1"/>
    <col min="9485" max="9485" width="9.5546875" customWidth="1"/>
    <col min="9486" max="9486" width="12.77734375" customWidth="1"/>
    <col min="9490" max="9490" width="9.77734375" customWidth="1"/>
    <col min="9494" max="9495" width="8.77734375" customWidth="1"/>
    <col min="9496" max="9496" width="10.77734375" customWidth="1"/>
    <col min="9497" max="9502" width="8.77734375" customWidth="1"/>
    <col min="9503" max="9503" width="9.109375" customWidth="1"/>
    <col min="9504" max="9516" width="8.77734375" customWidth="1"/>
    <col min="9517" max="9517" width="25.77734375" customWidth="1"/>
    <col min="9518" max="9519" width="8.77734375" customWidth="1"/>
    <col min="9520" max="9520" width="19.77734375" customWidth="1"/>
    <col min="9521" max="9523" width="8.77734375" customWidth="1"/>
    <col min="9525" max="9525" width="10.77734375" customWidth="1"/>
    <col min="9527" max="9528" width="11.77734375" customWidth="1"/>
    <col min="9530" max="9530" width="8.77734375" customWidth="1"/>
    <col min="9532" max="9532" width="21.77734375" customWidth="1"/>
    <col min="9536" max="9536" width="2.77734375" customWidth="1"/>
    <col min="9537" max="9537" width="20.77734375" customWidth="1"/>
    <col min="9541" max="9541" width="13.77734375" customWidth="1"/>
    <col min="9555" max="9555" width="32.5546875" bestFit="1" customWidth="1"/>
    <col min="9567" max="9567" width="9.77734375" customWidth="1"/>
    <col min="9723" max="9727" width="9.77734375" customWidth="1"/>
    <col min="9729" max="9729" width="13.33203125" customWidth="1"/>
    <col min="9730" max="9730" width="2.77734375" customWidth="1"/>
    <col min="9731" max="9731" width="6.77734375" customWidth="1"/>
    <col min="9732" max="9732" width="4.33203125" customWidth="1"/>
    <col min="9733" max="9733" width="3.77734375" customWidth="1"/>
    <col min="9734" max="9734" width="8.77734375" customWidth="1"/>
    <col min="9735" max="9735" width="15.77734375" customWidth="1"/>
    <col min="9736" max="9736" width="7.77734375" customWidth="1"/>
    <col min="9737" max="9737" width="3" customWidth="1"/>
    <col min="9738" max="9738" width="7.77734375" customWidth="1"/>
    <col min="9739" max="9739" width="3.5546875" customWidth="1"/>
    <col min="9740" max="9740" width="7.77734375" customWidth="1"/>
    <col min="9741" max="9741" width="9.5546875" customWidth="1"/>
    <col min="9742" max="9742" width="12.77734375" customWidth="1"/>
    <col min="9746" max="9746" width="9.77734375" customWidth="1"/>
    <col min="9750" max="9751" width="8.77734375" customWidth="1"/>
    <col min="9752" max="9752" width="10.77734375" customWidth="1"/>
    <col min="9753" max="9758" width="8.77734375" customWidth="1"/>
    <col min="9759" max="9759" width="9.109375" customWidth="1"/>
    <col min="9760" max="9772" width="8.77734375" customWidth="1"/>
    <col min="9773" max="9773" width="25.77734375" customWidth="1"/>
    <col min="9774" max="9775" width="8.77734375" customWidth="1"/>
    <col min="9776" max="9776" width="19.77734375" customWidth="1"/>
    <col min="9777" max="9779" width="8.77734375" customWidth="1"/>
    <col min="9781" max="9781" width="10.77734375" customWidth="1"/>
    <col min="9783" max="9784" width="11.77734375" customWidth="1"/>
    <col min="9786" max="9786" width="8.77734375" customWidth="1"/>
    <col min="9788" max="9788" width="21.77734375" customWidth="1"/>
    <col min="9792" max="9792" width="2.77734375" customWidth="1"/>
    <col min="9793" max="9793" width="20.77734375" customWidth="1"/>
    <col min="9797" max="9797" width="13.77734375" customWidth="1"/>
    <col min="9811" max="9811" width="32.5546875" bestFit="1" customWidth="1"/>
    <col min="9823" max="9823" width="9.77734375" customWidth="1"/>
    <col min="9979" max="9983" width="9.77734375" customWidth="1"/>
    <col min="9985" max="9985" width="13.33203125" customWidth="1"/>
    <col min="9986" max="9986" width="2.77734375" customWidth="1"/>
    <col min="9987" max="9987" width="6.77734375" customWidth="1"/>
    <col min="9988" max="9988" width="4.33203125" customWidth="1"/>
    <col min="9989" max="9989" width="3.77734375" customWidth="1"/>
    <col min="9990" max="9990" width="8.77734375" customWidth="1"/>
    <col min="9991" max="9991" width="15.77734375" customWidth="1"/>
    <col min="9992" max="9992" width="7.77734375" customWidth="1"/>
    <col min="9993" max="9993" width="3" customWidth="1"/>
    <col min="9994" max="9994" width="7.77734375" customWidth="1"/>
    <col min="9995" max="9995" width="3.5546875" customWidth="1"/>
    <col min="9996" max="9996" width="7.77734375" customWidth="1"/>
    <col min="9997" max="9997" width="9.5546875" customWidth="1"/>
    <col min="9998" max="9998" width="12.77734375" customWidth="1"/>
    <col min="10002" max="10002" width="9.77734375" customWidth="1"/>
    <col min="10006" max="10007" width="8.77734375" customWidth="1"/>
    <col min="10008" max="10008" width="10.77734375" customWidth="1"/>
    <col min="10009" max="10014" width="8.77734375" customWidth="1"/>
    <col min="10015" max="10015" width="9.109375" customWidth="1"/>
    <col min="10016" max="10028" width="8.77734375" customWidth="1"/>
    <col min="10029" max="10029" width="25.77734375" customWidth="1"/>
    <col min="10030" max="10031" width="8.77734375" customWidth="1"/>
    <col min="10032" max="10032" width="19.77734375" customWidth="1"/>
    <col min="10033" max="10035" width="8.77734375" customWidth="1"/>
    <col min="10037" max="10037" width="10.77734375" customWidth="1"/>
    <col min="10039" max="10040" width="11.77734375" customWidth="1"/>
    <col min="10042" max="10042" width="8.77734375" customWidth="1"/>
    <col min="10044" max="10044" width="21.77734375" customWidth="1"/>
    <col min="10048" max="10048" width="2.77734375" customWidth="1"/>
    <col min="10049" max="10049" width="20.77734375" customWidth="1"/>
    <col min="10053" max="10053" width="13.77734375" customWidth="1"/>
    <col min="10067" max="10067" width="32.5546875" bestFit="1" customWidth="1"/>
    <col min="10079" max="10079" width="9.77734375" customWidth="1"/>
    <col min="10235" max="10239" width="9.77734375" customWidth="1"/>
    <col min="10241" max="10241" width="13.33203125" customWidth="1"/>
    <col min="10242" max="10242" width="2.77734375" customWidth="1"/>
    <col min="10243" max="10243" width="6.77734375" customWidth="1"/>
    <col min="10244" max="10244" width="4.33203125" customWidth="1"/>
    <col min="10245" max="10245" width="3.77734375" customWidth="1"/>
    <col min="10246" max="10246" width="8.77734375" customWidth="1"/>
    <col min="10247" max="10247" width="15.77734375" customWidth="1"/>
    <col min="10248" max="10248" width="7.77734375" customWidth="1"/>
    <col min="10249" max="10249" width="3" customWidth="1"/>
    <col min="10250" max="10250" width="7.77734375" customWidth="1"/>
    <col min="10251" max="10251" width="3.5546875" customWidth="1"/>
    <col min="10252" max="10252" width="7.77734375" customWidth="1"/>
    <col min="10253" max="10253" width="9.5546875" customWidth="1"/>
    <col min="10254" max="10254" width="12.77734375" customWidth="1"/>
    <col min="10258" max="10258" width="9.77734375" customWidth="1"/>
    <col min="10262" max="10263" width="8.77734375" customWidth="1"/>
    <col min="10264" max="10264" width="10.77734375" customWidth="1"/>
    <col min="10265" max="10270" width="8.77734375" customWidth="1"/>
    <col min="10271" max="10271" width="9.109375" customWidth="1"/>
    <col min="10272" max="10284" width="8.77734375" customWidth="1"/>
    <col min="10285" max="10285" width="25.77734375" customWidth="1"/>
    <col min="10286" max="10287" width="8.77734375" customWidth="1"/>
    <col min="10288" max="10288" width="19.77734375" customWidth="1"/>
    <col min="10289" max="10291" width="8.77734375" customWidth="1"/>
    <col min="10293" max="10293" width="10.77734375" customWidth="1"/>
    <col min="10295" max="10296" width="11.77734375" customWidth="1"/>
    <col min="10298" max="10298" width="8.77734375" customWidth="1"/>
    <col min="10300" max="10300" width="21.77734375" customWidth="1"/>
    <col min="10304" max="10304" width="2.77734375" customWidth="1"/>
    <col min="10305" max="10305" width="20.77734375" customWidth="1"/>
    <col min="10309" max="10309" width="13.77734375" customWidth="1"/>
    <col min="10323" max="10323" width="32.5546875" bestFit="1" customWidth="1"/>
    <col min="10335" max="10335" width="9.77734375" customWidth="1"/>
    <col min="10491" max="10495" width="9.77734375" customWidth="1"/>
    <col min="10497" max="10497" width="13.33203125" customWidth="1"/>
    <col min="10498" max="10498" width="2.77734375" customWidth="1"/>
    <col min="10499" max="10499" width="6.77734375" customWidth="1"/>
    <col min="10500" max="10500" width="4.33203125" customWidth="1"/>
    <col min="10501" max="10501" width="3.77734375" customWidth="1"/>
    <col min="10502" max="10502" width="8.77734375" customWidth="1"/>
    <col min="10503" max="10503" width="15.77734375" customWidth="1"/>
    <col min="10504" max="10504" width="7.77734375" customWidth="1"/>
    <col min="10505" max="10505" width="3" customWidth="1"/>
    <col min="10506" max="10506" width="7.77734375" customWidth="1"/>
    <col min="10507" max="10507" width="3.5546875" customWidth="1"/>
    <col min="10508" max="10508" width="7.77734375" customWidth="1"/>
    <col min="10509" max="10509" width="9.5546875" customWidth="1"/>
    <col min="10510" max="10510" width="12.77734375" customWidth="1"/>
    <col min="10514" max="10514" width="9.77734375" customWidth="1"/>
    <col min="10518" max="10519" width="8.77734375" customWidth="1"/>
    <col min="10520" max="10520" width="10.77734375" customWidth="1"/>
    <col min="10521" max="10526" width="8.77734375" customWidth="1"/>
    <col min="10527" max="10527" width="9.109375" customWidth="1"/>
    <col min="10528" max="10540" width="8.77734375" customWidth="1"/>
    <col min="10541" max="10541" width="25.77734375" customWidth="1"/>
    <col min="10542" max="10543" width="8.77734375" customWidth="1"/>
    <col min="10544" max="10544" width="19.77734375" customWidth="1"/>
    <col min="10545" max="10547" width="8.77734375" customWidth="1"/>
    <col min="10549" max="10549" width="10.77734375" customWidth="1"/>
    <col min="10551" max="10552" width="11.77734375" customWidth="1"/>
    <col min="10554" max="10554" width="8.77734375" customWidth="1"/>
    <col min="10556" max="10556" width="21.77734375" customWidth="1"/>
    <col min="10560" max="10560" width="2.77734375" customWidth="1"/>
    <col min="10561" max="10561" width="20.77734375" customWidth="1"/>
    <col min="10565" max="10565" width="13.77734375" customWidth="1"/>
    <col min="10579" max="10579" width="32.5546875" bestFit="1" customWidth="1"/>
    <col min="10591" max="10591" width="9.77734375" customWidth="1"/>
    <col min="10747" max="10751" width="9.77734375" customWidth="1"/>
    <col min="10753" max="10753" width="13.33203125" customWidth="1"/>
    <col min="10754" max="10754" width="2.77734375" customWidth="1"/>
    <col min="10755" max="10755" width="6.77734375" customWidth="1"/>
    <col min="10756" max="10756" width="4.33203125" customWidth="1"/>
    <col min="10757" max="10757" width="3.77734375" customWidth="1"/>
    <col min="10758" max="10758" width="8.77734375" customWidth="1"/>
    <col min="10759" max="10759" width="15.77734375" customWidth="1"/>
    <col min="10760" max="10760" width="7.77734375" customWidth="1"/>
    <col min="10761" max="10761" width="3" customWidth="1"/>
    <col min="10762" max="10762" width="7.77734375" customWidth="1"/>
    <col min="10763" max="10763" width="3.5546875" customWidth="1"/>
    <col min="10764" max="10764" width="7.77734375" customWidth="1"/>
    <col min="10765" max="10765" width="9.5546875" customWidth="1"/>
    <col min="10766" max="10766" width="12.77734375" customWidth="1"/>
    <col min="10770" max="10770" width="9.77734375" customWidth="1"/>
    <col min="10774" max="10775" width="8.77734375" customWidth="1"/>
    <col min="10776" max="10776" width="10.77734375" customWidth="1"/>
    <col min="10777" max="10782" width="8.77734375" customWidth="1"/>
    <col min="10783" max="10783" width="9.109375" customWidth="1"/>
    <col min="10784" max="10796" width="8.77734375" customWidth="1"/>
    <col min="10797" max="10797" width="25.77734375" customWidth="1"/>
    <col min="10798" max="10799" width="8.77734375" customWidth="1"/>
    <col min="10800" max="10800" width="19.77734375" customWidth="1"/>
    <col min="10801" max="10803" width="8.77734375" customWidth="1"/>
    <col min="10805" max="10805" width="10.77734375" customWidth="1"/>
    <col min="10807" max="10808" width="11.77734375" customWidth="1"/>
    <col min="10810" max="10810" width="8.77734375" customWidth="1"/>
    <col min="10812" max="10812" width="21.77734375" customWidth="1"/>
    <col min="10816" max="10816" width="2.77734375" customWidth="1"/>
    <col min="10817" max="10817" width="20.77734375" customWidth="1"/>
    <col min="10821" max="10821" width="13.77734375" customWidth="1"/>
    <col min="10835" max="10835" width="32.5546875" bestFit="1" customWidth="1"/>
    <col min="10847" max="10847" width="9.77734375" customWidth="1"/>
    <col min="11003" max="11007" width="9.77734375" customWidth="1"/>
    <col min="11009" max="11009" width="13.33203125" customWidth="1"/>
    <col min="11010" max="11010" width="2.77734375" customWidth="1"/>
    <col min="11011" max="11011" width="6.77734375" customWidth="1"/>
    <col min="11012" max="11012" width="4.33203125" customWidth="1"/>
    <col min="11013" max="11013" width="3.77734375" customWidth="1"/>
    <col min="11014" max="11014" width="8.77734375" customWidth="1"/>
    <col min="11015" max="11015" width="15.77734375" customWidth="1"/>
    <col min="11016" max="11016" width="7.77734375" customWidth="1"/>
    <col min="11017" max="11017" width="3" customWidth="1"/>
    <col min="11018" max="11018" width="7.77734375" customWidth="1"/>
    <col min="11019" max="11019" width="3.5546875" customWidth="1"/>
    <col min="11020" max="11020" width="7.77734375" customWidth="1"/>
    <col min="11021" max="11021" width="9.5546875" customWidth="1"/>
    <col min="11022" max="11022" width="12.77734375" customWidth="1"/>
    <col min="11026" max="11026" width="9.77734375" customWidth="1"/>
    <col min="11030" max="11031" width="8.77734375" customWidth="1"/>
    <col min="11032" max="11032" width="10.77734375" customWidth="1"/>
    <col min="11033" max="11038" width="8.77734375" customWidth="1"/>
    <col min="11039" max="11039" width="9.109375" customWidth="1"/>
    <col min="11040" max="11052" width="8.77734375" customWidth="1"/>
    <col min="11053" max="11053" width="25.77734375" customWidth="1"/>
    <col min="11054" max="11055" width="8.77734375" customWidth="1"/>
    <col min="11056" max="11056" width="19.77734375" customWidth="1"/>
    <col min="11057" max="11059" width="8.77734375" customWidth="1"/>
    <col min="11061" max="11061" width="10.77734375" customWidth="1"/>
    <col min="11063" max="11064" width="11.77734375" customWidth="1"/>
    <col min="11066" max="11066" width="8.77734375" customWidth="1"/>
    <col min="11068" max="11068" width="21.77734375" customWidth="1"/>
    <col min="11072" max="11072" width="2.77734375" customWidth="1"/>
    <col min="11073" max="11073" width="20.77734375" customWidth="1"/>
    <col min="11077" max="11077" width="13.77734375" customWidth="1"/>
    <col min="11091" max="11091" width="32.5546875" bestFit="1" customWidth="1"/>
    <col min="11103" max="11103" width="9.77734375" customWidth="1"/>
    <col min="11259" max="11263" width="9.77734375" customWidth="1"/>
    <col min="11265" max="11265" width="13.33203125" customWidth="1"/>
    <col min="11266" max="11266" width="2.77734375" customWidth="1"/>
    <col min="11267" max="11267" width="6.77734375" customWidth="1"/>
    <col min="11268" max="11268" width="4.33203125" customWidth="1"/>
    <col min="11269" max="11269" width="3.77734375" customWidth="1"/>
    <col min="11270" max="11270" width="8.77734375" customWidth="1"/>
    <col min="11271" max="11271" width="15.77734375" customWidth="1"/>
    <col min="11272" max="11272" width="7.77734375" customWidth="1"/>
    <col min="11273" max="11273" width="3" customWidth="1"/>
    <col min="11274" max="11274" width="7.77734375" customWidth="1"/>
    <col min="11275" max="11275" width="3.5546875" customWidth="1"/>
    <col min="11276" max="11276" width="7.77734375" customWidth="1"/>
    <col min="11277" max="11277" width="9.5546875" customWidth="1"/>
    <col min="11278" max="11278" width="12.77734375" customWidth="1"/>
    <col min="11282" max="11282" width="9.77734375" customWidth="1"/>
    <col min="11286" max="11287" width="8.77734375" customWidth="1"/>
    <col min="11288" max="11288" width="10.77734375" customWidth="1"/>
    <col min="11289" max="11294" width="8.77734375" customWidth="1"/>
    <col min="11295" max="11295" width="9.109375" customWidth="1"/>
    <col min="11296" max="11308" width="8.77734375" customWidth="1"/>
    <col min="11309" max="11309" width="25.77734375" customWidth="1"/>
    <col min="11310" max="11311" width="8.77734375" customWidth="1"/>
    <col min="11312" max="11312" width="19.77734375" customWidth="1"/>
    <col min="11313" max="11315" width="8.77734375" customWidth="1"/>
    <col min="11317" max="11317" width="10.77734375" customWidth="1"/>
    <col min="11319" max="11320" width="11.77734375" customWidth="1"/>
    <col min="11322" max="11322" width="8.77734375" customWidth="1"/>
    <col min="11324" max="11324" width="21.77734375" customWidth="1"/>
    <col min="11328" max="11328" width="2.77734375" customWidth="1"/>
    <col min="11329" max="11329" width="20.77734375" customWidth="1"/>
    <col min="11333" max="11333" width="13.77734375" customWidth="1"/>
    <col min="11347" max="11347" width="32.5546875" bestFit="1" customWidth="1"/>
    <col min="11359" max="11359" width="9.77734375" customWidth="1"/>
    <col min="11515" max="11519" width="9.77734375" customWidth="1"/>
    <col min="11521" max="11521" width="13.33203125" customWidth="1"/>
    <col min="11522" max="11522" width="2.77734375" customWidth="1"/>
    <col min="11523" max="11523" width="6.77734375" customWidth="1"/>
    <col min="11524" max="11524" width="4.33203125" customWidth="1"/>
    <col min="11525" max="11525" width="3.77734375" customWidth="1"/>
    <col min="11526" max="11526" width="8.77734375" customWidth="1"/>
    <col min="11527" max="11527" width="15.77734375" customWidth="1"/>
    <col min="11528" max="11528" width="7.77734375" customWidth="1"/>
    <col min="11529" max="11529" width="3" customWidth="1"/>
    <col min="11530" max="11530" width="7.77734375" customWidth="1"/>
    <col min="11531" max="11531" width="3.5546875" customWidth="1"/>
    <col min="11532" max="11532" width="7.77734375" customWidth="1"/>
    <col min="11533" max="11533" width="9.5546875" customWidth="1"/>
    <col min="11534" max="11534" width="12.77734375" customWidth="1"/>
    <col min="11538" max="11538" width="9.77734375" customWidth="1"/>
    <col min="11542" max="11543" width="8.77734375" customWidth="1"/>
    <col min="11544" max="11544" width="10.77734375" customWidth="1"/>
    <col min="11545" max="11550" width="8.77734375" customWidth="1"/>
    <col min="11551" max="11551" width="9.109375" customWidth="1"/>
    <col min="11552" max="11564" width="8.77734375" customWidth="1"/>
    <col min="11565" max="11565" width="25.77734375" customWidth="1"/>
    <col min="11566" max="11567" width="8.77734375" customWidth="1"/>
    <col min="11568" max="11568" width="19.77734375" customWidth="1"/>
    <col min="11569" max="11571" width="8.77734375" customWidth="1"/>
    <col min="11573" max="11573" width="10.77734375" customWidth="1"/>
    <col min="11575" max="11576" width="11.77734375" customWidth="1"/>
    <col min="11578" max="11578" width="8.77734375" customWidth="1"/>
    <col min="11580" max="11580" width="21.77734375" customWidth="1"/>
    <col min="11584" max="11584" width="2.77734375" customWidth="1"/>
    <col min="11585" max="11585" width="20.77734375" customWidth="1"/>
    <col min="11589" max="11589" width="13.77734375" customWidth="1"/>
    <col min="11603" max="11603" width="32.5546875" bestFit="1" customWidth="1"/>
    <col min="11615" max="11615" width="9.77734375" customWidth="1"/>
    <col min="11771" max="11775" width="9.77734375" customWidth="1"/>
    <col min="11777" max="11777" width="13.33203125" customWidth="1"/>
    <col min="11778" max="11778" width="2.77734375" customWidth="1"/>
    <col min="11779" max="11779" width="6.77734375" customWidth="1"/>
    <col min="11780" max="11780" width="4.33203125" customWidth="1"/>
    <col min="11781" max="11781" width="3.77734375" customWidth="1"/>
    <col min="11782" max="11782" width="8.77734375" customWidth="1"/>
    <col min="11783" max="11783" width="15.77734375" customWidth="1"/>
    <col min="11784" max="11784" width="7.77734375" customWidth="1"/>
    <col min="11785" max="11785" width="3" customWidth="1"/>
    <col min="11786" max="11786" width="7.77734375" customWidth="1"/>
    <col min="11787" max="11787" width="3.5546875" customWidth="1"/>
    <col min="11788" max="11788" width="7.77734375" customWidth="1"/>
    <col min="11789" max="11789" width="9.5546875" customWidth="1"/>
    <col min="11790" max="11790" width="12.77734375" customWidth="1"/>
    <col min="11794" max="11794" width="9.77734375" customWidth="1"/>
    <col min="11798" max="11799" width="8.77734375" customWidth="1"/>
    <col min="11800" max="11800" width="10.77734375" customWidth="1"/>
    <col min="11801" max="11806" width="8.77734375" customWidth="1"/>
    <col min="11807" max="11807" width="9.109375" customWidth="1"/>
    <col min="11808" max="11820" width="8.77734375" customWidth="1"/>
    <col min="11821" max="11821" width="25.77734375" customWidth="1"/>
    <col min="11822" max="11823" width="8.77734375" customWidth="1"/>
    <col min="11824" max="11824" width="19.77734375" customWidth="1"/>
    <col min="11825" max="11827" width="8.77734375" customWidth="1"/>
    <col min="11829" max="11829" width="10.77734375" customWidth="1"/>
    <col min="11831" max="11832" width="11.77734375" customWidth="1"/>
    <col min="11834" max="11834" width="8.77734375" customWidth="1"/>
    <col min="11836" max="11836" width="21.77734375" customWidth="1"/>
    <col min="11840" max="11840" width="2.77734375" customWidth="1"/>
    <col min="11841" max="11841" width="20.77734375" customWidth="1"/>
    <col min="11845" max="11845" width="13.77734375" customWidth="1"/>
    <col min="11859" max="11859" width="32.5546875" bestFit="1" customWidth="1"/>
    <col min="11871" max="11871" width="9.77734375" customWidth="1"/>
    <col min="12027" max="12031" width="9.77734375" customWidth="1"/>
    <col min="12033" max="12033" width="13.33203125" customWidth="1"/>
    <col min="12034" max="12034" width="2.77734375" customWidth="1"/>
    <col min="12035" max="12035" width="6.77734375" customWidth="1"/>
    <col min="12036" max="12036" width="4.33203125" customWidth="1"/>
    <col min="12037" max="12037" width="3.77734375" customWidth="1"/>
    <col min="12038" max="12038" width="8.77734375" customWidth="1"/>
    <col min="12039" max="12039" width="15.77734375" customWidth="1"/>
    <col min="12040" max="12040" width="7.77734375" customWidth="1"/>
    <col min="12041" max="12041" width="3" customWidth="1"/>
    <col min="12042" max="12042" width="7.77734375" customWidth="1"/>
    <col min="12043" max="12043" width="3.5546875" customWidth="1"/>
    <col min="12044" max="12044" width="7.77734375" customWidth="1"/>
    <col min="12045" max="12045" width="9.5546875" customWidth="1"/>
    <col min="12046" max="12046" width="12.77734375" customWidth="1"/>
    <col min="12050" max="12050" width="9.77734375" customWidth="1"/>
    <col min="12054" max="12055" width="8.77734375" customWidth="1"/>
    <col min="12056" max="12056" width="10.77734375" customWidth="1"/>
    <col min="12057" max="12062" width="8.77734375" customWidth="1"/>
    <col min="12063" max="12063" width="9.109375" customWidth="1"/>
    <col min="12064" max="12076" width="8.77734375" customWidth="1"/>
    <col min="12077" max="12077" width="25.77734375" customWidth="1"/>
    <col min="12078" max="12079" width="8.77734375" customWidth="1"/>
    <col min="12080" max="12080" width="19.77734375" customWidth="1"/>
    <col min="12081" max="12083" width="8.77734375" customWidth="1"/>
    <col min="12085" max="12085" width="10.77734375" customWidth="1"/>
    <col min="12087" max="12088" width="11.77734375" customWidth="1"/>
    <col min="12090" max="12090" width="8.77734375" customWidth="1"/>
    <col min="12092" max="12092" width="21.77734375" customWidth="1"/>
    <col min="12096" max="12096" width="2.77734375" customWidth="1"/>
    <col min="12097" max="12097" width="20.77734375" customWidth="1"/>
    <col min="12101" max="12101" width="13.77734375" customWidth="1"/>
    <col min="12115" max="12115" width="32.5546875" bestFit="1" customWidth="1"/>
    <col min="12127" max="12127" width="9.77734375" customWidth="1"/>
    <col min="12283" max="12287" width="9.77734375" customWidth="1"/>
    <col min="12289" max="12289" width="13.33203125" customWidth="1"/>
    <col min="12290" max="12290" width="2.77734375" customWidth="1"/>
    <col min="12291" max="12291" width="6.77734375" customWidth="1"/>
    <col min="12292" max="12292" width="4.33203125" customWidth="1"/>
    <col min="12293" max="12293" width="3.77734375" customWidth="1"/>
    <col min="12294" max="12294" width="8.77734375" customWidth="1"/>
    <col min="12295" max="12295" width="15.77734375" customWidth="1"/>
    <col min="12296" max="12296" width="7.77734375" customWidth="1"/>
    <col min="12297" max="12297" width="3" customWidth="1"/>
    <col min="12298" max="12298" width="7.77734375" customWidth="1"/>
    <col min="12299" max="12299" width="3.5546875" customWidth="1"/>
    <col min="12300" max="12300" width="7.77734375" customWidth="1"/>
    <col min="12301" max="12301" width="9.5546875" customWidth="1"/>
    <col min="12302" max="12302" width="12.77734375" customWidth="1"/>
    <col min="12306" max="12306" width="9.77734375" customWidth="1"/>
    <col min="12310" max="12311" width="8.77734375" customWidth="1"/>
    <col min="12312" max="12312" width="10.77734375" customWidth="1"/>
    <col min="12313" max="12318" width="8.77734375" customWidth="1"/>
    <col min="12319" max="12319" width="9.109375" customWidth="1"/>
    <col min="12320" max="12332" width="8.77734375" customWidth="1"/>
    <col min="12333" max="12333" width="25.77734375" customWidth="1"/>
    <col min="12334" max="12335" width="8.77734375" customWidth="1"/>
    <col min="12336" max="12336" width="19.77734375" customWidth="1"/>
    <col min="12337" max="12339" width="8.77734375" customWidth="1"/>
    <col min="12341" max="12341" width="10.77734375" customWidth="1"/>
    <col min="12343" max="12344" width="11.77734375" customWidth="1"/>
    <col min="12346" max="12346" width="8.77734375" customWidth="1"/>
    <col min="12348" max="12348" width="21.77734375" customWidth="1"/>
    <col min="12352" max="12352" width="2.77734375" customWidth="1"/>
    <col min="12353" max="12353" width="20.77734375" customWidth="1"/>
    <col min="12357" max="12357" width="13.77734375" customWidth="1"/>
    <col min="12371" max="12371" width="32.5546875" bestFit="1" customWidth="1"/>
    <col min="12383" max="12383" width="9.77734375" customWidth="1"/>
    <col min="12539" max="12543" width="9.77734375" customWidth="1"/>
    <col min="12545" max="12545" width="13.33203125" customWidth="1"/>
    <col min="12546" max="12546" width="2.77734375" customWidth="1"/>
    <col min="12547" max="12547" width="6.77734375" customWidth="1"/>
    <col min="12548" max="12548" width="4.33203125" customWidth="1"/>
    <col min="12549" max="12549" width="3.77734375" customWidth="1"/>
    <col min="12550" max="12550" width="8.77734375" customWidth="1"/>
    <col min="12551" max="12551" width="15.77734375" customWidth="1"/>
    <col min="12552" max="12552" width="7.77734375" customWidth="1"/>
    <col min="12553" max="12553" width="3" customWidth="1"/>
    <col min="12554" max="12554" width="7.77734375" customWidth="1"/>
    <col min="12555" max="12555" width="3.5546875" customWidth="1"/>
    <col min="12556" max="12556" width="7.77734375" customWidth="1"/>
    <col min="12557" max="12557" width="9.5546875" customWidth="1"/>
    <col min="12558" max="12558" width="12.77734375" customWidth="1"/>
    <col min="12562" max="12562" width="9.77734375" customWidth="1"/>
    <col min="12566" max="12567" width="8.77734375" customWidth="1"/>
    <col min="12568" max="12568" width="10.77734375" customWidth="1"/>
    <col min="12569" max="12574" width="8.77734375" customWidth="1"/>
    <col min="12575" max="12575" width="9.109375" customWidth="1"/>
    <col min="12576" max="12588" width="8.77734375" customWidth="1"/>
    <col min="12589" max="12589" width="25.77734375" customWidth="1"/>
    <col min="12590" max="12591" width="8.77734375" customWidth="1"/>
    <col min="12592" max="12592" width="19.77734375" customWidth="1"/>
    <col min="12593" max="12595" width="8.77734375" customWidth="1"/>
    <col min="12597" max="12597" width="10.77734375" customWidth="1"/>
    <col min="12599" max="12600" width="11.77734375" customWidth="1"/>
    <col min="12602" max="12602" width="8.77734375" customWidth="1"/>
    <col min="12604" max="12604" width="21.77734375" customWidth="1"/>
    <col min="12608" max="12608" width="2.77734375" customWidth="1"/>
    <col min="12609" max="12609" width="20.77734375" customWidth="1"/>
    <col min="12613" max="12613" width="13.77734375" customWidth="1"/>
    <col min="12627" max="12627" width="32.5546875" bestFit="1" customWidth="1"/>
    <col min="12639" max="12639" width="9.77734375" customWidth="1"/>
    <col min="12795" max="12799" width="9.77734375" customWidth="1"/>
    <col min="12801" max="12801" width="13.33203125" customWidth="1"/>
    <col min="12802" max="12802" width="2.77734375" customWidth="1"/>
    <col min="12803" max="12803" width="6.77734375" customWidth="1"/>
    <col min="12804" max="12804" width="4.33203125" customWidth="1"/>
    <col min="12805" max="12805" width="3.77734375" customWidth="1"/>
    <col min="12806" max="12806" width="8.77734375" customWidth="1"/>
    <col min="12807" max="12807" width="15.77734375" customWidth="1"/>
    <col min="12808" max="12808" width="7.77734375" customWidth="1"/>
    <col min="12809" max="12809" width="3" customWidth="1"/>
    <col min="12810" max="12810" width="7.77734375" customWidth="1"/>
    <col min="12811" max="12811" width="3.5546875" customWidth="1"/>
    <col min="12812" max="12812" width="7.77734375" customWidth="1"/>
    <col min="12813" max="12813" width="9.5546875" customWidth="1"/>
    <col min="12814" max="12814" width="12.77734375" customWidth="1"/>
    <col min="12818" max="12818" width="9.77734375" customWidth="1"/>
    <col min="12822" max="12823" width="8.77734375" customWidth="1"/>
    <col min="12824" max="12824" width="10.77734375" customWidth="1"/>
    <col min="12825" max="12830" width="8.77734375" customWidth="1"/>
    <col min="12831" max="12831" width="9.109375" customWidth="1"/>
    <col min="12832" max="12844" width="8.77734375" customWidth="1"/>
    <col min="12845" max="12845" width="25.77734375" customWidth="1"/>
    <col min="12846" max="12847" width="8.77734375" customWidth="1"/>
    <col min="12848" max="12848" width="19.77734375" customWidth="1"/>
    <col min="12849" max="12851" width="8.77734375" customWidth="1"/>
    <col min="12853" max="12853" width="10.77734375" customWidth="1"/>
    <col min="12855" max="12856" width="11.77734375" customWidth="1"/>
    <col min="12858" max="12858" width="8.77734375" customWidth="1"/>
    <col min="12860" max="12860" width="21.77734375" customWidth="1"/>
    <col min="12864" max="12864" width="2.77734375" customWidth="1"/>
    <col min="12865" max="12865" width="20.77734375" customWidth="1"/>
    <col min="12869" max="12869" width="13.77734375" customWidth="1"/>
    <col min="12883" max="12883" width="32.5546875" bestFit="1" customWidth="1"/>
    <col min="12895" max="12895" width="9.77734375" customWidth="1"/>
    <col min="13051" max="13055" width="9.77734375" customWidth="1"/>
    <col min="13057" max="13057" width="13.33203125" customWidth="1"/>
    <col min="13058" max="13058" width="2.77734375" customWidth="1"/>
    <col min="13059" max="13059" width="6.77734375" customWidth="1"/>
    <col min="13060" max="13060" width="4.33203125" customWidth="1"/>
    <col min="13061" max="13061" width="3.77734375" customWidth="1"/>
    <col min="13062" max="13062" width="8.77734375" customWidth="1"/>
    <col min="13063" max="13063" width="15.77734375" customWidth="1"/>
    <col min="13064" max="13064" width="7.77734375" customWidth="1"/>
    <col min="13065" max="13065" width="3" customWidth="1"/>
    <col min="13066" max="13066" width="7.77734375" customWidth="1"/>
    <col min="13067" max="13067" width="3.5546875" customWidth="1"/>
    <col min="13068" max="13068" width="7.77734375" customWidth="1"/>
    <col min="13069" max="13069" width="9.5546875" customWidth="1"/>
    <col min="13070" max="13070" width="12.77734375" customWidth="1"/>
    <col min="13074" max="13074" width="9.77734375" customWidth="1"/>
    <col min="13078" max="13079" width="8.77734375" customWidth="1"/>
    <col min="13080" max="13080" width="10.77734375" customWidth="1"/>
    <col min="13081" max="13086" width="8.77734375" customWidth="1"/>
    <col min="13087" max="13087" width="9.109375" customWidth="1"/>
    <col min="13088" max="13100" width="8.77734375" customWidth="1"/>
    <col min="13101" max="13101" width="25.77734375" customWidth="1"/>
    <col min="13102" max="13103" width="8.77734375" customWidth="1"/>
    <col min="13104" max="13104" width="19.77734375" customWidth="1"/>
    <col min="13105" max="13107" width="8.77734375" customWidth="1"/>
    <col min="13109" max="13109" width="10.77734375" customWidth="1"/>
    <col min="13111" max="13112" width="11.77734375" customWidth="1"/>
    <col min="13114" max="13114" width="8.77734375" customWidth="1"/>
    <col min="13116" max="13116" width="21.77734375" customWidth="1"/>
    <col min="13120" max="13120" width="2.77734375" customWidth="1"/>
    <col min="13121" max="13121" width="20.77734375" customWidth="1"/>
    <col min="13125" max="13125" width="13.77734375" customWidth="1"/>
    <col min="13139" max="13139" width="32.5546875" bestFit="1" customWidth="1"/>
    <col min="13151" max="13151" width="9.77734375" customWidth="1"/>
    <col min="13307" max="13311" width="9.77734375" customWidth="1"/>
    <col min="13313" max="13313" width="13.33203125" customWidth="1"/>
    <col min="13314" max="13314" width="2.77734375" customWidth="1"/>
    <col min="13315" max="13315" width="6.77734375" customWidth="1"/>
    <col min="13316" max="13316" width="4.33203125" customWidth="1"/>
    <col min="13317" max="13317" width="3.77734375" customWidth="1"/>
    <col min="13318" max="13318" width="8.77734375" customWidth="1"/>
    <col min="13319" max="13319" width="15.77734375" customWidth="1"/>
    <col min="13320" max="13320" width="7.77734375" customWidth="1"/>
    <col min="13321" max="13321" width="3" customWidth="1"/>
    <col min="13322" max="13322" width="7.77734375" customWidth="1"/>
    <col min="13323" max="13323" width="3.5546875" customWidth="1"/>
    <col min="13324" max="13324" width="7.77734375" customWidth="1"/>
    <col min="13325" max="13325" width="9.5546875" customWidth="1"/>
    <col min="13326" max="13326" width="12.77734375" customWidth="1"/>
    <col min="13330" max="13330" width="9.77734375" customWidth="1"/>
    <col min="13334" max="13335" width="8.77734375" customWidth="1"/>
    <col min="13336" max="13336" width="10.77734375" customWidth="1"/>
    <col min="13337" max="13342" width="8.77734375" customWidth="1"/>
    <col min="13343" max="13343" width="9.109375" customWidth="1"/>
    <col min="13344" max="13356" width="8.77734375" customWidth="1"/>
    <col min="13357" max="13357" width="25.77734375" customWidth="1"/>
    <col min="13358" max="13359" width="8.77734375" customWidth="1"/>
    <col min="13360" max="13360" width="19.77734375" customWidth="1"/>
    <col min="13361" max="13363" width="8.77734375" customWidth="1"/>
    <col min="13365" max="13365" width="10.77734375" customWidth="1"/>
    <col min="13367" max="13368" width="11.77734375" customWidth="1"/>
    <col min="13370" max="13370" width="8.77734375" customWidth="1"/>
    <col min="13372" max="13372" width="21.77734375" customWidth="1"/>
    <col min="13376" max="13376" width="2.77734375" customWidth="1"/>
    <col min="13377" max="13377" width="20.77734375" customWidth="1"/>
    <col min="13381" max="13381" width="13.77734375" customWidth="1"/>
    <col min="13395" max="13395" width="32.5546875" bestFit="1" customWidth="1"/>
    <col min="13407" max="13407" width="9.77734375" customWidth="1"/>
    <col min="13563" max="13567" width="9.77734375" customWidth="1"/>
    <col min="13569" max="13569" width="13.33203125" customWidth="1"/>
    <col min="13570" max="13570" width="2.77734375" customWidth="1"/>
    <col min="13571" max="13571" width="6.77734375" customWidth="1"/>
    <col min="13572" max="13572" width="4.33203125" customWidth="1"/>
    <col min="13573" max="13573" width="3.77734375" customWidth="1"/>
    <col min="13574" max="13574" width="8.77734375" customWidth="1"/>
    <col min="13575" max="13575" width="15.77734375" customWidth="1"/>
    <col min="13576" max="13576" width="7.77734375" customWidth="1"/>
    <col min="13577" max="13577" width="3" customWidth="1"/>
    <col min="13578" max="13578" width="7.77734375" customWidth="1"/>
    <col min="13579" max="13579" width="3.5546875" customWidth="1"/>
    <col min="13580" max="13580" width="7.77734375" customWidth="1"/>
    <col min="13581" max="13581" width="9.5546875" customWidth="1"/>
    <col min="13582" max="13582" width="12.77734375" customWidth="1"/>
    <col min="13586" max="13586" width="9.77734375" customWidth="1"/>
    <col min="13590" max="13591" width="8.77734375" customWidth="1"/>
    <col min="13592" max="13592" width="10.77734375" customWidth="1"/>
    <col min="13593" max="13598" width="8.77734375" customWidth="1"/>
    <col min="13599" max="13599" width="9.109375" customWidth="1"/>
    <col min="13600" max="13612" width="8.77734375" customWidth="1"/>
    <col min="13613" max="13613" width="25.77734375" customWidth="1"/>
    <col min="13614" max="13615" width="8.77734375" customWidth="1"/>
    <col min="13616" max="13616" width="19.77734375" customWidth="1"/>
    <col min="13617" max="13619" width="8.77734375" customWidth="1"/>
    <col min="13621" max="13621" width="10.77734375" customWidth="1"/>
    <col min="13623" max="13624" width="11.77734375" customWidth="1"/>
    <col min="13626" max="13626" width="8.77734375" customWidth="1"/>
    <col min="13628" max="13628" width="21.77734375" customWidth="1"/>
    <col min="13632" max="13632" width="2.77734375" customWidth="1"/>
    <col min="13633" max="13633" width="20.77734375" customWidth="1"/>
    <col min="13637" max="13637" width="13.77734375" customWidth="1"/>
    <col min="13651" max="13651" width="32.5546875" bestFit="1" customWidth="1"/>
    <col min="13663" max="13663" width="9.77734375" customWidth="1"/>
    <col min="13819" max="13823" width="9.77734375" customWidth="1"/>
    <col min="13825" max="13825" width="13.33203125" customWidth="1"/>
    <col min="13826" max="13826" width="2.77734375" customWidth="1"/>
    <col min="13827" max="13827" width="6.77734375" customWidth="1"/>
    <col min="13828" max="13828" width="4.33203125" customWidth="1"/>
    <col min="13829" max="13829" width="3.77734375" customWidth="1"/>
    <col min="13830" max="13830" width="8.77734375" customWidth="1"/>
    <col min="13831" max="13831" width="15.77734375" customWidth="1"/>
    <col min="13832" max="13832" width="7.77734375" customWidth="1"/>
    <col min="13833" max="13833" width="3" customWidth="1"/>
    <col min="13834" max="13834" width="7.77734375" customWidth="1"/>
    <col min="13835" max="13835" width="3.5546875" customWidth="1"/>
    <col min="13836" max="13836" width="7.77734375" customWidth="1"/>
    <col min="13837" max="13837" width="9.5546875" customWidth="1"/>
    <col min="13838" max="13838" width="12.77734375" customWidth="1"/>
    <col min="13842" max="13842" width="9.77734375" customWidth="1"/>
    <col min="13846" max="13847" width="8.77734375" customWidth="1"/>
    <col min="13848" max="13848" width="10.77734375" customWidth="1"/>
    <col min="13849" max="13854" width="8.77734375" customWidth="1"/>
    <col min="13855" max="13855" width="9.109375" customWidth="1"/>
    <col min="13856" max="13868" width="8.77734375" customWidth="1"/>
    <col min="13869" max="13869" width="25.77734375" customWidth="1"/>
    <col min="13870" max="13871" width="8.77734375" customWidth="1"/>
    <col min="13872" max="13872" width="19.77734375" customWidth="1"/>
    <col min="13873" max="13875" width="8.77734375" customWidth="1"/>
    <col min="13877" max="13877" width="10.77734375" customWidth="1"/>
    <col min="13879" max="13880" width="11.77734375" customWidth="1"/>
    <col min="13882" max="13882" width="8.77734375" customWidth="1"/>
    <col min="13884" max="13884" width="21.77734375" customWidth="1"/>
    <col min="13888" max="13888" width="2.77734375" customWidth="1"/>
    <col min="13889" max="13889" width="20.77734375" customWidth="1"/>
    <col min="13893" max="13893" width="13.77734375" customWidth="1"/>
    <col min="13907" max="13907" width="32.5546875" bestFit="1" customWidth="1"/>
    <col min="13919" max="13919" width="9.77734375" customWidth="1"/>
    <col min="14075" max="14079" width="9.77734375" customWidth="1"/>
    <col min="14081" max="14081" width="13.33203125" customWidth="1"/>
    <col min="14082" max="14082" width="2.77734375" customWidth="1"/>
    <col min="14083" max="14083" width="6.77734375" customWidth="1"/>
    <col min="14084" max="14084" width="4.33203125" customWidth="1"/>
    <col min="14085" max="14085" width="3.77734375" customWidth="1"/>
    <col min="14086" max="14086" width="8.77734375" customWidth="1"/>
    <col min="14087" max="14087" width="15.77734375" customWidth="1"/>
    <col min="14088" max="14088" width="7.77734375" customWidth="1"/>
    <col min="14089" max="14089" width="3" customWidth="1"/>
    <col min="14090" max="14090" width="7.77734375" customWidth="1"/>
    <col min="14091" max="14091" width="3.5546875" customWidth="1"/>
    <col min="14092" max="14092" width="7.77734375" customWidth="1"/>
    <col min="14093" max="14093" width="9.5546875" customWidth="1"/>
    <col min="14094" max="14094" width="12.77734375" customWidth="1"/>
    <col min="14098" max="14098" width="9.77734375" customWidth="1"/>
    <col min="14102" max="14103" width="8.77734375" customWidth="1"/>
    <col min="14104" max="14104" width="10.77734375" customWidth="1"/>
    <col min="14105" max="14110" width="8.77734375" customWidth="1"/>
    <col min="14111" max="14111" width="9.109375" customWidth="1"/>
    <col min="14112" max="14124" width="8.77734375" customWidth="1"/>
    <col min="14125" max="14125" width="25.77734375" customWidth="1"/>
    <col min="14126" max="14127" width="8.77734375" customWidth="1"/>
    <col min="14128" max="14128" width="19.77734375" customWidth="1"/>
    <col min="14129" max="14131" width="8.77734375" customWidth="1"/>
    <col min="14133" max="14133" width="10.77734375" customWidth="1"/>
    <col min="14135" max="14136" width="11.77734375" customWidth="1"/>
    <col min="14138" max="14138" width="8.77734375" customWidth="1"/>
    <col min="14140" max="14140" width="21.77734375" customWidth="1"/>
    <col min="14144" max="14144" width="2.77734375" customWidth="1"/>
    <col min="14145" max="14145" width="20.77734375" customWidth="1"/>
    <col min="14149" max="14149" width="13.77734375" customWidth="1"/>
    <col min="14163" max="14163" width="32.5546875" bestFit="1" customWidth="1"/>
    <col min="14175" max="14175" width="9.77734375" customWidth="1"/>
    <col min="14331" max="14335" width="9.77734375" customWidth="1"/>
    <col min="14337" max="14337" width="13.33203125" customWidth="1"/>
    <col min="14338" max="14338" width="2.77734375" customWidth="1"/>
    <col min="14339" max="14339" width="6.77734375" customWidth="1"/>
    <col min="14340" max="14340" width="4.33203125" customWidth="1"/>
    <col min="14341" max="14341" width="3.77734375" customWidth="1"/>
    <col min="14342" max="14342" width="8.77734375" customWidth="1"/>
    <col min="14343" max="14343" width="15.77734375" customWidth="1"/>
    <col min="14344" max="14344" width="7.77734375" customWidth="1"/>
    <col min="14345" max="14345" width="3" customWidth="1"/>
    <col min="14346" max="14346" width="7.77734375" customWidth="1"/>
    <col min="14347" max="14347" width="3.5546875" customWidth="1"/>
    <col min="14348" max="14348" width="7.77734375" customWidth="1"/>
    <col min="14349" max="14349" width="9.5546875" customWidth="1"/>
    <col min="14350" max="14350" width="12.77734375" customWidth="1"/>
    <col min="14354" max="14354" width="9.77734375" customWidth="1"/>
    <col min="14358" max="14359" width="8.77734375" customWidth="1"/>
    <col min="14360" max="14360" width="10.77734375" customWidth="1"/>
    <col min="14361" max="14366" width="8.77734375" customWidth="1"/>
    <col min="14367" max="14367" width="9.109375" customWidth="1"/>
    <col min="14368" max="14380" width="8.77734375" customWidth="1"/>
    <col min="14381" max="14381" width="25.77734375" customWidth="1"/>
    <col min="14382" max="14383" width="8.77734375" customWidth="1"/>
    <col min="14384" max="14384" width="19.77734375" customWidth="1"/>
    <col min="14385" max="14387" width="8.77734375" customWidth="1"/>
    <col min="14389" max="14389" width="10.77734375" customWidth="1"/>
    <col min="14391" max="14392" width="11.77734375" customWidth="1"/>
    <col min="14394" max="14394" width="8.77734375" customWidth="1"/>
    <col min="14396" max="14396" width="21.77734375" customWidth="1"/>
    <col min="14400" max="14400" width="2.77734375" customWidth="1"/>
    <col min="14401" max="14401" width="20.77734375" customWidth="1"/>
    <col min="14405" max="14405" width="13.77734375" customWidth="1"/>
    <col min="14419" max="14419" width="32.5546875" bestFit="1" customWidth="1"/>
    <col min="14431" max="14431" width="9.77734375" customWidth="1"/>
    <col min="14587" max="14591" width="9.77734375" customWidth="1"/>
    <col min="14593" max="14593" width="13.33203125" customWidth="1"/>
    <col min="14594" max="14594" width="2.77734375" customWidth="1"/>
    <col min="14595" max="14595" width="6.77734375" customWidth="1"/>
    <col min="14596" max="14596" width="4.33203125" customWidth="1"/>
    <col min="14597" max="14597" width="3.77734375" customWidth="1"/>
    <col min="14598" max="14598" width="8.77734375" customWidth="1"/>
    <col min="14599" max="14599" width="15.77734375" customWidth="1"/>
    <col min="14600" max="14600" width="7.77734375" customWidth="1"/>
    <col min="14601" max="14601" width="3" customWidth="1"/>
    <col min="14602" max="14602" width="7.77734375" customWidth="1"/>
    <col min="14603" max="14603" width="3.5546875" customWidth="1"/>
    <col min="14604" max="14604" width="7.77734375" customWidth="1"/>
    <col min="14605" max="14605" width="9.5546875" customWidth="1"/>
    <col min="14606" max="14606" width="12.77734375" customWidth="1"/>
    <col min="14610" max="14610" width="9.77734375" customWidth="1"/>
    <col min="14614" max="14615" width="8.77734375" customWidth="1"/>
    <col min="14616" max="14616" width="10.77734375" customWidth="1"/>
    <col min="14617" max="14622" width="8.77734375" customWidth="1"/>
    <col min="14623" max="14623" width="9.109375" customWidth="1"/>
    <col min="14624" max="14636" width="8.77734375" customWidth="1"/>
    <col min="14637" max="14637" width="25.77734375" customWidth="1"/>
    <col min="14638" max="14639" width="8.77734375" customWidth="1"/>
    <col min="14640" max="14640" width="19.77734375" customWidth="1"/>
    <col min="14641" max="14643" width="8.77734375" customWidth="1"/>
    <col min="14645" max="14645" width="10.77734375" customWidth="1"/>
    <col min="14647" max="14648" width="11.77734375" customWidth="1"/>
    <col min="14650" max="14650" width="8.77734375" customWidth="1"/>
    <col min="14652" max="14652" width="21.77734375" customWidth="1"/>
    <col min="14656" max="14656" width="2.77734375" customWidth="1"/>
    <col min="14657" max="14657" width="20.77734375" customWidth="1"/>
    <col min="14661" max="14661" width="13.77734375" customWidth="1"/>
    <col min="14675" max="14675" width="32.5546875" bestFit="1" customWidth="1"/>
    <col min="14687" max="14687" width="9.77734375" customWidth="1"/>
    <col min="14843" max="14847" width="9.77734375" customWidth="1"/>
    <col min="14849" max="14849" width="13.33203125" customWidth="1"/>
    <col min="14850" max="14850" width="2.77734375" customWidth="1"/>
    <col min="14851" max="14851" width="6.77734375" customWidth="1"/>
    <col min="14852" max="14852" width="4.33203125" customWidth="1"/>
    <col min="14853" max="14853" width="3.77734375" customWidth="1"/>
    <col min="14854" max="14854" width="8.77734375" customWidth="1"/>
    <col min="14855" max="14855" width="15.77734375" customWidth="1"/>
    <col min="14856" max="14856" width="7.77734375" customWidth="1"/>
    <col min="14857" max="14857" width="3" customWidth="1"/>
    <col min="14858" max="14858" width="7.77734375" customWidth="1"/>
    <col min="14859" max="14859" width="3.5546875" customWidth="1"/>
    <col min="14860" max="14860" width="7.77734375" customWidth="1"/>
    <col min="14861" max="14861" width="9.5546875" customWidth="1"/>
    <col min="14862" max="14862" width="12.77734375" customWidth="1"/>
    <col min="14866" max="14866" width="9.77734375" customWidth="1"/>
    <col min="14870" max="14871" width="8.77734375" customWidth="1"/>
    <col min="14872" max="14872" width="10.77734375" customWidth="1"/>
    <col min="14873" max="14878" width="8.77734375" customWidth="1"/>
    <col min="14879" max="14879" width="9.109375" customWidth="1"/>
    <col min="14880" max="14892" width="8.77734375" customWidth="1"/>
    <col min="14893" max="14893" width="25.77734375" customWidth="1"/>
    <col min="14894" max="14895" width="8.77734375" customWidth="1"/>
    <col min="14896" max="14896" width="19.77734375" customWidth="1"/>
    <col min="14897" max="14899" width="8.77734375" customWidth="1"/>
    <col min="14901" max="14901" width="10.77734375" customWidth="1"/>
    <col min="14903" max="14904" width="11.77734375" customWidth="1"/>
    <col min="14906" max="14906" width="8.77734375" customWidth="1"/>
    <col min="14908" max="14908" width="21.77734375" customWidth="1"/>
    <col min="14912" max="14912" width="2.77734375" customWidth="1"/>
    <col min="14913" max="14913" width="20.77734375" customWidth="1"/>
    <col min="14917" max="14917" width="13.77734375" customWidth="1"/>
    <col min="14931" max="14931" width="32.5546875" bestFit="1" customWidth="1"/>
    <col min="14943" max="14943" width="9.77734375" customWidth="1"/>
    <col min="15099" max="15103" width="9.77734375" customWidth="1"/>
    <col min="15105" max="15105" width="13.33203125" customWidth="1"/>
    <col min="15106" max="15106" width="2.77734375" customWidth="1"/>
    <col min="15107" max="15107" width="6.77734375" customWidth="1"/>
    <col min="15108" max="15108" width="4.33203125" customWidth="1"/>
    <col min="15109" max="15109" width="3.77734375" customWidth="1"/>
    <col min="15110" max="15110" width="8.77734375" customWidth="1"/>
    <col min="15111" max="15111" width="15.77734375" customWidth="1"/>
    <col min="15112" max="15112" width="7.77734375" customWidth="1"/>
    <col min="15113" max="15113" width="3" customWidth="1"/>
    <col min="15114" max="15114" width="7.77734375" customWidth="1"/>
    <col min="15115" max="15115" width="3.5546875" customWidth="1"/>
    <col min="15116" max="15116" width="7.77734375" customWidth="1"/>
    <col min="15117" max="15117" width="9.5546875" customWidth="1"/>
    <col min="15118" max="15118" width="12.77734375" customWidth="1"/>
    <col min="15122" max="15122" width="9.77734375" customWidth="1"/>
    <col min="15126" max="15127" width="8.77734375" customWidth="1"/>
    <col min="15128" max="15128" width="10.77734375" customWidth="1"/>
    <col min="15129" max="15134" width="8.77734375" customWidth="1"/>
    <col min="15135" max="15135" width="9.109375" customWidth="1"/>
    <col min="15136" max="15148" width="8.77734375" customWidth="1"/>
    <col min="15149" max="15149" width="25.77734375" customWidth="1"/>
    <col min="15150" max="15151" width="8.77734375" customWidth="1"/>
    <col min="15152" max="15152" width="19.77734375" customWidth="1"/>
    <col min="15153" max="15155" width="8.77734375" customWidth="1"/>
    <col min="15157" max="15157" width="10.77734375" customWidth="1"/>
    <col min="15159" max="15160" width="11.77734375" customWidth="1"/>
    <col min="15162" max="15162" width="8.77734375" customWidth="1"/>
    <col min="15164" max="15164" width="21.77734375" customWidth="1"/>
    <col min="15168" max="15168" width="2.77734375" customWidth="1"/>
    <col min="15169" max="15169" width="20.77734375" customWidth="1"/>
    <col min="15173" max="15173" width="13.77734375" customWidth="1"/>
    <col min="15187" max="15187" width="32.5546875" bestFit="1" customWidth="1"/>
    <col min="15199" max="15199" width="9.77734375" customWidth="1"/>
    <col min="15355" max="15359" width="9.77734375" customWidth="1"/>
    <col min="15361" max="15361" width="13.33203125" customWidth="1"/>
    <col min="15362" max="15362" width="2.77734375" customWidth="1"/>
    <col min="15363" max="15363" width="6.77734375" customWidth="1"/>
    <col min="15364" max="15364" width="4.33203125" customWidth="1"/>
    <col min="15365" max="15365" width="3.77734375" customWidth="1"/>
    <col min="15366" max="15366" width="8.77734375" customWidth="1"/>
    <col min="15367" max="15367" width="15.77734375" customWidth="1"/>
    <col min="15368" max="15368" width="7.77734375" customWidth="1"/>
    <col min="15369" max="15369" width="3" customWidth="1"/>
    <col min="15370" max="15370" width="7.77734375" customWidth="1"/>
    <col min="15371" max="15371" width="3.5546875" customWidth="1"/>
    <col min="15372" max="15372" width="7.77734375" customWidth="1"/>
    <col min="15373" max="15373" width="9.5546875" customWidth="1"/>
    <col min="15374" max="15374" width="12.77734375" customWidth="1"/>
    <col min="15378" max="15378" width="9.77734375" customWidth="1"/>
    <col min="15382" max="15383" width="8.77734375" customWidth="1"/>
    <col min="15384" max="15384" width="10.77734375" customWidth="1"/>
    <col min="15385" max="15390" width="8.77734375" customWidth="1"/>
    <col min="15391" max="15391" width="9.109375" customWidth="1"/>
    <col min="15392" max="15404" width="8.77734375" customWidth="1"/>
    <col min="15405" max="15405" width="25.77734375" customWidth="1"/>
    <col min="15406" max="15407" width="8.77734375" customWidth="1"/>
    <col min="15408" max="15408" width="19.77734375" customWidth="1"/>
    <col min="15409" max="15411" width="8.77734375" customWidth="1"/>
    <col min="15413" max="15413" width="10.77734375" customWidth="1"/>
    <col min="15415" max="15416" width="11.77734375" customWidth="1"/>
    <col min="15418" max="15418" width="8.77734375" customWidth="1"/>
    <col min="15420" max="15420" width="21.77734375" customWidth="1"/>
    <col min="15424" max="15424" width="2.77734375" customWidth="1"/>
    <col min="15425" max="15425" width="20.77734375" customWidth="1"/>
    <col min="15429" max="15429" width="13.77734375" customWidth="1"/>
    <col min="15443" max="15443" width="32.5546875" bestFit="1" customWidth="1"/>
    <col min="15455" max="15455" width="9.77734375" customWidth="1"/>
    <col min="15611" max="15615" width="9.77734375" customWidth="1"/>
    <col min="15617" max="15617" width="13.33203125" customWidth="1"/>
    <col min="15618" max="15618" width="2.77734375" customWidth="1"/>
    <col min="15619" max="15619" width="6.77734375" customWidth="1"/>
    <col min="15620" max="15620" width="4.33203125" customWidth="1"/>
    <col min="15621" max="15621" width="3.77734375" customWidth="1"/>
    <col min="15622" max="15622" width="8.77734375" customWidth="1"/>
    <col min="15623" max="15623" width="15.77734375" customWidth="1"/>
    <col min="15624" max="15624" width="7.77734375" customWidth="1"/>
    <col min="15625" max="15625" width="3" customWidth="1"/>
    <col min="15626" max="15626" width="7.77734375" customWidth="1"/>
    <col min="15627" max="15627" width="3.5546875" customWidth="1"/>
    <col min="15628" max="15628" width="7.77734375" customWidth="1"/>
    <col min="15629" max="15629" width="9.5546875" customWidth="1"/>
    <col min="15630" max="15630" width="12.77734375" customWidth="1"/>
    <col min="15634" max="15634" width="9.77734375" customWidth="1"/>
    <col min="15638" max="15639" width="8.77734375" customWidth="1"/>
    <col min="15640" max="15640" width="10.77734375" customWidth="1"/>
    <col min="15641" max="15646" width="8.77734375" customWidth="1"/>
    <col min="15647" max="15647" width="9.109375" customWidth="1"/>
    <col min="15648" max="15660" width="8.77734375" customWidth="1"/>
    <col min="15661" max="15661" width="25.77734375" customWidth="1"/>
    <col min="15662" max="15663" width="8.77734375" customWidth="1"/>
    <col min="15664" max="15664" width="19.77734375" customWidth="1"/>
    <col min="15665" max="15667" width="8.77734375" customWidth="1"/>
    <col min="15669" max="15669" width="10.77734375" customWidth="1"/>
    <col min="15671" max="15672" width="11.77734375" customWidth="1"/>
    <col min="15674" max="15674" width="8.77734375" customWidth="1"/>
    <col min="15676" max="15676" width="21.77734375" customWidth="1"/>
    <col min="15680" max="15680" width="2.77734375" customWidth="1"/>
    <col min="15681" max="15681" width="20.77734375" customWidth="1"/>
    <col min="15685" max="15685" width="13.77734375" customWidth="1"/>
    <col min="15699" max="15699" width="32.5546875" bestFit="1" customWidth="1"/>
    <col min="15711" max="15711" width="9.77734375" customWidth="1"/>
    <col min="15867" max="15871" width="9.77734375" customWidth="1"/>
    <col min="15873" max="15873" width="13.33203125" customWidth="1"/>
    <col min="15874" max="15874" width="2.77734375" customWidth="1"/>
    <col min="15875" max="15875" width="6.77734375" customWidth="1"/>
    <col min="15876" max="15876" width="4.33203125" customWidth="1"/>
    <col min="15877" max="15877" width="3.77734375" customWidth="1"/>
    <col min="15878" max="15878" width="8.77734375" customWidth="1"/>
    <col min="15879" max="15879" width="15.77734375" customWidth="1"/>
    <col min="15880" max="15880" width="7.77734375" customWidth="1"/>
    <col min="15881" max="15881" width="3" customWidth="1"/>
    <col min="15882" max="15882" width="7.77734375" customWidth="1"/>
    <col min="15883" max="15883" width="3.5546875" customWidth="1"/>
    <col min="15884" max="15884" width="7.77734375" customWidth="1"/>
    <col min="15885" max="15885" width="9.5546875" customWidth="1"/>
    <col min="15886" max="15886" width="12.77734375" customWidth="1"/>
    <col min="15890" max="15890" width="9.77734375" customWidth="1"/>
    <col min="15894" max="15895" width="8.77734375" customWidth="1"/>
    <col min="15896" max="15896" width="10.77734375" customWidth="1"/>
    <col min="15897" max="15902" width="8.77734375" customWidth="1"/>
    <col min="15903" max="15903" width="9.109375" customWidth="1"/>
    <col min="15904" max="15916" width="8.77734375" customWidth="1"/>
    <col min="15917" max="15917" width="25.77734375" customWidth="1"/>
    <col min="15918" max="15919" width="8.77734375" customWidth="1"/>
    <col min="15920" max="15920" width="19.77734375" customWidth="1"/>
    <col min="15921" max="15923" width="8.77734375" customWidth="1"/>
    <col min="15925" max="15925" width="10.77734375" customWidth="1"/>
    <col min="15927" max="15928" width="11.77734375" customWidth="1"/>
    <col min="15930" max="15930" width="8.77734375" customWidth="1"/>
    <col min="15932" max="15932" width="21.77734375" customWidth="1"/>
    <col min="15936" max="15936" width="2.77734375" customWidth="1"/>
    <col min="15937" max="15937" width="20.77734375" customWidth="1"/>
    <col min="15941" max="15941" width="13.77734375" customWidth="1"/>
    <col min="15955" max="15955" width="32.5546875" bestFit="1" customWidth="1"/>
    <col min="15967" max="15967" width="9.77734375" customWidth="1"/>
    <col min="16123" max="16127" width="9.77734375" customWidth="1"/>
    <col min="16129" max="16129" width="13.33203125" customWidth="1"/>
    <col min="16130" max="16130" width="2.77734375" customWidth="1"/>
    <col min="16131" max="16131" width="6.77734375" customWidth="1"/>
    <col min="16132" max="16132" width="4.33203125" customWidth="1"/>
    <col min="16133" max="16133" width="3.77734375" customWidth="1"/>
    <col min="16134" max="16134" width="8.77734375" customWidth="1"/>
    <col min="16135" max="16135" width="15.77734375" customWidth="1"/>
    <col min="16136" max="16136" width="7.77734375" customWidth="1"/>
    <col min="16137" max="16137" width="3" customWidth="1"/>
    <col min="16138" max="16138" width="7.77734375" customWidth="1"/>
    <col min="16139" max="16139" width="3.5546875" customWidth="1"/>
    <col min="16140" max="16140" width="7.77734375" customWidth="1"/>
    <col min="16141" max="16141" width="9.5546875" customWidth="1"/>
    <col min="16142" max="16142" width="12.77734375" customWidth="1"/>
    <col min="16146" max="16146" width="9.77734375" customWidth="1"/>
    <col min="16150" max="16151" width="8.77734375" customWidth="1"/>
    <col min="16152" max="16152" width="10.77734375" customWidth="1"/>
    <col min="16153" max="16158" width="8.77734375" customWidth="1"/>
    <col min="16159" max="16159" width="9.109375" customWidth="1"/>
    <col min="16160" max="16172" width="8.77734375" customWidth="1"/>
    <col min="16173" max="16173" width="25.77734375" customWidth="1"/>
    <col min="16174" max="16175" width="8.77734375" customWidth="1"/>
    <col min="16176" max="16176" width="19.77734375" customWidth="1"/>
    <col min="16177" max="16179" width="8.77734375" customWidth="1"/>
    <col min="16181" max="16181" width="10.77734375" customWidth="1"/>
    <col min="16183" max="16184" width="11.77734375" customWidth="1"/>
    <col min="16186" max="16186" width="8.77734375" customWidth="1"/>
    <col min="16188" max="16188" width="21.77734375" customWidth="1"/>
    <col min="16192" max="16192" width="2.77734375" customWidth="1"/>
    <col min="16193" max="16193" width="20.77734375" customWidth="1"/>
    <col min="16197" max="16197" width="13.77734375" customWidth="1"/>
    <col min="16211" max="16211" width="32.5546875" bestFit="1" customWidth="1"/>
    <col min="16223" max="16223" width="9.77734375" customWidth="1"/>
    <col min="16379" max="16383" width="9.77734375" customWidth="1"/>
  </cols>
  <sheetData>
    <row r="1" spans="1:256" ht="9.9499999999999993" customHeight="1">
      <c r="A1" s="1"/>
      <c r="B1" s="2" t="s">
        <v>0</v>
      </c>
      <c r="C1" s="3"/>
      <c r="D1" s="3"/>
      <c r="E1" s="3"/>
      <c r="F1" s="3"/>
      <c r="G1" s="3"/>
      <c r="H1" s="3" t="s">
        <v>1</v>
      </c>
      <c r="I1" s="2" t="s">
        <v>2</v>
      </c>
      <c r="J1" s="3"/>
      <c r="K1" s="3"/>
      <c r="L1" s="4" t="s">
        <v>3</v>
      </c>
      <c r="M1" s="418"/>
      <c r="N1" s="6" t="s">
        <v>5</v>
      </c>
      <c r="O1" s="6" t="s">
        <v>6</v>
      </c>
      <c r="AG1" s="1"/>
      <c r="AH1" s="3"/>
      <c r="AI1" s="2" t="s">
        <v>0</v>
      </c>
      <c r="AJ1" s="3"/>
      <c r="AK1" s="3"/>
      <c r="AL1" s="3"/>
      <c r="AM1" s="3" t="s">
        <v>1</v>
      </c>
      <c r="AN1" s="3"/>
      <c r="AO1" s="2" t="s">
        <v>2</v>
      </c>
      <c r="AP1" s="7"/>
      <c r="AQ1" s="2" t="s">
        <v>3</v>
      </c>
      <c r="AR1" s="5" t="s">
        <v>4</v>
      </c>
    </row>
    <row r="2" spans="1:256" ht="15" customHeight="1">
      <c r="A2" s="8" t="s">
        <v>7</v>
      </c>
      <c r="B2" s="9" t="s">
        <v>1</v>
      </c>
      <c r="C2" s="10"/>
      <c r="D2" s="11"/>
      <c r="E2" s="12"/>
      <c r="F2" s="13"/>
      <c r="G2" s="12"/>
      <c r="H2" s="12"/>
      <c r="I2" s="9"/>
      <c r="J2" s="14" t="s">
        <v>8</v>
      </c>
      <c r="K2" s="12"/>
      <c r="L2" s="15" t="s">
        <v>8</v>
      </c>
      <c r="M2" s="16" t="s">
        <v>8</v>
      </c>
      <c r="N2" s="17" t="s">
        <v>9</v>
      </c>
      <c r="O2" s="18" t="s">
        <v>10</v>
      </c>
      <c r="T2" s="19">
        <f>IF(N2="D",0,1)</f>
        <v>0</v>
      </c>
      <c r="AG2" s="20"/>
      <c r="AI2" s="9" t="s">
        <v>1</v>
      </c>
      <c r="AJ2" s="10">
        <f>C2</f>
        <v>0</v>
      </c>
      <c r="AK2" s="13"/>
      <c r="AL2" s="12"/>
      <c r="AM2" s="12"/>
      <c r="AN2" s="21"/>
      <c r="AO2" s="9"/>
      <c r="AP2" s="22" t="str">
        <f>J2</f>
        <v xml:space="preserve"> </v>
      </c>
      <c r="AQ2" s="23" t="s">
        <v>8</v>
      </c>
      <c r="AR2" s="16" t="s">
        <v>8</v>
      </c>
      <c r="BH2" t="s">
        <v>11</v>
      </c>
      <c r="BI2" t="s">
        <v>12</v>
      </c>
      <c r="BN2" t="s">
        <v>13</v>
      </c>
      <c r="FG2" s="24"/>
      <c r="IV2" s="25"/>
    </row>
    <row r="3" spans="1:256" ht="9.9499999999999993" customHeight="1">
      <c r="A3" s="26"/>
      <c r="B3" s="2" t="s">
        <v>14</v>
      </c>
      <c r="C3" s="27"/>
      <c r="D3" s="3"/>
      <c r="E3" s="3"/>
      <c r="I3" s="28" t="s">
        <v>15</v>
      </c>
      <c r="L3" s="419"/>
      <c r="M3" s="29"/>
      <c r="AG3" s="26"/>
      <c r="AI3" s="2" t="s">
        <v>14</v>
      </c>
      <c r="AJ3" s="27"/>
      <c r="AO3" s="28" t="s">
        <v>15</v>
      </c>
      <c r="AQ3" s="28" t="s">
        <v>16</v>
      </c>
      <c r="AR3" s="29"/>
      <c r="BH3" s="30"/>
      <c r="BM3" s="30"/>
      <c r="FG3" s="31"/>
      <c r="IV3" s="25"/>
    </row>
    <row r="4" spans="1:256" ht="13.9" customHeight="1">
      <c r="A4" s="20"/>
      <c r="B4" s="9"/>
      <c r="C4" s="10"/>
      <c r="D4" s="13"/>
      <c r="E4" s="12"/>
      <c r="F4" s="12"/>
      <c r="G4" s="12"/>
      <c r="H4" s="21"/>
      <c r="I4" s="9"/>
      <c r="J4" s="32">
        <v>44118.352581712963</v>
      </c>
      <c r="K4" s="33"/>
      <c r="L4" s="12"/>
      <c r="M4" s="34" t="s">
        <v>8</v>
      </c>
      <c r="O4" s="396" t="s">
        <v>17</v>
      </c>
      <c r="R4" s="35" t="s">
        <v>18</v>
      </c>
      <c r="S4" s="396" t="s">
        <v>19</v>
      </c>
      <c r="AG4" s="20"/>
      <c r="AI4" s="9"/>
      <c r="AJ4" s="10">
        <f>C4</f>
        <v>0</v>
      </c>
      <c r="AK4" s="12"/>
      <c r="AL4" s="12"/>
      <c r="AM4" s="12"/>
      <c r="AN4" s="21"/>
      <c r="AO4" s="9"/>
      <c r="AP4" s="32">
        <f ca="1">NOW()</f>
        <v>45644.530230902776</v>
      </c>
      <c r="AQ4" s="9"/>
      <c r="AR4" s="34" t="s">
        <v>8</v>
      </c>
      <c r="BI4" s="19" t="s">
        <v>20</v>
      </c>
      <c r="BJ4" t="s">
        <v>21</v>
      </c>
      <c r="BK4" t="s">
        <v>22</v>
      </c>
      <c r="BN4" s="19" t="s">
        <v>20</v>
      </c>
      <c r="BO4" t="s">
        <v>21</v>
      </c>
      <c r="BP4" t="s">
        <v>22</v>
      </c>
      <c r="IV4" s="25"/>
    </row>
    <row r="5" spans="1:256" ht="9.9499999999999993" customHeight="1">
      <c r="A5" s="36" t="s">
        <v>23</v>
      </c>
      <c r="B5" s="2"/>
      <c r="C5" s="27"/>
      <c r="I5" s="37"/>
      <c r="K5" s="37" t="s">
        <v>1173</v>
      </c>
      <c r="L5" s="419"/>
      <c r="M5" s="29"/>
      <c r="AG5" s="28" t="s">
        <v>23</v>
      </c>
      <c r="AI5" s="2"/>
      <c r="AJ5" s="27"/>
      <c r="AO5" s="37"/>
      <c r="AP5" s="37" t="str">
        <f>K5</f>
        <v xml:space="preserve">                                    N:\Opslag\Statik\Dalton statikark\RepoEC_190701 </v>
      </c>
      <c r="AQ5" s="28" t="s">
        <v>24</v>
      </c>
      <c r="AR5" s="29"/>
      <c r="BI5" s="38" t="s">
        <v>25</v>
      </c>
      <c r="BJ5" s="38" t="s">
        <v>26</v>
      </c>
      <c r="BN5" s="39" t="s">
        <v>25</v>
      </c>
      <c r="BO5" s="38" t="s">
        <v>26</v>
      </c>
      <c r="IV5" s="25"/>
    </row>
    <row r="6" spans="1:256" ht="15.75">
      <c r="A6" s="40" t="s">
        <v>27</v>
      </c>
      <c r="B6" s="9"/>
      <c r="C6" s="10"/>
      <c r="D6" s="12"/>
      <c r="E6" s="12"/>
      <c r="F6" s="12"/>
      <c r="G6" s="12"/>
      <c r="H6" s="12"/>
      <c r="I6" s="41" t="s">
        <v>28</v>
      </c>
      <c r="J6" s="42">
        <v>44118.353442013889</v>
      </c>
      <c r="K6" s="12"/>
      <c r="L6" s="43"/>
      <c r="M6" s="44" t="s">
        <v>8</v>
      </c>
      <c r="Q6" s="45"/>
      <c r="AG6" s="40" t="str">
        <f>A6</f>
        <v>Tilst</v>
      </c>
      <c r="AH6" s="12"/>
      <c r="AI6" s="9"/>
      <c r="AJ6" s="10">
        <f>C6</f>
        <v>0</v>
      </c>
      <c r="AK6" s="12"/>
      <c r="AL6" s="12"/>
      <c r="AM6" s="12"/>
      <c r="AN6" s="21"/>
      <c r="AO6" s="41" t="s">
        <v>28</v>
      </c>
      <c r="AP6" s="42">
        <f ca="1">NOW()</f>
        <v>45644.530230902776</v>
      </c>
      <c r="AQ6" s="41"/>
      <c r="AR6" s="44" t="s">
        <v>8</v>
      </c>
      <c r="AV6" t="s">
        <v>29</v>
      </c>
      <c r="BB6" t="s">
        <v>29</v>
      </c>
      <c r="BH6" s="46" t="s">
        <v>30</v>
      </c>
      <c r="BI6">
        <f>J22</f>
        <v>30</v>
      </c>
      <c r="BJ6">
        <f>BI6</f>
        <v>30</v>
      </c>
      <c r="BK6" t="s">
        <v>31</v>
      </c>
      <c r="BM6" s="46" t="s">
        <v>30</v>
      </c>
      <c r="BN6" s="47">
        <f>J22</f>
        <v>30</v>
      </c>
      <c r="BO6">
        <f>BN6</f>
        <v>30</v>
      </c>
      <c r="BP6" t="s">
        <v>31</v>
      </c>
      <c r="CF6" s="395" t="s">
        <v>1095</v>
      </c>
      <c r="CG6" s="48"/>
      <c r="IV6" s="25"/>
    </row>
    <row r="7" spans="1:256" ht="15.75">
      <c r="N7" s="49">
        <f>IF(T2=1,+NS!N6,IF(R4="ja",1,IF(I9=2,1,IF(I9=3,1.1,NA()))))</f>
        <v>1</v>
      </c>
      <c r="O7" t="s">
        <v>32</v>
      </c>
      <c r="AC7" s="49"/>
      <c r="AD7" s="49"/>
      <c r="AM7" s="50"/>
      <c r="AV7" t="s">
        <v>33</v>
      </c>
      <c r="BB7" t="s">
        <v>34</v>
      </c>
      <c r="BH7" s="46" t="s">
        <v>35</v>
      </c>
      <c r="BI7" s="51">
        <f>51000*BI6/(BI6+13)</f>
        <v>35581.395348837206</v>
      </c>
      <c r="BJ7" s="51">
        <f>51000*BJ6/(BJ6+13)</f>
        <v>35581.395348837206</v>
      </c>
      <c r="BK7" t="s">
        <v>31</v>
      </c>
      <c r="BM7" s="46" t="s">
        <v>35</v>
      </c>
      <c r="BN7" s="51">
        <f>51000*BN6/(BN6+13)</f>
        <v>35581.395348837206</v>
      </c>
      <c r="BO7" s="51">
        <f>51000*BO6/(BO6+13)</f>
        <v>35581.395348837206</v>
      </c>
      <c r="BP7" t="s">
        <v>31</v>
      </c>
      <c r="BV7" t="s">
        <v>36</v>
      </c>
      <c r="CF7" s="394"/>
      <c r="CG7" t="s">
        <v>37</v>
      </c>
      <c r="CI7" t="s">
        <v>38</v>
      </c>
      <c r="IV7" s="25"/>
    </row>
    <row r="8" spans="1:256" ht="15.75">
      <c r="B8" s="52" t="s">
        <v>39</v>
      </c>
      <c r="N8" s="49">
        <f>IF(T2=1,+NS!N7,IF(I10="N",1,IF(I10="S",0.95,NA())))</f>
        <v>1</v>
      </c>
      <c r="O8" t="s">
        <v>40</v>
      </c>
      <c r="Q8" s="24">
        <v>1</v>
      </c>
      <c r="R8" s="48" t="s">
        <v>41</v>
      </c>
      <c r="AG8" s="57" t="s">
        <v>1120</v>
      </c>
      <c r="AW8" t="s">
        <v>42</v>
      </c>
      <c r="AX8" t="s">
        <v>43</v>
      </c>
      <c r="BC8" t="s">
        <v>42</v>
      </c>
      <c r="BD8" t="s">
        <v>43</v>
      </c>
      <c r="BH8" s="46" t="s">
        <v>44</v>
      </c>
      <c r="BI8" s="51">
        <f>1/4*0.7*BI7</f>
        <v>6226.7441860465105</v>
      </c>
      <c r="BJ8" s="51">
        <f>0.7*BJ7</f>
        <v>24906.976744186042</v>
      </c>
      <c r="BK8" t="s">
        <v>31</v>
      </c>
      <c r="BM8" s="46" t="s">
        <v>44</v>
      </c>
      <c r="BN8" s="51">
        <f>1/4*0.7*BN7</f>
        <v>6226.7441860465105</v>
      </c>
      <c r="BO8" s="51">
        <f>0.7*BO7</f>
        <v>24906.976744186042</v>
      </c>
      <c r="BP8" t="s">
        <v>31</v>
      </c>
      <c r="BV8" s="53" t="s">
        <v>45</v>
      </c>
      <c r="BW8" s="53" t="s">
        <v>46</v>
      </c>
      <c r="BX8" s="54" t="s">
        <v>46</v>
      </c>
      <c r="BY8" s="53" t="s">
        <v>47</v>
      </c>
      <c r="BZ8" s="53" t="s">
        <v>48</v>
      </c>
      <c r="CA8" s="53" t="s">
        <v>49</v>
      </c>
      <c r="CB8" s="53">
        <v>2</v>
      </c>
      <c r="CC8" s="54" t="s">
        <v>9</v>
      </c>
      <c r="CD8" s="53" t="s">
        <v>50</v>
      </c>
      <c r="CF8" s="394"/>
      <c r="CG8" s="55" t="s">
        <v>51</v>
      </c>
      <c r="CI8" t="s">
        <v>52</v>
      </c>
      <c r="IV8" s="25"/>
    </row>
    <row r="9" spans="1:256" ht="15.75">
      <c r="B9" s="52"/>
      <c r="G9" s="46" t="str">
        <f>IF(T2=0,"Konsekvensklasse"," ")</f>
        <v>Konsekvensklasse</v>
      </c>
      <c r="H9" s="46" t="str">
        <f>IF(T2=0,"CC"," ")</f>
        <v>CC</v>
      </c>
      <c r="I9" s="35">
        <v>2</v>
      </c>
      <c r="J9" s="56" t="str">
        <f>IF(K9="ikke tilladt !","Fejl !",IF(AND(T2=1,I9=" ")," ",IF(AND(T2=1,I9&gt;0),"Fejl ! "," ")))</f>
        <v xml:space="preserve"> </v>
      </c>
      <c r="K9" t="str">
        <f>IF(T2=1," ",IF(I9=2,"Middel",IF(I9=3,"Høj","Ikke tilladt !")))</f>
        <v>Middel</v>
      </c>
      <c r="N9" s="51" t="e">
        <f>IF(T2=1,+NS!N8,IF(AND(I11="P",J26&lt;=10),15,IF(I11="P",25,IF(I11="M",25,IF(I11="A",35,IF(I11="E",45,NA()))))))</f>
        <v>#N/A</v>
      </c>
      <c r="O9" t="s">
        <v>53</v>
      </c>
      <c r="S9" s="27"/>
      <c r="T9" s="27"/>
      <c r="AG9" s="57" t="s">
        <v>1121</v>
      </c>
      <c r="AV9" t="s">
        <v>54</v>
      </c>
      <c r="AW9">
        <f>J22</f>
        <v>30</v>
      </c>
      <c r="AX9">
        <f>AW9</f>
        <v>30</v>
      </c>
      <c r="AY9" t="s">
        <v>31</v>
      </c>
      <c r="BB9" t="s">
        <v>54</v>
      </c>
      <c r="BC9" s="51">
        <f>J22</f>
        <v>30</v>
      </c>
      <c r="BD9" s="51">
        <f>BC9</f>
        <v>30</v>
      </c>
      <c r="BE9" t="s">
        <v>31</v>
      </c>
      <c r="BH9" s="46" t="s">
        <v>55</v>
      </c>
      <c r="BI9">
        <f>AA306</f>
        <v>200000</v>
      </c>
      <c r="BJ9">
        <f>BI9</f>
        <v>200000</v>
      </c>
      <c r="BK9" t="s">
        <v>31</v>
      </c>
      <c r="BM9" s="46" t="s">
        <v>55</v>
      </c>
      <c r="BN9" s="47">
        <f>AA306</f>
        <v>200000</v>
      </c>
      <c r="BO9">
        <f>BN9</f>
        <v>200000</v>
      </c>
      <c r="BP9" t="s">
        <v>31</v>
      </c>
      <c r="BV9" s="53" t="s">
        <v>56</v>
      </c>
      <c r="BW9" s="53" t="s">
        <v>18</v>
      </c>
      <c r="BX9" s="54" t="s">
        <v>18</v>
      </c>
      <c r="BY9" s="53" t="s">
        <v>57</v>
      </c>
      <c r="BZ9" s="53" t="s">
        <v>58</v>
      </c>
      <c r="CA9" s="53" t="s">
        <v>59</v>
      </c>
      <c r="CB9" s="53">
        <v>3</v>
      </c>
      <c r="CC9" s="54" t="s">
        <v>48</v>
      </c>
      <c r="CD9" s="53" t="s">
        <v>60</v>
      </c>
      <c r="CF9" s="394"/>
      <c r="CG9" s="27" t="s">
        <v>61</v>
      </c>
      <c r="CI9" t="s">
        <v>62</v>
      </c>
      <c r="CJ9" t="s">
        <v>63</v>
      </c>
      <c r="IV9" s="25"/>
    </row>
    <row r="10" spans="1:256" ht="15.75">
      <c r="G10" s="46" t="str">
        <f>IF(T2=0,"Kontrolklasse",+NS!G10)</f>
        <v>Kontrolklasse</v>
      </c>
      <c r="H10" s="58" t="s">
        <v>8</v>
      </c>
      <c r="I10" s="35" t="s">
        <v>48</v>
      </c>
      <c r="J10" s="56" t="str">
        <f>IF(K10="fejl !","Fejl !",IF(AND(T2=1,I10&gt;0,I10&lt;=4)," ",IF(T2=0," ","Fejl !")))</f>
        <v xml:space="preserve"> </v>
      </c>
      <c r="K10" t="str">
        <f>IF(T2=1," ",IF(I10="N","Normal",IF(I10="S","Skærpet","fejl !")))</f>
        <v>Normal</v>
      </c>
      <c r="N10" s="51">
        <v>5</v>
      </c>
      <c r="O10" t="s">
        <v>64</v>
      </c>
      <c r="S10" s="27"/>
      <c r="T10" s="59"/>
      <c r="AI10" s="60" t="s">
        <v>1107</v>
      </c>
      <c r="AL10" s="57" t="s">
        <v>75</v>
      </c>
      <c r="AV10" t="s">
        <v>65</v>
      </c>
      <c r="AW10" s="51">
        <f>HLOOKUP(AW9,$AW$41:$BD$43,3)</f>
        <v>30</v>
      </c>
      <c r="AX10" s="51">
        <f>HLOOKUP(AX9,$AW$41:$BD$43,2)</f>
        <v>8</v>
      </c>
      <c r="AY10" t="s">
        <v>66</v>
      </c>
      <c r="BB10" t="s">
        <v>65</v>
      </c>
      <c r="BC10" s="51">
        <f>HLOOKUP(BC9,$AW$41:$BD$43,3)</f>
        <v>30</v>
      </c>
      <c r="BD10" s="51">
        <f>HLOOKUP(BD9,$AW$41:$BD$43,2)</f>
        <v>8</v>
      </c>
      <c r="BE10" t="s">
        <v>66</v>
      </c>
      <c r="BH10" s="46" t="s">
        <v>67</v>
      </c>
      <c r="BI10" s="51">
        <f>BI9/BI8</f>
        <v>32.119514472455656</v>
      </c>
      <c r="BJ10" s="51">
        <f>BJ9/BJ8</f>
        <v>8.0298786181139139</v>
      </c>
      <c r="BM10" s="46" t="s">
        <v>67</v>
      </c>
      <c r="BN10" s="51">
        <f>BN9/BN8</f>
        <v>32.119514472455656</v>
      </c>
      <c r="BO10" s="51">
        <f>BO9/BO8</f>
        <v>8.0298786181139139</v>
      </c>
      <c r="BV10" s="19"/>
      <c r="BW10" s="19"/>
      <c r="BX10" s="19"/>
      <c r="BY10" s="53" t="s">
        <v>68</v>
      </c>
      <c r="BZ10" s="61">
        <v>1</v>
      </c>
      <c r="CA10" s="53" t="s">
        <v>47</v>
      </c>
      <c r="CB10" s="53" t="s">
        <v>8</v>
      </c>
      <c r="CC10" s="54" t="s">
        <v>58</v>
      </c>
      <c r="CD10" s="53" t="s">
        <v>69</v>
      </c>
      <c r="CF10" s="394">
        <v>1</v>
      </c>
      <c r="CG10" s="19" t="e">
        <f>IF(OR(H59&gt;0,J59&gt;0),1,0)</f>
        <v>#N/A</v>
      </c>
      <c r="CH10" t="s">
        <v>47</v>
      </c>
      <c r="CI10" s="62" t="s">
        <v>70</v>
      </c>
      <c r="CY10" t="s">
        <v>71</v>
      </c>
      <c r="CZ10" t="s">
        <v>72</v>
      </c>
      <c r="IV10" s="25"/>
    </row>
    <row r="11" spans="1:256" ht="15.75">
      <c r="G11" s="46" t="str">
        <f>IF(T2=0,"Miljøpåvirkning"," ")</f>
        <v>Miljøpåvirkning</v>
      </c>
      <c r="H11" s="56" t="str">
        <f>IF(AND(T2=1,H10="XC")," ",IF(AND(T2=1,H10="XD")," ",IF(AND(T2=1,H10="XS")," ",IF(T2=0," ","Fejl !"))))</f>
        <v xml:space="preserve"> </v>
      </c>
      <c r="I11" s="35" t="s">
        <v>49</v>
      </c>
      <c r="J11" s="56" t="str">
        <f>IF(K11="fejl !","Fejl",IF(AND(T2=1,I11="P"),"Fejl !",IF(AND(T2=1,I11="M"),"Fejl !",IF(AND(T2=1,I11="A"),"Fejl !",IF(AND(T2=1,I11="E"),"Fejl !"," ")))))</f>
        <v xml:space="preserve"> </v>
      </c>
      <c r="K11" t="str">
        <f>IF(T2=1," ",IF(I11="P","Passiv",IF(I11="M","Moderat",IF(I11="A","Aggressiv",IF(I11="E","Ekstra aggressiv","fejl !")))))</f>
        <v>Passiv</v>
      </c>
      <c r="N11" s="63">
        <f>IF(T2=1,+NS!N10,0)</f>
        <v>0</v>
      </c>
      <c r="O11" t="s">
        <v>73</v>
      </c>
      <c r="Q11" s="57" t="e">
        <f>DÆKLAG+N11</f>
        <v>#N/A</v>
      </c>
      <c r="R11" t="s">
        <v>74</v>
      </c>
      <c r="U11" s="64">
        <f>IF(AG2=1,+NS!U10,0)</f>
        <v>0</v>
      </c>
      <c r="V11" s="48"/>
      <c r="AL11" s="57" t="s">
        <v>1108</v>
      </c>
      <c r="AV11" t="s">
        <v>76</v>
      </c>
      <c r="AW11" t="e">
        <f>O24</f>
        <v>#N/A</v>
      </c>
      <c r="AX11" t="e">
        <f>AW11</f>
        <v>#N/A</v>
      </c>
      <c r="AY11" t="s">
        <v>77</v>
      </c>
      <c r="AZ11" t="e">
        <f>AZ13</f>
        <v>#N/A</v>
      </c>
      <c r="BA11" t="s">
        <v>78</v>
      </c>
      <c r="BB11" t="s">
        <v>76</v>
      </c>
      <c r="BC11" t="e">
        <f>O24</f>
        <v>#N/A</v>
      </c>
      <c r="BD11" t="e">
        <f>BC11</f>
        <v>#N/A</v>
      </c>
      <c r="BE11" t="s">
        <v>77</v>
      </c>
      <c r="BF11" t="e">
        <f>BF13</f>
        <v>#N/A</v>
      </c>
      <c r="BG11" t="s">
        <v>78</v>
      </c>
      <c r="BH11" s="46" t="s">
        <v>79</v>
      </c>
      <c r="BI11" t="e">
        <f>N9+N10+N11</f>
        <v>#N/A</v>
      </c>
      <c r="BJ11" t="e">
        <f>BI11</f>
        <v>#N/A</v>
      </c>
      <c r="BK11" t="s">
        <v>78</v>
      </c>
      <c r="BM11" s="46" t="s">
        <v>79</v>
      </c>
      <c r="BN11" s="47" t="e">
        <f>N9+N10+N11</f>
        <v>#N/A</v>
      </c>
      <c r="BO11" t="e">
        <f>BN11</f>
        <v>#N/A</v>
      </c>
      <c r="BP11" t="s">
        <v>78</v>
      </c>
      <c r="BV11" s="65"/>
      <c r="BW11" t="s">
        <v>80</v>
      </c>
      <c r="BX11" s="19"/>
      <c r="BY11" s="53" t="s">
        <v>9</v>
      </c>
      <c r="BZ11" s="61">
        <v>2</v>
      </c>
      <c r="CA11" s="53" t="s">
        <v>81</v>
      </c>
      <c r="CD11" s="66" t="s">
        <v>8</v>
      </c>
      <c r="CF11" s="394">
        <v>2</v>
      </c>
      <c r="CG11" s="19" t="e">
        <f>IF(H68&lt;L68,1,0)</f>
        <v>#N/A</v>
      </c>
      <c r="CH11" t="s">
        <v>57</v>
      </c>
      <c r="CI11" s="62" t="s">
        <v>82</v>
      </c>
      <c r="CX11" s="46" t="s">
        <v>83</v>
      </c>
      <c r="CY11" s="67" t="e">
        <f>H50+AH14</f>
        <v>#N/A</v>
      </c>
      <c r="CZ11" s="67" t="e">
        <f>CZ14-CZ13-CZ12</f>
        <v>#N/A</v>
      </c>
      <c r="DA11" t="s">
        <v>84</v>
      </c>
      <c r="IV11" s="25"/>
    </row>
    <row r="12" spans="1:256" ht="15.75">
      <c r="G12" s="68" t="str">
        <f>IF(R4="nej"," ",IF(R4="ja","Beregning i ulykkessituation","Fejl"))</f>
        <v xml:space="preserve"> </v>
      </c>
      <c r="N12" s="51" t="e">
        <f>MAXA(T14:T15)-(Q14*N22/2+Q15*J26/2)/(Q14+Q15)</f>
        <v>#N/A</v>
      </c>
      <c r="O12" t="s">
        <v>85</v>
      </c>
      <c r="AG12" s="46" t="s">
        <v>86</v>
      </c>
      <c r="AH12" s="51" t="e">
        <f>REPL</f>
        <v>#N/A</v>
      </c>
      <c r="AI12" s="55" t="s">
        <v>87</v>
      </c>
      <c r="AJ12" s="19" t="s">
        <v>88</v>
      </c>
      <c r="AK12" s="69" t="s">
        <v>89</v>
      </c>
      <c r="AN12" s="46" t="s">
        <v>71</v>
      </c>
      <c r="AP12" t="s">
        <v>72</v>
      </c>
      <c r="AV12" t="s">
        <v>90</v>
      </c>
      <c r="AW12">
        <f>N22</f>
        <v>8</v>
      </c>
      <c r="AX12">
        <f>AW12</f>
        <v>8</v>
      </c>
      <c r="BB12" t="s">
        <v>90</v>
      </c>
      <c r="BC12">
        <f>N22</f>
        <v>8</v>
      </c>
      <c r="BD12">
        <f>BC12</f>
        <v>8</v>
      </c>
      <c r="BH12" s="46" t="s">
        <v>91</v>
      </c>
      <c r="BI12" t="e">
        <f>J26</f>
        <v>#N/A</v>
      </c>
      <c r="BJ12" t="e">
        <f>BI12</f>
        <v>#N/A</v>
      </c>
      <c r="BK12" t="s">
        <v>78</v>
      </c>
      <c r="BM12" s="46" t="s">
        <v>91</v>
      </c>
      <c r="BN12" s="47" t="e">
        <f>J26</f>
        <v>#N/A</v>
      </c>
      <c r="BO12" t="e">
        <f>BN12</f>
        <v>#N/A</v>
      </c>
      <c r="BP12" t="s">
        <v>78</v>
      </c>
      <c r="BV12" s="65"/>
      <c r="BW12" s="53" t="s">
        <v>92</v>
      </c>
      <c r="BX12" s="19"/>
      <c r="BY12" s="53" t="s">
        <v>8</v>
      </c>
      <c r="BZ12" s="61">
        <v>3</v>
      </c>
      <c r="CA12" s="70" t="s">
        <v>8</v>
      </c>
      <c r="CB12" s="53">
        <v>1</v>
      </c>
      <c r="CE12" s="27"/>
      <c r="CF12" s="394">
        <v>3</v>
      </c>
      <c r="CG12" s="19" t="e">
        <f>IF(OR(H134&lt;L134,H135&lt;L135,H136&lt;L136),1,0)</f>
        <v>#N/A</v>
      </c>
      <c r="CH12" t="s">
        <v>68</v>
      </c>
      <c r="CI12" s="62" t="s">
        <v>93</v>
      </c>
      <c r="CV12" s="19" t="s">
        <v>94</v>
      </c>
      <c r="CX12" s="46" t="s">
        <v>95</v>
      </c>
      <c r="CY12" s="67" t="e">
        <f>H49</f>
        <v>#N/A</v>
      </c>
      <c r="CZ12" s="67" t="e">
        <f>J49</f>
        <v>#N/A</v>
      </c>
      <c r="DA12" t="s">
        <v>84</v>
      </c>
      <c r="IV12" s="25"/>
    </row>
    <row r="13" spans="1:256" ht="15.75">
      <c r="B13" t="s">
        <v>96</v>
      </c>
      <c r="N13" s="51" t="e">
        <f>MAXA(T14:T15)-(R14*N22/2+R15*J27/2)/(R14+R15)</f>
        <v>#N/A</v>
      </c>
      <c r="O13" t="s">
        <v>97</v>
      </c>
      <c r="Q13" s="46" t="s">
        <v>98</v>
      </c>
      <c r="R13" s="46" t="s">
        <v>99</v>
      </c>
      <c r="T13" s="46" t="s">
        <v>100</v>
      </c>
      <c r="Z13" s="51"/>
      <c r="AA13" s="51"/>
      <c r="AG13" s="46" t="s">
        <v>101</v>
      </c>
      <c r="AH13" s="67" t="e">
        <f>L</f>
        <v>#N/A</v>
      </c>
      <c r="AI13" t="s">
        <v>84</v>
      </c>
      <c r="AJ13" s="19" t="s">
        <v>102</v>
      </c>
      <c r="AM13" s="46"/>
      <c r="AV13" t="s">
        <v>103</v>
      </c>
      <c r="AW13" s="51" t="e">
        <f>H26</f>
        <v>#N/A</v>
      </c>
      <c r="AX13" s="51" t="e">
        <f>AW13</f>
        <v>#N/A</v>
      </c>
      <c r="AY13" t="s">
        <v>77</v>
      </c>
      <c r="AZ13" t="e">
        <f>IF(J18=0,J17-J21,J17-J18)</f>
        <v>#N/A</v>
      </c>
      <c r="BA13" t="s">
        <v>78</v>
      </c>
      <c r="BB13" t="s">
        <v>103</v>
      </c>
      <c r="BC13" s="51" t="e">
        <f>H26</f>
        <v>#N/A</v>
      </c>
      <c r="BD13" s="51" t="e">
        <f>BC13</f>
        <v>#N/A</v>
      </c>
      <c r="BE13" t="s">
        <v>77</v>
      </c>
      <c r="BF13" t="e">
        <f>IF(J18=0,J17-J21,J17-J18)</f>
        <v>#N/A</v>
      </c>
      <c r="BG13" t="s">
        <v>78</v>
      </c>
      <c r="BH13" s="46" t="s">
        <v>104</v>
      </c>
      <c r="BI13" s="51" t="e">
        <f>AW22</f>
        <v>#N/A</v>
      </c>
      <c r="BJ13" s="51" t="e">
        <f>BI13</f>
        <v>#N/A</v>
      </c>
      <c r="BK13" t="s">
        <v>105</v>
      </c>
      <c r="BM13" s="46" t="s">
        <v>104</v>
      </c>
      <c r="BN13" s="71" t="e">
        <f>BC22</f>
        <v>#N/A</v>
      </c>
      <c r="BO13" s="51" t="e">
        <f>BN13</f>
        <v>#N/A</v>
      </c>
      <c r="BP13" t="s">
        <v>105</v>
      </c>
      <c r="BW13" s="53" t="s">
        <v>106</v>
      </c>
      <c r="BY13" s="53" t="s">
        <v>107</v>
      </c>
      <c r="BZ13" s="61">
        <v>4</v>
      </c>
      <c r="CB13" s="53">
        <v>2</v>
      </c>
      <c r="CC13" s="72">
        <v>1</v>
      </c>
      <c r="CE13" s="27"/>
      <c r="CF13" s="394">
        <v>4</v>
      </c>
      <c r="CG13" s="19" t="e">
        <f>IF(H134&lt;L134,1,0)</f>
        <v>#N/A</v>
      </c>
      <c r="CH13" t="s">
        <v>9</v>
      </c>
      <c r="CI13" s="62" t="s">
        <v>108</v>
      </c>
      <c r="CX13" s="46" t="s">
        <v>109</v>
      </c>
      <c r="CY13" s="67" t="e">
        <f>CY14-CY11-CY12</f>
        <v>#N/A</v>
      </c>
      <c r="CZ13" s="67" t="e">
        <f>J50+AH14</f>
        <v>#N/A</v>
      </c>
      <c r="DA13" t="s">
        <v>84</v>
      </c>
      <c r="IV13" s="25"/>
    </row>
    <row r="14" spans="1:256" ht="15.75">
      <c r="G14" t="s">
        <v>110</v>
      </c>
      <c r="H14" t="s">
        <v>111</v>
      </c>
      <c r="I14" t="s">
        <v>112</v>
      </c>
      <c r="J14" s="63" t="e">
        <f>NA()</f>
        <v>#N/A</v>
      </c>
      <c r="K14" t="s">
        <v>78</v>
      </c>
      <c r="P14" s="46" t="s">
        <v>113</v>
      </c>
      <c r="Q14" s="51" t="e">
        <f>O24*N22^2/4*PI()</f>
        <v>#N/A</v>
      </c>
      <c r="R14" s="51" t="e">
        <f>Q14*F37/J19</f>
        <v>#N/A</v>
      </c>
      <c r="S14" t="s">
        <v>105</v>
      </c>
      <c r="T14">
        <f>N22</f>
        <v>8</v>
      </c>
      <c r="U14" t="s">
        <v>78</v>
      </c>
      <c r="AA14" s="24"/>
      <c r="AG14" s="46" t="s">
        <v>114</v>
      </c>
      <c r="AH14" s="67" t="e">
        <f>(J32-J16*10^-3)/2</f>
        <v>#N/A</v>
      </c>
      <c r="AI14" t="s">
        <v>84</v>
      </c>
      <c r="AN14" s="67" t="e">
        <f>AJ30+AJ31-H56</f>
        <v>#N/A</v>
      </c>
      <c r="AO14" s="19" t="s">
        <v>1110</v>
      </c>
      <c r="AP14" s="67" t="e">
        <f>AO17-AN14</f>
        <v>#N/A</v>
      </c>
      <c r="AQ14" t="s">
        <v>84</v>
      </c>
      <c r="AV14" t="s">
        <v>115</v>
      </c>
      <c r="AW14" s="51" t="e">
        <f>H27</f>
        <v>#N/A</v>
      </c>
      <c r="AX14" s="51" t="e">
        <f>AW14</f>
        <v>#N/A</v>
      </c>
      <c r="AY14" t="s">
        <v>77</v>
      </c>
      <c r="AZ14" t="e">
        <f>AW18</f>
        <v>#N/A</v>
      </c>
      <c r="BA14" t="s">
        <v>78</v>
      </c>
      <c r="BC14" s="24"/>
      <c r="BD14" s="24"/>
      <c r="BH14" s="46" t="s">
        <v>116</v>
      </c>
      <c r="BI14" t="e">
        <f>J32</f>
        <v>#N/A</v>
      </c>
      <c r="BJ14" t="e">
        <f>BI14</f>
        <v>#N/A</v>
      </c>
      <c r="BK14" t="s">
        <v>84</v>
      </c>
      <c r="BM14" s="46" t="s">
        <v>116</v>
      </c>
      <c r="BN14" s="47" t="e">
        <f>J32</f>
        <v>#N/A</v>
      </c>
      <c r="BO14" t="e">
        <f>BN14</f>
        <v>#N/A</v>
      </c>
      <c r="BP14" t="s">
        <v>84</v>
      </c>
      <c r="BY14" s="53" t="s">
        <v>117</v>
      </c>
      <c r="CC14" s="72">
        <v>1.2</v>
      </c>
      <c r="CE14" s="27"/>
      <c r="CF14" s="394">
        <v>5</v>
      </c>
      <c r="CG14" s="19" t="e">
        <f>IF(H135&lt;L135,1,0)</f>
        <v>#N/A</v>
      </c>
      <c r="CH14" t="s">
        <v>81</v>
      </c>
      <c r="CI14" s="62" t="s">
        <v>118</v>
      </c>
      <c r="CX14" s="46" t="s">
        <v>101</v>
      </c>
      <c r="CY14" s="67" t="e">
        <f>J32</f>
        <v>#N/A</v>
      </c>
      <c r="CZ14" s="67" t="e">
        <f>J32</f>
        <v>#N/A</v>
      </c>
      <c r="DA14" t="s">
        <v>84</v>
      </c>
    </row>
    <row r="15" spans="1:256" ht="15.75">
      <c r="G15" t="s">
        <v>119</v>
      </c>
      <c r="H15" t="s">
        <v>120</v>
      </c>
      <c r="I15" t="s">
        <v>112</v>
      </c>
      <c r="J15" s="64" t="e">
        <f>J14-(N9+N10+MAXA(N12:N13)+N11)</f>
        <v>#N/A</v>
      </c>
      <c r="K15" t="s">
        <v>78</v>
      </c>
      <c r="P15" s="46" t="s">
        <v>121</v>
      </c>
      <c r="Q15" s="51" t="e">
        <f>H26*J26^2/4*PI()</f>
        <v>#N/A</v>
      </c>
      <c r="R15" s="51" t="e">
        <f>Q15*F37/J19+H27*J27^2/4*PI()</f>
        <v>#N/A</v>
      </c>
      <c r="S15" t="s">
        <v>105</v>
      </c>
      <c r="T15" t="e">
        <f>J26</f>
        <v>#N/A</v>
      </c>
      <c r="U15" t="s">
        <v>78</v>
      </c>
      <c r="AA15" s="67"/>
      <c r="AH15" s="74" t="s">
        <v>122</v>
      </c>
      <c r="AI15" s="75" t="e">
        <f>J16*10^-3/4*(J32-J16*10^-3/2)</f>
        <v>#N/A</v>
      </c>
      <c r="AK15" t="s">
        <v>135</v>
      </c>
      <c r="AV15" t="s">
        <v>123</v>
      </c>
      <c r="AW15" s="51" t="e">
        <f>J26</f>
        <v>#N/A</v>
      </c>
      <c r="AX15" s="51" t="e">
        <f>AW15</f>
        <v>#N/A</v>
      </c>
      <c r="AY15" t="s">
        <v>78</v>
      </c>
      <c r="BB15" t="s">
        <v>123</v>
      </c>
      <c r="BC15" s="51" t="e">
        <f>J26</f>
        <v>#N/A</v>
      </c>
      <c r="BD15" s="51" t="e">
        <f>AX15</f>
        <v>#N/A</v>
      </c>
      <c r="BE15" t="s">
        <v>105</v>
      </c>
      <c r="BH15" s="46" t="s">
        <v>124</v>
      </c>
      <c r="BI15" s="49" t="e">
        <f>BI14</f>
        <v>#N/A</v>
      </c>
      <c r="BJ15" s="49" t="e">
        <f>BI15</f>
        <v>#N/A</v>
      </c>
      <c r="BK15" t="s">
        <v>84</v>
      </c>
      <c r="BM15" s="46" t="s">
        <v>124</v>
      </c>
      <c r="BN15" s="49" t="e">
        <f>BN14</f>
        <v>#N/A</v>
      </c>
      <c r="BO15" s="49" t="e">
        <f>BN15</f>
        <v>#N/A</v>
      </c>
      <c r="BP15" t="s">
        <v>84</v>
      </c>
      <c r="CB15" s="53">
        <v>8</v>
      </c>
      <c r="CE15" s="27"/>
      <c r="CF15" s="394">
        <v>6</v>
      </c>
      <c r="CG15" s="19" t="e">
        <f>IF(H136&lt;L136,1,0)</f>
        <v>#N/A</v>
      </c>
      <c r="CH15" t="s">
        <v>125</v>
      </c>
      <c r="CI15" s="62" t="s">
        <v>126</v>
      </c>
      <c r="CW15" t="s">
        <v>127</v>
      </c>
      <c r="CX15" s="46" t="s">
        <v>128</v>
      </c>
      <c r="CY15" s="67" t="e">
        <f>CY12*(CY13+CY12/2)/CY14</f>
        <v>#N/A</v>
      </c>
      <c r="CZ15" s="67" t="e">
        <f>CZ12*(CZ13+CZ12/2)/CZ14</f>
        <v>#N/A</v>
      </c>
      <c r="DA15" t="s">
        <v>129</v>
      </c>
    </row>
    <row r="16" spans="1:256" ht="15.75">
      <c r="G16" t="s">
        <v>130</v>
      </c>
      <c r="H16" t="s">
        <v>88</v>
      </c>
      <c r="I16" t="s">
        <v>112</v>
      </c>
      <c r="J16" s="63" t="e">
        <f>NA()</f>
        <v>#N/A</v>
      </c>
      <c r="K16" t="s">
        <v>78</v>
      </c>
      <c r="N16" s="76" t="str">
        <f>X17</f>
        <v>EC + dansk NAD</v>
      </c>
      <c r="AA16" s="51"/>
      <c r="AT16" t="s">
        <v>131</v>
      </c>
      <c r="AV16" t="s">
        <v>132</v>
      </c>
      <c r="AW16" s="24" t="e">
        <f>H43*AI15+(0.5*H51*H48*CY16+0.5*J51*J48*CZ16+H57*AT17+J57*AT19)/(L83*10^-3)</f>
        <v>#N/A</v>
      </c>
      <c r="AX16" s="24" t="e">
        <f>H44*AI15+(0.5*H52*H48*CY16+0.5*J52*J48*CZ16+H58*AT17+J58*AT19)/(L83*10^-3)</f>
        <v>#N/A</v>
      </c>
      <c r="AY16" t="s">
        <v>133</v>
      </c>
      <c r="BB16" t="s">
        <v>132</v>
      </c>
      <c r="BC16" s="24" t="e">
        <f>H43*AI15</f>
        <v>#N/A</v>
      </c>
      <c r="BD16" s="24" t="e">
        <f>H44*AI15</f>
        <v>#N/A</v>
      </c>
      <c r="BE16" t="s">
        <v>133</v>
      </c>
      <c r="BH16" s="46" t="s">
        <v>134</v>
      </c>
      <c r="BI16" s="24" t="e">
        <f>AW17+O77*AX17</f>
        <v>#N/A</v>
      </c>
      <c r="BJ16" s="24" t="e">
        <f>(1-O77)*AX17</f>
        <v>#N/A</v>
      </c>
      <c r="BK16" t="s">
        <v>135</v>
      </c>
      <c r="BM16" s="46" t="s">
        <v>134</v>
      </c>
      <c r="BN16" s="77" t="e">
        <f>BC17+O77*BD17</f>
        <v>#N/A</v>
      </c>
      <c r="BO16" s="24" t="e">
        <f>(1-O77)*BD17</f>
        <v>#N/A</v>
      </c>
      <c r="BP16" t="s">
        <v>135</v>
      </c>
      <c r="BV16">
        <v>1</v>
      </c>
      <c r="BW16" s="66" t="s">
        <v>136</v>
      </c>
      <c r="BX16" t="s">
        <v>137</v>
      </c>
      <c r="CB16" s="53">
        <v>10</v>
      </c>
      <c r="CF16" s="394">
        <v>7</v>
      </c>
      <c r="CG16" s="19">
        <f>IF(OR(J34="dorn",L34="dorn"),1,0)</f>
        <v>1</v>
      </c>
      <c r="CH16" t="s">
        <v>138</v>
      </c>
      <c r="CI16" s="62" t="s">
        <v>139</v>
      </c>
      <c r="CW16" s="19" t="s">
        <v>140</v>
      </c>
      <c r="CX16" s="46" t="s">
        <v>141</v>
      </c>
      <c r="CY16" s="67" t="e">
        <f>IF(CY11+CY12&lt;=CY14/2,CY15*CY14/2-CY12*(CY14/2-CY11-CY12/2),IF(AND(CY11&lt;=CY14/2,CY11+CY12&gt;CY14/2),CY15*CY14/2-(CY14/2-CY11)^2/2,CY15*CY14/2))</f>
        <v>#N/A</v>
      </c>
      <c r="CZ16" s="67" t="e">
        <f>IF(CZ11+CZ12&lt;=CZ14/2,CZ15*CZ14/2-CZ12*(CZ14/2-CZ11-CZ12/2),IF(AND(CZ11&lt;=CZ14/2,CZ11+CZ12&gt;CZ14/2),CZ15*CZ14/2-(CZ14/2-CZ11)^2/2,CZ15*CZ14/2))</f>
        <v>#N/A</v>
      </c>
      <c r="DA16" t="s">
        <v>142</v>
      </c>
    </row>
    <row r="17" spans="2:100" ht="15.75">
      <c r="G17" t="s">
        <v>143</v>
      </c>
      <c r="H17" t="s">
        <v>144</v>
      </c>
      <c r="I17" t="s">
        <v>112</v>
      </c>
      <c r="J17" s="63" t="e">
        <f>NA()</f>
        <v>#N/A</v>
      </c>
      <c r="K17" t="s">
        <v>78</v>
      </c>
      <c r="N17" s="49">
        <f>IF(T2=1,+NS!N17,IF(R4="ja",1,1.4*N8*Q8))</f>
        <v>1.4</v>
      </c>
      <c r="O17" t="s">
        <v>145</v>
      </c>
      <c r="R17" s="49">
        <f>IF(T2=1,+NS!R17,1)</f>
        <v>1</v>
      </c>
      <c r="S17" t="s">
        <v>146</v>
      </c>
      <c r="W17" t="s">
        <v>147</v>
      </c>
      <c r="X17" t="str">
        <f>IF(T2=1,+NS!X17,"EC + dansk NAD")</f>
        <v>EC + dansk NAD</v>
      </c>
      <c r="AA17" s="49" t="s">
        <v>148</v>
      </c>
      <c r="AM17" s="46" t="s">
        <v>1109</v>
      </c>
      <c r="AN17" s="67" t="e">
        <f>AP14/AO17</f>
        <v>#N/A</v>
      </c>
      <c r="AO17" s="65" t="e">
        <f>J32</f>
        <v>#N/A</v>
      </c>
      <c r="AP17" s="67" t="e">
        <f>AN14/AO17</f>
        <v>#N/A</v>
      </c>
      <c r="AQ17" t="s">
        <v>439</v>
      </c>
      <c r="AT17" s="67" t="e">
        <f>IF(AN14&lt;AO17/2,AP17*AO17/2,AN17*AO17/2)</f>
        <v>#N/A</v>
      </c>
      <c r="AU17" s="67" t="s">
        <v>149</v>
      </c>
      <c r="AV17" t="s">
        <v>59</v>
      </c>
      <c r="AW17" s="24" t="e">
        <f>AW16*AW18/1000</f>
        <v>#N/A</v>
      </c>
      <c r="AX17" s="24" t="e">
        <f>AX16*AX18/1000</f>
        <v>#N/A</v>
      </c>
      <c r="AY17" t="s">
        <v>150</v>
      </c>
      <c r="AZ17" t="e">
        <f>AW18</f>
        <v>#N/A</v>
      </c>
      <c r="BA17" t="s">
        <v>78</v>
      </c>
      <c r="BB17" t="s">
        <v>59</v>
      </c>
      <c r="BC17" s="24" t="e">
        <f>BC16</f>
        <v>#N/A</v>
      </c>
      <c r="BD17" s="24" t="e">
        <f>BD16</f>
        <v>#N/A</v>
      </c>
      <c r="BE17" t="s">
        <v>150</v>
      </c>
      <c r="BF17">
        <f>BC18</f>
        <v>1000</v>
      </c>
      <c r="BG17" t="s">
        <v>78</v>
      </c>
      <c r="BH17" s="46" t="s">
        <v>109</v>
      </c>
      <c r="BI17" t="e">
        <f>AW18</f>
        <v>#N/A</v>
      </c>
      <c r="BJ17" t="e">
        <f>BI17</f>
        <v>#N/A</v>
      </c>
      <c r="BK17" t="s">
        <v>78</v>
      </c>
      <c r="BM17" s="46" t="s">
        <v>109</v>
      </c>
      <c r="BN17" s="47">
        <f>BC18</f>
        <v>1000</v>
      </c>
      <c r="BO17">
        <f>BN17</f>
        <v>1000</v>
      </c>
      <c r="BP17" t="s">
        <v>78</v>
      </c>
      <c r="BV17">
        <v>2</v>
      </c>
      <c r="BW17" s="66" t="s">
        <v>151</v>
      </c>
      <c r="BX17" t="s">
        <v>152</v>
      </c>
      <c r="CF17" s="394">
        <v>8</v>
      </c>
      <c r="CG17" s="19">
        <f>IF(OR(J34="fast",L34="fast"),1,0)</f>
        <v>1</v>
      </c>
      <c r="CH17" t="s">
        <v>153</v>
      </c>
      <c r="CI17" s="62" t="s">
        <v>154</v>
      </c>
      <c r="CJ17" t="s">
        <v>155</v>
      </c>
    </row>
    <row r="18" spans="2:100" ht="15.75">
      <c r="G18" t="s">
        <v>156</v>
      </c>
      <c r="I18" t="s">
        <v>112</v>
      </c>
      <c r="J18" s="63">
        <v>0</v>
      </c>
      <c r="K18" t="s">
        <v>78</v>
      </c>
      <c r="M18" s="68" t="str">
        <f>IF(OR(J18=0,J18&gt;=120)," ","min 120 !")</f>
        <v xml:space="preserve"> </v>
      </c>
      <c r="N18" s="49">
        <f>IF(T2=1,+NS!N18,IF(R4="ja",1,1.6*N8*Q8))</f>
        <v>1.6</v>
      </c>
      <c r="O18" t="s">
        <v>157</v>
      </c>
      <c r="R18" s="49">
        <f>IF(T2=1,+NS!R18,1)</f>
        <v>1</v>
      </c>
      <c r="S18" t="s">
        <v>158</v>
      </c>
      <c r="W18" s="46" t="s">
        <v>159</v>
      </c>
      <c r="X18" s="46"/>
      <c r="Y18" s="46"/>
      <c r="Z18" s="78" t="s">
        <v>160</v>
      </c>
      <c r="AA18" s="79" t="s">
        <v>161</v>
      </c>
      <c r="AG18" s="291" t="s">
        <v>1111</v>
      </c>
      <c r="AI18" s="46"/>
      <c r="AO18" s="67"/>
      <c r="AT18" t="s">
        <v>162</v>
      </c>
      <c r="AV18" t="s">
        <v>144</v>
      </c>
      <c r="AW18" s="51" t="e">
        <f>L83</f>
        <v>#N/A</v>
      </c>
      <c r="AX18" s="51" t="e">
        <f>AW18</f>
        <v>#N/A</v>
      </c>
      <c r="AY18" t="s">
        <v>78</v>
      </c>
      <c r="BB18" t="s">
        <v>144</v>
      </c>
      <c r="BC18" s="51">
        <v>1000</v>
      </c>
      <c r="BD18" s="51">
        <f>BC18</f>
        <v>1000</v>
      </c>
      <c r="BE18" t="s">
        <v>78</v>
      </c>
      <c r="BH18" s="46" t="s">
        <v>163</v>
      </c>
      <c r="BI18" s="51" t="e">
        <f>J15+N10</f>
        <v>#N/A</v>
      </c>
      <c r="BJ18" s="51" t="e">
        <f>BI18</f>
        <v>#N/A</v>
      </c>
      <c r="BK18" t="s">
        <v>105</v>
      </c>
      <c r="BM18" s="46" t="s">
        <v>163</v>
      </c>
      <c r="BN18" s="71" t="e">
        <f>J15+N10</f>
        <v>#N/A</v>
      </c>
      <c r="BO18" s="51" t="e">
        <f>BN18</f>
        <v>#N/A</v>
      </c>
      <c r="BP18" t="s">
        <v>105</v>
      </c>
      <c r="BV18">
        <v>3</v>
      </c>
      <c r="BW18" s="66" t="s">
        <v>164</v>
      </c>
      <c r="BX18" t="s">
        <v>165</v>
      </c>
      <c r="CF18" s="394">
        <v>12</v>
      </c>
      <c r="CG18" s="19">
        <f>IF(CG17=0,1,IF(N380="nej",0,IF(AND(N380="ja",H392&gt;0),0,1)))</f>
        <v>0</v>
      </c>
      <c r="CH18" t="s">
        <v>166</v>
      </c>
      <c r="CI18" s="62" t="s">
        <v>167</v>
      </c>
      <c r="CV18" s="80" t="s">
        <v>168</v>
      </c>
    </row>
    <row r="19" spans="2:100" ht="15.75">
      <c r="B19" s="69" t="s">
        <v>169</v>
      </c>
      <c r="E19" t="s">
        <v>170</v>
      </c>
      <c r="G19" t="s">
        <v>171</v>
      </c>
      <c r="I19" t="s">
        <v>112</v>
      </c>
      <c r="J19" s="64" t="e">
        <f>J17-J18</f>
        <v>#N/A</v>
      </c>
      <c r="K19" t="s">
        <v>78</v>
      </c>
      <c r="N19" s="49">
        <f>IF(T2=1,+NS!N19,IF(R4="ja",1,1.2*N8*Q8))</f>
        <v>1.2</v>
      </c>
      <c r="O19" t="s">
        <v>172</v>
      </c>
      <c r="V19" s="46" t="s">
        <v>173</v>
      </c>
      <c r="W19" s="49" t="e">
        <f>H43</f>
        <v>#N/A</v>
      </c>
      <c r="X19" s="49">
        <f>IF(T2=1,+NS!X19,IF(R4="ja",1,1.2*N7))</f>
        <v>1.2</v>
      </c>
      <c r="Y19" s="49">
        <f>IF(T2=1,+NS!Y19,IF(R4="ja",1,1*N7))</f>
        <v>1</v>
      </c>
      <c r="Z19" s="78" t="e">
        <f>IF(X21=MAXA(X21:Y21),+X19,+Y19)</f>
        <v>#N/A</v>
      </c>
      <c r="AA19" s="49">
        <v>0.9</v>
      </c>
      <c r="AG19" s="291" t="s">
        <v>1112</v>
      </c>
      <c r="AI19" s="19" t="s">
        <v>174</v>
      </c>
      <c r="AJ19" s="19" t="s">
        <v>175</v>
      </c>
      <c r="AK19" s="19" t="s">
        <v>176</v>
      </c>
      <c r="AL19" s="81"/>
      <c r="AM19" s="46"/>
      <c r="AN19" s="67" t="e">
        <f>AO17-AP19</f>
        <v>#N/A</v>
      </c>
      <c r="AO19" t="s">
        <v>1110</v>
      </c>
      <c r="AP19" s="67" t="e">
        <f>AJ34+AJ33-J56</f>
        <v>#N/A</v>
      </c>
      <c r="AQ19" t="s">
        <v>84</v>
      </c>
      <c r="AT19" s="67" t="e">
        <f>IF(AP19&lt;AO17/2,AN22*AO17/2,AP22*AO17/2)</f>
        <v>#N/A</v>
      </c>
      <c r="AU19" s="67" t="s">
        <v>149</v>
      </c>
      <c r="AV19" t="s">
        <v>177</v>
      </c>
      <c r="AW19" s="51" t="e">
        <f>J15+N10</f>
        <v>#N/A</v>
      </c>
      <c r="AX19" s="51" t="e">
        <f>AW19</f>
        <v>#N/A</v>
      </c>
      <c r="AY19" t="s">
        <v>105</v>
      </c>
      <c r="BB19" t="s">
        <v>177</v>
      </c>
      <c r="BC19" s="51" t="e">
        <f>J15+N10</f>
        <v>#N/A</v>
      </c>
      <c r="BD19" s="51" t="e">
        <f>AX19</f>
        <v>#N/A</v>
      </c>
      <c r="BE19" t="s">
        <v>105</v>
      </c>
      <c r="BH19" s="46" t="s">
        <v>178</v>
      </c>
      <c r="BI19" t="e">
        <f>J14</f>
        <v>#N/A</v>
      </c>
      <c r="BJ19" t="e">
        <f>BI19</f>
        <v>#N/A</v>
      </c>
      <c r="BK19" t="s">
        <v>78</v>
      </c>
      <c r="BM19" s="46" t="s">
        <v>178</v>
      </c>
      <c r="BN19" s="47" t="e">
        <f>J14</f>
        <v>#N/A</v>
      </c>
      <c r="BO19" t="e">
        <f>BN19</f>
        <v>#N/A</v>
      </c>
      <c r="BP19" t="s">
        <v>78</v>
      </c>
      <c r="BV19">
        <v>4</v>
      </c>
      <c r="BW19" s="66" t="s">
        <v>179</v>
      </c>
      <c r="BX19" t="s">
        <v>180</v>
      </c>
      <c r="CF19" s="394">
        <v>13</v>
      </c>
      <c r="CG19" s="19">
        <f>IF(CG17=0,1,IF(N380="nej",0,IF(AND(N380="ja",H392=0),0,1)))</f>
        <v>0</v>
      </c>
      <c r="CH19" t="s">
        <v>181</v>
      </c>
      <c r="CI19" s="62" t="s">
        <v>182</v>
      </c>
    </row>
    <row r="20" spans="2:100" ht="15.75">
      <c r="B20" s="46"/>
      <c r="C20" s="46" t="s">
        <v>183</v>
      </c>
      <c r="E20" t="s">
        <v>72</v>
      </c>
      <c r="G20" t="s">
        <v>184</v>
      </c>
      <c r="I20" t="s">
        <v>112</v>
      </c>
      <c r="J20" s="250">
        <v>0</v>
      </c>
      <c r="K20" t="s">
        <v>78</v>
      </c>
      <c r="N20" s="49">
        <f>IF(T2=1,+NS!N20,IF(R4="ja",1,1.1*N8*Q8))</f>
        <v>1.1000000000000001</v>
      </c>
      <c r="O20" t="s">
        <v>185</v>
      </c>
      <c r="V20" s="46" t="s">
        <v>186</v>
      </c>
      <c r="W20" s="49">
        <f>H44</f>
        <v>3</v>
      </c>
      <c r="X20" s="49">
        <f>IF(T2=1,+NS!X20,IF(R4="ja",0,0*N7))</f>
        <v>0</v>
      </c>
      <c r="Y20" s="49">
        <f>IF(T2=1,+NS!Y20,IF(R4="ja",1,1.5*N7))</f>
        <v>1.5</v>
      </c>
      <c r="Z20" s="78" t="e">
        <f>IF(X21=MAXA(X21:Y21),+X20,+Y20)</f>
        <v>#N/A</v>
      </c>
      <c r="AG20" s="395" t="s">
        <v>1113</v>
      </c>
      <c r="AI20" s="19" t="s">
        <v>187</v>
      </c>
      <c r="AJ20" s="69"/>
      <c r="AV20" t="s">
        <v>188</v>
      </c>
      <c r="AW20" s="51" t="e">
        <f>J14</f>
        <v>#N/A</v>
      </c>
      <c r="AX20" s="51" t="e">
        <f>AW20</f>
        <v>#N/A</v>
      </c>
      <c r="AY20" t="s">
        <v>105</v>
      </c>
      <c r="BB20" t="s">
        <v>188</v>
      </c>
      <c r="BC20" s="51" t="e">
        <f>J14</f>
        <v>#N/A</v>
      </c>
      <c r="BD20" s="51" t="e">
        <f>AX20</f>
        <v>#N/A</v>
      </c>
      <c r="BE20" t="s">
        <v>105</v>
      </c>
      <c r="BH20" s="46" t="s">
        <v>189</v>
      </c>
      <c r="BI20" s="82" t="e">
        <f>BI10*BI13/(BI17*BI18)</f>
        <v>#N/A</v>
      </c>
      <c r="BJ20" s="82" t="e">
        <f>BJ10*BJ13/(BJ17*BJ18)</f>
        <v>#N/A</v>
      </c>
      <c r="BM20" s="46" t="s">
        <v>189</v>
      </c>
      <c r="BN20" s="82" t="e">
        <f>BN10*BN13/(BN17*BN18)</f>
        <v>#N/A</v>
      </c>
      <c r="BO20" s="82" t="e">
        <f>BO10*BO13/(BO17*BO18)</f>
        <v>#N/A</v>
      </c>
      <c r="BV20">
        <v>5</v>
      </c>
      <c r="BW20" s="66" t="s">
        <v>190</v>
      </c>
      <c r="BX20" t="s">
        <v>191</v>
      </c>
      <c r="CF20" s="394">
        <v>10</v>
      </c>
      <c r="CG20" s="19">
        <f>IF(AND(N352="nej",N380="nej"),0,1)</f>
        <v>0</v>
      </c>
      <c r="CH20" t="s">
        <v>192</v>
      </c>
      <c r="CI20" s="62" t="s">
        <v>193</v>
      </c>
    </row>
    <row r="21" spans="2:100" ht="15.75">
      <c r="G21" t="s">
        <v>194</v>
      </c>
      <c r="I21" t="s">
        <v>112</v>
      </c>
      <c r="J21" s="51">
        <v>120</v>
      </c>
      <c r="K21" t="s">
        <v>195</v>
      </c>
      <c r="N21" s="83" t="s">
        <v>196</v>
      </c>
      <c r="O21" s="84">
        <f>J28</f>
        <v>500</v>
      </c>
      <c r="P21" s="7" t="s">
        <v>31</v>
      </c>
      <c r="Q21" s="68" t="str">
        <f>IF(OR(OR(N22=6,N22=8),N22=10)," "," svejst net skal være 6, 8 eller 10 mm")</f>
        <v xml:space="preserve"> </v>
      </c>
      <c r="W21" s="46" t="s">
        <v>197</v>
      </c>
      <c r="X21" s="49" t="e">
        <f>W19*X19+W20*X20</f>
        <v>#N/A</v>
      </c>
      <c r="Y21" s="49" t="e">
        <f>W19*Y19+W20*Y20</f>
        <v>#N/A</v>
      </c>
      <c r="Z21" s="46" t="str">
        <f>IF(R4="ja"," ","farligste")</f>
        <v>farligste</v>
      </c>
      <c r="AI21" s="46" t="s">
        <v>198</v>
      </c>
      <c r="AJ21" s="19" t="s">
        <v>199</v>
      </c>
      <c r="AK21" t="s">
        <v>200</v>
      </c>
      <c r="AV21" t="s">
        <v>201</v>
      </c>
      <c r="AW21" s="49" t="e">
        <f>J32</f>
        <v>#N/A</v>
      </c>
      <c r="AX21" s="49" t="e">
        <f>AW21</f>
        <v>#N/A</v>
      </c>
      <c r="AY21" t="s">
        <v>84</v>
      </c>
      <c r="BB21" t="s">
        <v>201</v>
      </c>
      <c r="BC21" s="49" t="e">
        <f>J32</f>
        <v>#N/A</v>
      </c>
      <c r="BD21" s="49" t="e">
        <f>AX21</f>
        <v>#N/A</v>
      </c>
      <c r="BE21" t="s">
        <v>84</v>
      </c>
      <c r="BH21" s="46" t="s">
        <v>202</v>
      </c>
      <c r="BI21" s="82" t="e">
        <f>BI20*(-1+SQRT(1+2/BI20))</f>
        <v>#N/A</v>
      </c>
      <c r="BJ21" s="82" t="e">
        <f>BJ20*(-1+SQRT(1+2/BJ20))</f>
        <v>#N/A</v>
      </c>
      <c r="BM21" s="46" t="s">
        <v>202</v>
      </c>
      <c r="BN21" s="82" t="e">
        <f>BN20*(-1+SQRT(1+2/BN20))</f>
        <v>#N/A</v>
      </c>
      <c r="BO21" s="82" t="e">
        <f>BO20*(-1+SQRT(1+2/BO20))</f>
        <v>#N/A</v>
      </c>
      <c r="BV21">
        <v>6</v>
      </c>
      <c r="BW21" s="66" t="s">
        <v>203</v>
      </c>
      <c r="BX21" t="s">
        <v>204</v>
      </c>
      <c r="CF21" s="394">
        <v>14</v>
      </c>
      <c r="CG21" s="19">
        <f>IF(N352="nej",0,IF(CG17=0,1,IF(AND(N352="ja",H372&lt;L372),1,0)))</f>
        <v>0</v>
      </c>
      <c r="CH21" t="s">
        <v>102</v>
      </c>
      <c r="CI21" s="62" t="s">
        <v>205</v>
      </c>
    </row>
    <row r="22" spans="2:100" ht="15.75">
      <c r="G22" t="s">
        <v>206</v>
      </c>
      <c r="H22" t="s">
        <v>207</v>
      </c>
      <c r="I22" t="s">
        <v>112</v>
      </c>
      <c r="J22" s="63">
        <f>IF(T2=1,+NS!S11,IF(I11="P",30,IF(I11="M",30,IF(I11="A",35,IF(I11="E",40,NA())))))</f>
        <v>30</v>
      </c>
      <c r="K22" t="s">
        <v>31</v>
      </c>
      <c r="N22" s="85">
        <v>8</v>
      </c>
      <c r="O22" s="86" t="s">
        <v>208</v>
      </c>
      <c r="P22" s="87">
        <v>150</v>
      </c>
      <c r="Q22" t="s">
        <v>209</v>
      </c>
      <c r="AH22" s="46" t="s">
        <v>71</v>
      </c>
      <c r="AI22" s="88" t="e">
        <f>J35</f>
        <v>#N/A</v>
      </c>
      <c r="AJ22" s="89" t="e">
        <f>J37</f>
        <v>#N/A</v>
      </c>
      <c r="AK22" s="90" t="e">
        <f>J36</f>
        <v>#N/A</v>
      </c>
      <c r="AL22" t="s">
        <v>78</v>
      </c>
      <c r="AM22" s="46" t="s">
        <v>1109</v>
      </c>
      <c r="AN22" s="67" t="e">
        <f>AP19/AO17</f>
        <v>#N/A</v>
      </c>
      <c r="AO22" s="65" t="e">
        <f>J32</f>
        <v>#N/A</v>
      </c>
      <c r="AP22" s="67" t="e">
        <f>AN19/AO17</f>
        <v>#N/A</v>
      </c>
      <c r="AQ22" t="s">
        <v>439</v>
      </c>
      <c r="AV22" t="s">
        <v>104</v>
      </c>
      <c r="AW22" s="51" t="e">
        <f>AW11/AZ11*AZ14*AW12^2/4*PI()+(AW13/AZ13*AZ14+AW14)*AW15^2/4*PI()</f>
        <v>#N/A</v>
      </c>
      <c r="AX22" s="51" t="e">
        <f>AW22</f>
        <v>#N/A</v>
      </c>
      <c r="AY22" t="s">
        <v>210</v>
      </c>
      <c r="AZ22" t="e">
        <f>AW18</f>
        <v>#N/A</v>
      </c>
      <c r="BA22" t="s">
        <v>78</v>
      </c>
      <c r="BB22" t="s">
        <v>104</v>
      </c>
      <c r="BC22" s="24" t="e">
        <f>(BC11*BC12^2/4*PI()+BC13*BC15^2/4*PI())/(BF13*10^-3)</f>
        <v>#N/A</v>
      </c>
      <c r="BD22" s="24" t="e">
        <f>BC22</f>
        <v>#N/A</v>
      </c>
      <c r="BE22" t="s">
        <v>210</v>
      </c>
      <c r="BF22">
        <f>BD18</f>
        <v>1000</v>
      </c>
      <c r="BG22" t="s">
        <v>78</v>
      </c>
      <c r="BH22" s="46" t="s">
        <v>211</v>
      </c>
      <c r="BI22" s="82" t="e">
        <f>1-BI21/3</f>
        <v>#N/A</v>
      </c>
      <c r="BJ22" s="82" t="e">
        <f>1-BJ21/3</f>
        <v>#N/A</v>
      </c>
      <c r="BM22" s="46" t="s">
        <v>211</v>
      </c>
      <c r="BN22" s="82" t="e">
        <f>1-BN21/3</f>
        <v>#N/A</v>
      </c>
      <c r="BO22" s="82" t="e">
        <f>1-BO21/3</f>
        <v>#N/A</v>
      </c>
      <c r="BV22">
        <v>7</v>
      </c>
      <c r="BW22" s="66" t="s">
        <v>27</v>
      </c>
      <c r="BX22" t="s">
        <v>212</v>
      </c>
      <c r="CF22" s="394">
        <v>11</v>
      </c>
      <c r="CG22" s="19">
        <f>IF(CG17=0,1,IF(N352="nej",0,IF(N352="ja",1,0)))</f>
        <v>0</v>
      </c>
      <c r="CH22" t="s">
        <v>59</v>
      </c>
      <c r="CI22" s="62" t="s">
        <v>213</v>
      </c>
    </row>
    <row r="23" spans="2:100" ht="17.25" thickBot="1">
      <c r="C23" s="46" t="s">
        <v>214</v>
      </c>
      <c r="E23" s="398" t="s">
        <v>1106</v>
      </c>
      <c r="F23" t="s">
        <v>216</v>
      </c>
      <c r="H23" t="s">
        <v>217</v>
      </c>
      <c r="I23" t="s">
        <v>112</v>
      </c>
      <c r="J23" s="91">
        <f>R17*J22/N17</f>
        <v>21.428571428571431</v>
      </c>
      <c r="K23" t="s">
        <v>31</v>
      </c>
      <c r="N23" s="92" t="s">
        <v>218</v>
      </c>
      <c r="O23" s="35" t="e">
        <f>J19-J20</f>
        <v>#N/A</v>
      </c>
      <c r="P23" s="93" t="s">
        <v>78</v>
      </c>
      <c r="Q23" t="s">
        <v>219</v>
      </c>
      <c r="AH23" s="94" t="s">
        <v>72</v>
      </c>
      <c r="AI23" s="88" t="e">
        <f>L35</f>
        <v>#N/A</v>
      </c>
      <c r="AJ23" s="89" t="e">
        <f>L37</f>
        <v>#N/A</v>
      </c>
      <c r="AK23" s="90" t="e">
        <f>L36</f>
        <v>#N/A</v>
      </c>
      <c r="AL23" t="s">
        <v>78</v>
      </c>
      <c r="AV23" t="s">
        <v>189</v>
      </c>
      <c r="AW23" s="82" t="e">
        <f>AW10*AW22/(AW18*AW19)</f>
        <v>#N/A</v>
      </c>
      <c r="AX23" s="82" t="e">
        <f>AX10*AX22/(AX18*AX19)</f>
        <v>#N/A</v>
      </c>
      <c r="BB23" t="s">
        <v>189</v>
      </c>
      <c r="BC23" s="82" t="e">
        <f>BC10*BC22/(BC18*BC19)</f>
        <v>#N/A</v>
      </c>
      <c r="BD23" s="82" t="e">
        <f>BD10*BD22/(BD18*BD19)</f>
        <v>#N/A</v>
      </c>
      <c r="BH23" s="46" t="s">
        <v>220</v>
      </c>
      <c r="BI23" s="82" t="e">
        <f>BI21/2*(1-BI21/3)</f>
        <v>#N/A</v>
      </c>
      <c r="BJ23" s="82" t="e">
        <f>BJ21/2*(1-BJ21/3)</f>
        <v>#N/A</v>
      </c>
      <c r="BM23" s="46" t="s">
        <v>220</v>
      </c>
      <c r="BN23" s="82" t="e">
        <f>BN21/2*(1-BN21/3)</f>
        <v>#N/A</v>
      </c>
      <c r="BO23" s="82" t="e">
        <f>BO21/2*(1-BO21/3)</f>
        <v>#N/A</v>
      </c>
      <c r="CF23" s="394">
        <v>9</v>
      </c>
      <c r="CG23" s="19">
        <f>IF(CG17=0,1,IF(OR(N352="ja",N380="ja"),1,0))</f>
        <v>0</v>
      </c>
      <c r="CH23" t="s">
        <v>48</v>
      </c>
      <c r="CI23" s="62" t="s">
        <v>193</v>
      </c>
    </row>
    <row r="24" spans="2:100" ht="15.75">
      <c r="C24" s="202" t="s">
        <v>215</v>
      </c>
      <c r="H24" t="s">
        <v>221</v>
      </c>
      <c r="I24" t="s">
        <v>112</v>
      </c>
      <c r="J24" s="95">
        <f>0.3*J22^(2/3)</f>
        <v>2.896468153816889</v>
      </c>
      <c r="K24" t="s">
        <v>31</v>
      </c>
      <c r="N24" s="96" t="s">
        <v>222</v>
      </c>
      <c r="O24" s="97" t="e">
        <f>TRUNC((O23-2*N9-50)/P22)</f>
        <v>#N/A</v>
      </c>
      <c r="P24" s="21" t="s">
        <v>223</v>
      </c>
      <c r="V24" s="98" t="s">
        <v>224</v>
      </c>
      <c r="W24" s="99"/>
      <c r="X24" s="99"/>
      <c r="Y24" s="100"/>
      <c r="AH24" s="94" t="s">
        <v>225</v>
      </c>
      <c r="AI24" s="19" t="s">
        <v>226</v>
      </c>
      <c r="AJ24" s="19" t="s">
        <v>227</v>
      </c>
      <c r="AK24" s="19" t="s">
        <v>228</v>
      </c>
      <c r="AL24" s="19"/>
      <c r="AR24" s="19" t="s">
        <v>229</v>
      </c>
      <c r="AV24" t="s">
        <v>202</v>
      </c>
      <c r="AW24" s="82" t="e">
        <f>AW23*(-1+SQRT(1+2/AW23))</f>
        <v>#N/A</v>
      </c>
      <c r="AX24" s="82" t="e">
        <f>AX23*(-1+SQRT(1+2/AX23))</f>
        <v>#N/A</v>
      </c>
      <c r="BB24" t="s">
        <v>202</v>
      </c>
      <c r="BC24" s="82" t="e">
        <f>BC23*(-1+SQRT(1+2/BC23))</f>
        <v>#N/A</v>
      </c>
      <c r="BD24" s="82" t="e">
        <f>BD23*(-1+SQRT(1+2/BD23))</f>
        <v>#N/A</v>
      </c>
      <c r="BH24" s="46" t="s">
        <v>230</v>
      </c>
      <c r="BI24" s="49" t="e">
        <f>BI21/(2*BI20)</f>
        <v>#N/A</v>
      </c>
      <c r="BJ24" s="49" t="e">
        <f>BJ21/(2*BJ20)</f>
        <v>#N/A</v>
      </c>
      <c r="BM24" s="46" t="s">
        <v>230</v>
      </c>
      <c r="BN24" s="49" t="e">
        <f>BN21/(2*BN20)</f>
        <v>#N/A</v>
      </c>
      <c r="BO24" s="49" t="e">
        <f>BO21/(2*BO20)</f>
        <v>#N/A</v>
      </c>
      <c r="CF24" s="394">
        <v>15</v>
      </c>
      <c r="CG24" s="19">
        <f>IF(AND(CG20=0,O189="Udskrives ikke"),0,1)</f>
        <v>0</v>
      </c>
      <c r="CH24" t="s">
        <v>231</v>
      </c>
      <c r="CI24" s="101" t="s">
        <v>232</v>
      </c>
      <c r="CJ24" t="s">
        <v>233</v>
      </c>
    </row>
    <row r="25" spans="2:100" ht="15.75">
      <c r="C25" s="46"/>
      <c r="G25" t="s">
        <v>234</v>
      </c>
      <c r="H25" s="19" t="str">
        <f>IF(N22=0," ",IF(N22=6,"     6 mm pr",IF(N22=8,"     8 mm pr",IF(N22=10,"    10 mm pr","Fejl"))))</f>
        <v xml:space="preserve">     8 mm pr</v>
      </c>
      <c r="J25" s="102">
        <f>IF(N22=0," ",+P22)</f>
        <v>150</v>
      </c>
      <c r="K25" t="str">
        <f>IF(N22=0," ","svejst net")</f>
        <v>svejst net</v>
      </c>
      <c r="M25" s="19"/>
      <c r="N25" s="68" t="e">
        <f>IF(J26&lt;N22,"diameter skal mindst være som svejst net"," ")</f>
        <v>#N/A</v>
      </c>
      <c r="V25" s="103"/>
      <c r="X25" s="46" t="s">
        <v>235</v>
      </c>
      <c r="Y25" s="104" t="e">
        <f>(1-W36/2)*J15*10^-3</f>
        <v>#N/A</v>
      </c>
      <c r="AH25" s="78" t="s">
        <v>236</v>
      </c>
      <c r="AI25" s="105" t="e">
        <f>1*AI22*10^-3*(AJ22+AI22/2)/AJ22</f>
        <v>#N/A</v>
      </c>
      <c r="AJ25" s="105" t="e">
        <f>1*AJ22*10^-3*AJ22/2/AJ22</f>
        <v>#N/A</v>
      </c>
      <c r="AK25" s="105" t="e">
        <f>-1*AK22*10^-3*AK22/2/AJ22</f>
        <v>#N/A</v>
      </c>
      <c r="AV25" t="s">
        <v>211</v>
      </c>
      <c r="AW25" s="82" t="e">
        <f>1-AW24/3</f>
        <v>#N/A</v>
      </c>
      <c r="AX25" s="82" t="e">
        <f>1-AX24/3</f>
        <v>#N/A</v>
      </c>
      <c r="BB25" t="s">
        <v>211</v>
      </c>
      <c r="BC25" s="82" t="e">
        <f>1-BC24/3</f>
        <v>#N/A</v>
      </c>
      <c r="BD25" s="82" t="e">
        <f>1-BD24/3</f>
        <v>#N/A</v>
      </c>
      <c r="BH25" s="46" t="s">
        <v>237</v>
      </c>
      <c r="BI25" s="24" t="e">
        <f>BI16*10^6/(BI23*BI17*BI18^2)</f>
        <v>#N/A</v>
      </c>
      <c r="BJ25" s="24" t="e">
        <f>BJ16*10^6/(BJ23*BJ17*BJ18^2)</f>
        <v>#N/A</v>
      </c>
      <c r="BK25" t="s">
        <v>31</v>
      </c>
      <c r="BM25" s="46" t="s">
        <v>237</v>
      </c>
      <c r="BN25" s="24" t="e">
        <f>BN16*10^6/(BN23*BN17*BN18^2)</f>
        <v>#N/A</v>
      </c>
      <c r="BO25" s="24" t="e">
        <f>BO16*10^6/(BO23*BO17*BO18^2)</f>
        <v>#N/A</v>
      </c>
      <c r="BP25" t="s">
        <v>31</v>
      </c>
      <c r="CF25" s="394">
        <v>16</v>
      </c>
      <c r="CG25" s="19">
        <f>IF(OR(N352="ja",N380="ja"),0,1)</f>
        <v>1</v>
      </c>
      <c r="CH25" t="s">
        <v>49</v>
      </c>
      <c r="CI25" s="326" t="s">
        <v>1100</v>
      </c>
    </row>
    <row r="26" spans="2:100">
      <c r="B26" s="46"/>
      <c r="C26" s="46" t="s">
        <v>183</v>
      </c>
      <c r="E26" t="s">
        <v>71</v>
      </c>
      <c r="G26" s="46" t="str">
        <f>IF(N22=0," ","suppleret med")</f>
        <v>suppleret med</v>
      </c>
      <c r="H26" s="106" t="e">
        <f>NA()</f>
        <v>#N/A</v>
      </c>
      <c r="I26" s="107" t="s">
        <v>192</v>
      </c>
      <c r="J26" s="63" t="e">
        <f>NA()</f>
        <v>#N/A</v>
      </c>
      <c r="K26" t="s">
        <v>238</v>
      </c>
      <c r="N26">
        <f>CODE(I26)</f>
        <v>75</v>
      </c>
      <c r="O26">
        <f>HLOOKUP(N26,$AA$310:$AZ$320,6)</f>
        <v>500</v>
      </c>
      <c r="P26" t="s">
        <v>239</v>
      </c>
      <c r="V26" s="103"/>
      <c r="Y26" s="108" t="s">
        <v>240</v>
      </c>
      <c r="AH26" s="78" t="s">
        <v>241</v>
      </c>
      <c r="AI26" s="105" t="e">
        <f>1*AI23*10^-3*(AJ23+AI23/2)/AJ23</f>
        <v>#N/A</v>
      </c>
      <c r="AJ26" s="105" t="e">
        <f>1*AJ23*10^-3*AJ23/2/AJ23</f>
        <v>#N/A</v>
      </c>
      <c r="AK26" s="105" t="e">
        <f>-1*AK23*10^-3*AK23/2/AJ23</f>
        <v>#N/A</v>
      </c>
      <c r="AV26" t="s">
        <v>220</v>
      </c>
      <c r="AW26" s="82" t="e">
        <f>AW24/2*(1-AW24/3)</f>
        <v>#N/A</v>
      </c>
      <c r="AX26" s="82" t="e">
        <f>AX24/2*(1-AX24/3)</f>
        <v>#N/A</v>
      </c>
      <c r="BB26" t="s">
        <v>220</v>
      </c>
      <c r="BC26" s="82" t="e">
        <f>BC24/2*(1-BC24/3)</f>
        <v>#N/A</v>
      </c>
      <c r="BD26" s="82" t="e">
        <f>BD24/2*(1-BD24/3)</f>
        <v>#N/A</v>
      </c>
      <c r="BH26" s="46" t="s">
        <v>242</v>
      </c>
      <c r="BI26" s="51" t="e">
        <f>BI10*BI24*BI25</f>
        <v>#N/A</v>
      </c>
      <c r="BJ26" s="51" t="e">
        <f>BJ10*BJ24*BJ25</f>
        <v>#N/A</v>
      </c>
      <c r="BK26" t="s">
        <v>31</v>
      </c>
      <c r="BM26" s="46" t="s">
        <v>242</v>
      </c>
      <c r="BN26" s="51" t="e">
        <f>BN10*BN24*BN25</f>
        <v>#N/A</v>
      </c>
      <c r="BO26" s="51" t="e">
        <f>BO10*BO24*BO25</f>
        <v>#N/A</v>
      </c>
      <c r="BP26" t="s">
        <v>31</v>
      </c>
    </row>
    <row r="27" spans="2:100">
      <c r="B27" s="69" t="s">
        <v>243</v>
      </c>
      <c r="E27" t="s">
        <v>244</v>
      </c>
      <c r="G27" s="46" t="s">
        <v>245</v>
      </c>
      <c r="H27" s="106" t="e">
        <f>NA()</f>
        <v>#N/A</v>
      </c>
      <c r="I27" s="27" t="str">
        <f>I26</f>
        <v>K</v>
      </c>
      <c r="J27" s="51" t="e">
        <f>J26</f>
        <v>#N/A</v>
      </c>
      <c r="K27" t="s">
        <v>238</v>
      </c>
      <c r="N27" t="s">
        <v>246</v>
      </c>
      <c r="O27" s="51" t="e">
        <f>IF(J18=0,+J17-J21-J20,J19-J20)</f>
        <v>#N/A</v>
      </c>
      <c r="P27" t="s">
        <v>78</v>
      </c>
      <c r="V27" s="109">
        <f>F106-C109-C108-C107-D108</f>
        <v>109</v>
      </c>
      <c r="W27" s="48"/>
      <c r="Y27" s="108"/>
      <c r="AV27" t="s">
        <v>230</v>
      </c>
      <c r="AW27" s="49" t="e">
        <f>AW24/(2*AW23)</f>
        <v>#N/A</v>
      </c>
      <c r="AX27" s="49" t="e">
        <f>AX24/(2*AX23)</f>
        <v>#N/A</v>
      </c>
      <c r="BB27" t="s">
        <v>230</v>
      </c>
      <c r="BC27" s="49" t="e">
        <f>BC24/(2*BC23)</f>
        <v>#N/A</v>
      </c>
      <c r="BD27" s="49" t="e">
        <f>BD24/(2*BD23)</f>
        <v>#N/A</v>
      </c>
      <c r="BH27" s="46" t="s">
        <v>247</v>
      </c>
      <c r="BI27" s="24" t="e">
        <f>BI21*BI18</f>
        <v>#N/A</v>
      </c>
      <c r="BJ27" s="24" t="e">
        <f>BJ21*BJ18</f>
        <v>#N/A</v>
      </c>
      <c r="BK27" t="s">
        <v>78</v>
      </c>
      <c r="BM27" s="46" t="s">
        <v>247</v>
      </c>
      <c r="BN27" s="24" t="e">
        <f>BN21*BN18</f>
        <v>#N/A</v>
      </c>
      <c r="BO27" s="24" t="e">
        <f>BO21*BO18</f>
        <v>#N/A</v>
      </c>
      <c r="BP27" t="s">
        <v>78</v>
      </c>
    </row>
    <row r="28" spans="2:100" ht="15.75">
      <c r="H28" t="s">
        <v>248</v>
      </c>
      <c r="I28" t="s">
        <v>112</v>
      </c>
      <c r="J28" s="51">
        <f>O26</f>
        <v>500</v>
      </c>
      <c r="K28" t="s">
        <v>31</v>
      </c>
      <c r="N28" s="67" t="e">
        <f>IF(O28&lt;N29,0,IF(O28&lt;P29,+O28,0.5*O28*O30*(-1+SQRT(1+4*$AA$302/(O28*O30)))))</f>
        <v>#N/A</v>
      </c>
      <c r="O28" s="67" t="e">
        <f>J30*J29/(O27*J15*J23)</f>
        <v>#N/A</v>
      </c>
      <c r="P28" t="s">
        <v>249</v>
      </c>
      <c r="V28" s="103"/>
      <c r="Y28" s="108">
        <v>400</v>
      </c>
      <c r="AI28" s="57" t="s">
        <v>250</v>
      </c>
      <c r="AM28" s="65" t="e">
        <f>H53/Z19*AA19</f>
        <v>#N/A</v>
      </c>
      <c r="AN28" s="65" t="e">
        <f>J53/Z19*AA19</f>
        <v>#N/A</v>
      </c>
      <c r="AO28" t="s">
        <v>251</v>
      </c>
      <c r="AV28" t="s">
        <v>252</v>
      </c>
      <c r="AW28" s="24" t="e">
        <f>AW17*10^6/(AW26*AW18*AW19^2)</f>
        <v>#N/A</v>
      </c>
      <c r="AX28" s="24" t="e">
        <f>AX17*10^6/(AX26*AX18*AX19^2)</f>
        <v>#N/A</v>
      </c>
      <c r="AY28" t="s">
        <v>31</v>
      </c>
      <c r="BB28" t="s">
        <v>252</v>
      </c>
      <c r="BC28" s="24" t="e">
        <f>BC17*10^6/(BC26*BC18*BC19^2)</f>
        <v>#N/A</v>
      </c>
      <c r="BD28" s="24" t="e">
        <f>BD17*10^6/(BD26*BD18*BD19^2)</f>
        <v>#N/A</v>
      </c>
      <c r="BE28" t="s">
        <v>31</v>
      </c>
      <c r="BH28" s="46" t="s">
        <v>253</v>
      </c>
      <c r="BI28" s="51" t="e">
        <f>2.5*(BI19-BI18)</f>
        <v>#N/A</v>
      </c>
      <c r="BJ28" s="51" t="e">
        <f>2.5*(BJ19-BJ18)</f>
        <v>#N/A</v>
      </c>
      <c r="BK28" t="s">
        <v>78</v>
      </c>
      <c r="BM28" s="46" t="s">
        <v>253</v>
      </c>
      <c r="BN28" s="51" t="e">
        <f>2.5*(BN19-BN18)</f>
        <v>#N/A</v>
      </c>
      <c r="BO28" s="51" t="e">
        <f>2.5*(BO19-BO18)</f>
        <v>#N/A</v>
      </c>
      <c r="BP28" t="s">
        <v>78</v>
      </c>
    </row>
    <row r="29" spans="2:100">
      <c r="H29" t="s">
        <v>254</v>
      </c>
      <c r="I29" t="s">
        <v>112</v>
      </c>
      <c r="J29" s="51">
        <f>O26/N19</f>
        <v>416.66666666666669</v>
      </c>
      <c r="K29" t="s">
        <v>31</v>
      </c>
      <c r="N29" s="67">
        <f>MAXA(T29:T30)</f>
        <v>2.9286511333037436E-2</v>
      </c>
      <c r="O29" s="67">
        <f>HLOOKUP(N26,AA310:AZ320,5)</f>
        <v>4.9882794186591653E-2</v>
      </c>
      <c r="P29" s="67">
        <f>HLOOKUP(N26,AA310:AZ320,8)</f>
        <v>0.5014925373134328</v>
      </c>
      <c r="Q29" t="s">
        <v>255</v>
      </c>
      <c r="T29" s="67">
        <f>0.26*$J$24/J28*$J$29/$J$23</f>
        <v>2.9286511333037436E-2</v>
      </c>
      <c r="V29" s="103" t="s">
        <v>103</v>
      </c>
      <c r="W29" s="110" t="e">
        <f>IF(N22=0,0,F37/P22)</f>
        <v>#N/A</v>
      </c>
      <c r="X29" t="e">
        <f>H27</f>
        <v>#N/A</v>
      </c>
      <c r="Y29" s="108">
        <v>2</v>
      </c>
      <c r="AM29" s="65" t="e">
        <f>H53</f>
        <v>#N/A</v>
      </c>
      <c r="AN29" s="65" t="e">
        <f>J53</f>
        <v>#N/A</v>
      </c>
      <c r="AO29" t="s">
        <v>256</v>
      </c>
      <c r="AV29" t="s">
        <v>257</v>
      </c>
      <c r="AW29" s="24" t="e">
        <f>AW28*AW10*AW27</f>
        <v>#N/A</v>
      </c>
      <c r="AX29" s="24" t="e">
        <f>AX28*AX10*AX27</f>
        <v>#N/A</v>
      </c>
      <c r="AY29" t="s">
        <v>31</v>
      </c>
      <c r="BB29" t="s">
        <v>257</v>
      </c>
      <c r="BC29" s="24" t="e">
        <f>BC28*BC10*BC27</f>
        <v>#N/A</v>
      </c>
      <c r="BD29" s="24" t="e">
        <f>BD28*BD10*BD27</f>
        <v>#N/A</v>
      </c>
      <c r="BE29" t="s">
        <v>31</v>
      </c>
      <c r="BH29" s="46" t="s">
        <v>258</v>
      </c>
      <c r="BI29" s="51" t="e">
        <f>(BI19-BI27)/3</f>
        <v>#N/A</v>
      </c>
      <c r="BJ29" s="51" t="e">
        <f>(BJ19-BJ27)/3</f>
        <v>#N/A</v>
      </c>
      <c r="BK29" t="s">
        <v>78</v>
      </c>
      <c r="BM29" s="46" t="s">
        <v>258</v>
      </c>
      <c r="BN29" s="51" t="e">
        <f>(BN19-BN27)/3</f>
        <v>#N/A</v>
      </c>
      <c r="BO29" s="51" t="e">
        <f>(BO19-BO27)/3</f>
        <v>#N/A</v>
      </c>
      <c r="BP29" t="s">
        <v>78</v>
      </c>
    </row>
    <row r="30" spans="2:100">
      <c r="G30" t="s">
        <v>234</v>
      </c>
      <c r="H30" t="s">
        <v>259</v>
      </c>
      <c r="I30" t="s">
        <v>112</v>
      </c>
      <c r="J30" s="51" t="e">
        <f>N22^2/4*PI()*O24+J26^2/4*PI()*H26</f>
        <v>#N/A</v>
      </c>
      <c r="K30" t="s">
        <v>105</v>
      </c>
      <c r="O30" s="49">
        <f>HLOOKUP(N26,AA310:AZ320,9)</f>
        <v>1.6799999999999997</v>
      </c>
      <c r="P30" t="s">
        <v>260</v>
      </c>
      <c r="T30" s="67">
        <f>0.0013*$J$29/$J$23</f>
        <v>2.5277777777777774E-2</v>
      </c>
      <c r="V30" s="103" t="s">
        <v>261</v>
      </c>
      <c r="W30">
        <v>8</v>
      </c>
      <c r="X30" s="51" t="e">
        <f>J27</f>
        <v>#N/A</v>
      </c>
      <c r="Y30" s="108">
        <v>8</v>
      </c>
      <c r="AI30" s="46" t="s">
        <v>262</v>
      </c>
      <c r="AJ30" s="67" t="e">
        <f>H50+AH14</f>
        <v>#N/A</v>
      </c>
      <c r="AK30" t="s">
        <v>84</v>
      </c>
      <c r="AM30" s="65" t="e">
        <f>H54</f>
        <v>#N/A</v>
      </c>
      <c r="AN30" s="65" t="e">
        <f>J54</f>
        <v>#N/A</v>
      </c>
      <c r="AO30" t="s">
        <v>263</v>
      </c>
      <c r="AV30" t="s">
        <v>264</v>
      </c>
      <c r="AW30" s="24" t="e">
        <f>AW24*AW19</f>
        <v>#N/A</v>
      </c>
      <c r="AX30" s="24" t="e">
        <f>AX24*AX19</f>
        <v>#N/A</v>
      </c>
      <c r="AY30" t="s">
        <v>78</v>
      </c>
      <c r="BB30" t="s">
        <v>264</v>
      </c>
      <c r="BC30" s="24" t="e">
        <f>BC24*BC19</f>
        <v>#N/A</v>
      </c>
      <c r="BD30" s="24" t="e">
        <f>BD24*BD19</f>
        <v>#N/A</v>
      </c>
      <c r="BE30" t="s">
        <v>78</v>
      </c>
      <c r="BH30" s="46" t="s">
        <v>265</v>
      </c>
      <c r="BI30" t="e">
        <f>BI19/2</f>
        <v>#N/A</v>
      </c>
      <c r="BJ30" t="e">
        <f>BJ19/2</f>
        <v>#N/A</v>
      </c>
      <c r="BK30" t="s">
        <v>78</v>
      </c>
      <c r="BM30" s="46" t="s">
        <v>265</v>
      </c>
      <c r="BN30" t="e">
        <f>BN19/2</f>
        <v>#N/A</v>
      </c>
      <c r="BO30" t="e">
        <f>BO19/2</f>
        <v>#N/A</v>
      </c>
      <c r="BP30" t="s">
        <v>78</v>
      </c>
    </row>
    <row r="31" spans="2:100">
      <c r="C31" s="19" t="s">
        <v>266</v>
      </c>
      <c r="D31" t="s">
        <v>267</v>
      </c>
      <c r="G31" s="46" t="s">
        <v>245</v>
      </c>
      <c r="J31" s="51" t="e">
        <f>J27^2/4*PI()*H27</f>
        <v>#N/A</v>
      </c>
      <c r="K31" t="s">
        <v>105</v>
      </c>
      <c r="N31">
        <f>N26</f>
        <v>75</v>
      </c>
      <c r="O31">
        <f>O26</f>
        <v>500</v>
      </c>
      <c r="P31" t="s">
        <v>239</v>
      </c>
      <c r="V31" s="103" t="s">
        <v>268</v>
      </c>
      <c r="W31" s="111" t="e">
        <f>W29*W30^2/4*PI()</f>
        <v>#N/A</v>
      </c>
      <c r="X31" s="111" t="e">
        <f>X29*X30^2/4*PI()</f>
        <v>#N/A</v>
      </c>
      <c r="Y31" s="112">
        <f>Y29*Y30^2/4*PI()</f>
        <v>100.53096491487338</v>
      </c>
      <c r="AI31" s="46" t="s">
        <v>269</v>
      </c>
      <c r="AJ31" s="67" t="e">
        <f>H49</f>
        <v>#N/A</v>
      </c>
      <c r="AK31" t="s">
        <v>84</v>
      </c>
      <c r="AM31" s="55" t="s">
        <v>71</v>
      </c>
      <c r="AN31" s="46" t="s">
        <v>72</v>
      </c>
      <c r="AV31" t="s">
        <v>270</v>
      </c>
      <c r="AW31" s="51" t="e">
        <f>2*(AW20-AW19)*AW18/(AW11*$AZ$14/$AZ$11*AW12+(AW13*$AZ$14/$AZ$13+AW14)*AW15)</f>
        <v>#N/A</v>
      </c>
      <c r="AX31" s="51" t="e">
        <f>2*(AX20-AX19)*AX18/(AX11*$AZ$14/$AZ$11*AX12+(AX13*$AZ$14/$AZ$13+AX14)*AX15)</f>
        <v>#N/A</v>
      </c>
      <c r="AY31" t="s">
        <v>78</v>
      </c>
      <c r="BB31" t="s">
        <v>270</v>
      </c>
      <c r="BC31" s="51" t="e">
        <f>2*(BC20-BC19)*BC18/(BC11/$BF$11*BC18*BC12+(BC13/$BF$13*BC18)*BC15)</f>
        <v>#N/A</v>
      </c>
      <c r="BD31" s="51" t="e">
        <f>2*(BD20-BD19)*BD18/(BD11/$BF$11*BD18*BD12+(BD13/$BF$13*BD18)*BD15)</f>
        <v>#N/A</v>
      </c>
      <c r="BE31" t="s">
        <v>78</v>
      </c>
      <c r="BH31" s="46" t="s">
        <v>271</v>
      </c>
      <c r="BI31" s="51" t="e">
        <f>MINA(BI28:BI30)</f>
        <v>#N/A</v>
      </c>
      <c r="BJ31" s="51" t="e">
        <f>MINA(BJ28:BJ30)</f>
        <v>#N/A</v>
      </c>
      <c r="BK31" t="s">
        <v>78</v>
      </c>
      <c r="BM31" s="46" t="s">
        <v>271</v>
      </c>
      <c r="BN31" s="51" t="e">
        <f>MINA(BN28:BN30)</f>
        <v>#N/A</v>
      </c>
      <c r="BO31" s="51" t="e">
        <f>MINA(BO28:BO30)</f>
        <v>#N/A</v>
      </c>
      <c r="BP31" t="s">
        <v>78</v>
      </c>
    </row>
    <row r="32" spans="2:100">
      <c r="C32" s="46" t="s">
        <v>144</v>
      </c>
      <c r="G32" t="s">
        <v>272</v>
      </c>
      <c r="H32" t="s">
        <v>102</v>
      </c>
      <c r="I32" t="s">
        <v>112</v>
      </c>
      <c r="J32" s="113" t="e">
        <f>J16/10^3+2*0.1</f>
        <v>#N/A</v>
      </c>
      <c r="K32" s="27" t="s">
        <v>84</v>
      </c>
      <c r="L32" s="114" t="e">
        <f>IF(J32&lt;J16/10^3,"NB! For lille"," ")</f>
        <v>#N/A</v>
      </c>
      <c r="N32" s="67" t="e">
        <f>IF(O32&lt;N33,0,IF(O32&lt;P33,+O32,0.5*O32*O34*(-1+SQRT(1+4*$AA$302/(O32*O34)))))</f>
        <v>#N/A</v>
      </c>
      <c r="O32" s="67" t="e">
        <f>O28+J31*J29/(F33*J15*J23)</f>
        <v>#N/A</v>
      </c>
      <c r="P32" t="s">
        <v>273</v>
      </c>
      <c r="V32" s="103" t="s">
        <v>274</v>
      </c>
      <c r="W32" s="51">
        <f>R412*W30</f>
        <v>292.27348674463116</v>
      </c>
      <c r="X32" s="51" t="e">
        <f>R412*X30</f>
        <v>#N/A</v>
      </c>
      <c r="Y32" s="115">
        <f>R412*Y30</f>
        <v>292.27348674463116</v>
      </c>
      <c r="AI32" s="46" t="s">
        <v>275</v>
      </c>
      <c r="AJ32" s="67" t="e">
        <f>J32-AJ30-AJ31-AJ33-AJ34</f>
        <v>#N/A</v>
      </c>
      <c r="AK32" t="s">
        <v>84</v>
      </c>
      <c r="AL32" s="49" t="e">
        <f>(AM28*AJ31*(AJ34+AJ33+AJ32+AJ31/2)+AN28*AJ33*(AJ34+AJ33/2))/J32</f>
        <v>#N/A</v>
      </c>
      <c r="AO32" s="49" t="e">
        <f>AM28*AJ31+AN28*AJ33-AL32</f>
        <v>#N/A</v>
      </c>
      <c r="AP32" s="48" t="s">
        <v>276</v>
      </c>
      <c r="AV32" t="s">
        <v>277</v>
      </c>
      <c r="AW32" s="49" t="e">
        <f>5*10^-5*AW29*SQRT(AW31)</f>
        <v>#N/A</v>
      </c>
      <c r="AX32" s="49" t="e">
        <f>5*10^-5*AX29*SQRT(AX31)</f>
        <v>#N/A</v>
      </c>
      <c r="AY32" t="s">
        <v>78</v>
      </c>
      <c r="BB32" t="s">
        <v>277</v>
      </c>
      <c r="BC32" s="49" t="e">
        <f>5*10^-5*BC29*SQRT(BC31)</f>
        <v>#N/A</v>
      </c>
      <c r="BD32" s="49" t="e">
        <f>5*10^-5*BD29*SQRT(BD31)</f>
        <v>#N/A</v>
      </c>
      <c r="BE32" t="s">
        <v>78</v>
      </c>
      <c r="BH32" s="46" t="s">
        <v>278</v>
      </c>
      <c r="BI32" s="82" t="e">
        <f>BI13/(BI31*BI17)</f>
        <v>#N/A</v>
      </c>
      <c r="BJ32" s="82" t="e">
        <f>BJ13/(BJ31*BJ17)</f>
        <v>#N/A</v>
      </c>
      <c r="BM32" s="46" t="s">
        <v>278</v>
      </c>
      <c r="BN32" s="82" t="e">
        <f>BN13/(BN31*BN17)</f>
        <v>#N/A</v>
      </c>
      <c r="BO32" s="82" t="e">
        <f>BO13/(BO31*BO17)</f>
        <v>#N/A</v>
      </c>
    </row>
    <row r="33" spans="1:68">
      <c r="F33" s="226" t="e">
        <f>(F36-F34)*2</f>
        <v>#N/A</v>
      </c>
      <c r="J33" s="102" t="s">
        <v>71</v>
      </c>
      <c r="K33" s="27"/>
      <c r="L33" s="102" t="s">
        <v>72</v>
      </c>
      <c r="N33" s="67">
        <f>N29</f>
        <v>2.9286511333037436E-2</v>
      </c>
      <c r="O33" s="67">
        <f>O29</f>
        <v>4.9882794186591653E-2</v>
      </c>
      <c r="P33" s="67">
        <f>P29</f>
        <v>0.5014925373134328</v>
      </c>
      <c r="Q33" t="s">
        <v>255</v>
      </c>
      <c r="T33" s="67">
        <f>T29</f>
        <v>2.9286511333037436E-2</v>
      </c>
      <c r="V33" s="103" t="s">
        <v>279</v>
      </c>
      <c r="W33" s="116">
        <f>IF(W32&gt;V27,V27/W32,1)</f>
        <v>0.3729383777298857</v>
      </c>
      <c r="X33" s="116" t="e">
        <f>IF(X32&gt;V27,V27/X32,1)</f>
        <v>#N/A</v>
      </c>
      <c r="Y33" s="117">
        <f>IF(V27&gt;=Y28,0,IF(Y28-Y32&gt;V27,1,(Y28-V27)/Y32))</f>
        <v>0.99564282494859402</v>
      </c>
      <c r="AI33" s="46" t="s">
        <v>280</v>
      </c>
      <c r="AJ33" s="67" t="e">
        <f>J49</f>
        <v>#N/A</v>
      </c>
      <c r="AK33" t="s">
        <v>84</v>
      </c>
      <c r="AL33" s="49" t="e">
        <f>(AM29*AJ31*(AJ34+AJ33+AJ32+AJ31/2)+AN29*AJ33*(AJ34+AJ33/2))/J32</f>
        <v>#N/A</v>
      </c>
      <c r="AO33" s="49" t="e">
        <f>AM29*AJ31+AN29*AJ33-AL33</f>
        <v>#N/A</v>
      </c>
      <c r="AP33" s="48" t="s">
        <v>281</v>
      </c>
      <c r="AV33" t="s">
        <v>282</v>
      </c>
      <c r="AW33" s="51" t="e">
        <f>AW10*AW28*AW21^2*10^6/(10*AW30*$AA$306)</f>
        <v>#N/A</v>
      </c>
      <c r="AX33" s="51" t="e">
        <f>AX10*AX28*AX21^2*10^6/(10*AX30*$AA$306)</f>
        <v>#N/A</v>
      </c>
      <c r="AY33" t="s">
        <v>78</v>
      </c>
      <c r="BB33" t="s">
        <v>282</v>
      </c>
      <c r="BC33" s="51" t="e">
        <f>BC10*BC28*BC21^2*10^6/(10*BC30*$AA$306)</f>
        <v>#N/A</v>
      </c>
      <c r="BD33" s="51" t="e">
        <f>BD10*BD28*BD21^2*10^6/(10*BD30*$AA$306)</f>
        <v>#N/A</v>
      </c>
      <c r="BE33" t="s">
        <v>78</v>
      </c>
      <c r="BH33" s="46" t="s">
        <v>283</v>
      </c>
      <c r="BI33">
        <v>0.8</v>
      </c>
      <c r="BJ33">
        <f>BI33</f>
        <v>0.8</v>
      </c>
      <c r="BM33" s="46" t="s">
        <v>283</v>
      </c>
      <c r="BN33">
        <v>0.8</v>
      </c>
      <c r="BO33">
        <f>BN33</f>
        <v>0.8</v>
      </c>
    </row>
    <row r="34" spans="1:68" ht="16.5" thickBot="1">
      <c r="F34" s="377">
        <f>IF(J18=0,J21,0)</f>
        <v>120</v>
      </c>
      <c r="J34" s="35" t="s">
        <v>45</v>
      </c>
      <c r="K34" s="27"/>
      <c r="L34" s="35" t="s">
        <v>56</v>
      </c>
      <c r="M34" s="118" t="str">
        <f>IF(OR(AND(OR(J34="dorn",J34="fast"),L34="dorn"),L34="fast"),"  ","Angiv  dorn  eller  fast--------------&gt;")</f>
        <v xml:space="preserve">  </v>
      </c>
      <c r="N34" s="68" t="e">
        <f>IF(F33&lt;0,"Negativ!",IF(F33&lt;50,"Lille!"," "))</f>
        <v>#N/A</v>
      </c>
      <c r="O34" s="49">
        <f>O30</f>
        <v>1.6799999999999997</v>
      </c>
      <c r="P34" t="s">
        <v>260</v>
      </c>
      <c r="T34" s="67">
        <f>T30</f>
        <v>2.5277777777777774E-2</v>
      </c>
      <c r="V34" s="103" t="s">
        <v>284</v>
      </c>
      <c r="W34" s="111">
        <f>FYD*W33</f>
        <v>155.39099072078571</v>
      </c>
      <c r="X34" s="111" t="e">
        <f>FYD*X33</f>
        <v>#N/A</v>
      </c>
      <c r="Y34" s="112">
        <f>FYD*Y33</f>
        <v>414.8511770619142</v>
      </c>
      <c r="AI34" s="46" t="s">
        <v>285</v>
      </c>
      <c r="AJ34" s="67" t="e">
        <f>J50+AH14</f>
        <v>#N/A</v>
      </c>
      <c r="AK34" t="s">
        <v>84</v>
      </c>
      <c r="AL34" s="49" t="e">
        <f>(AM30*AJ31*(AJ34+AJ33+AJ32+AJ31/2)+AN30*AJ33*(AJ34+AJ33/2))/J32</f>
        <v>#N/A</v>
      </c>
      <c r="AN34" s="46"/>
      <c r="AO34" s="49" t="e">
        <f>AM30*AJ31+AN30*AJ33-AL34</f>
        <v>#N/A</v>
      </c>
      <c r="AP34" s="48" t="s">
        <v>286</v>
      </c>
      <c r="AT34" t="s">
        <v>287</v>
      </c>
      <c r="BH34" s="46" t="s">
        <v>288</v>
      </c>
      <c r="BI34">
        <v>0.5</v>
      </c>
      <c r="BJ34">
        <f>BI34</f>
        <v>0.5</v>
      </c>
      <c r="BM34" s="46" t="s">
        <v>288</v>
      </c>
      <c r="BN34">
        <v>0.5</v>
      </c>
      <c r="BO34">
        <f>BN34</f>
        <v>0.5</v>
      </c>
    </row>
    <row r="35" spans="1:68" ht="15.75">
      <c r="C35" s="27" t="s">
        <v>289</v>
      </c>
      <c r="F35" s="51"/>
      <c r="G35" s="119" t="e">
        <f>IF(OR(J35&lt;0,L35&lt;0),"fejl, negativ"," ")</f>
        <v>#N/A</v>
      </c>
      <c r="H35" t="s">
        <v>198</v>
      </c>
      <c r="I35" t="s">
        <v>112</v>
      </c>
      <c r="J35" s="63" t="e">
        <f>NA()</f>
        <v>#N/A</v>
      </c>
      <c r="K35" s="27"/>
      <c r="L35" s="63" t="e">
        <f>NA()</f>
        <v>#N/A</v>
      </c>
      <c r="M35" t="s">
        <v>78</v>
      </c>
      <c r="N35" s="415" t="s">
        <v>290</v>
      </c>
      <c r="O35" s="81"/>
      <c r="V35" s="103"/>
      <c r="Z35" s="100" t="s">
        <v>291</v>
      </c>
      <c r="AL35" s="120" t="s">
        <v>292</v>
      </c>
      <c r="AM35" t="s">
        <v>293</v>
      </c>
      <c r="AN35" t="s">
        <v>294</v>
      </c>
      <c r="AO35" t="s">
        <v>295</v>
      </c>
      <c r="AT35" t="e">
        <f>(AM29*AJ31*(AJ30+AJ31/2)+AN29*AJ33*(AJ30+AJ31+AJ32+AJ33/2))/SUM(AJ30:AJ34)</f>
        <v>#N/A</v>
      </c>
      <c r="AU35" t="s">
        <v>296</v>
      </c>
      <c r="BH35" s="46" t="s">
        <v>297</v>
      </c>
      <c r="BI35" s="49" t="e">
        <f>3.4*(25/BI11)^(2/3)</f>
        <v>#N/A</v>
      </c>
      <c r="BJ35" s="49" t="e">
        <f>BI35</f>
        <v>#N/A</v>
      </c>
      <c r="BM35" s="46" t="s">
        <v>297</v>
      </c>
      <c r="BN35" s="49" t="e">
        <f>3.4*(25/BN11)^(2/3)</f>
        <v>#N/A</v>
      </c>
      <c r="BO35" s="49" t="e">
        <f>BN35</f>
        <v>#N/A</v>
      </c>
    </row>
    <row r="36" spans="1:68" ht="15.75" thickBot="1">
      <c r="C36" s="27" t="s">
        <v>298</v>
      </c>
      <c r="F36" s="88" t="e">
        <f>IF(AND(N37="ja",O37="ja"),MINA(J36,L36)-J18,IF(AND(N37="nej",O37="nej"),+O39-J18,MAXA(N38:O38)-J18))</f>
        <v>#N/A</v>
      </c>
      <c r="H36" t="s">
        <v>200</v>
      </c>
      <c r="I36" t="s">
        <v>112</v>
      </c>
      <c r="J36" s="63" t="e">
        <f>NA()</f>
        <v>#N/A</v>
      </c>
      <c r="K36" s="27"/>
      <c r="L36" s="63" t="e">
        <f>NA()</f>
        <v>#N/A</v>
      </c>
      <c r="M36" t="s">
        <v>78</v>
      </c>
      <c r="N36" s="19" t="s">
        <v>299</v>
      </c>
      <c r="O36" s="19" t="s">
        <v>300</v>
      </c>
      <c r="V36" s="103" t="s">
        <v>301</v>
      </c>
      <c r="W36" s="67" t="e">
        <f>W31*W34/(F33*J15*J23)</f>
        <v>#N/A</v>
      </c>
      <c r="X36" s="67" t="e">
        <f>X31*X34/(F33*J15*J23)</f>
        <v>#N/A</v>
      </c>
      <c r="Y36" s="67" t="e">
        <f>Y31*Y34/(F33*J15*J23)</f>
        <v>#N/A</v>
      </c>
      <c r="Z36" s="121" t="e">
        <f>SUM(W36:Y36)</f>
        <v>#N/A</v>
      </c>
      <c r="AT36" t="e">
        <f>(AM30*AJ31*(AJ30+AJ31/2)+AN30*AJ33*(AJ30+AJ31+AJ32+AJ33/2))/SUM(AJ30:AJ34)</f>
        <v>#N/A</v>
      </c>
      <c r="AU36" t="s">
        <v>302</v>
      </c>
      <c r="BH36" s="46" t="s">
        <v>303</v>
      </c>
      <c r="BI36">
        <v>0.42499999999999999</v>
      </c>
      <c r="BJ36">
        <f>BI36</f>
        <v>0.42499999999999999</v>
      </c>
      <c r="BM36" s="46" t="s">
        <v>303</v>
      </c>
      <c r="BN36">
        <v>0.42499999999999999</v>
      </c>
      <c r="BO36">
        <f>BN36</f>
        <v>0.42499999999999999</v>
      </c>
    </row>
    <row r="37" spans="1:68" ht="16.5" thickBot="1">
      <c r="F37" s="90" t="e">
        <f>F36*2</f>
        <v>#N/A</v>
      </c>
      <c r="H37" t="s">
        <v>199</v>
      </c>
      <c r="I37" t="s">
        <v>112</v>
      </c>
      <c r="J37" s="51" t="e">
        <f>J17-J35-J36</f>
        <v>#N/A</v>
      </c>
      <c r="L37" s="51" t="e">
        <f>J17-L35-L36</f>
        <v>#N/A</v>
      </c>
      <c r="M37" t="s">
        <v>78</v>
      </c>
      <c r="N37" s="35" t="s">
        <v>46</v>
      </c>
      <c r="O37" s="122" t="s">
        <v>46</v>
      </c>
      <c r="P37" s="396" t="str">
        <f>IF(OR(AND(OR(N37="ja",N37="nej"),O37="ja"),O37="nej"),"&lt;- ja eller nej","NB! fejl")</f>
        <v>&lt;- ja eller nej</v>
      </c>
      <c r="V37" s="123" t="s">
        <v>304</v>
      </c>
      <c r="W37" s="124" t="e">
        <f>(1-0.5*W36)*W36*F33*J15^2*J23*10^-6</f>
        <v>#N/A</v>
      </c>
      <c r="X37" s="124" t="e">
        <f>(1-0.5*X36)*X36*F33*J15^2*J23*10^-6</f>
        <v>#N/A</v>
      </c>
      <c r="Y37" s="124" t="e">
        <f>(1-0.5*Y36)*Y36*F33*J15^2*J23*10^-6</f>
        <v>#N/A</v>
      </c>
      <c r="Z37" s="124" t="e">
        <f>(1-0.5*Z36)*Z36*F33*J15^2*J23*10^-6</f>
        <v>#N/A</v>
      </c>
      <c r="AA37" s="125" t="e">
        <f>IF(Z37&gt;U37,"&gt;","&lt;")</f>
        <v>#N/A</v>
      </c>
      <c r="AB37" s="126" t="e">
        <f>MAX(T58:U58)</f>
        <v>#N/A</v>
      </c>
      <c r="AC37" s="127" t="e">
        <f>IF(Z37&gt;AB37,"accept","forkast")</f>
        <v>#N/A</v>
      </c>
      <c r="BH37" s="46" t="s">
        <v>305</v>
      </c>
      <c r="BI37">
        <v>0.4</v>
      </c>
      <c r="BJ37">
        <v>0.6</v>
      </c>
      <c r="BM37" s="46" t="s">
        <v>305</v>
      </c>
      <c r="BN37">
        <v>0.4</v>
      </c>
      <c r="BO37">
        <v>0.6</v>
      </c>
    </row>
    <row r="38" spans="1:68" ht="16.5" thickBot="1">
      <c r="B38" t="s">
        <v>306</v>
      </c>
      <c r="N38" s="102" t="e">
        <f>IF(N37="ja",+J36," ")</f>
        <v>#N/A</v>
      </c>
      <c r="O38" s="102" t="e">
        <f>IF(O37="ja",+L36," ")</f>
        <v>#N/A</v>
      </c>
      <c r="P38" s="128" t="str">
        <f>IF(P37="NB! fejl",FEJL___," ")</f>
        <v xml:space="preserve"> </v>
      </c>
      <c r="BH38" s="46" t="s">
        <v>307</v>
      </c>
      <c r="BI38" s="51" t="e">
        <f>BI11*BI35+BI33*BI34*BI36*BI12/BI32</f>
        <v>#N/A</v>
      </c>
      <c r="BJ38" s="51" t="e">
        <f>BJ11*BJ35+BJ33*BJ34*BJ36*BJ12/BJ32</f>
        <v>#N/A</v>
      </c>
      <c r="BK38" t="s">
        <v>78</v>
      </c>
      <c r="BM38" s="46" t="s">
        <v>307</v>
      </c>
      <c r="BN38" s="51" t="e">
        <f>BN11*BN35+BN33*BN34*BN36*BN12/BN32</f>
        <v>#N/A</v>
      </c>
      <c r="BO38" s="51" t="e">
        <f>BO11*BO35+BO33*BO34*BO36*BO12/BO32</f>
        <v>#N/A</v>
      </c>
      <c r="BP38" t="s">
        <v>78</v>
      </c>
    </row>
    <row r="39" spans="1:68" ht="15.75">
      <c r="B39" t="s">
        <v>308</v>
      </c>
      <c r="F39" s="129"/>
      <c r="G39" s="55"/>
      <c r="H39" s="19" t="s">
        <v>309</v>
      </c>
      <c r="J39" s="46" t="s">
        <v>160</v>
      </c>
      <c r="K39" s="130"/>
      <c r="L39" t="s">
        <v>310</v>
      </c>
      <c r="N39" s="407">
        <f>O39</f>
        <v>200</v>
      </c>
      <c r="O39" s="408">
        <v>200</v>
      </c>
      <c r="P39" s="396" t="s">
        <v>311</v>
      </c>
      <c r="S39" s="133" t="s">
        <v>312</v>
      </c>
      <c r="T39" s="134"/>
      <c r="U39" s="134"/>
      <c r="V39" s="135"/>
      <c r="AB39" s="46" t="s">
        <v>313</v>
      </c>
      <c r="AC39" s="67" t="e">
        <f>(1-N32/2)*J15*10^-3</f>
        <v>#N/A</v>
      </c>
      <c r="AD39" t="s">
        <v>84</v>
      </c>
      <c r="AP39" s="49"/>
      <c r="BH39" s="46" t="s">
        <v>314</v>
      </c>
      <c r="BI39" s="51" t="e">
        <f>1.3*(BI19-BI27)</f>
        <v>#N/A</v>
      </c>
      <c r="BJ39" s="51" t="e">
        <f>1.3*(BJ19-BJ27)</f>
        <v>#N/A</v>
      </c>
      <c r="BK39" t="s">
        <v>78</v>
      </c>
      <c r="BM39" s="46" t="s">
        <v>314</v>
      </c>
      <c r="BN39" s="51" t="e">
        <f>1.3*(BN19-BN27)</f>
        <v>#N/A</v>
      </c>
      <c r="BO39" s="51" t="e">
        <f>1.3*(BO19-BO27)</f>
        <v>#N/A</v>
      </c>
      <c r="BP39" t="s">
        <v>78</v>
      </c>
    </row>
    <row r="40" spans="1:68" ht="15.75">
      <c r="C40" t="s">
        <v>315</v>
      </c>
      <c r="F40" s="51">
        <f>IF(T2=1,+NS!F40,25)</f>
        <v>25</v>
      </c>
      <c r="G40" t="s">
        <v>316</v>
      </c>
      <c r="H40" s="49" t="e">
        <f>J14*10^-3*F40</f>
        <v>#N/A</v>
      </c>
      <c r="I40" t="s">
        <v>317</v>
      </c>
      <c r="J40" s="19" t="e">
        <f>IF(Z19=1,FIXED(Z19,1,TRUE),FIXED(Z19,2,TRUE))</f>
        <v>#N/A</v>
      </c>
      <c r="K40" t="s">
        <v>112</v>
      </c>
      <c r="L40" s="49" t="e">
        <f>H40*Z19</f>
        <v>#N/A</v>
      </c>
      <c r="M40" t="s">
        <v>318</v>
      </c>
      <c r="P40" s="396" t="s">
        <v>319</v>
      </c>
      <c r="S40" s="137" t="s">
        <v>320</v>
      </c>
      <c r="V40" s="138"/>
      <c r="Z40" s="57" t="s">
        <v>321</v>
      </c>
      <c r="AR40" s="404" t="s">
        <v>327</v>
      </c>
      <c r="AV40" t="s">
        <v>322</v>
      </c>
      <c r="BH40" s="46" t="s">
        <v>323</v>
      </c>
      <c r="BI40" s="51" t="e">
        <f>MAXA(BI38:BI39)</f>
        <v>#N/A</v>
      </c>
      <c r="BJ40" s="51" t="e">
        <f>MAXA(BJ38:BJ39)</f>
        <v>#N/A</v>
      </c>
      <c r="BK40" t="s">
        <v>78</v>
      </c>
      <c r="BM40" s="46" t="s">
        <v>323</v>
      </c>
      <c r="BN40" s="51" t="e">
        <f>MAXA(BN38:BN39)</f>
        <v>#N/A</v>
      </c>
      <c r="BO40" s="51" t="e">
        <f>MAXA(BO38:BO39)</f>
        <v>#N/A</v>
      </c>
      <c r="BP40" t="s">
        <v>78</v>
      </c>
    </row>
    <row r="41" spans="1:68" ht="15.75">
      <c r="C41" s="107" t="s">
        <v>324</v>
      </c>
      <c r="H41" s="113" t="e">
        <f>NA()</f>
        <v>#N/A</v>
      </c>
      <c r="I41" t="s">
        <v>317</v>
      </c>
      <c r="J41" s="19" t="e">
        <f>J40</f>
        <v>#N/A</v>
      </c>
      <c r="K41" t="s">
        <v>112</v>
      </c>
      <c r="L41" s="49" t="e">
        <f>H41*Z19</f>
        <v>#N/A</v>
      </c>
      <c r="M41" t="s">
        <v>318</v>
      </c>
      <c r="S41" s="139" t="s">
        <v>325</v>
      </c>
      <c r="T41" s="19" t="str">
        <f>V</f>
        <v>dorn</v>
      </c>
      <c r="U41" s="19" t="str">
        <f>H</f>
        <v>fast</v>
      </c>
      <c r="V41" s="140" t="s">
        <v>72</v>
      </c>
      <c r="Z41" s="57" t="s">
        <v>326</v>
      </c>
      <c r="AD41" s="290" t="e">
        <f>IF(AND(AJ30&lt;AH14+AC39,AH14+AC39&lt;AJ30+AJ31),"u+hi+1/4*(a+b-u-hi)","a+2/5*b")</f>
        <v>#N/A</v>
      </c>
      <c r="AF41" s="290" t="e">
        <f>IF(AND(AJ30&lt;AH14+AC39,AH14+AC39&lt;AJ30+AJ31),"u+hi+3/4*(a+b-u-hi)","a+4/5*b")</f>
        <v>#N/A</v>
      </c>
      <c r="AM41" s="290" t="e">
        <f>IF(AND(AJ34&lt;AH14+AC39,AH14+AC39&lt;AJ33+AJ34),"L-u-hi-3/4*(d+e-u-hi)","a+b+c+1/5d")</f>
        <v>#N/A</v>
      </c>
      <c r="AO41" s="290" t="e">
        <f>IF(AND(AJ34&lt;AH14+AC39,AH14+AC39&lt;AJ33+AJ34),"L-u-hi-1/4*(d+e-u-hi)","a+b+c+3/5d")</f>
        <v>#N/A</v>
      </c>
      <c r="AQ41" s="145" t="s">
        <v>340</v>
      </c>
      <c r="AV41" t="s">
        <v>328</v>
      </c>
      <c r="AW41">
        <v>15</v>
      </c>
      <c r="AX41">
        <v>20</v>
      </c>
      <c r="AY41">
        <v>25</v>
      </c>
      <c r="AZ41">
        <v>30</v>
      </c>
      <c r="BA41">
        <v>35</v>
      </c>
      <c r="BB41">
        <v>40</v>
      </c>
      <c r="BC41">
        <v>45</v>
      </c>
      <c r="BD41">
        <v>50</v>
      </c>
      <c r="BH41" s="46" t="s">
        <v>329</v>
      </c>
      <c r="BI41" s="49">
        <f>0.3*BI6^(2/3)</f>
        <v>2.896468153816889</v>
      </c>
      <c r="BJ41" s="49">
        <f>0.3*BJ6^(2/3)</f>
        <v>2.896468153816889</v>
      </c>
      <c r="BK41" t="s">
        <v>31</v>
      </c>
      <c r="BM41" s="46" t="s">
        <v>329</v>
      </c>
      <c r="BN41" s="49">
        <f>0.3*BN6^(2/3)</f>
        <v>2.896468153816889</v>
      </c>
      <c r="BO41" s="49">
        <f>0.3*BO6^(2/3)</f>
        <v>2.896468153816889</v>
      </c>
      <c r="BP41" t="s">
        <v>31</v>
      </c>
    </row>
    <row r="42" spans="1:68" ht="15.75">
      <c r="H42" s="141" t="s">
        <v>330</v>
      </c>
      <c r="J42" s="24"/>
      <c r="L42" s="49"/>
      <c r="N42" t="s">
        <v>331</v>
      </c>
      <c r="O42" t="s">
        <v>161</v>
      </c>
      <c r="S42" s="142">
        <f>AA42</f>
        <v>0</v>
      </c>
      <c r="T42" s="143" t="str">
        <f>IF(T41="dorn","bagk.dorn+hi",0)</f>
        <v>bagk.dorn+hi</v>
      </c>
      <c r="U42" s="143">
        <f>IF(U41="dorn","bagk.dorn+hi",0)</f>
        <v>0</v>
      </c>
      <c r="V42" s="138" t="str">
        <f>AR42</f>
        <v>a+b+c+d+e=L</v>
      </c>
      <c r="Z42" s="46" t="s">
        <v>332</v>
      </c>
      <c r="AA42">
        <v>0</v>
      </c>
      <c r="AB42" s="145" t="s">
        <v>333</v>
      </c>
      <c r="AC42" s="143" t="e">
        <f>IF(AND(AJ30&lt;AH14+AC39,AH14+AC39&lt;AJ30+AJ31),"u+hi","a+1/5*b")</f>
        <v>#N/A</v>
      </c>
      <c r="AE42" s="290" t="e">
        <f>IF(AND(AJ30&lt;AH14+AC39,AH14+AC39&lt;AJ30+AJ31),"u+hi+1/2*(a+b-u-hi)","a+3/5*b")</f>
        <v>#N/A</v>
      </c>
      <c r="AG42" s="144" t="s">
        <v>334</v>
      </c>
      <c r="AH42" s="145" t="s">
        <v>335</v>
      </c>
      <c r="AI42" s="145" t="s">
        <v>336</v>
      </c>
      <c r="AJ42" s="145" t="s">
        <v>337</v>
      </c>
      <c r="AK42" s="145" t="s">
        <v>338</v>
      </c>
      <c r="AL42" s="145" t="s">
        <v>339</v>
      </c>
      <c r="AN42" s="290" t="e">
        <f>IF(AND(AJ34&lt;AH14+AC39,AH14+AC39&lt;AJ33+AJ34),"L-u-hi-1/2*(d+e-u-hi)","a+b+c+2/5d")</f>
        <v>#N/A</v>
      </c>
      <c r="AP42" s="145" t="e">
        <f>IF(AND(AJ34&lt;AH14+AC39,AH14+AC39&lt;AJ33+AJ34),"L-u-hi","a+b+c+4/5d")</f>
        <v>#N/A</v>
      </c>
      <c r="AR42" s="145" t="s">
        <v>341</v>
      </c>
      <c r="AS42" t="str">
        <f t="shared" ref="AS42:AS57" si="0">Z42</f>
        <v>snit, x=</v>
      </c>
      <c r="AV42" t="s">
        <v>26</v>
      </c>
      <c r="AW42">
        <v>10</v>
      </c>
      <c r="AX42">
        <v>9</v>
      </c>
      <c r="AY42">
        <v>9</v>
      </c>
      <c r="AZ42">
        <v>8</v>
      </c>
      <c r="BA42">
        <v>8</v>
      </c>
      <c r="BB42">
        <v>7</v>
      </c>
      <c r="BC42">
        <v>7</v>
      </c>
      <c r="BD42">
        <v>7</v>
      </c>
      <c r="BH42" s="46" t="s">
        <v>342</v>
      </c>
      <c r="BI42" s="81" t="e">
        <f>0.6*BI26/BI9</f>
        <v>#N/A</v>
      </c>
      <c r="BJ42" s="81" t="e">
        <f>0.6*BJ26/BJ9</f>
        <v>#N/A</v>
      </c>
      <c r="BM42" s="46" t="s">
        <v>342</v>
      </c>
      <c r="BN42" s="81" t="e">
        <f>0.6*BN26/BN9</f>
        <v>#N/A</v>
      </c>
      <c r="BO42" s="81" t="e">
        <f>0.6*BO26/BO9</f>
        <v>#N/A</v>
      </c>
    </row>
    <row r="43" spans="1:68">
      <c r="C43" t="s">
        <v>343</v>
      </c>
      <c r="H43" s="49" t="e">
        <f>H40+H41</f>
        <v>#N/A</v>
      </c>
      <c r="J43" t="s">
        <v>318</v>
      </c>
      <c r="L43" s="49"/>
      <c r="N43" s="116" t="e">
        <f>L40+L41</f>
        <v>#N/A</v>
      </c>
      <c r="O43" s="116" t="e">
        <f>(H40+H41)*AA19</f>
        <v>#N/A</v>
      </c>
      <c r="S43" s="146">
        <f>AA43</f>
        <v>0</v>
      </c>
      <c r="T43" s="67" t="e">
        <f>IF(T41="dorn",(F106-C109)*10^-3+Y25,0)</f>
        <v>#N/A</v>
      </c>
      <c r="U43" s="67">
        <f>IF(U41="dorn",(F106-C109)*10^-3+Y25,0)</f>
        <v>0</v>
      </c>
      <c r="V43" s="147">
        <f>S43</f>
        <v>0</v>
      </c>
      <c r="Z43" s="46" t="s">
        <v>344</v>
      </c>
      <c r="AA43" s="67">
        <v>0</v>
      </c>
      <c r="AB43" s="67" t="e">
        <f>AJ30</f>
        <v>#N/A</v>
      </c>
      <c r="AC43" s="67" t="e">
        <f>IF(AND(AJ30&lt;AH14+AC39,AH14+AC39&lt;AJ30+AJ31),+AH14+AC39,+AJ30+1/5*AJ31)</f>
        <v>#N/A</v>
      </c>
      <c r="AD43" s="67" t="e">
        <f>IF(AND(AJ30&lt;AH14+AC39,AH14+AC39&lt;AJ30+AJ31),+AH14+AC39+1/4*(AJ30+AJ31-AH14-AC39),+AJ30+2/5*AJ31)</f>
        <v>#N/A</v>
      </c>
      <c r="AE43" s="67" t="e">
        <f>IF(AND(AJ30&lt;AH14+AC39,AH14+AC39&lt;AJ30+AJ31),+AH14+AC39+1/2*(AJ30+AJ31-AH14-AC39),+AJ30+3/5*AJ31)</f>
        <v>#N/A</v>
      </c>
      <c r="AF43" s="67" t="e">
        <f>IF(AND(AJ30&lt;AH14+AC39,AH14+AC39&lt;AJ30+AJ31),+AH14+AC39+3/4*(AJ30+AJ31-AH14-AC39),+AJ30+4/5*AJ31)</f>
        <v>#N/A</v>
      </c>
      <c r="AG43" s="67" t="e">
        <f>AJ30+AJ31</f>
        <v>#N/A</v>
      </c>
      <c r="AH43" s="67" t="e">
        <f>AJ30+AJ31+1/5*AJ32</f>
        <v>#N/A</v>
      </c>
      <c r="AI43" s="67" t="e">
        <f>AJ30+AJ31+2/5*AJ32</f>
        <v>#N/A</v>
      </c>
      <c r="AJ43" s="67" t="e">
        <f>AJ30+AJ31+3/5*AJ32</f>
        <v>#N/A</v>
      </c>
      <c r="AK43" s="67" t="e">
        <f>AJ30+AJ31+4/5*AJ32</f>
        <v>#N/A</v>
      </c>
      <c r="AL43" s="67" t="e">
        <f>AJ30+AJ31+AJ32</f>
        <v>#N/A</v>
      </c>
      <c r="AM43" s="67" t="e">
        <f>IF(AND(AJ34&lt;AH14+AC39,AH14+AC39&lt;AJ33+AJ34),+AR43-AH14-AC39-3/4*(AJ33+AJ34-AH14-AC39),+AJ30+AJ31+AJ32+1/5*AJ33)</f>
        <v>#N/A</v>
      </c>
      <c r="AN43" s="67" t="e">
        <f>IF(AND(AJ34&lt;AH14+AC39,AH14+AC39&lt;AJ33+AJ34),+AR43-AH14-AC39-1/2*(AJ33+AJ34-AH14-AC39),AJ30+AJ31+AJ32+2/5*AJ33)</f>
        <v>#N/A</v>
      </c>
      <c r="AO43" s="67" t="e">
        <f>IF(AND(AJ34&lt;AH14+AC39,AH14+AC39&lt;AJ33+AJ34),+AR43-AH14-AC39-1/4*(AJ33+AJ34-AH14-AC39),AJ30+AJ31+AJ32+3/5*AJ33)</f>
        <v>#N/A</v>
      </c>
      <c r="AP43" s="67" t="e">
        <f>IF(AND(AJ34&lt;AH14+AC39,AH14+AC39&lt;AJ33+AJ34),+AR43-AH14-AC39,AJ30+AJ31+AJ32+4/5*AJ33)</f>
        <v>#N/A</v>
      </c>
      <c r="AQ43" s="67" t="e">
        <f>AJ30+AJ31+AJ32+AJ33</f>
        <v>#N/A</v>
      </c>
      <c r="AR43" s="67" t="e">
        <f>AJ30+AJ31+AJ32+AJ33+AJ34</f>
        <v>#N/A</v>
      </c>
      <c r="AS43" t="str">
        <f t="shared" si="0"/>
        <v>snit, x= [m]</v>
      </c>
      <c r="AV43" t="s">
        <v>25</v>
      </c>
      <c r="AW43">
        <v>42</v>
      </c>
      <c r="AX43">
        <v>35</v>
      </c>
      <c r="AY43">
        <v>33</v>
      </c>
      <c r="AZ43">
        <v>30</v>
      </c>
      <c r="BA43">
        <v>27</v>
      </c>
      <c r="BB43">
        <v>25</v>
      </c>
      <c r="BC43">
        <v>25</v>
      </c>
      <c r="BD43">
        <v>25</v>
      </c>
      <c r="BH43" s="46" t="s">
        <v>345</v>
      </c>
      <c r="BI43" s="81" t="e">
        <f>(BI26-BI37*BI41/BI32*(1+BI10*BI32))/BI9</f>
        <v>#N/A</v>
      </c>
      <c r="BJ43" s="81" t="e">
        <f>(BJ26-BJ37*BJ41/BJ32*(1+BJ10*BJ32))/BJ9</f>
        <v>#N/A</v>
      </c>
      <c r="BM43" s="46" t="s">
        <v>345</v>
      </c>
      <c r="BN43" s="81" t="e">
        <f>(BN26-BN37*BN41/BN32*(1+BN10*BN32))/BN9</f>
        <v>#N/A</v>
      </c>
      <c r="BO43" s="81" t="e">
        <f>(BO26-BO37*BO41/BO32*(1+BO10*BO32))/BO9</f>
        <v>#N/A</v>
      </c>
    </row>
    <row r="44" spans="1:68">
      <c r="A44" s="397"/>
      <c r="C44" t="s">
        <v>346</v>
      </c>
      <c r="F44" s="46" t="str">
        <f>IF(T2=1,+NS!F44,"kategori")</f>
        <v>kategori</v>
      </c>
      <c r="G44" s="107" t="s">
        <v>47</v>
      </c>
      <c r="H44" s="49">
        <f>IF(T2=1,+NS!H44,IF(G44="A",3,IF(OR(OR(G44="B",G44="C"),G44="D"),5,NA())))</f>
        <v>3</v>
      </c>
      <c r="I44" t="s">
        <v>317</v>
      </c>
      <c r="J44" s="19" t="e">
        <f>IF(Z20=1.5,FIXED(Z20,1,TRUE),FIXED(Z20,2,TRUE))</f>
        <v>#N/A</v>
      </c>
      <c r="K44" t="s">
        <v>112</v>
      </c>
      <c r="L44" s="49" t="e">
        <f>H44*Z20</f>
        <v>#N/A</v>
      </c>
      <c r="M44" t="s">
        <v>318</v>
      </c>
      <c r="P44" s="148" t="e">
        <f>IF(AB2=1,+NS!P44,IF(O44="A",3,IF(OR(OR(O44="B",O44="C"),O44="D"),5,NA())))</f>
        <v>#N/A</v>
      </c>
      <c r="Q44" s="48" t="s">
        <v>1104</v>
      </c>
      <c r="S44" s="146"/>
      <c r="V44" s="138"/>
      <c r="Z44" s="46" t="s">
        <v>347</v>
      </c>
      <c r="AA44" s="67"/>
      <c r="AB44" s="67"/>
      <c r="AC44" s="67"/>
      <c r="AD44" s="67"/>
      <c r="AE44" s="67"/>
      <c r="AF44" s="67"/>
      <c r="AG44" s="67"/>
      <c r="AH44" s="67"/>
      <c r="AI44" s="67"/>
      <c r="AJ44" s="67"/>
      <c r="AK44" s="67"/>
      <c r="AL44" s="67" t="e">
        <f>AR43-AL43</f>
        <v>#N/A</v>
      </c>
      <c r="AM44" s="67" t="e">
        <f>AR43-AM43</f>
        <v>#N/A</v>
      </c>
      <c r="AN44" s="67" t="e">
        <f>AR43-AN43</f>
        <v>#N/A</v>
      </c>
      <c r="AO44" s="67" t="e">
        <f>AR43-AO43</f>
        <v>#N/A</v>
      </c>
      <c r="AP44" s="67" t="e">
        <f>AR43-AP43</f>
        <v>#N/A</v>
      </c>
      <c r="AQ44" s="67" t="e">
        <f>AR43-AQ43</f>
        <v>#N/A</v>
      </c>
      <c r="AR44" s="67">
        <v>0</v>
      </c>
      <c r="AS44" t="str">
        <f t="shared" si="0"/>
        <v>snit, l-x [m]</v>
      </c>
      <c r="BH44" s="46" t="s">
        <v>348</v>
      </c>
      <c r="BI44" s="81" t="e">
        <f>MAXA(BI42:BI43)</f>
        <v>#N/A</v>
      </c>
      <c r="BJ44" s="81" t="e">
        <f>MAXA(BJ42:BJ43)</f>
        <v>#N/A</v>
      </c>
      <c r="BM44" s="46" t="s">
        <v>348</v>
      </c>
      <c r="BN44" s="81" t="e">
        <f>MAXA(BN42:BN43)</f>
        <v>#N/A</v>
      </c>
      <c r="BO44" s="81" t="e">
        <f>MAXA(BO42:BO43)</f>
        <v>#N/A</v>
      </c>
    </row>
    <row r="45" spans="1:68" ht="15.75">
      <c r="F45" s="315"/>
      <c r="G45" s="315"/>
      <c r="H45" s="141" t="s">
        <v>330</v>
      </c>
      <c r="J45" s="24"/>
      <c r="L45" s="141" t="s">
        <v>330</v>
      </c>
      <c r="N45" s="149"/>
      <c r="O45" s="149"/>
      <c r="S45" s="150"/>
      <c r="T45" s="49" t="e">
        <f>AB45</f>
        <v>#N/A</v>
      </c>
      <c r="U45" s="49" t="e">
        <f>T45</f>
        <v>#N/A</v>
      </c>
      <c r="V45" s="138"/>
      <c r="Z45" s="46" t="s">
        <v>349</v>
      </c>
      <c r="AA45" s="151" t="s">
        <v>350</v>
      </c>
      <c r="AB45" s="152" t="e">
        <f>$L$46*($F$36+$J$18-($J$21-20)/2)*10^-3*MAXA($AA$103,$AA$128)</f>
        <v>#N/A</v>
      </c>
      <c r="AC45" s="49" t="e">
        <f t="shared" ref="AC45:AQ45" si="1">AB45</f>
        <v>#N/A</v>
      </c>
      <c r="AD45" s="49" t="e">
        <f t="shared" si="1"/>
        <v>#N/A</v>
      </c>
      <c r="AE45" s="49" t="e">
        <f t="shared" si="1"/>
        <v>#N/A</v>
      </c>
      <c r="AF45" s="49" t="e">
        <f t="shared" si="1"/>
        <v>#N/A</v>
      </c>
      <c r="AG45" s="49" t="e">
        <f t="shared" si="1"/>
        <v>#N/A</v>
      </c>
      <c r="AH45" s="148" t="e">
        <f>$L$46*($F$36-($J$21-20)/2)*10^-3*(AA98+F36*10^-3)/AA98</f>
        <v>#N/A</v>
      </c>
      <c r="AI45" s="49" t="e">
        <f t="shared" si="1"/>
        <v>#N/A</v>
      </c>
      <c r="AJ45" s="49" t="e">
        <f t="shared" si="1"/>
        <v>#N/A</v>
      </c>
      <c r="AK45" s="49" t="e">
        <f t="shared" si="1"/>
        <v>#N/A</v>
      </c>
      <c r="AL45" s="49" t="e">
        <f>AB45</f>
        <v>#N/A</v>
      </c>
      <c r="AM45" s="49" t="e">
        <f t="shared" si="1"/>
        <v>#N/A</v>
      </c>
      <c r="AN45" s="49" t="e">
        <f t="shared" si="1"/>
        <v>#N/A</v>
      </c>
      <c r="AO45" s="49" t="e">
        <f t="shared" si="1"/>
        <v>#N/A</v>
      </c>
      <c r="AP45" s="49" t="e">
        <f t="shared" si="1"/>
        <v>#N/A</v>
      </c>
      <c r="AQ45" s="49" t="e">
        <f t="shared" si="1"/>
        <v>#N/A</v>
      </c>
      <c r="AR45" s="49"/>
      <c r="AS45" t="str">
        <f t="shared" si="0"/>
        <v>pladelast [kN/m] regn.m</v>
      </c>
      <c r="BH45" s="46" t="s">
        <v>351</v>
      </c>
      <c r="BI45" s="49" t="e">
        <f>BI44*BI40</f>
        <v>#N/A</v>
      </c>
      <c r="BJ45" s="49" t="e">
        <f>BJ44*BJ40</f>
        <v>#N/A</v>
      </c>
      <c r="BK45" t="s">
        <v>78</v>
      </c>
      <c r="BM45" s="46" t="s">
        <v>351</v>
      </c>
      <c r="BN45" s="49" t="e">
        <f>BN44*BN40</f>
        <v>#N/A</v>
      </c>
      <c r="BO45" s="49" t="e">
        <f>BO44*BO40</f>
        <v>#N/A</v>
      </c>
      <c r="BP45" t="s">
        <v>78</v>
      </c>
    </row>
    <row r="46" spans="1:68">
      <c r="C46" t="s">
        <v>352</v>
      </c>
      <c r="H46" s="49" t="e">
        <f>H43+H44</f>
        <v>#N/A</v>
      </c>
      <c r="J46" s="24" t="s">
        <v>318</v>
      </c>
      <c r="L46" s="49" t="e">
        <f>SUM(L40:L44)</f>
        <v>#N/A</v>
      </c>
      <c r="M46" t="s">
        <v>318</v>
      </c>
      <c r="S46" s="153">
        <f>AA46</f>
        <v>0</v>
      </c>
      <c r="T46" s="49" t="e">
        <f>IF(T41="dorn",S47*T43-T45*(T43-AH14)^2/2,0)</f>
        <v>#N/A</v>
      </c>
      <c r="U46" s="49">
        <f>IF(U41="dorn",V47*U43-U45*(U43-AH14)^2/2,0)</f>
        <v>0</v>
      </c>
      <c r="V46" s="138"/>
      <c r="Z46" s="46" t="s">
        <v>353</v>
      </c>
      <c r="AA46" s="49">
        <v>0</v>
      </c>
      <c r="AB46" s="49" t="e">
        <f t="shared" ref="AB46:AG46" si="2">$AA$47*AB43-AB45*(AB43-$AH$14)^2/2</f>
        <v>#N/A</v>
      </c>
      <c r="AC46" s="49" t="e">
        <f t="shared" si="2"/>
        <v>#N/A</v>
      </c>
      <c r="AD46" s="49" t="e">
        <f t="shared" si="2"/>
        <v>#N/A</v>
      </c>
      <c r="AE46" s="49" t="e">
        <f t="shared" si="2"/>
        <v>#N/A</v>
      </c>
      <c r="AF46" s="49" t="e">
        <f t="shared" si="2"/>
        <v>#N/A</v>
      </c>
      <c r="AG46" s="49" t="e">
        <f t="shared" si="2"/>
        <v>#N/A</v>
      </c>
      <c r="AH46" s="49" t="e">
        <f>$AA$47*AH43-$AB$45*(AH43-$AH$14)^2/2+($AB45-AH45)*(AH43-$AG$43)^2/2</f>
        <v>#N/A</v>
      </c>
      <c r="AI46" s="49" t="e">
        <f t="shared" ref="AI46:AK46" si="3">$AA$47*AI43-$AB$45*(AI43-$AH$14)^2/2+($AB45-AI45)*(AI43-$AG$43)^2/2</f>
        <v>#N/A</v>
      </c>
      <c r="AJ46" s="49" t="e">
        <f t="shared" si="3"/>
        <v>#N/A</v>
      </c>
      <c r="AK46" s="49" t="e">
        <f t="shared" si="3"/>
        <v>#N/A</v>
      </c>
      <c r="AL46" s="49" t="e">
        <f>$AA$47*AL43-$AB$45*(AL43-$AH$14)^2/2-($AH45-AL45)*(AL43-$AG$43)^2/2</f>
        <v>#N/A</v>
      </c>
      <c r="AM46" s="49" t="e">
        <f>$AA$47*AM43-$AB$45*(AM43-$AH$14)^2/2-($AH$45-AM45)*($AL$43-$AG$43)*(($AL$43-$AG$43)/2+AM43-$AL$43)</f>
        <v>#N/A</v>
      </c>
      <c r="AN46" s="49" t="e">
        <f>$AA$47*AN43-$AB$45*(AN43-$AH$14)^2/2-($AH$45-AN45)*($AL$43-$AG$43)*(($AL$43-$AG$43)/2+AN43-$AL$43)</f>
        <v>#N/A</v>
      </c>
      <c r="AO46" s="49" t="e">
        <f>$AA$47*AO43-$AB$45*(AO43-$AH$14)^2/2-($AH$45-AO45)*($AL$43-$AG$43)*(($AL$43-$AG$43)/2+AO43-$AL$43)</f>
        <v>#N/A</v>
      </c>
      <c r="AP46" s="49" t="e">
        <f>$AA$47*AP43-$AB$45*(AP43-$AH$14)^2/2-($AH$45-AP45)*($AL$43-$AG$43)*(($AL$43-$AG$43)/2+AP43-$AL$43)</f>
        <v>#N/A</v>
      </c>
      <c r="AQ46" s="49" t="e">
        <f>$AA$47*AQ43-$AB$45*(AQ43-$AH$14)^2/2-($AH$45-AQ45)*($AL$43-$AG$43)*(($AL$43-$AG$43)/2+AQ43-$AL$43)</f>
        <v>#N/A</v>
      </c>
      <c r="AR46" s="49">
        <v>0</v>
      </c>
      <c r="AS46" t="str">
        <f t="shared" si="0"/>
        <v>M pladelast [kNm]</v>
      </c>
    </row>
    <row r="47" spans="1:68" ht="15.75">
      <c r="B47" t="s">
        <v>354</v>
      </c>
      <c r="H47" s="19" t="s">
        <v>71</v>
      </c>
      <c r="J47" s="19" t="s">
        <v>72</v>
      </c>
      <c r="N47" s="154" t="s">
        <v>18</v>
      </c>
      <c r="S47" s="153" t="e">
        <f>AA47</f>
        <v>#N/A</v>
      </c>
      <c r="V47" s="155" t="e">
        <f>S47</f>
        <v>#N/A</v>
      </c>
      <c r="Z47" s="46" t="s">
        <v>355</v>
      </c>
      <c r="AA47" s="49" t="e">
        <f>(AB45*J16*10^-3*(J16/2*10^-3+AH14))/J32-(AB45-AH45)*AJ32*(AL44+AJ32/2)/J32</f>
        <v>#N/A</v>
      </c>
      <c r="AB47" s="49" t="e">
        <f>AA47-AB45*(AB43-AH14)</f>
        <v>#N/A</v>
      </c>
      <c r="AC47" s="49" t="e">
        <f t="shared" ref="AC47:AQ47" si="4">AB47-AC45*(AC43-AB43)</f>
        <v>#N/A</v>
      </c>
      <c r="AD47" s="49" t="e">
        <f t="shared" si="4"/>
        <v>#N/A</v>
      </c>
      <c r="AE47" s="49" t="e">
        <f t="shared" si="4"/>
        <v>#N/A</v>
      </c>
      <c r="AF47" s="49" t="e">
        <f t="shared" si="4"/>
        <v>#N/A</v>
      </c>
      <c r="AG47" s="49" t="e">
        <f t="shared" si="4"/>
        <v>#N/A</v>
      </c>
      <c r="AH47" s="49" t="e">
        <f t="shared" si="4"/>
        <v>#N/A</v>
      </c>
      <c r="AI47" s="49" t="e">
        <f t="shared" si="4"/>
        <v>#N/A</v>
      </c>
      <c r="AJ47" s="49" t="e">
        <f t="shared" si="4"/>
        <v>#N/A</v>
      </c>
      <c r="AK47" s="49" t="e">
        <f t="shared" si="4"/>
        <v>#N/A</v>
      </c>
      <c r="AL47" s="49" t="e">
        <f>AK47-AK45*(AL43-AK43)</f>
        <v>#N/A</v>
      </c>
      <c r="AM47" s="49" t="e">
        <f t="shared" si="4"/>
        <v>#N/A</v>
      </c>
      <c r="AN47" s="49" t="e">
        <f t="shared" si="4"/>
        <v>#N/A</v>
      </c>
      <c r="AO47" s="49" t="e">
        <f t="shared" si="4"/>
        <v>#N/A</v>
      </c>
      <c r="AP47" s="49" t="e">
        <f t="shared" si="4"/>
        <v>#N/A</v>
      </c>
      <c r="AQ47" s="49" t="e">
        <f t="shared" si="4"/>
        <v>#N/A</v>
      </c>
      <c r="AR47" s="49" t="e">
        <f>-AA47</f>
        <v>#N/A</v>
      </c>
      <c r="AS47" t="str">
        <f t="shared" si="0"/>
        <v>V pladelast [kN]</v>
      </c>
      <c r="AV47" t="s">
        <v>356</v>
      </c>
      <c r="BH47" s="46" t="s">
        <v>357</v>
      </c>
      <c r="BI47" s="24" t="e">
        <f>BI10*BI25*BI15^2*10^6/(10*BI27*BI9)</f>
        <v>#N/A</v>
      </c>
      <c r="BJ47" s="24" t="e">
        <f>BJ10*BJ25*BJ15^2*10^6/(10*BJ27*BJ9)</f>
        <v>#N/A</v>
      </c>
      <c r="BK47" t="s">
        <v>78</v>
      </c>
      <c r="BM47" s="46" t="s">
        <v>357</v>
      </c>
      <c r="BN47" s="24" t="e">
        <f>BN10*BN25*BN15^2*10^6/(10*BN27*BN9)</f>
        <v>#N/A</v>
      </c>
      <c r="BO47" s="24" t="e">
        <f>BO10*BO25*BO15^2*10^6/(10*BO27*BO9)</f>
        <v>#N/A</v>
      </c>
      <c r="BP47" t="s">
        <v>78</v>
      </c>
    </row>
    <row r="48" spans="1:68" ht="15.75">
      <c r="C48" t="s">
        <v>358</v>
      </c>
      <c r="H48" s="113" t="e">
        <f>NA()</f>
        <v>#N/A</v>
      </c>
      <c r="I48" s="95"/>
      <c r="J48" s="113" t="e">
        <f>NA()</f>
        <v>#N/A</v>
      </c>
      <c r="K48" t="s">
        <v>84</v>
      </c>
      <c r="N48" s="396" t="s">
        <v>359</v>
      </c>
      <c r="S48" s="150"/>
      <c r="T48" s="67" t="e">
        <f>IF(T43&gt;=AB43,T43-AB43,0)</f>
        <v>#N/A</v>
      </c>
      <c r="U48" s="67" t="e">
        <f>IF(U43&gt;=(AR43-AQ43),U43-(AR43-AQ43),0)</f>
        <v>#N/A</v>
      </c>
      <c r="V48" s="138"/>
      <c r="Z48" s="46" t="s">
        <v>360</v>
      </c>
      <c r="AA48" s="67"/>
      <c r="AB48" s="67"/>
      <c r="AC48" s="67" t="e">
        <f>AC43-AB43</f>
        <v>#N/A</v>
      </c>
      <c r="AD48" s="67" t="e">
        <f>AD43-AB43</f>
        <v>#N/A</v>
      </c>
      <c r="AE48" s="67" t="e">
        <f>AE43-AB43</f>
        <v>#N/A</v>
      </c>
      <c r="AF48" s="67" t="e">
        <f>AF43-AB43</f>
        <v>#N/A</v>
      </c>
      <c r="AG48" s="67" t="e">
        <f>AJ31</f>
        <v>#N/A</v>
      </c>
      <c r="AL48" s="67" t="e">
        <f>AJ33</f>
        <v>#N/A</v>
      </c>
      <c r="AM48" s="67" t="e">
        <f>AQ43-AM43</f>
        <v>#N/A</v>
      </c>
      <c r="AN48" s="67" t="e">
        <f>AQ43-AN43</f>
        <v>#N/A</v>
      </c>
      <c r="AO48" s="67" t="e">
        <f>AQ43-AO43</f>
        <v>#N/A</v>
      </c>
      <c r="AP48" s="67" t="e">
        <f>AQ43-AP43</f>
        <v>#N/A</v>
      </c>
      <c r="AQ48" s="67"/>
      <c r="AR48" s="67"/>
      <c r="AS48" t="str">
        <f t="shared" si="0"/>
        <v>lastbredde nabolast [m]</v>
      </c>
      <c r="AV48" t="str">
        <f>BI2</f>
        <v>inclusive last fra trappeløb_forkantpladestrimmel (f)</v>
      </c>
      <c r="AZ48" t="s">
        <v>361</v>
      </c>
    </row>
    <row r="49" spans="2:68" ht="15.75">
      <c r="C49" t="s">
        <v>362</v>
      </c>
      <c r="H49" s="113" t="e">
        <f>IF(H48=0,1,NA())</f>
        <v>#N/A</v>
      </c>
      <c r="I49" s="95"/>
      <c r="J49" s="113" t="e">
        <f>NA()</f>
        <v>#N/A</v>
      </c>
      <c r="K49" t="s">
        <v>84</v>
      </c>
      <c r="L49" s="56" t="e">
        <f>IF(AJ32&lt;-0.01,"Fejl i indtastning"," ")</f>
        <v>#N/A</v>
      </c>
      <c r="N49" s="409" t="e">
        <f>IF(OR(H49=0,J49=0),"Bredde skal indtastes, må ikke være nul"," ")</f>
        <v>#N/A</v>
      </c>
      <c r="S49" s="150"/>
      <c r="T49" s="24" t="e">
        <f>IF(T43&gt;=AB43,AC49,0)</f>
        <v>#N/A</v>
      </c>
      <c r="U49" s="24" t="e">
        <f>IF(U43&gt;=(AR43-AQ43),AL49,0)</f>
        <v>#N/A</v>
      </c>
      <c r="V49" s="138"/>
      <c r="Z49" s="46" t="s">
        <v>363</v>
      </c>
      <c r="AA49" s="49"/>
      <c r="AB49" s="151" t="s">
        <v>364</v>
      </c>
      <c r="AC49" s="152" t="e">
        <f>(AM29+AM30)*AA100</f>
        <v>#N/A</v>
      </c>
      <c r="AD49" s="49" t="e">
        <f t="shared" ref="AD49:AL51" si="5">AC49</f>
        <v>#N/A</v>
      </c>
      <c r="AE49" s="49" t="e">
        <f t="shared" si="5"/>
        <v>#N/A</v>
      </c>
      <c r="AF49" s="49" t="e">
        <f t="shared" si="5"/>
        <v>#N/A</v>
      </c>
      <c r="AG49" s="49" t="e">
        <f t="shared" si="5"/>
        <v>#N/A</v>
      </c>
      <c r="AK49" s="151" t="s">
        <v>365</v>
      </c>
      <c r="AL49" s="152" t="e">
        <f>(AN29+AN30)*AA125</f>
        <v>#N/A</v>
      </c>
      <c r="AM49" s="49" t="e">
        <f t="shared" ref="AM49:AP51" si="6">AL49</f>
        <v>#N/A</v>
      </c>
      <c r="AN49" s="49" t="e">
        <f t="shared" si="6"/>
        <v>#N/A</v>
      </c>
      <c r="AO49" s="49" t="e">
        <f t="shared" si="6"/>
        <v>#N/A</v>
      </c>
      <c r="AP49" s="49" t="e">
        <f t="shared" si="6"/>
        <v>#N/A</v>
      </c>
      <c r="AQ49" s="49"/>
      <c r="AR49" s="49"/>
      <c r="AS49" t="str">
        <f t="shared" si="0"/>
        <v>last [kN/m] regn.m., nabolast</v>
      </c>
      <c r="AV49" s="29" t="s">
        <v>366</v>
      </c>
      <c r="AW49" s="46" t="s">
        <v>367</v>
      </c>
      <c r="AX49" s="46" t="s">
        <v>368</v>
      </c>
      <c r="AY49" s="46" t="s">
        <v>369</v>
      </c>
      <c r="AZ49" s="46" t="s">
        <v>370</v>
      </c>
      <c r="BA49" s="46" t="s">
        <v>371</v>
      </c>
      <c r="BB49" s="46" t="s">
        <v>372</v>
      </c>
      <c r="BC49" s="46" t="s">
        <v>373</v>
      </c>
      <c r="BD49" s="46" t="s">
        <v>374</v>
      </c>
      <c r="BE49" s="46"/>
      <c r="BF49" s="65"/>
      <c r="BG49" s="65"/>
      <c r="BH49" s="46" t="s">
        <v>375</v>
      </c>
      <c r="BI49" t="e">
        <f>BD56*10^-12</f>
        <v>#N/A</v>
      </c>
      <c r="BJ49" t="e">
        <f>BD66*10^-12</f>
        <v>#N/A</v>
      </c>
      <c r="BK49" t="s">
        <v>376</v>
      </c>
      <c r="BM49" s="46" t="s">
        <v>375</v>
      </c>
      <c r="BN49" s="47" t="e">
        <f>BD76*10^-12</f>
        <v>#N/A</v>
      </c>
      <c r="BO49" t="e">
        <f>BD86*10^-12</f>
        <v>#N/A</v>
      </c>
      <c r="BP49" t="s">
        <v>376</v>
      </c>
    </row>
    <row r="50" spans="2:68">
      <c r="C50" t="s">
        <v>377</v>
      </c>
      <c r="H50" s="113" t="e">
        <f>IF(H48=0,0,NA())</f>
        <v>#N/A</v>
      </c>
      <c r="I50" s="95"/>
      <c r="J50" s="113" t="e">
        <f>IF(J49=0,1,NA())</f>
        <v>#N/A</v>
      </c>
      <c r="K50" t="s">
        <v>84</v>
      </c>
      <c r="M50" s="118"/>
      <c r="S50" s="153" t="e">
        <f>AA50</f>
        <v>#N/A</v>
      </c>
      <c r="T50" s="49" t="e">
        <f>S50</f>
        <v>#N/A</v>
      </c>
      <c r="V50" s="138"/>
      <c r="Z50" s="46" t="s">
        <v>378</v>
      </c>
      <c r="AA50" s="49" t="e">
        <f>(AL33+AL34)*AA100</f>
        <v>#N/A</v>
      </c>
      <c r="AB50" s="49" t="e">
        <f>AA50</f>
        <v>#N/A</v>
      </c>
      <c r="AC50" s="49" t="e">
        <f>AB50</f>
        <v>#N/A</v>
      </c>
      <c r="AD50" s="49" t="e">
        <f t="shared" si="5"/>
        <v>#N/A</v>
      </c>
      <c r="AE50" s="49" t="e">
        <f t="shared" si="5"/>
        <v>#N/A</v>
      </c>
      <c r="AF50" s="49" t="e">
        <f t="shared" si="5"/>
        <v>#N/A</v>
      </c>
      <c r="AG50" s="49" t="e">
        <f t="shared" si="5"/>
        <v>#N/A</v>
      </c>
      <c r="AH50" s="49" t="e">
        <f t="shared" si="5"/>
        <v>#N/A</v>
      </c>
      <c r="AI50" s="49" t="e">
        <f t="shared" si="5"/>
        <v>#N/A</v>
      </c>
      <c r="AJ50" s="49" t="e">
        <f t="shared" si="5"/>
        <v>#N/A</v>
      </c>
      <c r="AK50" s="49" t="e">
        <f t="shared" si="5"/>
        <v>#N/A</v>
      </c>
      <c r="AL50" s="49" t="e">
        <f t="shared" si="5"/>
        <v>#N/A</v>
      </c>
      <c r="AM50" s="49" t="e">
        <f t="shared" si="6"/>
        <v>#N/A</v>
      </c>
      <c r="AN50" s="49" t="e">
        <f t="shared" si="6"/>
        <v>#N/A</v>
      </c>
      <c r="AO50" s="49" t="e">
        <f t="shared" si="6"/>
        <v>#N/A</v>
      </c>
      <c r="AP50" s="49" t="e">
        <f t="shared" si="6"/>
        <v>#N/A</v>
      </c>
      <c r="AQ50" s="49" t="e">
        <f>AP50</f>
        <v>#N/A</v>
      </c>
      <c r="AR50" s="49" t="e">
        <f>AQ50</f>
        <v>#N/A</v>
      </c>
      <c r="AS50" t="str">
        <f t="shared" si="0"/>
        <v>R venstre, nabolast</v>
      </c>
      <c r="AV50" s="21"/>
      <c r="AW50" s="156" t="s">
        <v>379</v>
      </c>
      <c r="AX50" s="157" t="s">
        <v>78</v>
      </c>
      <c r="AY50" s="157" t="s">
        <v>78</v>
      </c>
      <c r="AZ50" s="157" t="s">
        <v>105</v>
      </c>
      <c r="BA50" s="157" t="s">
        <v>78</v>
      </c>
      <c r="BB50" s="157" t="s">
        <v>380</v>
      </c>
      <c r="BC50" s="157" t="s">
        <v>379</v>
      </c>
      <c r="BD50" s="157" t="s">
        <v>381</v>
      </c>
      <c r="BE50" s="46"/>
      <c r="BF50" s="292"/>
      <c r="BH50" s="46" t="s">
        <v>382</v>
      </c>
      <c r="BI50" s="24" t="e">
        <f>5/48*BI16/(BI8*10^3*BI49)*BI15^2*10^3</f>
        <v>#N/A</v>
      </c>
      <c r="BJ50" s="24" t="e">
        <f>5/48*BJ16/(BJ8*10^3*BJ49)*BJ15^2*10^3</f>
        <v>#N/A</v>
      </c>
      <c r="BK50" t="s">
        <v>78</v>
      </c>
      <c r="BM50" s="46" t="s">
        <v>382</v>
      </c>
      <c r="BN50" s="24" t="e">
        <f>5/48*BN16/(BN8*10^3*BN49)*BN15^2*10^3</f>
        <v>#N/A</v>
      </c>
      <c r="BO50" s="24" t="e">
        <f>5/48*BO16/(BO8*10^3*BO49)*BO15^2*10^3</f>
        <v>#N/A</v>
      </c>
      <c r="BP50" t="s">
        <v>78</v>
      </c>
    </row>
    <row r="51" spans="2:68">
      <c r="C51" s="49" t="s">
        <v>383</v>
      </c>
      <c r="H51" s="113" t="e">
        <f>NA()</f>
        <v>#N/A</v>
      </c>
      <c r="I51" s="95"/>
      <c r="J51" s="113" t="e">
        <f>NA()</f>
        <v>#N/A</v>
      </c>
      <c r="K51" t="s">
        <v>384</v>
      </c>
      <c r="M51" s="118"/>
      <c r="S51" s="153"/>
      <c r="U51" s="49" t="e">
        <f>V51</f>
        <v>#N/A</v>
      </c>
      <c r="V51" s="155" t="e">
        <f>AA51</f>
        <v>#N/A</v>
      </c>
      <c r="Z51" s="46" t="s">
        <v>385</v>
      </c>
      <c r="AA51" s="49" t="e">
        <f>(AO33+AO34)*AA125</f>
        <v>#N/A</v>
      </c>
      <c r="AB51" s="49" t="e">
        <f>AA51</f>
        <v>#N/A</v>
      </c>
      <c r="AC51" s="49" t="e">
        <f>AB51</f>
        <v>#N/A</v>
      </c>
      <c r="AD51" s="49" t="e">
        <f t="shared" si="5"/>
        <v>#N/A</v>
      </c>
      <c r="AE51" s="49" t="e">
        <f t="shared" si="5"/>
        <v>#N/A</v>
      </c>
      <c r="AF51" s="49" t="e">
        <f t="shared" si="5"/>
        <v>#N/A</v>
      </c>
      <c r="AG51" s="49" t="e">
        <f t="shared" si="5"/>
        <v>#N/A</v>
      </c>
      <c r="AH51" s="49" t="e">
        <f t="shared" si="5"/>
        <v>#N/A</v>
      </c>
      <c r="AI51" s="49" t="e">
        <f t="shared" si="5"/>
        <v>#N/A</v>
      </c>
      <c r="AJ51" s="49" t="e">
        <f t="shared" si="5"/>
        <v>#N/A</v>
      </c>
      <c r="AK51" s="49" t="e">
        <f t="shared" si="5"/>
        <v>#N/A</v>
      </c>
      <c r="AL51" s="49" t="e">
        <f t="shared" si="5"/>
        <v>#N/A</v>
      </c>
      <c r="AM51" s="49" t="e">
        <f t="shared" si="6"/>
        <v>#N/A</v>
      </c>
      <c r="AN51" s="49" t="e">
        <f t="shared" si="6"/>
        <v>#N/A</v>
      </c>
      <c r="AO51" s="49" t="e">
        <f t="shared" si="6"/>
        <v>#N/A</v>
      </c>
      <c r="AP51" s="49" t="e">
        <f t="shared" si="6"/>
        <v>#N/A</v>
      </c>
      <c r="AQ51" s="49" t="e">
        <f>AP51</f>
        <v>#N/A</v>
      </c>
      <c r="AR51" s="49" t="e">
        <f>AQ51</f>
        <v>#N/A</v>
      </c>
      <c r="AS51" t="str">
        <f t="shared" si="0"/>
        <v>R højre, nabolast</v>
      </c>
      <c r="AV51" s="29" t="s">
        <v>386</v>
      </c>
      <c r="AW51">
        <v>1</v>
      </c>
      <c r="AX51" s="51" t="e">
        <f>BI17</f>
        <v>#N/A</v>
      </c>
      <c r="AY51" s="51" t="e">
        <f>BI19</f>
        <v>#N/A</v>
      </c>
      <c r="AZ51" s="51" t="e">
        <f>AW51*AX51*AY51</f>
        <v>#N/A</v>
      </c>
      <c r="BA51">
        <v>0</v>
      </c>
      <c r="BB51" t="e">
        <f>BA51*AZ51</f>
        <v>#N/A</v>
      </c>
      <c r="BC51">
        <f>1/12</f>
        <v>8.3333333333333329E-2</v>
      </c>
      <c r="BD51" s="51" t="e">
        <f>BC51*AX51*AY51^3</f>
        <v>#N/A</v>
      </c>
      <c r="BE51" s="163"/>
      <c r="BF51" s="292"/>
    </row>
    <row r="52" spans="2:68">
      <c r="C52" t="s">
        <v>346</v>
      </c>
      <c r="H52" s="49">
        <f>H44</f>
        <v>3</v>
      </c>
      <c r="I52" s="95"/>
      <c r="J52" s="49">
        <f>H52</f>
        <v>3</v>
      </c>
      <c r="K52" t="s">
        <v>384</v>
      </c>
      <c r="S52" s="146">
        <f>S43</f>
        <v>0</v>
      </c>
      <c r="T52" s="67" t="e">
        <f>T43</f>
        <v>#N/A</v>
      </c>
      <c r="U52" s="67">
        <f>U43</f>
        <v>0</v>
      </c>
      <c r="V52" s="147">
        <f>V43</f>
        <v>0</v>
      </c>
      <c r="Z52" s="46" t="s">
        <v>387</v>
      </c>
      <c r="AA52" s="67">
        <f t="shared" ref="AA52:AR52" si="7">AA43</f>
        <v>0</v>
      </c>
      <c r="AB52" s="67" t="e">
        <f t="shared" si="7"/>
        <v>#N/A</v>
      </c>
      <c r="AC52" s="67" t="e">
        <f t="shared" si="7"/>
        <v>#N/A</v>
      </c>
      <c r="AD52" s="67" t="e">
        <f t="shared" si="7"/>
        <v>#N/A</v>
      </c>
      <c r="AE52" s="67" t="e">
        <f t="shared" si="7"/>
        <v>#N/A</v>
      </c>
      <c r="AF52" s="67" t="e">
        <f t="shared" si="7"/>
        <v>#N/A</v>
      </c>
      <c r="AG52" s="67" t="e">
        <f t="shared" si="7"/>
        <v>#N/A</v>
      </c>
      <c r="AH52" s="67" t="e">
        <f t="shared" si="7"/>
        <v>#N/A</v>
      </c>
      <c r="AI52" s="67" t="e">
        <f t="shared" si="7"/>
        <v>#N/A</v>
      </c>
      <c r="AJ52" s="67" t="e">
        <f t="shared" si="7"/>
        <v>#N/A</v>
      </c>
      <c r="AK52" s="67" t="e">
        <f t="shared" si="7"/>
        <v>#N/A</v>
      </c>
      <c r="AL52" s="67" t="e">
        <f t="shared" si="7"/>
        <v>#N/A</v>
      </c>
      <c r="AM52" s="67" t="e">
        <f t="shared" si="7"/>
        <v>#N/A</v>
      </c>
      <c r="AN52" s="67" t="e">
        <f t="shared" si="7"/>
        <v>#N/A</v>
      </c>
      <c r="AO52" s="67" t="e">
        <f t="shared" si="7"/>
        <v>#N/A</v>
      </c>
      <c r="AP52" s="67" t="e">
        <f t="shared" si="7"/>
        <v>#N/A</v>
      </c>
      <c r="AQ52" s="67" t="e">
        <f t="shared" si="7"/>
        <v>#N/A</v>
      </c>
      <c r="AR52" s="67" t="e">
        <f t="shared" si="7"/>
        <v>#N/A</v>
      </c>
      <c r="AS52" t="str">
        <f t="shared" si="0"/>
        <v>snit,x=</v>
      </c>
      <c r="AV52" s="29" t="s">
        <v>388</v>
      </c>
      <c r="AW52" s="24">
        <f>BI10</f>
        <v>32.119514472455656</v>
      </c>
      <c r="AX52" s="51" t="e">
        <f>BI13</f>
        <v>#N/A</v>
      </c>
      <c r="AY52" s="51">
        <v>1</v>
      </c>
      <c r="AZ52" s="51" t="e">
        <f>AW52*AX52*AY52</f>
        <v>#N/A</v>
      </c>
      <c r="BA52" s="24" t="e">
        <f>BI18-BI19/2</f>
        <v>#N/A</v>
      </c>
      <c r="BB52" t="e">
        <f>BA52*AZ52</f>
        <v>#N/A</v>
      </c>
      <c r="BD52" s="51" t="e">
        <f>AZ52*BA52^2</f>
        <v>#N/A</v>
      </c>
      <c r="BE52" s="46"/>
      <c r="BF52" s="65"/>
      <c r="BG52" s="65"/>
    </row>
    <row r="53" spans="2:68">
      <c r="C53" t="s">
        <v>389</v>
      </c>
      <c r="H53" s="95" t="e">
        <f>0.5*H51*H48*Z19</f>
        <v>#N/A</v>
      </c>
      <c r="I53" s="95"/>
      <c r="J53" s="95" t="e">
        <f>0.5*J51*J48*Z19</f>
        <v>#N/A</v>
      </c>
      <c r="K53" t="s">
        <v>390</v>
      </c>
      <c r="S53" s="153">
        <v>0</v>
      </c>
      <c r="T53" s="49" t="e">
        <f>T50*T43-T49*T48^2/2</f>
        <v>#N/A</v>
      </c>
      <c r="U53" s="49" t="e">
        <f>U51*U43-U49*U48^2/2</f>
        <v>#N/A</v>
      </c>
      <c r="V53" s="155">
        <v>0</v>
      </c>
      <c r="Z53" s="46" t="s">
        <v>391</v>
      </c>
      <c r="AA53" s="49">
        <v>0</v>
      </c>
      <c r="AB53" s="49" t="e">
        <f>AB50*AB43</f>
        <v>#N/A</v>
      </c>
      <c r="AC53" s="49" t="e">
        <f>AC50*AC43-AC49*AC48^2/2</f>
        <v>#N/A</v>
      </c>
      <c r="AD53" s="49" t="e">
        <f>AD50*AD43-AD49*AD48^2/2</f>
        <v>#N/A</v>
      </c>
      <c r="AE53" s="49" t="e">
        <f>AE50*AE43-AE49*AE48^2/2</f>
        <v>#N/A</v>
      </c>
      <c r="AF53" s="49" t="e">
        <f>AF50*AF43-AF49*AF48^2/2</f>
        <v>#N/A</v>
      </c>
      <c r="AG53" s="49" t="e">
        <f>AG50*AG43-AG49*AG48^2/2</f>
        <v>#N/A</v>
      </c>
      <c r="AH53" s="49" t="e">
        <f>AG53+(AL53-AG53)/5</f>
        <v>#N/A</v>
      </c>
      <c r="AI53" s="49" t="e">
        <f>AH53+(AL53-AG53)/5</f>
        <v>#N/A</v>
      </c>
      <c r="AJ53" s="49" t="e">
        <f>AI53+(AL53-AG53)/5</f>
        <v>#N/A</v>
      </c>
      <c r="AK53" s="49" t="e">
        <f>AJ53+(AL53-AG53)/5</f>
        <v>#N/A</v>
      </c>
      <c r="AL53" s="49" t="e">
        <f>AL51*AL44-AL49*AL48^2/2</f>
        <v>#N/A</v>
      </c>
      <c r="AM53" s="49" t="e">
        <f>AM51*AM44-AM49*AM48^2/2</f>
        <v>#N/A</v>
      </c>
      <c r="AN53" s="49" t="e">
        <f>AN51*AN44-AN49*AN48^2/2</f>
        <v>#N/A</v>
      </c>
      <c r="AO53" s="49" t="e">
        <f>AO51*AO44-AO49*AO48^2/2</f>
        <v>#N/A</v>
      </c>
      <c r="AP53" s="49" t="e">
        <f>AP51*AP44-AP49*AP48^2/2</f>
        <v>#N/A</v>
      </c>
      <c r="AQ53" s="49" t="e">
        <f>AQ51*AQ44</f>
        <v>#N/A</v>
      </c>
      <c r="AR53" s="49">
        <v>0</v>
      </c>
      <c r="AS53" t="str">
        <f t="shared" si="0"/>
        <v>M nabolast [kNm]</v>
      </c>
      <c r="AV53" s="29" t="s">
        <v>392</v>
      </c>
      <c r="AW53" s="24">
        <f>AW52</f>
        <v>32.119514472455656</v>
      </c>
      <c r="AX53" s="51" t="e">
        <f>AX51/150*(8/2)^2*PI()</f>
        <v>#N/A</v>
      </c>
      <c r="AY53">
        <v>1</v>
      </c>
      <c r="AZ53" s="158" t="e">
        <f>AW53*AX53*AY53</f>
        <v>#N/A</v>
      </c>
      <c r="BA53" s="24" t="e">
        <f>-BA52</f>
        <v>#N/A</v>
      </c>
      <c r="BB53" s="12" t="e">
        <f>BA53*AZ53</f>
        <v>#N/A</v>
      </c>
      <c r="BD53" s="158" t="e">
        <f>AZ53*BA53^2</f>
        <v>#N/A</v>
      </c>
      <c r="BE53" s="46"/>
      <c r="BF53" s="292"/>
      <c r="BH53" s="46" t="s">
        <v>202</v>
      </c>
      <c r="BI53" s="78">
        <v>0.5</v>
      </c>
      <c r="BJ53" s="78" t="e">
        <f>(0.5*BI16+1*BJ16)/(BI16+BJ16)</f>
        <v>#N/A</v>
      </c>
      <c r="BM53" s="46" t="s">
        <v>202</v>
      </c>
      <c r="BN53" s="78">
        <v>0.5</v>
      </c>
      <c r="BO53" s="78" t="e">
        <f>(0.5*BN16+1*BO16)/(BN16+BO16)</f>
        <v>#N/A</v>
      </c>
    </row>
    <row r="54" spans="2:68">
      <c r="C54" t="s">
        <v>393</v>
      </c>
      <c r="H54" s="95" t="e">
        <f>0.5*H52*H48*Z20</f>
        <v>#N/A</v>
      </c>
      <c r="I54" s="95"/>
      <c r="J54" s="95" t="e">
        <f>0.5*J52*J48*Z20</f>
        <v>#N/A</v>
      </c>
      <c r="K54" t="s">
        <v>390</v>
      </c>
      <c r="S54" s="153"/>
      <c r="V54" s="138"/>
      <c r="Z54" s="46" t="s">
        <v>394</v>
      </c>
      <c r="AA54" s="49" t="e">
        <f>AA50</f>
        <v>#N/A</v>
      </c>
      <c r="AB54" s="49" t="e">
        <f>AB50</f>
        <v>#N/A</v>
      </c>
      <c r="AC54" s="49" t="e">
        <f>AC50-AC49*AC48</f>
        <v>#N/A</v>
      </c>
      <c r="AD54" s="49" t="e">
        <f>AD50-AD49*AD48</f>
        <v>#N/A</v>
      </c>
      <c r="AE54" s="49" t="e">
        <f>AE50-AE49*AE48</f>
        <v>#N/A</v>
      </c>
      <c r="AF54" s="49" t="e">
        <f>AF50-AF49*AF48</f>
        <v>#N/A</v>
      </c>
      <c r="AG54" s="49" t="e">
        <f>AG50-AG49*AG48</f>
        <v>#N/A</v>
      </c>
      <c r="AH54" s="49" t="e">
        <f>AG54</f>
        <v>#N/A</v>
      </c>
      <c r="AI54" s="49" t="e">
        <f>AH54</f>
        <v>#N/A</v>
      </c>
      <c r="AJ54" s="49" t="e">
        <f>AI54</f>
        <v>#N/A</v>
      </c>
      <c r="AK54" s="49" t="e">
        <f>AJ54</f>
        <v>#N/A</v>
      </c>
      <c r="AL54" s="49" t="e">
        <f>AK54</f>
        <v>#N/A</v>
      </c>
      <c r="AM54" s="49" t="e">
        <f>-AM51+AM49*AM48</f>
        <v>#N/A</v>
      </c>
      <c r="AN54" s="49" t="e">
        <f>-AN51+AN49*AN48</f>
        <v>#N/A</v>
      </c>
      <c r="AO54" s="49" t="e">
        <f>-AO51+AO49*AO48</f>
        <v>#N/A</v>
      </c>
      <c r="AP54" s="49" t="e">
        <f>-AP51+AP49*AP48</f>
        <v>#N/A</v>
      </c>
      <c r="AQ54" s="49" t="e">
        <f>-AQ51</f>
        <v>#N/A</v>
      </c>
      <c r="AR54" s="49" t="e">
        <f>-AR51</f>
        <v>#N/A</v>
      </c>
      <c r="AS54" t="str">
        <f t="shared" si="0"/>
        <v>V nabolast [kNm]</v>
      </c>
      <c r="AV54" s="29"/>
      <c r="AY54" s="46" t="s">
        <v>395</v>
      </c>
      <c r="AZ54" t="e">
        <f>SUM(AZ51:AZ53)</f>
        <v>#N/A</v>
      </c>
      <c r="BA54" s="46" t="s">
        <v>396</v>
      </c>
      <c r="BB54" t="e">
        <f>SUM(BB51:BB53)</f>
        <v>#N/A</v>
      </c>
      <c r="BC54" s="46" t="s">
        <v>397</v>
      </c>
      <c r="BD54" t="e">
        <f>SUM(BD51:BD53)</f>
        <v>#N/A</v>
      </c>
      <c r="BH54" s="46" t="s">
        <v>398</v>
      </c>
      <c r="BI54" s="24" t="e">
        <f>BI49*10^12/(BI19/2-BB55)*$J$24*10^-6</f>
        <v>#N/A</v>
      </c>
      <c r="BJ54" s="24" t="e">
        <f>BJ49*10^12/(BJ19/2-BB65)*$J$24*10^-6</f>
        <v>#N/A</v>
      </c>
      <c r="BK54" t="s">
        <v>135</v>
      </c>
      <c r="BM54" s="46" t="s">
        <v>398</v>
      </c>
      <c r="BN54" s="77" t="e">
        <f>BN49*10^12/(BN19/2-BB75)*J24*10^-6</f>
        <v>#N/A</v>
      </c>
      <c r="BO54" s="24" t="e">
        <f>BO49*10^12/(BO19/2-BB85)*$J$24*10^-6</f>
        <v>#N/A</v>
      </c>
      <c r="BP54" t="s">
        <v>135</v>
      </c>
    </row>
    <row r="55" spans="2:68" ht="15.75">
      <c r="B55" t="s">
        <v>399</v>
      </c>
      <c r="H55" s="102" t="s">
        <v>71</v>
      </c>
      <c r="I55" s="27"/>
      <c r="J55" s="102" t="s">
        <v>72</v>
      </c>
      <c r="N55" t="s">
        <v>71</v>
      </c>
      <c r="O55" t="s">
        <v>72</v>
      </c>
      <c r="S55" s="150"/>
      <c r="V55" s="138"/>
      <c r="W55" s="406" t="e">
        <f>H59*AA100</f>
        <v>#N/A</v>
      </c>
      <c r="Z55" s="46" t="s">
        <v>400</v>
      </c>
      <c r="AA55" s="405" t="s">
        <v>401</v>
      </c>
      <c r="AB55" s="49" t="e">
        <f>IF(AND(AN14&gt;AA43,AN14&lt;=AB43),+W55,0)</f>
        <v>#N/A</v>
      </c>
      <c r="AC55" s="49" t="e">
        <f>IF(AND(AN14&gt;AB43,AN14&lt;=AC43),+W55,0)</f>
        <v>#N/A</v>
      </c>
      <c r="AD55" s="49" t="e">
        <f>IF(AND(AN14&gt;AC43,AN14&lt;=AD43),+W55,0)</f>
        <v>#N/A</v>
      </c>
      <c r="AE55" s="49" t="e">
        <f>IF(AND(AN14&gt;AD43,AN14&lt;=AE43),+W55,0)</f>
        <v>#N/A</v>
      </c>
      <c r="AF55" s="49" t="e">
        <f>IF(AND(AN14&gt;AE43,AN14&lt;=AF43),+W55,0)</f>
        <v>#N/A</v>
      </c>
      <c r="AG55" s="49" t="e">
        <f>IF(AND(AN14&gt;AF43,AN14&lt;=AG43),+W55,0)</f>
        <v>#N/A</v>
      </c>
      <c r="AH55" s="49">
        <v>0</v>
      </c>
      <c r="AI55" s="49">
        <v>0</v>
      </c>
      <c r="AJ55" s="49">
        <v>0</v>
      </c>
      <c r="AK55" s="49">
        <v>0</v>
      </c>
      <c r="AL55" s="49" t="e">
        <f>IF(AND(AP19&gt;AM44,AP19&lt;=AL44),+AT55,0)</f>
        <v>#N/A</v>
      </c>
      <c r="AM55" s="49" t="e">
        <f>IF(AND(AP19&gt;AN44,AP19&lt;=AM44),+AT55,0)</f>
        <v>#N/A</v>
      </c>
      <c r="AN55" s="49" t="e">
        <f>IF(AND(AP19&gt;AO44,AP19&lt;=AN44),+AT55,0)</f>
        <v>#N/A</v>
      </c>
      <c r="AO55" s="49" t="e">
        <f>IF(AND(AP19&gt;AP44,AP19&lt;=AO44),+AT55,0)</f>
        <v>#N/A</v>
      </c>
      <c r="AP55" s="49" t="e">
        <f>IF(AND(AP19&gt;AQ44,AP19&lt;=AP44),+AT55,0)</f>
        <v>#N/A</v>
      </c>
      <c r="AQ55" s="49" t="e">
        <f>IF(AND(AP19&gt;AR44,AP19&lt;=AQ44),+AT55,0)</f>
        <v>#N/A</v>
      </c>
      <c r="AR55" s="151" t="s">
        <v>402</v>
      </c>
      <c r="AS55" t="str">
        <f t="shared" si="0"/>
        <v>last [kN] regn.m., nabokantlast</v>
      </c>
      <c r="AT55" s="406" t="e">
        <f>J59*AA125</f>
        <v>#N/A</v>
      </c>
      <c r="AV55" s="29"/>
      <c r="AX55" s="159" t="s">
        <v>403</v>
      </c>
      <c r="BA55" s="46" t="s">
        <v>404</v>
      </c>
      <c r="BB55" s="24" t="e">
        <f>BB54/AZ54</f>
        <v>#N/A</v>
      </c>
      <c r="BC55" s="46" t="s">
        <v>405</v>
      </c>
      <c r="BD55" s="12" t="e">
        <f>-AZ54*BB55^2</f>
        <v>#N/A</v>
      </c>
      <c r="BH55" s="46" t="s">
        <v>406</v>
      </c>
      <c r="BI55" s="49" t="e">
        <f>IF(BI54&gt;BI16,0,1-BI53*(BI54/BI16)^2)</f>
        <v>#N/A</v>
      </c>
      <c r="BJ55" s="49" t="e">
        <f>IF(BI54&gt;(BI16+BJ16),0,1-BJ53*(BI54/(BI16+BJ16))^2)</f>
        <v>#N/A</v>
      </c>
      <c r="BM55" s="46" t="s">
        <v>406</v>
      </c>
      <c r="BN55" s="49" t="e">
        <f>IF(BN54&gt;BN16,0,1-BN53*(BN54/BN16)^2)</f>
        <v>#N/A</v>
      </c>
      <c r="BO55" s="49" t="e">
        <f>IF(BN54&gt;(BN16+BO16),0,1-BO53*(BN54/(BN16+BO16))^2)</f>
        <v>#N/A</v>
      </c>
    </row>
    <row r="56" spans="2:68" ht="15.75">
      <c r="C56" t="s">
        <v>1174</v>
      </c>
      <c r="H56" s="113" t="e">
        <f>IF(H59=0,0.9,NA())</f>
        <v>#N/A</v>
      </c>
      <c r="I56" s="27"/>
      <c r="J56" s="113" t="e">
        <f>IF(J59=0,0.9,NA())</f>
        <v>#N/A</v>
      </c>
      <c r="K56" t="s">
        <v>84</v>
      </c>
      <c r="L56" s="409" t="e">
        <f>IF(OR(H56&gt;=H49,J56&gt;=J49),"Fejl"," ")</f>
        <v>#N/A</v>
      </c>
      <c r="N56" s="116">
        <f>H57*AA19</f>
        <v>0</v>
      </c>
      <c r="O56" s="116">
        <f>J57*AA19</f>
        <v>0</v>
      </c>
      <c r="P56" t="s">
        <v>161</v>
      </c>
      <c r="S56" s="153"/>
      <c r="V56" s="138"/>
      <c r="Z56" s="46" t="s">
        <v>407</v>
      </c>
      <c r="AA56" s="49">
        <v>0</v>
      </c>
      <c r="AB56" s="49" t="e">
        <f>AA57*AB43-AB62</f>
        <v>#N/A</v>
      </c>
      <c r="AC56" s="49" t="e">
        <f>AA57*AC43-AB55*(AC43-AB43)-AC62</f>
        <v>#N/A</v>
      </c>
      <c r="AD56" s="49" t="e">
        <f>AA57*AD43-AB55*(AD43-AB43)-AC55*(AD43-AC43)-AD62</f>
        <v>#N/A</v>
      </c>
      <c r="AE56" s="49" t="e">
        <f>AA57*AE43-AB55*(AE43-AB43)-AC55*(AE43-AC43)-AD55*(AE43-AD43)-AE62</f>
        <v>#N/A</v>
      </c>
      <c r="AF56" s="49" t="e">
        <f>AA57*AF43-AB55*(AF43-AB43)-AC55*(AF43-AC43)-AD55*(AF43-AD43)-AE55*(AF43-AE43)-AF62</f>
        <v>#N/A</v>
      </c>
      <c r="AG56" s="49" t="e">
        <f>AA57*AG43-AB55*(AG43-AB43)-AC55*(AG43-AC43)-AD55*(AG43-AD43)-AE55*(AG43-AE43)-AF55*(AG43-AF43)-AG62</f>
        <v>#N/A</v>
      </c>
      <c r="AH56" s="49" t="e">
        <f>AG56+(AL56-AG56)/5</f>
        <v>#N/A</v>
      </c>
      <c r="AI56" s="49" t="e">
        <f>AH56+(AL56-AG56)/5</f>
        <v>#N/A</v>
      </c>
      <c r="AJ56" s="49" t="e">
        <f>AI56+(AL56-AG56)/5</f>
        <v>#N/A</v>
      </c>
      <c r="AK56" s="49" t="e">
        <f>AJ56+(AL56-AG56)/5</f>
        <v>#N/A</v>
      </c>
      <c r="AL56" s="49" t="e">
        <f>-AR57*AL44-AQ55*(AL44-AQ44)-AP55*(AL44-AP44)-AO55*(AL44-AO44)-AN55*(AL44-AN44)-AM55*(AL44-AM44)-AL62</f>
        <v>#N/A</v>
      </c>
      <c r="AM56" s="49" t="e">
        <f>-AR57*AM44-AQ55*(AM44-AQ44)-AP55*(AM44-AP44)-AO55*(AM44-AO44)-AN55*(AM44-AN44)-AM62</f>
        <v>#N/A</v>
      </c>
      <c r="AN56" s="49" t="e">
        <f>-AR57*AN44-AQ55*(AN44-AQ44)-AP55*(AN44-AP44)-AO55*(AN44-AO44)-AN62</f>
        <v>#N/A</v>
      </c>
      <c r="AO56" s="49" t="e">
        <f>-AR57*AO44-AQ55*(AO44-AQ44)-AP55*(AO44-AP44)-AO62</f>
        <v>#N/A</v>
      </c>
      <c r="AP56" s="49" t="e">
        <f>-AR57*AP44-AQ55*(AP44-AQ43)-AP62</f>
        <v>#N/A</v>
      </c>
      <c r="AQ56" s="49" t="e">
        <f>-AR57*AQ44-AQ62</f>
        <v>#N/A</v>
      </c>
      <c r="AR56" s="49">
        <v>0</v>
      </c>
      <c r="AS56" t="str">
        <f t="shared" si="0"/>
        <v>M nabokantlast [kNm]</v>
      </c>
      <c r="BC56" s="46" t="s">
        <v>408</v>
      </c>
      <c r="BD56" t="e">
        <f>BD55+BD54</f>
        <v>#N/A</v>
      </c>
      <c r="BE56" t="e">
        <f>BD56*10^-12</f>
        <v>#N/A</v>
      </c>
      <c r="BH56" s="46" t="s">
        <v>409</v>
      </c>
      <c r="BI56" s="24" t="e">
        <f>BI55*BI47+(1-BI55)*BI50</f>
        <v>#N/A</v>
      </c>
      <c r="BJ56" s="24" t="e">
        <f>BJ55*BJ47+(1-BJ55)*BJ50</f>
        <v>#N/A</v>
      </c>
      <c r="BK56" t="s">
        <v>78</v>
      </c>
      <c r="BM56" s="46" t="s">
        <v>409</v>
      </c>
      <c r="BN56" s="24" t="e">
        <f>BN55*BN47+(1-BN55)*BN50</f>
        <v>#N/A</v>
      </c>
      <c r="BO56" s="24" t="e">
        <f>BO55*BO47+(1-BO55)*BO50</f>
        <v>#N/A</v>
      </c>
      <c r="BP56" t="s">
        <v>78</v>
      </c>
    </row>
    <row r="57" spans="2:68">
      <c r="C57" s="49" t="s">
        <v>383</v>
      </c>
      <c r="H57" s="113">
        <v>0</v>
      </c>
      <c r="I57" s="27"/>
      <c r="J57" s="113">
        <v>0</v>
      </c>
      <c r="K57" t="s">
        <v>410</v>
      </c>
      <c r="N57" s="116" t="e">
        <f>H57*Z19</f>
        <v>#N/A</v>
      </c>
      <c r="O57" s="116" t="e">
        <f>J57*Z19</f>
        <v>#N/A</v>
      </c>
      <c r="P57" t="s">
        <v>411</v>
      </c>
      <c r="S57" s="153"/>
      <c r="V57" s="138"/>
      <c r="Z57" s="46" t="s">
        <v>412</v>
      </c>
      <c r="AA57" s="49" t="e">
        <f>IF(AND(W55=0,AT55=0),0,+W55*AN17+AT55*AN22)</f>
        <v>#N/A</v>
      </c>
      <c r="AB57" s="49" t="e">
        <f t="shared" ref="AB57:AK57" si="8">AA57-AB55</f>
        <v>#N/A</v>
      </c>
      <c r="AC57" s="49" t="e">
        <f t="shared" si="8"/>
        <v>#N/A</v>
      </c>
      <c r="AD57" s="49" t="e">
        <f t="shared" si="8"/>
        <v>#N/A</v>
      </c>
      <c r="AE57" s="49" t="e">
        <f t="shared" si="8"/>
        <v>#N/A</v>
      </c>
      <c r="AF57" s="49" t="e">
        <f t="shared" si="8"/>
        <v>#N/A</v>
      </c>
      <c r="AG57" s="49" t="e">
        <f t="shared" si="8"/>
        <v>#N/A</v>
      </c>
      <c r="AH57" s="49" t="e">
        <f t="shared" si="8"/>
        <v>#N/A</v>
      </c>
      <c r="AI57" s="49" t="e">
        <f t="shared" si="8"/>
        <v>#N/A</v>
      </c>
      <c r="AJ57" s="49" t="e">
        <f t="shared" si="8"/>
        <v>#N/A</v>
      </c>
      <c r="AK57" s="49" t="e">
        <f t="shared" si="8"/>
        <v>#N/A</v>
      </c>
      <c r="AL57" s="49" t="e">
        <f t="shared" ref="AL57:AP57" si="9">AM57+AL55</f>
        <v>#N/A</v>
      </c>
      <c r="AM57" s="49" t="e">
        <f t="shared" si="9"/>
        <v>#N/A</v>
      </c>
      <c r="AN57" s="49" t="e">
        <f t="shared" si="9"/>
        <v>#N/A</v>
      </c>
      <c r="AO57" s="49" t="e">
        <f t="shared" si="9"/>
        <v>#N/A</v>
      </c>
      <c r="AP57" s="49" t="e">
        <f t="shared" si="9"/>
        <v>#N/A</v>
      </c>
      <c r="AQ57" s="49" t="e">
        <f>AR57+AQ55</f>
        <v>#N/A</v>
      </c>
      <c r="AR57" s="49" t="e">
        <f>IF(AND(W55=0,AT55=0),0,-W55*AP17-AT55*AP22)</f>
        <v>#N/A</v>
      </c>
      <c r="AS57" t="str">
        <f t="shared" si="0"/>
        <v>V nabokantlast [kNm]</v>
      </c>
      <c r="AV57" t="s">
        <v>356</v>
      </c>
      <c r="BH57" s="46" t="s">
        <v>413</v>
      </c>
      <c r="BI57" s="24" t="e">
        <f>BI53*BI47+(1-BI53)*BI50</f>
        <v>#N/A</v>
      </c>
      <c r="BJ57" s="24" t="e">
        <f>BJ53*BJ47+(1-BJ53)*BJ50</f>
        <v>#N/A</v>
      </c>
      <c r="BK57" t="s">
        <v>78</v>
      </c>
      <c r="BM57" s="46" t="s">
        <v>413</v>
      </c>
      <c r="BN57" s="24" t="e">
        <f>BN53*BN47+(1-BN53)*BN50</f>
        <v>#N/A</v>
      </c>
      <c r="BO57" s="24" t="e">
        <f>BO53*BO47+(1-BO53)*BO50</f>
        <v>#N/A</v>
      </c>
      <c r="BP57" t="s">
        <v>78</v>
      </c>
    </row>
    <row r="58" spans="2:68" ht="15.75" thickBot="1">
      <c r="C58" t="s">
        <v>346</v>
      </c>
      <c r="H58" s="113">
        <v>0</v>
      </c>
      <c r="I58" s="27"/>
      <c r="J58" s="113">
        <v>0</v>
      </c>
      <c r="K58" t="s">
        <v>410</v>
      </c>
      <c r="N58" s="116"/>
      <c r="O58" s="116"/>
      <c r="S58" s="160">
        <f>AA59</f>
        <v>0</v>
      </c>
      <c r="T58" s="161" t="e">
        <f>T46+T53</f>
        <v>#N/A</v>
      </c>
      <c r="U58" s="161" t="e">
        <f>U46+U53</f>
        <v>#N/A</v>
      </c>
      <c r="V58" s="162">
        <v>0</v>
      </c>
      <c r="Z58" s="46" t="str">
        <f>Z52</f>
        <v>snit,x=</v>
      </c>
      <c r="AA58" s="67">
        <f>AA52</f>
        <v>0</v>
      </c>
      <c r="AB58" s="67" t="e">
        <f t="shared" ref="AB58:AS58" si="10">AB52</f>
        <v>#N/A</v>
      </c>
      <c r="AC58" s="67" t="e">
        <f t="shared" si="10"/>
        <v>#N/A</v>
      </c>
      <c r="AD58" s="67" t="e">
        <f t="shared" si="10"/>
        <v>#N/A</v>
      </c>
      <c r="AE58" s="67" t="e">
        <f t="shared" si="10"/>
        <v>#N/A</v>
      </c>
      <c r="AF58" s="67" t="e">
        <f t="shared" si="10"/>
        <v>#N/A</v>
      </c>
      <c r="AG58" s="67" t="e">
        <f t="shared" si="10"/>
        <v>#N/A</v>
      </c>
      <c r="AH58" s="67" t="e">
        <f t="shared" si="10"/>
        <v>#N/A</v>
      </c>
      <c r="AI58" s="67" t="e">
        <f t="shared" si="10"/>
        <v>#N/A</v>
      </c>
      <c r="AJ58" s="67" t="e">
        <f t="shared" si="10"/>
        <v>#N/A</v>
      </c>
      <c r="AK58" s="67" t="e">
        <f t="shared" si="10"/>
        <v>#N/A</v>
      </c>
      <c r="AL58" s="67" t="e">
        <f t="shared" si="10"/>
        <v>#N/A</v>
      </c>
      <c r="AM58" s="67" t="e">
        <f t="shared" si="10"/>
        <v>#N/A</v>
      </c>
      <c r="AN58" s="67" t="e">
        <f t="shared" si="10"/>
        <v>#N/A</v>
      </c>
      <c r="AO58" s="67" t="e">
        <f t="shared" si="10"/>
        <v>#N/A</v>
      </c>
      <c r="AP58" s="67" t="e">
        <f t="shared" si="10"/>
        <v>#N/A</v>
      </c>
      <c r="AQ58" s="67" t="e">
        <f t="shared" si="10"/>
        <v>#N/A</v>
      </c>
      <c r="AR58" s="67" t="e">
        <f t="shared" si="10"/>
        <v>#N/A</v>
      </c>
      <c r="AS58" s="67" t="str">
        <f t="shared" si="10"/>
        <v>snit,x=</v>
      </c>
      <c r="AV58" t="str">
        <f>AV48</f>
        <v>inclusive last fra trappeløb_forkantpladestrimmel (f)</v>
      </c>
      <c r="AZ58" t="s">
        <v>415</v>
      </c>
    </row>
    <row r="59" spans="2:68">
      <c r="C59" t="s">
        <v>416</v>
      </c>
      <c r="H59" s="49" t="e">
        <f>H57*Z19+H58*Z20</f>
        <v>#N/A</v>
      </c>
      <c r="J59" s="49" t="e">
        <f>J57*Z19+J58*Z20</f>
        <v>#N/A</v>
      </c>
      <c r="K59" t="s">
        <v>417</v>
      </c>
      <c r="N59" s="116" t="e">
        <f>H57*AA19+H58*Z20</f>
        <v>#N/A</v>
      </c>
      <c r="O59" s="116" t="e">
        <f>J57*AA19+J58*Z20</f>
        <v>#N/A</v>
      </c>
      <c r="P59" t="s">
        <v>418</v>
      </c>
      <c r="Z59" s="46" t="s">
        <v>414</v>
      </c>
      <c r="AA59" s="49">
        <f t="shared" ref="AA59:AR59" si="11">AA46+AA53+AA56</f>
        <v>0</v>
      </c>
      <c r="AB59" s="49" t="e">
        <f t="shared" si="11"/>
        <v>#N/A</v>
      </c>
      <c r="AC59" s="49" t="e">
        <f t="shared" si="11"/>
        <v>#N/A</v>
      </c>
      <c r="AD59" s="49" t="e">
        <f t="shared" si="11"/>
        <v>#N/A</v>
      </c>
      <c r="AE59" s="49" t="e">
        <f t="shared" si="11"/>
        <v>#N/A</v>
      </c>
      <c r="AF59" s="49" t="e">
        <f t="shared" si="11"/>
        <v>#N/A</v>
      </c>
      <c r="AG59" s="49" t="e">
        <f t="shared" si="11"/>
        <v>#N/A</v>
      </c>
      <c r="AH59" s="49" t="e">
        <f t="shared" si="11"/>
        <v>#N/A</v>
      </c>
      <c r="AI59" s="49" t="e">
        <f t="shared" si="11"/>
        <v>#N/A</v>
      </c>
      <c r="AJ59" s="49" t="e">
        <f t="shared" si="11"/>
        <v>#N/A</v>
      </c>
      <c r="AK59" s="49" t="e">
        <f t="shared" si="11"/>
        <v>#N/A</v>
      </c>
      <c r="AL59" s="49" t="e">
        <f t="shared" si="11"/>
        <v>#N/A</v>
      </c>
      <c r="AM59" s="49" t="e">
        <f t="shared" si="11"/>
        <v>#N/A</v>
      </c>
      <c r="AN59" s="49" t="e">
        <f t="shared" si="11"/>
        <v>#N/A</v>
      </c>
      <c r="AO59" s="49" t="e">
        <f t="shared" si="11"/>
        <v>#N/A</v>
      </c>
      <c r="AP59" s="49" t="e">
        <f t="shared" si="11"/>
        <v>#N/A</v>
      </c>
      <c r="AQ59" s="49" t="e">
        <f t="shared" si="11"/>
        <v>#N/A</v>
      </c>
      <c r="AR59" s="49">
        <f t="shared" si="11"/>
        <v>0</v>
      </c>
      <c r="AS59" t="str">
        <f>Z59</f>
        <v>M ialt [kNm]</v>
      </c>
      <c r="AV59" s="29" t="s">
        <v>366</v>
      </c>
      <c r="AW59" s="46" t="s">
        <v>367</v>
      </c>
      <c r="AX59" s="46" t="s">
        <v>368</v>
      </c>
      <c r="AY59" s="46" t="s">
        <v>369</v>
      </c>
      <c r="AZ59" s="46" t="s">
        <v>370</v>
      </c>
      <c r="BA59" s="46" t="s">
        <v>371</v>
      </c>
      <c r="BB59" s="46" t="s">
        <v>372</v>
      </c>
      <c r="BC59" s="46" t="s">
        <v>373</v>
      </c>
      <c r="BD59" s="46" t="s">
        <v>374</v>
      </c>
      <c r="BE59" s="46"/>
    </row>
    <row r="60" spans="2:68">
      <c r="Z60" s="46" t="s">
        <v>419</v>
      </c>
      <c r="AA60" s="49" t="e">
        <f t="shared" ref="AA60:AR60" si="12">AA47+AA54+AA57</f>
        <v>#N/A</v>
      </c>
      <c r="AB60" s="49" t="e">
        <f t="shared" si="12"/>
        <v>#N/A</v>
      </c>
      <c r="AC60" s="49" t="e">
        <f t="shared" si="12"/>
        <v>#N/A</v>
      </c>
      <c r="AD60" s="49" t="e">
        <f t="shared" si="12"/>
        <v>#N/A</v>
      </c>
      <c r="AE60" s="49" t="e">
        <f t="shared" si="12"/>
        <v>#N/A</v>
      </c>
      <c r="AF60" s="49" t="e">
        <f t="shared" si="12"/>
        <v>#N/A</v>
      </c>
      <c r="AG60" s="49" t="e">
        <f t="shared" si="12"/>
        <v>#N/A</v>
      </c>
      <c r="AH60" s="49" t="e">
        <f t="shared" si="12"/>
        <v>#N/A</v>
      </c>
      <c r="AI60" s="49" t="e">
        <f t="shared" si="12"/>
        <v>#N/A</v>
      </c>
      <c r="AJ60" s="49" t="e">
        <f t="shared" si="12"/>
        <v>#N/A</v>
      </c>
      <c r="AK60" s="49" t="e">
        <f t="shared" si="12"/>
        <v>#N/A</v>
      </c>
      <c r="AL60" s="49" t="e">
        <f t="shared" si="12"/>
        <v>#N/A</v>
      </c>
      <c r="AM60" s="49" t="e">
        <f t="shared" si="12"/>
        <v>#N/A</v>
      </c>
      <c r="AN60" s="49" t="e">
        <f t="shared" si="12"/>
        <v>#N/A</v>
      </c>
      <c r="AO60" s="49" t="e">
        <f t="shared" si="12"/>
        <v>#N/A</v>
      </c>
      <c r="AP60" s="49" t="e">
        <f t="shared" si="12"/>
        <v>#N/A</v>
      </c>
      <c r="AQ60" s="49" t="e">
        <f t="shared" si="12"/>
        <v>#N/A</v>
      </c>
      <c r="AR60" s="49" t="e">
        <f t="shared" si="12"/>
        <v>#N/A</v>
      </c>
      <c r="AS60" t="str">
        <f>Z60</f>
        <v>V ialt [kN]</v>
      </c>
      <c r="AV60" s="21"/>
      <c r="AW60" s="156" t="s">
        <v>379</v>
      </c>
      <c r="AX60" s="157" t="s">
        <v>78</v>
      </c>
      <c r="AY60" s="157" t="s">
        <v>78</v>
      </c>
      <c r="AZ60" s="157" t="s">
        <v>105</v>
      </c>
      <c r="BA60" s="157" t="s">
        <v>78</v>
      </c>
      <c r="BB60" s="157" t="s">
        <v>380</v>
      </c>
      <c r="BC60" s="157" t="s">
        <v>379</v>
      </c>
      <c r="BD60" s="157" t="s">
        <v>381</v>
      </c>
      <c r="BE60" s="163"/>
    </row>
    <row r="61" spans="2:68">
      <c r="Z61" s="46" t="s">
        <v>420</v>
      </c>
      <c r="AA61" s="49" t="e">
        <f t="shared" ref="AA61:AR61" si="13">SQRT(AA60^2)</f>
        <v>#N/A</v>
      </c>
      <c r="AB61" s="49" t="e">
        <f t="shared" si="13"/>
        <v>#N/A</v>
      </c>
      <c r="AC61" s="49" t="e">
        <f t="shared" si="13"/>
        <v>#N/A</v>
      </c>
      <c r="AD61" s="49" t="e">
        <f t="shared" si="13"/>
        <v>#N/A</v>
      </c>
      <c r="AE61" s="49" t="e">
        <f t="shared" si="13"/>
        <v>#N/A</v>
      </c>
      <c r="AF61" s="49" t="e">
        <f t="shared" si="13"/>
        <v>#N/A</v>
      </c>
      <c r="AG61" s="49" t="e">
        <f t="shared" si="13"/>
        <v>#N/A</v>
      </c>
      <c r="AH61" s="49" t="e">
        <f t="shared" si="13"/>
        <v>#N/A</v>
      </c>
      <c r="AI61" s="49" t="e">
        <f t="shared" si="13"/>
        <v>#N/A</v>
      </c>
      <c r="AJ61" s="49" t="e">
        <f t="shared" si="13"/>
        <v>#N/A</v>
      </c>
      <c r="AK61" s="49" t="e">
        <f t="shared" si="13"/>
        <v>#N/A</v>
      </c>
      <c r="AL61" s="49" t="e">
        <f t="shared" si="13"/>
        <v>#N/A</v>
      </c>
      <c r="AM61" s="49" t="e">
        <f t="shared" si="13"/>
        <v>#N/A</v>
      </c>
      <c r="AN61" s="49" t="e">
        <f t="shared" si="13"/>
        <v>#N/A</v>
      </c>
      <c r="AO61" s="49" t="e">
        <f t="shared" si="13"/>
        <v>#N/A</v>
      </c>
      <c r="AP61" s="49" t="e">
        <f t="shared" si="13"/>
        <v>#N/A</v>
      </c>
      <c r="AQ61" s="49" t="e">
        <f t="shared" si="13"/>
        <v>#N/A</v>
      </c>
      <c r="AR61" s="49" t="e">
        <f t="shared" si="13"/>
        <v>#N/A</v>
      </c>
      <c r="AS61" t="str">
        <f>Z61</f>
        <v>|V| ialt [kN]</v>
      </c>
      <c r="AV61" s="29" t="s">
        <v>386</v>
      </c>
      <c r="AW61">
        <v>1</v>
      </c>
      <c r="AX61" t="e">
        <f t="shared" ref="AX61:AY63" si="14">AX51</f>
        <v>#N/A</v>
      </c>
      <c r="AY61" t="e">
        <f t="shared" si="14"/>
        <v>#N/A</v>
      </c>
      <c r="AZ61" s="51" t="e">
        <f>AW61*AX61*AY61</f>
        <v>#N/A</v>
      </c>
      <c r="BA61">
        <f>BA51</f>
        <v>0</v>
      </c>
      <c r="BB61" t="e">
        <f>BA61*AZ61</f>
        <v>#N/A</v>
      </c>
      <c r="BC61">
        <f>BC51</f>
        <v>8.3333333333333329E-2</v>
      </c>
      <c r="BD61" s="51" t="e">
        <f>BC61*AX61*AY61^3</f>
        <v>#N/A</v>
      </c>
      <c r="BE61" s="46"/>
    </row>
    <row r="62" spans="2:68">
      <c r="B62" t="s">
        <v>421</v>
      </c>
      <c r="H62" s="46" t="s">
        <v>422</v>
      </c>
      <c r="I62" s="46"/>
      <c r="L62" t="s">
        <v>423</v>
      </c>
      <c r="AB62" s="410" t="e">
        <f>IF(AB55&gt;0,AB55*(AB43-AN14),IF(AA62&gt;0,AA62,0))</f>
        <v>#N/A</v>
      </c>
      <c r="AC62" s="410" t="e">
        <f>IF(AC55&gt;0,AC55*(AC43-AN14),IF(AB62&gt;0,AB62,0))</f>
        <v>#N/A</v>
      </c>
      <c r="AD62" s="410" t="e">
        <f>IF(AD55&gt;0,AD55*(AD43-AN14),IF(AC62&gt;0,AC62,0))</f>
        <v>#N/A</v>
      </c>
      <c r="AE62" s="410" t="e">
        <f>IF(AE55&gt;0,AE55*(AE43-AN14),IF(AD62&gt;0,AD62,0))</f>
        <v>#N/A</v>
      </c>
      <c r="AF62" s="410" t="e">
        <f>IF(AF55&gt;0,AF55*(AF43-AN14),IF(AE62&gt;0,AE62,0))</f>
        <v>#N/A</v>
      </c>
      <c r="AG62" s="410" t="e">
        <f>IF(AG55&gt;0,AG55*(AG43-AN14),IF(AF62&gt;0,AF62,0))</f>
        <v>#N/A</v>
      </c>
      <c r="AL62" s="410" t="e">
        <f>IF(AL55&gt;0,AL55*(AL44-AP19),IF(AM62&gt;0,AM62,0))</f>
        <v>#N/A</v>
      </c>
      <c r="AM62" s="410" t="e">
        <f>IF(AM55&gt;0,AM55*(AM44-$P19),IF(AN62&gt;0,AN62,0))</f>
        <v>#N/A</v>
      </c>
      <c r="AN62" s="410" t="e">
        <f>IF(AN55&gt;0,AN55*(AN44-AP19),IF(AO62&gt;0,AO62,0))</f>
        <v>#N/A</v>
      </c>
      <c r="AO62" s="410" t="e">
        <f>IF(AO55&gt;0,AO55*(AO44-AP19),IF(AP62&gt;0,AP62,0))</f>
        <v>#N/A</v>
      </c>
      <c r="AP62" s="410" t="e">
        <f>IF(AP55&gt;0,AP55*(AP44-AP19),IF(AQ62&gt;0,AQ62,0))</f>
        <v>#N/A</v>
      </c>
      <c r="AQ62" s="410" t="e">
        <f t="shared" ref="AQ62" si="15">IF(AQ55&gt;0,AQ55*(AQ44-$AP19),IF(AR62&gt;0,AR62,0))</f>
        <v>#N/A</v>
      </c>
      <c r="AV62" s="29" t="s">
        <v>388</v>
      </c>
      <c r="AW62" s="24">
        <f>BJ10</f>
        <v>8.0298786181139139</v>
      </c>
      <c r="AX62" s="51" t="e">
        <f t="shared" si="14"/>
        <v>#N/A</v>
      </c>
      <c r="AY62" s="51">
        <f t="shared" si="14"/>
        <v>1</v>
      </c>
      <c r="AZ62" s="51" t="e">
        <f>AW62*AX62*AY62</f>
        <v>#N/A</v>
      </c>
      <c r="BA62" s="24" t="e">
        <f>BA52</f>
        <v>#N/A</v>
      </c>
      <c r="BB62" t="e">
        <f>BA62*AZ62</f>
        <v>#N/A</v>
      </c>
      <c r="BC62" s="51"/>
      <c r="BD62" s="51" t="e">
        <f>AZ62*BA62^2</f>
        <v>#N/A</v>
      </c>
      <c r="BE62" s="46"/>
      <c r="BH62" s="46"/>
      <c r="BI62" s="24"/>
      <c r="BJ62" s="24"/>
      <c r="BM62" s="46"/>
      <c r="BN62" s="24"/>
      <c r="BO62" s="24"/>
    </row>
    <row r="63" spans="2:68" ht="15.75">
      <c r="C63" t="s">
        <v>425</v>
      </c>
      <c r="H63" s="24" t="e">
        <f>(1-0.5*N28)*N28*O27*J15^2*J23*10^-6/(J19*10^-3)</f>
        <v>#N/A</v>
      </c>
      <c r="J63" t="s">
        <v>133</v>
      </c>
      <c r="K63" t="e">
        <f>IF(H63&gt;L63,"&gt;","&lt;")</f>
        <v>#N/A</v>
      </c>
      <c r="L63" s="24" t="e">
        <f>L46*AI15</f>
        <v>#N/A</v>
      </c>
      <c r="M63" t="e">
        <f>IF(H63&gt;L63,"accept","forkast")</f>
        <v>#N/A</v>
      </c>
      <c r="N63" s="165" t="e">
        <f>IF(M63="forkast","NB!"," ")</f>
        <v>#N/A</v>
      </c>
      <c r="AA63" s="166"/>
      <c r="AG63" s="19" t="s">
        <v>333</v>
      </c>
      <c r="AH63" s="164" t="str">
        <f>AB49</f>
        <v>(2v)</v>
      </c>
      <c r="AI63" s="164" t="str">
        <f>AK49</f>
        <v>(2h)</v>
      </c>
      <c r="AJ63" t="s">
        <v>424</v>
      </c>
      <c r="AV63" s="29" t="s">
        <v>392</v>
      </c>
      <c r="AW63" s="24">
        <f>AW62</f>
        <v>8.0298786181139139</v>
      </c>
      <c r="AX63" s="51" t="e">
        <f t="shared" si="14"/>
        <v>#N/A</v>
      </c>
      <c r="AY63" s="51">
        <f t="shared" si="14"/>
        <v>1</v>
      </c>
      <c r="AZ63" s="158" t="e">
        <f>AW63*AX63*AY63</f>
        <v>#N/A</v>
      </c>
      <c r="BA63" s="24" t="e">
        <f>BA53</f>
        <v>#N/A</v>
      </c>
      <c r="BB63" s="12" t="e">
        <f>BA63*AZ63</f>
        <v>#N/A</v>
      </c>
      <c r="BC63" s="51"/>
      <c r="BD63" s="158" t="e">
        <f>AZ63*BA63^2</f>
        <v>#N/A</v>
      </c>
    </row>
    <row r="64" spans="2:68" ht="15.75">
      <c r="C64" t="s">
        <v>426</v>
      </c>
      <c r="H64" s="24" t="e">
        <f>(1-0.5*N32)*N32*F33*J15^2*J23*10^-6</f>
        <v>#N/A</v>
      </c>
      <c r="J64" t="s">
        <v>135</v>
      </c>
      <c r="K64" t="e">
        <f>IF(H64&gt;L64,"&gt;","&lt;")</f>
        <v>#N/A</v>
      </c>
      <c r="L64" s="24" t="e">
        <f>MAXA(AA59:AR59)</f>
        <v>#N/A</v>
      </c>
      <c r="M64" t="e">
        <f>IF(H64&gt;L64,"accept","forkast")</f>
        <v>#N/A</v>
      </c>
      <c r="N64" s="165" t="e">
        <f>IF(M64="forkast","NB!"," ")</f>
        <v>#N/A</v>
      </c>
      <c r="O64" s="165" t="e">
        <f>IF(AC37="forkast","NB! snit bagved dorn"," ")</f>
        <v>#N/A</v>
      </c>
      <c r="AH64" s="167" t="str">
        <f>AA45</f>
        <v>(1)</v>
      </c>
      <c r="AV64" s="29"/>
      <c r="AY64" s="46" t="s">
        <v>395</v>
      </c>
      <c r="AZ64" t="e">
        <f>SUM(AZ61:AZ63)</f>
        <v>#N/A</v>
      </c>
      <c r="BA64" s="46" t="s">
        <v>396</v>
      </c>
      <c r="BB64" t="e">
        <f>SUM(BB61:BB63)</f>
        <v>#N/A</v>
      </c>
      <c r="BC64" s="46" t="s">
        <v>397</v>
      </c>
      <c r="BD64" t="e">
        <f>SUM(BD61:BD63)</f>
        <v>#N/A</v>
      </c>
    </row>
    <row r="65" spans="2:57" ht="15.75">
      <c r="N65" s="81"/>
      <c r="T65" s="49"/>
      <c r="U65" s="24"/>
      <c r="Y65" s="60" t="s">
        <v>427</v>
      </c>
      <c r="Z65" s="46" t="s">
        <v>71</v>
      </c>
      <c r="AA65" t="s">
        <v>72</v>
      </c>
      <c r="AB65" s="168" t="s">
        <v>428</v>
      </c>
      <c r="AF65" s="46" t="s">
        <v>71</v>
      </c>
      <c r="AJ65" s="120" t="s">
        <v>72</v>
      </c>
      <c r="AV65" s="29"/>
      <c r="AX65" s="159" t="s">
        <v>403</v>
      </c>
      <c r="BA65" s="46" t="s">
        <v>404</v>
      </c>
      <c r="BB65" s="24" t="e">
        <f>BB64/AZ64</f>
        <v>#N/A</v>
      </c>
      <c r="BC65" s="46" t="s">
        <v>405</v>
      </c>
      <c r="BD65" s="12" t="e">
        <f>-AZ64*BB65^2</f>
        <v>#N/A</v>
      </c>
    </row>
    <row r="66" spans="2:57" ht="15.75">
      <c r="B66" t="s">
        <v>429</v>
      </c>
      <c r="H66" s="46" t="s">
        <v>430</v>
      </c>
      <c r="L66" t="s">
        <v>423</v>
      </c>
      <c r="T66" t="s">
        <v>431</v>
      </c>
      <c r="Y66" t="s">
        <v>432</v>
      </c>
      <c r="Z66" s="169" t="e">
        <f>AA98</f>
        <v>#N/A</v>
      </c>
      <c r="AA66" s="105" t="e">
        <f>AA123</f>
        <v>#N/A</v>
      </c>
      <c r="AB66" s="404" t="str">
        <f>AA45</f>
        <v>(1)</v>
      </c>
      <c r="AC66" t="e">
        <f>FIXED(L46,2)&amp;" x "&amp;FIXED(Z69,3)&amp;" x "&amp;FIXED(MAX(Z72:AA72),2)&amp;" = "&amp;FIXED(AB45,2)</f>
        <v>#N/A</v>
      </c>
      <c r="BC66" s="46" t="s">
        <v>408</v>
      </c>
      <c r="BD66" t="e">
        <f>BD65+BD64</f>
        <v>#N/A</v>
      </c>
      <c r="BE66" t="e">
        <f>BD66*10^-12</f>
        <v>#N/A</v>
      </c>
    </row>
    <row r="67" spans="2:57" ht="15.75">
      <c r="C67" t="s">
        <v>434</v>
      </c>
      <c r="H67" s="24" t="e">
        <f>MAXA(U69:U70)</f>
        <v>#N/A</v>
      </c>
      <c r="J67" t="s">
        <v>435</v>
      </c>
      <c r="K67" t="e">
        <f>IF(H67&gt;L67,"&gt;","&lt;")</f>
        <v>#N/A</v>
      </c>
      <c r="L67" s="24" t="e">
        <f>L46*J16*10^-3/2</f>
        <v>#N/A</v>
      </c>
      <c r="M67" t="e">
        <f>IF(H67&gt;L67,"accept","forkast")</f>
        <v>#N/A</v>
      </c>
      <c r="N67" s="165" t="e">
        <f>IF(M67="forkast","NB!"," ")</f>
        <v>#N/A</v>
      </c>
      <c r="P67" t="s">
        <v>71</v>
      </c>
      <c r="Q67" t="s">
        <v>72</v>
      </c>
      <c r="T67" t="str">
        <f>C67</f>
        <v>plade (p)</v>
      </c>
      <c r="Y67" t="s">
        <v>436</v>
      </c>
      <c r="Z67" s="169" t="e">
        <f>AA99</f>
        <v>#N/A</v>
      </c>
      <c r="AA67" s="105" t="e">
        <f>AA124</f>
        <v>#N/A</v>
      </c>
      <c r="AB67" s="168" t="s">
        <v>437</v>
      </c>
      <c r="AG67" t="s">
        <v>89</v>
      </c>
      <c r="AH67" s="46" t="s">
        <v>433</v>
      </c>
      <c r="AJ67" s="19" t="s">
        <v>89</v>
      </c>
      <c r="AV67" t="s">
        <v>356</v>
      </c>
    </row>
    <row r="68" spans="2:57" ht="15.75">
      <c r="C68" t="s">
        <v>438</v>
      </c>
      <c r="H68" s="24" t="e">
        <f>MAXA(U73:U74)</f>
        <v>#N/A</v>
      </c>
      <c r="J68" t="s">
        <v>439</v>
      </c>
      <c r="K68" t="e">
        <f>IF(H68&gt;L68,"&gt;","&lt;")</f>
        <v>#N/A</v>
      </c>
      <c r="L68" s="24" t="e">
        <f>MAXA(P68:Q68)</f>
        <v>#N/A</v>
      </c>
      <c r="M68" t="e">
        <f>IF(H68&gt;L68,"accept","=&gt; vælger")</f>
        <v>#N/A</v>
      </c>
      <c r="N68" s="165" t="e">
        <f>IF(M68="=&gt; vælger","Bøjler!"," ")</f>
        <v>#N/A</v>
      </c>
      <c r="O68" s="24"/>
      <c r="P68" s="24" t="e">
        <f>IF(AJ30&lt;(AH14+AC39),AA61-(AJ30-AH14)*AB45-(AH14+AC39-AJ30)*(AC49+AB45),AA61-AB45*AC39)</f>
        <v>#N/A</v>
      </c>
      <c r="Q68" s="24" t="e">
        <f>IF(AJ34&lt;(AH14+AC39),AR61-(AJ34-AH14)*AQ45-(AH14+AC39-AJ34)*(AP49+AQ45),AR61-AQ45*AC39)</f>
        <v>#N/A</v>
      </c>
      <c r="R68" t="s">
        <v>439</v>
      </c>
      <c r="T68" s="19" t="s">
        <v>440</v>
      </c>
      <c r="U68" s="19" t="s">
        <v>441</v>
      </c>
      <c r="V68" s="51">
        <f>2*8^2/4*PI()</f>
        <v>100.53096491487338</v>
      </c>
      <c r="W68" t="s">
        <v>442</v>
      </c>
      <c r="Y68" t="s">
        <v>443</v>
      </c>
      <c r="Z68" s="169" t="e">
        <f>AA102</f>
        <v>#N/A</v>
      </c>
      <c r="AA68" s="105" t="e">
        <f>AA127</f>
        <v>#N/A</v>
      </c>
      <c r="AB68" s="404" t="str">
        <f>AB49</f>
        <v>(2v)</v>
      </c>
      <c r="AC68" t="e">
        <f>"("&amp;FIXED(AM29,2)&amp;" + "&amp;FIXED(AM30,2)&amp;")"&amp;" x "&amp;FIXED(AA100,2)&amp;" = "&amp;FIXED(AC49,2)</f>
        <v>#N/A</v>
      </c>
      <c r="AG68" s="19"/>
      <c r="AH68" s="46" t="s">
        <v>102</v>
      </c>
      <c r="AJ68" s="55"/>
      <c r="AV68" t="str">
        <f>BN2</f>
        <v>exclusive last fra trappeløb_plade (p)</v>
      </c>
      <c r="AZ68" t="str">
        <f>AZ48</f>
        <v>langtidslast</v>
      </c>
    </row>
    <row r="69" spans="2:57" ht="15.75">
      <c r="G69" s="63">
        <v>1</v>
      </c>
      <c r="H69" s="27" t="s">
        <v>444</v>
      </c>
      <c r="I69" s="107" t="s">
        <v>192</v>
      </c>
      <c r="J69" s="63">
        <v>8</v>
      </c>
      <c r="K69" t="s">
        <v>445</v>
      </c>
      <c r="P69" s="24" t="e">
        <f>IF(H68&gt;P68,0,IF(AJ30&lt;(AH14+AC39),((P68-H68)/(AC49+AB45)+AC39)/(J70*10^-3),((P68-AB61)/AB45+(AB61-H68)/(AC49+AB45))/(J70*10^-3)))</f>
        <v>#N/A</v>
      </c>
      <c r="Q69" s="24" t="e">
        <f>IF(H68&gt;Q68,0,IF(AJ34&lt;(AH14+AC39),((Q68-H68)/(AP49+AQ45)+AC39)/(J70*10^-3),((Q68-AQ61)/AQ45+(AQ61-H68)/(AP49+AQ45))/(J70*10^-3)))</f>
        <v>#N/A</v>
      </c>
      <c r="R69" t="s">
        <v>446</v>
      </c>
      <c r="T69" s="49" t="e">
        <f>1+SQRT(200/V70)</f>
        <v>#N/A</v>
      </c>
      <c r="U69" s="24" t="e">
        <f>(0.18/$N$17*T70*(100*V68/(V69*V70)*$J$22)^(1/3))*V69*V70*10^-3</f>
        <v>#N/A</v>
      </c>
      <c r="V69">
        <v>1000</v>
      </c>
      <c r="W69" t="s">
        <v>447</v>
      </c>
      <c r="Y69" t="s">
        <v>448</v>
      </c>
      <c r="Z69" s="169" t="e">
        <f>AC88</f>
        <v>#N/A</v>
      </c>
      <c r="AA69" s="105" t="e">
        <f>AC113</f>
        <v>#N/A</v>
      </c>
      <c r="AB69" s="404" t="str">
        <f>AK49</f>
        <v>(2h)</v>
      </c>
      <c r="AC69" t="e">
        <f>"("&amp;FIXED(AN29,2)&amp;" + "&amp;FIXED(AN30,2)&amp;")"&amp;" x "&amp;FIXED(AA125,2)&amp;" = "&amp;FIXED(AL49,2)</f>
        <v>#N/A</v>
      </c>
      <c r="AG69" s="19"/>
      <c r="AJ69" s="55"/>
      <c r="AV69" s="29" t="s">
        <v>366</v>
      </c>
      <c r="AW69" s="46" t="s">
        <v>367</v>
      </c>
      <c r="AX69" s="46" t="s">
        <v>368</v>
      </c>
      <c r="AY69" s="46" t="s">
        <v>369</v>
      </c>
      <c r="AZ69" s="46" t="s">
        <v>370</v>
      </c>
      <c r="BA69" s="46" t="s">
        <v>371</v>
      </c>
      <c r="BB69" s="46" t="s">
        <v>372</v>
      </c>
      <c r="BC69" s="46" t="s">
        <v>373</v>
      </c>
      <c r="BD69" s="46" t="s">
        <v>374</v>
      </c>
      <c r="BE69" s="46"/>
    </row>
    <row r="70" spans="2:57" ht="15.75">
      <c r="G70" t="s">
        <v>449</v>
      </c>
      <c r="H70" t="e">
        <f>IF(H68&gt;L68,0,TRUNC(MAX(P69:Q69),1)+1)</f>
        <v>#N/A</v>
      </c>
      <c r="J70" s="63">
        <v>150</v>
      </c>
      <c r="K70" t="e">
        <f>IF(J70&gt;0.7*J14,"NB! for stor!","stk, mm")</f>
        <v>#N/A</v>
      </c>
      <c r="M70" s="165" t="e">
        <f>IF(K70="NB! for stor!","NB!"," ")</f>
        <v>#N/A</v>
      </c>
      <c r="N70" s="56" t="e">
        <f>IF(M70="NB!","indtast mindre centerafst."," ")</f>
        <v>#N/A</v>
      </c>
      <c r="T70" s="49" t="e">
        <f>IF(T69&gt;2,2,T69)</f>
        <v>#N/A</v>
      </c>
      <c r="U70" s="24" t="e">
        <f>(0.035*T70^(3/2)*SQRT($J$22)*V69*V70)*10^-3</f>
        <v>#N/A</v>
      </c>
      <c r="V70" t="e">
        <f>J15</f>
        <v>#N/A</v>
      </c>
      <c r="W70" t="s">
        <v>450</v>
      </c>
      <c r="AA70" s="55"/>
      <c r="AB70" s="168" t="s">
        <v>451</v>
      </c>
      <c r="AV70" s="21"/>
      <c r="AW70" s="156" t="s">
        <v>379</v>
      </c>
      <c r="AX70" s="157" t="s">
        <v>78</v>
      </c>
      <c r="AY70" s="157" t="s">
        <v>78</v>
      </c>
      <c r="AZ70" s="157" t="s">
        <v>105</v>
      </c>
      <c r="BA70" s="157" t="s">
        <v>78</v>
      </c>
      <c r="BB70" s="157" t="s">
        <v>380</v>
      </c>
      <c r="BC70" s="157" t="s">
        <v>379</v>
      </c>
      <c r="BD70" s="157" t="s">
        <v>381</v>
      </c>
      <c r="BE70" s="46"/>
    </row>
    <row r="71" spans="2:57" ht="15.75">
      <c r="H71" t="s">
        <v>248</v>
      </c>
      <c r="I71" t="s">
        <v>112</v>
      </c>
      <c r="J71" s="51">
        <f>Q71</f>
        <v>500</v>
      </c>
      <c r="K71" t="s">
        <v>31</v>
      </c>
      <c r="P71">
        <f>CODE(I69)</f>
        <v>75</v>
      </c>
      <c r="Q71">
        <f>HLOOKUP(P71,AA310:AZ320,6)</f>
        <v>500</v>
      </c>
      <c r="R71" t="s">
        <v>239</v>
      </c>
      <c r="T71" t="str">
        <f>C68</f>
        <v>forkantpladestrimmel (f)</v>
      </c>
      <c r="Y71" s="46" t="s">
        <v>452</v>
      </c>
      <c r="Z71" s="78" t="e">
        <f>AA100</f>
        <v>#N/A</v>
      </c>
      <c r="AA71" s="65" t="e">
        <f>AA125</f>
        <v>#N/A</v>
      </c>
      <c r="AB71" s="170" t="str">
        <f>AA55</f>
        <v>(3v)</v>
      </c>
      <c r="AC71" t="e">
        <f>FIXED(H59,2)&amp;" x "&amp;FIXED(AA100,2)&amp;" = "&amp;FIXED(AG55,2)</f>
        <v>#N/A</v>
      </c>
      <c r="AV71" s="29" t="s">
        <v>386</v>
      </c>
      <c r="AW71">
        <v>1</v>
      </c>
      <c r="AX71" s="51">
        <f>BN17</f>
        <v>1000</v>
      </c>
      <c r="AY71" s="51" t="e">
        <f>BN19</f>
        <v>#N/A</v>
      </c>
      <c r="AZ71" s="51" t="e">
        <f>AW71*AX71*AY71</f>
        <v>#N/A</v>
      </c>
      <c r="BA71">
        <v>0</v>
      </c>
      <c r="BB71" t="e">
        <f>BA71*AZ71</f>
        <v>#N/A</v>
      </c>
      <c r="BC71">
        <f>1/12</f>
        <v>8.3333333333333329E-2</v>
      </c>
      <c r="BD71" s="51" t="e">
        <f>BC71*AX71*AY71^3</f>
        <v>#N/A</v>
      </c>
      <c r="BE71" s="163"/>
    </row>
    <row r="72" spans="2:57" ht="15.75">
      <c r="H72" t="s">
        <v>453</v>
      </c>
      <c r="I72" t="s">
        <v>112</v>
      </c>
      <c r="J72" s="51">
        <f>Q71/$N$19</f>
        <v>416.66666666666669</v>
      </c>
      <c r="K72" t="s">
        <v>31</v>
      </c>
      <c r="N72" t="s">
        <v>454</v>
      </c>
      <c r="O72" s="90" t="e">
        <f>TRUNC(0.75*J15/10)*10</f>
        <v>#N/A</v>
      </c>
      <c r="T72" s="19" t="s">
        <v>440</v>
      </c>
      <c r="U72" s="19" t="s">
        <v>441</v>
      </c>
      <c r="V72" s="51">
        <f>2*8^2/4*PI()</f>
        <v>100.53096491487338</v>
      </c>
      <c r="W72" t="s">
        <v>442</v>
      </c>
      <c r="Y72" s="46" t="s">
        <v>455</v>
      </c>
      <c r="Z72" s="78" t="e">
        <f>AA103</f>
        <v>#N/A</v>
      </c>
      <c r="AA72" s="65" t="e">
        <f>AA128</f>
        <v>#N/A</v>
      </c>
      <c r="AB72" s="170" t="str">
        <f>AR55</f>
        <v>(3h)</v>
      </c>
      <c r="AC72" t="e">
        <f>FIXED(J59,2)&amp;" x "&amp;FIXED(AA125,2)&amp;" = "&amp;FIXED(AM55,2)</f>
        <v>#N/A</v>
      </c>
      <c r="AV72" s="29" t="s">
        <v>388</v>
      </c>
      <c r="AW72" s="24">
        <f>BN10</f>
        <v>32.119514472455656</v>
      </c>
      <c r="AX72" s="51" t="e">
        <f>BN13</f>
        <v>#N/A</v>
      </c>
      <c r="AY72" s="51">
        <v>1</v>
      </c>
      <c r="AZ72" s="51" t="e">
        <f>AW72*AX72*AY72</f>
        <v>#N/A</v>
      </c>
      <c r="BA72" s="24" t="e">
        <f>BN18-BN19/2</f>
        <v>#N/A</v>
      </c>
      <c r="BB72" t="e">
        <f>BA72*AZ72</f>
        <v>#N/A</v>
      </c>
      <c r="BD72" s="51" t="e">
        <f>AZ72*BA72^2</f>
        <v>#N/A</v>
      </c>
      <c r="BE72" s="46"/>
    </row>
    <row r="73" spans="2:57" ht="15.75">
      <c r="G73" s="46" t="s">
        <v>456</v>
      </c>
      <c r="H73" s="24" t="e">
        <f>G69*J69^2/4*PI()*J72/J70*J15*0.9*10^-3</f>
        <v>#N/A</v>
      </c>
      <c r="I73" t="e">
        <f>IF(H73&gt;J73,"&gt;","&lt;")</f>
        <v>#N/A</v>
      </c>
      <c r="J73" s="24" t="e">
        <f>L68</f>
        <v>#N/A</v>
      </c>
      <c r="K73" t="s">
        <v>439</v>
      </c>
      <c r="M73" t="e">
        <f>IF(M68="accept"," ",IF(H73&gt;J73,"accept","forkast"))</f>
        <v>#N/A</v>
      </c>
      <c r="N73" s="165" t="e">
        <f>IF(M73="forkast","NB!"," ")</f>
        <v>#N/A</v>
      </c>
      <c r="P73" s="49"/>
      <c r="T73" s="49" t="e">
        <f>1+SQRT(200/V74)</f>
        <v>#N/A</v>
      </c>
      <c r="U73" s="24" t="e">
        <f>(0.18/$N$17*T74*(100*V72/(V73*V74)*$J$22)^(1/3))*V73*V74*10^-3</f>
        <v>#N/A</v>
      </c>
      <c r="V73" t="e">
        <f>F33</f>
        <v>#N/A</v>
      </c>
      <c r="W73" t="s">
        <v>447</v>
      </c>
      <c r="AG73" t="s">
        <v>457</v>
      </c>
      <c r="AH73" s="173" t="e">
        <f>L64</f>
        <v>#N/A</v>
      </c>
      <c r="AV73" s="29" t="s">
        <v>392</v>
      </c>
      <c r="AW73" s="24">
        <f>AW72</f>
        <v>32.119514472455656</v>
      </c>
      <c r="AX73" s="51">
        <f>AX71/150*(8/2)^2*PI()</f>
        <v>335.10321638291128</v>
      </c>
      <c r="AY73">
        <v>1</v>
      </c>
      <c r="AZ73" s="158">
        <f>AW73*AX73*AY73</f>
        <v>10763.352608377358</v>
      </c>
      <c r="BA73" s="24" t="e">
        <f>-BA72</f>
        <v>#N/A</v>
      </c>
      <c r="BB73" s="12" t="e">
        <f>BA73*AZ73</f>
        <v>#N/A</v>
      </c>
      <c r="BD73" s="158" t="e">
        <f>AZ73*BA73^2</f>
        <v>#N/A</v>
      </c>
      <c r="BE73" s="46"/>
    </row>
    <row r="74" spans="2:57">
      <c r="T74" s="49" t="e">
        <f>IF(T73&gt;2,2,T73)</f>
        <v>#N/A</v>
      </c>
      <c r="U74" s="24" t="e">
        <f>(0.035*T74^(3/2)*SQRT($J$22)*V73*V74)*10^-3</f>
        <v>#N/A</v>
      </c>
      <c r="V74" t="e">
        <f>V70</f>
        <v>#N/A</v>
      </c>
      <c r="W74" t="s">
        <v>450</v>
      </c>
      <c r="AA74" s="46" t="s">
        <v>458</v>
      </c>
      <c r="AB74" t="s">
        <v>333</v>
      </c>
      <c r="AE74" s="19" t="s">
        <v>459</v>
      </c>
      <c r="AV74" s="29"/>
      <c r="AY74" s="46" t="s">
        <v>395</v>
      </c>
      <c r="AZ74" t="e">
        <f>SUM(AZ71:AZ73)</f>
        <v>#N/A</v>
      </c>
      <c r="BA74" s="46" t="s">
        <v>396</v>
      </c>
      <c r="BB74" t="e">
        <f>SUM(BB71:BB73)</f>
        <v>#N/A</v>
      </c>
      <c r="BC74" s="46" t="s">
        <v>397</v>
      </c>
      <c r="BD74" t="e">
        <f>SUM(BD71:BD73)</f>
        <v>#N/A</v>
      </c>
    </row>
    <row r="75" spans="2:57" ht="15.75">
      <c r="B75" t="s">
        <v>460</v>
      </c>
      <c r="H75" t="s">
        <v>461</v>
      </c>
      <c r="J75" t="s">
        <v>462</v>
      </c>
      <c r="L75" t="s">
        <v>463</v>
      </c>
      <c r="AA75" s="46" t="s">
        <v>464</v>
      </c>
      <c r="AB75" t="s">
        <v>424</v>
      </c>
      <c r="AE75" s="19"/>
      <c r="AF75" t="e">
        <f>IF(AJ30&lt;(AH14+AC39),"a &lt; u + hi =&gt;","a &gt; u + hi =&gt;")</f>
        <v>#N/A</v>
      </c>
      <c r="AV75" s="29"/>
      <c r="AX75" s="159" t="s">
        <v>403</v>
      </c>
      <c r="BA75" s="46" t="s">
        <v>404</v>
      </c>
      <c r="BB75" s="24" t="e">
        <f>BB74/AZ74</f>
        <v>#N/A</v>
      </c>
      <c r="BC75" s="46" t="s">
        <v>405</v>
      </c>
      <c r="BD75" s="12" t="e">
        <f>-AZ74*BB75^2</f>
        <v>#N/A</v>
      </c>
    </row>
    <row r="76" spans="2:57" ht="15.75">
      <c r="C76" t="s">
        <v>465</v>
      </c>
      <c r="G76" s="46" t="s">
        <v>466</v>
      </c>
      <c r="H76" s="51" t="e">
        <f>0.2*J17*J14/J28*J24</f>
        <v>#N/A</v>
      </c>
      <c r="K76" t="e">
        <f>IF(H76&lt;L76,"&lt;","&gt;")</f>
        <v>#N/A</v>
      </c>
      <c r="L76" s="51" t="e">
        <f>J30</f>
        <v>#N/A</v>
      </c>
      <c r="M76" t="e">
        <f>IF(K76="&lt;","accept","forkast")</f>
        <v>#N/A</v>
      </c>
      <c r="N76" s="165" t="e">
        <f>IF(M76="forkast","NB!"," ")</f>
        <v>#N/A</v>
      </c>
      <c r="O76" s="174" t="s">
        <v>46</v>
      </c>
      <c r="P76" t="s">
        <v>467</v>
      </c>
      <c r="T76">
        <f>IF(OR(G44="A",G44="B"),0.2,IF(OR(G44="C",G44="D"),0.5,NA()))</f>
        <v>0.2</v>
      </c>
      <c r="AE76" s="19" t="s">
        <v>468</v>
      </c>
      <c r="AG76" s="46" t="s">
        <v>469</v>
      </c>
      <c r="AH76" s="381" t="e">
        <f>IF(AJ30&lt;(AH14+AC39),"|V| ialt - (a-u) x last1 -(u+hi-a) x last1+2 = "&amp;FIXED(AA61,2)&amp;" - ("&amp;FIXED(AJ30,3)&amp;"-"&amp;FIXED(AH14,2)&amp;") x "&amp;FIXED(AB45,2)&amp;" - ("&amp;FIXED(AH14,2)&amp;"+"&amp;FIXED(AC39,3)&amp;"-"&amp;FIXED(AJ30,3)&amp;") x ("&amp;FIXED(AC49,2)&amp;"+"&amp;FIXED(AB45,2)&amp;") = "&amp;FIXED(P68,1),"|V| ialt - hi x last1 = "&amp;FIXED(AA61,2)&amp;" -"&amp;FIXED(AB45,2)&amp;" x "&amp;FIXED(AC39,3)&amp;" = "&amp;FIXED(P68,1))</f>
        <v>#N/A</v>
      </c>
      <c r="BC76" s="46" t="s">
        <v>408</v>
      </c>
      <c r="BD76" t="e">
        <f>BD75+BD74</f>
        <v>#N/A</v>
      </c>
      <c r="BE76" t="e">
        <f>BD76*10^-12</f>
        <v>#N/A</v>
      </c>
    </row>
    <row r="77" spans="2:57">
      <c r="C77" t="s">
        <v>470</v>
      </c>
      <c r="F77" t="str">
        <f>IF(O76="ja",+"for kvasipermanent last","for langtidslast")</f>
        <v>for kvasipermanent last</v>
      </c>
      <c r="H77" s="49" t="e">
        <f>BN45</f>
        <v>#N/A</v>
      </c>
      <c r="J77" s="49" t="e">
        <f>BI45</f>
        <v>#N/A</v>
      </c>
      <c r="O77" s="91">
        <f>IF(T2=1,+NS!O77,IF(O76="ja",+T76,0))</f>
        <v>0.2</v>
      </c>
      <c r="P77" t="s">
        <v>471</v>
      </c>
      <c r="AV77" t="s">
        <v>356</v>
      </c>
    </row>
    <row r="78" spans="2:57">
      <c r="F78" t="str">
        <f>"for korttidslast"</f>
        <v>for korttidslast</v>
      </c>
      <c r="H78" s="49" t="e">
        <f>BO45</f>
        <v>#N/A</v>
      </c>
      <c r="J78" s="49" t="e">
        <f>BJ45</f>
        <v>#N/A</v>
      </c>
      <c r="N78" s="81"/>
      <c r="O78" s="175"/>
      <c r="AF78" t="e">
        <f>IF(AJ34&lt;(AH14+AC39),"e &lt; u + hi =&gt;","e &gt; u + hi =&gt;")</f>
        <v>#N/A</v>
      </c>
      <c r="AV78" t="str">
        <f>AV68</f>
        <v>exclusive last fra trappeløb_plade (p)</v>
      </c>
      <c r="AZ78" t="str">
        <f>AZ58</f>
        <v>korttidslast</v>
      </c>
    </row>
    <row r="79" spans="2:57" ht="15.75">
      <c r="F79" t="s">
        <v>472</v>
      </c>
      <c r="G79" s="46" t="s">
        <v>78</v>
      </c>
      <c r="H79" s="49" t="e">
        <f>H78+H77</f>
        <v>#N/A</v>
      </c>
      <c r="J79" s="49" t="e">
        <f>J77+J78</f>
        <v>#N/A</v>
      </c>
      <c r="K79" t="e">
        <f>IF(MAXA(H79:J79)&lt;L79,"&lt;","&gt;")</f>
        <v>#N/A</v>
      </c>
      <c r="L79" s="113">
        <f>IF(T2=1,+NS!L79,IF(I11="E",0.2,IF(I11="A",0.3,IF(I11="M",0.4,IF(I11="P",0.4,NA())))))</f>
        <v>0.4</v>
      </c>
      <c r="M79" t="e">
        <f>IF(K79="&lt;","accept","forkast")</f>
        <v>#N/A</v>
      </c>
      <c r="N79" s="165" t="e">
        <f>IF(M79="forkast","NB!"," ")</f>
        <v>#N/A</v>
      </c>
      <c r="O79" s="27"/>
      <c r="P79" t="s">
        <v>473</v>
      </c>
      <c r="T79" s="95" t="e">
        <f>IF(AI2=1,+NS!T79,IF(Q11="E",0.2,IF(Q11="A",0.3,IF(Q11="M",0.4,IF(Q11="P",0.4,NA())))))</f>
        <v>#N/A</v>
      </c>
      <c r="AG79" s="46" t="s">
        <v>474</v>
      </c>
      <c r="AH79" s="381" t="e">
        <f>IF(AJ34&lt;(AH14+AC39),"|V| ialt - (e-u) x last1 - (u+hi-e) x last1+2 = "&amp;FIXED(AR61,2)&amp;" - ("&amp;FIXED(AJ34,3)&amp;"-"&amp;FIXED(AH14,2)&amp;") x "&amp;FIXED(AQ45,2)&amp;" - ("&amp;FIXED(AH14,2)&amp;"+"&amp;FIXED(AC39,3)&amp;"-"&amp;FIXED(AJ34,3)&amp;") x ("&amp;FIXED(AP49,2)&amp;"+"&amp;FIXED(AQ45,2)&amp;") = "&amp;FIXED(Q68,1),"|V| ialt - hi x last1 = "&amp;FIXED(AR61,2)&amp;" -"&amp;FIXED(AQ45,2)&amp;" x "&amp;FIXED(AC39,3)&amp;" = "&amp;FIXED(Q68,1))</f>
        <v>#N/A</v>
      </c>
      <c r="AV79" s="29" t="s">
        <v>366</v>
      </c>
      <c r="AW79" s="46" t="s">
        <v>367</v>
      </c>
      <c r="AX79" s="46" t="s">
        <v>368</v>
      </c>
      <c r="AY79" s="46" t="s">
        <v>369</v>
      </c>
      <c r="AZ79" s="46" t="s">
        <v>370</v>
      </c>
      <c r="BA79" s="46" t="s">
        <v>371</v>
      </c>
      <c r="BB79" s="46" t="s">
        <v>372</v>
      </c>
      <c r="BC79" s="46" t="s">
        <v>373</v>
      </c>
      <c r="BD79" s="46" t="s">
        <v>374</v>
      </c>
      <c r="BE79" s="46"/>
    </row>
    <row r="80" spans="2:57" ht="15.75">
      <c r="C80" t="s">
        <v>475</v>
      </c>
      <c r="F80" t="str">
        <f>F77</f>
        <v>for kvasipermanent last</v>
      </c>
      <c r="H80" s="51" t="e">
        <f>MAXA(BN56:BN57)</f>
        <v>#N/A</v>
      </c>
      <c r="J80" s="51" t="e">
        <f>MAXA(BI56:BI57)</f>
        <v>#N/A</v>
      </c>
      <c r="K80" t="e">
        <f>IF(O80=0," ",IF(H80&lt;L80,"&lt;",IF(H80=L80,"=","&gt;")))</f>
        <v>#N/A</v>
      </c>
      <c r="L80" s="51" t="e">
        <f>IF(O80=0," ",ROUND(J32*10^3/O80,0))</f>
        <v>#N/A</v>
      </c>
      <c r="M80" t="e">
        <f>IF(O80=0," ",IF(H80&lt;L80,"accept",IF(H80=L80,"accept","forkast")))</f>
        <v>#N/A</v>
      </c>
      <c r="N80" s="165" t="e">
        <f>IF(M80="forkast","NB!"," ")</f>
        <v>#N/A</v>
      </c>
      <c r="O80" s="107">
        <f>IF(T2=1,+NS!O80,300)</f>
        <v>300</v>
      </c>
      <c r="P80" t="s">
        <v>476</v>
      </c>
      <c r="AB80" s="19" t="s">
        <v>89</v>
      </c>
      <c r="AC80" s="69" t="s">
        <v>477</v>
      </c>
      <c r="AV80" s="21"/>
      <c r="AW80" s="156" t="s">
        <v>379</v>
      </c>
      <c r="AX80" s="157" t="s">
        <v>78</v>
      </c>
      <c r="AY80" s="157" t="s">
        <v>78</v>
      </c>
      <c r="AZ80" s="157" t="s">
        <v>105</v>
      </c>
      <c r="BA80" s="157" t="s">
        <v>78</v>
      </c>
      <c r="BB80" s="157" t="s">
        <v>380</v>
      </c>
      <c r="BC80" s="157" t="s">
        <v>379</v>
      </c>
      <c r="BD80" s="157" t="s">
        <v>381</v>
      </c>
      <c r="BE80" s="163"/>
    </row>
    <row r="81" spans="2:57" ht="15.75">
      <c r="F81" t="str">
        <f>F78</f>
        <v>for korttidslast</v>
      </c>
      <c r="H81" s="51" t="e">
        <f>MAXA(BO56:BO57)</f>
        <v>#N/A</v>
      </c>
      <c r="J81" s="51" t="e">
        <f>MAXA(BJ56:BJ57)</f>
        <v>#N/A</v>
      </c>
      <c r="K81" t="e">
        <f>IF(O81=0," ",IF(H81&lt;L81,"&lt;",IF(H81=L81,"=","&gt;")))</f>
        <v>#N/A</v>
      </c>
      <c r="L81" s="51" t="e">
        <f>IF(O81=0," ",ROUND(J32*10^3/O81,0))</f>
        <v>#N/A</v>
      </c>
      <c r="M81" t="e">
        <f>IF(O81=0," ",IF(H81&lt;L81,"accept",IF(H81=L81,"accept","forkast")))</f>
        <v>#N/A</v>
      </c>
      <c r="N81" s="165" t="e">
        <f>IF(M81="forkast","NB!"," ")</f>
        <v>#N/A</v>
      </c>
      <c r="O81" s="107">
        <f>IF(T2=1,+NS!O81,400)</f>
        <v>400</v>
      </c>
      <c r="P81" t="s">
        <v>476</v>
      </c>
      <c r="AV81" s="29" t="s">
        <v>386</v>
      </c>
      <c r="AW81">
        <v>1</v>
      </c>
      <c r="AX81">
        <f t="shared" ref="AX81:AY83" si="16">AX71</f>
        <v>1000</v>
      </c>
      <c r="AY81" t="e">
        <f t="shared" si="16"/>
        <v>#N/A</v>
      </c>
      <c r="AZ81" s="51" t="e">
        <f>AW81*AX81*AY81</f>
        <v>#N/A</v>
      </c>
      <c r="BA81">
        <f>BA71</f>
        <v>0</v>
      </c>
      <c r="BB81" t="e">
        <f>BA81*AZ81</f>
        <v>#N/A</v>
      </c>
      <c r="BC81">
        <f>BC71</f>
        <v>8.3333333333333329E-2</v>
      </c>
      <c r="BD81" s="51" t="e">
        <f>BC81*AX81*AY81^3</f>
        <v>#N/A</v>
      </c>
      <c r="BE81" s="46"/>
    </row>
    <row r="82" spans="2:57" ht="15.75">
      <c r="F82" t="s">
        <v>472</v>
      </c>
      <c r="G82" s="46" t="s">
        <v>78</v>
      </c>
      <c r="H82" s="51" t="e">
        <f>H80+H81</f>
        <v>#N/A</v>
      </c>
      <c r="J82" s="51" t="e">
        <f>J80+J81</f>
        <v>#N/A</v>
      </c>
      <c r="K82" t="str">
        <f>IF(O82=0," ",IF(H82&lt;L82,"&lt;",IF(H82=L82,"=","&gt;")))</f>
        <v xml:space="preserve"> </v>
      </c>
      <c r="L82" s="51" t="str">
        <f>IF(O82=0," ",ROUND(J32*10^3/O82,0))</f>
        <v xml:space="preserve"> </v>
      </c>
      <c r="M82" t="str">
        <f>IF(O82=0," ",IF(H82&lt;L82,"accept",IF(H82=L82,"accept","forkast")))</f>
        <v xml:space="preserve"> </v>
      </c>
      <c r="N82" s="165" t="str">
        <f>IF(M82="forkast","NB!"," ")</f>
        <v xml:space="preserve"> </v>
      </c>
      <c r="O82" s="107">
        <f>IF(T2=1,+NS!O82,0)</f>
        <v>0</v>
      </c>
      <c r="P82" t="s">
        <v>478</v>
      </c>
      <c r="AV82" s="29" t="s">
        <v>388</v>
      </c>
      <c r="AW82" s="24">
        <f>BO10</f>
        <v>8.0298786181139139</v>
      </c>
      <c r="AX82" s="51" t="e">
        <f t="shared" si="16"/>
        <v>#N/A</v>
      </c>
      <c r="AY82" s="51">
        <f t="shared" si="16"/>
        <v>1</v>
      </c>
      <c r="AZ82" s="51" t="e">
        <f>AW82*AX82*AY82</f>
        <v>#N/A</v>
      </c>
      <c r="BA82" s="24" t="e">
        <f>BA72</f>
        <v>#N/A</v>
      </c>
      <c r="BB82" t="e">
        <f>BA82*AZ82</f>
        <v>#N/A</v>
      </c>
      <c r="BC82" s="51"/>
      <c r="BD82" s="51" t="e">
        <f>AZ82*BA82^2</f>
        <v>#N/A</v>
      </c>
      <c r="BE82" s="46"/>
    </row>
    <row r="83" spans="2:57" ht="15.75">
      <c r="E83" t="s">
        <v>479</v>
      </c>
      <c r="L83" s="63" t="e">
        <f>MAXA(N83:P83)</f>
        <v>#N/A</v>
      </c>
      <c r="M83" t="s">
        <v>78</v>
      </c>
      <c r="N83" s="51" t="e">
        <f>2*MINA(J36,L36)</f>
        <v>#N/A</v>
      </c>
      <c r="O83" s="64" t="e">
        <f>2*J14</f>
        <v>#N/A</v>
      </c>
      <c r="P83" t="e">
        <f>ROUND((0.131*J16+F36-F34)/10,0)*10</f>
        <v>#N/A</v>
      </c>
      <c r="Q83" t="s">
        <v>480</v>
      </c>
      <c r="U83" t="s">
        <v>431</v>
      </c>
      <c r="AD83" t="s">
        <v>481</v>
      </c>
      <c r="AH83" s="46" t="s">
        <v>482</v>
      </c>
      <c r="AI83" s="19" t="e">
        <f>IF(AC88&gt;AC94,"&gt;",IF(AC88=AC94,"=","&lt;"))</f>
        <v>#N/A</v>
      </c>
      <c r="AJ83" s="19" t="e">
        <f>AI83</f>
        <v>#N/A</v>
      </c>
      <c r="AK83" s="19" t="e">
        <f>AI83</f>
        <v>#N/A</v>
      </c>
      <c r="AL83" s="19" t="e">
        <f t="shared" ref="AL83:AQ83" si="17">AK83</f>
        <v>#N/A</v>
      </c>
      <c r="AM83" s="19" t="e">
        <f t="shared" si="17"/>
        <v>#N/A</v>
      </c>
      <c r="AN83" s="19" t="e">
        <f t="shared" si="17"/>
        <v>#N/A</v>
      </c>
      <c r="AO83" s="19" t="e">
        <f t="shared" si="17"/>
        <v>#N/A</v>
      </c>
      <c r="AP83" s="19" t="e">
        <f t="shared" si="17"/>
        <v>#N/A</v>
      </c>
      <c r="AQ83" s="19" t="e">
        <f t="shared" si="17"/>
        <v>#N/A</v>
      </c>
      <c r="AR83" s="385" t="s">
        <v>483</v>
      </c>
      <c r="AV83" s="29" t="s">
        <v>392</v>
      </c>
      <c r="AW83" s="24">
        <f>AW82</f>
        <v>8.0298786181139139</v>
      </c>
      <c r="AX83" s="51">
        <f t="shared" si="16"/>
        <v>335.10321638291128</v>
      </c>
      <c r="AY83" s="51">
        <f t="shared" si="16"/>
        <v>1</v>
      </c>
      <c r="AZ83" s="158">
        <f>AW83*AX83*AY83</f>
        <v>2690.8381520943394</v>
      </c>
      <c r="BA83" s="24" t="e">
        <f>BA73</f>
        <v>#N/A</v>
      </c>
      <c r="BB83" s="12" t="e">
        <f>BA83*AZ83</f>
        <v>#N/A</v>
      </c>
      <c r="BC83" s="51"/>
      <c r="BD83" s="158" t="e">
        <f>AZ83*BA83^2</f>
        <v>#N/A</v>
      </c>
    </row>
    <row r="84" spans="2:57" ht="15.75">
      <c r="U84" t="str">
        <f>B85</f>
        <v>UNDERSTØTNINGER FOR LØB/NABOELEM.</v>
      </c>
      <c r="AA84" s="57" t="s">
        <v>326</v>
      </c>
      <c r="AE84" s="57" t="s">
        <v>484</v>
      </c>
      <c r="AF84" s="49"/>
      <c r="AV84" s="29"/>
      <c r="AY84" s="46" t="s">
        <v>395</v>
      </c>
      <c r="AZ84" t="e">
        <f>SUM(AZ81:AZ83)</f>
        <v>#N/A</v>
      </c>
      <c r="BA84" s="46" t="s">
        <v>396</v>
      </c>
      <c r="BB84" t="e">
        <f>SUM(BB81:BB83)</f>
        <v>#N/A</v>
      </c>
      <c r="BC84" s="46" t="s">
        <v>397</v>
      </c>
      <c r="BD84" t="e">
        <f>SUM(BD81:BD83)</f>
        <v>#N/A</v>
      </c>
    </row>
    <row r="85" spans="2:57" ht="15.75">
      <c r="B85" t="s">
        <v>485</v>
      </c>
      <c r="H85" t="e">
        <f>IF(H59+J59=0," ",IF(N86="ja","INCL. LAST FRA NABOKANTSTRIMMEL","EXCL. LAST FRA NABOKANTSTRIMMEL"))</f>
        <v>#N/A</v>
      </c>
      <c r="N85" s="81"/>
      <c r="O85" s="81"/>
      <c r="U85" s="19" t="s">
        <v>440</v>
      </c>
      <c r="V85" s="19" t="s">
        <v>441</v>
      </c>
      <c r="W85" s="51">
        <f>J92</f>
        <v>188.4955592153876</v>
      </c>
      <c r="X85" t="s">
        <v>442</v>
      </c>
      <c r="AB85" t="s">
        <v>486</v>
      </c>
      <c r="AE85" s="291"/>
      <c r="AF85" s="49"/>
      <c r="AG85" t="s">
        <v>487</v>
      </c>
      <c r="AH85" t="s">
        <v>488</v>
      </c>
      <c r="AI85" t="s">
        <v>489</v>
      </c>
      <c r="AL85" t="e">
        <f>IF(AM88&gt;0,"e.kraft v","m.pkt. ")</f>
        <v>#N/A</v>
      </c>
      <c r="AM85" t="e">
        <f>IF(AM88&gt;0,"e.kraft h","m.pkt. ")</f>
        <v>#N/A</v>
      </c>
      <c r="AN85" t="s">
        <v>487</v>
      </c>
      <c r="AO85" t="s">
        <v>488</v>
      </c>
      <c r="AP85" t="e">
        <f>IF(AQ88&gt;0,"e.kraft v"," ")</f>
        <v>#N/A</v>
      </c>
      <c r="AQ85" t="e">
        <f>IF(AQ88&gt;0,"e.kraft h"," ")</f>
        <v>#N/A</v>
      </c>
      <c r="AV85" s="29"/>
      <c r="AX85" s="159" t="s">
        <v>403</v>
      </c>
      <c r="BA85" s="46" t="s">
        <v>404</v>
      </c>
      <c r="BB85" s="24" t="e">
        <f>BB84/AZ84</f>
        <v>#N/A</v>
      </c>
      <c r="BC85" s="46" t="s">
        <v>405</v>
      </c>
      <c r="BD85" s="12" t="e">
        <f>-AZ84*BB85^2</f>
        <v>#N/A</v>
      </c>
    </row>
    <row r="86" spans="2:57" ht="15.75">
      <c r="G86" t="s">
        <v>119</v>
      </c>
      <c r="H86" t="s">
        <v>120</v>
      </c>
      <c r="I86" t="s">
        <v>112</v>
      </c>
      <c r="J86" s="51">
        <f>F93+15-J88/2</f>
        <v>72</v>
      </c>
      <c r="K86" t="s">
        <v>78</v>
      </c>
      <c r="N86" s="154" t="s">
        <v>46</v>
      </c>
      <c r="O86" s="81" t="s">
        <v>490</v>
      </c>
      <c r="U86" s="49">
        <f>1+SQRT(200/W87)</f>
        <v>2.666666666666667</v>
      </c>
      <c r="V86" s="24">
        <f>(0.18/$N$17*U87*(100*W85/(W86*W87)*$J$22)^(1/3))*W86*W87*10^-3</f>
        <v>36.801901220370041</v>
      </c>
      <c r="W86">
        <v>1000</v>
      </c>
      <c r="X86" t="s">
        <v>447</v>
      </c>
      <c r="AE86" s="46" t="s">
        <v>344</v>
      </c>
      <c r="AF86" s="67">
        <v>0</v>
      </c>
      <c r="AG86" s="67" t="e">
        <f>AA94</f>
        <v>#N/A</v>
      </c>
      <c r="AH86" s="67" t="e">
        <f>AG86</f>
        <v>#N/A</v>
      </c>
      <c r="AI86" s="67" t="e">
        <f>AH86+(AL86-AH86)*0.25</f>
        <v>#N/A</v>
      </c>
      <c r="AJ86" s="67" t="e">
        <f>AH86+(AL86-AH86)*0.5</f>
        <v>#N/A</v>
      </c>
      <c r="AK86" s="67" t="e">
        <f>AH86+(AL86-AH86)*0.75</f>
        <v>#N/A</v>
      </c>
      <c r="AL86" s="67" t="e">
        <f>IF(AL83="&gt;",+AB88,AH86+(AN86-AH86)*0.75)</f>
        <v>#N/A</v>
      </c>
      <c r="AM86" s="67" t="e">
        <f>AL86</f>
        <v>#N/A</v>
      </c>
      <c r="AN86" s="67" t="e">
        <f>AA94+AB94</f>
        <v>#N/A</v>
      </c>
      <c r="AO86" s="67" t="e">
        <f>AN86</f>
        <v>#N/A</v>
      </c>
      <c r="AP86" s="67" t="e">
        <f>IF(AC94=0,+AO86,IF(AP83="&lt;",+AB88,+AR86-AC101))</f>
        <v>#N/A</v>
      </c>
      <c r="AQ86" s="67" t="e">
        <f>AP86</f>
        <v>#N/A</v>
      </c>
      <c r="AR86" s="67" t="e">
        <f>AA94+AB94+AC94</f>
        <v>#N/A</v>
      </c>
      <c r="AS86" t="str">
        <f t="shared" ref="AS86:AS93" si="18">AE86</f>
        <v>snit, x= [m]</v>
      </c>
      <c r="BC86" s="46" t="s">
        <v>408</v>
      </c>
      <c r="BD86" t="e">
        <f>BD85+BD84</f>
        <v>#N/A</v>
      </c>
      <c r="BE86" t="e">
        <f>BD86*10^-12</f>
        <v>#N/A</v>
      </c>
    </row>
    <row r="87" spans="2:57">
      <c r="C87" t="s">
        <v>120</v>
      </c>
      <c r="G87" t="s">
        <v>491</v>
      </c>
      <c r="H87" t="s">
        <v>333</v>
      </c>
      <c r="I87" t="s">
        <v>112</v>
      </c>
      <c r="J87" s="51">
        <f>J88/2+15+20+5+2/3*(F90-20-2*5)</f>
        <v>103</v>
      </c>
      <c r="K87" t="s">
        <v>78</v>
      </c>
      <c r="N87" s="67"/>
      <c r="O87" s="81"/>
      <c r="U87" s="49">
        <f>IF(U86&gt;2,2,U86)</f>
        <v>2</v>
      </c>
      <c r="V87" s="24">
        <f>(0.035*U87^(3/2)*SQRT($J$22)*W86*W87)*10^-3</f>
        <v>39.039672129770757</v>
      </c>
      <c r="W87">
        <f>J86</f>
        <v>72</v>
      </c>
      <c r="X87" t="s">
        <v>450</v>
      </c>
      <c r="AA87" s="49" t="e">
        <f>L46*J16/2*10^-3</f>
        <v>#N/A</v>
      </c>
      <c r="AB87" t="s">
        <v>435</v>
      </c>
      <c r="AC87" s="292" t="e">
        <f>AC103*AA100</f>
        <v>#N/A</v>
      </c>
      <c r="AD87" t="s">
        <v>439</v>
      </c>
      <c r="AE87" s="293" t="s">
        <v>492</v>
      </c>
      <c r="AF87" s="49"/>
      <c r="AG87" s="49" t="e">
        <f>AA87</f>
        <v>#N/A</v>
      </c>
      <c r="AH87" s="49"/>
      <c r="AI87" s="49" t="e">
        <f>AG87</f>
        <v>#N/A</v>
      </c>
      <c r="AJ87" s="49" t="e">
        <f>AI87</f>
        <v>#N/A</v>
      </c>
      <c r="AK87" s="49" t="e">
        <f>AJ87</f>
        <v>#N/A</v>
      </c>
      <c r="AL87" s="49" t="e">
        <f>AG87</f>
        <v>#N/A</v>
      </c>
      <c r="AM87" s="49"/>
      <c r="AN87" s="49" t="e">
        <f>IF(AN83="&gt;",+AQ87,+AL87)</f>
        <v>#N/A</v>
      </c>
      <c r="AO87" s="49"/>
      <c r="AP87" s="49" t="e">
        <f>IF(AP83="&lt;",+AN87,+AQ87)</f>
        <v>#N/A</v>
      </c>
      <c r="AQ87" s="49" t="e">
        <f>AC89</f>
        <v>#N/A</v>
      </c>
      <c r="AR87" s="49" t="e">
        <f>AQ87</f>
        <v>#N/A</v>
      </c>
      <c r="AS87" t="str">
        <f t="shared" si="18"/>
        <v>linielast [kN/m]</v>
      </c>
    </row>
    <row r="88" spans="2:57" ht="15.75">
      <c r="E88" t="s">
        <v>333</v>
      </c>
      <c r="G88" t="s">
        <v>493</v>
      </c>
      <c r="H88" s="176"/>
      <c r="I88" s="107" t="s">
        <v>192</v>
      </c>
      <c r="J88" s="63">
        <v>6</v>
      </c>
      <c r="K88" t="s">
        <v>445</v>
      </c>
      <c r="N88" s="177" t="str">
        <f>IF(N47="nej"," ","last skal justeres hvis virkelig")</f>
        <v xml:space="preserve"> </v>
      </c>
      <c r="P88">
        <f>CODE(I88)</f>
        <v>75</v>
      </c>
      <c r="Q88">
        <f>HLOOKUP(P88,AA310:AZ320,6)</f>
        <v>500</v>
      </c>
      <c r="R88" t="s">
        <v>239</v>
      </c>
      <c r="AB88" s="79" t="e">
        <f>AA94+AB94+AC94-AC88</f>
        <v>#N/A</v>
      </c>
      <c r="AC88" s="67" t="e">
        <f>($F$36+$J$18)*10^-3</f>
        <v>#N/A</v>
      </c>
      <c r="AD88" t="s">
        <v>84</v>
      </c>
      <c r="AE88" s="55" t="s">
        <v>494</v>
      </c>
      <c r="AF88" s="49"/>
      <c r="AG88" s="49"/>
      <c r="AH88" s="49"/>
      <c r="AI88" s="49"/>
      <c r="AJ88" s="49"/>
      <c r="AK88" s="49"/>
      <c r="AL88" s="49"/>
      <c r="AM88" s="49" t="e">
        <f>IF(AM83="&gt;",+AC87,0)</f>
        <v>#N/A</v>
      </c>
      <c r="AN88" s="49"/>
      <c r="AO88" s="49" t="e">
        <f>IF(AO83="=",0,0)</f>
        <v>#N/A</v>
      </c>
      <c r="AP88" s="49"/>
      <c r="AQ88" s="49" t="e">
        <f>IF(AQ83="&lt;",+AC87,0)</f>
        <v>#N/A</v>
      </c>
      <c r="AR88" s="49"/>
      <c r="AS88" t="str">
        <f t="shared" si="18"/>
        <v>enkeltkraft [kN]</v>
      </c>
    </row>
    <row r="89" spans="2:57" ht="15.75">
      <c r="G89" t="s">
        <v>495</v>
      </c>
      <c r="I89" s="27"/>
      <c r="J89" s="63">
        <v>150</v>
      </c>
      <c r="K89" t="s">
        <v>78</v>
      </c>
      <c r="N89" s="177" t="str">
        <f>IF(N47="nej"," ","spændvidde for løb giver større")</f>
        <v xml:space="preserve"> </v>
      </c>
      <c r="P89" s="67">
        <f>IF(Q89&lt;P90,0,IF(Q89&lt;R90,+Q89,0.5*Q89*Q91*(-1+SQRT(1+4*$AA$302/(Q89*Q91)))))</f>
        <v>5.0905436516501278E-2</v>
      </c>
      <c r="Q89" s="67">
        <f>J92*J91/(10^3*J86*J23)</f>
        <v>5.0905436516501278E-2</v>
      </c>
      <c r="R89" t="s">
        <v>273</v>
      </c>
      <c r="AC89" s="49" t="e">
        <f>L46*0.9*J15*10^-3</f>
        <v>#N/A</v>
      </c>
      <c r="AD89" t="s">
        <v>435</v>
      </c>
      <c r="AE89" s="46" t="s">
        <v>496</v>
      </c>
      <c r="AF89" s="49"/>
      <c r="AG89" s="49"/>
      <c r="AH89" s="49" t="e">
        <f>AB91</f>
        <v>#N/A</v>
      </c>
      <c r="AI89" s="49"/>
      <c r="AJ89" s="49"/>
      <c r="AK89" s="49"/>
      <c r="AL89" s="49"/>
      <c r="AM89" s="49"/>
      <c r="AN89" s="49"/>
      <c r="AO89" s="49" t="e">
        <f>AC91</f>
        <v>#N/A</v>
      </c>
      <c r="AP89" s="49"/>
      <c r="AQ89" s="49"/>
      <c r="AR89" s="49"/>
      <c r="AS89" t="str">
        <f t="shared" si="18"/>
        <v>R [kN]</v>
      </c>
    </row>
    <row r="90" spans="2:57" ht="15.75">
      <c r="F90" s="19">
        <v>120</v>
      </c>
      <c r="H90" t="s">
        <v>248</v>
      </c>
      <c r="I90" t="s">
        <v>112</v>
      </c>
      <c r="J90" s="51">
        <f>Q88</f>
        <v>500</v>
      </c>
      <c r="K90" t="s">
        <v>31</v>
      </c>
      <c r="N90" s="177" t="str">
        <f>IF(N47="nej"," ","værdi (brug makroknapper)")</f>
        <v xml:space="preserve"> </v>
      </c>
      <c r="P90" s="67">
        <f>MAXA(V90:V91)</f>
        <v>2.9286511333037436E-2</v>
      </c>
      <c r="Q90" s="67">
        <f>HLOOKUP(P88,AA310:AZ320,5)</f>
        <v>4.9882794186591653E-2</v>
      </c>
      <c r="R90" s="67">
        <f>HLOOKUP(P88,AA310:AZ320,8)</f>
        <v>0.5014925373134328</v>
      </c>
      <c r="S90" t="s">
        <v>255</v>
      </c>
      <c r="V90" s="67">
        <f>0.26*$J$24/J90*J91/$J$23</f>
        <v>2.9286511333037436E-2</v>
      </c>
      <c r="AE90" s="46" t="s">
        <v>344</v>
      </c>
      <c r="AF90" s="67">
        <f t="shared" ref="AF90:AR90" si="19">AF86</f>
        <v>0</v>
      </c>
      <c r="AG90" s="67" t="e">
        <f t="shared" si="19"/>
        <v>#N/A</v>
      </c>
      <c r="AH90" s="67" t="e">
        <f t="shared" si="19"/>
        <v>#N/A</v>
      </c>
      <c r="AI90" s="67" t="e">
        <f t="shared" si="19"/>
        <v>#N/A</v>
      </c>
      <c r="AJ90" s="67" t="e">
        <f t="shared" si="19"/>
        <v>#N/A</v>
      </c>
      <c r="AK90" s="67" t="e">
        <f t="shared" si="19"/>
        <v>#N/A</v>
      </c>
      <c r="AL90" s="67" t="e">
        <f t="shared" si="19"/>
        <v>#N/A</v>
      </c>
      <c r="AM90" s="67" t="e">
        <f t="shared" si="19"/>
        <v>#N/A</v>
      </c>
      <c r="AN90" s="67" t="e">
        <f t="shared" si="19"/>
        <v>#N/A</v>
      </c>
      <c r="AO90" s="67" t="e">
        <f t="shared" si="19"/>
        <v>#N/A</v>
      </c>
      <c r="AP90" s="67" t="e">
        <f t="shared" si="19"/>
        <v>#N/A</v>
      </c>
      <c r="AQ90" s="67" t="e">
        <f t="shared" si="19"/>
        <v>#N/A</v>
      </c>
      <c r="AR90" s="67" t="e">
        <f t="shared" si="19"/>
        <v>#N/A</v>
      </c>
      <c r="AS90" t="str">
        <f t="shared" si="18"/>
        <v>snit, x= [m]</v>
      </c>
    </row>
    <row r="91" spans="2:57">
      <c r="C91" s="19" t="s">
        <v>497</v>
      </c>
      <c r="F91" s="46" t="s">
        <v>498</v>
      </c>
      <c r="H91" t="s">
        <v>254</v>
      </c>
      <c r="I91" t="s">
        <v>112</v>
      </c>
      <c r="J91" s="51">
        <f>Q88/$N$19</f>
        <v>416.66666666666669</v>
      </c>
      <c r="K91" t="s">
        <v>31</v>
      </c>
      <c r="N91" s="24"/>
      <c r="P91" s="81"/>
      <c r="Q91" s="49">
        <f>HLOOKUP(P88,AA310:AZ320,9)</f>
        <v>1.6799999999999997</v>
      </c>
      <c r="R91" t="s">
        <v>260</v>
      </c>
      <c r="V91" s="67">
        <f>0.0013*J91/$J$23</f>
        <v>2.5277777777777774E-2</v>
      </c>
      <c r="AA91" s="49"/>
      <c r="AB91" s="65" t="e">
        <f>AA87*AB88+AC87+AC89*AC88-AC97-AC91</f>
        <v>#N/A</v>
      </c>
      <c r="AC91" s="78" t="e">
        <f>(AA87*AB88*(AB88/2-AA94)+AC87*(AB88-AA94)+AC89*AC88*(AB88-AA94+AC88/2))/AB94-AC97</f>
        <v>#N/A</v>
      </c>
      <c r="AD91" t="s">
        <v>439</v>
      </c>
      <c r="AE91" s="46" t="s">
        <v>499</v>
      </c>
      <c r="AF91" s="49">
        <v>0</v>
      </c>
      <c r="AG91" s="49" t="e">
        <f>-AG87*AG86^2/2</f>
        <v>#N/A</v>
      </c>
      <c r="AH91" s="49" t="e">
        <f>AG91</f>
        <v>#N/A</v>
      </c>
      <c r="AI91" s="49" t="e">
        <f>AH89*(AI86-AH86)-AI87*AI86^2/2</f>
        <v>#N/A</v>
      </c>
      <c r="AJ91" s="49" t="e">
        <f>AH89*(AJ86-AH86)-AJ87*AJ86^2/2</f>
        <v>#N/A</v>
      </c>
      <c r="AK91" s="49" t="e">
        <f>AH89*(AK86-AH86)-AK87*AK86^2/2</f>
        <v>#N/A</v>
      </c>
      <c r="AL91" s="49" t="e">
        <f>AH89*(AL86-AH86)-AL87*AL86^2/2</f>
        <v>#N/A</v>
      </c>
      <c r="AM91" s="49" t="e">
        <f>AL91</f>
        <v>#N/A</v>
      </c>
      <c r="AN91" s="49" t="e">
        <f>IF(AN83="&lt;",+AH89*(AN86-AH86)-AL87*AL86*(AL86/2+(AN86-AL86))-AN87*(AN86-AL86)^2/2-AM88*(AN86-AM86),-AQ87*(AR86-AN86)^2/2)</f>
        <v>#N/A</v>
      </c>
      <c r="AO91" s="49" t="e">
        <f>AN91</f>
        <v>#N/A</v>
      </c>
      <c r="AP91" s="49" t="e">
        <f>AQ91</f>
        <v>#N/A</v>
      </c>
      <c r="AQ91" s="49" t="e">
        <f>-AQ87*(AR86-AQ86)^2/2</f>
        <v>#N/A</v>
      </c>
      <c r="AR91" s="49">
        <v>0</v>
      </c>
      <c r="AS91" t="str">
        <f t="shared" si="18"/>
        <v>M [kNm]</v>
      </c>
    </row>
    <row r="92" spans="2:57">
      <c r="H92" t="s">
        <v>259</v>
      </c>
      <c r="I92" t="s">
        <v>112</v>
      </c>
      <c r="J92" s="51">
        <f>J88^2/4*PI()*10^3/J89</f>
        <v>188.4955592153876</v>
      </c>
      <c r="K92" t="s">
        <v>500</v>
      </c>
      <c r="N92" s="24" t="e">
        <f>IF(P83="ja",+MAXA(Q91:R91)+MAXA(J56/J53/2,L56/L53/2),+MAXA(Q91:R91))</f>
        <v>#N/A</v>
      </c>
      <c r="O92" s="178" t="s">
        <v>501</v>
      </c>
      <c r="P92" s="179"/>
      <c r="Q92" s="179"/>
      <c r="R92" s="179"/>
      <c r="S92" s="180"/>
      <c r="AA92" s="49"/>
      <c r="AB92" s="49"/>
      <c r="AC92" s="49"/>
      <c r="AE92" s="46" t="s">
        <v>502</v>
      </c>
      <c r="AF92" s="49">
        <v>0</v>
      </c>
      <c r="AG92" s="49" t="e">
        <f>-AG87*AG86</f>
        <v>#N/A</v>
      </c>
      <c r="AH92" s="49" t="e">
        <f>AG92+AH89</f>
        <v>#N/A</v>
      </c>
      <c r="AI92" s="49" t="e">
        <f>AH92-AI87*(AI86-AH86)</f>
        <v>#N/A</v>
      </c>
      <c r="AJ92" s="49" t="e">
        <f>AI92-AJ87*(AJ86-AI86)</f>
        <v>#N/A</v>
      </c>
      <c r="AK92" s="49" t="e">
        <f>AJ92-AK87*(AK86-AJ86)</f>
        <v>#N/A</v>
      </c>
      <c r="AL92" s="49" t="e">
        <f>AH92-AL87*(AL86-AG86)</f>
        <v>#N/A</v>
      </c>
      <c r="AM92" s="49" t="e">
        <f>AL92-AM88</f>
        <v>#N/A</v>
      </c>
      <c r="AN92" s="49" t="e">
        <f>AM92-AN87*(AN86-AM86)</f>
        <v>#N/A</v>
      </c>
      <c r="AO92" s="49" t="e">
        <f>AN92-AO88+AO89</f>
        <v>#N/A</v>
      </c>
      <c r="AP92" s="49" t="e">
        <f>AO92-AP87*(AP86-AO86)</f>
        <v>#N/A</v>
      </c>
      <c r="AQ92" s="49" t="e">
        <f>AP92-AQ88</f>
        <v>#N/A</v>
      </c>
      <c r="AR92" s="49" t="e">
        <f>AQ92-AR87*(AR86-AQ86)</f>
        <v>#N/A</v>
      </c>
      <c r="AS92" t="str">
        <f t="shared" si="18"/>
        <v>V [kN]</v>
      </c>
    </row>
    <row r="93" spans="2:57">
      <c r="C93" s="19" t="s">
        <v>350</v>
      </c>
      <c r="F93" s="132">
        <v>60</v>
      </c>
      <c r="G93" t="s">
        <v>503</v>
      </c>
      <c r="I93" t="s">
        <v>112</v>
      </c>
      <c r="J93" s="24">
        <f>J23*COS(ATAN(0.8*J86/J87))</f>
        <v>18.702746957119125</v>
      </c>
      <c r="K93" t="s">
        <v>31</v>
      </c>
      <c r="O93" s="181">
        <f>AL27</f>
        <v>0</v>
      </c>
      <c r="P93" s="74">
        <f>AO27</f>
        <v>0</v>
      </c>
      <c r="Q93" s="182" t="s">
        <v>504</v>
      </c>
      <c r="S93" s="183"/>
      <c r="AA93" s="65" t="s">
        <v>505</v>
      </c>
      <c r="AB93" s="65" t="s">
        <v>506</v>
      </c>
      <c r="AC93" s="65" t="s">
        <v>244</v>
      </c>
      <c r="AE93" s="46" t="s">
        <v>420</v>
      </c>
      <c r="AF93" s="49">
        <f t="shared" ref="AF93:AR93" si="20">SQRT(AF92^2)</f>
        <v>0</v>
      </c>
      <c r="AG93" s="49" t="e">
        <f t="shared" si="20"/>
        <v>#N/A</v>
      </c>
      <c r="AH93" s="49" t="e">
        <f t="shared" si="20"/>
        <v>#N/A</v>
      </c>
      <c r="AI93" s="49" t="e">
        <f t="shared" si="20"/>
        <v>#N/A</v>
      </c>
      <c r="AJ93" s="49" t="e">
        <f t="shared" si="20"/>
        <v>#N/A</v>
      </c>
      <c r="AK93" s="49" t="e">
        <f t="shared" si="20"/>
        <v>#N/A</v>
      </c>
      <c r="AL93" s="49" t="e">
        <f t="shared" si="20"/>
        <v>#N/A</v>
      </c>
      <c r="AM93" s="49" t="e">
        <f t="shared" si="20"/>
        <v>#N/A</v>
      </c>
      <c r="AN93" s="49" t="e">
        <f t="shared" si="20"/>
        <v>#N/A</v>
      </c>
      <c r="AO93" s="49" t="e">
        <f t="shared" si="20"/>
        <v>#N/A</v>
      </c>
      <c r="AP93" s="49" t="e">
        <f t="shared" si="20"/>
        <v>#N/A</v>
      </c>
      <c r="AQ93" s="49" t="e">
        <f t="shared" si="20"/>
        <v>#N/A</v>
      </c>
      <c r="AR93" s="49" t="e">
        <f t="shared" si="20"/>
        <v>#N/A</v>
      </c>
      <c r="AS93" t="str">
        <f t="shared" si="18"/>
        <v>|V| ialt [kN]</v>
      </c>
    </row>
    <row r="94" spans="2:57" ht="15.75">
      <c r="G94" t="s">
        <v>507</v>
      </c>
      <c r="H94" s="24">
        <f>(1-0.5*P89)*P89*10^3*J86^2*J93/1000000</f>
        <v>4.8099157705764011</v>
      </c>
      <c r="J94" t="s">
        <v>133</v>
      </c>
      <c r="K94" t="e">
        <f>IF(H94&gt;L94,"&gt;","&lt;")</f>
        <v>#N/A</v>
      </c>
      <c r="L94" s="24" t="e">
        <f>L95*J87*10^-3</f>
        <v>#N/A</v>
      </c>
      <c r="M94" t="e">
        <f>IF(H94&gt;L94,"accept","forkast")</f>
        <v>#N/A</v>
      </c>
      <c r="N94" s="184" t="e">
        <f>IF(M94="forkast","NB!"," ")</f>
        <v>#N/A</v>
      </c>
      <c r="O94" s="24" t="e">
        <f>AM29+AM30</f>
        <v>#N/A</v>
      </c>
      <c r="P94" s="24" t="e">
        <f>AN29+AN30</f>
        <v>#N/A</v>
      </c>
      <c r="Q94" t="s">
        <v>508</v>
      </c>
      <c r="S94" s="183"/>
      <c r="AA94" s="79" t="e">
        <f>J35*10^-3</f>
        <v>#N/A</v>
      </c>
      <c r="AB94" s="79" t="e">
        <f>J37*10^-3</f>
        <v>#N/A</v>
      </c>
      <c r="AC94" s="79" t="e">
        <f>J36*10^-3</f>
        <v>#N/A</v>
      </c>
      <c r="AD94" t="s">
        <v>84</v>
      </c>
      <c r="AE94" s="291"/>
      <c r="AF94" s="49"/>
    </row>
    <row r="95" spans="2:57" ht="15.75">
      <c r="G95" t="s">
        <v>509</v>
      </c>
      <c r="H95" s="24">
        <f>MAXA(V86:V87)</f>
        <v>39.039672129770757</v>
      </c>
      <c r="J95" t="s">
        <v>435</v>
      </c>
      <c r="K95" t="e">
        <f>IF(H95&gt;L95,"&gt;","&lt;")</f>
        <v>#N/A</v>
      </c>
      <c r="L95" s="320" t="e">
        <f>IF(N86="ja",+MAXA(O94:P94)+MAXA(H59/H56/2,J59/J56/2),+MAXA(O94:P94))</f>
        <v>#N/A</v>
      </c>
      <c r="M95" t="e">
        <f>IF(H95&gt;L95,"accept","forkast")</f>
        <v>#N/A</v>
      </c>
      <c r="N95" s="184" t="e">
        <f>IF(M95="forkast","NB!"," ")</f>
        <v>#N/A</v>
      </c>
      <c r="O95" s="24" t="e">
        <f>H59/H56/2</f>
        <v>#N/A</v>
      </c>
      <c r="P95" s="24" t="e">
        <f>J59/J56/2</f>
        <v>#N/A</v>
      </c>
      <c r="Q95" t="s">
        <v>510</v>
      </c>
      <c r="S95" s="183"/>
      <c r="AC95" s="57" t="s">
        <v>317</v>
      </c>
      <c r="AE95" s="46"/>
      <c r="AF95" s="67"/>
      <c r="AG95" s="73"/>
      <c r="AH95" s="73"/>
      <c r="AI95" s="73"/>
      <c r="AJ95" s="73"/>
      <c r="AK95" s="73"/>
    </row>
    <row r="96" spans="2:57">
      <c r="G96" t="s">
        <v>511</v>
      </c>
      <c r="H96" s="176"/>
      <c r="I96" s="107" t="s">
        <v>192</v>
      </c>
      <c r="J96" s="63">
        <f>J88</f>
        <v>6</v>
      </c>
      <c r="K96" t="s">
        <v>445</v>
      </c>
      <c r="O96" s="185" t="e">
        <f>H48</f>
        <v>#N/A</v>
      </c>
      <c r="P96" s="186" t="e">
        <f>J48</f>
        <v>#N/A</v>
      </c>
      <c r="Q96" s="187" t="s">
        <v>512</v>
      </c>
      <c r="R96" s="187"/>
      <c r="S96" s="188"/>
      <c r="Y96" t="s">
        <v>1114</v>
      </c>
      <c r="AF96" s="49"/>
      <c r="AG96" s="172"/>
      <c r="AH96" s="172"/>
      <c r="AI96" s="172"/>
      <c r="AJ96" s="172"/>
      <c r="AK96" s="172"/>
    </row>
    <row r="97" spans="2:45">
      <c r="G97" t="s">
        <v>495</v>
      </c>
      <c r="I97" s="27"/>
      <c r="J97" s="63">
        <f>J89</f>
        <v>150</v>
      </c>
      <c r="K97" t="s">
        <v>78</v>
      </c>
      <c r="N97">
        <f>CODE(I96)</f>
        <v>75</v>
      </c>
      <c r="O97">
        <f>HLOOKUP(N97,AA310:AZ320,6)</f>
        <v>500</v>
      </c>
      <c r="P97" t="s">
        <v>239</v>
      </c>
      <c r="Y97" t="s">
        <v>1115</v>
      </c>
      <c r="AB97" s="19" t="s">
        <v>513</v>
      </c>
      <c r="AC97" s="65" t="e">
        <f>IF(AC88=AC94,+AC87,0)</f>
        <v>#N/A</v>
      </c>
      <c r="AD97" t="s">
        <v>439</v>
      </c>
      <c r="AF97" s="49"/>
      <c r="AG97" s="172"/>
      <c r="AH97" s="172"/>
      <c r="AI97" s="136"/>
      <c r="AJ97" s="136"/>
      <c r="AK97" s="136"/>
    </row>
    <row r="98" spans="2:45">
      <c r="H98" t="s">
        <v>248</v>
      </c>
      <c r="I98" t="s">
        <v>112</v>
      </c>
      <c r="J98" s="51">
        <f>O97</f>
        <v>500</v>
      </c>
      <c r="Z98" s="46" t="s">
        <v>514</v>
      </c>
      <c r="AA98" s="65" t="e">
        <f>AB88-AA94</f>
        <v>#N/A</v>
      </c>
      <c r="AC98" s="293"/>
      <c r="AD98" s="293" t="s">
        <v>515</v>
      </c>
      <c r="AF98" s="24"/>
      <c r="AG98" s="171"/>
      <c r="AH98" s="171"/>
      <c r="AI98" s="136"/>
      <c r="AJ98" s="136"/>
      <c r="AK98" s="136"/>
      <c r="AL98" t="s">
        <v>71</v>
      </c>
    </row>
    <row r="99" spans="2:45">
      <c r="H99" t="s">
        <v>453</v>
      </c>
      <c r="I99" t="s">
        <v>112</v>
      </c>
      <c r="J99" s="51">
        <f>O97/N19</f>
        <v>416.66666666666669</v>
      </c>
      <c r="K99" t="s">
        <v>31</v>
      </c>
      <c r="N99" s="67"/>
      <c r="O99" s="81"/>
      <c r="Z99" s="46" t="s">
        <v>1153</v>
      </c>
      <c r="AA99" s="65" t="e">
        <f>AB94+AC94-AC102</f>
        <v>#N/A</v>
      </c>
      <c r="AD99" t="s">
        <v>516</v>
      </c>
      <c r="AF99" s="67"/>
      <c r="AG99" s="73"/>
      <c r="AH99" s="73"/>
      <c r="AI99" s="73"/>
      <c r="AJ99" s="73"/>
      <c r="AK99" s="73"/>
      <c r="AL99" t="s">
        <v>517</v>
      </c>
      <c r="AP99" s="65" t="e">
        <f>MINA(AF91:AR91)</f>
        <v>#N/A</v>
      </c>
      <c r="AQ99" t="s">
        <v>135</v>
      </c>
    </row>
    <row r="100" spans="2:45">
      <c r="H100" s="55" t="s">
        <v>259</v>
      </c>
      <c r="I100" t="s">
        <v>112</v>
      </c>
      <c r="J100" s="51">
        <f>J96*J96/4*PI()*10^3/J97</f>
        <v>188.4955592153876</v>
      </c>
      <c r="K100" t="s">
        <v>105</v>
      </c>
      <c r="Z100" s="46" t="s">
        <v>1116</v>
      </c>
      <c r="AA100" s="65" t="e">
        <f>AA99/AA98</f>
        <v>#N/A</v>
      </c>
      <c r="AG100" s="172"/>
      <c r="AH100" s="172"/>
      <c r="AI100" s="172"/>
      <c r="AJ100" s="172"/>
      <c r="AK100" s="172"/>
      <c r="AL100" t="s">
        <v>518</v>
      </c>
      <c r="AP100" s="65" t="e">
        <f>MAXA(AF91:AR91)</f>
        <v>#N/A</v>
      </c>
      <c r="AQ100" t="s">
        <v>135</v>
      </c>
    </row>
    <row r="101" spans="2:45" ht="15.75">
      <c r="G101" s="55" t="s">
        <v>519</v>
      </c>
      <c r="H101" s="51" t="e">
        <f>L95*10^3/J100</f>
        <v>#N/A</v>
      </c>
      <c r="J101" t="s">
        <v>31</v>
      </c>
      <c r="K101" t="e">
        <f>IF(H101&gt;L101,"&gt;","&lt;")</f>
        <v>#N/A</v>
      </c>
      <c r="L101" s="51">
        <f>J99</f>
        <v>416.66666666666669</v>
      </c>
      <c r="M101" t="e">
        <f>IF(OR(H101&gt;L101,H101&lt;0),"forkast","accept")</f>
        <v>#N/A</v>
      </c>
      <c r="N101" s="165" t="e">
        <f>IF(M101="forkast","NB!"," ")</f>
        <v>#N/A</v>
      </c>
      <c r="O101" t="s">
        <v>520</v>
      </c>
      <c r="Q101" t="s">
        <v>521</v>
      </c>
      <c r="S101" s="19" t="s">
        <v>522</v>
      </c>
      <c r="T101" s="19" t="s">
        <v>523</v>
      </c>
      <c r="Y101" s="55" t="s">
        <v>1117</v>
      </c>
      <c r="AA101" s="49"/>
      <c r="AC101" s="67">
        <f>+$J$21*10^-3</f>
        <v>0.12</v>
      </c>
      <c r="AD101" s="55" t="s">
        <v>84</v>
      </c>
      <c r="AG101" s="172"/>
      <c r="AH101" s="172"/>
      <c r="AI101" s="172"/>
      <c r="AJ101" s="172"/>
      <c r="AK101" s="172"/>
      <c r="AL101" t="s">
        <v>524</v>
      </c>
      <c r="AP101" s="65" t="e">
        <f>MAXA(AF93:AL93)</f>
        <v>#N/A</v>
      </c>
      <c r="AQ101" t="s">
        <v>439</v>
      </c>
    </row>
    <row r="102" spans="2:45">
      <c r="O102" s="19" t="s">
        <v>71</v>
      </c>
      <c r="P102" s="19" t="s">
        <v>72</v>
      </c>
      <c r="Q102" s="19" t="s">
        <v>71</v>
      </c>
      <c r="R102" s="19" t="s">
        <v>72</v>
      </c>
      <c r="S102" s="19" t="str">
        <f>J34</f>
        <v>dorn</v>
      </c>
      <c r="T102" s="19" t="str">
        <f>L34</f>
        <v>fast</v>
      </c>
      <c r="Z102" s="46" t="s">
        <v>443</v>
      </c>
      <c r="AA102" s="65" t="e">
        <f>AB94+AC94-AC102-(F36+J18-(J21-20)/2)/2*10^-3</f>
        <v>#N/A</v>
      </c>
      <c r="AC102" s="67">
        <f>(AC101-0.02)/2</f>
        <v>4.9999999999999996E-2</v>
      </c>
      <c r="AD102" s="55" t="s">
        <v>84</v>
      </c>
      <c r="AG102" s="172"/>
      <c r="AH102" s="172"/>
      <c r="AI102" s="172"/>
      <c r="AJ102" s="172"/>
      <c r="AK102" s="172"/>
      <c r="AL102" t="s">
        <v>525</v>
      </c>
      <c r="AP102" s="65" t="e">
        <f>MAXA(AM93:AN93)</f>
        <v>#N/A</v>
      </c>
      <c r="AQ102" t="s">
        <v>439</v>
      </c>
    </row>
    <row r="103" spans="2:45">
      <c r="B103" t="s">
        <v>526</v>
      </c>
      <c r="G103" t="e">
        <f>IF(J104&gt;J103,"reaktion","max. reaktion")</f>
        <v>#N/A</v>
      </c>
      <c r="H103" t="s">
        <v>527</v>
      </c>
      <c r="I103" t="s">
        <v>112</v>
      </c>
      <c r="J103" s="24" t="e">
        <f>IF(AND($S$102="dorn",$T$102="dorn"),MAXA($S$103:$T$103),IF($S$102="dorn",$S$103,IF($T$102="dorn",$T$103,NA())))</f>
        <v>#N/A</v>
      </c>
      <c r="K103" t="s">
        <v>439</v>
      </c>
      <c r="N103" s="46" t="s">
        <v>528</v>
      </c>
      <c r="O103" s="49" t="e">
        <f>L46*J16*10^-3/2*J17*10^-3*(J17/2-J35)/J37</f>
        <v>#N/A</v>
      </c>
      <c r="P103" s="49" t="e">
        <f>L46*J16*10^-3/2*J17*10^-3*(J17/2-L35)/L37</f>
        <v>#N/A</v>
      </c>
      <c r="Q103" s="49" t="e">
        <f>(AL33+AL34+AN17*H59+AN22*J59)*(J37+J36-J21/3)/J37</f>
        <v>#N/A</v>
      </c>
      <c r="R103" s="49" t="e">
        <f>(AO33+AO34+AP17*H59+AP22*J59)*(L37+L36-J21/3)/L37</f>
        <v>#N/A</v>
      </c>
      <c r="S103" s="49" t="e">
        <f t="shared" ref="S103:T105" si="21">O103+Q103</f>
        <v>#N/A</v>
      </c>
      <c r="T103" s="49" t="e">
        <f t="shared" si="21"/>
        <v>#N/A</v>
      </c>
      <c r="U103" s="49" t="s">
        <v>439</v>
      </c>
      <c r="Z103" s="46" t="s">
        <v>1118</v>
      </c>
      <c r="AA103" s="65" t="e">
        <f>AA102/AA98</f>
        <v>#N/A</v>
      </c>
      <c r="AC103" s="116" t="e">
        <f>AL33+AL34</f>
        <v>#N/A</v>
      </c>
      <c r="AD103" s="55" t="s">
        <v>439</v>
      </c>
      <c r="AG103" s="136"/>
      <c r="AH103" s="136"/>
      <c r="AI103" s="136"/>
      <c r="AJ103" s="136"/>
      <c r="AK103" s="136"/>
      <c r="AL103" t="s">
        <v>529</v>
      </c>
      <c r="AP103" s="65" t="e">
        <f>MAXA(AO93:AR93)</f>
        <v>#N/A</v>
      </c>
      <c r="AQ103" t="s">
        <v>439</v>
      </c>
    </row>
    <row r="104" spans="2:45" ht="15.75">
      <c r="C104" s="56"/>
      <c r="G104" t="e">
        <f>IF(J104&gt;J103,"max. reaktion","reaktion")</f>
        <v>#N/A</v>
      </c>
      <c r="H104" t="s">
        <v>530</v>
      </c>
      <c r="I104" t="s">
        <v>112</v>
      </c>
      <c r="J104" s="24" t="e">
        <f>IF(J103=S103,MAX(S108:S109),IF(J103=T103,MAX(T108:T109),NA()))</f>
        <v>#N/A</v>
      </c>
      <c r="K104" t="s">
        <v>439</v>
      </c>
      <c r="L104" s="190"/>
      <c r="M104" s="191"/>
      <c r="N104" s="46" t="s">
        <v>531</v>
      </c>
      <c r="O104" s="49" t="e">
        <f>O43*J16*10^-3/2*J17*10^-3*(J17/2-J36)/J37+L44*J16*10^-3/2*AK25</f>
        <v>#N/A</v>
      </c>
      <c r="P104" s="49" t="e">
        <f>O43*J16*10^-3/2*J17*10^-3*(J17/2-L36)/L37+L44*J16*10^-3/2*AK26</f>
        <v>#N/A</v>
      </c>
      <c r="Q104" s="49" t="e">
        <f>-(AL32+AL34+AN17*N59+AN22*O59)*(J36-J21/3)/J37</f>
        <v>#N/A</v>
      </c>
      <c r="R104" s="49" t="e">
        <f>-(AO32+AO34+AP17*N59+AP22*O59)*(L36-J21/3)/L37</f>
        <v>#N/A</v>
      </c>
      <c r="S104" s="49" t="e">
        <f t="shared" si="21"/>
        <v>#N/A</v>
      </c>
      <c r="T104" s="49" t="e">
        <f t="shared" si="21"/>
        <v>#N/A</v>
      </c>
      <c r="U104" s="49" t="s">
        <v>532</v>
      </c>
      <c r="X104" s="51"/>
      <c r="Y104" t="s">
        <v>1119</v>
      </c>
      <c r="AC104" s="46"/>
      <c r="AG104" s="136"/>
      <c r="AH104" s="136"/>
      <c r="AI104" s="136"/>
      <c r="AJ104" s="136"/>
      <c r="AK104" s="136"/>
    </row>
    <row r="105" spans="2:45" ht="15.75">
      <c r="F105" s="192" t="str">
        <f>IF(AND(J110&gt;16,F106=300),"For lille dornlængde!"," ")</f>
        <v xml:space="preserve"> </v>
      </c>
      <c r="G105" t="str">
        <f>IF(forsk.forkant!N9="vis ikke"," ","min. reaktion")</f>
        <v>min. reaktion</v>
      </c>
      <c r="H105" t="str">
        <f>IF(forsk.forkant!N9="vis ikke"," ","R1 min")</f>
        <v>R1 min</v>
      </c>
      <c r="I105" t="str">
        <f>IF(forsk.forkant!N9="vis ikke"," ","=")</f>
        <v>=</v>
      </c>
      <c r="J105" s="24" t="e">
        <f>IF(forsk.forkant!N9="vis ikke"," ",IF(AND($S$102="dorn",$T$102="dorn"),MINA($S$106:$T$106),IF($S$102="dorn",$S$106,IF($T$102="dorn",$T$106,NA()))))</f>
        <v>#N/A</v>
      </c>
      <c r="K105" t="e">
        <f>IF(forsk.forkant!$N$9="vis ikke"," ",IF(J105&lt;0,"kN","kN"))</f>
        <v>#N/A</v>
      </c>
      <c r="L105" s="69" t="e">
        <f>IF(forsk.forkant!N9="vis ikke"," ",FIXED(V110,1)&amp;" kN v.montage")</f>
        <v>#N/A</v>
      </c>
      <c r="N105" s="46" t="s">
        <v>531</v>
      </c>
      <c r="O105" s="49" t="e">
        <f>N43*J16*10^-3/2*J17*10^-3*(J17/2-J36)/J37+L44*J16*10^-3/2*AK25</f>
        <v>#N/A</v>
      </c>
      <c r="P105" s="49" t="e">
        <f>N43*J16*10^-3/2*J17*10^-3*(J17/2-L36)/L37+L44*J16*10^-3/2*AK26</f>
        <v>#N/A</v>
      </c>
      <c r="Q105" s="49" t="e">
        <f>Q107</f>
        <v>#N/A</v>
      </c>
      <c r="R105" s="49" t="e">
        <f>R107</f>
        <v>#N/A</v>
      </c>
      <c r="S105" s="49" t="e">
        <f t="shared" si="21"/>
        <v>#N/A</v>
      </c>
      <c r="T105" s="49" t="e">
        <f t="shared" si="21"/>
        <v>#N/A</v>
      </c>
      <c r="U105" s="49" t="s">
        <v>533</v>
      </c>
      <c r="AB105" s="49"/>
    </row>
    <row r="106" spans="2:45" ht="15.75">
      <c r="C106" s="19"/>
      <c r="E106" s="46" t="s">
        <v>534</v>
      </c>
      <c r="F106" s="193">
        <v>300</v>
      </c>
      <c r="G106" t="s">
        <v>535</v>
      </c>
      <c r="H106" t="s">
        <v>536</v>
      </c>
      <c r="I106" t="s">
        <v>112</v>
      </c>
      <c r="J106" s="51">
        <f>C108+C107+D108</f>
        <v>141</v>
      </c>
      <c r="K106" t="s">
        <v>78</v>
      </c>
      <c r="L106" s="189" t="e">
        <f>IF(forsk.forkant!N9="vis ikke"," ",IF(AND(J105&lt;0,V110&lt;0),"     NB! Negative",IF(AND(J105&lt;0,V110&gt;0),"      NB! R1 min Negativ",IF(AND(J105&gt;0,V110&lt;0),"NB! Negativ v. montage;"," "))))</f>
        <v>#N/A</v>
      </c>
      <c r="N106" s="46" t="s">
        <v>531</v>
      </c>
      <c r="S106" s="49" t="e">
        <f>MIN(S104:S105)</f>
        <v>#N/A</v>
      </c>
      <c r="T106" s="49" t="e">
        <f>MIN(T104:T105)</f>
        <v>#N/A</v>
      </c>
      <c r="U106" s="49" t="s">
        <v>439</v>
      </c>
    </row>
    <row r="107" spans="2:45">
      <c r="C107" s="106">
        <v>50</v>
      </c>
      <c r="G107" t="s">
        <v>535</v>
      </c>
      <c r="H107" t="s">
        <v>537</v>
      </c>
      <c r="I107" t="s">
        <v>112</v>
      </c>
      <c r="J107" s="51">
        <f>-J106-C109-F109/2+F106</f>
        <v>94</v>
      </c>
      <c r="K107" t="s">
        <v>78</v>
      </c>
      <c r="L107" s="176"/>
      <c r="N107" s="46" t="s">
        <v>538</v>
      </c>
      <c r="O107" s="49" t="e">
        <f>L46*J16*10^-3/2*J17*10^-3*(J17/2-J36)/J37</f>
        <v>#N/A</v>
      </c>
      <c r="P107" s="49" t="e">
        <f>L46*J16*10^-3/2*J17*10^-3*(J17/2-L36)/L37</f>
        <v>#N/A</v>
      </c>
      <c r="Q107" s="49" t="e">
        <f>-(AL33+AL34+AN17*H59+AN22*J59)*(J36-J21/3)/J37</f>
        <v>#N/A</v>
      </c>
      <c r="R107" s="49" t="e">
        <f>-(AO33+AO34+AP17*H59+AP22*J59)*(L36-J21/3)/L37</f>
        <v>#N/A</v>
      </c>
      <c r="S107" s="49" t="e">
        <f t="shared" ref="S107:T110" si="22">O107+Q107</f>
        <v>#N/A</v>
      </c>
      <c r="T107" s="49" t="e">
        <f t="shared" si="22"/>
        <v>#N/A</v>
      </c>
      <c r="U107" s="49" t="s">
        <v>539</v>
      </c>
    </row>
    <row r="108" spans="2:45" ht="15.75">
      <c r="C108" s="131">
        <v>50</v>
      </c>
      <c r="D108" s="194">
        <f>25+10+J110/2</f>
        <v>41</v>
      </c>
      <c r="F108" s="19">
        <f>+G329</f>
        <v>80</v>
      </c>
      <c r="G108" s="69" t="s">
        <v>540</v>
      </c>
      <c r="H108" t="s">
        <v>541</v>
      </c>
      <c r="I108" t="s">
        <v>112</v>
      </c>
      <c r="J108" s="24" t="e">
        <f>MAXA(J103,J104)*(J106+J107)/J107</f>
        <v>#N/A</v>
      </c>
      <c r="K108" t="s">
        <v>439</v>
      </c>
      <c r="N108" s="46" t="s">
        <v>542</v>
      </c>
      <c r="O108" s="49" t="e">
        <f>O43*J16*10^-3/2*J17*10^-3*(J17/2-J36)/J37+L44*J16*10^-3/2*(AI25+AJ25)</f>
        <v>#N/A</v>
      </c>
      <c r="P108" s="49" t="e">
        <f>O43*J16*10^-3/2*J17*10^-3*(J17/2-L36)/L37+L44*J16*10^-3/2*(AI26+AJ26)</f>
        <v>#N/A</v>
      </c>
      <c r="Q108" s="49" t="e">
        <f>-(AL32+AN17*N56+AN22*O56)*(J36-J21/3)/J37</f>
        <v>#N/A</v>
      </c>
      <c r="R108" s="49" t="e">
        <f>-(AO32+AP17*N56+AP22*O56)*(L36-J21/3)/L37</f>
        <v>#N/A</v>
      </c>
      <c r="S108" s="49" t="e">
        <f t="shared" si="22"/>
        <v>#N/A</v>
      </c>
      <c r="T108" s="49" t="e">
        <f t="shared" si="22"/>
        <v>#N/A</v>
      </c>
      <c r="U108" s="49" t="s">
        <v>532</v>
      </c>
      <c r="AD108" t="s">
        <v>481</v>
      </c>
      <c r="AH108" s="46" t="s">
        <v>482</v>
      </c>
      <c r="AI108" s="19" t="e">
        <f>IF(AC113&gt;AC119,"&gt;",IF(AC113=AC119,"=","&lt;"))</f>
        <v>#N/A</v>
      </c>
      <c r="AJ108" s="19" t="e">
        <f>AI108</f>
        <v>#N/A</v>
      </c>
      <c r="AK108" s="19" t="e">
        <f>AI108</f>
        <v>#N/A</v>
      </c>
      <c r="AL108" s="19" t="e">
        <f t="shared" ref="AL108:AQ108" si="23">AK108</f>
        <v>#N/A</v>
      </c>
      <c r="AM108" s="19" t="e">
        <f t="shared" si="23"/>
        <v>#N/A</v>
      </c>
      <c r="AN108" s="19" t="e">
        <f t="shared" si="23"/>
        <v>#N/A</v>
      </c>
      <c r="AO108" s="19" t="e">
        <f t="shared" si="23"/>
        <v>#N/A</v>
      </c>
      <c r="AP108" s="19" t="e">
        <f t="shared" si="23"/>
        <v>#N/A</v>
      </c>
      <c r="AQ108" s="19" t="e">
        <f t="shared" si="23"/>
        <v>#N/A</v>
      </c>
      <c r="AR108" s="159" t="s">
        <v>543</v>
      </c>
    </row>
    <row r="109" spans="2:45" ht="15.75">
      <c r="C109" s="195">
        <v>50</v>
      </c>
      <c r="F109" s="35">
        <v>30</v>
      </c>
      <c r="G109" s="196" t="str">
        <f>"armering "&amp;FIXED(H330,0)&amp;+I330&amp;FIXED(J330,0)</f>
        <v>armering 1K8</v>
      </c>
      <c r="H109" t="s">
        <v>544</v>
      </c>
      <c r="I109" t="s">
        <v>112</v>
      </c>
      <c r="J109" s="24" t="e">
        <f>J108*J106/(J106+J107)</f>
        <v>#N/A</v>
      </c>
      <c r="K109" t="s">
        <v>439</v>
      </c>
      <c r="N109" s="46" t="s">
        <v>542</v>
      </c>
      <c r="O109" s="49" t="e">
        <f>(L40+L41)*J16*10^-3/2*J17*10^-3*(J17/2-J36)/J37+L44*J16*10^-3/2*(AI25+AJ25)</f>
        <v>#N/A</v>
      </c>
      <c r="P109" s="49" t="e">
        <f>(L40+L41)*J16*10^-3/2*J17*10^-3*(J17/2-L36)/L37+L44*J16*10^-3/2*(AI26+AJ26)</f>
        <v>#N/A</v>
      </c>
      <c r="Q109" s="49" t="e">
        <f>-(AL33+AN17*N57+AN22*O57)*(J36-J21/3)/J37</f>
        <v>#N/A</v>
      </c>
      <c r="R109" s="49" t="e">
        <f>-(AO33+AP17*N57+AP22*O57)*(L36-J21/3)/L37</f>
        <v>#N/A</v>
      </c>
      <c r="S109" s="49" t="e">
        <f t="shared" si="22"/>
        <v>#N/A</v>
      </c>
      <c r="T109" s="49" t="e">
        <f t="shared" si="22"/>
        <v>#N/A</v>
      </c>
      <c r="U109" s="49" t="s">
        <v>533</v>
      </c>
      <c r="AA109" s="57" t="s">
        <v>327</v>
      </c>
      <c r="AE109" s="57" t="s">
        <v>484</v>
      </c>
      <c r="AF109" s="49"/>
    </row>
    <row r="110" spans="2:45" ht="15.75">
      <c r="E110" s="19" t="s">
        <v>545</v>
      </c>
      <c r="G110" t="s">
        <v>546</v>
      </c>
      <c r="H110" s="63">
        <v>1</v>
      </c>
      <c r="I110" s="107" t="s">
        <v>541</v>
      </c>
      <c r="J110" s="63">
        <v>12</v>
      </c>
      <c r="K110" t="s">
        <v>238</v>
      </c>
      <c r="N110" s="46" t="s">
        <v>547</v>
      </c>
      <c r="O110" s="49" t="e">
        <f>H40*J16*10^-3/2*((AI25+AJ25)*AA19+AK25)</f>
        <v>#N/A</v>
      </c>
      <c r="P110" s="49" t="e">
        <f>H40*J16*10^-3/2*((AI26+AJ26)*AA19+AK26)</f>
        <v>#N/A</v>
      </c>
      <c r="Q110" s="49" t="e">
        <f>-(AL33+AN17*H57+AN22*J57)*(J36-J21/3)/J37</f>
        <v>#N/A</v>
      </c>
      <c r="R110" s="49" t="e">
        <f>-(AO33+AP17*H57+AP22*J57)*(L36-J21/3)/L37</f>
        <v>#N/A</v>
      </c>
      <c r="S110" s="49" t="e">
        <f t="shared" si="22"/>
        <v>#N/A</v>
      </c>
      <c r="T110" s="49" t="e">
        <f t="shared" si="22"/>
        <v>#N/A</v>
      </c>
      <c r="U110" s="49" t="s">
        <v>439</v>
      </c>
      <c r="V110" s="24" t="e">
        <f>IF(AND(S102="dorn",T102="dorn"),MINA(S110:T110),IF(S102="dorn",S110,IF(T102="dorn",T110,NA())))</f>
        <v>#N/A</v>
      </c>
      <c r="AB110" t="s">
        <v>486</v>
      </c>
      <c r="AE110" s="291"/>
      <c r="AF110" s="49"/>
      <c r="AG110" t="s">
        <v>487</v>
      </c>
      <c r="AH110" t="s">
        <v>488</v>
      </c>
      <c r="AI110" t="s">
        <v>489</v>
      </c>
      <c r="AL110" t="e">
        <f>IF(AM113&gt;0,"e.kraft v","m.pkt. ")</f>
        <v>#N/A</v>
      </c>
      <c r="AM110" t="e">
        <f>IF(AM113&gt;0,"e.kraft h","m.pkt. ")</f>
        <v>#N/A</v>
      </c>
      <c r="AN110" t="s">
        <v>487</v>
      </c>
      <c r="AO110" t="s">
        <v>488</v>
      </c>
      <c r="AP110" t="e">
        <f>IF(AQ113&gt;0,"e.kraft v"," ")</f>
        <v>#N/A</v>
      </c>
      <c r="AQ110" t="e">
        <f>IF(AQ113&gt;0,"e.kraft h"," ")</f>
        <v>#N/A</v>
      </c>
    </row>
    <row r="111" spans="2:45">
      <c r="H111" t="s">
        <v>248</v>
      </c>
      <c r="I111" t="s">
        <v>112</v>
      </c>
      <c r="J111" s="51">
        <f>IF(J110&gt;16,+O111-10,+O111)</f>
        <v>355</v>
      </c>
      <c r="K111" t="s">
        <v>31</v>
      </c>
      <c r="N111">
        <f>IF(OR(P111="R",P111="H"),CODE(P111),CODE(I110))</f>
        <v>72</v>
      </c>
      <c r="O111">
        <f>HLOOKUP(N111,$AA$310:$AZ$318,6)</f>
        <v>355</v>
      </c>
      <c r="P111" s="19" t="str">
        <f>IF(I110="R1","R",IF(I110="R3","H"," "))</f>
        <v>H</v>
      </c>
      <c r="AE111" s="46" t="s">
        <v>344</v>
      </c>
      <c r="AF111" s="67">
        <v>0</v>
      </c>
      <c r="AG111" s="67" t="e">
        <f>AA119</f>
        <v>#N/A</v>
      </c>
      <c r="AH111" s="67" t="e">
        <f>AG111</f>
        <v>#N/A</v>
      </c>
      <c r="AI111" s="67" t="e">
        <f>AH111+(AL111-AH111)*0.25</f>
        <v>#N/A</v>
      </c>
      <c r="AJ111" s="67" t="e">
        <f>AH111+(AL111-AH111)*0.5</f>
        <v>#N/A</v>
      </c>
      <c r="AK111" s="67" t="e">
        <f>AH111+(AL111-AH111)*0.75</f>
        <v>#N/A</v>
      </c>
      <c r="AL111" s="67" t="e">
        <f>IF(AL108="&gt;",+AB113,AH111+(AN111-AH111)*0.75)</f>
        <v>#N/A</v>
      </c>
      <c r="AM111" s="67" t="e">
        <f>AL111</f>
        <v>#N/A</v>
      </c>
      <c r="AN111" s="67" t="e">
        <f>AA119+AB119</f>
        <v>#N/A</v>
      </c>
      <c r="AO111" s="67" t="e">
        <f>AN111</f>
        <v>#N/A</v>
      </c>
      <c r="AP111" s="67" t="e">
        <f>IF(AC119=0,+AO111,IF(AP108="&lt;",+AB113,+AR111-AC126))</f>
        <v>#N/A</v>
      </c>
      <c r="AQ111" s="67" t="e">
        <f>AP111</f>
        <v>#N/A</v>
      </c>
      <c r="AR111" s="67" t="e">
        <f>AA119+AB119+AC119</f>
        <v>#N/A</v>
      </c>
      <c r="AS111" t="str">
        <f t="shared" ref="AS111:AS118" si="24">AE111</f>
        <v>snit, x= [m]</v>
      </c>
    </row>
    <row r="112" spans="2:45" ht="15.75">
      <c r="F112" s="55" t="s">
        <v>548</v>
      </c>
      <c r="G112" t="s">
        <v>188</v>
      </c>
      <c r="H112" t="s">
        <v>254</v>
      </c>
      <c r="I112" t="s">
        <v>112</v>
      </c>
      <c r="J112" s="51">
        <f>J111/$N$19</f>
        <v>295.83333333333337</v>
      </c>
      <c r="K112" t="s">
        <v>31</v>
      </c>
      <c r="N112" s="56" t="e">
        <f>IF(M334="accept"," ","Ophængsbjl. ikke stærk nok")</f>
        <v>#N/A</v>
      </c>
      <c r="AA112" s="49" t="e">
        <f>L46*J16/2*10^-3</f>
        <v>#N/A</v>
      </c>
      <c r="AB112" t="s">
        <v>435</v>
      </c>
      <c r="AC112" s="292" t="e">
        <f>AC128*AA125</f>
        <v>#N/A</v>
      </c>
      <c r="AD112" t="s">
        <v>439</v>
      </c>
      <c r="AE112" s="293" t="s">
        <v>492</v>
      </c>
      <c r="AF112" s="49"/>
      <c r="AG112" s="49" t="e">
        <f>AA112</f>
        <v>#N/A</v>
      </c>
      <c r="AH112" s="49"/>
      <c r="AI112" s="49" t="e">
        <f>AG112</f>
        <v>#N/A</v>
      </c>
      <c r="AJ112" s="49" t="e">
        <f>AI112</f>
        <v>#N/A</v>
      </c>
      <c r="AK112" s="49" t="e">
        <f>AJ112</f>
        <v>#N/A</v>
      </c>
      <c r="AL112" s="49" t="e">
        <f>AG112</f>
        <v>#N/A</v>
      </c>
      <c r="AM112" s="49"/>
      <c r="AN112" s="49" t="e">
        <f>IF(AN108="&gt;",+AQ112,+AL112)</f>
        <v>#N/A</v>
      </c>
      <c r="AO112" s="49"/>
      <c r="AP112" s="49" t="e">
        <f>IF(AP108="&lt;",+AN112,+AQ112)</f>
        <v>#N/A</v>
      </c>
      <c r="AQ112" s="49" t="e">
        <f>AC114</f>
        <v>#N/A</v>
      </c>
      <c r="AR112" s="49" t="e">
        <f>AQ112</f>
        <v>#N/A</v>
      </c>
      <c r="AS112" t="str">
        <f t="shared" si="24"/>
        <v>linielast [kN/m]</v>
      </c>
    </row>
    <row r="113" spans="1:51" ht="15.75">
      <c r="C113" t="e">
        <f>IF(J104&gt;J103,"R1","R2")</f>
        <v>#N/A</v>
      </c>
      <c r="H113" t="s">
        <v>259</v>
      </c>
      <c r="I113" t="s">
        <v>112</v>
      </c>
      <c r="J113" s="51">
        <f>2*J110^2/4*PI()*H110</f>
        <v>226.1946710584651</v>
      </c>
      <c r="K113" t="s">
        <v>105</v>
      </c>
      <c r="N113" s="56" t="e">
        <f>IF(M345="accept"," ","For stor stålspænding i rør")</f>
        <v>#N/A</v>
      </c>
      <c r="AB113" s="79" t="e">
        <f>AA119+AB119+AC119-AC113</f>
        <v>#N/A</v>
      </c>
      <c r="AC113" s="67" t="e">
        <f>($F$36+$J$18)*10^-3</f>
        <v>#N/A</v>
      </c>
      <c r="AD113" t="s">
        <v>84</v>
      </c>
      <c r="AE113" s="55" t="s">
        <v>494</v>
      </c>
      <c r="AF113" s="49"/>
      <c r="AG113" s="49"/>
      <c r="AH113" s="49"/>
      <c r="AI113" s="49"/>
      <c r="AJ113" s="49"/>
      <c r="AK113" s="49"/>
      <c r="AL113" s="49"/>
      <c r="AM113" s="49" t="e">
        <f>IF(AM108="&gt;",+AC112,0)</f>
        <v>#N/A</v>
      </c>
      <c r="AN113" s="49"/>
      <c r="AO113" s="49" t="e">
        <f>IF(AO108="=",0,0)</f>
        <v>#N/A</v>
      </c>
      <c r="AP113" s="49"/>
      <c r="AQ113" s="49" t="e">
        <f>IF(AQ108="&lt;",+AC112,0)</f>
        <v>#N/A</v>
      </c>
      <c r="AR113" s="49"/>
      <c r="AS113" t="str">
        <f t="shared" si="24"/>
        <v>enkeltkraft [kN]</v>
      </c>
    </row>
    <row r="114" spans="1:51">
      <c r="C114" s="46"/>
      <c r="E114" t="s">
        <v>541</v>
      </c>
      <c r="F114" s="19" t="s">
        <v>549</v>
      </c>
      <c r="G114" t="s">
        <v>550</v>
      </c>
      <c r="H114" s="24">
        <f>J113*J112*10^-3</f>
        <v>66.915923521462602</v>
      </c>
      <c r="J114" t="s">
        <v>439</v>
      </c>
      <c r="K114" t="e">
        <f>IF(H114&gt;L114,"&gt;","&lt;")</f>
        <v>#N/A</v>
      </c>
      <c r="L114" s="24" t="e">
        <f>J108</f>
        <v>#N/A</v>
      </c>
      <c r="M114" t="e">
        <f>IF(H114&gt;L114,"accept","forkast")</f>
        <v>#N/A</v>
      </c>
      <c r="N114" s="81" t="s">
        <v>551</v>
      </c>
      <c r="O114" s="197" t="e">
        <f>L114/H114</f>
        <v>#N/A</v>
      </c>
      <c r="AC114" s="49" t="e">
        <f>L46*0.9*J15*10^-3</f>
        <v>#N/A</v>
      </c>
      <c r="AD114" t="s">
        <v>435</v>
      </c>
      <c r="AE114" s="46" t="s">
        <v>496</v>
      </c>
      <c r="AF114" s="49"/>
      <c r="AG114" s="49"/>
      <c r="AH114" s="49" t="e">
        <f>AB116</f>
        <v>#N/A</v>
      </c>
      <c r="AI114" s="49"/>
      <c r="AJ114" s="49"/>
      <c r="AK114" s="49"/>
      <c r="AL114" s="49"/>
      <c r="AM114" s="49"/>
      <c r="AN114" s="49"/>
      <c r="AO114" s="49" t="e">
        <f>AC116</f>
        <v>#N/A</v>
      </c>
      <c r="AP114" s="49"/>
      <c r="AQ114" s="49"/>
      <c r="AR114" s="49"/>
      <c r="AS114" t="str">
        <f t="shared" si="24"/>
        <v>R [kN]</v>
      </c>
    </row>
    <row r="115" spans="1:51" ht="15.75">
      <c r="H115" s="198" t="str">
        <f>IF(AND(I116="RF",H116="1.4301")," ",IF(AND(I116="RF",H116="1.4462")," ",IF(I116="RF","       \/-----SKRIV 1.4301 eller 1.4462"," ")))</f>
        <v xml:space="preserve"> </v>
      </c>
      <c r="N115" s="165" t="e">
        <f>IF(M114="forkast","\_NB!"," ")</f>
        <v>#N/A</v>
      </c>
      <c r="AE115" s="46" t="s">
        <v>344</v>
      </c>
      <c r="AF115" s="67">
        <f t="shared" ref="AF115:AR115" si="25">AF111</f>
        <v>0</v>
      </c>
      <c r="AG115" s="67" t="e">
        <f t="shared" si="25"/>
        <v>#N/A</v>
      </c>
      <c r="AH115" s="67" t="e">
        <f t="shared" si="25"/>
        <v>#N/A</v>
      </c>
      <c r="AI115" s="67" t="e">
        <f t="shared" si="25"/>
        <v>#N/A</v>
      </c>
      <c r="AJ115" s="67" t="e">
        <f t="shared" si="25"/>
        <v>#N/A</v>
      </c>
      <c r="AK115" s="67" t="e">
        <f t="shared" si="25"/>
        <v>#N/A</v>
      </c>
      <c r="AL115" s="67" t="e">
        <f t="shared" si="25"/>
        <v>#N/A</v>
      </c>
      <c r="AM115" s="67" t="e">
        <f t="shared" si="25"/>
        <v>#N/A</v>
      </c>
      <c r="AN115" s="67" t="e">
        <f t="shared" si="25"/>
        <v>#N/A</v>
      </c>
      <c r="AO115" s="67" t="e">
        <f t="shared" si="25"/>
        <v>#N/A</v>
      </c>
      <c r="AP115" s="67" t="e">
        <f t="shared" si="25"/>
        <v>#N/A</v>
      </c>
      <c r="AQ115" s="67" t="e">
        <f t="shared" si="25"/>
        <v>#N/A</v>
      </c>
      <c r="AR115" s="67" t="e">
        <f t="shared" si="25"/>
        <v>#N/A</v>
      </c>
      <c r="AS115" t="str">
        <f t="shared" si="24"/>
        <v>snit, x= [m]</v>
      </c>
    </row>
    <row r="116" spans="1:51">
      <c r="C116" s="46" t="s">
        <v>552</v>
      </c>
      <c r="E116" s="46" t="s">
        <v>537</v>
      </c>
      <c r="G116" t="s">
        <v>553</v>
      </c>
      <c r="H116" s="199" t="str">
        <f>IF(I116="RF","1.4xxx"," ")</f>
        <v xml:space="preserve"> </v>
      </c>
      <c r="I116" s="107" t="s">
        <v>58</v>
      </c>
      <c r="J116" s="27" t="str">
        <f>IF(I116="RF","  ",IF(I116="S","355"," "))</f>
        <v>355</v>
      </c>
      <c r="K116" t="str">
        <f>"fyk = "&amp;FIXED(O116,0,TRUE)&amp;" N/mm2"</f>
        <v>fyk = 325 N/mm2</v>
      </c>
      <c r="O116" s="46">
        <f>IF(AND(I116="RF",H116="1.4462"),450,IF(AND(I116="RF",H116="1.4301"),190,IF(AND(I116="S",J117&lt;=80),325,IF(AND(I116="S",J117&gt;80),315,"FEJL"))))</f>
        <v>325</v>
      </c>
      <c r="P116" t="s">
        <v>554</v>
      </c>
      <c r="T116" s="49"/>
      <c r="W116" s="46" t="s">
        <v>555</v>
      </c>
      <c r="AA116" s="49"/>
      <c r="AB116" s="65" t="e">
        <f>AA112*AB113+AC112+AC114*AC113-AC122-AC116</f>
        <v>#N/A</v>
      </c>
      <c r="AC116" s="78" t="e">
        <f>(AA112*AB113*(AB113/2-AA119)+AC112*(AB113-AA119)+AC114*AC113*(AB113-AA119+AC113/2))/AB119-AC122</f>
        <v>#N/A</v>
      </c>
      <c r="AD116" t="s">
        <v>439</v>
      </c>
      <c r="AE116" s="46" t="s">
        <v>499</v>
      </c>
      <c r="AF116" s="49">
        <v>0</v>
      </c>
      <c r="AG116" s="49" t="e">
        <f>-AG112*AG111^2/2</f>
        <v>#N/A</v>
      </c>
      <c r="AH116" s="49" t="e">
        <f>AG116</f>
        <v>#N/A</v>
      </c>
      <c r="AI116" s="49" t="e">
        <f>AH114*(AI111-AH111)-AI112*AI111^2/2</f>
        <v>#N/A</v>
      </c>
      <c r="AJ116" s="49" t="e">
        <f>AH114*(AJ111-AH111)-AJ112*AJ111^2/2</f>
        <v>#N/A</v>
      </c>
      <c r="AK116" s="49" t="e">
        <f>AH114*(AK111-AH111)-AK112*AK111^2/2</f>
        <v>#N/A</v>
      </c>
      <c r="AL116" s="49" t="e">
        <f>AH114*(AL111-AH111)-AL112*AL111^2/2</f>
        <v>#N/A</v>
      </c>
      <c r="AM116" s="49" t="e">
        <f>AL116</f>
        <v>#N/A</v>
      </c>
      <c r="AN116" s="49" t="e">
        <f>IF(AN108="&lt;",+AH114*(AN111-AH111)-AL112*AL111*(AL111/2+(AN111-AL111))-AN112*(AN111-AL111)^2/2-AM113*(AN111-AM111),-AQ112*(AR111-AN111)^2/2)</f>
        <v>#N/A</v>
      </c>
      <c r="AO116" s="49" t="e">
        <f>AN116</f>
        <v>#N/A</v>
      </c>
      <c r="AP116" s="49" t="e">
        <f>AQ116</f>
        <v>#N/A</v>
      </c>
      <c r="AQ116" s="49" t="e">
        <f>-AQ112*(AR111-AQ111)^2/2</f>
        <v>#N/A</v>
      </c>
      <c r="AR116" s="49">
        <v>0</v>
      </c>
      <c r="AS116" t="str">
        <f t="shared" si="24"/>
        <v>M [kNm]</v>
      </c>
    </row>
    <row r="117" spans="1:51">
      <c r="G117" t="s">
        <v>556</v>
      </c>
      <c r="H117" s="27"/>
      <c r="I117" s="27" t="s">
        <v>557</v>
      </c>
      <c r="J117" s="63">
        <v>65</v>
      </c>
      <c r="K117" t="s">
        <v>78</v>
      </c>
      <c r="T117" s="49" t="e">
        <f>J103*10^3*J106/J118</f>
        <v>#N/A</v>
      </c>
      <c r="U117" t="s">
        <v>31</v>
      </c>
      <c r="V117" s="51">
        <f>J117^3*PI()/32</f>
        <v>26961.246327878031</v>
      </c>
      <c r="W117" s="51">
        <f>J117^3/6</f>
        <v>45770.833333333336</v>
      </c>
      <c r="X117" t="s">
        <v>380</v>
      </c>
      <c r="AA117" s="49"/>
      <c r="AB117" s="49"/>
      <c r="AC117" s="49"/>
      <c r="AE117" s="46" t="s">
        <v>502</v>
      </c>
      <c r="AF117" s="49">
        <v>0</v>
      </c>
      <c r="AG117" s="49" t="e">
        <f>-AG112*AG111</f>
        <v>#N/A</v>
      </c>
      <c r="AH117" s="49" t="e">
        <f>AG117+AH114</f>
        <v>#N/A</v>
      </c>
      <c r="AI117" s="49" t="e">
        <f>AH117-AI112*(AI111-AH111)</f>
        <v>#N/A</v>
      </c>
      <c r="AJ117" s="49" t="e">
        <f>AI117-AJ112*(AJ111-AI111)</f>
        <v>#N/A</v>
      </c>
      <c r="AK117" s="49" t="e">
        <f>AJ117-AK112*(AK111-AJ111)</f>
        <v>#N/A</v>
      </c>
      <c r="AL117" s="49" t="e">
        <f>AH117-AL112*(AL111-AG111)</f>
        <v>#N/A</v>
      </c>
      <c r="AM117" s="49" t="e">
        <f>AL117-AM113</f>
        <v>#N/A</v>
      </c>
      <c r="AN117" s="49" t="e">
        <f>AM117-AN112*(AN111-AM111)</f>
        <v>#N/A</v>
      </c>
      <c r="AO117" s="49" t="e">
        <f>AN117-AO113+AO114</f>
        <v>#N/A</v>
      </c>
      <c r="AP117" s="49" t="e">
        <f>AO117-AP112*(AP111-AO111)</f>
        <v>#N/A</v>
      </c>
      <c r="AQ117" s="49" t="e">
        <f>AP117-AQ113</f>
        <v>#N/A</v>
      </c>
      <c r="AR117" s="49" t="e">
        <f>AQ117-AR112*(AR111-AQ111)</f>
        <v>#N/A</v>
      </c>
      <c r="AS117" t="str">
        <f t="shared" si="24"/>
        <v>V [kN]</v>
      </c>
    </row>
    <row r="118" spans="1:51">
      <c r="H118" t="str">
        <f>IF(N119="ja","Wplast","Welast")</f>
        <v>Welast</v>
      </c>
      <c r="I118" t="s">
        <v>112</v>
      </c>
      <c r="J118" s="51">
        <f>IF(N119="ja",+W117,+V117)</f>
        <v>26961.246327878031</v>
      </c>
      <c r="K118" t="s">
        <v>380</v>
      </c>
      <c r="T118" s="49" t="e">
        <f>J103*10^3/V118</f>
        <v>#N/A</v>
      </c>
      <c r="U118" t="s">
        <v>31</v>
      </c>
      <c r="V118" s="51">
        <f>J117^2/4*PI()</f>
        <v>3318.3072403542192</v>
      </c>
      <c r="X118" t="s">
        <v>105</v>
      </c>
      <c r="AA118" s="65" t="s">
        <v>558</v>
      </c>
      <c r="AB118" s="65" t="s">
        <v>559</v>
      </c>
      <c r="AC118" s="65" t="s">
        <v>170</v>
      </c>
      <c r="AE118" s="46" t="s">
        <v>420</v>
      </c>
      <c r="AF118" s="49">
        <f t="shared" ref="AF118:AR118" si="26">SQRT(AF117^2)</f>
        <v>0</v>
      </c>
      <c r="AG118" s="49" t="e">
        <f t="shared" si="26"/>
        <v>#N/A</v>
      </c>
      <c r="AH118" s="49" t="e">
        <f t="shared" si="26"/>
        <v>#N/A</v>
      </c>
      <c r="AI118" s="49" t="e">
        <f t="shared" si="26"/>
        <v>#N/A</v>
      </c>
      <c r="AJ118" s="49" t="e">
        <f t="shared" si="26"/>
        <v>#N/A</v>
      </c>
      <c r="AK118" s="49" t="e">
        <f t="shared" si="26"/>
        <v>#N/A</v>
      </c>
      <c r="AL118" s="49" t="e">
        <f t="shared" si="26"/>
        <v>#N/A</v>
      </c>
      <c r="AM118" s="49" t="e">
        <f t="shared" si="26"/>
        <v>#N/A</v>
      </c>
      <c r="AN118" s="49" t="e">
        <f t="shared" si="26"/>
        <v>#N/A</v>
      </c>
      <c r="AO118" s="49" t="e">
        <f t="shared" si="26"/>
        <v>#N/A</v>
      </c>
      <c r="AP118" s="49" t="e">
        <f t="shared" si="26"/>
        <v>#N/A</v>
      </c>
      <c r="AQ118" s="49" t="e">
        <f t="shared" si="26"/>
        <v>#N/A</v>
      </c>
      <c r="AR118" s="49" t="e">
        <f t="shared" si="26"/>
        <v>#N/A</v>
      </c>
      <c r="AS118" t="str">
        <f t="shared" si="24"/>
        <v>|V| ialt [kN]</v>
      </c>
    </row>
    <row r="119" spans="1:51">
      <c r="G119" t="s">
        <v>560</v>
      </c>
      <c r="H119" s="51" t="e">
        <f>IF(N119="nej",SQRT(T117^2+3*T118^2),IF(N119="ja",+(J103*10^3*J106+W120)/J118,"fejl"))</f>
        <v>#N/A</v>
      </c>
      <c r="J119" s="24" t="s">
        <v>31</v>
      </c>
      <c r="K119" t="e">
        <f>IF(H119&lt;L119,"&lt;","&gt;")</f>
        <v>#N/A</v>
      </c>
      <c r="L119" s="51">
        <f>O116/N20</f>
        <v>295.45454545454544</v>
      </c>
      <c r="M119" t="e">
        <f>IF(H119&gt;L119,"forkast","accept")</f>
        <v>#N/A</v>
      </c>
      <c r="N119" s="174" t="s">
        <v>18</v>
      </c>
      <c r="O119" s="81" t="s">
        <v>561</v>
      </c>
      <c r="S119" s="200"/>
      <c r="W119" t="s">
        <v>562</v>
      </c>
      <c r="AA119" s="79" t="e">
        <f>L35*10^-3</f>
        <v>#N/A</v>
      </c>
      <c r="AB119" s="79" t="e">
        <f>L37*10^-3</f>
        <v>#N/A</v>
      </c>
      <c r="AC119" s="79" t="e">
        <f>L36*10^-3</f>
        <v>#N/A</v>
      </c>
      <c r="AD119" t="s">
        <v>84</v>
      </c>
    </row>
    <row r="120" spans="1:51" ht="15.75">
      <c r="G120" t="s">
        <v>563</v>
      </c>
      <c r="H120" t="s">
        <v>188</v>
      </c>
      <c r="I120" t="s">
        <v>112</v>
      </c>
      <c r="J120" s="63" t="e">
        <f>NA()</f>
        <v>#N/A</v>
      </c>
      <c r="K120" t="s">
        <v>78</v>
      </c>
      <c r="N120" s="165" t="e">
        <f>IF(M119="forkast","\_NB!"," ")</f>
        <v>#N/A</v>
      </c>
      <c r="O120" s="46" t="s">
        <v>564</v>
      </c>
      <c r="P120" s="49" t="e">
        <f>SQRT((P122+0.25*F109)*J120/(J117*F109))</f>
        <v>#N/A</v>
      </c>
      <c r="Q120" s="49">
        <f>0.7+0.5*P122/J117</f>
        <v>1.1615384615384614</v>
      </c>
      <c r="R120" s="49" t="e">
        <f>MAXA(P120:Q120)</f>
        <v>#N/A</v>
      </c>
      <c r="W120" s="51" t="e">
        <f>3*(J103*10^3)^2/(4*J117*L119)</f>
        <v>#N/A</v>
      </c>
      <c r="X120" t="s">
        <v>565</v>
      </c>
      <c r="AC120" s="57" t="s">
        <v>317</v>
      </c>
    </row>
    <row r="121" spans="1:51" ht="15.75">
      <c r="G121" t="s">
        <v>566</v>
      </c>
      <c r="H121" s="24" t="e">
        <f>J109*10^3/(J117*F109)</f>
        <v>#N/A</v>
      </c>
      <c r="J121" t="s">
        <v>31</v>
      </c>
      <c r="K121" t="e">
        <f>IF(H121&lt;L121,"&lt;","&gt;")</f>
        <v>#N/A</v>
      </c>
      <c r="L121" s="24" t="e">
        <f>R122*J23</f>
        <v>#N/A</v>
      </c>
      <c r="M121" t="e">
        <f>IF(H121&gt;L121,"forkast","accept")</f>
        <v>#N/A</v>
      </c>
      <c r="N121" s="165" t="e">
        <f>IF(M121="forkast","NB!"," ")</f>
        <v>#N/A</v>
      </c>
      <c r="O121" s="46" t="s">
        <v>567</v>
      </c>
      <c r="P121">
        <f>4*F109</f>
        <v>120</v>
      </c>
      <c r="Q121" s="46" t="s">
        <v>568</v>
      </c>
      <c r="R121" s="49">
        <f>SQRT(0.5*(2*P122+J117)*(2*P122+F109)/(J117*F109))</f>
        <v>2.6674678283691851</v>
      </c>
      <c r="Y121" t="s">
        <v>1114</v>
      </c>
    </row>
    <row r="122" spans="1:51" ht="15.75">
      <c r="G122" t="s">
        <v>569</v>
      </c>
      <c r="H122" s="24" t="e">
        <f>J301</f>
        <v>#N/A</v>
      </c>
      <c r="J122" t="s">
        <v>439</v>
      </c>
      <c r="K122" t="e">
        <f>IF(H122&lt;L122,"&lt;","&gt;")</f>
        <v>#N/A</v>
      </c>
      <c r="L122" s="24" t="e">
        <f>L301</f>
        <v>#N/A</v>
      </c>
      <c r="M122" t="e">
        <f>IF(H122&gt;L122,"accept","forkast")</f>
        <v>#N/A</v>
      </c>
      <c r="N122" s="165" t="e">
        <f>IF(M122="forkast","NB!"," ")</f>
        <v>#N/A</v>
      </c>
      <c r="O122" s="46" t="s">
        <v>570</v>
      </c>
      <c r="P122">
        <f>P121/2</f>
        <v>60</v>
      </c>
      <c r="R122" s="49" t="e">
        <f>MINA(R120:R121)</f>
        <v>#N/A</v>
      </c>
      <c r="Y122" t="s">
        <v>1115</v>
      </c>
      <c r="AB122" s="19" t="s">
        <v>513</v>
      </c>
      <c r="AC122" s="65" t="e">
        <f>IF(AC113=AC119,+AC112,0)</f>
        <v>#N/A</v>
      </c>
      <c r="AD122" t="s">
        <v>439</v>
      </c>
    </row>
    <row r="123" spans="1:51" ht="15.75">
      <c r="N123" s="165"/>
      <c r="Q123" s="49"/>
      <c r="Z123" s="46" t="s">
        <v>514</v>
      </c>
      <c r="AA123" s="65" t="e">
        <f>AB113-AA119</f>
        <v>#N/A</v>
      </c>
      <c r="AC123" s="293"/>
      <c r="AD123" s="293" t="s">
        <v>515</v>
      </c>
      <c r="AF123" s="24"/>
      <c r="AG123" s="171"/>
      <c r="AH123" s="171"/>
      <c r="AI123" s="136"/>
      <c r="AJ123" s="136"/>
      <c r="AK123" s="136"/>
      <c r="AL123" t="s">
        <v>72</v>
      </c>
    </row>
    <row r="124" spans="1:51">
      <c r="B124" t="s">
        <v>571</v>
      </c>
      <c r="Z124" s="46" t="s">
        <v>1153</v>
      </c>
      <c r="AA124" s="65" t="e">
        <f>AB119+AC119-AC127</f>
        <v>#N/A</v>
      </c>
      <c r="AD124" t="s">
        <v>516</v>
      </c>
      <c r="AF124" s="67"/>
      <c r="AG124" s="73"/>
      <c r="AH124" s="73"/>
      <c r="AI124" s="73"/>
      <c r="AJ124" s="73"/>
      <c r="AK124" s="73"/>
      <c r="AL124" t="s">
        <v>517</v>
      </c>
      <c r="AP124" s="65" t="e">
        <f>MINA(AF116:AR116)</f>
        <v>#N/A</v>
      </c>
      <c r="AQ124" t="s">
        <v>135</v>
      </c>
    </row>
    <row r="125" spans="1:51">
      <c r="G125" t="s">
        <v>572</v>
      </c>
      <c r="H125" s="106" t="e">
        <f>NA()</f>
        <v>#N/A</v>
      </c>
      <c r="I125" s="107" t="s">
        <v>192</v>
      </c>
      <c r="J125" s="63">
        <v>8</v>
      </c>
      <c r="K125" t="s">
        <v>238</v>
      </c>
      <c r="N125">
        <f>CODE(I125)</f>
        <v>75</v>
      </c>
      <c r="O125">
        <f>HLOOKUP(N125,AA310:AZ320,6)</f>
        <v>500</v>
      </c>
      <c r="P125" t="s">
        <v>239</v>
      </c>
      <c r="Z125" s="46" t="s">
        <v>1116</v>
      </c>
      <c r="AA125" s="65" t="e">
        <f>AA124/AA123</f>
        <v>#N/A</v>
      </c>
      <c r="AG125" s="172"/>
      <c r="AH125" s="172"/>
      <c r="AI125" s="172"/>
      <c r="AJ125" s="172"/>
      <c r="AK125" s="172"/>
      <c r="AL125" t="s">
        <v>518</v>
      </c>
      <c r="AP125" s="65" t="e">
        <f>MAXA(AF116:AR116)</f>
        <v>#N/A</v>
      </c>
      <c r="AQ125" t="s">
        <v>135</v>
      </c>
    </row>
    <row r="126" spans="1:51">
      <c r="A126" s="67" t="e">
        <f>J35*10^-3</f>
        <v>#N/A</v>
      </c>
      <c r="C126" s="25" t="e">
        <f>J37*10^-3</f>
        <v>#N/A</v>
      </c>
      <c r="D126" t="e">
        <f>FIXED(C126,3,TRUE)</f>
        <v>#N/A</v>
      </c>
      <c r="F126" s="79" t="e">
        <f>J36*10^-3</f>
        <v>#N/A</v>
      </c>
      <c r="G126" s="282" t="s">
        <v>573</v>
      </c>
      <c r="H126" s="27" t="s">
        <v>248</v>
      </c>
      <c r="I126" s="27" t="s">
        <v>112</v>
      </c>
      <c r="J126" s="64">
        <f>O125</f>
        <v>500</v>
      </c>
      <c r="K126" t="s">
        <v>31</v>
      </c>
      <c r="N126" s="67" t="e">
        <f>IF(O126&lt;N127,0,IF(O126&lt;P127,+O126,0.5*O126*O128*(-1+SQRT(1+4*$AA$302/(O126*O128)))))</f>
        <v>#N/A</v>
      </c>
      <c r="O126" s="67" t="e">
        <f>J128*J127/(J129*J130*J23)</f>
        <v>#N/A</v>
      </c>
      <c r="P126" t="s">
        <v>273</v>
      </c>
      <c r="Y126" s="55" t="s">
        <v>1117</v>
      </c>
      <c r="AA126" s="49"/>
      <c r="AC126" s="67">
        <f>+$J$21*10^-3</f>
        <v>0.12</v>
      </c>
      <c r="AD126" s="55" t="s">
        <v>84</v>
      </c>
      <c r="AG126" s="172"/>
      <c r="AH126" s="172"/>
      <c r="AI126" s="172"/>
      <c r="AJ126" s="172"/>
      <c r="AK126" s="172"/>
      <c r="AL126" t="s">
        <v>524</v>
      </c>
      <c r="AP126" s="65" t="e">
        <f>MAXA(AF118:AL118)</f>
        <v>#N/A</v>
      </c>
      <c r="AQ126" t="s">
        <v>439</v>
      </c>
      <c r="AU126" s="67"/>
      <c r="AV126" s="67"/>
      <c r="AW126" s="67"/>
      <c r="AX126" s="67"/>
      <c r="AY126" s="67"/>
    </row>
    <row r="127" spans="1:51">
      <c r="A127" s="67" t="e">
        <f>L35*10^-3</f>
        <v>#N/A</v>
      </c>
      <c r="C127" s="25" t="e">
        <f>L37*10^-3</f>
        <v>#N/A</v>
      </c>
      <c r="D127" t="e">
        <f>FIXED(C127,3,TRUE)</f>
        <v>#N/A</v>
      </c>
      <c r="F127" s="79" t="e">
        <f>L36*10^-3</f>
        <v>#N/A</v>
      </c>
      <c r="G127" s="282" t="s">
        <v>574</v>
      </c>
      <c r="H127" s="27" t="s">
        <v>254</v>
      </c>
      <c r="I127" s="27" t="s">
        <v>112</v>
      </c>
      <c r="J127" s="64">
        <f>O125/N19</f>
        <v>416.66666666666669</v>
      </c>
      <c r="K127" t="s">
        <v>31</v>
      </c>
      <c r="N127" s="67">
        <f>MAXA(T127:T128)</f>
        <v>2.9286511333037436E-2</v>
      </c>
      <c r="O127" s="67">
        <f>HLOOKUP(N125,AA310:AZ320,5)</f>
        <v>4.9882794186591653E-2</v>
      </c>
      <c r="P127" s="67">
        <f>HLOOKUP(N125,AA310:AZ320,8)</f>
        <v>0.5014925373134328</v>
      </c>
      <c r="Q127" t="s">
        <v>255</v>
      </c>
      <c r="T127" s="67">
        <f>0.26*$J$24/J126*J127/$J$23</f>
        <v>2.9286511333037436E-2</v>
      </c>
      <c r="Z127" s="46" t="s">
        <v>443</v>
      </c>
      <c r="AA127" s="65" t="e">
        <f>AB119+AC119-AC127-(F36+J18-(J21-20)/2)/2*10^-3</f>
        <v>#N/A</v>
      </c>
      <c r="AC127" s="67">
        <f>(AC126-0.02)/2</f>
        <v>4.9999999999999996E-2</v>
      </c>
      <c r="AD127" s="55" t="s">
        <v>84</v>
      </c>
      <c r="AG127" s="172"/>
      <c r="AH127" s="172"/>
      <c r="AI127" s="172"/>
      <c r="AJ127" s="172"/>
      <c r="AK127" s="172"/>
      <c r="AL127" t="s">
        <v>525</v>
      </c>
      <c r="AP127" s="65" t="e">
        <f>MAXA(AM118:AN118)</f>
        <v>#N/A</v>
      </c>
      <c r="AQ127" t="s">
        <v>439</v>
      </c>
    </row>
    <row r="128" spans="1:51">
      <c r="H128" s="27" t="s">
        <v>259</v>
      </c>
      <c r="I128" s="27" t="s">
        <v>112</v>
      </c>
      <c r="J128" s="64" t="e">
        <f>J125^2/4*PI()*H125</f>
        <v>#N/A</v>
      </c>
      <c r="K128" t="s">
        <v>105</v>
      </c>
      <c r="O128" s="49">
        <f>HLOOKUP(N125,AA310:AZ320,9)</f>
        <v>1.6799999999999997</v>
      </c>
      <c r="P128" t="s">
        <v>260</v>
      </c>
      <c r="T128" s="67">
        <f>0.0013*J127/$J$23</f>
        <v>2.5277777777777774E-2</v>
      </c>
      <c r="U128" s="49"/>
      <c r="V128" s="24"/>
      <c r="Z128" s="46" t="s">
        <v>1118</v>
      </c>
      <c r="AA128" s="65" t="e">
        <f>AA127/AA123</f>
        <v>#N/A</v>
      </c>
      <c r="AC128" s="116" t="e">
        <f>AO33+AO34</f>
        <v>#N/A</v>
      </c>
      <c r="AD128" s="55" t="s">
        <v>439</v>
      </c>
      <c r="AG128" s="136"/>
      <c r="AH128" s="136"/>
      <c r="AI128" s="136"/>
      <c r="AJ128" s="136"/>
      <c r="AK128" s="136"/>
      <c r="AL128" t="s">
        <v>529</v>
      </c>
      <c r="AP128" s="65" t="e">
        <f>MAXA(AO118:AR118)</f>
        <v>#N/A</v>
      </c>
      <c r="AQ128" t="s">
        <v>439</v>
      </c>
    </row>
    <row r="129" spans="1:44">
      <c r="D129" t="s">
        <v>575</v>
      </c>
      <c r="G129" t="s">
        <v>576</v>
      </c>
      <c r="H129" s="27"/>
      <c r="I129" s="27" t="s">
        <v>112</v>
      </c>
      <c r="J129" s="63">
        <f>IF(OR(J34="dorn",L34="dorn"),F106-SUM(C107:C109),150)</f>
        <v>150</v>
      </c>
      <c r="K129" t="s">
        <v>78</v>
      </c>
      <c r="Y129" t="s">
        <v>1119</v>
      </c>
      <c r="AC129" s="46"/>
    </row>
    <row r="130" spans="1:44">
      <c r="A130" s="25" t="s">
        <v>577</v>
      </c>
      <c r="B130" s="283" t="s">
        <v>481</v>
      </c>
      <c r="C130" s="25"/>
      <c r="D130" s="25"/>
      <c r="E130" s="25"/>
      <c r="F130" s="25"/>
      <c r="G130" t="s">
        <v>119</v>
      </c>
      <c r="H130" s="27" t="s">
        <v>120</v>
      </c>
      <c r="I130" s="27" t="s">
        <v>112</v>
      </c>
      <c r="J130" s="63" t="e">
        <f>J15-J26/2-J125/2</f>
        <v>#N/A</v>
      </c>
      <c r="K130" t="s">
        <v>78</v>
      </c>
      <c r="AB130" s="49"/>
    </row>
    <row r="131" spans="1:44" ht="15.75">
      <c r="A131" s="283" t="e">
        <f>AI83</f>
        <v>#N/A</v>
      </c>
      <c r="B131" s="25" t="e">
        <f>AC88</f>
        <v>#N/A</v>
      </c>
      <c r="C131" s="25" t="e">
        <f>IF(A131="&lt;",C126,C126+F126-B131)</f>
        <v>#N/A</v>
      </c>
      <c r="D131" s="25"/>
      <c r="E131" s="284" t="e">
        <f>IF(A131="&gt;","(f)"," ")</f>
        <v>#N/A</v>
      </c>
      <c r="F131" s="283" t="e">
        <f>IF(A131="&lt;","(f)"," ")</f>
        <v>#N/A</v>
      </c>
      <c r="H131" t="s">
        <v>578</v>
      </c>
      <c r="L131" t="s">
        <v>423</v>
      </c>
      <c r="O131" s="145" t="str">
        <f>AL98</f>
        <v>venstre</v>
      </c>
      <c r="P131" s="145" t="str">
        <f>AL123</f>
        <v>højre</v>
      </c>
      <c r="U131" t="s">
        <v>431</v>
      </c>
    </row>
    <row r="132" spans="1:44" ht="15.75">
      <c r="A132" s="283" t="e">
        <f>AI108</f>
        <v>#N/A</v>
      </c>
      <c r="B132" s="25" t="e">
        <f>AC113</f>
        <v>#N/A</v>
      </c>
      <c r="C132" s="25" t="e">
        <f>IF(A132="&lt;",C127,C127+F127-B132)</f>
        <v>#N/A</v>
      </c>
      <c r="D132" s="25"/>
      <c r="E132" s="284" t="e">
        <f>IF(A132="&gt;","(f)"," ")</f>
        <v>#N/A</v>
      </c>
      <c r="F132" s="283" t="e">
        <f>IF(A132="&lt;","(f)"," ")</f>
        <v>#N/A</v>
      </c>
      <c r="G132" t="s">
        <v>579</v>
      </c>
      <c r="H132" s="24" t="e">
        <f>(1-0.5*N126)*N126*J129*J130^2*J23*10^-6</f>
        <v>#N/A</v>
      </c>
      <c r="J132" t="s">
        <v>135</v>
      </c>
      <c r="K132" t="e">
        <f>IF(H132&gt;L132,"&gt;","&lt;")</f>
        <v>#N/A</v>
      </c>
      <c r="L132" s="24" t="e">
        <f>-MINA(O132:P132)</f>
        <v>#N/A</v>
      </c>
      <c r="M132" t="e">
        <f>IF(H132&gt;L132,"accept","forkast")</f>
        <v>#N/A</v>
      </c>
      <c r="N132" s="165" t="e">
        <f>IF(M132="forkast","NB!"," ")</f>
        <v>#N/A</v>
      </c>
      <c r="O132" s="24" t="e">
        <f>AP99</f>
        <v>#N/A</v>
      </c>
      <c r="P132" s="24" t="e">
        <f>AP124</f>
        <v>#N/A</v>
      </c>
      <c r="Q132" t="str">
        <f>"kNm,"&amp;AL99</f>
        <v>kNm,  min M (overside)</v>
      </c>
      <c r="U132" t="str">
        <f>B124</f>
        <v>PLADESTRIMMEL V.REPOSEENDER (e)</v>
      </c>
    </row>
    <row r="133" spans="1:44" ht="15.75">
      <c r="D133" s="25"/>
      <c r="G133" t="s">
        <v>580</v>
      </c>
      <c r="H133" s="24" t="e">
        <f>H132</f>
        <v>#N/A</v>
      </c>
      <c r="J133" t="str">
        <f>J132</f>
        <v>kNm</v>
      </c>
      <c r="K133" t="e">
        <f>IF(H133&gt;L133,"&gt;","&lt;")</f>
        <v>#N/A</v>
      </c>
      <c r="L133" s="24" t="e">
        <f>MAXA(O133:P133)</f>
        <v>#N/A</v>
      </c>
      <c r="M133" t="e">
        <f>IF(H133&gt;L133,"accept","forkast")</f>
        <v>#N/A</v>
      </c>
      <c r="N133" s="165" t="e">
        <f>IF(M133="forkast","NB!"," ")</f>
        <v>#N/A</v>
      </c>
      <c r="O133" s="24" t="e">
        <f>AP100</f>
        <v>#N/A</v>
      </c>
      <c r="P133" s="24" t="e">
        <f>AP125</f>
        <v>#N/A</v>
      </c>
      <c r="Q133" t="str">
        <f>"kNm,"&amp;AL100</f>
        <v>kNm,  maks M (underside)</v>
      </c>
      <c r="U133" s="19" t="s">
        <v>440</v>
      </c>
      <c r="V133" s="19" t="s">
        <v>441</v>
      </c>
      <c r="W133" s="51">
        <f>2*6^2/4*PI()</f>
        <v>56.548667764616276</v>
      </c>
      <c r="X133" t="s">
        <v>442</v>
      </c>
    </row>
    <row r="134" spans="1:44" ht="15.75">
      <c r="D134" s="25"/>
      <c r="G134" t="s">
        <v>583</v>
      </c>
      <c r="H134" s="24" t="e">
        <f>MAXA(V134:V135)</f>
        <v>#N/A</v>
      </c>
      <c r="J134" t="s">
        <v>439</v>
      </c>
      <c r="K134" t="e">
        <f>IF(H134&gt;L134,"&gt;","&lt;")</f>
        <v>#N/A</v>
      </c>
      <c r="L134" s="24" t="e">
        <f>MAXA(O134:P134)</f>
        <v>#N/A</v>
      </c>
      <c r="M134" t="e">
        <f>IF(H134&gt;L134,"accept","=&gt; vælger")</f>
        <v>#N/A</v>
      </c>
      <c r="N134" s="165" t="e">
        <f>IF(M134="=&gt; vælger","Bøjler!"," ")</f>
        <v>#N/A</v>
      </c>
      <c r="O134" s="24" t="e">
        <f>AP101</f>
        <v>#N/A</v>
      </c>
      <c r="P134" s="24" t="e">
        <f>AP126</f>
        <v>#N/A</v>
      </c>
      <c r="Q134" t="str">
        <f>"kNm,"&amp;AL101</f>
        <v>kNm,  maks |V| imlm.bageste u.støtn.og m.pkt.</v>
      </c>
      <c r="U134" s="49" t="e">
        <f>1+SQRT(200/W135)</f>
        <v>#N/A</v>
      </c>
      <c r="V134" s="24" t="e">
        <f>(0.18/$N$17*U135*(100*W133/(W134*W135)*$J$22)^(1/3))*W134*W135*10^-3</f>
        <v>#N/A</v>
      </c>
      <c r="W134">
        <f>J129</f>
        <v>150</v>
      </c>
      <c r="X134" t="s">
        <v>447</v>
      </c>
      <c r="AG134" s="57" t="s">
        <v>581</v>
      </c>
      <c r="AJ134" t="s">
        <v>582</v>
      </c>
      <c r="AR134" s="19" t="s">
        <v>439</v>
      </c>
    </row>
    <row r="135" spans="1:44" ht="15.75">
      <c r="A135" s="25" t="s">
        <v>584</v>
      </c>
      <c r="B135" s="25"/>
      <c r="D135" s="25"/>
      <c r="H135" s="25" t="e">
        <f>H134</f>
        <v>#N/A</v>
      </c>
      <c r="I135" s="25"/>
      <c r="J135" s="25" t="s">
        <v>439</v>
      </c>
      <c r="K135" t="e">
        <f>IF(H135&gt;L135,"&gt;","&lt;")</f>
        <v>#N/A</v>
      </c>
      <c r="L135" s="24" t="e">
        <f>MAXA(O135:P135)</f>
        <v>#N/A</v>
      </c>
      <c r="M135" t="e">
        <f>IF(H135&gt;L135,"accept","=&gt; vælger")</f>
        <v>#N/A</v>
      </c>
      <c r="N135" s="165" t="e">
        <f>IF(M135="=&gt; vælger","Bøjler!"," ")</f>
        <v>#N/A</v>
      </c>
      <c r="O135" s="24" t="e">
        <f>AP102</f>
        <v>#N/A</v>
      </c>
      <c r="P135" s="24" t="e">
        <f>AP127</f>
        <v>#N/A</v>
      </c>
      <c r="Q135" t="str">
        <f>"kNm,"&amp;AL102</f>
        <v>kNm,  maks |V| bag forreste u.støtn.</v>
      </c>
      <c r="U135" s="49" t="e">
        <f>IF(U134&gt;2,2,U134)</f>
        <v>#N/A</v>
      </c>
      <c r="V135" s="24" t="e">
        <f>(0.035*U135^(3/2)*SQRT($J$22)*W134*W135)*10^-3</f>
        <v>#N/A</v>
      </c>
      <c r="W135" t="e">
        <f>J130</f>
        <v>#N/A</v>
      </c>
      <c r="X135" t="s">
        <v>450</v>
      </c>
      <c r="AG135" t="str">
        <f>"R2 maks, venstre, "&amp;J34</f>
        <v>R2 maks, venstre, dorn</v>
      </c>
      <c r="AI135" s="19"/>
    </row>
    <row r="136" spans="1:44" ht="15.75">
      <c r="A136" s="25" t="e">
        <f>AA87</f>
        <v>#N/A</v>
      </c>
      <c r="B136" s="25" t="s">
        <v>71</v>
      </c>
      <c r="D136" s="25"/>
      <c r="H136" s="25" t="e">
        <f>H135</f>
        <v>#N/A</v>
      </c>
      <c r="I136" s="25"/>
      <c r="J136" s="25" t="s">
        <v>439</v>
      </c>
      <c r="K136" t="e">
        <f>IF(H136&gt;L136,"&gt;","&lt;")</f>
        <v>#N/A</v>
      </c>
      <c r="L136" s="24" t="e">
        <f>MAXA(O136:P136)</f>
        <v>#N/A</v>
      </c>
      <c r="M136" t="e">
        <f>IF(H136&gt;L136,"accept","=&gt; vælger")</f>
        <v>#N/A</v>
      </c>
      <c r="N136" s="165" t="e">
        <f>IF(M136="=&gt; vælger","Bøjler!"," ")</f>
        <v>#N/A</v>
      </c>
      <c r="O136" s="24" t="e">
        <f>AP103</f>
        <v>#N/A</v>
      </c>
      <c r="P136" s="24" t="e">
        <f>AP128</f>
        <v>#N/A</v>
      </c>
      <c r="Q136" t="str">
        <f>"kNm,"&amp;AL103</f>
        <v>kNm,  maks |V| foran forreste u.støtn.</v>
      </c>
      <c r="AG136" s="201" t="s">
        <v>585</v>
      </c>
      <c r="AM136" s="46" t="s">
        <v>586</v>
      </c>
    </row>
    <row r="137" spans="1:44">
      <c r="A137" s="25" t="e">
        <f>AA112</f>
        <v>#N/A</v>
      </c>
      <c r="B137" s="25" t="s">
        <v>72</v>
      </c>
      <c r="D137" s="25"/>
      <c r="H137" t="s">
        <v>587</v>
      </c>
      <c r="I137" s="107" t="s">
        <v>192</v>
      </c>
      <c r="K137" t="s">
        <v>588</v>
      </c>
      <c r="AQ137" s="78" t="e">
        <f>FIXED(L46,2)&amp;" x "&amp;FIXED(J16,0)&amp;" x 10^-3 / 2 x "&amp;FIXED(J17,0)&amp;" x 10^-3 x ("&amp;FIXED(J17,0)&amp;" / 2 - "&amp;FIXED(J35,0)&amp;") / "&amp;FIXED(J37,0)&amp;" ="</f>
        <v>#N/A</v>
      </c>
      <c r="AR137" s="24" t="e">
        <f>L46*J16*10^-3/2*J17*10^-3*(J17/2-J35)/J37</f>
        <v>#N/A</v>
      </c>
    </row>
    <row r="138" spans="1:44">
      <c r="D138" s="25"/>
      <c r="H138" t="s">
        <v>248</v>
      </c>
      <c r="I138" t="s">
        <v>112</v>
      </c>
      <c r="J138" s="51">
        <f>O138</f>
        <v>500</v>
      </c>
      <c r="K138" t="s">
        <v>31</v>
      </c>
      <c r="N138">
        <f>CODE(I137)</f>
        <v>75</v>
      </c>
      <c r="O138">
        <f>HLOOKUP(N138,AA310:AZ320,6)</f>
        <v>500</v>
      </c>
      <c r="P138" t="s">
        <v>239</v>
      </c>
      <c r="AG138" s="201" t="s">
        <v>589</v>
      </c>
      <c r="AM138" s="202" t="s">
        <v>590</v>
      </c>
    </row>
    <row r="139" spans="1:44">
      <c r="D139" s="25"/>
      <c r="H139" t="s">
        <v>453</v>
      </c>
      <c r="I139" t="s">
        <v>112</v>
      </c>
      <c r="J139" s="51">
        <f>O138/$N$19</f>
        <v>416.66666666666669</v>
      </c>
      <c r="K139" t="s">
        <v>31</v>
      </c>
      <c r="AQ139" s="78" t="e">
        <f>"("&amp;FIXED(AL33,2)&amp;" + "&amp;FIXED(AL34,2)&amp;" + "&amp;FIXED(AN17,3)&amp;" x "&amp;FIXED(H59,2)&amp;" + "&amp;FIXED(AN22,3)&amp;" x "&amp;FIXED(J59,2)&amp;") x ("&amp;FIXED(J37,0)&amp;" + "&amp;FIXED(J36,0)&amp;" - "&amp;FIXED(J21,0)&amp;" / 3) / "&amp;FIXED(J37,0)&amp;" ="</f>
        <v>#N/A</v>
      </c>
      <c r="AR139" s="24" t="e">
        <f>(AL33+AL34+AN17*H59+AN22*J59)*(J37+J36-J21/3)/J37</f>
        <v>#N/A</v>
      </c>
    </row>
    <row r="140" spans="1:44">
      <c r="A140" s="25" t="e">
        <f>IF(H134&gt;O134,0,IF((O134-H134)/A136&lt;C131,(O134-H134)/A136/(J141*10^-3),C131/(J141*10^-3)))</f>
        <v>#N/A</v>
      </c>
      <c r="B140" s="25" t="s">
        <v>71</v>
      </c>
      <c r="D140" s="25">
        <v>1</v>
      </c>
      <c r="E140" s="25" t="e">
        <f>MAXA(D140,A140)</f>
        <v>#N/A</v>
      </c>
      <c r="G140" s="107">
        <v>1</v>
      </c>
      <c r="H140" t="s">
        <v>444</v>
      </c>
      <c r="I140" t="str">
        <f>I137</f>
        <v>K</v>
      </c>
      <c r="J140" s="63">
        <v>8</v>
      </c>
      <c r="K140" t="s">
        <v>591</v>
      </c>
      <c r="AQ140" s="202" t="s">
        <v>592</v>
      </c>
      <c r="AR140" s="24" t="e">
        <f>AR137+AR139</f>
        <v>#N/A</v>
      </c>
    </row>
    <row r="141" spans="1:44" ht="15.75">
      <c r="A141" s="25" t="e">
        <f>IF(H134&gt;P134,0,IF((P134-H134)/A137&lt;C132,(P134-H134)/A137/(J141*10^-3),C132/(J141*10^-3)))</f>
        <v>#N/A</v>
      </c>
      <c r="B141" s="25" t="s">
        <v>72</v>
      </c>
      <c r="D141" s="25">
        <v>1</v>
      </c>
      <c r="E141" s="25" t="e">
        <f>MAXA(D141,A141)</f>
        <v>#N/A</v>
      </c>
      <c r="G141" s="27" t="e">
        <f>IF(AND(A140&gt;0,A141&gt;0),FIXED(E140,0,TRUE)&amp;" stk venstre, "&amp;FIXED(E141,0,TRUE)&amp;" stk højre",IF(A140&gt;0,FIXED(E140,0,TRUE)&amp;" stk venstre ",IF(A141&gt;0,FIXED(E141,0,TRUE)&amp;" stk højre"," ")))</f>
        <v>#N/A</v>
      </c>
      <c r="J141" s="63" t="e">
        <f>TRUNC(0.75*$J$130/10)*10</f>
        <v>#N/A</v>
      </c>
      <c r="K141" t="e">
        <f>IF(J141&gt;0.75*$J$130,"NB! for stor!","mm centeratstand")</f>
        <v>#N/A</v>
      </c>
      <c r="N141" s="165" t="e">
        <f>IF(K141="NB! for stor!","NB!"," ")</f>
        <v>#N/A</v>
      </c>
      <c r="AG141" t="str">
        <f>"R2 maks, højre, "&amp;L34</f>
        <v>R2 maks, højre, fast</v>
      </c>
      <c r="AI141" s="19"/>
    </row>
    <row r="142" spans="1:44" ht="15.75">
      <c r="A142" s="25"/>
      <c r="B142" s="25"/>
      <c r="D142" s="25"/>
      <c r="E142" s="25"/>
      <c r="G142" s="203" t="s">
        <v>456</v>
      </c>
      <c r="H142" s="24" t="e">
        <f>G140*J140^2/4*PI()*$J$139/J141*0.9*$J$130*10^-3</f>
        <v>#N/A</v>
      </c>
      <c r="I142" t="e">
        <f>IF(H142&gt;J142,"&gt;","&lt;")</f>
        <v>#N/A</v>
      </c>
      <c r="J142" s="91" t="e">
        <f>L134</f>
        <v>#N/A</v>
      </c>
      <c r="K142" t="s">
        <v>439</v>
      </c>
      <c r="M142" t="e">
        <f>IF(M134="accept"," ",IF(H142&gt;J142,"accept","forkast"))</f>
        <v>#N/A</v>
      </c>
      <c r="N142" s="165" t="e">
        <f>IF(M142="forkast","NB!"," ")</f>
        <v>#N/A</v>
      </c>
      <c r="AG142" s="201" t="s">
        <v>585</v>
      </c>
      <c r="AM142" s="46" t="s">
        <v>593</v>
      </c>
    </row>
    <row r="143" spans="1:44">
      <c r="A143" s="25" t="e">
        <f>IF(H135&gt;O135,0,IF(A131="&gt;",C143/(J144*10^-3),IF((O135-H135)/A136&lt;C131,(O135-H135)/A136/(J144*10^-3),+C131/(J144*10^-3))))</f>
        <v>#N/A</v>
      </c>
      <c r="B143" s="25" t="s">
        <v>71</v>
      </c>
      <c r="C143" s="25" t="e">
        <f>IF(A131="&gt;",B131-F126," ")</f>
        <v>#N/A</v>
      </c>
      <c r="D143" s="25">
        <v>1</v>
      </c>
      <c r="E143" s="25" t="e">
        <f>MAXA(D143,A143)</f>
        <v>#N/A</v>
      </c>
      <c r="G143" s="107">
        <v>1</v>
      </c>
      <c r="H143" t="s">
        <v>444</v>
      </c>
      <c r="I143" t="str">
        <f>I137</f>
        <v>K</v>
      </c>
      <c r="J143" s="63">
        <v>8</v>
      </c>
      <c r="K143" t="s">
        <v>591</v>
      </c>
      <c r="AQ143" s="78" t="e">
        <f>FIXED(L46,2)&amp;" x "&amp;FIXED(J16,0)&amp;" x 10^-3 / 2 x "&amp;FIXED(J17,0)&amp;" x 10^-3 x ("&amp;FIXED(J17,0)&amp;" / 2 - "&amp;FIXED(L35,0)&amp;") / "&amp;FIXED(L37,0)&amp;" ="</f>
        <v>#N/A</v>
      </c>
      <c r="AR143" s="24" t="e">
        <f>L46*J16*10^-3/2*J17*10^-3*(J17/2-L35)/L37</f>
        <v>#N/A</v>
      </c>
    </row>
    <row r="144" spans="1:44" ht="15.75">
      <c r="A144" s="25" t="e">
        <f>IF(H135&gt;P135,0,IF(A132="&gt;",C144/(J144*10^-3),IF((P135-H135)/A137&lt;C132,(P135-H135)/A137/(J144*10^-3),+C132/(J144*10^-3))))</f>
        <v>#N/A</v>
      </c>
      <c r="B144" s="25" t="s">
        <v>72</v>
      </c>
      <c r="C144" s="25" t="e">
        <f>IF(A132="&gt;",B132-F127," ")</f>
        <v>#N/A</v>
      </c>
      <c r="D144" s="25">
        <v>1</v>
      </c>
      <c r="E144" s="25" t="e">
        <f>MAXA(D144,A144)</f>
        <v>#N/A</v>
      </c>
      <c r="G144" s="27" t="e">
        <f>IF(AND(A143&gt;0,A144&gt;0),FIXED(E143,0,TRUE)&amp;" stk venstre, "&amp;FIXED(E144,0,TRUE)&amp;" stk højre",IF(A143&gt;0,FIXED(E143,0,TRUE)&amp;" stk venstre ",IF(A144&gt;0,FIXED(E144,0,TRUE)&amp;" stk højre"," ")))</f>
        <v>#N/A</v>
      </c>
      <c r="J144" s="63" t="e">
        <f>TRUNC(0.75*$J$130/10)*10</f>
        <v>#N/A</v>
      </c>
      <c r="K144" t="e">
        <f>IF(J144&gt;0.75*$J$130,"NB! for stor!","mm centeratstand")</f>
        <v>#N/A</v>
      </c>
      <c r="N144" s="165" t="e">
        <f>IF(K144="NB! for stor!","NB!"," ")</f>
        <v>#N/A</v>
      </c>
      <c r="AG144" s="201" t="s">
        <v>589</v>
      </c>
      <c r="AM144" s="202" t="s">
        <v>594</v>
      </c>
    </row>
    <row r="145" spans="1:45" ht="15.75">
      <c r="A145" s="25"/>
      <c r="B145" s="25"/>
      <c r="C145" s="25"/>
      <c r="D145" s="25"/>
      <c r="E145" s="25"/>
      <c r="G145" s="203" t="s">
        <v>456</v>
      </c>
      <c r="H145" s="24" t="e">
        <f>G143*J143^2/4*PI()*$J$139/J144*0.9*$J$130*10^-3</f>
        <v>#N/A</v>
      </c>
      <c r="I145" t="e">
        <f>IF(H145&gt;J145,"&gt;","&lt;")</f>
        <v>#N/A</v>
      </c>
      <c r="J145" s="91" t="e">
        <f>L135</f>
        <v>#N/A</v>
      </c>
      <c r="K145" t="s">
        <v>439</v>
      </c>
      <c r="M145" t="e">
        <f>IF(M135="accept"," ",IF(H145&gt;J145,"accept","forkast"))</f>
        <v>#N/A</v>
      </c>
      <c r="N145" s="165" t="e">
        <f>IF(M145="forkast","NB!"," ")</f>
        <v>#N/A</v>
      </c>
      <c r="O145" s="24"/>
      <c r="AQ145" s="78" t="e">
        <f>"("&amp;FIXED(AO33,2)&amp;" + "&amp;FIXED(AO34,2)&amp;" + "&amp;FIXED(AP17,3)&amp;" x "&amp;FIXED(H59,2)&amp;" + "&amp;FIXED(AP22,3)&amp;" x "&amp;FIXED(J59,2)&amp;") x ("&amp;FIXED(L37,0)&amp;" + "&amp;FIXED(L36,0)&amp;" - "&amp;FIXED(J21,0)&amp;" / 3) / "&amp;FIXED(L37,0)&amp;" ="</f>
        <v>#N/A</v>
      </c>
      <c r="AR145" s="24" t="e">
        <f>(AO33+AO34+AP17*H59+AP22*J59)*(L37+L36-J21/3)/L37</f>
        <v>#N/A</v>
      </c>
    </row>
    <row r="146" spans="1:45" ht="15.75">
      <c r="A146" s="25" t="e">
        <f>IF(H136&gt;O136,0,+C146/(J147*10^-3)+1)</f>
        <v>#N/A</v>
      </c>
      <c r="B146" s="25" t="s">
        <v>71</v>
      </c>
      <c r="C146" s="25" t="e">
        <f>IF(A131="&lt;",F126-B131," ")</f>
        <v>#N/A</v>
      </c>
      <c r="D146" s="25">
        <v>1</v>
      </c>
      <c r="E146" s="25" t="e">
        <f>MAXA(D146,A146)</f>
        <v>#N/A</v>
      </c>
      <c r="G146" s="107">
        <v>1</v>
      </c>
      <c r="H146" t="s">
        <v>444</v>
      </c>
      <c r="I146" t="str">
        <f>I140</f>
        <v>K</v>
      </c>
      <c r="J146" s="63">
        <v>8</v>
      </c>
      <c r="K146" t="s">
        <v>591</v>
      </c>
      <c r="N146" s="165"/>
      <c r="AQ146" s="202" t="s">
        <v>592</v>
      </c>
      <c r="AR146" s="24" t="e">
        <f>AR143+AR145</f>
        <v>#N/A</v>
      </c>
    </row>
    <row r="147" spans="1:45" ht="15.75">
      <c r="A147" s="25" t="e">
        <f>IF(H136&gt;P136,0,+C147/(J147*10^-3)+1)</f>
        <v>#N/A</v>
      </c>
      <c r="B147" s="25" t="s">
        <v>72</v>
      </c>
      <c r="C147" s="25" t="e">
        <f>IF(A132="&lt;",F127-B132," ")</f>
        <v>#N/A</v>
      </c>
      <c r="D147" s="25">
        <v>1</v>
      </c>
      <c r="E147" s="25" t="e">
        <f>MAXA(D147,A147)</f>
        <v>#N/A</v>
      </c>
      <c r="G147" t="e">
        <f>IF(AND(A146&gt;0,A147&gt;0),FIXED(E146,0,TRUE)&amp;" stk venstre, "&amp;FIXED(E147,0,TRUE)&amp;" stk højre",IF(A146&gt;0,FIXED(E146,0,TRUE)&amp;" stk venstre ",IF(A147&gt;0,FIXED(E147,0,TRUE)&amp;" stk højre"," ")))</f>
        <v>#N/A</v>
      </c>
      <c r="J147" s="63" t="e">
        <f>TRUNC(0.75*$J$130/10)*10</f>
        <v>#N/A</v>
      </c>
      <c r="K147" t="e">
        <f>IF(J147&gt;0.75*$J$130,"NB! for stor!","mm centeratstand")</f>
        <v>#N/A</v>
      </c>
      <c r="N147" s="165" t="e">
        <f>IF(K147="NB! for stor!","NB!"," ")</f>
        <v>#N/A</v>
      </c>
      <c r="W147" s="49"/>
      <c r="AG147" t="str">
        <f>"R1 min, venstre, "&amp;J34</f>
        <v>R1 min, venstre, dorn</v>
      </c>
      <c r="AI147" s="19"/>
    </row>
    <row r="148" spans="1:45" ht="15.75">
      <c r="G148" s="46" t="s">
        <v>456</v>
      </c>
      <c r="H148" s="24" t="e">
        <f>G146*J146^2/4*PI()*$J$139/J147*0.9*$J$130*10^-3</f>
        <v>#N/A</v>
      </c>
      <c r="I148" t="e">
        <f>IF(H148&gt;J148,"&gt;","&lt;")</f>
        <v>#N/A</v>
      </c>
      <c r="J148" s="24" t="e">
        <f>L136</f>
        <v>#N/A</v>
      </c>
      <c r="K148" t="s">
        <v>439</v>
      </c>
      <c r="M148" t="e">
        <f>IF(M136="accept"," ",IF(H148&gt;J148,"accept","forkast"))</f>
        <v>#N/A</v>
      </c>
      <c r="N148" s="165" t="e">
        <f>IF(M148="forkast","NB!"," ")</f>
        <v>#N/A</v>
      </c>
      <c r="W148" s="49"/>
      <c r="AG148" s="201" t="s">
        <v>585</v>
      </c>
      <c r="AL148" s="46"/>
      <c r="AO148" s="46" t="s">
        <v>1122</v>
      </c>
    </row>
    <row r="149" spans="1:45" ht="15.75">
      <c r="P149" s="49"/>
      <c r="R149" s="49"/>
      <c r="V149" s="165"/>
      <c r="W149" s="49"/>
      <c r="AH149" s="203" t="s">
        <v>418</v>
      </c>
      <c r="AQ149" s="78" t="e">
        <f>FIXED(O43,2)&amp;" x "&amp;FIXED(J16,0)&amp;" x 10^-3 /2 x "&amp;FIXED(J17,0)&amp;" x 10^-3 x ("&amp;FIXED(J17,0)&amp;" /2 - "&amp;FIXED(J36,0)&amp;") / "&amp;FIXED(J37,0)&amp;" + "&amp;FIXED(L44,2)&amp;" x "&amp;FIXED(J16,0)&amp;" x 10^-3 /2 x "&amp;FIXED(AK25,3)&amp;" ="</f>
        <v>#N/A</v>
      </c>
      <c r="AR149" s="24" t="e">
        <f>O43*J16*10^-3/2*J17*10^-3*(J17/2-J36)/J37+L44*J16*10^-3/2*AK25</f>
        <v>#N/A</v>
      </c>
    </row>
    <row r="150" spans="1:45">
      <c r="AH150" s="203" t="s">
        <v>331</v>
      </c>
      <c r="AQ150" s="78" t="e">
        <f>FIXED(N43,2)&amp;" x "&amp;FIXED(J16,0)&amp;" x 10^-3 /2 x "&amp;FIXED(J17,0)&amp;" x 10^-3 x ("&amp;FIXED(J17,0)&amp;" /2 - "&amp;FIXED(J36,0)&amp;") / "&amp;FIXED(J37,0)&amp;" + "&amp;FIXED(L44,2)&amp;" x "&amp;FIXED(J16,0)&amp;" x 10^-3 /2 x "&amp;FIXED(AK25,3)&amp;" ="</f>
        <v>#N/A</v>
      </c>
      <c r="AR150" s="24" t="e">
        <f>N43*J16*10^-3/2*J17*10^-3*(J17/2-J36)/J37+L44*J16*10^-3/2*AK25</f>
        <v>#N/A</v>
      </c>
    </row>
    <row r="151" spans="1:45">
      <c r="O151" t="s">
        <v>520</v>
      </c>
      <c r="Q151" t="s">
        <v>521</v>
      </c>
      <c r="S151" s="19" t="s">
        <v>522</v>
      </c>
      <c r="T151" s="19" t="s">
        <v>523</v>
      </c>
      <c r="AG151" s="201" t="s">
        <v>589</v>
      </c>
      <c r="AM151" s="202" t="s">
        <v>595</v>
      </c>
    </row>
    <row r="152" spans="1:45">
      <c r="O152" s="19" t="s">
        <v>71</v>
      </c>
      <c r="P152" s="19" t="s">
        <v>72</v>
      </c>
      <c r="Q152" s="19" t="s">
        <v>71</v>
      </c>
      <c r="R152" s="19" t="s">
        <v>72</v>
      </c>
      <c r="S152" s="19" t="str">
        <f>J34</f>
        <v>dorn</v>
      </c>
      <c r="T152" s="19" t="str">
        <f>L34</f>
        <v>fast</v>
      </c>
      <c r="AH152" s="203" t="s">
        <v>418</v>
      </c>
      <c r="AQ152" s="78" t="e">
        <f>"- ("&amp;FIXED(AL32,2)&amp;" + "&amp;FIXED(AL34,2)&amp;" + "&amp;FIXED(AN17,3)&amp;" x "&amp;FIXED(N59,2)&amp;" + "&amp;FIXED(AN22,3)&amp;" x "&amp;FIXED(O59,2)&amp;") x ("&amp;FIXED(J36,0)&amp;" - "&amp;FIXED(J21,0)&amp;" / 3) / "&amp;FIXED(J37,0)&amp;" ="</f>
        <v>#N/A</v>
      </c>
      <c r="AR152" s="24" t="e">
        <f>-(AL32+AL34+AN17*N59+AN22*O59)*(J36-J21/3)/J37</f>
        <v>#N/A</v>
      </c>
    </row>
    <row r="153" spans="1:45">
      <c r="N153" s="46" t="s">
        <v>528</v>
      </c>
      <c r="O153" s="49" t="e">
        <f>$L$46*$J$16*10^-3/2*$J$17*10^-3*($J$17/2-$J$35)/$J$37</f>
        <v>#N/A</v>
      </c>
      <c r="P153" s="49" t="e">
        <f>$L$46*$J$16*10^-3/2*$J$17*10^-3*($J$17/2-$L$35)/$L$37</f>
        <v>#N/A</v>
      </c>
      <c r="Q153" s="49" t="e">
        <f>($AL$33+$AL$34+$AN$17*$H$59+$AN$22*$J$59)*($J$37+$J$36-$J$21/3)/$J$37</f>
        <v>#N/A</v>
      </c>
      <c r="R153" s="49" t="e">
        <f>($AO$33+$AO$34+$AP$17*$H$59+$AP$22*$J$59)*($L$37+$L$36-$J$21/3)/$L$37</f>
        <v>#N/A</v>
      </c>
      <c r="S153" s="49" t="e">
        <f t="shared" ref="S153:T155" si="27">O153+Q153</f>
        <v>#N/A</v>
      </c>
      <c r="T153" s="49" t="e">
        <f t="shared" si="27"/>
        <v>#N/A</v>
      </c>
      <c r="U153" s="49" t="s">
        <v>439</v>
      </c>
      <c r="AH153" s="203" t="s">
        <v>331</v>
      </c>
      <c r="AQ153" s="78" t="e">
        <f>"- ("&amp;FIXED(AL33,2)&amp;" + "&amp;FIXED(AL34,2)&amp;" + "&amp;FIXED(AN17,3)&amp;" x "&amp;FIXED(H59,2)&amp;" + "&amp;FIXED(AN22,3)&amp;" x "&amp;FIXED(J59,2)&amp;") x ("&amp;FIXED(J36,0)&amp;" - "&amp;FIXED(J21,0)&amp;" / 3) / "&amp;FIXED(J37,0)&amp;" ="</f>
        <v>#N/A</v>
      </c>
      <c r="AR153" s="24" t="e">
        <f>-(AL33+AL34+AN17*H59+AN22*J59)*(J36-J21/3)/J37</f>
        <v>#N/A</v>
      </c>
    </row>
    <row r="154" spans="1:45">
      <c r="N154" s="46" t="s">
        <v>531</v>
      </c>
      <c r="O154" s="49" t="e">
        <f>$O$43*$J$16*10^-3/2*$J$17*10^-3*($J$17/2-$J$36)/$J$37+$L$44*$J$16*10^-3/2*$AK$25</f>
        <v>#N/A</v>
      </c>
      <c r="P154" s="49" t="e">
        <f>$O$43*$J$16*10^-3/2*$J$17*10^-3*($J$17/2-$L$36)/$L$37+$L$44*$J$16*10^-3/2*$AK$26</f>
        <v>#N/A</v>
      </c>
      <c r="Q154" s="49" t="e">
        <f>-($AL$32+$AL$34+$AN$17*$N$59+$AN$22*$O$59)*($J$36-$J$21/3)/$J$37</f>
        <v>#N/A</v>
      </c>
      <c r="R154" s="49" t="e">
        <f>-($AO$32+$AO$34+$AP$17*$N$59+$AP$22*$O$59)*($L$36-$J$21/3)/$L$37</f>
        <v>#N/A</v>
      </c>
      <c r="S154" s="49" t="e">
        <f t="shared" si="27"/>
        <v>#N/A</v>
      </c>
      <c r="T154" s="49" t="e">
        <f t="shared" si="27"/>
        <v>#N/A</v>
      </c>
      <c r="U154" s="49" t="s">
        <v>532</v>
      </c>
      <c r="AQ154" s="202" t="s">
        <v>596</v>
      </c>
      <c r="AR154" s="24" t="e">
        <f>AR149+AR152</f>
        <v>#N/A</v>
      </c>
    </row>
    <row r="155" spans="1:45">
      <c r="N155" s="46" t="s">
        <v>531</v>
      </c>
      <c r="O155" s="49" t="e">
        <f>$N$43*$J$16*10^-3/2*$J$17*10^-3*($J$17/2-$J$36)/$J$37+$L$44*$J$16*10^-3/2*$AK$25</f>
        <v>#N/A</v>
      </c>
      <c r="P155" s="49" t="e">
        <f>$N$43*$J$16*10^-3/2*$J$17*10^-3*($J$17/2-$L$36)/$L$37+$L$44*$J$16*10^-3/2*$AK$26</f>
        <v>#N/A</v>
      </c>
      <c r="Q155" s="49" t="e">
        <f>Q157</f>
        <v>#N/A</v>
      </c>
      <c r="R155" s="49" t="e">
        <f>R157</f>
        <v>#N/A</v>
      </c>
      <c r="S155" s="49" t="e">
        <f t="shared" si="27"/>
        <v>#N/A</v>
      </c>
      <c r="T155" s="49" t="e">
        <f t="shared" si="27"/>
        <v>#N/A</v>
      </c>
      <c r="U155" s="49" t="s">
        <v>533</v>
      </c>
      <c r="AI155" s="19"/>
      <c r="AQ155" s="204" t="s">
        <v>597</v>
      </c>
      <c r="AR155" s="24" t="e">
        <f>AR150+AR153</f>
        <v>#N/A</v>
      </c>
    </row>
    <row r="156" spans="1:45">
      <c r="N156" s="46" t="s">
        <v>531</v>
      </c>
      <c r="S156" s="49" t="e">
        <f>MIN(S151:S154)</f>
        <v>#N/A</v>
      </c>
      <c r="T156" s="49" t="e">
        <f>MIN(T151:T154)</f>
        <v>#N/A</v>
      </c>
      <c r="U156" s="49" t="s">
        <v>439</v>
      </c>
      <c r="AG156" t="str">
        <f>"R1 min, højre, "&amp;L34</f>
        <v>R1 min, højre, fast</v>
      </c>
    </row>
    <row r="157" spans="1:45">
      <c r="N157" s="46" t="s">
        <v>538</v>
      </c>
      <c r="O157" s="49" t="e">
        <f>$L$46*$J$16*10^-3/2*$J$17*10^-3*($J$17/2-$J$36)/$J$37</f>
        <v>#N/A</v>
      </c>
      <c r="P157" s="49" t="e">
        <f>$L$46*$J$16*10^-3/2*$J$17*10^-3*($J$17/2-$L$36)/$L$37</f>
        <v>#N/A</v>
      </c>
      <c r="Q157" s="49" t="e">
        <f>-($AL$33+$AL$34+$AN$17*$H$59+$AN$22*$J$59)*($J$36-$J$21/3)/$J$37</f>
        <v>#N/A</v>
      </c>
      <c r="R157" s="49" t="e">
        <f>-($AO$33+$AO$34+$AP$17*$H$59+$AP$22*$J$59)*($L$36-$J$21/3)/$L$37</f>
        <v>#N/A</v>
      </c>
      <c r="S157" s="49" t="e">
        <f t="shared" ref="S157:T160" si="28">O157+Q157</f>
        <v>#N/A</v>
      </c>
      <c r="T157" s="49" t="e">
        <f t="shared" si="28"/>
        <v>#N/A</v>
      </c>
      <c r="U157" s="49" t="s">
        <v>539</v>
      </c>
      <c r="AG157" s="201" t="s">
        <v>585</v>
      </c>
      <c r="AL157" s="46"/>
      <c r="AO157" s="46" t="s">
        <v>1123</v>
      </c>
    </row>
    <row r="158" spans="1:45">
      <c r="N158" s="46" t="s">
        <v>542</v>
      </c>
      <c r="O158" s="49" t="e">
        <f>$O$43*$J$16*10^-3/2*$J$17*10^-3*($J$17/2-$J$36)/$J$37+$L$44*$J$16*10^-3/2*($AI$25+$AJ$25)</f>
        <v>#N/A</v>
      </c>
      <c r="P158" s="49" t="e">
        <f>$O$43*$J$16*10^-3/2*$J$17*10^-3*($J$17/2-$L$36)/$L$37+$L$44*$J$16*10^-3/2*($AI$26+$AJ$26)</f>
        <v>#N/A</v>
      </c>
      <c r="Q158" s="49" t="e">
        <f>-($AL$32+$AN$17*$N$56+$AN$22*$O$56)*($J$36-$J$21/3)/$J$37</f>
        <v>#N/A</v>
      </c>
      <c r="R158" s="49" t="e">
        <f>-($AO$32+$AP$17*$N$56+$AP$22*$O$56)*($L$36-$J$21/3)/$L$37</f>
        <v>#N/A</v>
      </c>
      <c r="S158" s="49" t="e">
        <f t="shared" si="28"/>
        <v>#N/A</v>
      </c>
      <c r="T158" s="49" t="e">
        <f t="shared" si="28"/>
        <v>#N/A</v>
      </c>
      <c r="U158" s="49" t="s">
        <v>532</v>
      </c>
      <c r="AH158" s="203" t="s">
        <v>418</v>
      </c>
      <c r="AQ158" s="78" t="e">
        <f>FIXED(O43,2)&amp;" x "&amp;FIXED(J16,0)&amp;" x 10^-3 /2 x "&amp;FIXED(J17,0)&amp;" x 10^-3 x ("&amp;FIXED(J17,0)&amp;" /2 - "&amp;FIXED(L36,0)&amp;") / "&amp;FIXED(L37,0)&amp;" + "&amp;FIXED(L44,2)&amp;" x "&amp;FIXED(J16,0)&amp;" x 10^-3 /2 x "&amp;FIXED(AK26,3)&amp;" ="</f>
        <v>#N/A</v>
      </c>
      <c r="AR158" s="24" t="e">
        <f>O43*J16*10^-3/2*J17*10^-3*(J17/2-L36)/L37+L44*J16*10^-3/2*AK26</f>
        <v>#N/A</v>
      </c>
    </row>
    <row r="159" spans="1:45">
      <c r="N159" s="46" t="s">
        <v>542</v>
      </c>
      <c r="O159" s="49" t="e">
        <f>($L$40+$L$41)*$J$16*10^-3/2*$J$17*10^-3*($J$17/2-$J$36)/$J$37+$L$44*$J$16*10^-3/2*($AI$25+$AJ$25)</f>
        <v>#N/A</v>
      </c>
      <c r="P159" s="49" t="e">
        <f>($L$40+$L$41)*$J$16*10^-3/2*$J$17*10^-3*($J$17/2-$L$36)/$L$37+$L$44*$J$16*10^-3/2*($AI$26+$AJ$26)</f>
        <v>#N/A</v>
      </c>
      <c r="Q159" s="49" t="e">
        <f>-($AL$33+$AN$17*$N$57+$AN$22*$O$57)*($J$36-$J$21/3)/$J$37</f>
        <v>#N/A</v>
      </c>
      <c r="R159" s="49" t="e">
        <f>-($AO$33+$AP$17*$N$57+$AP$22*$O$57)*($L$36-$J$21/3)/$L$37</f>
        <v>#N/A</v>
      </c>
      <c r="S159" s="49" t="e">
        <f t="shared" si="28"/>
        <v>#N/A</v>
      </c>
      <c r="T159" s="49" t="e">
        <f t="shared" si="28"/>
        <v>#N/A</v>
      </c>
      <c r="U159" s="49" t="s">
        <v>533</v>
      </c>
      <c r="AH159" s="203" t="s">
        <v>331</v>
      </c>
      <c r="AQ159" s="78" t="e">
        <f>FIXED(N43,2)&amp;" x "&amp;FIXED(J16,0)&amp;" x 10^-3 /2 x "&amp;FIXED(J17,0)&amp;" x 10^-3 x ("&amp;FIXED(J17,0)&amp;" /2 - "&amp;FIXED(L36,0)&amp;") / "&amp;FIXED(L37,0)&amp;" + "&amp;FIXED(L44,2)&amp;" x "&amp;FIXED(J16,0)&amp;" x 10^-3 /2 x "&amp;FIXED(AK26,3)&amp;" ="</f>
        <v>#N/A</v>
      </c>
      <c r="AR159" s="24" t="e">
        <f>N43*J16*10^-3/2*J17*10^-3*(J17/2-L36)/L37+L44*J16*10^-3/2*AK26</f>
        <v>#N/A</v>
      </c>
    </row>
    <row r="160" spans="1:45">
      <c r="N160" s="46" t="s">
        <v>547</v>
      </c>
      <c r="O160" s="49" t="e">
        <f>H40*J16*10^-3/2*((AI25+AJ25)*AA19+AK25)</f>
        <v>#N/A</v>
      </c>
      <c r="P160" s="49" t="e">
        <f>H40*J16*10^-3/2*((AI26+AJ26)*AA19+AK26)</f>
        <v>#N/A</v>
      </c>
      <c r="Q160" s="49" t="e">
        <f>-($AL$33+$AN$17*$H$57+$AN$22*$J$57)*($J$36-$J$21/3)/$J$37</f>
        <v>#N/A</v>
      </c>
      <c r="R160" s="49" t="e">
        <f>-($AO$33+$AP$17*$H$57+$AP$22*$J$57)*($L$36-$J$21/3)/$L$37</f>
        <v>#N/A</v>
      </c>
      <c r="S160" s="49" t="e">
        <f t="shared" si="28"/>
        <v>#N/A</v>
      </c>
      <c r="T160" s="49" t="e">
        <f t="shared" si="28"/>
        <v>#N/A</v>
      </c>
      <c r="U160" s="49" t="s">
        <v>439</v>
      </c>
      <c r="V160" s="24" t="e">
        <f>IF(forsk.forkant!N9="vis ikke"," ",IF(AND(S152="fast",T152="fast"),MINA(S160:T160),IF(S152="fast",S160,IF(T152="fast",T160,NA()))))</f>
        <v>#N/A</v>
      </c>
      <c r="AG160" s="201" t="s">
        <v>589</v>
      </c>
      <c r="AM160" s="202" t="s">
        <v>598</v>
      </c>
      <c r="AS160" s="78"/>
    </row>
    <row r="161" spans="1:44">
      <c r="AH161" s="203" t="s">
        <v>418</v>
      </c>
      <c r="AQ161" s="78" t="e">
        <f>"- ("&amp;FIXED(AO32,2)&amp;" + "&amp;FIXED(AO34,2)&amp;" + "&amp;FIXED(AP17,3)&amp;" x "&amp;FIXED(N59,2)&amp;" + "&amp;FIXED(AP22,3)&amp;" x "&amp;FIXED(O59,2)&amp;") x ("&amp;FIXED(L36,0)&amp;" - "&amp;FIXED(J21,0)&amp;" / 3) / "&amp;FIXED(L37,0)&amp;" ="</f>
        <v>#N/A</v>
      </c>
      <c r="AR161" s="24" t="e">
        <f>-(AO32+AO34+AP17*N59+AP22*O59)*(L36-J21/3)/L37</f>
        <v>#N/A</v>
      </c>
    </row>
    <row r="162" spans="1:44">
      <c r="AH162" s="203" t="s">
        <v>331</v>
      </c>
      <c r="AQ162" s="78" t="e">
        <f>"- ("&amp;FIXED(AO33,2)&amp;" + "&amp;FIXED(AO34,2)&amp;" + "&amp;FIXED(AP17,3)&amp;" x "&amp;FIXED(H59,2)&amp;" + "&amp;FIXED(AP22,3)&amp;" x "&amp;FIXED(J59,2)&amp;") x ("&amp;FIXED(L36,0)&amp;" - "&amp;FIXED(J21,0)&amp;" / 3) / "&amp;FIXED(L37,0)&amp;" ="</f>
        <v>#N/A</v>
      </c>
      <c r="AR162" s="24" t="e">
        <f>-(AO33+AO34+AP17*H59+AP22*J59)*(L36-J21/3)/L37</f>
        <v>#N/A</v>
      </c>
    </row>
    <row r="163" spans="1:44">
      <c r="B163" t="s">
        <v>599</v>
      </c>
      <c r="N163" s="205" t="str">
        <f>IF(OR(N352="ja",N380="ja"),"Der er valgt anden type fast vederlag"," ")</f>
        <v xml:space="preserve"> </v>
      </c>
      <c r="AQ163" s="202" t="s">
        <v>596</v>
      </c>
      <c r="AR163" s="24" t="e">
        <f>AR158+AR161</f>
        <v>#N/A</v>
      </c>
    </row>
    <row r="164" spans="1:44" ht="15.75">
      <c r="C164" s="189"/>
      <c r="G164" t="s">
        <v>600</v>
      </c>
      <c r="H164" t="e">
        <f>IF(J353&gt;J354,"R2 maks","R1 maks")</f>
        <v>#N/A</v>
      </c>
      <c r="I164" t="s">
        <v>112</v>
      </c>
      <c r="J164" s="91" t="e">
        <f>MAX(J353:J354)</f>
        <v>#N/A</v>
      </c>
      <c r="K164" t="s">
        <v>601</v>
      </c>
      <c r="AQ164" s="204" t="s">
        <v>597</v>
      </c>
      <c r="AR164" s="24" t="e">
        <f>AR159+AR162</f>
        <v>#N/A</v>
      </c>
    </row>
    <row r="165" spans="1:44" ht="15.75">
      <c r="G165" t="str">
        <f>IF(forsk.forkant!N9="vis ikke"," ","min. reaktion")</f>
        <v>min. reaktion</v>
      </c>
      <c r="H165" t="str">
        <f>IF(forsk.forkant!N9="vis ikke"," ","R1 min")</f>
        <v>R1 min</v>
      </c>
      <c r="I165" t="str">
        <f>IF(forsk.forkant!N9="vis ikke"," ","=")</f>
        <v>=</v>
      </c>
      <c r="J165" s="24" t="e">
        <f>IF(forsk.forkant!N9="vis ikke"," ",IF(AND(S152="fast",T152="fast"),MINA(S156:T156),IF(S152="fast",S156,IF(T152="fast",T156,NA()))))</f>
        <v>#N/A</v>
      </c>
      <c r="K165" t="e">
        <f>IF(forsk.forkant!$N$9="vis ikke"," ",IF(J165&lt;0,"kN","kN"))</f>
        <v>#N/A</v>
      </c>
      <c r="L165" s="69" t="e">
        <f>IF(forsk.forkant!N9="vis ikke"," ",FIXED(V160,1)&amp;" kN v.montage")</f>
        <v>#N/A</v>
      </c>
      <c r="P165" s="57" t="s">
        <v>602</v>
      </c>
      <c r="Q165" s="48"/>
    </row>
    <row r="166" spans="1:44" ht="15.75">
      <c r="G166" t="s">
        <v>603</v>
      </c>
      <c r="H166" t="s">
        <v>144</v>
      </c>
      <c r="I166" t="s">
        <v>112</v>
      </c>
      <c r="J166" s="63" t="e">
        <f>NA()</f>
        <v>#N/A</v>
      </c>
      <c r="K166" t="s">
        <v>78</v>
      </c>
      <c r="L166" s="189" t="e">
        <f>IF(forsk.forkant!N69="vis ikke"," ",IF(AND(J165&lt;0,V160&lt;0),"     NB! Negative",IF(AND(J165&lt;0,V160&gt;0),"      NB! R1 min Negativ",IF(AND(J165&gt;0,V160&lt;0),"NB! Negativ v. montage;"," "))))</f>
        <v>#N/A</v>
      </c>
    </row>
    <row r="167" spans="1:44" ht="15.75">
      <c r="G167" t="s">
        <v>604</v>
      </c>
      <c r="H167" t="s">
        <v>111</v>
      </c>
      <c r="I167" t="s">
        <v>112</v>
      </c>
      <c r="J167" s="64" t="e">
        <f>T</f>
        <v>#N/A</v>
      </c>
      <c r="K167" t="s">
        <v>78</v>
      </c>
      <c r="N167" s="88" t="e">
        <f>P167+P168+P169+P170+N172+O171</f>
        <v>#N/A</v>
      </c>
      <c r="O167" s="206" t="s">
        <v>46</v>
      </c>
      <c r="P167" s="207" t="e">
        <f>DÆKLAG</f>
        <v>#N/A</v>
      </c>
      <c r="Q167" s="88" t="e">
        <f>S167+S168+S169+Q172+Q171+S170</f>
        <v>#N/A</v>
      </c>
      <c r="R167" s="206" t="s">
        <v>18</v>
      </c>
      <c r="S167" s="19" t="e">
        <f>P167</f>
        <v>#N/A</v>
      </c>
      <c r="T167" s="56" t="str">
        <f>IF(O167=R167,"Fejl"," ")</f>
        <v xml:space="preserve"> </v>
      </c>
    </row>
    <row r="168" spans="1:44" ht="15.75">
      <c r="G168" t="s">
        <v>206</v>
      </c>
      <c r="H168" t="s">
        <v>207</v>
      </c>
      <c r="I168" t="s">
        <v>112</v>
      </c>
      <c r="J168" s="64">
        <f>FCK</f>
        <v>30</v>
      </c>
      <c r="K168" t="s">
        <v>31</v>
      </c>
      <c r="N168" s="219" t="e">
        <f>IF(AND(O167="JA",P170=0),"U-bjl højde N171?",IF(AND(R167="JA",S170=0),"U-bjl højde R171 ?"," "))</f>
        <v>#N/A</v>
      </c>
      <c r="P168" s="208">
        <v>8</v>
      </c>
      <c r="S168" s="89">
        <f>P168</f>
        <v>8</v>
      </c>
    </row>
    <row r="169" spans="1:44" s="209" customFormat="1" ht="15.6" customHeight="1">
      <c r="A169"/>
      <c r="B169"/>
      <c r="C169" s="55" t="s">
        <v>605</v>
      </c>
      <c r="D169"/>
      <c r="F169" s="46" t="s">
        <v>606</v>
      </c>
      <c r="G169"/>
      <c r="H169" t="s">
        <v>607</v>
      </c>
      <c r="I169" t="s">
        <v>112</v>
      </c>
      <c r="J169" s="24">
        <f>FCD</f>
        <v>21.428571428571431</v>
      </c>
      <c r="K169" t="s">
        <v>31</v>
      </c>
      <c r="L169"/>
      <c r="M169"/>
      <c r="N169" s="390" t="s">
        <v>545</v>
      </c>
      <c r="O169"/>
      <c r="P169" s="207">
        <v>8</v>
      </c>
      <c r="Q169" s="48" t="s">
        <v>545</v>
      </c>
      <c r="R169"/>
      <c r="S169" s="19"/>
      <c r="T169"/>
      <c r="U169"/>
      <c r="W169"/>
      <c r="X169"/>
      <c r="Y169"/>
      <c r="Z169"/>
      <c r="AA169"/>
    </row>
    <row r="170" spans="1:44">
      <c r="C170" s="210" t="s">
        <v>545</v>
      </c>
      <c r="E170" s="63" t="e">
        <f>DÆKLAG+10</f>
        <v>#N/A</v>
      </c>
      <c r="F170" s="131" t="e">
        <f>IF(R167="ja",+Q167,+N167)</f>
        <v>#N/A</v>
      </c>
      <c r="G170" s="120" t="s">
        <v>608</v>
      </c>
      <c r="H170" s="27" t="s">
        <v>609</v>
      </c>
      <c r="I170" t="s">
        <v>112</v>
      </c>
      <c r="J170" s="211">
        <v>0.8</v>
      </c>
      <c r="K170" s="48"/>
      <c r="N170" s="391" t="s">
        <v>497</v>
      </c>
      <c r="P170" s="89" t="e">
        <f>J167-P167-P168-P169-P174-P173+N172-N171</f>
        <v>#N/A</v>
      </c>
      <c r="Q170" s="48" t="s">
        <v>497</v>
      </c>
      <c r="S170" s="89" t="e">
        <f>J167-S167-S168-S174-S173-R171</f>
        <v>#N/A</v>
      </c>
    </row>
    <row r="171" spans="1:44">
      <c r="C171" s="86"/>
      <c r="H171" s="27" t="s">
        <v>610</v>
      </c>
      <c r="I171" t="s">
        <v>112</v>
      </c>
      <c r="J171" s="24">
        <f>J169*J170</f>
        <v>17.142857142857146</v>
      </c>
      <c r="K171" t="s">
        <v>31</v>
      </c>
      <c r="N171" s="193" t="e">
        <f>J167-P167-P168-P169-P174-P173+N172</f>
        <v>#N/A</v>
      </c>
      <c r="O171" s="392">
        <v>10</v>
      </c>
      <c r="P171" s="89"/>
      <c r="Q171" s="212">
        <f>O171</f>
        <v>10</v>
      </c>
      <c r="R171" s="106" t="e">
        <f>J167-S167-S168-S174-S173</f>
        <v>#N/A</v>
      </c>
      <c r="S171" s="89"/>
    </row>
    <row r="172" spans="1:44">
      <c r="D172">
        <f>O171</f>
        <v>10</v>
      </c>
      <c r="E172" s="19"/>
      <c r="H172" t="s">
        <v>611</v>
      </c>
      <c r="I172" t="s">
        <v>112</v>
      </c>
      <c r="J172" s="91" t="e">
        <f>J164</f>
        <v>#N/A</v>
      </c>
      <c r="K172" t="s">
        <v>439</v>
      </c>
      <c r="N172" s="213">
        <f>J204</f>
        <v>8</v>
      </c>
      <c r="P172" s="207"/>
      <c r="Q172" s="88">
        <f>N172</f>
        <v>8</v>
      </c>
      <c r="R172" s="90"/>
      <c r="S172" s="19"/>
    </row>
    <row r="173" spans="1:44">
      <c r="D173" s="214" t="s">
        <v>497</v>
      </c>
      <c r="E173" s="214" t="s">
        <v>350</v>
      </c>
      <c r="G173" s="120"/>
      <c r="H173" t="s">
        <v>612</v>
      </c>
      <c r="I173" t="s">
        <v>112</v>
      </c>
      <c r="J173" s="250" t="e">
        <f>J167-A184-A174-F170</f>
        <v>#N/A</v>
      </c>
      <c r="K173" t="s">
        <v>78</v>
      </c>
      <c r="P173" s="89" t="e">
        <f>J26</f>
        <v>#N/A</v>
      </c>
      <c r="S173" s="89" t="e">
        <f>P173</f>
        <v>#N/A</v>
      </c>
    </row>
    <row r="174" spans="1:44">
      <c r="A174" s="106" t="e">
        <f>DÆKLAG+J187+10</f>
        <v>#N/A</v>
      </c>
      <c r="E174" s="62"/>
      <c r="F174" s="55"/>
      <c r="G174" t="s">
        <v>613</v>
      </c>
      <c r="H174" t="s">
        <v>333</v>
      </c>
      <c r="I174" t="s">
        <v>112</v>
      </c>
      <c r="J174" s="64" t="e">
        <f>E170+D177+D176+2/3*A176</f>
        <v>#N/A</v>
      </c>
      <c r="K174" t="s">
        <v>78</v>
      </c>
      <c r="P174" s="89" t="e">
        <f>DÆKLAG+N11</f>
        <v>#N/A</v>
      </c>
      <c r="S174" s="89" t="e">
        <f>P174</f>
        <v>#N/A</v>
      </c>
    </row>
    <row r="175" spans="1:44">
      <c r="H175" s="46" t="s">
        <v>614</v>
      </c>
      <c r="I175" t="s">
        <v>112</v>
      </c>
      <c r="J175" s="24" t="e">
        <f>N175/PI()*180</f>
        <v>#N/A</v>
      </c>
      <c r="K175" t="s">
        <v>615</v>
      </c>
      <c r="N175" s="215" t="e">
        <f>ATAN((J173-J176)/J174)</f>
        <v>#N/A</v>
      </c>
      <c r="O175" t="s">
        <v>616</v>
      </c>
    </row>
    <row r="176" spans="1:44">
      <c r="A176" s="106" t="e">
        <f>NA()</f>
        <v>#N/A</v>
      </c>
      <c r="C176" s="46"/>
      <c r="D176" s="63">
        <v>10</v>
      </c>
      <c r="H176" t="s">
        <v>617</v>
      </c>
      <c r="I176" t="s">
        <v>112</v>
      </c>
      <c r="J176" s="63">
        <v>12</v>
      </c>
      <c r="K176" t="s">
        <v>78</v>
      </c>
      <c r="N176" s="216" t="str">
        <f>IF(J176=12,"h5 er default indsat til 12mm."," ")</f>
        <v>h5 er default indsat til 12mm.</v>
      </c>
      <c r="Q176" s="116" t="e">
        <f>J181-J171</f>
        <v>#N/A</v>
      </c>
    </row>
    <row r="177" spans="1:28">
      <c r="C177" t="s">
        <v>618</v>
      </c>
      <c r="D177" s="64">
        <f>C107</f>
        <v>50</v>
      </c>
      <c r="F177" s="19"/>
      <c r="G177" s="69" t="s">
        <v>619</v>
      </c>
      <c r="H177" t="s">
        <v>619</v>
      </c>
      <c r="I177" t="s">
        <v>112</v>
      </c>
      <c r="J177" s="51" t="e">
        <f>J176*TAN(N175)</f>
        <v>#N/A</v>
      </c>
      <c r="K177" t="s">
        <v>78</v>
      </c>
      <c r="N177" s="216" t="str">
        <f>IF(J176=12,"Når alle data er indtastet, tryk på Optimer."," ")</f>
        <v>Når alle data er indtastet, tryk på Optimer.</v>
      </c>
    </row>
    <row r="178" spans="1:28">
      <c r="G178" s="69" t="s">
        <v>620</v>
      </c>
      <c r="H178" t="s">
        <v>621</v>
      </c>
      <c r="I178" t="s">
        <v>112</v>
      </c>
      <c r="J178" s="51" t="e">
        <f>J176/COS(N175)</f>
        <v>#N/A</v>
      </c>
      <c r="K178" t="s">
        <v>78</v>
      </c>
    </row>
    <row r="179" spans="1:28" ht="15" customHeight="1">
      <c r="C179" s="86"/>
      <c r="H179" t="s">
        <v>117</v>
      </c>
      <c r="I179" t="s">
        <v>112</v>
      </c>
      <c r="J179" s="24" t="e">
        <f>J172/TAN(N175)</f>
        <v>#N/A</v>
      </c>
      <c r="K179" t="s">
        <v>439</v>
      </c>
      <c r="L179" t="s">
        <v>622</v>
      </c>
      <c r="N179" s="80" t="s">
        <v>623</v>
      </c>
      <c r="AB179" s="209"/>
    </row>
    <row r="180" spans="1:28" ht="15.75">
      <c r="G180" s="19" t="s">
        <v>117</v>
      </c>
      <c r="H180" t="s">
        <v>624</v>
      </c>
      <c r="I180" t="s">
        <v>112</v>
      </c>
      <c r="J180" s="24" t="e">
        <f>SQRT(J172^2+J179^2)</f>
        <v>#N/A</v>
      </c>
      <c r="K180" t="s">
        <v>439</v>
      </c>
      <c r="T180" s="285" t="s">
        <v>625</v>
      </c>
      <c r="U180" s="3"/>
      <c r="V180" s="3"/>
      <c r="W180" s="3" t="s">
        <v>626</v>
      </c>
      <c r="X180" s="3"/>
      <c r="Y180" s="3" t="s">
        <v>627</v>
      </c>
      <c r="Z180" s="399" t="s">
        <v>628</v>
      </c>
      <c r="AA180" s="400" t="s">
        <v>629</v>
      </c>
    </row>
    <row r="181" spans="1:28" s="209" customFormat="1" ht="15.6" customHeight="1">
      <c r="G181" s="217" t="s">
        <v>617</v>
      </c>
      <c r="H181" s="209" t="s">
        <v>630</v>
      </c>
      <c r="I181" s="209" t="s">
        <v>112</v>
      </c>
      <c r="J181" s="218" t="e">
        <f>P181</f>
        <v>#N/A</v>
      </c>
      <c r="K181" s="209" t="s">
        <v>31</v>
      </c>
      <c r="M181" s="217" t="e">
        <f>IF(J181&lt;J171,"&lt; v fcd, accept","&gt;v fcd, forkast")</f>
        <v>#N/A</v>
      </c>
      <c r="N181" s="219" t="e">
        <f>IF(J181&gt;J171,"NB!"," ")</f>
        <v>#N/A</v>
      </c>
      <c r="O181" s="209" t="s">
        <v>631</v>
      </c>
      <c r="P181" s="218" t="e">
        <f>J172*10^3/(J166*J177)</f>
        <v>#N/A</v>
      </c>
      <c r="Q181" s="209" t="s">
        <v>31</v>
      </c>
      <c r="T181" s="401" t="s">
        <v>632</v>
      </c>
      <c r="V181" s="209" t="s">
        <v>633</v>
      </c>
      <c r="W181" s="402" t="e">
        <f>J213</f>
        <v>#N/A</v>
      </c>
      <c r="X181" s="209" t="s">
        <v>78</v>
      </c>
      <c r="Y181" s="402">
        <f>T213</f>
        <v>8</v>
      </c>
      <c r="Z181" s="402">
        <f>J187</f>
        <v>8</v>
      </c>
      <c r="AA181" s="403">
        <f>J204</f>
        <v>8</v>
      </c>
    </row>
    <row r="182" spans="1:28">
      <c r="B182" s="19"/>
      <c r="D182" s="19" t="s">
        <v>333</v>
      </c>
      <c r="E182" s="19" t="s">
        <v>612</v>
      </c>
      <c r="F182" s="69" t="s">
        <v>111</v>
      </c>
      <c r="G182" t="s">
        <v>624</v>
      </c>
      <c r="O182" t="s">
        <v>634</v>
      </c>
      <c r="P182" s="24" t="e">
        <f>J179*10^3/(J166*J176)</f>
        <v>#N/A</v>
      </c>
      <c r="Q182" t="s">
        <v>31</v>
      </c>
      <c r="T182" s="26"/>
      <c r="AA182" s="29"/>
    </row>
    <row r="183" spans="1:28">
      <c r="C183" s="46"/>
      <c r="E183" s="19"/>
      <c r="F183" s="46" t="s">
        <v>621</v>
      </c>
      <c r="G183" s="46"/>
      <c r="O183" t="s">
        <v>635</v>
      </c>
      <c r="P183" s="24" t="e">
        <f>J180*10^3/(J166*J178)</f>
        <v>#N/A</v>
      </c>
      <c r="Q183" t="s">
        <v>31</v>
      </c>
      <c r="T183" s="26" t="s">
        <v>636</v>
      </c>
      <c r="V183" t="s">
        <v>254</v>
      </c>
      <c r="W183" s="51">
        <f>J215</f>
        <v>416.66666666666669</v>
      </c>
      <c r="X183" t="s">
        <v>31</v>
      </c>
      <c r="Y183" s="51">
        <f>W183</f>
        <v>416.66666666666669</v>
      </c>
      <c r="Z183" s="51">
        <f>J189</f>
        <v>416.66666666666669</v>
      </c>
      <c r="AA183" s="286">
        <f>J206</f>
        <v>416.66666666666669</v>
      </c>
    </row>
    <row r="184" spans="1:28">
      <c r="A184" s="106" t="e">
        <f>NA()</f>
        <v>#N/A</v>
      </c>
      <c r="C184" s="46"/>
      <c r="F184" s="46"/>
      <c r="T184" s="26" t="s">
        <v>637</v>
      </c>
      <c r="V184" t="s">
        <v>638</v>
      </c>
      <c r="W184" s="49">
        <f>J24*0.7</f>
        <v>2.0275277076718221</v>
      </c>
      <c r="X184" t="s">
        <v>31</v>
      </c>
      <c r="Y184" s="49">
        <f>W184</f>
        <v>2.0275277076718221</v>
      </c>
      <c r="Z184" s="49">
        <f>W184</f>
        <v>2.0275277076718221</v>
      </c>
      <c r="AA184" s="287">
        <f>W184</f>
        <v>2.0275277076718221</v>
      </c>
    </row>
    <row r="185" spans="1:28">
      <c r="C185" s="46"/>
      <c r="T185" s="26" t="s">
        <v>639</v>
      </c>
      <c r="W185" s="49">
        <f>GAMMACTRÆK</f>
        <v>1.6</v>
      </c>
      <c r="Y185" s="49">
        <f>W185</f>
        <v>1.6</v>
      </c>
      <c r="Z185" s="49">
        <f>W185</f>
        <v>1.6</v>
      </c>
      <c r="AA185" s="287">
        <f>W185</f>
        <v>1.6</v>
      </c>
    </row>
    <row r="186" spans="1:28">
      <c r="C186" s="132" t="e">
        <f>NA()</f>
        <v>#N/A</v>
      </c>
      <c r="T186" s="26" t="s">
        <v>637</v>
      </c>
      <c r="V186" t="s">
        <v>640</v>
      </c>
      <c r="W186" s="49">
        <f>R18*W184/W185</f>
        <v>1.2672048172948887</v>
      </c>
      <c r="X186" t="s">
        <v>31</v>
      </c>
      <c r="Y186" s="49">
        <f>Y184/Y185</f>
        <v>1.2672048172948887</v>
      </c>
      <c r="Z186" s="49">
        <f>Z184/Z185</f>
        <v>1.2672048172948887</v>
      </c>
      <c r="AA186" s="287">
        <f>AA184/AA185</f>
        <v>1.2672048172948887</v>
      </c>
    </row>
    <row r="187" spans="1:28">
      <c r="F187" t="s">
        <v>641</v>
      </c>
      <c r="G187" t="s">
        <v>642</v>
      </c>
      <c r="H187" s="63" t="e">
        <f>NA()</f>
        <v>#N/A</v>
      </c>
      <c r="I187" s="107" t="s">
        <v>192</v>
      </c>
      <c r="J187" s="63">
        <v>8</v>
      </c>
      <c r="K187" t="s">
        <v>238</v>
      </c>
      <c r="N187">
        <f>CODE(I187)</f>
        <v>75</v>
      </c>
      <c r="O187">
        <f>HLOOKUP(N187,AA310:AZ320,6)</f>
        <v>500</v>
      </c>
      <c r="P187" t="s">
        <v>239</v>
      </c>
      <c r="T187" s="26" t="s">
        <v>643</v>
      </c>
      <c r="V187" t="s">
        <v>644</v>
      </c>
      <c r="W187" s="49">
        <f>2.25*W186</f>
        <v>2.8512108389134996</v>
      </c>
      <c r="X187" t="s">
        <v>31</v>
      </c>
      <c r="Y187" s="49">
        <f>2.25*Y186</f>
        <v>2.8512108389134996</v>
      </c>
      <c r="Z187" s="49">
        <f>2.25*Z186</f>
        <v>2.8512108389134996</v>
      </c>
      <c r="AA187" s="287">
        <f>2.25*AA186</f>
        <v>2.8512108389134996</v>
      </c>
    </row>
    <row r="188" spans="1:28">
      <c r="B188" s="220"/>
      <c r="G188" s="46"/>
      <c r="H188" s="55" t="s">
        <v>645</v>
      </c>
      <c r="I188" t="s">
        <v>112</v>
      </c>
      <c r="J188" s="51">
        <f>O187</f>
        <v>500</v>
      </c>
      <c r="K188" t="s">
        <v>31</v>
      </c>
      <c r="T188" s="26" t="s">
        <v>646</v>
      </c>
      <c r="V188" t="s">
        <v>647</v>
      </c>
      <c r="W188" s="24">
        <f>W183/(4*W187)</f>
        <v>36.534185843078895</v>
      </c>
      <c r="Y188" s="24">
        <f>Y183/(4*Y187)</f>
        <v>36.534185843078895</v>
      </c>
      <c r="Z188" s="24">
        <f>Z183/(4*Z187)</f>
        <v>36.534185843078895</v>
      </c>
      <c r="AA188" s="288">
        <f>AA183/(4*AA187)</f>
        <v>36.534185843078895</v>
      </c>
    </row>
    <row r="189" spans="1:28" ht="15.75">
      <c r="B189" s="220"/>
      <c r="E189" s="214" t="s">
        <v>350</v>
      </c>
      <c r="G189" s="46"/>
      <c r="H189" s="55" t="s">
        <v>254</v>
      </c>
      <c r="I189" t="s">
        <v>112</v>
      </c>
      <c r="J189" s="51">
        <f>J188/GAMMAS</f>
        <v>416.66666666666669</v>
      </c>
      <c r="K189" t="s">
        <v>31</v>
      </c>
      <c r="O189" s="221" t="s">
        <v>106</v>
      </c>
      <c r="P189" s="80" t="s">
        <v>648</v>
      </c>
      <c r="T189" s="26" t="s">
        <v>649</v>
      </c>
      <c r="V189" t="s">
        <v>650</v>
      </c>
      <c r="W189" s="51" t="e">
        <f>W188*W181</f>
        <v>#N/A</v>
      </c>
      <c r="X189" t="s">
        <v>78</v>
      </c>
      <c r="Y189" s="51">
        <f>Y188*Y181</f>
        <v>292.27348674463116</v>
      </c>
      <c r="Z189" s="51">
        <f>Z188*Z181</f>
        <v>292.27348674463116</v>
      </c>
      <c r="AA189" s="286">
        <f>AA188*AA181</f>
        <v>292.27348674463116</v>
      </c>
    </row>
    <row r="190" spans="1:28">
      <c r="B190" s="220"/>
      <c r="F190" s="166"/>
      <c r="G190" s="46"/>
      <c r="H190" s="55" t="s">
        <v>651</v>
      </c>
      <c r="I190" t="s">
        <v>112</v>
      </c>
      <c r="J190" s="51" t="e">
        <f>H187*J187^2/4*PI()</f>
        <v>#N/A</v>
      </c>
      <c r="K190" t="s">
        <v>105</v>
      </c>
      <c r="P190" s="80" t="s">
        <v>652</v>
      </c>
      <c r="T190" s="26" t="s">
        <v>653</v>
      </c>
      <c r="W190" s="51" t="e">
        <f>W189*O217</f>
        <v>#N/A</v>
      </c>
      <c r="X190" t="s">
        <v>78</v>
      </c>
      <c r="Y190" s="51" t="e">
        <f>Y189*O217</f>
        <v>#N/A</v>
      </c>
      <c r="Z190" s="51" t="e">
        <f>Z189*O191</f>
        <v>#N/A</v>
      </c>
      <c r="AA190" s="286" t="e">
        <f>AA189*MAX(O208,O209)</f>
        <v>#N/A</v>
      </c>
    </row>
    <row r="191" spans="1:28" ht="15.75">
      <c r="F191" s="120" t="e">
        <f>CEILING((MAX(Z190,Z191)+A184)/10,1)*10+C186</f>
        <v>#N/A</v>
      </c>
      <c r="G191" s="46" t="s">
        <v>654</v>
      </c>
      <c r="H191" s="24" t="e">
        <f>J190*J189*10^-3</f>
        <v>#N/A</v>
      </c>
      <c r="J191" t="s">
        <v>439</v>
      </c>
      <c r="K191" t="e">
        <f>IF(H191&gt;L191,"&gt;","&lt;")</f>
        <v>#N/A</v>
      </c>
      <c r="L191" s="24" t="e">
        <f>J179</f>
        <v>#N/A</v>
      </c>
      <c r="M191" t="e">
        <f>IF(H191&gt;L191,"accept","forkast")</f>
        <v>#N/A</v>
      </c>
      <c r="N191" s="165" t="e">
        <f>IF(M191="forkast","NB!"," ")</f>
        <v>#N/A</v>
      </c>
      <c r="O191" s="116" t="e">
        <f>L191/H191</f>
        <v>#N/A</v>
      </c>
      <c r="P191" s="48" t="s">
        <v>655</v>
      </c>
      <c r="S191" s="209"/>
      <c r="T191" s="9" t="s">
        <v>656</v>
      </c>
      <c r="U191" s="12"/>
      <c r="V191" s="12" t="s">
        <v>657</v>
      </c>
      <c r="W191" s="12" t="e">
        <f>MAX(0.3*W189,10*W181,100)</f>
        <v>#N/A</v>
      </c>
      <c r="X191" s="12" t="s">
        <v>78</v>
      </c>
      <c r="Y191" s="12">
        <f>MAX(0.3*Y189,10*Y181,100)</f>
        <v>100</v>
      </c>
      <c r="Z191" s="12">
        <f>MAX(0.3*Z189,10*Z181,100)</f>
        <v>100</v>
      </c>
      <c r="AA191" s="21">
        <f>MAX(0.3*AA189,10*AA181,100)</f>
        <v>100</v>
      </c>
    </row>
    <row r="193" spans="3:31">
      <c r="C193" s="24" t="e">
        <f>J164/(P195/2)</f>
        <v>#N/A</v>
      </c>
      <c r="D193" t="s">
        <v>435</v>
      </c>
      <c r="E193" s="55"/>
      <c r="G193" t="s">
        <v>658</v>
      </c>
      <c r="N193" s="168" t="s">
        <v>659</v>
      </c>
      <c r="Q193" s="55"/>
    </row>
    <row r="194" spans="3:31">
      <c r="C194" s="210"/>
      <c r="O194" s="46" t="s">
        <v>660</v>
      </c>
      <c r="P194" s="222" t="e">
        <f>AC39/((J167-F199)*10^-3)</f>
        <v>#N/A</v>
      </c>
      <c r="Q194" s="55" t="s">
        <v>661</v>
      </c>
    </row>
    <row r="195" spans="3:31">
      <c r="C195" s="86"/>
      <c r="O195" s="46" t="s">
        <v>662</v>
      </c>
      <c r="P195" s="223" t="e">
        <f>J16*10^-3</f>
        <v>#N/A</v>
      </c>
      <c r="Q195" s="55" t="s">
        <v>663</v>
      </c>
      <c r="R195" s="55"/>
    </row>
    <row r="196" spans="3:31">
      <c r="E196" s="19"/>
      <c r="P196" s="214"/>
      <c r="Q196" s="214"/>
    </row>
    <row r="197" spans="3:31">
      <c r="D197" s="214"/>
      <c r="E197" s="214"/>
      <c r="F197" s="111" t="e">
        <f>P194*(J167-F199)</f>
        <v>#N/A</v>
      </c>
      <c r="O197" s="19" t="s">
        <v>89</v>
      </c>
      <c r="P197" s="19" t="s">
        <v>88</v>
      </c>
      <c r="Q197" s="19" t="s">
        <v>89</v>
      </c>
    </row>
    <row r="198" spans="3:31">
      <c r="E198" s="62" t="s">
        <v>125</v>
      </c>
      <c r="F198" s="55"/>
      <c r="H198" t="s">
        <v>125</v>
      </c>
      <c r="I198" s="209" t="s">
        <v>112</v>
      </c>
      <c r="J198" s="110" t="e">
        <f>(J164*(C202+F202)*10^-3-C193*(F201*10^-3)^2/2)/(F197*10^-3)</f>
        <v>#N/A</v>
      </c>
      <c r="K198" t="s">
        <v>439</v>
      </c>
      <c r="O198" s="55"/>
      <c r="P198" s="19" t="s">
        <v>102</v>
      </c>
      <c r="Q198" s="46"/>
      <c r="R198" s="19"/>
    </row>
    <row r="199" spans="3:31">
      <c r="F199" s="224" t="e">
        <f>DÆKLAG+N11+J26/2</f>
        <v>#N/A</v>
      </c>
      <c r="P199" s="111"/>
    </row>
    <row r="200" spans="3:31">
      <c r="C200" t="s">
        <v>618</v>
      </c>
      <c r="Q200" s="111"/>
    </row>
    <row r="201" spans="3:31">
      <c r="D201" s="111"/>
      <c r="F201" s="225" t="e">
        <f>F202+E170</f>
        <v>#N/A</v>
      </c>
    </row>
    <row r="202" spans="3:31">
      <c r="C202" s="226" t="e">
        <f>2/3*A176+D176+D177+E170</f>
        <v>#N/A</v>
      </c>
      <c r="F202" s="225" t="e">
        <f>F197-(1-P194)*(J167-F199)/2</f>
        <v>#N/A</v>
      </c>
    </row>
    <row r="203" spans="3:31">
      <c r="AE203" s="51"/>
    </row>
    <row r="204" spans="3:31">
      <c r="F204" t="s">
        <v>641</v>
      </c>
      <c r="G204" t="s">
        <v>664</v>
      </c>
      <c r="H204" s="63" t="e">
        <f>H187</f>
        <v>#N/A</v>
      </c>
      <c r="I204" s="107" t="str">
        <f>I187</f>
        <v>K</v>
      </c>
      <c r="J204" s="63">
        <v>8</v>
      </c>
      <c r="K204" t="s">
        <v>238</v>
      </c>
      <c r="N204">
        <f>CODE(I204)</f>
        <v>75</v>
      </c>
      <c r="O204">
        <f>HLOOKUP(N204,AA310:AZ320,6)</f>
        <v>500</v>
      </c>
      <c r="P204" t="s">
        <v>239</v>
      </c>
    </row>
    <row r="205" spans="3:31">
      <c r="H205" s="55" t="s">
        <v>645</v>
      </c>
      <c r="I205" t="s">
        <v>112</v>
      </c>
      <c r="J205" s="51">
        <f>O204</f>
        <v>500</v>
      </c>
      <c r="K205" t="s">
        <v>31</v>
      </c>
    </row>
    <row r="206" spans="3:31">
      <c r="H206" s="55" t="s">
        <v>254</v>
      </c>
      <c r="I206" t="s">
        <v>112</v>
      </c>
      <c r="J206" s="51">
        <f>J205/GAMMAS</f>
        <v>416.66666666666669</v>
      </c>
      <c r="K206" t="s">
        <v>31</v>
      </c>
      <c r="O206" t="e">
        <f>IF(A184&gt;4*MIN(W181,Y181,Z181),A184,0)</f>
        <v>#N/A</v>
      </c>
    </row>
    <row r="207" spans="3:31">
      <c r="C207" s="195" t="e">
        <f>IF(O167="ja",+N171,IF(R167="ja",+R171,"fejl"))</f>
        <v>#N/A</v>
      </c>
      <c r="F207" s="227" t="s">
        <v>497</v>
      </c>
      <c r="H207" s="55" t="s">
        <v>665</v>
      </c>
      <c r="I207" t="s">
        <v>112</v>
      </c>
      <c r="J207" s="51" t="e">
        <f>H204*J204^2/4*PI()</f>
        <v>#N/A</v>
      </c>
      <c r="K207" t="s">
        <v>105</v>
      </c>
    </row>
    <row r="208" spans="3:31" ht="15.75">
      <c r="G208" s="46" t="s">
        <v>666</v>
      </c>
      <c r="H208" s="24" t="e">
        <f>J207*J206*10^-3</f>
        <v>#N/A</v>
      </c>
      <c r="J208" t="s">
        <v>439</v>
      </c>
      <c r="K208" t="e">
        <f>IF(H208&gt;L208,"&gt;","&lt;")</f>
        <v>#N/A</v>
      </c>
      <c r="L208" s="24" t="e">
        <f>J172</f>
        <v>#N/A</v>
      </c>
      <c r="M208" t="e">
        <f>IF(H208&gt;L208,"accept","forkast")</f>
        <v>#N/A</v>
      </c>
      <c r="N208" s="228" t="e">
        <f>IF(M208="forkast","NB!"," ")</f>
        <v>#N/A</v>
      </c>
      <c r="O208" s="116" t="e">
        <f>L208/H208</f>
        <v>#N/A</v>
      </c>
      <c r="P208" s="48" t="s">
        <v>655</v>
      </c>
    </row>
    <row r="209" spans="2:23" ht="15.75">
      <c r="K209" t="e">
        <f>IF(H208&gt;L209,"&gt;","&lt;")</f>
        <v>#N/A</v>
      </c>
      <c r="L209" s="24" t="e">
        <f>J198</f>
        <v>#N/A</v>
      </c>
      <c r="M209" t="e">
        <f>IF(H208&gt;L209,"accept","forkast")</f>
        <v>#N/A</v>
      </c>
      <c r="N209" s="228" t="e">
        <f>IF(M209="forkast","NB!"," ")</f>
        <v>#N/A</v>
      </c>
      <c r="O209" s="116" t="e">
        <f>L209/H208</f>
        <v>#N/A</v>
      </c>
      <c r="P209" s="48" t="s">
        <v>655</v>
      </c>
    </row>
    <row r="210" spans="2:23">
      <c r="F210" s="55" t="e">
        <f>CEILING(MAX(W190,Y190,AA190,W191,Y191,AA191)/10,1)*10</f>
        <v>#N/A</v>
      </c>
    </row>
    <row r="212" spans="2:23" ht="15.75">
      <c r="F212" t="s">
        <v>641</v>
      </c>
      <c r="G212" t="s">
        <v>667</v>
      </c>
      <c r="H212" s="19" t="str">
        <f>IF(T213=0," ",IF(T213=6,"     6 mm pr",IF(T213=8,"     8 mm pr",IF(T213=10,"    10 mm pr","Fejl"))))</f>
        <v xml:space="preserve">     8 mm pr</v>
      </c>
      <c r="J212" s="102">
        <f>IF(T213=0," ",+V213)</f>
        <v>150</v>
      </c>
      <c r="K212" t="str">
        <f>IF(T213=0," ","svejst net")</f>
        <v>svejst net</v>
      </c>
      <c r="M212" s="19"/>
      <c r="T212" s="83" t="s">
        <v>196</v>
      </c>
      <c r="U212" s="84">
        <f>J214</f>
        <v>500</v>
      </c>
      <c r="V212" s="7" t="s">
        <v>31</v>
      </c>
      <c r="W212" s="68" t="str">
        <f>IF(OR(OR(T213=6,T213=8),T213=10)," "," svejst net skal være 6, 8 eller 10 mm")</f>
        <v xml:space="preserve"> </v>
      </c>
    </row>
    <row r="213" spans="2:23" ht="15.75">
      <c r="B213" s="220"/>
      <c r="G213" s="46" t="str">
        <f>IF(T213=0," ","suppleret med")</f>
        <v>suppleret med</v>
      </c>
      <c r="H213" s="229" t="e">
        <f>IF(J353&gt;J354,H26/BPLADE*J166+H27,H26/BPLADE*J166)</f>
        <v>#N/A</v>
      </c>
      <c r="I213" s="27" t="str">
        <f>I26</f>
        <v>K</v>
      </c>
      <c r="J213" s="64" t="e">
        <f>J26</f>
        <v>#N/A</v>
      </c>
      <c r="K213" t="s">
        <v>238</v>
      </c>
      <c r="N213" s="230" t="e">
        <f>IF(J213&lt;T213,"diameter skal mindst være som svejst net"," ")</f>
        <v>#N/A</v>
      </c>
      <c r="T213" s="231">
        <f>N22</f>
        <v>8</v>
      </c>
      <c r="U213" s="86" t="s">
        <v>208</v>
      </c>
      <c r="V213" s="232">
        <f>P22</f>
        <v>150</v>
      </c>
      <c r="W213" t="s">
        <v>209</v>
      </c>
    </row>
    <row r="214" spans="2:23">
      <c r="H214" s="55" t="s">
        <v>645</v>
      </c>
      <c r="I214" t="s">
        <v>112</v>
      </c>
      <c r="J214" s="51">
        <f>O214</f>
        <v>500</v>
      </c>
      <c r="K214" t="s">
        <v>31</v>
      </c>
      <c r="N214">
        <f>CODE(I213)</f>
        <v>75</v>
      </c>
      <c r="O214">
        <f>HLOOKUP(N214,AA310:AZ320,6)</f>
        <v>500</v>
      </c>
      <c r="P214" t="s">
        <v>239</v>
      </c>
      <c r="T214" s="92" t="s">
        <v>218</v>
      </c>
      <c r="U214" s="131" t="e">
        <f>J166</f>
        <v>#N/A</v>
      </c>
      <c r="V214" s="93" t="s">
        <v>78</v>
      </c>
    </row>
    <row r="215" spans="2:23">
      <c r="H215" s="55" t="s">
        <v>254</v>
      </c>
      <c r="I215" t="s">
        <v>112</v>
      </c>
      <c r="J215" s="51">
        <f>J214/GAMMAS</f>
        <v>416.66666666666669</v>
      </c>
      <c r="K215" t="s">
        <v>31</v>
      </c>
      <c r="T215" s="96" t="s">
        <v>222</v>
      </c>
      <c r="U215" s="233" t="e">
        <f>TRUNC((U214-2*N184-50)/V213)</f>
        <v>#N/A</v>
      </c>
      <c r="V215" s="21" t="s">
        <v>223</v>
      </c>
    </row>
    <row r="216" spans="2:23">
      <c r="H216" t="s">
        <v>668</v>
      </c>
      <c r="I216" t="s">
        <v>112</v>
      </c>
      <c r="J216" s="51" t="e">
        <f>U215*T213^2/4*PI()+H213*J213^2/4*PI()</f>
        <v>#N/A</v>
      </c>
      <c r="K216" t="s">
        <v>105</v>
      </c>
    </row>
    <row r="217" spans="2:23" ht="15.75">
      <c r="G217" s="46" t="s">
        <v>669</v>
      </c>
      <c r="H217" s="24" t="e">
        <f>J216*J215*10^-3</f>
        <v>#N/A</v>
      </c>
      <c r="J217" t="s">
        <v>439</v>
      </c>
      <c r="K217" t="e">
        <f>IF(H217&gt;L217,"&gt;","&lt;")</f>
        <v>#N/A</v>
      </c>
      <c r="L217" s="24" t="e">
        <f>J198</f>
        <v>#N/A</v>
      </c>
      <c r="M217" t="e">
        <f>IF(H217&gt;L217,"accept","forkast")</f>
        <v>#N/A</v>
      </c>
      <c r="N217" s="228" t="e">
        <f>IF(M217="forkast","NB!"," ")</f>
        <v>#N/A</v>
      </c>
      <c r="O217" s="116" t="e">
        <f>L217/H217</f>
        <v>#N/A</v>
      </c>
      <c r="P217" s="48" t="s">
        <v>655</v>
      </c>
    </row>
    <row r="222" spans="2:23">
      <c r="F222" t="s">
        <v>641</v>
      </c>
      <c r="G222" t="str">
        <f>G187</f>
        <v>i "knast" (1)</v>
      </c>
      <c r="H222" s="64" t="e">
        <f>H187</f>
        <v>#N/A</v>
      </c>
      <c r="I222" s="27" t="str">
        <f>I187</f>
        <v>K</v>
      </c>
      <c r="J222" s="64">
        <f>J187</f>
        <v>8</v>
      </c>
      <c r="K222" t="s">
        <v>238</v>
      </c>
    </row>
    <row r="223" spans="2:23">
      <c r="B223" s="220"/>
      <c r="F223" s="168"/>
      <c r="G223" s="46" t="s">
        <v>654</v>
      </c>
      <c r="H223" s="24" t="e">
        <f>H191</f>
        <v>#N/A</v>
      </c>
      <c r="J223" t="str">
        <f>J191</f>
        <v>kN</v>
      </c>
      <c r="K223" t="e">
        <f>K191</f>
        <v>#N/A</v>
      </c>
      <c r="L223" s="24" t="e">
        <f>L191</f>
        <v>#N/A</v>
      </c>
      <c r="M223" t="e">
        <f>M191</f>
        <v>#N/A</v>
      </c>
    </row>
    <row r="224" spans="2:23">
      <c r="B224" s="220"/>
      <c r="E224" s="214"/>
      <c r="G224" s="46" t="s">
        <v>670</v>
      </c>
      <c r="H224" s="51" t="e">
        <f>F191</f>
        <v>#N/A</v>
      </c>
      <c r="J224" s="51" t="s">
        <v>78</v>
      </c>
      <c r="N224" s="234" t="str">
        <f>IF(O189="Udskrives ikke","Udskrives i stedet for række 175 til 205","Udskrives ikke")</f>
        <v>Udskrives i stedet for række 175 til 205</v>
      </c>
    </row>
    <row r="225" spans="2:13" ht="15" customHeight="1">
      <c r="B225" s="220"/>
      <c r="F225" s="166"/>
      <c r="G225" s="55" t="str">
        <f>G204</f>
        <v>v.knast"rod"(2)</v>
      </c>
      <c r="H225" s="90" t="e">
        <f>H204</f>
        <v>#N/A</v>
      </c>
      <c r="I225" t="str">
        <f>I204</f>
        <v>K</v>
      </c>
      <c r="J225" s="51">
        <f>J204</f>
        <v>8</v>
      </c>
    </row>
    <row r="226" spans="2:13" ht="15" customHeight="1">
      <c r="G226" t="str">
        <f>G208</f>
        <v>F Rd(2) =</v>
      </c>
      <c r="H226" s="24" t="e">
        <f>H208</f>
        <v>#N/A</v>
      </c>
      <c r="J226" t="str">
        <f>J208</f>
        <v>kN</v>
      </c>
      <c r="K226" t="e">
        <f>K208</f>
        <v>#N/A</v>
      </c>
      <c r="L226" s="24" t="e">
        <f>L208</f>
        <v>#N/A</v>
      </c>
      <c r="M226" t="e">
        <f>M208</f>
        <v>#N/A</v>
      </c>
    </row>
    <row r="227" spans="2:13">
      <c r="D227" t="s">
        <v>671</v>
      </c>
      <c r="G227" t="s">
        <v>672</v>
      </c>
      <c r="K227" t="e">
        <f>K209</f>
        <v>#N/A</v>
      </c>
      <c r="L227" s="24" t="e">
        <f>L209</f>
        <v>#N/A</v>
      </c>
      <c r="M227" t="e">
        <f>M209</f>
        <v>#N/A</v>
      </c>
    </row>
    <row r="228" spans="2:13">
      <c r="G228" s="46" t="s">
        <v>673</v>
      </c>
      <c r="H228" s="51" t="e">
        <f>F210</f>
        <v>#N/A</v>
      </c>
      <c r="J228" t="s">
        <v>78</v>
      </c>
    </row>
    <row r="229" spans="2:13">
      <c r="G229" s="46" t="s">
        <v>674</v>
      </c>
      <c r="H229" s="51" t="e">
        <f>C207</f>
        <v>#N/A</v>
      </c>
      <c r="J229" t="s">
        <v>78</v>
      </c>
    </row>
    <row r="290" spans="1:27">
      <c r="B290" s="27" t="s">
        <v>675</v>
      </c>
    </row>
    <row r="291" spans="1:27">
      <c r="H291" s="46" t="s">
        <v>544</v>
      </c>
      <c r="I291" t="s">
        <v>112</v>
      </c>
      <c r="J291" s="24" t="e">
        <f>R_4</f>
        <v>#N/A</v>
      </c>
      <c r="K291" t="s">
        <v>439</v>
      </c>
      <c r="N291" s="194" t="e">
        <f>DÆKLAG+N11</f>
        <v>#N/A</v>
      </c>
      <c r="O291" s="48" t="s">
        <v>676</v>
      </c>
    </row>
    <row r="292" spans="1:27">
      <c r="C292" s="102"/>
      <c r="D292" s="203"/>
      <c r="H292" s="46" t="s">
        <v>677</v>
      </c>
      <c r="I292" t="s">
        <v>112</v>
      </c>
      <c r="J292" s="51">
        <f>FCK</f>
        <v>30</v>
      </c>
      <c r="K292" t="s">
        <v>31</v>
      </c>
      <c r="N292" s="235" t="e">
        <f>J26</f>
        <v>#N/A</v>
      </c>
      <c r="O292" s="48" t="s">
        <v>678</v>
      </c>
    </row>
    <row r="293" spans="1:27">
      <c r="C293" s="86"/>
      <c r="H293" s="46" t="s">
        <v>679</v>
      </c>
      <c r="I293" t="s">
        <v>112</v>
      </c>
      <c r="J293" s="49">
        <f>GAMMAC</f>
        <v>1.4</v>
      </c>
      <c r="N293" s="236">
        <v>8</v>
      </c>
      <c r="O293" s="48" t="s">
        <v>680</v>
      </c>
    </row>
    <row r="294" spans="1:27">
      <c r="E294" s="19"/>
      <c r="H294" s="46" t="s">
        <v>681</v>
      </c>
      <c r="I294" t="s">
        <v>112</v>
      </c>
      <c r="J294" s="24">
        <v>0.6</v>
      </c>
      <c r="N294" s="194" t="e">
        <f>J120</f>
        <v>#N/A</v>
      </c>
      <c r="O294" s="48" t="s">
        <v>682</v>
      </c>
    </row>
    <row r="295" spans="1:27">
      <c r="H295" s="46" t="s">
        <v>683</v>
      </c>
      <c r="I295" t="s">
        <v>112</v>
      </c>
      <c r="J295" s="51" t="e">
        <f>(N295+N296)/2</f>
        <v>#N/A</v>
      </c>
      <c r="K295" t="s">
        <v>78</v>
      </c>
      <c r="N295" s="88" t="e">
        <f>N294-N291-N292/2</f>
        <v>#N/A</v>
      </c>
      <c r="O295" s="48" t="s">
        <v>684</v>
      </c>
    </row>
    <row r="296" spans="1:27">
      <c r="D296" s="46" t="s">
        <v>104</v>
      </c>
      <c r="F296" s="46" t="s">
        <v>120</v>
      </c>
      <c r="H296" s="46" t="s">
        <v>685</v>
      </c>
      <c r="I296" s="237">
        <v>8</v>
      </c>
      <c r="J296" s="238">
        <v>150</v>
      </c>
      <c r="K296" t="s">
        <v>686</v>
      </c>
      <c r="N296" s="88" t="e">
        <f>N294-N291-N292-N293/2</f>
        <v>#N/A</v>
      </c>
      <c r="O296" s="48" t="s">
        <v>687</v>
      </c>
    </row>
    <row r="297" spans="1:27">
      <c r="H297" s="46" t="s">
        <v>688</v>
      </c>
      <c r="J297" s="239" t="e">
        <f>I296^2/4*PI()/(J296*J295)</f>
        <v>#N/A</v>
      </c>
      <c r="N297" s="163" t="e">
        <f>0.5*J294*J292/J293*2*(F300+F302)*J295*10^-3</f>
        <v>#N/A</v>
      </c>
      <c r="O297" s="48" t="s">
        <v>689</v>
      </c>
    </row>
    <row r="298" spans="1:27">
      <c r="A298" s="240" t="e">
        <f>2*J295+F302/2</f>
        <v>#N/A</v>
      </c>
      <c r="F298" s="19" t="s">
        <v>549</v>
      </c>
      <c r="G298" s="46" t="s">
        <v>690</v>
      </c>
      <c r="H298" s="49" t="e">
        <f>1+SQRT((200/J295))</f>
        <v>#N/A</v>
      </c>
      <c r="I298" s="48" t="s">
        <v>691</v>
      </c>
      <c r="J298" s="24" t="e">
        <f>IF(H298&gt;2,2,H298)</f>
        <v>#N/A</v>
      </c>
      <c r="N298" s="94" t="e">
        <f>0.18/J293*J298*(100*J297*J292)^(1/3)</f>
        <v>#N/A</v>
      </c>
      <c r="O298" s="201" t="s">
        <v>692</v>
      </c>
    </row>
    <row r="299" spans="1:27">
      <c r="A299" s="60" t="e">
        <f>IF(AND(O304="dorn",P304="dorn"),MIN(O306:P306),MAX(O306:P306))</f>
        <v>#N/A</v>
      </c>
      <c r="B299" t="e">
        <f>IF(A298&gt;A299,"kontrolperimeter"," ")</f>
        <v>#N/A</v>
      </c>
      <c r="H299" s="46" t="s">
        <v>693</v>
      </c>
      <c r="I299" t="s">
        <v>112</v>
      </c>
      <c r="J299" s="67" t="e">
        <f>IF(N298&gt;N299,N298,N299)</f>
        <v>#N/A</v>
      </c>
      <c r="N299" s="94" t="e">
        <f>0.035*J298^(3/2)*J292^(1/2)</f>
        <v>#N/A</v>
      </c>
      <c r="O299" s="201" t="s">
        <v>694</v>
      </c>
    </row>
    <row r="300" spans="1:27">
      <c r="B300" t="e">
        <f>IF(A298&gt;A299,"løber til fri rand"," ")</f>
        <v>#N/A</v>
      </c>
      <c r="F300" s="102">
        <f>F109</f>
        <v>30</v>
      </c>
      <c r="H300" s="46" t="s">
        <v>695</v>
      </c>
      <c r="I300" t="s">
        <v>112</v>
      </c>
      <c r="J300" s="51" t="e">
        <f>IF(A298&lt;A299,+N302,N302/2+2*A299)</f>
        <v>#N/A</v>
      </c>
      <c r="K300" t="s">
        <v>78</v>
      </c>
      <c r="N300" s="163" t="e">
        <f>J299*J300*J295*10^-3</f>
        <v>#N/A</v>
      </c>
      <c r="O300" s="48" t="s">
        <v>696</v>
      </c>
    </row>
    <row r="301" spans="1:27" ht="15.75">
      <c r="H301" s="46" t="s">
        <v>697</v>
      </c>
      <c r="I301" t="s">
        <v>112</v>
      </c>
      <c r="J301" s="24" t="e">
        <f>IF(N300&lt;N297,N300,N297)</f>
        <v>#N/A</v>
      </c>
      <c r="K301" t="e">
        <f>IF(J301&gt;L301,"kN&gt;","kN&lt;")</f>
        <v>#N/A</v>
      </c>
      <c r="L301" s="24" t="e">
        <f>J291</f>
        <v>#N/A</v>
      </c>
      <c r="M301" t="e">
        <f>IF(J301&gt;L301,"accept","forkast")</f>
        <v>#N/A</v>
      </c>
      <c r="N301" s="165" t="e">
        <f>IF(M301="forkast","NB!"," ")</f>
        <v>#N/A</v>
      </c>
      <c r="V301" t="s">
        <v>698</v>
      </c>
    </row>
    <row r="302" spans="1:27">
      <c r="E302" s="46" t="s">
        <v>699</v>
      </c>
      <c r="F302" s="241">
        <f>DORNDIAM</f>
        <v>65</v>
      </c>
      <c r="N302" s="88" t="e">
        <f>2*(F300+F302+2*PI()*J295)</f>
        <v>#N/A</v>
      </c>
      <c r="O302" s="48" t="s">
        <v>700</v>
      </c>
      <c r="V302" t="s">
        <v>701</v>
      </c>
      <c r="AA302" s="49">
        <f>4/5</f>
        <v>0.8</v>
      </c>
    </row>
    <row r="303" spans="1:27">
      <c r="O303" t="str">
        <f>J33</f>
        <v>venstre</v>
      </c>
      <c r="P303" t="str">
        <f>L33</f>
        <v>højre</v>
      </c>
      <c r="V303" t="s">
        <v>702</v>
      </c>
      <c r="AA303">
        <v>0.35</v>
      </c>
    </row>
    <row r="304" spans="1:27">
      <c r="F304" s="19" t="s">
        <v>89</v>
      </c>
      <c r="O304" t="str">
        <f>J34</f>
        <v>dorn</v>
      </c>
      <c r="P304" t="str">
        <f>L34</f>
        <v>fast</v>
      </c>
      <c r="V304" t="s">
        <v>8</v>
      </c>
    </row>
    <row r="305" spans="2:67">
      <c r="O305" t="e">
        <f>J36</f>
        <v>#N/A</v>
      </c>
      <c r="P305" t="e">
        <f>L36</f>
        <v>#N/A</v>
      </c>
      <c r="V305" t="s">
        <v>703</v>
      </c>
    </row>
    <row r="306" spans="2:67">
      <c r="O306" t="e">
        <f>IF(O304="dorn",O305," ")</f>
        <v>#N/A</v>
      </c>
      <c r="P306" t="str">
        <f>IF(P304="dorn",P305," ")</f>
        <v xml:space="preserve"> </v>
      </c>
      <c r="V306" t="s">
        <v>704</v>
      </c>
      <c r="AA306" s="50">
        <f>200*10^3</f>
        <v>200000</v>
      </c>
    </row>
    <row r="307" spans="2:67">
      <c r="V307" t="s">
        <v>8</v>
      </c>
    </row>
    <row r="308" spans="2:67">
      <c r="V308" t="s">
        <v>705</v>
      </c>
      <c r="AA308" s="46" t="s">
        <v>47</v>
      </c>
      <c r="AB308" s="46" t="s">
        <v>57</v>
      </c>
      <c r="AC308" s="46" t="s">
        <v>68</v>
      </c>
      <c r="AD308" s="46" t="s">
        <v>9</v>
      </c>
      <c r="AE308" s="46" t="s">
        <v>81</v>
      </c>
      <c r="AF308" s="46" t="s">
        <v>125</v>
      </c>
      <c r="AG308" s="46" t="s">
        <v>138</v>
      </c>
      <c r="AH308" s="46" t="s">
        <v>153</v>
      </c>
      <c r="AI308" s="46" t="s">
        <v>166</v>
      </c>
      <c r="AJ308" s="46" t="s">
        <v>181</v>
      </c>
      <c r="AK308" s="46" t="s">
        <v>192</v>
      </c>
      <c r="AL308" s="46" t="s">
        <v>102</v>
      </c>
      <c r="AM308" s="46" t="s">
        <v>59</v>
      </c>
      <c r="AN308" s="46" t="s">
        <v>48</v>
      </c>
      <c r="AO308" s="46" t="s">
        <v>231</v>
      </c>
      <c r="AP308" s="46" t="s">
        <v>49</v>
      </c>
      <c r="AQ308" s="46" t="s">
        <v>706</v>
      </c>
      <c r="AR308" s="46" t="s">
        <v>618</v>
      </c>
      <c r="AS308" s="46" t="s">
        <v>58</v>
      </c>
      <c r="AT308" s="46" t="s">
        <v>707</v>
      </c>
      <c r="AU308" s="46" t="s">
        <v>708</v>
      </c>
      <c r="AV308" s="46" t="s">
        <v>709</v>
      </c>
      <c r="AW308" s="46" t="s">
        <v>710</v>
      </c>
      <c r="AX308" s="46" t="s">
        <v>711</v>
      </c>
      <c r="AY308" s="46" t="s">
        <v>712</v>
      </c>
      <c r="AZ308" s="46" t="s">
        <v>713</v>
      </c>
    </row>
    <row r="309" spans="2:67">
      <c r="V309" t="s">
        <v>8</v>
      </c>
      <c r="AA309" t="s">
        <v>714</v>
      </c>
      <c r="AB309" t="s">
        <v>714</v>
      </c>
      <c r="AC309" t="s">
        <v>714</v>
      </c>
      <c r="AD309" t="s">
        <v>714</v>
      </c>
      <c r="AE309" t="s">
        <v>714</v>
      </c>
      <c r="AF309" t="s">
        <v>714</v>
      </c>
      <c r="AG309" t="s">
        <v>714</v>
      </c>
      <c r="AH309" t="s">
        <v>714</v>
      </c>
      <c r="AI309" t="s">
        <v>714</v>
      </c>
      <c r="AJ309" t="s">
        <v>714</v>
      </c>
      <c r="AK309" t="s">
        <v>714</v>
      </c>
      <c r="AL309" t="s">
        <v>714</v>
      </c>
      <c r="AM309" t="s">
        <v>714</v>
      </c>
      <c r="AN309" t="s">
        <v>714</v>
      </c>
      <c r="AO309" t="s">
        <v>714</v>
      </c>
      <c r="AP309" t="s">
        <v>714</v>
      </c>
      <c r="AQ309" t="s">
        <v>714</v>
      </c>
      <c r="AR309" t="s">
        <v>714</v>
      </c>
      <c r="AS309" t="s">
        <v>714</v>
      </c>
      <c r="AT309" t="s">
        <v>714</v>
      </c>
      <c r="AU309" t="s">
        <v>714</v>
      </c>
      <c r="AV309" t="s">
        <v>714</v>
      </c>
      <c r="AW309" t="s">
        <v>714</v>
      </c>
      <c r="AX309" t="s">
        <v>714</v>
      </c>
      <c r="AY309" t="s">
        <v>714</v>
      </c>
      <c r="AZ309" t="s">
        <v>714</v>
      </c>
      <c r="BA309" t="s">
        <v>715</v>
      </c>
    </row>
    <row r="310" spans="2:67">
      <c r="V310" t="s">
        <v>716</v>
      </c>
      <c r="AA310">
        <f t="shared" ref="AA310:AZ310" si="29">CODE(AA308)</f>
        <v>65</v>
      </c>
      <c r="AB310">
        <f t="shared" si="29"/>
        <v>66</v>
      </c>
      <c r="AC310">
        <f t="shared" si="29"/>
        <v>67</v>
      </c>
      <c r="AD310">
        <f t="shared" si="29"/>
        <v>68</v>
      </c>
      <c r="AE310">
        <f t="shared" si="29"/>
        <v>69</v>
      </c>
      <c r="AF310">
        <f t="shared" si="29"/>
        <v>70</v>
      </c>
      <c r="AG310">
        <f t="shared" si="29"/>
        <v>71</v>
      </c>
      <c r="AH310">
        <f t="shared" si="29"/>
        <v>72</v>
      </c>
      <c r="AI310">
        <f t="shared" si="29"/>
        <v>73</v>
      </c>
      <c r="AJ310">
        <f t="shared" si="29"/>
        <v>74</v>
      </c>
      <c r="AK310">
        <f t="shared" si="29"/>
        <v>75</v>
      </c>
      <c r="AL310">
        <f t="shared" si="29"/>
        <v>76</v>
      </c>
      <c r="AM310">
        <f t="shared" si="29"/>
        <v>77</v>
      </c>
      <c r="AN310">
        <f t="shared" si="29"/>
        <v>78</v>
      </c>
      <c r="AO310">
        <f t="shared" si="29"/>
        <v>79</v>
      </c>
      <c r="AP310">
        <f t="shared" si="29"/>
        <v>80</v>
      </c>
      <c r="AQ310">
        <f t="shared" si="29"/>
        <v>81</v>
      </c>
      <c r="AR310">
        <f t="shared" si="29"/>
        <v>82</v>
      </c>
      <c r="AS310">
        <f t="shared" si="29"/>
        <v>83</v>
      </c>
      <c r="AT310">
        <f t="shared" si="29"/>
        <v>84</v>
      </c>
      <c r="AU310">
        <f t="shared" si="29"/>
        <v>85</v>
      </c>
      <c r="AV310">
        <f t="shared" si="29"/>
        <v>86</v>
      </c>
      <c r="AW310">
        <f t="shared" si="29"/>
        <v>87</v>
      </c>
      <c r="AX310">
        <f t="shared" si="29"/>
        <v>88</v>
      </c>
      <c r="AY310">
        <f t="shared" si="29"/>
        <v>89</v>
      </c>
      <c r="AZ310">
        <f t="shared" si="29"/>
        <v>90</v>
      </c>
    </row>
    <row r="311" spans="2:67">
      <c r="V311" t="s">
        <v>717</v>
      </c>
      <c r="AA311" s="242" t="e">
        <f>NA()</f>
        <v>#N/A</v>
      </c>
      <c r="AB311" s="242">
        <v>5</v>
      </c>
      <c r="AC311" s="242" t="e">
        <f>NA()</f>
        <v>#N/A</v>
      </c>
      <c r="AD311" s="242" t="e">
        <f>NA()</f>
        <v>#N/A</v>
      </c>
      <c r="AE311" s="242" t="e">
        <f>NA()</f>
        <v>#N/A</v>
      </c>
      <c r="AF311" s="242" t="e">
        <f>NA()</f>
        <v>#N/A</v>
      </c>
      <c r="AG311" s="242" t="e">
        <f>NA()</f>
        <v>#N/A</v>
      </c>
      <c r="AH311" s="242">
        <v>20</v>
      </c>
      <c r="AI311" s="242" t="e">
        <f>NA()</f>
        <v>#N/A</v>
      </c>
      <c r="AJ311" s="242" t="e">
        <f>NA()</f>
        <v>#N/A</v>
      </c>
      <c r="AK311" s="242">
        <v>5</v>
      </c>
      <c r="AL311" s="242" t="e">
        <f>NA()</f>
        <v>#N/A</v>
      </c>
      <c r="AM311" s="242">
        <v>3</v>
      </c>
      <c r="AN311" s="242" t="e">
        <f>NA()</f>
        <v>#N/A</v>
      </c>
      <c r="AO311" s="242" t="e">
        <f>NA()</f>
        <v>#N/A</v>
      </c>
      <c r="AP311" s="242">
        <v>3</v>
      </c>
      <c r="AQ311" s="242">
        <v>5</v>
      </c>
      <c r="AR311" s="242">
        <v>20</v>
      </c>
      <c r="AS311" s="242">
        <v>8</v>
      </c>
      <c r="AT311" s="242">
        <v>3</v>
      </c>
      <c r="AU311" s="242">
        <v>3</v>
      </c>
      <c r="AV311" s="242" t="e">
        <f>NA()</f>
        <v>#N/A</v>
      </c>
      <c r="AW311" s="242" t="e">
        <f>NA()</f>
        <v>#N/A</v>
      </c>
      <c r="AX311" s="242" t="e">
        <f>NA()</f>
        <v>#N/A</v>
      </c>
      <c r="AY311" s="242">
        <v>3</v>
      </c>
      <c r="AZ311" s="242" t="e">
        <f>NA()</f>
        <v>#N/A</v>
      </c>
    </row>
    <row r="312" spans="2:67">
      <c r="V312" t="s">
        <v>718</v>
      </c>
      <c r="AA312" s="243" t="e">
        <f>NA()</f>
        <v>#N/A</v>
      </c>
      <c r="AB312" s="243">
        <f>AB315/0.95</f>
        <v>526.31578947368428</v>
      </c>
      <c r="AC312" s="243" t="e">
        <f>NA()</f>
        <v>#N/A</v>
      </c>
      <c r="AD312" s="243" t="e">
        <f>NA()</f>
        <v>#N/A</v>
      </c>
      <c r="AE312" s="243" t="e">
        <f>NA()</f>
        <v>#N/A</v>
      </c>
      <c r="AF312" s="243" t="e">
        <f>NA()</f>
        <v>#N/A</v>
      </c>
      <c r="AG312" s="243" t="e">
        <f>NA()</f>
        <v>#N/A</v>
      </c>
      <c r="AH312" s="243">
        <v>490</v>
      </c>
      <c r="AI312" s="243" t="e">
        <f>NA()</f>
        <v>#N/A</v>
      </c>
      <c r="AJ312" s="243" t="e">
        <f>NA()</f>
        <v>#N/A</v>
      </c>
      <c r="AK312" s="243">
        <f>AK315/0.95</f>
        <v>526.31578947368428</v>
      </c>
      <c r="AL312" s="243" t="e">
        <f>NA()</f>
        <v>#N/A</v>
      </c>
      <c r="AM312" s="243">
        <f>AM315/0.92</f>
        <v>543.47826086956525</v>
      </c>
      <c r="AN312" s="243" t="e">
        <f>NA()</f>
        <v>#N/A</v>
      </c>
      <c r="AO312" s="243" t="e">
        <f>NA()</f>
        <v>#N/A</v>
      </c>
      <c r="AP312" s="243">
        <f>AP315/0.92</f>
        <v>385.86956521739131</v>
      </c>
      <c r="AQ312" s="243">
        <f>AQ315/0.92</f>
        <v>597.82608695652175</v>
      </c>
      <c r="AR312" s="243">
        <v>370</v>
      </c>
      <c r="AS312" s="243">
        <v>590</v>
      </c>
      <c r="AT312" s="243">
        <v>610</v>
      </c>
      <c r="AU312" s="243">
        <f>AU315/0.95</f>
        <v>526.31578947368428</v>
      </c>
      <c r="AV312" s="243" t="e">
        <f>NA()</f>
        <v>#N/A</v>
      </c>
      <c r="AW312" s="243" t="e">
        <f>NA()</f>
        <v>#N/A</v>
      </c>
      <c r="AX312" s="243" t="e">
        <f>NA()</f>
        <v>#N/A</v>
      </c>
      <c r="AY312" s="243">
        <f>AY315/0.92</f>
        <v>597.82608695652175</v>
      </c>
      <c r="AZ312" s="242" t="e">
        <f>NA()</f>
        <v>#N/A</v>
      </c>
    </row>
    <row r="313" spans="2:67">
      <c r="B313" s="27" t="s">
        <v>719</v>
      </c>
      <c r="V313" s="49" t="s">
        <v>720</v>
      </c>
      <c r="AA313" s="24" t="e">
        <f t="shared" ref="AA313:AZ313" si="30">AA311+AA312/$AA$306*100</f>
        <v>#N/A</v>
      </c>
      <c r="AB313" s="24">
        <f t="shared" si="30"/>
        <v>5.2631578947368425</v>
      </c>
      <c r="AC313" s="24" t="e">
        <f t="shared" si="30"/>
        <v>#N/A</v>
      </c>
      <c r="AD313" s="24" t="e">
        <f t="shared" si="30"/>
        <v>#N/A</v>
      </c>
      <c r="AE313" s="24" t="e">
        <f t="shared" si="30"/>
        <v>#N/A</v>
      </c>
      <c r="AF313" s="24" t="e">
        <f t="shared" si="30"/>
        <v>#N/A</v>
      </c>
      <c r="AG313" s="24" t="e">
        <f t="shared" si="30"/>
        <v>#N/A</v>
      </c>
      <c r="AH313" s="24">
        <f t="shared" si="30"/>
        <v>20.245000000000001</v>
      </c>
      <c r="AI313" s="24" t="e">
        <f t="shared" si="30"/>
        <v>#N/A</v>
      </c>
      <c r="AJ313" s="24" t="e">
        <f t="shared" si="30"/>
        <v>#N/A</v>
      </c>
      <c r="AK313" s="24">
        <f t="shared" si="30"/>
        <v>5.2631578947368425</v>
      </c>
      <c r="AL313" s="24" t="e">
        <f t="shared" si="30"/>
        <v>#N/A</v>
      </c>
      <c r="AM313" s="24">
        <f t="shared" si="30"/>
        <v>3.2717391304347827</v>
      </c>
      <c r="AN313" s="24" t="e">
        <f t="shared" si="30"/>
        <v>#N/A</v>
      </c>
      <c r="AO313" s="24" t="e">
        <f t="shared" si="30"/>
        <v>#N/A</v>
      </c>
      <c r="AP313" s="24">
        <f t="shared" si="30"/>
        <v>3.1929347826086958</v>
      </c>
      <c r="AQ313" s="24">
        <f t="shared" si="30"/>
        <v>5.2989130434782608</v>
      </c>
      <c r="AR313" s="24">
        <f t="shared" si="30"/>
        <v>20.184999999999999</v>
      </c>
      <c r="AS313" s="24">
        <f t="shared" si="30"/>
        <v>8.2949999999999999</v>
      </c>
      <c r="AT313" s="24">
        <f t="shared" si="30"/>
        <v>3.3050000000000002</v>
      </c>
      <c r="AU313" s="24">
        <f t="shared" si="30"/>
        <v>3.263157894736842</v>
      </c>
      <c r="AV313" s="24" t="e">
        <f t="shared" si="30"/>
        <v>#N/A</v>
      </c>
      <c r="AW313" s="24" t="e">
        <f t="shared" si="30"/>
        <v>#N/A</v>
      </c>
      <c r="AX313" s="24" t="e">
        <f t="shared" si="30"/>
        <v>#N/A</v>
      </c>
      <c r="AY313" s="24">
        <f t="shared" si="30"/>
        <v>3.2989130434782608</v>
      </c>
      <c r="AZ313" s="24" t="e">
        <f t="shared" si="30"/>
        <v>#N/A</v>
      </c>
    </row>
    <row r="314" spans="2:67">
      <c r="B314" s="220"/>
      <c r="C314" s="220"/>
      <c r="D314" s="220"/>
      <c r="F314" s="220"/>
      <c r="G314" s="46" t="s">
        <v>721</v>
      </c>
      <c r="H314" s="120" t="s">
        <v>618</v>
      </c>
      <c r="I314" t="s">
        <v>112</v>
      </c>
      <c r="J314" s="91" t="e">
        <f>MAX(J103:J104)</f>
        <v>#N/A</v>
      </c>
      <c r="K314" t="s">
        <v>439</v>
      </c>
      <c r="V314" t="s">
        <v>722</v>
      </c>
      <c r="AA314" s="67" t="e">
        <f t="shared" ref="AA314:AZ314" si="31">$AA$302*$AA$303/($AA$303+AA313)</f>
        <v>#N/A</v>
      </c>
      <c r="AB314" s="67">
        <f t="shared" si="31"/>
        <v>4.9882794186591653E-2</v>
      </c>
      <c r="AC314" s="67" t="e">
        <f t="shared" si="31"/>
        <v>#N/A</v>
      </c>
      <c r="AD314" s="67" t="e">
        <f t="shared" si="31"/>
        <v>#N/A</v>
      </c>
      <c r="AE314" s="67" t="e">
        <f t="shared" si="31"/>
        <v>#N/A</v>
      </c>
      <c r="AF314" s="67" t="e">
        <f t="shared" si="31"/>
        <v>#N/A</v>
      </c>
      <c r="AG314" s="67" t="e">
        <f t="shared" si="31"/>
        <v>#N/A</v>
      </c>
      <c r="AH314" s="67">
        <f t="shared" si="31"/>
        <v>1.359553289633406E-2</v>
      </c>
      <c r="AI314" s="67" t="e">
        <f t="shared" si="31"/>
        <v>#N/A</v>
      </c>
      <c r="AJ314" s="67" t="e">
        <f t="shared" si="31"/>
        <v>#N/A</v>
      </c>
      <c r="AK314" s="67">
        <f t="shared" si="31"/>
        <v>4.9882794186591653E-2</v>
      </c>
      <c r="AL314" s="67" t="e">
        <f t="shared" si="31"/>
        <v>#N/A</v>
      </c>
      <c r="AM314" s="67">
        <f t="shared" si="31"/>
        <v>7.7310924369747888E-2</v>
      </c>
      <c r="AN314" s="67" t="e">
        <f t="shared" si="31"/>
        <v>#N/A</v>
      </c>
      <c r="AO314" s="67" t="e">
        <f t="shared" si="31"/>
        <v>#N/A</v>
      </c>
      <c r="AP314" s="67">
        <f t="shared" si="31"/>
        <v>7.9030526154318131E-2</v>
      </c>
      <c r="AQ314" s="67">
        <f t="shared" si="31"/>
        <v>4.9567057918029629E-2</v>
      </c>
      <c r="AR314" s="67">
        <f t="shared" si="31"/>
        <v>1.363525687850012E-2</v>
      </c>
      <c r="AS314" s="67">
        <f t="shared" si="31"/>
        <v>3.2388663967611336E-2</v>
      </c>
      <c r="AT314" s="67">
        <f t="shared" si="31"/>
        <v>7.6607387140902858E-2</v>
      </c>
      <c r="AU314" s="67">
        <f t="shared" si="31"/>
        <v>7.749453750910415E-2</v>
      </c>
      <c r="AV314" s="67" t="e">
        <f t="shared" si="31"/>
        <v>#N/A</v>
      </c>
      <c r="AW314" s="67" t="e">
        <f t="shared" si="31"/>
        <v>#N/A</v>
      </c>
      <c r="AX314" s="67" t="e">
        <f t="shared" si="31"/>
        <v>#N/A</v>
      </c>
      <c r="AY314" s="67">
        <f t="shared" si="31"/>
        <v>7.6735180220434906E-2</v>
      </c>
      <c r="AZ314" s="67" t="e">
        <f t="shared" si="31"/>
        <v>#N/A</v>
      </c>
    </row>
    <row r="315" spans="2:67">
      <c r="C315" s="19"/>
      <c r="E315" s="46" t="s">
        <v>534</v>
      </c>
      <c r="F315" s="195">
        <f>F106</f>
        <v>300</v>
      </c>
      <c r="G315" s="46" t="str">
        <f>G106</f>
        <v>afstand</v>
      </c>
      <c r="H315" s="120" t="s">
        <v>536</v>
      </c>
      <c r="I315" t="s">
        <v>112</v>
      </c>
      <c r="J315" s="51">
        <f>C317+C316+D317</f>
        <v>141</v>
      </c>
      <c r="K315" t="str">
        <f t="shared" ref="K315:K323" si="32">K106</f>
        <v>mm</v>
      </c>
      <c r="V315" t="s">
        <v>723</v>
      </c>
      <c r="AA315" s="243" t="e">
        <f>NA()</f>
        <v>#N/A</v>
      </c>
      <c r="AB315" s="243">
        <v>500</v>
      </c>
      <c r="AC315" s="243" t="e">
        <f>NA()</f>
        <v>#N/A</v>
      </c>
      <c r="AD315" s="243" t="e">
        <f>NA()</f>
        <v>#N/A</v>
      </c>
      <c r="AE315" s="243" t="e">
        <f>NA()</f>
        <v>#N/A</v>
      </c>
      <c r="AF315" s="243" t="e">
        <f>NA()</f>
        <v>#N/A</v>
      </c>
      <c r="AG315" s="243" t="e">
        <f>NA()</f>
        <v>#N/A</v>
      </c>
      <c r="AH315" s="243">
        <v>355</v>
      </c>
      <c r="AI315" s="243" t="e">
        <f>NA()</f>
        <v>#N/A</v>
      </c>
      <c r="AJ315" s="243" t="e">
        <f>NA()</f>
        <v>#N/A</v>
      </c>
      <c r="AK315" s="243">
        <v>500</v>
      </c>
      <c r="AL315" s="243" t="e">
        <f>NA()</f>
        <v>#N/A</v>
      </c>
      <c r="AM315" s="243">
        <v>500</v>
      </c>
      <c r="AN315" s="243" t="e">
        <f>NA()</f>
        <v>#N/A</v>
      </c>
      <c r="AO315" s="243" t="e">
        <f>NA()</f>
        <v>#N/A</v>
      </c>
      <c r="AP315" s="243">
        <v>355</v>
      </c>
      <c r="AQ315" s="243">
        <v>550</v>
      </c>
      <c r="AR315" s="243">
        <v>235</v>
      </c>
      <c r="AS315" s="243">
        <v>410</v>
      </c>
      <c r="AT315" s="243">
        <v>550</v>
      </c>
      <c r="AU315" s="243">
        <v>500</v>
      </c>
      <c r="AV315" s="243" t="e">
        <f>NA()</f>
        <v>#N/A</v>
      </c>
      <c r="AW315" s="243" t="e">
        <f>NA()</f>
        <v>#N/A</v>
      </c>
      <c r="AX315" s="243" t="e">
        <f>NA()</f>
        <v>#N/A</v>
      </c>
      <c r="AY315" s="243">
        <v>550</v>
      </c>
      <c r="AZ315" s="243" t="e">
        <f>NA()</f>
        <v>#N/A</v>
      </c>
    </row>
    <row r="316" spans="2:67">
      <c r="C316" s="194">
        <f>C107</f>
        <v>50</v>
      </c>
      <c r="G316" s="46" t="str">
        <f>G107</f>
        <v>afstand</v>
      </c>
      <c r="H316" s="120" t="s">
        <v>537</v>
      </c>
      <c r="I316" t="s">
        <v>112</v>
      </c>
      <c r="J316" s="51">
        <f>-J315-C318-F318/2+F315</f>
        <v>94</v>
      </c>
      <c r="K316" t="str">
        <f t="shared" si="32"/>
        <v>mm</v>
      </c>
      <c r="V316" t="s">
        <v>724</v>
      </c>
      <c r="AA316" s="49" t="e">
        <f t="shared" ref="AA316:AZ316" si="33">(AA315/$N$19)/$AA$306*100</f>
        <v>#N/A</v>
      </c>
      <c r="AB316" s="49">
        <f t="shared" si="33"/>
        <v>0.20833333333333334</v>
      </c>
      <c r="AC316" s="49" t="e">
        <f t="shared" si="33"/>
        <v>#N/A</v>
      </c>
      <c r="AD316" s="49" t="e">
        <f t="shared" si="33"/>
        <v>#N/A</v>
      </c>
      <c r="AE316" s="49" t="e">
        <f t="shared" si="33"/>
        <v>#N/A</v>
      </c>
      <c r="AF316" s="49" t="e">
        <f t="shared" si="33"/>
        <v>#N/A</v>
      </c>
      <c r="AG316" s="49" t="e">
        <f t="shared" si="33"/>
        <v>#N/A</v>
      </c>
      <c r="AH316" s="49">
        <f t="shared" si="33"/>
        <v>0.1479166666666667</v>
      </c>
      <c r="AI316" s="49" t="e">
        <f t="shared" si="33"/>
        <v>#N/A</v>
      </c>
      <c r="AJ316" s="49" t="e">
        <f t="shared" si="33"/>
        <v>#N/A</v>
      </c>
      <c r="AK316" s="49">
        <f t="shared" si="33"/>
        <v>0.20833333333333334</v>
      </c>
      <c r="AL316" s="49" t="e">
        <f t="shared" si="33"/>
        <v>#N/A</v>
      </c>
      <c r="AM316" s="49">
        <f t="shared" si="33"/>
        <v>0.20833333333333334</v>
      </c>
      <c r="AN316" s="49" t="e">
        <f t="shared" si="33"/>
        <v>#N/A</v>
      </c>
      <c r="AO316" s="49" t="e">
        <f t="shared" si="33"/>
        <v>#N/A</v>
      </c>
      <c r="AP316" s="49">
        <f t="shared" si="33"/>
        <v>0.1479166666666667</v>
      </c>
      <c r="AQ316" s="49">
        <f t="shared" si="33"/>
        <v>0.22916666666666666</v>
      </c>
      <c r="AR316" s="49">
        <f t="shared" si="33"/>
        <v>9.791666666666668E-2</v>
      </c>
      <c r="AS316" s="49">
        <f t="shared" si="33"/>
        <v>0.17083333333333334</v>
      </c>
      <c r="AT316" s="49">
        <f t="shared" si="33"/>
        <v>0.22916666666666666</v>
      </c>
      <c r="AU316" s="49">
        <f t="shared" si="33"/>
        <v>0.20833333333333334</v>
      </c>
      <c r="AV316" s="49" t="e">
        <f t="shared" si="33"/>
        <v>#N/A</v>
      </c>
      <c r="AW316" s="49" t="e">
        <f t="shared" si="33"/>
        <v>#N/A</v>
      </c>
      <c r="AX316" s="49" t="e">
        <f t="shared" si="33"/>
        <v>#N/A</v>
      </c>
      <c r="AY316" s="49">
        <f t="shared" si="33"/>
        <v>0.22916666666666666</v>
      </c>
      <c r="AZ316" s="49" t="e">
        <f t="shared" si="33"/>
        <v>#N/A</v>
      </c>
      <c r="BA316" s="49"/>
      <c r="BB316" s="49"/>
      <c r="BC316" s="49"/>
      <c r="BD316" s="49"/>
      <c r="BE316" s="49"/>
      <c r="BF316" s="49"/>
      <c r="BG316" s="49"/>
      <c r="BH316" s="49"/>
      <c r="BI316" s="49"/>
      <c r="BJ316" s="49"/>
      <c r="BK316" s="49"/>
      <c r="BL316" s="49"/>
      <c r="BM316" s="49"/>
      <c r="BN316" s="49"/>
      <c r="BO316" s="49"/>
    </row>
    <row r="317" spans="2:67">
      <c r="C317" s="131">
        <f>C108</f>
        <v>50</v>
      </c>
      <c r="D317" s="194">
        <f>D108</f>
        <v>41</v>
      </c>
      <c r="G317" s="46"/>
      <c r="H317" s="120" t="s">
        <v>541</v>
      </c>
      <c r="I317" t="s">
        <v>112</v>
      </c>
      <c r="J317" s="24" t="e">
        <f>J314*(J315+J316)/J316</f>
        <v>#N/A</v>
      </c>
      <c r="K317" t="str">
        <f t="shared" si="32"/>
        <v>kN</v>
      </c>
      <c r="V317" t="s">
        <v>725</v>
      </c>
      <c r="AA317" s="67" t="e">
        <f t="shared" ref="AA317:AZ317" si="34">$AA$302*$AA$303/($AA$303+AA316)</f>
        <v>#N/A</v>
      </c>
      <c r="AB317" s="67">
        <f t="shared" si="34"/>
        <v>0.5014925373134328</v>
      </c>
      <c r="AC317" s="67" t="e">
        <f t="shared" si="34"/>
        <v>#N/A</v>
      </c>
      <c r="AD317" s="67" t="e">
        <f t="shared" si="34"/>
        <v>#N/A</v>
      </c>
      <c r="AE317" s="67" t="e">
        <f t="shared" si="34"/>
        <v>#N/A</v>
      </c>
      <c r="AF317" s="67" t="e">
        <f t="shared" si="34"/>
        <v>#N/A</v>
      </c>
      <c r="AG317" s="67" t="e">
        <f t="shared" si="34"/>
        <v>#N/A</v>
      </c>
      <c r="AH317" s="67">
        <f t="shared" si="34"/>
        <v>0.56234309623430956</v>
      </c>
      <c r="AI317" s="67" t="e">
        <f t="shared" si="34"/>
        <v>#N/A</v>
      </c>
      <c r="AJ317" s="67" t="e">
        <f t="shared" si="34"/>
        <v>#N/A</v>
      </c>
      <c r="AK317" s="67">
        <f t="shared" si="34"/>
        <v>0.5014925373134328</v>
      </c>
      <c r="AL317" s="67" t="e">
        <f t="shared" si="34"/>
        <v>#N/A</v>
      </c>
      <c r="AM317" s="67">
        <f t="shared" si="34"/>
        <v>0.5014925373134328</v>
      </c>
      <c r="AN317" s="67" t="e">
        <f t="shared" si="34"/>
        <v>#N/A</v>
      </c>
      <c r="AO317" s="67" t="e">
        <f t="shared" si="34"/>
        <v>#N/A</v>
      </c>
      <c r="AP317" s="67">
        <f t="shared" si="34"/>
        <v>0.56234309623430956</v>
      </c>
      <c r="AQ317" s="67">
        <f t="shared" si="34"/>
        <v>0.48345323741007196</v>
      </c>
      <c r="AR317" s="67">
        <f t="shared" si="34"/>
        <v>0.62511627906976741</v>
      </c>
      <c r="AS317" s="67">
        <f t="shared" si="34"/>
        <v>0.53759999999999997</v>
      </c>
      <c r="AT317" s="67">
        <f t="shared" si="34"/>
        <v>0.48345323741007196</v>
      </c>
      <c r="AU317" s="67">
        <f t="shared" si="34"/>
        <v>0.5014925373134328</v>
      </c>
      <c r="AV317" s="67" t="e">
        <f t="shared" si="34"/>
        <v>#N/A</v>
      </c>
      <c r="AW317" s="67" t="e">
        <f t="shared" si="34"/>
        <v>#N/A</v>
      </c>
      <c r="AX317" s="67" t="e">
        <f t="shared" si="34"/>
        <v>#N/A</v>
      </c>
      <c r="AY317" s="67">
        <f t="shared" si="34"/>
        <v>0.48345323741007196</v>
      </c>
      <c r="AZ317" s="67" t="e">
        <f t="shared" si="34"/>
        <v>#N/A</v>
      </c>
      <c r="BA317" s="67"/>
      <c r="BB317" s="67"/>
      <c r="BC317" s="67"/>
      <c r="BD317" s="67"/>
      <c r="BE317" s="67"/>
      <c r="BF317" s="67"/>
      <c r="BG317" s="67"/>
      <c r="BH317" s="67"/>
      <c r="BI317" s="67"/>
      <c r="BJ317" s="67"/>
      <c r="BK317" s="67"/>
      <c r="BL317" s="67"/>
      <c r="BM317" s="67"/>
      <c r="BN317" s="67"/>
      <c r="BO317" s="67"/>
    </row>
    <row r="318" spans="2:67">
      <c r="C318" s="195">
        <f>C109</f>
        <v>50</v>
      </c>
      <c r="F318" s="102">
        <f>F109</f>
        <v>30</v>
      </c>
      <c r="G318" s="46"/>
      <c r="H318" s="120" t="s">
        <v>544</v>
      </c>
      <c r="I318" t="s">
        <v>112</v>
      </c>
      <c r="J318" s="24" t="e">
        <f>J317-J314</f>
        <v>#N/A</v>
      </c>
      <c r="K318" t="str">
        <f t="shared" si="32"/>
        <v>kN</v>
      </c>
      <c r="N318" s="46" t="str">
        <f>IF(P318="Ø","rund ståldorn",IF(P318="F","firkantet ståldorn","FEJL skriv Ø el. F"))</f>
        <v>rund ståldorn</v>
      </c>
      <c r="P318" s="27" t="str">
        <f>I117</f>
        <v>Ø</v>
      </c>
      <c r="Q318" s="64">
        <f>DORNDIAM</f>
        <v>65</v>
      </c>
      <c r="R318" t="str">
        <f>IF(P318="Ø","mm",IF(P318="F","   x","fejl"))</f>
        <v>mm</v>
      </c>
      <c r="V318" t="s">
        <v>726</v>
      </c>
      <c r="AA318" s="49" t="e">
        <f t="shared" ref="AA318:AZ318" si="35">$AA$303/AA316</f>
        <v>#N/A</v>
      </c>
      <c r="AB318" s="49">
        <f t="shared" si="35"/>
        <v>1.6799999999999997</v>
      </c>
      <c r="AC318" s="49" t="e">
        <f t="shared" si="35"/>
        <v>#N/A</v>
      </c>
      <c r="AD318" s="49" t="e">
        <f t="shared" si="35"/>
        <v>#N/A</v>
      </c>
      <c r="AE318" s="49" t="e">
        <f t="shared" si="35"/>
        <v>#N/A</v>
      </c>
      <c r="AF318" s="49" t="e">
        <f t="shared" si="35"/>
        <v>#N/A</v>
      </c>
      <c r="AG318" s="49" t="e">
        <f t="shared" si="35"/>
        <v>#N/A</v>
      </c>
      <c r="AH318" s="49">
        <f t="shared" si="35"/>
        <v>2.3661971830985911</v>
      </c>
      <c r="AI318" s="49" t="e">
        <f t="shared" si="35"/>
        <v>#N/A</v>
      </c>
      <c r="AJ318" s="49" t="e">
        <f t="shared" si="35"/>
        <v>#N/A</v>
      </c>
      <c r="AK318" s="49">
        <f>$AA$303/AK316</f>
        <v>1.6799999999999997</v>
      </c>
      <c r="AL318" s="49" t="e">
        <f t="shared" si="35"/>
        <v>#N/A</v>
      </c>
      <c r="AM318" s="49">
        <f t="shared" si="35"/>
        <v>1.6799999999999997</v>
      </c>
      <c r="AN318" s="49" t="e">
        <f t="shared" si="35"/>
        <v>#N/A</v>
      </c>
      <c r="AO318" s="49" t="e">
        <f t="shared" si="35"/>
        <v>#N/A</v>
      </c>
      <c r="AP318" s="49">
        <f t="shared" si="35"/>
        <v>2.3661971830985911</v>
      </c>
      <c r="AQ318" s="49">
        <f t="shared" si="35"/>
        <v>1.5272727272727273</v>
      </c>
      <c r="AR318" s="49">
        <f t="shared" si="35"/>
        <v>3.5744680851063824</v>
      </c>
      <c r="AS318" s="49">
        <f t="shared" si="35"/>
        <v>2.0487804878048781</v>
      </c>
      <c r="AT318" s="49">
        <f t="shared" si="35"/>
        <v>1.5272727272727273</v>
      </c>
      <c r="AU318" s="49">
        <f t="shared" si="35"/>
        <v>1.6799999999999997</v>
      </c>
      <c r="AV318" s="49" t="e">
        <f t="shared" si="35"/>
        <v>#N/A</v>
      </c>
      <c r="AW318" s="49" t="e">
        <f t="shared" si="35"/>
        <v>#N/A</v>
      </c>
      <c r="AX318" s="49" t="e">
        <f t="shared" si="35"/>
        <v>#N/A</v>
      </c>
      <c r="AY318" s="49">
        <f t="shared" si="35"/>
        <v>1.5272727272727273</v>
      </c>
      <c r="AZ318" s="49" t="e">
        <f t="shared" si="35"/>
        <v>#N/A</v>
      </c>
    </row>
    <row r="319" spans="2:67">
      <c r="E319" s="19" t="str">
        <f>E110</f>
        <v>(3)</v>
      </c>
      <c r="G319" s="46" t="str">
        <f>G110</f>
        <v>2-snits arm.(3)</v>
      </c>
      <c r="H319" s="64">
        <f>H110</f>
        <v>1</v>
      </c>
      <c r="I319" s="27" t="str">
        <f>I110</f>
        <v>R3</v>
      </c>
      <c r="J319" s="64">
        <f>J110</f>
        <v>12</v>
      </c>
      <c r="K319" t="str">
        <f t="shared" si="32"/>
        <v>stk,type,diameter</v>
      </c>
      <c r="N319" t="str">
        <f>N119</f>
        <v>nej</v>
      </c>
      <c r="O319" t="str">
        <f>O119</f>
        <v>&lt;--plasticitetsteoretisk beregning, ja eller nej</v>
      </c>
      <c r="V319" t="s">
        <v>727</v>
      </c>
      <c r="AA319" s="244" t="e">
        <f>NA()</f>
        <v>#N/A</v>
      </c>
      <c r="AB319" s="244">
        <v>0.6</v>
      </c>
      <c r="AC319" s="244" t="e">
        <f>NA()</f>
        <v>#N/A</v>
      </c>
      <c r="AD319" s="244" t="e">
        <f>NA()</f>
        <v>#N/A</v>
      </c>
      <c r="AE319" s="244" t="e">
        <f>NA()</f>
        <v>#N/A</v>
      </c>
      <c r="AF319" s="244" t="e">
        <f>NA()</f>
        <v>#N/A</v>
      </c>
      <c r="AG319" s="244" t="e">
        <f>NA()</f>
        <v>#N/A</v>
      </c>
      <c r="AH319" s="244" t="e">
        <f>NA()</f>
        <v>#N/A</v>
      </c>
      <c r="AI319" s="244" t="e">
        <f>NA()</f>
        <v>#N/A</v>
      </c>
      <c r="AJ319" s="244" t="e">
        <f>NA()</f>
        <v>#N/A</v>
      </c>
      <c r="AK319" s="244">
        <v>0.6</v>
      </c>
      <c r="AL319" s="244" t="e">
        <f>NA()</f>
        <v>#N/A</v>
      </c>
      <c r="AM319" s="244">
        <v>0.8</v>
      </c>
      <c r="AN319" s="244" t="e">
        <f>NA()</f>
        <v>#N/A</v>
      </c>
      <c r="AO319" s="244" t="e">
        <f>NA()</f>
        <v>#N/A</v>
      </c>
      <c r="AP319" s="244">
        <v>0.4</v>
      </c>
      <c r="AQ319" s="244">
        <v>0.6</v>
      </c>
      <c r="AR319" s="244">
        <v>0</v>
      </c>
      <c r="AS319" s="244">
        <v>0.8</v>
      </c>
      <c r="AT319" s="244">
        <v>0.8</v>
      </c>
      <c r="AU319" s="244">
        <v>0.8</v>
      </c>
      <c r="AV319" s="244" t="e">
        <f>NA()</f>
        <v>#N/A</v>
      </c>
      <c r="AW319" s="244" t="e">
        <f>NA()</f>
        <v>#N/A</v>
      </c>
      <c r="AX319" s="244" t="e">
        <f>NA()</f>
        <v>#N/A</v>
      </c>
      <c r="AY319" s="244">
        <v>0.8</v>
      </c>
      <c r="AZ319" s="244" t="e">
        <f>NA()</f>
        <v>#N/A</v>
      </c>
    </row>
    <row r="320" spans="2:67">
      <c r="H320" s="120" t="s">
        <v>248</v>
      </c>
      <c r="I320" t="s">
        <v>112</v>
      </c>
      <c r="J320" s="51">
        <f>J111</f>
        <v>355</v>
      </c>
      <c r="K320" t="str">
        <f t="shared" si="32"/>
        <v>N/mm2</v>
      </c>
      <c r="V320" t="s">
        <v>728</v>
      </c>
      <c r="AA320" s="242" t="e">
        <f>NA()</f>
        <v>#N/A</v>
      </c>
      <c r="AB320" s="242" t="e">
        <f>NA()</f>
        <v>#N/A</v>
      </c>
      <c r="AC320" s="242" t="e">
        <f>NA()</f>
        <v>#N/A</v>
      </c>
      <c r="AD320" s="242" t="e">
        <f>NA()</f>
        <v>#N/A</v>
      </c>
      <c r="AE320" s="242" t="e">
        <f>NA()</f>
        <v>#N/A</v>
      </c>
      <c r="AF320" s="242" t="e">
        <f>NA()</f>
        <v>#N/A</v>
      </c>
      <c r="AG320" s="242" t="e">
        <f>NA()</f>
        <v>#N/A</v>
      </c>
      <c r="AH320" s="242" t="e">
        <f>NA()</f>
        <v>#N/A</v>
      </c>
      <c r="AI320" s="242" t="e">
        <f>NA()</f>
        <v>#N/A</v>
      </c>
      <c r="AJ320" s="242" t="e">
        <f>NA()</f>
        <v>#N/A</v>
      </c>
      <c r="AK320" s="242" t="e">
        <f>NA()</f>
        <v>#N/A</v>
      </c>
      <c r="AL320" s="242" t="e">
        <f>NA()</f>
        <v>#N/A</v>
      </c>
      <c r="AM320" s="242">
        <v>1</v>
      </c>
      <c r="AN320" s="242" t="e">
        <f>NA()</f>
        <v>#N/A</v>
      </c>
      <c r="AO320" s="242" t="e">
        <f>NA()</f>
        <v>#N/A</v>
      </c>
      <c r="AP320" s="242">
        <v>2.9</v>
      </c>
      <c r="AQ320" s="242">
        <v>2.9</v>
      </c>
      <c r="AR320" s="242">
        <v>3</v>
      </c>
      <c r="AS320" s="242" t="e">
        <f>NA()</f>
        <v>#N/A</v>
      </c>
      <c r="AT320" s="242">
        <v>1</v>
      </c>
      <c r="AU320" s="242">
        <v>1</v>
      </c>
      <c r="AV320" s="242" t="e">
        <f>NA()</f>
        <v>#N/A</v>
      </c>
      <c r="AW320" s="242" t="e">
        <f>NA()</f>
        <v>#N/A</v>
      </c>
      <c r="AX320" s="242" t="e">
        <f>NA()</f>
        <v>#N/A</v>
      </c>
      <c r="AY320" s="242">
        <v>1</v>
      </c>
      <c r="AZ320" s="242" t="e">
        <f>NA()</f>
        <v>#N/A</v>
      </c>
    </row>
    <row r="321" spans="2:22">
      <c r="F321" s="55"/>
      <c r="G321" t="s">
        <v>188</v>
      </c>
      <c r="H321" s="120" t="s">
        <v>254</v>
      </c>
      <c r="I321" t="s">
        <v>112</v>
      </c>
      <c r="J321" s="51">
        <f>J112</f>
        <v>295.83333333333337</v>
      </c>
      <c r="K321" t="str">
        <f t="shared" si="32"/>
        <v>N/mm2</v>
      </c>
      <c r="V321" t="s">
        <v>729</v>
      </c>
    </row>
    <row r="322" spans="2:22">
      <c r="C322" t="s">
        <v>730</v>
      </c>
      <c r="H322" s="120" t="s">
        <v>259</v>
      </c>
      <c r="I322" t="s">
        <v>112</v>
      </c>
      <c r="J322" s="51">
        <f>J113</f>
        <v>226.1946710584651</v>
      </c>
      <c r="K322" t="str">
        <f t="shared" si="32"/>
        <v>mm2</v>
      </c>
    </row>
    <row r="323" spans="2:22">
      <c r="C323" s="46"/>
      <c r="E323" t="s">
        <v>541</v>
      </c>
      <c r="F323" s="19" t="s">
        <v>549</v>
      </c>
      <c r="G323" s="46" t="str">
        <f>G114</f>
        <v>bæreevne (3)</v>
      </c>
      <c r="H323" s="24">
        <f>H114</f>
        <v>66.915923521462602</v>
      </c>
      <c r="J323" t="s">
        <v>439</v>
      </c>
      <c r="K323" t="e">
        <f t="shared" si="32"/>
        <v>#N/A</v>
      </c>
      <c r="L323" s="24" t="e">
        <f>L114</f>
        <v>#N/A</v>
      </c>
      <c r="M323" t="e">
        <f>M114</f>
        <v>#N/A</v>
      </c>
      <c r="N323" t="str">
        <f>N114</f>
        <v>Udnyttelse-&gt;</v>
      </c>
      <c r="O323" s="197" t="e">
        <f>O114</f>
        <v>#N/A</v>
      </c>
    </row>
    <row r="325" spans="2:22">
      <c r="C325" s="46" t="s">
        <v>552</v>
      </c>
      <c r="E325" s="46" t="s">
        <v>537</v>
      </c>
    </row>
    <row r="328" spans="2:22">
      <c r="B328" s="27" t="s">
        <v>731</v>
      </c>
      <c r="O328">
        <f>FCK</f>
        <v>30</v>
      </c>
      <c r="P328" s="48" t="s">
        <v>732</v>
      </c>
    </row>
    <row r="329" spans="2:22">
      <c r="C329" s="86"/>
      <c r="F329" s="35"/>
      <c r="G329" s="245">
        <v>80</v>
      </c>
      <c r="O329" s="51">
        <f>J330+H330</f>
        <v>9</v>
      </c>
      <c r="P329" s="48" t="s">
        <v>733</v>
      </c>
    </row>
    <row r="330" spans="2:22" ht="15" customHeight="1">
      <c r="E330" s="19"/>
      <c r="G330" s="217" t="s">
        <v>734</v>
      </c>
      <c r="H330" s="294">
        <v>1</v>
      </c>
      <c r="I330" s="295" t="s">
        <v>192</v>
      </c>
      <c r="J330" s="294">
        <v>8</v>
      </c>
      <c r="K330" s="209" t="s">
        <v>735</v>
      </c>
      <c r="L330" s="209"/>
      <c r="M330" s="209"/>
      <c r="N330" s="205" t="str">
        <f>IF(H330=2,"bundtet/bundet så 'ben' i bøjler ligger ved siden af hinanden"," ")</f>
        <v xml:space="preserve"> </v>
      </c>
      <c r="S330" s="246"/>
    </row>
    <row r="331" spans="2:22" ht="15" customHeight="1">
      <c r="K331" s="46" t="str">
        <f>IF(H330=2,"bundtet armering"," ")</f>
        <v xml:space="preserve"> </v>
      </c>
      <c r="L331" s="247" t="str">
        <f>IF(H330=2,+S330," ")</f>
        <v xml:space="preserve"> </v>
      </c>
      <c r="O331" t="s">
        <v>736</v>
      </c>
      <c r="R331" s="57" t="str">
        <f>IF(T2=0," ","Dansk")</f>
        <v xml:space="preserve"> </v>
      </c>
    </row>
    <row r="332" spans="2:22">
      <c r="F332" s="55"/>
      <c r="G332" s="46" t="s">
        <v>535</v>
      </c>
      <c r="H332" s="120" t="s">
        <v>737</v>
      </c>
      <c r="I332" t="s">
        <v>112</v>
      </c>
      <c r="J332" s="64">
        <f>J316+F318/2+C316+C317+C318-G329</f>
        <v>179</v>
      </c>
      <c r="K332" t="s">
        <v>78</v>
      </c>
      <c r="O332" s="46" t="s">
        <v>738</v>
      </c>
      <c r="P332">
        <v>9</v>
      </c>
      <c r="Q332">
        <v>10</v>
      </c>
      <c r="R332">
        <v>11</v>
      </c>
      <c r="S332">
        <v>12</v>
      </c>
    </row>
    <row r="333" spans="2:22">
      <c r="C333" t="s">
        <v>730</v>
      </c>
      <c r="G333" s="46" t="s">
        <v>739</v>
      </c>
      <c r="H333" s="120" t="s">
        <v>740</v>
      </c>
      <c r="I333" t="s">
        <v>112</v>
      </c>
      <c r="J333" s="24" t="e">
        <f>J314*(J315+J332)/J332</f>
        <v>#N/A</v>
      </c>
      <c r="K333" t="s">
        <v>439</v>
      </c>
      <c r="O333" s="46"/>
      <c r="P333" s="46" t="s">
        <v>741</v>
      </c>
      <c r="Q333" s="46" t="s">
        <v>742</v>
      </c>
      <c r="R333" s="46" t="s">
        <v>743</v>
      </c>
      <c r="S333" s="46" t="s">
        <v>744</v>
      </c>
    </row>
    <row r="334" spans="2:22" ht="15.75">
      <c r="C334" s="46"/>
      <c r="E334" t="s">
        <v>740</v>
      </c>
      <c r="F334" s="46" t="s">
        <v>745</v>
      </c>
      <c r="G334" s="46" t="s">
        <v>739</v>
      </c>
      <c r="H334" s="120" t="s">
        <v>746</v>
      </c>
      <c r="I334" t="s">
        <v>112</v>
      </c>
      <c r="J334" s="24" t="e">
        <f>J314*J315/J332</f>
        <v>#N/A</v>
      </c>
      <c r="K334" t="e">
        <f>IF(J334&lt;L334,"&lt;","&gt;")</f>
        <v>#N/A</v>
      </c>
      <c r="L334">
        <f>IF(O328=30,HLOOKUP(O329,P332:S336,3),IF(O328=35,HLOOKUP(O329,P332:S336,4),IF(O328=40,HLOOKUP(O329,P332:S336,5))))</f>
        <v>26</v>
      </c>
      <c r="M334" t="e">
        <f>IF(J334&lt;L334,"accept","forkast")</f>
        <v>#N/A</v>
      </c>
      <c r="N334" s="165" t="e">
        <f>IF(M334="forkast","NB!"," ")</f>
        <v>#N/A</v>
      </c>
      <c r="O334" s="46" t="s">
        <v>747</v>
      </c>
      <c r="P334" s="110">
        <v>26</v>
      </c>
      <c r="Q334" s="110">
        <v>37.5</v>
      </c>
      <c r="R334" s="110">
        <v>32.5</v>
      </c>
      <c r="S334" s="110">
        <v>48.2</v>
      </c>
      <c r="T334" t="s">
        <v>439</v>
      </c>
      <c r="V334" s="248"/>
    </row>
    <row r="335" spans="2:22">
      <c r="C335" s="46" t="s">
        <v>552</v>
      </c>
      <c r="F335" t="s">
        <v>737</v>
      </c>
      <c r="G335" s="46"/>
      <c r="O335" s="46" t="s">
        <v>748</v>
      </c>
      <c r="P335" s="110">
        <v>30.3</v>
      </c>
      <c r="Q335" s="110">
        <v>37.5</v>
      </c>
      <c r="R335" s="110">
        <v>37.9</v>
      </c>
      <c r="S335" s="110">
        <v>56.4</v>
      </c>
      <c r="T335" t="s">
        <v>439</v>
      </c>
    </row>
    <row r="336" spans="2:22" ht="15.75">
      <c r="G336" s="46" t="s">
        <v>550</v>
      </c>
      <c r="H336" s="24">
        <f>H323</f>
        <v>66.915923521462602</v>
      </c>
      <c r="J336" t="s">
        <v>439</v>
      </c>
      <c r="K336" t="e">
        <f>IF(H336&lt;L336,"&lt;","&gt;")</f>
        <v>#N/A</v>
      </c>
      <c r="L336" s="24" t="e">
        <f>J333</f>
        <v>#N/A</v>
      </c>
      <c r="M336" t="e">
        <f>IF(H336&gt;L336,"accept","forkast")</f>
        <v>#N/A</v>
      </c>
      <c r="N336" s="165" t="e">
        <f>IF(M336="forkast","NB!"," ")</f>
        <v>#N/A</v>
      </c>
      <c r="O336" s="46" t="s">
        <v>749</v>
      </c>
      <c r="P336" s="110">
        <v>34.6</v>
      </c>
      <c r="Q336" s="110">
        <v>37.5</v>
      </c>
      <c r="R336" s="110">
        <v>43.3</v>
      </c>
      <c r="S336" s="110">
        <v>58.5</v>
      </c>
      <c r="T336" t="s">
        <v>439</v>
      </c>
    </row>
    <row r="337" spans="2:15">
      <c r="C337" s="86"/>
    </row>
    <row r="338" spans="2:15">
      <c r="E338" s="19"/>
      <c r="F338" s="249" t="s">
        <v>544</v>
      </c>
      <c r="G338" s="46" t="s">
        <v>535</v>
      </c>
      <c r="H338" s="120" t="s">
        <v>750</v>
      </c>
      <c r="I338" t="s">
        <v>112</v>
      </c>
      <c r="J338" s="250">
        <f>J332-J316</f>
        <v>85</v>
      </c>
      <c r="K338" t="s">
        <v>78</v>
      </c>
    </row>
    <row r="339" spans="2:15">
      <c r="H339" s="46" t="s">
        <v>751</v>
      </c>
      <c r="I339" t="s">
        <v>112</v>
      </c>
      <c r="J339" s="91">
        <f>IF(Q318=65,75.3,IF(Q318=80,87.9,NA()))</f>
        <v>75.3</v>
      </c>
      <c r="K339" t="s">
        <v>78</v>
      </c>
    </row>
    <row r="340" spans="2:15" ht="15" customHeight="1">
      <c r="F340" s="55"/>
      <c r="H340" s="46" t="s">
        <v>752</v>
      </c>
      <c r="I340" t="s">
        <v>112</v>
      </c>
      <c r="J340" s="91">
        <f>IF(Q318=65,4.5,IF(Q318=80,3.2,NA()))</f>
        <v>4.5</v>
      </c>
      <c r="K340" t="s">
        <v>78</v>
      </c>
    </row>
    <row r="341" spans="2:15" ht="15" customHeight="1">
      <c r="E341" t="s">
        <v>537</v>
      </c>
      <c r="F341" s="168" t="s">
        <v>750</v>
      </c>
      <c r="H341" s="46" t="s">
        <v>753</v>
      </c>
      <c r="I341" t="s">
        <v>112</v>
      </c>
      <c r="J341" s="24">
        <f>J339-2*J340</f>
        <v>66.3</v>
      </c>
      <c r="K341" t="s">
        <v>78</v>
      </c>
    </row>
    <row r="342" spans="2:15">
      <c r="C342" s="46"/>
      <c r="F342" s="46"/>
      <c r="H342" s="46" t="s">
        <v>754</v>
      </c>
      <c r="I342" s="46" t="s">
        <v>58</v>
      </c>
      <c r="J342" s="55">
        <v>195</v>
      </c>
      <c r="K342" t="s">
        <v>755</v>
      </c>
      <c r="M342" s="19">
        <v>235</v>
      </c>
    </row>
    <row r="343" spans="2:15">
      <c r="D343" t="s">
        <v>756</v>
      </c>
      <c r="H343" s="46" t="s">
        <v>757</v>
      </c>
      <c r="I343" t="s">
        <v>112</v>
      </c>
      <c r="J343" s="51">
        <f>IF(N319="ja",1/6*(J339^3-J341^3),IF(N319="nej",PI()/32*(J339^4-J341^4)/J339,"fejl"))</f>
        <v>16724.691479926005</v>
      </c>
      <c r="K343" t="s">
        <v>380</v>
      </c>
    </row>
    <row r="344" spans="2:15">
      <c r="H344" s="46" t="s">
        <v>758</v>
      </c>
      <c r="I344" t="s">
        <v>112</v>
      </c>
      <c r="J344" s="24" t="e">
        <f>J334*J338/10^3</f>
        <v>#N/A</v>
      </c>
      <c r="K344" t="s">
        <v>135</v>
      </c>
    </row>
    <row r="345" spans="2:15" ht="15.75">
      <c r="G345" s="46" t="s">
        <v>759</v>
      </c>
      <c r="H345" s="51" t="e">
        <f>J344*10^6/J343</f>
        <v>#N/A</v>
      </c>
      <c r="J345" t="s">
        <v>31</v>
      </c>
      <c r="K345" t="e">
        <f>IF(H345&lt;L345,"&lt;","&gt;")</f>
        <v>#N/A</v>
      </c>
      <c r="L345" s="51">
        <f>M342/GAMMADORN</f>
        <v>213.63636363636363</v>
      </c>
      <c r="M345" t="e">
        <f>IF(H345&gt;L345,"forkast","accept")</f>
        <v>#N/A</v>
      </c>
      <c r="N345" s="165" t="e">
        <f>IF(M345="forkast","NB!"," ")</f>
        <v>#N/A</v>
      </c>
    </row>
    <row r="352" spans="2:15" ht="15.75">
      <c r="B352" t="s">
        <v>599</v>
      </c>
      <c r="N352" s="251" t="s">
        <v>18</v>
      </c>
      <c r="O352" s="252" t="s">
        <v>760</v>
      </c>
    </row>
    <row r="353" spans="2:35" ht="15.75">
      <c r="C353" s="189"/>
      <c r="G353" t="e">
        <f>IF(J354&gt;J353,"reaktion","maks. reaktion")</f>
        <v>#N/A</v>
      </c>
      <c r="H353" t="s">
        <v>527</v>
      </c>
      <c r="I353" t="s">
        <v>112</v>
      </c>
      <c r="J353" s="24" t="e">
        <f>IF(AND($S$152="fast",$T$152="fast"),MAXA($S$153:$T$153),IF($S$152="fast",$S$153,IF($T$152="fast",$T$153,NA())))</f>
        <v>#N/A</v>
      </c>
      <c r="K353" t="s">
        <v>439</v>
      </c>
      <c r="O353" s="252" t="s">
        <v>761</v>
      </c>
    </row>
    <row r="354" spans="2:35" ht="15.75">
      <c r="G354" t="e">
        <f>IF(J354&gt;J353,"maks. reaktion","reaktion")</f>
        <v>#N/A</v>
      </c>
      <c r="H354" t="s">
        <v>530</v>
      </c>
      <c r="I354" t="s">
        <v>112</v>
      </c>
      <c r="J354" s="24" t="e">
        <f>IF(J353=S153,MAX(S158:S159),IF(J353=T153,MAX(T158:T159),NA()))</f>
        <v>#N/A</v>
      </c>
      <c r="K354" t="s">
        <v>439</v>
      </c>
      <c r="L354" s="387" t="e">
        <f>L166</f>
        <v>#N/A</v>
      </c>
    </row>
    <row r="355" spans="2:35">
      <c r="G355" t="str">
        <f>IF(forsk.forkant!N9="vis ikke"," ","min. reaktion")</f>
        <v>min. reaktion</v>
      </c>
      <c r="H355" t="str">
        <f>IF(forsk.forkant!N9="vis ikke"," ","R1 min")</f>
        <v>R1 min</v>
      </c>
      <c r="I355" t="str">
        <f>IF(forsk.forkant!N9="vis ikke"," ","=")</f>
        <v>=</v>
      </c>
      <c r="J355" s="24" t="e">
        <f>J165</f>
        <v>#N/A</v>
      </c>
      <c r="K355" t="e">
        <f>IF(forsk.forkant!$N$9="vis ikke"," ",IF(J355&lt;0,"kN","kN"))</f>
        <v>#N/A</v>
      </c>
      <c r="L355" s="315" t="e">
        <f>L165</f>
        <v>#N/A</v>
      </c>
    </row>
    <row r="356" spans="2:35">
      <c r="E356" t="s">
        <v>762</v>
      </c>
      <c r="G356" t="s">
        <v>119</v>
      </c>
      <c r="H356" t="s">
        <v>120</v>
      </c>
      <c r="I356" t="s">
        <v>112</v>
      </c>
      <c r="J356" s="63" t="e">
        <f>NA()</f>
        <v>#N/A</v>
      </c>
      <c r="K356" t="s">
        <v>78</v>
      </c>
    </row>
    <row r="357" spans="2:35">
      <c r="C357" s="46" t="s">
        <v>763</v>
      </c>
      <c r="G357" t="s">
        <v>764</v>
      </c>
      <c r="I357" t="s">
        <v>112</v>
      </c>
      <c r="J357" s="63" t="e">
        <f>NA()</f>
        <v>#N/A</v>
      </c>
      <c r="K357" t="s">
        <v>78</v>
      </c>
    </row>
    <row r="358" spans="2:35">
      <c r="G358" t="s">
        <v>491</v>
      </c>
      <c r="H358" t="s">
        <v>333</v>
      </c>
      <c r="I358" t="s">
        <v>112</v>
      </c>
      <c r="J358" s="63">
        <v>100</v>
      </c>
      <c r="K358" t="s">
        <v>78</v>
      </c>
    </row>
    <row r="359" spans="2:35">
      <c r="B359" t="s">
        <v>120</v>
      </c>
      <c r="D359" t="s">
        <v>765</v>
      </c>
      <c r="F359" t="s">
        <v>766</v>
      </c>
      <c r="G359" t="s">
        <v>767</v>
      </c>
      <c r="H359" s="63" t="e">
        <f>NA()</f>
        <v>#N/A</v>
      </c>
      <c r="I359" s="107" t="s">
        <v>192</v>
      </c>
      <c r="J359" s="63">
        <v>10</v>
      </c>
      <c r="K359" t="s">
        <v>238</v>
      </c>
    </row>
    <row r="360" spans="2:35">
      <c r="H360" t="s">
        <v>248</v>
      </c>
      <c r="I360" t="s">
        <v>112</v>
      </c>
      <c r="J360" s="64">
        <f>O360</f>
        <v>500</v>
      </c>
      <c r="K360" t="s">
        <v>31</v>
      </c>
      <c r="N360">
        <f>CODE(I359)</f>
        <v>75</v>
      </c>
      <c r="O360">
        <f>HLOOKUP(N360,AA310:AZ320,6)</f>
        <v>500</v>
      </c>
      <c r="V360" t="str">
        <f>B352</f>
        <v>FAST VEDERLAG</v>
      </c>
    </row>
    <row r="361" spans="2:35">
      <c r="H361" t="s">
        <v>254</v>
      </c>
      <c r="I361" t="s">
        <v>112</v>
      </c>
      <c r="J361" s="64">
        <f>O360/$N$19</f>
        <v>416.66666666666669</v>
      </c>
      <c r="K361" t="s">
        <v>31</v>
      </c>
      <c r="V361" s="19" t="s">
        <v>440</v>
      </c>
      <c r="W361" s="19" t="s">
        <v>441</v>
      </c>
      <c r="X361" s="51" t="e">
        <f>J369</f>
        <v>#N/A</v>
      </c>
      <c r="Y361" t="s">
        <v>442</v>
      </c>
    </row>
    <row r="362" spans="2:35">
      <c r="H362" s="46" t="s">
        <v>768</v>
      </c>
      <c r="I362" s="107" t="s">
        <v>192</v>
      </c>
      <c r="J362" s="107">
        <v>16</v>
      </c>
      <c r="K362" t="s">
        <v>691</v>
      </c>
      <c r="L362" t="str">
        <f>"red.fyd= "&amp;FIXED(N362,0,TRUE)&amp;" N/mm2"</f>
        <v>red.fyd= 397 N/mm2</v>
      </c>
      <c r="N362" s="88">
        <f>AC378</f>
        <v>397.29482304179191</v>
      </c>
      <c r="V362" s="49" t="e">
        <f>1+SQRT(200/X363)</f>
        <v>#N/A</v>
      </c>
      <c r="W362" s="24" t="e">
        <f>(0.18/$N$17*V363*(100*X361/(X362*X363)*$J$22)^(1/3))*X362*X363*10^-3</f>
        <v>#N/A</v>
      </c>
      <c r="X362" t="e">
        <f>J357</f>
        <v>#N/A</v>
      </c>
      <c r="Y362" t="s">
        <v>447</v>
      </c>
    </row>
    <row r="363" spans="2:35" ht="15.75">
      <c r="C363" s="19" t="s">
        <v>618</v>
      </c>
      <c r="H363" t="s">
        <v>769</v>
      </c>
      <c r="I363" t="s">
        <v>112</v>
      </c>
      <c r="J363" s="64" t="e">
        <f>H359*J359^2/4*PI()</f>
        <v>#N/A</v>
      </c>
      <c r="K363" t="s">
        <v>105</v>
      </c>
      <c r="N363" s="165" t="e">
        <f>IF(J369&gt;J363,"for lille"," ")</f>
        <v>#N/A</v>
      </c>
      <c r="O363">
        <f>CODE(I365)</f>
        <v>75</v>
      </c>
      <c r="P363">
        <f>HLOOKUP(O363,AA310:AZ320,6)</f>
        <v>500</v>
      </c>
      <c r="Q363" t="s">
        <v>239</v>
      </c>
      <c r="V363" s="49" t="e">
        <f>IF(V362&gt;2,2,V362)</f>
        <v>#N/A</v>
      </c>
      <c r="W363" s="24" t="e">
        <f>(0.035*V363^(3/2)*SQRT($J$22)*X362*X363)*10^-3</f>
        <v>#N/A</v>
      </c>
      <c r="X363" t="e">
        <f>J356</f>
        <v>#N/A</v>
      </c>
      <c r="Y363" t="s">
        <v>450</v>
      </c>
    </row>
    <row r="364" spans="2:35" ht="15.75">
      <c r="D364" s="19" t="s">
        <v>333</v>
      </c>
      <c r="G364" t="s">
        <v>519</v>
      </c>
      <c r="H364" s="51" t="e">
        <f>L372*10^3/J363</f>
        <v>#N/A</v>
      </c>
      <c r="J364" s="27" t="s">
        <v>31</v>
      </c>
      <c r="K364" t="e">
        <f>IF(H364&gt;L364,"&gt;","&lt;")</f>
        <v>#N/A</v>
      </c>
      <c r="L364" s="51">
        <f>N362</f>
        <v>397.29482304179191</v>
      </c>
      <c r="M364" t="e">
        <f>IF(H364&gt;L364,"forkast","accept")</f>
        <v>#N/A</v>
      </c>
      <c r="N364" s="165" t="e">
        <f>IF(M364="forkast","NB!"," ")</f>
        <v>#N/A</v>
      </c>
      <c r="O364" s="67" t="e">
        <f>IF(P364&lt;O365,0,IF(P364&lt;Q365,+P364,0.5*P364*P366*(-1+SQRT(1+4*$AA$302/(P364*P366)))))</f>
        <v>#N/A</v>
      </c>
      <c r="P364" s="67" t="e">
        <f>J369*N368/(J357*J356*J23)</f>
        <v>#N/A</v>
      </c>
      <c r="Q364" t="s">
        <v>273</v>
      </c>
    </row>
    <row r="365" spans="2:35">
      <c r="G365" t="s">
        <v>770</v>
      </c>
      <c r="H365" s="63" t="e">
        <f>H359</f>
        <v>#N/A</v>
      </c>
      <c r="I365" s="107" t="s">
        <v>192</v>
      </c>
      <c r="J365" s="63">
        <f>J359</f>
        <v>10</v>
      </c>
      <c r="K365" t="s">
        <v>238</v>
      </c>
      <c r="O365" s="67">
        <f>MAXA(U365:U366)</f>
        <v>2.9286511333037436E-2</v>
      </c>
      <c r="P365" s="67">
        <f>HLOOKUP(O363,AA310:AZ320,5)</f>
        <v>4.9882794186591653E-2</v>
      </c>
      <c r="Q365" s="67">
        <f>HLOOKUP(O363,AA310:AZ320,8)</f>
        <v>0.5014925373134328</v>
      </c>
      <c r="R365" t="s">
        <v>255</v>
      </c>
      <c r="U365" s="67">
        <f>0.26*$J$24/J366*J367/$J$23</f>
        <v>2.9286511333037436E-2</v>
      </c>
    </row>
    <row r="366" spans="2:35">
      <c r="H366" t="s">
        <v>248</v>
      </c>
      <c r="I366" t="s">
        <v>112</v>
      </c>
      <c r="J366" s="64">
        <f>P363</f>
        <v>500</v>
      </c>
      <c r="K366" t="s">
        <v>31</v>
      </c>
      <c r="O366" s="81"/>
      <c r="P366" s="49">
        <f>HLOOKUP(O363,AA310:AZ320,9)</f>
        <v>1.6799999999999997</v>
      </c>
      <c r="Q366" t="s">
        <v>260</v>
      </c>
      <c r="U366" s="67">
        <f>0.0013*J367/$J$23</f>
        <v>2.5277777777777774E-2</v>
      </c>
      <c r="V366" s="51"/>
      <c r="X366" s="51"/>
    </row>
    <row r="367" spans="2:35">
      <c r="H367" t="s">
        <v>254</v>
      </c>
      <c r="I367" t="s">
        <v>112</v>
      </c>
      <c r="J367" s="64">
        <f>P363/$N$19</f>
        <v>416.66666666666669</v>
      </c>
      <c r="K367" t="s">
        <v>31</v>
      </c>
      <c r="V367" t="s">
        <v>771</v>
      </c>
      <c r="AE367" t="s">
        <v>772</v>
      </c>
    </row>
    <row r="368" spans="2:35">
      <c r="H368" s="46" t="s">
        <v>773</v>
      </c>
      <c r="I368" t="str">
        <f>I362</f>
        <v>K</v>
      </c>
      <c r="J368" s="107">
        <v>16</v>
      </c>
      <c r="K368" t="s">
        <v>691</v>
      </c>
      <c r="L368" t="str">
        <f>"red.fyd= "&amp;FIXED(N368,0,TRUE)&amp;" N/mm2"</f>
        <v>red.fyd= 397 N/mm2</v>
      </c>
      <c r="N368" s="88">
        <f>AL378</f>
        <v>397.29482304179191</v>
      </c>
      <c r="O368" s="81"/>
      <c r="V368" s="46" t="s">
        <v>774</v>
      </c>
      <c r="W368" s="24">
        <f>J23</f>
        <v>21.428571428571431</v>
      </c>
      <c r="X368" t="s">
        <v>31</v>
      </c>
      <c r="Y368" s="107">
        <v>2.1</v>
      </c>
      <c r="Z368" t="s">
        <v>775</v>
      </c>
      <c r="AE368" s="46" t="s">
        <v>774</v>
      </c>
      <c r="AF368" s="24">
        <f>J23</f>
        <v>21.428571428571431</v>
      </c>
      <c r="AG368" t="s">
        <v>31</v>
      </c>
      <c r="AH368" s="107">
        <v>2.1</v>
      </c>
      <c r="AI368" t="s">
        <v>775</v>
      </c>
    </row>
    <row r="369" spans="2:38">
      <c r="H369" t="s">
        <v>776</v>
      </c>
      <c r="I369" t="s">
        <v>112</v>
      </c>
      <c r="J369" s="64" t="e">
        <f>H365*J365^2/4*PI()</f>
        <v>#N/A</v>
      </c>
      <c r="K369" t="s">
        <v>500</v>
      </c>
      <c r="U369" s="24"/>
      <c r="V369" s="46" t="s">
        <v>777</v>
      </c>
      <c r="W369">
        <f>N19</f>
        <v>1.2</v>
      </c>
      <c r="X369" t="s">
        <v>778</v>
      </c>
      <c r="AE369" s="46" t="s">
        <v>777</v>
      </c>
      <c r="AF369">
        <f>N19</f>
        <v>1.2</v>
      </c>
      <c r="AG369" t="s">
        <v>778</v>
      </c>
    </row>
    <row r="370" spans="2:38">
      <c r="G370" t="s">
        <v>779</v>
      </c>
      <c r="I370" t="s">
        <v>112</v>
      </c>
      <c r="J370" s="91" t="e">
        <f>J23*COS(ATAN(0.8*J356/J358))</f>
        <v>#N/A</v>
      </c>
      <c r="K370" t="s">
        <v>31</v>
      </c>
      <c r="N370" s="81"/>
      <c r="O370" s="81"/>
      <c r="V370" s="46" t="s">
        <v>780</v>
      </c>
      <c r="W370" s="46" t="str">
        <f>I359</f>
        <v>K</v>
      </c>
      <c r="X370" s="46">
        <f>J359</f>
        <v>10</v>
      </c>
      <c r="Y370" t="s">
        <v>781</v>
      </c>
      <c r="Z370" s="46">
        <f>CODE(W370)</f>
        <v>75</v>
      </c>
      <c r="AA370">
        <f>HLOOKUP(Z370,AA310:AZ320,6)</f>
        <v>500</v>
      </c>
      <c r="AB370" t="s">
        <v>782</v>
      </c>
      <c r="AE370" s="46" t="s">
        <v>780</v>
      </c>
      <c r="AF370" s="46" t="str">
        <f>I365</f>
        <v>K</v>
      </c>
      <c r="AG370" s="46">
        <f>J365</f>
        <v>10</v>
      </c>
      <c r="AH370" t="s">
        <v>781</v>
      </c>
      <c r="AI370" s="46">
        <f>CODE(AF370)</f>
        <v>75</v>
      </c>
      <c r="AJ370">
        <f>HLOOKUP(AI370,AA310:AZ320,6)</f>
        <v>500</v>
      </c>
      <c r="AK370" t="s">
        <v>782</v>
      </c>
    </row>
    <row r="371" spans="2:38" ht="15.75">
      <c r="G371" t="s">
        <v>507</v>
      </c>
      <c r="H371" s="24" t="e">
        <f>(1-0.5*O364)*O364*J357*J356^2*J370/1000000</f>
        <v>#N/A</v>
      </c>
      <c r="J371" s="27" t="s">
        <v>135</v>
      </c>
      <c r="K371" t="e">
        <f>IF(H371&gt;L371,"&gt;","&lt;")</f>
        <v>#N/A</v>
      </c>
      <c r="L371" s="24" t="e">
        <f>L372*(J358+0.9*J356)*10^-3</f>
        <v>#N/A</v>
      </c>
      <c r="M371" t="e">
        <f>IF(H371&gt;L371,"accept","forkast")</f>
        <v>#N/A</v>
      </c>
      <c r="N371" s="165" t="e">
        <f>IF(M371="forkast","NB!"," ")</f>
        <v>#N/A</v>
      </c>
      <c r="W371" s="46" t="s">
        <v>783</v>
      </c>
      <c r="X371" s="51">
        <f>AA370/W369</f>
        <v>416.66666666666669</v>
      </c>
      <c r="Y371" t="s">
        <v>31</v>
      </c>
      <c r="AF371" s="46" t="s">
        <v>783</v>
      </c>
      <c r="AG371" s="51">
        <f>AJ370/AF369</f>
        <v>416.66666666666669</v>
      </c>
      <c r="AH371" t="s">
        <v>31</v>
      </c>
    </row>
    <row r="372" spans="2:38" ht="15.75">
      <c r="G372" t="s">
        <v>509</v>
      </c>
      <c r="H372" s="24" t="e">
        <f>MAXA(W362:W363)</f>
        <v>#N/A</v>
      </c>
      <c r="J372" s="27" t="s">
        <v>439</v>
      </c>
      <c r="K372" t="e">
        <f>IF(H372&gt;L372,"&gt;","&lt;")</f>
        <v>#N/A</v>
      </c>
      <c r="L372" s="24" t="e">
        <f>MAXA(J353:J354)</f>
        <v>#N/A</v>
      </c>
      <c r="M372" t="e">
        <f>IF(H372&gt;L372,"accept","=&gt; vælger")</f>
        <v>#N/A</v>
      </c>
      <c r="N372" s="165" t="e">
        <f>IF(AND(M372="=&gt; vælger",J373=0),"Bøjler!"," ")</f>
        <v>#N/A</v>
      </c>
      <c r="W372" s="46" t="s">
        <v>784</v>
      </c>
      <c r="X372" s="107">
        <f>4*X370</f>
        <v>40</v>
      </c>
      <c r="Y372" t="s">
        <v>78</v>
      </c>
      <c r="AF372" s="46" t="s">
        <v>784</v>
      </c>
      <c r="AG372" s="107">
        <f>4*AG370</f>
        <v>40</v>
      </c>
      <c r="AH372" t="s">
        <v>78</v>
      </c>
    </row>
    <row r="373" spans="2:38">
      <c r="G373" s="107">
        <v>2</v>
      </c>
      <c r="H373" s="27" t="s">
        <v>444</v>
      </c>
      <c r="I373" s="107" t="s">
        <v>192</v>
      </c>
      <c r="J373" s="63">
        <v>6</v>
      </c>
      <c r="K373" t="s">
        <v>445</v>
      </c>
      <c r="O373">
        <f>CODE(I373)</f>
        <v>75</v>
      </c>
      <c r="P373">
        <f>HLOOKUP(O373,AA310:AZ320,6)</f>
        <v>500</v>
      </c>
      <c r="Q373" t="s">
        <v>239</v>
      </c>
      <c r="V373" s="46" t="s">
        <v>785</v>
      </c>
      <c r="W373" s="46" t="str">
        <f>I362</f>
        <v>K</v>
      </c>
      <c r="X373" s="46">
        <f>J362</f>
        <v>16</v>
      </c>
      <c r="Y373" t="s">
        <v>781</v>
      </c>
      <c r="Z373" s="46">
        <f>CODE(W373)</f>
        <v>75</v>
      </c>
      <c r="AA373">
        <f>HLOOKUP(Z373,AA310:AZ320,6)</f>
        <v>500</v>
      </c>
      <c r="AB373" t="s">
        <v>782</v>
      </c>
      <c r="AE373" s="46" t="s">
        <v>785</v>
      </c>
      <c r="AF373" s="46" t="str">
        <f>I368</f>
        <v>K</v>
      </c>
      <c r="AG373" s="46">
        <f>J368</f>
        <v>16</v>
      </c>
      <c r="AH373" t="s">
        <v>781</v>
      </c>
      <c r="AI373" s="46">
        <f>CODE(AF373)</f>
        <v>75</v>
      </c>
      <c r="AJ373">
        <f>HLOOKUP(AI373,AA310:AZ320,6)</f>
        <v>500</v>
      </c>
      <c r="AK373" t="s">
        <v>782</v>
      </c>
    </row>
    <row r="374" spans="2:38" ht="15.75">
      <c r="G374" t="s">
        <v>495</v>
      </c>
      <c r="J374" s="63" t="e">
        <f>NA()</f>
        <v>#N/A</v>
      </c>
      <c r="K374" t="e">
        <f>IF(J374&gt;0.7*(J356+15+J373/2),"NB! for stor!","mm")</f>
        <v>#N/A</v>
      </c>
      <c r="N374" s="165" t="e">
        <f>IF(K374="NB! for stor!","NB!"," ")</f>
        <v>#N/A</v>
      </c>
      <c r="W374" s="46" t="s">
        <v>783</v>
      </c>
      <c r="X374" s="51">
        <f>AA373/W369</f>
        <v>416.66666666666669</v>
      </c>
      <c r="Y374" t="s">
        <v>31</v>
      </c>
      <c r="AF374" s="46" t="s">
        <v>783</v>
      </c>
      <c r="AG374" s="51">
        <f>AJ373/AF369</f>
        <v>416.66666666666669</v>
      </c>
      <c r="AH374" t="s">
        <v>31</v>
      </c>
    </row>
    <row r="375" spans="2:38">
      <c r="H375" t="s">
        <v>248</v>
      </c>
      <c r="I375" t="s">
        <v>112</v>
      </c>
      <c r="J375" s="51">
        <f>P373</f>
        <v>500</v>
      </c>
      <c r="K375" t="s">
        <v>31</v>
      </c>
      <c r="U375" s="24"/>
      <c r="W375" s="46" t="s">
        <v>786</v>
      </c>
      <c r="X375" s="51">
        <f>X373^3/6</f>
        <v>682.66666666666663</v>
      </c>
      <c r="Y375" t="s">
        <v>105</v>
      </c>
      <c r="AF375" s="46" t="s">
        <v>786</v>
      </c>
      <c r="AG375" s="51">
        <f>AG373^3/6</f>
        <v>682.66666666666663</v>
      </c>
      <c r="AH375" t="s">
        <v>105</v>
      </c>
    </row>
    <row r="376" spans="2:38">
      <c r="H376" t="s">
        <v>453</v>
      </c>
      <c r="I376" t="s">
        <v>112</v>
      </c>
      <c r="J376" s="51">
        <f>P373/$N$19</f>
        <v>416.66666666666669</v>
      </c>
      <c r="K376" t="s">
        <v>31</v>
      </c>
      <c r="U376" s="24"/>
      <c r="V376" s="46" t="s">
        <v>787</v>
      </c>
      <c r="W376" s="24">
        <f>SQRT(X374*X375/(0.5*X373*Y368*W368))*2</f>
        <v>56.21826951410452</v>
      </c>
      <c r="X376" t="s">
        <v>788</v>
      </c>
      <c r="Y376" s="51">
        <f>W376/2*Y368*W368*X373</f>
        <v>20238.57702507763</v>
      </c>
      <c r="Z376" t="s">
        <v>789</v>
      </c>
      <c r="AB376" s="51">
        <f>3*Y376^2/(4*X373*X374)</f>
        <v>46080.000000000007</v>
      </c>
      <c r="AC376" t="s">
        <v>565</v>
      </c>
      <c r="AE376" s="46" t="s">
        <v>787</v>
      </c>
      <c r="AF376" s="24">
        <f>SQRT(AG374*AG375/(0.5*AG373*AH368*AF368))*2</f>
        <v>56.21826951410452</v>
      </c>
      <c r="AG376" t="s">
        <v>788</v>
      </c>
      <c r="AH376" s="51">
        <f>AF376/2*AH368*AF368*AG373</f>
        <v>20238.57702507763</v>
      </c>
      <c r="AI376" t="s">
        <v>789</v>
      </c>
      <c r="AK376" s="51">
        <f>3*AH376^2/(4*AG373*AG374)</f>
        <v>46080.000000000007</v>
      </c>
      <c r="AL376" t="s">
        <v>565</v>
      </c>
    </row>
    <row r="377" spans="2:38" ht="15.75">
      <c r="G377" s="46" t="s">
        <v>456</v>
      </c>
      <c r="H377" s="24" t="e">
        <f>G373*J373^2/4*PI()*J376/J374*0.9*J356*10^-3</f>
        <v>#N/A</v>
      </c>
      <c r="I377" t="e">
        <f>IF(H377&gt;J377,"&gt;","&lt;")</f>
        <v>#N/A</v>
      </c>
      <c r="J377" s="24" t="e">
        <f>L372</f>
        <v>#N/A</v>
      </c>
      <c r="K377" t="s">
        <v>439</v>
      </c>
      <c r="M377" t="e">
        <f>IF(M372="accept"," ",IF(H377&gt;J377,"accept","forkast"))</f>
        <v>#N/A</v>
      </c>
      <c r="N377" s="165" t="e">
        <f>IF(M377="forkast","NB!"," ")</f>
        <v>#N/A</v>
      </c>
      <c r="V377" s="46" t="s">
        <v>790</v>
      </c>
      <c r="W377">
        <f>0.5*Y368*W368*X373*(W376/2)^2</f>
        <v>284444.4444444445</v>
      </c>
      <c r="X377" t="s">
        <v>791</v>
      </c>
      <c r="Z377" s="51"/>
      <c r="AE377" s="46" t="s">
        <v>790</v>
      </c>
      <c r="AF377">
        <f>0.5*AH368*AF368*AG373*(AF376/2)^2</f>
        <v>284444.4444444445</v>
      </c>
      <c r="AG377" t="s">
        <v>791</v>
      </c>
      <c r="AI377" s="51"/>
    </row>
    <row r="378" spans="2:38">
      <c r="V378" s="46" t="s">
        <v>792</v>
      </c>
      <c r="W378" s="51">
        <f>(X372*X370+(W376-X370)*X373)*Y368*W368*COS(PI()/4)*W377/(W377+AB376)</f>
        <v>31203.462434433757</v>
      </c>
      <c r="X378" t="s">
        <v>48</v>
      </c>
      <c r="Y378" t="str">
        <f>IF(W378&gt;Z378,"&gt;Tflyd=","&lt;Tflyd")</f>
        <v>&lt;Tflyd</v>
      </c>
      <c r="Z378" s="51">
        <f>X370^2/4*PI()*X371</f>
        <v>32724.92347489368</v>
      </c>
      <c r="AA378" t="s">
        <v>48</v>
      </c>
      <c r="AB378" s="51" t="s">
        <v>793</v>
      </c>
      <c r="AC378" s="51">
        <f>IF(W378&gt;Z378,+X371,+X371*W378/Z378)</f>
        <v>397.29482304179191</v>
      </c>
      <c r="AE378" s="46" t="s">
        <v>792</v>
      </c>
      <c r="AF378" s="51">
        <f>(AG372*AG370+(AF376-AG370)*AG373)*AH368*AF368*COS(PI()/4)*AF377/(AF377+AK376)</f>
        <v>31203.462434433757</v>
      </c>
      <c r="AG378" t="s">
        <v>48</v>
      </c>
      <c r="AH378" t="str">
        <f>IF(AF378&gt;AI378,"&gt;Tflyd=","&lt;Tflyd")</f>
        <v>&lt;Tflyd</v>
      </c>
      <c r="AI378" s="51">
        <f>AG370^2/4*PI()*AG371</f>
        <v>32724.92347489368</v>
      </c>
      <c r="AJ378" t="s">
        <v>48</v>
      </c>
      <c r="AK378" s="51" t="s">
        <v>793</v>
      </c>
      <c r="AL378" s="51">
        <f>IF(AF378&gt;AI378,+AG371,+AG371*AF378/AI378)</f>
        <v>397.29482304179191</v>
      </c>
    </row>
    <row r="380" spans="2:38" ht="15.75">
      <c r="B380" t="str">
        <f>B352</f>
        <v>FAST VEDERLAG</v>
      </c>
      <c r="N380" s="253" t="s">
        <v>18</v>
      </c>
      <c r="O380" s="252" t="s">
        <v>760</v>
      </c>
    </row>
    <row r="381" spans="2:38" ht="15.75">
      <c r="G381" t="s">
        <v>721</v>
      </c>
      <c r="H381" t="e">
        <f>IF(J354&gt;J353,"R1","R2")</f>
        <v>#N/A</v>
      </c>
      <c r="I381" t="s">
        <v>112</v>
      </c>
      <c r="J381" s="24" t="e">
        <f>IF(J354&gt;J353,+J354,+J353)</f>
        <v>#N/A</v>
      </c>
      <c r="K381" t="s">
        <v>601</v>
      </c>
      <c r="O381" s="252" t="s">
        <v>761</v>
      </c>
      <c r="R381" t="s">
        <v>431</v>
      </c>
    </row>
    <row r="382" spans="2:38">
      <c r="G382" t="s">
        <v>119</v>
      </c>
      <c r="H382" t="s">
        <v>120</v>
      </c>
      <c r="I382" t="s">
        <v>112</v>
      </c>
      <c r="J382" s="63" t="e">
        <f>NA()</f>
        <v>#N/A</v>
      </c>
      <c r="K382" t="s">
        <v>78</v>
      </c>
      <c r="R382" t="str">
        <f>B380</f>
        <v>FAST VEDERLAG</v>
      </c>
    </row>
    <row r="383" spans="2:38">
      <c r="G383" t="s">
        <v>603</v>
      </c>
      <c r="H383" t="s">
        <v>144</v>
      </c>
      <c r="I383" t="s">
        <v>112</v>
      </c>
      <c r="J383" s="63" t="e">
        <f>NA()</f>
        <v>#N/A</v>
      </c>
      <c r="K383" t="s">
        <v>78</v>
      </c>
      <c r="R383" s="19" t="s">
        <v>440</v>
      </c>
      <c r="S383" s="19" t="s">
        <v>441</v>
      </c>
      <c r="T383" s="51">
        <v>0</v>
      </c>
      <c r="U383" t="s">
        <v>442</v>
      </c>
    </row>
    <row r="384" spans="2:38">
      <c r="G384" t="s">
        <v>206</v>
      </c>
      <c r="H384" t="s">
        <v>207</v>
      </c>
      <c r="I384" t="s">
        <v>112</v>
      </c>
      <c r="J384" s="51">
        <f>J22</f>
        <v>30</v>
      </c>
      <c r="K384" t="s">
        <v>31</v>
      </c>
      <c r="R384" s="49" t="e">
        <f>1+SQRT(200/T385)</f>
        <v>#N/A</v>
      </c>
      <c r="S384" s="24" t="e">
        <f>(0.18/$N$17*R385*(100*T383/(T384*T385)*$J$22)^(1/3))*T384*T385*10^-3</f>
        <v>#N/A</v>
      </c>
      <c r="T384" t="e">
        <f>J383</f>
        <v>#N/A</v>
      </c>
      <c r="U384" t="s">
        <v>447</v>
      </c>
    </row>
    <row r="385" spans="1:24">
      <c r="H385" t="s">
        <v>217</v>
      </c>
      <c r="I385" t="s">
        <v>112</v>
      </c>
      <c r="J385" s="24">
        <f>J384/N17</f>
        <v>21.428571428571431</v>
      </c>
      <c r="K385" t="s">
        <v>31</v>
      </c>
      <c r="R385" s="49" t="e">
        <f>IF(R384&gt;2,2,R384)</f>
        <v>#N/A</v>
      </c>
      <c r="S385" s="24" t="e">
        <f>(0.035*R385^(3/2)*SQRT($J$22)*T384*T385)*10^-3</f>
        <v>#N/A</v>
      </c>
      <c r="T385" t="e">
        <f>J382</f>
        <v>#N/A</v>
      </c>
      <c r="U385" t="s">
        <v>450</v>
      </c>
    </row>
    <row r="386" spans="1:24" ht="15.75">
      <c r="G386" t="s">
        <v>234</v>
      </c>
      <c r="H386" s="19" t="str">
        <f>IF(N387=0," ",IF(N387=6,"     6 mm pr",IF(N387=8,"     8 mm pr",IF(N387=10,"    10 mm pr","Fejl"))))</f>
        <v xml:space="preserve">     8 mm pr</v>
      </c>
      <c r="J386" s="19">
        <f>IF(N387=0," ",+P387)</f>
        <v>150</v>
      </c>
      <c r="K386" t="str">
        <f>IF(N387=0," ","svejst net")</f>
        <v>svejst net</v>
      </c>
      <c r="N386" s="83" t="s">
        <v>196</v>
      </c>
      <c r="O386" s="84">
        <f>J388</f>
        <v>500</v>
      </c>
      <c r="P386" s="7" t="s">
        <v>31</v>
      </c>
      <c r="Q386" s="68" t="str">
        <f>IF(N387=0," ",IF(OR(OR(N387=6,N387=8),N387=10)," "," svejst net skal være 6, 8 eller 10 mm"))</f>
        <v xml:space="preserve"> </v>
      </c>
    </row>
    <row r="387" spans="1:24">
      <c r="G387" s="46" t="str">
        <f>IF(N387=0," ","suppleret med")</f>
        <v>suppleret med</v>
      </c>
      <c r="H387" s="63" t="e">
        <f>NA()</f>
        <v>#N/A</v>
      </c>
      <c r="I387" s="51" t="str">
        <f>I26</f>
        <v>K</v>
      </c>
      <c r="J387" s="51" t="e">
        <f>J26</f>
        <v>#N/A</v>
      </c>
      <c r="K387" t="s">
        <v>238</v>
      </c>
      <c r="N387" s="85">
        <f>N22</f>
        <v>8</v>
      </c>
      <c r="O387" s="86" t="s">
        <v>208</v>
      </c>
      <c r="P387" s="254">
        <f>P22</f>
        <v>150</v>
      </c>
      <c r="Q387" t="s">
        <v>794</v>
      </c>
    </row>
    <row r="388" spans="1:24">
      <c r="H388" t="s">
        <v>795</v>
      </c>
      <c r="I388" t="s">
        <v>112</v>
      </c>
      <c r="J388">
        <f>T391</f>
        <v>500</v>
      </c>
      <c r="K388" t="s">
        <v>31</v>
      </c>
      <c r="N388" s="92" t="s">
        <v>218</v>
      </c>
      <c r="O388" s="35" t="e">
        <f>J383</f>
        <v>#N/A</v>
      </c>
      <c r="P388" s="29" t="s">
        <v>78</v>
      </c>
      <c r="Q388" t="s">
        <v>219</v>
      </c>
    </row>
    <row r="389" spans="1:24">
      <c r="H389" t="s">
        <v>796</v>
      </c>
      <c r="I389" t="s">
        <v>112</v>
      </c>
      <c r="J389" s="51">
        <f>T391/N19</f>
        <v>416.66666666666669</v>
      </c>
      <c r="K389" t="s">
        <v>31</v>
      </c>
      <c r="N389" s="96" t="s">
        <v>222</v>
      </c>
      <c r="O389" s="97" t="e">
        <f>IF(N387=0,0,TRUNC(O388/P387))</f>
        <v>#N/A</v>
      </c>
      <c r="P389" s="21" t="s">
        <v>223</v>
      </c>
    </row>
    <row r="390" spans="1:24" ht="15.75">
      <c r="H390" t="s">
        <v>259</v>
      </c>
      <c r="I390" t="s">
        <v>112</v>
      </c>
      <c r="J390" s="51" t="e">
        <f>N387^2/4*PI()*O389+J387^2/4*PI()*H387</f>
        <v>#N/A</v>
      </c>
      <c r="K390" t="s">
        <v>105</v>
      </c>
      <c r="N390" s="68" t="e">
        <f>IF(J387&lt;N387,"d for længdearm. skal min. være som d for svejst net"," ")</f>
        <v>#N/A</v>
      </c>
    </row>
    <row r="391" spans="1:24">
      <c r="A391" s="19" t="s">
        <v>797</v>
      </c>
      <c r="G391" t="s">
        <v>798</v>
      </c>
      <c r="H391" t="s">
        <v>650</v>
      </c>
      <c r="J391" s="51" t="e">
        <f>IF(H387&gt;0,MAXA(R413,T413),T413)</f>
        <v>#N/A</v>
      </c>
      <c r="K391" t="s">
        <v>78</v>
      </c>
      <c r="S391">
        <f>CODE(I387)</f>
        <v>75</v>
      </c>
      <c r="T391">
        <f>HLOOKUP(S391,AA310:AZ320,6)</f>
        <v>500</v>
      </c>
      <c r="U391" t="s">
        <v>239</v>
      </c>
    </row>
    <row r="392" spans="1:24" ht="15.75">
      <c r="A392" s="19" t="s">
        <v>799</v>
      </c>
      <c r="C392" s="46" t="s">
        <v>618</v>
      </c>
      <c r="G392" t="s">
        <v>800</v>
      </c>
      <c r="H392" s="63" t="e">
        <f>NA()</f>
        <v>#N/A</v>
      </c>
      <c r="I392" s="107" t="s">
        <v>192</v>
      </c>
      <c r="J392" s="63" t="e">
        <f>NA()</f>
        <v>#N/A</v>
      </c>
      <c r="K392" t="s">
        <v>238</v>
      </c>
      <c r="N392" s="68" t="e">
        <f>IF(Q395*Q394&gt;J390*J389,"Asxfyd U.bjl.&gt;Asxfyd Længdearmering! Ikke tilladt"," ")</f>
        <v>#N/A</v>
      </c>
    </row>
    <row r="393" spans="1:24" ht="15.75">
      <c r="A393" s="107" t="e">
        <f>SUM(N9:N11)</f>
        <v>#N/A</v>
      </c>
      <c r="B393" t="s">
        <v>78</v>
      </c>
      <c r="G393" s="114" t="e">
        <f>IF(H392=0,"udskriver figur uden U-bøjler"," ")</f>
        <v>#N/A</v>
      </c>
      <c r="H393" s="27"/>
      <c r="I393" s="27"/>
      <c r="J393" s="64" t="e">
        <f>4*J392</f>
        <v>#N/A</v>
      </c>
      <c r="K393" t="s">
        <v>801</v>
      </c>
      <c r="N393" s="68" t="e">
        <f>IF(J393&lt;3*J392,"Skal min. være 3 x d"," ")</f>
        <v>#N/A</v>
      </c>
    </row>
    <row r="394" spans="1:24">
      <c r="H394" s="203" t="s">
        <v>802</v>
      </c>
      <c r="I394" s="107" t="s">
        <v>192</v>
      </c>
      <c r="J394" s="106">
        <v>8</v>
      </c>
      <c r="K394" t="s">
        <v>691</v>
      </c>
      <c r="L394" t="e">
        <f>"red.fyd= "&amp;FIXED(N394,0,TRUE)&amp;" N/mm2"</f>
        <v>#N/A</v>
      </c>
      <c r="N394" s="88" t="e">
        <f>AD417</f>
        <v>#N/A</v>
      </c>
      <c r="O394">
        <f>CODE(I392)</f>
        <v>75</v>
      </c>
      <c r="P394" s="46" t="s">
        <v>803</v>
      </c>
      <c r="Q394" s="51">
        <f>HLOOKUP(O394,AA310:AZ320,6)/N19</f>
        <v>416.66666666666669</v>
      </c>
      <c r="R394" t="s">
        <v>31</v>
      </c>
    </row>
    <row r="395" spans="1:24">
      <c r="G395" t="s">
        <v>804</v>
      </c>
      <c r="H395" s="27"/>
      <c r="I395" s="27"/>
      <c r="J395" s="107" t="e">
        <f>NA()</f>
        <v>#N/A</v>
      </c>
      <c r="K395" t="s">
        <v>78</v>
      </c>
      <c r="M395" s="114" t="e">
        <f>IF(J381*10^3/(J383*J395)&gt;12,"For lille !"," ")</f>
        <v>#N/A</v>
      </c>
      <c r="P395" t="s">
        <v>805</v>
      </c>
      <c r="Q395" s="51" t="e">
        <f>(H392*J392^2/4)*PI()</f>
        <v>#N/A</v>
      </c>
      <c r="R395" t="s">
        <v>105</v>
      </c>
      <c r="W395">
        <f>Z407</f>
        <v>2.1</v>
      </c>
      <c r="X395" t="s">
        <v>806</v>
      </c>
    </row>
    <row r="396" spans="1:24" ht="15.75">
      <c r="G396" t="s">
        <v>807</v>
      </c>
      <c r="H396" s="27"/>
      <c r="I396" s="27"/>
      <c r="J396" s="107" t="e">
        <f>NA()</f>
        <v>#N/A</v>
      </c>
      <c r="K396" t="s">
        <v>808</v>
      </c>
      <c r="N396" s="165"/>
      <c r="W396" s="24" t="e">
        <f>J392^2/4*PI()*H392*AD417*10^-3</f>
        <v>#N/A</v>
      </c>
      <c r="X396" t="s">
        <v>809</v>
      </c>
    </row>
    <row r="397" spans="1:24" ht="15.75">
      <c r="C397" t="s">
        <v>810</v>
      </c>
      <c r="G397" t="e">
        <f>IF(J396&lt;-J395/2," ","forankringslængde")</f>
        <v>#N/A</v>
      </c>
      <c r="H397" t="e">
        <f>IF(J396&lt;-J395/2," ",IF(J396&gt;J395/2,+J396+J395/2,IF(AND(J396&lt;=J395/2,J396&gt;=-J395/2),J395/2+J396,0)))</f>
        <v>#N/A</v>
      </c>
      <c r="J397" t="e">
        <f>IF(J396&lt;-J395/2," ","mm")</f>
        <v>#N/A</v>
      </c>
      <c r="K397" t="e">
        <f>IF(J396&lt;-J395/2," ",IF(H397&gt;L397,"&gt;","&lt;"))</f>
        <v>#N/A</v>
      </c>
      <c r="L397" s="51" t="e">
        <f>IF(J396&lt;-J395/2," ",+R417)</f>
        <v>#N/A</v>
      </c>
      <c r="M397" t="e">
        <f>IF(J396&lt;-J395/2," ",IF(H397&gt;L397,"accept","forkast"))</f>
        <v>#N/A</v>
      </c>
      <c r="N397" s="165" t="e">
        <f>IF(M397="forkast","NB!"," ")</f>
        <v>#N/A</v>
      </c>
      <c r="P397" t="s">
        <v>811</v>
      </c>
      <c r="Q397" s="51" t="e">
        <f>0.9*J382</f>
        <v>#N/A</v>
      </c>
      <c r="R397" t="s">
        <v>78</v>
      </c>
      <c r="W397" s="24">
        <v>0</v>
      </c>
      <c r="X397" t="s">
        <v>812</v>
      </c>
    </row>
    <row r="398" spans="1:24">
      <c r="H398" t="s">
        <v>578</v>
      </c>
      <c r="L398" t="s">
        <v>423</v>
      </c>
      <c r="P398" t="s">
        <v>813</v>
      </c>
      <c r="Q398" s="24">
        <v>0</v>
      </c>
      <c r="R398" t="s">
        <v>439</v>
      </c>
      <c r="W398" s="24" t="e">
        <f>W396+W397</f>
        <v>#N/A</v>
      </c>
      <c r="X398" t="s">
        <v>814</v>
      </c>
    </row>
    <row r="399" spans="1:24" ht="15.75">
      <c r="G399" s="55" t="s">
        <v>815</v>
      </c>
      <c r="H399" s="24" t="e">
        <f>IF(J396&lt;-J395/2,+W402,IF(AND(J396&lt;=J395/2,J396&gt;=-J395/2),+J390*J389*10^-3*((J395/2+J396)/J391)+W402,J390*J389*10^-3*((J396-J395/2)/J391+J395/(J391*R429))+W402))</f>
        <v>#N/A</v>
      </c>
      <c r="J399" t="s">
        <v>439</v>
      </c>
      <c r="K399" t="e">
        <f>IF(H399&gt;L399,"&gt;","&lt;")</f>
        <v>#N/A</v>
      </c>
      <c r="L399" s="24" t="e">
        <f>Q400</f>
        <v>#N/A</v>
      </c>
      <c r="M399" t="e">
        <f>IF(H399&gt;L399,"accept","forkast")</f>
        <v>#N/A</v>
      </c>
      <c r="N399" s="165" t="e">
        <f>IF(M399="forkast","NB!"," ")</f>
        <v>#N/A</v>
      </c>
      <c r="P399" t="s">
        <v>816</v>
      </c>
      <c r="Q399" s="24">
        <v>0</v>
      </c>
      <c r="R399" t="s">
        <v>439</v>
      </c>
      <c r="W399" s="24" t="e">
        <f>Q395*Q394*10^-3</f>
        <v>#N/A</v>
      </c>
      <c r="X399" t="s">
        <v>817</v>
      </c>
    </row>
    <row r="400" spans="1:24" ht="15.75">
      <c r="G400" s="55" t="s">
        <v>583</v>
      </c>
      <c r="H400" s="24" t="e">
        <f>MAXA(S384:S385)</f>
        <v>#N/A</v>
      </c>
      <c r="J400" t="s">
        <v>439</v>
      </c>
      <c r="K400" t="e">
        <f>IF(H400&gt;L400,"&gt;","&lt;")</f>
        <v>#N/A</v>
      </c>
      <c r="L400" s="24" t="e">
        <f>J381</f>
        <v>#N/A</v>
      </c>
      <c r="M400" t="e">
        <f>IF(H400&gt;L400,"accept","forkast")</f>
        <v>#N/A</v>
      </c>
      <c r="N400" s="165" t="e">
        <f>IF(M400="forkast","NB!"," ")</f>
        <v>#N/A</v>
      </c>
      <c r="O400" t="s">
        <v>818</v>
      </c>
      <c r="Q400" s="24" t="e">
        <f>IF(Q401&gt;J381,J381,IF(Q401&lt;J381/2,J381/2,Q401))</f>
        <v>#N/A</v>
      </c>
      <c r="R400" t="s">
        <v>439</v>
      </c>
      <c r="W400" s="24" t="e">
        <f>MINA(W398:W399)</f>
        <v>#N/A</v>
      </c>
      <c r="X400" t="s">
        <v>819</v>
      </c>
    </row>
    <row r="401" spans="2:30">
      <c r="Q401" s="24" t="e">
        <f>(J381*(Q397+J395/2)-Q399*Q397/2)/Q397</f>
        <v>#N/A</v>
      </c>
      <c r="R401" t="s">
        <v>439</v>
      </c>
      <c r="W401" s="24" t="e">
        <f>J390*J389*10^-3</f>
        <v>#N/A</v>
      </c>
      <c r="X401" t="s">
        <v>820</v>
      </c>
    </row>
    <row r="402" spans="2:30" ht="15.75">
      <c r="G402" s="165" t="str">
        <f>IF(N387&gt;0,"Svejst net skal føres ud i knast. Skal fremgå tydeligt af tegning"," ")</f>
        <v>Svejst net skal føres ud i knast. Skal fremgå tydeligt af tegning</v>
      </c>
      <c r="S402" s="46"/>
      <c r="W402" s="49" t="e">
        <f>IF(W400&lt;W401,W400,W401)</f>
        <v>#N/A</v>
      </c>
      <c r="X402" t="s">
        <v>821</v>
      </c>
    </row>
    <row r="403" spans="2:30" ht="15.75">
      <c r="G403" s="165" t="e">
        <f>IF(AND(J396&gt;-J395/2,H387&gt;0),"Hovedarmering skal føres ud i 'knast', hvilket skal fremgå tydeligt af tegning"," ")</f>
        <v>#N/A</v>
      </c>
    </row>
    <row r="404" spans="2:30" ht="15.75">
      <c r="O404" s="285" t="s">
        <v>625</v>
      </c>
      <c r="P404" s="3"/>
      <c r="Q404" s="3"/>
      <c r="R404" s="3" t="s">
        <v>626</v>
      </c>
      <c r="S404" s="3"/>
      <c r="T404" s="7" t="s">
        <v>627</v>
      </c>
    </row>
    <row r="405" spans="2:30">
      <c r="O405" s="26" t="s">
        <v>632</v>
      </c>
      <c r="Q405" t="s">
        <v>633</v>
      </c>
      <c r="R405" t="e">
        <f>J387</f>
        <v>#N/A</v>
      </c>
      <c r="S405" t="s">
        <v>78</v>
      </c>
      <c r="T405" s="29">
        <f>IF(N387=0,8,N387)</f>
        <v>8</v>
      </c>
    </row>
    <row r="406" spans="2:30">
      <c r="O406" s="26"/>
      <c r="T406" s="29"/>
      <c r="W406" t="s">
        <v>822</v>
      </c>
    </row>
    <row r="407" spans="2:30">
      <c r="O407" s="26" t="s">
        <v>636</v>
      </c>
      <c r="Q407" t="s">
        <v>254</v>
      </c>
      <c r="R407" s="51">
        <f>J389</f>
        <v>416.66666666666669</v>
      </c>
      <c r="S407" t="s">
        <v>31</v>
      </c>
      <c r="T407" s="286">
        <f>R407</f>
        <v>416.66666666666669</v>
      </c>
      <c r="W407" s="46" t="s">
        <v>774</v>
      </c>
      <c r="X407" s="24">
        <f>J23</f>
        <v>21.428571428571431</v>
      </c>
      <c r="Y407" t="s">
        <v>31</v>
      </c>
      <c r="Z407" s="107">
        <v>2.1</v>
      </c>
      <c r="AA407" t="s">
        <v>775</v>
      </c>
    </row>
    <row r="408" spans="2:30">
      <c r="O408" s="26" t="s">
        <v>637</v>
      </c>
      <c r="Q408" t="s">
        <v>638</v>
      </c>
      <c r="R408" s="49">
        <f>J24*0.7</f>
        <v>2.0275277076718221</v>
      </c>
      <c r="S408" t="s">
        <v>31</v>
      </c>
      <c r="T408" s="287">
        <f>R408</f>
        <v>2.0275277076718221</v>
      </c>
      <c r="W408" s="46" t="s">
        <v>777</v>
      </c>
      <c r="X408">
        <f>N19</f>
        <v>1.2</v>
      </c>
      <c r="Y408" t="s">
        <v>778</v>
      </c>
    </row>
    <row r="409" spans="2:30">
      <c r="O409" s="26" t="s">
        <v>639</v>
      </c>
      <c r="R409" s="49">
        <f>N18</f>
        <v>1.6</v>
      </c>
      <c r="T409" s="287">
        <f>R409</f>
        <v>1.6</v>
      </c>
      <c r="W409" s="46" t="s">
        <v>780</v>
      </c>
      <c r="X409" s="46" t="str">
        <f>I392</f>
        <v>K</v>
      </c>
      <c r="Y409" s="46" t="e">
        <f>J392</f>
        <v>#N/A</v>
      </c>
      <c r="Z409" t="s">
        <v>781</v>
      </c>
      <c r="AA409" s="46">
        <f>CODE(X409)</f>
        <v>75</v>
      </c>
      <c r="AB409">
        <f>HLOOKUP(AA409,AA310:AZ320,6)</f>
        <v>500</v>
      </c>
      <c r="AC409" t="s">
        <v>782</v>
      </c>
    </row>
    <row r="410" spans="2:30">
      <c r="B410" t="str">
        <f>B380</f>
        <v>FAST VEDERLAG</v>
      </c>
      <c r="O410" s="26" t="s">
        <v>637</v>
      </c>
      <c r="Q410" t="s">
        <v>640</v>
      </c>
      <c r="R410" s="49">
        <f>R18*R408/R409</f>
        <v>1.2672048172948887</v>
      </c>
      <c r="S410" t="s">
        <v>31</v>
      </c>
      <c r="T410" s="287">
        <f>T408/T409</f>
        <v>1.2672048172948887</v>
      </c>
      <c r="X410" s="46" t="s">
        <v>783</v>
      </c>
      <c r="Y410" s="51">
        <f>AB409/X408</f>
        <v>416.66666666666669</v>
      </c>
      <c r="Z410" t="s">
        <v>31</v>
      </c>
    </row>
    <row r="411" spans="2:30">
      <c r="G411" t="str">
        <f t="shared" ref="G411:K414" si="36">G381</f>
        <v>max. reaktion</v>
      </c>
      <c r="H411" t="e">
        <f t="shared" si="36"/>
        <v>#N/A</v>
      </c>
      <c r="I411" t="str">
        <f t="shared" si="36"/>
        <v>=</v>
      </c>
      <c r="J411" s="24" t="e">
        <f t="shared" si="36"/>
        <v>#N/A</v>
      </c>
      <c r="K411" t="str">
        <f t="shared" si="36"/>
        <v>kN jævnt fordelt på b</v>
      </c>
      <c r="O411" s="26" t="s">
        <v>643</v>
      </c>
      <c r="Q411" t="s">
        <v>644</v>
      </c>
      <c r="R411" s="49">
        <f>2.25*R410</f>
        <v>2.8512108389134996</v>
      </c>
      <c r="S411" t="s">
        <v>31</v>
      </c>
      <c r="T411" s="287">
        <f>2.25*T410</f>
        <v>2.8512108389134996</v>
      </c>
      <c r="X411" s="46" t="s">
        <v>784</v>
      </c>
      <c r="Y411" s="107" t="e">
        <f>J393</f>
        <v>#N/A</v>
      </c>
      <c r="Z411" t="s">
        <v>78</v>
      </c>
    </row>
    <row r="412" spans="2:30">
      <c r="G412" t="str">
        <f t="shared" si="36"/>
        <v>effektiv højde</v>
      </c>
      <c r="H412" t="str">
        <f t="shared" si="36"/>
        <v>d</v>
      </c>
      <c r="I412" t="str">
        <f t="shared" si="36"/>
        <v>=</v>
      </c>
      <c r="J412" s="51" t="e">
        <f t="shared" si="36"/>
        <v>#N/A</v>
      </c>
      <c r="K412" t="str">
        <f t="shared" si="36"/>
        <v>mm</v>
      </c>
      <c r="O412" s="26" t="s">
        <v>646</v>
      </c>
      <c r="Q412" t="s">
        <v>647</v>
      </c>
      <c r="R412" s="24">
        <f>R407/(4*R411)</f>
        <v>36.534185843078895</v>
      </c>
      <c r="T412" s="288">
        <f>T407/(4*T411)</f>
        <v>36.534185843078895</v>
      </c>
      <c r="W412" s="46" t="s">
        <v>785</v>
      </c>
      <c r="X412" s="46" t="str">
        <f>I394</f>
        <v>K</v>
      </c>
      <c r="Y412" s="46">
        <f>J394</f>
        <v>8</v>
      </c>
      <c r="Z412" t="s">
        <v>781</v>
      </c>
      <c r="AA412" s="46">
        <f>CODE(X412)</f>
        <v>75</v>
      </c>
      <c r="AB412">
        <f>HLOOKUP(AA412,AA310:AZ320,6)</f>
        <v>500</v>
      </c>
      <c r="AC412" t="s">
        <v>782</v>
      </c>
    </row>
    <row r="413" spans="2:30">
      <c r="G413" t="str">
        <f t="shared" si="36"/>
        <v>vederlagsbredde</v>
      </c>
      <c r="H413" t="str">
        <f t="shared" si="36"/>
        <v>b</v>
      </c>
      <c r="I413" t="str">
        <f t="shared" si="36"/>
        <v>=</v>
      </c>
      <c r="J413" s="51" t="e">
        <f t="shared" si="36"/>
        <v>#N/A</v>
      </c>
      <c r="K413" t="str">
        <f t="shared" si="36"/>
        <v>mm</v>
      </c>
      <c r="O413" s="26" t="s">
        <v>649</v>
      </c>
      <c r="Q413" t="s">
        <v>650</v>
      </c>
      <c r="R413" s="51" t="e">
        <f>R412*R405</f>
        <v>#N/A</v>
      </c>
      <c r="S413" t="s">
        <v>78</v>
      </c>
      <c r="T413" s="286">
        <f>T412*T405</f>
        <v>292.27348674463116</v>
      </c>
      <c r="X413" s="46" t="s">
        <v>783</v>
      </c>
      <c r="Y413" s="51">
        <f>AB412/X408</f>
        <v>416.66666666666669</v>
      </c>
      <c r="Z413" t="s">
        <v>31</v>
      </c>
    </row>
    <row r="414" spans="2:30">
      <c r="G414" t="str">
        <f t="shared" si="36"/>
        <v>betonstyrke</v>
      </c>
      <c r="H414" t="str">
        <f t="shared" si="36"/>
        <v>f ck</v>
      </c>
      <c r="I414" t="str">
        <f t="shared" si="36"/>
        <v>=</v>
      </c>
      <c r="J414" s="51">
        <f t="shared" si="36"/>
        <v>30</v>
      </c>
      <c r="K414" t="str">
        <f t="shared" si="36"/>
        <v>N/mm2</v>
      </c>
      <c r="O414" s="26" t="s">
        <v>823</v>
      </c>
      <c r="Q414" t="s">
        <v>824</v>
      </c>
      <c r="R414" s="51" t="e">
        <f>0.3*R413</f>
        <v>#N/A</v>
      </c>
      <c r="S414" t="s">
        <v>78</v>
      </c>
      <c r="T414" s="286">
        <f>0.3*T413</f>
        <v>87.682046023389347</v>
      </c>
      <c r="X414" s="46" t="s">
        <v>786</v>
      </c>
      <c r="Y414" s="51">
        <f>Y412^3/6</f>
        <v>85.333333333333329</v>
      </c>
      <c r="Z414" t="s">
        <v>105</v>
      </c>
    </row>
    <row r="415" spans="2:30">
      <c r="H415" t="str">
        <f>H385</f>
        <v>f cd</v>
      </c>
      <c r="I415" t="str">
        <f>I385</f>
        <v>=</v>
      </c>
      <c r="J415" s="24">
        <f>J385</f>
        <v>21.428571428571431</v>
      </c>
      <c r="K415" t="str">
        <f>K385</f>
        <v>N/mm2</v>
      </c>
      <c r="O415" s="26" t="s">
        <v>823</v>
      </c>
      <c r="Q415" t="s">
        <v>825</v>
      </c>
      <c r="R415" s="51" t="e">
        <f>10*R405</f>
        <v>#N/A</v>
      </c>
      <c r="S415" t="s">
        <v>78</v>
      </c>
      <c r="T415" s="286">
        <f>10*T405</f>
        <v>80</v>
      </c>
      <c r="W415" s="46" t="s">
        <v>787</v>
      </c>
      <c r="X415" s="24">
        <f>SQRT(Y413*Y414/(0.5*Y412*Z407*X407))*2</f>
        <v>28.10913475705226</v>
      </c>
      <c r="Y415" t="s">
        <v>788</v>
      </c>
      <c r="Z415" s="51">
        <f>X415/2*Z407*X407*Y412</f>
        <v>5059.6442562694074</v>
      </c>
      <c r="AA415" t="s">
        <v>789</v>
      </c>
      <c r="AC415" s="51">
        <f>3*Z415^2/(4*Y412*Y413)</f>
        <v>5760.0000000000009</v>
      </c>
      <c r="AD415" t="s">
        <v>565</v>
      </c>
    </row>
    <row r="416" spans="2:30">
      <c r="G416" t="str">
        <f>G386</f>
        <v>hovedarmering</v>
      </c>
      <c r="H416" t="str">
        <f>H386</f>
        <v xml:space="preserve">     8 mm pr</v>
      </c>
      <c r="J416">
        <f t="shared" ref="J416:K421" si="37">J386</f>
        <v>150</v>
      </c>
      <c r="K416" t="str">
        <f t="shared" si="37"/>
        <v>svejst net</v>
      </c>
      <c r="O416" s="26" t="s">
        <v>823</v>
      </c>
      <c r="Q416" t="s">
        <v>826</v>
      </c>
      <c r="R416" s="51">
        <v>100</v>
      </c>
      <c r="S416" t="s">
        <v>78</v>
      </c>
      <c r="T416" s="286">
        <v>100</v>
      </c>
      <c r="W416" s="46" t="s">
        <v>790</v>
      </c>
      <c r="X416">
        <f>0.5*Z407*X407*Y412*(X415/2)^2</f>
        <v>35555.555555555562</v>
      </c>
      <c r="Y416" t="s">
        <v>791</v>
      </c>
      <c r="AA416" s="51"/>
    </row>
    <row r="417" spans="1:79">
      <c r="G417" s="46" t="str">
        <f>IF(N287=0," ","suppleret med")</f>
        <v xml:space="preserve"> </v>
      </c>
      <c r="H417" t="e">
        <f t="shared" ref="H417:I420" si="38">H387</f>
        <v>#N/A</v>
      </c>
      <c r="I417" t="str">
        <f t="shared" si="38"/>
        <v>K</v>
      </c>
      <c r="J417" t="e">
        <f t="shared" si="37"/>
        <v>#N/A</v>
      </c>
      <c r="K417" t="str">
        <f t="shared" si="37"/>
        <v>stk,type,diameter</v>
      </c>
      <c r="O417" s="26" t="s">
        <v>827</v>
      </c>
      <c r="Q417" t="s">
        <v>828</v>
      </c>
      <c r="R417" s="51" t="e">
        <f>MAXA(R414:R416)</f>
        <v>#N/A</v>
      </c>
      <c r="S417" t="s">
        <v>78</v>
      </c>
      <c r="T417" s="286">
        <f>MAXA(T414:T416)</f>
        <v>100</v>
      </c>
      <c r="W417" s="46" t="s">
        <v>792</v>
      </c>
      <c r="X417" s="51" t="e">
        <f>(Y411*Y409+(X415-Y409)*Y412)*Z407*X407*COS(PI()/4)*X416/(X416+AC415)</f>
        <v>#N/A</v>
      </c>
      <c r="Y417" t="s">
        <v>48</v>
      </c>
      <c r="Z417" t="e">
        <f>IF(X417&gt;AA417,"&gt;Tflyd=","&lt;Tflyd")</f>
        <v>#N/A</v>
      </c>
      <c r="AA417" s="51" t="e">
        <f>Y409^2/4*PI()*Y410</f>
        <v>#N/A</v>
      </c>
      <c r="AB417" t="s">
        <v>48</v>
      </c>
      <c r="AC417" s="51" t="s">
        <v>793</v>
      </c>
      <c r="AD417" s="51" t="e">
        <f>IF(X417&gt;AA417,+Y410,+Y410*X417/AA417)</f>
        <v>#N/A</v>
      </c>
    </row>
    <row r="418" spans="1:79">
      <c r="H418" t="str">
        <f t="shared" si="38"/>
        <v>f  yk</v>
      </c>
      <c r="I418" t="str">
        <f t="shared" si="38"/>
        <v>=</v>
      </c>
      <c r="J418">
        <f t="shared" si="37"/>
        <v>500</v>
      </c>
      <c r="K418" t="str">
        <f t="shared" si="37"/>
        <v>N/mm2</v>
      </c>
      <c r="O418" s="26"/>
      <c r="T418" s="29"/>
    </row>
    <row r="419" spans="1:79">
      <c r="H419" t="str">
        <f t="shared" si="38"/>
        <v>f  yd</v>
      </c>
      <c r="I419" t="str">
        <f t="shared" si="38"/>
        <v>=</v>
      </c>
      <c r="J419" s="51">
        <f t="shared" si="37"/>
        <v>416.66666666666669</v>
      </c>
      <c r="K419" t="str">
        <f t="shared" si="37"/>
        <v>N/mm2</v>
      </c>
      <c r="O419" s="26" t="s">
        <v>829</v>
      </c>
      <c r="Q419" t="s">
        <v>618</v>
      </c>
      <c r="R419" s="24" t="e">
        <f>J381</f>
        <v>#N/A</v>
      </c>
      <c r="S419" t="s">
        <v>439</v>
      </c>
      <c r="T419" s="288" t="e">
        <f>R419</f>
        <v>#N/A</v>
      </c>
    </row>
    <row r="420" spans="1:79" ht="15.75">
      <c r="H420" t="str">
        <f t="shared" si="38"/>
        <v>A s</v>
      </c>
      <c r="I420" t="str">
        <f t="shared" si="38"/>
        <v>=</v>
      </c>
      <c r="J420" s="51" t="e">
        <f t="shared" si="37"/>
        <v>#N/A</v>
      </c>
      <c r="K420" t="str">
        <f t="shared" si="37"/>
        <v>mm2</v>
      </c>
      <c r="O420" s="26" t="s">
        <v>603</v>
      </c>
      <c r="Q420" t="s">
        <v>144</v>
      </c>
      <c r="R420" s="51" t="e">
        <f>J383</f>
        <v>#N/A</v>
      </c>
      <c r="S420" t="s">
        <v>78</v>
      </c>
      <c r="T420" s="286" t="e">
        <f>R420</f>
        <v>#N/A</v>
      </c>
      <c r="W420" t="s">
        <v>830</v>
      </c>
      <c r="AD420" s="56"/>
    </row>
    <row r="421" spans="1:79">
      <c r="A421" s="19" t="s">
        <v>797</v>
      </c>
      <c r="G421" t="str">
        <f>G391</f>
        <v>basisforankr.lgd.</v>
      </c>
      <c r="H421" t="str">
        <f>H391</f>
        <v>l b,rqd</v>
      </c>
      <c r="J421" s="51" t="e">
        <f t="shared" si="37"/>
        <v>#N/A</v>
      </c>
      <c r="K421" t="str">
        <f t="shared" si="37"/>
        <v>mm</v>
      </c>
      <c r="O421" s="26" t="s">
        <v>804</v>
      </c>
      <c r="R421" s="51" t="e">
        <f>J395</f>
        <v>#N/A</v>
      </c>
      <c r="S421" t="s">
        <v>78</v>
      </c>
      <c r="T421" s="286" t="e">
        <f>R421</f>
        <v>#N/A</v>
      </c>
      <c r="W421" t="s">
        <v>831</v>
      </c>
    </row>
    <row r="422" spans="1:79">
      <c r="A422" s="19" t="s">
        <v>799</v>
      </c>
      <c r="C422" s="46" t="s">
        <v>618</v>
      </c>
      <c r="O422" s="26" t="s">
        <v>832</v>
      </c>
      <c r="Q422" t="s">
        <v>833</v>
      </c>
      <c r="R422" s="49" t="e">
        <f>R419*10^3/(R420*R421)</f>
        <v>#N/A</v>
      </c>
      <c r="S422" t="s">
        <v>31</v>
      </c>
      <c r="T422" s="287" t="e">
        <f>T419*10^3/(T420*T421)</f>
        <v>#N/A</v>
      </c>
      <c r="X422" t="s">
        <v>206</v>
      </c>
      <c r="AA422" s="46" t="s">
        <v>834</v>
      </c>
      <c r="AB422" s="51">
        <f>J22</f>
        <v>30</v>
      </c>
      <c r="AC422" t="s">
        <v>31</v>
      </c>
      <c r="AE422" s="255">
        <f>N17</f>
        <v>1.4</v>
      </c>
      <c r="AF422" s="3" t="s">
        <v>835</v>
      </c>
      <c r="AG422" s="3"/>
      <c r="AH422" s="7"/>
    </row>
    <row r="423" spans="1:79">
      <c r="A423" s="63" t="e">
        <f>A393</f>
        <v>#N/A</v>
      </c>
      <c r="B423" t="str">
        <f>B393</f>
        <v>mm</v>
      </c>
      <c r="G423" t="str">
        <f>G395</f>
        <v>vederlagsdybde</v>
      </c>
      <c r="J423" s="51" t="e">
        <f t="shared" ref="J423:K425" si="39">J395</f>
        <v>#N/A</v>
      </c>
      <c r="K423" t="str">
        <f t="shared" si="39"/>
        <v>mm</v>
      </c>
      <c r="M423" s="114"/>
      <c r="O423" s="26" t="s">
        <v>836</v>
      </c>
      <c r="Q423" t="s">
        <v>837</v>
      </c>
      <c r="R423" s="49" t="e">
        <f>IF(1-0.04*R422&gt;0.7,1-0.04*R422,0.7)</f>
        <v>#N/A</v>
      </c>
      <c r="T423" s="287" t="e">
        <f>IF(1-0.04*T422&gt;0.7,1-0.04*T422,0.7)</f>
        <v>#N/A</v>
      </c>
      <c r="AA423" s="46" t="s">
        <v>838</v>
      </c>
      <c r="AB423" s="49">
        <f>SQRT(0.1*AB422)</f>
        <v>1.7320508075688772</v>
      </c>
      <c r="AC423" t="s">
        <v>31</v>
      </c>
      <c r="AE423" s="256">
        <f>N19</f>
        <v>1.2</v>
      </c>
      <c r="AF423" s="12" t="s">
        <v>839</v>
      </c>
      <c r="AG423" s="12"/>
      <c r="AH423" s="21"/>
    </row>
    <row r="424" spans="1:79">
      <c r="G424" t="s">
        <v>807</v>
      </c>
      <c r="J424" s="51" t="e">
        <f t="shared" si="39"/>
        <v>#N/A</v>
      </c>
      <c r="K424" t="str">
        <f t="shared" si="39"/>
        <v>mm fra CL.vederlag</v>
      </c>
      <c r="O424" s="26"/>
      <c r="R424" s="49"/>
      <c r="T424" s="287"/>
      <c r="X424" t="s">
        <v>840</v>
      </c>
      <c r="Z424" s="46" t="e">
        <f>IF(H387=0,"Q",+I387)</f>
        <v>#N/A</v>
      </c>
      <c r="AA424" s="46" t="e">
        <f>CODE(Z424)</f>
        <v>#N/A</v>
      </c>
      <c r="AB424" t="e">
        <f>HLOOKUP(AA424,AA310:AZ320,6)</f>
        <v>#N/A</v>
      </c>
      <c r="AC424" t="s">
        <v>841</v>
      </c>
    </row>
    <row r="425" spans="1:79">
      <c r="C425" t="s">
        <v>810</v>
      </c>
      <c r="G425" t="e">
        <f>G397</f>
        <v>#N/A</v>
      </c>
      <c r="H425" t="e">
        <f>H397</f>
        <v>#N/A</v>
      </c>
      <c r="J425" t="e">
        <f t="shared" si="39"/>
        <v>#N/A</v>
      </c>
      <c r="K425" t="e">
        <f t="shared" si="39"/>
        <v>#N/A</v>
      </c>
      <c r="L425" s="51" t="e">
        <f>L397</f>
        <v>#N/A</v>
      </c>
      <c r="M425" t="e">
        <f>M397</f>
        <v>#N/A</v>
      </c>
      <c r="O425" s="26" t="s">
        <v>842</v>
      </c>
      <c r="Q425" t="s">
        <v>843</v>
      </c>
      <c r="R425" s="51" t="e">
        <f>A393</f>
        <v>#N/A</v>
      </c>
      <c r="S425" t="s">
        <v>78</v>
      </c>
      <c r="T425" s="286" t="e">
        <f>R425</f>
        <v>#N/A</v>
      </c>
      <c r="Y425" t="s">
        <v>844</v>
      </c>
      <c r="AA425" s="46" t="s">
        <v>845</v>
      </c>
      <c r="AB425" t="e">
        <f>IF(H387=0,+N387,+J387)</f>
        <v>#N/A</v>
      </c>
      <c r="AC425" t="s">
        <v>78</v>
      </c>
    </row>
    <row r="426" spans="1:79">
      <c r="H426" t="str">
        <f>H398</f>
        <v>bæreevne</v>
      </c>
      <c r="L426" t="str">
        <f>L398</f>
        <v xml:space="preserve"> snitkraft</v>
      </c>
      <c r="O426" s="26" t="s">
        <v>846</v>
      </c>
      <c r="Q426" t="s">
        <v>847</v>
      </c>
      <c r="R426" s="49" t="e">
        <f>IF(1-0.15*(R425-R405)/R405&gt;0.7,1-0.15*(R425-R405)/R405,0.7)</f>
        <v>#N/A</v>
      </c>
      <c r="T426" s="287" t="e">
        <f>IF(1-0.15*(T425-T405)/T405&gt;0.7,1-0.15*(T425-T405)/T405,0.7)</f>
        <v>#N/A</v>
      </c>
      <c r="Y426" t="s">
        <v>848</v>
      </c>
      <c r="AA426" s="46" t="s">
        <v>849</v>
      </c>
      <c r="AB426" s="24" t="e">
        <f>HLOOKUP(AA424,AA310:AZ320,11)</f>
        <v>#N/A</v>
      </c>
      <c r="CA426" s="24" t="e">
        <f>L68-H68</f>
        <v>#N/A</v>
      </c>
    </row>
    <row r="427" spans="1:79">
      <c r="G427" t="str">
        <f>G399</f>
        <v>forankring</v>
      </c>
      <c r="H427" s="24" t="e">
        <f>H399</f>
        <v>#N/A</v>
      </c>
      <c r="J427" t="str">
        <f>J399</f>
        <v>kN</v>
      </c>
      <c r="K427" t="e">
        <f>K399</f>
        <v>#N/A</v>
      </c>
      <c r="L427" s="24" t="e">
        <f>L399</f>
        <v>#N/A</v>
      </c>
      <c r="M427" t="e">
        <f>M399</f>
        <v>#N/A</v>
      </c>
      <c r="O427" s="26"/>
      <c r="T427" s="29"/>
      <c r="X427" t="s">
        <v>850</v>
      </c>
      <c r="Z427" s="46" t="e">
        <f>Z424</f>
        <v>#N/A</v>
      </c>
      <c r="AA427" s="46" t="e">
        <f>CODE(Z427)</f>
        <v>#N/A</v>
      </c>
      <c r="AB427" t="e">
        <f>HLOOKUP(AA427,AA310:AZ320,6)</f>
        <v>#N/A</v>
      </c>
      <c r="AC427" t="s">
        <v>841</v>
      </c>
    </row>
    <row r="428" spans="1:79">
      <c r="G428" t="str">
        <f>G400</f>
        <v>forskydning V Rd,c</v>
      </c>
      <c r="H428" s="24" t="e">
        <f>H400</f>
        <v>#N/A</v>
      </c>
      <c r="J428" t="str">
        <f>J400</f>
        <v>kN</v>
      </c>
      <c r="K428" t="e">
        <f>K400</f>
        <v>#N/A</v>
      </c>
      <c r="L428" s="24" t="e">
        <f>L400</f>
        <v>#N/A</v>
      </c>
      <c r="M428" t="e">
        <f>M400</f>
        <v>#N/A</v>
      </c>
      <c r="O428" s="26" t="s">
        <v>851</v>
      </c>
      <c r="R428" s="49" t="e">
        <f>(R423*0.7+R426*(1+0.7)/2)/(R423+R426)</f>
        <v>#N/A</v>
      </c>
      <c r="T428" s="287" t="e">
        <f>(T423*0.7+T426*(1+0.7)/2)/(T423+T426)</f>
        <v>#N/A</v>
      </c>
      <c r="Y428" t="s">
        <v>844</v>
      </c>
      <c r="AA428" s="46" t="s">
        <v>852</v>
      </c>
      <c r="AB428" s="257">
        <v>8</v>
      </c>
      <c r="AC428" t="s">
        <v>78</v>
      </c>
    </row>
    <row r="429" spans="1:79">
      <c r="O429" s="9" t="s">
        <v>853</v>
      </c>
      <c r="P429" s="12"/>
      <c r="Q429" s="12" t="s">
        <v>854</v>
      </c>
      <c r="R429" s="260" t="e">
        <f>IF(R423*R426&gt;R428,R423*(1+R426)/2,R428)</f>
        <v>#N/A</v>
      </c>
      <c r="S429" s="12"/>
      <c r="T429" s="289" t="e">
        <f>IF(T423*T426&gt;T428,T423*(1+T426)/2,T428)</f>
        <v>#N/A</v>
      </c>
      <c r="Y429" t="s">
        <v>855</v>
      </c>
      <c r="AB429" s="51" t="e">
        <f>55*AB428^2/AB425</f>
        <v>#N/A</v>
      </c>
      <c r="AC429" t="s">
        <v>78</v>
      </c>
      <c r="AE429" s="1" t="s">
        <v>856</v>
      </c>
      <c r="AF429" s="3"/>
      <c r="AG429" s="3"/>
      <c r="AH429" s="3"/>
      <c r="AI429" s="7"/>
      <c r="CA429" s="24" t="e">
        <f>J73-H73</f>
        <v>#N/A</v>
      </c>
    </row>
    <row r="430" spans="1:79">
      <c r="AE430" s="26"/>
      <c r="AG430" s="46" t="s">
        <v>857</v>
      </c>
      <c r="AH430" s="51">
        <v>0</v>
      </c>
      <c r="AI430" s="29" t="s">
        <v>858</v>
      </c>
      <c r="AJ430" t="s">
        <v>859</v>
      </c>
    </row>
    <row r="431" spans="1:79">
      <c r="X431" t="s">
        <v>860</v>
      </c>
      <c r="AA431" s="46" t="s">
        <v>861</v>
      </c>
      <c r="AB431" s="24">
        <v>1</v>
      </c>
      <c r="AC431" s="258"/>
      <c r="AE431" s="26"/>
      <c r="AG431" s="46" t="s">
        <v>862</v>
      </c>
      <c r="AH431" s="51" t="e">
        <f>NA()</f>
        <v>#N/A</v>
      </c>
      <c r="AI431" s="29" t="s">
        <v>858</v>
      </c>
      <c r="AJ431" t="s">
        <v>863</v>
      </c>
    </row>
    <row r="432" spans="1:79">
      <c r="X432" t="s">
        <v>864</v>
      </c>
      <c r="AA432" s="46" t="s">
        <v>865</v>
      </c>
      <c r="AB432" s="49" t="e">
        <f>IF(AND(AG437=0,AC432&gt;12),12,IF(AND(AG437&gt;0,AC432&gt;3),3,+AC432))</f>
        <v>#N/A</v>
      </c>
      <c r="AC432" s="113" t="e">
        <f>J383/(O389+H387+H392)/AB425</f>
        <v>#N/A</v>
      </c>
      <c r="AE432" s="9"/>
      <c r="AF432" s="12"/>
      <c r="AG432" s="157" t="s">
        <v>866</v>
      </c>
      <c r="AH432" s="158" t="e">
        <f>IF(H387=0,+O389,+H387)</f>
        <v>#N/A</v>
      </c>
      <c r="AI432" s="21" t="s">
        <v>858</v>
      </c>
    </row>
    <row r="433" spans="24:36">
      <c r="X433" t="s">
        <v>867</v>
      </c>
      <c r="AA433" s="46" t="s">
        <v>868</v>
      </c>
      <c r="AB433" s="49" t="e">
        <f>IF(AC433&gt;6,6,+AC433)</f>
        <v>#N/A</v>
      </c>
      <c r="AC433" s="113" t="e">
        <f>(N9+AB425/2)/AB425</f>
        <v>#N/A</v>
      </c>
    </row>
    <row r="434" spans="24:36">
      <c r="X434" t="s">
        <v>869</v>
      </c>
      <c r="AA434" s="46" t="s">
        <v>870</v>
      </c>
      <c r="AB434" s="49">
        <f>IF(AC434&gt;1.3*AB422/AB423,1.3*AB422/AB423,+AC434)</f>
        <v>0</v>
      </c>
      <c r="AC434" s="49">
        <f>IF(AH430=0,0,+AH430/10*(AH431/AH432)*(AB428/AB425)^2*AB427/AE423/AB423)</f>
        <v>0</v>
      </c>
      <c r="AE434" s="1" t="s">
        <v>871</v>
      </c>
      <c r="AF434" s="3"/>
      <c r="AG434" s="3"/>
      <c r="AH434" s="3"/>
      <c r="AI434" s="7"/>
    </row>
    <row r="435" spans="24:36">
      <c r="X435" t="s">
        <v>872</v>
      </c>
      <c r="AA435" s="46" t="s">
        <v>873</v>
      </c>
      <c r="AB435" s="49">
        <f>IF(AG437=0,0,0.06*AG435/AB425*AB432*AG438/AB423)</f>
        <v>0</v>
      </c>
      <c r="AC435" s="149"/>
      <c r="AE435" s="26"/>
      <c r="AF435" s="46" t="s">
        <v>874</v>
      </c>
      <c r="AG435" s="51" t="e">
        <f>J395</f>
        <v>#N/A</v>
      </c>
      <c r="AH435" t="s">
        <v>78</v>
      </c>
      <c r="AI435" s="29"/>
    </row>
    <row r="436" spans="24:36">
      <c r="X436" t="s">
        <v>875</v>
      </c>
      <c r="AA436" s="46"/>
      <c r="AE436" s="26"/>
      <c r="AF436" s="46" t="s">
        <v>876</v>
      </c>
      <c r="AG436" s="51" t="e">
        <f>J383</f>
        <v>#N/A</v>
      </c>
      <c r="AH436" t="s">
        <v>78</v>
      </c>
      <c r="AI436" s="29"/>
    </row>
    <row r="437" spans="24:36">
      <c r="X437" s="24" t="e">
        <f>"60/"&amp;FIXED(AB426,0,TRUE)&amp;"*"&amp;FIXED(AE423,2,TRUE)&amp;"/"&amp;FIXED(AE422,2,TRUE)&amp;"*"&amp;FIXED(AB423,2,TRUE)&amp;"^2/"&amp;FIXED(AB424,0,TRUE)&amp;"*("&amp;FIXED(AB432,2,TRUE)&amp;"*"&amp;FIXED(AB433,2,TRUE)&amp;"+"&amp;FIXED(AB434,2,TRUE)&amp;"+"&amp;FIXED(AB435,2,TRUE)&amp;")="</f>
        <v>#N/A</v>
      </c>
      <c r="AB437" s="49" t="e">
        <f>60/AB426*AE423/AE422*AB423^2/AB424*(AB432*AB433+AB434+AB435)</f>
        <v>#N/A</v>
      </c>
      <c r="AC437" t="s">
        <v>31</v>
      </c>
      <c r="AE437" s="26"/>
      <c r="AF437" s="46" t="s">
        <v>877</v>
      </c>
      <c r="AG437" s="259">
        <v>0</v>
      </c>
      <c r="AH437" t="s">
        <v>439</v>
      </c>
      <c r="AI437" s="29"/>
      <c r="AJ437" t="s">
        <v>878</v>
      </c>
    </row>
    <row r="438" spans="24:36">
      <c r="X438" t="s">
        <v>879</v>
      </c>
      <c r="AA438" s="46"/>
      <c r="AB438" s="51" t="e">
        <f>AB424/AE423*AB425/(4*AB437)</f>
        <v>#N/A</v>
      </c>
      <c r="AC438" t="s">
        <v>78</v>
      </c>
      <c r="AE438" s="9"/>
      <c r="AF438" s="157" t="s">
        <v>880</v>
      </c>
      <c r="AG438" s="260">
        <f>IF(AH438&gt;0.7*AB422/AE422,0.7*AB422/AE422,+AH438)</f>
        <v>0</v>
      </c>
      <c r="AH438" s="260">
        <f>IF(AG437=0,0,+AG437*10^3/(AG435*AG436))</f>
        <v>0</v>
      </c>
      <c r="AI438" s="21" t="s">
        <v>31</v>
      </c>
      <c r="AJ438" t="s">
        <v>863</v>
      </c>
    </row>
    <row r="439" spans="24:36">
      <c r="Y439" t="s">
        <v>881</v>
      </c>
      <c r="AB439" s="51" t="e">
        <f>IF(10*AB425*AB431*AB426&gt;100*AB431,10*AB425*AB431*AB426,100*AB431)</f>
        <v>#N/A</v>
      </c>
      <c r="AC439" t="s">
        <v>78</v>
      </c>
    </row>
    <row r="440" spans="24:36">
      <c r="Y440" t="s">
        <v>882</v>
      </c>
      <c r="AB440" s="51" t="e">
        <f>MAXA(AB438:AB439)</f>
        <v>#N/A</v>
      </c>
      <c r="AC440" t="s">
        <v>78</v>
      </c>
    </row>
    <row r="445" spans="24:36">
      <c r="AC445" s="113" t="e">
        <f>J396/(O402+H400+H207)/AB438</f>
        <v>#N/A</v>
      </c>
      <c r="AD445" t="s">
        <v>883</v>
      </c>
    </row>
    <row r="446" spans="24:36">
      <c r="AC446" s="113" t="e">
        <f>(N23+AB439/2)/AB439</f>
        <v>#VALUE!</v>
      </c>
      <c r="AD446" t="s">
        <v>884</v>
      </c>
    </row>
    <row r="472" spans="2:12">
      <c r="B472" t="s">
        <v>885</v>
      </c>
    </row>
    <row r="474" spans="2:12">
      <c r="G474" t="s">
        <v>560</v>
      </c>
      <c r="H474" s="51" t="e">
        <f>H119</f>
        <v>#N/A</v>
      </c>
      <c r="J474" t="s">
        <v>31</v>
      </c>
      <c r="K474" t="e">
        <f>K119</f>
        <v>#N/A</v>
      </c>
      <c r="L474" s="51">
        <f>L119</f>
        <v>295.45454545454544</v>
      </c>
    </row>
    <row r="475" spans="2:12" ht="19.5">
      <c r="G475" s="55" t="s">
        <v>886</v>
      </c>
      <c r="J475" s="51" t="e">
        <f>H474/L474*100</f>
        <v>#N/A</v>
      </c>
      <c r="K475" t="s">
        <v>887</v>
      </c>
      <c r="L475" s="261" t="e">
        <f>IF(J475&gt;100,"fejl"," ")</f>
        <v>#N/A</v>
      </c>
    </row>
    <row r="477" spans="2:12">
      <c r="D477" s="114"/>
    </row>
    <row r="482" spans="14:21">
      <c r="P482" s="88" t="s">
        <v>888</v>
      </c>
    </row>
    <row r="483" spans="14:21">
      <c r="N483" s="46" t="s">
        <v>889</v>
      </c>
      <c r="O483" s="46" t="s">
        <v>890</v>
      </c>
      <c r="P483" s="46" t="s">
        <v>891</v>
      </c>
    </row>
    <row r="484" spans="14:21">
      <c r="N484">
        <v>0</v>
      </c>
      <c r="O484" s="67">
        <v>1</v>
      </c>
      <c r="P484" s="49" t="e">
        <f>J475/100</f>
        <v>#N/A</v>
      </c>
      <c r="R484" t="e">
        <f t="shared" ref="R484:R497" si="40">P484-O484</f>
        <v>#N/A</v>
      </c>
      <c r="S484" t="e">
        <f t="shared" ref="S484:S497" si="41">IF(R484&gt;=0,1,0)</f>
        <v>#N/A</v>
      </c>
    </row>
    <row r="485" spans="14:21">
      <c r="N485">
        <v>20</v>
      </c>
      <c r="O485" s="67">
        <v>1</v>
      </c>
      <c r="P485" s="49" t="e">
        <f t="shared" ref="P485:P497" si="42">P484</f>
        <v>#N/A</v>
      </c>
      <c r="R485" t="e">
        <f t="shared" si="40"/>
        <v>#N/A</v>
      </c>
      <c r="S485" t="e">
        <f t="shared" si="41"/>
        <v>#N/A</v>
      </c>
      <c r="T485" t="e">
        <f t="shared" ref="T485:T497" si="43">IF(S485-S484=1,1,0)</f>
        <v>#N/A</v>
      </c>
      <c r="U485" t="e">
        <f t="shared" ref="U485:U497" si="44">IF(T485=1,+N485,0)</f>
        <v>#N/A</v>
      </c>
    </row>
    <row r="486" spans="14:21">
      <c r="N486">
        <v>100</v>
      </c>
      <c r="O486" s="67">
        <v>1</v>
      </c>
      <c r="P486" s="49" t="e">
        <f t="shared" si="42"/>
        <v>#N/A</v>
      </c>
      <c r="R486" t="e">
        <f t="shared" si="40"/>
        <v>#N/A</v>
      </c>
      <c r="S486" t="e">
        <f t="shared" si="41"/>
        <v>#N/A</v>
      </c>
      <c r="T486" t="e">
        <f t="shared" si="43"/>
        <v>#N/A</v>
      </c>
      <c r="U486" t="e">
        <f t="shared" si="44"/>
        <v>#N/A</v>
      </c>
    </row>
    <row r="487" spans="14:21">
      <c r="N487">
        <v>200</v>
      </c>
      <c r="O487" s="67">
        <v>1</v>
      </c>
      <c r="P487" s="49" t="e">
        <f t="shared" si="42"/>
        <v>#N/A</v>
      </c>
      <c r="R487" t="e">
        <f t="shared" si="40"/>
        <v>#N/A</v>
      </c>
      <c r="S487" t="e">
        <f t="shared" si="41"/>
        <v>#N/A</v>
      </c>
      <c r="T487" t="e">
        <f t="shared" si="43"/>
        <v>#N/A</v>
      </c>
      <c r="U487" t="e">
        <f t="shared" si="44"/>
        <v>#N/A</v>
      </c>
    </row>
    <row r="488" spans="14:21">
      <c r="N488">
        <v>300</v>
      </c>
      <c r="O488" s="67">
        <v>1</v>
      </c>
      <c r="P488" s="49" t="e">
        <f t="shared" si="42"/>
        <v>#N/A</v>
      </c>
      <c r="R488" t="e">
        <f t="shared" si="40"/>
        <v>#N/A</v>
      </c>
      <c r="S488" t="e">
        <f t="shared" si="41"/>
        <v>#N/A</v>
      </c>
      <c r="T488" t="e">
        <f t="shared" si="43"/>
        <v>#N/A</v>
      </c>
      <c r="U488" t="e">
        <f t="shared" si="44"/>
        <v>#N/A</v>
      </c>
    </row>
    <row r="489" spans="14:21">
      <c r="N489">
        <v>400</v>
      </c>
      <c r="O489" s="67">
        <v>1</v>
      </c>
      <c r="P489" s="49" t="e">
        <f t="shared" si="42"/>
        <v>#N/A</v>
      </c>
      <c r="R489" t="e">
        <f t="shared" si="40"/>
        <v>#N/A</v>
      </c>
      <c r="S489" t="e">
        <f t="shared" si="41"/>
        <v>#N/A</v>
      </c>
      <c r="T489" t="e">
        <f t="shared" si="43"/>
        <v>#N/A</v>
      </c>
      <c r="U489" t="e">
        <f t="shared" si="44"/>
        <v>#N/A</v>
      </c>
    </row>
    <row r="490" spans="14:21">
      <c r="N490">
        <v>500</v>
      </c>
      <c r="O490" s="67">
        <v>0.78</v>
      </c>
      <c r="P490" s="49" t="e">
        <f t="shared" si="42"/>
        <v>#N/A</v>
      </c>
      <c r="R490" t="e">
        <f t="shared" si="40"/>
        <v>#N/A</v>
      </c>
      <c r="S490" t="e">
        <f t="shared" si="41"/>
        <v>#N/A</v>
      </c>
      <c r="T490" t="e">
        <f t="shared" si="43"/>
        <v>#N/A</v>
      </c>
      <c r="U490" t="e">
        <f t="shared" si="44"/>
        <v>#N/A</v>
      </c>
    </row>
    <row r="491" spans="14:21">
      <c r="N491">
        <v>600</v>
      </c>
      <c r="O491" s="67">
        <v>0.47</v>
      </c>
      <c r="P491" s="49" t="e">
        <f t="shared" si="42"/>
        <v>#N/A</v>
      </c>
      <c r="R491" t="e">
        <f t="shared" si="40"/>
        <v>#N/A</v>
      </c>
      <c r="S491" t="e">
        <f t="shared" si="41"/>
        <v>#N/A</v>
      </c>
      <c r="T491" t="e">
        <f t="shared" si="43"/>
        <v>#N/A</v>
      </c>
      <c r="U491" t="e">
        <f t="shared" si="44"/>
        <v>#N/A</v>
      </c>
    </row>
    <row r="492" spans="14:21">
      <c r="N492">
        <v>700</v>
      </c>
      <c r="O492" s="67">
        <v>0.23</v>
      </c>
      <c r="P492" s="49" t="e">
        <f t="shared" si="42"/>
        <v>#N/A</v>
      </c>
      <c r="R492" t="e">
        <f t="shared" si="40"/>
        <v>#N/A</v>
      </c>
      <c r="S492" t="e">
        <f t="shared" si="41"/>
        <v>#N/A</v>
      </c>
      <c r="T492" t="e">
        <f t="shared" si="43"/>
        <v>#N/A</v>
      </c>
      <c r="U492" t="e">
        <f t="shared" si="44"/>
        <v>#N/A</v>
      </c>
    </row>
    <row r="493" spans="14:21">
      <c r="N493">
        <v>800</v>
      </c>
      <c r="O493" s="67">
        <v>0.11</v>
      </c>
      <c r="P493" s="49" t="e">
        <f t="shared" si="42"/>
        <v>#N/A</v>
      </c>
      <c r="R493" t="e">
        <f t="shared" si="40"/>
        <v>#N/A</v>
      </c>
      <c r="S493" t="e">
        <f t="shared" si="41"/>
        <v>#N/A</v>
      </c>
      <c r="T493" t="e">
        <f t="shared" si="43"/>
        <v>#N/A</v>
      </c>
      <c r="U493" t="e">
        <f t="shared" si="44"/>
        <v>#N/A</v>
      </c>
    </row>
    <row r="494" spans="14:21">
      <c r="N494">
        <v>900</v>
      </c>
      <c r="O494" s="67">
        <v>0.06</v>
      </c>
      <c r="P494" s="49" t="e">
        <f t="shared" si="42"/>
        <v>#N/A</v>
      </c>
      <c r="R494" t="e">
        <f t="shared" si="40"/>
        <v>#N/A</v>
      </c>
      <c r="S494" t="e">
        <f t="shared" si="41"/>
        <v>#N/A</v>
      </c>
      <c r="T494" t="e">
        <f t="shared" si="43"/>
        <v>#N/A</v>
      </c>
      <c r="U494" t="e">
        <f t="shared" si="44"/>
        <v>#N/A</v>
      </c>
    </row>
    <row r="495" spans="14:21">
      <c r="N495">
        <v>1000</v>
      </c>
      <c r="O495" s="67">
        <v>0.04</v>
      </c>
      <c r="P495" s="49" t="e">
        <f t="shared" si="42"/>
        <v>#N/A</v>
      </c>
      <c r="R495" t="e">
        <f t="shared" si="40"/>
        <v>#N/A</v>
      </c>
      <c r="S495" t="e">
        <f t="shared" si="41"/>
        <v>#N/A</v>
      </c>
      <c r="T495" t="e">
        <f t="shared" si="43"/>
        <v>#N/A</v>
      </c>
      <c r="U495" t="e">
        <f t="shared" si="44"/>
        <v>#N/A</v>
      </c>
    </row>
    <row r="496" spans="14:21">
      <c r="N496">
        <v>1100</v>
      </c>
      <c r="O496" s="67">
        <v>0.02</v>
      </c>
      <c r="P496" s="49" t="e">
        <f t="shared" si="42"/>
        <v>#N/A</v>
      </c>
      <c r="R496" t="e">
        <f t="shared" si="40"/>
        <v>#N/A</v>
      </c>
      <c r="S496" t="e">
        <f t="shared" si="41"/>
        <v>#N/A</v>
      </c>
      <c r="T496" t="e">
        <f t="shared" si="43"/>
        <v>#N/A</v>
      </c>
      <c r="U496" t="e">
        <f t="shared" si="44"/>
        <v>#N/A</v>
      </c>
    </row>
    <row r="497" spans="4:21">
      <c r="N497">
        <v>1200</v>
      </c>
      <c r="O497" s="67">
        <v>0</v>
      </c>
      <c r="P497" s="49" t="e">
        <f t="shared" si="42"/>
        <v>#N/A</v>
      </c>
      <c r="R497" t="e">
        <f t="shared" si="40"/>
        <v>#N/A</v>
      </c>
      <c r="S497" t="e">
        <f t="shared" si="41"/>
        <v>#N/A</v>
      </c>
      <c r="T497" t="e">
        <f t="shared" si="43"/>
        <v>#N/A</v>
      </c>
      <c r="U497" t="e">
        <f t="shared" si="44"/>
        <v>#N/A</v>
      </c>
    </row>
    <row r="500" spans="4:21">
      <c r="I500" s="46" t="s">
        <v>892</v>
      </c>
      <c r="J500" s="51" t="e">
        <f>N502</f>
        <v>#N/A</v>
      </c>
      <c r="L500" t="s">
        <v>893</v>
      </c>
      <c r="O500" s="46" t="s">
        <v>894</v>
      </c>
    </row>
    <row r="501" spans="4:21">
      <c r="G501" s="114"/>
      <c r="N501" t="e">
        <f>N503-100</f>
        <v>#N/A</v>
      </c>
      <c r="O501" t="e">
        <f>VLOOKUP(N501,N484:P497,2)</f>
        <v>#N/A</v>
      </c>
    </row>
    <row r="502" spans="4:21">
      <c r="D502" s="63">
        <v>30</v>
      </c>
      <c r="E502" s="262" t="s">
        <v>895</v>
      </c>
      <c r="F502" s="27"/>
      <c r="G502" s="27"/>
      <c r="H502" s="27"/>
      <c r="I502" s="27"/>
      <c r="J502" s="27"/>
      <c r="N502" s="51" t="e">
        <f>N501+(N503-N501)/(O501-O503)*(O501-O502)</f>
        <v>#N/A</v>
      </c>
      <c r="O502" s="49" t="e">
        <f>J475/100</f>
        <v>#N/A</v>
      </c>
    </row>
    <row r="503" spans="4:21">
      <c r="D503" s="27"/>
      <c r="E503" s="27"/>
      <c r="F503" s="27"/>
      <c r="G503" s="27"/>
      <c r="H503" s="27"/>
      <c r="I503" s="203" t="s">
        <v>896</v>
      </c>
      <c r="J503" s="63" t="e">
        <f>NA()</f>
        <v>#N/A</v>
      </c>
      <c r="L503" t="s">
        <v>897</v>
      </c>
      <c r="N503" t="e">
        <f>MAXA(U485:U497)</f>
        <v>#N/A</v>
      </c>
      <c r="O503" t="e">
        <f>VLOOKUP(N503,N484:P497,2)</f>
        <v>#N/A</v>
      </c>
    </row>
    <row r="504" spans="4:21">
      <c r="G504" t="e">
        <f>IF(J503=" "," ",IF(J503&lt;J500,"   =&gt; accept, brandbeskyttelse er ikke nødvendig","   =&gt; forkast, det er nødvendigt at brandbeskytte dorn"))</f>
        <v>#N/A</v>
      </c>
      <c r="N504" s="81"/>
      <c r="O504" s="81"/>
    </row>
    <row r="505" spans="4:21" ht="15" customHeight="1">
      <c r="D505" s="263" t="str">
        <f>IF(OR(D502=30,D502=60)," ","fejl i indtastning minutter brand")</f>
        <v xml:space="preserve"> </v>
      </c>
      <c r="N505" s="81"/>
      <c r="O505" s="81"/>
    </row>
    <row r="506" spans="4:21" ht="15" customHeight="1">
      <c r="D506" s="114" t="str">
        <f>IF(AND(R4="ja",N119="nej"),"Du har anvendt elasticitetsteoretisk beregning for ståldorn !"," ")</f>
        <v xml:space="preserve"> </v>
      </c>
      <c r="N506" s="264" t="s">
        <v>898</v>
      </c>
      <c r="O506" s="265"/>
      <c r="P506" s="266"/>
      <c r="Q506" s="267" t="s">
        <v>899</v>
      </c>
    </row>
    <row r="507" spans="4:21" ht="15" customHeight="1">
      <c r="D507" s="263" t="str">
        <f>IF(J117&lt;65,"dorn skal være min. Ø65 !"," ")</f>
        <v xml:space="preserve"> </v>
      </c>
      <c r="I507" s="46"/>
      <c r="J507" s="176"/>
      <c r="N507" s="411" t="s">
        <v>900</v>
      </c>
      <c r="O507" s="411" t="s">
        <v>901</v>
      </c>
      <c r="P507" s="411" t="s">
        <v>902</v>
      </c>
      <c r="Q507" s="269" t="s">
        <v>903</v>
      </c>
    </row>
    <row r="508" spans="4:21" ht="15" customHeight="1">
      <c r="D508" s="263"/>
      <c r="J508" s="176"/>
      <c r="L508" s="176"/>
      <c r="N508" s="411" t="s">
        <v>904</v>
      </c>
      <c r="O508" s="411" t="s">
        <v>905</v>
      </c>
      <c r="P508" s="411" t="s">
        <v>906</v>
      </c>
      <c r="Q508" s="411" t="s">
        <v>907</v>
      </c>
    </row>
    <row r="509" spans="4:21" ht="15" customHeight="1">
      <c r="N509" s="268" t="s">
        <v>908</v>
      </c>
      <c r="O509" s="268" t="s">
        <v>905</v>
      </c>
      <c r="P509" s="268" t="s">
        <v>906</v>
      </c>
      <c r="Q509" s="268" t="s">
        <v>909</v>
      </c>
    </row>
    <row r="510" spans="4:21">
      <c r="N510" s="268" t="s">
        <v>908</v>
      </c>
      <c r="O510" s="268" t="s">
        <v>905</v>
      </c>
      <c r="P510" s="268" t="s">
        <v>910</v>
      </c>
      <c r="Q510" s="268" t="s">
        <v>911</v>
      </c>
    </row>
    <row r="511" spans="4:21" ht="15.75">
      <c r="F511" s="57" t="s">
        <v>912</v>
      </c>
      <c r="N511" s="268" t="s">
        <v>908</v>
      </c>
      <c r="O511" s="268" t="s">
        <v>913</v>
      </c>
      <c r="P511" s="268" t="s">
        <v>910</v>
      </c>
      <c r="Q511" s="268" t="s">
        <v>914</v>
      </c>
    </row>
    <row r="512" spans="4:21">
      <c r="N512" s="136"/>
      <c r="O512" s="136"/>
      <c r="P512" s="136"/>
      <c r="Q512" s="136"/>
    </row>
    <row r="513" spans="14:17" ht="15.75">
      <c r="N513" s="264" t="s">
        <v>915</v>
      </c>
      <c r="O513" s="265"/>
      <c r="P513" s="266"/>
      <c r="Q513" s="267" t="s">
        <v>899</v>
      </c>
    </row>
    <row r="514" spans="14:17">
      <c r="N514" s="268" t="s">
        <v>900</v>
      </c>
      <c r="O514" s="268" t="s">
        <v>901</v>
      </c>
      <c r="P514" s="268" t="s">
        <v>902</v>
      </c>
      <c r="Q514" s="269" t="s">
        <v>903</v>
      </c>
    </row>
    <row r="515" spans="14:17">
      <c r="N515" s="268" t="s">
        <v>904</v>
      </c>
      <c r="O515" s="268" t="s">
        <v>905</v>
      </c>
      <c r="P515" s="268" t="s">
        <v>906</v>
      </c>
      <c r="Q515" s="268" t="s">
        <v>916</v>
      </c>
    </row>
    <row r="516" spans="14:17">
      <c r="N516" s="268" t="s">
        <v>908</v>
      </c>
      <c r="O516" s="268" t="s">
        <v>905</v>
      </c>
      <c r="P516" s="268" t="s">
        <v>906</v>
      </c>
      <c r="Q516" s="268" t="s">
        <v>917</v>
      </c>
    </row>
    <row r="517" spans="14:17">
      <c r="N517" s="268" t="s">
        <v>908</v>
      </c>
      <c r="O517" s="268" t="s">
        <v>905</v>
      </c>
      <c r="P517" s="268" t="s">
        <v>910</v>
      </c>
      <c r="Q517" s="268" t="s">
        <v>918</v>
      </c>
    </row>
    <row r="518" spans="14:17">
      <c r="N518" s="268" t="s">
        <v>908</v>
      </c>
      <c r="O518" s="268" t="s">
        <v>913</v>
      </c>
      <c r="P518" s="268" t="s">
        <v>910</v>
      </c>
      <c r="Q518" s="268" t="s">
        <v>919</v>
      </c>
    </row>
  </sheetData>
  <sheetProtection algorithmName="SHA-512" hashValue="eD/nZnsoORMw5fukdJLdBJO442mxn7GZQDgtU7oybgUMhdFvXNH8isU54NUj7YhjukbKZzMvmH6IJr99PFfnvw==" saltValue="GJM4ELkMo37GO3wWTXKoRw==" spinCount="100000" sheet="1" objects="1" scenarios="1"/>
  <dataValidations disablePrompts="1" count="28">
    <dataValidation type="list" allowBlank="1" showInputMessage="1" showErrorMessage="1" sqref="WVY983048 JM8 TI8 ADE8 ANA8 AWW8 BGS8 BQO8 CAK8 CKG8 CUC8 DDY8 DNU8 DXQ8 EHM8 ERI8 FBE8 FLA8 FUW8 GES8 GOO8 GYK8 HIG8 HSC8 IBY8 ILU8 IVQ8 JFM8 JPI8 JZE8 KJA8 KSW8 LCS8 LMO8 LWK8 MGG8 MQC8 MZY8 NJU8 NTQ8 ODM8 ONI8 OXE8 PHA8 PQW8 QAS8 QKO8 QUK8 REG8 ROC8 RXY8 SHU8 SRQ8 TBM8 TLI8 TVE8 UFA8 UOW8 UYS8 VIO8 VSK8 WCG8 WMC8 WVY8 Q65544 JM65544 TI65544 ADE65544 ANA65544 AWW65544 BGS65544 BQO65544 CAK65544 CKG65544 CUC65544 DDY65544 DNU65544 DXQ65544 EHM65544 ERI65544 FBE65544 FLA65544 FUW65544 GES65544 GOO65544 GYK65544 HIG65544 HSC65544 IBY65544 ILU65544 IVQ65544 JFM65544 JPI65544 JZE65544 KJA65544 KSW65544 LCS65544 LMO65544 LWK65544 MGG65544 MQC65544 MZY65544 NJU65544 NTQ65544 ODM65544 ONI65544 OXE65544 PHA65544 PQW65544 QAS65544 QKO65544 QUK65544 REG65544 ROC65544 RXY65544 SHU65544 SRQ65544 TBM65544 TLI65544 TVE65544 UFA65544 UOW65544 UYS65544 VIO65544 VSK65544 WCG65544 WMC65544 WVY65544 Q131080 JM131080 TI131080 ADE131080 ANA131080 AWW131080 BGS131080 BQO131080 CAK131080 CKG131080 CUC131080 DDY131080 DNU131080 DXQ131080 EHM131080 ERI131080 FBE131080 FLA131080 FUW131080 GES131080 GOO131080 GYK131080 HIG131080 HSC131080 IBY131080 ILU131080 IVQ131080 JFM131080 JPI131080 JZE131080 KJA131080 KSW131080 LCS131080 LMO131080 LWK131080 MGG131080 MQC131080 MZY131080 NJU131080 NTQ131080 ODM131080 ONI131080 OXE131080 PHA131080 PQW131080 QAS131080 QKO131080 QUK131080 REG131080 ROC131080 RXY131080 SHU131080 SRQ131080 TBM131080 TLI131080 TVE131080 UFA131080 UOW131080 UYS131080 VIO131080 VSK131080 WCG131080 WMC131080 WVY131080 Q196616 JM196616 TI196616 ADE196616 ANA196616 AWW196616 BGS196616 BQO196616 CAK196616 CKG196616 CUC196616 DDY196616 DNU196616 DXQ196616 EHM196616 ERI196616 FBE196616 FLA196616 FUW196616 GES196616 GOO196616 GYK196616 HIG196616 HSC196616 IBY196616 ILU196616 IVQ196616 JFM196616 JPI196616 JZE196616 KJA196616 KSW196616 LCS196616 LMO196616 LWK196616 MGG196616 MQC196616 MZY196616 NJU196616 NTQ196616 ODM196616 ONI196616 OXE196616 PHA196616 PQW196616 QAS196616 QKO196616 QUK196616 REG196616 ROC196616 RXY196616 SHU196616 SRQ196616 TBM196616 TLI196616 TVE196616 UFA196616 UOW196616 UYS196616 VIO196616 VSK196616 WCG196616 WMC196616 WVY196616 Q262152 JM262152 TI262152 ADE262152 ANA262152 AWW262152 BGS262152 BQO262152 CAK262152 CKG262152 CUC262152 DDY262152 DNU262152 DXQ262152 EHM262152 ERI262152 FBE262152 FLA262152 FUW262152 GES262152 GOO262152 GYK262152 HIG262152 HSC262152 IBY262152 ILU262152 IVQ262152 JFM262152 JPI262152 JZE262152 KJA262152 KSW262152 LCS262152 LMO262152 LWK262152 MGG262152 MQC262152 MZY262152 NJU262152 NTQ262152 ODM262152 ONI262152 OXE262152 PHA262152 PQW262152 QAS262152 QKO262152 QUK262152 REG262152 ROC262152 RXY262152 SHU262152 SRQ262152 TBM262152 TLI262152 TVE262152 UFA262152 UOW262152 UYS262152 VIO262152 VSK262152 WCG262152 WMC262152 WVY262152 Q327688 JM327688 TI327688 ADE327688 ANA327688 AWW327688 BGS327688 BQO327688 CAK327688 CKG327688 CUC327688 DDY327688 DNU327688 DXQ327688 EHM327688 ERI327688 FBE327688 FLA327688 FUW327688 GES327688 GOO327688 GYK327688 HIG327688 HSC327688 IBY327688 ILU327688 IVQ327688 JFM327688 JPI327688 JZE327688 KJA327688 KSW327688 LCS327688 LMO327688 LWK327688 MGG327688 MQC327688 MZY327688 NJU327688 NTQ327688 ODM327688 ONI327688 OXE327688 PHA327688 PQW327688 QAS327688 QKO327688 QUK327688 REG327688 ROC327688 RXY327688 SHU327688 SRQ327688 TBM327688 TLI327688 TVE327688 UFA327688 UOW327688 UYS327688 VIO327688 VSK327688 WCG327688 WMC327688 WVY327688 Q393224 JM393224 TI393224 ADE393224 ANA393224 AWW393224 BGS393224 BQO393224 CAK393224 CKG393224 CUC393224 DDY393224 DNU393224 DXQ393224 EHM393224 ERI393224 FBE393224 FLA393224 FUW393224 GES393224 GOO393224 GYK393224 HIG393224 HSC393224 IBY393224 ILU393224 IVQ393224 JFM393224 JPI393224 JZE393224 KJA393224 KSW393224 LCS393224 LMO393224 LWK393224 MGG393224 MQC393224 MZY393224 NJU393224 NTQ393224 ODM393224 ONI393224 OXE393224 PHA393224 PQW393224 QAS393224 QKO393224 QUK393224 REG393224 ROC393224 RXY393224 SHU393224 SRQ393224 TBM393224 TLI393224 TVE393224 UFA393224 UOW393224 UYS393224 VIO393224 VSK393224 WCG393224 WMC393224 WVY393224 Q458760 JM458760 TI458760 ADE458760 ANA458760 AWW458760 BGS458760 BQO458760 CAK458760 CKG458760 CUC458760 DDY458760 DNU458760 DXQ458760 EHM458760 ERI458760 FBE458760 FLA458760 FUW458760 GES458760 GOO458760 GYK458760 HIG458760 HSC458760 IBY458760 ILU458760 IVQ458760 JFM458760 JPI458760 JZE458760 KJA458760 KSW458760 LCS458760 LMO458760 LWK458760 MGG458760 MQC458760 MZY458760 NJU458760 NTQ458760 ODM458760 ONI458760 OXE458760 PHA458760 PQW458760 QAS458760 QKO458760 QUK458760 REG458760 ROC458760 RXY458760 SHU458760 SRQ458760 TBM458760 TLI458760 TVE458760 UFA458760 UOW458760 UYS458760 VIO458760 VSK458760 WCG458760 WMC458760 WVY458760 Q524296 JM524296 TI524296 ADE524296 ANA524296 AWW524296 BGS524296 BQO524296 CAK524296 CKG524296 CUC524296 DDY524296 DNU524296 DXQ524296 EHM524296 ERI524296 FBE524296 FLA524296 FUW524296 GES524296 GOO524296 GYK524296 HIG524296 HSC524296 IBY524296 ILU524296 IVQ524296 JFM524296 JPI524296 JZE524296 KJA524296 KSW524296 LCS524296 LMO524296 LWK524296 MGG524296 MQC524296 MZY524296 NJU524296 NTQ524296 ODM524296 ONI524296 OXE524296 PHA524296 PQW524296 QAS524296 QKO524296 QUK524296 REG524296 ROC524296 RXY524296 SHU524296 SRQ524296 TBM524296 TLI524296 TVE524296 UFA524296 UOW524296 UYS524296 VIO524296 VSK524296 WCG524296 WMC524296 WVY524296 Q589832 JM589832 TI589832 ADE589832 ANA589832 AWW589832 BGS589832 BQO589832 CAK589832 CKG589832 CUC589832 DDY589832 DNU589832 DXQ589832 EHM589832 ERI589832 FBE589832 FLA589832 FUW589832 GES589832 GOO589832 GYK589832 HIG589832 HSC589832 IBY589832 ILU589832 IVQ589832 JFM589832 JPI589832 JZE589832 KJA589832 KSW589832 LCS589832 LMO589832 LWK589832 MGG589832 MQC589832 MZY589832 NJU589832 NTQ589832 ODM589832 ONI589832 OXE589832 PHA589832 PQW589832 QAS589832 QKO589832 QUK589832 REG589832 ROC589832 RXY589832 SHU589832 SRQ589832 TBM589832 TLI589832 TVE589832 UFA589832 UOW589832 UYS589832 VIO589832 VSK589832 WCG589832 WMC589832 WVY589832 Q655368 JM655368 TI655368 ADE655368 ANA655368 AWW655368 BGS655368 BQO655368 CAK655368 CKG655368 CUC655368 DDY655368 DNU655368 DXQ655368 EHM655368 ERI655368 FBE655368 FLA655368 FUW655368 GES655368 GOO655368 GYK655368 HIG655368 HSC655368 IBY655368 ILU655368 IVQ655368 JFM655368 JPI655368 JZE655368 KJA655368 KSW655368 LCS655368 LMO655368 LWK655368 MGG655368 MQC655368 MZY655368 NJU655368 NTQ655368 ODM655368 ONI655368 OXE655368 PHA655368 PQW655368 QAS655368 QKO655368 QUK655368 REG655368 ROC655368 RXY655368 SHU655368 SRQ655368 TBM655368 TLI655368 TVE655368 UFA655368 UOW655368 UYS655368 VIO655368 VSK655368 WCG655368 WMC655368 WVY655368 Q720904 JM720904 TI720904 ADE720904 ANA720904 AWW720904 BGS720904 BQO720904 CAK720904 CKG720904 CUC720904 DDY720904 DNU720904 DXQ720904 EHM720904 ERI720904 FBE720904 FLA720904 FUW720904 GES720904 GOO720904 GYK720904 HIG720904 HSC720904 IBY720904 ILU720904 IVQ720904 JFM720904 JPI720904 JZE720904 KJA720904 KSW720904 LCS720904 LMO720904 LWK720904 MGG720904 MQC720904 MZY720904 NJU720904 NTQ720904 ODM720904 ONI720904 OXE720904 PHA720904 PQW720904 QAS720904 QKO720904 QUK720904 REG720904 ROC720904 RXY720904 SHU720904 SRQ720904 TBM720904 TLI720904 TVE720904 UFA720904 UOW720904 UYS720904 VIO720904 VSK720904 WCG720904 WMC720904 WVY720904 Q786440 JM786440 TI786440 ADE786440 ANA786440 AWW786440 BGS786440 BQO786440 CAK786440 CKG786440 CUC786440 DDY786440 DNU786440 DXQ786440 EHM786440 ERI786440 FBE786440 FLA786440 FUW786440 GES786440 GOO786440 GYK786440 HIG786440 HSC786440 IBY786440 ILU786440 IVQ786440 JFM786440 JPI786440 JZE786440 KJA786440 KSW786440 LCS786440 LMO786440 LWK786440 MGG786440 MQC786440 MZY786440 NJU786440 NTQ786440 ODM786440 ONI786440 OXE786440 PHA786440 PQW786440 QAS786440 QKO786440 QUK786440 REG786440 ROC786440 RXY786440 SHU786440 SRQ786440 TBM786440 TLI786440 TVE786440 UFA786440 UOW786440 UYS786440 VIO786440 VSK786440 WCG786440 WMC786440 WVY786440 Q851976 JM851976 TI851976 ADE851976 ANA851976 AWW851976 BGS851976 BQO851976 CAK851976 CKG851976 CUC851976 DDY851976 DNU851976 DXQ851976 EHM851976 ERI851976 FBE851976 FLA851976 FUW851976 GES851976 GOO851976 GYK851976 HIG851976 HSC851976 IBY851976 ILU851976 IVQ851976 JFM851976 JPI851976 JZE851976 KJA851976 KSW851976 LCS851976 LMO851976 LWK851976 MGG851976 MQC851976 MZY851976 NJU851976 NTQ851976 ODM851976 ONI851976 OXE851976 PHA851976 PQW851976 QAS851976 QKO851976 QUK851976 REG851976 ROC851976 RXY851976 SHU851976 SRQ851976 TBM851976 TLI851976 TVE851976 UFA851976 UOW851976 UYS851976 VIO851976 VSK851976 WCG851976 WMC851976 WVY851976 Q917512 JM917512 TI917512 ADE917512 ANA917512 AWW917512 BGS917512 BQO917512 CAK917512 CKG917512 CUC917512 DDY917512 DNU917512 DXQ917512 EHM917512 ERI917512 FBE917512 FLA917512 FUW917512 GES917512 GOO917512 GYK917512 HIG917512 HSC917512 IBY917512 ILU917512 IVQ917512 JFM917512 JPI917512 JZE917512 KJA917512 KSW917512 LCS917512 LMO917512 LWK917512 MGG917512 MQC917512 MZY917512 NJU917512 NTQ917512 ODM917512 ONI917512 OXE917512 PHA917512 PQW917512 QAS917512 QKO917512 QUK917512 REG917512 ROC917512 RXY917512 SHU917512 SRQ917512 TBM917512 TLI917512 TVE917512 UFA917512 UOW917512 UYS917512 VIO917512 VSK917512 WCG917512 WMC917512 WVY917512 Q983048 JM983048 TI983048 ADE983048 ANA983048 AWW983048 BGS983048 BQO983048 CAK983048 CKG983048 CUC983048 DDY983048 DNU983048 DXQ983048 EHM983048 ERI983048 FBE983048 FLA983048 FUW983048 GES983048 GOO983048 GYK983048 HIG983048 HSC983048 IBY983048 ILU983048 IVQ983048 JFM983048 JPI983048 JZE983048 KJA983048 KSW983048 LCS983048 LMO983048 LWK983048 MGG983048 MQC983048 MZY983048 NJU983048 NTQ983048 ODM983048 ONI983048 OXE983048 PHA983048 PQW983048 QAS983048 QKO983048 QUK983048 REG983048 ROC983048 RXY983048 SHU983048 SRQ983048 TBM983048 TLI983048 TVE983048 UFA983048 UOW983048 UYS983048 VIO983048 VSK983048 WCG983048 WMC983048" xr:uid="{00000000-0002-0000-0000-000000000000}">
      <formula1>robusthedsfaktor</formula1>
    </dataValidation>
    <dataValidation type="list" allowBlank="1" showInputMessage="1" showErrorMessage="1" sqref="WVP983050 JD10 SZ10 ACV10 AMR10 AWN10 BGJ10 BQF10 CAB10 CJX10 CTT10 DDP10 DNL10 DXH10 EHD10 EQZ10 FAV10 FKR10 FUN10 GEJ10 GOF10 GYB10 HHX10 HRT10 IBP10 ILL10 IVH10 JFD10 JOZ10 JYV10 KIR10 KSN10 LCJ10 LMF10 LWB10 MFX10 MPT10 MZP10 NJL10 NTH10 ODD10 OMZ10 OWV10 PGR10 PQN10 QAJ10 QKF10 QUB10 RDX10 RNT10 RXP10 SHL10 SRH10 TBD10 TKZ10 TUV10 UER10 UON10 UYJ10 VIF10 VSB10 WBX10 WLT10 WVP10 H65546 JD65546 SZ65546 ACV65546 AMR65546 AWN65546 BGJ65546 BQF65546 CAB65546 CJX65546 CTT65546 DDP65546 DNL65546 DXH65546 EHD65546 EQZ65546 FAV65546 FKR65546 FUN65546 GEJ65546 GOF65546 GYB65546 HHX65546 HRT65546 IBP65546 ILL65546 IVH65546 JFD65546 JOZ65546 JYV65546 KIR65546 KSN65546 LCJ65546 LMF65546 LWB65546 MFX65546 MPT65546 MZP65546 NJL65546 NTH65546 ODD65546 OMZ65546 OWV65546 PGR65546 PQN65546 QAJ65546 QKF65546 QUB65546 RDX65546 RNT65546 RXP65546 SHL65546 SRH65546 TBD65546 TKZ65546 TUV65546 UER65546 UON65546 UYJ65546 VIF65546 VSB65546 WBX65546 WLT65546 WVP65546 H131082 JD131082 SZ131082 ACV131082 AMR131082 AWN131082 BGJ131082 BQF131082 CAB131082 CJX131082 CTT131082 DDP131082 DNL131082 DXH131082 EHD131082 EQZ131082 FAV131082 FKR131082 FUN131082 GEJ131082 GOF131082 GYB131082 HHX131082 HRT131082 IBP131082 ILL131082 IVH131082 JFD131082 JOZ131082 JYV131082 KIR131082 KSN131082 LCJ131082 LMF131082 LWB131082 MFX131082 MPT131082 MZP131082 NJL131082 NTH131082 ODD131082 OMZ131082 OWV131082 PGR131082 PQN131082 QAJ131082 QKF131082 QUB131082 RDX131082 RNT131082 RXP131082 SHL131082 SRH131082 TBD131082 TKZ131082 TUV131082 UER131082 UON131082 UYJ131082 VIF131082 VSB131082 WBX131082 WLT131082 WVP131082 H196618 JD196618 SZ196618 ACV196618 AMR196618 AWN196618 BGJ196618 BQF196618 CAB196618 CJX196618 CTT196618 DDP196618 DNL196618 DXH196618 EHD196618 EQZ196618 FAV196618 FKR196618 FUN196618 GEJ196618 GOF196618 GYB196618 HHX196618 HRT196618 IBP196618 ILL196618 IVH196618 JFD196618 JOZ196618 JYV196618 KIR196618 KSN196618 LCJ196618 LMF196618 LWB196618 MFX196618 MPT196618 MZP196618 NJL196618 NTH196618 ODD196618 OMZ196618 OWV196618 PGR196618 PQN196618 QAJ196618 QKF196618 QUB196618 RDX196618 RNT196618 RXP196618 SHL196618 SRH196618 TBD196618 TKZ196618 TUV196618 UER196618 UON196618 UYJ196618 VIF196618 VSB196618 WBX196618 WLT196618 WVP196618 H262154 JD262154 SZ262154 ACV262154 AMR262154 AWN262154 BGJ262154 BQF262154 CAB262154 CJX262154 CTT262154 DDP262154 DNL262154 DXH262154 EHD262154 EQZ262154 FAV262154 FKR262154 FUN262154 GEJ262154 GOF262154 GYB262154 HHX262154 HRT262154 IBP262154 ILL262154 IVH262154 JFD262154 JOZ262154 JYV262154 KIR262154 KSN262154 LCJ262154 LMF262154 LWB262154 MFX262154 MPT262154 MZP262154 NJL262154 NTH262154 ODD262154 OMZ262154 OWV262154 PGR262154 PQN262154 QAJ262154 QKF262154 QUB262154 RDX262154 RNT262154 RXP262154 SHL262154 SRH262154 TBD262154 TKZ262154 TUV262154 UER262154 UON262154 UYJ262154 VIF262154 VSB262154 WBX262154 WLT262154 WVP262154 H327690 JD327690 SZ327690 ACV327690 AMR327690 AWN327690 BGJ327690 BQF327690 CAB327690 CJX327690 CTT327690 DDP327690 DNL327690 DXH327690 EHD327690 EQZ327690 FAV327690 FKR327690 FUN327690 GEJ327690 GOF327690 GYB327690 HHX327690 HRT327690 IBP327690 ILL327690 IVH327690 JFD327690 JOZ327690 JYV327690 KIR327690 KSN327690 LCJ327690 LMF327690 LWB327690 MFX327690 MPT327690 MZP327690 NJL327690 NTH327690 ODD327690 OMZ327690 OWV327690 PGR327690 PQN327690 QAJ327690 QKF327690 QUB327690 RDX327690 RNT327690 RXP327690 SHL327690 SRH327690 TBD327690 TKZ327690 TUV327690 UER327690 UON327690 UYJ327690 VIF327690 VSB327690 WBX327690 WLT327690 WVP327690 H393226 JD393226 SZ393226 ACV393226 AMR393226 AWN393226 BGJ393226 BQF393226 CAB393226 CJX393226 CTT393226 DDP393226 DNL393226 DXH393226 EHD393226 EQZ393226 FAV393226 FKR393226 FUN393226 GEJ393226 GOF393226 GYB393226 HHX393226 HRT393226 IBP393226 ILL393226 IVH393226 JFD393226 JOZ393226 JYV393226 KIR393226 KSN393226 LCJ393226 LMF393226 LWB393226 MFX393226 MPT393226 MZP393226 NJL393226 NTH393226 ODD393226 OMZ393226 OWV393226 PGR393226 PQN393226 QAJ393226 QKF393226 QUB393226 RDX393226 RNT393226 RXP393226 SHL393226 SRH393226 TBD393226 TKZ393226 TUV393226 UER393226 UON393226 UYJ393226 VIF393226 VSB393226 WBX393226 WLT393226 WVP393226 H458762 JD458762 SZ458762 ACV458762 AMR458762 AWN458762 BGJ458762 BQF458762 CAB458762 CJX458762 CTT458762 DDP458762 DNL458762 DXH458762 EHD458762 EQZ458762 FAV458762 FKR458762 FUN458762 GEJ458762 GOF458762 GYB458762 HHX458762 HRT458762 IBP458762 ILL458762 IVH458762 JFD458762 JOZ458762 JYV458762 KIR458762 KSN458762 LCJ458762 LMF458762 LWB458762 MFX458762 MPT458762 MZP458762 NJL458762 NTH458762 ODD458762 OMZ458762 OWV458762 PGR458762 PQN458762 QAJ458762 QKF458762 QUB458762 RDX458762 RNT458762 RXP458762 SHL458762 SRH458762 TBD458762 TKZ458762 TUV458762 UER458762 UON458762 UYJ458762 VIF458762 VSB458762 WBX458762 WLT458762 WVP458762 H524298 JD524298 SZ524298 ACV524298 AMR524298 AWN524298 BGJ524298 BQF524298 CAB524298 CJX524298 CTT524298 DDP524298 DNL524298 DXH524298 EHD524298 EQZ524298 FAV524298 FKR524298 FUN524298 GEJ524298 GOF524298 GYB524298 HHX524298 HRT524298 IBP524298 ILL524298 IVH524298 JFD524298 JOZ524298 JYV524298 KIR524298 KSN524298 LCJ524298 LMF524298 LWB524298 MFX524298 MPT524298 MZP524298 NJL524298 NTH524298 ODD524298 OMZ524298 OWV524298 PGR524298 PQN524298 QAJ524298 QKF524298 QUB524298 RDX524298 RNT524298 RXP524298 SHL524298 SRH524298 TBD524298 TKZ524298 TUV524298 UER524298 UON524298 UYJ524298 VIF524298 VSB524298 WBX524298 WLT524298 WVP524298 H589834 JD589834 SZ589834 ACV589834 AMR589834 AWN589834 BGJ589834 BQF589834 CAB589834 CJX589834 CTT589834 DDP589834 DNL589834 DXH589834 EHD589834 EQZ589834 FAV589834 FKR589834 FUN589834 GEJ589834 GOF589834 GYB589834 HHX589834 HRT589834 IBP589834 ILL589834 IVH589834 JFD589834 JOZ589834 JYV589834 KIR589834 KSN589834 LCJ589834 LMF589834 LWB589834 MFX589834 MPT589834 MZP589834 NJL589834 NTH589834 ODD589834 OMZ589834 OWV589834 PGR589834 PQN589834 QAJ589834 QKF589834 QUB589834 RDX589834 RNT589834 RXP589834 SHL589834 SRH589834 TBD589834 TKZ589834 TUV589834 UER589834 UON589834 UYJ589834 VIF589834 VSB589834 WBX589834 WLT589834 WVP589834 H655370 JD655370 SZ655370 ACV655370 AMR655370 AWN655370 BGJ655370 BQF655370 CAB655370 CJX655370 CTT655370 DDP655370 DNL655370 DXH655370 EHD655370 EQZ655370 FAV655370 FKR655370 FUN655370 GEJ655370 GOF655370 GYB655370 HHX655370 HRT655370 IBP655370 ILL655370 IVH655370 JFD655370 JOZ655370 JYV655370 KIR655370 KSN655370 LCJ655370 LMF655370 LWB655370 MFX655370 MPT655370 MZP655370 NJL655370 NTH655370 ODD655370 OMZ655370 OWV655370 PGR655370 PQN655370 QAJ655370 QKF655370 QUB655370 RDX655370 RNT655370 RXP655370 SHL655370 SRH655370 TBD655370 TKZ655370 TUV655370 UER655370 UON655370 UYJ655370 VIF655370 VSB655370 WBX655370 WLT655370 WVP655370 H720906 JD720906 SZ720906 ACV720906 AMR720906 AWN720906 BGJ720906 BQF720906 CAB720906 CJX720906 CTT720906 DDP720906 DNL720906 DXH720906 EHD720906 EQZ720906 FAV720906 FKR720906 FUN720906 GEJ720906 GOF720906 GYB720906 HHX720906 HRT720906 IBP720906 ILL720906 IVH720906 JFD720906 JOZ720906 JYV720906 KIR720906 KSN720906 LCJ720906 LMF720906 LWB720906 MFX720906 MPT720906 MZP720906 NJL720906 NTH720906 ODD720906 OMZ720906 OWV720906 PGR720906 PQN720906 QAJ720906 QKF720906 QUB720906 RDX720906 RNT720906 RXP720906 SHL720906 SRH720906 TBD720906 TKZ720906 TUV720906 UER720906 UON720906 UYJ720906 VIF720906 VSB720906 WBX720906 WLT720906 WVP720906 H786442 JD786442 SZ786442 ACV786442 AMR786442 AWN786442 BGJ786442 BQF786442 CAB786442 CJX786442 CTT786442 DDP786442 DNL786442 DXH786442 EHD786442 EQZ786442 FAV786442 FKR786442 FUN786442 GEJ786442 GOF786442 GYB786442 HHX786442 HRT786442 IBP786442 ILL786442 IVH786442 JFD786442 JOZ786442 JYV786442 KIR786442 KSN786442 LCJ786442 LMF786442 LWB786442 MFX786442 MPT786442 MZP786442 NJL786442 NTH786442 ODD786442 OMZ786442 OWV786442 PGR786442 PQN786442 QAJ786442 QKF786442 QUB786442 RDX786442 RNT786442 RXP786442 SHL786442 SRH786442 TBD786442 TKZ786442 TUV786442 UER786442 UON786442 UYJ786442 VIF786442 VSB786442 WBX786442 WLT786442 WVP786442 H851978 JD851978 SZ851978 ACV851978 AMR851978 AWN851978 BGJ851978 BQF851978 CAB851978 CJX851978 CTT851978 DDP851978 DNL851978 DXH851978 EHD851978 EQZ851978 FAV851978 FKR851978 FUN851978 GEJ851978 GOF851978 GYB851978 HHX851978 HRT851978 IBP851978 ILL851978 IVH851978 JFD851978 JOZ851978 JYV851978 KIR851978 KSN851978 LCJ851978 LMF851978 LWB851978 MFX851978 MPT851978 MZP851978 NJL851978 NTH851978 ODD851978 OMZ851978 OWV851978 PGR851978 PQN851978 QAJ851978 QKF851978 QUB851978 RDX851978 RNT851978 RXP851978 SHL851978 SRH851978 TBD851978 TKZ851978 TUV851978 UER851978 UON851978 UYJ851978 VIF851978 VSB851978 WBX851978 WLT851978 WVP851978 H917514 JD917514 SZ917514 ACV917514 AMR917514 AWN917514 BGJ917514 BQF917514 CAB917514 CJX917514 CTT917514 DDP917514 DNL917514 DXH917514 EHD917514 EQZ917514 FAV917514 FKR917514 FUN917514 GEJ917514 GOF917514 GYB917514 HHX917514 HRT917514 IBP917514 ILL917514 IVH917514 JFD917514 JOZ917514 JYV917514 KIR917514 KSN917514 LCJ917514 LMF917514 LWB917514 MFX917514 MPT917514 MZP917514 NJL917514 NTH917514 ODD917514 OMZ917514 OWV917514 PGR917514 PQN917514 QAJ917514 QKF917514 QUB917514 RDX917514 RNT917514 RXP917514 SHL917514 SRH917514 TBD917514 TKZ917514 TUV917514 UER917514 UON917514 UYJ917514 VIF917514 VSB917514 WBX917514 WLT917514 WVP917514 H983050 JD983050 SZ983050 ACV983050 AMR983050 AWN983050 BGJ983050 BQF983050 CAB983050 CJX983050 CTT983050 DDP983050 DNL983050 DXH983050 EHD983050 EQZ983050 FAV983050 FKR983050 FUN983050 GEJ983050 GOF983050 GYB983050 HHX983050 HRT983050 IBP983050 ILL983050 IVH983050 JFD983050 JOZ983050 JYV983050 KIR983050 KSN983050 LCJ983050 LMF983050 LWB983050 MFX983050 MPT983050 MZP983050 NJL983050 NTH983050 ODD983050 OMZ983050 OWV983050 PGR983050 PQN983050 QAJ983050 QKF983050 QUB983050 RDX983050 RNT983050 RXP983050 SHL983050 SRH983050 TBD983050 TKZ983050 TUV983050 UER983050 UON983050 UYJ983050 VIF983050 VSB983050 WBX983050 WLT983050" xr:uid="{00000000-0002-0000-0000-000001000000}">
      <formula1>eksponeringsklasse</formula1>
    </dataValidation>
    <dataValidation type="list" allowBlank="1" showInputMessage="1" showErrorMessage="1" sqref="WVQ98305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I65546 JE65546 TA65546 ACW65546 AMS65546 AWO65546 BGK65546 BQG65546 CAC65546 CJY65546 CTU65546 DDQ65546 DNM65546 DXI65546 EHE65546 ERA65546 FAW65546 FKS65546 FUO65546 GEK65546 GOG65546 GYC65546 HHY65546 HRU65546 IBQ65546 ILM65546 IVI65546 JFE65546 JPA65546 JYW65546 KIS65546 KSO65546 LCK65546 LMG65546 LWC65546 MFY65546 MPU65546 MZQ65546 NJM65546 NTI65546 ODE65546 ONA65546 OWW65546 PGS65546 PQO65546 QAK65546 QKG65546 QUC65546 RDY65546 RNU65546 RXQ65546 SHM65546 SRI65546 TBE65546 TLA65546 TUW65546 UES65546 UOO65546 UYK65546 VIG65546 VSC65546 WBY65546 WLU65546 WVQ65546 I131082 JE131082 TA131082 ACW131082 AMS131082 AWO131082 BGK131082 BQG131082 CAC131082 CJY131082 CTU131082 DDQ131082 DNM131082 DXI131082 EHE131082 ERA131082 FAW131082 FKS131082 FUO131082 GEK131082 GOG131082 GYC131082 HHY131082 HRU131082 IBQ131082 ILM131082 IVI131082 JFE131082 JPA131082 JYW131082 KIS131082 KSO131082 LCK131082 LMG131082 LWC131082 MFY131082 MPU131082 MZQ131082 NJM131082 NTI131082 ODE131082 ONA131082 OWW131082 PGS131082 PQO131082 QAK131082 QKG131082 QUC131082 RDY131082 RNU131082 RXQ131082 SHM131082 SRI131082 TBE131082 TLA131082 TUW131082 UES131082 UOO131082 UYK131082 VIG131082 VSC131082 WBY131082 WLU131082 WVQ131082 I196618 JE196618 TA196618 ACW196618 AMS196618 AWO196618 BGK196618 BQG196618 CAC196618 CJY196618 CTU196618 DDQ196618 DNM196618 DXI196618 EHE196618 ERA196618 FAW196618 FKS196618 FUO196618 GEK196618 GOG196618 GYC196618 HHY196618 HRU196618 IBQ196618 ILM196618 IVI196618 JFE196618 JPA196618 JYW196618 KIS196618 KSO196618 LCK196618 LMG196618 LWC196618 MFY196618 MPU196618 MZQ196618 NJM196618 NTI196618 ODE196618 ONA196618 OWW196618 PGS196618 PQO196618 QAK196618 QKG196618 QUC196618 RDY196618 RNU196618 RXQ196618 SHM196618 SRI196618 TBE196618 TLA196618 TUW196618 UES196618 UOO196618 UYK196618 VIG196618 VSC196618 WBY196618 WLU196618 WVQ196618 I262154 JE262154 TA262154 ACW262154 AMS262154 AWO262154 BGK262154 BQG262154 CAC262154 CJY262154 CTU262154 DDQ262154 DNM262154 DXI262154 EHE262154 ERA262154 FAW262154 FKS262154 FUO262154 GEK262154 GOG262154 GYC262154 HHY262154 HRU262154 IBQ262154 ILM262154 IVI262154 JFE262154 JPA262154 JYW262154 KIS262154 KSO262154 LCK262154 LMG262154 LWC262154 MFY262154 MPU262154 MZQ262154 NJM262154 NTI262154 ODE262154 ONA262154 OWW262154 PGS262154 PQO262154 QAK262154 QKG262154 QUC262154 RDY262154 RNU262154 RXQ262154 SHM262154 SRI262154 TBE262154 TLA262154 TUW262154 UES262154 UOO262154 UYK262154 VIG262154 VSC262154 WBY262154 WLU262154 WVQ262154 I327690 JE327690 TA327690 ACW327690 AMS327690 AWO327690 BGK327690 BQG327690 CAC327690 CJY327690 CTU327690 DDQ327690 DNM327690 DXI327690 EHE327690 ERA327690 FAW327690 FKS327690 FUO327690 GEK327690 GOG327690 GYC327690 HHY327690 HRU327690 IBQ327690 ILM327690 IVI327690 JFE327690 JPA327690 JYW327690 KIS327690 KSO327690 LCK327690 LMG327690 LWC327690 MFY327690 MPU327690 MZQ327690 NJM327690 NTI327690 ODE327690 ONA327690 OWW327690 PGS327690 PQO327690 QAK327690 QKG327690 QUC327690 RDY327690 RNU327690 RXQ327690 SHM327690 SRI327690 TBE327690 TLA327690 TUW327690 UES327690 UOO327690 UYK327690 VIG327690 VSC327690 WBY327690 WLU327690 WVQ327690 I393226 JE393226 TA393226 ACW393226 AMS393226 AWO393226 BGK393226 BQG393226 CAC393226 CJY393226 CTU393226 DDQ393226 DNM393226 DXI393226 EHE393226 ERA393226 FAW393226 FKS393226 FUO393226 GEK393226 GOG393226 GYC393226 HHY393226 HRU393226 IBQ393226 ILM393226 IVI393226 JFE393226 JPA393226 JYW393226 KIS393226 KSO393226 LCK393226 LMG393226 LWC393226 MFY393226 MPU393226 MZQ393226 NJM393226 NTI393226 ODE393226 ONA393226 OWW393226 PGS393226 PQO393226 QAK393226 QKG393226 QUC393226 RDY393226 RNU393226 RXQ393226 SHM393226 SRI393226 TBE393226 TLA393226 TUW393226 UES393226 UOO393226 UYK393226 VIG393226 VSC393226 WBY393226 WLU393226 WVQ393226 I458762 JE458762 TA458762 ACW458762 AMS458762 AWO458762 BGK458762 BQG458762 CAC458762 CJY458762 CTU458762 DDQ458762 DNM458762 DXI458762 EHE458762 ERA458762 FAW458762 FKS458762 FUO458762 GEK458762 GOG458762 GYC458762 HHY458762 HRU458762 IBQ458762 ILM458762 IVI458762 JFE458762 JPA458762 JYW458762 KIS458762 KSO458762 LCK458762 LMG458762 LWC458762 MFY458762 MPU458762 MZQ458762 NJM458762 NTI458762 ODE458762 ONA458762 OWW458762 PGS458762 PQO458762 QAK458762 QKG458762 QUC458762 RDY458762 RNU458762 RXQ458762 SHM458762 SRI458762 TBE458762 TLA458762 TUW458762 UES458762 UOO458762 UYK458762 VIG458762 VSC458762 WBY458762 WLU458762 WVQ458762 I524298 JE524298 TA524298 ACW524298 AMS524298 AWO524298 BGK524298 BQG524298 CAC524298 CJY524298 CTU524298 DDQ524298 DNM524298 DXI524298 EHE524298 ERA524298 FAW524298 FKS524298 FUO524298 GEK524298 GOG524298 GYC524298 HHY524298 HRU524298 IBQ524298 ILM524298 IVI524298 JFE524298 JPA524298 JYW524298 KIS524298 KSO524298 LCK524298 LMG524298 LWC524298 MFY524298 MPU524298 MZQ524298 NJM524298 NTI524298 ODE524298 ONA524298 OWW524298 PGS524298 PQO524298 QAK524298 QKG524298 QUC524298 RDY524298 RNU524298 RXQ524298 SHM524298 SRI524298 TBE524298 TLA524298 TUW524298 UES524298 UOO524298 UYK524298 VIG524298 VSC524298 WBY524298 WLU524298 WVQ524298 I589834 JE589834 TA589834 ACW589834 AMS589834 AWO589834 BGK589834 BQG589834 CAC589834 CJY589834 CTU589834 DDQ589834 DNM589834 DXI589834 EHE589834 ERA589834 FAW589834 FKS589834 FUO589834 GEK589834 GOG589834 GYC589834 HHY589834 HRU589834 IBQ589834 ILM589834 IVI589834 JFE589834 JPA589834 JYW589834 KIS589834 KSO589834 LCK589834 LMG589834 LWC589834 MFY589834 MPU589834 MZQ589834 NJM589834 NTI589834 ODE589834 ONA589834 OWW589834 PGS589834 PQO589834 QAK589834 QKG589834 QUC589834 RDY589834 RNU589834 RXQ589834 SHM589834 SRI589834 TBE589834 TLA589834 TUW589834 UES589834 UOO589834 UYK589834 VIG589834 VSC589834 WBY589834 WLU589834 WVQ589834 I655370 JE655370 TA655370 ACW655370 AMS655370 AWO655370 BGK655370 BQG655370 CAC655370 CJY655370 CTU655370 DDQ655370 DNM655370 DXI655370 EHE655370 ERA655370 FAW655370 FKS655370 FUO655370 GEK655370 GOG655370 GYC655370 HHY655370 HRU655370 IBQ655370 ILM655370 IVI655370 JFE655370 JPA655370 JYW655370 KIS655370 KSO655370 LCK655370 LMG655370 LWC655370 MFY655370 MPU655370 MZQ655370 NJM655370 NTI655370 ODE655370 ONA655370 OWW655370 PGS655370 PQO655370 QAK655370 QKG655370 QUC655370 RDY655370 RNU655370 RXQ655370 SHM655370 SRI655370 TBE655370 TLA655370 TUW655370 UES655370 UOO655370 UYK655370 VIG655370 VSC655370 WBY655370 WLU655370 WVQ655370 I720906 JE720906 TA720906 ACW720906 AMS720906 AWO720906 BGK720906 BQG720906 CAC720906 CJY720906 CTU720906 DDQ720906 DNM720906 DXI720906 EHE720906 ERA720906 FAW720906 FKS720906 FUO720906 GEK720906 GOG720906 GYC720906 HHY720906 HRU720906 IBQ720906 ILM720906 IVI720906 JFE720906 JPA720906 JYW720906 KIS720906 KSO720906 LCK720906 LMG720906 LWC720906 MFY720906 MPU720906 MZQ720906 NJM720906 NTI720906 ODE720906 ONA720906 OWW720906 PGS720906 PQO720906 QAK720906 QKG720906 QUC720906 RDY720906 RNU720906 RXQ720906 SHM720906 SRI720906 TBE720906 TLA720906 TUW720906 UES720906 UOO720906 UYK720906 VIG720906 VSC720906 WBY720906 WLU720906 WVQ720906 I786442 JE786442 TA786442 ACW786442 AMS786442 AWO786442 BGK786442 BQG786442 CAC786442 CJY786442 CTU786442 DDQ786442 DNM786442 DXI786442 EHE786442 ERA786442 FAW786442 FKS786442 FUO786442 GEK786442 GOG786442 GYC786442 HHY786442 HRU786442 IBQ786442 ILM786442 IVI786442 JFE786442 JPA786442 JYW786442 KIS786442 KSO786442 LCK786442 LMG786442 LWC786442 MFY786442 MPU786442 MZQ786442 NJM786442 NTI786442 ODE786442 ONA786442 OWW786442 PGS786442 PQO786442 QAK786442 QKG786442 QUC786442 RDY786442 RNU786442 RXQ786442 SHM786442 SRI786442 TBE786442 TLA786442 TUW786442 UES786442 UOO786442 UYK786442 VIG786442 VSC786442 WBY786442 WLU786442 WVQ786442 I851978 JE851978 TA851978 ACW851978 AMS851978 AWO851978 BGK851978 BQG851978 CAC851978 CJY851978 CTU851978 DDQ851978 DNM851978 DXI851978 EHE851978 ERA851978 FAW851978 FKS851978 FUO851978 GEK851978 GOG851978 GYC851978 HHY851978 HRU851978 IBQ851978 ILM851978 IVI851978 JFE851978 JPA851978 JYW851978 KIS851978 KSO851978 LCK851978 LMG851978 LWC851978 MFY851978 MPU851978 MZQ851978 NJM851978 NTI851978 ODE851978 ONA851978 OWW851978 PGS851978 PQO851978 QAK851978 QKG851978 QUC851978 RDY851978 RNU851978 RXQ851978 SHM851978 SRI851978 TBE851978 TLA851978 TUW851978 UES851978 UOO851978 UYK851978 VIG851978 VSC851978 WBY851978 WLU851978 WVQ851978 I917514 JE917514 TA917514 ACW917514 AMS917514 AWO917514 BGK917514 BQG917514 CAC917514 CJY917514 CTU917514 DDQ917514 DNM917514 DXI917514 EHE917514 ERA917514 FAW917514 FKS917514 FUO917514 GEK917514 GOG917514 GYC917514 HHY917514 HRU917514 IBQ917514 ILM917514 IVI917514 JFE917514 JPA917514 JYW917514 KIS917514 KSO917514 LCK917514 LMG917514 LWC917514 MFY917514 MPU917514 MZQ917514 NJM917514 NTI917514 ODE917514 ONA917514 OWW917514 PGS917514 PQO917514 QAK917514 QKG917514 QUC917514 RDY917514 RNU917514 RXQ917514 SHM917514 SRI917514 TBE917514 TLA917514 TUW917514 UES917514 UOO917514 UYK917514 VIG917514 VSC917514 WBY917514 WLU917514 WVQ917514 I983050 JE983050 TA983050 ACW983050 AMS983050 AWO983050 BGK983050 BQG983050 CAC983050 CJY983050 CTU983050 DDQ983050 DNM983050 DXI983050 EHE983050 ERA983050 FAW983050 FKS983050 FUO983050 GEK983050 GOG983050 GYC983050 HHY983050 HRU983050 IBQ983050 ILM983050 IVI983050 JFE983050 JPA983050 JYW983050 KIS983050 KSO983050 LCK983050 LMG983050 LWC983050 MFY983050 MPU983050 MZQ983050 NJM983050 NTI983050 ODE983050 ONA983050 OWW983050 PGS983050 PQO983050 QAK983050 QKG983050 QUC983050 RDY983050 RNU983050 RXQ983050 SHM983050 SRI983050 TBE983050 TLA983050 TUW983050 UES983050 UOO983050 UYK983050 VIG983050 VSC983050 WBY983050 WLU983050" xr:uid="{00000000-0002-0000-0000-000002000000}">
      <formula1>kontrolellereksponeringsklasse</formula1>
    </dataValidation>
    <dataValidation type="list" allowBlank="1" showInputMessage="1" showErrorMessage="1" sqref="WVQ983049 JE9 TA9 ACW9 AMS9 AWO9 BGK9 BQG9 CAC9 CJY9 CTU9 DDQ9 DNM9 DXI9 EHE9 ERA9 FAW9 FKS9 FUO9 GEK9 GOG9 GYC9 HHY9 HRU9 IBQ9 ILM9 IVI9 JFE9 JPA9 JYW9 KIS9 KSO9 LCK9 LMG9 LWC9 MFY9 MPU9 MZQ9 NJM9 NTI9 ODE9 ONA9 OWW9 PGS9 PQO9 QAK9 QKG9 QUC9 RDY9 RNU9 RXQ9 SHM9 SRI9 TBE9 TLA9 TUW9 UES9 UOO9 UYK9 VIG9 VSC9 WBY9 WLU9 WVQ9 I65545 JE65545 TA65545 ACW65545 AMS65545 AWO65545 BGK65545 BQG65545 CAC65545 CJY65545 CTU65545 DDQ65545 DNM65545 DXI65545 EHE65545 ERA65545 FAW65545 FKS65545 FUO65545 GEK65545 GOG65545 GYC65545 HHY65545 HRU65545 IBQ65545 ILM65545 IVI65545 JFE65545 JPA65545 JYW65545 KIS65545 KSO65545 LCK65545 LMG65545 LWC65545 MFY65545 MPU65545 MZQ65545 NJM65545 NTI65545 ODE65545 ONA65545 OWW65545 PGS65545 PQO65545 QAK65545 QKG65545 QUC65545 RDY65545 RNU65545 RXQ65545 SHM65545 SRI65545 TBE65545 TLA65545 TUW65545 UES65545 UOO65545 UYK65545 VIG65545 VSC65545 WBY65545 WLU65545 WVQ65545 I131081 JE131081 TA131081 ACW131081 AMS131081 AWO131081 BGK131081 BQG131081 CAC131081 CJY131081 CTU131081 DDQ131081 DNM131081 DXI131081 EHE131081 ERA131081 FAW131081 FKS131081 FUO131081 GEK131081 GOG131081 GYC131081 HHY131081 HRU131081 IBQ131081 ILM131081 IVI131081 JFE131081 JPA131081 JYW131081 KIS131081 KSO131081 LCK131081 LMG131081 LWC131081 MFY131081 MPU131081 MZQ131081 NJM131081 NTI131081 ODE131081 ONA131081 OWW131081 PGS131081 PQO131081 QAK131081 QKG131081 QUC131081 RDY131081 RNU131081 RXQ131081 SHM131081 SRI131081 TBE131081 TLA131081 TUW131081 UES131081 UOO131081 UYK131081 VIG131081 VSC131081 WBY131081 WLU131081 WVQ131081 I196617 JE196617 TA196617 ACW196617 AMS196617 AWO196617 BGK196617 BQG196617 CAC196617 CJY196617 CTU196617 DDQ196617 DNM196617 DXI196617 EHE196617 ERA196617 FAW196617 FKS196617 FUO196617 GEK196617 GOG196617 GYC196617 HHY196617 HRU196617 IBQ196617 ILM196617 IVI196617 JFE196617 JPA196617 JYW196617 KIS196617 KSO196617 LCK196617 LMG196617 LWC196617 MFY196617 MPU196617 MZQ196617 NJM196617 NTI196617 ODE196617 ONA196617 OWW196617 PGS196617 PQO196617 QAK196617 QKG196617 QUC196617 RDY196617 RNU196617 RXQ196617 SHM196617 SRI196617 TBE196617 TLA196617 TUW196617 UES196617 UOO196617 UYK196617 VIG196617 VSC196617 WBY196617 WLU196617 WVQ196617 I262153 JE262153 TA262153 ACW262153 AMS262153 AWO262153 BGK262153 BQG262153 CAC262153 CJY262153 CTU262153 DDQ262153 DNM262153 DXI262153 EHE262153 ERA262153 FAW262153 FKS262153 FUO262153 GEK262153 GOG262153 GYC262153 HHY262153 HRU262153 IBQ262153 ILM262153 IVI262153 JFE262153 JPA262153 JYW262153 KIS262153 KSO262153 LCK262153 LMG262153 LWC262153 MFY262153 MPU262153 MZQ262153 NJM262153 NTI262153 ODE262153 ONA262153 OWW262153 PGS262153 PQO262153 QAK262153 QKG262153 QUC262153 RDY262153 RNU262153 RXQ262153 SHM262153 SRI262153 TBE262153 TLA262153 TUW262153 UES262153 UOO262153 UYK262153 VIG262153 VSC262153 WBY262153 WLU262153 WVQ262153 I327689 JE327689 TA327689 ACW327689 AMS327689 AWO327689 BGK327689 BQG327689 CAC327689 CJY327689 CTU327689 DDQ327689 DNM327689 DXI327689 EHE327689 ERA327689 FAW327689 FKS327689 FUO327689 GEK327689 GOG327689 GYC327689 HHY327689 HRU327689 IBQ327689 ILM327689 IVI327689 JFE327689 JPA327689 JYW327689 KIS327689 KSO327689 LCK327689 LMG327689 LWC327689 MFY327689 MPU327689 MZQ327689 NJM327689 NTI327689 ODE327689 ONA327689 OWW327689 PGS327689 PQO327689 QAK327689 QKG327689 QUC327689 RDY327689 RNU327689 RXQ327689 SHM327689 SRI327689 TBE327689 TLA327689 TUW327689 UES327689 UOO327689 UYK327689 VIG327689 VSC327689 WBY327689 WLU327689 WVQ327689 I393225 JE393225 TA393225 ACW393225 AMS393225 AWO393225 BGK393225 BQG393225 CAC393225 CJY393225 CTU393225 DDQ393225 DNM393225 DXI393225 EHE393225 ERA393225 FAW393225 FKS393225 FUO393225 GEK393225 GOG393225 GYC393225 HHY393225 HRU393225 IBQ393225 ILM393225 IVI393225 JFE393225 JPA393225 JYW393225 KIS393225 KSO393225 LCK393225 LMG393225 LWC393225 MFY393225 MPU393225 MZQ393225 NJM393225 NTI393225 ODE393225 ONA393225 OWW393225 PGS393225 PQO393225 QAK393225 QKG393225 QUC393225 RDY393225 RNU393225 RXQ393225 SHM393225 SRI393225 TBE393225 TLA393225 TUW393225 UES393225 UOO393225 UYK393225 VIG393225 VSC393225 WBY393225 WLU393225 WVQ393225 I458761 JE458761 TA458761 ACW458761 AMS458761 AWO458761 BGK458761 BQG458761 CAC458761 CJY458761 CTU458761 DDQ458761 DNM458761 DXI458761 EHE458761 ERA458761 FAW458761 FKS458761 FUO458761 GEK458761 GOG458761 GYC458761 HHY458761 HRU458761 IBQ458761 ILM458761 IVI458761 JFE458761 JPA458761 JYW458761 KIS458761 KSO458761 LCK458761 LMG458761 LWC458761 MFY458761 MPU458761 MZQ458761 NJM458761 NTI458761 ODE458761 ONA458761 OWW458761 PGS458761 PQO458761 QAK458761 QKG458761 QUC458761 RDY458761 RNU458761 RXQ458761 SHM458761 SRI458761 TBE458761 TLA458761 TUW458761 UES458761 UOO458761 UYK458761 VIG458761 VSC458761 WBY458761 WLU458761 WVQ458761 I524297 JE524297 TA524297 ACW524297 AMS524297 AWO524297 BGK524297 BQG524297 CAC524297 CJY524297 CTU524297 DDQ524297 DNM524297 DXI524297 EHE524297 ERA524297 FAW524297 FKS524297 FUO524297 GEK524297 GOG524297 GYC524297 HHY524297 HRU524297 IBQ524297 ILM524297 IVI524297 JFE524297 JPA524297 JYW524297 KIS524297 KSO524297 LCK524297 LMG524297 LWC524297 MFY524297 MPU524297 MZQ524297 NJM524297 NTI524297 ODE524297 ONA524297 OWW524297 PGS524297 PQO524297 QAK524297 QKG524297 QUC524297 RDY524297 RNU524297 RXQ524297 SHM524297 SRI524297 TBE524297 TLA524297 TUW524297 UES524297 UOO524297 UYK524297 VIG524297 VSC524297 WBY524297 WLU524297 WVQ524297 I589833 JE589833 TA589833 ACW589833 AMS589833 AWO589833 BGK589833 BQG589833 CAC589833 CJY589833 CTU589833 DDQ589833 DNM589833 DXI589833 EHE589833 ERA589833 FAW589833 FKS589833 FUO589833 GEK589833 GOG589833 GYC589833 HHY589833 HRU589833 IBQ589833 ILM589833 IVI589833 JFE589833 JPA589833 JYW589833 KIS589833 KSO589833 LCK589833 LMG589833 LWC589833 MFY589833 MPU589833 MZQ589833 NJM589833 NTI589833 ODE589833 ONA589833 OWW589833 PGS589833 PQO589833 QAK589833 QKG589833 QUC589833 RDY589833 RNU589833 RXQ589833 SHM589833 SRI589833 TBE589833 TLA589833 TUW589833 UES589833 UOO589833 UYK589833 VIG589833 VSC589833 WBY589833 WLU589833 WVQ589833 I655369 JE655369 TA655369 ACW655369 AMS655369 AWO655369 BGK655369 BQG655369 CAC655369 CJY655369 CTU655369 DDQ655369 DNM655369 DXI655369 EHE655369 ERA655369 FAW655369 FKS655369 FUO655369 GEK655369 GOG655369 GYC655369 HHY655369 HRU655369 IBQ655369 ILM655369 IVI655369 JFE655369 JPA655369 JYW655369 KIS655369 KSO655369 LCK655369 LMG655369 LWC655369 MFY655369 MPU655369 MZQ655369 NJM655369 NTI655369 ODE655369 ONA655369 OWW655369 PGS655369 PQO655369 QAK655369 QKG655369 QUC655369 RDY655369 RNU655369 RXQ655369 SHM655369 SRI655369 TBE655369 TLA655369 TUW655369 UES655369 UOO655369 UYK655369 VIG655369 VSC655369 WBY655369 WLU655369 WVQ655369 I720905 JE720905 TA720905 ACW720905 AMS720905 AWO720905 BGK720905 BQG720905 CAC720905 CJY720905 CTU720905 DDQ720905 DNM720905 DXI720905 EHE720905 ERA720905 FAW720905 FKS720905 FUO720905 GEK720905 GOG720905 GYC720905 HHY720905 HRU720905 IBQ720905 ILM720905 IVI720905 JFE720905 JPA720905 JYW720905 KIS720905 KSO720905 LCK720905 LMG720905 LWC720905 MFY720905 MPU720905 MZQ720905 NJM720905 NTI720905 ODE720905 ONA720905 OWW720905 PGS720905 PQO720905 QAK720905 QKG720905 QUC720905 RDY720905 RNU720905 RXQ720905 SHM720905 SRI720905 TBE720905 TLA720905 TUW720905 UES720905 UOO720905 UYK720905 VIG720905 VSC720905 WBY720905 WLU720905 WVQ720905 I786441 JE786441 TA786441 ACW786441 AMS786441 AWO786441 BGK786441 BQG786441 CAC786441 CJY786441 CTU786441 DDQ786441 DNM786441 DXI786441 EHE786441 ERA786441 FAW786441 FKS786441 FUO786441 GEK786441 GOG786441 GYC786441 HHY786441 HRU786441 IBQ786441 ILM786441 IVI786441 JFE786441 JPA786441 JYW786441 KIS786441 KSO786441 LCK786441 LMG786441 LWC786441 MFY786441 MPU786441 MZQ786441 NJM786441 NTI786441 ODE786441 ONA786441 OWW786441 PGS786441 PQO786441 QAK786441 QKG786441 QUC786441 RDY786441 RNU786441 RXQ786441 SHM786441 SRI786441 TBE786441 TLA786441 TUW786441 UES786441 UOO786441 UYK786441 VIG786441 VSC786441 WBY786441 WLU786441 WVQ786441 I851977 JE851977 TA851977 ACW851977 AMS851977 AWO851977 BGK851977 BQG851977 CAC851977 CJY851977 CTU851977 DDQ851977 DNM851977 DXI851977 EHE851977 ERA851977 FAW851977 FKS851977 FUO851977 GEK851977 GOG851977 GYC851977 HHY851977 HRU851977 IBQ851977 ILM851977 IVI851977 JFE851977 JPA851977 JYW851977 KIS851977 KSO851977 LCK851977 LMG851977 LWC851977 MFY851977 MPU851977 MZQ851977 NJM851977 NTI851977 ODE851977 ONA851977 OWW851977 PGS851977 PQO851977 QAK851977 QKG851977 QUC851977 RDY851977 RNU851977 RXQ851977 SHM851977 SRI851977 TBE851977 TLA851977 TUW851977 UES851977 UOO851977 UYK851977 VIG851977 VSC851977 WBY851977 WLU851977 WVQ851977 I917513 JE917513 TA917513 ACW917513 AMS917513 AWO917513 BGK917513 BQG917513 CAC917513 CJY917513 CTU917513 DDQ917513 DNM917513 DXI917513 EHE917513 ERA917513 FAW917513 FKS917513 FUO917513 GEK917513 GOG917513 GYC917513 HHY917513 HRU917513 IBQ917513 ILM917513 IVI917513 JFE917513 JPA917513 JYW917513 KIS917513 KSO917513 LCK917513 LMG917513 LWC917513 MFY917513 MPU917513 MZQ917513 NJM917513 NTI917513 ODE917513 ONA917513 OWW917513 PGS917513 PQO917513 QAK917513 QKG917513 QUC917513 RDY917513 RNU917513 RXQ917513 SHM917513 SRI917513 TBE917513 TLA917513 TUW917513 UES917513 UOO917513 UYK917513 VIG917513 VSC917513 WBY917513 WLU917513 WVQ917513 I983049 JE983049 TA983049 ACW983049 AMS983049 AWO983049 BGK983049 BQG983049 CAC983049 CJY983049 CTU983049 DDQ983049 DNM983049 DXI983049 EHE983049 ERA983049 FAW983049 FKS983049 FUO983049 GEK983049 GOG983049 GYC983049 HHY983049 HRU983049 IBQ983049 ILM983049 IVI983049 JFE983049 JPA983049 JYW983049 KIS983049 KSO983049 LCK983049 LMG983049 LWC983049 MFY983049 MPU983049 MZQ983049 NJM983049 NTI983049 ODE983049 ONA983049 OWW983049 PGS983049 PQO983049 QAK983049 QKG983049 QUC983049 RDY983049 RNU983049 RXQ983049 SHM983049 SRI983049 TBE983049 TLA983049 TUW983049 UES983049 UOO983049 UYK983049 VIG983049 VSC983049 WBY983049 WLU983049" xr:uid="{00000000-0002-0000-0000-000003000000}">
      <formula1>konsekvensklasse</formula1>
    </dataValidation>
    <dataValidation type="list" allowBlank="1" showInputMessage="1" showErrorMessage="1" sqref="WVQ983051 JE11 TA11 ACW11 AMS11 AWO11 BGK11 BQG11 CAC11 CJY11 CTU11 DDQ11 DNM11 DXI11 EHE11 ERA11 FAW11 FKS11 FUO11 GEK11 GOG11 GYC11 HHY11 HRU11 IBQ11 ILM11 IVI11 JFE11 JPA11 JYW11 KIS11 KSO11 LCK11 LMG11 LWC11 MFY11 MPU11 MZQ11 NJM11 NTI11 ODE11 ONA11 OWW11 PGS11 PQO11 QAK11 QKG11 QUC11 RDY11 RNU11 RXQ11 SHM11 SRI11 TBE11 TLA11 TUW11 UES11 UOO11 UYK11 VIG11 VSC11 WBY11 WLU11 WVQ11 I65547 JE65547 TA65547 ACW65547 AMS65547 AWO65547 BGK65547 BQG65547 CAC65547 CJY65547 CTU65547 DDQ65547 DNM65547 DXI65547 EHE65547 ERA65547 FAW65547 FKS65547 FUO65547 GEK65547 GOG65547 GYC65547 HHY65547 HRU65547 IBQ65547 ILM65547 IVI65547 JFE65547 JPA65547 JYW65547 KIS65547 KSO65547 LCK65547 LMG65547 LWC65547 MFY65547 MPU65547 MZQ65547 NJM65547 NTI65547 ODE65547 ONA65547 OWW65547 PGS65547 PQO65547 QAK65547 QKG65547 QUC65547 RDY65547 RNU65547 RXQ65547 SHM65547 SRI65547 TBE65547 TLA65547 TUW65547 UES65547 UOO65547 UYK65547 VIG65547 VSC65547 WBY65547 WLU65547 WVQ65547 I131083 JE131083 TA131083 ACW131083 AMS131083 AWO131083 BGK131083 BQG131083 CAC131083 CJY131083 CTU131083 DDQ131083 DNM131083 DXI131083 EHE131083 ERA131083 FAW131083 FKS131083 FUO131083 GEK131083 GOG131083 GYC131083 HHY131083 HRU131083 IBQ131083 ILM131083 IVI131083 JFE131083 JPA131083 JYW131083 KIS131083 KSO131083 LCK131083 LMG131083 LWC131083 MFY131083 MPU131083 MZQ131083 NJM131083 NTI131083 ODE131083 ONA131083 OWW131083 PGS131083 PQO131083 QAK131083 QKG131083 QUC131083 RDY131083 RNU131083 RXQ131083 SHM131083 SRI131083 TBE131083 TLA131083 TUW131083 UES131083 UOO131083 UYK131083 VIG131083 VSC131083 WBY131083 WLU131083 WVQ131083 I196619 JE196619 TA196619 ACW196619 AMS196619 AWO196619 BGK196619 BQG196619 CAC196619 CJY196619 CTU196619 DDQ196619 DNM196619 DXI196619 EHE196619 ERA196619 FAW196619 FKS196619 FUO196619 GEK196619 GOG196619 GYC196619 HHY196619 HRU196619 IBQ196619 ILM196619 IVI196619 JFE196619 JPA196619 JYW196619 KIS196619 KSO196619 LCK196619 LMG196619 LWC196619 MFY196619 MPU196619 MZQ196619 NJM196619 NTI196619 ODE196619 ONA196619 OWW196619 PGS196619 PQO196619 QAK196619 QKG196619 QUC196619 RDY196619 RNU196619 RXQ196619 SHM196619 SRI196619 TBE196619 TLA196619 TUW196619 UES196619 UOO196619 UYK196619 VIG196619 VSC196619 WBY196619 WLU196619 WVQ196619 I262155 JE262155 TA262155 ACW262155 AMS262155 AWO262155 BGK262155 BQG262155 CAC262155 CJY262155 CTU262155 DDQ262155 DNM262155 DXI262155 EHE262155 ERA262155 FAW262155 FKS262155 FUO262155 GEK262155 GOG262155 GYC262155 HHY262155 HRU262155 IBQ262155 ILM262155 IVI262155 JFE262155 JPA262155 JYW262155 KIS262155 KSO262155 LCK262155 LMG262155 LWC262155 MFY262155 MPU262155 MZQ262155 NJM262155 NTI262155 ODE262155 ONA262155 OWW262155 PGS262155 PQO262155 QAK262155 QKG262155 QUC262155 RDY262155 RNU262155 RXQ262155 SHM262155 SRI262155 TBE262155 TLA262155 TUW262155 UES262155 UOO262155 UYK262155 VIG262155 VSC262155 WBY262155 WLU262155 WVQ262155 I327691 JE327691 TA327691 ACW327691 AMS327691 AWO327691 BGK327691 BQG327691 CAC327691 CJY327691 CTU327691 DDQ327691 DNM327691 DXI327691 EHE327691 ERA327691 FAW327691 FKS327691 FUO327691 GEK327691 GOG327691 GYC327691 HHY327691 HRU327691 IBQ327691 ILM327691 IVI327691 JFE327691 JPA327691 JYW327691 KIS327691 KSO327691 LCK327691 LMG327691 LWC327691 MFY327691 MPU327691 MZQ327691 NJM327691 NTI327691 ODE327691 ONA327691 OWW327691 PGS327691 PQO327691 QAK327691 QKG327691 QUC327691 RDY327691 RNU327691 RXQ327691 SHM327691 SRI327691 TBE327691 TLA327691 TUW327691 UES327691 UOO327691 UYK327691 VIG327691 VSC327691 WBY327691 WLU327691 WVQ327691 I393227 JE393227 TA393227 ACW393227 AMS393227 AWO393227 BGK393227 BQG393227 CAC393227 CJY393227 CTU393227 DDQ393227 DNM393227 DXI393227 EHE393227 ERA393227 FAW393227 FKS393227 FUO393227 GEK393227 GOG393227 GYC393227 HHY393227 HRU393227 IBQ393227 ILM393227 IVI393227 JFE393227 JPA393227 JYW393227 KIS393227 KSO393227 LCK393227 LMG393227 LWC393227 MFY393227 MPU393227 MZQ393227 NJM393227 NTI393227 ODE393227 ONA393227 OWW393227 PGS393227 PQO393227 QAK393227 QKG393227 QUC393227 RDY393227 RNU393227 RXQ393227 SHM393227 SRI393227 TBE393227 TLA393227 TUW393227 UES393227 UOO393227 UYK393227 VIG393227 VSC393227 WBY393227 WLU393227 WVQ393227 I458763 JE458763 TA458763 ACW458763 AMS458763 AWO458763 BGK458763 BQG458763 CAC458763 CJY458763 CTU458763 DDQ458763 DNM458763 DXI458763 EHE458763 ERA458763 FAW458763 FKS458763 FUO458763 GEK458763 GOG458763 GYC458763 HHY458763 HRU458763 IBQ458763 ILM458763 IVI458763 JFE458763 JPA458763 JYW458763 KIS458763 KSO458763 LCK458763 LMG458763 LWC458763 MFY458763 MPU458763 MZQ458763 NJM458763 NTI458763 ODE458763 ONA458763 OWW458763 PGS458763 PQO458763 QAK458763 QKG458763 QUC458763 RDY458763 RNU458763 RXQ458763 SHM458763 SRI458763 TBE458763 TLA458763 TUW458763 UES458763 UOO458763 UYK458763 VIG458763 VSC458763 WBY458763 WLU458763 WVQ458763 I524299 JE524299 TA524299 ACW524299 AMS524299 AWO524299 BGK524299 BQG524299 CAC524299 CJY524299 CTU524299 DDQ524299 DNM524299 DXI524299 EHE524299 ERA524299 FAW524299 FKS524299 FUO524299 GEK524299 GOG524299 GYC524299 HHY524299 HRU524299 IBQ524299 ILM524299 IVI524299 JFE524299 JPA524299 JYW524299 KIS524299 KSO524299 LCK524299 LMG524299 LWC524299 MFY524299 MPU524299 MZQ524299 NJM524299 NTI524299 ODE524299 ONA524299 OWW524299 PGS524299 PQO524299 QAK524299 QKG524299 QUC524299 RDY524299 RNU524299 RXQ524299 SHM524299 SRI524299 TBE524299 TLA524299 TUW524299 UES524299 UOO524299 UYK524299 VIG524299 VSC524299 WBY524299 WLU524299 WVQ524299 I589835 JE589835 TA589835 ACW589835 AMS589835 AWO589835 BGK589835 BQG589835 CAC589835 CJY589835 CTU589835 DDQ589835 DNM589835 DXI589835 EHE589835 ERA589835 FAW589835 FKS589835 FUO589835 GEK589835 GOG589835 GYC589835 HHY589835 HRU589835 IBQ589835 ILM589835 IVI589835 JFE589835 JPA589835 JYW589835 KIS589835 KSO589835 LCK589835 LMG589835 LWC589835 MFY589835 MPU589835 MZQ589835 NJM589835 NTI589835 ODE589835 ONA589835 OWW589835 PGS589835 PQO589835 QAK589835 QKG589835 QUC589835 RDY589835 RNU589835 RXQ589835 SHM589835 SRI589835 TBE589835 TLA589835 TUW589835 UES589835 UOO589835 UYK589835 VIG589835 VSC589835 WBY589835 WLU589835 WVQ589835 I655371 JE655371 TA655371 ACW655371 AMS655371 AWO655371 BGK655371 BQG655371 CAC655371 CJY655371 CTU655371 DDQ655371 DNM655371 DXI655371 EHE655371 ERA655371 FAW655371 FKS655371 FUO655371 GEK655371 GOG655371 GYC655371 HHY655371 HRU655371 IBQ655371 ILM655371 IVI655371 JFE655371 JPA655371 JYW655371 KIS655371 KSO655371 LCK655371 LMG655371 LWC655371 MFY655371 MPU655371 MZQ655371 NJM655371 NTI655371 ODE655371 ONA655371 OWW655371 PGS655371 PQO655371 QAK655371 QKG655371 QUC655371 RDY655371 RNU655371 RXQ655371 SHM655371 SRI655371 TBE655371 TLA655371 TUW655371 UES655371 UOO655371 UYK655371 VIG655371 VSC655371 WBY655371 WLU655371 WVQ655371 I720907 JE720907 TA720907 ACW720907 AMS720907 AWO720907 BGK720907 BQG720907 CAC720907 CJY720907 CTU720907 DDQ720907 DNM720907 DXI720907 EHE720907 ERA720907 FAW720907 FKS720907 FUO720907 GEK720907 GOG720907 GYC720907 HHY720907 HRU720907 IBQ720907 ILM720907 IVI720907 JFE720907 JPA720907 JYW720907 KIS720907 KSO720907 LCK720907 LMG720907 LWC720907 MFY720907 MPU720907 MZQ720907 NJM720907 NTI720907 ODE720907 ONA720907 OWW720907 PGS720907 PQO720907 QAK720907 QKG720907 QUC720907 RDY720907 RNU720907 RXQ720907 SHM720907 SRI720907 TBE720907 TLA720907 TUW720907 UES720907 UOO720907 UYK720907 VIG720907 VSC720907 WBY720907 WLU720907 WVQ720907 I786443 JE786443 TA786443 ACW786443 AMS786443 AWO786443 BGK786443 BQG786443 CAC786443 CJY786443 CTU786443 DDQ786443 DNM786443 DXI786443 EHE786443 ERA786443 FAW786443 FKS786443 FUO786443 GEK786443 GOG786443 GYC786443 HHY786443 HRU786443 IBQ786443 ILM786443 IVI786443 JFE786443 JPA786443 JYW786443 KIS786443 KSO786443 LCK786443 LMG786443 LWC786443 MFY786443 MPU786443 MZQ786443 NJM786443 NTI786443 ODE786443 ONA786443 OWW786443 PGS786443 PQO786443 QAK786443 QKG786443 QUC786443 RDY786443 RNU786443 RXQ786443 SHM786443 SRI786443 TBE786443 TLA786443 TUW786443 UES786443 UOO786443 UYK786443 VIG786443 VSC786443 WBY786443 WLU786443 WVQ786443 I851979 JE851979 TA851979 ACW851979 AMS851979 AWO851979 BGK851979 BQG851979 CAC851979 CJY851979 CTU851979 DDQ851979 DNM851979 DXI851979 EHE851979 ERA851979 FAW851979 FKS851979 FUO851979 GEK851979 GOG851979 GYC851979 HHY851979 HRU851979 IBQ851979 ILM851979 IVI851979 JFE851979 JPA851979 JYW851979 KIS851979 KSO851979 LCK851979 LMG851979 LWC851979 MFY851979 MPU851979 MZQ851979 NJM851979 NTI851979 ODE851979 ONA851979 OWW851979 PGS851979 PQO851979 QAK851979 QKG851979 QUC851979 RDY851979 RNU851979 RXQ851979 SHM851979 SRI851979 TBE851979 TLA851979 TUW851979 UES851979 UOO851979 UYK851979 VIG851979 VSC851979 WBY851979 WLU851979 WVQ851979 I917515 JE917515 TA917515 ACW917515 AMS917515 AWO917515 BGK917515 BQG917515 CAC917515 CJY917515 CTU917515 DDQ917515 DNM917515 DXI917515 EHE917515 ERA917515 FAW917515 FKS917515 FUO917515 GEK917515 GOG917515 GYC917515 HHY917515 HRU917515 IBQ917515 ILM917515 IVI917515 JFE917515 JPA917515 JYW917515 KIS917515 KSO917515 LCK917515 LMG917515 LWC917515 MFY917515 MPU917515 MZQ917515 NJM917515 NTI917515 ODE917515 ONA917515 OWW917515 PGS917515 PQO917515 QAK917515 QKG917515 QUC917515 RDY917515 RNU917515 RXQ917515 SHM917515 SRI917515 TBE917515 TLA917515 TUW917515 UES917515 UOO917515 UYK917515 VIG917515 VSC917515 WBY917515 WLU917515 WVQ917515 I983051 JE983051 TA983051 ACW983051 AMS983051 AWO983051 BGK983051 BQG983051 CAC983051 CJY983051 CTU983051 DDQ983051 DNM983051 DXI983051 EHE983051 ERA983051 FAW983051 FKS983051 FUO983051 GEK983051 GOG983051 GYC983051 HHY983051 HRU983051 IBQ983051 ILM983051 IVI983051 JFE983051 JPA983051 JYW983051 KIS983051 KSO983051 LCK983051 LMG983051 LWC983051 MFY983051 MPU983051 MZQ983051 NJM983051 NTI983051 ODE983051 ONA983051 OWW983051 PGS983051 PQO983051 QAK983051 QKG983051 QUC983051 RDY983051 RNU983051 RXQ983051 SHM983051 SRI983051 TBE983051 TLA983051 TUW983051 UES983051 UOO983051 UYK983051 VIG983051 VSC983051 WBY983051 WLU983051" xr:uid="{00000000-0002-0000-0000-000004000000}">
      <formula1>miljøklasse</formula1>
    </dataValidation>
    <dataValidation type="list" allowBlank="1" showInputMessage="1" showErrorMessage="1" sqref="WVO983084 JC44 SY44 ACU44 AMQ44 AWM44 BGI44 BQE44 CAA44 CJW44 CTS44 DDO44 DNK44 DXG44 EHC44 EQY44 FAU44 FKQ44 FUM44 GEI44 GOE44 GYA44 HHW44 HRS44 IBO44 ILK44 IVG44 JFC44 JOY44 JYU44 KIQ44 KSM44 LCI44 LME44 LWA44 MFW44 MPS44 MZO44 NJK44 NTG44 ODC44 OMY44 OWU44 PGQ44 PQM44 QAI44 QKE44 QUA44 RDW44 RNS44 RXO44 SHK44 SRG44 TBC44 TKY44 TUU44 UEQ44 UOM44 UYI44 VIE44 VSA44 WBW44 WLS44 WVO44 G65580 JC65580 SY65580 ACU65580 AMQ65580 AWM65580 BGI65580 BQE65580 CAA65580 CJW65580 CTS65580 DDO65580 DNK65580 DXG65580 EHC65580 EQY65580 FAU65580 FKQ65580 FUM65580 GEI65580 GOE65580 GYA65580 HHW65580 HRS65580 IBO65580 ILK65580 IVG65580 JFC65580 JOY65580 JYU65580 KIQ65580 KSM65580 LCI65580 LME65580 LWA65580 MFW65580 MPS65580 MZO65580 NJK65580 NTG65580 ODC65580 OMY65580 OWU65580 PGQ65580 PQM65580 QAI65580 QKE65580 QUA65580 RDW65580 RNS65580 RXO65580 SHK65580 SRG65580 TBC65580 TKY65580 TUU65580 UEQ65580 UOM65580 UYI65580 VIE65580 VSA65580 WBW65580 WLS65580 WVO65580 G131116 JC131116 SY131116 ACU131116 AMQ131116 AWM131116 BGI131116 BQE131116 CAA131116 CJW131116 CTS131116 DDO131116 DNK131116 DXG131116 EHC131116 EQY131116 FAU131116 FKQ131116 FUM131116 GEI131116 GOE131116 GYA131116 HHW131116 HRS131116 IBO131116 ILK131116 IVG131116 JFC131116 JOY131116 JYU131116 KIQ131116 KSM131116 LCI131116 LME131116 LWA131116 MFW131116 MPS131116 MZO131116 NJK131116 NTG131116 ODC131116 OMY131116 OWU131116 PGQ131116 PQM131116 QAI131116 QKE131116 QUA131116 RDW131116 RNS131116 RXO131116 SHK131116 SRG131116 TBC131116 TKY131116 TUU131116 UEQ131116 UOM131116 UYI131116 VIE131116 VSA131116 WBW131116 WLS131116 WVO131116 G196652 JC196652 SY196652 ACU196652 AMQ196652 AWM196652 BGI196652 BQE196652 CAA196652 CJW196652 CTS196652 DDO196652 DNK196652 DXG196652 EHC196652 EQY196652 FAU196652 FKQ196652 FUM196652 GEI196652 GOE196652 GYA196652 HHW196652 HRS196652 IBO196652 ILK196652 IVG196652 JFC196652 JOY196652 JYU196652 KIQ196652 KSM196652 LCI196652 LME196652 LWA196652 MFW196652 MPS196652 MZO196652 NJK196652 NTG196652 ODC196652 OMY196652 OWU196652 PGQ196652 PQM196652 QAI196652 QKE196652 QUA196652 RDW196652 RNS196652 RXO196652 SHK196652 SRG196652 TBC196652 TKY196652 TUU196652 UEQ196652 UOM196652 UYI196652 VIE196652 VSA196652 WBW196652 WLS196652 WVO196652 G262188 JC262188 SY262188 ACU262188 AMQ262188 AWM262188 BGI262188 BQE262188 CAA262188 CJW262188 CTS262188 DDO262188 DNK262188 DXG262188 EHC262188 EQY262188 FAU262188 FKQ262188 FUM262188 GEI262188 GOE262188 GYA262188 HHW262188 HRS262188 IBO262188 ILK262188 IVG262188 JFC262188 JOY262188 JYU262188 KIQ262188 KSM262188 LCI262188 LME262188 LWA262188 MFW262188 MPS262188 MZO262188 NJK262188 NTG262188 ODC262188 OMY262188 OWU262188 PGQ262188 PQM262188 QAI262188 QKE262188 QUA262188 RDW262188 RNS262188 RXO262188 SHK262188 SRG262188 TBC262188 TKY262188 TUU262188 UEQ262188 UOM262188 UYI262188 VIE262188 VSA262188 WBW262188 WLS262188 WVO262188 G327724 JC327724 SY327724 ACU327724 AMQ327724 AWM327724 BGI327724 BQE327724 CAA327724 CJW327724 CTS327724 DDO327724 DNK327724 DXG327724 EHC327724 EQY327724 FAU327724 FKQ327724 FUM327724 GEI327724 GOE327724 GYA327724 HHW327724 HRS327724 IBO327724 ILK327724 IVG327724 JFC327724 JOY327724 JYU327724 KIQ327724 KSM327724 LCI327724 LME327724 LWA327724 MFW327724 MPS327724 MZO327724 NJK327724 NTG327724 ODC327724 OMY327724 OWU327724 PGQ327724 PQM327724 QAI327724 QKE327724 QUA327724 RDW327724 RNS327724 RXO327724 SHK327724 SRG327724 TBC327724 TKY327724 TUU327724 UEQ327724 UOM327724 UYI327724 VIE327724 VSA327724 WBW327724 WLS327724 WVO327724 G393260 JC393260 SY393260 ACU393260 AMQ393260 AWM393260 BGI393260 BQE393260 CAA393260 CJW393260 CTS393260 DDO393260 DNK393260 DXG393260 EHC393260 EQY393260 FAU393260 FKQ393260 FUM393260 GEI393260 GOE393260 GYA393260 HHW393260 HRS393260 IBO393260 ILK393260 IVG393260 JFC393260 JOY393260 JYU393260 KIQ393260 KSM393260 LCI393260 LME393260 LWA393260 MFW393260 MPS393260 MZO393260 NJK393260 NTG393260 ODC393260 OMY393260 OWU393260 PGQ393260 PQM393260 QAI393260 QKE393260 QUA393260 RDW393260 RNS393260 RXO393260 SHK393260 SRG393260 TBC393260 TKY393260 TUU393260 UEQ393260 UOM393260 UYI393260 VIE393260 VSA393260 WBW393260 WLS393260 WVO393260 G458796 JC458796 SY458796 ACU458796 AMQ458796 AWM458796 BGI458796 BQE458796 CAA458796 CJW458796 CTS458796 DDO458796 DNK458796 DXG458796 EHC458796 EQY458796 FAU458796 FKQ458796 FUM458796 GEI458796 GOE458796 GYA458796 HHW458796 HRS458796 IBO458796 ILK458796 IVG458796 JFC458796 JOY458796 JYU458796 KIQ458796 KSM458796 LCI458796 LME458796 LWA458796 MFW458796 MPS458796 MZO458796 NJK458796 NTG458796 ODC458796 OMY458796 OWU458796 PGQ458796 PQM458796 QAI458796 QKE458796 QUA458796 RDW458796 RNS458796 RXO458796 SHK458796 SRG458796 TBC458796 TKY458796 TUU458796 UEQ458796 UOM458796 UYI458796 VIE458796 VSA458796 WBW458796 WLS458796 WVO458796 G524332 JC524332 SY524332 ACU524332 AMQ524332 AWM524332 BGI524332 BQE524332 CAA524332 CJW524332 CTS524332 DDO524332 DNK524332 DXG524332 EHC524332 EQY524332 FAU524332 FKQ524332 FUM524332 GEI524332 GOE524332 GYA524332 HHW524332 HRS524332 IBO524332 ILK524332 IVG524332 JFC524332 JOY524332 JYU524332 KIQ524332 KSM524332 LCI524332 LME524332 LWA524332 MFW524332 MPS524332 MZO524332 NJK524332 NTG524332 ODC524332 OMY524332 OWU524332 PGQ524332 PQM524332 QAI524332 QKE524332 QUA524332 RDW524332 RNS524332 RXO524332 SHK524332 SRG524332 TBC524332 TKY524332 TUU524332 UEQ524332 UOM524332 UYI524332 VIE524332 VSA524332 WBW524332 WLS524332 WVO524332 G589868 JC589868 SY589868 ACU589868 AMQ589868 AWM589868 BGI589868 BQE589868 CAA589868 CJW589868 CTS589868 DDO589868 DNK589868 DXG589868 EHC589868 EQY589868 FAU589868 FKQ589868 FUM589868 GEI589868 GOE589868 GYA589868 HHW589868 HRS589868 IBO589868 ILK589868 IVG589868 JFC589868 JOY589868 JYU589868 KIQ589868 KSM589868 LCI589868 LME589868 LWA589868 MFW589868 MPS589868 MZO589868 NJK589868 NTG589868 ODC589868 OMY589868 OWU589868 PGQ589868 PQM589868 QAI589868 QKE589868 QUA589868 RDW589868 RNS589868 RXO589868 SHK589868 SRG589868 TBC589868 TKY589868 TUU589868 UEQ589868 UOM589868 UYI589868 VIE589868 VSA589868 WBW589868 WLS589868 WVO589868 G655404 JC655404 SY655404 ACU655404 AMQ655404 AWM655404 BGI655404 BQE655404 CAA655404 CJW655404 CTS655404 DDO655404 DNK655404 DXG655404 EHC655404 EQY655404 FAU655404 FKQ655404 FUM655404 GEI655404 GOE655404 GYA655404 HHW655404 HRS655404 IBO655404 ILK655404 IVG655404 JFC655404 JOY655404 JYU655404 KIQ655404 KSM655404 LCI655404 LME655404 LWA655404 MFW655404 MPS655404 MZO655404 NJK655404 NTG655404 ODC655404 OMY655404 OWU655404 PGQ655404 PQM655404 QAI655404 QKE655404 QUA655404 RDW655404 RNS655404 RXO655404 SHK655404 SRG655404 TBC655404 TKY655404 TUU655404 UEQ655404 UOM655404 UYI655404 VIE655404 VSA655404 WBW655404 WLS655404 WVO655404 G720940 JC720940 SY720940 ACU720940 AMQ720940 AWM720940 BGI720940 BQE720940 CAA720940 CJW720940 CTS720940 DDO720940 DNK720940 DXG720940 EHC720940 EQY720940 FAU720940 FKQ720940 FUM720940 GEI720940 GOE720940 GYA720940 HHW720940 HRS720940 IBO720940 ILK720940 IVG720940 JFC720940 JOY720940 JYU720940 KIQ720940 KSM720940 LCI720940 LME720940 LWA720940 MFW720940 MPS720940 MZO720940 NJK720940 NTG720940 ODC720940 OMY720940 OWU720940 PGQ720940 PQM720940 QAI720940 QKE720940 QUA720940 RDW720940 RNS720940 RXO720940 SHK720940 SRG720940 TBC720940 TKY720940 TUU720940 UEQ720940 UOM720940 UYI720940 VIE720940 VSA720940 WBW720940 WLS720940 WVO720940 G786476 JC786476 SY786476 ACU786476 AMQ786476 AWM786476 BGI786476 BQE786476 CAA786476 CJW786476 CTS786476 DDO786476 DNK786476 DXG786476 EHC786476 EQY786476 FAU786476 FKQ786476 FUM786476 GEI786476 GOE786476 GYA786476 HHW786476 HRS786476 IBO786476 ILK786476 IVG786476 JFC786476 JOY786476 JYU786476 KIQ786476 KSM786476 LCI786476 LME786476 LWA786476 MFW786476 MPS786476 MZO786476 NJK786476 NTG786476 ODC786476 OMY786476 OWU786476 PGQ786476 PQM786476 QAI786476 QKE786476 QUA786476 RDW786476 RNS786476 RXO786476 SHK786476 SRG786476 TBC786476 TKY786476 TUU786476 UEQ786476 UOM786476 UYI786476 VIE786476 VSA786476 WBW786476 WLS786476 WVO786476 G852012 JC852012 SY852012 ACU852012 AMQ852012 AWM852012 BGI852012 BQE852012 CAA852012 CJW852012 CTS852012 DDO852012 DNK852012 DXG852012 EHC852012 EQY852012 FAU852012 FKQ852012 FUM852012 GEI852012 GOE852012 GYA852012 HHW852012 HRS852012 IBO852012 ILK852012 IVG852012 JFC852012 JOY852012 JYU852012 KIQ852012 KSM852012 LCI852012 LME852012 LWA852012 MFW852012 MPS852012 MZO852012 NJK852012 NTG852012 ODC852012 OMY852012 OWU852012 PGQ852012 PQM852012 QAI852012 QKE852012 QUA852012 RDW852012 RNS852012 RXO852012 SHK852012 SRG852012 TBC852012 TKY852012 TUU852012 UEQ852012 UOM852012 UYI852012 VIE852012 VSA852012 WBW852012 WLS852012 WVO852012 G917548 JC917548 SY917548 ACU917548 AMQ917548 AWM917548 BGI917548 BQE917548 CAA917548 CJW917548 CTS917548 DDO917548 DNK917548 DXG917548 EHC917548 EQY917548 FAU917548 FKQ917548 FUM917548 GEI917548 GOE917548 GYA917548 HHW917548 HRS917548 IBO917548 ILK917548 IVG917548 JFC917548 JOY917548 JYU917548 KIQ917548 KSM917548 LCI917548 LME917548 LWA917548 MFW917548 MPS917548 MZO917548 NJK917548 NTG917548 ODC917548 OMY917548 OWU917548 PGQ917548 PQM917548 QAI917548 QKE917548 QUA917548 RDW917548 RNS917548 RXO917548 SHK917548 SRG917548 TBC917548 TKY917548 TUU917548 UEQ917548 UOM917548 UYI917548 VIE917548 VSA917548 WBW917548 WLS917548 WVO917548 G983084 JC983084 SY983084 ACU983084 AMQ983084 AWM983084 BGI983084 BQE983084 CAA983084 CJW983084 CTS983084 DDO983084 DNK983084 DXG983084 EHC983084 EQY983084 FAU983084 FKQ983084 FUM983084 GEI983084 GOE983084 GYA983084 HHW983084 HRS983084 IBO983084 ILK983084 IVG983084 JFC983084 JOY983084 JYU983084 KIQ983084 KSM983084 LCI983084 LME983084 LWA983084 MFW983084 MPS983084 MZO983084 NJK983084 NTG983084 ODC983084 OMY983084 OWU983084 PGQ983084 PQM983084 QAI983084 QKE983084 QUA983084 RDW983084 RNS983084 RXO983084 SHK983084 SRG983084 TBC983084 TKY983084 TUU983084 UEQ983084 UOM983084 UYI983084 VIE983084 VSA983084 WBW983084 WLS983084" xr:uid="{00000000-0002-0000-0000-000005000000}">
      <formula1>nyttelastkategori</formula1>
    </dataValidation>
    <dataValidation type="list" allowBlank="1" showInputMessage="1" showErrorMessage="1" sqref="WCD983159 JK76 TG76 ADC76 AMY76 AWU76 BGQ76 BQM76 CAI76 CKE76 CUA76 DDW76 DNS76 DXO76 EHK76 ERG76 FBC76 FKY76 FUU76 GEQ76 GOM76 GYI76 HIE76 HSA76 IBW76 ILS76 IVO76 JFK76 JPG76 JZC76 KIY76 KSU76 LCQ76 LMM76 LWI76 MGE76 MQA76 MZW76 NJS76 NTO76 ODK76 ONG76 OXC76 PGY76 PQU76 QAQ76 QKM76 QUI76 REE76 ROA76 RXW76 SHS76 SRO76 TBK76 TLG76 TVC76 UEY76 UOU76 UYQ76 VIM76 VSI76 WCE76 WMA76 WVW76 O65612 JK65612 TG65612 ADC65612 AMY65612 AWU65612 BGQ65612 BQM65612 CAI65612 CKE65612 CUA65612 DDW65612 DNS65612 DXO65612 EHK65612 ERG65612 FBC65612 FKY65612 FUU65612 GEQ65612 GOM65612 GYI65612 HIE65612 HSA65612 IBW65612 ILS65612 IVO65612 JFK65612 JPG65612 JZC65612 KIY65612 KSU65612 LCQ65612 LMM65612 LWI65612 MGE65612 MQA65612 MZW65612 NJS65612 NTO65612 ODK65612 ONG65612 OXC65612 PGY65612 PQU65612 QAQ65612 QKM65612 QUI65612 REE65612 ROA65612 RXW65612 SHS65612 SRO65612 TBK65612 TLG65612 TVC65612 UEY65612 UOU65612 UYQ65612 VIM65612 VSI65612 WCE65612 WMA65612 WVW65612 O131148 JK131148 TG131148 ADC131148 AMY131148 AWU131148 BGQ131148 BQM131148 CAI131148 CKE131148 CUA131148 DDW131148 DNS131148 DXO131148 EHK131148 ERG131148 FBC131148 FKY131148 FUU131148 GEQ131148 GOM131148 GYI131148 HIE131148 HSA131148 IBW131148 ILS131148 IVO131148 JFK131148 JPG131148 JZC131148 KIY131148 KSU131148 LCQ131148 LMM131148 LWI131148 MGE131148 MQA131148 MZW131148 NJS131148 NTO131148 ODK131148 ONG131148 OXC131148 PGY131148 PQU131148 QAQ131148 QKM131148 QUI131148 REE131148 ROA131148 RXW131148 SHS131148 SRO131148 TBK131148 TLG131148 TVC131148 UEY131148 UOU131148 UYQ131148 VIM131148 VSI131148 WCE131148 WMA131148 WVW131148 O196684 JK196684 TG196684 ADC196684 AMY196684 AWU196684 BGQ196684 BQM196684 CAI196684 CKE196684 CUA196684 DDW196684 DNS196684 DXO196684 EHK196684 ERG196684 FBC196684 FKY196684 FUU196684 GEQ196684 GOM196684 GYI196684 HIE196684 HSA196684 IBW196684 ILS196684 IVO196684 JFK196684 JPG196684 JZC196684 KIY196684 KSU196684 LCQ196684 LMM196684 LWI196684 MGE196684 MQA196684 MZW196684 NJS196684 NTO196684 ODK196684 ONG196684 OXC196684 PGY196684 PQU196684 QAQ196684 QKM196684 QUI196684 REE196684 ROA196684 RXW196684 SHS196684 SRO196684 TBK196684 TLG196684 TVC196684 UEY196684 UOU196684 UYQ196684 VIM196684 VSI196684 WCE196684 WMA196684 WVW196684 O262220 JK262220 TG262220 ADC262220 AMY262220 AWU262220 BGQ262220 BQM262220 CAI262220 CKE262220 CUA262220 DDW262220 DNS262220 DXO262220 EHK262220 ERG262220 FBC262220 FKY262220 FUU262220 GEQ262220 GOM262220 GYI262220 HIE262220 HSA262220 IBW262220 ILS262220 IVO262220 JFK262220 JPG262220 JZC262220 KIY262220 KSU262220 LCQ262220 LMM262220 LWI262220 MGE262220 MQA262220 MZW262220 NJS262220 NTO262220 ODK262220 ONG262220 OXC262220 PGY262220 PQU262220 QAQ262220 QKM262220 QUI262220 REE262220 ROA262220 RXW262220 SHS262220 SRO262220 TBK262220 TLG262220 TVC262220 UEY262220 UOU262220 UYQ262220 VIM262220 VSI262220 WCE262220 WMA262220 WVW262220 O327756 JK327756 TG327756 ADC327756 AMY327756 AWU327756 BGQ327756 BQM327756 CAI327756 CKE327756 CUA327756 DDW327756 DNS327756 DXO327756 EHK327756 ERG327756 FBC327756 FKY327756 FUU327756 GEQ327756 GOM327756 GYI327756 HIE327756 HSA327756 IBW327756 ILS327756 IVO327756 JFK327756 JPG327756 JZC327756 KIY327756 KSU327756 LCQ327756 LMM327756 LWI327756 MGE327756 MQA327756 MZW327756 NJS327756 NTO327756 ODK327756 ONG327756 OXC327756 PGY327756 PQU327756 QAQ327756 QKM327756 QUI327756 REE327756 ROA327756 RXW327756 SHS327756 SRO327756 TBK327756 TLG327756 TVC327756 UEY327756 UOU327756 UYQ327756 VIM327756 VSI327756 WCE327756 WMA327756 WVW327756 O393292 JK393292 TG393292 ADC393292 AMY393292 AWU393292 BGQ393292 BQM393292 CAI393292 CKE393292 CUA393292 DDW393292 DNS393292 DXO393292 EHK393292 ERG393292 FBC393292 FKY393292 FUU393292 GEQ393292 GOM393292 GYI393292 HIE393292 HSA393292 IBW393292 ILS393292 IVO393292 JFK393292 JPG393292 JZC393292 KIY393292 KSU393292 LCQ393292 LMM393292 LWI393292 MGE393292 MQA393292 MZW393292 NJS393292 NTO393292 ODK393292 ONG393292 OXC393292 PGY393292 PQU393292 QAQ393292 QKM393292 QUI393292 REE393292 ROA393292 RXW393292 SHS393292 SRO393292 TBK393292 TLG393292 TVC393292 UEY393292 UOU393292 UYQ393292 VIM393292 VSI393292 WCE393292 WMA393292 WVW393292 O458828 JK458828 TG458828 ADC458828 AMY458828 AWU458828 BGQ458828 BQM458828 CAI458828 CKE458828 CUA458828 DDW458828 DNS458828 DXO458828 EHK458828 ERG458828 FBC458828 FKY458828 FUU458828 GEQ458828 GOM458828 GYI458828 HIE458828 HSA458828 IBW458828 ILS458828 IVO458828 JFK458828 JPG458828 JZC458828 KIY458828 KSU458828 LCQ458828 LMM458828 LWI458828 MGE458828 MQA458828 MZW458828 NJS458828 NTO458828 ODK458828 ONG458828 OXC458828 PGY458828 PQU458828 QAQ458828 QKM458828 QUI458828 REE458828 ROA458828 RXW458828 SHS458828 SRO458828 TBK458828 TLG458828 TVC458828 UEY458828 UOU458828 UYQ458828 VIM458828 VSI458828 WCE458828 WMA458828 WVW458828 O524364 JK524364 TG524364 ADC524364 AMY524364 AWU524364 BGQ524364 BQM524364 CAI524364 CKE524364 CUA524364 DDW524364 DNS524364 DXO524364 EHK524364 ERG524364 FBC524364 FKY524364 FUU524364 GEQ524364 GOM524364 GYI524364 HIE524364 HSA524364 IBW524364 ILS524364 IVO524364 JFK524364 JPG524364 JZC524364 KIY524364 KSU524364 LCQ524364 LMM524364 LWI524364 MGE524364 MQA524364 MZW524364 NJS524364 NTO524364 ODK524364 ONG524364 OXC524364 PGY524364 PQU524364 QAQ524364 QKM524364 QUI524364 REE524364 ROA524364 RXW524364 SHS524364 SRO524364 TBK524364 TLG524364 TVC524364 UEY524364 UOU524364 UYQ524364 VIM524364 VSI524364 WCE524364 WMA524364 WVW524364 O589900 JK589900 TG589900 ADC589900 AMY589900 AWU589900 BGQ589900 BQM589900 CAI589900 CKE589900 CUA589900 DDW589900 DNS589900 DXO589900 EHK589900 ERG589900 FBC589900 FKY589900 FUU589900 GEQ589900 GOM589900 GYI589900 HIE589900 HSA589900 IBW589900 ILS589900 IVO589900 JFK589900 JPG589900 JZC589900 KIY589900 KSU589900 LCQ589900 LMM589900 LWI589900 MGE589900 MQA589900 MZW589900 NJS589900 NTO589900 ODK589900 ONG589900 OXC589900 PGY589900 PQU589900 QAQ589900 QKM589900 QUI589900 REE589900 ROA589900 RXW589900 SHS589900 SRO589900 TBK589900 TLG589900 TVC589900 UEY589900 UOU589900 UYQ589900 VIM589900 VSI589900 WCE589900 WMA589900 WVW589900 O655436 JK655436 TG655436 ADC655436 AMY655436 AWU655436 BGQ655436 BQM655436 CAI655436 CKE655436 CUA655436 DDW655436 DNS655436 DXO655436 EHK655436 ERG655436 FBC655436 FKY655436 FUU655436 GEQ655436 GOM655436 GYI655436 HIE655436 HSA655436 IBW655436 ILS655436 IVO655436 JFK655436 JPG655436 JZC655436 KIY655436 KSU655436 LCQ655436 LMM655436 LWI655436 MGE655436 MQA655436 MZW655436 NJS655436 NTO655436 ODK655436 ONG655436 OXC655436 PGY655436 PQU655436 QAQ655436 QKM655436 QUI655436 REE655436 ROA655436 RXW655436 SHS655436 SRO655436 TBK655436 TLG655436 TVC655436 UEY655436 UOU655436 UYQ655436 VIM655436 VSI655436 WCE655436 WMA655436 WVW655436 O720972 JK720972 TG720972 ADC720972 AMY720972 AWU720972 BGQ720972 BQM720972 CAI720972 CKE720972 CUA720972 DDW720972 DNS720972 DXO720972 EHK720972 ERG720972 FBC720972 FKY720972 FUU720972 GEQ720972 GOM720972 GYI720972 HIE720972 HSA720972 IBW720972 ILS720972 IVO720972 JFK720972 JPG720972 JZC720972 KIY720972 KSU720972 LCQ720972 LMM720972 LWI720972 MGE720972 MQA720972 MZW720972 NJS720972 NTO720972 ODK720972 ONG720972 OXC720972 PGY720972 PQU720972 QAQ720972 QKM720972 QUI720972 REE720972 ROA720972 RXW720972 SHS720972 SRO720972 TBK720972 TLG720972 TVC720972 UEY720972 UOU720972 UYQ720972 VIM720972 VSI720972 WCE720972 WMA720972 WVW720972 O786508 JK786508 TG786508 ADC786508 AMY786508 AWU786508 BGQ786508 BQM786508 CAI786508 CKE786508 CUA786508 DDW786508 DNS786508 DXO786508 EHK786508 ERG786508 FBC786508 FKY786508 FUU786508 GEQ786508 GOM786508 GYI786508 HIE786508 HSA786508 IBW786508 ILS786508 IVO786508 JFK786508 JPG786508 JZC786508 KIY786508 KSU786508 LCQ786508 LMM786508 LWI786508 MGE786508 MQA786508 MZW786508 NJS786508 NTO786508 ODK786508 ONG786508 OXC786508 PGY786508 PQU786508 QAQ786508 QKM786508 QUI786508 REE786508 ROA786508 RXW786508 SHS786508 SRO786508 TBK786508 TLG786508 TVC786508 UEY786508 UOU786508 UYQ786508 VIM786508 VSI786508 WCE786508 WMA786508 WVW786508 O852044 JK852044 TG852044 ADC852044 AMY852044 AWU852044 BGQ852044 BQM852044 CAI852044 CKE852044 CUA852044 DDW852044 DNS852044 DXO852044 EHK852044 ERG852044 FBC852044 FKY852044 FUU852044 GEQ852044 GOM852044 GYI852044 HIE852044 HSA852044 IBW852044 ILS852044 IVO852044 JFK852044 JPG852044 JZC852044 KIY852044 KSU852044 LCQ852044 LMM852044 LWI852044 MGE852044 MQA852044 MZW852044 NJS852044 NTO852044 ODK852044 ONG852044 OXC852044 PGY852044 PQU852044 QAQ852044 QKM852044 QUI852044 REE852044 ROA852044 RXW852044 SHS852044 SRO852044 TBK852044 TLG852044 TVC852044 UEY852044 UOU852044 UYQ852044 VIM852044 VSI852044 WCE852044 WMA852044 WVW852044 O917580 JK917580 TG917580 ADC917580 AMY917580 AWU917580 BGQ917580 BQM917580 CAI917580 CKE917580 CUA917580 DDW917580 DNS917580 DXO917580 EHK917580 ERG917580 FBC917580 FKY917580 FUU917580 GEQ917580 GOM917580 GYI917580 HIE917580 HSA917580 IBW917580 ILS917580 IVO917580 JFK917580 JPG917580 JZC917580 KIY917580 KSU917580 LCQ917580 LMM917580 LWI917580 MGE917580 MQA917580 MZW917580 NJS917580 NTO917580 ODK917580 ONG917580 OXC917580 PGY917580 PQU917580 QAQ917580 QKM917580 QUI917580 REE917580 ROA917580 RXW917580 SHS917580 SRO917580 TBK917580 TLG917580 TVC917580 UEY917580 UOU917580 UYQ917580 VIM917580 VSI917580 WCE917580 WMA917580 WVW917580 O983116 JK983116 TG983116 ADC983116 AMY983116 AWU983116 BGQ983116 BQM983116 CAI983116 CKE983116 CUA983116 DDW983116 DNS983116 DXO983116 EHK983116 ERG983116 FBC983116 FKY983116 FUU983116 GEQ983116 GOM983116 GYI983116 HIE983116 HSA983116 IBW983116 ILS983116 IVO983116 JFK983116 JPG983116 JZC983116 KIY983116 KSU983116 LCQ983116 LMM983116 LWI983116 MGE983116 MQA983116 MZW983116 NJS983116 NTO983116 ODK983116 ONG983116 OXC983116 PGY983116 PQU983116 QAQ983116 QKM983116 QUI983116 REE983116 ROA983116 RXW983116 SHS983116 SRO983116 TBK983116 TLG983116 TVC983116 UEY983116 UOU983116 UYQ983116 VIM983116 VSI983116 WCE983116 WMA983116 WVW983116 WLZ983159 JJ37:JK37 TF37:TG37 ADB37:ADC37 AMX37:AMY37 AWT37:AWU37 BGP37:BGQ37 BQL37:BQM37 CAH37:CAI37 CKD37:CKE37 CTZ37:CUA37 DDV37:DDW37 DNR37:DNS37 DXN37:DXO37 EHJ37:EHK37 ERF37:ERG37 FBB37:FBC37 FKX37:FKY37 FUT37:FUU37 GEP37:GEQ37 GOL37:GOM37 GYH37:GYI37 HID37:HIE37 HRZ37:HSA37 IBV37:IBW37 ILR37:ILS37 IVN37:IVO37 JFJ37:JFK37 JPF37:JPG37 JZB37:JZC37 KIX37:KIY37 KST37:KSU37 LCP37:LCQ37 LML37:LMM37 LWH37:LWI37 MGD37:MGE37 MPZ37:MQA37 MZV37:MZW37 NJR37:NJS37 NTN37:NTO37 ODJ37:ODK37 ONF37:ONG37 OXB37:OXC37 PGX37:PGY37 PQT37:PQU37 QAP37:QAQ37 QKL37:QKM37 QUH37:QUI37 RED37:REE37 RNZ37:ROA37 RXV37:RXW37 SHR37:SHS37 SRN37:SRO37 TBJ37:TBK37 TLF37:TLG37 TVB37:TVC37 UEX37:UEY37 UOT37:UOU37 UYP37:UYQ37 VIL37:VIM37 VSH37:VSI37 WCD37:WCE37 WLZ37:WMA37 WVV37:WVW37 N65573:O65573 JJ65573:JK65573 TF65573:TG65573 ADB65573:ADC65573 AMX65573:AMY65573 AWT65573:AWU65573 BGP65573:BGQ65573 BQL65573:BQM65573 CAH65573:CAI65573 CKD65573:CKE65573 CTZ65573:CUA65573 DDV65573:DDW65573 DNR65573:DNS65573 DXN65573:DXO65573 EHJ65573:EHK65573 ERF65573:ERG65573 FBB65573:FBC65573 FKX65573:FKY65573 FUT65573:FUU65573 GEP65573:GEQ65573 GOL65573:GOM65573 GYH65573:GYI65573 HID65573:HIE65573 HRZ65573:HSA65573 IBV65573:IBW65573 ILR65573:ILS65573 IVN65573:IVO65573 JFJ65573:JFK65573 JPF65573:JPG65573 JZB65573:JZC65573 KIX65573:KIY65573 KST65573:KSU65573 LCP65573:LCQ65573 LML65573:LMM65573 LWH65573:LWI65573 MGD65573:MGE65573 MPZ65573:MQA65573 MZV65573:MZW65573 NJR65573:NJS65573 NTN65573:NTO65573 ODJ65573:ODK65573 ONF65573:ONG65573 OXB65573:OXC65573 PGX65573:PGY65573 PQT65573:PQU65573 QAP65573:QAQ65573 QKL65573:QKM65573 QUH65573:QUI65573 RED65573:REE65573 RNZ65573:ROA65573 RXV65573:RXW65573 SHR65573:SHS65573 SRN65573:SRO65573 TBJ65573:TBK65573 TLF65573:TLG65573 TVB65573:TVC65573 UEX65573:UEY65573 UOT65573:UOU65573 UYP65573:UYQ65573 VIL65573:VIM65573 VSH65573:VSI65573 WCD65573:WCE65573 WLZ65573:WMA65573 WVV65573:WVW65573 N131109:O131109 JJ131109:JK131109 TF131109:TG131109 ADB131109:ADC131109 AMX131109:AMY131109 AWT131109:AWU131109 BGP131109:BGQ131109 BQL131109:BQM131109 CAH131109:CAI131109 CKD131109:CKE131109 CTZ131109:CUA131109 DDV131109:DDW131109 DNR131109:DNS131109 DXN131109:DXO131109 EHJ131109:EHK131109 ERF131109:ERG131109 FBB131109:FBC131109 FKX131109:FKY131109 FUT131109:FUU131109 GEP131109:GEQ131109 GOL131109:GOM131109 GYH131109:GYI131109 HID131109:HIE131109 HRZ131109:HSA131109 IBV131109:IBW131109 ILR131109:ILS131109 IVN131109:IVO131109 JFJ131109:JFK131109 JPF131109:JPG131109 JZB131109:JZC131109 KIX131109:KIY131109 KST131109:KSU131109 LCP131109:LCQ131109 LML131109:LMM131109 LWH131109:LWI131109 MGD131109:MGE131109 MPZ131109:MQA131109 MZV131109:MZW131109 NJR131109:NJS131109 NTN131109:NTO131109 ODJ131109:ODK131109 ONF131109:ONG131109 OXB131109:OXC131109 PGX131109:PGY131109 PQT131109:PQU131109 QAP131109:QAQ131109 QKL131109:QKM131109 QUH131109:QUI131109 RED131109:REE131109 RNZ131109:ROA131109 RXV131109:RXW131109 SHR131109:SHS131109 SRN131109:SRO131109 TBJ131109:TBK131109 TLF131109:TLG131109 TVB131109:TVC131109 UEX131109:UEY131109 UOT131109:UOU131109 UYP131109:UYQ131109 VIL131109:VIM131109 VSH131109:VSI131109 WCD131109:WCE131109 WLZ131109:WMA131109 WVV131109:WVW131109 N196645:O196645 JJ196645:JK196645 TF196645:TG196645 ADB196645:ADC196645 AMX196645:AMY196645 AWT196645:AWU196645 BGP196645:BGQ196645 BQL196645:BQM196645 CAH196645:CAI196645 CKD196645:CKE196645 CTZ196645:CUA196645 DDV196645:DDW196645 DNR196645:DNS196645 DXN196645:DXO196645 EHJ196645:EHK196645 ERF196645:ERG196645 FBB196645:FBC196645 FKX196645:FKY196645 FUT196645:FUU196645 GEP196645:GEQ196645 GOL196645:GOM196645 GYH196645:GYI196645 HID196645:HIE196645 HRZ196645:HSA196645 IBV196645:IBW196645 ILR196645:ILS196645 IVN196645:IVO196645 JFJ196645:JFK196645 JPF196645:JPG196645 JZB196645:JZC196645 KIX196645:KIY196645 KST196645:KSU196645 LCP196645:LCQ196645 LML196645:LMM196645 LWH196645:LWI196645 MGD196645:MGE196645 MPZ196645:MQA196645 MZV196645:MZW196645 NJR196645:NJS196645 NTN196645:NTO196645 ODJ196645:ODK196645 ONF196645:ONG196645 OXB196645:OXC196645 PGX196645:PGY196645 PQT196645:PQU196645 QAP196645:QAQ196645 QKL196645:QKM196645 QUH196645:QUI196645 RED196645:REE196645 RNZ196645:ROA196645 RXV196645:RXW196645 SHR196645:SHS196645 SRN196645:SRO196645 TBJ196645:TBK196645 TLF196645:TLG196645 TVB196645:TVC196645 UEX196645:UEY196645 UOT196645:UOU196645 UYP196645:UYQ196645 VIL196645:VIM196645 VSH196645:VSI196645 WCD196645:WCE196645 WLZ196645:WMA196645 WVV196645:WVW196645 N262181:O262181 JJ262181:JK262181 TF262181:TG262181 ADB262181:ADC262181 AMX262181:AMY262181 AWT262181:AWU262181 BGP262181:BGQ262181 BQL262181:BQM262181 CAH262181:CAI262181 CKD262181:CKE262181 CTZ262181:CUA262181 DDV262181:DDW262181 DNR262181:DNS262181 DXN262181:DXO262181 EHJ262181:EHK262181 ERF262181:ERG262181 FBB262181:FBC262181 FKX262181:FKY262181 FUT262181:FUU262181 GEP262181:GEQ262181 GOL262181:GOM262181 GYH262181:GYI262181 HID262181:HIE262181 HRZ262181:HSA262181 IBV262181:IBW262181 ILR262181:ILS262181 IVN262181:IVO262181 JFJ262181:JFK262181 JPF262181:JPG262181 JZB262181:JZC262181 KIX262181:KIY262181 KST262181:KSU262181 LCP262181:LCQ262181 LML262181:LMM262181 LWH262181:LWI262181 MGD262181:MGE262181 MPZ262181:MQA262181 MZV262181:MZW262181 NJR262181:NJS262181 NTN262181:NTO262181 ODJ262181:ODK262181 ONF262181:ONG262181 OXB262181:OXC262181 PGX262181:PGY262181 PQT262181:PQU262181 QAP262181:QAQ262181 QKL262181:QKM262181 QUH262181:QUI262181 RED262181:REE262181 RNZ262181:ROA262181 RXV262181:RXW262181 SHR262181:SHS262181 SRN262181:SRO262181 TBJ262181:TBK262181 TLF262181:TLG262181 TVB262181:TVC262181 UEX262181:UEY262181 UOT262181:UOU262181 UYP262181:UYQ262181 VIL262181:VIM262181 VSH262181:VSI262181 WCD262181:WCE262181 WLZ262181:WMA262181 WVV262181:WVW262181 N327717:O327717 JJ327717:JK327717 TF327717:TG327717 ADB327717:ADC327717 AMX327717:AMY327717 AWT327717:AWU327717 BGP327717:BGQ327717 BQL327717:BQM327717 CAH327717:CAI327717 CKD327717:CKE327717 CTZ327717:CUA327717 DDV327717:DDW327717 DNR327717:DNS327717 DXN327717:DXO327717 EHJ327717:EHK327717 ERF327717:ERG327717 FBB327717:FBC327717 FKX327717:FKY327717 FUT327717:FUU327717 GEP327717:GEQ327717 GOL327717:GOM327717 GYH327717:GYI327717 HID327717:HIE327717 HRZ327717:HSA327717 IBV327717:IBW327717 ILR327717:ILS327717 IVN327717:IVO327717 JFJ327717:JFK327717 JPF327717:JPG327717 JZB327717:JZC327717 KIX327717:KIY327717 KST327717:KSU327717 LCP327717:LCQ327717 LML327717:LMM327717 LWH327717:LWI327717 MGD327717:MGE327717 MPZ327717:MQA327717 MZV327717:MZW327717 NJR327717:NJS327717 NTN327717:NTO327717 ODJ327717:ODK327717 ONF327717:ONG327717 OXB327717:OXC327717 PGX327717:PGY327717 PQT327717:PQU327717 QAP327717:QAQ327717 QKL327717:QKM327717 QUH327717:QUI327717 RED327717:REE327717 RNZ327717:ROA327717 RXV327717:RXW327717 SHR327717:SHS327717 SRN327717:SRO327717 TBJ327717:TBK327717 TLF327717:TLG327717 TVB327717:TVC327717 UEX327717:UEY327717 UOT327717:UOU327717 UYP327717:UYQ327717 VIL327717:VIM327717 VSH327717:VSI327717 WCD327717:WCE327717 WLZ327717:WMA327717 WVV327717:WVW327717 N393253:O393253 JJ393253:JK393253 TF393253:TG393253 ADB393253:ADC393253 AMX393253:AMY393253 AWT393253:AWU393253 BGP393253:BGQ393253 BQL393253:BQM393253 CAH393253:CAI393253 CKD393253:CKE393253 CTZ393253:CUA393253 DDV393253:DDW393253 DNR393253:DNS393253 DXN393253:DXO393253 EHJ393253:EHK393253 ERF393253:ERG393253 FBB393253:FBC393253 FKX393253:FKY393253 FUT393253:FUU393253 GEP393253:GEQ393253 GOL393253:GOM393253 GYH393253:GYI393253 HID393253:HIE393253 HRZ393253:HSA393253 IBV393253:IBW393253 ILR393253:ILS393253 IVN393253:IVO393253 JFJ393253:JFK393253 JPF393253:JPG393253 JZB393253:JZC393253 KIX393253:KIY393253 KST393253:KSU393253 LCP393253:LCQ393253 LML393253:LMM393253 LWH393253:LWI393253 MGD393253:MGE393253 MPZ393253:MQA393253 MZV393253:MZW393253 NJR393253:NJS393253 NTN393253:NTO393253 ODJ393253:ODK393253 ONF393253:ONG393253 OXB393253:OXC393253 PGX393253:PGY393253 PQT393253:PQU393253 QAP393253:QAQ393253 QKL393253:QKM393253 QUH393253:QUI393253 RED393253:REE393253 RNZ393253:ROA393253 RXV393253:RXW393253 SHR393253:SHS393253 SRN393253:SRO393253 TBJ393253:TBK393253 TLF393253:TLG393253 TVB393253:TVC393253 UEX393253:UEY393253 UOT393253:UOU393253 UYP393253:UYQ393253 VIL393253:VIM393253 VSH393253:VSI393253 WCD393253:WCE393253 WLZ393253:WMA393253 WVV393253:WVW393253 N458789:O458789 JJ458789:JK458789 TF458789:TG458789 ADB458789:ADC458789 AMX458789:AMY458789 AWT458789:AWU458789 BGP458789:BGQ458789 BQL458789:BQM458789 CAH458789:CAI458789 CKD458789:CKE458789 CTZ458789:CUA458789 DDV458789:DDW458789 DNR458789:DNS458789 DXN458789:DXO458789 EHJ458789:EHK458789 ERF458789:ERG458789 FBB458789:FBC458789 FKX458789:FKY458789 FUT458789:FUU458789 GEP458789:GEQ458789 GOL458789:GOM458789 GYH458789:GYI458789 HID458789:HIE458789 HRZ458789:HSA458789 IBV458789:IBW458789 ILR458789:ILS458789 IVN458789:IVO458789 JFJ458789:JFK458789 JPF458789:JPG458789 JZB458789:JZC458789 KIX458789:KIY458789 KST458789:KSU458789 LCP458789:LCQ458789 LML458789:LMM458789 LWH458789:LWI458789 MGD458789:MGE458789 MPZ458789:MQA458789 MZV458789:MZW458789 NJR458789:NJS458789 NTN458789:NTO458789 ODJ458789:ODK458789 ONF458789:ONG458789 OXB458789:OXC458789 PGX458789:PGY458789 PQT458789:PQU458789 QAP458789:QAQ458789 QKL458789:QKM458789 QUH458789:QUI458789 RED458789:REE458789 RNZ458789:ROA458789 RXV458789:RXW458789 SHR458789:SHS458789 SRN458789:SRO458789 TBJ458789:TBK458789 TLF458789:TLG458789 TVB458789:TVC458789 UEX458789:UEY458789 UOT458789:UOU458789 UYP458789:UYQ458789 VIL458789:VIM458789 VSH458789:VSI458789 WCD458789:WCE458789 WLZ458789:WMA458789 WVV458789:WVW458789 N524325:O524325 JJ524325:JK524325 TF524325:TG524325 ADB524325:ADC524325 AMX524325:AMY524325 AWT524325:AWU524325 BGP524325:BGQ524325 BQL524325:BQM524325 CAH524325:CAI524325 CKD524325:CKE524325 CTZ524325:CUA524325 DDV524325:DDW524325 DNR524325:DNS524325 DXN524325:DXO524325 EHJ524325:EHK524325 ERF524325:ERG524325 FBB524325:FBC524325 FKX524325:FKY524325 FUT524325:FUU524325 GEP524325:GEQ524325 GOL524325:GOM524325 GYH524325:GYI524325 HID524325:HIE524325 HRZ524325:HSA524325 IBV524325:IBW524325 ILR524325:ILS524325 IVN524325:IVO524325 JFJ524325:JFK524325 JPF524325:JPG524325 JZB524325:JZC524325 KIX524325:KIY524325 KST524325:KSU524325 LCP524325:LCQ524325 LML524325:LMM524325 LWH524325:LWI524325 MGD524325:MGE524325 MPZ524325:MQA524325 MZV524325:MZW524325 NJR524325:NJS524325 NTN524325:NTO524325 ODJ524325:ODK524325 ONF524325:ONG524325 OXB524325:OXC524325 PGX524325:PGY524325 PQT524325:PQU524325 QAP524325:QAQ524325 QKL524325:QKM524325 QUH524325:QUI524325 RED524325:REE524325 RNZ524325:ROA524325 RXV524325:RXW524325 SHR524325:SHS524325 SRN524325:SRO524325 TBJ524325:TBK524325 TLF524325:TLG524325 TVB524325:TVC524325 UEX524325:UEY524325 UOT524325:UOU524325 UYP524325:UYQ524325 VIL524325:VIM524325 VSH524325:VSI524325 WCD524325:WCE524325 WLZ524325:WMA524325 WVV524325:WVW524325 N589861:O589861 JJ589861:JK589861 TF589861:TG589861 ADB589861:ADC589861 AMX589861:AMY589861 AWT589861:AWU589861 BGP589861:BGQ589861 BQL589861:BQM589861 CAH589861:CAI589861 CKD589861:CKE589861 CTZ589861:CUA589861 DDV589861:DDW589861 DNR589861:DNS589861 DXN589861:DXO589861 EHJ589861:EHK589861 ERF589861:ERG589861 FBB589861:FBC589861 FKX589861:FKY589861 FUT589861:FUU589861 GEP589861:GEQ589861 GOL589861:GOM589861 GYH589861:GYI589861 HID589861:HIE589861 HRZ589861:HSA589861 IBV589861:IBW589861 ILR589861:ILS589861 IVN589861:IVO589861 JFJ589861:JFK589861 JPF589861:JPG589861 JZB589861:JZC589861 KIX589861:KIY589861 KST589861:KSU589861 LCP589861:LCQ589861 LML589861:LMM589861 LWH589861:LWI589861 MGD589861:MGE589861 MPZ589861:MQA589861 MZV589861:MZW589861 NJR589861:NJS589861 NTN589861:NTO589861 ODJ589861:ODK589861 ONF589861:ONG589861 OXB589861:OXC589861 PGX589861:PGY589861 PQT589861:PQU589861 QAP589861:QAQ589861 QKL589861:QKM589861 QUH589861:QUI589861 RED589861:REE589861 RNZ589861:ROA589861 RXV589861:RXW589861 SHR589861:SHS589861 SRN589861:SRO589861 TBJ589861:TBK589861 TLF589861:TLG589861 TVB589861:TVC589861 UEX589861:UEY589861 UOT589861:UOU589861 UYP589861:UYQ589861 VIL589861:VIM589861 VSH589861:VSI589861 WCD589861:WCE589861 WLZ589861:WMA589861 WVV589861:WVW589861 N655397:O655397 JJ655397:JK655397 TF655397:TG655397 ADB655397:ADC655397 AMX655397:AMY655397 AWT655397:AWU655397 BGP655397:BGQ655397 BQL655397:BQM655397 CAH655397:CAI655397 CKD655397:CKE655397 CTZ655397:CUA655397 DDV655397:DDW655397 DNR655397:DNS655397 DXN655397:DXO655397 EHJ655397:EHK655397 ERF655397:ERG655397 FBB655397:FBC655397 FKX655397:FKY655397 FUT655397:FUU655397 GEP655397:GEQ655397 GOL655397:GOM655397 GYH655397:GYI655397 HID655397:HIE655397 HRZ655397:HSA655397 IBV655397:IBW655397 ILR655397:ILS655397 IVN655397:IVO655397 JFJ655397:JFK655397 JPF655397:JPG655397 JZB655397:JZC655397 KIX655397:KIY655397 KST655397:KSU655397 LCP655397:LCQ655397 LML655397:LMM655397 LWH655397:LWI655397 MGD655397:MGE655397 MPZ655397:MQA655397 MZV655397:MZW655397 NJR655397:NJS655397 NTN655397:NTO655397 ODJ655397:ODK655397 ONF655397:ONG655397 OXB655397:OXC655397 PGX655397:PGY655397 PQT655397:PQU655397 QAP655397:QAQ655397 QKL655397:QKM655397 QUH655397:QUI655397 RED655397:REE655397 RNZ655397:ROA655397 RXV655397:RXW655397 SHR655397:SHS655397 SRN655397:SRO655397 TBJ655397:TBK655397 TLF655397:TLG655397 TVB655397:TVC655397 UEX655397:UEY655397 UOT655397:UOU655397 UYP655397:UYQ655397 VIL655397:VIM655397 VSH655397:VSI655397 WCD655397:WCE655397 WLZ655397:WMA655397 WVV655397:WVW655397 N720933:O720933 JJ720933:JK720933 TF720933:TG720933 ADB720933:ADC720933 AMX720933:AMY720933 AWT720933:AWU720933 BGP720933:BGQ720933 BQL720933:BQM720933 CAH720933:CAI720933 CKD720933:CKE720933 CTZ720933:CUA720933 DDV720933:DDW720933 DNR720933:DNS720933 DXN720933:DXO720933 EHJ720933:EHK720933 ERF720933:ERG720933 FBB720933:FBC720933 FKX720933:FKY720933 FUT720933:FUU720933 GEP720933:GEQ720933 GOL720933:GOM720933 GYH720933:GYI720933 HID720933:HIE720933 HRZ720933:HSA720933 IBV720933:IBW720933 ILR720933:ILS720933 IVN720933:IVO720933 JFJ720933:JFK720933 JPF720933:JPG720933 JZB720933:JZC720933 KIX720933:KIY720933 KST720933:KSU720933 LCP720933:LCQ720933 LML720933:LMM720933 LWH720933:LWI720933 MGD720933:MGE720933 MPZ720933:MQA720933 MZV720933:MZW720933 NJR720933:NJS720933 NTN720933:NTO720933 ODJ720933:ODK720933 ONF720933:ONG720933 OXB720933:OXC720933 PGX720933:PGY720933 PQT720933:PQU720933 QAP720933:QAQ720933 QKL720933:QKM720933 QUH720933:QUI720933 RED720933:REE720933 RNZ720933:ROA720933 RXV720933:RXW720933 SHR720933:SHS720933 SRN720933:SRO720933 TBJ720933:TBK720933 TLF720933:TLG720933 TVB720933:TVC720933 UEX720933:UEY720933 UOT720933:UOU720933 UYP720933:UYQ720933 VIL720933:VIM720933 VSH720933:VSI720933 WCD720933:WCE720933 WLZ720933:WMA720933 WVV720933:WVW720933 N786469:O786469 JJ786469:JK786469 TF786469:TG786469 ADB786469:ADC786469 AMX786469:AMY786469 AWT786469:AWU786469 BGP786469:BGQ786469 BQL786469:BQM786469 CAH786469:CAI786469 CKD786469:CKE786469 CTZ786469:CUA786469 DDV786469:DDW786469 DNR786469:DNS786469 DXN786469:DXO786469 EHJ786469:EHK786469 ERF786469:ERG786469 FBB786469:FBC786469 FKX786469:FKY786469 FUT786469:FUU786469 GEP786469:GEQ786469 GOL786469:GOM786469 GYH786469:GYI786469 HID786469:HIE786469 HRZ786469:HSA786469 IBV786469:IBW786469 ILR786469:ILS786469 IVN786469:IVO786469 JFJ786469:JFK786469 JPF786469:JPG786469 JZB786469:JZC786469 KIX786469:KIY786469 KST786469:KSU786469 LCP786469:LCQ786469 LML786469:LMM786469 LWH786469:LWI786469 MGD786469:MGE786469 MPZ786469:MQA786469 MZV786469:MZW786469 NJR786469:NJS786469 NTN786469:NTO786469 ODJ786469:ODK786469 ONF786469:ONG786469 OXB786469:OXC786469 PGX786469:PGY786469 PQT786469:PQU786469 QAP786469:QAQ786469 QKL786469:QKM786469 QUH786469:QUI786469 RED786469:REE786469 RNZ786469:ROA786469 RXV786469:RXW786469 SHR786469:SHS786469 SRN786469:SRO786469 TBJ786469:TBK786469 TLF786469:TLG786469 TVB786469:TVC786469 UEX786469:UEY786469 UOT786469:UOU786469 UYP786469:UYQ786469 VIL786469:VIM786469 VSH786469:VSI786469 WCD786469:WCE786469 WLZ786469:WMA786469 WVV786469:WVW786469 N852005:O852005 JJ852005:JK852005 TF852005:TG852005 ADB852005:ADC852005 AMX852005:AMY852005 AWT852005:AWU852005 BGP852005:BGQ852005 BQL852005:BQM852005 CAH852005:CAI852005 CKD852005:CKE852005 CTZ852005:CUA852005 DDV852005:DDW852005 DNR852005:DNS852005 DXN852005:DXO852005 EHJ852005:EHK852005 ERF852005:ERG852005 FBB852005:FBC852005 FKX852005:FKY852005 FUT852005:FUU852005 GEP852005:GEQ852005 GOL852005:GOM852005 GYH852005:GYI852005 HID852005:HIE852005 HRZ852005:HSA852005 IBV852005:IBW852005 ILR852005:ILS852005 IVN852005:IVO852005 JFJ852005:JFK852005 JPF852005:JPG852005 JZB852005:JZC852005 KIX852005:KIY852005 KST852005:KSU852005 LCP852005:LCQ852005 LML852005:LMM852005 LWH852005:LWI852005 MGD852005:MGE852005 MPZ852005:MQA852005 MZV852005:MZW852005 NJR852005:NJS852005 NTN852005:NTO852005 ODJ852005:ODK852005 ONF852005:ONG852005 OXB852005:OXC852005 PGX852005:PGY852005 PQT852005:PQU852005 QAP852005:QAQ852005 QKL852005:QKM852005 QUH852005:QUI852005 RED852005:REE852005 RNZ852005:ROA852005 RXV852005:RXW852005 SHR852005:SHS852005 SRN852005:SRO852005 TBJ852005:TBK852005 TLF852005:TLG852005 TVB852005:TVC852005 UEX852005:UEY852005 UOT852005:UOU852005 UYP852005:UYQ852005 VIL852005:VIM852005 VSH852005:VSI852005 WCD852005:WCE852005 WLZ852005:WMA852005 WVV852005:WVW852005 N917541:O917541 JJ917541:JK917541 TF917541:TG917541 ADB917541:ADC917541 AMX917541:AMY917541 AWT917541:AWU917541 BGP917541:BGQ917541 BQL917541:BQM917541 CAH917541:CAI917541 CKD917541:CKE917541 CTZ917541:CUA917541 DDV917541:DDW917541 DNR917541:DNS917541 DXN917541:DXO917541 EHJ917541:EHK917541 ERF917541:ERG917541 FBB917541:FBC917541 FKX917541:FKY917541 FUT917541:FUU917541 GEP917541:GEQ917541 GOL917541:GOM917541 GYH917541:GYI917541 HID917541:HIE917541 HRZ917541:HSA917541 IBV917541:IBW917541 ILR917541:ILS917541 IVN917541:IVO917541 JFJ917541:JFK917541 JPF917541:JPG917541 JZB917541:JZC917541 KIX917541:KIY917541 KST917541:KSU917541 LCP917541:LCQ917541 LML917541:LMM917541 LWH917541:LWI917541 MGD917541:MGE917541 MPZ917541:MQA917541 MZV917541:MZW917541 NJR917541:NJS917541 NTN917541:NTO917541 ODJ917541:ODK917541 ONF917541:ONG917541 OXB917541:OXC917541 PGX917541:PGY917541 PQT917541:PQU917541 QAP917541:QAQ917541 QKL917541:QKM917541 QUH917541:QUI917541 RED917541:REE917541 RNZ917541:ROA917541 RXV917541:RXW917541 SHR917541:SHS917541 SRN917541:SRO917541 TBJ917541:TBK917541 TLF917541:TLG917541 TVB917541:TVC917541 UEX917541:UEY917541 UOT917541:UOU917541 UYP917541:UYQ917541 VIL917541:VIM917541 VSH917541:VSI917541 WCD917541:WCE917541 WLZ917541:WMA917541 WVV917541:WVW917541 N983077:O983077 JJ983077:JK983077 TF983077:TG983077 ADB983077:ADC983077 AMX983077:AMY983077 AWT983077:AWU983077 BGP983077:BGQ983077 BQL983077:BQM983077 CAH983077:CAI983077 CKD983077:CKE983077 CTZ983077:CUA983077 DDV983077:DDW983077 DNR983077:DNS983077 DXN983077:DXO983077 EHJ983077:EHK983077 ERF983077:ERG983077 FBB983077:FBC983077 FKX983077:FKY983077 FUT983077:FUU983077 GEP983077:GEQ983077 GOL983077:GOM983077 GYH983077:GYI983077 HID983077:HIE983077 HRZ983077:HSA983077 IBV983077:IBW983077 ILR983077:ILS983077 IVN983077:IVO983077 JFJ983077:JFK983077 JPF983077:JPG983077 JZB983077:JZC983077 KIX983077:KIY983077 KST983077:KSU983077 LCP983077:LCQ983077 LML983077:LMM983077 LWH983077:LWI983077 MGD983077:MGE983077 MPZ983077:MQA983077 MZV983077:MZW983077 NJR983077:NJS983077 NTN983077:NTO983077 ODJ983077:ODK983077 ONF983077:ONG983077 OXB983077:OXC983077 PGX983077:PGY983077 PQT983077:PQU983077 QAP983077:QAQ983077 QKL983077:QKM983077 QUH983077:QUI983077 RED983077:REE983077 RNZ983077:ROA983077 RXV983077:RXW983077 SHR983077:SHS983077 SRN983077:SRO983077 TBJ983077:TBK983077 TLF983077:TLG983077 TVB983077:TVC983077 UEX983077:UEY983077 UOT983077:UOU983077 UYP983077:UYQ983077 VIL983077:VIM983077 VSH983077:VSI983077 WCD983077:WCE983077 WLZ983077:WMA983077 WVV983077:WVW983077 WVV983159 JN4 TJ4 ADF4 ANB4 AWX4 BGT4 BQP4 CAL4 CKH4 CUD4 DDZ4 DNV4 DXR4 EHN4 ERJ4 FBF4 FLB4 FUX4 GET4 GOP4 GYL4 HIH4 HSD4 IBZ4 ILV4 IVR4 JFN4 JPJ4 JZF4 KJB4 KSX4 LCT4 LMP4 LWL4 MGH4 MQD4 MZZ4 NJV4 NTR4 ODN4 ONJ4 OXF4 PHB4 PQX4 QAT4 QKP4 QUL4 REH4 ROD4 RXZ4 SHV4 SRR4 TBN4 TLJ4 TVF4 UFB4 UOX4 UYT4 VIP4 VSL4 WCH4 WMD4 WVZ4 R65540 JN65540 TJ65540 ADF65540 ANB65540 AWX65540 BGT65540 BQP65540 CAL65540 CKH65540 CUD65540 DDZ65540 DNV65540 DXR65540 EHN65540 ERJ65540 FBF65540 FLB65540 FUX65540 GET65540 GOP65540 GYL65540 HIH65540 HSD65540 IBZ65540 ILV65540 IVR65540 JFN65540 JPJ65540 JZF65540 KJB65540 KSX65540 LCT65540 LMP65540 LWL65540 MGH65540 MQD65540 MZZ65540 NJV65540 NTR65540 ODN65540 ONJ65540 OXF65540 PHB65540 PQX65540 QAT65540 QKP65540 QUL65540 REH65540 ROD65540 RXZ65540 SHV65540 SRR65540 TBN65540 TLJ65540 TVF65540 UFB65540 UOX65540 UYT65540 VIP65540 VSL65540 WCH65540 WMD65540 WVZ65540 R131076 JN131076 TJ131076 ADF131076 ANB131076 AWX131076 BGT131076 BQP131076 CAL131076 CKH131076 CUD131076 DDZ131076 DNV131076 DXR131076 EHN131076 ERJ131076 FBF131076 FLB131076 FUX131076 GET131076 GOP131076 GYL131076 HIH131076 HSD131076 IBZ131076 ILV131076 IVR131076 JFN131076 JPJ131076 JZF131076 KJB131076 KSX131076 LCT131076 LMP131076 LWL131076 MGH131076 MQD131076 MZZ131076 NJV131076 NTR131076 ODN131076 ONJ131076 OXF131076 PHB131076 PQX131076 QAT131076 QKP131076 QUL131076 REH131076 ROD131076 RXZ131076 SHV131076 SRR131076 TBN131076 TLJ131076 TVF131076 UFB131076 UOX131076 UYT131076 VIP131076 VSL131076 WCH131076 WMD131076 WVZ131076 R196612 JN196612 TJ196612 ADF196612 ANB196612 AWX196612 BGT196612 BQP196612 CAL196612 CKH196612 CUD196612 DDZ196612 DNV196612 DXR196612 EHN196612 ERJ196612 FBF196612 FLB196612 FUX196612 GET196612 GOP196612 GYL196612 HIH196612 HSD196612 IBZ196612 ILV196612 IVR196612 JFN196612 JPJ196612 JZF196612 KJB196612 KSX196612 LCT196612 LMP196612 LWL196612 MGH196612 MQD196612 MZZ196612 NJV196612 NTR196612 ODN196612 ONJ196612 OXF196612 PHB196612 PQX196612 QAT196612 QKP196612 QUL196612 REH196612 ROD196612 RXZ196612 SHV196612 SRR196612 TBN196612 TLJ196612 TVF196612 UFB196612 UOX196612 UYT196612 VIP196612 VSL196612 WCH196612 WMD196612 WVZ196612 R262148 JN262148 TJ262148 ADF262148 ANB262148 AWX262148 BGT262148 BQP262148 CAL262148 CKH262148 CUD262148 DDZ262148 DNV262148 DXR262148 EHN262148 ERJ262148 FBF262148 FLB262148 FUX262148 GET262148 GOP262148 GYL262148 HIH262148 HSD262148 IBZ262148 ILV262148 IVR262148 JFN262148 JPJ262148 JZF262148 KJB262148 KSX262148 LCT262148 LMP262148 LWL262148 MGH262148 MQD262148 MZZ262148 NJV262148 NTR262148 ODN262148 ONJ262148 OXF262148 PHB262148 PQX262148 QAT262148 QKP262148 QUL262148 REH262148 ROD262148 RXZ262148 SHV262148 SRR262148 TBN262148 TLJ262148 TVF262148 UFB262148 UOX262148 UYT262148 VIP262148 VSL262148 WCH262148 WMD262148 WVZ262148 R327684 JN327684 TJ327684 ADF327684 ANB327684 AWX327684 BGT327684 BQP327684 CAL327684 CKH327684 CUD327684 DDZ327684 DNV327684 DXR327684 EHN327684 ERJ327684 FBF327684 FLB327684 FUX327684 GET327684 GOP327684 GYL327684 HIH327684 HSD327684 IBZ327684 ILV327684 IVR327684 JFN327684 JPJ327684 JZF327684 KJB327684 KSX327684 LCT327684 LMP327684 LWL327684 MGH327684 MQD327684 MZZ327684 NJV327684 NTR327684 ODN327684 ONJ327684 OXF327684 PHB327684 PQX327684 QAT327684 QKP327684 QUL327684 REH327684 ROD327684 RXZ327684 SHV327684 SRR327684 TBN327684 TLJ327684 TVF327684 UFB327684 UOX327684 UYT327684 VIP327684 VSL327684 WCH327684 WMD327684 WVZ327684 R393220 JN393220 TJ393220 ADF393220 ANB393220 AWX393220 BGT393220 BQP393220 CAL393220 CKH393220 CUD393220 DDZ393220 DNV393220 DXR393220 EHN393220 ERJ393220 FBF393220 FLB393220 FUX393220 GET393220 GOP393220 GYL393220 HIH393220 HSD393220 IBZ393220 ILV393220 IVR393220 JFN393220 JPJ393220 JZF393220 KJB393220 KSX393220 LCT393220 LMP393220 LWL393220 MGH393220 MQD393220 MZZ393220 NJV393220 NTR393220 ODN393220 ONJ393220 OXF393220 PHB393220 PQX393220 QAT393220 QKP393220 QUL393220 REH393220 ROD393220 RXZ393220 SHV393220 SRR393220 TBN393220 TLJ393220 TVF393220 UFB393220 UOX393220 UYT393220 VIP393220 VSL393220 WCH393220 WMD393220 WVZ393220 R458756 JN458756 TJ458756 ADF458756 ANB458756 AWX458756 BGT458756 BQP458756 CAL458756 CKH458756 CUD458756 DDZ458756 DNV458756 DXR458756 EHN458756 ERJ458756 FBF458756 FLB458756 FUX458756 GET458756 GOP458756 GYL458756 HIH458756 HSD458756 IBZ458756 ILV458756 IVR458756 JFN458756 JPJ458756 JZF458756 KJB458756 KSX458756 LCT458756 LMP458756 LWL458756 MGH458756 MQD458756 MZZ458756 NJV458756 NTR458756 ODN458756 ONJ458756 OXF458756 PHB458756 PQX458756 QAT458756 QKP458756 QUL458756 REH458756 ROD458756 RXZ458756 SHV458756 SRR458756 TBN458756 TLJ458756 TVF458756 UFB458756 UOX458756 UYT458756 VIP458756 VSL458756 WCH458756 WMD458756 WVZ458756 R524292 JN524292 TJ524292 ADF524292 ANB524292 AWX524292 BGT524292 BQP524292 CAL524292 CKH524292 CUD524292 DDZ524292 DNV524292 DXR524292 EHN524292 ERJ524292 FBF524292 FLB524292 FUX524292 GET524292 GOP524292 GYL524292 HIH524292 HSD524292 IBZ524292 ILV524292 IVR524292 JFN524292 JPJ524292 JZF524292 KJB524292 KSX524292 LCT524292 LMP524292 LWL524292 MGH524292 MQD524292 MZZ524292 NJV524292 NTR524292 ODN524292 ONJ524292 OXF524292 PHB524292 PQX524292 QAT524292 QKP524292 QUL524292 REH524292 ROD524292 RXZ524292 SHV524292 SRR524292 TBN524292 TLJ524292 TVF524292 UFB524292 UOX524292 UYT524292 VIP524292 VSL524292 WCH524292 WMD524292 WVZ524292 R589828 JN589828 TJ589828 ADF589828 ANB589828 AWX589828 BGT589828 BQP589828 CAL589828 CKH589828 CUD589828 DDZ589828 DNV589828 DXR589828 EHN589828 ERJ589828 FBF589828 FLB589828 FUX589828 GET589828 GOP589828 GYL589828 HIH589828 HSD589828 IBZ589828 ILV589828 IVR589828 JFN589828 JPJ589828 JZF589828 KJB589828 KSX589828 LCT589828 LMP589828 LWL589828 MGH589828 MQD589828 MZZ589828 NJV589828 NTR589828 ODN589828 ONJ589828 OXF589828 PHB589828 PQX589828 QAT589828 QKP589828 QUL589828 REH589828 ROD589828 RXZ589828 SHV589828 SRR589828 TBN589828 TLJ589828 TVF589828 UFB589828 UOX589828 UYT589828 VIP589828 VSL589828 WCH589828 WMD589828 WVZ589828 R655364 JN655364 TJ655364 ADF655364 ANB655364 AWX655364 BGT655364 BQP655364 CAL655364 CKH655364 CUD655364 DDZ655364 DNV655364 DXR655364 EHN655364 ERJ655364 FBF655364 FLB655364 FUX655364 GET655364 GOP655364 GYL655364 HIH655364 HSD655364 IBZ655364 ILV655364 IVR655364 JFN655364 JPJ655364 JZF655364 KJB655364 KSX655364 LCT655364 LMP655364 LWL655364 MGH655364 MQD655364 MZZ655364 NJV655364 NTR655364 ODN655364 ONJ655364 OXF655364 PHB655364 PQX655364 QAT655364 QKP655364 QUL655364 REH655364 ROD655364 RXZ655364 SHV655364 SRR655364 TBN655364 TLJ655364 TVF655364 UFB655364 UOX655364 UYT655364 VIP655364 VSL655364 WCH655364 WMD655364 WVZ655364 R720900 JN720900 TJ720900 ADF720900 ANB720900 AWX720900 BGT720900 BQP720900 CAL720900 CKH720900 CUD720900 DDZ720900 DNV720900 DXR720900 EHN720900 ERJ720900 FBF720900 FLB720900 FUX720900 GET720900 GOP720900 GYL720900 HIH720900 HSD720900 IBZ720900 ILV720900 IVR720900 JFN720900 JPJ720900 JZF720900 KJB720900 KSX720900 LCT720900 LMP720900 LWL720900 MGH720900 MQD720900 MZZ720900 NJV720900 NTR720900 ODN720900 ONJ720900 OXF720900 PHB720900 PQX720900 QAT720900 QKP720900 QUL720900 REH720900 ROD720900 RXZ720900 SHV720900 SRR720900 TBN720900 TLJ720900 TVF720900 UFB720900 UOX720900 UYT720900 VIP720900 VSL720900 WCH720900 WMD720900 WVZ720900 R786436 JN786436 TJ786436 ADF786436 ANB786436 AWX786436 BGT786436 BQP786436 CAL786436 CKH786436 CUD786436 DDZ786436 DNV786436 DXR786436 EHN786436 ERJ786436 FBF786436 FLB786436 FUX786436 GET786436 GOP786436 GYL786436 HIH786436 HSD786436 IBZ786436 ILV786436 IVR786436 JFN786436 JPJ786436 JZF786436 KJB786436 KSX786436 LCT786436 LMP786436 LWL786436 MGH786436 MQD786436 MZZ786436 NJV786436 NTR786436 ODN786436 ONJ786436 OXF786436 PHB786436 PQX786436 QAT786436 QKP786436 QUL786436 REH786436 ROD786436 RXZ786436 SHV786436 SRR786436 TBN786436 TLJ786436 TVF786436 UFB786436 UOX786436 UYT786436 VIP786436 VSL786436 WCH786436 WMD786436 WVZ786436 R851972 JN851972 TJ851972 ADF851972 ANB851972 AWX851972 BGT851972 BQP851972 CAL851972 CKH851972 CUD851972 DDZ851972 DNV851972 DXR851972 EHN851972 ERJ851972 FBF851972 FLB851972 FUX851972 GET851972 GOP851972 GYL851972 HIH851972 HSD851972 IBZ851972 ILV851972 IVR851972 JFN851972 JPJ851972 JZF851972 KJB851972 KSX851972 LCT851972 LMP851972 LWL851972 MGH851972 MQD851972 MZZ851972 NJV851972 NTR851972 ODN851972 ONJ851972 OXF851972 PHB851972 PQX851972 QAT851972 QKP851972 QUL851972 REH851972 ROD851972 RXZ851972 SHV851972 SRR851972 TBN851972 TLJ851972 TVF851972 UFB851972 UOX851972 UYT851972 VIP851972 VSL851972 WCH851972 WMD851972 WVZ851972 R917508 JN917508 TJ917508 ADF917508 ANB917508 AWX917508 BGT917508 BQP917508 CAL917508 CKH917508 CUD917508 DDZ917508 DNV917508 DXR917508 EHN917508 ERJ917508 FBF917508 FLB917508 FUX917508 GET917508 GOP917508 GYL917508 HIH917508 HSD917508 IBZ917508 ILV917508 IVR917508 JFN917508 JPJ917508 JZF917508 KJB917508 KSX917508 LCT917508 LMP917508 LWL917508 MGH917508 MQD917508 MZZ917508 NJV917508 NTR917508 ODN917508 ONJ917508 OXF917508 PHB917508 PQX917508 QAT917508 QKP917508 QUL917508 REH917508 ROD917508 RXZ917508 SHV917508 SRR917508 TBN917508 TLJ917508 TVF917508 UFB917508 UOX917508 UYT917508 VIP917508 VSL917508 WCH917508 WMD917508 WVZ917508 R983044 JN983044 TJ983044 ADF983044 ANB983044 AWX983044 BGT983044 BQP983044 CAL983044 CKH983044 CUD983044 DDZ983044 DNV983044 DXR983044 EHN983044 ERJ983044 FBF983044 FLB983044 FUX983044 GET983044 GOP983044 GYL983044 HIH983044 HSD983044 IBZ983044 ILV983044 IVR983044 JFN983044 JPJ983044 JZF983044 KJB983044 KSX983044 LCT983044 LMP983044 LWL983044 MGH983044 MQD983044 MZZ983044 NJV983044 NTR983044 ODN983044 ONJ983044 OXF983044 PHB983044 PQX983044 QAT983044 QKP983044 QUL983044 REH983044 ROD983044 RXZ983044 SHV983044 SRR983044 TBN983044 TLJ983044 TVF983044 UFB983044 UOX983044 UYT983044 VIP983044 VSL983044 WCH983044 WMD983044 WVZ983044 VSH983159 JJ119 TF119 ADB119 AMX119 AWT119 BGP119 BQL119 CAH119 CKD119 CTZ119 DDV119 DNR119 DXN119 EHJ119 ERF119 FBB119 FKX119 FUT119 GEP119 GOL119 GYH119 HID119 HRZ119 IBV119 ILR119 IVN119 JFJ119 JPF119 JZB119 KIX119 KST119 LCP119 LML119 LWH119 MGD119 MPZ119 MZV119 NJR119 NTN119 ODJ119 ONF119 OXB119 PGX119 PQT119 QAP119 QKL119 QUH119 RED119 RNZ119 RXV119 SHR119 SRN119 TBJ119 TLF119 TVB119 UEX119 UOT119 UYP119 VIL119 VSH119 WCD119 WLZ119 WVV119 N65655 JJ65655 TF65655 ADB65655 AMX65655 AWT65655 BGP65655 BQL65655 CAH65655 CKD65655 CTZ65655 DDV65655 DNR65655 DXN65655 EHJ65655 ERF65655 FBB65655 FKX65655 FUT65655 GEP65655 GOL65655 GYH65655 HID65655 HRZ65655 IBV65655 ILR65655 IVN65655 JFJ65655 JPF65655 JZB65655 KIX65655 KST65655 LCP65655 LML65655 LWH65655 MGD65655 MPZ65655 MZV65655 NJR65655 NTN65655 ODJ65655 ONF65655 OXB65655 PGX65655 PQT65655 QAP65655 QKL65655 QUH65655 RED65655 RNZ65655 RXV65655 SHR65655 SRN65655 TBJ65655 TLF65655 TVB65655 UEX65655 UOT65655 UYP65655 VIL65655 VSH65655 WCD65655 WLZ65655 WVV65655 N131191 JJ131191 TF131191 ADB131191 AMX131191 AWT131191 BGP131191 BQL131191 CAH131191 CKD131191 CTZ131191 DDV131191 DNR131191 DXN131191 EHJ131191 ERF131191 FBB131191 FKX131191 FUT131191 GEP131191 GOL131191 GYH131191 HID131191 HRZ131191 IBV131191 ILR131191 IVN131191 JFJ131191 JPF131191 JZB131191 KIX131191 KST131191 LCP131191 LML131191 LWH131191 MGD131191 MPZ131191 MZV131191 NJR131191 NTN131191 ODJ131191 ONF131191 OXB131191 PGX131191 PQT131191 QAP131191 QKL131191 QUH131191 RED131191 RNZ131191 RXV131191 SHR131191 SRN131191 TBJ131191 TLF131191 TVB131191 UEX131191 UOT131191 UYP131191 VIL131191 VSH131191 WCD131191 WLZ131191 WVV131191 N196727 JJ196727 TF196727 ADB196727 AMX196727 AWT196727 BGP196727 BQL196727 CAH196727 CKD196727 CTZ196727 DDV196727 DNR196727 DXN196727 EHJ196727 ERF196727 FBB196727 FKX196727 FUT196727 GEP196727 GOL196727 GYH196727 HID196727 HRZ196727 IBV196727 ILR196727 IVN196727 JFJ196727 JPF196727 JZB196727 KIX196727 KST196727 LCP196727 LML196727 LWH196727 MGD196727 MPZ196727 MZV196727 NJR196727 NTN196727 ODJ196727 ONF196727 OXB196727 PGX196727 PQT196727 QAP196727 QKL196727 QUH196727 RED196727 RNZ196727 RXV196727 SHR196727 SRN196727 TBJ196727 TLF196727 TVB196727 UEX196727 UOT196727 UYP196727 VIL196727 VSH196727 WCD196727 WLZ196727 WVV196727 N262263 JJ262263 TF262263 ADB262263 AMX262263 AWT262263 BGP262263 BQL262263 CAH262263 CKD262263 CTZ262263 DDV262263 DNR262263 DXN262263 EHJ262263 ERF262263 FBB262263 FKX262263 FUT262263 GEP262263 GOL262263 GYH262263 HID262263 HRZ262263 IBV262263 ILR262263 IVN262263 JFJ262263 JPF262263 JZB262263 KIX262263 KST262263 LCP262263 LML262263 LWH262263 MGD262263 MPZ262263 MZV262263 NJR262263 NTN262263 ODJ262263 ONF262263 OXB262263 PGX262263 PQT262263 QAP262263 QKL262263 QUH262263 RED262263 RNZ262263 RXV262263 SHR262263 SRN262263 TBJ262263 TLF262263 TVB262263 UEX262263 UOT262263 UYP262263 VIL262263 VSH262263 WCD262263 WLZ262263 WVV262263 N327799 JJ327799 TF327799 ADB327799 AMX327799 AWT327799 BGP327799 BQL327799 CAH327799 CKD327799 CTZ327799 DDV327799 DNR327799 DXN327799 EHJ327799 ERF327799 FBB327799 FKX327799 FUT327799 GEP327799 GOL327799 GYH327799 HID327799 HRZ327799 IBV327799 ILR327799 IVN327799 JFJ327799 JPF327799 JZB327799 KIX327799 KST327799 LCP327799 LML327799 LWH327799 MGD327799 MPZ327799 MZV327799 NJR327799 NTN327799 ODJ327799 ONF327799 OXB327799 PGX327799 PQT327799 QAP327799 QKL327799 QUH327799 RED327799 RNZ327799 RXV327799 SHR327799 SRN327799 TBJ327799 TLF327799 TVB327799 UEX327799 UOT327799 UYP327799 VIL327799 VSH327799 WCD327799 WLZ327799 WVV327799 N393335 JJ393335 TF393335 ADB393335 AMX393335 AWT393335 BGP393335 BQL393335 CAH393335 CKD393335 CTZ393335 DDV393335 DNR393335 DXN393335 EHJ393335 ERF393335 FBB393335 FKX393335 FUT393335 GEP393335 GOL393335 GYH393335 HID393335 HRZ393335 IBV393335 ILR393335 IVN393335 JFJ393335 JPF393335 JZB393335 KIX393335 KST393335 LCP393335 LML393335 LWH393335 MGD393335 MPZ393335 MZV393335 NJR393335 NTN393335 ODJ393335 ONF393335 OXB393335 PGX393335 PQT393335 QAP393335 QKL393335 QUH393335 RED393335 RNZ393335 RXV393335 SHR393335 SRN393335 TBJ393335 TLF393335 TVB393335 UEX393335 UOT393335 UYP393335 VIL393335 VSH393335 WCD393335 WLZ393335 WVV393335 N458871 JJ458871 TF458871 ADB458871 AMX458871 AWT458871 BGP458871 BQL458871 CAH458871 CKD458871 CTZ458871 DDV458871 DNR458871 DXN458871 EHJ458871 ERF458871 FBB458871 FKX458871 FUT458871 GEP458871 GOL458871 GYH458871 HID458871 HRZ458871 IBV458871 ILR458871 IVN458871 JFJ458871 JPF458871 JZB458871 KIX458871 KST458871 LCP458871 LML458871 LWH458871 MGD458871 MPZ458871 MZV458871 NJR458871 NTN458871 ODJ458871 ONF458871 OXB458871 PGX458871 PQT458871 QAP458871 QKL458871 QUH458871 RED458871 RNZ458871 RXV458871 SHR458871 SRN458871 TBJ458871 TLF458871 TVB458871 UEX458871 UOT458871 UYP458871 VIL458871 VSH458871 WCD458871 WLZ458871 WVV458871 N524407 JJ524407 TF524407 ADB524407 AMX524407 AWT524407 BGP524407 BQL524407 CAH524407 CKD524407 CTZ524407 DDV524407 DNR524407 DXN524407 EHJ524407 ERF524407 FBB524407 FKX524407 FUT524407 GEP524407 GOL524407 GYH524407 HID524407 HRZ524407 IBV524407 ILR524407 IVN524407 JFJ524407 JPF524407 JZB524407 KIX524407 KST524407 LCP524407 LML524407 LWH524407 MGD524407 MPZ524407 MZV524407 NJR524407 NTN524407 ODJ524407 ONF524407 OXB524407 PGX524407 PQT524407 QAP524407 QKL524407 QUH524407 RED524407 RNZ524407 RXV524407 SHR524407 SRN524407 TBJ524407 TLF524407 TVB524407 UEX524407 UOT524407 UYP524407 VIL524407 VSH524407 WCD524407 WLZ524407 WVV524407 N589943 JJ589943 TF589943 ADB589943 AMX589943 AWT589943 BGP589943 BQL589943 CAH589943 CKD589943 CTZ589943 DDV589943 DNR589943 DXN589943 EHJ589943 ERF589943 FBB589943 FKX589943 FUT589943 GEP589943 GOL589943 GYH589943 HID589943 HRZ589943 IBV589943 ILR589943 IVN589943 JFJ589943 JPF589943 JZB589943 KIX589943 KST589943 LCP589943 LML589943 LWH589943 MGD589943 MPZ589943 MZV589943 NJR589943 NTN589943 ODJ589943 ONF589943 OXB589943 PGX589943 PQT589943 QAP589943 QKL589943 QUH589943 RED589943 RNZ589943 RXV589943 SHR589943 SRN589943 TBJ589943 TLF589943 TVB589943 UEX589943 UOT589943 UYP589943 VIL589943 VSH589943 WCD589943 WLZ589943 WVV589943 N655479 JJ655479 TF655479 ADB655479 AMX655479 AWT655479 BGP655479 BQL655479 CAH655479 CKD655479 CTZ655479 DDV655479 DNR655479 DXN655479 EHJ655479 ERF655479 FBB655479 FKX655479 FUT655479 GEP655479 GOL655479 GYH655479 HID655479 HRZ655479 IBV655479 ILR655479 IVN655479 JFJ655479 JPF655479 JZB655479 KIX655479 KST655479 LCP655479 LML655479 LWH655479 MGD655479 MPZ655479 MZV655479 NJR655479 NTN655479 ODJ655479 ONF655479 OXB655479 PGX655479 PQT655479 QAP655479 QKL655479 QUH655479 RED655479 RNZ655479 RXV655479 SHR655479 SRN655479 TBJ655479 TLF655479 TVB655479 UEX655479 UOT655479 UYP655479 VIL655479 VSH655479 WCD655479 WLZ655479 WVV655479 N721015 JJ721015 TF721015 ADB721015 AMX721015 AWT721015 BGP721015 BQL721015 CAH721015 CKD721015 CTZ721015 DDV721015 DNR721015 DXN721015 EHJ721015 ERF721015 FBB721015 FKX721015 FUT721015 GEP721015 GOL721015 GYH721015 HID721015 HRZ721015 IBV721015 ILR721015 IVN721015 JFJ721015 JPF721015 JZB721015 KIX721015 KST721015 LCP721015 LML721015 LWH721015 MGD721015 MPZ721015 MZV721015 NJR721015 NTN721015 ODJ721015 ONF721015 OXB721015 PGX721015 PQT721015 QAP721015 QKL721015 QUH721015 RED721015 RNZ721015 RXV721015 SHR721015 SRN721015 TBJ721015 TLF721015 TVB721015 UEX721015 UOT721015 UYP721015 VIL721015 VSH721015 WCD721015 WLZ721015 WVV721015 N786551 JJ786551 TF786551 ADB786551 AMX786551 AWT786551 BGP786551 BQL786551 CAH786551 CKD786551 CTZ786551 DDV786551 DNR786551 DXN786551 EHJ786551 ERF786551 FBB786551 FKX786551 FUT786551 GEP786551 GOL786551 GYH786551 HID786551 HRZ786551 IBV786551 ILR786551 IVN786551 JFJ786551 JPF786551 JZB786551 KIX786551 KST786551 LCP786551 LML786551 LWH786551 MGD786551 MPZ786551 MZV786551 NJR786551 NTN786551 ODJ786551 ONF786551 OXB786551 PGX786551 PQT786551 QAP786551 QKL786551 QUH786551 RED786551 RNZ786551 RXV786551 SHR786551 SRN786551 TBJ786551 TLF786551 TVB786551 UEX786551 UOT786551 UYP786551 VIL786551 VSH786551 WCD786551 WLZ786551 WVV786551 N852087 JJ852087 TF852087 ADB852087 AMX852087 AWT852087 BGP852087 BQL852087 CAH852087 CKD852087 CTZ852087 DDV852087 DNR852087 DXN852087 EHJ852087 ERF852087 FBB852087 FKX852087 FUT852087 GEP852087 GOL852087 GYH852087 HID852087 HRZ852087 IBV852087 ILR852087 IVN852087 JFJ852087 JPF852087 JZB852087 KIX852087 KST852087 LCP852087 LML852087 LWH852087 MGD852087 MPZ852087 MZV852087 NJR852087 NTN852087 ODJ852087 ONF852087 OXB852087 PGX852087 PQT852087 QAP852087 QKL852087 QUH852087 RED852087 RNZ852087 RXV852087 SHR852087 SRN852087 TBJ852087 TLF852087 TVB852087 UEX852087 UOT852087 UYP852087 VIL852087 VSH852087 WCD852087 WLZ852087 WVV852087 N917623 JJ917623 TF917623 ADB917623 AMX917623 AWT917623 BGP917623 BQL917623 CAH917623 CKD917623 CTZ917623 DDV917623 DNR917623 DXN917623 EHJ917623 ERF917623 FBB917623 FKX917623 FUT917623 GEP917623 GOL917623 GYH917623 HID917623 HRZ917623 IBV917623 ILR917623 IVN917623 JFJ917623 JPF917623 JZB917623 KIX917623 KST917623 LCP917623 LML917623 LWH917623 MGD917623 MPZ917623 MZV917623 NJR917623 NTN917623 ODJ917623 ONF917623 OXB917623 PGX917623 PQT917623 QAP917623 QKL917623 QUH917623 RED917623 RNZ917623 RXV917623 SHR917623 SRN917623 TBJ917623 TLF917623 TVB917623 UEX917623 UOT917623 UYP917623 VIL917623 VSH917623 WCD917623 WLZ917623 WVV917623 N983159 JJ983159 TF983159 ADB983159 AMX983159 AWT983159 BGP983159 BQL983159 CAH983159 CKD983159 CTZ983159 DDV983159 DNR983159 DXN983159 EHJ983159 ERF983159 FBB983159 FKX983159 FUT983159 GEP983159 GOL983159 GYH983159 HID983159 HRZ983159 IBV983159 ILR983159 IVN983159 JFJ983159 JPF983159 JZB983159 KIX983159 KST983159 LCP983159 LML983159 LWH983159 MGD983159 MPZ983159 MZV983159 NJR983159 NTN983159 ODJ983159 ONF983159 OXB983159 PGX983159 PQT983159 QAP983159 QKL983159 QUH983159 RED983159 RNZ983159 RXV983159 SHR983159 SRN983159 TBJ983159 TLF983159 TVB983159 UEX983159 UOT983159 UYP983159 VIL983159" xr:uid="{00000000-0002-0000-0000-000006000000}">
      <formula1>janej</formula1>
    </dataValidation>
    <dataValidation type="list" allowBlank="1" showInputMessage="1" showErrorMessage="1" sqref="WVI983046 IW6 SS6 ACO6 AMK6 AWG6 BGC6 BPY6 BZU6 CJQ6 CTM6 DDI6 DNE6 DXA6 EGW6 EQS6 FAO6 FKK6 FUG6 GEC6 GNY6 GXU6 HHQ6 HRM6 IBI6 ILE6 IVA6 JEW6 JOS6 JYO6 KIK6 KSG6 LCC6 LLY6 LVU6 MFQ6 MPM6 MZI6 NJE6 NTA6 OCW6 OMS6 OWO6 PGK6 PQG6 QAC6 QJY6 QTU6 RDQ6 RNM6 RXI6 SHE6 SRA6 TAW6 TKS6 TUO6 UEK6 UOG6 UYC6 VHY6 VRU6 WBQ6 WLM6 WVI6 A65542 IW65542 SS65542 ACO65542 AMK65542 AWG65542 BGC65542 BPY65542 BZU65542 CJQ65542 CTM65542 DDI65542 DNE65542 DXA65542 EGW65542 EQS65542 FAO65542 FKK65542 FUG65542 GEC65542 GNY65542 GXU65542 HHQ65542 HRM65542 IBI65542 ILE65542 IVA65542 JEW65542 JOS65542 JYO65542 KIK65542 KSG65542 LCC65542 LLY65542 LVU65542 MFQ65542 MPM65542 MZI65542 NJE65542 NTA65542 OCW65542 OMS65542 OWO65542 PGK65542 PQG65542 QAC65542 QJY65542 QTU65542 RDQ65542 RNM65542 RXI65542 SHE65542 SRA65542 TAW65542 TKS65542 TUO65542 UEK65542 UOG65542 UYC65542 VHY65542 VRU65542 WBQ65542 WLM65542 WVI65542 A131078 IW131078 SS131078 ACO131078 AMK131078 AWG131078 BGC131078 BPY131078 BZU131078 CJQ131078 CTM131078 DDI131078 DNE131078 DXA131078 EGW131078 EQS131078 FAO131078 FKK131078 FUG131078 GEC131078 GNY131078 GXU131078 HHQ131078 HRM131078 IBI131078 ILE131078 IVA131078 JEW131078 JOS131078 JYO131078 KIK131078 KSG131078 LCC131078 LLY131078 LVU131078 MFQ131078 MPM131078 MZI131078 NJE131078 NTA131078 OCW131078 OMS131078 OWO131078 PGK131078 PQG131078 QAC131078 QJY131078 QTU131078 RDQ131078 RNM131078 RXI131078 SHE131078 SRA131078 TAW131078 TKS131078 TUO131078 UEK131078 UOG131078 UYC131078 VHY131078 VRU131078 WBQ131078 WLM131078 WVI131078 A196614 IW196614 SS196614 ACO196614 AMK196614 AWG196614 BGC196614 BPY196614 BZU196614 CJQ196614 CTM196614 DDI196614 DNE196614 DXA196614 EGW196614 EQS196614 FAO196614 FKK196614 FUG196614 GEC196614 GNY196614 GXU196614 HHQ196614 HRM196614 IBI196614 ILE196614 IVA196614 JEW196614 JOS196614 JYO196614 KIK196614 KSG196614 LCC196614 LLY196614 LVU196614 MFQ196614 MPM196614 MZI196614 NJE196614 NTA196614 OCW196614 OMS196614 OWO196614 PGK196614 PQG196614 QAC196614 QJY196614 QTU196614 RDQ196614 RNM196614 RXI196614 SHE196614 SRA196614 TAW196614 TKS196614 TUO196614 UEK196614 UOG196614 UYC196614 VHY196614 VRU196614 WBQ196614 WLM196614 WVI196614 A262150 IW262150 SS262150 ACO262150 AMK262150 AWG262150 BGC262150 BPY262150 BZU262150 CJQ262150 CTM262150 DDI262150 DNE262150 DXA262150 EGW262150 EQS262150 FAO262150 FKK262150 FUG262150 GEC262150 GNY262150 GXU262150 HHQ262150 HRM262150 IBI262150 ILE262150 IVA262150 JEW262150 JOS262150 JYO262150 KIK262150 KSG262150 LCC262150 LLY262150 LVU262150 MFQ262150 MPM262150 MZI262150 NJE262150 NTA262150 OCW262150 OMS262150 OWO262150 PGK262150 PQG262150 QAC262150 QJY262150 QTU262150 RDQ262150 RNM262150 RXI262150 SHE262150 SRA262150 TAW262150 TKS262150 TUO262150 UEK262150 UOG262150 UYC262150 VHY262150 VRU262150 WBQ262150 WLM262150 WVI262150 A327686 IW327686 SS327686 ACO327686 AMK327686 AWG327686 BGC327686 BPY327686 BZU327686 CJQ327686 CTM327686 DDI327686 DNE327686 DXA327686 EGW327686 EQS327686 FAO327686 FKK327686 FUG327686 GEC327686 GNY327686 GXU327686 HHQ327686 HRM327686 IBI327686 ILE327686 IVA327686 JEW327686 JOS327686 JYO327686 KIK327686 KSG327686 LCC327686 LLY327686 LVU327686 MFQ327686 MPM327686 MZI327686 NJE327686 NTA327686 OCW327686 OMS327686 OWO327686 PGK327686 PQG327686 QAC327686 QJY327686 QTU327686 RDQ327686 RNM327686 RXI327686 SHE327686 SRA327686 TAW327686 TKS327686 TUO327686 UEK327686 UOG327686 UYC327686 VHY327686 VRU327686 WBQ327686 WLM327686 WVI327686 A393222 IW393222 SS393222 ACO393222 AMK393222 AWG393222 BGC393222 BPY393222 BZU393222 CJQ393222 CTM393222 DDI393222 DNE393222 DXA393222 EGW393222 EQS393222 FAO393222 FKK393222 FUG393222 GEC393222 GNY393222 GXU393222 HHQ393222 HRM393222 IBI393222 ILE393222 IVA393222 JEW393222 JOS393222 JYO393222 KIK393222 KSG393222 LCC393222 LLY393222 LVU393222 MFQ393222 MPM393222 MZI393222 NJE393222 NTA393222 OCW393222 OMS393222 OWO393222 PGK393222 PQG393222 QAC393222 QJY393222 QTU393222 RDQ393222 RNM393222 RXI393222 SHE393222 SRA393222 TAW393222 TKS393222 TUO393222 UEK393222 UOG393222 UYC393222 VHY393222 VRU393222 WBQ393222 WLM393222 WVI393222 A458758 IW458758 SS458758 ACO458758 AMK458758 AWG458758 BGC458758 BPY458758 BZU458758 CJQ458758 CTM458758 DDI458758 DNE458758 DXA458758 EGW458758 EQS458758 FAO458758 FKK458758 FUG458758 GEC458758 GNY458758 GXU458758 HHQ458758 HRM458758 IBI458758 ILE458758 IVA458758 JEW458758 JOS458758 JYO458758 KIK458758 KSG458758 LCC458758 LLY458758 LVU458758 MFQ458758 MPM458758 MZI458758 NJE458758 NTA458758 OCW458758 OMS458758 OWO458758 PGK458758 PQG458758 QAC458758 QJY458758 QTU458758 RDQ458758 RNM458758 RXI458758 SHE458758 SRA458758 TAW458758 TKS458758 TUO458758 UEK458758 UOG458758 UYC458758 VHY458758 VRU458758 WBQ458758 WLM458758 WVI458758 A524294 IW524294 SS524294 ACO524294 AMK524294 AWG524294 BGC524294 BPY524294 BZU524294 CJQ524294 CTM524294 DDI524294 DNE524294 DXA524294 EGW524294 EQS524294 FAO524294 FKK524294 FUG524294 GEC524294 GNY524294 GXU524294 HHQ524294 HRM524294 IBI524294 ILE524294 IVA524294 JEW524294 JOS524294 JYO524294 KIK524294 KSG524294 LCC524294 LLY524294 LVU524294 MFQ524294 MPM524294 MZI524294 NJE524294 NTA524294 OCW524294 OMS524294 OWO524294 PGK524294 PQG524294 QAC524294 QJY524294 QTU524294 RDQ524294 RNM524294 RXI524294 SHE524294 SRA524294 TAW524294 TKS524294 TUO524294 UEK524294 UOG524294 UYC524294 VHY524294 VRU524294 WBQ524294 WLM524294 WVI524294 A589830 IW589830 SS589830 ACO589830 AMK589830 AWG589830 BGC589830 BPY589830 BZU589830 CJQ589830 CTM589830 DDI589830 DNE589830 DXA589830 EGW589830 EQS589830 FAO589830 FKK589830 FUG589830 GEC589830 GNY589830 GXU589830 HHQ589830 HRM589830 IBI589830 ILE589830 IVA589830 JEW589830 JOS589830 JYO589830 KIK589830 KSG589830 LCC589830 LLY589830 LVU589830 MFQ589830 MPM589830 MZI589830 NJE589830 NTA589830 OCW589830 OMS589830 OWO589830 PGK589830 PQG589830 QAC589830 QJY589830 QTU589830 RDQ589830 RNM589830 RXI589830 SHE589830 SRA589830 TAW589830 TKS589830 TUO589830 UEK589830 UOG589830 UYC589830 VHY589830 VRU589830 WBQ589830 WLM589830 WVI589830 A655366 IW655366 SS655366 ACO655366 AMK655366 AWG655366 BGC655366 BPY655366 BZU655366 CJQ655366 CTM655366 DDI655366 DNE655366 DXA655366 EGW655366 EQS655366 FAO655366 FKK655366 FUG655366 GEC655366 GNY655366 GXU655366 HHQ655366 HRM655366 IBI655366 ILE655366 IVA655366 JEW655366 JOS655366 JYO655366 KIK655366 KSG655366 LCC655366 LLY655366 LVU655366 MFQ655366 MPM655366 MZI655366 NJE655366 NTA655366 OCW655366 OMS655366 OWO655366 PGK655366 PQG655366 QAC655366 QJY655366 QTU655366 RDQ655366 RNM655366 RXI655366 SHE655366 SRA655366 TAW655366 TKS655366 TUO655366 UEK655366 UOG655366 UYC655366 VHY655366 VRU655366 WBQ655366 WLM655366 WVI655366 A720902 IW720902 SS720902 ACO720902 AMK720902 AWG720902 BGC720902 BPY720902 BZU720902 CJQ720902 CTM720902 DDI720902 DNE720902 DXA720902 EGW720902 EQS720902 FAO720902 FKK720902 FUG720902 GEC720902 GNY720902 GXU720902 HHQ720902 HRM720902 IBI720902 ILE720902 IVA720902 JEW720902 JOS720902 JYO720902 KIK720902 KSG720902 LCC720902 LLY720902 LVU720902 MFQ720902 MPM720902 MZI720902 NJE720902 NTA720902 OCW720902 OMS720902 OWO720902 PGK720902 PQG720902 QAC720902 QJY720902 QTU720902 RDQ720902 RNM720902 RXI720902 SHE720902 SRA720902 TAW720902 TKS720902 TUO720902 UEK720902 UOG720902 UYC720902 VHY720902 VRU720902 WBQ720902 WLM720902 WVI720902 A786438 IW786438 SS786438 ACO786438 AMK786438 AWG786438 BGC786438 BPY786438 BZU786438 CJQ786438 CTM786438 DDI786438 DNE786438 DXA786438 EGW786438 EQS786438 FAO786438 FKK786438 FUG786438 GEC786438 GNY786438 GXU786438 HHQ786438 HRM786438 IBI786438 ILE786438 IVA786438 JEW786438 JOS786438 JYO786438 KIK786438 KSG786438 LCC786438 LLY786438 LVU786438 MFQ786438 MPM786438 MZI786438 NJE786438 NTA786438 OCW786438 OMS786438 OWO786438 PGK786438 PQG786438 QAC786438 QJY786438 QTU786438 RDQ786438 RNM786438 RXI786438 SHE786438 SRA786438 TAW786438 TKS786438 TUO786438 UEK786438 UOG786438 UYC786438 VHY786438 VRU786438 WBQ786438 WLM786438 WVI786438 A851974 IW851974 SS851974 ACO851974 AMK851974 AWG851974 BGC851974 BPY851974 BZU851974 CJQ851974 CTM851974 DDI851974 DNE851974 DXA851974 EGW851974 EQS851974 FAO851974 FKK851974 FUG851974 GEC851974 GNY851974 GXU851974 HHQ851974 HRM851974 IBI851974 ILE851974 IVA851974 JEW851974 JOS851974 JYO851974 KIK851974 KSG851974 LCC851974 LLY851974 LVU851974 MFQ851974 MPM851974 MZI851974 NJE851974 NTA851974 OCW851974 OMS851974 OWO851974 PGK851974 PQG851974 QAC851974 QJY851974 QTU851974 RDQ851974 RNM851974 RXI851974 SHE851974 SRA851974 TAW851974 TKS851974 TUO851974 UEK851974 UOG851974 UYC851974 VHY851974 VRU851974 WBQ851974 WLM851974 WVI851974 A917510 IW917510 SS917510 ACO917510 AMK917510 AWG917510 BGC917510 BPY917510 BZU917510 CJQ917510 CTM917510 DDI917510 DNE917510 DXA917510 EGW917510 EQS917510 FAO917510 FKK917510 FUG917510 GEC917510 GNY917510 GXU917510 HHQ917510 HRM917510 IBI917510 ILE917510 IVA917510 JEW917510 JOS917510 JYO917510 KIK917510 KSG917510 LCC917510 LLY917510 LVU917510 MFQ917510 MPM917510 MZI917510 NJE917510 NTA917510 OCW917510 OMS917510 OWO917510 PGK917510 PQG917510 QAC917510 QJY917510 QTU917510 RDQ917510 RNM917510 RXI917510 SHE917510 SRA917510 TAW917510 TKS917510 TUO917510 UEK917510 UOG917510 UYC917510 VHY917510 VRU917510 WBQ917510 WLM917510 WVI917510 A983046 IW983046 SS983046 ACO983046 AMK983046 AWG983046 BGC983046 BPY983046 BZU983046 CJQ983046 CTM983046 DDI983046 DNE983046 DXA983046 EGW983046 EQS983046 FAO983046 FKK983046 FUG983046 GEC983046 GNY983046 GXU983046 HHQ983046 HRM983046 IBI983046 ILE983046 IVA983046 JEW983046 JOS983046 JYO983046 KIK983046 KSG983046 LCC983046 LLY983046 LVU983046 MFQ983046 MPM983046 MZI983046 NJE983046 NTA983046 OCW983046 OMS983046 OWO983046 PGK983046 PQG983046 QAC983046 QJY983046 QTU983046 RDQ983046 RNM983046 RXI983046 SHE983046 SRA983046 TAW983046 TKS983046 TUO983046 UEK983046 UOG983046 UYC983046 VHY983046 VRU983046 WBQ983046 WLM983046" xr:uid="{00000000-0002-0000-0000-000007000000}">
      <formula1>Lokation</formula1>
    </dataValidation>
    <dataValidation type="list" allowBlank="1" showInputMessage="1" showErrorMessage="1" sqref="WVT983074 JF34 TB34 ACX34 AMT34 AWP34 BGL34 BQH34 CAD34 CJZ34 CTV34 DDR34 DNN34 DXJ34 EHF34 ERB34 FAX34 FKT34 FUP34 GEL34 GOH34 GYD34 HHZ34 HRV34 IBR34 ILN34 IVJ34 JFF34 JPB34 JYX34 KIT34 KSP34 LCL34 LMH34 LWD34 MFZ34 MPV34 MZR34 NJN34 NTJ34 ODF34 ONB34 OWX34 PGT34 PQP34 QAL34 QKH34 QUD34 RDZ34 RNV34 RXR34 SHN34 SRJ34 TBF34 TLB34 TUX34 UET34 UOP34 UYL34 VIH34 VSD34 WBZ34 WLV34 WVR34 J65570 JF65570 TB65570 ACX65570 AMT65570 AWP65570 BGL65570 BQH65570 CAD65570 CJZ65570 CTV65570 DDR65570 DNN65570 DXJ65570 EHF65570 ERB65570 FAX65570 FKT65570 FUP65570 GEL65570 GOH65570 GYD65570 HHZ65570 HRV65570 IBR65570 ILN65570 IVJ65570 JFF65570 JPB65570 JYX65570 KIT65570 KSP65570 LCL65570 LMH65570 LWD65570 MFZ65570 MPV65570 MZR65570 NJN65570 NTJ65570 ODF65570 ONB65570 OWX65570 PGT65570 PQP65570 QAL65570 QKH65570 QUD65570 RDZ65570 RNV65570 RXR65570 SHN65570 SRJ65570 TBF65570 TLB65570 TUX65570 UET65570 UOP65570 UYL65570 VIH65570 VSD65570 WBZ65570 WLV65570 WVR65570 J131106 JF131106 TB131106 ACX131106 AMT131106 AWP131106 BGL131106 BQH131106 CAD131106 CJZ131106 CTV131106 DDR131106 DNN131106 DXJ131106 EHF131106 ERB131106 FAX131106 FKT131106 FUP131106 GEL131106 GOH131106 GYD131106 HHZ131106 HRV131106 IBR131106 ILN131106 IVJ131106 JFF131106 JPB131106 JYX131106 KIT131106 KSP131106 LCL131106 LMH131106 LWD131106 MFZ131106 MPV131106 MZR131106 NJN131106 NTJ131106 ODF131106 ONB131106 OWX131106 PGT131106 PQP131106 QAL131106 QKH131106 QUD131106 RDZ131106 RNV131106 RXR131106 SHN131106 SRJ131106 TBF131106 TLB131106 TUX131106 UET131106 UOP131106 UYL131106 VIH131106 VSD131106 WBZ131106 WLV131106 WVR131106 J196642 JF196642 TB196642 ACX196642 AMT196642 AWP196642 BGL196642 BQH196642 CAD196642 CJZ196642 CTV196642 DDR196642 DNN196642 DXJ196642 EHF196642 ERB196642 FAX196642 FKT196642 FUP196642 GEL196642 GOH196642 GYD196642 HHZ196642 HRV196642 IBR196642 ILN196642 IVJ196642 JFF196642 JPB196642 JYX196642 KIT196642 KSP196642 LCL196642 LMH196642 LWD196642 MFZ196642 MPV196642 MZR196642 NJN196642 NTJ196642 ODF196642 ONB196642 OWX196642 PGT196642 PQP196642 QAL196642 QKH196642 QUD196642 RDZ196642 RNV196642 RXR196642 SHN196642 SRJ196642 TBF196642 TLB196642 TUX196642 UET196642 UOP196642 UYL196642 VIH196642 VSD196642 WBZ196642 WLV196642 WVR196642 J262178 JF262178 TB262178 ACX262178 AMT262178 AWP262178 BGL262178 BQH262178 CAD262178 CJZ262178 CTV262178 DDR262178 DNN262178 DXJ262178 EHF262178 ERB262178 FAX262178 FKT262178 FUP262178 GEL262178 GOH262178 GYD262178 HHZ262178 HRV262178 IBR262178 ILN262178 IVJ262178 JFF262178 JPB262178 JYX262178 KIT262178 KSP262178 LCL262178 LMH262178 LWD262178 MFZ262178 MPV262178 MZR262178 NJN262178 NTJ262178 ODF262178 ONB262178 OWX262178 PGT262178 PQP262178 QAL262178 QKH262178 QUD262178 RDZ262178 RNV262178 RXR262178 SHN262178 SRJ262178 TBF262178 TLB262178 TUX262178 UET262178 UOP262178 UYL262178 VIH262178 VSD262178 WBZ262178 WLV262178 WVR262178 J327714 JF327714 TB327714 ACX327714 AMT327714 AWP327714 BGL327714 BQH327714 CAD327714 CJZ327714 CTV327714 DDR327714 DNN327714 DXJ327714 EHF327714 ERB327714 FAX327714 FKT327714 FUP327714 GEL327714 GOH327714 GYD327714 HHZ327714 HRV327714 IBR327714 ILN327714 IVJ327714 JFF327714 JPB327714 JYX327714 KIT327714 KSP327714 LCL327714 LMH327714 LWD327714 MFZ327714 MPV327714 MZR327714 NJN327714 NTJ327714 ODF327714 ONB327714 OWX327714 PGT327714 PQP327714 QAL327714 QKH327714 QUD327714 RDZ327714 RNV327714 RXR327714 SHN327714 SRJ327714 TBF327714 TLB327714 TUX327714 UET327714 UOP327714 UYL327714 VIH327714 VSD327714 WBZ327714 WLV327714 WVR327714 J393250 JF393250 TB393250 ACX393250 AMT393250 AWP393250 BGL393250 BQH393250 CAD393250 CJZ393250 CTV393250 DDR393250 DNN393250 DXJ393250 EHF393250 ERB393250 FAX393250 FKT393250 FUP393250 GEL393250 GOH393250 GYD393250 HHZ393250 HRV393250 IBR393250 ILN393250 IVJ393250 JFF393250 JPB393250 JYX393250 KIT393250 KSP393250 LCL393250 LMH393250 LWD393250 MFZ393250 MPV393250 MZR393250 NJN393250 NTJ393250 ODF393250 ONB393250 OWX393250 PGT393250 PQP393250 QAL393250 QKH393250 QUD393250 RDZ393250 RNV393250 RXR393250 SHN393250 SRJ393250 TBF393250 TLB393250 TUX393250 UET393250 UOP393250 UYL393250 VIH393250 VSD393250 WBZ393250 WLV393250 WVR393250 J458786 JF458786 TB458786 ACX458786 AMT458786 AWP458786 BGL458786 BQH458786 CAD458786 CJZ458786 CTV458786 DDR458786 DNN458786 DXJ458786 EHF458786 ERB458786 FAX458786 FKT458786 FUP458786 GEL458786 GOH458786 GYD458786 HHZ458786 HRV458786 IBR458786 ILN458786 IVJ458786 JFF458786 JPB458786 JYX458786 KIT458786 KSP458786 LCL458786 LMH458786 LWD458786 MFZ458786 MPV458786 MZR458786 NJN458786 NTJ458786 ODF458786 ONB458786 OWX458786 PGT458786 PQP458786 QAL458786 QKH458786 QUD458786 RDZ458786 RNV458786 RXR458786 SHN458786 SRJ458786 TBF458786 TLB458786 TUX458786 UET458786 UOP458786 UYL458786 VIH458786 VSD458786 WBZ458786 WLV458786 WVR458786 J524322 JF524322 TB524322 ACX524322 AMT524322 AWP524322 BGL524322 BQH524322 CAD524322 CJZ524322 CTV524322 DDR524322 DNN524322 DXJ524322 EHF524322 ERB524322 FAX524322 FKT524322 FUP524322 GEL524322 GOH524322 GYD524322 HHZ524322 HRV524322 IBR524322 ILN524322 IVJ524322 JFF524322 JPB524322 JYX524322 KIT524322 KSP524322 LCL524322 LMH524322 LWD524322 MFZ524322 MPV524322 MZR524322 NJN524322 NTJ524322 ODF524322 ONB524322 OWX524322 PGT524322 PQP524322 QAL524322 QKH524322 QUD524322 RDZ524322 RNV524322 RXR524322 SHN524322 SRJ524322 TBF524322 TLB524322 TUX524322 UET524322 UOP524322 UYL524322 VIH524322 VSD524322 WBZ524322 WLV524322 WVR524322 J589858 JF589858 TB589858 ACX589858 AMT589858 AWP589858 BGL589858 BQH589858 CAD589858 CJZ589858 CTV589858 DDR589858 DNN589858 DXJ589858 EHF589858 ERB589858 FAX589858 FKT589858 FUP589858 GEL589858 GOH589858 GYD589858 HHZ589858 HRV589858 IBR589858 ILN589858 IVJ589858 JFF589858 JPB589858 JYX589858 KIT589858 KSP589858 LCL589858 LMH589858 LWD589858 MFZ589858 MPV589858 MZR589858 NJN589858 NTJ589858 ODF589858 ONB589858 OWX589858 PGT589858 PQP589858 QAL589858 QKH589858 QUD589858 RDZ589858 RNV589858 RXR589858 SHN589858 SRJ589858 TBF589858 TLB589858 TUX589858 UET589858 UOP589858 UYL589858 VIH589858 VSD589858 WBZ589858 WLV589858 WVR589858 J655394 JF655394 TB655394 ACX655394 AMT655394 AWP655394 BGL655394 BQH655394 CAD655394 CJZ655394 CTV655394 DDR655394 DNN655394 DXJ655394 EHF655394 ERB655394 FAX655394 FKT655394 FUP655394 GEL655394 GOH655394 GYD655394 HHZ655394 HRV655394 IBR655394 ILN655394 IVJ655394 JFF655394 JPB655394 JYX655394 KIT655394 KSP655394 LCL655394 LMH655394 LWD655394 MFZ655394 MPV655394 MZR655394 NJN655394 NTJ655394 ODF655394 ONB655394 OWX655394 PGT655394 PQP655394 QAL655394 QKH655394 QUD655394 RDZ655394 RNV655394 RXR655394 SHN655394 SRJ655394 TBF655394 TLB655394 TUX655394 UET655394 UOP655394 UYL655394 VIH655394 VSD655394 WBZ655394 WLV655394 WVR655394 J720930 JF720930 TB720930 ACX720930 AMT720930 AWP720930 BGL720930 BQH720930 CAD720930 CJZ720930 CTV720930 DDR720930 DNN720930 DXJ720930 EHF720930 ERB720930 FAX720930 FKT720930 FUP720930 GEL720930 GOH720930 GYD720930 HHZ720930 HRV720930 IBR720930 ILN720930 IVJ720930 JFF720930 JPB720930 JYX720930 KIT720930 KSP720930 LCL720930 LMH720930 LWD720930 MFZ720930 MPV720930 MZR720930 NJN720930 NTJ720930 ODF720930 ONB720930 OWX720930 PGT720930 PQP720930 QAL720930 QKH720930 QUD720930 RDZ720930 RNV720930 RXR720930 SHN720930 SRJ720930 TBF720930 TLB720930 TUX720930 UET720930 UOP720930 UYL720930 VIH720930 VSD720930 WBZ720930 WLV720930 WVR720930 J786466 JF786466 TB786466 ACX786466 AMT786466 AWP786466 BGL786466 BQH786466 CAD786466 CJZ786466 CTV786466 DDR786466 DNN786466 DXJ786466 EHF786466 ERB786466 FAX786466 FKT786466 FUP786466 GEL786466 GOH786466 GYD786466 HHZ786466 HRV786466 IBR786466 ILN786466 IVJ786466 JFF786466 JPB786466 JYX786466 KIT786466 KSP786466 LCL786466 LMH786466 LWD786466 MFZ786466 MPV786466 MZR786466 NJN786466 NTJ786466 ODF786466 ONB786466 OWX786466 PGT786466 PQP786466 QAL786466 QKH786466 QUD786466 RDZ786466 RNV786466 RXR786466 SHN786466 SRJ786466 TBF786466 TLB786466 TUX786466 UET786466 UOP786466 UYL786466 VIH786466 VSD786466 WBZ786466 WLV786466 WVR786466 J852002 JF852002 TB852002 ACX852002 AMT852002 AWP852002 BGL852002 BQH852002 CAD852002 CJZ852002 CTV852002 DDR852002 DNN852002 DXJ852002 EHF852002 ERB852002 FAX852002 FKT852002 FUP852002 GEL852002 GOH852002 GYD852002 HHZ852002 HRV852002 IBR852002 ILN852002 IVJ852002 JFF852002 JPB852002 JYX852002 KIT852002 KSP852002 LCL852002 LMH852002 LWD852002 MFZ852002 MPV852002 MZR852002 NJN852002 NTJ852002 ODF852002 ONB852002 OWX852002 PGT852002 PQP852002 QAL852002 QKH852002 QUD852002 RDZ852002 RNV852002 RXR852002 SHN852002 SRJ852002 TBF852002 TLB852002 TUX852002 UET852002 UOP852002 UYL852002 VIH852002 VSD852002 WBZ852002 WLV852002 WVR852002 J917538 JF917538 TB917538 ACX917538 AMT917538 AWP917538 BGL917538 BQH917538 CAD917538 CJZ917538 CTV917538 DDR917538 DNN917538 DXJ917538 EHF917538 ERB917538 FAX917538 FKT917538 FUP917538 GEL917538 GOH917538 GYD917538 HHZ917538 HRV917538 IBR917538 ILN917538 IVJ917538 JFF917538 JPB917538 JYX917538 KIT917538 KSP917538 LCL917538 LMH917538 LWD917538 MFZ917538 MPV917538 MZR917538 NJN917538 NTJ917538 ODF917538 ONB917538 OWX917538 PGT917538 PQP917538 QAL917538 QKH917538 QUD917538 RDZ917538 RNV917538 RXR917538 SHN917538 SRJ917538 TBF917538 TLB917538 TUX917538 UET917538 UOP917538 UYL917538 VIH917538 VSD917538 WBZ917538 WLV917538 WVR917538 J983074 JF983074 TB983074 ACX983074 AMT983074 AWP983074 BGL983074 BQH983074 CAD983074 CJZ983074 CTV983074 DDR983074 DNN983074 DXJ983074 EHF983074 ERB983074 FAX983074 FKT983074 FUP983074 GEL983074 GOH983074 GYD983074 HHZ983074 HRV983074 IBR983074 ILN983074 IVJ983074 JFF983074 JPB983074 JYX983074 KIT983074 KSP983074 LCL983074 LMH983074 LWD983074 MFZ983074 MPV983074 MZR983074 NJN983074 NTJ983074 ODF983074 ONB983074 OWX983074 PGT983074 PQP983074 QAL983074 QKH983074 QUD983074 RDZ983074 RNV983074 RXR983074 SHN983074 SRJ983074 TBF983074 TLB983074 TUX983074 UET983074 UOP983074 UYL983074 VIH983074 VSD983074 WBZ983074 WLV983074 WVR983074 WLX983074 JH34 TD34 ACZ34 AMV34 AWR34 BGN34 BQJ34 CAF34 CKB34 CTX34 DDT34 DNP34 DXL34 EHH34 ERD34 FAZ34 FKV34 FUR34 GEN34 GOJ34 GYF34 HIB34 HRX34 IBT34 ILP34 IVL34 JFH34 JPD34 JYZ34 KIV34 KSR34 LCN34 LMJ34 LWF34 MGB34 MPX34 MZT34 NJP34 NTL34 ODH34 OND34 OWZ34 PGV34 PQR34 QAN34 QKJ34 QUF34 REB34 RNX34 RXT34 SHP34 SRL34 TBH34 TLD34 TUZ34 UEV34 UOR34 UYN34 VIJ34 VSF34 WCB34 WLX34 WVT34 L65570 JH65570 TD65570 ACZ65570 AMV65570 AWR65570 BGN65570 BQJ65570 CAF65570 CKB65570 CTX65570 DDT65570 DNP65570 DXL65570 EHH65570 ERD65570 FAZ65570 FKV65570 FUR65570 GEN65570 GOJ65570 GYF65570 HIB65570 HRX65570 IBT65570 ILP65570 IVL65570 JFH65570 JPD65570 JYZ65570 KIV65570 KSR65570 LCN65570 LMJ65570 LWF65570 MGB65570 MPX65570 MZT65570 NJP65570 NTL65570 ODH65570 OND65570 OWZ65570 PGV65570 PQR65570 QAN65570 QKJ65570 QUF65570 REB65570 RNX65570 RXT65570 SHP65570 SRL65570 TBH65570 TLD65570 TUZ65570 UEV65570 UOR65570 UYN65570 VIJ65570 VSF65570 WCB65570 WLX65570 WVT65570 L131106 JH131106 TD131106 ACZ131106 AMV131106 AWR131106 BGN131106 BQJ131106 CAF131106 CKB131106 CTX131106 DDT131106 DNP131106 DXL131106 EHH131106 ERD131106 FAZ131106 FKV131106 FUR131106 GEN131106 GOJ131106 GYF131106 HIB131106 HRX131106 IBT131106 ILP131106 IVL131106 JFH131106 JPD131106 JYZ131106 KIV131106 KSR131106 LCN131106 LMJ131106 LWF131106 MGB131106 MPX131106 MZT131106 NJP131106 NTL131106 ODH131106 OND131106 OWZ131106 PGV131106 PQR131106 QAN131106 QKJ131106 QUF131106 REB131106 RNX131106 RXT131106 SHP131106 SRL131106 TBH131106 TLD131106 TUZ131106 UEV131106 UOR131106 UYN131106 VIJ131106 VSF131106 WCB131106 WLX131106 WVT131106 L196642 JH196642 TD196642 ACZ196642 AMV196642 AWR196642 BGN196642 BQJ196642 CAF196642 CKB196642 CTX196642 DDT196642 DNP196642 DXL196642 EHH196642 ERD196642 FAZ196642 FKV196642 FUR196642 GEN196642 GOJ196642 GYF196642 HIB196642 HRX196642 IBT196642 ILP196642 IVL196642 JFH196642 JPD196642 JYZ196642 KIV196642 KSR196642 LCN196642 LMJ196642 LWF196642 MGB196642 MPX196642 MZT196642 NJP196642 NTL196642 ODH196642 OND196642 OWZ196642 PGV196642 PQR196642 QAN196642 QKJ196642 QUF196642 REB196642 RNX196642 RXT196642 SHP196642 SRL196642 TBH196642 TLD196642 TUZ196642 UEV196642 UOR196642 UYN196642 VIJ196642 VSF196642 WCB196642 WLX196642 WVT196642 L262178 JH262178 TD262178 ACZ262178 AMV262178 AWR262178 BGN262178 BQJ262178 CAF262178 CKB262178 CTX262178 DDT262178 DNP262178 DXL262178 EHH262178 ERD262178 FAZ262178 FKV262178 FUR262178 GEN262178 GOJ262178 GYF262178 HIB262178 HRX262178 IBT262178 ILP262178 IVL262178 JFH262178 JPD262178 JYZ262178 KIV262178 KSR262178 LCN262178 LMJ262178 LWF262178 MGB262178 MPX262178 MZT262178 NJP262178 NTL262178 ODH262178 OND262178 OWZ262178 PGV262178 PQR262178 QAN262178 QKJ262178 QUF262178 REB262178 RNX262178 RXT262178 SHP262178 SRL262178 TBH262178 TLD262178 TUZ262178 UEV262178 UOR262178 UYN262178 VIJ262178 VSF262178 WCB262178 WLX262178 WVT262178 L327714 JH327714 TD327714 ACZ327714 AMV327714 AWR327714 BGN327714 BQJ327714 CAF327714 CKB327714 CTX327714 DDT327714 DNP327714 DXL327714 EHH327714 ERD327714 FAZ327714 FKV327714 FUR327714 GEN327714 GOJ327714 GYF327714 HIB327714 HRX327714 IBT327714 ILP327714 IVL327714 JFH327714 JPD327714 JYZ327714 KIV327714 KSR327714 LCN327714 LMJ327714 LWF327714 MGB327714 MPX327714 MZT327714 NJP327714 NTL327714 ODH327714 OND327714 OWZ327714 PGV327714 PQR327714 QAN327714 QKJ327714 QUF327714 REB327714 RNX327714 RXT327714 SHP327714 SRL327714 TBH327714 TLD327714 TUZ327714 UEV327714 UOR327714 UYN327714 VIJ327714 VSF327714 WCB327714 WLX327714 WVT327714 L393250 JH393250 TD393250 ACZ393250 AMV393250 AWR393250 BGN393250 BQJ393250 CAF393250 CKB393250 CTX393250 DDT393250 DNP393250 DXL393250 EHH393250 ERD393250 FAZ393250 FKV393250 FUR393250 GEN393250 GOJ393250 GYF393250 HIB393250 HRX393250 IBT393250 ILP393250 IVL393250 JFH393250 JPD393250 JYZ393250 KIV393250 KSR393250 LCN393250 LMJ393250 LWF393250 MGB393250 MPX393250 MZT393250 NJP393250 NTL393250 ODH393250 OND393250 OWZ393250 PGV393250 PQR393250 QAN393250 QKJ393250 QUF393250 REB393250 RNX393250 RXT393250 SHP393250 SRL393250 TBH393250 TLD393250 TUZ393250 UEV393250 UOR393250 UYN393250 VIJ393250 VSF393250 WCB393250 WLX393250 WVT393250 L458786 JH458786 TD458786 ACZ458786 AMV458786 AWR458786 BGN458786 BQJ458786 CAF458786 CKB458786 CTX458786 DDT458786 DNP458786 DXL458786 EHH458786 ERD458786 FAZ458786 FKV458786 FUR458786 GEN458786 GOJ458786 GYF458786 HIB458786 HRX458786 IBT458786 ILP458786 IVL458786 JFH458786 JPD458786 JYZ458786 KIV458786 KSR458786 LCN458786 LMJ458786 LWF458786 MGB458786 MPX458786 MZT458786 NJP458786 NTL458786 ODH458786 OND458786 OWZ458786 PGV458786 PQR458786 QAN458786 QKJ458786 QUF458786 REB458786 RNX458786 RXT458786 SHP458786 SRL458786 TBH458786 TLD458786 TUZ458786 UEV458786 UOR458786 UYN458786 VIJ458786 VSF458786 WCB458786 WLX458786 WVT458786 L524322 JH524322 TD524322 ACZ524322 AMV524322 AWR524322 BGN524322 BQJ524322 CAF524322 CKB524322 CTX524322 DDT524322 DNP524322 DXL524322 EHH524322 ERD524322 FAZ524322 FKV524322 FUR524322 GEN524322 GOJ524322 GYF524322 HIB524322 HRX524322 IBT524322 ILP524322 IVL524322 JFH524322 JPD524322 JYZ524322 KIV524322 KSR524322 LCN524322 LMJ524322 LWF524322 MGB524322 MPX524322 MZT524322 NJP524322 NTL524322 ODH524322 OND524322 OWZ524322 PGV524322 PQR524322 QAN524322 QKJ524322 QUF524322 REB524322 RNX524322 RXT524322 SHP524322 SRL524322 TBH524322 TLD524322 TUZ524322 UEV524322 UOR524322 UYN524322 VIJ524322 VSF524322 WCB524322 WLX524322 WVT524322 L589858 JH589858 TD589858 ACZ589858 AMV589858 AWR589858 BGN589858 BQJ589858 CAF589858 CKB589858 CTX589858 DDT589858 DNP589858 DXL589858 EHH589858 ERD589858 FAZ589858 FKV589858 FUR589858 GEN589858 GOJ589858 GYF589858 HIB589858 HRX589858 IBT589858 ILP589858 IVL589858 JFH589858 JPD589858 JYZ589858 KIV589858 KSR589858 LCN589858 LMJ589858 LWF589858 MGB589858 MPX589858 MZT589858 NJP589858 NTL589858 ODH589858 OND589858 OWZ589858 PGV589858 PQR589858 QAN589858 QKJ589858 QUF589858 REB589858 RNX589858 RXT589858 SHP589858 SRL589858 TBH589858 TLD589858 TUZ589858 UEV589858 UOR589858 UYN589858 VIJ589858 VSF589858 WCB589858 WLX589858 WVT589858 L655394 JH655394 TD655394 ACZ655394 AMV655394 AWR655394 BGN655394 BQJ655394 CAF655394 CKB655394 CTX655394 DDT655394 DNP655394 DXL655394 EHH655394 ERD655394 FAZ655394 FKV655394 FUR655394 GEN655394 GOJ655394 GYF655394 HIB655394 HRX655394 IBT655394 ILP655394 IVL655394 JFH655394 JPD655394 JYZ655394 KIV655394 KSR655394 LCN655394 LMJ655394 LWF655394 MGB655394 MPX655394 MZT655394 NJP655394 NTL655394 ODH655394 OND655394 OWZ655394 PGV655394 PQR655394 QAN655394 QKJ655394 QUF655394 REB655394 RNX655394 RXT655394 SHP655394 SRL655394 TBH655394 TLD655394 TUZ655394 UEV655394 UOR655394 UYN655394 VIJ655394 VSF655394 WCB655394 WLX655394 WVT655394 L720930 JH720930 TD720930 ACZ720930 AMV720930 AWR720930 BGN720930 BQJ720930 CAF720930 CKB720930 CTX720930 DDT720930 DNP720930 DXL720930 EHH720930 ERD720930 FAZ720930 FKV720930 FUR720930 GEN720930 GOJ720930 GYF720930 HIB720930 HRX720930 IBT720930 ILP720930 IVL720930 JFH720930 JPD720930 JYZ720930 KIV720930 KSR720930 LCN720930 LMJ720930 LWF720930 MGB720930 MPX720930 MZT720930 NJP720930 NTL720930 ODH720930 OND720930 OWZ720930 PGV720930 PQR720930 QAN720930 QKJ720930 QUF720930 REB720930 RNX720930 RXT720930 SHP720930 SRL720930 TBH720930 TLD720930 TUZ720930 UEV720930 UOR720930 UYN720930 VIJ720930 VSF720930 WCB720930 WLX720930 WVT720930 L786466 JH786466 TD786466 ACZ786466 AMV786466 AWR786466 BGN786466 BQJ786466 CAF786466 CKB786466 CTX786466 DDT786466 DNP786466 DXL786466 EHH786466 ERD786466 FAZ786466 FKV786466 FUR786466 GEN786466 GOJ786466 GYF786466 HIB786466 HRX786466 IBT786466 ILP786466 IVL786466 JFH786466 JPD786466 JYZ786466 KIV786466 KSR786466 LCN786466 LMJ786466 LWF786466 MGB786466 MPX786466 MZT786466 NJP786466 NTL786466 ODH786466 OND786466 OWZ786466 PGV786466 PQR786466 QAN786466 QKJ786466 QUF786466 REB786466 RNX786466 RXT786466 SHP786466 SRL786466 TBH786466 TLD786466 TUZ786466 UEV786466 UOR786466 UYN786466 VIJ786466 VSF786466 WCB786466 WLX786466 WVT786466 L852002 JH852002 TD852002 ACZ852002 AMV852002 AWR852002 BGN852002 BQJ852002 CAF852002 CKB852002 CTX852002 DDT852002 DNP852002 DXL852002 EHH852002 ERD852002 FAZ852002 FKV852002 FUR852002 GEN852002 GOJ852002 GYF852002 HIB852002 HRX852002 IBT852002 ILP852002 IVL852002 JFH852002 JPD852002 JYZ852002 KIV852002 KSR852002 LCN852002 LMJ852002 LWF852002 MGB852002 MPX852002 MZT852002 NJP852002 NTL852002 ODH852002 OND852002 OWZ852002 PGV852002 PQR852002 QAN852002 QKJ852002 QUF852002 REB852002 RNX852002 RXT852002 SHP852002 SRL852002 TBH852002 TLD852002 TUZ852002 UEV852002 UOR852002 UYN852002 VIJ852002 VSF852002 WCB852002 WLX852002 WVT852002 L917538 JH917538 TD917538 ACZ917538 AMV917538 AWR917538 BGN917538 BQJ917538 CAF917538 CKB917538 CTX917538 DDT917538 DNP917538 DXL917538 EHH917538 ERD917538 FAZ917538 FKV917538 FUR917538 GEN917538 GOJ917538 GYF917538 HIB917538 HRX917538 IBT917538 ILP917538 IVL917538 JFH917538 JPD917538 JYZ917538 KIV917538 KSR917538 LCN917538 LMJ917538 LWF917538 MGB917538 MPX917538 MZT917538 NJP917538 NTL917538 ODH917538 OND917538 OWZ917538 PGV917538 PQR917538 QAN917538 QKJ917538 QUF917538 REB917538 RNX917538 RXT917538 SHP917538 SRL917538 TBH917538 TLD917538 TUZ917538 UEV917538 UOR917538 UYN917538 VIJ917538 VSF917538 WCB917538 WLX917538 WVT917538 L983074 JH983074 TD983074 ACZ983074 AMV983074 AWR983074 BGN983074 BQJ983074 CAF983074 CKB983074 CTX983074 DDT983074 DNP983074 DXL983074 EHH983074 ERD983074 FAZ983074 FKV983074 FUR983074 GEN983074 GOJ983074 GYF983074 HIB983074 HRX983074 IBT983074 ILP983074 IVL983074 JFH983074 JPD983074 JYZ983074 KIV983074 KSR983074 LCN983074 LMJ983074 LWF983074 MGB983074 MPX983074 MZT983074 NJP983074 NTL983074 ODH983074 OND983074 OWZ983074 PGV983074 PQR983074 QAN983074 QKJ983074 QUF983074 REB983074 RNX983074 RXT983074 SHP983074 SRL983074 TBH983074 TLD983074 TUZ983074 UEV983074 UOR983074 UYN983074 VIJ983074 VSF983074 WCB983074" xr:uid="{00000000-0002-0000-0000-000008000000}">
      <formula1>dornellerfast</formula1>
    </dataValidation>
    <dataValidation type="list" allowBlank="1" showInputMessage="1" showErrorMessage="1" sqref="WVV983042 JJ2 TF2 ADB2 AMX2 AWT2 BGP2 BQL2 CAH2 CKD2 CTZ2 DDV2 DNR2 DXN2 EHJ2 ERF2 FBB2 FKX2 FUT2 GEP2 GOL2 GYH2 HID2 HRZ2 IBV2 ILR2 IVN2 JFJ2 JPF2 JZB2 KIX2 KST2 LCP2 LML2 LWH2 MGD2 MPZ2 MZV2 NJR2 NTN2 ODJ2 ONF2 OXB2 PGX2 PQT2 QAP2 QKL2 QUH2 RED2 RNZ2 RXV2 SHR2 SRN2 TBJ2 TLF2 TVB2 UEX2 UOT2 UYP2 VIL2 VSH2 WCD2 WLZ2 WVV2 N65538 JJ65538 TF65538 ADB65538 AMX65538 AWT65538 BGP65538 BQL65538 CAH65538 CKD65538 CTZ65538 DDV65538 DNR65538 DXN65538 EHJ65538 ERF65538 FBB65538 FKX65538 FUT65538 GEP65538 GOL65538 GYH65538 HID65538 HRZ65538 IBV65538 ILR65538 IVN65538 JFJ65538 JPF65538 JZB65538 KIX65538 KST65538 LCP65538 LML65538 LWH65538 MGD65538 MPZ65538 MZV65538 NJR65538 NTN65538 ODJ65538 ONF65538 OXB65538 PGX65538 PQT65538 QAP65538 QKL65538 QUH65538 RED65538 RNZ65538 RXV65538 SHR65538 SRN65538 TBJ65538 TLF65538 TVB65538 UEX65538 UOT65538 UYP65538 VIL65538 VSH65538 WCD65538 WLZ65538 WVV65538 N131074 JJ131074 TF131074 ADB131074 AMX131074 AWT131074 BGP131074 BQL131074 CAH131074 CKD131074 CTZ131074 DDV131074 DNR131074 DXN131074 EHJ131074 ERF131074 FBB131074 FKX131074 FUT131074 GEP131074 GOL131074 GYH131074 HID131074 HRZ131074 IBV131074 ILR131074 IVN131074 JFJ131074 JPF131074 JZB131074 KIX131074 KST131074 LCP131074 LML131074 LWH131074 MGD131074 MPZ131074 MZV131074 NJR131074 NTN131074 ODJ131074 ONF131074 OXB131074 PGX131074 PQT131074 QAP131074 QKL131074 QUH131074 RED131074 RNZ131074 RXV131074 SHR131074 SRN131074 TBJ131074 TLF131074 TVB131074 UEX131074 UOT131074 UYP131074 VIL131074 VSH131074 WCD131074 WLZ131074 WVV131074 N196610 JJ196610 TF196610 ADB196610 AMX196610 AWT196610 BGP196610 BQL196610 CAH196610 CKD196610 CTZ196610 DDV196610 DNR196610 DXN196610 EHJ196610 ERF196610 FBB196610 FKX196610 FUT196610 GEP196610 GOL196610 GYH196610 HID196610 HRZ196610 IBV196610 ILR196610 IVN196610 JFJ196610 JPF196610 JZB196610 KIX196610 KST196610 LCP196610 LML196610 LWH196610 MGD196610 MPZ196610 MZV196610 NJR196610 NTN196610 ODJ196610 ONF196610 OXB196610 PGX196610 PQT196610 QAP196610 QKL196610 QUH196610 RED196610 RNZ196610 RXV196610 SHR196610 SRN196610 TBJ196610 TLF196610 TVB196610 UEX196610 UOT196610 UYP196610 VIL196610 VSH196610 WCD196610 WLZ196610 WVV196610 N262146 JJ262146 TF262146 ADB262146 AMX262146 AWT262146 BGP262146 BQL262146 CAH262146 CKD262146 CTZ262146 DDV262146 DNR262146 DXN262146 EHJ262146 ERF262146 FBB262146 FKX262146 FUT262146 GEP262146 GOL262146 GYH262146 HID262146 HRZ262146 IBV262146 ILR262146 IVN262146 JFJ262146 JPF262146 JZB262146 KIX262146 KST262146 LCP262146 LML262146 LWH262146 MGD262146 MPZ262146 MZV262146 NJR262146 NTN262146 ODJ262146 ONF262146 OXB262146 PGX262146 PQT262146 QAP262146 QKL262146 QUH262146 RED262146 RNZ262146 RXV262146 SHR262146 SRN262146 TBJ262146 TLF262146 TVB262146 UEX262146 UOT262146 UYP262146 VIL262146 VSH262146 WCD262146 WLZ262146 WVV262146 N327682 JJ327682 TF327682 ADB327682 AMX327682 AWT327682 BGP327682 BQL327682 CAH327682 CKD327682 CTZ327682 DDV327682 DNR327682 DXN327682 EHJ327682 ERF327682 FBB327682 FKX327682 FUT327682 GEP327682 GOL327682 GYH327682 HID327682 HRZ327682 IBV327682 ILR327682 IVN327682 JFJ327682 JPF327682 JZB327682 KIX327682 KST327682 LCP327682 LML327682 LWH327682 MGD327682 MPZ327682 MZV327682 NJR327682 NTN327682 ODJ327682 ONF327682 OXB327682 PGX327682 PQT327682 QAP327682 QKL327682 QUH327682 RED327682 RNZ327682 RXV327682 SHR327682 SRN327682 TBJ327682 TLF327682 TVB327682 UEX327682 UOT327682 UYP327682 VIL327682 VSH327682 WCD327682 WLZ327682 WVV327682 N393218 JJ393218 TF393218 ADB393218 AMX393218 AWT393218 BGP393218 BQL393218 CAH393218 CKD393218 CTZ393218 DDV393218 DNR393218 DXN393218 EHJ393218 ERF393218 FBB393218 FKX393218 FUT393218 GEP393218 GOL393218 GYH393218 HID393218 HRZ393218 IBV393218 ILR393218 IVN393218 JFJ393218 JPF393218 JZB393218 KIX393218 KST393218 LCP393218 LML393218 LWH393218 MGD393218 MPZ393218 MZV393218 NJR393218 NTN393218 ODJ393218 ONF393218 OXB393218 PGX393218 PQT393218 QAP393218 QKL393218 QUH393218 RED393218 RNZ393218 RXV393218 SHR393218 SRN393218 TBJ393218 TLF393218 TVB393218 UEX393218 UOT393218 UYP393218 VIL393218 VSH393218 WCD393218 WLZ393218 WVV393218 N458754 JJ458754 TF458754 ADB458754 AMX458754 AWT458754 BGP458754 BQL458754 CAH458754 CKD458754 CTZ458754 DDV458754 DNR458754 DXN458754 EHJ458754 ERF458754 FBB458754 FKX458754 FUT458754 GEP458754 GOL458754 GYH458754 HID458754 HRZ458754 IBV458754 ILR458754 IVN458754 JFJ458754 JPF458754 JZB458754 KIX458754 KST458754 LCP458754 LML458754 LWH458754 MGD458754 MPZ458754 MZV458754 NJR458754 NTN458754 ODJ458754 ONF458754 OXB458754 PGX458754 PQT458754 QAP458754 QKL458754 QUH458754 RED458754 RNZ458754 RXV458754 SHR458754 SRN458754 TBJ458754 TLF458754 TVB458754 UEX458754 UOT458754 UYP458754 VIL458754 VSH458754 WCD458754 WLZ458754 WVV458754 N524290 JJ524290 TF524290 ADB524290 AMX524290 AWT524290 BGP524290 BQL524290 CAH524290 CKD524290 CTZ524290 DDV524290 DNR524290 DXN524290 EHJ524290 ERF524290 FBB524290 FKX524290 FUT524290 GEP524290 GOL524290 GYH524290 HID524290 HRZ524290 IBV524290 ILR524290 IVN524290 JFJ524290 JPF524290 JZB524290 KIX524290 KST524290 LCP524290 LML524290 LWH524290 MGD524290 MPZ524290 MZV524290 NJR524290 NTN524290 ODJ524290 ONF524290 OXB524290 PGX524290 PQT524290 QAP524290 QKL524290 QUH524290 RED524290 RNZ524290 RXV524290 SHR524290 SRN524290 TBJ524290 TLF524290 TVB524290 UEX524290 UOT524290 UYP524290 VIL524290 VSH524290 WCD524290 WLZ524290 WVV524290 N589826 JJ589826 TF589826 ADB589826 AMX589826 AWT589826 BGP589826 BQL589826 CAH589826 CKD589826 CTZ589826 DDV589826 DNR589826 DXN589826 EHJ589826 ERF589826 FBB589826 FKX589826 FUT589826 GEP589826 GOL589826 GYH589826 HID589826 HRZ589826 IBV589826 ILR589826 IVN589826 JFJ589826 JPF589826 JZB589826 KIX589826 KST589826 LCP589826 LML589826 LWH589826 MGD589826 MPZ589826 MZV589826 NJR589826 NTN589826 ODJ589826 ONF589826 OXB589826 PGX589826 PQT589826 QAP589826 QKL589826 QUH589826 RED589826 RNZ589826 RXV589826 SHR589826 SRN589826 TBJ589826 TLF589826 TVB589826 UEX589826 UOT589826 UYP589826 VIL589826 VSH589826 WCD589826 WLZ589826 WVV589826 N655362 JJ655362 TF655362 ADB655362 AMX655362 AWT655362 BGP655362 BQL655362 CAH655362 CKD655362 CTZ655362 DDV655362 DNR655362 DXN655362 EHJ655362 ERF655362 FBB655362 FKX655362 FUT655362 GEP655362 GOL655362 GYH655362 HID655362 HRZ655362 IBV655362 ILR655362 IVN655362 JFJ655362 JPF655362 JZB655362 KIX655362 KST655362 LCP655362 LML655362 LWH655362 MGD655362 MPZ655362 MZV655362 NJR655362 NTN655362 ODJ655362 ONF655362 OXB655362 PGX655362 PQT655362 QAP655362 QKL655362 QUH655362 RED655362 RNZ655362 RXV655362 SHR655362 SRN655362 TBJ655362 TLF655362 TVB655362 UEX655362 UOT655362 UYP655362 VIL655362 VSH655362 WCD655362 WLZ655362 WVV655362 N720898 JJ720898 TF720898 ADB720898 AMX720898 AWT720898 BGP720898 BQL720898 CAH720898 CKD720898 CTZ720898 DDV720898 DNR720898 DXN720898 EHJ720898 ERF720898 FBB720898 FKX720898 FUT720898 GEP720898 GOL720898 GYH720898 HID720898 HRZ720898 IBV720898 ILR720898 IVN720898 JFJ720898 JPF720898 JZB720898 KIX720898 KST720898 LCP720898 LML720898 LWH720898 MGD720898 MPZ720898 MZV720898 NJR720898 NTN720898 ODJ720898 ONF720898 OXB720898 PGX720898 PQT720898 QAP720898 QKL720898 QUH720898 RED720898 RNZ720898 RXV720898 SHR720898 SRN720898 TBJ720898 TLF720898 TVB720898 UEX720898 UOT720898 UYP720898 VIL720898 VSH720898 WCD720898 WLZ720898 WVV720898 N786434 JJ786434 TF786434 ADB786434 AMX786434 AWT786434 BGP786434 BQL786434 CAH786434 CKD786434 CTZ786434 DDV786434 DNR786434 DXN786434 EHJ786434 ERF786434 FBB786434 FKX786434 FUT786434 GEP786434 GOL786434 GYH786434 HID786434 HRZ786434 IBV786434 ILR786434 IVN786434 JFJ786434 JPF786434 JZB786434 KIX786434 KST786434 LCP786434 LML786434 LWH786434 MGD786434 MPZ786434 MZV786434 NJR786434 NTN786434 ODJ786434 ONF786434 OXB786434 PGX786434 PQT786434 QAP786434 QKL786434 QUH786434 RED786434 RNZ786434 RXV786434 SHR786434 SRN786434 TBJ786434 TLF786434 TVB786434 UEX786434 UOT786434 UYP786434 VIL786434 VSH786434 WCD786434 WLZ786434 WVV786434 N851970 JJ851970 TF851970 ADB851970 AMX851970 AWT851970 BGP851970 BQL851970 CAH851970 CKD851970 CTZ851970 DDV851970 DNR851970 DXN851970 EHJ851970 ERF851970 FBB851970 FKX851970 FUT851970 GEP851970 GOL851970 GYH851970 HID851970 HRZ851970 IBV851970 ILR851970 IVN851970 JFJ851970 JPF851970 JZB851970 KIX851970 KST851970 LCP851970 LML851970 LWH851970 MGD851970 MPZ851970 MZV851970 NJR851970 NTN851970 ODJ851970 ONF851970 OXB851970 PGX851970 PQT851970 QAP851970 QKL851970 QUH851970 RED851970 RNZ851970 RXV851970 SHR851970 SRN851970 TBJ851970 TLF851970 TVB851970 UEX851970 UOT851970 UYP851970 VIL851970 VSH851970 WCD851970 WLZ851970 WVV851970 N917506 JJ917506 TF917506 ADB917506 AMX917506 AWT917506 BGP917506 BQL917506 CAH917506 CKD917506 CTZ917506 DDV917506 DNR917506 DXN917506 EHJ917506 ERF917506 FBB917506 FKX917506 FUT917506 GEP917506 GOL917506 GYH917506 HID917506 HRZ917506 IBV917506 ILR917506 IVN917506 JFJ917506 JPF917506 JZB917506 KIX917506 KST917506 LCP917506 LML917506 LWH917506 MGD917506 MPZ917506 MZV917506 NJR917506 NTN917506 ODJ917506 ONF917506 OXB917506 PGX917506 PQT917506 QAP917506 QKL917506 QUH917506 RED917506 RNZ917506 RXV917506 SHR917506 SRN917506 TBJ917506 TLF917506 TVB917506 UEX917506 UOT917506 UYP917506 VIL917506 VSH917506 WCD917506 WLZ917506 WVV917506 N983042 JJ983042 TF983042 ADB983042 AMX983042 AWT983042 BGP983042 BQL983042 CAH983042 CKD983042 CTZ983042 DDV983042 DNR983042 DXN983042 EHJ983042 ERF983042 FBB983042 FKX983042 FUT983042 GEP983042 GOL983042 GYH983042 HID983042 HRZ983042 IBV983042 ILR983042 IVN983042 JFJ983042 JPF983042 JZB983042 KIX983042 KST983042 LCP983042 LML983042 LWH983042 MGD983042 MPZ983042 MZV983042 NJR983042 NTN983042 ODJ983042 ONF983042 OXB983042 PGX983042 PQT983042 QAP983042 QKL983042 QUH983042 RED983042 RNZ983042 RXV983042 SHR983042 SRN983042 TBJ983042 TLF983042 TVB983042 UEX983042 UOT983042 UYP983042 VIL983042 VSH983042 WCD983042 WLZ983042" xr:uid="{00000000-0002-0000-0000-000009000000}">
      <formula1>DNS</formula1>
    </dataValidation>
    <dataValidation type="list" allowBlank="1" showInputMessage="1" showErrorMessage="1" sqref="WVR983370 JF330 TB330 ACX330 AMT330 AWP330 BGL330 BQH330 CAD330 CJZ330 CTV330 DDR330 DNN330 DXJ330 EHF330 ERB330 FAX330 FKT330 FUP330 GEL330 GOH330 GYD330 HHZ330 HRV330 IBR330 ILN330 IVJ330 JFF330 JPB330 JYX330 KIT330 KSP330 LCL330 LMH330 LWD330 MFZ330 MPV330 MZR330 NJN330 NTJ330 ODF330 ONB330 OWX330 PGT330 PQP330 QAL330 QKH330 QUD330 RDZ330 RNV330 RXR330 SHN330 SRJ330 TBF330 TLB330 TUX330 UET330 UOP330 UYL330 VIH330 VSD330 WBZ330 WLV330 WVR330 J65866 JF65866 TB65866 ACX65866 AMT65866 AWP65866 BGL65866 BQH65866 CAD65866 CJZ65866 CTV65866 DDR65866 DNN65866 DXJ65866 EHF65866 ERB65866 FAX65866 FKT65866 FUP65866 GEL65866 GOH65866 GYD65866 HHZ65866 HRV65866 IBR65866 ILN65866 IVJ65866 JFF65866 JPB65866 JYX65866 KIT65866 KSP65866 LCL65866 LMH65866 LWD65866 MFZ65866 MPV65866 MZR65866 NJN65866 NTJ65866 ODF65866 ONB65866 OWX65866 PGT65866 PQP65866 QAL65866 QKH65866 QUD65866 RDZ65866 RNV65866 RXR65866 SHN65866 SRJ65866 TBF65866 TLB65866 TUX65866 UET65866 UOP65866 UYL65866 VIH65866 VSD65866 WBZ65866 WLV65866 WVR65866 J131402 JF131402 TB131402 ACX131402 AMT131402 AWP131402 BGL131402 BQH131402 CAD131402 CJZ131402 CTV131402 DDR131402 DNN131402 DXJ131402 EHF131402 ERB131402 FAX131402 FKT131402 FUP131402 GEL131402 GOH131402 GYD131402 HHZ131402 HRV131402 IBR131402 ILN131402 IVJ131402 JFF131402 JPB131402 JYX131402 KIT131402 KSP131402 LCL131402 LMH131402 LWD131402 MFZ131402 MPV131402 MZR131402 NJN131402 NTJ131402 ODF131402 ONB131402 OWX131402 PGT131402 PQP131402 QAL131402 QKH131402 QUD131402 RDZ131402 RNV131402 RXR131402 SHN131402 SRJ131402 TBF131402 TLB131402 TUX131402 UET131402 UOP131402 UYL131402 VIH131402 VSD131402 WBZ131402 WLV131402 WVR131402 J196938 JF196938 TB196938 ACX196938 AMT196938 AWP196938 BGL196938 BQH196938 CAD196938 CJZ196938 CTV196938 DDR196938 DNN196938 DXJ196938 EHF196938 ERB196938 FAX196938 FKT196938 FUP196938 GEL196938 GOH196938 GYD196938 HHZ196938 HRV196938 IBR196938 ILN196938 IVJ196938 JFF196938 JPB196938 JYX196938 KIT196938 KSP196938 LCL196938 LMH196938 LWD196938 MFZ196938 MPV196938 MZR196938 NJN196938 NTJ196938 ODF196938 ONB196938 OWX196938 PGT196938 PQP196938 QAL196938 QKH196938 QUD196938 RDZ196938 RNV196938 RXR196938 SHN196938 SRJ196938 TBF196938 TLB196938 TUX196938 UET196938 UOP196938 UYL196938 VIH196938 VSD196938 WBZ196938 WLV196938 WVR196938 J262474 JF262474 TB262474 ACX262474 AMT262474 AWP262474 BGL262474 BQH262474 CAD262474 CJZ262474 CTV262474 DDR262474 DNN262474 DXJ262474 EHF262474 ERB262474 FAX262474 FKT262474 FUP262474 GEL262474 GOH262474 GYD262474 HHZ262474 HRV262474 IBR262474 ILN262474 IVJ262474 JFF262474 JPB262474 JYX262474 KIT262474 KSP262474 LCL262474 LMH262474 LWD262474 MFZ262474 MPV262474 MZR262474 NJN262474 NTJ262474 ODF262474 ONB262474 OWX262474 PGT262474 PQP262474 QAL262474 QKH262474 QUD262474 RDZ262474 RNV262474 RXR262474 SHN262474 SRJ262474 TBF262474 TLB262474 TUX262474 UET262474 UOP262474 UYL262474 VIH262474 VSD262474 WBZ262474 WLV262474 WVR262474 J328010 JF328010 TB328010 ACX328010 AMT328010 AWP328010 BGL328010 BQH328010 CAD328010 CJZ328010 CTV328010 DDR328010 DNN328010 DXJ328010 EHF328010 ERB328010 FAX328010 FKT328010 FUP328010 GEL328010 GOH328010 GYD328010 HHZ328010 HRV328010 IBR328010 ILN328010 IVJ328010 JFF328010 JPB328010 JYX328010 KIT328010 KSP328010 LCL328010 LMH328010 LWD328010 MFZ328010 MPV328010 MZR328010 NJN328010 NTJ328010 ODF328010 ONB328010 OWX328010 PGT328010 PQP328010 QAL328010 QKH328010 QUD328010 RDZ328010 RNV328010 RXR328010 SHN328010 SRJ328010 TBF328010 TLB328010 TUX328010 UET328010 UOP328010 UYL328010 VIH328010 VSD328010 WBZ328010 WLV328010 WVR328010 J393546 JF393546 TB393546 ACX393546 AMT393546 AWP393546 BGL393546 BQH393546 CAD393546 CJZ393546 CTV393546 DDR393546 DNN393546 DXJ393546 EHF393546 ERB393546 FAX393546 FKT393546 FUP393546 GEL393546 GOH393546 GYD393546 HHZ393546 HRV393546 IBR393546 ILN393546 IVJ393546 JFF393546 JPB393546 JYX393546 KIT393546 KSP393546 LCL393546 LMH393546 LWD393546 MFZ393546 MPV393546 MZR393546 NJN393546 NTJ393546 ODF393546 ONB393546 OWX393546 PGT393546 PQP393546 QAL393546 QKH393546 QUD393546 RDZ393546 RNV393546 RXR393546 SHN393546 SRJ393546 TBF393546 TLB393546 TUX393546 UET393546 UOP393546 UYL393546 VIH393546 VSD393546 WBZ393546 WLV393546 WVR393546 J459082 JF459082 TB459082 ACX459082 AMT459082 AWP459082 BGL459082 BQH459082 CAD459082 CJZ459082 CTV459082 DDR459082 DNN459082 DXJ459082 EHF459082 ERB459082 FAX459082 FKT459082 FUP459082 GEL459082 GOH459082 GYD459082 HHZ459082 HRV459082 IBR459082 ILN459082 IVJ459082 JFF459082 JPB459082 JYX459082 KIT459082 KSP459082 LCL459082 LMH459082 LWD459082 MFZ459082 MPV459082 MZR459082 NJN459082 NTJ459082 ODF459082 ONB459082 OWX459082 PGT459082 PQP459082 QAL459082 QKH459082 QUD459082 RDZ459082 RNV459082 RXR459082 SHN459082 SRJ459082 TBF459082 TLB459082 TUX459082 UET459082 UOP459082 UYL459082 VIH459082 VSD459082 WBZ459082 WLV459082 WVR459082 J524618 JF524618 TB524618 ACX524618 AMT524618 AWP524618 BGL524618 BQH524618 CAD524618 CJZ524618 CTV524618 DDR524618 DNN524618 DXJ524618 EHF524618 ERB524618 FAX524618 FKT524618 FUP524618 GEL524618 GOH524618 GYD524618 HHZ524618 HRV524618 IBR524618 ILN524618 IVJ524618 JFF524618 JPB524618 JYX524618 KIT524618 KSP524618 LCL524618 LMH524618 LWD524618 MFZ524618 MPV524618 MZR524618 NJN524618 NTJ524618 ODF524618 ONB524618 OWX524618 PGT524618 PQP524618 QAL524618 QKH524618 QUD524618 RDZ524618 RNV524618 RXR524618 SHN524618 SRJ524618 TBF524618 TLB524618 TUX524618 UET524618 UOP524618 UYL524618 VIH524618 VSD524618 WBZ524618 WLV524618 WVR524618 J590154 JF590154 TB590154 ACX590154 AMT590154 AWP590154 BGL590154 BQH590154 CAD590154 CJZ590154 CTV590154 DDR590154 DNN590154 DXJ590154 EHF590154 ERB590154 FAX590154 FKT590154 FUP590154 GEL590154 GOH590154 GYD590154 HHZ590154 HRV590154 IBR590154 ILN590154 IVJ590154 JFF590154 JPB590154 JYX590154 KIT590154 KSP590154 LCL590154 LMH590154 LWD590154 MFZ590154 MPV590154 MZR590154 NJN590154 NTJ590154 ODF590154 ONB590154 OWX590154 PGT590154 PQP590154 QAL590154 QKH590154 QUD590154 RDZ590154 RNV590154 RXR590154 SHN590154 SRJ590154 TBF590154 TLB590154 TUX590154 UET590154 UOP590154 UYL590154 VIH590154 VSD590154 WBZ590154 WLV590154 WVR590154 J655690 JF655690 TB655690 ACX655690 AMT655690 AWP655690 BGL655690 BQH655690 CAD655690 CJZ655690 CTV655690 DDR655690 DNN655690 DXJ655690 EHF655690 ERB655690 FAX655690 FKT655690 FUP655690 GEL655690 GOH655690 GYD655690 HHZ655690 HRV655690 IBR655690 ILN655690 IVJ655690 JFF655690 JPB655690 JYX655690 KIT655690 KSP655690 LCL655690 LMH655690 LWD655690 MFZ655690 MPV655690 MZR655690 NJN655690 NTJ655690 ODF655690 ONB655690 OWX655690 PGT655690 PQP655690 QAL655690 QKH655690 QUD655690 RDZ655690 RNV655690 RXR655690 SHN655690 SRJ655690 TBF655690 TLB655690 TUX655690 UET655690 UOP655690 UYL655690 VIH655690 VSD655690 WBZ655690 WLV655690 WVR655690 J721226 JF721226 TB721226 ACX721226 AMT721226 AWP721226 BGL721226 BQH721226 CAD721226 CJZ721226 CTV721226 DDR721226 DNN721226 DXJ721226 EHF721226 ERB721226 FAX721226 FKT721226 FUP721226 GEL721226 GOH721226 GYD721226 HHZ721226 HRV721226 IBR721226 ILN721226 IVJ721226 JFF721226 JPB721226 JYX721226 KIT721226 KSP721226 LCL721226 LMH721226 LWD721226 MFZ721226 MPV721226 MZR721226 NJN721226 NTJ721226 ODF721226 ONB721226 OWX721226 PGT721226 PQP721226 QAL721226 QKH721226 QUD721226 RDZ721226 RNV721226 RXR721226 SHN721226 SRJ721226 TBF721226 TLB721226 TUX721226 UET721226 UOP721226 UYL721226 VIH721226 VSD721226 WBZ721226 WLV721226 WVR721226 J786762 JF786762 TB786762 ACX786762 AMT786762 AWP786762 BGL786762 BQH786762 CAD786762 CJZ786762 CTV786762 DDR786762 DNN786762 DXJ786762 EHF786762 ERB786762 FAX786762 FKT786762 FUP786762 GEL786762 GOH786762 GYD786762 HHZ786762 HRV786762 IBR786762 ILN786762 IVJ786762 JFF786762 JPB786762 JYX786762 KIT786762 KSP786762 LCL786762 LMH786762 LWD786762 MFZ786762 MPV786762 MZR786762 NJN786762 NTJ786762 ODF786762 ONB786762 OWX786762 PGT786762 PQP786762 QAL786762 QKH786762 QUD786762 RDZ786762 RNV786762 RXR786762 SHN786762 SRJ786762 TBF786762 TLB786762 TUX786762 UET786762 UOP786762 UYL786762 VIH786762 VSD786762 WBZ786762 WLV786762 WVR786762 J852298 JF852298 TB852298 ACX852298 AMT852298 AWP852298 BGL852298 BQH852298 CAD852298 CJZ852298 CTV852298 DDR852298 DNN852298 DXJ852298 EHF852298 ERB852298 FAX852298 FKT852298 FUP852298 GEL852298 GOH852298 GYD852298 HHZ852298 HRV852298 IBR852298 ILN852298 IVJ852298 JFF852298 JPB852298 JYX852298 KIT852298 KSP852298 LCL852298 LMH852298 LWD852298 MFZ852298 MPV852298 MZR852298 NJN852298 NTJ852298 ODF852298 ONB852298 OWX852298 PGT852298 PQP852298 QAL852298 QKH852298 QUD852298 RDZ852298 RNV852298 RXR852298 SHN852298 SRJ852298 TBF852298 TLB852298 TUX852298 UET852298 UOP852298 UYL852298 VIH852298 VSD852298 WBZ852298 WLV852298 WVR852298 J917834 JF917834 TB917834 ACX917834 AMT917834 AWP917834 BGL917834 BQH917834 CAD917834 CJZ917834 CTV917834 DDR917834 DNN917834 DXJ917834 EHF917834 ERB917834 FAX917834 FKT917834 FUP917834 GEL917834 GOH917834 GYD917834 HHZ917834 HRV917834 IBR917834 ILN917834 IVJ917834 JFF917834 JPB917834 JYX917834 KIT917834 KSP917834 LCL917834 LMH917834 LWD917834 MFZ917834 MPV917834 MZR917834 NJN917834 NTJ917834 ODF917834 ONB917834 OWX917834 PGT917834 PQP917834 QAL917834 QKH917834 QUD917834 RDZ917834 RNV917834 RXR917834 SHN917834 SRJ917834 TBF917834 TLB917834 TUX917834 UET917834 UOP917834 UYL917834 VIH917834 VSD917834 WBZ917834 WLV917834 WVR917834 J983370 JF983370 TB983370 ACX983370 AMT983370 AWP983370 BGL983370 BQH983370 CAD983370 CJZ983370 CTV983370 DDR983370 DNN983370 DXJ983370 EHF983370 ERB983370 FAX983370 FKT983370 FUP983370 GEL983370 GOH983370 GYD983370 HHZ983370 HRV983370 IBR983370 ILN983370 IVJ983370 JFF983370 JPB983370 JYX983370 KIT983370 KSP983370 LCL983370 LMH983370 LWD983370 MFZ983370 MPV983370 MZR983370 NJN983370 NTJ983370 ODF983370 ONB983370 OWX983370 PGT983370 PQP983370 QAL983370 QKH983370 QUD983370 RDZ983370 RNV983370 RXR983370 SHN983370 SRJ983370 TBF983370 TLB983370 TUX983370 UET983370 UOP983370 UYL983370 VIH983370 VSD983370 WBZ983370 WLV983370" xr:uid="{00000000-0002-0000-0000-00000A000000}">
      <formula1>dimophbjl</formula1>
    </dataValidation>
    <dataValidation type="list" allowBlank="1" showInputMessage="1" showErrorMessage="1" sqref="WVP983370 JD330 SZ330 ACV330 AMR330 AWN330 BGJ330 BQF330 CAB330 CJX330 CTT330 DDP330 DNL330 DXH330 EHD330 EQZ330 FAV330 FKR330 FUN330 GEJ330 GOF330 GYB330 HHX330 HRT330 IBP330 ILL330 IVH330 JFD330 JOZ330 JYV330 KIR330 KSN330 LCJ330 LMF330 LWB330 MFX330 MPT330 MZP330 NJL330 NTH330 ODD330 OMZ330 OWV330 PGR330 PQN330 QAJ330 QKF330 QUB330 RDX330 RNT330 RXP330 SHL330 SRH330 TBD330 TKZ330 TUV330 UER330 UON330 UYJ330 VIF330 VSB330 WBX330 WLT330 WVP330 H65866 JD65866 SZ65866 ACV65866 AMR65866 AWN65866 BGJ65866 BQF65866 CAB65866 CJX65866 CTT65866 DDP65866 DNL65866 DXH65866 EHD65866 EQZ65866 FAV65866 FKR65866 FUN65866 GEJ65866 GOF65866 GYB65866 HHX65866 HRT65866 IBP65866 ILL65866 IVH65866 JFD65866 JOZ65866 JYV65866 KIR65866 KSN65866 LCJ65866 LMF65866 LWB65866 MFX65866 MPT65866 MZP65866 NJL65866 NTH65866 ODD65866 OMZ65866 OWV65866 PGR65866 PQN65866 QAJ65866 QKF65866 QUB65866 RDX65866 RNT65866 RXP65866 SHL65866 SRH65866 TBD65866 TKZ65866 TUV65866 UER65866 UON65866 UYJ65866 VIF65866 VSB65866 WBX65866 WLT65866 WVP65866 H131402 JD131402 SZ131402 ACV131402 AMR131402 AWN131402 BGJ131402 BQF131402 CAB131402 CJX131402 CTT131402 DDP131402 DNL131402 DXH131402 EHD131402 EQZ131402 FAV131402 FKR131402 FUN131402 GEJ131402 GOF131402 GYB131402 HHX131402 HRT131402 IBP131402 ILL131402 IVH131402 JFD131402 JOZ131402 JYV131402 KIR131402 KSN131402 LCJ131402 LMF131402 LWB131402 MFX131402 MPT131402 MZP131402 NJL131402 NTH131402 ODD131402 OMZ131402 OWV131402 PGR131402 PQN131402 QAJ131402 QKF131402 QUB131402 RDX131402 RNT131402 RXP131402 SHL131402 SRH131402 TBD131402 TKZ131402 TUV131402 UER131402 UON131402 UYJ131402 VIF131402 VSB131402 WBX131402 WLT131402 WVP131402 H196938 JD196938 SZ196938 ACV196938 AMR196938 AWN196938 BGJ196938 BQF196938 CAB196938 CJX196938 CTT196938 DDP196938 DNL196938 DXH196938 EHD196938 EQZ196938 FAV196938 FKR196938 FUN196938 GEJ196938 GOF196938 GYB196938 HHX196938 HRT196938 IBP196938 ILL196938 IVH196938 JFD196938 JOZ196938 JYV196938 KIR196938 KSN196938 LCJ196938 LMF196938 LWB196938 MFX196938 MPT196938 MZP196938 NJL196938 NTH196938 ODD196938 OMZ196938 OWV196938 PGR196938 PQN196938 QAJ196938 QKF196938 QUB196938 RDX196938 RNT196938 RXP196938 SHL196938 SRH196938 TBD196938 TKZ196938 TUV196938 UER196938 UON196938 UYJ196938 VIF196938 VSB196938 WBX196938 WLT196938 WVP196938 H262474 JD262474 SZ262474 ACV262474 AMR262474 AWN262474 BGJ262474 BQF262474 CAB262474 CJX262474 CTT262474 DDP262474 DNL262474 DXH262474 EHD262474 EQZ262474 FAV262474 FKR262474 FUN262474 GEJ262474 GOF262474 GYB262474 HHX262474 HRT262474 IBP262474 ILL262474 IVH262474 JFD262474 JOZ262474 JYV262474 KIR262474 KSN262474 LCJ262474 LMF262474 LWB262474 MFX262474 MPT262474 MZP262474 NJL262474 NTH262474 ODD262474 OMZ262474 OWV262474 PGR262474 PQN262474 QAJ262474 QKF262474 QUB262474 RDX262474 RNT262474 RXP262474 SHL262474 SRH262474 TBD262474 TKZ262474 TUV262474 UER262474 UON262474 UYJ262474 VIF262474 VSB262474 WBX262474 WLT262474 WVP262474 H328010 JD328010 SZ328010 ACV328010 AMR328010 AWN328010 BGJ328010 BQF328010 CAB328010 CJX328010 CTT328010 DDP328010 DNL328010 DXH328010 EHD328010 EQZ328010 FAV328010 FKR328010 FUN328010 GEJ328010 GOF328010 GYB328010 HHX328010 HRT328010 IBP328010 ILL328010 IVH328010 JFD328010 JOZ328010 JYV328010 KIR328010 KSN328010 LCJ328010 LMF328010 LWB328010 MFX328010 MPT328010 MZP328010 NJL328010 NTH328010 ODD328010 OMZ328010 OWV328010 PGR328010 PQN328010 QAJ328010 QKF328010 QUB328010 RDX328010 RNT328010 RXP328010 SHL328010 SRH328010 TBD328010 TKZ328010 TUV328010 UER328010 UON328010 UYJ328010 VIF328010 VSB328010 WBX328010 WLT328010 WVP328010 H393546 JD393546 SZ393546 ACV393546 AMR393546 AWN393546 BGJ393546 BQF393546 CAB393546 CJX393546 CTT393546 DDP393546 DNL393546 DXH393546 EHD393546 EQZ393546 FAV393546 FKR393546 FUN393546 GEJ393546 GOF393546 GYB393546 HHX393546 HRT393546 IBP393546 ILL393546 IVH393546 JFD393546 JOZ393546 JYV393546 KIR393546 KSN393546 LCJ393546 LMF393546 LWB393546 MFX393546 MPT393546 MZP393546 NJL393546 NTH393546 ODD393546 OMZ393546 OWV393546 PGR393546 PQN393546 QAJ393546 QKF393546 QUB393546 RDX393546 RNT393546 RXP393546 SHL393546 SRH393546 TBD393546 TKZ393546 TUV393546 UER393546 UON393546 UYJ393546 VIF393546 VSB393546 WBX393546 WLT393546 WVP393546 H459082 JD459082 SZ459082 ACV459082 AMR459082 AWN459082 BGJ459082 BQF459082 CAB459082 CJX459082 CTT459082 DDP459082 DNL459082 DXH459082 EHD459082 EQZ459082 FAV459082 FKR459082 FUN459082 GEJ459082 GOF459082 GYB459082 HHX459082 HRT459082 IBP459082 ILL459082 IVH459082 JFD459082 JOZ459082 JYV459082 KIR459082 KSN459082 LCJ459082 LMF459082 LWB459082 MFX459082 MPT459082 MZP459082 NJL459082 NTH459082 ODD459082 OMZ459082 OWV459082 PGR459082 PQN459082 QAJ459082 QKF459082 QUB459082 RDX459082 RNT459082 RXP459082 SHL459082 SRH459082 TBD459082 TKZ459082 TUV459082 UER459082 UON459082 UYJ459082 VIF459082 VSB459082 WBX459082 WLT459082 WVP459082 H524618 JD524618 SZ524618 ACV524618 AMR524618 AWN524618 BGJ524618 BQF524618 CAB524618 CJX524618 CTT524618 DDP524618 DNL524618 DXH524618 EHD524618 EQZ524618 FAV524618 FKR524618 FUN524618 GEJ524618 GOF524618 GYB524618 HHX524618 HRT524618 IBP524618 ILL524618 IVH524618 JFD524618 JOZ524618 JYV524618 KIR524618 KSN524618 LCJ524618 LMF524618 LWB524618 MFX524618 MPT524618 MZP524618 NJL524618 NTH524618 ODD524618 OMZ524618 OWV524618 PGR524618 PQN524618 QAJ524618 QKF524618 QUB524618 RDX524618 RNT524618 RXP524618 SHL524618 SRH524618 TBD524618 TKZ524618 TUV524618 UER524618 UON524618 UYJ524618 VIF524618 VSB524618 WBX524618 WLT524618 WVP524618 H590154 JD590154 SZ590154 ACV590154 AMR590154 AWN590154 BGJ590154 BQF590154 CAB590154 CJX590154 CTT590154 DDP590154 DNL590154 DXH590154 EHD590154 EQZ590154 FAV590154 FKR590154 FUN590154 GEJ590154 GOF590154 GYB590154 HHX590154 HRT590154 IBP590154 ILL590154 IVH590154 JFD590154 JOZ590154 JYV590154 KIR590154 KSN590154 LCJ590154 LMF590154 LWB590154 MFX590154 MPT590154 MZP590154 NJL590154 NTH590154 ODD590154 OMZ590154 OWV590154 PGR590154 PQN590154 QAJ590154 QKF590154 QUB590154 RDX590154 RNT590154 RXP590154 SHL590154 SRH590154 TBD590154 TKZ590154 TUV590154 UER590154 UON590154 UYJ590154 VIF590154 VSB590154 WBX590154 WLT590154 WVP590154 H655690 JD655690 SZ655690 ACV655690 AMR655690 AWN655690 BGJ655690 BQF655690 CAB655690 CJX655690 CTT655690 DDP655690 DNL655690 DXH655690 EHD655690 EQZ655690 FAV655690 FKR655690 FUN655690 GEJ655690 GOF655690 GYB655690 HHX655690 HRT655690 IBP655690 ILL655690 IVH655690 JFD655690 JOZ655690 JYV655690 KIR655690 KSN655690 LCJ655690 LMF655690 LWB655690 MFX655690 MPT655690 MZP655690 NJL655690 NTH655690 ODD655690 OMZ655690 OWV655690 PGR655690 PQN655690 QAJ655690 QKF655690 QUB655690 RDX655690 RNT655690 RXP655690 SHL655690 SRH655690 TBD655690 TKZ655690 TUV655690 UER655690 UON655690 UYJ655690 VIF655690 VSB655690 WBX655690 WLT655690 WVP655690 H721226 JD721226 SZ721226 ACV721226 AMR721226 AWN721226 BGJ721226 BQF721226 CAB721226 CJX721226 CTT721226 DDP721226 DNL721226 DXH721226 EHD721226 EQZ721226 FAV721226 FKR721226 FUN721226 GEJ721226 GOF721226 GYB721226 HHX721226 HRT721226 IBP721226 ILL721226 IVH721226 JFD721226 JOZ721226 JYV721226 KIR721226 KSN721226 LCJ721226 LMF721226 LWB721226 MFX721226 MPT721226 MZP721226 NJL721226 NTH721226 ODD721226 OMZ721226 OWV721226 PGR721226 PQN721226 QAJ721226 QKF721226 QUB721226 RDX721226 RNT721226 RXP721226 SHL721226 SRH721226 TBD721226 TKZ721226 TUV721226 UER721226 UON721226 UYJ721226 VIF721226 VSB721226 WBX721226 WLT721226 WVP721226 H786762 JD786762 SZ786762 ACV786762 AMR786762 AWN786762 BGJ786762 BQF786762 CAB786762 CJX786762 CTT786762 DDP786762 DNL786762 DXH786762 EHD786762 EQZ786762 FAV786762 FKR786762 FUN786762 GEJ786762 GOF786762 GYB786762 HHX786762 HRT786762 IBP786762 ILL786762 IVH786762 JFD786762 JOZ786762 JYV786762 KIR786762 KSN786762 LCJ786762 LMF786762 LWB786762 MFX786762 MPT786762 MZP786762 NJL786762 NTH786762 ODD786762 OMZ786762 OWV786762 PGR786762 PQN786762 QAJ786762 QKF786762 QUB786762 RDX786762 RNT786762 RXP786762 SHL786762 SRH786762 TBD786762 TKZ786762 TUV786762 UER786762 UON786762 UYJ786762 VIF786762 VSB786762 WBX786762 WLT786762 WVP786762 H852298 JD852298 SZ852298 ACV852298 AMR852298 AWN852298 BGJ852298 BQF852298 CAB852298 CJX852298 CTT852298 DDP852298 DNL852298 DXH852298 EHD852298 EQZ852298 FAV852298 FKR852298 FUN852298 GEJ852298 GOF852298 GYB852298 HHX852298 HRT852298 IBP852298 ILL852298 IVH852298 JFD852298 JOZ852298 JYV852298 KIR852298 KSN852298 LCJ852298 LMF852298 LWB852298 MFX852298 MPT852298 MZP852298 NJL852298 NTH852298 ODD852298 OMZ852298 OWV852298 PGR852298 PQN852298 QAJ852298 QKF852298 QUB852298 RDX852298 RNT852298 RXP852298 SHL852298 SRH852298 TBD852298 TKZ852298 TUV852298 UER852298 UON852298 UYJ852298 VIF852298 VSB852298 WBX852298 WLT852298 WVP852298 H917834 JD917834 SZ917834 ACV917834 AMR917834 AWN917834 BGJ917834 BQF917834 CAB917834 CJX917834 CTT917834 DDP917834 DNL917834 DXH917834 EHD917834 EQZ917834 FAV917834 FKR917834 FUN917834 GEJ917834 GOF917834 GYB917834 HHX917834 HRT917834 IBP917834 ILL917834 IVH917834 JFD917834 JOZ917834 JYV917834 KIR917834 KSN917834 LCJ917834 LMF917834 LWB917834 MFX917834 MPT917834 MZP917834 NJL917834 NTH917834 ODD917834 OMZ917834 OWV917834 PGR917834 PQN917834 QAJ917834 QKF917834 QUB917834 RDX917834 RNT917834 RXP917834 SHL917834 SRH917834 TBD917834 TKZ917834 TUV917834 UER917834 UON917834 UYJ917834 VIF917834 VSB917834 WBX917834 WLT917834 WVP917834 H983370 JD983370 SZ983370 ACV983370 AMR983370 AWN983370 BGJ983370 BQF983370 CAB983370 CJX983370 CTT983370 DDP983370 DNL983370 DXH983370 EHD983370 EQZ983370 FAV983370 FKR983370 FUN983370 GEJ983370 GOF983370 GYB983370 HHX983370 HRT983370 IBP983370 ILL983370 IVH983370 JFD983370 JOZ983370 JYV983370 KIR983370 KSN983370 LCJ983370 LMF983370 LWB983370 MFX983370 MPT983370 MZP983370 NJL983370 NTH983370 ODD983370 OMZ983370 OWV983370 PGR983370 PQN983370 QAJ983370 QKF983370 QUB983370 RDX983370 RNT983370 RXP983370 SHL983370 SRH983370 TBD983370 TKZ983370 TUV983370 UER983370 UON983370 UYJ983370 VIF983370 VSB983370 WBX983370 WLT983370" xr:uid="{00000000-0002-0000-0000-00000B000000}">
      <formula1>stkophbjl</formula1>
    </dataValidation>
    <dataValidation type="list" allowBlank="1" showInputMessage="1" showErrorMessage="1" sqref="UYT983207 JJ380 TF380 ADB380 AMX380 AWT380 BGP380 BQL380 CAH380 CKD380 CTZ380 DDV380 DNR380 DXN380 EHJ380 ERF380 FBB380 FKX380 FUT380 GEP380 GOL380 GYH380 HID380 HRZ380 IBV380 ILR380 IVN380 JFJ380 JPF380 JZB380 KIX380 KST380 LCP380 LML380 LWH380 MGD380 MPZ380 MZV380 NJR380 NTN380 ODJ380 ONF380 OXB380 PGX380 PQT380 QAP380 QKL380 QUH380 RED380 RNZ380 RXV380 SHR380 SRN380 TBJ380 TLF380 TVB380 UEX380 UOT380 UYP380 VIL380 VSH380 WCD380 WLZ380 WVV380 N65916 JJ65916 TF65916 ADB65916 AMX65916 AWT65916 BGP65916 BQL65916 CAH65916 CKD65916 CTZ65916 DDV65916 DNR65916 DXN65916 EHJ65916 ERF65916 FBB65916 FKX65916 FUT65916 GEP65916 GOL65916 GYH65916 HID65916 HRZ65916 IBV65916 ILR65916 IVN65916 JFJ65916 JPF65916 JZB65916 KIX65916 KST65916 LCP65916 LML65916 LWH65916 MGD65916 MPZ65916 MZV65916 NJR65916 NTN65916 ODJ65916 ONF65916 OXB65916 PGX65916 PQT65916 QAP65916 QKL65916 QUH65916 RED65916 RNZ65916 RXV65916 SHR65916 SRN65916 TBJ65916 TLF65916 TVB65916 UEX65916 UOT65916 UYP65916 VIL65916 VSH65916 WCD65916 WLZ65916 WVV65916 N131452 JJ131452 TF131452 ADB131452 AMX131452 AWT131452 BGP131452 BQL131452 CAH131452 CKD131452 CTZ131452 DDV131452 DNR131452 DXN131452 EHJ131452 ERF131452 FBB131452 FKX131452 FUT131452 GEP131452 GOL131452 GYH131452 HID131452 HRZ131452 IBV131452 ILR131452 IVN131452 JFJ131452 JPF131452 JZB131452 KIX131452 KST131452 LCP131452 LML131452 LWH131452 MGD131452 MPZ131452 MZV131452 NJR131452 NTN131452 ODJ131452 ONF131452 OXB131452 PGX131452 PQT131452 QAP131452 QKL131452 QUH131452 RED131452 RNZ131452 RXV131452 SHR131452 SRN131452 TBJ131452 TLF131452 TVB131452 UEX131452 UOT131452 UYP131452 VIL131452 VSH131452 WCD131452 WLZ131452 WVV131452 N196988 JJ196988 TF196988 ADB196988 AMX196988 AWT196988 BGP196988 BQL196988 CAH196988 CKD196988 CTZ196988 DDV196988 DNR196988 DXN196988 EHJ196988 ERF196988 FBB196988 FKX196988 FUT196988 GEP196988 GOL196988 GYH196988 HID196988 HRZ196988 IBV196988 ILR196988 IVN196988 JFJ196988 JPF196988 JZB196988 KIX196988 KST196988 LCP196988 LML196988 LWH196988 MGD196988 MPZ196988 MZV196988 NJR196988 NTN196988 ODJ196988 ONF196988 OXB196988 PGX196988 PQT196988 QAP196988 QKL196988 QUH196988 RED196988 RNZ196988 RXV196988 SHR196988 SRN196988 TBJ196988 TLF196988 TVB196988 UEX196988 UOT196988 UYP196988 VIL196988 VSH196988 WCD196988 WLZ196988 WVV196988 N262524 JJ262524 TF262524 ADB262524 AMX262524 AWT262524 BGP262524 BQL262524 CAH262524 CKD262524 CTZ262524 DDV262524 DNR262524 DXN262524 EHJ262524 ERF262524 FBB262524 FKX262524 FUT262524 GEP262524 GOL262524 GYH262524 HID262524 HRZ262524 IBV262524 ILR262524 IVN262524 JFJ262524 JPF262524 JZB262524 KIX262524 KST262524 LCP262524 LML262524 LWH262524 MGD262524 MPZ262524 MZV262524 NJR262524 NTN262524 ODJ262524 ONF262524 OXB262524 PGX262524 PQT262524 QAP262524 QKL262524 QUH262524 RED262524 RNZ262524 RXV262524 SHR262524 SRN262524 TBJ262524 TLF262524 TVB262524 UEX262524 UOT262524 UYP262524 VIL262524 VSH262524 WCD262524 WLZ262524 WVV262524 N328060 JJ328060 TF328060 ADB328060 AMX328060 AWT328060 BGP328060 BQL328060 CAH328060 CKD328060 CTZ328060 DDV328060 DNR328060 DXN328060 EHJ328060 ERF328060 FBB328060 FKX328060 FUT328060 GEP328060 GOL328060 GYH328060 HID328060 HRZ328060 IBV328060 ILR328060 IVN328060 JFJ328060 JPF328060 JZB328060 KIX328060 KST328060 LCP328060 LML328060 LWH328060 MGD328060 MPZ328060 MZV328060 NJR328060 NTN328060 ODJ328060 ONF328060 OXB328060 PGX328060 PQT328060 QAP328060 QKL328060 QUH328060 RED328060 RNZ328060 RXV328060 SHR328060 SRN328060 TBJ328060 TLF328060 TVB328060 UEX328060 UOT328060 UYP328060 VIL328060 VSH328060 WCD328060 WLZ328060 WVV328060 N393596 JJ393596 TF393596 ADB393596 AMX393596 AWT393596 BGP393596 BQL393596 CAH393596 CKD393596 CTZ393596 DDV393596 DNR393596 DXN393596 EHJ393596 ERF393596 FBB393596 FKX393596 FUT393596 GEP393596 GOL393596 GYH393596 HID393596 HRZ393596 IBV393596 ILR393596 IVN393596 JFJ393596 JPF393596 JZB393596 KIX393596 KST393596 LCP393596 LML393596 LWH393596 MGD393596 MPZ393596 MZV393596 NJR393596 NTN393596 ODJ393596 ONF393596 OXB393596 PGX393596 PQT393596 QAP393596 QKL393596 QUH393596 RED393596 RNZ393596 RXV393596 SHR393596 SRN393596 TBJ393596 TLF393596 TVB393596 UEX393596 UOT393596 UYP393596 VIL393596 VSH393596 WCD393596 WLZ393596 WVV393596 N459132 JJ459132 TF459132 ADB459132 AMX459132 AWT459132 BGP459132 BQL459132 CAH459132 CKD459132 CTZ459132 DDV459132 DNR459132 DXN459132 EHJ459132 ERF459132 FBB459132 FKX459132 FUT459132 GEP459132 GOL459132 GYH459132 HID459132 HRZ459132 IBV459132 ILR459132 IVN459132 JFJ459132 JPF459132 JZB459132 KIX459132 KST459132 LCP459132 LML459132 LWH459132 MGD459132 MPZ459132 MZV459132 NJR459132 NTN459132 ODJ459132 ONF459132 OXB459132 PGX459132 PQT459132 QAP459132 QKL459132 QUH459132 RED459132 RNZ459132 RXV459132 SHR459132 SRN459132 TBJ459132 TLF459132 TVB459132 UEX459132 UOT459132 UYP459132 VIL459132 VSH459132 WCD459132 WLZ459132 WVV459132 N524668 JJ524668 TF524668 ADB524668 AMX524668 AWT524668 BGP524668 BQL524668 CAH524668 CKD524668 CTZ524668 DDV524668 DNR524668 DXN524668 EHJ524668 ERF524668 FBB524668 FKX524668 FUT524668 GEP524668 GOL524668 GYH524668 HID524668 HRZ524668 IBV524668 ILR524668 IVN524668 JFJ524668 JPF524668 JZB524668 KIX524668 KST524668 LCP524668 LML524668 LWH524668 MGD524668 MPZ524668 MZV524668 NJR524668 NTN524668 ODJ524668 ONF524668 OXB524668 PGX524668 PQT524668 QAP524668 QKL524668 QUH524668 RED524668 RNZ524668 RXV524668 SHR524668 SRN524668 TBJ524668 TLF524668 TVB524668 UEX524668 UOT524668 UYP524668 VIL524668 VSH524668 WCD524668 WLZ524668 WVV524668 N590204 JJ590204 TF590204 ADB590204 AMX590204 AWT590204 BGP590204 BQL590204 CAH590204 CKD590204 CTZ590204 DDV590204 DNR590204 DXN590204 EHJ590204 ERF590204 FBB590204 FKX590204 FUT590204 GEP590204 GOL590204 GYH590204 HID590204 HRZ590204 IBV590204 ILR590204 IVN590204 JFJ590204 JPF590204 JZB590204 KIX590204 KST590204 LCP590204 LML590204 LWH590204 MGD590204 MPZ590204 MZV590204 NJR590204 NTN590204 ODJ590204 ONF590204 OXB590204 PGX590204 PQT590204 QAP590204 QKL590204 QUH590204 RED590204 RNZ590204 RXV590204 SHR590204 SRN590204 TBJ590204 TLF590204 TVB590204 UEX590204 UOT590204 UYP590204 VIL590204 VSH590204 WCD590204 WLZ590204 WVV590204 N655740 JJ655740 TF655740 ADB655740 AMX655740 AWT655740 BGP655740 BQL655740 CAH655740 CKD655740 CTZ655740 DDV655740 DNR655740 DXN655740 EHJ655740 ERF655740 FBB655740 FKX655740 FUT655740 GEP655740 GOL655740 GYH655740 HID655740 HRZ655740 IBV655740 ILR655740 IVN655740 JFJ655740 JPF655740 JZB655740 KIX655740 KST655740 LCP655740 LML655740 LWH655740 MGD655740 MPZ655740 MZV655740 NJR655740 NTN655740 ODJ655740 ONF655740 OXB655740 PGX655740 PQT655740 QAP655740 QKL655740 QUH655740 RED655740 RNZ655740 RXV655740 SHR655740 SRN655740 TBJ655740 TLF655740 TVB655740 UEX655740 UOT655740 UYP655740 VIL655740 VSH655740 WCD655740 WLZ655740 WVV655740 N721276 JJ721276 TF721276 ADB721276 AMX721276 AWT721276 BGP721276 BQL721276 CAH721276 CKD721276 CTZ721276 DDV721276 DNR721276 DXN721276 EHJ721276 ERF721276 FBB721276 FKX721276 FUT721276 GEP721276 GOL721276 GYH721276 HID721276 HRZ721276 IBV721276 ILR721276 IVN721276 JFJ721276 JPF721276 JZB721276 KIX721276 KST721276 LCP721276 LML721276 LWH721276 MGD721276 MPZ721276 MZV721276 NJR721276 NTN721276 ODJ721276 ONF721276 OXB721276 PGX721276 PQT721276 QAP721276 QKL721276 QUH721276 RED721276 RNZ721276 RXV721276 SHR721276 SRN721276 TBJ721276 TLF721276 TVB721276 UEX721276 UOT721276 UYP721276 VIL721276 VSH721276 WCD721276 WLZ721276 WVV721276 N786812 JJ786812 TF786812 ADB786812 AMX786812 AWT786812 BGP786812 BQL786812 CAH786812 CKD786812 CTZ786812 DDV786812 DNR786812 DXN786812 EHJ786812 ERF786812 FBB786812 FKX786812 FUT786812 GEP786812 GOL786812 GYH786812 HID786812 HRZ786812 IBV786812 ILR786812 IVN786812 JFJ786812 JPF786812 JZB786812 KIX786812 KST786812 LCP786812 LML786812 LWH786812 MGD786812 MPZ786812 MZV786812 NJR786812 NTN786812 ODJ786812 ONF786812 OXB786812 PGX786812 PQT786812 QAP786812 QKL786812 QUH786812 RED786812 RNZ786812 RXV786812 SHR786812 SRN786812 TBJ786812 TLF786812 TVB786812 UEX786812 UOT786812 UYP786812 VIL786812 VSH786812 WCD786812 WLZ786812 WVV786812 N852348 JJ852348 TF852348 ADB852348 AMX852348 AWT852348 BGP852348 BQL852348 CAH852348 CKD852348 CTZ852348 DDV852348 DNR852348 DXN852348 EHJ852348 ERF852348 FBB852348 FKX852348 FUT852348 GEP852348 GOL852348 GYH852348 HID852348 HRZ852348 IBV852348 ILR852348 IVN852348 JFJ852348 JPF852348 JZB852348 KIX852348 KST852348 LCP852348 LML852348 LWH852348 MGD852348 MPZ852348 MZV852348 NJR852348 NTN852348 ODJ852348 ONF852348 OXB852348 PGX852348 PQT852348 QAP852348 QKL852348 QUH852348 RED852348 RNZ852348 RXV852348 SHR852348 SRN852348 TBJ852348 TLF852348 TVB852348 UEX852348 UOT852348 UYP852348 VIL852348 VSH852348 WCD852348 WLZ852348 WVV852348 N917884 JJ917884 TF917884 ADB917884 AMX917884 AWT917884 BGP917884 BQL917884 CAH917884 CKD917884 CTZ917884 DDV917884 DNR917884 DXN917884 EHJ917884 ERF917884 FBB917884 FKX917884 FUT917884 GEP917884 GOL917884 GYH917884 HID917884 HRZ917884 IBV917884 ILR917884 IVN917884 JFJ917884 JPF917884 JZB917884 KIX917884 KST917884 LCP917884 LML917884 LWH917884 MGD917884 MPZ917884 MZV917884 NJR917884 NTN917884 ODJ917884 ONF917884 OXB917884 PGX917884 PQT917884 QAP917884 QKL917884 QUH917884 RED917884 RNZ917884 RXV917884 SHR917884 SRN917884 TBJ917884 TLF917884 TVB917884 UEX917884 UOT917884 UYP917884 VIL917884 VSH917884 WCD917884 WLZ917884 WVV917884 N983420 JJ983420 TF983420 ADB983420 AMX983420 AWT983420 BGP983420 BQL983420 CAH983420 CKD983420 CTZ983420 DDV983420 DNR983420 DXN983420 EHJ983420 ERF983420 FBB983420 FKX983420 FUT983420 GEP983420 GOL983420 GYH983420 HID983420 HRZ983420 IBV983420 ILR983420 IVN983420 JFJ983420 JPF983420 JZB983420 KIX983420 KST983420 LCP983420 LML983420 LWH983420 MGD983420 MPZ983420 MZV983420 NJR983420 NTN983420 ODJ983420 ONF983420 OXB983420 PGX983420 PQT983420 QAP983420 QKL983420 QUH983420 RED983420 RNZ983420 RXV983420 SHR983420 SRN983420 TBJ983420 TLF983420 TVB983420 UEX983420 UOT983420 UYP983420 VIL983420 VSH983420 WCD983420 WLZ983420 WVV983420 WMD983207 JJ86 TF86 ADB86 AMX86 AWT86 BGP86 BQL86 CAH86 CKD86 CTZ86 DDV86 DNR86 DXN86 EHJ86 ERF86 FBB86 FKX86 FUT86 GEP86 GOL86 GYH86 HID86 HRZ86 IBV86 ILR86 IVN86 JFJ86 JPF86 JZB86 KIX86 KST86 LCP86 LML86 LWH86 MGD86 MPZ86 MZV86 NJR86 NTN86 ODJ86 ONF86 OXB86 PGX86 PQT86 QAP86 QKL86 QUH86 RED86 RNZ86 RXV86 SHR86 SRN86 TBJ86 TLF86 TVB86 UEX86 UOT86 UYP86 VIL86 VSH86 WCD86 WLZ86 WVV86 N65622 JJ65622 TF65622 ADB65622 AMX65622 AWT65622 BGP65622 BQL65622 CAH65622 CKD65622 CTZ65622 DDV65622 DNR65622 DXN65622 EHJ65622 ERF65622 FBB65622 FKX65622 FUT65622 GEP65622 GOL65622 GYH65622 HID65622 HRZ65622 IBV65622 ILR65622 IVN65622 JFJ65622 JPF65622 JZB65622 KIX65622 KST65622 LCP65622 LML65622 LWH65622 MGD65622 MPZ65622 MZV65622 NJR65622 NTN65622 ODJ65622 ONF65622 OXB65622 PGX65622 PQT65622 QAP65622 QKL65622 QUH65622 RED65622 RNZ65622 RXV65622 SHR65622 SRN65622 TBJ65622 TLF65622 TVB65622 UEX65622 UOT65622 UYP65622 VIL65622 VSH65622 WCD65622 WLZ65622 WVV65622 N131158 JJ131158 TF131158 ADB131158 AMX131158 AWT131158 BGP131158 BQL131158 CAH131158 CKD131158 CTZ131158 DDV131158 DNR131158 DXN131158 EHJ131158 ERF131158 FBB131158 FKX131158 FUT131158 GEP131158 GOL131158 GYH131158 HID131158 HRZ131158 IBV131158 ILR131158 IVN131158 JFJ131158 JPF131158 JZB131158 KIX131158 KST131158 LCP131158 LML131158 LWH131158 MGD131158 MPZ131158 MZV131158 NJR131158 NTN131158 ODJ131158 ONF131158 OXB131158 PGX131158 PQT131158 QAP131158 QKL131158 QUH131158 RED131158 RNZ131158 RXV131158 SHR131158 SRN131158 TBJ131158 TLF131158 TVB131158 UEX131158 UOT131158 UYP131158 VIL131158 VSH131158 WCD131158 WLZ131158 WVV131158 N196694 JJ196694 TF196694 ADB196694 AMX196694 AWT196694 BGP196694 BQL196694 CAH196694 CKD196694 CTZ196694 DDV196694 DNR196694 DXN196694 EHJ196694 ERF196694 FBB196694 FKX196694 FUT196694 GEP196694 GOL196694 GYH196694 HID196694 HRZ196694 IBV196694 ILR196694 IVN196694 JFJ196694 JPF196694 JZB196694 KIX196694 KST196694 LCP196694 LML196694 LWH196694 MGD196694 MPZ196694 MZV196694 NJR196694 NTN196694 ODJ196694 ONF196694 OXB196694 PGX196694 PQT196694 QAP196694 QKL196694 QUH196694 RED196694 RNZ196694 RXV196694 SHR196694 SRN196694 TBJ196694 TLF196694 TVB196694 UEX196694 UOT196694 UYP196694 VIL196694 VSH196694 WCD196694 WLZ196694 WVV196694 N262230 JJ262230 TF262230 ADB262230 AMX262230 AWT262230 BGP262230 BQL262230 CAH262230 CKD262230 CTZ262230 DDV262230 DNR262230 DXN262230 EHJ262230 ERF262230 FBB262230 FKX262230 FUT262230 GEP262230 GOL262230 GYH262230 HID262230 HRZ262230 IBV262230 ILR262230 IVN262230 JFJ262230 JPF262230 JZB262230 KIX262230 KST262230 LCP262230 LML262230 LWH262230 MGD262230 MPZ262230 MZV262230 NJR262230 NTN262230 ODJ262230 ONF262230 OXB262230 PGX262230 PQT262230 QAP262230 QKL262230 QUH262230 RED262230 RNZ262230 RXV262230 SHR262230 SRN262230 TBJ262230 TLF262230 TVB262230 UEX262230 UOT262230 UYP262230 VIL262230 VSH262230 WCD262230 WLZ262230 WVV262230 N327766 JJ327766 TF327766 ADB327766 AMX327766 AWT327766 BGP327766 BQL327766 CAH327766 CKD327766 CTZ327766 DDV327766 DNR327766 DXN327766 EHJ327766 ERF327766 FBB327766 FKX327766 FUT327766 GEP327766 GOL327766 GYH327766 HID327766 HRZ327766 IBV327766 ILR327766 IVN327766 JFJ327766 JPF327766 JZB327766 KIX327766 KST327766 LCP327766 LML327766 LWH327766 MGD327766 MPZ327766 MZV327766 NJR327766 NTN327766 ODJ327766 ONF327766 OXB327766 PGX327766 PQT327766 QAP327766 QKL327766 QUH327766 RED327766 RNZ327766 RXV327766 SHR327766 SRN327766 TBJ327766 TLF327766 TVB327766 UEX327766 UOT327766 UYP327766 VIL327766 VSH327766 WCD327766 WLZ327766 WVV327766 N393302 JJ393302 TF393302 ADB393302 AMX393302 AWT393302 BGP393302 BQL393302 CAH393302 CKD393302 CTZ393302 DDV393302 DNR393302 DXN393302 EHJ393302 ERF393302 FBB393302 FKX393302 FUT393302 GEP393302 GOL393302 GYH393302 HID393302 HRZ393302 IBV393302 ILR393302 IVN393302 JFJ393302 JPF393302 JZB393302 KIX393302 KST393302 LCP393302 LML393302 LWH393302 MGD393302 MPZ393302 MZV393302 NJR393302 NTN393302 ODJ393302 ONF393302 OXB393302 PGX393302 PQT393302 QAP393302 QKL393302 QUH393302 RED393302 RNZ393302 RXV393302 SHR393302 SRN393302 TBJ393302 TLF393302 TVB393302 UEX393302 UOT393302 UYP393302 VIL393302 VSH393302 WCD393302 WLZ393302 WVV393302 N458838 JJ458838 TF458838 ADB458838 AMX458838 AWT458838 BGP458838 BQL458838 CAH458838 CKD458838 CTZ458838 DDV458838 DNR458838 DXN458838 EHJ458838 ERF458838 FBB458838 FKX458838 FUT458838 GEP458838 GOL458838 GYH458838 HID458838 HRZ458838 IBV458838 ILR458838 IVN458838 JFJ458838 JPF458838 JZB458838 KIX458838 KST458838 LCP458838 LML458838 LWH458838 MGD458838 MPZ458838 MZV458838 NJR458838 NTN458838 ODJ458838 ONF458838 OXB458838 PGX458838 PQT458838 QAP458838 QKL458838 QUH458838 RED458838 RNZ458838 RXV458838 SHR458838 SRN458838 TBJ458838 TLF458838 TVB458838 UEX458838 UOT458838 UYP458838 VIL458838 VSH458838 WCD458838 WLZ458838 WVV458838 N524374 JJ524374 TF524374 ADB524374 AMX524374 AWT524374 BGP524374 BQL524374 CAH524374 CKD524374 CTZ524374 DDV524374 DNR524374 DXN524374 EHJ524374 ERF524374 FBB524374 FKX524374 FUT524374 GEP524374 GOL524374 GYH524374 HID524374 HRZ524374 IBV524374 ILR524374 IVN524374 JFJ524374 JPF524374 JZB524374 KIX524374 KST524374 LCP524374 LML524374 LWH524374 MGD524374 MPZ524374 MZV524374 NJR524374 NTN524374 ODJ524374 ONF524374 OXB524374 PGX524374 PQT524374 QAP524374 QKL524374 QUH524374 RED524374 RNZ524374 RXV524374 SHR524374 SRN524374 TBJ524374 TLF524374 TVB524374 UEX524374 UOT524374 UYP524374 VIL524374 VSH524374 WCD524374 WLZ524374 WVV524374 N589910 JJ589910 TF589910 ADB589910 AMX589910 AWT589910 BGP589910 BQL589910 CAH589910 CKD589910 CTZ589910 DDV589910 DNR589910 DXN589910 EHJ589910 ERF589910 FBB589910 FKX589910 FUT589910 GEP589910 GOL589910 GYH589910 HID589910 HRZ589910 IBV589910 ILR589910 IVN589910 JFJ589910 JPF589910 JZB589910 KIX589910 KST589910 LCP589910 LML589910 LWH589910 MGD589910 MPZ589910 MZV589910 NJR589910 NTN589910 ODJ589910 ONF589910 OXB589910 PGX589910 PQT589910 QAP589910 QKL589910 QUH589910 RED589910 RNZ589910 RXV589910 SHR589910 SRN589910 TBJ589910 TLF589910 TVB589910 UEX589910 UOT589910 UYP589910 VIL589910 VSH589910 WCD589910 WLZ589910 WVV589910 N655446 JJ655446 TF655446 ADB655446 AMX655446 AWT655446 BGP655446 BQL655446 CAH655446 CKD655446 CTZ655446 DDV655446 DNR655446 DXN655446 EHJ655446 ERF655446 FBB655446 FKX655446 FUT655446 GEP655446 GOL655446 GYH655446 HID655446 HRZ655446 IBV655446 ILR655446 IVN655446 JFJ655446 JPF655446 JZB655446 KIX655446 KST655446 LCP655446 LML655446 LWH655446 MGD655446 MPZ655446 MZV655446 NJR655446 NTN655446 ODJ655446 ONF655446 OXB655446 PGX655446 PQT655446 QAP655446 QKL655446 QUH655446 RED655446 RNZ655446 RXV655446 SHR655446 SRN655446 TBJ655446 TLF655446 TVB655446 UEX655446 UOT655446 UYP655446 VIL655446 VSH655446 WCD655446 WLZ655446 WVV655446 N720982 JJ720982 TF720982 ADB720982 AMX720982 AWT720982 BGP720982 BQL720982 CAH720982 CKD720982 CTZ720982 DDV720982 DNR720982 DXN720982 EHJ720982 ERF720982 FBB720982 FKX720982 FUT720982 GEP720982 GOL720982 GYH720982 HID720982 HRZ720982 IBV720982 ILR720982 IVN720982 JFJ720982 JPF720982 JZB720982 KIX720982 KST720982 LCP720982 LML720982 LWH720982 MGD720982 MPZ720982 MZV720982 NJR720982 NTN720982 ODJ720982 ONF720982 OXB720982 PGX720982 PQT720982 QAP720982 QKL720982 QUH720982 RED720982 RNZ720982 RXV720982 SHR720982 SRN720982 TBJ720982 TLF720982 TVB720982 UEX720982 UOT720982 UYP720982 VIL720982 VSH720982 WCD720982 WLZ720982 WVV720982 N786518 JJ786518 TF786518 ADB786518 AMX786518 AWT786518 BGP786518 BQL786518 CAH786518 CKD786518 CTZ786518 DDV786518 DNR786518 DXN786518 EHJ786518 ERF786518 FBB786518 FKX786518 FUT786518 GEP786518 GOL786518 GYH786518 HID786518 HRZ786518 IBV786518 ILR786518 IVN786518 JFJ786518 JPF786518 JZB786518 KIX786518 KST786518 LCP786518 LML786518 LWH786518 MGD786518 MPZ786518 MZV786518 NJR786518 NTN786518 ODJ786518 ONF786518 OXB786518 PGX786518 PQT786518 QAP786518 QKL786518 QUH786518 RED786518 RNZ786518 RXV786518 SHR786518 SRN786518 TBJ786518 TLF786518 TVB786518 UEX786518 UOT786518 UYP786518 VIL786518 VSH786518 WCD786518 WLZ786518 WVV786518 N852054 JJ852054 TF852054 ADB852054 AMX852054 AWT852054 BGP852054 BQL852054 CAH852054 CKD852054 CTZ852054 DDV852054 DNR852054 DXN852054 EHJ852054 ERF852054 FBB852054 FKX852054 FUT852054 GEP852054 GOL852054 GYH852054 HID852054 HRZ852054 IBV852054 ILR852054 IVN852054 JFJ852054 JPF852054 JZB852054 KIX852054 KST852054 LCP852054 LML852054 LWH852054 MGD852054 MPZ852054 MZV852054 NJR852054 NTN852054 ODJ852054 ONF852054 OXB852054 PGX852054 PQT852054 QAP852054 QKL852054 QUH852054 RED852054 RNZ852054 RXV852054 SHR852054 SRN852054 TBJ852054 TLF852054 TVB852054 UEX852054 UOT852054 UYP852054 VIL852054 VSH852054 WCD852054 WLZ852054 WVV852054 N917590 JJ917590 TF917590 ADB917590 AMX917590 AWT917590 BGP917590 BQL917590 CAH917590 CKD917590 CTZ917590 DDV917590 DNR917590 DXN917590 EHJ917590 ERF917590 FBB917590 FKX917590 FUT917590 GEP917590 GOL917590 GYH917590 HID917590 HRZ917590 IBV917590 ILR917590 IVN917590 JFJ917590 JPF917590 JZB917590 KIX917590 KST917590 LCP917590 LML917590 LWH917590 MGD917590 MPZ917590 MZV917590 NJR917590 NTN917590 ODJ917590 ONF917590 OXB917590 PGX917590 PQT917590 QAP917590 QKL917590 QUH917590 RED917590 RNZ917590 RXV917590 SHR917590 SRN917590 TBJ917590 TLF917590 TVB917590 UEX917590 UOT917590 UYP917590 VIL917590 VSH917590 WCD917590 WLZ917590 WVV917590 N983126 JJ983126 TF983126 ADB983126 AMX983126 AWT983126 BGP983126 BQL983126 CAH983126 CKD983126 CTZ983126 DDV983126 DNR983126 DXN983126 EHJ983126 ERF983126 FBB983126 FKX983126 FUT983126 GEP983126 GOL983126 GYH983126 HID983126 HRZ983126 IBV983126 ILR983126 IVN983126 JFJ983126 JPF983126 JZB983126 KIX983126 KST983126 LCP983126 LML983126 LWH983126 MGD983126 MPZ983126 MZV983126 NJR983126 NTN983126 ODJ983126 ONF983126 OXB983126 PGX983126 PQT983126 QAP983126 QKL983126 QUH983126 RED983126 RNZ983126 RXV983126 SHR983126 SRN983126 TBJ983126 TLF983126 TVB983126 UEX983126 UOT983126 UYP983126 VIL983126 VSH983126 WCD983126 WLZ983126 WVV983126 WVZ983207 JJ47 TF47 ADB47 AMX47 AWT47 BGP47 BQL47 CAH47 CKD47 CTZ47 DDV47 DNR47 DXN47 EHJ47 ERF47 FBB47 FKX47 FUT47 GEP47 GOL47 GYH47 HID47 HRZ47 IBV47 ILR47 IVN47 JFJ47 JPF47 JZB47 KIX47 KST47 LCP47 LML47 LWH47 MGD47 MPZ47 MZV47 NJR47 NTN47 ODJ47 ONF47 OXB47 PGX47 PQT47 QAP47 QKL47 QUH47 RED47 RNZ47 RXV47 SHR47 SRN47 TBJ47 TLF47 TVB47 UEX47 UOT47 UYP47 VIL47 VSH47 WCD47 WLZ47 WVV47 N65583 JJ65583 TF65583 ADB65583 AMX65583 AWT65583 BGP65583 BQL65583 CAH65583 CKD65583 CTZ65583 DDV65583 DNR65583 DXN65583 EHJ65583 ERF65583 FBB65583 FKX65583 FUT65583 GEP65583 GOL65583 GYH65583 HID65583 HRZ65583 IBV65583 ILR65583 IVN65583 JFJ65583 JPF65583 JZB65583 KIX65583 KST65583 LCP65583 LML65583 LWH65583 MGD65583 MPZ65583 MZV65583 NJR65583 NTN65583 ODJ65583 ONF65583 OXB65583 PGX65583 PQT65583 QAP65583 QKL65583 QUH65583 RED65583 RNZ65583 RXV65583 SHR65583 SRN65583 TBJ65583 TLF65583 TVB65583 UEX65583 UOT65583 UYP65583 VIL65583 VSH65583 WCD65583 WLZ65583 WVV65583 N131119 JJ131119 TF131119 ADB131119 AMX131119 AWT131119 BGP131119 BQL131119 CAH131119 CKD131119 CTZ131119 DDV131119 DNR131119 DXN131119 EHJ131119 ERF131119 FBB131119 FKX131119 FUT131119 GEP131119 GOL131119 GYH131119 HID131119 HRZ131119 IBV131119 ILR131119 IVN131119 JFJ131119 JPF131119 JZB131119 KIX131119 KST131119 LCP131119 LML131119 LWH131119 MGD131119 MPZ131119 MZV131119 NJR131119 NTN131119 ODJ131119 ONF131119 OXB131119 PGX131119 PQT131119 QAP131119 QKL131119 QUH131119 RED131119 RNZ131119 RXV131119 SHR131119 SRN131119 TBJ131119 TLF131119 TVB131119 UEX131119 UOT131119 UYP131119 VIL131119 VSH131119 WCD131119 WLZ131119 WVV131119 N196655 JJ196655 TF196655 ADB196655 AMX196655 AWT196655 BGP196655 BQL196655 CAH196655 CKD196655 CTZ196655 DDV196655 DNR196655 DXN196655 EHJ196655 ERF196655 FBB196655 FKX196655 FUT196655 GEP196655 GOL196655 GYH196655 HID196655 HRZ196655 IBV196655 ILR196655 IVN196655 JFJ196655 JPF196655 JZB196655 KIX196655 KST196655 LCP196655 LML196655 LWH196655 MGD196655 MPZ196655 MZV196655 NJR196655 NTN196655 ODJ196655 ONF196655 OXB196655 PGX196655 PQT196655 QAP196655 QKL196655 QUH196655 RED196655 RNZ196655 RXV196655 SHR196655 SRN196655 TBJ196655 TLF196655 TVB196655 UEX196655 UOT196655 UYP196655 VIL196655 VSH196655 WCD196655 WLZ196655 WVV196655 N262191 JJ262191 TF262191 ADB262191 AMX262191 AWT262191 BGP262191 BQL262191 CAH262191 CKD262191 CTZ262191 DDV262191 DNR262191 DXN262191 EHJ262191 ERF262191 FBB262191 FKX262191 FUT262191 GEP262191 GOL262191 GYH262191 HID262191 HRZ262191 IBV262191 ILR262191 IVN262191 JFJ262191 JPF262191 JZB262191 KIX262191 KST262191 LCP262191 LML262191 LWH262191 MGD262191 MPZ262191 MZV262191 NJR262191 NTN262191 ODJ262191 ONF262191 OXB262191 PGX262191 PQT262191 QAP262191 QKL262191 QUH262191 RED262191 RNZ262191 RXV262191 SHR262191 SRN262191 TBJ262191 TLF262191 TVB262191 UEX262191 UOT262191 UYP262191 VIL262191 VSH262191 WCD262191 WLZ262191 WVV262191 N327727 JJ327727 TF327727 ADB327727 AMX327727 AWT327727 BGP327727 BQL327727 CAH327727 CKD327727 CTZ327727 DDV327727 DNR327727 DXN327727 EHJ327727 ERF327727 FBB327727 FKX327727 FUT327727 GEP327727 GOL327727 GYH327727 HID327727 HRZ327727 IBV327727 ILR327727 IVN327727 JFJ327727 JPF327727 JZB327727 KIX327727 KST327727 LCP327727 LML327727 LWH327727 MGD327727 MPZ327727 MZV327727 NJR327727 NTN327727 ODJ327727 ONF327727 OXB327727 PGX327727 PQT327727 QAP327727 QKL327727 QUH327727 RED327727 RNZ327727 RXV327727 SHR327727 SRN327727 TBJ327727 TLF327727 TVB327727 UEX327727 UOT327727 UYP327727 VIL327727 VSH327727 WCD327727 WLZ327727 WVV327727 N393263 JJ393263 TF393263 ADB393263 AMX393263 AWT393263 BGP393263 BQL393263 CAH393263 CKD393263 CTZ393263 DDV393263 DNR393263 DXN393263 EHJ393263 ERF393263 FBB393263 FKX393263 FUT393263 GEP393263 GOL393263 GYH393263 HID393263 HRZ393263 IBV393263 ILR393263 IVN393263 JFJ393263 JPF393263 JZB393263 KIX393263 KST393263 LCP393263 LML393263 LWH393263 MGD393263 MPZ393263 MZV393263 NJR393263 NTN393263 ODJ393263 ONF393263 OXB393263 PGX393263 PQT393263 QAP393263 QKL393263 QUH393263 RED393263 RNZ393263 RXV393263 SHR393263 SRN393263 TBJ393263 TLF393263 TVB393263 UEX393263 UOT393263 UYP393263 VIL393263 VSH393263 WCD393263 WLZ393263 WVV393263 N458799 JJ458799 TF458799 ADB458799 AMX458799 AWT458799 BGP458799 BQL458799 CAH458799 CKD458799 CTZ458799 DDV458799 DNR458799 DXN458799 EHJ458799 ERF458799 FBB458799 FKX458799 FUT458799 GEP458799 GOL458799 GYH458799 HID458799 HRZ458799 IBV458799 ILR458799 IVN458799 JFJ458799 JPF458799 JZB458799 KIX458799 KST458799 LCP458799 LML458799 LWH458799 MGD458799 MPZ458799 MZV458799 NJR458799 NTN458799 ODJ458799 ONF458799 OXB458799 PGX458799 PQT458799 QAP458799 QKL458799 QUH458799 RED458799 RNZ458799 RXV458799 SHR458799 SRN458799 TBJ458799 TLF458799 TVB458799 UEX458799 UOT458799 UYP458799 VIL458799 VSH458799 WCD458799 WLZ458799 WVV458799 N524335 JJ524335 TF524335 ADB524335 AMX524335 AWT524335 BGP524335 BQL524335 CAH524335 CKD524335 CTZ524335 DDV524335 DNR524335 DXN524335 EHJ524335 ERF524335 FBB524335 FKX524335 FUT524335 GEP524335 GOL524335 GYH524335 HID524335 HRZ524335 IBV524335 ILR524335 IVN524335 JFJ524335 JPF524335 JZB524335 KIX524335 KST524335 LCP524335 LML524335 LWH524335 MGD524335 MPZ524335 MZV524335 NJR524335 NTN524335 ODJ524335 ONF524335 OXB524335 PGX524335 PQT524335 QAP524335 QKL524335 QUH524335 RED524335 RNZ524335 RXV524335 SHR524335 SRN524335 TBJ524335 TLF524335 TVB524335 UEX524335 UOT524335 UYP524335 VIL524335 VSH524335 WCD524335 WLZ524335 WVV524335 N589871 JJ589871 TF589871 ADB589871 AMX589871 AWT589871 BGP589871 BQL589871 CAH589871 CKD589871 CTZ589871 DDV589871 DNR589871 DXN589871 EHJ589871 ERF589871 FBB589871 FKX589871 FUT589871 GEP589871 GOL589871 GYH589871 HID589871 HRZ589871 IBV589871 ILR589871 IVN589871 JFJ589871 JPF589871 JZB589871 KIX589871 KST589871 LCP589871 LML589871 LWH589871 MGD589871 MPZ589871 MZV589871 NJR589871 NTN589871 ODJ589871 ONF589871 OXB589871 PGX589871 PQT589871 QAP589871 QKL589871 QUH589871 RED589871 RNZ589871 RXV589871 SHR589871 SRN589871 TBJ589871 TLF589871 TVB589871 UEX589871 UOT589871 UYP589871 VIL589871 VSH589871 WCD589871 WLZ589871 WVV589871 N655407 JJ655407 TF655407 ADB655407 AMX655407 AWT655407 BGP655407 BQL655407 CAH655407 CKD655407 CTZ655407 DDV655407 DNR655407 DXN655407 EHJ655407 ERF655407 FBB655407 FKX655407 FUT655407 GEP655407 GOL655407 GYH655407 HID655407 HRZ655407 IBV655407 ILR655407 IVN655407 JFJ655407 JPF655407 JZB655407 KIX655407 KST655407 LCP655407 LML655407 LWH655407 MGD655407 MPZ655407 MZV655407 NJR655407 NTN655407 ODJ655407 ONF655407 OXB655407 PGX655407 PQT655407 QAP655407 QKL655407 QUH655407 RED655407 RNZ655407 RXV655407 SHR655407 SRN655407 TBJ655407 TLF655407 TVB655407 UEX655407 UOT655407 UYP655407 VIL655407 VSH655407 WCD655407 WLZ655407 WVV655407 N720943 JJ720943 TF720943 ADB720943 AMX720943 AWT720943 BGP720943 BQL720943 CAH720943 CKD720943 CTZ720943 DDV720943 DNR720943 DXN720943 EHJ720943 ERF720943 FBB720943 FKX720943 FUT720943 GEP720943 GOL720943 GYH720943 HID720943 HRZ720943 IBV720943 ILR720943 IVN720943 JFJ720943 JPF720943 JZB720943 KIX720943 KST720943 LCP720943 LML720943 LWH720943 MGD720943 MPZ720943 MZV720943 NJR720943 NTN720943 ODJ720943 ONF720943 OXB720943 PGX720943 PQT720943 QAP720943 QKL720943 QUH720943 RED720943 RNZ720943 RXV720943 SHR720943 SRN720943 TBJ720943 TLF720943 TVB720943 UEX720943 UOT720943 UYP720943 VIL720943 VSH720943 WCD720943 WLZ720943 WVV720943 N786479 JJ786479 TF786479 ADB786479 AMX786479 AWT786479 BGP786479 BQL786479 CAH786479 CKD786479 CTZ786479 DDV786479 DNR786479 DXN786479 EHJ786479 ERF786479 FBB786479 FKX786479 FUT786479 GEP786479 GOL786479 GYH786479 HID786479 HRZ786479 IBV786479 ILR786479 IVN786479 JFJ786479 JPF786479 JZB786479 KIX786479 KST786479 LCP786479 LML786479 LWH786479 MGD786479 MPZ786479 MZV786479 NJR786479 NTN786479 ODJ786479 ONF786479 OXB786479 PGX786479 PQT786479 QAP786479 QKL786479 QUH786479 RED786479 RNZ786479 RXV786479 SHR786479 SRN786479 TBJ786479 TLF786479 TVB786479 UEX786479 UOT786479 UYP786479 VIL786479 VSH786479 WCD786479 WLZ786479 WVV786479 N852015 JJ852015 TF852015 ADB852015 AMX852015 AWT852015 BGP852015 BQL852015 CAH852015 CKD852015 CTZ852015 DDV852015 DNR852015 DXN852015 EHJ852015 ERF852015 FBB852015 FKX852015 FUT852015 GEP852015 GOL852015 GYH852015 HID852015 HRZ852015 IBV852015 ILR852015 IVN852015 JFJ852015 JPF852015 JZB852015 KIX852015 KST852015 LCP852015 LML852015 LWH852015 MGD852015 MPZ852015 MZV852015 NJR852015 NTN852015 ODJ852015 ONF852015 OXB852015 PGX852015 PQT852015 QAP852015 QKL852015 QUH852015 RED852015 RNZ852015 RXV852015 SHR852015 SRN852015 TBJ852015 TLF852015 TVB852015 UEX852015 UOT852015 UYP852015 VIL852015 VSH852015 WCD852015 WLZ852015 WVV852015 N917551 JJ917551 TF917551 ADB917551 AMX917551 AWT917551 BGP917551 BQL917551 CAH917551 CKD917551 CTZ917551 DDV917551 DNR917551 DXN917551 EHJ917551 ERF917551 FBB917551 FKX917551 FUT917551 GEP917551 GOL917551 GYH917551 HID917551 HRZ917551 IBV917551 ILR917551 IVN917551 JFJ917551 JPF917551 JZB917551 KIX917551 KST917551 LCP917551 LML917551 LWH917551 MGD917551 MPZ917551 MZV917551 NJR917551 NTN917551 ODJ917551 ONF917551 OXB917551 PGX917551 PQT917551 QAP917551 QKL917551 QUH917551 RED917551 RNZ917551 RXV917551 SHR917551 SRN917551 TBJ917551 TLF917551 TVB917551 UEX917551 UOT917551 UYP917551 VIL917551 VSH917551 WCD917551 WLZ917551 WVV917551 N983087 JJ983087 TF983087 ADB983087 AMX983087 AWT983087 BGP983087 BQL983087 CAH983087 CKD983087 CTZ983087 DDV983087 DNR983087 DXN983087 EHJ983087 ERF983087 FBB983087 FKX983087 FUT983087 GEP983087 GOL983087 GYH983087 HID983087 HRZ983087 IBV983087 ILR983087 IVN983087 JFJ983087 JPF983087 JZB983087 KIX983087 KST983087 LCP983087 LML983087 LWH983087 MGD983087 MPZ983087 MZV983087 NJR983087 NTN983087 ODJ983087 ONF983087 OXB983087 PGX983087 PQT983087 QAP983087 QKL983087 QUH983087 RED983087 RNZ983087 RXV983087 SHR983087 SRN983087 TBJ983087 TLF983087 TVB983087 UEX983087 UOT983087 UYP983087 VIL983087 VSH983087 WCD983087 WLZ983087 WVV983087 VIP983207 JJ352 TF352 ADB352 AMX352 AWT352 BGP352 BQL352 CAH352 CKD352 CTZ352 DDV352 DNR352 DXN352 EHJ352 ERF352 FBB352 FKX352 FUT352 GEP352 GOL352 GYH352 HID352 HRZ352 IBV352 ILR352 IVN352 JFJ352 JPF352 JZB352 KIX352 KST352 LCP352 LML352 LWH352 MGD352 MPZ352 MZV352 NJR352 NTN352 ODJ352 ONF352 OXB352 PGX352 PQT352 QAP352 QKL352 QUH352 RED352 RNZ352 RXV352 SHR352 SRN352 TBJ352 TLF352 TVB352 UEX352 UOT352 UYP352 VIL352 VSH352 WCD352 WLZ352 WVV352 N65888 JJ65888 TF65888 ADB65888 AMX65888 AWT65888 BGP65888 BQL65888 CAH65888 CKD65888 CTZ65888 DDV65888 DNR65888 DXN65888 EHJ65888 ERF65888 FBB65888 FKX65888 FUT65888 GEP65888 GOL65888 GYH65888 HID65888 HRZ65888 IBV65888 ILR65888 IVN65888 JFJ65888 JPF65888 JZB65888 KIX65888 KST65888 LCP65888 LML65888 LWH65888 MGD65888 MPZ65888 MZV65888 NJR65888 NTN65888 ODJ65888 ONF65888 OXB65888 PGX65888 PQT65888 QAP65888 QKL65888 QUH65888 RED65888 RNZ65888 RXV65888 SHR65888 SRN65888 TBJ65888 TLF65888 TVB65888 UEX65888 UOT65888 UYP65888 VIL65888 VSH65888 WCD65888 WLZ65888 WVV65888 N131424 JJ131424 TF131424 ADB131424 AMX131424 AWT131424 BGP131424 BQL131424 CAH131424 CKD131424 CTZ131424 DDV131424 DNR131424 DXN131424 EHJ131424 ERF131424 FBB131424 FKX131424 FUT131424 GEP131424 GOL131424 GYH131424 HID131424 HRZ131424 IBV131424 ILR131424 IVN131424 JFJ131424 JPF131424 JZB131424 KIX131424 KST131424 LCP131424 LML131424 LWH131424 MGD131424 MPZ131424 MZV131424 NJR131424 NTN131424 ODJ131424 ONF131424 OXB131424 PGX131424 PQT131424 QAP131424 QKL131424 QUH131424 RED131424 RNZ131424 RXV131424 SHR131424 SRN131424 TBJ131424 TLF131424 TVB131424 UEX131424 UOT131424 UYP131424 VIL131424 VSH131424 WCD131424 WLZ131424 WVV131424 N196960 JJ196960 TF196960 ADB196960 AMX196960 AWT196960 BGP196960 BQL196960 CAH196960 CKD196960 CTZ196960 DDV196960 DNR196960 DXN196960 EHJ196960 ERF196960 FBB196960 FKX196960 FUT196960 GEP196960 GOL196960 GYH196960 HID196960 HRZ196960 IBV196960 ILR196960 IVN196960 JFJ196960 JPF196960 JZB196960 KIX196960 KST196960 LCP196960 LML196960 LWH196960 MGD196960 MPZ196960 MZV196960 NJR196960 NTN196960 ODJ196960 ONF196960 OXB196960 PGX196960 PQT196960 QAP196960 QKL196960 QUH196960 RED196960 RNZ196960 RXV196960 SHR196960 SRN196960 TBJ196960 TLF196960 TVB196960 UEX196960 UOT196960 UYP196960 VIL196960 VSH196960 WCD196960 WLZ196960 WVV196960 N262496 JJ262496 TF262496 ADB262496 AMX262496 AWT262496 BGP262496 BQL262496 CAH262496 CKD262496 CTZ262496 DDV262496 DNR262496 DXN262496 EHJ262496 ERF262496 FBB262496 FKX262496 FUT262496 GEP262496 GOL262496 GYH262496 HID262496 HRZ262496 IBV262496 ILR262496 IVN262496 JFJ262496 JPF262496 JZB262496 KIX262496 KST262496 LCP262496 LML262496 LWH262496 MGD262496 MPZ262496 MZV262496 NJR262496 NTN262496 ODJ262496 ONF262496 OXB262496 PGX262496 PQT262496 QAP262496 QKL262496 QUH262496 RED262496 RNZ262496 RXV262496 SHR262496 SRN262496 TBJ262496 TLF262496 TVB262496 UEX262496 UOT262496 UYP262496 VIL262496 VSH262496 WCD262496 WLZ262496 WVV262496 N328032 JJ328032 TF328032 ADB328032 AMX328032 AWT328032 BGP328032 BQL328032 CAH328032 CKD328032 CTZ328032 DDV328032 DNR328032 DXN328032 EHJ328032 ERF328032 FBB328032 FKX328032 FUT328032 GEP328032 GOL328032 GYH328032 HID328032 HRZ328032 IBV328032 ILR328032 IVN328032 JFJ328032 JPF328032 JZB328032 KIX328032 KST328032 LCP328032 LML328032 LWH328032 MGD328032 MPZ328032 MZV328032 NJR328032 NTN328032 ODJ328032 ONF328032 OXB328032 PGX328032 PQT328032 QAP328032 QKL328032 QUH328032 RED328032 RNZ328032 RXV328032 SHR328032 SRN328032 TBJ328032 TLF328032 TVB328032 UEX328032 UOT328032 UYP328032 VIL328032 VSH328032 WCD328032 WLZ328032 WVV328032 N393568 JJ393568 TF393568 ADB393568 AMX393568 AWT393568 BGP393568 BQL393568 CAH393568 CKD393568 CTZ393568 DDV393568 DNR393568 DXN393568 EHJ393568 ERF393568 FBB393568 FKX393568 FUT393568 GEP393568 GOL393568 GYH393568 HID393568 HRZ393568 IBV393568 ILR393568 IVN393568 JFJ393568 JPF393568 JZB393568 KIX393568 KST393568 LCP393568 LML393568 LWH393568 MGD393568 MPZ393568 MZV393568 NJR393568 NTN393568 ODJ393568 ONF393568 OXB393568 PGX393568 PQT393568 QAP393568 QKL393568 QUH393568 RED393568 RNZ393568 RXV393568 SHR393568 SRN393568 TBJ393568 TLF393568 TVB393568 UEX393568 UOT393568 UYP393568 VIL393568 VSH393568 WCD393568 WLZ393568 WVV393568 N459104 JJ459104 TF459104 ADB459104 AMX459104 AWT459104 BGP459104 BQL459104 CAH459104 CKD459104 CTZ459104 DDV459104 DNR459104 DXN459104 EHJ459104 ERF459104 FBB459104 FKX459104 FUT459104 GEP459104 GOL459104 GYH459104 HID459104 HRZ459104 IBV459104 ILR459104 IVN459104 JFJ459104 JPF459104 JZB459104 KIX459104 KST459104 LCP459104 LML459104 LWH459104 MGD459104 MPZ459104 MZV459104 NJR459104 NTN459104 ODJ459104 ONF459104 OXB459104 PGX459104 PQT459104 QAP459104 QKL459104 QUH459104 RED459104 RNZ459104 RXV459104 SHR459104 SRN459104 TBJ459104 TLF459104 TVB459104 UEX459104 UOT459104 UYP459104 VIL459104 VSH459104 WCD459104 WLZ459104 WVV459104 N524640 JJ524640 TF524640 ADB524640 AMX524640 AWT524640 BGP524640 BQL524640 CAH524640 CKD524640 CTZ524640 DDV524640 DNR524640 DXN524640 EHJ524640 ERF524640 FBB524640 FKX524640 FUT524640 GEP524640 GOL524640 GYH524640 HID524640 HRZ524640 IBV524640 ILR524640 IVN524640 JFJ524640 JPF524640 JZB524640 KIX524640 KST524640 LCP524640 LML524640 LWH524640 MGD524640 MPZ524640 MZV524640 NJR524640 NTN524640 ODJ524640 ONF524640 OXB524640 PGX524640 PQT524640 QAP524640 QKL524640 QUH524640 RED524640 RNZ524640 RXV524640 SHR524640 SRN524640 TBJ524640 TLF524640 TVB524640 UEX524640 UOT524640 UYP524640 VIL524640 VSH524640 WCD524640 WLZ524640 WVV524640 N590176 JJ590176 TF590176 ADB590176 AMX590176 AWT590176 BGP590176 BQL590176 CAH590176 CKD590176 CTZ590176 DDV590176 DNR590176 DXN590176 EHJ590176 ERF590176 FBB590176 FKX590176 FUT590176 GEP590176 GOL590176 GYH590176 HID590176 HRZ590176 IBV590176 ILR590176 IVN590176 JFJ590176 JPF590176 JZB590176 KIX590176 KST590176 LCP590176 LML590176 LWH590176 MGD590176 MPZ590176 MZV590176 NJR590176 NTN590176 ODJ590176 ONF590176 OXB590176 PGX590176 PQT590176 QAP590176 QKL590176 QUH590176 RED590176 RNZ590176 RXV590176 SHR590176 SRN590176 TBJ590176 TLF590176 TVB590176 UEX590176 UOT590176 UYP590176 VIL590176 VSH590176 WCD590176 WLZ590176 WVV590176 N655712 JJ655712 TF655712 ADB655712 AMX655712 AWT655712 BGP655712 BQL655712 CAH655712 CKD655712 CTZ655712 DDV655712 DNR655712 DXN655712 EHJ655712 ERF655712 FBB655712 FKX655712 FUT655712 GEP655712 GOL655712 GYH655712 HID655712 HRZ655712 IBV655712 ILR655712 IVN655712 JFJ655712 JPF655712 JZB655712 KIX655712 KST655712 LCP655712 LML655712 LWH655712 MGD655712 MPZ655712 MZV655712 NJR655712 NTN655712 ODJ655712 ONF655712 OXB655712 PGX655712 PQT655712 QAP655712 QKL655712 QUH655712 RED655712 RNZ655712 RXV655712 SHR655712 SRN655712 TBJ655712 TLF655712 TVB655712 UEX655712 UOT655712 UYP655712 VIL655712 VSH655712 WCD655712 WLZ655712 WVV655712 N721248 JJ721248 TF721248 ADB721248 AMX721248 AWT721248 BGP721248 BQL721248 CAH721248 CKD721248 CTZ721248 DDV721248 DNR721248 DXN721248 EHJ721248 ERF721248 FBB721248 FKX721248 FUT721248 GEP721248 GOL721248 GYH721248 HID721248 HRZ721248 IBV721248 ILR721248 IVN721248 JFJ721248 JPF721248 JZB721248 KIX721248 KST721248 LCP721248 LML721248 LWH721248 MGD721248 MPZ721248 MZV721248 NJR721248 NTN721248 ODJ721248 ONF721248 OXB721248 PGX721248 PQT721248 QAP721248 QKL721248 QUH721248 RED721248 RNZ721248 RXV721248 SHR721248 SRN721248 TBJ721248 TLF721248 TVB721248 UEX721248 UOT721248 UYP721248 VIL721248 VSH721248 WCD721248 WLZ721248 WVV721248 N786784 JJ786784 TF786784 ADB786784 AMX786784 AWT786784 BGP786784 BQL786784 CAH786784 CKD786784 CTZ786784 DDV786784 DNR786784 DXN786784 EHJ786784 ERF786784 FBB786784 FKX786784 FUT786784 GEP786784 GOL786784 GYH786784 HID786784 HRZ786784 IBV786784 ILR786784 IVN786784 JFJ786784 JPF786784 JZB786784 KIX786784 KST786784 LCP786784 LML786784 LWH786784 MGD786784 MPZ786784 MZV786784 NJR786784 NTN786784 ODJ786784 ONF786784 OXB786784 PGX786784 PQT786784 QAP786784 QKL786784 QUH786784 RED786784 RNZ786784 RXV786784 SHR786784 SRN786784 TBJ786784 TLF786784 TVB786784 UEX786784 UOT786784 UYP786784 VIL786784 VSH786784 WCD786784 WLZ786784 WVV786784 N852320 JJ852320 TF852320 ADB852320 AMX852320 AWT852320 BGP852320 BQL852320 CAH852320 CKD852320 CTZ852320 DDV852320 DNR852320 DXN852320 EHJ852320 ERF852320 FBB852320 FKX852320 FUT852320 GEP852320 GOL852320 GYH852320 HID852320 HRZ852320 IBV852320 ILR852320 IVN852320 JFJ852320 JPF852320 JZB852320 KIX852320 KST852320 LCP852320 LML852320 LWH852320 MGD852320 MPZ852320 MZV852320 NJR852320 NTN852320 ODJ852320 ONF852320 OXB852320 PGX852320 PQT852320 QAP852320 QKL852320 QUH852320 RED852320 RNZ852320 RXV852320 SHR852320 SRN852320 TBJ852320 TLF852320 TVB852320 UEX852320 UOT852320 UYP852320 VIL852320 VSH852320 WCD852320 WLZ852320 WVV852320 N917856 JJ917856 TF917856 ADB917856 AMX917856 AWT917856 BGP917856 BQL917856 CAH917856 CKD917856 CTZ917856 DDV917856 DNR917856 DXN917856 EHJ917856 ERF917856 FBB917856 FKX917856 FUT917856 GEP917856 GOL917856 GYH917856 HID917856 HRZ917856 IBV917856 ILR917856 IVN917856 JFJ917856 JPF917856 JZB917856 KIX917856 KST917856 LCP917856 LML917856 LWH917856 MGD917856 MPZ917856 MZV917856 NJR917856 NTN917856 ODJ917856 ONF917856 OXB917856 PGX917856 PQT917856 QAP917856 QKL917856 QUH917856 RED917856 RNZ917856 RXV917856 SHR917856 SRN917856 TBJ917856 TLF917856 TVB917856 UEX917856 UOT917856 UYP917856 VIL917856 VSH917856 WCD917856 WLZ917856 WVV917856 N983392 JJ983392 TF983392 ADB983392 AMX983392 AWT983392 BGP983392 BQL983392 CAH983392 CKD983392 CTZ983392 DDV983392 DNR983392 DXN983392 EHJ983392 ERF983392 FBB983392 FKX983392 FUT983392 GEP983392 GOL983392 GYH983392 HID983392 HRZ983392 IBV983392 ILR983392 IVN983392 JFJ983392 JPF983392 JZB983392 KIX983392 KST983392 LCP983392 LML983392 LWH983392 MGD983392 MPZ983392 MZV983392 NJR983392 NTN983392 ODJ983392 ONF983392 OXB983392 PGX983392 PQT983392 QAP983392 QKL983392 QUH983392 RED983392 RNZ983392 RXV983392 SHR983392 SRN983392 TBJ983392 TLF983392 TVB983392 UEX983392 UOT983392 UYP983392 VIL983392 VSH983392 WCD983392 WLZ983392 WVV983392 WCH983207 JK167 TG167 ADC167 AMY167 AWU167 BGQ167 BQM167 CAI167 CKE167 CUA167 DDW167 DNS167 DXO167 EHK167 ERG167 FBC167 FKY167 FUU167 GEQ167 GOM167 GYI167 HIE167 HSA167 IBW167 ILS167 IVO167 JFK167 JPG167 JZC167 KIY167 KSU167 LCQ167 LMM167 LWI167 MGE167 MQA167 MZW167 NJS167 NTO167 ODK167 ONG167 OXC167 PGY167 PQU167 QAQ167 QKM167 QUI167 REE167 ROA167 RXW167 SHS167 SRO167 TBK167 TLG167 TVC167 UEY167 UOU167 UYQ167 VIM167 VSI167 WCE167 WMA167 WVW167 O65703 JK65703 TG65703 ADC65703 AMY65703 AWU65703 BGQ65703 BQM65703 CAI65703 CKE65703 CUA65703 DDW65703 DNS65703 DXO65703 EHK65703 ERG65703 FBC65703 FKY65703 FUU65703 GEQ65703 GOM65703 GYI65703 HIE65703 HSA65703 IBW65703 ILS65703 IVO65703 JFK65703 JPG65703 JZC65703 KIY65703 KSU65703 LCQ65703 LMM65703 LWI65703 MGE65703 MQA65703 MZW65703 NJS65703 NTO65703 ODK65703 ONG65703 OXC65703 PGY65703 PQU65703 QAQ65703 QKM65703 QUI65703 REE65703 ROA65703 RXW65703 SHS65703 SRO65703 TBK65703 TLG65703 TVC65703 UEY65703 UOU65703 UYQ65703 VIM65703 VSI65703 WCE65703 WMA65703 WVW65703 O131239 JK131239 TG131239 ADC131239 AMY131239 AWU131239 BGQ131239 BQM131239 CAI131239 CKE131239 CUA131239 DDW131239 DNS131239 DXO131239 EHK131239 ERG131239 FBC131239 FKY131239 FUU131239 GEQ131239 GOM131239 GYI131239 HIE131239 HSA131239 IBW131239 ILS131239 IVO131239 JFK131239 JPG131239 JZC131239 KIY131239 KSU131239 LCQ131239 LMM131239 LWI131239 MGE131239 MQA131239 MZW131239 NJS131239 NTO131239 ODK131239 ONG131239 OXC131239 PGY131239 PQU131239 QAQ131239 QKM131239 QUI131239 REE131239 ROA131239 RXW131239 SHS131239 SRO131239 TBK131239 TLG131239 TVC131239 UEY131239 UOU131239 UYQ131239 VIM131239 VSI131239 WCE131239 WMA131239 WVW131239 O196775 JK196775 TG196775 ADC196775 AMY196775 AWU196775 BGQ196775 BQM196775 CAI196775 CKE196775 CUA196775 DDW196775 DNS196775 DXO196775 EHK196775 ERG196775 FBC196775 FKY196775 FUU196775 GEQ196775 GOM196775 GYI196775 HIE196775 HSA196775 IBW196775 ILS196775 IVO196775 JFK196775 JPG196775 JZC196775 KIY196775 KSU196775 LCQ196775 LMM196775 LWI196775 MGE196775 MQA196775 MZW196775 NJS196775 NTO196775 ODK196775 ONG196775 OXC196775 PGY196775 PQU196775 QAQ196775 QKM196775 QUI196775 REE196775 ROA196775 RXW196775 SHS196775 SRO196775 TBK196775 TLG196775 TVC196775 UEY196775 UOU196775 UYQ196775 VIM196775 VSI196775 WCE196775 WMA196775 WVW196775 O262311 JK262311 TG262311 ADC262311 AMY262311 AWU262311 BGQ262311 BQM262311 CAI262311 CKE262311 CUA262311 DDW262311 DNS262311 DXO262311 EHK262311 ERG262311 FBC262311 FKY262311 FUU262311 GEQ262311 GOM262311 GYI262311 HIE262311 HSA262311 IBW262311 ILS262311 IVO262311 JFK262311 JPG262311 JZC262311 KIY262311 KSU262311 LCQ262311 LMM262311 LWI262311 MGE262311 MQA262311 MZW262311 NJS262311 NTO262311 ODK262311 ONG262311 OXC262311 PGY262311 PQU262311 QAQ262311 QKM262311 QUI262311 REE262311 ROA262311 RXW262311 SHS262311 SRO262311 TBK262311 TLG262311 TVC262311 UEY262311 UOU262311 UYQ262311 VIM262311 VSI262311 WCE262311 WMA262311 WVW262311 O327847 JK327847 TG327847 ADC327847 AMY327847 AWU327847 BGQ327847 BQM327847 CAI327847 CKE327847 CUA327847 DDW327847 DNS327847 DXO327847 EHK327847 ERG327847 FBC327847 FKY327847 FUU327847 GEQ327847 GOM327847 GYI327847 HIE327847 HSA327847 IBW327847 ILS327847 IVO327847 JFK327847 JPG327847 JZC327847 KIY327847 KSU327847 LCQ327847 LMM327847 LWI327847 MGE327847 MQA327847 MZW327847 NJS327847 NTO327847 ODK327847 ONG327847 OXC327847 PGY327847 PQU327847 QAQ327847 QKM327847 QUI327847 REE327847 ROA327847 RXW327847 SHS327847 SRO327847 TBK327847 TLG327847 TVC327847 UEY327847 UOU327847 UYQ327847 VIM327847 VSI327847 WCE327847 WMA327847 WVW327847 O393383 JK393383 TG393383 ADC393383 AMY393383 AWU393383 BGQ393383 BQM393383 CAI393383 CKE393383 CUA393383 DDW393383 DNS393383 DXO393383 EHK393383 ERG393383 FBC393383 FKY393383 FUU393383 GEQ393383 GOM393383 GYI393383 HIE393383 HSA393383 IBW393383 ILS393383 IVO393383 JFK393383 JPG393383 JZC393383 KIY393383 KSU393383 LCQ393383 LMM393383 LWI393383 MGE393383 MQA393383 MZW393383 NJS393383 NTO393383 ODK393383 ONG393383 OXC393383 PGY393383 PQU393383 QAQ393383 QKM393383 QUI393383 REE393383 ROA393383 RXW393383 SHS393383 SRO393383 TBK393383 TLG393383 TVC393383 UEY393383 UOU393383 UYQ393383 VIM393383 VSI393383 WCE393383 WMA393383 WVW393383 O458919 JK458919 TG458919 ADC458919 AMY458919 AWU458919 BGQ458919 BQM458919 CAI458919 CKE458919 CUA458919 DDW458919 DNS458919 DXO458919 EHK458919 ERG458919 FBC458919 FKY458919 FUU458919 GEQ458919 GOM458919 GYI458919 HIE458919 HSA458919 IBW458919 ILS458919 IVO458919 JFK458919 JPG458919 JZC458919 KIY458919 KSU458919 LCQ458919 LMM458919 LWI458919 MGE458919 MQA458919 MZW458919 NJS458919 NTO458919 ODK458919 ONG458919 OXC458919 PGY458919 PQU458919 QAQ458919 QKM458919 QUI458919 REE458919 ROA458919 RXW458919 SHS458919 SRO458919 TBK458919 TLG458919 TVC458919 UEY458919 UOU458919 UYQ458919 VIM458919 VSI458919 WCE458919 WMA458919 WVW458919 O524455 JK524455 TG524455 ADC524455 AMY524455 AWU524455 BGQ524455 BQM524455 CAI524455 CKE524455 CUA524455 DDW524455 DNS524455 DXO524455 EHK524455 ERG524455 FBC524455 FKY524455 FUU524455 GEQ524455 GOM524455 GYI524455 HIE524455 HSA524455 IBW524455 ILS524455 IVO524455 JFK524455 JPG524455 JZC524455 KIY524455 KSU524455 LCQ524455 LMM524455 LWI524455 MGE524455 MQA524455 MZW524455 NJS524455 NTO524455 ODK524455 ONG524455 OXC524455 PGY524455 PQU524455 QAQ524455 QKM524455 QUI524455 REE524455 ROA524455 RXW524455 SHS524455 SRO524455 TBK524455 TLG524455 TVC524455 UEY524455 UOU524455 UYQ524455 VIM524455 VSI524455 WCE524455 WMA524455 WVW524455 O589991 JK589991 TG589991 ADC589991 AMY589991 AWU589991 BGQ589991 BQM589991 CAI589991 CKE589991 CUA589991 DDW589991 DNS589991 DXO589991 EHK589991 ERG589991 FBC589991 FKY589991 FUU589991 GEQ589991 GOM589991 GYI589991 HIE589991 HSA589991 IBW589991 ILS589991 IVO589991 JFK589991 JPG589991 JZC589991 KIY589991 KSU589991 LCQ589991 LMM589991 LWI589991 MGE589991 MQA589991 MZW589991 NJS589991 NTO589991 ODK589991 ONG589991 OXC589991 PGY589991 PQU589991 QAQ589991 QKM589991 QUI589991 REE589991 ROA589991 RXW589991 SHS589991 SRO589991 TBK589991 TLG589991 TVC589991 UEY589991 UOU589991 UYQ589991 VIM589991 VSI589991 WCE589991 WMA589991 WVW589991 O655527 JK655527 TG655527 ADC655527 AMY655527 AWU655527 BGQ655527 BQM655527 CAI655527 CKE655527 CUA655527 DDW655527 DNS655527 DXO655527 EHK655527 ERG655527 FBC655527 FKY655527 FUU655527 GEQ655527 GOM655527 GYI655527 HIE655527 HSA655527 IBW655527 ILS655527 IVO655527 JFK655527 JPG655527 JZC655527 KIY655527 KSU655527 LCQ655527 LMM655527 LWI655527 MGE655527 MQA655527 MZW655527 NJS655527 NTO655527 ODK655527 ONG655527 OXC655527 PGY655527 PQU655527 QAQ655527 QKM655527 QUI655527 REE655527 ROA655527 RXW655527 SHS655527 SRO655527 TBK655527 TLG655527 TVC655527 UEY655527 UOU655527 UYQ655527 VIM655527 VSI655527 WCE655527 WMA655527 WVW655527 O721063 JK721063 TG721063 ADC721063 AMY721063 AWU721063 BGQ721063 BQM721063 CAI721063 CKE721063 CUA721063 DDW721063 DNS721063 DXO721063 EHK721063 ERG721063 FBC721063 FKY721063 FUU721063 GEQ721063 GOM721063 GYI721063 HIE721063 HSA721063 IBW721063 ILS721063 IVO721063 JFK721063 JPG721063 JZC721063 KIY721063 KSU721063 LCQ721063 LMM721063 LWI721063 MGE721063 MQA721063 MZW721063 NJS721063 NTO721063 ODK721063 ONG721063 OXC721063 PGY721063 PQU721063 QAQ721063 QKM721063 QUI721063 REE721063 ROA721063 RXW721063 SHS721063 SRO721063 TBK721063 TLG721063 TVC721063 UEY721063 UOU721063 UYQ721063 VIM721063 VSI721063 WCE721063 WMA721063 WVW721063 O786599 JK786599 TG786599 ADC786599 AMY786599 AWU786599 BGQ786599 BQM786599 CAI786599 CKE786599 CUA786599 DDW786599 DNS786599 DXO786599 EHK786599 ERG786599 FBC786599 FKY786599 FUU786599 GEQ786599 GOM786599 GYI786599 HIE786599 HSA786599 IBW786599 ILS786599 IVO786599 JFK786599 JPG786599 JZC786599 KIY786599 KSU786599 LCQ786599 LMM786599 LWI786599 MGE786599 MQA786599 MZW786599 NJS786599 NTO786599 ODK786599 ONG786599 OXC786599 PGY786599 PQU786599 QAQ786599 QKM786599 QUI786599 REE786599 ROA786599 RXW786599 SHS786599 SRO786599 TBK786599 TLG786599 TVC786599 UEY786599 UOU786599 UYQ786599 VIM786599 VSI786599 WCE786599 WMA786599 WVW786599 O852135 JK852135 TG852135 ADC852135 AMY852135 AWU852135 BGQ852135 BQM852135 CAI852135 CKE852135 CUA852135 DDW852135 DNS852135 DXO852135 EHK852135 ERG852135 FBC852135 FKY852135 FUU852135 GEQ852135 GOM852135 GYI852135 HIE852135 HSA852135 IBW852135 ILS852135 IVO852135 JFK852135 JPG852135 JZC852135 KIY852135 KSU852135 LCQ852135 LMM852135 LWI852135 MGE852135 MQA852135 MZW852135 NJS852135 NTO852135 ODK852135 ONG852135 OXC852135 PGY852135 PQU852135 QAQ852135 QKM852135 QUI852135 REE852135 ROA852135 RXW852135 SHS852135 SRO852135 TBK852135 TLG852135 TVC852135 UEY852135 UOU852135 UYQ852135 VIM852135 VSI852135 WCE852135 WMA852135 WVW852135 O917671 JK917671 TG917671 ADC917671 AMY917671 AWU917671 BGQ917671 BQM917671 CAI917671 CKE917671 CUA917671 DDW917671 DNS917671 DXO917671 EHK917671 ERG917671 FBC917671 FKY917671 FUU917671 GEQ917671 GOM917671 GYI917671 HIE917671 HSA917671 IBW917671 ILS917671 IVO917671 JFK917671 JPG917671 JZC917671 KIY917671 KSU917671 LCQ917671 LMM917671 LWI917671 MGE917671 MQA917671 MZW917671 NJS917671 NTO917671 ODK917671 ONG917671 OXC917671 PGY917671 PQU917671 QAQ917671 QKM917671 QUI917671 REE917671 ROA917671 RXW917671 SHS917671 SRO917671 TBK917671 TLG917671 TVC917671 UEY917671 UOU917671 UYQ917671 VIM917671 VSI917671 WCE917671 WMA917671 WVW917671 O983207 JK983207 TG983207 ADC983207 AMY983207 AWU983207 BGQ983207 BQM983207 CAI983207 CKE983207 CUA983207 DDW983207 DNS983207 DXO983207 EHK983207 ERG983207 FBC983207 FKY983207 FUU983207 GEQ983207 GOM983207 GYI983207 HIE983207 HSA983207 IBW983207 ILS983207 IVO983207 JFK983207 JPG983207 JZC983207 KIY983207 KSU983207 LCQ983207 LMM983207 LWI983207 MGE983207 MQA983207 MZW983207 NJS983207 NTO983207 ODK983207 ONG983207 OXC983207 PGY983207 PQU983207 QAQ983207 QKM983207 QUI983207 REE983207 ROA983207 RXW983207 SHS983207 SRO983207 TBK983207 TLG983207 TVC983207 UEY983207 UOU983207 UYQ983207 VIM983207 VSI983207 WCE983207 WMA983207 WVW983207 VSL983207 JN167 TJ167 ADF167 ANB167 AWX167 BGT167 BQP167 CAL167 CKH167 CUD167 DDZ167 DNV167 DXR167 EHN167 ERJ167 FBF167 FLB167 FUX167 GET167 GOP167 GYL167 HIH167 HSD167 IBZ167 ILV167 IVR167 JFN167 JPJ167 JZF167 KJB167 KSX167 LCT167 LMP167 LWL167 MGH167 MQD167 MZZ167 NJV167 NTR167 ODN167 ONJ167 OXF167 PHB167 PQX167 QAT167 QKP167 QUL167 REH167 ROD167 RXZ167 SHV167 SRR167 TBN167 TLJ167 TVF167 UFB167 UOX167 UYT167 VIP167 VSL167 WCH167 WMD167 WVZ167 R65703 JN65703 TJ65703 ADF65703 ANB65703 AWX65703 BGT65703 BQP65703 CAL65703 CKH65703 CUD65703 DDZ65703 DNV65703 DXR65703 EHN65703 ERJ65703 FBF65703 FLB65703 FUX65703 GET65703 GOP65703 GYL65703 HIH65703 HSD65703 IBZ65703 ILV65703 IVR65703 JFN65703 JPJ65703 JZF65703 KJB65703 KSX65703 LCT65703 LMP65703 LWL65703 MGH65703 MQD65703 MZZ65703 NJV65703 NTR65703 ODN65703 ONJ65703 OXF65703 PHB65703 PQX65703 QAT65703 QKP65703 QUL65703 REH65703 ROD65703 RXZ65703 SHV65703 SRR65703 TBN65703 TLJ65703 TVF65703 UFB65703 UOX65703 UYT65703 VIP65703 VSL65703 WCH65703 WMD65703 WVZ65703 R131239 JN131239 TJ131239 ADF131239 ANB131239 AWX131239 BGT131239 BQP131239 CAL131239 CKH131239 CUD131239 DDZ131239 DNV131239 DXR131239 EHN131239 ERJ131239 FBF131239 FLB131239 FUX131239 GET131239 GOP131239 GYL131239 HIH131239 HSD131239 IBZ131239 ILV131239 IVR131239 JFN131239 JPJ131239 JZF131239 KJB131239 KSX131239 LCT131239 LMP131239 LWL131239 MGH131239 MQD131239 MZZ131239 NJV131239 NTR131239 ODN131239 ONJ131239 OXF131239 PHB131239 PQX131239 QAT131239 QKP131239 QUL131239 REH131239 ROD131239 RXZ131239 SHV131239 SRR131239 TBN131239 TLJ131239 TVF131239 UFB131239 UOX131239 UYT131239 VIP131239 VSL131239 WCH131239 WMD131239 WVZ131239 R196775 JN196775 TJ196775 ADF196775 ANB196775 AWX196775 BGT196775 BQP196775 CAL196775 CKH196775 CUD196775 DDZ196775 DNV196775 DXR196775 EHN196775 ERJ196775 FBF196775 FLB196775 FUX196775 GET196775 GOP196775 GYL196775 HIH196775 HSD196775 IBZ196775 ILV196775 IVR196775 JFN196775 JPJ196775 JZF196775 KJB196775 KSX196775 LCT196775 LMP196775 LWL196775 MGH196775 MQD196775 MZZ196775 NJV196775 NTR196775 ODN196775 ONJ196775 OXF196775 PHB196775 PQX196775 QAT196775 QKP196775 QUL196775 REH196775 ROD196775 RXZ196775 SHV196775 SRR196775 TBN196775 TLJ196775 TVF196775 UFB196775 UOX196775 UYT196775 VIP196775 VSL196775 WCH196775 WMD196775 WVZ196775 R262311 JN262311 TJ262311 ADF262311 ANB262311 AWX262311 BGT262311 BQP262311 CAL262311 CKH262311 CUD262311 DDZ262311 DNV262311 DXR262311 EHN262311 ERJ262311 FBF262311 FLB262311 FUX262311 GET262311 GOP262311 GYL262311 HIH262311 HSD262311 IBZ262311 ILV262311 IVR262311 JFN262311 JPJ262311 JZF262311 KJB262311 KSX262311 LCT262311 LMP262311 LWL262311 MGH262311 MQD262311 MZZ262311 NJV262311 NTR262311 ODN262311 ONJ262311 OXF262311 PHB262311 PQX262311 QAT262311 QKP262311 QUL262311 REH262311 ROD262311 RXZ262311 SHV262311 SRR262311 TBN262311 TLJ262311 TVF262311 UFB262311 UOX262311 UYT262311 VIP262311 VSL262311 WCH262311 WMD262311 WVZ262311 R327847 JN327847 TJ327847 ADF327847 ANB327847 AWX327847 BGT327847 BQP327847 CAL327847 CKH327847 CUD327847 DDZ327847 DNV327847 DXR327847 EHN327847 ERJ327847 FBF327847 FLB327847 FUX327847 GET327847 GOP327847 GYL327847 HIH327847 HSD327847 IBZ327847 ILV327847 IVR327847 JFN327847 JPJ327847 JZF327847 KJB327847 KSX327847 LCT327847 LMP327847 LWL327847 MGH327847 MQD327847 MZZ327847 NJV327847 NTR327847 ODN327847 ONJ327847 OXF327847 PHB327847 PQX327847 QAT327847 QKP327847 QUL327847 REH327847 ROD327847 RXZ327847 SHV327847 SRR327847 TBN327847 TLJ327847 TVF327847 UFB327847 UOX327847 UYT327847 VIP327847 VSL327847 WCH327847 WMD327847 WVZ327847 R393383 JN393383 TJ393383 ADF393383 ANB393383 AWX393383 BGT393383 BQP393383 CAL393383 CKH393383 CUD393383 DDZ393383 DNV393383 DXR393383 EHN393383 ERJ393383 FBF393383 FLB393383 FUX393383 GET393383 GOP393383 GYL393383 HIH393383 HSD393383 IBZ393383 ILV393383 IVR393383 JFN393383 JPJ393383 JZF393383 KJB393383 KSX393383 LCT393383 LMP393383 LWL393383 MGH393383 MQD393383 MZZ393383 NJV393383 NTR393383 ODN393383 ONJ393383 OXF393383 PHB393383 PQX393383 QAT393383 QKP393383 QUL393383 REH393383 ROD393383 RXZ393383 SHV393383 SRR393383 TBN393383 TLJ393383 TVF393383 UFB393383 UOX393383 UYT393383 VIP393383 VSL393383 WCH393383 WMD393383 WVZ393383 R458919 JN458919 TJ458919 ADF458919 ANB458919 AWX458919 BGT458919 BQP458919 CAL458919 CKH458919 CUD458919 DDZ458919 DNV458919 DXR458919 EHN458919 ERJ458919 FBF458919 FLB458919 FUX458919 GET458919 GOP458919 GYL458919 HIH458919 HSD458919 IBZ458919 ILV458919 IVR458919 JFN458919 JPJ458919 JZF458919 KJB458919 KSX458919 LCT458919 LMP458919 LWL458919 MGH458919 MQD458919 MZZ458919 NJV458919 NTR458919 ODN458919 ONJ458919 OXF458919 PHB458919 PQX458919 QAT458919 QKP458919 QUL458919 REH458919 ROD458919 RXZ458919 SHV458919 SRR458919 TBN458919 TLJ458919 TVF458919 UFB458919 UOX458919 UYT458919 VIP458919 VSL458919 WCH458919 WMD458919 WVZ458919 R524455 JN524455 TJ524455 ADF524455 ANB524455 AWX524455 BGT524455 BQP524455 CAL524455 CKH524455 CUD524455 DDZ524455 DNV524455 DXR524455 EHN524455 ERJ524455 FBF524455 FLB524455 FUX524455 GET524455 GOP524455 GYL524455 HIH524455 HSD524455 IBZ524455 ILV524455 IVR524455 JFN524455 JPJ524455 JZF524455 KJB524455 KSX524455 LCT524455 LMP524455 LWL524455 MGH524455 MQD524455 MZZ524455 NJV524455 NTR524455 ODN524455 ONJ524455 OXF524455 PHB524455 PQX524455 QAT524455 QKP524455 QUL524455 REH524455 ROD524455 RXZ524455 SHV524455 SRR524455 TBN524455 TLJ524455 TVF524455 UFB524455 UOX524455 UYT524455 VIP524455 VSL524455 WCH524455 WMD524455 WVZ524455 R589991 JN589991 TJ589991 ADF589991 ANB589991 AWX589991 BGT589991 BQP589991 CAL589991 CKH589991 CUD589991 DDZ589991 DNV589991 DXR589991 EHN589991 ERJ589991 FBF589991 FLB589991 FUX589991 GET589991 GOP589991 GYL589991 HIH589991 HSD589991 IBZ589991 ILV589991 IVR589991 JFN589991 JPJ589991 JZF589991 KJB589991 KSX589991 LCT589991 LMP589991 LWL589991 MGH589991 MQD589991 MZZ589991 NJV589991 NTR589991 ODN589991 ONJ589991 OXF589991 PHB589991 PQX589991 QAT589991 QKP589991 QUL589991 REH589991 ROD589991 RXZ589991 SHV589991 SRR589991 TBN589991 TLJ589991 TVF589991 UFB589991 UOX589991 UYT589991 VIP589991 VSL589991 WCH589991 WMD589991 WVZ589991 R655527 JN655527 TJ655527 ADF655527 ANB655527 AWX655527 BGT655527 BQP655527 CAL655527 CKH655527 CUD655527 DDZ655527 DNV655527 DXR655527 EHN655527 ERJ655527 FBF655527 FLB655527 FUX655527 GET655527 GOP655527 GYL655527 HIH655527 HSD655527 IBZ655527 ILV655527 IVR655527 JFN655527 JPJ655527 JZF655527 KJB655527 KSX655527 LCT655527 LMP655527 LWL655527 MGH655527 MQD655527 MZZ655527 NJV655527 NTR655527 ODN655527 ONJ655527 OXF655527 PHB655527 PQX655527 QAT655527 QKP655527 QUL655527 REH655527 ROD655527 RXZ655527 SHV655527 SRR655527 TBN655527 TLJ655527 TVF655527 UFB655527 UOX655527 UYT655527 VIP655527 VSL655527 WCH655527 WMD655527 WVZ655527 R721063 JN721063 TJ721063 ADF721063 ANB721063 AWX721063 BGT721063 BQP721063 CAL721063 CKH721063 CUD721063 DDZ721063 DNV721063 DXR721063 EHN721063 ERJ721063 FBF721063 FLB721063 FUX721063 GET721063 GOP721063 GYL721063 HIH721063 HSD721063 IBZ721063 ILV721063 IVR721063 JFN721063 JPJ721063 JZF721063 KJB721063 KSX721063 LCT721063 LMP721063 LWL721063 MGH721063 MQD721063 MZZ721063 NJV721063 NTR721063 ODN721063 ONJ721063 OXF721063 PHB721063 PQX721063 QAT721063 QKP721063 QUL721063 REH721063 ROD721063 RXZ721063 SHV721063 SRR721063 TBN721063 TLJ721063 TVF721063 UFB721063 UOX721063 UYT721063 VIP721063 VSL721063 WCH721063 WMD721063 WVZ721063 R786599 JN786599 TJ786599 ADF786599 ANB786599 AWX786599 BGT786599 BQP786599 CAL786599 CKH786599 CUD786599 DDZ786599 DNV786599 DXR786599 EHN786599 ERJ786599 FBF786599 FLB786599 FUX786599 GET786599 GOP786599 GYL786599 HIH786599 HSD786599 IBZ786599 ILV786599 IVR786599 JFN786599 JPJ786599 JZF786599 KJB786599 KSX786599 LCT786599 LMP786599 LWL786599 MGH786599 MQD786599 MZZ786599 NJV786599 NTR786599 ODN786599 ONJ786599 OXF786599 PHB786599 PQX786599 QAT786599 QKP786599 QUL786599 REH786599 ROD786599 RXZ786599 SHV786599 SRR786599 TBN786599 TLJ786599 TVF786599 UFB786599 UOX786599 UYT786599 VIP786599 VSL786599 WCH786599 WMD786599 WVZ786599 R852135 JN852135 TJ852135 ADF852135 ANB852135 AWX852135 BGT852135 BQP852135 CAL852135 CKH852135 CUD852135 DDZ852135 DNV852135 DXR852135 EHN852135 ERJ852135 FBF852135 FLB852135 FUX852135 GET852135 GOP852135 GYL852135 HIH852135 HSD852135 IBZ852135 ILV852135 IVR852135 JFN852135 JPJ852135 JZF852135 KJB852135 KSX852135 LCT852135 LMP852135 LWL852135 MGH852135 MQD852135 MZZ852135 NJV852135 NTR852135 ODN852135 ONJ852135 OXF852135 PHB852135 PQX852135 QAT852135 QKP852135 QUL852135 REH852135 ROD852135 RXZ852135 SHV852135 SRR852135 TBN852135 TLJ852135 TVF852135 UFB852135 UOX852135 UYT852135 VIP852135 VSL852135 WCH852135 WMD852135 WVZ852135 R917671 JN917671 TJ917671 ADF917671 ANB917671 AWX917671 BGT917671 BQP917671 CAL917671 CKH917671 CUD917671 DDZ917671 DNV917671 DXR917671 EHN917671 ERJ917671 FBF917671 FLB917671 FUX917671 GET917671 GOP917671 GYL917671 HIH917671 HSD917671 IBZ917671 ILV917671 IVR917671 JFN917671 JPJ917671 JZF917671 KJB917671 KSX917671 LCT917671 LMP917671 LWL917671 MGH917671 MQD917671 MZZ917671 NJV917671 NTR917671 ODN917671 ONJ917671 OXF917671 PHB917671 PQX917671 QAT917671 QKP917671 QUL917671 REH917671 ROD917671 RXZ917671 SHV917671 SRR917671 TBN917671 TLJ917671 TVF917671 UFB917671 UOX917671 UYT917671 VIP917671 VSL917671 WCH917671 WMD917671 WVZ917671 R983207 JN983207 TJ983207 ADF983207 ANB983207 AWX983207 BGT983207 BQP983207 CAL983207 CKH983207 CUD983207 DDZ983207 DNV983207 DXR983207 EHN983207 ERJ983207 FBF983207 FLB983207 FUX983207 GET983207 GOP983207 GYL983207 HIH983207 HSD983207 IBZ983207 ILV983207 IVR983207 JFN983207 JPJ983207 JZF983207 KJB983207 KSX983207 LCT983207 LMP983207 LWL983207 MGH983207 MQD983207 MZZ983207 NJV983207 NTR983207 ODN983207 ONJ983207 OXF983207 PHB983207 PQX983207 QAT983207 QKP983207 QUL983207 REH983207 ROD983207 RXZ983207 SHV983207 SRR983207 TBN983207 TLJ983207 TVF983207 UFB983207 UOX983207" xr:uid="{00000000-0002-0000-0000-00000C000000}">
      <formula1>janejfed</formula1>
    </dataValidation>
    <dataValidation type="list" allowBlank="1" showInputMessage="1" showErrorMessage="1" sqref="WVW983229 JK189 TG189 ADC189 AMY189 AWU189 BGQ189 BQM189 CAI189 CKE189 CUA189 DDW189 DNS189 DXO189 EHK189 ERG189 FBC189 FKY189 FUU189 GEQ189 GOM189 GYI189 HIE189 HSA189 IBW189 ILS189 IVO189 JFK189 JPG189 JZC189 KIY189 KSU189 LCQ189 LMM189 LWI189 MGE189 MQA189 MZW189 NJS189 NTO189 ODK189 ONG189 OXC189 PGY189 PQU189 QAQ189 QKM189 QUI189 REE189 ROA189 RXW189 SHS189 SRO189 TBK189 TLG189 TVC189 UEY189 UOU189 UYQ189 VIM189 VSI189 WCE189 WMA189 WVW189 O65725 JK65725 TG65725 ADC65725 AMY65725 AWU65725 BGQ65725 BQM65725 CAI65725 CKE65725 CUA65725 DDW65725 DNS65725 DXO65725 EHK65725 ERG65725 FBC65725 FKY65725 FUU65725 GEQ65725 GOM65725 GYI65725 HIE65725 HSA65725 IBW65725 ILS65725 IVO65725 JFK65725 JPG65725 JZC65725 KIY65725 KSU65725 LCQ65725 LMM65725 LWI65725 MGE65725 MQA65725 MZW65725 NJS65725 NTO65725 ODK65725 ONG65725 OXC65725 PGY65725 PQU65725 QAQ65725 QKM65725 QUI65725 REE65725 ROA65725 RXW65725 SHS65725 SRO65725 TBK65725 TLG65725 TVC65725 UEY65725 UOU65725 UYQ65725 VIM65725 VSI65725 WCE65725 WMA65725 WVW65725 O131261 JK131261 TG131261 ADC131261 AMY131261 AWU131261 BGQ131261 BQM131261 CAI131261 CKE131261 CUA131261 DDW131261 DNS131261 DXO131261 EHK131261 ERG131261 FBC131261 FKY131261 FUU131261 GEQ131261 GOM131261 GYI131261 HIE131261 HSA131261 IBW131261 ILS131261 IVO131261 JFK131261 JPG131261 JZC131261 KIY131261 KSU131261 LCQ131261 LMM131261 LWI131261 MGE131261 MQA131261 MZW131261 NJS131261 NTO131261 ODK131261 ONG131261 OXC131261 PGY131261 PQU131261 QAQ131261 QKM131261 QUI131261 REE131261 ROA131261 RXW131261 SHS131261 SRO131261 TBK131261 TLG131261 TVC131261 UEY131261 UOU131261 UYQ131261 VIM131261 VSI131261 WCE131261 WMA131261 WVW131261 O196797 JK196797 TG196797 ADC196797 AMY196797 AWU196797 BGQ196797 BQM196797 CAI196797 CKE196797 CUA196797 DDW196797 DNS196797 DXO196797 EHK196797 ERG196797 FBC196797 FKY196797 FUU196797 GEQ196797 GOM196797 GYI196797 HIE196797 HSA196797 IBW196797 ILS196797 IVO196797 JFK196797 JPG196797 JZC196797 KIY196797 KSU196797 LCQ196797 LMM196797 LWI196797 MGE196797 MQA196797 MZW196797 NJS196797 NTO196797 ODK196797 ONG196797 OXC196797 PGY196797 PQU196797 QAQ196797 QKM196797 QUI196797 REE196797 ROA196797 RXW196797 SHS196797 SRO196797 TBK196797 TLG196797 TVC196797 UEY196797 UOU196797 UYQ196797 VIM196797 VSI196797 WCE196797 WMA196797 WVW196797 O262333 JK262333 TG262333 ADC262333 AMY262333 AWU262333 BGQ262333 BQM262333 CAI262333 CKE262333 CUA262333 DDW262333 DNS262333 DXO262333 EHK262333 ERG262333 FBC262333 FKY262333 FUU262333 GEQ262333 GOM262333 GYI262333 HIE262333 HSA262333 IBW262333 ILS262333 IVO262333 JFK262333 JPG262333 JZC262333 KIY262333 KSU262333 LCQ262333 LMM262333 LWI262333 MGE262333 MQA262333 MZW262333 NJS262333 NTO262333 ODK262333 ONG262333 OXC262333 PGY262333 PQU262333 QAQ262333 QKM262333 QUI262333 REE262333 ROA262333 RXW262333 SHS262333 SRO262333 TBK262333 TLG262333 TVC262333 UEY262333 UOU262333 UYQ262333 VIM262333 VSI262333 WCE262333 WMA262333 WVW262333 O327869 JK327869 TG327869 ADC327869 AMY327869 AWU327869 BGQ327869 BQM327869 CAI327869 CKE327869 CUA327869 DDW327869 DNS327869 DXO327869 EHK327869 ERG327869 FBC327869 FKY327869 FUU327869 GEQ327869 GOM327869 GYI327869 HIE327869 HSA327869 IBW327869 ILS327869 IVO327869 JFK327869 JPG327869 JZC327869 KIY327869 KSU327869 LCQ327869 LMM327869 LWI327869 MGE327869 MQA327869 MZW327869 NJS327869 NTO327869 ODK327869 ONG327869 OXC327869 PGY327869 PQU327869 QAQ327869 QKM327869 QUI327869 REE327869 ROA327869 RXW327869 SHS327869 SRO327869 TBK327869 TLG327869 TVC327869 UEY327869 UOU327869 UYQ327869 VIM327869 VSI327869 WCE327869 WMA327869 WVW327869 O393405 JK393405 TG393405 ADC393405 AMY393405 AWU393405 BGQ393405 BQM393405 CAI393405 CKE393405 CUA393405 DDW393405 DNS393405 DXO393405 EHK393405 ERG393405 FBC393405 FKY393405 FUU393405 GEQ393405 GOM393405 GYI393405 HIE393405 HSA393405 IBW393405 ILS393405 IVO393405 JFK393405 JPG393405 JZC393405 KIY393405 KSU393405 LCQ393405 LMM393405 LWI393405 MGE393405 MQA393405 MZW393405 NJS393405 NTO393405 ODK393405 ONG393405 OXC393405 PGY393405 PQU393405 QAQ393405 QKM393405 QUI393405 REE393405 ROA393405 RXW393405 SHS393405 SRO393405 TBK393405 TLG393405 TVC393405 UEY393405 UOU393405 UYQ393405 VIM393405 VSI393405 WCE393405 WMA393405 WVW393405 O458941 JK458941 TG458941 ADC458941 AMY458941 AWU458941 BGQ458941 BQM458941 CAI458941 CKE458941 CUA458941 DDW458941 DNS458941 DXO458941 EHK458941 ERG458941 FBC458941 FKY458941 FUU458941 GEQ458941 GOM458941 GYI458941 HIE458941 HSA458941 IBW458941 ILS458941 IVO458941 JFK458941 JPG458941 JZC458941 KIY458941 KSU458941 LCQ458941 LMM458941 LWI458941 MGE458941 MQA458941 MZW458941 NJS458941 NTO458941 ODK458941 ONG458941 OXC458941 PGY458941 PQU458941 QAQ458941 QKM458941 QUI458941 REE458941 ROA458941 RXW458941 SHS458941 SRO458941 TBK458941 TLG458941 TVC458941 UEY458941 UOU458941 UYQ458941 VIM458941 VSI458941 WCE458941 WMA458941 WVW458941 O524477 JK524477 TG524477 ADC524477 AMY524477 AWU524477 BGQ524477 BQM524477 CAI524477 CKE524477 CUA524477 DDW524477 DNS524477 DXO524477 EHK524477 ERG524477 FBC524477 FKY524477 FUU524477 GEQ524477 GOM524477 GYI524477 HIE524477 HSA524477 IBW524477 ILS524477 IVO524477 JFK524477 JPG524477 JZC524477 KIY524477 KSU524477 LCQ524477 LMM524477 LWI524477 MGE524477 MQA524477 MZW524477 NJS524477 NTO524477 ODK524477 ONG524477 OXC524477 PGY524477 PQU524477 QAQ524477 QKM524477 QUI524477 REE524477 ROA524477 RXW524477 SHS524477 SRO524477 TBK524477 TLG524477 TVC524477 UEY524477 UOU524477 UYQ524477 VIM524477 VSI524477 WCE524477 WMA524477 WVW524477 O590013 JK590013 TG590013 ADC590013 AMY590013 AWU590013 BGQ590013 BQM590013 CAI590013 CKE590013 CUA590013 DDW590013 DNS590013 DXO590013 EHK590013 ERG590013 FBC590013 FKY590013 FUU590013 GEQ590013 GOM590013 GYI590013 HIE590013 HSA590013 IBW590013 ILS590013 IVO590013 JFK590013 JPG590013 JZC590013 KIY590013 KSU590013 LCQ590013 LMM590013 LWI590013 MGE590013 MQA590013 MZW590013 NJS590013 NTO590013 ODK590013 ONG590013 OXC590013 PGY590013 PQU590013 QAQ590013 QKM590013 QUI590013 REE590013 ROA590013 RXW590013 SHS590013 SRO590013 TBK590013 TLG590013 TVC590013 UEY590013 UOU590013 UYQ590013 VIM590013 VSI590013 WCE590013 WMA590013 WVW590013 O655549 JK655549 TG655549 ADC655549 AMY655549 AWU655549 BGQ655549 BQM655549 CAI655549 CKE655549 CUA655549 DDW655549 DNS655549 DXO655549 EHK655549 ERG655549 FBC655549 FKY655549 FUU655549 GEQ655549 GOM655549 GYI655549 HIE655549 HSA655549 IBW655549 ILS655549 IVO655549 JFK655549 JPG655549 JZC655549 KIY655549 KSU655549 LCQ655549 LMM655549 LWI655549 MGE655549 MQA655549 MZW655549 NJS655549 NTO655549 ODK655549 ONG655549 OXC655549 PGY655549 PQU655549 QAQ655549 QKM655549 QUI655549 REE655549 ROA655549 RXW655549 SHS655549 SRO655549 TBK655549 TLG655549 TVC655549 UEY655549 UOU655549 UYQ655549 VIM655549 VSI655549 WCE655549 WMA655549 WVW655549 O721085 JK721085 TG721085 ADC721085 AMY721085 AWU721085 BGQ721085 BQM721085 CAI721085 CKE721085 CUA721085 DDW721085 DNS721085 DXO721085 EHK721085 ERG721085 FBC721085 FKY721085 FUU721085 GEQ721085 GOM721085 GYI721085 HIE721085 HSA721085 IBW721085 ILS721085 IVO721085 JFK721085 JPG721085 JZC721085 KIY721085 KSU721085 LCQ721085 LMM721085 LWI721085 MGE721085 MQA721085 MZW721085 NJS721085 NTO721085 ODK721085 ONG721085 OXC721085 PGY721085 PQU721085 QAQ721085 QKM721085 QUI721085 REE721085 ROA721085 RXW721085 SHS721085 SRO721085 TBK721085 TLG721085 TVC721085 UEY721085 UOU721085 UYQ721085 VIM721085 VSI721085 WCE721085 WMA721085 WVW721085 O786621 JK786621 TG786621 ADC786621 AMY786621 AWU786621 BGQ786621 BQM786621 CAI786621 CKE786621 CUA786621 DDW786621 DNS786621 DXO786621 EHK786621 ERG786621 FBC786621 FKY786621 FUU786621 GEQ786621 GOM786621 GYI786621 HIE786621 HSA786621 IBW786621 ILS786621 IVO786621 JFK786621 JPG786621 JZC786621 KIY786621 KSU786621 LCQ786621 LMM786621 LWI786621 MGE786621 MQA786621 MZW786621 NJS786621 NTO786621 ODK786621 ONG786621 OXC786621 PGY786621 PQU786621 QAQ786621 QKM786621 QUI786621 REE786621 ROA786621 RXW786621 SHS786621 SRO786621 TBK786621 TLG786621 TVC786621 UEY786621 UOU786621 UYQ786621 VIM786621 VSI786621 WCE786621 WMA786621 WVW786621 O852157 JK852157 TG852157 ADC852157 AMY852157 AWU852157 BGQ852157 BQM852157 CAI852157 CKE852157 CUA852157 DDW852157 DNS852157 DXO852157 EHK852157 ERG852157 FBC852157 FKY852157 FUU852157 GEQ852157 GOM852157 GYI852157 HIE852157 HSA852157 IBW852157 ILS852157 IVO852157 JFK852157 JPG852157 JZC852157 KIY852157 KSU852157 LCQ852157 LMM852157 LWI852157 MGE852157 MQA852157 MZW852157 NJS852157 NTO852157 ODK852157 ONG852157 OXC852157 PGY852157 PQU852157 QAQ852157 QKM852157 QUI852157 REE852157 ROA852157 RXW852157 SHS852157 SRO852157 TBK852157 TLG852157 TVC852157 UEY852157 UOU852157 UYQ852157 VIM852157 VSI852157 WCE852157 WMA852157 WVW852157 O917693 JK917693 TG917693 ADC917693 AMY917693 AWU917693 BGQ917693 BQM917693 CAI917693 CKE917693 CUA917693 DDW917693 DNS917693 DXO917693 EHK917693 ERG917693 FBC917693 FKY917693 FUU917693 GEQ917693 GOM917693 GYI917693 HIE917693 HSA917693 IBW917693 ILS917693 IVO917693 JFK917693 JPG917693 JZC917693 KIY917693 KSU917693 LCQ917693 LMM917693 LWI917693 MGE917693 MQA917693 MZW917693 NJS917693 NTO917693 ODK917693 ONG917693 OXC917693 PGY917693 PQU917693 QAQ917693 QKM917693 QUI917693 REE917693 ROA917693 RXW917693 SHS917693 SRO917693 TBK917693 TLG917693 TVC917693 UEY917693 UOU917693 UYQ917693 VIM917693 VSI917693 WCE917693 WMA917693 WVW917693 O983229 JK983229 TG983229 ADC983229 AMY983229 AWU983229 BGQ983229 BQM983229 CAI983229 CKE983229 CUA983229 DDW983229 DNS983229 DXO983229 EHK983229 ERG983229 FBC983229 FKY983229 FUU983229 GEQ983229 GOM983229 GYI983229 HIE983229 HSA983229 IBW983229 ILS983229 IVO983229 JFK983229 JPG983229 JZC983229 KIY983229 KSU983229 LCQ983229 LMM983229 LWI983229 MGE983229 MQA983229 MZW983229 NJS983229 NTO983229 ODK983229 ONG983229 OXC983229 PGY983229 PQU983229 QAQ983229 QKM983229 QUI983229 REE983229 ROA983229 RXW983229 SHS983229 SRO983229 TBK983229 TLG983229 TVC983229 UEY983229 UOU983229 UYQ983229 VIM983229 VSI983229 WCE983229 WMA983229" xr:uid="{00000000-0002-0000-0000-00000D000000}">
      <formula1>Udskrives?</formula1>
    </dataValidation>
    <dataValidation type="list" allowBlank="1" showInputMessage="1" showErrorMessage="1" sqref="A6" xr:uid="{00000000-0002-0000-0000-00000E000000}">
      <formula1>$BW$16:$BW$22</formula1>
    </dataValidation>
    <dataValidation type="list" allowBlank="1" showInputMessage="1" showErrorMessage="1" sqref="I9" xr:uid="{00000000-0002-0000-0000-00000F000000}">
      <formula1>$CB$8:$CB$10</formula1>
    </dataValidation>
    <dataValidation type="list" allowBlank="1" showInputMessage="1" showErrorMessage="1" sqref="I10" xr:uid="{00000000-0002-0000-0000-000010000000}">
      <formula1>$BZ$8:$BZ$13</formula1>
    </dataValidation>
    <dataValidation type="list" allowBlank="1" showInputMessage="1" showErrorMessage="1" sqref="I11" xr:uid="{00000000-0002-0000-0000-000011000000}">
      <formula1>$CA$8:$CA$12</formula1>
    </dataValidation>
    <dataValidation type="list" allowBlank="1" showInputMessage="1" showErrorMessage="1" sqref="J34 L34" xr:uid="{00000000-0002-0000-0000-000012000000}">
      <formula1>$BV$8:$BV$9</formula1>
    </dataValidation>
    <dataValidation type="list" allowBlank="1" showInputMessage="1" showErrorMessage="1" sqref="G44" xr:uid="{00000000-0002-0000-0000-000013000000}">
      <formula1>$BY$8:$BY$14</formula1>
    </dataValidation>
    <dataValidation type="list" allowBlank="1" showInputMessage="1" showErrorMessage="1" sqref="N2" xr:uid="{00000000-0002-0000-0000-000014000000}">
      <formula1>$CC$8:$CC$10</formula1>
    </dataValidation>
    <dataValidation type="list" allowBlank="1" showInputMessage="1" showErrorMessage="1" sqref="H10" xr:uid="{00000000-0002-0000-0000-000015000000}">
      <formula1>$CD$8:$CD$11</formula1>
    </dataValidation>
    <dataValidation type="list" allowBlank="1" showInputMessage="1" showErrorMessage="1" sqref="R4 N37:O37 O76 N119" xr:uid="{00000000-0002-0000-0000-000016000000}">
      <formula1>$BW$8:$BW$9</formula1>
    </dataValidation>
    <dataValidation type="list" allowBlank="1" showInputMessage="1" showErrorMessage="1" sqref="N47 N86 O167 R167 N352 N380" xr:uid="{00000000-0002-0000-0000-000017000000}">
      <formula1>$BX$8:$BX$9</formula1>
    </dataValidation>
    <dataValidation type="list" allowBlank="1" showInputMessage="1" showErrorMessage="1" sqref="O189" xr:uid="{00000000-0002-0000-0000-000018000000}">
      <formula1>$BW$12:$BW$13</formula1>
    </dataValidation>
    <dataValidation type="list" allowBlank="1" showInputMessage="1" showErrorMessage="1" sqref="H330" xr:uid="{00000000-0002-0000-0000-000019000000}">
      <formula1>$CB$12:$CB$13</formula1>
    </dataValidation>
    <dataValidation type="list" allowBlank="1" showInputMessage="1" showErrorMessage="1" sqref="J330" xr:uid="{00000000-0002-0000-0000-00001A000000}">
      <formula1>$CB$15:$CB$16</formula1>
    </dataValidation>
    <dataValidation type="list" allowBlank="1" showInputMessage="1" showErrorMessage="1" sqref="Q8" xr:uid="{00000000-0002-0000-0000-00001B000000}">
      <formula1>$CC$13:$CC$14</formula1>
    </dataValidation>
  </dataValidations>
  <printOptions horizontalCentered="1"/>
  <pageMargins left="0.39370078740157483" right="0.39370078740157483" top="0.39370078740157483" bottom="0.19685039370078741" header="0" footer="0"/>
  <pageSetup paperSize="9" scale="1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Line="0" autoPict="0" macro="[0]!UDSKRIV">
                <anchor moveWithCells="1" sizeWithCells="1">
                  <from>
                    <xdr:col>11</xdr:col>
                    <xdr:colOff>352425</xdr:colOff>
                    <xdr:row>6</xdr:row>
                    <xdr:rowOff>76200</xdr:rowOff>
                  </from>
                  <to>
                    <xdr:col>13</xdr:col>
                    <xdr:colOff>0</xdr:colOff>
                    <xdr:row>9</xdr:row>
                    <xdr:rowOff>0</xdr:rowOff>
                  </to>
                </anchor>
              </controlPr>
            </control>
          </mc:Choice>
        </mc:AlternateContent>
        <mc:AlternateContent xmlns:mc="http://schemas.openxmlformats.org/markup-compatibility/2006">
          <mc:Choice Requires="x14">
            <control shapeId="1026" r:id="rId5" name="Button 2">
              <controlPr locked="0" defaultSize="0" autoFill="0" autoLine="0" autoPict="0" macro="[0]!UDSKRBRAND">
                <anchor moveWithCells="1" sizeWithCells="1">
                  <from>
                    <xdr:col>17</xdr:col>
                    <xdr:colOff>9525</xdr:colOff>
                    <xdr:row>4</xdr:row>
                    <xdr:rowOff>38100</xdr:rowOff>
                  </from>
                  <to>
                    <xdr:col>18</xdr:col>
                    <xdr:colOff>542925</xdr:colOff>
                    <xdr:row>5</xdr:row>
                    <xdr:rowOff>180975</xdr:rowOff>
                  </to>
                </anchor>
              </controlPr>
            </control>
          </mc:Choice>
        </mc:AlternateContent>
        <mc:AlternateContent xmlns:mc="http://schemas.openxmlformats.org/markup-compatibility/2006">
          <mc:Choice Requires="x14">
            <control shapeId="1027" r:id="rId6" name="Button 3">
              <controlPr locked="0" defaultSize="0" autoFill="0" autoLine="0" autoPict="0" macro="[0]!UDSKRBRAND">
                <anchor moveWithCells="1" sizeWithCells="1">
                  <from>
                    <xdr:col>2</xdr:col>
                    <xdr:colOff>28575</xdr:colOff>
                    <xdr:row>472</xdr:row>
                    <xdr:rowOff>123825</xdr:rowOff>
                  </from>
                  <to>
                    <xdr:col>5</xdr:col>
                    <xdr:colOff>200025</xdr:colOff>
                    <xdr:row>474</xdr:row>
                    <xdr:rowOff>0</xdr:rowOff>
                  </to>
                </anchor>
              </controlPr>
            </control>
          </mc:Choice>
        </mc:AlternateContent>
        <mc:AlternateContent xmlns:mc="http://schemas.openxmlformats.org/markup-compatibility/2006">
          <mc:Choice Requires="x14">
            <control shapeId="1028" r:id="rId7" name="Button 4">
              <controlPr locked="0" defaultSize="0" print="0" autoFill="0" autoLine="0" autoPict="0" macro="[0]!LÅSLASTUSTØNOP">
                <anchor moveWithCells="1" sizeWithCells="1">
                  <from>
                    <xdr:col>12</xdr:col>
                    <xdr:colOff>819150</xdr:colOff>
                    <xdr:row>90</xdr:row>
                    <xdr:rowOff>0</xdr:rowOff>
                  </from>
                  <to>
                    <xdr:col>13</xdr:col>
                    <xdr:colOff>1019175</xdr:colOff>
                    <xdr:row>91</xdr:row>
                    <xdr:rowOff>38100</xdr:rowOff>
                  </to>
                </anchor>
              </controlPr>
            </control>
          </mc:Choice>
        </mc:AlternateContent>
        <mc:AlternateContent xmlns:mc="http://schemas.openxmlformats.org/markup-compatibility/2006">
          <mc:Choice Requires="x14">
            <control shapeId="1029" r:id="rId8" name="Button 5">
              <controlPr locked="0" defaultSize="0" autoFill="0" autoLine="0" autoPict="0" macro="[0]!LÅSLASTUSTØIGEN">
                <anchor moveWithCells="1" sizeWithCells="1">
                  <from>
                    <xdr:col>13</xdr:col>
                    <xdr:colOff>1114425</xdr:colOff>
                    <xdr:row>90</xdr:row>
                    <xdr:rowOff>0</xdr:rowOff>
                  </from>
                  <to>
                    <xdr:col>14</xdr:col>
                    <xdr:colOff>752475</xdr:colOff>
                    <xdr:row>91</xdr:row>
                    <xdr:rowOff>47625</xdr:rowOff>
                  </to>
                </anchor>
              </controlPr>
            </control>
          </mc:Choice>
        </mc:AlternateContent>
        <mc:AlternateContent xmlns:mc="http://schemas.openxmlformats.org/markup-compatibility/2006">
          <mc:Choice Requires="x14">
            <control shapeId="1030" r:id="rId9" name="Button 6">
              <controlPr locked="0" defaultSize="0" print="0" autoFill="0" autoLine="0" autoPict="0" macro="[0]!LÅSOPDORNMÅL">
                <anchor moveWithCells="1" sizeWithCells="1">
                  <from>
                    <xdr:col>0</xdr:col>
                    <xdr:colOff>161925</xdr:colOff>
                    <xdr:row>106</xdr:row>
                    <xdr:rowOff>28575</xdr:rowOff>
                  </from>
                  <to>
                    <xdr:col>0</xdr:col>
                    <xdr:colOff>1076325</xdr:colOff>
                    <xdr:row>107</xdr:row>
                    <xdr:rowOff>47625</xdr:rowOff>
                  </to>
                </anchor>
              </controlPr>
            </control>
          </mc:Choice>
        </mc:AlternateContent>
        <mc:AlternateContent xmlns:mc="http://schemas.openxmlformats.org/markup-compatibility/2006">
          <mc:Choice Requires="x14">
            <control shapeId="1031" r:id="rId10" name="Button 7">
              <controlPr locked="0" defaultSize="0" autoFill="0" autoLine="0" autoPict="0" macro="[0]!SÆTLUFT30">
                <anchor moveWithCells="1" sizeWithCells="1">
                  <from>
                    <xdr:col>11</xdr:col>
                    <xdr:colOff>95250</xdr:colOff>
                    <xdr:row>106</xdr:row>
                    <xdr:rowOff>19050</xdr:rowOff>
                  </from>
                  <to>
                    <xdr:col>12</xdr:col>
                    <xdr:colOff>771525</xdr:colOff>
                    <xdr:row>107</xdr:row>
                    <xdr:rowOff>38100</xdr:rowOff>
                  </to>
                </anchor>
              </controlPr>
            </control>
          </mc:Choice>
        </mc:AlternateContent>
        <mc:AlternateContent xmlns:mc="http://schemas.openxmlformats.org/markup-compatibility/2006">
          <mc:Choice Requires="x14">
            <control shapeId="1032" r:id="rId11" name="Button 8">
              <controlPr locked="0" defaultSize="0" autoFill="0" autoLine="0" autoPict="0" macro="[0]!RUSTFRIDORN">
                <anchor moveWithCells="1" sizeWithCells="1">
                  <from>
                    <xdr:col>13</xdr:col>
                    <xdr:colOff>47625</xdr:colOff>
                    <xdr:row>115</xdr:row>
                    <xdr:rowOff>19050</xdr:rowOff>
                  </from>
                  <to>
                    <xdr:col>13</xdr:col>
                    <xdr:colOff>1076325</xdr:colOff>
                    <xdr:row>116</xdr:row>
                    <xdr:rowOff>38100</xdr:rowOff>
                  </to>
                </anchor>
              </controlPr>
            </control>
          </mc:Choice>
        </mc:AlternateContent>
        <mc:AlternateContent xmlns:mc="http://schemas.openxmlformats.org/markup-compatibility/2006">
          <mc:Choice Requires="x14">
            <control shapeId="1033" r:id="rId12" name="Button 9">
              <controlPr locked="0" defaultSize="0" print="0" autoFill="0" autoLine="0" autoPict="0" macro="[0]!LASTUSTØFORTRYD">
                <anchor moveWithCells="1" sizeWithCells="1">
                  <from>
                    <xdr:col>12</xdr:col>
                    <xdr:colOff>809625</xdr:colOff>
                    <xdr:row>91</xdr:row>
                    <xdr:rowOff>85725</xdr:rowOff>
                  </from>
                  <to>
                    <xdr:col>13</xdr:col>
                    <xdr:colOff>971550</xdr:colOff>
                    <xdr:row>92</xdr:row>
                    <xdr:rowOff>123825</xdr:rowOff>
                  </to>
                </anchor>
              </controlPr>
            </control>
          </mc:Choice>
        </mc:AlternateContent>
        <mc:AlternateContent xmlns:mc="http://schemas.openxmlformats.org/markup-compatibility/2006">
          <mc:Choice Requires="x14">
            <control shapeId="1034" r:id="rId13" name="Button 10">
              <controlPr locked="0" defaultSize="0" print="0" autoFill="0" autoLine="0" autoPict="0" macro="[0]!LÅSHEFOP">
                <anchor moveWithCells="1" sizeWithCells="1">
                  <from>
                    <xdr:col>12</xdr:col>
                    <xdr:colOff>9525</xdr:colOff>
                    <xdr:row>85</xdr:row>
                    <xdr:rowOff>38100</xdr:rowOff>
                  </from>
                  <to>
                    <xdr:col>12</xdr:col>
                    <xdr:colOff>161925</xdr:colOff>
                    <xdr:row>85</xdr:row>
                    <xdr:rowOff>152400</xdr:rowOff>
                  </to>
                </anchor>
              </controlPr>
            </control>
          </mc:Choice>
        </mc:AlternateContent>
        <mc:AlternateContent xmlns:mc="http://schemas.openxmlformats.org/markup-compatibility/2006">
          <mc:Choice Requires="x14">
            <control shapeId="1035" r:id="rId14" name="Button 11">
              <controlPr locked="0" defaultSize="0" print="0" autoFill="0" autoLine="0" autoPict="0" macro="[0]!LÅSAOP">
                <anchor moveWithCells="1" sizeWithCells="1">
                  <from>
                    <xdr:col>11</xdr:col>
                    <xdr:colOff>657225</xdr:colOff>
                    <xdr:row>86</xdr:row>
                    <xdr:rowOff>47625</xdr:rowOff>
                  </from>
                  <to>
                    <xdr:col>12</xdr:col>
                    <xdr:colOff>142875</xdr:colOff>
                    <xdr:row>87</xdr:row>
                    <xdr:rowOff>0</xdr:rowOff>
                  </to>
                </anchor>
              </controlPr>
            </control>
          </mc:Choice>
        </mc:AlternateContent>
        <mc:AlternateContent xmlns:mc="http://schemas.openxmlformats.org/markup-compatibility/2006">
          <mc:Choice Requires="x14">
            <control shapeId="1036" r:id="rId15" name="Button 12">
              <controlPr locked="0" defaultSize="0" print="0" autoFill="0" autoLine="0" autoPict="0" macro="[0]!LÅS120OP">
                <anchor moveWithCells="1" sizeWithCells="1">
                  <from>
                    <xdr:col>6</xdr:col>
                    <xdr:colOff>9525</xdr:colOff>
                    <xdr:row>89</xdr:row>
                    <xdr:rowOff>38100</xdr:rowOff>
                  </from>
                  <to>
                    <xdr:col>6</xdr:col>
                    <xdr:colOff>152400</xdr:colOff>
                    <xdr:row>89</xdr:row>
                    <xdr:rowOff>152400</xdr:rowOff>
                  </to>
                </anchor>
              </controlPr>
            </control>
          </mc:Choice>
        </mc:AlternateContent>
        <mc:AlternateContent xmlns:mc="http://schemas.openxmlformats.org/markup-compatibility/2006">
          <mc:Choice Requires="x14">
            <control shapeId="1041" r:id="rId16" name="Button 17">
              <controlPr locked="0" defaultSize="0" autoFill="0" autoLine="0" autoPict="0" macro="[0]!LÅSOPASPLADE">
                <anchor moveWithCells="1" sizeWithCells="1">
                  <from>
                    <xdr:col>22</xdr:col>
                    <xdr:colOff>495300</xdr:colOff>
                    <xdr:row>67</xdr:row>
                    <xdr:rowOff>38100</xdr:rowOff>
                  </from>
                  <to>
                    <xdr:col>22</xdr:col>
                    <xdr:colOff>609600</xdr:colOff>
                    <xdr:row>67</xdr:row>
                    <xdr:rowOff>142875</xdr:rowOff>
                  </to>
                </anchor>
              </controlPr>
            </control>
          </mc:Choice>
        </mc:AlternateContent>
        <mc:AlternateContent xmlns:mc="http://schemas.openxmlformats.org/markup-compatibility/2006">
          <mc:Choice Requires="x14">
            <control shapeId="1042" r:id="rId17" name="Button 18">
              <controlPr locked="0" defaultSize="0" autoFill="0" autoLine="0" autoPict="0" macro="[0]!LÅSOPASFKPLSTRI">
                <anchor moveWithCells="1" sizeWithCells="1">
                  <from>
                    <xdr:col>22</xdr:col>
                    <xdr:colOff>495300</xdr:colOff>
                    <xdr:row>71</xdr:row>
                    <xdr:rowOff>38100</xdr:rowOff>
                  </from>
                  <to>
                    <xdr:col>22</xdr:col>
                    <xdr:colOff>609600</xdr:colOff>
                    <xdr:row>71</xdr:row>
                    <xdr:rowOff>152400</xdr:rowOff>
                  </to>
                </anchor>
              </controlPr>
            </control>
          </mc:Choice>
        </mc:AlternateContent>
        <mc:AlternateContent xmlns:mc="http://schemas.openxmlformats.org/markup-compatibility/2006">
          <mc:Choice Requires="x14">
            <control shapeId="1043" r:id="rId18" name="Button 19">
              <controlPr locked="0" defaultSize="0" autoFill="0" autoLine="0" autoPict="0" macro="[0]!LÅSOPASUSTØTN">
                <anchor moveWithCells="1" sizeWithCells="1">
                  <from>
                    <xdr:col>23</xdr:col>
                    <xdr:colOff>485775</xdr:colOff>
                    <xdr:row>84</xdr:row>
                    <xdr:rowOff>38100</xdr:rowOff>
                  </from>
                  <to>
                    <xdr:col>23</xdr:col>
                    <xdr:colOff>600075</xdr:colOff>
                    <xdr:row>84</xdr:row>
                    <xdr:rowOff>142875</xdr:rowOff>
                  </to>
                </anchor>
              </controlPr>
            </control>
          </mc:Choice>
        </mc:AlternateContent>
        <mc:AlternateContent xmlns:mc="http://schemas.openxmlformats.org/markup-compatibility/2006">
          <mc:Choice Requires="x14">
            <control shapeId="1044" r:id="rId19" name="Button 20">
              <controlPr locked="0" defaultSize="0" autoFill="0" autoLine="0" autoPict="0" macro="[0]!LÅSOPASSTIMENDE">
                <anchor moveWithCells="1" sizeWithCells="1">
                  <from>
                    <xdr:col>23</xdr:col>
                    <xdr:colOff>495300</xdr:colOff>
                    <xdr:row>132</xdr:row>
                    <xdr:rowOff>38100</xdr:rowOff>
                  </from>
                  <to>
                    <xdr:col>23</xdr:col>
                    <xdr:colOff>609600</xdr:colOff>
                    <xdr:row>132</xdr:row>
                    <xdr:rowOff>142875</xdr:rowOff>
                  </to>
                </anchor>
              </controlPr>
            </control>
          </mc:Choice>
        </mc:AlternateContent>
        <mc:AlternateContent xmlns:mc="http://schemas.openxmlformats.org/markup-compatibility/2006">
          <mc:Choice Requires="x14">
            <control shapeId="1045" r:id="rId20" name="Button 21">
              <controlPr locked="0" defaultSize="0" autoFill="0" autoLine="0" autoPict="0" macro="[0]!LÅSOPFYKDORN">
                <anchor moveWithCells="1" sizeWithCells="1">
                  <from>
                    <xdr:col>14</xdr:col>
                    <xdr:colOff>247650</xdr:colOff>
                    <xdr:row>115</xdr:row>
                    <xdr:rowOff>47625</xdr:rowOff>
                  </from>
                  <to>
                    <xdr:col>14</xdr:col>
                    <xdr:colOff>390525</xdr:colOff>
                    <xdr:row>115</xdr:row>
                    <xdr:rowOff>171450</xdr:rowOff>
                  </to>
                </anchor>
              </controlPr>
            </control>
          </mc:Choice>
        </mc:AlternateContent>
        <mc:AlternateContent xmlns:mc="http://schemas.openxmlformats.org/markup-compatibility/2006">
          <mc:Choice Requires="x14">
            <control shapeId="1046" r:id="rId21" name="Button 22">
              <controlPr locked="0" defaultSize="0" print="0" autoFill="0" autoLine="0" autoPict="0" macro="[0]!OPTIMERFBREDDE">
                <anchor moveWithCells="1" sizeWithCells="1">
                  <from>
                    <xdr:col>13</xdr:col>
                    <xdr:colOff>47625</xdr:colOff>
                    <xdr:row>39</xdr:row>
                    <xdr:rowOff>38100</xdr:rowOff>
                  </from>
                  <to>
                    <xdr:col>14</xdr:col>
                    <xdr:colOff>828675</xdr:colOff>
                    <xdr:row>40</xdr:row>
                    <xdr:rowOff>114300</xdr:rowOff>
                  </to>
                </anchor>
              </controlPr>
            </control>
          </mc:Choice>
        </mc:AlternateContent>
        <mc:AlternateContent xmlns:mc="http://schemas.openxmlformats.org/markup-compatibility/2006">
          <mc:Choice Requires="x14">
            <control shapeId="1047" r:id="rId22" name="Button 23">
              <controlPr locked="0" defaultSize="0" print="0" autoFill="0" autoLine="0" autoPict="0" macro="[0]!OPTIMERBJLCAF">
                <anchor moveWithCells="1" sizeWithCells="1">
                  <from>
                    <xdr:col>13</xdr:col>
                    <xdr:colOff>28575</xdr:colOff>
                    <xdr:row>70</xdr:row>
                    <xdr:rowOff>0</xdr:rowOff>
                  </from>
                  <to>
                    <xdr:col>14</xdr:col>
                    <xdr:colOff>533400</xdr:colOff>
                    <xdr:row>71</xdr:row>
                    <xdr:rowOff>0</xdr:rowOff>
                  </to>
                </anchor>
              </controlPr>
            </control>
          </mc:Choice>
        </mc:AlternateContent>
        <mc:AlternateContent xmlns:mc="http://schemas.openxmlformats.org/markup-compatibility/2006">
          <mc:Choice Requires="x14">
            <control shapeId="1048" r:id="rId23" name="Button 24">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1049" r:id="rId24" name="Button 25">
              <controlPr locked="0" defaultSize="0" print="0" autoFill="0" autoLine="0" autoPict="0" macro="[0]!RETURUDSKRIFTSARKA">
                <anchor moveWithCells="1" sizeWithCells="1">
                  <from>
                    <xdr:col>11</xdr:col>
                    <xdr:colOff>342900</xdr:colOff>
                    <xdr:row>9</xdr:row>
                    <xdr:rowOff>57150</xdr:rowOff>
                  </from>
                  <to>
                    <xdr:col>13</xdr:col>
                    <xdr:colOff>0</xdr:colOff>
                    <xdr:row>11</xdr:row>
                    <xdr:rowOff>85725</xdr:rowOff>
                  </to>
                </anchor>
              </controlPr>
            </control>
          </mc:Choice>
        </mc:AlternateContent>
        <mc:AlternateContent xmlns:mc="http://schemas.openxmlformats.org/markup-compatibility/2006">
          <mc:Choice Requires="x14">
            <control shapeId="1051" r:id="rId25" name="Button 27">
              <controlPr locked="0" defaultSize="0" print="0" autoFill="0" autoLine="0" autoPict="0" macro="[0]!LÅSDNSop">
                <anchor moveWithCells="1" sizeWithCells="1">
                  <from>
                    <xdr:col>13</xdr:col>
                    <xdr:colOff>742950</xdr:colOff>
                    <xdr:row>0</xdr:row>
                    <xdr:rowOff>9525</xdr:rowOff>
                  </from>
                  <to>
                    <xdr:col>13</xdr:col>
                    <xdr:colOff>962025</xdr:colOff>
                    <xdr:row>0</xdr:row>
                    <xdr:rowOff>104775</xdr:rowOff>
                  </to>
                </anchor>
              </controlPr>
            </control>
          </mc:Choice>
        </mc:AlternateContent>
        <mc:AlternateContent xmlns:mc="http://schemas.openxmlformats.org/markup-compatibility/2006">
          <mc:Choice Requires="x14">
            <control shapeId="1052" r:id="rId26" name="Button 28">
              <controlPr locked="0" defaultSize="0" print="0" autoFill="0" autoLine="0" autoPict="0" macro="[0]!LÅSDNSigen">
                <anchor moveWithCells="1" sizeWithCells="1">
                  <from>
                    <xdr:col>14</xdr:col>
                    <xdr:colOff>28575</xdr:colOff>
                    <xdr:row>0</xdr:row>
                    <xdr:rowOff>9525</xdr:rowOff>
                  </from>
                  <to>
                    <xdr:col>14</xdr:col>
                    <xdr:colOff>247650</xdr:colOff>
                    <xdr:row>0</xdr:row>
                    <xdr:rowOff>114300</xdr:rowOff>
                  </to>
                </anchor>
              </controlPr>
            </control>
          </mc:Choice>
        </mc:AlternateContent>
        <mc:AlternateContent xmlns:mc="http://schemas.openxmlformats.org/markup-compatibility/2006">
          <mc:Choice Requires="x14">
            <control shapeId="1053" r:id="rId27" name="Button 29">
              <controlPr locked="0" defaultSize="0" autoFill="0" autoLine="0" autoPict="0" macro="[0]!GÅTILarkNS">
                <anchor moveWithCells="1" sizeWithCells="1">
                  <from>
                    <xdr:col>14</xdr:col>
                    <xdr:colOff>666750</xdr:colOff>
                    <xdr:row>0</xdr:row>
                    <xdr:rowOff>9525</xdr:rowOff>
                  </from>
                  <to>
                    <xdr:col>16</xdr:col>
                    <xdr:colOff>76200</xdr:colOff>
                    <xdr:row>1</xdr:row>
                    <xdr:rowOff>28575</xdr:rowOff>
                  </to>
                </anchor>
              </controlPr>
            </control>
          </mc:Choice>
        </mc:AlternateContent>
        <mc:AlternateContent xmlns:mc="http://schemas.openxmlformats.org/markup-compatibility/2006">
          <mc:Choice Requires="x14">
            <control shapeId="1054" r:id="rId28" name="Button 30">
              <controlPr locked="0" defaultSize="0" print="0" autoFill="0" autoLine="0" autoPict="0" macro="[0]!Genindsætformelekstradæklag">
                <anchor moveWithCells="1" sizeWithCells="1">
                  <from>
                    <xdr:col>21</xdr:col>
                    <xdr:colOff>19050</xdr:colOff>
                    <xdr:row>9</xdr:row>
                    <xdr:rowOff>190500</xdr:rowOff>
                  </from>
                  <to>
                    <xdr:col>22</xdr:col>
                    <xdr:colOff>323850</xdr:colOff>
                    <xdr:row>11</xdr:row>
                    <xdr:rowOff>104775</xdr:rowOff>
                  </to>
                </anchor>
              </controlPr>
            </control>
          </mc:Choice>
        </mc:AlternateContent>
        <mc:AlternateContent xmlns:mc="http://schemas.openxmlformats.org/markup-compatibility/2006">
          <mc:Choice Requires="x14">
            <control shapeId="1055" r:id="rId29" name="Button 31">
              <controlPr locked="0" defaultSize="0" print="0" autoFill="0" autoLine="0" autoPict="0" macro="[0]!Genindsætformelrevneviddeialt">
                <anchor moveWithCells="1" sizeWithCells="1">
                  <from>
                    <xdr:col>20</xdr:col>
                    <xdr:colOff>0</xdr:colOff>
                    <xdr:row>77</xdr:row>
                    <xdr:rowOff>142875</xdr:rowOff>
                  </from>
                  <to>
                    <xdr:col>21</xdr:col>
                    <xdr:colOff>323850</xdr:colOff>
                    <xdr:row>79</xdr:row>
                    <xdr:rowOff>57150</xdr:rowOff>
                  </to>
                </anchor>
              </controlPr>
            </control>
          </mc:Choice>
        </mc:AlternateContent>
        <mc:AlternateContent xmlns:mc="http://schemas.openxmlformats.org/markup-compatibility/2006">
          <mc:Choice Requires="x14">
            <control shapeId="1056" r:id="rId30" name="Button 32">
              <controlPr locked="0" defaultSize="0" print="0" autoFill="0" autoLine="0" autoPict="0" macro="[0]!LÅSIGENDORNMÅL">
                <anchor moveWithCells="1" sizeWithCells="1">
                  <from>
                    <xdr:col>0</xdr:col>
                    <xdr:colOff>171450</xdr:colOff>
                    <xdr:row>107</xdr:row>
                    <xdr:rowOff>161925</xdr:rowOff>
                  </from>
                  <to>
                    <xdr:col>0</xdr:col>
                    <xdr:colOff>828675</xdr:colOff>
                    <xdr:row>108</xdr:row>
                    <xdr:rowOff>161925</xdr:rowOff>
                  </to>
                </anchor>
              </controlPr>
            </control>
          </mc:Choice>
        </mc:AlternateContent>
        <mc:AlternateContent xmlns:mc="http://schemas.openxmlformats.org/markup-compatibility/2006">
          <mc:Choice Requires="x14">
            <control shapeId="1058" r:id="rId31" name="Button 34">
              <controlPr locked="0" defaultSize="0" print="0" autoFill="0" autoLine="0" autoPict="0" macro="[0]!LÅSOProbusthedsfaktor">
                <anchor moveWithCells="1" sizeWithCells="1">
                  <from>
                    <xdr:col>18</xdr:col>
                    <xdr:colOff>523875</xdr:colOff>
                    <xdr:row>7</xdr:row>
                    <xdr:rowOff>66675</xdr:rowOff>
                  </from>
                  <to>
                    <xdr:col>18</xdr:col>
                    <xdr:colOff>742950</xdr:colOff>
                    <xdr:row>7</xdr:row>
                    <xdr:rowOff>171450</xdr:rowOff>
                  </to>
                </anchor>
              </controlPr>
            </control>
          </mc:Choice>
        </mc:AlternateContent>
        <mc:AlternateContent xmlns:mc="http://schemas.openxmlformats.org/markup-compatibility/2006">
          <mc:Choice Requires="x14">
            <control shapeId="1059" r:id="rId32" name="Button 35">
              <controlPr locked="0" defaultSize="0" print="0" autoFill="0" autoLine="0" autoPict="0" macro="[0]!UdskriftHjælpestatikogReaktioner">
                <anchor moveWithCells="1" sizeWithCells="1">
                  <from>
                    <xdr:col>28</xdr:col>
                    <xdr:colOff>666750</xdr:colOff>
                    <xdr:row>0</xdr:row>
                    <xdr:rowOff>85725</xdr:rowOff>
                  </from>
                  <to>
                    <xdr:col>31</xdr:col>
                    <xdr:colOff>638175</xdr:colOff>
                    <xdr:row>2</xdr:row>
                    <xdr:rowOff>0</xdr:rowOff>
                  </to>
                </anchor>
              </controlPr>
            </control>
          </mc:Choice>
        </mc:AlternateContent>
        <mc:AlternateContent xmlns:mc="http://schemas.openxmlformats.org/markup-compatibility/2006">
          <mc:Choice Requires="x14">
            <control shapeId="1060" r:id="rId33" name="Button 36">
              <controlPr locked="0" defaultSize="0" print="0" autoFill="0" autoLine="0" autoPict="0" macro="[0]!UdskriftSnitkræfterForkantPladeStrimmel">
                <anchor moveWithCells="1" sizeWithCells="1">
                  <from>
                    <xdr:col>28</xdr:col>
                    <xdr:colOff>542925</xdr:colOff>
                    <xdr:row>2</xdr:row>
                    <xdr:rowOff>76200</xdr:rowOff>
                  </from>
                  <to>
                    <xdr:col>31</xdr:col>
                    <xdr:colOff>647700</xdr:colOff>
                    <xdr:row>3</xdr:row>
                    <xdr:rowOff>161925</xdr:rowOff>
                  </to>
                </anchor>
              </controlPr>
            </control>
          </mc:Choice>
        </mc:AlternateContent>
        <mc:AlternateContent xmlns:mc="http://schemas.openxmlformats.org/markup-compatibility/2006">
          <mc:Choice Requires="x14">
            <control shapeId="1061" r:id="rId34" name="Button 37">
              <controlPr locked="0" defaultSize="0" print="0" autoFill="0" autoLine="0" autoPict="0" macro="[0]!UdskriftPladestrimlerVedReposeEnder">
                <anchor moveWithCells="1" sizeWithCells="1">
                  <from>
                    <xdr:col>27</xdr:col>
                    <xdr:colOff>733425</xdr:colOff>
                    <xdr:row>4</xdr:row>
                    <xdr:rowOff>28575</xdr:rowOff>
                  </from>
                  <to>
                    <xdr:col>31</xdr:col>
                    <xdr:colOff>638175</xdr:colOff>
                    <xdr:row>5</xdr:row>
                    <xdr:rowOff>104775</xdr:rowOff>
                  </to>
                </anchor>
              </controlPr>
            </control>
          </mc:Choice>
        </mc:AlternateContent>
        <mc:AlternateContent xmlns:mc="http://schemas.openxmlformats.org/markup-compatibility/2006">
          <mc:Choice Requires="x14">
            <control shapeId="1062" r:id="rId35" name="Button 38">
              <controlPr locked="0" defaultSize="0" print="0" autoFill="0" autoLine="0" autoPict="0" macro="[0]!ReturUdskrifterHøjDokKlasse">
                <anchor moveWithCells="1" sizeWithCells="1">
                  <from>
                    <xdr:col>32</xdr:col>
                    <xdr:colOff>57150</xdr:colOff>
                    <xdr:row>0</xdr:row>
                    <xdr:rowOff>104775</xdr:rowOff>
                  </from>
                  <to>
                    <xdr:col>32</xdr:col>
                    <xdr:colOff>485775</xdr:colOff>
                    <xdr:row>3</xdr:row>
                    <xdr:rowOff>123825</xdr:rowOff>
                  </to>
                </anchor>
              </controlPr>
            </control>
          </mc:Choice>
        </mc:AlternateContent>
        <mc:AlternateContent xmlns:mc="http://schemas.openxmlformats.org/markup-compatibility/2006">
          <mc:Choice Requires="x14">
            <control shapeId="5" r:id="rId36" name="Button 40">
              <controlPr locked="0" defaultSize="0" print="0" autoFill="0" autoLine="0" autoPict="0" macro="[0]!OPTIMERdorntrykh5KONSOL">
                <anchor moveWithCells="1" sizeWithCells="1">
                  <from>
                    <xdr:col>11</xdr:col>
                    <xdr:colOff>28575</xdr:colOff>
                    <xdr:row>175</xdr:row>
                    <xdr:rowOff>28575</xdr:rowOff>
                  </from>
                  <to>
                    <xdr:col>12</xdr:col>
                    <xdr:colOff>257175</xdr:colOff>
                    <xdr:row>176</xdr:row>
                    <xdr:rowOff>57150</xdr:rowOff>
                  </to>
                </anchor>
              </controlPr>
            </control>
          </mc:Choice>
        </mc:AlternateContent>
        <mc:AlternateContent xmlns:mc="http://schemas.openxmlformats.org/markup-compatibility/2006">
          <mc:Choice Requires="x14">
            <control shapeId="7" r:id="rId37" name="Button 41">
              <controlPr locked="0" defaultSize="0" print="0" autoFill="0" autoLine="0" autoPict="0" macro="[0]!Gåtilandretyperfastvederlag">
                <anchor moveWithCells="1" sizeWithCells="1">
                  <from>
                    <xdr:col>13</xdr:col>
                    <xdr:colOff>28575</xdr:colOff>
                    <xdr:row>163</xdr:row>
                    <xdr:rowOff>28575</xdr:rowOff>
                  </from>
                  <to>
                    <xdr:col>14</xdr:col>
                    <xdr:colOff>381000</xdr:colOff>
                    <xdr:row>165</xdr:row>
                    <xdr:rowOff>76200</xdr:rowOff>
                  </to>
                </anchor>
              </controlPr>
            </control>
          </mc:Choice>
        </mc:AlternateContent>
        <mc:AlternateContent xmlns:mc="http://schemas.openxmlformats.org/markup-compatibility/2006">
          <mc:Choice Requires="x14">
            <control shapeId="8" r:id="rId38" name="Button 42">
              <controlPr locked="0" defaultSize="0" autoFill="0" autoLine="0" autoPict="0" macro="[0]!GåTilBrand">
                <anchor moveWithCells="1" sizeWithCells="1">
                  <from>
                    <xdr:col>15</xdr:col>
                    <xdr:colOff>390525</xdr:colOff>
                    <xdr:row>4</xdr:row>
                    <xdr:rowOff>47625</xdr:rowOff>
                  </from>
                  <to>
                    <xdr:col>16</xdr:col>
                    <xdr:colOff>647700</xdr:colOff>
                    <xdr:row>6</xdr:row>
                    <xdr:rowOff>19050</xdr:rowOff>
                  </to>
                </anchor>
              </controlPr>
            </control>
          </mc:Choice>
        </mc:AlternateContent>
        <mc:AlternateContent xmlns:mc="http://schemas.openxmlformats.org/markup-compatibility/2006">
          <mc:Choice Requires="x14">
            <control shapeId="144" r:id="rId39" name="Button 44">
              <controlPr locked="0" defaultSize="0" autoFill="0" autoLine="0" autoPict="0" macro="[0]!GÅTILBAGETILarkA">
                <anchor moveWithCells="1" sizeWithCells="1">
                  <from>
                    <xdr:col>2</xdr:col>
                    <xdr:colOff>28575</xdr:colOff>
                    <xdr:row>474</xdr:row>
                    <xdr:rowOff>161925</xdr:rowOff>
                  </from>
                  <to>
                    <xdr:col>5</xdr:col>
                    <xdr:colOff>200025</xdr:colOff>
                    <xdr:row>477</xdr:row>
                    <xdr:rowOff>0</xdr:rowOff>
                  </to>
                </anchor>
              </controlPr>
            </control>
          </mc:Choice>
        </mc:AlternateContent>
        <mc:AlternateContent xmlns:mc="http://schemas.openxmlformats.org/markup-compatibility/2006">
          <mc:Choice Requires="x14">
            <control shapeId="211" r:id="rId40" name="Button 45">
              <controlPr locked="0" defaultSize="0" print="0" autoFill="0" autoLine="0" autoPict="0" macro="[0]!LåsOpNyttelastH44">
                <anchor moveWithCells="1" sizeWithCells="1">
                  <from>
                    <xdr:col>1</xdr:col>
                    <xdr:colOff>19050</xdr:colOff>
                    <xdr:row>43</xdr:row>
                    <xdr:rowOff>19050</xdr:rowOff>
                  </from>
                  <to>
                    <xdr:col>1</xdr:col>
                    <xdr:colOff>171450</xdr:colOff>
                    <xdr:row>43</xdr:row>
                    <xdr:rowOff>171450</xdr:rowOff>
                  </to>
                </anchor>
              </controlPr>
            </control>
          </mc:Choice>
        </mc:AlternateContent>
        <mc:AlternateContent xmlns:mc="http://schemas.openxmlformats.org/markup-compatibility/2006">
          <mc:Choice Requires="x14">
            <control shapeId="226" r:id="rId41" name="Button 46">
              <controlPr locked="0" defaultSize="0" print="0" autoFill="0" autoLine="0" autoPict="0" macro="[0]!LåsOpNyttelastH52ogJ52">
                <anchor moveWithCells="1" sizeWithCells="1">
                  <from>
                    <xdr:col>1</xdr:col>
                    <xdr:colOff>19050</xdr:colOff>
                    <xdr:row>51</xdr:row>
                    <xdr:rowOff>19050</xdr:rowOff>
                  </from>
                  <to>
                    <xdr:col>1</xdr:col>
                    <xdr:colOff>171450</xdr:colOff>
                    <xdr:row>51</xdr:row>
                    <xdr:rowOff>171450</xdr:rowOff>
                  </to>
                </anchor>
              </controlPr>
            </control>
          </mc:Choice>
        </mc:AlternateContent>
        <mc:AlternateContent xmlns:mc="http://schemas.openxmlformats.org/markup-compatibility/2006">
          <mc:Choice Requires="x14">
            <control shapeId="251" r:id="rId42" name="Button 47">
              <controlPr locked="0" defaultSize="0" print="0" autoFill="0" autoLine="0" autoPict="0" macro="[0]!GenindsætFormelNyttelastH44ogLås">
                <anchor moveWithCells="1" sizeWithCells="1">
                  <from>
                    <xdr:col>13</xdr:col>
                    <xdr:colOff>304800</xdr:colOff>
                    <xdr:row>43</xdr:row>
                    <xdr:rowOff>47625</xdr:rowOff>
                  </from>
                  <to>
                    <xdr:col>14</xdr:col>
                    <xdr:colOff>828675</xdr:colOff>
                    <xdr:row>44</xdr:row>
                    <xdr:rowOff>19050</xdr:rowOff>
                  </to>
                </anchor>
              </controlPr>
            </control>
          </mc:Choice>
        </mc:AlternateContent>
        <mc:AlternateContent xmlns:mc="http://schemas.openxmlformats.org/markup-compatibility/2006">
          <mc:Choice Requires="x14">
            <control shapeId="279" r:id="rId43" name="Button 58">
              <controlPr locked="0" defaultSize="0" print="0" autoFill="0" autoLine="0" autoPict="0" macro="[0]!LåsOpF34">
                <anchor moveWithCells="1" sizeWithCells="1">
                  <from>
                    <xdr:col>6</xdr:col>
                    <xdr:colOff>38100</xdr:colOff>
                    <xdr:row>32</xdr:row>
                    <xdr:rowOff>161925</xdr:rowOff>
                  </from>
                  <to>
                    <xdr:col>6</xdr:col>
                    <xdr:colOff>666750</xdr:colOff>
                    <xdr:row>34</xdr:row>
                    <xdr:rowOff>0</xdr:rowOff>
                  </to>
                </anchor>
              </controlPr>
            </control>
          </mc:Choice>
        </mc:AlternateContent>
        <mc:AlternateContent xmlns:mc="http://schemas.openxmlformats.org/markup-compatibility/2006">
          <mc:Choice Requires="x14">
            <control shapeId="300" r:id="rId44" name="Button 59">
              <controlPr locked="0" defaultSize="0" print="0" autoFill="0" autoLine="0" autoPict="0" macro="[0]!LåsOpJ20">
                <anchor moveWithCells="1" sizeWithCells="1">
                  <from>
                    <xdr:col>7</xdr:col>
                    <xdr:colOff>428625</xdr:colOff>
                    <xdr:row>19</xdr:row>
                    <xdr:rowOff>19050</xdr:rowOff>
                  </from>
                  <to>
                    <xdr:col>7</xdr:col>
                    <xdr:colOff>600075</xdr:colOff>
                    <xdr:row>19</xdr:row>
                    <xdr:rowOff>190500</xdr:rowOff>
                  </to>
                </anchor>
              </controlPr>
            </control>
          </mc:Choice>
        </mc:AlternateContent>
        <mc:AlternateContent xmlns:mc="http://schemas.openxmlformats.org/markup-compatibility/2006">
          <mc:Choice Requires="x14">
            <control shapeId="301" r:id="rId45" name="Button 60">
              <controlPr locked="0" defaultSize="0" print="0" autoFill="0" autoLine="0" autoPict="0" macro="[0]!LåsOpJ21">
                <anchor moveWithCells="1" sizeWithCells="1">
                  <from>
                    <xdr:col>7</xdr:col>
                    <xdr:colOff>428625</xdr:colOff>
                    <xdr:row>20</xdr:row>
                    <xdr:rowOff>19050</xdr:rowOff>
                  </from>
                  <to>
                    <xdr:col>7</xdr:col>
                    <xdr:colOff>600075</xdr:colOff>
                    <xdr:row>20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pageSetUpPr fitToPage="1"/>
  </sheetPr>
  <dimension ref="A1:BO68"/>
  <sheetViews>
    <sheetView topLeftCell="A2" zoomScale="87" zoomScaleNormal="87" workbookViewId="0">
      <selection activeCell="N23" sqref="N23"/>
    </sheetView>
  </sheetViews>
  <sheetFormatPr defaultColWidth="9.77734375"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14" max="14" width="13.77734375" customWidth="1"/>
    <col min="48" max="48" width="21.77734375" customWidth="1"/>
    <col min="55" max="55" width="13.33203125" customWidth="1"/>
    <col min="56" max="56" width="13.109375" customWidth="1"/>
    <col min="60" max="60" width="22.5546875" customWidth="1"/>
    <col min="61" max="62" width="10.77734375" customWidth="1"/>
    <col min="63" max="63" width="4.5546875" customWidth="1"/>
    <col min="64" max="64" width="5" customWidth="1"/>
    <col min="65" max="65" width="22.109375" customWidth="1"/>
    <col min="66" max="67" width="10.77734375" customWidth="1"/>
    <col min="254" max="254" width="9.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270" max="270" width="13.77734375" customWidth="1"/>
    <col min="304" max="304" width="21.77734375" customWidth="1"/>
    <col min="311" max="311" width="13.33203125" customWidth="1"/>
    <col min="312" max="312" width="13.109375" customWidth="1"/>
    <col min="316" max="316" width="22.5546875" customWidth="1"/>
    <col min="317" max="318" width="10.77734375" customWidth="1"/>
    <col min="319" max="319" width="4.5546875" customWidth="1"/>
    <col min="320" max="320" width="5" customWidth="1"/>
    <col min="321" max="321" width="22.109375" customWidth="1"/>
    <col min="322" max="323" width="10.77734375" customWidth="1"/>
    <col min="510" max="510" width="9.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526" max="526" width="13.77734375" customWidth="1"/>
    <col min="560" max="560" width="21.77734375" customWidth="1"/>
    <col min="567" max="567" width="13.33203125" customWidth="1"/>
    <col min="568" max="568" width="13.109375" customWidth="1"/>
    <col min="572" max="572" width="22.5546875" customWidth="1"/>
    <col min="573" max="574" width="10.77734375" customWidth="1"/>
    <col min="575" max="575" width="4.5546875" customWidth="1"/>
    <col min="576" max="576" width="5" customWidth="1"/>
    <col min="577" max="577" width="22.109375" customWidth="1"/>
    <col min="578" max="579" width="10.77734375" customWidth="1"/>
    <col min="766" max="766" width="9.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782" max="782" width="13.77734375" customWidth="1"/>
    <col min="816" max="816" width="21.77734375" customWidth="1"/>
    <col min="823" max="823" width="13.33203125" customWidth="1"/>
    <col min="824" max="824" width="13.109375" customWidth="1"/>
    <col min="828" max="828" width="22.5546875" customWidth="1"/>
    <col min="829" max="830" width="10.77734375" customWidth="1"/>
    <col min="831" max="831" width="4.5546875" customWidth="1"/>
    <col min="832" max="832" width="5" customWidth="1"/>
    <col min="833" max="833" width="22.109375" customWidth="1"/>
    <col min="834" max="835" width="10.77734375" customWidth="1"/>
    <col min="1022" max="1022" width="9.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038" max="1038" width="13.77734375" customWidth="1"/>
    <col min="1072" max="1072" width="21.77734375" customWidth="1"/>
    <col min="1079" max="1079" width="13.33203125" customWidth="1"/>
    <col min="1080" max="1080" width="13.109375" customWidth="1"/>
    <col min="1084" max="1084" width="22.5546875" customWidth="1"/>
    <col min="1085" max="1086" width="10.77734375" customWidth="1"/>
    <col min="1087" max="1087" width="4.5546875" customWidth="1"/>
    <col min="1088" max="1088" width="5" customWidth="1"/>
    <col min="1089" max="1089" width="22.109375" customWidth="1"/>
    <col min="1090" max="1091" width="10.77734375" customWidth="1"/>
    <col min="1278" max="1278" width="9.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294" max="1294" width="13.77734375" customWidth="1"/>
    <col min="1328" max="1328" width="21.77734375" customWidth="1"/>
    <col min="1335" max="1335" width="13.33203125" customWidth="1"/>
    <col min="1336" max="1336" width="13.109375" customWidth="1"/>
    <col min="1340" max="1340" width="22.5546875" customWidth="1"/>
    <col min="1341" max="1342" width="10.77734375" customWidth="1"/>
    <col min="1343" max="1343" width="4.5546875" customWidth="1"/>
    <col min="1344" max="1344" width="5" customWidth="1"/>
    <col min="1345" max="1345" width="22.109375" customWidth="1"/>
    <col min="1346" max="1347" width="10.77734375" customWidth="1"/>
    <col min="1534" max="1534" width="9.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550" max="1550" width="13.77734375" customWidth="1"/>
    <col min="1584" max="1584" width="21.77734375" customWidth="1"/>
    <col min="1591" max="1591" width="13.33203125" customWidth="1"/>
    <col min="1592" max="1592" width="13.109375" customWidth="1"/>
    <col min="1596" max="1596" width="22.5546875" customWidth="1"/>
    <col min="1597" max="1598" width="10.77734375" customWidth="1"/>
    <col min="1599" max="1599" width="4.5546875" customWidth="1"/>
    <col min="1600" max="1600" width="5" customWidth="1"/>
    <col min="1601" max="1601" width="22.109375" customWidth="1"/>
    <col min="1602" max="1603" width="10.77734375" customWidth="1"/>
    <col min="1790" max="1790" width="9.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1806" max="1806" width="13.77734375" customWidth="1"/>
    <col min="1840" max="1840" width="21.77734375" customWidth="1"/>
    <col min="1847" max="1847" width="13.33203125" customWidth="1"/>
    <col min="1848" max="1848" width="13.109375" customWidth="1"/>
    <col min="1852" max="1852" width="22.5546875" customWidth="1"/>
    <col min="1853" max="1854" width="10.77734375" customWidth="1"/>
    <col min="1855" max="1855" width="4.5546875" customWidth="1"/>
    <col min="1856" max="1856" width="5" customWidth="1"/>
    <col min="1857" max="1857" width="22.109375" customWidth="1"/>
    <col min="1858" max="1859" width="10.77734375" customWidth="1"/>
    <col min="2046" max="2046" width="9.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062" max="2062" width="13.77734375" customWidth="1"/>
    <col min="2096" max="2096" width="21.77734375" customWidth="1"/>
    <col min="2103" max="2103" width="13.33203125" customWidth="1"/>
    <col min="2104" max="2104" width="13.109375" customWidth="1"/>
    <col min="2108" max="2108" width="22.5546875" customWidth="1"/>
    <col min="2109" max="2110" width="10.77734375" customWidth="1"/>
    <col min="2111" max="2111" width="4.5546875" customWidth="1"/>
    <col min="2112" max="2112" width="5" customWidth="1"/>
    <col min="2113" max="2113" width="22.109375" customWidth="1"/>
    <col min="2114" max="2115" width="10.77734375" customWidth="1"/>
    <col min="2302" max="2302" width="9.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318" max="2318" width="13.77734375" customWidth="1"/>
    <col min="2352" max="2352" width="21.77734375" customWidth="1"/>
    <col min="2359" max="2359" width="13.33203125" customWidth="1"/>
    <col min="2360" max="2360" width="13.109375" customWidth="1"/>
    <col min="2364" max="2364" width="22.5546875" customWidth="1"/>
    <col min="2365" max="2366" width="10.77734375" customWidth="1"/>
    <col min="2367" max="2367" width="4.5546875" customWidth="1"/>
    <col min="2368" max="2368" width="5" customWidth="1"/>
    <col min="2369" max="2369" width="22.109375" customWidth="1"/>
    <col min="2370" max="2371" width="10.77734375" customWidth="1"/>
    <col min="2558" max="2558" width="9.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574" max="2574" width="13.77734375" customWidth="1"/>
    <col min="2608" max="2608" width="21.77734375" customWidth="1"/>
    <col min="2615" max="2615" width="13.33203125" customWidth="1"/>
    <col min="2616" max="2616" width="13.109375" customWidth="1"/>
    <col min="2620" max="2620" width="22.5546875" customWidth="1"/>
    <col min="2621" max="2622" width="10.77734375" customWidth="1"/>
    <col min="2623" max="2623" width="4.5546875" customWidth="1"/>
    <col min="2624" max="2624" width="5" customWidth="1"/>
    <col min="2625" max="2625" width="22.109375" customWidth="1"/>
    <col min="2626" max="2627" width="10.77734375" customWidth="1"/>
    <col min="2814" max="2814" width="9.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2830" max="2830" width="13.77734375" customWidth="1"/>
    <col min="2864" max="2864" width="21.77734375" customWidth="1"/>
    <col min="2871" max="2871" width="13.33203125" customWidth="1"/>
    <col min="2872" max="2872" width="13.109375" customWidth="1"/>
    <col min="2876" max="2876" width="22.5546875" customWidth="1"/>
    <col min="2877" max="2878" width="10.77734375" customWidth="1"/>
    <col min="2879" max="2879" width="4.5546875" customWidth="1"/>
    <col min="2880" max="2880" width="5" customWidth="1"/>
    <col min="2881" max="2881" width="22.109375" customWidth="1"/>
    <col min="2882" max="2883" width="10.77734375" customWidth="1"/>
    <col min="3070" max="3070" width="9.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086" max="3086" width="13.77734375" customWidth="1"/>
    <col min="3120" max="3120" width="21.77734375" customWidth="1"/>
    <col min="3127" max="3127" width="13.33203125" customWidth="1"/>
    <col min="3128" max="3128" width="13.109375" customWidth="1"/>
    <col min="3132" max="3132" width="22.5546875" customWidth="1"/>
    <col min="3133" max="3134" width="10.77734375" customWidth="1"/>
    <col min="3135" max="3135" width="4.5546875" customWidth="1"/>
    <col min="3136" max="3136" width="5" customWidth="1"/>
    <col min="3137" max="3137" width="22.109375" customWidth="1"/>
    <col min="3138" max="3139" width="10.77734375" customWidth="1"/>
    <col min="3326" max="3326" width="9.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342" max="3342" width="13.77734375" customWidth="1"/>
    <col min="3376" max="3376" width="21.77734375" customWidth="1"/>
    <col min="3383" max="3383" width="13.33203125" customWidth="1"/>
    <col min="3384" max="3384" width="13.109375" customWidth="1"/>
    <col min="3388" max="3388" width="22.5546875" customWidth="1"/>
    <col min="3389" max="3390" width="10.77734375" customWidth="1"/>
    <col min="3391" max="3391" width="4.5546875" customWidth="1"/>
    <col min="3392" max="3392" width="5" customWidth="1"/>
    <col min="3393" max="3393" width="22.109375" customWidth="1"/>
    <col min="3394" max="3395" width="10.77734375" customWidth="1"/>
    <col min="3582" max="3582" width="9.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598" max="3598" width="13.77734375" customWidth="1"/>
    <col min="3632" max="3632" width="21.77734375" customWidth="1"/>
    <col min="3639" max="3639" width="13.33203125" customWidth="1"/>
    <col min="3640" max="3640" width="13.109375" customWidth="1"/>
    <col min="3644" max="3644" width="22.5546875" customWidth="1"/>
    <col min="3645" max="3646" width="10.77734375" customWidth="1"/>
    <col min="3647" max="3647" width="4.5546875" customWidth="1"/>
    <col min="3648" max="3648" width="5" customWidth="1"/>
    <col min="3649" max="3649" width="22.109375" customWidth="1"/>
    <col min="3650" max="3651" width="10.77734375" customWidth="1"/>
    <col min="3838" max="3838" width="9.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3854" max="3854" width="13.77734375" customWidth="1"/>
    <col min="3888" max="3888" width="21.77734375" customWidth="1"/>
    <col min="3895" max="3895" width="13.33203125" customWidth="1"/>
    <col min="3896" max="3896" width="13.109375" customWidth="1"/>
    <col min="3900" max="3900" width="22.5546875" customWidth="1"/>
    <col min="3901" max="3902" width="10.77734375" customWidth="1"/>
    <col min="3903" max="3903" width="4.5546875" customWidth="1"/>
    <col min="3904" max="3904" width="5" customWidth="1"/>
    <col min="3905" max="3905" width="22.109375" customWidth="1"/>
    <col min="3906" max="3907" width="10.77734375" customWidth="1"/>
    <col min="4094" max="4094" width="9.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110" max="4110" width="13.77734375" customWidth="1"/>
    <col min="4144" max="4144" width="21.77734375" customWidth="1"/>
    <col min="4151" max="4151" width="13.33203125" customWidth="1"/>
    <col min="4152" max="4152" width="13.109375" customWidth="1"/>
    <col min="4156" max="4156" width="22.5546875" customWidth="1"/>
    <col min="4157" max="4158" width="10.77734375" customWidth="1"/>
    <col min="4159" max="4159" width="4.5546875" customWidth="1"/>
    <col min="4160" max="4160" width="5" customWidth="1"/>
    <col min="4161" max="4161" width="22.109375" customWidth="1"/>
    <col min="4162" max="4163" width="10.77734375" customWidth="1"/>
    <col min="4350" max="4350" width="9.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366" max="4366" width="13.77734375" customWidth="1"/>
    <col min="4400" max="4400" width="21.77734375" customWidth="1"/>
    <col min="4407" max="4407" width="13.33203125" customWidth="1"/>
    <col min="4408" max="4408" width="13.109375" customWidth="1"/>
    <col min="4412" max="4412" width="22.5546875" customWidth="1"/>
    <col min="4413" max="4414" width="10.77734375" customWidth="1"/>
    <col min="4415" max="4415" width="4.5546875" customWidth="1"/>
    <col min="4416" max="4416" width="5" customWidth="1"/>
    <col min="4417" max="4417" width="22.109375" customWidth="1"/>
    <col min="4418" max="4419" width="10.77734375" customWidth="1"/>
    <col min="4606" max="4606" width="9.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622" max="4622" width="13.77734375" customWidth="1"/>
    <col min="4656" max="4656" width="21.77734375" customWidth="1"/>
    <col min="4663" max="4663" width="13.33203125" customWidth="1"/>
    <col min="4664" max="4664" width="13.109375" customWidth="1"/>
    <col min="4668" max="4668" width="22.5546875" customWidth="1"/>
    <col min="4669" max="4670" width="10.77734375" customWidth="1"/>
    <col min="4671" max="4671" width="4.5546875" customWidth="1"/>
    <col min="4672" max="4672" width="5" customWidth="1"/>
    <col min="4673" max="4673" width="22.109375" customWidth="1"/>
    <col min="4674" max="4675" width="10.77734375" customWidth="1"/>
    <col min="4862" max="4862" width="9.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4878" max="4878" width="13.77734375" customWidth="1"/>
    <col min="4912" max="4912" width="21.77734375" customWidth="1"/>
    <col min="4919" max="4919" width="13.33203125" customWidth="1"/>
    <col min="4920" max="4920" width="13.109375" customWidth="1"/>
    <col min="4924" max="4924" width="22.5546875" customWidth="1"/>
    <col min="4925" max="4926" width="10.77734375" customWidth="1"/>
    <col min="4927" max="4927" width="4.5546875" customWidth="1"/>
    <col min="4928" max="4928" width="5" customWidth="1"/>
    <col min="4929" max="4929" width="22.109375" customWidth="1"/>
    <col min="4930" max="4931" width="10.77734375" customWidth="1"/>
    <col min="5118" max="5118" width="9.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134" max="5134" width="13.77734375" customWidth="1"/>
    <col min="5168" max="5168" width="21.77734375" customWidth="1"/>
    <col min="5175" max="5175" width="13.33203125" customWidth="1"/>
    <col min="5176" max="5176" width="13.109375" customWidth="1"/>
    <col min="5180" max="5180" width="22.5546875" customWidth="1"/>
    <col min="5181" max="5182" width="10.77734375" customWidth="1"/>
    <col min="5183" max="5183" width="4.5546875" customWidth="1"/>
    <col min="5184" max="5184" width="5" customWidth="1"/>
    <col min="5185" max="5185" width="22.109375" customWidth="1"/>
    <col min="5186" max="5187" width="10.77734375" customWidth="1"/>
    <col min="5374" max="5374" width="9.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390" max="5390" width="13.77734375" customWidth="1"/>
    <col min="5424" max="5424" width="21.77734375" customWidth="1"/>
    <col min="5431" max="5431" width="13.33203125" customWidth="1"/>
    <col min="5432" max="5432" width="13.109375" customWidth="1"/>
    <col min="5436" max="5436" width="22.5546875" customWidth="1"/>
    <col min="5437" max="5438" width="10.77734375" customWidth="1"/>
    <col min="5439" max="5439" width="4.5546875" customWidth="1"/>
    <col min="5440" max="5440" width="5" customWidth="1"/>
    <col min="5441" max="5441" width="22.109375" customWidth="1"/>
    <col min="5442" max="5443" width="10.77734375" customWidth="1"/>
    <col min="5630" max="5630" width="9.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646" max="5646" width="13.77734375" customWidth="1"/>
    <col min="5680" max="5680" width="21.77734375" customWidth="1"/>
    <col min="5687" max="5687" width="13.33203125" customWidth="1"/>
    <col min="5688" max="5688" width="13.109375" customWidth="1"/>
    <col min="5692" max="5692" width="22.5546875" customWidth="1"/>
    <col min="5693" max="5694" width="10.77734375" customWidth="1"/>
    <col min="5695" max="5695" width="4.5546875" customWidth="1"/>
    <col min="5696" max="5696" width="5" customWidth="1"/>
    <col min="5697" max="5697" width="22.109375" customWidth="1"/>
    <col min="5698" max="5699" width="10.77734375" customWidth="1"/>
    <col min="5886" max="5886" width="9.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5902" max="5902" width="13.77734375" customWidth="1"/>
    <col min="5936" max="5936" width="21.77734375" customWidth="1"/>
    <col min="5943" max="5943" width="13.33203125" customWidth="1"/>
    <col min="5944" max="5944" width="13.109375" customWidth="1"/>
    <col min="5948" max="5948" width="22.5546875" customWidth="1"/>
    <col min="5949" max="5950" width="10.77734375" customWidth="1"/>
    <col min="5951" max="5951" width="4.5546875" customWidth="1"/>
    <col min="5952" max="5952" width="5" customWidth="1"/>
    <col min="5953" max="5953" width="22.109375" customWidth="1"/>
    <col min="5954" max="5955" width="10.77734375" customWidth="1"/>
    <col min="6142" max="6142" width="9.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158" max="6158" width="13.77734375" customWidth="1"/>
    <col min="6192" max="6192" width="21.77734375" customWidth="1"/>
    <col min="6199" max="6199" width="13.33203125" customWidth="1"/>
    <col min="6200" max="6200" width="13.109375" customWidth="1"/>
    <col min="6204" max="6204" width="22.5546875" customWidth="1"/>
    <col min="6205" max="6206" width="10.77734375" customWidth="1"/>
    <col min="6207" max="6207" width="4.5546875" customWidth="1"/>
    <col min="6208" max="6208" width="5" customWidth="1"/>
    <col min="6209" max="6209" width="22.109375" customWidth="1"/>
    <col min="6210" max="6211" width="10.77734375" customWidth="1"/>
    <col min="6398" max="6398" width="9.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414" max="6414" width="13.77734375" customWidth="1"/>
    <col min="6448" max="6448" width="21.77734375" customWidth="1"/>
    <col min="6455" max="6455" width="13.33203125" customWidth="1"/>
    <col min="6456" max="6456" width="13.109375" customWidth="1"/>
    <col min="6460" max="6460" width="22.5546875" customWidth="1"/>
    <col min="6461" max="6462" width="10.77734375" customWidth="1"/>
    <col min="6463" max="6463" width="4.5546875" customWidth="1"/>
    <col min="6464" max="6464" width="5" customWidth="1"/>
    <col min="6465" max="6465" width="22.109375" customWidth="1"/>
    <col min="6466" max="6467" width="10.77734375" customWidth="1"/>
    <col min="6654" max="6654" width="9.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670" max="6670" width="13.77734375" customWidth="1"/>
    <col min="6704" max="6704" width="21.77734375" customWidth="1"/>
    <col min="6711" max="6711" width="13.33203125" customWidth="1"/>
    <col min="6712" max="6712" width="13.109375" customWidth="1"/>
    <col min="6716" max="6716" width="22.5546875" customWidth="1"/>
    <col min="6717" max="6718" width="10.77734375" customWidth="1"/>
    <col min="6719" max="6719" width="4.5546875" customWidth="1"/>
    <col min="6720" max="6720" width="5" customWidth="1"/>
    <col min="6721" max="6721" width="22.109375" customWidth="1"/>
    <col min="6722" max="6723" width="10.77734375" customWidth="1"/>
    <col min="6910" max="6910" width="9.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6926" max="6926" width="13.77734375" customWidth="1"/>
    <col min="6960" max="6960" width="21.77734375" customWidth="1"/>
    <col min="6967" max="6967" width="13.33203125" customWidth="1"/>
    <col min="6968" max="6968" width="13.109375" customWidth="1"/>
    <col min="6972" max="6972" width="22.5546875" customWidth="1"/>
    <col min="6973" max="6974" width="10.77734375" customWidth="1"/>
    <col min="6975" max="6975" width="4.5546875" customWidth="1"/>
    <col min="6976" max="6976" width="5" customWidth="1"/>
    <col min="6977" max="6977" width="22.109375" customWidth="1"/>
    <col min="6978" max="6979" width="10.77734375" customWidth="1"/>
    <col min="7166" max="7166" width="9.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182" max="7182" width="13.77734375" customWidth="1"/>
    <col min="7216" max="7216" width="21.77734375" customWidth="1"/>
    <col min="7223" max="7223" width="13.33203125" customWidth="1"/>
    <col min="7224" max="7224" width="13.109375" customWidth="1"/>
    <col min="7228" max="7228" width="22.5546875" customWidth="1"/>
    <col min="7229" max="7230" width="10.77734375" customWidth="1"/>
    <col min="7231" max="7231" width="4.5546875" customWidth="1"/>
    <col min="7232" max="7232" width="5" customWidth="1"/>
    <col min="7233" max="7233" width="22.109375" customWidth="1"/>
    <col min="7234" max="7235" width="10.77734375" customWidth="1"/>
    <col min="7422" max="7422" width="9.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438" max="7438" width="13.77734375" customWidth="1"/>
    <col min="7472" max="7472" width="21.77734375" customWidth="1"/>
    <col min="7479" max="7479" width="13.33203125" customWidth="1"/>
    <col min="7480" max="7480" width="13.109375" customWidth="1"/>
    <col min="7484" max="7484" width="22.5546875" customWidth="1"/>
    <col min="7485" max="7486" width="10.77734375" customWidth="1"/>
    <col min="7487" max="7487" width="4.5546875" customWidth="1"/>
    <col min="7488" max="7488" width="5" customWidth="1"/>
    <col min="7489" max="7489" width="22.109375" customWidth="1"/>
    <col min="7490" max="7491" width="10.77734375" customWidth="1"/>
    <col min="7678" max="7678" width="9.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694" max="7694" width="13.77734375" customWidth="1"/>
    <col min="7728" max="7728" width="21.77734375" customWidth="1"/>
    <col min="7735" max="7735" width="13.33203125" customWidth="1"/>
    <col min="7736" max="7736" width="13.109375" customWidth="1"/>
    <col min="7740" max="7740" width="22.5546875" customWidth="1"/>
    <col min="7741" max="7742" width="10.77734375" customWidth="1"/>
    <col min="7743" max="7743" width="4.5546875" customWidth="1"/>
    <col min="7744" max="7744" width="5" customWidth="1"/>
    <col min="7745" max="7745" width="22.109375" customWidth="1"/>
    <col min="7746" max="7747" width="10.77734375" customWidth="1"/>
    <col min="7934" max="7934" width="9.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7950" max="7950" width="13.77734375" customWidth="1"/>
    <col min="7984" max="7984" width="21.77734375" customWidth="1"/>
    <col min="7991" max="7991" width="13.33203125" customWidth="1"/>
    <col min="7992" max="7992" width="13.109375" customWidth="1"/>
    <col min="7996" max="7996" width="22.5546875" customWidth="1"/>
    <col min="7997" max="7998" width="10.77734375" customWidth="1"/>
    <col min="7999" max="7999" width="4.5546875" customWidth="1"/>
    <col min="8000" max="8000" width="5" customWidth="1"/>
    <col min="8001" max="8001" width="22.109375" customWidth="1"/>
    <col min="8002" max="8003" width="10.77734375" customWidth="1"/>
    <col min="8190" max="8190" width="9.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206" max="8206" width="13.77734375" customWidth="1"/>
    <col min="8240" max="8240" width="21.77734375" customWidth="1"/>
    <col min="8247" max="8247" width="13.33203125" customWidth="1"/>
    <col min="8248" max="8248" width="13.109375" customWidth="1"/>
    <col min="8252" max="8252" width="22.5546875" customWidth="1"/>
    <col min="8253" max="8254" width="10.77734375" customWidth="1"/>
    <col min="8255" max="8255" width="4.5546875" customWidth="1"/>
    <col min="8256" max="8256" width="5" customWidth="1"/>
    <col min="8257" max="8257" width="22.109375" customWidth="1"/>
    <col min="8258" max="8259" width="10.77734375" customWidth="1"/>
    <col min="8446" max="8446" width="9.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462" max="8462" width="13.77734375" customWidth="1"/>
    <col min="8496" max="8496" width="21.77734375" customWidth="1"/>
    <col min="8503" max="8503" width="13.33203125" customWidth="1"/>
    <col min="8504" max="8504" width="13.109375" customWidth="1"/>
    <col min="8508" max="8508" width="22.5546875" customWidth="1"/>
    <col min="8509" max="8510" width="10.77734375" customWidth="1"/>
    <col min="8511" max="8511" width="4.5546875" customWidth="1"/>
    <col min="8512" max="8512" width="5" customWidth="1"/>
    <col min="8513" max="8513" width="22.109375" customWidth="1"/>
    <col min="8514" max="8515" width="10.77734375" customWidth="1"/>
    <col min="8702" max="8702" width="9.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718" max="8718" width="13.77734375" customWidth="1"/>
    <col min="8752" max="8752" width="21.77734375" customWidth="1"/>
    <col min="8759" max="8759" width="13.33203125" customWidth="1"/>
    <col min="8760" max="8760" width="13.109375" customWidth="1"/>
    <col min="8764" max="8764" width="22.5546875" customWidth="1"/>
    <col min="8765" max="8766" width="10.77734375" customWidth="1"/>
    <col min="8767" max="8767" width="4.5546875" customWidth="1"/>
    <col min="8768" max="8768" width="5" customWidth="1"/>
    <col min="8769" max="8769" width="22.109375" customWidth="1"/>
    <col min="8770" max="8771" width="10.77734375" customWidth="1"/>
    <col min="8958" max="8958" width="9.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8974" max="8974" width="13.77734375" customWidth="1"/>
    <col min="9008" max="9008" width="21.77734375" customWidth="1"/>
    <col min="9015" max="9015" width="13.33203125" customWidth="1"/>
    <col min="9016" max="9016" width="13.109375" customWidth="1"/>
    <col min="9020" max="9020" width="22.5546875" customWidth="1"/>
    <col min="9021" max="9022" width="10.77734375" customWidth="1"/>
    <col min="9023" max="9023" width="4.5546875" customWidth="1"/>
    <col min="9024" max="9024" width="5" customWidth="1"/>
    <col min="9025" max="9025" width="22.109375" customWidth="1"/>
    <col min="9026" max="9027" width="10.77734375" customWidth="1"/>
    <col min="9214" max="9214" width="9.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230" max="9230" width="13.77734375" customWidth="1"/>
    <col min="9264" max="9264" width="21.77734375" customWidth="1"/>
    <col min="9271" max="9271" width="13.33203125" customWidth="1"/>
    <col min="9272" max="9272" width="13.109375" customWidth="1"/>
    <col min="9276" max="9276" width="22.5546875" customWidth="1"/>
    <col min="9277" max="9278" width="10.77734375" customWidth="1"/>
    <col min="9279" max="9279" width="4.5546875" customWidth="1"/>
    <col min="9280" max="9280" width="5" customWidth="1"/>
    <col min="9281" max="9281" width="22.109375" customWidth="1"/>
    <col min="9282" max="9283" width="10.77734375" customWidth="1"/>
    <col min="9470" max="9470" width="9.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486" max="9486" width="13.77734375" customWidth="1"/>
    <col min="9520" max="9520" width="21.77734375" customWidth="1"/>
    <col min="9527" max="9527" width="13.33203125" customWidth="1"/>
    <col min="9528" max="9528" width="13.109375" customWidth="1"/>
    <col min="9532" max="9532" width="22.5546875" customWidth="1"/>
    <col min="9533" max="9534" width="10.77734375" customWidth="1"/>
    <col min="9535" max="9535" width="4.5546875" customWidth="1"/>
    <col min="9536" max="9536" width="5" customWidth="1"/>
    <col min="9537" max="9537" width="22.109375" customWidth="1"/>
    <col min="9538" max="9539" width="10.77734375" customWidth="1"/>
    <col min="9726" max="9726" width="9.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742" max="9742" width="13.77734375" customWidth="1"/>
    <col min="9776" max="9776" width="21.77734375" customWidth="1"/>
    <col min="9783" max="9783" width="13.33203125" customWidth="1"/>
    <col min="9784" max="9784" width="13.109375" customWidth="1"/>
    <col min="9788" max="9788" width="22.5546875" customWidth="1"/>
    <col min="9789" max="9790" width="10.77734375" customWidth="1"/>
    <col min="9791" max="9791" width="4.5546875" customWidth="1"/>
    <col min="9792" max="9792" width="5" customWidth="1"/>
    <col min="9793" max="9793" width="22.109375" customWidth="1"/>
    <col min="9794" max="9795" width="10.77734375" customWidth="1"/>
    <col min="9982" max="9982" width="9.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9998" max="9998" width="13.77734375" customWidth="1"/>
    <col min="10032" max="10032" width="21.77734375" customWidth="1"/>
    <col min="10039" max="10039" width="13.33203125" customWidth="1"/>
    <col min="10040" max="10040" width="13.109375" customWidth="1"/>
    <col min="10044" max="10044" width="22.5546875" customWidth="1"/>
    <col min="10045" max="10046" width="10.77734375" customWidth="1"/>
    <col min="10047" max="10047" width="4.5546875" customWidth="1"/>
    <col min="10048" max="10048" width="5" customWidth="1"/>
    <col min="10049" max="10049" width="22.109375" customWidth="1"/>
    <col min="10050" max="10051" width="10.77734375" customWidth="1"/>
    <col min="10238" max="10238" width="9.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254" max="10254" width="13.77734375" customWidth="1"/>
    <col min="10288" max="10288" width="21.77734375" customWidth="1"/>
    <col min="10295" max="10295" width="13.33203125" customWidth="1"/>
    <col min="10296" max="10296" width="13.109375" customWidth="1"/>
    <col min="10300" max="10300" width="22.5546875" customWidth="1"/>
    <col min="10301" max="10302" width="10.77734375" customWidth="1"/>
    <col min="10303" max="10303" width="4.5546875" customWidth="1"/>
    <col min="10304" max="10304" width="5" customWidth="1"/>
    <col min="10305" max="10305" width="22.109375" customWidth="1"/>
    <col min="10306" max="10307" width="10.77734375" customWidth="1"/>
    <col min="10494" max="10494" width="9.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510" max="10510" width="13.77734375" customWidth="1"/>
    <col min="10544" max="10544" width="21.77734375" customWidth="1"/>
    <col min="10551" max="10551" width="13.33203125" customWidth="1"/>
    <col min="10552" max="10552" width="13.109375" customWidth="1"/>
    <col min="10556" max="10556" width="22.5546875" customWidth="1"/>
    <col min="10557" max="10558" width="10.77734375" customWidth="1"/>
    <col min="10559" max="10559" width="4.5546875" customWidth="1"/>
    <col min="10560" max="10560" width="5" customWidth="1"/>
    <col min="10561" max="10561" width="22.109375" customWidth="1"/>
    <col min="10562" max="10563" width="10.77734375" customWidth="1"/>
    <col min="10750" max="10750" width="9.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0766" max="10766" width="13.77734375" customWidth="1"/>
    <col min="10800" max="10800" width="21.77734375" customWidth="1"/>
    <col min="10807" max="10807" width="13.33203125" customWidth="1"/>
    <col min="10808" max="10808" width="13.109375" customWidth="1"/>
    <col min="10812" max="10812" width="22.5546875" customWidth="1"/>
    <col min="10813" max="10814" width="10.77734375" customWidth="1"/>
    <col min="10815" max="10815" width="4.5546875" customWidth="1"/>
    <col min="10816" max="10816" width="5" customWidth="1"/>
    <col min="10817" max="10817" width="22.109375" customWidth="1"/>
    <col min="10818" max="10819" width="10.77734375" customWidth="1"/>
    <col min="11006" max="11006" width="9.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022" max="11022" width="13.77734375" customWidth="1"/>
    <col min="11056" max="11056" width="21.77734375" customWidth="1"/>
    <col min="11063" max="11063" width="13.33203125" customWidth="1"/>
    <col min="11064" max="11064" width="13.109375" customWidth="1"/>
    <col min="11068" max="11068" width="22.5546875" customWidth="1"/>
    <col min="11069" max="11070" width="10.77734375" customWidth="1"/>
    <col min="11071" max="11071" width="4.5546875" customWidth="1"/>
    <col min="11072" max="11072" width="5" customWidth="1"/>
    <col min="11073" max="11073" width="22.109375" customWidth="1"/>
    <col min="11074" max="11075" width="10.77734375" customWidth="1"/>
    <col min="11262" max="11262" width="9.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278" max="11278" width="13.77734375" customWidth="1"/>
    <col min="11312" max="11312" width="21.77734375" customWidth="1"/>
    <col min="11319" max="11319" width="13.33203125" customWidth="1"/>
    <col min="11320" max="11320" width="13.109375" customWidth="1"/>
    <col min="11324" max="11324" width="22.5546875" customWidth="1"/>
    <col min="11325" max="11326" width="10.77734375" customWidth="1"/>
    <col min="11327" max="11327" width="4.5546875" customWidth="1"/>
    <col min="11328" max="11328" width="5" customWidth="1"/>
    <col min="11329" max="11329" width="22.109375" customWidth="1"/>
    <col min="11330" max="11331" width="10.77734375" customWidth="1"/>
    <col min="11518" max="11518" width="9.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534" max="11534" width="13.77734375" customWidth="1"/>
    <col min="11568" max="11568" width="21.77734375" customWidth="1"/>
    <col min="11575" max="11575" width="13.33203125" customWidth="1"/>
    <col min="11576" max="11576" width="13.109375" customWidth="1"/>
    <col min="11580" max="11580" width="22.5546875" customWidth="1"/>
    <col min="11581" max="11582" width="10.77734375" customWidth="1"/>
    <col min="11583" max="11583" width="4.5546875" customWidth="1"/>
    <col min="11584" max="11584" width="5" customWidth="1"/>
    <col min="11585" max="11585" width="22.109375" customWidth="1"/>
    <col min="11586" max="11587" width="10.77734375" customWidth="1"/>
    <col min="11774" max="11774" width="9.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1790" max="11790" width="13.77734375" customWidth="1"/>
    <col min="11824" max="11824" width="21.77734375" customWidth="1"/>
    <col min="11831" max="11831" width="13.33203125" customWidth="1"/>
    <col min="11832" max="11832" width="13.109375" customWidth="1"/>
    <col min="11836" max="11836" width="22.5546875" customWidth="1"/>
    <col min="11837" max="11838" width="10.77734375" customWidth="1"/>
    <col min="11839" max="11839" width="4.5546875" customWidth="1"/>
    <col min="11840" max="11840" width="5" customWidth="1"/>
    <col min="11841" max="11841" width="22.109375" customWidth="1"/>
    <col min="11842" max="11843" width="10.77734375" customWidth="1"/>
    <col min="12030" max="12030" width="9.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046" max="12046" width="13.77734375" customWidth="1"/>
    <col min="12080" max="12080" width="21.77734375" customWidth="1"/>
    <col min="12087" max="12087" width="13.33203125" customWidth="1"/>
    <col min="12088" max="12088" width="13.109375" customWidth="1"/>
    <col min="12092" max="12092" width="22.5546875" customWidth="1"/>
    <col min="12093" max="12094" width="10.77734375" customWidth="1"/>
    <col min="12095" max="12095" width="4.5546875" customWidth="1"/>
    <col min="12096" max="12096" width="5" customWidth="1"/>
    <col min="12097" max="12097" width="22.109375" customWidth="1"/>
    <col min="12098" max="12099" width="10.77734375" customWidth="1"/>
    <col min="12286" max="12286" width="9.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302" max="12302" width="13.77734375" customWidth="1"/>
    <col min="12336" max="12336" width="21.77734375" customWidth="1"/>
    <col min="12343" max="12343" width="13.33203125" customWidth="1"/>
    <col min="12344" max="12344" width="13.109375" customWidth="1"/>
    <col min="12348" max="12348" width="22.5546875" customWidth="1"/>
    <col min="12349" max="12350" width="10.77734375" customWidth="1"/>
    <col min="12351" max="12351" width="4.5546875" customWidth="1"/>
    <col min="12352" max="12352" width="5" customWidth="1"/>
    <col min="12353" max="12353" width="22.109375" customWidth="1"/>
    <col min="12354" max="12355" width="10.77734375" customWidth="1"/>
    <col min="12542" max="12542" width="9.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558" max="12558" width="13.77734375" customWidth="1"/>
    <col min="12592" max="12592" width="21.77734375" customWidth="1"/>
    <col min="12599" max="12599" width="13.33203125" customWidth="1"/>
    <col min="12600" max="12600" width="13.109375" customWidth="1"/>
    <col min="12604" max="12604" width="22.5546875" customWidth="1"/>
    <col min="12605" max="12606" width="10.77734375" customWidth="1"/>
    <col min="12607" max="12607" width="4.5546875" customWidth="1"/>
    <col min="12608" max="12608" width="5" customWidth="1"/>
    <col min="12609" max="12609" width="22.109375" customWidth="1"/>
    <col min="12610" max="12611" width="10.77734375" customWidth="1"/>
    <col min="12798" max="12798" width="9.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2814" max="12814" width="13.77734375" customWidth="1"/>
    <col min="12848" max="12848" width="21.77734375" customWidth="1"/>
    <col min="12855" max="12855" width="13.33203125" customWidth="1"/>
    <col min="12856" max="12856" width="13.109375" customWidth="1"/>
    <col min="12860" max="12860" width="22.5546875" customWidth="1"/>
    <col min="12861" max="12862" width="10.77734375" customWidth="1"/>
    <col min="12863" max="12863" width="4.5546875" customWidth="1"/>
    <col min="12864" max="12864" width="5" customWidth="1"/>
    <col min="12865" max="12865" width="22.109375" customWidth="1"/>
    <col min="12866" max="12867" width="10.77734375" customWidth="1"/>
    <col min="13054" max="13054" width="9.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070" max="13070" width="13.77734375" customWidth="1"/>
    <col min="13104" max="13104" width="21.77734375" customWidth="1"/>
    <col min="13111" max="13111" width="13.33203125" customWidth="1"/>
    <col min="13112" max="13112" width="13.109375" customWidth="1"/>
    <col min="13116" max="13116" width="22.5546875" customWidth="1"/>
    <col min="13117" max="13118" width="10.77734375" customWidth="1"/>
    <col min="13119" max="13119" width="4.5546875" customWidth="1"/>
    <col min="13120" max="13120" width="5" customWidth="1"/>
    <col min="13121" max="13121" width="22.109375" customWidth="1"/>
    <col min="13122" max="13123" width="10.77734375" customWidth="1"/>
    <col min="13310" max="13310" width="9.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326" max="13326" width="13.77734375" customWidth="1"/>
    <col min="13360" max="13360" width="21.77734375" customWidth="1"/>
    <col min="13367" max="13367" width="13.33203125" customWidth="1"/>
    <col min="13368" max="13368" width="13.109375" customWidth="1"/>
    <col min="13372" max="13372" width="22.5546875" customWidth="1"/>
    <col min="13373" max="13374" width="10.77734375" customWidth="1"/>
    <col min="13375" max="13375" width="4.5546875" customWidth="1"/>
    <col min="13376" max="13376" width="5" customWidth="1"/>
    <col min="13377" max="13377" width="22.109375" customWidth="1"/>
    <col min="13378" max="13379" width="10.77734375" customWidth="1"/>
    <col min="13566" max="13566" width="9.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582" max="13582" width="13.77734375" customWidth="1"/>
    <col min="13616" max="13616" width="21.77734375" customWidth="1"/>
    <col min="13623" max="13623" width="13.33203125" customWidth="1"/>
    <col min="13624" max="13624" width="13.109375" customWidth="1"/>
    <col min="13628" max="13628" width="22.5546875" customWidth="1"/>
    <col min="13629" max="13630" width="10.77734375" customWidth="1"/>
    <col min="13631" max="13631" width="4.5546875" customWidth="1"/>
    <col min="13632" max="13632" width="5" customWidth="1"/>
    <col min="13633" max="13633" width="22.109375" customWidth="1"/>
    <col min="13634" max="13635" width="10.77734375" customWidth="1"/>
    <col min="13822" max="13822" width="9.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3838" max="13838" width="13.77734375" customWidth="1"/>
    <col min="13872" max="13872" width="21.77734375" customWidth="1"/>
    <col min="13879" max="13879" width="13.33203125" customWidth="1"/>
    <col min="13880" max="13880" width="13.109375" customWidth="1"/>
    <col min="13884" max="13884" width="22.5546875" customWidth="1"/>
    <col min="13885" max="13886" width="10.77734375" customWidth="1"/>
    <col min="13887" max="13887" width="4.5546875" customWidth="1"/>
    <col min="13888" max="13888" width="5" customWidth="1"/>
    <col min="13889" max="13889" width="22.109375" customWidth="1"/>
    <col min="13890" max="13891" width="10.77734375" customWidth="1"/>
    <col min="14078" max="14078" width="9.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094" max="14094" width="13.77734375" customWidth="1"/>
    <col min="14128" max="14128" width="21.77734375" customWidth="1"/>
    <col min="14135" max="14135" width="13.33203125" customWidth="1"/>
    <col min="14136" max="14136" width="13.109375" customWidth="1"/>
    <col min="14140" max="14140" width="22.5546875" customWidth="1"/>
    <col min="14141" max="14142" width="10.77734375" customWidth="1"/>
    <col min="14143" max="14143" width="4.5546875" customWidth="1"/>
    <col min="14144" max="14144" width="5" customWidth="1"/>
    <col min="14145" max="14145" width="22.109375" customWidth="1"/>
    <col min="14146" max="14147" width="10.77734375" customWidth="1"/>
    <col min="14334" max="14334" width="9.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350" max="14350" width="13.77734375" customWidth="1"/>
    <col min="14384" max="14384" width="21.77734375" customWidth="1"/>
    <col min="14391" max="14391" width="13.33203125" customWidth="1"/>
    <col min="14392" max="14392" width="13.109375" customWidth="1"/>
    <col min="14396" max="14396" width="22.5546875" customWidth="1"/>
    <col min="14397" max="14398" width="10.77734375" customWidth="1"/>
    <col min="14399" max="14399" width="4.5546875" customWidth="1"/>
    <col min="14400" max="14400" width="5" customWidth="1"/>
    <col min="14401" max="14401" width="22.109375" customWidth="1"/>
    <col min="14402" max="14403" width="10.77734375" customWidth="1"/>
    <col min="14590" max="14590" width="9.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606" max="14606" width="13.77734375" customWidth="1"/>
    <col min="14640" max="14640" width="21.77734375" customWidth="1"/>
    <col min="14647" max="14647" width="13.33203125" customWidth="1"/>
    <col min="14648" max="14648" width="13.109375" customWidth="1"/>
    <col min="14652" max="14652" width="22.5546875" customWidth="1"/>
    <col min="14653" max="14654" width="10.77734375" customWidth="1"/>
    <col min="14655" max="14655" width="4.5546875" customWidth="1"/>
    <col min="14656" max="14656" width="5" customWidth="1"/>
    <col min="14657" max="14657" width="22.109375" customWidth="1"/>
    <col min="14658" max="14659" width="10.77734375" customWidth="1"/>
    <col min="14846" max="14846" width="9.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4862" max="14862" width="13.77734375" customWidth="1"/>
    <col min="14896" max="14896" width="21.77734375" customWidth="1"/>
    <col min="14903" max="14903" width="13.33203125" customWidth="1"/>
    <col min="14904" max="14904" width="13.109375" customWidth="1"/>
    <col min="14908" max="14908" width="22.5546875" customWidth="1"/>
    <col min="14909" max="14910" width="10.77734375" customWidth="1"/>
    <col min="14911" max="14911" width="4.5546875" customWidth="1"/>
    <col min="14912" max="14912" width="5" customWidth="1"/>
    <col min="14913" max="14913" width="22.109375" customWidth="1"/>
    <col min="14914" max="14915" width="10.77734375" customWidth="1"/>
    <col min="15102" max="15102" width="9.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118" max="15118" width="13.77734375" customWidth="1"/>
    <col min="15152" max="15152" width="21.77734375" customWidth="1"/>
    <col min="15159" max="15159" width="13.33203125" customWidth="1"/>
    <col min="15160" max="15160" width="13.109375" customWidth="1"/>
    <col min="15164" max="15164" width="22.5546875" customWidth="1"/>
    <col min="15165" max="15166" width="10.77734375" customWidth="1"/>
    <col min="15167" max="15167" width="4.5546875" customWidth="1"/>
    <col min="15168" max="15168" width="5" customWidth="1"/>
    <col min="15169" max="15169" width="22.109375" customWidth="1"/>
    <col min="15170" max="15171" width="10.77734375" customWidth="1"/>
    <col min="15358" max="15358" width="9.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374" max="15374" width="13.77734375" customWidth="1"/>
    <col min="15408" max="15408" width="21.77734375" customWidth="1"/>
    <col min="15415" max="15415" width="13.33203125" customWidth="1"/>
    <col min="15416" max="15416" width="13.109375" customWidth="1"/>
    <col min="15420" max="15420" width="22.5546875" customWidth="1"/>
    <col min="15421" max="15422" width="10.77734375" customWidth="1"/>
    <col min="15423" max="15423" width="4.5546875" customWidth="1"/>
    <col min="15424" max="15424" width="5" customWidth="1"/>
    <col min="15425" max="15425" width="22.109375" customWidth="1"/>
    <col min="15426" max="15427" width="10.77734375" customWidth="1"/>
    <col min="15614" max="15614" width="9.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630" max="15630" width="13.77734375" customWidth="1"/>
    <col min="15664" max="15664" width="21.77734375" customWidth="1"/>
    <col min="15671" max="15671" width="13.33203125" customWidth="1"/>
    <col min="15672" max="15672" width="13.109375" customWidth="1"/>
    <col min="15676" max="15676" width="22.5546875" customWidth="1"/>
    <col min="15677" max="15678" width="10.77734375" customWidth="1"/>
    <col min="15679" max="15679" width="4.5546875" customWidth="1"/>
    <col min="15680" max="15680" width="5" customWidth="1"/>
    <col min="15681" max="15681" width="22.109375" customWidth="1"/>
    <col min="15682" max="15683" width="10.77734375" customWidth="1"/>
    <col min="15870" max="15870" width="9.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5886" max="15886" width="13.77734375" customWidth="1"/>
    <col min="15920" max="15920" width="21.77734375" customWidth="1"/>
    <col min="15927" max="15927" width="13.33203125" customWidth="1"/>
    <col min="15928" max="15928" width="13.109375" customWidth="1"/>
    <col min="15932" max="15932" width="22.5546875" customWidth="1"/>
    <col min="15933" max="15934" width="10.77734375" customWidth="1"/>
    <col min="15935" max="15935" width="4.5546875" customWidth="1"/>
    <col min="15936" max="15936" width="5" customWidth="1"/>
    <col min="15937" max="15937" width="22.109375" customWidth="1"/>
    <col min="15938" max="15939" width="10.77734375" customWidth="1"/>
    <col min="16126" max="16126" width="9.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142" max="16142" width="13.77734375" customWidth="1"/>
    <col min="16176" max="16176" width="21.77734375" customWidth="1"/>
    <col min="16183" max="16183" width="13.33203125" customWidth="1"/>
    <col min="16184" max="16184" width="13.109375" customWidth="1"/>
    <col min="16188" max="16188" width="22.5546875" customWidth="1"/>
    <col min="16189" max="16190" width="10.77734375" customWidth="1"/>
    <col min="16191" max="16191" width="4.5546875" customWidth="1"/>
    <col min="16192" max="16192" width="5" customWidth="1"/>
    <col min="16193" max="16193" width="22.109375" customWidth="1"/>
    <col min="16194" max="16195" width="10.77734375" customWidth="1"/>
    <col min="16382" max="16382" width="9.77734375" customWidth="1"/>
  </cols>
  <sheetData>
    <row r="1" spans="1:67" ht="9.9499999999999993" customHeight="1">
      <c r="A1" s="1"/>
      <c r="B1" s="2" t="s">
        <v>0</v>
      </c>
      <c r="C1" s="3"/>
      <c r="D1" s="3"/>
      <c r="E1" s="3"/>
      <c r="F1" s="3"/>
      <c r="G1" s="3"/>
      <c r="H1" s="3" t="s">
        <v>1</v>
      </c>
      <c r="I1" s="2" t="s">
        <v>2</v>
      </c>
      <c r="J1" s="3"/>
      <c r="K1" s="3"/>
      <c r="L1" s="4" t="s">
        <v>3</v>
      </c>
      <c r="M1" s="418"/>
    </row>
    <row r="2" spans="1:67">
      <c r="A2" s="8" t="str">
        <f>A!A2</f>
        <v>kriptologia</v>
      </c>
      <c r="B2" s="9" t="s">
        <v>1</v>
      </c>
      <c r="C2" s="10">
        <f>A!C2</f>
        <v>0</v>
      </c>
      <c r="D2" s="12"/>
      <c r="E2" s="12"/>
      <c r="F2" s="12"/>
      <c r="G2" s="12"/>
      <c r="H2" s="12"/>
      <c r="I2" s="9"/>
      <c r="J2" s="14" t="str">
        <f>A!J2</f>
        <v xml:space="preserve"> </v>
      </c>
      <c r="K2" s="12"/>
      <c r="L2" s="12"/>
      <c r="M2" s="21"/>
      <c r="BI2" t="s">
        <v>920</v>
      </c>
      <c r="BJ2" t="s">
        <v>921</v>
      </c>
      <c r="BN2" t="s">
        <v>920</v>
      </c>
      <c r="BO2" t="s">
        <v>921</v>
      </c>
    </row>
    <row r="3" spans="1:67" ht="9.9499999999999993" customHeight="1">
      <c r="A3" s="26"/>
      <c r="B3" s="2" t="s">
        <v>14</v>
      </c>
      <c r="C3" s="27"/>
      <c r="D3" s="3"/>
      <c r="E3" s="3"/>
      <c r="I3" s="28" t="s">
        <v>15</v>
      </c>
      <c r="L3" s="419"/>
      <c r="M3" s="29"/>
      <c r="BH3" s="30"/>
      <c r="BM3" s="30"/>
    </row>
    <row r="4" spans="1:67" ht="18">
      <c r="A4" s="20"/>
      <c r="B4" s="9"/>
      <c r="C4" s="10" t="s">
        <v>922</v>
      </c>
      <c r="D4" s="12"/>
      <c r="E4" s="12"/>
      <c r="F4" s="12"/>
      <c r="G4" s="12"/>
      <c r="H4" s="21"/>
      <c r="I4" s="9"/>
      <c r="J4" s="270">
        <f>A!J4</f>
        <v>44118.352581712963</v>
      </c>
      <c r="K4" s="12"/>
      <c r="L4" s="12"/>
      <c r="M4" s="21"/>
      <c r="BI4" s="19" t="s">
        <v>20</v>
      </c>
      <c r="BJ4" s="19" t="s">
        <v>20</v>
      </c>
      <c r="BN4" s="19" t="s">
        <v>346</v>
      </c>
      <c r="BO4" s="19" t="s">
        <v>346</v>
      </c>
    </row>
    <row r="5" spans="1:67" ht="9.9499999999999993" customHeight="1">
      <c r="A5" s="36" t="s">
        <v>23</v>
      </c>
      <c r="B5" s="26"/>
      <c r="C5" s="27"/>
      <c r="I5" s="37"/>
      <c r="K5" s="37" t="str">
        <f>A!K5</f>
        <v xml:space="preserve">                                    N:\Opslag\Statik\Dalton statikark\RepoEC_190701 </v>
      </c>
      <c r="L5" s="419"/>
      <c r="M5" s="29"/>
      <c r="BI5" s="39" t="s">
        <v>26</v>
      </c>
      <c r="BJ5" s="39" t="s">
        <v>26</v>
      </c>
      <c r="BN5" s="38" t="str">
        <f>BI5</f>
        <v>korttids</v>
      </c>
      <c r="BO5" s="38" t="str">
        <f>BJ5</f>
        <v>korttids</v>
      </c>
    </row>
    <row r="6" spans="1:67">
      <c r="A6" s="271" t="str">
        <f>A!A6</f>
        <v>Tilst</v>
      </c>
      <c r="B6" s="9"/>
      <c r="C6" s="10"/>
      <c r="D6" s="12"/>
      <c r="E6" s="12"/>
      <c r="F6" s="12"/>
      <c r="G6" s="12"/>
      <c r="H6" s="12"/>
      <c r="I6" s="41" t="s">
        <v>28</v>
      </c>
      <c r="J6" s="272">
        <f>A!J6</f>
        <v>44118.353442013889</v>
      </c>
      <c r="K6" s="12"/>
      <c r="L6" s="43"/>
      <c r="M6" s="21"/>
      <c r="AV6" t="s">
        <v>29</v>
      </c>
      <c r="BH6" s="46" t="s">
        <v>30</v>
      </c>
      <c r="BI6" s="71">
        <f>J15</f>
        <v>20</v>
      </c>
      <c r="BJ6" s="71">
        <f>BI6</f>
        <v>20</v>
      </c>
      <c r="BM6" s="46" t="s">
        <v>30</v>
      </c>
      <c r="BN6" s="51">
        <f>BI6</f>
        <v>20</v>
      </c>
      <c r="BO6" s="51">
        <f>BN6</f>
        <v>20</v>
      </c>
    </row>
    <row r="7" spans="1:67" ht="15.75">
      <c r="N7" s="68" t="str">
        <f>IF(OR(OR(N9=6,N9=8),N9=10)," ","diameter skal være 6, 8 el. 10mm")</f>
        <v xml:space="preserve"> </v>
      </c>
      <c r="AW7" t="s">
        <v>923</v>
      </c>
      <c r="AZ7" t="s">
        <v>924</v>
      </c>
      <c r="BH7" s="46" t="s">
        <v>35</v>
      </c>
      <c r="BI7" s="51">
        <f>51000*BI6/(BI6+13)</f>
        <v>30909.090909090908</v>
      </c>
      <c r="BJ7" s="51">
        <f>51000*BJ6/(BJ6+13)</f>
        <v>30909.090909090908</v>
      </c>
      <c r="BM7" s="46" t="s">
        <v>35</v>
      </c>
      <c r="BN7" s="51">
        <f>51000*BN6/(BN6+13)</f>
        <v>30909.090909090908</v>
      </c>
      <c r="BO7" s="51">
        <f>51000*BO6/(BO6+13)</f>
        <v>30909.090909090908</v>
      </c>
    </row>
    <row r="8" spans="1:67" ht="15.75">
      <c r="B8" t="s">
        <v>96</v>
      </c>
      <c r="N8" s="83" t="s">
        <v>196</v>
      </c>
      <c r="O8" s="84">
        <f>J20</f>
        <v>500</v>
      </c>
      <c r="P8" s="7" t="s">
        <v>31</v>
      </c>
      <c r="Q8" s="68" t="str">
        <f>IF(OR(OR(N9=6,N9=8),N9=10)," "," svejst net skal være 6, 8 eller 10 mm")</f>
        <v xml:space="preserve"> </v>
      </c>
      <c r="AW8" t="s">
        <v>925</v>
      </c>
      <c r="AZ8" t="s">
        <v>925</v>
      </c>
      <c r="BH8" s="46" t="s">
        <v>44</v>
      </c>
      <c r="BI8" s="51">
        <f>0.7*BI7</f>
        <v>21636.363636363636</v>
      </c>
      <c r="BJ8" s="51">
        <f>0.7*BJ7</f>
        <v>21636.363636363636</v>
      </c>
      <c r="BM8" s="46" t="s">
        <v>44</v>
      </c>
      <c r="BN8" s="51">
        <f>0.7*BN7</f>
        <v>21636.363636363636</v>
      </c>
      <c r="BO8" s="51">
        <f>0.7*BO7</f>
        <v>21636.363636363636</v>
      </c>
    </row>
    <row r="9" spans="1:67">
      <c r="B9" s="52"/>
      <c r="F9" t="s">
        <v>926</v>
      </c>
      <c r="H9" t="s">
        <v>927</v>
      </c>
      <c r="I9" t="s">
        <v>112</v>
      </c>
      <c r="J9" s="63" t="e">
        <f>A!J16</f>
        <v>#N/A</v>
      </c>
      <c r="K9" t="s">
        <v>78</v>
      </c>
      <c r="N9" s="85">
        <v>8</v>
      </c>
      <c r="O9" s="86" t="s">
        <v>208</v>
      </c>
      <c r="P9" s="87">
        <v>150</v>
      </c>
      <c r="Q9" t="s">
        <v>209</v>
      </c>
      <c r="AW9" t="s">
        <v>42</v>
      </c>
      <c r="AX9" t="s">
        <v>43</v>
      </c>
      <c r="AZ9" t="s">
        <v>42</v>
      </c>
      <c r="BA9" t="s">
        <v>43</v>
      </c>
      <c r="BH9" s="46" t="s">
        <v>55</v>
      </c>
      <c r="BI9" s="71">
        <f>A!AA306</f>
        <v>200000</v>
      </c>
      <c r="BJ9" s="71">
        <f>BI9</f>
        <v>200000</v>
      </c>
      <c r="BM9" s="46" t="s">
        <v>55</v>
      </c>
      <c r="BN9" s="51">
        <f>BI9</f>
        <v>200000</v>
      </c>
      <c r="BO9" s="51">
        <f>BI9</f>
        <v>200000</v>
      </c>
    </row>
    <row r="10" spans="1:67">
      <c r="F10" t="s">
        <v>928</v>
      </c>
      <c r="H10" t="s">
        <v>929</v>
      </c>
      <c r="I10" t="s">
        <v>112</v>
      </c>
      <c r="J10" s="63" t="e">
        <f>A!J17</f>
        <v>#N/A</v>
      </c>
      <c r="K10" t="s">
        <v>78</v>
      </c>
      <c r="N10" s="92" t="s">
        <v>930</v>
      </c>
      <c r="O10" s="35" t="e">
        <f>J10-J11-J12</f>
        <v>#N/A</v>
      </c>
      <c r="P10" s="93" t="s">
        <v>78</v>
      </c>
      <c r="Q10" t="s">
        <v>219</v>
      </c>
      <c r="AV10" t="s">
        <v>931</v>
      </c>
      <c r="AW10" s="24">
        <f>HLOOKUP(J15,AW36:BC38,2)</f>
        <v>9</v>
      </c>
      <c r="AX10" s="24">
        <f t="shared" ref="AX10:AX15" si="0">AW10</f>
        <v>9</v>
      </c>
      <c r="AY10" t="s">
        <v>66</v>
      </c>
      <c r="AZ10" s="24">
        <f>AW10</f>
        <v>9</v>
      </c>
      <c r="BA10" s="24">
        <f t="shared" ref="BA10:BA15" si="1">AZ10</f>
        <v>9</v>
      </c>
      <c r="BB10" t="s">
        <v>66</v>
      </c>
      <c r="BH10" s="46" t="s">
        <v>67</v>
      </c>
      <c r="BI10" s="51">
        <f>BI9/BI8</f>
        <v>9.2436974789915975</v>
      </c>
      <c r="BJ10" s="51">
        <f>BJ9/BJ8</f>
        <v>9.2436974789915975</v>
      </c>
      <c r="BM10" s="46" t="s">
        <v>67</v>
      </c>
      <c r="BN10" s="51">
        <f>BN9/BN8</f>
        <v>9.2436974789915975</v>
      </c>
      <c r="BO10" s="51">
        <f>BO9/BO8</f>
        <v>9.2436974789915975</v>
      </c>
    </row>
    <row r="11" spans="1:67">
      <c r="F11" t="s">
        <v>156</v>
      </c>
      <c r="I11" t="s">
        <v>112</v>
      </c>
      <c r="J11">
        <f>A!J18</f>
        <v>0</v>
      </c>
      <c r="K11" t="s">
        <v>78</v>
      </c>
      <c r="N11" s="92" t="s">
        <v>222</v>
      </c>
      <c r="O11" s="102" t="e">
        <f>TRUNC((O10-2*N15-50)/P9)</f>
        <v>#N/A</v>
      </c>
      <c r="P11" s="93" t="s">
        <v>223</v>
      </c>
      <c r="AV11" t="s">
        <v>932</v>
      </c>
      <c r="AW11" t="e">
        <f>O11</f>
        <v>#N/A</v>
      </c>
      <c r="AX11" t="e">
        <f t="shared" si="0"/>
        <v>#N/A</v>
      </c>
      <c r="AZ11" t="e">
        <f>O13</f>
        <v>#N/A</v>
      </c>
      <c r="BA11" t="e">
        <f t="shared" si="1"/>
        <v>#N/A</v>
      </c>
      <c r="BH11" s="46" t="s">
        <v>79</v>
      </c>
      <c r="BI11" s="71" t="e">
        <f>N15+A!N10</f>
        <v>#N/A</v>
      </c>
      <c r="BJ11" s="71" t="e">
        <f>N16+A!N10</f>
        <v>#N/A</v>
      </c>
      <c r="BM11" s="46" t="s">
        <v>79</v>
      </c>
      <c r="BN11" s="51" t="e">
        <f t="shared" ref="BN11:BO14" si="2">BI11</f>
        <v>#N/A</v>
      </c>
      <c r="BO11" s="51" t="e">
        <f t="shared" si="2"/>
        <v>#N/A</v>
      </c>
    </row>
    <row r="12" spans="1:67">
      <c r="F12" t="s">
        <v>933</v>
      </c>
      <c r="I12" t="s">
        <v>112</v>
      </c>
      <c r="J12">
        <f>A!J20</f>
        <v>0</v>
      </c>
      <c r="K12" t="s">
        <v>78</v>
      </c>
      <c r="N12" s="92" t="s">
        <v>934</v>
      </c>
      <c r="O12" s="35" t="e">
        <f>J9-J13</f>
        <v>#N/A</v>
      </c>
      <c r="P12" s="93" t="s">
        <v>78</v>
      </c>
      <c r="Q12" t="s">
        <v>219</v>
      </c>
      <c r="AV12" t="s">
        <v>935</v>
      </c>
      <c r="AW12">
        <f>N9</f>
        <v>8</v>
      </c>
      <c r="AX12">
        <f t="shared" si="0"/>
        <v>8</v>
      </c>
      <c r="AZ12">
        <f>AW12</f>
        <v>8</v>
      </c>
      <c r="BA12">
        <f t="shared" si="1"/>
        <v>8</v>
      </c>
      <c r="BH12" s="46" t="s">
        <v>91</v>
      </c>
      <c r="BI12" s="71" t="e">
        <f>J18</f>
        <v>#N/A</v>
      </c>
      <c r="BJ12" s="71" t="e">
        <f>J19</f>
        <v>#N/A</v>
      </c>
      <c r="BM12" s="46" t="s">
        <v>91</v>
      </c>
      <c r="BN12" s="51" t="e">
        <f t="shared" si="2"/>
        <v>#N/A</v>
      </c>
      <c r="BO12" s="51" t="e">
        <f t="shared" si="2"/>
        <v>#N/A</v>
      </c>
    </row>
    <row r="13" spans="1:67">
      <c r="F13" t="s">
        <v>936</v>
      </c>
      <c r="I13" t="s">
        <v>112</v>
      </c>
      <c r="J13" s="107">
        <f>J12</f>
        <v>0</v>
      </c>
      <c r="K13" t="s">
        <v>78</v>
      </c>
      <c r="N13" s="273" t="s">
        <v>222</v>
      </c>
      <c r="O13" s="274" t="e">
        <f>TRUNC((O12-2*N16-50)/P9)</f>
        <v>#N/A</v>
      </c>
      <c r="P13" s="275" t="s">
        <v>223</v>
      </c>
      <c r="AV13" t="s">
        <v>937</v>
      </c>
      <c r="AW13" s="51" t="e">
        <f>H18</f>
        <v>#N/A</v>
      </c>
      <c r="AX13" s="51" t="e">
        <f t="shared" si="0"/>
        <v>#N/A</v>
      </c>
      <c r="AY13" t="s">
        <v>938</v>
      </c>
      <c r="AZ13" s="51" t="e">
        <f>H19</f>
        <v>#N/A</v>
      </c>
      <c r="BA13" s="51" t="e">
        <f t="shared" si="1"/>
        <v>#N/A</v>
      </c>
      <c r="BB13" t="s">
        <v>938</v>
      </c>
      <c r="BH13" s="46" t="s">
        <v>104</v>
      </c>
      <c r="BI13" s="71" t="e">
        <f>J22</f>
        <v>#N/A</v>
      </c>
      <c r="BJ13" s="71" t="e">
        <f>J23</f>
        <v>#N/A</v>
      </c>
      <c r="BM13" s="46" t="s">
        <v>104</v>
      </c>
      <c r="BN13" s="51" t="e">
        <f t="shared" si="2"/>
        <v>#N/A</v>
      </c>
      <c r="BO13" s="51" t="e">
        <f t="shared" si="2"/>
        <v>#N/A</v>
      </c>
    </row>
    <row r="14" spans="1:67" ht="15.75">
      <c r="F14" t="s">
        <v>939</v>
      </c>
      <c r="H14" t="s">
        <v>188</v>
      </c>
      <c r="I14" t="s">
        <v>112</v>
      </c>
      <c r="J14" s="51" t="e">
        <f>A!J14</f>
        <v>#N/A</v>
      </c>
      <c r="K14" t="s">
        <v>78</v>
      </c>
      <c r="N14" s="68" t="e">
        <f>IF(OR(J18&lt;N9,J19&lt;N9),"diameter skal mindst være som svejst net"," ")</f>
        <v>#N/A</v>
      </c>
      <c r="AV14" t="s">
        <v>940</v>
      </c>
      <c r="AW14" s="51" t="e">
        <f>J18</f>
        <v>#N/A</v>
      </c>
      <c r="AX14" s="51" t="e">
        <f t="shared" si="0"/>
        <v>#N/A</v>
      </c>
      <c r="AY14" t="s">
        <v>941</v>
      </c>
      <c r="AZ14" s="51" t="e">
        <f>J19</f>
        <v>#N/A</v>
      </c>
      <c r="BA14" s="51" t="e">
        <f t="shared" si="1"/>
        <v>#N/A</v>
      </c>
      <c r="BB14" t="s">
        <v>941</v>
      </c>
      <c r="BH14" s="46" t="s">
        <v>116</v>
      </c>
      <c r="BI14" s="276" t="e">
        <f>J9*10^-3</f>
        <v>#N/A</v>
      </c>
      <c r="BJ14" s="276" t="e">
        <f>J10*10^-3</f>
        <v>#N/A</v>
      </c>
      <c r="BM14" s="46" t="s">
        <v>116</v>
      </c>
      <c r="BN14" s="49" t="e">
        <f t="shared" si="2"/>
        <v>#N/A</v>
      </c>
      <c r="BO14" s="49" t="e">
        <f t="shared" si="2"/>
        <v>#N/A</v>
      </c>
    </row>
    <row r="15" spans="1:67">
      <c r="F15" t="s">
        <v>206</v>
      </c>
      <c r="H15" s="27" t="s">
        <v>677</v>
      </c>
      <c r="I15" s="27" t="s">
        <v>112</v>
      </c>
      <c r="J15" s="63">
        <f>IF(FCK&gt;=40,25,20)</f>
        <v>20</v>
      </c>
      <c r="K15" t="s">
        <v>31</v>
      </c>
      <c r="N15" s="35" t="e">
        <f>IF(AND(J18&lt;16,A!I11="P"),15,A!Q11+A!N10)</f>
        <v>#N/A</v>
      </c>
      <c r="O15" t="s">
        <v>942</v>
      </c>
      <c r="AV15" t="s">
        <v>943</v>
      </c>
      <c r="AW15" s="51">
        <f>J21</f>
        <v>416.66666666666669</v>
      </c>
      <c r="AX15" s="51">
        <f t="shared" si="0"/>
        <v>416.66666666666669</v>
      </c>
      <c r="AY15" t="s">
        <v>944</v>
      </c>
      <c r="AZ15" s="51">
        <f>AW15</f>
        <v>416.66666666666669</v>
      </c>
      <c r="BA15" s="51">
        <f t="shared" si="1"/>
        <v>416.66666666666669</v>
      </c>
      <c r="BB15" t="s">
        <v>944</v>
      </c>
      <c r="BH15" s="46" t="s">
        <v>124</v>
      </c>
      <c r="BI15" s="49" t="e">
        <f>BI14</f>
        <v>#N/A</v>
      </c>
      <c r="BJ15" s="49" t="e">
        <f>BJ14</f>
        <v>#N/A</v>
      </c>
      <c r="BM15" s="46" t="s">
        <v>124</v>
      </c>
      <c r="BN15" s="49" t="e">
        <f>BN14</f>
        <v>#N/A</v>
      </c>
      <c r="BO15" s="49" t="e">
        <f>BO14</f>
        <v>#N/A</v>
      </c>
    </row>
    <row r="16" spans="1:67">
      <c r="H16" s="27" t="s">
        <v>607</v>
      </c>
      <c r="I16" s="27" t="s">
        <v>112</v>
      </c>
      <c r="J16" s="91">
        <f>J15/A!N17</f>
        <v>14.285714285714286</v>
      </c>
      <c r="K16" t="s">
        <v>31</v>
      </c>
      <c r="N16" s="35" t="e">
        <f>IF(AND(J19&lt;16,A!I11="P"),15,A!Q11+A!N10)</f>
        <v>#N/A</v>
      </c>
      <c r="O16" t="s">
        <v>945</v>
      </c>
      <c r="AV16" t="s">
        <v>134</v>
      </c>
      <c r="AW16" s="24" t="e">
        <f>1/8*H28*AW17*10^-3*AW20^2</f>
        <v>#N/A</v>
      </c>
      <c r="AX16" s="24" t="e">
        <f>1/8*H29*AX17*10^-3*AW20^2</f>
        <v>#N/A</v>
      </c>
      <c r="AY16" t="s">
        <v>946</v>
      </c>
      <c r="AZ16" s="24" t="e">
        <f>1/8*H28*AZ17*10^-3*AZ20^2</f>
        <v>#N/A</v>
      </c>
      <c r="BA16" s="24" t="e">
        <f>1/8*H29*BA17*10^-3*AZ20^2</f>
        <v>#N/A</v>
      </c>
      <c r="BB16" t="s">
        <v>946</v>
      </c>
      <c r="BH16" s="46" t="s">
        <v>134</v>
      </c>
      <c r="BI16" s="77" t="e">
        <f>1/8*H28*BI17*10^-3*BI14^2</f>
        <v>#N/A</v>
      </c>
      <c r="BJ16" s="77" t="e">
        <f>1/8*H28*BJ17*10^-3*BJ14^2</f>
        <v>#N/A</v>
      </c>
      <c r="BM16" s="46" t="s">
        <v>134</v>
      </c>
      <c r="BN16" s="24" t="e">
        <f>1/8*H29*BN17*10^-3*BN14^2</f>
        <v>#N/A</v>
      </c>
      <c r="BO16" s="24" t="e">
        <f>1/8*H29*BO17*10^-3*BO14^2</f>
        <v>#N/A</v>
      </c>
    </row>
    <row r="17" spans="2:67">
      <c r="F17" t="s">
        <v>641</v>
      </c>
      <c r="H17" s="102" t="str">
        <f>IF(N9=0," ",IF(N9=6,"     6 mm pr",IF(N9=8,"     8 mm pr",IF(N9=10,"    10 mm pr","Fejl"))))</f>
        <v xml:space="preserve">     8 mm pr</v>
      </c>
      <c r="I17" s="27"/>
      <c r="J17" s="102">
        <f>IF(N9=0," ",+P9)</f>
        <v>150</v>
      </c>
      <c r="K17" t="str">
        <f>IF(N9=0," ","svejst net")</f>
        <v>svejst net</v>
      </c>
      <c r="O17">
        <f>CODE(I18)</f>
        <v>75</v>
      </c>
      <c r="P17" s="51">
        <f>HLOOKUP(O17,A!AA310:AZ320,6)</f>
        <v>500</v>
      </c>
      <c r="Q17" t="s">
        <v>239</v>
      </c>
      <c r="AV17" t="s">
        <v>947</v>
      </c>
      <c r="AW17" s="51" t="e">
        <f>J10-J11-J12</f>
        <v>#N/A</v>
      </c>
      <c r="AX17" s="51" t="e">
        <f>AW17</f>
        <v>#N/A</v>
      </c>
      <c r="AY17" t="s">
        <v>948</v>
      </c>
      <c r="AZ17" s="51" t="e">
        <f>J9-J13</f>
        <v>#N/A</v>
      </c>
      <c r="BA17" s="51" t="e">
        <f>AZ17</f>
        <v>#N/A</v>
      </c>
      <c r="BB17" t="s">
        <v>948</v>
      </c>
      <c r="BH17" s="46" t="s">
        <v>109</v>
      </c>
      <c r="BI17" s="71" t="e">
        <f>J10-J11-J12</f>
        <v>#N/A</v>
      </c>
      <c r="BJ17" s="71" t="e">
        <f>J9-J13</f>
        <v>#N/A</v>
      </c>
      <c r="BM17" s="46" t="s">
        <v>109</v>
      </c>
      <c r="BN17" s="51" t="e">
        <f t="shared" ref="BN17:BO19" si="3">BI17</f>
        <v>#N/A</v>
      </c>
      <c r="BO17" s="51" t="e">
        <f t="shared" si="3"/>
        <v>#N/A</v>
      </c>
    </row>
    <row r="18" spans="2:67">
      <c r="F18" s="55" t="str">
        <f>IF(N9=0,"          på langs ","          suppleret med på langs")</f>
        <v xml:space="preserve">          suppleret med på langs</v>
      </c>
      <c r="H18" s="106" t="e">
        <f>NA()</f>
        <v>#N/A</v>
      </c>
      <c r="I18" s="27" t="str">
        <f>A!I26</f>
        <v>K</v>
      </c>
      <c r="J18" s="63" t="e">
        <f>NA()</f>
        <v>#N/A</v>
      </c>
      <c r="K18" t="s">
        <v>238</v>
      </c>
      <c r="N18" s="46" t="s">
        <v>920</v>
      </c>
      <c r="O18" s="67" t="e">
        <f>IF(P18&lt;O19,0,IF(P18&lt;Q19,+P18,0.5*P18*P20*(-1+SQRT(1+4*A!AA302/(P18*P20)))))</f>
        <v>#N/A</v>
      </c>
      <c r="P18" s="67" t="e">
        <f>J22*J21/((J10-J11-J12)*J24*J16)</f>
        <v>#N/A</v>
      </c>
      <c r="Q18" t="s">
        <v>273</v>
      </c>
      <c r="AV18" t="s">
        <v>949</v>
      </c>
      <c r="AW18" s="51" t="e">
        <f>J24</f>
        <v>#N/A</v>
      </c>
      <c r="AX18" s="51" t="e">
        <f>AW18</f>
        <v>#N/A</v>
      </c>
      <c r="AY18" t="s">
        <v>941</v>
      </c>
      <c r="AZ18" s="51" t="e">
        <f>J25</f>
        <v>#N/A</v>
      </c>
      <c r="BA18" s="51" t="e">
        <f>AZ18</f>
        <v>#N/A</v>
      </c>
      <c r="BB18" t="s">
        <v>941</v>
      </c>
      <c r="BH18" s="46" t="s">
        <v>163</v>
      </c>
      <c r="BI18" s="71" t="e">
        <f>J24+A!N10</f>
        <v>#N/A</v>
      </c>
      <c r="BJ18" s="71" t="e">
        <f>J25+A!N10</f>
        <v>#N/A</v>
      </c>
      <c r="BM18" s="46" t="s">
        <v>163</v>
      </c>
      <c r="BN18" s="51" t="e">
        <f t="shared" si="3"/>
        <v>#N/A</v>
      </c>
      <c r="BO18" s="51" t="e">
        <f t="shared" si="3"/>
        <v>#N/A</v>
      </c>
    </row>
    <row r="19" spans="2:67">
      <c r="C19" s="46"/>
      <c r="F19" s="55" t="str">
        <f>IF(N9=0,"          på tværs ","          suppleret med på tværs")</f>
        <v xml:space="preserve">          suppleret med på tværs</v>
      </c>
      <c r="H19" s="106" t="e">
        <f>NA()</f>
        <v>#N/A</v>
      </c>
      <c r="I19" s="27" t="str">
        <f>I18</f>
        <v>K</v>
      </c>
      <c r="J19" s="63" t="e">
        <f>NA()</f>
        <v>#N/A</v>
      </c>
      <c r="K19" t="s">
        <v>238</v>
      </c>
      <c r="N19" s="46"/>
      <c r="O19" s="67">
        <f>MAXA(U19:U20)</f>
        <v>2.9286511333037436E-2</v>
      </c>
      <c r="P19" s="67">
        <f>HLOOKUP(O17,A!AA310:AZ320,5)</f>
        <v>4.9882794186591653E-2</v>
      </c>
      <c r="Q19" s="67">
        <f>HLOOKUP(O17,A!$AA$310:$AZ$320,8)</f>
        <v>0.5014925373134328</v>
      </c>
      <c r="R19" t="s">
        <v>255</v>
      </c>
      <c r="U19" s="215">
        <f>A!T29</f>
        <v>2.9286511333037436E-2</v>
      </c>
      <c r="AV19" t="s">
        <v>950</v>
      </c>
      <c r="AW19" s="51" t="e">
        <f>J14</f>
        <v>#N/A</v>
      </c>
      <c r="AX19" s="51" t="e">
        <f>AW19</f>
        <v>#N/A</v>
      </c>
      <c r="AY19" t="s">
        <v>941</v>
      </c>
      <c r="AZ19" s="51" t="e">
        <f>AW19</f>
        <v>#N/A</v>
      </c>
      <c r="BA19" s="51" t="e">
        <f>AZ19</f>
        <v>#N/A</v>
      </c>
      <c r="BB19" t="s">
        <v>941</v>
      </c>
      <c r="BH19" s="46" t="s">
        <v>178</v>
      </c>
      <c r="BI19" s="71" t="e">
        <f>J14</f>
        <v>#N/A</v>
      </c>
      <c r="BJ19" s="71" t="e">
        <f>BI19</f>
        <v>#N/A</v>
      </c>
      <c r="BM19" s="46" t="s">
        <v>178</v>
      </c>
      <c r="BN19" s="51" t="e">
        <f t="shared" si="3"/>
        <v>#N/A</v>
      </c>
      <c r="BO19" s="51" t="e">
        <f t="shared" si="3"/>
        <v>#N/A</v>
      </c>
    </row>
    <row r="20" spans="2:67">
      <c r="H20" t="s">
        <v>645</v>
      </c>
      <c r="I20" t="s">
        <v>112</v>
      </c>
      <c r="J20" s="51">
        <f>P17</f>
        <v>500</v>
      </c>
      <c r="K20" t="s">
        <v>31</v>
      </c>
      <c r="N20" s="46"/>
      <c r="O20" s="67"/>
      <c r="P20" s="67">
        <f>HLOOKUP(O17,A!AA310:AZ320,9)</f>
        <v>1.6799999999999997</v>
      </c>
      <c r="Q20" t="s">
        <v>260</v>
      </c>
      <c r="U20" s="215">
        <f>A!T30</f>
        <v>2.5277777777777774E-2</v>
      </c>
      <c r="AV20" t="s">
        <v>951</v>
      </c>
      <c r="AW20" s="49" t="e">
        <f>J9*10^-3</f>
        <v>#N/A</v>
      </c>
      <c r="AX20" s="49" t="e">
        <f>AW20</f>
        <v>#N/A</v>
      </c>
      <c r="AY20" t="s">
        <v>952</v>
      </c>
      <c r="AZ20" s="49" t="e">
        <f>J10*10^-3</f>
        <v>#N/A</v>
      </c>
      <c r="BA20" s="49" t="e">
        <f>AZ20</f>
        <v>#N/A</v>
      </c>
      <c r="BB20" t="s">
        <v>952</v>
      </c>
      <c r="BH20" s="46" t="s">
        <v>189</v>
      </c>
      <c r="BI20" s="82" t="e">
        <f>BI10*BI13/(BI17*BI18)</f>
        <v>#N/A</v>
      </c>
      <c r="BJ20" s="82" t="e">
        <f>BJ10*BJ13/(BJ17*BJ18)</f>
        <v>#N/A</v>
      </c>
      <c r="BM20" s="46" t="s">
        <v>189</v>
      </c>
      <c r="BN20" s="82" t="e">
        <f>BN10*BN13/(BN17*BN18)</f>
        <v>#N/A</v>
      </c>
      <c r="BO20" s="82" t="e">
        <f>BO10*BO13/(BO17*BO18)</f>
        <v>#N/A</v>
      </c>
    </row>
    <row r="21" spans="2:67">
      <c r="H21" t="s">
        <v>953</v>
      </c>
      <c r="I21" t="s">
        <v>112</v>
      </c>
      <c r="J21" s="51">
        <f>P17/A!N19</f>
        <v>416.66666666666669</v>
      </c>
      <c r="K21" t="s">
        <v>31</v>
      </c>
      <c r="M21" s="25">
        <f>1.4*1.1*0.95</f>
        <v>1.4629999999999999</v>
      </c>
      <c r="N21" s="46" t="s">
        <v>921</v>
      </c>
      <c r="O21" s="67" t="e">
        <f>IF(P21&lt;O22,0,IF(P21&lt;Q22,+P21,0.5*P21*P23*(-1+SQRT(1+4*A!AA302/(P21*P23)))))</f>
        <v>#N/A</v>
      </c>
      <c r="P21" s="67" t="e">
        <f>J23*J21/((J9-J13)*J25*J16)</f>
        <v>#N/A</v>
      </c>
      <c r="Q21" t="s">
        <v>273</v>
      </c>
      <c r="AV21" t="s">
        <v>954</v>
      </c>
      <c r="AW21" s="51" t="e">
        <f>J22</f>
        <v>#N/A</v>
      </c>
      <c r="AX21" s="51" t="e">
        <f>AW21</f>
        <v>#N/A</v>
      </c>
      <c r="AY21" t="s">
        <v>941</v>
      </c>
      <c r="AZ21" s="51" t="e">
        <f>J23</f>
        <v>#N/A</v>
      </c>
      <c r="BA21" s="51" t="e">
        <f>AZ21</f>
        <v>#N/A</v>
      </c>
      <c r="BB21" t="s">
        <v>941</v>
      </c>
      <c r="BH21" s="46" t="s">
        <v>202</v>
      </c>
      <c r="BI21" s="82" t="e">
        <f>BI20*(-1+SQRT(1+2/BI20))</f>
        <v>#N/A</v>
      </c>
      <c r="BJ21" s="82" t="e">
        <f>BJ20*(-1+SQRT(1+2/BJ20))</f>
        <v>#N/A</v>
      </c>
      <c r="BM21" s="46" t="s">
        <v>202</v>
      </c>
      <c r="BN21" s="82" t="e">
        <f>BN20*(-1+SQRT(1+2/BN20))</f>
        <v>#N/A</v>
      </c>
      <c r="BO21" s="82" t="e">
        <f>BO20*(-1+SQRT(1+2/BO20))</f>
        <v>#N/A</v>
      </c>
    </row>
    <row r="22" spans="2:67">
      <c r="H22" t="s">
        <v>955</v>
      </c>
      <c r="I22" t="s">
        <v>112</v>
      </c>
      <c r="J22" s="51" t="e">
        <f>N9^2/4*PI()*O11+J18^2/4*PI()*H18</f>
        <v>#N/A</v>
      </c>
      <c r="K22" t="s">
        <v>956</v>
      </c>
      <c r="O22" s="67">
        <f>MAXA(U22:U23)</f>
        <v>2.9286511333037436E-2</v>
      </c>
      <c r="P22" s="67">
        <f>HLOOKUP(O17,A!AA310:AZ320,5)</f>
        <v>4.9882794186591653E-2</v>
      </c>
      <c r="Q22" s="67">
        <f>HLOOKUP(O17,A!$AA$310:$AZ$320,8)</f>
        <v>0.5014925373134328</v>
      </c>
      <c r="R22" t="s">
        <v>255</v>
      </c>
      <c r="U22" s="215">
        <f>U19</f>
        <v>2.9286511333037436E-2</v>
      </c>
      <c r="AJ22" s="24"/>
      <c r="AK22" s="24"/>
      <c r="AV22" t="s">
        <v>189</v>
      </c>
      <c r="AW22" s="82" t="e">
        <f>AW10*AW21/(AW17*AW18)</f>
        <v>#N/A</v>
      </c>
      <c r="AX22" s="82" t="e">
        <f>AX10*AX21/(AX17*AX18)</f>
        <v>#N/A</v>
      </c>
      <c r="AZ22" s="82" t="e">
        <f>AZ10*AZ21/(AZ17*AZ18)</f>
        <v>#N/A</v>
      </c>
      <c r="BA22" s="82" t="e">
        <f>BA10*BA21/(BA17*BA18)</f>
        <v>#N/A</v>
      </c>
      <c r="BH22" s="46" t="s">
        <v>211</v>
      </c>
      <c r="BI22" s="82" t="e">
        <f>1-BI21/3</f>
        <v>#N/A</v>
      </c>
      <c r="BJ22" s="82" t="e">
        <f>1-BJ21/3</f>
        <v>#N/A</v>
      </c>
      <c r="BM22" s="46" t="s">
        <v>211</v>
      </c>
      <c r="BN22" s="82" t="e">
        <f>1-BN21/3</f>
        <v>#N/A</v>
      </c>
      <c r="BO22" s="82" t="e">
        <f>1-BO21/3</f>
        <v>#N/A</v>
      </c>
    </row>
    <row r="23" spans="2:67">
      <c r="H23" t="s">
        <v>957</v>
      </c>
      <c r="I23" t="s">
        <v>112</v>
      </c>
      <c r="J23" s="51" t="e">
        <f>N9^2/4*PI()*O13+J19^2/4*PI()*H19</f>
        <v>#N/A</v>
      </c>
      <c r="K23" t="s">
        <v>956</v>
      </c>
      <c r="O23" s="67"/>
      <c r="P23" s="67">
        <f>HLOOKUP(O17,A!AA310:AZ320,9)</f>
        <v>1.6799999999999997</v>
      </c>
      <c r="Q23" t="s">
        <v>260</v>
      </c>
      <c r="U23" s="215">
        <f>U20</f>
        <v>2.5277777777777774E-2</v>
      </c>
      <c r="AJ23" s="24"/>
      <c r="AK23" s="24"/>
      <c r="AV23" t="s">
        <v>202</v>
      </c>
      <c r="AW23" s="82" t="e">
        <f>AW22*(-1+SQRT(1+2/AW22))</f>
        <v>#N/A</v>
      </c>
      <c r="AX23" s="82" t="e">
        <f>AX22*(-1+SQRT(1+2/AX22))</f>
        <v>#N/A</v>
      </c>
      <c r="AZ23" s="82" t="e">
        <f>AZ22*(-1+SQRT(1+2/AZ22))</f>
        <v>#N/A</v>
      </c>
      <c r="BA23" s="82" t="e">
        <f>BA22*(-1+SQRT(1+2/BA22))</f>
        <v>#N/A</v>
      </c>
      <c r="BH23" s="46" t="s">
        <v>220</v>
      </c>
      <c r="BI23" s="82" t="e">
        <f>BI21/2*(1-BI21/3)</f>
        <v>#N/A</v>
      </c>
      <c r="BJ23" s="82" t="e">
        <f>BJ21/2*(1-BJ21/3)</f>
        <v>#N/A</v>
      </c>
      <c r="BM23" s="46" t="s">
        <v>220</v>
      </c>
      <c r="BN23" s="82" t="e">
        <f>BN21/2*(1-BN21/3)</f>
        <v>#N/A</v>
      </c>
      <c r="BO23" s="82" t="e">
        <f>BO21/2*(1-BO21/3)</f>
        <v>#N/A</v>
      </c>
    </row>
    <row r="24" spans="2:67">
      <c r="F24" t="s">
        <v>958</v>
      </c>
      <c r="H24" t="s">
        <v>959</v>
      </c>
      <c r="I24" t="s">
        <v>112</v>
      </c>
      <c r="J24" s="51" t="e">
        <f>J14-N15-J18/2-A!N10</f>
        <v>#N/A</v>
      </c>
      <c r="K24" t="s">
        <v>78</v>
      </c>
      <c r="AJ24" s="24"/>
      <c r="AK24" s="24"/>
      <c r="AV24" t="s">
        <v>211</v>
      </c>
      <c r="AW24" s="82" t="e">
        <f>1-AW23/3</f>
        <v>#N/A</v>
      </c>
      <c r="AX24" s="82" t="e">
        <f>1-AX23/3</f>
        <v>#N/A</v>
      </c>
      <c r="AZ24" s="82" t="e">
        <f>1-AZ23/3</f>
        <v>#N/A</v>
      </c>
      <c r="BA24" s="82" t="e">
        <f>1-BA23/3</f>
        <v>#N/A</v>
      </c>
      <c r="BH24" s="46" t="s">
        <v>230</v>
      </c>
      <c r="BI24" s="49" t="e">
        <f>BI21/(2*BI20)</f>
        <v>#N/A</v>
      </c>
      <c r="BJ24" s="49" t="e">
        <f>BJ21/(2*BJ20)</f>
        <v>#N/A</v>
      </c>
      <c r="BM24" s="46" t="s">
        <v>230</v>
      </c>
      <c r="BN24" s="49" t="e">
        <f>BN21/(2*BN20)</f>
        <v>#N/A</v>
      </c>
      <c r="BO24" s="49" t="e">
        <f>BO21/(2*BO20)</f>
        <v>#N/A</v>
      </c>
    </row>
    <row r="25" spans="2:67">
      <c r="F25" t="s">
        <v>960</v>
      </c>
      <c r="H25" t="s">
        <v>961</v>
      </c>
      <c r="I25" t="s">
        <v>112</v>
      </c>
      <c r="J25" t="e">
        <f>J14-N16-J19/2-A!N10</f>
        <v>#N/A</v>
      </c>
      <c r="K25" t="s">
        <v>78</v>
      </c>
      <c r="O25" s="81"/>
      <c r="AJ25" s="51"/>
      <c r="AK25" s="51"/>
      <c r="AV25" t="s">
        <v>220</v>
      </c>
      <c r="AW25" s="82" t="e">
        <f>AW23/2*(1-AW23/3)</f>
        <v>#N/A</v>
      </c>
      <c r="AX25" s="82" t="e">
        <f>AX23/2*(1-AX23/3)</f>
        <v>#N/A</v>
      </c>
      <c r="AZ25" s="82" t="e">
        <f>AZ23/2*(1-AZ23/3)</f>
        <v>#N/A</v>
      </c>
      <c r="BA25" s="82" t="e">
        <f>BA23/2*(1-BA23/3)</f>
        <v>#N/A</v>
      </c>
      <c r="BH25" s="46" t="s">
        <v>237</v>
      </c>
      <c r="BI25" s="24" t="e">
        <f>BI16*10^6/(BI23*BI17*BI18^2)</f>
        <v>#N/A</v>
      </c>
      <c r="BJ25" s="24" t="e">
        <f>BJ16*10^6/(BJ23*BJ17*BJ18^2)</f>
        <v>#N/A</v>
      </c>
      <c r="BM25" s="46" t="s">
        <v>237</v>
      </c>
      <c r="BN25" s="24" t="e">
        <f>BN16*10^6/(BN23*BN17*BN18^2)</f>
        <v>#N/A</v>
      </c>
      <c r="BO25" s="24" t="e">
        <f>BO16*10^6/(BO23*BO17*BO18^2)</f>
        <v>#N/A</v>
      </c>
    </row>
    <row r="26" spans="2:67">
      <c r="B26" t="s">
        <v>306</v>
      </c>
      <c r="N26" s="81"/>
      <c r="O26" s="81"/>
      <c r="AJ26" s="49"/>
      <c r="AK26" s="49"/>
      <c r="AV26" t="s">
        <v>230</v>
      </c>
      <c r="AW26" s="49" t="e">
        <f>AW23/(2*AW22)</f>
        <v>#N/A</v>
      </c>
      <c r="AX26" s="49" t="e">
        <f>AX23/(2*AX22)</f>
        <v>#N/A</v>
      </c>
      <c r="AZ26" s="49" t="e">
        <f>AZ23/(2*AZ22)</f>
        <v>#N/A</v>
      </c>
      <c r="BA26" s="49" t="e">
        <f>BA23/(2*BA22)</f>
        <v>#N/A</v>
      </c>
      <c r="BH26" s="46" t="s">
        <v>242</v>
      </c>
      <c r="BI26" s="51" t="e">
        <f>BI10*BI24*BI25</f>
        <v>#N/A</v>
      </c>
      <c r="BJ26" s="51" t="e">
        <f>BJ10*BJ24*BJ25</f>
        <v>#N/A</v>
      </c>
      <c r="BM26" s="46" t="s">
        <v>242</v>
      </c>
      <c r="BN26" s="51" t="e">
        <f>BN10*BN24*BN25</f>
        <v>#N/A</v>
      </c>
      <c r="BO26" s="51" t="e">
        <f>BO10*BO24*BO25</f>
        <v>#N/A</v>
      </c>
    </row>
    <row r="27" spans="2:67">
      <c r="B27" t="s">
        <v>308</v>
      </c>
      <c r="H27" s="46" t="s">
        <v>309</v>
      </c>
      <c r="J27" s="19" t="s">
        <v>962</v>
      </c>
      <c r="L27" s="46" t="s">
        <v>310</v>
      </c>
      <c r="N27" s="81"/>
      <c r="O27" s="81"/>
      <c r="AJ27" s="51"/>
      <c r="AK27" s="51"/>
      <c r="AV27" t="s">
        <v>237</v>
      </c>
      <c r="AW27" s="24" t="e">
        <f>AW16*1000000/(AW25*AW17*AW18*AW18)</f>
        <v>#N/A</v>
      </c>
      <c r="AX27" s="24" t="e">
        <f>AX16*1000000/(AX25*AX17*AX18*AX18)</f>
        <v>#N/A</v>
      </c>
      <c r="AY27" t="s">
        <v>944</v>
      </c>
      <c r="AZ27" s="24" t="e">
        <f>AZ16*1000000/(AZ25*AZ17*AZ18*AZ18)</f>
        <v>#N/A</v>
      </c>
      <c r="BA27" s="24" t="e">
        <f>BA16*1000000/(BA25*BA17*BA18*BA18)</f>
        <v>#N/A</v>
      </c>
      <c r="BB27" t="s">
        <v>944</v>
      </c>
      <c r="BH27" s="46" t="s">
        <v>247</v>
      </c>
      <c r="BI27" s="24" t="e">
        <f>BI21*BI18</f>
        <v>#N/A</v>
      </c>
      <c r="BJ27" s="24" t="e">
        <f>BJ21*BJ18</f>
        <v>#N/A</v>
      </c>
      <c r="BM27" s="46" t="s">
        <v>247</v>
      </c>
      <c r="BN27" s="24" t="e">
        <f>BN21*BN18</f>
        <v>#N/A</v>
      </c>
      <c r="BO27" s="24" t="e">
        <f>BO21*BO18</f>
        <v>#N/A</v>
      </c>
    </row>
    <row r="28" spans="2:67">
      <c r="C28" t="str">
        <f>"egenvægt h x 10^-3 x "&amp;FIXED(A!F40,0)</f>
        <v>egenvægt h x 10^-3 x 25</v>
      </c>
      <c r="H28" s="49" t="e">
        <f>J14*A!F40*10^-3</f>
        <v>#N/A</v>
      </c>
      <c r="I28" t="s">
        <v>317</v>
      </c>
      <c r="J28" s="49">
        <f>1*1.1*1.2</f>
        <v>1.32</v>
      </c>
      <c r="K28" t="s">
        <v>112</v>
      </c>
      <c r="L28" s="49" t="e">
        <f>H28*J28</f>
        <v>#N/A</v>
      </c>
      <c r="M28" t="s">
        <v>318</v>
      </c>
      <c r="N28" s="81" t="s">
        <v>963</v>
      </c>
      <c r="O28" s="81"/>
      <c r="AV28" t="s">
        <v>257</v>
      </c>
      <c r="AW28" s="24" t="e">
        <f>AW27*AW10*AW26</f>
        <v>#N/A</v>
      </c>
      <c r="AX28" s="24" t="e">
        <f>AX27*AX10*AX26</f>
        <v>#N/A</v>
      </c>
      <c r="AY28" t="s">
        <v>944</v>
      </c>
      <c r="AZ28" s="24" t="e">
        <f>AZ27*AZ10*AZ26</f>
        <v>#N/A</v>
      </c>
      <c r="BA28" s="24" t="e">
        <f>BA27*BA10*BA26</f>
        <v>#N/A</v>
      </c>
      <c r="BB28" t="s">
        <v>944</v>
      </c>
      <c r="BH28" s="46" t="s">
        <v>253</v>
      </c>
      <c r="BI28" s="51" t="e">
        <f>2.5*(BI19-BI18)</f>
        <v>#N/A</v>
      </c>
      <c r="BJ28" s="51" t="e">
        <f>2.5*(BJ19-BJ18)</f>
        <v>#N/A</v>
      </c>
      <c r="BM28" s="46" t="s">
        <v>253</v>
      </c>
      <c r="BN28" s="51" t="e">
        <f>2.5*(BN19-BN18)</f>
        <v>#N/A</v>
      </c>
      <c r="BO28" s="51" t="e">
        <f>2.5*(BO19-BO18)</f>
        <v>#N/A</v>
      </c>
    </row>
    <row r="29" spans="2:67">
      <c r="C29" t="s">
        <v>964</v>
      </c>
      <c r="F29" s="49"/>
      <c r="H29" s="277">
        <v>2</v>
      </c>
      <c r="I29" t="s">
        <v>317</v>
      </c>
      <c r="J29" s="49">
        <f>1.3*1.2</f>
        <v>1.56</v>
      </c>
      <c r="K29" t="s">
        <v>112</v>
      </c>
      <c r="L29" s="260">
        <f>H29*J29</f>
        <v>3.12</v>
      </c>
      <c r="M29" t="s">
        <v>318</v>
      </c>
      <c r="N29" s="81" t="s">
        <v>965</v>
      </c>
      <c r="O29" s="81"/>
      <c r="AV29" t="s">
        <v>264</v>
      </c>
      <c r="AW29" s="24" t="e">
        <f>AW23*AW18</f>
        <v>#N/A</v>
      </c>
      <c r="AX29" s="24" t="e">
        <f>AX23*AX18</f>
        <v>#N/A</v>
      </c>
      <c r="AY29" t="s">
        <v>948</v>
      </c>
      <c r="AZ29" s="24" t="e">
        <f>AZ23*AZ18</f>
        <v>#N/A</v>
      </c>
      <c r="BA29" s="24" t="e">
        <f>BA23*BA18</f>
        <v>#N/A</v>
      </c>
      <c r="BB29" t="s">
        <v>948</v>
      </c>
      <c r="BH29" s="46" t="s">
        <v>258</v>
      </c>
      <c r="BI29" s="51" t="e">
        <f>(BI19-BI27)/3</f>
        <v>#N/A</v>
      </c>
      <c r="BJ29" s="51" t="e">
        <f>(BJ19-BJ27)/3</f>
        <v>#N/A</v>
      </c>
      <c r="BM29" s="46" t="s">
        <v>258</v>
      </c>
      <c r="BN29" s="51" t="e">
        <f>(BN19-BN27)/3</f>
        <v>#N/A</v>
      </c>
      <c r="BO29" s="51" t="e">
        <f>(BO19-BO27)/3</f>
        <v>#N/A</v>
      </c>
    </row>
    <row r="30" spans="2:67">
      <c r="C30" t="s">
        <v>352</v>
      </c>
      <c r="H30" s="49" t="e">
        <f>H28+H29</f>
        <v>#N/A</v>
      </c>
      <c r="J30" t="s">
        <v>435</v>
      </c>
      <c r="L30" s="49" t="e">
        <f>L28+L29</f>
        <v>#N/A</v>
      </c>
      <c r="M30" t="s">
        <v>318</v>
      </c>
      <c r="N30" s="81"/>
      <c r="O30" s="81"/>
      <c r="AV30" t="s">
        <v>270</v>
      </c>
      <c r="AW30" s="51" t="e">
        <f>2*(AW19-AW18)*AW17/(AW11*AW12+AW13*AW14)</f>
        <v>#N/A</v>
      </c>
      <c r="AX30" s="51" t="e">
        <f>2*(AX19-AX18)*AX17/(AX11*AX12+AX13*AX14)</f>
        <v>#N/A</v>
      </c>
      <c r="AZ30" s="51" t="e">
        <f>2*(AZ19-AZ18)*AZ17/(AZ11*AZ12+AZ13*AZ14)</f>
        <v>#N/A</v>
      </c>
      <c r="BA30" s="51" t="e">
        <f>2*(BA19-BA18)*BA17/(BA11*BA12+BA13*BA14)</f>
        <v>#N/A</v>
      </c>
      <c r="BH30" s="46" t="s">
        <v>265</v>
      </c>
      <c r="BI30" s="51" t="e">
        <f>BI19/2</f>
        <v>#N/A</v>
      </c>
      <c r="BJ30" s="51" t="e">
        <f>BJ19/2</f>
        <v>#N/A</v>
      </c>
      <c r="BM30" s="46" t="s">
        <v>265</v>
      </c>
      <c r="BN30" t="e">
        <f>BN19/2</f>
        <v>#N/A</v>
      </c>
      <c r="BO30" t="e">
        <f>BO19/2</f>
        <v>#N/A</v>
      </c>
    </row>
    <row r="31" spans="2:67">
      <c r="N31" s="81"/>
      <c r="O31" s="81"/>
      <c r="AV31" t="s">
        <v>277</v>
      </c>
      <c r="AW31" s="49" t="e">
        <f>5/100000*AW28*SQRT(AW30)</f>
        <v>#N/A</v>
      </c>
      <c r="AX31" s="49" t="e">
        <f>5/100000*AX28*SQRT(AX30)</f>
        <v>#N/A</v>
      </c>
      <c r="AY31" t="s">
        <v>948</v>
      </c>
      <c r="AZ31" s="49" t="e">
        <f>5/100000*AZ28*SQRT(AZ30)</f>
        <v>#N/A</v>
      </c>
      <c r="BA31" s="49" t="e">
        <f>5/100000*BA28*SQRT(BA30)</f>
        <v>#N/A</v>
      </c>
      <c r="BB31" t="s">
        <v>948</v>
      </c>
      <c r="BH31" s="46" t="s">
        <v>271</v>
      </c>
      <c r="BI31" s="51" t="e">
        <f>MINA(BI28:BI30)</f>
        <v>#N/A</v>
      </c>
      <c r="BJ31" s="51" t="e">
        <f>MINA(BJ28:BJ30)</f>
        <v>#N/A</v>
      </c>
      <c r="BM31" s="46" t="s">
        <v>271</v>
      </c>
      <c r="BN31" s="51" t="e">
        <f>MINA(BN28:BN30)</f>
        <v>#N/A</v>
      </c>
      <c r="BO31" s="51" t="e">
        <f>MINA(BO28:BO30)</f>
        <v>#N/A</v>
      </c>
    </row>
    <row r="32" spans="2:67">
      <c r="B32" t="s">
        <v>421</v>
      </c>
      <c r="C32" s="49"/>
      <c r="H32" t="s">
        <v>966</v>
      </c>
      <c r="L32" t="s">
        <v>423</v>
      </c>
      <c r="N32" s="81"/>
      <c r="O32" s="81"/>
      <c r="AV32" t="s">
        <v>282</v>
      </c>
      <c r="AW32" s="51" t="e">
        <f>AW10*AW27*AW20*AW20*1000000/(10*AW29*200000)</f>
        <v>#N/A</v>
      </c>
      <c r="AX32" s="51" t="e">
        <f>AX10*AX27*AX20*AX20*1000000/(10*AX29*200000)</f>
        <v>#N/A</v>
      </c>
      <c r="AY32" t="s">
        <v>948</v>
      </c>
      <c r="AZ32" s="51" t="e">
        <f>AZ10*AZ27*AZ20*AZ20*1000000/(10*AZ29*200000)</f>
        <v>#N/A</v>
      </c>
      <c r="BA32" s="51" t="e">
        <f>BA10*BA27*BA20*BA20*1000000/(10*BA29*200000)</f>
        <v>#N/A</v>
      </c>
      <c r="BB32" t="s">
        <v>948</v>
      </c>
      <c r="BH32" s="46" t="s">
        <v>278</v>
      </c>
      <c r="BI32" s="82" t="e">
        <f>BI13/(BI31*BI17)</f>
        <v>#N/A</v>
      </c>
      <c r="BJ32" s="82" t="e">
        <f>BJ13/(BJ31*BJ17)</f>
        <v>#N/A</v>
      </c>
      <c r="BM32" s="46" t="s">
        <v>278</v>
      </c>
      <c r="BN32" s="82" t="e">
        <f>BN13/(BN31*BN17)</f>
        <v>#N/A</v>
      </c>
      <c r="BO32" s="82" t="e">
        <f>BO13/(BO31*BO17)</f>
        <v>#N/A</v>
      </c>
    </row>
    <row r="33" spans="2:67">
      <c r="F33" t="s">
        <v>920</v>
      </c>
      <c r="G33" t="s">
        <v>967</v>
      </c>
      <c r="H33" s="24" t="e">
        <f>(1-0.5*O18)*O18*(J10-J11-J12)*J24^2*J16*10^-6</f>
        <v>#N/A</v>
      </c>
      <c r="J33" t="s">
        <v>135</v>
      </c>
      <c r="K33" t="e">
        <f>IF(H33&gt;L33,"&gt;","&lt;")</f>
        <v>#N/A</v>
      </c>
      <c r="L33" s="24" t="e">
        <f>1/8*L30*J10*10^-3*(J9*10^-3)^2</f>
        <v>#N/A</v>
      </c>
      <c r="M33" t="e">
        <f>IF(H33&gt;L33,"accept","forkast")</f>
        <v>#N/A</v>
      </c>
      <c r="O33" s="81"/>
      <c r="AV33" t="s">
        <v>968</v>
      </c>
      <c r="AW33" s="51" t="e">
        <f>5/48*AW16*10^6/(2*10^5/AW10*0.007344*10^12)*(AW20*10^3)^2</f>
        <v>#N/A</v>
      </c>
      <c r="AX33" s="51" t="e">
        <f>5/48*AX16*10^6/(2*10^5/AX10*0.007344*10^12)*(AX20*10^3)^2</f>
        <v>#N/A</v>
      </c>
      <c r="AZ33" s="51" t="e">
        <f>5/48*AZ16*10^6/(2*10^5/AZ10*0.007344*10^12)*(AZ20*10^3)^2</f>
        <v>#N/A</v>
      </c>
      <c r="BA33" s="51" t="e">
        <f>5/48*BA16*10^6/(2*10^5/BA10*0.007344*10^12)*(BA20*10^3)^2</f>
        <v>#N/A</v>
      </c>
      <c r="BH33" s="46" t="s">
        <v>283</v>
      </c>
      <c r="BI33" s="24">
        <v>0.8</v>
      </c>
      <c r="BJ33" s="24">
        <v>0.8</v>
      </c>
      <c r="BM33" s="46" t="s">
        <v>283</v>
      </c>
      <c r="BN33" s="24">
        <v>0.8</v>
      </c>
      <c r="BO33" s="24">
        <v>0.8</v>
      </c>
    </row>
    <row r="34" spans="2:67" ht="15.75">
      <c r="G34" t="s">
        <v>969</v>
      </c>
      <c r="H34" s="24" t="e">
        <f>2*1/6*(J10-J11-J12)*J14^2*SQRT(J15*0.1)*10^-6</f>
        <v>#N/A</v>
      </c>
      <c r="J34" t="s">
        <v>135</v>
      </c>
      <c r="N34" s="165" t="e">
        <f>IF(AND(H33=0,H34&gt;2*L33),"accepteres idét kapacitet uarmeret er ok",IF(H33=0,"tværsnittet er ikke minimumsarmeret"," "))</f>
        <v>#N/A</v>
      </c>
      <c r="O34" s="81"/>
      <c r="BH34" s="46" t="s">
        <v>288</v>
      </c>
      <c r="BI34" s="24">
        <v>0.5</v>
      </c>
      <c r="BJ34" s="24">
        <v>0.5</v>
      </c>
      <c r="BM34" s="46" t="s">
        <v>288</v>
      </c>
      <c r="BN34" s="24">
        <v>0.5</v>
      </c>
      <c r="BO34" s="24">
        <v>0.5</v>
      </c>
    </row>
    <row r="35" spans="2:67">
      <c r="F35" t="s">
        <v>921</v>
      </c>
      <c r="G35" t="s">
        <v>967</v>
      </c>
      <c r="H35" s="24" t="e">
        <f>(1-0.5*O21)*O21*(J9-J13)*J25^2*J16*10^-6</f>
        <v>#N/A</v>
      </c>
      <c r="J35" t="s">
        <v>135</v>
      </c>
      <c r="K35" t="e">
        <f>IF(H35&gt;L35,"&gt;","&lt;")</f>
        <v>#N/A</v>
      </c>
      <c r="L35" s="24" t="e">
        <f>1/8*L30*J9*10^-3*(J10*10^-3)^2</f>
        <v>#N/A</v>
      </c>
      <c r="M35" t="e">
        <f>IF(H35&gt;L35,"accept","forkast")</f>
        <v>#N/A</v>
      </c>
      <c r="O35" s="81"/>
      <c r="AC35" s="278"/>
      <c r="AV35" t="s">
        <v>970</v>
      </c>
      <c r="BH35" s="46" t="s">
        <v>297</v>
      </c>
      <c r="BI35" s="49" t="e">
        <f>3.4*(25/BI11)^(2/3)</f>
        <v>#N/A</v>
      </c>
      <c r="BJ35" s="49" t="e">
        <f>3.4*(25/BJ11)^(2/3)</f>
        <v>#N/A</v>
      </c>
      <c r="BM35" s="46" t="s">
        <v>297</v>
      </c>
      <c r="BN35" s="49" t="e">
        <f>3.4*(25/BN11)^(2/3)</f>
        <v>#N/A</v>
      </c>
      <c r="BO35" s="49" t="e">
        <f>3.4*(25/BO11)^(2/3)</f>
        <v>#N/A</v>
      </c>
    </row>
    <row r="36" spans="2:67" ht="15.75">
      <c r="G36" t="s">
        <v>969</v>
      </c>
      <c r="H36" s="24" t="e">
        <f>2*1/6*(J9-J13)*J14^2*SQRT(J15*0.1)*10^-6</f>
        <v>#N/A</v>
      </c>
      <c r="J36" t="s">
        <v>135</v>
      </c>
      <c r="N36" s="165" t="e">
        <f>IF(AND(H35=0,H36&gt;2*L35),"accepteres idét kapacitet uarmeret er ok",IF(H35=0,"tværsnittet er ikke minimumsarmeret"," "))</f>
        <v>#N/A</v>
      </c>
      <c r="O36" s="51"/>
      <c r="S36" s="46"/>
      <c r="AC36" s="279"/>
      <c r="AV36" t="s">
        <v>54</v>
      </c>
      <c r="AW36">
        <v>15</v>
      </c>
      <c r="AX36">
        <v>20</v>
      </c>
      <c r="AY36">
        <v>25</v>
      </c>
      <c r="AZ36">
        <v>30</v>
      </c>
      <c r="BA36">
        <v>35</v>
      </c>
      <c r="BB36">
        <v>40</v>
      </c>
      <c r="BC36">
        <v>45</v>
      </c>
      <c r="BD36">
        <v>50</v>
      </c>
      <c r="BH36" s="46" t="s">
        <v>303</v>
      </c>
      <c r="BI36">
        <v>0.42499999999999999</v>
      </c>
      <c r="BJ36">
        <v>0.42499999999999999</v>
      </c>
      <c r="BM36" s="46" t="s">
        <v>303</v>
      </c>
      <c r="BN36">
        <v>0.42499999999999999</v>
      </c>
      <c r="BO36">
        <v>0.42499999999999999</v>
      </c>
    </row>
    <row r="37" spans="2:67">
      <c r="O37" s="46"/>
      <c r="P37" s="51"/>
      <c r="S37" s="46"/>
      <c r="AC37" s="279"/>
      <c r="AV37" t="s">
        <v>26</v>
      </c>
      <c r="AW37">
        <v>10</v>
      </c>
      <c r="AX37">
        <v>9</v>
      </c>
      <c r="AY37">
        <v>9</v>
      </c>
      <c r="AZ37">
        <v>8</v>
      </c>
      <c r="BA37">
        <v>8</v>
      </c>
      <c r="BB37">
        <v>7</v>
      </c>
      <c r="BC37">
        <v>7</v>
      </c>
      <c r="BD37">
        <v>7</v>
      </c>
      <c r="BH37" s="46" t="s">
        <v>305</v>
      </c>
      <c r="BI37" s="24">
        <v>0.4</v>
      </c>
      <c r="BJ37" s="24">
        <v>0.4</v>
      </c>
      <c r="BM37" s="46" t="s">
        <v>305</v>
      </c>
      <c r="BN37" s="24">
        <v>0.4</v>
      </c>
      <c r="BO37" s="24">
        <v>0.4</v>
      </c>
    </row>
    <row r="38" spans="2:67" ht="15.75">
      <c r="B38" t="s">
        <v>971</v>
      </c>
      <c r="N38" s="280" t="s">
        <v>972</v>
      </c>
      <c r="O38" s="46"/>
      <c r="P38" s="51"/>
      <c r="S38" s="46"/>
      <c r="AC38" s="279"/>
      <c r="BH38" s="46" t="s">
        <v>307</v>
      </c>
      <c r="BI38" s="51" t="e">
        <f>BI11*BI35+BI33*BI34*BI36*BI12/BI32</f>
        <v>#N/A</v>
      </c>
      <c r="BJ38" s="51" t="e">
        <f>BJ11*BJ35+BJ33*BJ34*BJ36*BJ12/BJ32</f>
        <v>#N/A</v>
      </c>
      <c r="BM38" s="46" t="s">
        <v>307</v>
      </c>
      <c r="BN38" s="51" t="e">
        <f>BN11*BN35+BN33*BN34*BN36*BN12/BN32</f>
        <v>#N/A</v>
      </c>
      <c r="BO38" s="51" t="e">
        <f>BO11*BO35+BO33*BO34*BO36*BO12/BO32</f>
        <v>#N/A</v>
      </c>
    </row>
    <row r="39" spans="2:67">
      <c r="B39" t="s">
        <v>973</v>
      </c>
      <c r="D39" s="149"/>
      <c r="O39" s="46"/>
      <c r="P39" s="24"/>
      <c r="S39" s="46"/>
      <c r="AC39" s="278"/>
      <c r="BH39" s="46" t="s">
        <v>314</v>
      </c>
      <c r="BI39" s="51" t="e">
        <f>1.3*(BI19-BI27)</f>
        <v>#N/A</v>
      </c>
      <c r="BJ39" s="51" t="e">
        <f>1.3*(BJ19-BJ27)</f>
        <v>#N/A</v>
      </c>
      <c r="BM39" s="46" t="s">
        <v>314</v>
      </c>
      <c r="BN39" s="51" t="e">
        <f>1.3*(BN19-BN27)</f>
        <v>#N/A</v>
      </c>
      <c r="BO39" s="51" t="e">
        <f>1.3*(BO19-BO27)</f>
        <v>#N/A</v>
      </c>
    </row>
    <row r="40" spans="2:67">
      <c r="C40" t="s">
        <v>470</v>
      </c>
      <c r="F40" t="s">
        <v>974</v>
      </c>
      <c r="H40" s="49" t="e">
        <f>BI45</f>
        <v>#N/A</v>
      </c>
      <c r="J40" s="49" t="s">
        <v>78</v>
      </c>
      <c r="BH40" s="46" t="s">
        <v>323</v>
      </c>
      <c r="BI40" s="51" t="e">
        <f>MAXA(BI38:BI39)</f>
        <v>#N/A</v>
      </c>
      <c r="BJ40" s="51" t="e">
        <f>MAXA(BJ38:BJ39)</f>
        <v>#N/A</v>
      </c>
      <c r="BM40" s="46" t="s">
        <v>323</v>
      </c>
      <c r="BN40" s="51" t="e">
        <f>MAXA(BN38:BN39)</f>
        <v>#N/A</v>
      </c>
      <c r="BO40" s="51" t="e">
        <f>MAXA(BO38:BO39)</f>
        <v>#N/A</v>
      </c>
    </row>
    <row r="41" spans="2:67">
      <c r="F41" t="s">
        <v>975</v>
      </c>
      <c r="H41" s="49" t="e">
        <f>BN45</f>
        <v>#N/A</v>
      </c>
      <c r="J41" s="49" t="s">
        <v>78</v>
      </c>
      <c r="BH41" s="46" t="s">
        <v>329</v>
      </c>
      <c r="BI41" s="49">
        <f>0.3*BI6^(2/3)</f>
        <v>2.2104188991842313</v>
      </c>
      <c r="BJ41" s="49">
        <f>0.3*BJ6^(2/3)</f>
        <v>2.2104188991842313</v>
      </c>
      <c r="BM41" s="46" t="s">
        <v>329</v>
      </c>
      <c r="BN41" s="49">
        <f>0.3*BN6^(2/3)</f>
        <v>2.2104188991842313</v>
      </c>
      <c r="BO41" s="49">
        <f>0.3*BO6^(2/3)</f>
        <v>2.2104188991842313</v>
      </c>
    </row>
    <row r="42" spans="2:67" ht="15.75">
      <c r="F42" t="s">
        <v>976</v>
      </c>
      <c r="I42" t="s">
        <v>8</v>
      </c>
      <c r="J42" s="49" t="e">
        <f>H41+H40</f>
        <v>#N/A</v>
      </c>
      <c r="K42" s="24" t="e">
        <f>IF(J42&lt;L42,"&lt;","&gt;")</f>
        <v>#N/A</v>
      </c>
      <c r="L42" s="113">
        <v>0.4</v>
      </c>
      <c r="M42" t="e">
        <f>IF(J42&lt;L42,"accept","forkast")</f>
        <v>#N/A</v>
      </c>
      <c r="N42" s="165" t="e">
        <f>IF(M42="forkast","NB !"," ")</f>
        <v>#N/A</v>
      </c>
      <c r="BH42" s="46" t="s">
        <v>342</v>
      </c>
      <c r="BI42" s="81" t="e">
        <f>0.6*BI26/BI9</f>
        <v>#N/A</v>
      </c>
      <c r="BJ42" s="81" t="e">
        <f>0.6*BJ26/BJ9</f>
        <v>#N/A</v>
      </c>
      <c r="BM42" s="46" t="s">
        <v>342</v>
      </c>
      <c r="BN42" s="81" t="e">
        <f>0.6*BN26/BN9</f>
        <v>#N/A</v>
      </c>
      <c r="BO42" s="81" t="e">
        <f>0.6*BO26/BO9</f>
        <v>#N/A</v>
      </c>
    </row>
    <row r="43" spans="2:67">
      <c r="C43" t="s">
        <v>977</v>
      </c>
      <c r="F43" t="s">
        <v>974</v>
      </c>
      <c r="H43" s="24" t="e">
        <f>BI57</f>
        <v>#N/A</v>
      </c>
      <c r="I43" s="24"/>
      <c r="J43" s="24" t="s">
        <v>78</v>
      </c>
      <c r="K43" s="24" t="str">
        <f>IF(N22=0," ",IF(H43&lt;L43,"&lt;","&gt;"))</f>
        <v xml:space="preserve"> </v>
      </c>
      <c r="AC43" s="279"/>
      <c r="BH43" s="46" t="s">
        <v>345</v>
      </c>
      <c r="BI43" s="81" t="e">
        <f>(BI26-BI37*BI41/BI32*(1+BI10*BI32))/BI9</f>
        <v>#N/A</v>
      </c>
      <c r="BJ43" s="81" t="e">
        <f>(BJ26-BJ37*BJ41/BJ32*(1+BJ10*BJ32))/BJ9</f>
        <v>#N/A</v>
      </c>
      <c r="BM43" s="46" t="s">
        <v>345</v>
      </c>
      <c r="BN43" s="81" t="e">
        <f>(BN26-BN37*BN41/BN32*(1+BN10*BN32))/BN9</f>
        <v>#N/A</v>
      </c>
      <c r="BO43" s="81" t="e">
        <f>(BO26-BO37*BO41/BO32*(1+BO10*BO32))/BO9</f>
        <v>#N/A</v>
      </c>
    </row>
    <row r="44" spans="2:67">
      <c r="F44" t="s">
        <v>975</v>
      </c>
      <c r="H44" s="24" t="e">
        <f>BN57</f>
        <v>#N/A</v>
      </c>
      <c r="I44" s="24"/>
      <c r="J44" s="24" t="s">
        <v>78</v>
      </c>
      <c r="K44" s="24"/>
      <c r="L44" s="91"/>
      <c r="O44" s="81"/>
      <c r="AC44" s="51"/>
      <c r="BH44" s="46" t="s">
        <v>348</v>
      </c>
      <c r="BI44" s="81" t="e">
        <f>MAXA(BI42:BI43)</f>
        <v>#N/A</v>
      </c>
      <c r="BJ44" s="81" t="e">
        <f>MAXA(BJ42:BJ43)</f>
        <v>#N/A</v>
      </c>
      <c r="BM44" s="46" t="s">
        <v>348</v>
      </c>
      <c r="BN44" s="81" t="e">
        <f>MAXA(BN42:BN43)</f>
        <v>#N/A</v>
      </c>
      <c r="BO44" s="81" t="e">
        <f>MAXA(BO42:BO43)</f>
        <v>#N/A</v>
      </c>
    </row>
    <row r="45" spans="2:67" ht="15.75">
      <c r="F45" t="str">
        <f>IF(N24=0," ","     ialt")</f>
        <v xml:space="preserve"> </v>
      </c>
      <c r="I45" s="24" t="s">
        <v>8</v>
      </c>
      <c r="J45" s="51" t="e">
        <f>H43+H44</f>
        <v>#N/A</v>
      </c>
      <c r="K45" s="24" t="e">
        <f>IF(J45&lt;L45,"&lt;","&gt;")</f>
        <v>#N/A</v>
      </c>
      <c r="L45" s="63" t="e">
        <f>J9/400</f>
        <v>#N/A</v>
      </c>
      <c r="M45" t="e">
        <f>IF(J45&lt;L45,"accept","forkast")</f>
        <v>#N/A</v>
      </c>
      <c r="N45" s="165" t="e">
        <f>IF(M45="forkast","NB !"," ")</f>
        <v>#N/A</v>
      </c>
      <c r="P45" s="51"/>
      <c r="AB45" s="24"/>
      <c r="BH45" s="46" t="s">
        <v>351</v>
      </c>
      <c r="BI45" s="49" t="e">
        <f>BI44*BI40</f>
        <v>#N/A</v>
      </c>
      <c r="BJ45" s="49" t="e">
        <f>BJ44*BJ40</f>
        <v>#N/A</v>
      </c>
      <c r="BM45" s="46" t="s">
        <v>351</v>
      </c>
      <c r="BN45" s="49" t="e">
        <f>BN44*BN40</f>
        <v>#N/A</v>
      </c>
      <c r="BO45" s="49" t="e">
        <f>BO44*BO40</f>
        <v>#N/A</v>
      </c>
    </row>
    <row r="46" spans="2:67">
      <c r="B46" t="s">
        <v>978</v>
      </c>
      <c r="L46" s="27"/>
    </row>
    <row r="47" spans="2:67">
      <c r="C47" t="s">
        <v>470</v>
      </c>
      <c r="F47" t="s">
        <v>974</v>
      </c>
      <c r="H47" s="49" t="e">
        <f>BJ45</f>
        <v>#N/A</v>
      </c>
      <c r="J47" s="49" t="s">
        <v>78</v>
      </c>
      <c r="L47" s="27"/>
      <c r="AV47" t="s">
        <v>356</v>
      </c>
      <c r="BH47" s="46" t="s">
        <v>357</v>
      </c>
      <c r="BI47" s="24" t="e">
        <f>BI10*BI25*BI15^2*10^6/(10*BI27*BI9)</f>
        <v>#N/A</v>
      </c>
      <c r="BJ47" s="24" t="e">
        <f>BJ10*BJ25*BJ15^2*10^6/(10*BJ27*BJ9)</f>
        <v>#N/A</v>
      </c>
      <c r="BM47" s="46" t="s">
        <v>357</v>
      </c>
      <c r="BN47" s="24" t="e">
        <f>BN10*BN25*BN15^2*10^6/(10*BN27*BN9)</f>
        <v>#N/A</v>
      </c>
      <c r="BO47" s="24" t="e">
        <f>BO10*BO25*BO15^2*10^6/(10*BO27*BO9)</f>
        <v>#N/A</v>
      </c>
    </row>
    <row r="48" spans="2:67">
      <c r="F48" t="s">
        <v>975</v>
      </c>
      <c r="H48" s="49" t="e">
        <f>BO45</f>
        <v>#N/A</v>
      </c>
      <c r="J48" s="49" t="s">
        <v>78</v>
      </c>
      <c r="L48" s="27"/>
      <c r="AV48" t="s">
        <v>920</v>
      </c>
    </row>
    <row r="49" spans="2:67" ht="15.75">
      <c r="F49" t="s">
        <v>976</v>
      </c>
      <c r="I49" t="s">
        <v>8</v>
      </c>
      <c r="J49" s="49" t="e">
        <f>H48+H47</f>
        <v>#N/A</v>
      </c>
      <c r="K49" s="24" t="e">
        <f>IF(J49&lt;L49,"&lt;","&gt;")</f>
        <v>#N/A</v>
      </c>
      <c r="L49" s="113">
        <v>0.4</v>
      </c>
      <c r="M49" t="e">
        <f>IF(J49&lt;L49,"accept","forkast")</f>
        <v>#N/A</v>
      </c>
      <c r="N49" s="165" t="e">
        <f>IF(M49="forkast","NB !"," ")</f>
        <v>#N/A</v>
      </c>
      <c r="AV49" s="29" t="s">
        <v>366</v>
      </c>
      <c r="AW49" s="46" t="s">
        <v>367</v>
      </c>
      <c r="AX49" s="46" t="s">
        <v>368</v>
      </c>
      <c r="AY49" s="46" t="s">
        <v>369</v>
      </c>
      <c r="AZ49" s="46" t="s">
        <v>370</v>
      </c>
      <c r="BA49" s="46" t="s">
        <v>371</v>
      </c>
      <c r="BB49" s="46" t="s">
        <v>372</v>
      </c>
      <c r="BC49" s="46" t="s">
        <v>373</v>
      </c>
      <c r="BD49" s="46" t="s">
        <v>374</v>
      </c>
      <c r="BE49" s="46"/>
      <c r="BH49" s="46" t="s">
        <v>375</v>
      </c>
      <c r="BI49" s="281" t="e">
        <f>BD56*10^-12</f>
        <v>#N/A</v>
      </c>
      <c r="BJ49" s="281" t="e">
        <f>BD66*10^-12</f>
        <v>#N/A</v>
      </c>
      <c r="BM49" s="46" t="s">
        <v>375</v>
      </c>
      <c r="BN49" s="81" t="e">
        <f>BD56*10^-12</f>
        <v>#N/A</v>
      </c>
      <c r="BO49" s="81" t="e">
        <f>BD66*10^-12</f>
        <v>#N/A</v>
      </c>
    </row>
    <row r="50" spans="2:67">
      <c r="C50" t="s">
        <v>977</v>
      </c>
      <c r="F50" t="s">
        <v>974</v>
      </c>
      <c r="H50" s="24" t="e">
        <f>BJ57</f>
        <v>#N/A</v>
      </c>
      <c r="I50" s="24"/>
      <c r="J50" s="24" t="s">
        <v>78</v>
      </c>
      <c r="AV50" s="21"/>
      <c r="AW50" s="156" t="s">
        <v>379</v>
      </c>
      <c r="AX50" s="157" t="s">
        <v>78</v>
      </c>
      <c r="AY50" s="157" t="s">
        <v>78</v>
      </c>
      <c r="AZ50" s="157" t="s">
        <v>105</v>
      </c>
      <c r="BA50" s="157" t="s">
        <v>78</v>
      </c>
      <c r="BB50" s="157" t="s">
        <v>380</v>
      </c>
      <c r="BC50" s="157" t="s">
        <v>379</v>
      </c>
      <c r="BD50" s="157" t="s">
        <v>381</v>
      </c>
      <c r="BE50" s="163"/>
      <c r="BH50" s="46" t="s">
        <v>382</v>
      </c>
      <c r="BI50" s="24" t="e">
        <f>5/48*BI16/(BI8*10^3*BI49)*BI15^2*10^3</f>
        <v>#N/A</v>
      </c>
      <c r="BJ50" s="24" t="e">
        <f>5/48*BJ16/(BJ8*10^3*BJ49)*BJ15^2*10^3</f>
        <v>#N/A</v>
      </c>
      <c r="BM50" s="46" t="s">
        <v>382</v>
      </c>
      <c r="BN50" s="24" t="e">
        <f>5/48*BN16/(BN8*10^3*BN49)*BN15^2*10^3</f>
        <v>#N/A</v>
      </c>
      <c r="BO50" s="24" t="e">
        <f>5/48*BO16/(BO8*10^3*BO49)*BO15^2*10^3</f>
        <v>#N/A</v>
      </c>
    </row>
    <row r="51" spans="2:67">
      <c r="F51" t="s">
        <v>975</v>
      </c>
      <c r="H51" s="24" t="e">
        <f>BO57</f>
        <v>#N/A</v>
      </c>
      <c r="I51" s="24"/>
      <c r="J51" s="24" t="s">
        <v>78</v>
      </c>
      <c r="K51" s="24"/>
      <c r="L51" s="91"/>
      <c r="AV51" s="29" t="s">
        <v>386</v>
      </c>
      <c r="AW51">
        <v>1</v>
      </c>
      <c r="AX51" s="51" t="e">
        <f>BI17</f>
        <v>#N/A</v>
      </c>
      <c r="AY51" s="51" t="e">
        <f>J14</f>
        <v>#N/A</v>
      </c>
      <c r="AZ51" s="51" t="e">
        <f>AW51*AX51*AY51</f>
        <v>#N/A</v>
      </c>
      <c r="BA51">
        <v>0</v>
      </c>
      <c r="BB51" t="e">
        <f>BA51*AZ51</f>
        <v>#N/A</v>
      </c>
      <c r="BC51">
        <f>1/12</f>
        <v>8.3333333333333329E-2</v>
      </c>
      <c r="BD51" s="51" t="e">
        <f>BC51*AX51*AY51^3</f>
        <v>#N/A</v>
      </c>
      <c r="BE51" s="46"/>
    </row>
    <row r="52" spans="2:67" ht="15.75">
      <c r="F52" t="str">
        <f>IF(N31=0," ","     ialt")</f>
        <v xml:space="preserve"> </v>
      </c>
      <c r="I52" s="24" t="s">
        <v>8</v>
      </c>
      <c r="J52" s="51" t="e">
        <f>H50+H51</f>
        <v>#N/A</v>
      </c>
      <c r="K52" s="24" t="e">
        <f>IF(J52&lt;L52,"&lt;","&gt;")</f>
        <v>#N/A</v>
      </c>
      <c r="L52" s="63" t="e">
        <f>J10/400</f>
        <v>#N/A</v>
      </c>
      <c r="M52" t="e">
        <f>IF(J52&lt;L52,"accept","forkast")</f>
        <v>#N/A</v>
      </c>
      <c r="N52" s="165" t="e">
        <f>IF(M52="forkast","NB !"," ")</f>
        <v>#N/A</v>
      </c>
      <c r="AV52" s="29" t="s">
        <v>388</v>
      </c>
      <c r="AW52" s="24">
        <f>BI10</f>
        <v>9.2436974789915975</v>
      </c>
      <c r="AX52" s="51" t="e">
        <f>BI13</f>
        <v>#N/A</v>
      </c>
      <c r="AY52" s="51">
        <v>1</v>
      </c>
      <c r="AZ52" s="51" t="e">
        <f>AW52*AX52*AY52</f>
        <v>#N/A</v>
      </c>
      <c r="BA52" s="24" t="e">
        <f>BI18-BI19/2</f>
        <v>#N/A</v>
      </c>
      <c r="BB52" t="e">
        <f>BA52*AZ52</f>
        <v>#N/A</v>
      </c>
      <c r="BC52" s="51"/>
      <c r="BD52" s="51" t="e">
        <f>AZ52*BA52^2</f>
        <v>#N/A</v>
      </c>
      <c r="BE52" s="46"/>
    </row>
    <row r="53" spans="2:67">
      <c r="AV53" s="29" t="s">
        <v>392</v>
      </c>
      <c r="AW53" s="24">
        <f>AW52</f>
        <v>9.2436974789915975</v>
      </c>
      <c r="AX53" s="51" t="e">
        <f>A!J30</f>
        <v>#N/A</v>
      </c>
      <c r="AY53" s="51">
        <v>1</v>
      </c>
      <c r="AZ53" s="158" t="e">
        <f>AW53*AX53*AY53</f>
        <v>#N/A</v>
      </c>
      <c r="BA53" s="24" t="e">
        <f>-(A!J15-BI19/2)</f>
        <v>#N/A</v>
      </c>
      <c r="BB53" s="12" t="e">
        <f>BA53*AZ53</f>
        <v>#N/A</v>
      </c>
      <c r="BC53" s="51"/>
      <c r="BD53" s="158" t="e">
        <f>AZ53*BA53^2</f>
        <v>#N/A</v>
      </c>
      <c r="BH53" s="46" t="s">
        <v>202</v>
      </c>
      <c r="BI53" s="78">
        <v>0.5</v>
      </c>
      <c r="BJ53" s="78">
        <v>0.5</v>
      </c>
      <c r="BM53" s="46" t="s">
        <v>202</v>
      </c>
      <c r="BN53" s="78">
        <v>0.5</v>
      </c>
      <c r="BO53" s="78">
        <v>0.5</v>
      </c>
    </row>
    <row r="54" spans="2:67" ht="15.75">
      <c r="B54" t="s">
        <v>971</v>
      </c>
      <c r="N54" s="280" t="s">
        <v>979</v>
      </c>
      <c r="AV54" s="29"/>
      <c r="AY54" s="46" t="s">
        <v>395</v>
      </c>
      <c r="AZ54" t="e">
        <f>SUM(AZ51:AZ53)</f>
        <v>#N/A</v>
      </c>
      <c r="BA54" s="46" t="s">
        <v>396</v>
      </c>
      <c r="BB54" t="e">
        <f>SUM(BB51:BB53)</f>
        <v>#N/A</v>
      </c>
      <c r="BC54" s="46" t="s">
        <v>397</v>
      </c>
      <c r="BD54" t="e">
        <f>SUM(BD51:BD53)</f>
        <v>#N/A</v>
      </c>
      <c r="BH54" s="46" t="s">
        <v>398</v>
      </c>
      <c r="BI54" s="77" t="e">
        <f>BI49*10^12/(BI19/2-BB55)*A!J24*10^-6</f>
        <v>#N/A</v>
      </c>
      <c r="BJ54" s="77" t="e">
        <f>BJ49*10^12/(BJ19/2-BC55)*A!J24*10^-6</f>
        <v>#N/A</v>
      </c>
      <c r="BM54" s="46" t="s">
        <v>398</v>
      </c>
      <c r="BN54" s="24" t="e">
        <f>BN49*10^12/(BN19/2-BG55)*A!J24*10^-6</f>
        <v>#N/A</v>
      </c>
      <c r="BO54" s="24" t="e">
        <f>BO49*10^12/(BO19/2-BH55)*A!J24*10^-6</f>
        <v>#N/A</v>
      </c>
    </row>
    <row r="55" spans="2:67" ht="15.75">
      <c r="B55" t="s">
        <v>973</v>
      </c>
      <c r="D55" s="149"/>
      <c r="AV55" s="29"/>
      <c r="AX55" s="159" t="s">
        <v>403</v>
      </c>
      <c r="BA55" s="46" t="s">
        <v>404</v>
      </c>
      <c r="BB55" s="24" t="e">
        <f>BB54/AZ54</f>
        <v>#N/A</v>
      </c>
      <c r="BC55" s="46" t="s">
        <v>405</v>
      </c>
      <c r="BD55" s="12" t="e">
        <f>-AZ54*BB55^2</f>
        <v>#N/A</v>
      </c>
      <c r="BH55" s="46" t="s">
        <v>406</v>
      </c>
      <c r="BI55" s="49" t="e">
        <f>IF(BI54&gt;BI16,0,1-BI53*(BI54/BI16)^2)</f>
        <v>#N/A</v>
      </c>
      <c r="BJ55" s="49" t="e">
        <f>IF(BJ54&gt;BJ16,0,1-BJ53*(BJ54/BJ16)^2)</f>
        <v>#N/A</v>
      </c>
      <c r="BM55" s="46" t="s">
        <v>406</v>
      </c>
      <c r="BN55" s="49" t="e">
        <f>IF(BN54&gt;BN16,0,1-BN53*(BN54/BN16)^2)</f>
        <v>#N/A</v>
      </c>
      <c r="BO55" s="49" t="e">
        <f>IF(BO54&gt;BO16,0,1-BO53*(BO54/BO16)^2)</f>
        <v>#N/A</v>
      </c>
    </row>
    <row r="56" spans="2:67">
      <c r="C56" t="s">
        <v>470</v>
      </c>
      <c r="F56" t="s">
        <v>974</v>
      </c>
      <c r="H56" s="49" t="e">
        <f>AW31</f>
        <v>#N/A</v>
      </c>
      <c r="J56" s="49" t="s">
        <v>78</v>
      </c>
      <c r="P56" s="51"/>
      <c r="R56" s="46"/>
      <c r="S56" s="51"/>
      <c r="V56" s="24"/>
      <c r="AB56" s="24"/>
      <c r="BC56" s="46" t="s">
        <v>408</v>
      </c>
      <c r="BD56" t="e">
        <f>BD55+BD54</f>
        <v>#N/A</v>
      </c>
      <c r="BE56" t="e">
        <f>BD56*10^-12</f>
        <v>#N/A</v>
      </c>
      <c r="BH56" s="46" t="s">
        <v>409</v>
      </c>
      <c r="BI56" s="24" t="e">
        <f>BI55*BI47+(1-BI55)*BI50</f>
        <v>#N/A</v>
      </c>
      <c r="BJ56" s="24" t="e">
        <f>BJ55*BJ47+(1-BJ55)*BJ50</f>
        <v>#N/A</v>
      </c>
      <c r="BM56" s="46" t="s">
        <v>409</v>
      </c>
      <c r="BN56" s="24" t="e">
        <f>BN55*BN47+(1-BN55)*BN50</f>
        <v>#N/A</v>
      </c>
      <c r="BO56" s="24" t="e">
        <f>BO55*BO47+(1-BO55)*BO50</f>
        <v>#N/A</v>
      </c>
    </row>
    <row r="57" spans="2:67">
      <c r="F57" t="s">
        <v>975</v>
      </c>
      <c r="H57" s="49" t="e">
        <f>AX31</f>
        <v>#N/A</v>
      </c>
      <c r="J57" s="49" t="s">
        <v>78</v>
      </c>
      <c r="P57" s="51"/>
      <c r="R57" s="46"/>
      <c r="V57" s="24"/>
      <c r="AV57" t="s">
        <v>356</v>
      </c>
      <c r="BH57" s="46" t="s">
        <v>413</v>
      </c>
      <c r="BI57" s="24" t="e">
        <f>BI53*BI47+(1-BI53)*BI50</f>
        <v>#N/A</v>
      </c>
      <c r="BJ57" s="24" t="e">
        <f>BJ53*BJ47+(1-BJ53)*BJ50</f>
        <v>#N/A</v>
      </c>
      <c r="BM57" s="46" t="s">
        <v>413</v>
      </c>
      <c r="BN57" s="24" t="e">
        <f>BN53*BN47+(1-BN53)*BN50</f>
        <v>#N/A</v>
      </c>
      <c r="BO57" s="24" t="e">
        <f>BO53*BO47+(1-BO53)*BO50</f>
        <v>#N/A</v>
      </c>
    </row>
    <row r="58" spans="2:67">
      <c r="F58" t="s">
        <v>976</v>
      </c>
      <c r="I58" t="s">
        <v>8</v>
      </c>
      <c r="J58" s="49" t="e">
        <f>H57+H56</f>
        <v>#N/A</v>
      </c>
      <c r="K58" s="24" t="e">
        <f>IF(J58&lt;L58,"&lt;","&gt;")</f>
        <v>#N/A</v>
      </c>
      <c r="L58" s="113">
        <f>A!L79</f>
        <v>0.4</v>
      </c>
      <c r="M58" t="e">
        <f>IF(J58&lt;L58,"accept","forkast")</f>
        <v>#N/A</v>
      </c>
      <c r="P58" s="24"/>
      <c r="R58" s="46"/>
      <c r="S58" s="49"/>
      <c r="V58" s="24"/>
      <c r="AV58" t="s">
        <v>921</v>
      </c>
    </row>
    <row r="59" spans="2:67">
      <c r="C59" t="s">
        <v>977</v>
      </c>
      <c r="F59" t="s">
        <v>974</v>
      </c>
      <c r="H59" s="24" t="e">
        <f>AW32</f>
        <v>#N/A</v>
      </c>
      <c r="I59" s="24"/>
      <c r="J59" s="24" t="s">
        <v>78</v>
      </c>
      <c r="P59" s="24"/>
      <c r="S59" s="46"/>
      <c r="T59" s="51"/>
      <c r="V59" s="24"/>
      <c r="AV59" s="29" t="s">
        <v>366</v>
      </c>
      <c r="AW59" s="46" t="s">
        <v>367</v>
      </c>
      <c r="AX59" s="46" t="s">
        <v>368</v>
      </c>
      <c r="AY59" s="46" t="s">
        <v>369</v>
      </c>
      <c r="AZ59" s="46" t="s">
        <v>370</v>
      </c>
      <c r="BA59" s="46" t="s">
        <v>371</v>
      </c>
      <c r="BB59" s="46" t="s">
        <v>372</v>
      </c>
      <c r="BC59" s="46" t="s">
        <v>373</v>
      </c>
      <c r="BD59" s="46" t="s">
        <v>374</v>
      </c>
      <c r="BE59" s="46"/>
    </row>
    <row r="60" spans="2:67">
      <c r="F60" t="s">
        <v>975</v>
      </c>
      <c r="H60" s="24" t="e">
        <f>AX32</f>
        <v>#N/A</v>
      </c>
      <c r="I60" s="24"/>
      <c r="J60" s="24" t="s">
        <v>78</v>
      </c>
      <c r="K60" s="24"/>
      <c r="L60" s="91"/>
      <c r="P60" s="24"/>
      <c r="S60" s="46"/>
      <c r="V60" s="24"/>
      <c r="AV60" s="21"/>
      <c r="AW60" s="156" t="s">
        <v>379</v>
      </c>
      <c r="AX60" s="157" t="s">
        <v>78</v>
      </c>
      <c r="AY60" s="157" t="s">
        <v>78</v>
      </c>
      <c r="AZ60" s="157" t="s">
        <v>105</v>
      </c>
      <c r="BA60" s="157" t="s">
        <v>78</v>
      </c>
      <c r="BB60" s="157" t="s">
        <v>380</v>
      </c>
      <c r="BC60" s="157" t="s">
        <v>379</v>
      </c>
      <c r="BD60" s="157" t="s">
        <v>381</v>
      </c>
      <c r="BE60" s="163"/>
    </row>
    <row r="61" spans="2:67">
      <c r="F61" t="str">
        <f>IF(N44=0," ","     ialt")</f>
        <v xml:space="preserve"> </v>
      </c>
      <c r="I61" s="24" t="s">
        <v>8</v>
      </c>
      <c r="J61" s="51" t="e">
        <f>H59+H60</f>
        <v>#N/A</v>
      </c>
      <c r="K61" s="24" t="e">
        <f>IF(J61&lt;L61,"&lt;","&gt;")</f>
        <v>#N/A</v>
      </c>
      <c r="L61" s="63" t="e">
        <f>J9/300</f>
        <v>#N/A</v>
      </c>
      <c r="M61" t="e">
        <f>IF(J61&lt;L61,"accept","forkast")</f>
        <v>#N/A</v>
      </c>
      <c r="P61" s="24"/>
      <c r="V61" s="24"/>
      <c r="AV61" s="29" t="s">
        <v>386</v>
      </c>
      <c r="AW61">
        <v>1</v>
      </c>
      <c r="AX61" s="51" t="e">
        <f>BJ17</f>
        <v>#N/A</v>
      </c>
      <c r="AY61" s="51" t="e">
        <f>J14</f>
        <v>#N/A</v>
      </c>
      <c r="AZ61" s="51" t="e">
        <f>AW61*AX61*AY61</f>
        <v>#N/A</v>
      </c>
      <c r="BA61">
        <v>0</v>
      </c>
      <c r="BB61" t="e">
        <f>BA61*AZ61</f>
        <v>#N/A</v>
      </c>
      <c r="BC61">
        <f>1/12</f>
        <v>8.3333333333333329E-2</v>
      </c>
      <c r="BD61" s="51" t="e">
        <f>BC61*AX61*AY61^3</f>
        <v>#N/A</v>
      </c>
      <c r="BE61" s="46"/>
    </row>
    <row r="62" spans="2:67">
      <c r="B62" t="s">
        <v>978</v>
      </c>
      <c r="L62" s="27"/>
      <c r="R62" s="46"/>
      <c r="AV62" s="29" t="s">
        <v>388</v>
      </c>
      <c r="AW62" s="24">
        <f>AW52</f>
        <v>9.2436974789915975</v>
      </c>
      <c r="AX62" s="51" t="e">
        <f>BJ13</f>
        <v>#N/A</v>
      </c>
      <c r="AY62" s="51">
        <v>1</v>
      </c>
      <c r="AZ62" s="51" t="e">
        <f>AW62*AX62*AY62</f>
        <v>#N/A</v>
      </c>
      <c r="BA62" s="24" t="e">
        <f>BJ18-BJ19/2</f>
        <v>#N/A</v>
      </c>
      <c r="BB62" t="e">
        <f>BA62*AZ62</f>
        <v>#N/A</v>
      </c>
      <c r="BC62" s="51"/>
      <c r="BD62" s="51" t="e">
        <f>AZ62*BA62^2</f>
        <v>#N/A</v>
      </c>
      <c r="BE62" s="46"/>
    </row>
    <row r="63" spans="2:67">
      <c r="C63" t="s">
        <v>470</v>
      </c>
      <c r="F63" t="s">
        <v>974</v>
      </c>
      <c r="H63" s="49" t="e">
        <f>AZ31</f>
        <v>#N/A</v>
      </c>
      <c r="J63" s="49" t="s">
        <v>78</v>
      </c>
      <c r="L63" s="27"/>
      <c r="S63" s="46"/>
      <c r="T63" s="51"/>
      <c r="AC63" s="51"/>
      <c r="AV63" s="29" t="s">
        <v>392</v>
      </c>
      <c r="AW63" s="24">
        <f>AW62</f>
        <v>9.2436974789915975</v>
      </c>
      <c r="AX63" s="51" t="e">
        <f>AX62</f>
        <v>#N/A</v>
      </c>
      <c r="AY63" s="51">
        <v>1</v>
      </c>
      <c r="AZ63" s="158" t="e">
        <f>AW63*AX63*AY63</f>
        <v>#N/A</v>
      </c>
      <c r="BA63" s="24" t="e">
        <f>-(A!J15-BJ19/2)</f>
        <v>#N/A</v>
      </c>
      <c r="BB63" s="12" t="e">
        <f>BA63*AZ63</f>
        <v>#N/A</v>
      </c>
      <c r="BC63" s="51"/>
      <c r="BD63" s="158" t="e">
        <f>AZ63*BA63^2</f>
        <v>#N/A</v>
      </c>
    </row>
    <row r="64" spans="2:67">
      <c r="F64" t="s">
        <v>975</v>
      </c>
      <c r="H64" s="49" t="e">
        <f>AZ31</f>
        <v>#N/A</v>
      </c>
      <c r="J64" s="49" t="s">
        <v>78</v>
      </c>
      <c r="L64" s="27"/>
      <c r="AC64" s="49"/>
      <c r="AV64" s="29"/>
      <c r="AY64" s="46" t="s">
        <v>395</v>
      </c>
      <c r="AZ64" t="e">
        <f>SUM(AZ61:AZ63)</f>
        <v>#N/A</v>
      </c>
      <c r="BA64" s="46" t="s">
        <v>396</v>
      </c>
      <c r="BB64" t="e">
        <f>SUM(BB61:BB63)</f>
        <v>#N/A</v>
      </c>
      <c r="BC64" s="46" t="s">
        <v>397</v>
      </c>
      <c r="BD64" t="e">
        <f>SUM(BD61:BD63)</f>
        <v>#N/A</v>
      </c>
    </row>
    <row r="65" spans="3:57" ht="15.75">
      <c r="F65" t="s">
        <v>976</v>
      </c>
      <c r="I65" t="s">
        <v>8</v>
      </c>
      <c r="J65" s="49" t="e">
        <f>H64+H63</f>
        <v>#N/A</v>
      </c>
      <c r="K65" s="24" t="e">
        <f>IF(J65&lt;L65,"&lt;","&gt;")</f>
        <v>#N/A</v>
      </c>
      <c r="L65" s="95">
        <f>L58</f>
        <v>0.4</v>
      </c>
      <c r="M65" t="e">
        <f>IF(J65&lt;L65,"accept","forkast")</f>
        <v>#N/A</v>
      </c>
      <c r="T65" s="49"/>
      <c r="AC65" s="51"/>
      <c r="AV65" s="29"/>
      <c r="AX65" s="159" t="s">
        <v>403</v>
      </c>
      <c r="BA65" s="46" t="s">
        <v>404</v>
      </c>
      <c r="BB65" s="24" t="e">
        <f>BB64/AZ64</f>
        <v>#N/A</v>
      </c>
      <c r="BC65" s="46" t="s">
        <v>405</v>
      </c>
      <c r="BD65" s="12" t="e">
        <f>-AZ64*BB65^2</f>
        <v>#N/A</v>
      </c>
    </row>
    <row r="66" spans="3:57">
      <c r="C66" t="s">
        <v>977</v>
      </c>
      <c r="F66" t="s">
        <v>974</v>
      </c>
      <c r="H66" s="24" t="e">
        <f>BA32</f>
        <v>#N/A</v>
      </c>
      <c r="I66" s="24"/>
      <c r="J66" s="24" t="s">
        <v>78</v>
      </c>
      <c r="T66" s="51"/>
      <c r="BC66" s="46" t="s">
        <v>408</v>
      </c>
      <c r="BD66" t="e">
        <f>BD65+BD64</f>
        <v>#N/A</v>
      </c>
      <c r="BE66" t="e">
        <f>BD66*10^-12</f>
        <v>#N/A</v>
      </c>
    </row>
    <row r="67" spans="3:57">
      <c r="F67" t="s">
        <v>975</v>
      </c>
      <c r="H67" s="24" t="e">
        <f>BA32</f>
        <v>#N/A</v>
      </c>
      <c r="I67" s="24"/>
      <c r="J67" s="24" t="s">
        <v>78</v>
      </c>
      <c r="K67" s="24"/>
      <c r="L67" s="91"/>
    </row>
    <row r="68" spans="3:57">
      <c r="F68" t="str">
        <f>IF(N51=0," ","     ialt")</f>
        <v xml:space="preserve"> </v>
      </c>
      <c r="I68" s="24" t="s">
        <v>8</v>
      </c>
      <c r="J68" s="51" t="e">
        <f>H66+H67</f>
        <v>#N/A</v>
      </c>
      <c r="K68" s="24" t="e">
        <f>IF(J68&lt;L68,"&lt;","&gt;")</f>
        <v>#N/A</v>
      </c>
      <c r="L68" s="63" t="e">
        <f>J10/300</f>
        <v>#N/A</v>
      </c>
      <c r="M68" t="e">
        <f>IF(J68&lt;L68,"accept","forkast")</f>
        <v>#N/A</v>
      </c>
    </row>
  </sheetData>
  <sheetProtection algorithmName="SHA-512" hashValue="0JqLKuG1CKPE55hhTTOgRU45ECinkZyBnh9ePeXNLQWp3mxerHOofv1LV3ihF8SyXQQHnHXvJeXVwqlxy5vpxA==" saltValue="QCdVMtKPY3aE7rvNVAIleA==" spinCount="100000" sheet="1" objects="1" scenarios="1"/>
  <pageMargins left="0.98425196850393704" right="0.39370078740157483" top="0.39370078740157483" bottom="0.19685039370078741" header="0.31496062992125984" footer="0.31496062992125984"/>
  <pageSetup paperSize="9" scale="78"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pageSetUpPr fitToPage="1"/>
  </sheetPr>
  <dimension ref="A1:X137"/>
  <sheetViews>
    <sheetView zoomScale="87" zoomScaleNormal="87" workbookViewId="0">
      <selection activeCell="Q46" sqref="Q46"/>
    </sheetView>
  </sheetViews>
  <sheetFormatPr defaultColWidth="9.77734375" defaultRowHeight="15"/>
  <cols>
    <col min="1" max="1" width="13.77734375" customWidth="1"/>
    <col min="2" max="2" width="2.77734375" customWidth="1"/>
    <col min="3" max="3" width="6.77734375" customWidth="1"/>
    <col min="4" max="5" width="3.77734375" customWidth="1"/>
    <col min="6" max="6" width="8.77734375" customWidth="1"/>
    <col min="7" max="7" width="17.77734375" customWidth="1"/>
    <col min="8" max="8" width="6.77734375" customWidth="1"/>
    <col min="9" max="9" width="2.77734375" customWidth="1"/>
    <col min="10" max="10" width="7.77734375" customWidth="1"/>
    <col min="11" max="11" width="3.77734375" customWidth="1"/>
    <col min="12" max="12" width="6.77734375" customWidth="1"/>
    <col min="18" max="18" width="2.77734375" customWidth="1"/>
    <col min="254" max="254" width="9.77734375" customWidth="1"/>
    <col min="257" max="257" width="13.77734375" customWidth="1"/>
    <col min="258" max="258" width="2.77734375" customWidth="1"/>
    <col min="259" max="259" width="6.77734375" customWidth="1"/>
    <col min="260" max="261" width="3.77734375" customWidth="1"/>
    <col min="262" max="262" width="8.77734375" customWidth="1"/>
    <col min="263" max="263" width="17.77734375" customWidth="1"/>
    <col min="264" max="264" width="6.77734375" customWidth="1"/>
    <col min="265" max="265" width="2.77734375" customWidth="1"/>
    <col min="266" max="266" width="7.77734375" customWidth="1"/>
    <col min="267" max="267" width="3.77734375" customWidth="1"/>
    <col min="268" max="268" width="6.77734375" customWidth="1"/>
    <col min="274" max="274" width="2.77734375" customWidth="1"/>
    <col min="510" max="510" width="9.77734375" customWidth="1"/>
    <col min="513" max="513" width="13.77734375" customWidth="1"/>
    <col min="514" max="514" width="2.77734375" customWidth="1"/>
    <col min="515" max="515" width="6.77734375" customWidth="1"/>
    <col min="516" max="517" width="3.77734375" customWidth="1"/>
    <col min="518" max="518" width="8.77734375" customWidth="1"/>
    <col min="519" max="519" width="17.77734375" customWidth="1"/>
    <col min="520" max="520" width="6.77734375" customWidth="1"/>
    <col min="521" max="521" width="2.77734375" customWidth="1"/>
    <col min="522" max="522" width="7.77734375" customWidth="1"/>
    <col min="523" max="523" width="3.77734375" customWidth="1"/>
    <col min="524" max="524" width="6.77734375" customWidth="1"/>
    <col min="530" max="530" width="2.77734375" customWidth="1"/>
    <col min="766" max="766" width="9.77734375" customWidth="1"/>
    <col min="769" max="769" width="13.77734375" customWidth="1"/>
    <col min="770" max="770" width="2.77734375" customWidth="1"/>
    <col min="771" max="771" width="6.77734375" customWidth="1"/>
    <col min="772" max="773" width="3.77734375" customWidth="1"/>
    <col min="774" max="774" width="8.77734375" customWidth="1"/>
    <col min="775" max="775" width="17.77734375" customWidth="1"/>
    <col min="776" max="776" width="6.77734375" customWidth="1"/>
    <col min="777" max="777" width="2.77734375" customWidth="1"/>
    <col min="778" max="778" width="7.77734375" customWidth="1"/>
    <col min="779" max="779" width="3.77734375" customWidth="1"/>
    <col min="780" max="780" width="6.77734375" customWidth="1"/>
    <col min="786" max="786" width="2.77734375" customWidth="1"/>
    <col min="1022" max="1022" width="9.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7.77734375" customWidth="1"/>
    <col min="1032" max="1032" width="6.77734375" customWidth="1"/>
    <col min="1033" max="1033" width="2.77734375" customWidth="1"/>
    <col min="1034" max="1034" width="7.77734375" customWidth="1"/>
    <col min="1035" max="1035" width="3.77734375" customWidth="1"/>
    <col min="1036" max="1036" width="6.77734375" customWidth="1"/>
    <col min="1042" max="1042" width="2.77734375" customWidth="1"/>
    <col min="1278" max="1278" width="9.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7.77734375" customWidth="1"/>
    <col min="1288" max="1288" width="6.77734375" customWidth="1"/>
    <col min="1289" max="1289" width="2.77734375" customWidth="1"/>
    <col min="1290" max="1290" width="7.77734375" customWidth="1"/>
    <col min="1291" max="1291" width="3.77734375" customWidth="1"/>
    <col min="1292" max="1292" width="6.77734375" customWidth="1"/>
    <col min="1298" max="1298" width="2.77734375" customWidth="1"/>
    <col min="1534" max="1534" width="9.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7.77734375" customWidth="1"/>
    <col min="1544" max="1544" width="6.77734375" customWidth="1"/>
    <col min="1545" max="1545" width="2.77734375" customWidth="1"/>
    <col min="1546" max="1546" width="7.77734375" customWidth="1"/>
    <col min="1547" max="1547" width="3.77734375" customWidth="1"/>
    <col min="1548" max="1548" width="6.77734375" customWidth="1"/>
    <col min="1554" max="1554" width="2.77734375" customWidth="1"/>
    <col min="1790" max="1790" width="9.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7.77734375" customWidth="1"/>
    <col min="1800" max="1800" width="6.77734375" customWidth="1"/>
    <col min="1801" max="1801" width="2.77734375" customWidth="1"/>
    <col min="1802" max="1802" width="7.77734375" customWidth="1"/>
    <col min="1803" max="1803" width="3.77734375" customWidth="1"/>
    <col min="1804" max="1804" width="6.77734375" customWidth="1"/>
    <col min="1810" max="1810" width="2.77734375" customWidth="1"/>
    <col min="2046" max="2046" width="9.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7.77734375" customWidth="1"/>
    <col min="2056" max="2056" width="6.77734375" customWidth="1"/>
    <col min="2057" max="2057" width="2.77734375" customWidth="1"/>
    <col min="2058" max="2058" width="7.77734375" customWidth="1"/>
    <col min="2059" max="2059" width="3.77734375" customWidth="1"/>
    <col min="2060" max="2060" width="6.77734375" customWidth="1"/>
    <col min="2066" max="2066" width="2.77734375" customWidth="1"/>
    <col min="2302" max="2302" width="9.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7.77734375" customWidth="1"/>
    <col min="2312" max="2312" width="6.77734375" customWidth="1"/>
    <col min="2313" max="2313" width="2.77734375" customWidth="1"/>
    <col min="2314" max="2314" width="7.77734375" customWidth="1"/>
    <col min="2315" max="2315" width="3.77734375" customWidth="1"/>
    <col min="2316" max="2316" width="6.77734375" customWidth="1"/>
    <col min="2322" max="2322" width="2.77734375" customWidth="1"/>
    <col min="2558" max="2558" width="9.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7.77734375" customWidth="1"/>
    <col min="2568" max="2568" width="6.77734375" customWidth="1"/>
    <col min="2569" max="2569" width="2.77734375" customWidth="1"/>
    <col min="2570" max="2570" width="7.77734375" customWidth="1"/>
    <col min="2571" max="2571" width="3.77734375" customWidth="1"/>
    <col min="2572" max="2572" width="6.77734375" customWidth="1"/>
    <col min="2578" max="2578" width="2.77734375" customWidth="1"/>
    <col min="2814" max="2814" width="9.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7.77734375" customWidth="1"/>
    <col min="2824" max="2824" width="6.77734375" customWidth="1"/>
    <col min="2825" max="2825" width="2.77734375" customWidth="1"/>
    <col min="2826" max="2826" width="7.77734375" customWidth="1"/>
    <col min="2827" max="2827" width="3.77734375" customWidth="1"/>
    <col min="2828" max="2828" width="6.77734375" customWidth="1"/>
    <col min="2834" max="2834" width="2.77734375" customWidth="1"/>
    <col min="3070" max="3070" width="9.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7.77734375" customWidth="1"/>
    <col min="3080" max="3080" width="6.77734375" customWidth="1"/>
    <col min="3081" max="3081" width="2.77734375" customWidth="1"/>
    <col min="3082" max="3082" width="7.77734375" customWidth="1"/>
    <col min="3083" max="3083" width="3.77734375" customWidth="1"/>
    <col min="3084" max="3084" width="6.77734375" customWidth="1"/>
    <col min="3090" max="3090" width="2.77734375" customWidth="1"/>
    <col min="3326" max="3326" width="9.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7.77734375" customWidth="1"/>
    <col min="3336" max="3336" width="6.77734375" customWidth="1"/>
    <col min="3337" max="3337" width="2.77734375" customWidth="1"/>
    <col min="3338" max="3338" width="7.77734375" customWidth="1"/>
    <col min="3339" max="3339" width="3.77734375" customWidth="1"/>
    <col min="3340" max="3340" width="6.77734375" customWidth="1"/>
    <col min="3346" max="3346" width="2.77734375" customWidth="1"/>
    <col min="3582" max="3582" width="9.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7.77734375" customWidth="1"/>
    <col min="3592" max="3592" width="6.77734375" customWidth="1"/>
    <col min="3593" max="3593" width="2.77734375" customWidth="1"/>
    <col min="3594" max="3594" width="7.77734375" customWidth="1"/>
    <col min="3595" max="3595" width="3.77734375" customWidth="1"/>
    <col min="3596" max="3596" width="6.77734375" customWidth="1"/>
    <col min="3602" max="3602" width="2.77734375" customWidth="1"/>
    <col min="3838" max="3838" width="9.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7.77734375" customWidth="1"/>
    <col min="3848" max="3848" width="6.77734375" customWidth="1"/>
    <col min="3849" max="3849" width="2.77734375" customWidth="1"/>
    <col min="3850" max="3850" width="7.77734375" customWidth="1"/>
    <col min="3851" max="3851" width="3.77734375" customWidth="1"/>
    <col min="3852" max="3852" width="6.77734375" customWidth="1"/>
    <col min="3858" max="3858" width="2.77734375" customWidth="1"/>
    <col min="4094" max="4094" width="9.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7.77734375" customWidth="1"/>
    <col min="4104" max="4104" width="6.77734375" customWidth="1"/>
    <col min="4105" max="4105" width="2.77734375" customWidth="1"/>
    <col min="4106" max="4106" width="7.77734375" customWidth="1"/>
    <col min="4107" max="4107" width="3.77734375" customWidth="1"/>
    <col min="4108" max="4108" width="6.77734375" customWidth="1"/>
    <col min="4114" max="4114" width="2.77734375" customWidth="1"/>
    <col min="4350" max="4350" width="9.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7.77734375" customWidth="1"/>
    <col min="4360" max="4360" width="6.77734375" customWidth="1"/>
    <col min="4361" max="4361" width="2.77734375" customWidth="1"/>
    <col min="4362" max="4362" width="7.77734375" customWidth="1"/>
    <col min="4363" max="4363" width="3.77734375" customWidth="1"/>
    <col min="4364" max="4364" width="6.77734375" customWidth="1"/>
    <col min="4370" max="4370" width="2.77734375" customWidth="1"/>
    <col min="4606" max="4606" width="9.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7.77734375" customWidth="1"/>
    <col min="4616" max="4616" width="6.77734375" customWidth="1"/>
    <col min="4617" max="4617" width="2.77734375" customWidth="1"/>
    <col min="4618" max="4618" width="7.77734375" customWidth="1"/>
    <col min="4619" max="4619" width="3.77734375" customWidth="1"/>
    <col min="4620" max="4620" width="6.77734375" customWidth="1"/>
    <col min="4626" max="4626" width="2.77734375" customWidth="1"/>
    <col min="4862" max="4862" width="9.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7.77734375" customWidth="1"/>
    <col min="4872" max="4872" width="6.77734375" customWidth="1"/>
    <col min="4873" max="4873" width="2.77734375" customWidth="1"/>
    <col min="4874" max="4874" width="7.77734375" customWidth="1"/>
    <col min="4875" max="4875" width="3.77734375" customWidth="1"/>
    <col min="4876" max="4876" width="6.77734375" customWidth="1"/>
    <col min="4882" max="4882" width="2.77734375" customWidth="1"/>
    <col min="5118" max="5118" width="9.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7.77734375" customWidth="1"/>
    <col min="5128" max="5128" width="6.77734375" customWidth="1"/>
    <col min="5129" max="5129" width="2.77734375" customWidth="1"/>
    <col min="5130" max="5130" width="7.77734375" customWidth="1"/>
    <col min="5131" max="5131" width="3.77734375" customWidth="1"/>
    <col min="5132" max="5132" width="6.77734375" customWidth="1"/>
    <col min="5138" max="5138" width="2.77734375" customWidth="1"/>
    <col min="5374" max="5374" width="9.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7.77734375" customWidth="1"/>
    <col min="5384" max="5384" width="6.77734375" customWidth="1"/>
    <col min="5385" max="5385" width="2.77734375" customWidth="1"/>
    <col min="5386" max="5386" width="7.77734375" customWidth="1"/>
    <col min="5387" max="5387" width="3.77734375" customWidth="1"/>
    <col min="5388" max="5388" width="6.77734375" customWidth="1"/>
    <col min="5394" max="5394" width="2.77734375" customWidth="1"/>
    <col min="5630" max="5630" width="9.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7.77734375" customWidth="1"/>
    <col min="5640" max="5640" width="6.77734375" customWidth="1"/>
    <col min="5641" max="5641" width="2.77734375" customWidth="1"/>
    <col min="5642" max="5642" width="7.77734375" customWidth="1"/>
    <col min="5643" max="5643" width="3.77734375" customWidth="1"/>
    <col min="5644" max="5644" width="6.77734375" customWidth="1"/>
    <col min="5650" max="5650" width="2.77734375" customWidth="1"/>
    <col min="5886" max="5886" width="9.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7.77734375" customWidth="1"/>
    <col min="5896" max="5896" width="6.77734375" customWidth="1"/>
    <col min="5897" max="5897" width="2.77734375" customWidth="1"/>
    <col min="5898" max="5898" width="7.77734375" customWidth="1"/>
    <col min="5899" max="5899" width="3.77734375" customWidth="1"/>
    <col min="5900" max="5900" width="6.77734375" customWidth="1"/>
    <col min="5906" max="5906" width="2.77734375" customWidth="1"/>
    <col min="6142" max="6142" width="9.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7.77734375" customWidth="1"/>
    <col min="6152" max="6152" width="6.77734375" customWidth="1"/>
    <col min="6153" max="6153" width="2.77734375" customWidth="1"/>
    <col min="6154" max="6154" width="7.77734375" customWidth="1"/>
    <col min="6155" max="6155" width="3.77734375" customWidth="1"/>
    <col min="6156" max="6156" width="6.77734375" customWidth="1"/>
    <col min="6162" max="6162" width="2.77734375" customWidth="1"/>
    <col min="6398" max="6398" width="9.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7.77734375" customWidth="1"/>
    <col min="6408" max="6408" width="6.77734375" customWidth="1"/>
    <col min="6409" max="6409" width="2.77734375" customWidth="1"/>
    <col min="6410" max="6410" width="7.77734375" customWidth="1"/>
    <col min="6411" max="6411" width="3.77734375" customWidth="1"/>
    <col min="6412" max="6412" width="6.77734375" customWidth="1"/>
    <col min="6418" max="6418" width="2.77734375" customWidth="1"/>
    <col min="6654" max="6654" width="9.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7.77734375" customWidth="1"/>
    <col min="6664" max="6664" width="6.77734375" customWidth="1"/>
    <col min="6665" max="6665" width="2.77734375" customWidth="1"/>
    <col min="6666" max="6666" width="7.77734375" customWidth="1"/>
    <col min="6667" max="6667" width="3.77734375" customWidth="1"/>
    <col min="6668" max="6668" width="6.77734375" customWidth="1"/>
    <col min="6674" max="6674" width="2.77734375" customWidth="1"/>
    <col min="6910" max="6910" width="9.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7.77734375" customWidth="1"/>
    <col min="6920" max="6920" width="6.77734375" customWidth="1"/>
    <col min="6921" max="6921" width="2.77734375" customWidth="1"/>
    <col min="6922" max="6922" width="7.77734375" customWidth="1"/>
    <col min="6923" max="6923" width="3.77734375" customWidth="1"/>
    <col min="6924" max="6924" width="6.77734375" customWidth="1"/>
    <col min="6930" max="6930" width="2.77734375" customWidth="1"/>
    <col min="7166" max="7166" width="9.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7.77734375" customWidth="1"/>
    <col min="7176" max="7176" width="6.77734375" customWidth="1"/>
    <col min="7177" max="7177" width="2.77734375" customWidth="1"/>
    <col min="7178" max="7178" width="7.77734375" customWidth="1"/>
    <col min="7179" max="7179" width="3.77734375" customWidth="1"/>
    <col min="7180" max="7180" width="6.77734375" customWidth="1"/>
    <col min="7186" max="7186" width="2.77734375" customWidth="1"/>
    <col min="7422" max="7422" width="9.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7.77734375" customWidth="1"/>
    <col min="7432" max="7432" width="6.77734375" customWidth="1"/>
    <col min="7433" max="7433" width="2.77734375" customWidth="1"/>
    <col min="7434" max="7434" width="7.77734375" customWidth="1"/>
    <col min="7435" max="7435" width="3.77734375" customWidth="1"/>
    <col min="7436" max="7436" width="6.77734375" customWidth="1"/>
    <col min="7442" max="7442" width="2.77734375" customWidth="1"/>
    <col min="7678" max="7678" width="9.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7.77734375" customWidth="1"/>
    <col min="7688" max="7688" width="6.77734375" customWidth="1"/>
    <col min="7689" max="7689" width="2.77734375" customWidth="1"/>
    <col min="7690" max="7690" width="7.77734375" customWidth="1"/>
    <col min="7691" max="7691" width="3.77734375" customWidth="1"/>
    <col min="7692" max="7692" width="6.77734375" customWidth="1"/>
    <col min="7698" max="7698" width="2.77734375" customWidth="1"/>
    <col min="7934" max="7934" width="9.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7.77734375" customWidth="1"/>
    <col min="7944" max="7944" width="6.77734375" customWidth="1"/>
    <col min="7945" max="7945" width="2.77734375" customWidth="1"/>
    <col min="7946" max="7946" width="7.77734375" customWidth="1"/>
    <col min="7947" max="7947" width="3.77734375" customWidth="1"/>
    <col min="7948" max="7948" width="6.77734375" customWidth="1"/>
    <col min="7954" max="7954" width="2.77734375" customWidth="1"/>
    <col min="8190" max="8190" width="9.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7.77734375" customWidth="1"/>
    <col min="8200" max="8200" width="6.77734375" customWidth="1"/>
    <col min="8201" max="8201" width="2.77734375" customWidth="1"/>
    <col min="8202" max="8202" width="7.77734375" customWidth="1"/>
    <col min="8203" max="8203" width="3.77734375" customWidth="1"/>
    <col min="8204" max="8204" width="6.77734375" customWidth="1"/>
    <col min="8210" max="8210" width="2.77734375" customWidth="1"/>
    <col min="8446" max="8446" width="9.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7.77734375" customWidth="1"/>
    <col min="8456" max="8456" width="6.77734375" customWidth="1"/>
    <col min="8457" max="8457" width="2.77734375" customWidth="1"/>
    <col min="8458" max="8458" width="7.77734375" customWidth="1"/>
    <col min="8459" max="8459" width="3.77734375" customWidth="1"/>
    <col min="8460" max="8460" width="6.77734375" customWidth="1"/>
    <col min="8466" max="8466" width="2.77734375" customWidth="1"/>
    <col min="8702" max="8702" width="9.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7.77734375" customWidth="1"/>
    <col min="8712" max="8712" width="6.77734375" customWidth="1"/>
    <col min="8713" max="8713" width="2.77734375" customWidth="1"/>
    <col min="8714" max="8714" width="7.77734375" customWidth="1"/>
    <col min="8715" max="8715" width="3.77734375" customWidth="1"/>
    <col min="8716" max="8716" width="6.77734375" customWidth="1"/>
    <col min="8722" max="8722" width="2.77734375" customWidth="1"/>
    <col min="8958" max="8958" width="9.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7.77734375" customWidth="1"/>
    <col min="8968" max="8968" width="6.77734375" customWidth="1"/>
    <col min="8969" max="8969" width="2.77734375" customWidth="1"/>
    <col min="8970" max="8970" width="7.77734375" customWidth="1"/>
    <col min="8971" max="8971" width="3.77734375" customWidth="1"/>
    <col min="8972" max="8972" width="6.77734375" customWidth="1"/>
    <col min="8978" max="8978" width="2.77734375" customWidth="1"/>
    <col min="9214" max="9214" width="9.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7.77734375" customWidth="1"/>
    <col min="9224" max="9224" width="6.77734375" customWidth="1"/>
    <col min="9225" max="9225" width="2.77734375" customWidth="1"/>
    <col min="9226" max="9226" width="7.77734375" customWidth="1"/>
    <col min="9227" max="9227" width="3.77734375" customWidth="1"/>
    <col min="9228" max="9228" width="6.77734375" customWidth="1"/>
    <col min="9234" max="9234" width="2.77734375" customWidth="1"/>
    <col min="9470" max="9470" width="9.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7.77734375" customWidth="1"/>
    <col min="9480" max="9480" width="6.77734375" customWidth="1"/>
    <col min="9481" max="9481" width="2.77734375" customWidth="1"/>
    <col min="9482" max="9482" width="7.77734375" customWidth="1"/>
    <col min="9483" max="9483" width="3.77734375" customWidth="1"/>
    <col min="9484" max="9484" width="6.77734375" customWidth="1"/>
    <col min="9490" max="9490" width="2.77734375" customWidth="1"/>
    <col min="9726" max="9726" width="9.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7.77734375" customWidth="1"/>
    <col min="9736" max="9736" width="6.77734375" customWidth="1"/>
    <col min="9737" max="9737" width="2.77734375" customWidth="1"/>
    <col min="9738" max="9738" width="7.77734375" customWidth="1"/>
    <col min="9739" max="9739" width="3.77734375" customWidth="1"/>
    <col min="9740" max="9740" width="6.77734375" customWidth="1"/>
    <col min="9746" max="9746" width="2.77734375" customWidth="1"/>
    <col min="9982" max="9982" width="9.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7.77734375" customWidth="1"/>
    <col min="9992" max="9992" width="6.77734375" customWidth="1"/>
    <col min="9993" max="9993" width="2.77734375" customWidth="1"/>
    <col min="9994" max="9994" width="7.77734375" customWidth="1"/>
    <col min="9995" max="9995" width="3.77734375" customWidth="1"/>
    <col min="9996" max="9996" width="6.77734375" customWidth="1"/>
    <col min="10002" max="10002" width="2.77734375" customWidth="1"/>
    <col min="10238" max="10238" width="9.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7.77734375" customWidth="1"/>
    <col min="10248" max="10248" width="6.77734375" customWidth="1"/>
    <col min="10249" max="10249" width="2.77734375" customWidth="1"/>
    <col min="10250" max="10250" width="7.77734375" customWidth="1"/>
    <col min="10251" max="10251" width="3.77734375" customWidth="1"/>
    <col min="10252" max="10252" width="6.77734375" customWidth="1"/>
    <col min="10258" max="10258" width="2.77734375" customWidth="1"/>
    <col min="10494" max="10494" width="9.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7.77734375" customWidth="1"/>
    <col min="10504" max="10504" width="6.77734375" customWidth="1"/>
    <col min="10505" max="10505" width="2.77734375" customWidth="1"/>
    <col min="10506" max="10506" width="7.77734375" customWidth="1"/>
    <col min="10507" max="10507" width="3.77734375" customWidth="1"/>
    <col min="10508" max="10508" width="6.77734375" customWidth="1"/>
    <col min="10514" max="10514" width="2.77734375" customWidth="1"/>
    <col min="10750" max="10750" width="9.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7.77734375" customWidth="1"/>
    <col min="10760" max="10760" width="6.77734375" customWidth="1"/>
    <col min="10761" max="10761" width="2.77734375" customWidth="1"/>
    <col min="10762" max="10762" width="7.77734375" customWidth="1"/>
    <col min="10763" max="10763" width="3.77734375" customWidth="1"/>
    <col min="10764" max="10764" width="6.77734375" customWidth="1"/>
    <col min="10770" max="10770" width="2.77734375" customWidth="1"/>
    <col min="11006" max="11006" width="9.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7.77734375" customWidth="1"/>
    <col min="11016" max="11016" width="6.77734375" customWidth="1"/>
    <col min="11017" max="11017" width="2.77734375" customWidth="1"/>
    <col min="11018" max="11018" width="7.77734375" customWidth="1"/>
    <col min="11019" max="11019" width="3.77734375" customWidth="1"/>
    <col min="11020" max="11020" width="6.77734375" customWidth="1"/>
    <col min="11026" max="11026" width="2.77734375" customWidth="1"/>
    <col min="11262" max="11262" width="9.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7.77734375" customWidth="1"/>
    <col min="11272" max="11272" width="6.77734375" customWidth="1"/>
    <col min="11273" max="11273" width="2.77734375" customWidth="1"/>
    <col min="11274" max="11274" width="7.77734375" customWidth="1"/>
    <col min="11275" max="11275" width="3.77734375" customWidth="1"/>
    <col min="11276" max="11276" width="6.77734375" customWidth="1"/>
    <col min="11282" max="11282" width="2.77734375" customWidth="1"/>
    <col min="11518" max="11518" width="9.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7.77734375" customWidth="1"/>
    <col min="11528" max="11528" width="6.77734375" customWidth="1"/>
    <col min="11529" max="11529" width="2.77734375" customWidth="1"/>
    <col min="11530" max="11530" width="7.77734375" customWidth="1"/>
    <col min="11531" max="11531" width="3.77734375" customWidth="1"/>
    <col min="11532" max="11532" width="6.77734375" customWidth="1"/>
    <col min="11538" max="11538" width="2.77734375" customWidth="1"/>
    <col min="11774" max="11774" width="9.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7.77734375" customWidth="1"/>
    <col min="11784" max="11784" width="6.77734375" customWidth="1"/>
    <col min="11785" max="11785" width="2.77734375" customWidth="1"/>
    <col min="11786" max="11786" width="7.77734375" customWidth="1"/>
    <col min="11787" max="11787" width="3.77734375" customWidth="1"/>
    <col min="11788" max="11788" width="6.77734375" customWidth="1"/>
    <col min="11794" max="11794" width="2.77734375" customWidth="1"/>
    <col min="12030" max="12030" width="9.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7.77734375" customWidth="1"/>
    <col min="12040" max="12040" width="6.77734375" customWidth="1"/>
    <col min="12041" max="12041" width="2.77734375" customWidth="1"/>
    <col min="12042" max="12042" width="7.77734375" customWidth="1"/>
    <col min="12043" max="12043" width="3.77734375" customWidth="1"/>
    <col min="12044" max="12044" width="6.77734375" customWidth="1"/>
    <col min="12050" max="12050" width="2.77734375" customWidth="1"/>
    <col min="12286" max="12286" width="9.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7.77734375" customWidth="1"/>
    <col min="12296" max="12296" width="6.77734375" customWidth="1"/>
    <col min="12297" max="12297" width="2.77734375" customWidth="1"/>
    <col min="12298" max="12298" width="7.77734375" customWidth="1"/>
    <col min="12299" max="12299" width="3.77734375" customWidth="1"/>
    <col min="12300" max="12300" width="6.77734375" customWidth="1"/>
    <col min="12306" max="12306" width="2.77734375" customWidth="1"/>
    <col min="12542" max="12542" width="9.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7.77734375" customWidth="1"/>
    <col min="12552" max="12552" width="6.77734375" customWidth="1"/>
    <col min="12553" max="12553" width="2.77734375" customWidth="1"/>
    <col min="12554" max="12554" width="7.77734375" customWidth="1"/>
    <col min="12555" max="12555" width="3.77734375" customWidth="1"/>
    <col min="12556" max="12556" width="6.77734375" customWidth="1"/>
    <col min="12562" max="12562" width="2.77734375" customWidth="1"/>
    <col min="12798" max="12798" width="9.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7.77734375" customWidth="1"/>
    <col min="12808" max="12808" width="6.77734375" customWidth="1"/>
    <col min="12809" max="12809" width="2.77734375" customWidth="1"/>
    <col min="12810" max="12810" width="7.77734375" customWidth="1"/>
    <col min="12811" max="12811" width="3.77734375" customWidth="1"/>
    <col min="12812" max="12812" width="6.77734375" customWidth="1"/>
    <col min="12818" max="12818" width="2.77734375" customWidth="1"/>
    <col min="13054" max="13054" width="9.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7.77734375" customWidth="1"/>
    <col min="13064" max="13064" width="6.77734375" customWidth="1"/>
    <col min="13065" max="13065" width="2.77734375" customWidth="1"/>
    <col min="13066" max="13066" width="7.77734375" customWidth="1"/>
    <col min="13067" max="13067" width="3.77734375" customWidth="1"/>
    <col min="13068" max="13068" width="6.77734375" customWidth="1"/>
    <col min="13074" max="13074" width="2.77734375" customWidth="1"/>
    <col min="13310" max="13310" width="9.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7.77734375" customWidth="1"/>
    <col min="13320" max="13320" width="6.77734375" customWidth="1"/>
    <col min="13321" max="13321" width="2.77734375" customWidth="1"/>
    <col min="13322" max="13322" width="7.77734375" customWidth="1"/>
    <col min="13323" max="13323" width="3.77734375" customWidth="1"/>
    <col min="13324" max="13324" width="6.77734375" customWidth="1"/>
    <col min="13330" max="13330" width="2.77734375" customWidth="1"/>
    <col min="13566" max="13566" width="9.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7.77734375" customWidth="1"/>
    <col min="13576" max="13576" width="6.77734375" customWidth="1"/>
    <col min="13577" max="13577" width="2.77734375" customWidth="1"/>
    <col min="13578" max="13578" width="7.77734375" customWidth="1"/>
    <col min="13579" max="13579" width="3.77734375" customWidth="1"/>
    <col min="13580" max="13580" width="6.77734375" customWidth="1"/>
    <col min="13586" max="13586" width="2.77734375" customWidth="1"/>
    <col min="13822" max="13822" width="9.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7.77734375" customWidth="1"/>
    <col min="13832" max="13832" width="6.77734375" customWidth="1"/>
    <col min="13833" max="13833" width="2.77734375" customWidth="1"/>
    <col min="13834" max="13834" width="7.77734375" customWidth="1"/>
    <col min="13835" max="13835" width="3.77734375" customWidth="1"/>
    <col min="13836" max="13836" width="6.77734375" customWidth="1"/>
    <col min="13842" max="13842" width="2.77734375" customWidth="1"/>
    <col min="14078" max="14078" width="9.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7.77734375" customWidth="1"/>
    <col min="14088" max="14088" width="6.77734375" customWidth="1"/>
    <col min="14089" max="14089" width="2.77734375" customWidth="1"/>
    <col min="14090" max="14090" width="7.77734375" customWidth="1"/>
    <col min="14091" max="14091" width="3.77734375" customWidth="1"/>
    <col min="14092" max="14092" width="6.77734375" customWidth="1"/>
    <col min="14098" max="14098" width="2.77734375" customWidth="1"/>
    <col min="14334" max="14334" width="9.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7.77734375" customWidth="1"/>
    <col min="14344" max="14344" width="6.77734375" customWidth="1"/>
    <col min="14345" max="14345" width="2.77734375" customWidth="1"/>
    <col min="14346" max="14346" width="7.77734375" customWidth="1"/>
    <col min="14347" max="14347" width="3.77734375" customWidth="1"/>
    <col min="14348" max="14348" width="6.77734375" customWidth="1"/>
    <col min="14354" max="14354" width="2.77734375" customWidth="1"/>
    <col min="14590" max="14590" width="9.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7.77734375" customWidth="1"/>
    <col min="14600" max="14600" width="6.77734375" customWidth="1"/>
    <col min="14601" max="14601" width="2.77734375" customWidth="1"/>
    <col min="14602" max="14602" width="7.77734375" customWidth="1"/>
    <col min="14603" max="14603" width="3.77734375" customWidth="1"/>
    <col min="14604" max="14604" width="6.77734375" customWidth="1"/>
    <col min="14610" max="14610" width="2.77734375" customWidth="1"/>
    <col min="14846" max="14846" width="9.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7.77734375" customWidth="1"/>
    <col min="14856" max="14856" width="6.77734375" customWidth="1"/>
    <col min="14857" max="14857" width="2.77734375" customWidth="1"/>
    <col min="14858" max="14858" width="7.77734375" customWidth="1"/>
    <col min="14859" max="14859" width="3.77734375" customWidth="1"/>
    <col min="14860" max="14860" width="6.77734375" customWidth="1"/>
    <col min="14866" max="14866" width="2.77734375" customWidth="1"/>
    <col min="15102" max="15102" width="9.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7.77734375" customWidth="1"/>
    <col min="15112" max="15112" width="6.77734375" customWidth="1"/>
    <col min="15113" max="15113" width="2.77734375" customWidth="1"/>
    <col min="15114" max="15114" width="7.77734375" customWidth="1"/>
    <col min="15115" max="15115" width="3.77734375" customWidth="1"/>
    <col min="15116" max="15116" width="6.77734375" customWidth="1"/>
    <col min="15122" max="15122" width="2.77734375" customWidth="1"/>
    <col min="15358" max="15358" width="9.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7.77734375" customWidth="1"/>
    <col min="15368" max="15368" width="6.77734375" customWidth="1"/>
    <col min="15369" max="15369" width="2.77734375" customWidth="1"/>
    <col min="15370" max="15370" width="7.77734375" customWidth="1"/>
    <col min="15371" max="15371" width="3.77734375" customWidth="1"/>
    <col min="15372" max="15372" width="6.77734375" customWidth="1"/>
    <col min="15378" max="15378" width="2.77734375" customWidth="1"/>
    <col min="15614" max="15614" width="9.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7.77734375" customWidth="1"/>
    <col min="15624" max="15624" width="6.77734375" customWidth="1"/>
    <col min="15625" max="15625" width="2.77734375" customWidth="1"/>
    <col min="15626" max="15626" width="7.77734375" customWidth="1"/>
    <col min="15627" max="15627" width="3.77734375" customWidth="1"/>
    <col min="15628" max="15628" width="6.77734375" customWidth="1"/>
    <col min="15634" max="15634" width="2.77734375" customWidth="1"/>
    <col min="15870" max="15870" width="9.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7.77734375" customWidth="1"/>
    <col min="15880" max="15880" width="6.77734375" customWidth="1"/>
    <col min="15881" max="15881" width="2.77734375" customWidth="1"/>
    <col min="15882" max="15882" width="7.77734375" customWidth="1"/>
    <col min="15883" max="15883" width="3.77734375" customWidth="1"/>
    <col min="15884" max="15884" width="6.77734375" customWidth="1"/>
    <col min="15890" max="15890" width="2.77734375" customWidth="1"/>
    <col min="16126" max="16126" width="9.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7.77734375" customWidth="1"/>
    <col min="16136" max="16136" width="6.77734375" customWidth="1"/>
    <col min="16137" max="16137" width="2.77734375" customWidth="1"/>
    <col min="16138" max="16138" width="7.77734375" customWidth="1"/>
    <col min="16139" max="16139" width="3.77734375" customWidth="1"/>
    <col min="16140" max="16140" width="6.77734375" customWidth="1"/>
    <col min="16146" max="16146" width="2.77734375" customWidth="1"/>
    <col min="16382" max="16382" width="9.77734375" customWidth="1"/>
  </cols>
  <sheetData>
    <row r="1" spans="1:24" ht="9.9499999999999993" customHeight="1">
      <c r="A1" s="1"/>
      <c r="B1" s="2" t="s">
        <v>0</v>
      </c>
      <c r="C1" s="3"/>
      <c r="D1" s="3"/>
      <c r="E1" s="3"/>
      <c r="F1" s="3"/>
      <c r="G1" s="3"/>
      <c r="H1" s="3" t="s">
        <v>1</v>
      </c>
      <c r="I1" s="2" t="s">
        <v>2</v>
      </c>
      <c r="J1" s="3"/>
      <c r="K1" s="3"/>
      <c r="L1" s="4" t="s">
        <v>3</v>
      </c>
      <c r="M1" s="417"/>
    </row>
    <row r="2" spans="1:24">
      <c r="A2" s="8" t="str">
        <f>A!A2</f>
        <v>kriptologia</v>
      </c>
      <c r="B2" s="9" t="s">
        <v>1</v>
      </c>
      <c r="C2" s="10">
        <f>A!C2</f>
        <v>0</v>
      </c>
      <c r="D2" s="12"/>
      <c r="E2" s="12"/>
      <c r="F2" s="12"/>
      <c r="G2" s="12"/>
      <c r="H2" s="12"/>
      <c r="I2" s="9"/>
      <c r="J2" s="14" t="str">
        <f>A!J2</f>
        <v xml:space="preserve"> </v>
      </c>
      <c r="K2" s="12"/>
      <c r="L2" s="12"/>
      <c r="M2" s="21"/>
      <c r="O2" t="s">
        <v>1</v>
      </c>
    </row>
    <row r="3" spans="1:24" ht="9.9499999999999993" customHeight="1">
      <c r="A3" s="26"/>
      <c r="B3" s="2" t="s">
        <v>14</v>
      </c>
      <c r="C3" s="27"/>
      <c r="D3" s="3"/>
      <c r="E3" s="3"/>
      <c r="I3" s="28" t="s">
        <v>15</v>
      </c>
      <c r="L3" s="419"/>
      <c r="M3" s="29"/>
    </row>
    <row r="4" spans="1:24" ht="18">
      <c r="A4" s="20"/>
      <c r="B4" s="9"/>
      <c r="C4" s="10">
        <f>A!C4</f>
        <v>0</v>
      </c>
      <c r="D4" s="12"/>
      <c r="E4" s="12"/>
      <c r="F4" s="12"/>
      <c r="G4" s="12"/>
      <c r="H4" s="21"/>
      <c r="I4" s="9"/>
      <c r="J4" s="270">
        <v>43101.561670833333</v>
      </c>
      <c r="K4" s="12"/>
      <c r="L4" s="12"/>
      <c r="M4" s="21"/>
    </row>
    <row r="5" spans="1:24" ht="9.9499999999999993" customHeight="1">
      <c r="A5" s="36" t="s">
        <v>23</v>
      </c>
      <c r="B5" s="26"/>
      <c r="C5" s="27"/>
      <c r="I5" s="37"/>
      <c r="K5" s="37" t="str">
        <f>A!K5</f>
        <v xml:space="preserve">                                    N:\Opslag\Statik\Dalton statikark\RepoEC_190701 </v>
      </c>
      <c r="L5" s="419"/>
      <c r="M5" s="29"/>
    </row>
    <row r="6" spans="1:24" ht="15.75">
      <c r="A6" s="271" t="str">
        <f>A!A6</f>
        <v>Tilst</v>
      </c>
      <c r="B6" s="9"/>
      <c r="C6" s="10" t="s">
        <v>1054</v>
      </c>
      <c r="D6" s="12"/>
      <c r="E6" s="12"/>
      <c r="F6" s="12"/>
      <c r="G6" s="12"/>
      <c r="H6" s="12"/>
      <c r="I6" s="41" t="s">
        <v>28</v>
      </c>
      <c r="J6" s="272">
        <v>43101.561797916664</v>
      </c>
      <c r="K6" s="12"/>
      <c r="L6" s="43"/>
      <c r="M6" s="21"/>
      <c r="O6" s="396" t="s">
        <v>1138</v>
      </c>
    </row>
    <row r="7" spans="1:24" ht="15" customHeight="1">
      <c r="N7" s="251" t="s">
        <v>46</v>
      </c>
      <c r="O7" s="396" t="s">
        <v>1140</v>
      </c>
      <c r="R7">
        <f>IF(N7="ja",1,0)</f>
        <v>1</v>
      </c>
      <c r="V7" t="s">
        <v>36</v>
      </c>
    </row>
    <row r="8" spans="1:24" ht="15" customHeight="1">
      <c r="F8" s="68" t="str">
        <f>IF(N7="nej","er spejlvendt i forhold til viste plan, se figur længere nede"," ")</f>
        <v xml:space="preserve"> </v>
      </c>
      <c r="O8" s="396" t="s">
        <v>1139</v>
      </c>
      <c r="V8" s="19"/>
      <c r="W8" s="310" t="s">
        <v>46</v>
      </c>
      <c r="X8" s="54" t="s">
        <v>1013</v>
      </c>
    </row>
    <row r="9" spans="1:24" ht="15" customHeight="1">
      <c r="B9" s="57" t="s">
        <v>1012</v>
      </c>
      <c r="N9" s="251" t="s">
        <v>1013</v>
      </c>
      <c r="O9" s="396" t="s">
        <v>1141</v>
      </c>
      <c r="V9" s="19"/>
      <c r="W9" s="310" t="s">
        <v>18</v>
      </c>
      <c r="X9" s="54" t="s">
        <v>1053</v>
      </c>
    </row>
    <row r="10" spans="1:24" ht="15" customHeight="1">
      <c r="N10" s="414" t="s">
        <v>1014</v>
      </c>
    </row>
    <row r="11" spans="1:24" ht="15" customHeight="1">
      <c r="B11" t="s">
        <v>198</v>
      </c>
      <c r="C11" s="19" t="s">
        <v>199</v>
      </c>
      <c r="E11" t="s">
        <v>200</v>
      </c>
      <c r="N11" s="414" t="s">
        <v>1015</v>
      </c>
      <c r="O11" s="413" t="s">
        <v>1016</v>
      </c>
    </row>
    <row r="12" spans="1:24" ht="15" customHeight="1">
      <c r="C12" s="57" t="s">
        <v>1017</v>
      </c>
      <c r="G12" t="s">
        <v>1018</v>
      </c>
      <c r="H12" t="s">
        <v>1019</v>
      </c>
      <c r="I12" t="s">
        <v>112</v>
      </c>
      <c r="J12" s="63" t="e">
        <f>NA()</f>
        <v>#N/A</v>
      </c>
      <c r="K12" t="s">
        <v>78</v>
      </c>
      <c r="N12" s="416"/>
    </row>
    <row r="13" spans="1:24" ht="15" customHeight="1">
      <c r="G13" t="s">
        <v>1020</v>
      </c>
      <c r="J13" s="49" t="e">
        <f>A!H43</f>
        <v>#N/A</v>
      </c>
      <c r="K13" t="s">
        <v>384</v>
      </c>
      <c r="O13" s="414" t="s">
        <v>1157</v>
      </c>
    </row>
    <row r="14" spans="1:24" ht="15" customHeight="1">
      <c r="C14" s="111">
        <f>A!J21</f>
        <v>120</v>
      </c>
      <c r="G14" t="s">
        <v>1021</v>
      </c>
      <c r="J14" s="49">
        <f>A!H44</f>
        <v>3</v>
      </c>
      <c r="K14" t="s">
        <v>384</v>
      </c>
      <c r="N14" s="414" t="s">
        <v>1015</v>
      </c>
      <c r="O14" s="414" t="s">
        <v>1158</v>
      </c>
      <c r="Q14" s="414" t="s">
        <v>1159</v>
      </c>
    </row>
    <row r="15" spans="1:24" ht="15" customHeight="1">
      <c r="A15" s="305" t="str">
        <f>IF(N7="nej","venstre"," ")</f>
        <v xml:space="preserve"> </v>
      </c>
      <c r="C15" s="51" t="e">
        <f>A!J18-forsk.forkant!J12</f>
        <v>#N/A</v>
      </c>
      <c r="G15" t="s">
        <v>1022</v>
      </c>
      <c r="J15" s="49" t="e">
        <f>A!L46</f>
        <v>#N/A</v>
      </c>
      <c r="K15" t="s">
        <v>1023</v>
      </c>
      <c r="Q15" s="414" t="s">
        <v>1160</v>
      </c>
    </row>
    <row r="16" spans="1:24" ht="15" customHeight="1">
      <c r="A16" s="46"/>
      <c r="J16" s="19" t="str">
        <f>IF($N$7="ja","højre",IF($N$7="nej","venstre",NA()))</f>
        <v>højre</v>
      </c>
      <c r="Q16" s="414" t="s">
        <v>1161</v>
      </c>
    </row>
    <row r="17" spans="1:20" ht="15" customHeight="1">
      <c r="A17" s="46"/>
      <c r="C17" s="88" t="e">
        <f>A!F36</f>
        <v>#N/A</v>
      </c>
      <c r="F17" s="19">
        <f>C14</f>
        <v>120</v>
      </c>
      <c r="H17" t="s">
        <v>198</v>
      </c>
      <c r="I17" t="s">
        <v>112</v>
      </c>
      <c r="J17" s="51" t="e">
        <f>IF(N7="ja",+A!L35,IF(N7="nej",+A!J35,NA()))</f>
        <v>#N/A</v>
      </c>
      <c r="K17" t="s">
        <v>78</v>
      </c>
      <c r="N17" s="414" t="s">
        <v>1015</v>
      </c>
      <c r="Q17" s="315"/>
    </row>
    <row r="18" spans="1:20" ht="15" customHeight="1">
      <c r="A18" s="305" t="str">
        <f>IF(N7="nej","højre"," ")</f>
        <v xml:space="preserve"> </v>
      </c>
      <c r="H18" t="s">
        <v>200</v>
      </c>
      <c r="I18" t="s">
        <v>112</v>
      </c>
      <c r="J18" s="51" t="e">
        <f>IF(N7="ja",+A!L36,IF(N7="nej",+A!J36,NA()))</f>
        <v>#N/A</v>
      </c>
      <c r="K18" t="s">
        <v>78</v>
      </c>
      <c r="N18" s="414" t="s">
        <v>1015</v>
      </c>
    </row>
    <row r="19" spans="1:20" ht="15" customHeight="1">
      <c r="H19" t="s">
        <v>199</v>
      </c>
      <c r="I19" t="s">
        <v>112</v>
      </c>
      <c r="J19" s="51" t="e">
        <f>IF(N7="ja",+A!L37,IF(N7="nej",+A!J37,NA()))</f>
        <v>#N/A</v>
      </c>
      <c r="K19" t="s">
        <v>78</v>
      </c>
    </row>
    <row r="20" spans="1:20" ht="15" customHeight="1">
      <c r="G20" t="str">
        <f>A!G17</f>
        <v>bredde</v>
      </c>
      <c r="H20" t="str">
        <f>A!H17</f>
        <v>b</v>
      </c>
      <c r="I20" t="s">
        <v>112</v>
      </c>
      <c r="J20" s="51" t="e">
        <f>A!J17</f>
        <v>#N/A</v>
      </c>
      <c r="K20" t="s">
        <v>78</v>
      </c>
      <c r="N20" s="414" t="s">
        <v>1015</v>
      </c>
    </row>
    <row r="21" spans="1:20" ht="15" customHeight="1">
      <c r="C21" s="57" t="s">
        <v>1024</v>
      </c>
      <c r="G21" t="s">
        <v>156</v>
      </c>
      <c r="J21" s="51">
        <f>A!J18</f>
        <v>0</v>
      </c>
      <c r="K21" t="s">
        <v>78</v>
      </c>
      <c r="N21" s="414" t="s">
        <v>1015</v>
      </c>
    </row>
    <row r="22" spans="1:20" ht="15" customHeight="1">
      <c r="F22" t="s">
        <v>1025</v>
      </c>
    </row>
    <row r="23" spans="1:20" ht="15" customHeight="1">
      <c r="J23" s="19" t="str">
        <f>IF($N$7="ja","højre",IF($N$7="nej","venstre",NA()))</f>
        <v>højre</v>
      </c>
    </row>
    <row r="24" spans="1:20" ht="15" customHeight="1">
      <c r="E24" t="s">
        <v>1026</v>
      </c>
      <c r="H24" s="149"/>
      <c r="I24" s="49"/>
      <c r="J24" s="113" t="e">
        <f>NA()</f>
        <v>#N/A</v>
      </c>
      <c r="K24" t="s">
        <v>84</v>
      </c>
      <c r="N24" s="396" t="s">
        <v>1027</v>
      </c>
    </row>
    <row r="25" spans="1:20" ht="15" customHeight="1">
      <c r="E25" t="s">
        <v>1028</v>
      </c>
      <c r="H25" s="149"/>
      <c r="I25" s="49"/>
      <c r="J25" s="49" t="e">
        <f>IF($N$7="ja",+A!J51,IF($N$7="nej",+A!H51,NA()))</f>
        <v>#N/A</v>
      </c>
      <c r="K25" t="s">
        <v>384</v>
      </c>
      <c r="N25" s="414" t="s">
        <v>1015</v>
      </c>
    </row>
    <row r="26" spans="1:20">
      <c r="E26" t="s">
        <v>1029</v>
      </c>
      <c r="H26" s="149"/>
      <c r="I26" s="49"/>
      <c r="J26" s="49">
        <f>IF($N$7="ja",+A!J52,IF($N$7="nej",+A!H52,NA()))</f>
        <v>3</v>
      </c>
      <c r="K26" t="s">
        <v>384</v>
      </c>
      <c r="N26" s="414" t="s">
        <v>1015</v>
      </c>
    </row>
    <row r="27" spans="1:20">
      <c r="E27" t="s">
        <v>1030</v>
      </c>
      <c r="J27" s="49" t="e">
        <f>0.5*J24*(J25*A!Z19+J26*A!Z20)</f>
        <v>#N/A</v>
      </c>
      <c r="K27" t="s">
        <v>390</v>
      </c>
      <c r="O27" t="s">
        <v>1147</v>
      </c>
      <c r="P27" t="s">
        <v>1148</v>
      </c>
      <c r="R27" t="s">
        <v>1152</v>
      </c>
    </row>
    <row r="28" spans="1:20" ht="15" customHeight="1">
      <c r="E28" t="s">
        <v>1031</v>
      </c>
      <c r="J28" s="49" t="e">
        <f>J15*(C17+C15-(C14-20)/2)*10^-3</f>
        <v>#N/A</v>
      </c>
      <c r="K28" t="s">
        <v>390</v>
      </c>
      <c r="N28" s="46" t="s">
        <v>1153</v>
      </c>
      <c r="O28" s="111" t="e">
        <f>J19+J18-J12-(C14-20)/2</f>
        <v>#N/A</v>
      </c>
      <c r="P28" s="111" t="e">
        <f>O28+J12</f>
        <v>#N/A</v>
      </c>
      <c r="Q28" s="48" t="s">
        <v>1149</v>
      </c>
    </row>
    <row r="29" spans="1:20" ht="15" customHeight="1">
      <c r="G29" t="s">
        <v>1032</v>
      </c>
      <c r="J29" s="49" t="e">
        <f>(J27*O28+J28*O29)/O30</f>
        <v>#N/A</v>
      </c>
      <c r="K29" t="s">
        <v>435</v>
      </c>
      <c r="N29" s="46" t="s">
        <v>1156</v>
      </c>
      <c r="O29" s="111" t="e">
        <f>J19+J18-J12-(C14-20)/2-(C17+C15-(C14-20)/2)/2</f>
        <v>#N/A</v>
      </c>
      <c r="P29" s="111" t="e">
        <f>J19+J18-(C14-20)/2-(C17+C15+J12-(C14-20)/2)/2</f>
        <v>#N/A</v>
      </c>
      <c r="Q29" s="48" t="s">
        <v>1150</v>
      </c>
    </row>
    <row r="30" spans="1:20" ht="15" customHeight="1">
      <c r="N30" s="46" t="s">
        <v>514</v>
      </c>
      <c r="O30" s="111" t="e">
        <f>J19+J18-J12-C15-C17</f>
        <v>#N/A</v>
      </c>
      <c r="P30" s="111" t="e">
        <f>O30</f>
        <v>#N/A</v>
      </c>
      <c r="Q30" s="48" t="s">
        <v>1151</v>
      </c>
    </row>
    <row r="31" spans="1:20" ht="15" customHeight="1">
      <c r="B31" s="57" t="s">
        <v>1037</v>
      </c>
    </row>
    <row r="32" spans="1:20" ht="15" customHeight="1">
      <c r="G32" s="89"/>
      <c r="N32" s="412" t="s">
        <v>1033</v>
      </c>
      <c r="O32" s="412" t="str">
        <f>A!B85</f>
        <v>UNDERSTØTNINGER FOR LØB/NABOELEM.</v>
      </c>
      <c r="P32" s="306"/>
      <c r="Q32" s="306"/>
      <c r="R32" s="306"/>
      <c r="S32" s="306"/>
      <c r="T32" s="412" t="s">
        <v>1034</v>
      </c>
    </row>
    <row r="33" spans="3:14" ht="15" customHeight="1">
      <c r="H33" s="55" t="s">
        <v>1039</v>
      </c>
      <c r="N33" s="412" t="s">
        <v>1035</v>
      </c>
    </row>
    <row r="34" spans="3:14" ht="15.75">
      <c r="H34" s="55" t="s">
        <v>1040</v>
      </c>
      <c r="N34" s="412" t="s">
        <v>1036</v>
      </c>
    </row>
    <row r="35" spans="3:14" ht="15.75">
      <c r="N35" s="412" t="s">
        <v>1038</v>
      </c>
    </row>
    <row r="36" spans="3:14" ht="15.75">
      <c r="G36" s="57"/>
      <c r="N36" s="412" t="s">
        <v>1143</v>
      </c>
    </row>
    <row r="37" spans="3:14" ht="15.75">
      <c r="G37" t="str">
        <f>A!G18</f>
        <v>udsparing i lysning</v>
      </c>
      <c r="J37" s="51">
        <f>A!J18</f>
        <v>0</v>
      </c>
      <c r="K37" t="s">
        <v>78</v>
      </c>
      <c r="N37" s="412" t="s">
        <v>1144</v>
      </c>
    </row>
    <row r="40" spans="3:14" ht="15.75">
      <c r="C40" s="57" t="s">
        <v>1024</v>
      </c>
      <c r="J40" s="65" t="str">
        <f>J16</f>
        <v>højre</v>
      </c>
    </row>
    <row r="41" spans="3:14" ht="15.75">
      <c r="D41" t="s">
        <v>1041</v>
      </c>
      <c r="I41" s="49"/>
      <c r="J41" s="113" t="e">
        <f>NA()</f>
        <v>#N/A</v>
      </c>
      <c r="K41" t="s">
        <v>84</v>
      </c>
      <c r="N41" s="68" t="e">
        <f>IF(J48&gt;=-0.025,"&lt;--denne optimerede værdi tastes i ark A","for lille !")</f>
        <v>#N/A</v>
      </c>
    </row>
    <row r="42" spans="3:14">
      <c r="D42" t="s">
        <v>1028</v>
      </c>
      <c r="I42" s="49"/>
      <c r="J42" s="49" t="e">
        <f>J25</f>
        <v>#N/A</v>
      </c>
      <c r="K42" t="s">
        <v>384</v>
      </c>
    </row>
    <row r="43" spans="3:14">
      <c r="D43" t="s">
        <v>346</v>
      </c>
      <c r="I43" s="49"/>
      <c r="J43" s="49">
        <f>J26</f>
        <v>3</v>
      </c>
      <c r="K43" t="s">
        <v>384</v>
      </c>
    </row>
    <row r="44" spans="3:14">
      <c r="D44" t="s">
        <v>1042</v>
      </c>
      <c r="J44" s="49" t="e">
        <f>0.5*J41*(J42*A!Z19+J43*A!Z20)</f>
        <v>#N/A</v>
      </c>
      <c r="K44" t="s">
        <v>390</v>
      </c>
    </row>
    <row r="45" spans="3:14">
      <c r="D45" t="s">
        <v>1043</v>
      </c>
      <c r="J45" s="49" t="e">
        <f>J15*(C17+C15+J12-(C14-20)/2)*10^-3</f>
        <v>#N/A</v>
      </c>
      <c r="K45" t="s">
        <v>390</v>
      </c>
    </row>
    <row r="46" spans="3:14">
      <c r="G46" t="s">
        <v>1032</v>
      </c>
      <c r="J46" s="49" t="e">
        <f>(J44*P28+J45*P29)/P30</f>
        <v>#N/A</v>
      </c>
      <c r="K46" t="s">
        <v>435</v>
      </c>
    </row>
    <row r="47" spans="3:14">
      <c r="J47" s="49"/>
    </row>
    <row r="48" spans="3:14" ht="15.75">
      <c r="G48" t="s">
        <v>1044</v>
      </c>
      <c r="J48" s="308" t="e">
        <f>(J46-J29)/J46</f>
        <v>#N/A</v>
      </c>
      <c r="N48" s="68" t="e">
        <f>IF(J48&lt;-0.025,"negativ !  skal være positiv"," ")</f>
        <v>#N/A</v>
      </c>
    </row>
    <row r="49" spans="4:14" ht="15.75">
      <c r="J49" s="25"/>
      <c r="N49" s="307"/>
    </row>
    <row r="50" spans="4:14">
      <c r="D50" t="s">
        <v>1163</v>
      </c>
    </row>
    <row r="51" spans="4:14">
      <c r="D51" t="s">
        <v>1164</v>
      </c>
    </row>
    <row r="52" spans="4:14">
      <c r="D52" t="s">
        <v>1165</v>
      </c>
    </row>
    <row r="53" spans="4:14">
      <c r="D53" t="s">
        <v>1166</v>
      </c>
    </row>
    <row r="54" spans="4:14">
      <c r="D54" t="s">
        <v>1045</v>
      </c>
    </row>
    <row r="55" spans="4:14">
      <c r="D55" t="s">
        <v>1046</v>
      </c>
    </row>
    <row r="56" spans="4:14">
      <c r="D56" t="s">
        <v>1047</v>
      </c>
    </row>
    <row r="58" spans="4:14">
      <c r="G58" t="s">
        <v>1048</v>
      </c>
    </row>
    <row r="59" spans="4:14">
      <c r="G59" t="s">
        <v>1049</v>
      </c>
    </row>
    <row r="60" spans="4:14">
      <c r="G60" t="s">
        <v>1050</v>
      </c>
    </row>
    <row r="61" spans="4:14">
      <c r="G61" t="s">
        <v>1051</v>
      </c>
    </row>
    <row r="65" spans="1:10">
      <c r="J65" s="51"/>
    </row>
    <row r="76" spans="1:10" ht="15.75">
      <c r="A76" s="68" t="str">
        <f>IF(N7="nej","Udskrift bliver som vist nedenfor"," ")</f>
        <v xml:space="preserve"> </v>
      </c>
    </row>
    <row r="79" spans="1:10" ht="15.75">
      <c r="B79" s="57" t="s">
        <v>1012</v>
      </c>
    </row>
    <row r="81" spans="1:11">
      <c r="G81" t="s">
        <v>156</v>
      </c>
      <c r="J81" s="51">
        <f>J21</f>
        <v>0</v>
      </c>
      <c r="K81" t="s">
        <v>78</v>
      </c>
    </row>
    <row r="82" spans="1:11">
      <c r="C82" t="e">
        <f>C17</f>
        <v>#N/A</v>
      </c>
      <c r="F82" s="19">
        <f>F17</f>
        <v>120</v>
      </c>
    </row>
    <row r="84" spans="1:11">
      <c r="C84" s="51" t="e">
        <f>C15</f>
        <v>#N/A</v>
      </c>
      <c r="G84" t="s">
        <v>1020</v>
      </c>
      <c r="J84" s="49" t="e">
        <f>J13</f>
        <v>#N/A</v>
      </c>
      <c r="K84" t="s">
        <v>384</v>
      </c>
    </row>
    <row r="85" spans="1:11">
      <c r="C85">
        <f>C14</f>
        <v>120</v>
      </c>
      <c r="G85" t="s">
        <v>1021</v>
      </c>
      <c r="J85" s="49">
        <f>J14</f>
        <v>3</v>
      </c>
      <c r="K85" t="s">
        <v>384</v>
      </c>
    </row>
    <row r="86" spans="1:11">
      <c r="G86" t="s">
        <v>1022</v>
      </c>
      <c r="J86" s="49" t="e">
        <f>J15</f>
        <v>#N/A</v>
      </c>
      <c r="K86" t="s">
        <v>1023</v>
      </c>
    </row>
    <row r="88" spans="1:11" ht="15.75">
      <c r="C88" s="57" t="s">
        <v>1024</v>
      </c>
      <c r="E88" t="s">
        <v>1025</v>
      </c>
      <c r="J88" s="51" t="str">
        <f>J16</f>
        <v>højre</v>
      </c>
    </row>
    <row r="89" spans="1:11">
      <c r="G89" t="str">
        <f>G20</f>
        <v>bredde</v>
      </c>
      <c r="H89" t="str">
        <f>H20</f>
        <v>b</v>
      </c>
      <c r="I89" t="str">
        <f>I20</f>
        <v>=</v>
      </c>
      <c r="J89" s="51" t="e">
        <f>J20</f>
        <v>#N/A</v>
      </c>
      <c r="K89" t="str">
        <f>K20</f>
        <v>mm</v>
      </c>
    </row>
    <row r="90" spans="1:11">
      <c r="H90" t="s">
        <v>198</v>
      </c>
      <c r="I90" t="s">
        <v>112</v>
      </c>
      <c r="J90" s="51" t="e">
        <f>J17</f>
        <v>#N/A</v>
      </c>
      <c r="K90" t="s">
        <v>78</v>
      </c>
    </row>
    <row r="91" spans="1:11">
      <c r="H91" t="s">
        <v>200</v>
      </c>
      <c r="I91" t="s">
        <v>112</v>
      </c>
      <c r="J91" s="51" t="e">
        <f>J18</f>
        <v>#N/A</v>
      </c>
      <c r="K91" t="s">
        <v>78</v>
      </c>
    </row>
    <row r="92" spans="1:11">
      <c r="A92" s="46"/>
      <c r="B92" t="s">
        <v>198</v>
      </c>
      <c r="C92" s="19" t="s">
        <v>199</v>
      </c>
      <c r="E92" t="s">
        <v>200</v>
      </c>
      <c r="H92" t="s">
        <v>199</v>
      </c>
      <c r="I92" t="s">
        <v>112</v>
      </c>
      <c r="J92" s="51" t="e">
        <f>J19</f>
        <v>#N/A</v>
      </c>
      <c r="K92" t="s">
        <v>78</v>
      </c>
    </row>
    <row r="93" spans="1:11" ht="15.75">
      <c r="C93" s="57" t="s">
        <v>1017</v>
      </c>
      <c r="G93" t="s">
        <v>1018</v>
      </c>
      <c r="H93" t="s">
        <v>1019</v>
      </c>
      <c r="I93" t="s">
        <v>112</v>
      </c>
      <c r="J93" s="51" t="e">
        <f>J12</f>
        <v>#N/A</v>
      </c>
      <c r="K93" t="s">
        <v>78</v>
      </c>
    </row>
    <row r="95" spans="1:11">
      <c r="J95" s="51" t="str">
        <f t="shared" ref="J95:J101" si="0">J23</f>
        <v>højre</v>
      </c>
    </row>
    <row r="96" spans="1:11">
      <c r="E96" t="s">
        <v>1026</v>
      </c>
      <c r="H96" s="149"/>
      <c r="I96" s="49"/>
      <c r="J96" s="49" t="e">
        <f t="shared" si="0"/>
        <v>#N/A</v>
      </c>
      <c r="K96" t="s">
        <v>84</v>
      </c>
    </row>
    <row r="97" spans="2:11">
      <c r="E97" t="s">
        <v>1028</v>
      </c>
      <c r="H97" s="149"/>
      <c r="I97" s="49"/>
      <c r="J97" s="49" t="e">
        <f t="shared" si="0"/>
        <v>#N/A</v>
      </c>
      <c r="K97" t="s">
        <v>384</v>
      </c>
    </row>
    <row r="98" spans="2:11">
      <c r="E98" t="s">
        <v>1029</v>
      </c>
      <c r="H98" s="149"/>
      <c r="I98" s="49"/>
      <c r="J98" s="49">
        <f t="shared" si="0"/>
        <v>3</v>
      </c>
      <c r="K98" t="s">
        <v>384</v>
      </c>
    </row>
    <row r="99" spans="2:11">
      <c r="E99" t="s">
        <v>1030</v>
      </c>
      <c r="J99" s="49" t="e">
        <f t="shared" si="0"/>
        <v>#N/A</v>
      </c>
      <c r="K99" t="s">
        <v>390</v>
      </c>
    </row>
    <row r="100" spans="2:11">
      <c r="E100" t="s">
        <v>1031</v>
      </c>
      <c r="J100" s="49" t="e">
        <f t="shared" si="0"/>
        <v>#N/A</v>
      </c>
      <c r="K100" t="s">
        <v>390</v>
      </c>
    </row>
    <row r="101" spans="2:11">
      <c r="G101" t="s">
        <v>1032</v>
      </c>
      <c r="J101" s="49" t="e">
        <f t="shared" si="0"/>
        <v>#N/A</v>
      </c>
      <c r="K101" t="s">
        <v>435</v>
      </c>
    </row>
    <row r="102" spans="2:11">
      <c r="J102" s="49"/>
    </row>
    <row r="104" spans="2:11" ht="15.75">
      <c r="B104" s="57" t="s">
        <v>1037</v>
      </c>
    </row>
    <row r="105" spans="2:11">
      <c r="G105" s="89"/>
    </row>
    <row r="107" spans="2:11">
      <c r="G107" t="str">
        <f>G37</f>
        <v>udsparing i lysning</v>
      </c>
      <c r="I107" t="s">
        <v>112</v>
      </c>
      <c r="J107" s="51">
        <f>J37</f>
        <v>0</v>
      </c>
      <c r="K107" t="s">
        <v>78</v>
      </c>
    </row>
    <row r="109" spans="2:11" ht="15.75">
      <c r="G109" s="57"/>
    </row>
    <row r="110" spans="2:11">
      <c r="H110" s="55" t="s">
        <v>1039</v>
      </c>
    </row>
    <row r="111" spans="2:11">
      <c r="H111" s="55" t="s">
        <v>1040</v>
      </c>
    </row>
    <row r="113" spans="3:11" ht="15.75">
      <c r="C113" s="57" t="s">
        <v>1024</v>
      </c>
      <c r="J113" s="65" t="str">
        <f t="shared" ref="J113:J121" si="1">J40</f>
        <v>højre</v>
      </c>
    </row>
    <row r="114" spans="3:11">
      <c r="D114" t="s">
        <v>1052</v>
      </c>
      <c r="I114" s="49"/>
      <c r="J114" s="65" t="e">
        <f t="shared" si="1"/>
        <v>#N/A</v>
      </c>
      <c r="K114" t="s">
        <v>84</v>
      </c>
    </row>
    <row r="115" spans="3:11">
      <c r="D115" t="s">
        <v>1028</v>
      </c>
      <c r="I115" s="49"/>
      <c r="J115" s="65" t="e">
        <f t="shared" si="1"/>
        <v>#N/A</v>
      </c>
      <c r="K115" t="s">
        <v>384</v>
      </c>
    </row>
    <row r="116" spans="3:11">
      <c r="D116" t="s">
        <v>346</v>
      </c>
      <c r="I116" s="49"/>
      <c r="J116" s="65">
        <f t="shared" si="1"/>
        <v>3</v>
      </c>
      <c r="K116" t="s">
        <v>384</v>
      </c>
    </row>
    <row r="117" spans="3:11">
      <c r="D117" t="s">
        <v>1042</v>
      </c>
      <c r="J117" s="65" t="e">
        <f t="shared" si="1"/>
        <v>#N/A</v>
      </c>
      <c r="K117" t="s">
        <v>390</v>
      </c>
    </row>
    <row r="118" spans="3:11">
      <c r="D118" t="s">
        <v>1043</v>
      </c>
      <c r="J118" s="65" t="e">
        <f t="shared" si="1"/>
        <v>#N/A</v>
      </c>
      <c r="K118" t="s">
        <v>390</v>
      </c>
    </row>
    <row r="119" spans="3:11">
      <c r="G119" t="s">
        <v>1032</v>
      </c>
      <c r="J119" s="65" t="e">
        <f t="shared" si="1"/>
        <v>#N/A</v>
      </c>
      <c r="K119" t="s">
        <v>435</v>
      </c>
    </row>
    <row r="120" spans="3:11">
      <c r="J120" s="65"/>
    </row>
    <row r="121" spans="3:11">
      <c r="G121" t="s">
        <v>1044</v>
      </c>
      <c r="J121" s="309" t="e">
        <f t="shared" si="1"/>
        <v>#N/A</v>
      </c>
    </row>
    <row r="122" spans="3:11">
      <c r="J122" s="25"/>
    </row>
    <row r="123" spans="3:11">
      <c r="D123" t="str">
        <f>D50</f>
        <v>I dén side hvor der regnes med virkelig længde af løb/naboelement regnes lasten</v>
      </c>
    </row>
    <row r="124" spans="3:11">
      <c r="D124" t="str">
        <f t="shared" ref="D124:D129" si="2">D51</f>
        <v>ført vinkelret ind til forkantpladestrimmel og herfra til endestrimmel, hvilket er meget</v>
      </c>
    </row>
    <row r="125" spans="3:11">
      <c r="D125" t="str">
        <f t="shared" si="2"/>
        <v>konsertativt. I side hvor der regnes med fiktiv spændvidde bliver lasten på forkant-</v>
      </c>
    </row>
    <row r="126" spans="3:11">
      <c r="D126" t="str">
        <f t="shared" si="2"/>
        <v>pladestrimmel tæt på korrekt og ikke ret meget på den sikre side.</v>
      </c>
    </row>
    <row r="127" spans="3:11">
      <c r="D127" t="str">
        <f t="shared" si="2"/>
        <v>Understøtning for løb/naboelem. regnes "default" for værste last i modellen</v>
      </c>
    </row>
    <row r="128" spans="3:11">
      <c r="D128" t="str">
        <f t="shared" si="2"/>
        <v>og hvis virkeligt løb har større last end naboløb skal last justeres svarende</v>
      </c>
    </row>
    <row r="129" spans="4:7">
      <c r="D129" t="str">
        <f t="shared" si="2"/>
        <v>til virkelig løbslængde.</v>
      </c>
    </row>
    <row r="134" spans="4:7">
      <c r="G134" t="s">
        <v>1048</v>
      </c>
    </row>
    <row r="135" spans="4:7">
      <c r="G135" t="s">
        <v>1049</v>
      </c>
    </row>
    <row r="136" spans="4:7">
      <c r="G136" t="s">
        <v>1050</v>
      </c>
    </row>
    <row r="137" spans="4:7">
      <c r="G137" t="s">
        <v>1051</v>
      </c>
    </row>
  </sheetData>
  <sheetProtection algorithmName="SHA-512" hashValue="4/LMJdUL8CsjSyYOQkOqf24QbsGg4INN62hfnXx0rlZBxHRWEoCOKXzXBViv6DN06Ou6smyiD+00RkfETEz+dA==" saltValue="n/uuN6lv064izlif2X1C+g==" spinCount="100000" sheet="1" objects="1" scenarios="1"/>
  <dataValidations disablePrompts="1" count="4">
    <dataValidation type="list" allowBlank="1" showInputMessage="1" showErrorMessage="1" sqref="WVV983049 JJ9 TF9 ADB9 AMX9 AWT9 BGP9 BQL9 CAH9 CKD9 CTZ9 DDV9 DNR9 DXN9 EHJ9 ERF9 FBB9 FKX9 FUT9 GEP9 GOL9 GYH9 HID9 HRZ9 IBV9 ILR9 IVN9 JFJ9 JPF9 JZB9 KIX9 KST9 LCP9 LML9 LWH9 MGD9 MPZ9 MZV9 NJR9 NTN9 ODJ9 ONF9 OXB9 PGX9 PQT9 QAP9 QKL9 QUH9 RED9 RNZ9 RXV9 SHR9 SRN9 TBJ9 TLF9 TVB9 UEX9 UOT9 UYP9 VIL9 VSH9 WCD9 WLZ9 WVV9 N65545 JJ65545 TF65545 ADB65545 AMX65545 AWT65545 BGP65545 BQL65545 CAH65545 CKD65545 CTZ65545 DDV65545 DNR65545 DXN65545 EHJ65545 ERF65545 FBB65545 FKX65545 FUT65545 GEP65545 GOL65545 GYH65545 HID65545 HRZ65545 IBV65545 ILR65545 IVN65545 JFJ65545 JPF65545 JZB65545 KIX65545 KST65545 LCP65545 LML65545 LWH65545 MGD65545 MPZ65545 MZV65545 NJR65545 NTN65545 ODJ65545 ONF65545 OXB65545 PGX65545 PQT65545 QAP65545 QKL65545 QUH65545 RED65545 RNZ65545 RXV65545 SHR65545 SRN65545 TBJ65545 TLF65545 TVB65545 UEX65545 UOT65545 UYP65545 VIL65545 VSH65545 WCD65545 WLZ65545 WVV65545 N131081 JJ131081 TF131081 ADB131081 AMX131081 AWT131081 BGP131081 BQL131081 CAH131081 CKD131081 CTZ131081 DDV131081 DNR131081 DXN131081 EHJ131081 ERF131081 FBB131081 FKX131081 FUT131081 GEP131081 GOL131081 GYH131081 HID131081 HRZ131081 IBV131081 ILR131081 IVN131081 JFJ131081 JPF131081 JZB131081 KIX131081 KST131081 LCP131081 LML131081 LWH131081 MGD131081 MPZ131081 MZV131081 NJR131081 NTN131081 ODJ131081 ONF131081 OXB131081 PGX131081 PQT131081 QAP131081 QKL131081 QUH131081 RED131081 RNZ131081 RXV131081 SHR131081 SRN131081 TBJ131081 TLF131081 TVB131081 UEX131081 UOT131081 UYP131081 VIL131081 VSH131081 WCD131081 WLZ131081 WVV131081 N196617 JJ196617 TF196617 ADB196617 AMX196617 AWT196617 BGP196617 BQL196617 CAH196617 CKD196617 CTZ196617 DDV196617 DNR196617 DXN196617 EHJ196617 ERF196617 FBB196617 FKX196617 FUT196617 GEP196617 GOL196617 GYH196617 HID196617 HRZ196617 IBV196617 ILR196617 IVN196617 JFJ196617 JPF196617 JZB196617 KIX196617 KST196617 LCP196617 LML196617 LWH196617 MGD196617 MPZ196617 MZV196617 NJR196617 NTN196617 ODJ196617 ONF196617 OXB196617 PGX196617 PQT196617 QAP196617 QKL196617 QUH196617 RED196617 RNZ196617 RXV196617 SHR196617 SRN196617 TBJ196617 TLF196617 TVB196617 UEX196617 UOT196617 UYP196617 VIL196617 VSH196617 WCD196617 WLZ196617 WVV196617 N262153 JJ262153 TF262153 ADB262153 AMX262153 AWT262153 BGP262153 BQL262153 CAH262153 CKD262153 CTZ262153 DDV262153 DNR262153 DXN262153 EHJ262153 ERF262153 FBB262153 FKX262153 FUT262153 GEP262153 GOL262153 GYH262153 HID262153 HRZ262153 IBV262153 ILR262153 IVN262153 JFJ262153 JPF262153 JZB262153 KIX262153 KST262153 LCP262153 LML262153 LWH262153 MGD262153 MPZ262153 MZV262153 NJR262153 NTN262153 ODJ262153 ONF262153 OXB262153 PGX262153 PQT262153 QAP262153 QKL262153 QUH262153 RED262153 RNZ262153 RXV262153 SHR262153 SRN262153 TBJ262153 TLF262153 TVB262153 UEX262153 UOT262153 UYP262153 VIL262153 VSH262153 WCD262153 WLZ262153 WVV262153 N327689 JJ327689 TF327689 ADB327689 AMX327689 AWT327689 BGP327689 BQL327689 CAH327689 CKD327689 CTZ327689 DDV327689 DNR327689 DXN327689 EHJ327689 ERF327689 FBB327689 FKX327689 FUT327689 GEP327689 GOL327689 GYH327689 HID327689 HRZ327689 IBV327689 ILR327689 IVN327689 JFJ327689 JPF327689 JZB327689 KIX327689 KST327689 LCP327689 LML327689 LWH327689 MGD327689 MPZ327689 MZV327689 NJR327689 NTN327689 ODJ327689 ONF327689 OXB327689 PGX327689 PQT327689 QAP327689 QKL327689 QUH327689 RED327689 RNZ327689 RXV327689 SHR327689 SRN327689 TBJ327689 TLF327689 TVB327689 UEX327689 UOT327689 UYP327689 VIL327689 VSH327689 WCD327689 WLZ327689 WVV327689 N393225 JJ393225 TF393225 ADB393225 AMX393225 AWT393225 BGP393225 BQL393225 CAH393225 CKD393225 CTZ393225 DDV393225 DNR393225 DXN393225 EHJ393225 ERF393225 FBB393225 FKX393225 FUT393225 GEP393225 GOL393225 GYH393225 HID393225 HRZ393225 IBV393225 ILR393225 IVN393225 JFJ393225 JPF393225 JZB393225 KIX393225 KST393225 LCP393225 LML393225 LWH393225 MGD393225 MPZ393225 MZV393225 NJR393225 NTN393225 ODJ393225 ONF393225 OXB393225 PGX393225 PQT393225 QAP393225 QKL393225 QUH393225 RED393225 RNZ393225 RXV393225 SHR393225 SRN393225 TBJ393225 TLF393225 TVB393225 UEX393225 UOT393225 UYP393225 VIL393225 VSH393225 WCD393225 WLZ393225 WVV393225 N458761 JJ458761 TF458761 ADB458761 AMX458761 AWT458761 BGP458761 BQL458761 CAH458761 CKD458761 CTZ458761 DDV458761 DNR458761 DXN458761 EHJ458761 ERF458761 FBB458761 FKX458761 FUT458761 GEP458761 GOL458761 GYH458761 HID458761 HRZ458761 IBV458761 ILR458761 IVN458761 JFJ458761 JPF458761 JZB458761 KIX458761 KST458761 LCP458761 LML458761 LWH458761 MGD458761 MPZ458761 MZV458761 NJR458761 NTN458761 ODJ458761 ONF458761 OXB458761 PGX458761 PQT458761 QAP458761 QKL458761 QUH458761 RED458761 RNZ458761 RXV458761 SHR458761 SRN458761 TBJ458761 TLF458761 TVB458761 UEX458761 UOT458761 UYP458761 VIL458761 VSH458761 WCD458761 WLZ458761 WVV458761 N524297 JJ524297 TF524297 ADB524297 AMX524297 AWT524297 BGP524297 BQL524297 CAH524297 CKD524297 CTZ524297 DDV524297 DNR524297 DXN524297 EHJ524297 ERF524297 FBB524297 FKX524297 FUT524297 GEP524297 GOL524297 GYH524297 HID524297 HRZ524297 IBV524297 ILR524297 IVN524297 JFJ524297 JPF524297 JZB524297 KIX524297 KST524297 LCP524297 LML524297 LWH524297 MGD524297 MPZ524297 MZV524297 NJR524297 NTN524297 ODJ524297 ONF524297 OXB524297 PGX524297 PQT524297 QAP524297 QKL524297 QUH524297 RED524297 RNZ524297 RXV524297 SHR524297 SRN524297 TBJ524297 TLF524297 TVB524297 UEX524297 UOT524297 UYP524297 VIL524297 VSH524297 WCD524297 WLZ524297 WVV524297 N589833 JJ589833 TF589833 ADB589833 AMX589833 AWT589833 BGP589833 BQL589833 CAH589833 CKD589833 CTZ589833 DDV589833 DNR589833 DXN589833 EHJ589833 ERF589833 FBB589833 FKX589833 FUT589833 GEP589833 GOL589833 GYH589833 HID589833 HRZ589833 IBV589833 ILR589833 IVN589833 JFJ589833 JPF589833 JZB589833 KIX589833 KST589833 LCP589833 LML589833 LWH589833 MGD589833 MPZ589833 MZV589833 NJR589833 NTN589833 ODJ589833 ONF589833 OXB589833 PGX589833 PQT589833 QAP589833 QKL589833 QUH589833 RED589833 RNZ589833 RXV589833 SHR589833 SRN589833 TBJ589833 TLF589833 TVB589833 UEX589833 UOT589833 UYP589833 VIL589833 VSH589833 WCD589833 WLZ589833 WVV589833 N655369 JJ655369 TF655369 ADB655369 AMX655369 AWT655369 BGP655369 BQL655369 CAH655369 CKD655369 CTZ655369 DDV655369 DNR655369 DXN655369 EHJ655369 ERF655369 FBB655369 FKX655369 FUT655369 GEP655369 GOL655369 GYH655369 HID655369 HRZ655369 IBV655369 ILR655369 IVN655369 JFJ655369 JPF655369 JZB655369 KIX655369 KST655369 LCP655369 LML655369 LWH655369 MGD655369 MPZ655369 MZV655369 NJR655369 NTN655369 ODJ655369 ONF655369 OXB655369 PGX655369 PQT655369 QAP655369 QKL655369 QUH655369 RED655369 RNZ655369 RXV655369 SHR655369 SRN655369 TBJ655369 TLF655369 TVB655369 UEX655369 UOT655369 UYP655369 VIL655369 VSH655369 WCD655369 WLZ655369 WVV655369 N720905 JJ720905 TF720905 ADB720905 AMX720905 AWT720905 BGP720905 BQL720905 CAH720905 CKD720905 CTZ720905 DDV720905 DNR720905 DXN720905 EHJ720905 ERF720905 FBB720905 FKX720905 FUT720905 GEP720905 GOL720905 GYH720905 HID720905 HRZ720905 IBV720905 ILR720905 IVN720905 JFJ720905 JPF720905 JZB720905 KIX720905 KST720905 LCP720905 LML720905 LWH720905 MGD720905 MPZ720905 MZV720905 NJR720905 NTN720905 ODJ720905 ONF720905 OXB720905 PGX720905 PQT720905 QAP720905 QKL720905 QUH720905 RED720905 RNZ720905 RXV720905 SHR720905 SRN720905 TBJ720905 TLF720905 TVB720905 UEX720905 UOT720905 UYP720905 VIL720905 VSH720905 WCD720905 WLZ720905 WVV720905 N786441 JJ786441 TF786441 ADB786441 AMX786441 AWT786441 BGP786441 BQL786441 CAH786441 CKD786441 CTZ786441 DDV786441 DNR786441 DXN786441 EHJ786441 ERF786441 FBB786441 FKX786441 FUT786441 GEP786441 GOL786441 GYH786441 HID786441 HRZ786441 IBV786441 ILR786441 IVN786441 JFJ786441 JPF786441 JZB786441 KIX786441 KST786441 LCP786441 LML786441 LWH786441 MGD786441 MPZ786441 MZV786441 NJR786441 NTN786441 ODJ786441 ONF786441 OXB786441 PGX786441 PQT786441 QAP786441 QKL786441 QUH786441 RED786441 RNZ786441 RXV786441 SHR786441 SRN786441 TBJ786441 TLF786441 TVB786441 UEX786441 UOT786441 UYP786441 VIL786441 VSH786441 WCD786441 WLZ786441 WVV786441 N851977 JJ851977 TF851977 ADB851977 AMX851977 AWT851977 BGP851977 BQL851977 CAH851977 CKD851977 CTZ851977 DDV851977 DNR851977 DXN851977 EHJ851977 ERF851977 FBB851977 FKX851977 FUT851977 GEP851977 GOL851977 GYH851977 HID851977 HRZ851977 IBV851977 ILR851977 IVN851977 JFJ851977 JPF851977 JZB851977 KIX851977 KST851977 LCP851977 LML851977 LWH851977 MGD851977 MPZ851977 MZV851977 NJR851977 NTN851977 ODJ851977 ONF851977 OXB851977 PGX851977 PQT851977 QAP851977 QKL851977 QUH851977 RED851977 RNZ851977 RXV851977 SHR851977 SRN851977 TBJ851977 TLF851977 TVB851977 UEX851977 UOT851977 UYP851977 VIL851977 VSH851977 WCD851977 WLZ851977 WVV851977 N917513 JJ917513 TF917513 ADB917513 AMX917513 AWT917513 BGP917513 BQL917513 CAH917513 CKD917513 CTZ917513 DDV917513 DNR917513 DXN917513 EHJ917513 ERF917513 FBB917513 FKX917513 FUT917513 GEP917513 GOL917513 GYH917513 HID917513 HRZ917513 IBV917513 ILR917513 IVN917513 JFJ917513 JPF917513 JZB917513 KIX917513 KST917513 LCP917513 LML917513 LWH917513 MGD917513 MPZ917513 MZV917513 NJR917513 NTN917513 ODJ917513 ONF917513 OXB917513 PGX917513 PQT917513 QAP917513 QKL917513 QUH917513 RED917513 RNZ917513 RXV917513 SHR917513 SRN917513 TBJ917513 TLF917513 TVB917513 UEX917513 UOT917513 UYP917513 VIL917513 VSH917513 WCD917513 WLZ917513 WVV917513 N983049 JJ983049 TF983049 ADB983049 AMX983049 AWT983049 BGP983049 BQL983049 CAH983049 CKD983049 CTZ983049 DDV983049 DNR983049 DXN983049 EHJ983049 ERF983049 FBB983049 FKX983049 FUT983049 GEP983049 GOL983049 GYH983049 HID983049 HRZ983049 IBV983049 ILR983049 IVN983049 JFJ983049 JPF983049 JZB983049 KIX983049 KST983049 LCP983049 LML983049 LWH983049 MGD983049 MPZ983049 MZV983049 NJR983049 NTN983049 ODJ983049 ONF983049 OXB983049 PGX983049 PQT983049 QAP983049 QKL983049 QUH983049 RED983049 RNZ983049 RXV983049 SHR983049 SRN983049 TBJ983049 TLF983049 TVB983049 UEX983049 UOT983049 UYP983049 VIL983049 VSH983049 WCD983049 WLZ983049" xr:uid="{00000000-0002-0000-0200-000000000000}">
      <formula1>visvisikke</formula1>
    </dataValidation>
    <dataValidation type="list" allowBlank="1" showInputMessage="1" showErrorMessage="1" sqref="WVV983047 JJ7 TF7 ADB7 AMX7 AWT7 BGP7 BQL7 CAH7 CKD7 CTZ7 DDV7 DNR7 DXN7 EHJ7 ERF7 FBB7 FKX7 FUT7 GEP7 GOL7 GYH7 HID7 HRZ7 IBV7 ILR7 IVN7 JFJ7 JPF7 JZB7 KIX7 KST7 LCP7 LML7 LWH7 MGD7 MPZ7 MZV7 NJR7 NTN7 ODJ7 ONF7 OXB7 PGX7 PQT7 QAP7 QKL7 QUH7 RED7 RNZ7 RXV7 SHR7 SRN7 TBJ7 TLF7 TVB7 UEX7 UOT7 UYP7 VIL7 VSH7 WCD7 WLZ7 WVV7 N65543 JJ65543 TF65543 ADB65543 AMX65543 AWT65543 BGP65543 BQL65543 CAH65543 CKD65543 CTZ65543 DDV65543 DNR65543 DXN65543 EHJ65543 ERF65543 FBB65543 FKX65543 FUT65543 GEP65543 GOL65543 GYH65543 HID65543 HRZ65543 IBV65543 ILR65543 IVN65543 JFJ65543 JPF65543 JZB65543 KIX65543 KST65543 LCP65543 LML65543 LWH65543 MGD65543 MPZ65543 MZV65543 NJR65543 NTN65543 ODJ65543 ONF65543 OXB65543 PGX65543 PQT65543 QAP65543 QKL65543 QUH65543 RED65543 RNZ65543 RXV65543 SHR65543 SRN65543 TBJ65543 TLF65543 TVB65543 UEX65543 UOT65543 UYP65543 VIL65543 VSH65543 WCD65543 WLZ65543 WVV65543 N131079 JJ131079 TF131079 ADB131079 AMX131079 AWT131079 BGP131079 BQL131079 CAH131079 CKD131079 CTZ131079 DDV131079 DNR131079 DXN131079 EHJ131079 ERF131079 FBB131079 FKX131079 FUT131079 GEP131079 GOL131079 GYH131079 HID131079 HRZ131079 IBV131079 ILR131079 IVN131079 JFJ131079 JPF131079 JZB131079 KIX131079 KST131079 LCP131079 LML131079 LWH131079 MGD131079 MPZ131079 MZV131079 NJR131079 NTN131079 ODJ131079 ONF131079 OXB131079 PGX131079 PQT131079 QAP131079 QKL131079 QUH131079 RED131079 RNZ131079 RXV131079 SHR131079 SRN131079 TBJ131079 TLF131079 TVB131079 UEX131079 UOT131079 UYP131079 VIL131079 VSH131079 WCD131079 WLZ131079 WVV131079 N196615 JJ196615 TF196615 ADB196615 AMX196615 AWT196615 BGP196615 BQL196615 CAH196615 CKD196615 CTZ196615 DDV196615 DNR196615 DXN196615 EHJ196615 ERF196615 FBB196615 FKX196615 FUT196615 GEP196615 GOL196615 GYH196615 HID196615 HRZ196615 IBV196615 ILR196615 IVN196615 JFJ196615 JPF196615 JZB196615 KIX196615 KST196615 LCP196615 LML196615 LWH196615 MGD196615 MPZ196615 MZV196615 NJR196615 NTN196615 ODJ196615 ONF196615 OXB196615 PGX196615 PQT196615 QAP196615 QKL196615 QUH196615 RED196615 RNZ196615 RXV196615 SHR196615 SRN196615 TBJ196615 TLF196615 TVB196615 UEX196615 UOT196615 UYP196615 VIL196615 VSH196615 WCD196615 WLZ196615 WVV196615 N262151 JJ262151 TF262151 ADB262151 AMX262151 AWT262151 BGP262151 BQL262151 CAH262151 CKD262151 CTZ262151 DDV262151 DNR262151 DXN262151 EHJ262151 ERF262151 FBB262151 FKX262151 FUT262151 GEP262151 GOL262151 GYH262151 HID262151 HRZ262151 IBV262151 ILR262151 IVN262151 JFJ262151 JPF262151 JZB262151 KIX262151 KST262151 LCP262151 LML262151 LWH262151 MGD262151 MPZ262151 MZV262151 NJR262151 NTN262151 ODJ262151 ONF262151 OXB262151 PGX262151 PQT262151 QAP262151 QKL262151 QUH262151 RED262151 RNZ262151 RXV262151 SHR262151 SRN262151 TBJ262151 TLF262151 TVB262151 UEX262151 UOT262151 UYP262151 VIL262151 VSH262151 WCD262151 WLZ262151 WVV262151 N327687 JJ327687 TF327687 ADB327687 AMX327687 AWT327687 BGP327687 BQL327687 CAH327687 CKD327687 CTZ327687 DDV327687 DNR327687 DXN327687 EHJ327687 ERF327687 FBB327687 FKX327687 FUT327687 GEP327687 GOL327687 GYH327687 HID327687 HRZ327687 IBV327687 ILR327687 IVN327687 JFJ327687 JPF327687 JZB327687 KIX327687 KST327687 LCP327687 LML327687 LWH327687 MGD327687 MPZ327687 MZV327687 NJR327687 NTN327687 ODJ327687 ONF327687 OXB327687 PGX327687 PQT327687 QAP327687 QKL327687 QUH327687 RED327687 RNZ327687 RXV327687 SHR327687 SRN327687 TBJ327687 TLF327687 TVB327687 UEX327687 UOT327687 UYP327687 VIL327687 VSH327687 WCD327687 WLZ327687 WVV327687 N393223 JJ393223 TF393223 ADB393223 AMX393223 AWT393223 BGP393223 BQL393223 CAH393223 CKD393223 CTZ393223 DDV393223 DNR393223 DXN393223 EHJ393223 ERF393223 FBB393223 FKX393223 FUT393223 GEP393223 GOL393223 GYH393223 HID393223 HRZ393223 IBV393223 ILR393223 IVN393223 JFJ393223 JPF393223 JZB393223 KIX393223 KST393223 LCP393223 LML393223 LWH393223 MGD393223 MPZ393223 MZV393223 NJR393223 NTN393223 ODJ393223 ONF393223 OXB393223 PGX393223 PQT393223 QAP393223 QKL393223 QUH393223 RED393223 RNZ393223 RXV393223 SHR393223 SRN393223 TBJ393223 TLF393223 TVB393223 UEX393223 UOT393223 UYP393223 VIL393223 VSH393223 WCD393223 WLZ393223 WVV393223 N458759 JJ458759 TF458759 ADB458759 AMX458759 AWT458759 BGP458759 BQL458759 CAH458759 CKD458759 CTZ458759 DDV458759 DNR458759 DXN458759 EHJ458759 ERF458759 FBB458759 FKX458759 FUT458759 GEP458759 GOL458759 GYH458759 HID458759 HRZ458759 IBV458759 ILR458759 IVN458759 JFJ458759 JPF458759 JZB458759 KIX458759 KST458759 LCP458759 LML458759 LWH458759 MGD458759 MPZ458759 MZV458759 NJR458759 NTN458759 ODJ458759 ONF458759 OXB458759 PGX458759 PQT458759 QAP458759 QKL458759 QUH458759 RED458759 RNZ458759 RXV458759 SHR458759 SRN458759 TBJ458759 TLF458759 TVB458759 UEX458759 UOT458759 UYP458759 VIL458759 VSH458759 WCD458759 WLZ458759 WVV458759 N524295 JJ524295 TF524295 ADB524295 AMX524295 AWT524295 BGP524295 BQL524295 CAH524295 CKD524295 CTZ524295 DDV524295 DNR524295 DXN524295 EHJ524295 ERF524295 FBB524295 FKX524295 FUT524295 GEP524295 GOL524295 GYH524295 HID524295 HRZ524295 IBV524295 ILR524295 IVN524295 JFJ524295 JPF524295 JZB524295 KIX524295 KST524295 LCP524295 LML524295 LWH524295 MGD524295 MPZ524295 MZV524295 NJR524295 NTN524295 ODJ524295 ONF524295 OXB524295 PGX524295 PQT524295 QAP524295 QKL524295 QUH524295 RED524295 RNZ524295 RXV524295 SHR524295 SRN524295 TBJ524295 TLF524295 TVB524295 UEX524295 UOT524295 UYP524295 VIL524295 VSH524295 WCD524295 WLZ524295 WVV524295 N589831 JJ589831 TF589831 ADB589831 AMX589831 AWT589831 BGP589831 BQL589831 CAH589831 CKD589831 CTZ589831 DDV589831 DNR589831 DXN589831 EHJ589831 ERF589831 FBB589831 FKX589831 FUT589831 GEP589831 GOL589831 GYH589831 HID589831 HRZ589831 IBV589831 ILR589831 IVN589831 JFJ589831 JPF589831 JZB589831 KIX589831 KST589831 LCP589831 LML589831 LWH589831 MGD589831 MPZ589831 MZV589831 NJR589831 NTN589831 ODJ589831 ONF589831 OXB589831 PGX589831 PQT589831 QAP589831 QKL589831 QUH589831 RED589831 RNZ589831 RXV589831 SHR589831 SRN589831 TBJ589831 TLF589831 TVB589831 UEX589831 UOT589831 UYP589831 VIL589831 VSH589831 WCD589831 WLZ589831 WVV589831 N655367 JJ655367 TF655367 ADB655367 AMX655367 AWT655367 BGP655367 BQL655367 CAH655367 CKD655367 CTZ655367 DDV655367 DNR655367 DXN655367 EHJ655367 ERF655367 FBB655367 FKX655367 FUT655367 GEP655367 GOL655367 GYH655367 HID655367 HRZ655367 IBV655367 ILR655367 IVN655367 JFJ655367 JPF655367 JZB655367 KIX655367 KST655367 LCP655367 LML655367 LWH655367 MGD655367 MPZ655367 MZV655367 NJR655367 NTN655367 ODJ655367 ONF655367 OXB655367 PGX655367 PQT655367 QAP655367 QKL655367 QUH655367 RED655367 RNZ655367 RXV655367 SHR655367 SRN655367 TBJ655367 TLF655367 TVB655367 UEX655367 UOT655367 UYP655367 VIL655367 VSH655367 WCD655367 WLZ655367 WVV655367 N720903 JJ720903 TF720903 ADB720903 AMX720903 AWT720903 BGP720903 BQL720903 CAH720903 CKD720903 CTZ720903 DDV720903 DNR720903 DXN720903 EHJ720903 ERF720903 FBB720903 FKX720903 FUT720903 GEP720903 GOL720903 GYH720903 HID720903 HRZ720903 IBV720903 ILR720903 IVN720903 JFJ720903 JPF720903 JZB720903 KIX720903 KST720903 LCP720903 LML720903 LWH720903 MGD720903 MPZ720903 MZV720903 NJR720903 NTN720903 ODJ720903 ONF720903 OXB720903 PGX720903 PQT720903 QAP720903 QKL720903 QUH720903 RED720903 RNZ720903 RXV720903 SHR720903 SRN720903 TBJ720903 TLF720903 TVB720903 UEX720903 UOT720903 UYP720903 VIL720903 VSH720903 WCD720903 WLZ720903 WVV720903 N786439 JJ786439 TF786439 ADB786439 AMX786439 AWT786439 BGP786439 BQL786439 CAH786439 CKD786439 CTZ786439 DDV786439 DNR786439 DXN786439 EHJ786439 ERF786439 FBB786439 FKX786439 FUT786439 GEP786439 GOL786439 GYH786439 HID786439 HRZ786439 IBV786439 ILR786439 IVN786439 JFJ786439 JPF786439 JZB786439 KIX786439 KST786439 LCP786439 LML786439 LWH786439 MGD786439 MPZ786439 MZV786439 NJR786439 NTN786439 ODJ786439 ONF786439 OXB786439 PGX786439 PQT786439 QAP786439 QKL786439 QUH786439 RED786439 RNZ786439 RXV786439 SHR786439 SRN786439 TBJ786439 TLF786439 TVB786439 UEX786439 UOT786439 UYP786439 VIL786439 VSH786439 WCD786439 WLZ786439 WVV786439 N851975 JJ851975 TF851975 ADB851975 AMX851975 AWT851975 BGP851975 BQL851975 CAH851975 CKD851975 CTZ851975 DDV851975 DNR851975 DXN851975 EHJ851975 ERF851975 FBB851975 FKX851975 FUT851975 GEP851975 GOL851975 GYH851975 HID851975 HRZ851975 IBV851975 ILR851975 IVN851975 JFJ851975 JPF851975 JZB851975 KIX851975 KST851975 LCP851975 LML851975 LWH851975 MGD851975 MPZ851975 MZV851975 NJR851975 NTN851975 ODJ851975 ONF851975 OXB851975 PGX851975 PQT851975 QAP851975 QKL851975 QUH851975 RED851975 RNZ851975 RXV851975 SHR851975 SRN851975 TBJ851975 TLF851975 TVB851975 UEX851975 UOT851975 UYP851975 VIL851975 VSH851975 WCD851975 WLZ851975 WVV851975 N917511 JJ917511 TF917511 ADB917511 AMX917511 AWT917511 BGP917511 BQL917511 CAH917511 CKD917511 CTZ917511 DDV917511 DNR917511 DXN917511 EHJ917511 ERF917511 FBB917511 FKX917511 FUT917511 GEP917511 GOL917511 GYH917511 HID917511 HRZ917511 IBV917511 ILR917511 IVN917511 JFJ917511 JPF917511 JZB917511 KIX917511 KST917511 LCP917511 LML917511 LWH917511 MGD917511 MPZ917511 MZV917511 NJR917511 NTN917511 ODJ917511 ONF917511 OXB917511 PGX917511 PQT917511 QAP917511 QKL917511 QUH917511 RED917511 RNZ917511 RXV917511 SHR917511 SRN917511 TBJ917511 TLF917511 TVB917511 UEX917511 UOT917511 UYP917511 VIL917511 VSH917511 WCD917511 WLZ917511 WVV917511 N983047 JJ983047 TF983047 ADB983047 AMX983047 AWT983047 BGP983047 BQL983047 CAH983047 CKD983047 CTZ983047 DDV983047 DNR983047 DXN983047 EHJ983047 ERF983047 FBB983047 FKX983047 FUT983047 GEP983047 GOL983047 GYH983047 HID983047 HRZ983047 IBV983047 ILR983047 IVN983047 JFJ983047 JPF983047 JZB983047 KIX983047 KST983047 LCP983047 LML983047 LWH983047 MGD983047 MPZ983047 MZV983047 NJR983047 NTN983047 ODJ983047 ONF983047 OXB983047 PGX983047 PQT983047 QAP983047 QKL983047 QUH983047 RED983047 RNZ983047 RXV983047 SHR983047 SRN983047 TBJ983047 TLF983047 TVB983047 UEX983047 UOT983047 UYP983047 VIL983047 VSH983047 WCD983047 WLZ983047" xr:uid="{00000000-0002-0000-0200-000001000000}">
      <formula1>janejfed</formula1>
    </dataValidation>
    <dataValidation type="list" allowBlank="1" showInputMessage="1" showErrorMessage="1" sqref="N7" xr:uid="{00000000-0002-0000-0200-000002000000}">
      <formula1>$W$8:$W$9</formula1>
    </dataValidation>
    <dataValidation type="list" allowBlank="1" showInputMessage="1" showErrorMessage="1" sqref="N9" xr:uid="{00000000-0002-0000-0200-000003000000}">
      <formula1>$X$8:$X$9</formula1>
    </dataValidation>
  </dataValidations>
  <pageMargins left="0.98425196850393704" right="0.39370078740157483" top="0.39370078740157483" bottom="0.19685039370078741" header="0.31496062992125984" footer="0.31496062992125984"/>
  <pageSetup paperSize="9" scale="77"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locked="0" defaultSize="0" autoFill="0" autoLine="0" autoPict="0" macro="[0]!UDSKRIVforskudtforkant">
                <anchor moveWithCells="1" sizeWithCells="1">
                  <from>
                    <xdr:col>13</xdr:col>
                    <xdr:colOff>123825</xdr:colOff>
                    <xdr:row>0</xdr:row>
                    <xdr:rowOff>95250</xdr:rowOff>
                  </from>
                  <to>
                    <xdr:col>14</xdr:col>
                    <xdr:colOff>19050</xdr:colOff>
                    <xdr:row>2</xdr:row>
                    <xdr:rowOff>9525</xdr:rowOff>
                  </to>
                </anchor>
              </controlPr>
            </control>
          </mc:Choice>
        </mc:AlternateContent>
        <mc:AlternateContent xmlns:mc="http://schemas.openxmlformats.org/markup-compatibility/2006">
          <mc:Choice Requires="x14">
            <control shapeId="4098" r:id="rId5" name="Button 2">
              <controlPr locked="0" defaultSize="0" autoFill="0" autoLine="0" autoPict="0" macro="[0]!OPTIMERC">
                <anchor moveWithCells="1" sizeWithCells="1">
                  <from>
                    <xdr:col>11</xdr:col>
                    <xdr:colOff>47625</xdr:colOff>
                    <xdr:row>39</xdr:row>
                    <xdr:rowOff>76200</xdr:rowOff>
                  </from>
                  <to>
                    <xdr:col>12</xdr:col>
                    <xdr:colOff>152400</xdr:colOff>
                    <xdr:row>40</xdr:row>
                    <xdr:rowOff>152400</xdr:rowOff>
                  </to>
                </anchor>
              </controlPr>
            </control>
          </mc:Choice>
        </mc:AlternateContent>
        <mc:AlternateContent xmlns:mc="http://schemas.openxmlformats.org/markup-compatibility/2006">
          <mc:Choice Requires="x14">
            <control shapeId="4099" r:id="rId6" name="Button 3">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4100" r:id="rId7" name="Button 4">
              <controlPr locked="0" defaultSize="0" autoFill="0" autoLine="0" autoPict="0" macro="[0]!RETUR">
                <anchor moveWithCells="1" sizeWithCells="1">
                  <from>
                    <xdr:col>14</xdr:col>
                    <xdr:colOff>152400</xdr:colOff>
                    <xdr:row>0</xdr:row>
                    <xdr:rowOff>95250</xdr:rowOff>
                  </from>
                  <to>
                    <xdr:col>15</xdr:col>
                    <xdr:colOff>28575</xdr:colOff>
                    <xdr:row>1</xdr:row>
                    <xdr:rowOff>180975</xdr:rowOff>
                  </to>
                </anchor>
              </controlPr>
            </control>
          </mc:Choice>
        </mc:AlternateContent>
        <mc:AlternateContent xmlns:mc="http://schemas.openxmlformats.org/markup-compatibility/2006">
          <mc:Choice Requires="x14">
            <control shapeId="4102" r:id="rId8" name="Button 6">
              <controlPr locked="0" defaultSize="0" autoFill="0" autoLine="0" autoPict="0" macro="[0]!RETURforskudtforkant">
                <anchor moveWithCells="1" sizeWithCells="1">
                  <from>
                    <xdr:col>15</xdr:col>
                    <xdr:colOff>161925</xdr:colOff>
                    <xdr:row>0</xdr:row>
                    <xdr:rowOff>104775</xdr:rowOff>
                  </from>
                  <to>
                    <xdr:col>17</xdr:col>
                    <xdr:colOff>0</xdr:colOff>
                    <xdr:row>3</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4">
    <pageSetUpPr fitToPage="1"/>
  </sheetPr>
  <dimension ref="A1:N400"/>
  <sheetViews>
    <sheetView zoomScale="87" zoomScaleNormal="87" workbookViewId="0"/>
  </sheetViews>
  <sheetFormatPr defaultRowHeight="15"/>
  <cols>
    <col min="1" max="1" width="13.33203125" customWidth="1"/>
    <col min="2" max="2" width="1.5546875" customWidth="1"/>
    <col min="3" max="3" width="6.77734375" customWidth="1"/>
    <col min="4" max="4" width="4.33203125" customWidth="1"/>
    <col min="5"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13" max="13" width="9.77734375" customWidth="1"/>
    <col min="14" max="14" width="25.77734375" customWidth="1"/>
    <col min="257" max="257" width="13.33203125" customWidth="1"/>
    <col min="258" max="258" width="1.5546875" customWidth="1"/>
    <col min="259" max="259" width="6.77734375" customWidth="1"/>
    <col min="260" max="260" width="4.33203125" customWidth="1"/>
    <col min="261"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269" max="269" width="9.77734375" customWidth="1"/>
    <col min="270" max="270" width="25.77734375" customWidth="1"/>
    <col min="513" max="513" width="13.33203125" customWidth="1"/>
    <col min="514" max="514" width="1.5546875" customWidth="1"/>
    <col min="515" max="515" width="6.77734375" customWidth="1"/>
    <col min="516" max="516" width="4.33203125" customWidth="1"/>
    <col min="517"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525" max="525" width="9.77734375" customWidth="1"/>
    <col min="526" max="526" width="25.77734375" customWidth="1"/>
    <col min="769" max="769" width="13.33203125" customWidth="1"/>
    <col min="770" max="770" width="1.5546875" customWidth="1"/>
    <col min="771" max="771" width="6.77734375" customWidth="1"/>
    <col min="772" max="772" width="4.33203125" customWidth="1"/>
    <col min="773"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781" max="781" width="9.77734375" customWidth="1"/>
    <col min="782" max="782" width="25.77734375" customWidth="1"/>
    <col min="1025" max="1025" width="13.33203125" customWidth="1"/>
    <col min="1026" max="1026" width="1.5546875" customWidth="1"/>
    <col min="1027" max="1027" width="6.77734375" customWidth="1"/>
    <col min="1028" max="1028" width="4.33203125" customWidth="1"/>
    <col min="1029"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037" max="1037" width="9.77734375" customWidth="1"/>
    <col min="1038" max="1038" width="25.77734375" customWidth="1"/>
    <col min="1281" max="1281" width="13.33203125" customWidth="1"/>
    <col min="1282" max="1282" width="1.5546875" customWidth="1"/>
    <col min="1283" max="1283" width="6.77734375" customWidth="1"/>
    <col min="1284" max="1284" width="4.33203125" customWidth="1"/>
    <col min="1285"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293" max="1293" width="9.77734375" customWidth="1"/>
    <col min="1294" max="1294" width="25.77734375" customWidth="1"/>
    <col min="1537" max="1537" width="13.33203125" customWidth="1"/>
    <col min="1538" max="1538" width="1.5546875" customWidth="1"/>
    <col min="1539" max="1539" width="6.77734375" customWidth="1"/>
    <col min="1540" max="1540" width="4.33203125" customWidth="1"/>
    <col min="1541"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549" max="1549" width="9.77734375" customWidth="1"/>
    <col min="1550" max="1550" width="25.77734375" customWidth="1"/>
    <col min="1793" max="1793" width="13.33203125" customWidth="1"/>
    <col min="1794" max="1794" width="1.5546875" customWidth="1"/>
    <col min="1795" max="1795" width="6.77734375" customWidth="1"/>
    <col min="1796" max="1796" width="4.33203125" customWidth="1"/>
    <col min="1797"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1805" max="1805" width="9.77734375" customWidth="1"/>
    <col min="1806" max="1806" width="25.77734375" customWidth="1"/>
    <col min="2049" max="2049" width="13.33203125" customWidth="1"/>
    <col min="2050" max="2050" width="1.5546875" customWidth="1"/>
    <col min="2051" max="2051" width="6.77734375" customWidth="1"/>
    <col min="2052" max="2052" width="4.33203125" customWidth="1"/>
    <col min="2053"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061" max="2061" width="9.77734375" customWidth="1"/>
    <col min="2062" max="2062" width="25.77734375" customWidth="1"/>
    <col min="2305" max="2305" width="13.33203125" customWidth="1"/>
    <col min="2306" max="2306" width="1.5546875" customWidth="1"/>
    <col min="2307" max="2307" width="6.77734375" customWidth="1"/>
    <col min="2308" max="2308" width="4.33203125" customWidth="1"/>
    <col min="2309"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317" max="2317" width="9.77734375" customWidth="1"/>
    <col min="2318" max="2318" width="25.77734375" customWidth="1"/>
    <col min="2561" max="2561" width="13.33203125" customWidth="1"/>
    <col min="2562" max="2562" width="1.5546875" customWidth="1"/>
    <col min="2563" max="2563" width="6.77734375" customWidth="1"/>
    <col min="2564" max="2564" width="4.33203125" customWidth="1"/>
    <col min="2565"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573" max="2573" width="9.77734375" customWidth="1"/>
    <col min="2574" max="2574" width="25.77734375" customWidth="1"/>
    <col min="2817" max="2817" width="13.33203125" customWidth="1"/>
    <col min="2818" max="2818" width="1.5546875" customWidth="1"/>
    <col min="2819" max="2819" width="6.77734375" customWidth="1"/>
    <col min="2820" max="2820" width="4.33203125" customWidth="1"/>
    <col min="2821"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2829" max="2829" width="9.77734375" customWidth="1"/>
    <col min="2830" max="2830" width="25.77734375" customWidth="1"/>
    <col min="3073" max="3073" width="13.33203125" customWidth="1"/>
    <col min="3074" max="3074" width="1.5546875" customWidth="1"/>
    <col min="3075" max="3075" width="6.77734375" customWidth="1"/>
    <col min="3076" max="3076" width="4.33203125" customWidth="1"/>
    <col min="3077"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085" max="3085" width="9.77734375" customWidth="1"/>
    <col min="3086" max="3086" width="25.77734375" customWidth="1"/>
    <col min="3329" max="3329" width="13.33203125" customWidth="1"/>
    <col min="3330" max="3330" width="1.5546875" customWidth="1"/>
    <col min="3331" max="3331" width="6.77734375" customWidth="1"/>
    <col min="3332" max="3332" width="4.33203125" customWidth="1"/>
    <col min="3333"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341" max="3341" width="9.77734375" customWidth="1"/>
    <col min="3342" max="3342" width="25.77734375" customWidth="1"/>
    <col min="3585" max="3585" width="13.33203125" customWidth="1"/>
    <col min="3586" max="3586" width="1.5546875" customWidth="1"/>
    <col min="3587" max="3587" width="6.77734375" customWidth="1"/>
    <col min="3588" max="3588" width="4.33203125" customWidth="1"/>
    <col min="3589"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597" max="3597" width="9.77734375" customWidth="1"/>
    <col min="3598" max="3598" width="25.77734375" customWidth="1"/>
    <col min="3841" max="3841" width="13.33203125" customWidth="1"/>
    <col min="3842" max="3842" width="1.5546875" customWidth="1"/>
    <col min="3843" max="3843" width="6.77734375" customWidth="1"/>
    <col min="3844" max="3844" width="4.33203125" customWidth="1"/>
    <col min="3845"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3853" max="3853" width="9.77734375" customWidth="1"/>
    <col min="3854" max="3854" width="25.77734375" customWidth="1"/>
    <col min="4097" max="4097" width="13.33203125" customWidth="1"/>
    <col min="4098" max="4098" width="1.5546875" customWidth="1"/>
    <col min="4099" max="4099" width="6.77734375" customWidth="1"/>
    <col min="4100" max="4100" width="4.33203125" customWidth="1"/>
    <col min="4101"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109" max="4109" width="9.77734375" customWidth="1"/>
    <col min="4110" max="4110" width="25.77734375" customWidth="1"/>
    <col min="4353" max="4353" width="13.33203125" customWidth="1"/>
    <col min="4354" max="4354" width="1.5546875" customWidth="1"/>
    <col min="4355" max="4355" width="6.77734375" customWidth="1"/>
    <col min="4356" max="4356" width="4.33203125" customWidth="1"/>
    <col min="4357"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365" max="4365" width="9.77734375" customWidth="1"/>
    <col min="4366" max="4366" width="25.77734375" customWidth="1"/>
    <col min="4609" max="4609" width="13.33203125" customWidth="1"/>
    <col min="4610" max="4610" width="1.5546875" customWidth="1"/>
    <col min="4611" max="4611" width="6.77734375" customWidth="1"/>
    <col min="4612" max="4612" width="4.33203125" customWidth="1"/>
    <col min="4613"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621" max="4621" width="9.77734375" customWidth="1"/>
    <col min="4622" max="4622" width="25.77734375" customWidth="1"/>
    <col min="4865" max="4865" width="13.33203125" customWidth="1"/>
    <col min="4866" max="4866" width="1.5546875" customWidth="1"/>
    <col min="4867" max="4867" width="6.77734375" customWidth="1"/>
    <col min="4868" max="4868" width="4.33203125" customWidth="1"/>
    <col min="4869"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4877" max="4877" width="9.77734375" customWidth="1"/>
    <col min="4878" max="4878" width="25.77734375" customWidth="1"/>
    <col min="5121" max="5121" width="13.33203125" customWidth="1"/>
    <col min="5122" max="5122" width="1.5546875" customWidth="1"/>
    <col min="5123" max="5123" width="6.77734375" customWidth="1"/>
    <col min="5124" max="5124" width="4.33203125" customWidth="1"/>
    <col min="5125"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133" max="5133" width="9.77734375" customWidth="1"/>
    <col min="5134" max="5134" width="25.77734375" customWidth="1"/>
    <col min="5377" max="5377" width="13.33203125" customWidth="1"/>
    <col min="5378" max="5378" width="1.5546875" customWidth="1"/>
    <col min="5379" max="5379" width="6.77734375" customWidth="1"/>
    <col min="5380" max="5380" width="4.33203125" customWidth="1"/>
    <col min="5381"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389" max="5389" width="9.77734375" customWidth="1"/>
    <col min="5390" max="5390" width="25.77734375" customWidth="1"/>
    <col min="5633" max="5633" width="13.33203125" customWidth="1"/>
    <col min="5634" max="5634" width="1.5546875" customWidth="1"/>
    <col min="5635" max="5635" width="6.77734375" customWidth="1"/>
    <col min="5636" max="5636" width="4.33203125" customWidth="1"/>
    <col min="5637"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645" max="5645" width="9.77734375" customWidth="1"/>
    <col min="5646" max="5646" width="25.77734375" customWidth="1"/>
    <col min="5889" max="5889" width="13.33203125" customWidth="1"/>
    <col min="5890" max="5890" width="1.5546875" customWidth="1"/>
    <col min="5891" max="5891" width="6.77734375" customWidth="1"/>
    <col min="5892" max="5892" width="4.33203125" customWidth="1"/>
    <col min="5893"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5901" max="5901" width="9.77734375" customWidth="1"/>
    <col min="5902" max="5902" width="25.77734375" customWidth="1"/>
    <col min="6145" max="6145" width="13.33203125" customWidth="1"/>
    <col min="6146" max="6146" width="1.5546875" customWidth="1"/>
    <col min="6147" max="6147" width="6.77734375" customWidth="1"/>
    <col min="6148" max="6148" width="4.33203125" customWidth="1"/>
    <col min="6149"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157" max="6157" width="9.77734375" customWidth="1"/>
    <col min="6158" max="6158" width="25.77734375" customWidth="1"/>
    <col min="6401" max="6401" width="13.33203125" customWidth="1"/>
    <col min="6402" max="6402" width="1.5546875" customWidth="1"/>
    <col min="6403" max="6403" width="6.77734375" customWidth="1"/>
    <col min="6404" max="6404" width="4.33203125" customWidth="1"/>
    <col min="6405"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413" max="6413" width="9.77734375" customWidth="1"/>
    <col min="6414" max="6414" width="25.77734375" customWidth="1"/>
    <col min="6657" max="6657" width="13.33203125" customWidth="1"/>
    <col min="6658" max="6658" width="1.5546875" customWidth="1"/>
    <col min="6659" max="6659" width="6.77734375" customWidth="1"/>
    <col min="6660" max="6660" width="4.33203125" customWidth="1"/>
    <col min="6661"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669" max="6669" width="9.77734375" customWidth="1"/>
    <col min="6670" max="6670" width="25.77734375" customWidth="1"/>
    <col min="6913" max="6913" width="13.33203125" customWidth="1"/>
    <col min="6914" max="6914" width="1.5546875" customWidth="1"/>
    <col min="6915" max="6915" width="6.77734375" customWidth="1"/>
    <col min="6916" max="6916" width="4.33203125" customWidth="1"/>
    <col min="6917"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6925" max="6925" width="9.77734375" customWidth="1"/>
    <col min="6926" max="6926" width="25.77734375" customWidth="1"/>
    <col min="7169" max="7169" width="13.33203125" customWidth="1"/>
    <col min="7170" max="7170" width="1.5546875" customWidth="1"/>
    <col min="7171" max="7171" width="6.77734375" customWidth="1"/>
    <col min="7172" max="7172" width="4.33203125" customWidth="1"/>
    <col min="7173"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181" max="7181" width="9.77734375" customWidth="1"/>
    <col min="7182" max="7182" width="25.77734375" customWidth="1"/>
    <col min="7425" max="7425" width="13.33203125" customWidth="1"/>
    <col min="7426" max="7426" width="1.5546875" customWidth="1"/>
    <col min="7427" max="7427" width="6.77734375" customWidth="1"/>
    <col min="7428" max="7428" width="4.33203125" customWidth="1"/>
    <col min="7429"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437" max="7437" width="9.77734375" customWidth="1"/>
    <col min="7438" max="7438" width="25.77734375" customWidth="1"/>
    <col min="7681" max="7681" width="13.33203125" customWidth="1"/>
    <col min="7682" max="7682" width="1.5546875" customWidth="1"/>
    <col min="7683" max="7683" width="6.77734375" customWidth="1"/>
    <col min="7684" max="7684" width="4.33203125" customWidth="1"/>
    <col min="7685"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693" max="7693" width="9.77734375" customWidth="1"/>
    <col min="7694" max="7694" width="25.77734375" customWidth="1"/>
    <col min="7937" max="7937" width="13.33203125" customWidth="1"/>
    <col min="7938" max="7938" width="1.5546875" customWidth="1"/>
    <col min="7939" max="7939" width="6.77734375" customWidth="1"/>
    <col min="7940" max="7940" width="4.33203125" customWidth="1"/>
    <col min="7941"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7949" max="7949" width="9.77734375" customWidth="1"/>
    <col min="7950" max="7950" width="25.77734375" customWidth="1"/>
    <col min="8193" max="8193" width="13.33203125" customWidth="1"/>
    <col min="8194" max="8194" width="1.5546875" customWidth="1"/>
    <col min="8195" max="8195" width="6.77734375" customWidth="1"/>
    <col min="8196" max="8196" width="4.33203125" customWidth="1"/>
    <col min="8197"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205" max="8205" width="9.77734375" customWidth="1"/>
    <col min="8206" max="8206" width="25.77734375" customWidth="1"/>
    <col min="8449" max="8449" width="13.33203125" customWidth="1"/>
    <col min="8450" max="8450" width="1.5546875" customWidth="1"/>
    <col min="8451" max="8451" width="6.77734375" customWidth="1"/>
    <col min="8452" max="8452" width="4.33203125" customWidth="1"/>
    <col min="8453"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461" max="8461" width="9.77734375" customWidth="1"/>
    <col min="8462" max="8462" width="25.77734375" customWidth="1"/>
    <col min="8705" max="8705" width="13.33203125" customWidth="1"/>
    <col min="8706" max="8706" width="1.5546875" customWidth="1"/>
    <col min="8707" max="8707" width="6.77734375" customWidth="1"/>
    <col min="8708" max="8708" width="4.33203125" customWidth="1"/>
    <col min="8709"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717" max="8717" width="9.77734375" customWidth="1"/>
    <col min="8718" max="8718" width="25.77734375" customWidth="1"/>
    <col min="8961" max="8961" width="13.33203125" customWidth="1"/>
    <col min="8962" max="8962" width="1.5546875" customWidth="1"/>
    <col min="8963" max="8963" width="6.77734375" customWidth="1"/>
    <col min="8964" max="8964" width="4.33203125" customWidth="1"/>
    <col min="8965"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8973" max="8973" width="9.77734375" customWidth="1"/>
    <col min="8974" max="8974" width="25.77734375" customWidth="1"/>
    <col min="9217" max="9217" width="13.33203125" customWidth="1"/>
    <col min="9218" max="9218" width="1.5546875" customWidth="1"/>
    <col min="9219" max="9219" width="6.77734375" customWidth="1"/>
    <col min="9220" max="9220" width="4.33203125" customWidth="1"/>
    <col min="9221"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229" max="9229" width="9.77734375" customWidth="1"/>
    <col min="9230" max="9230" width="25.77734375" customWidth="1"/>
    <col min="9473" max="9473" width="13.33203125" customWidth="1"/>
    <col min="9474" max="9474" width="1.5546875" customWidth="1"/>
    <col min="9475" max="9475" width="6.77734375" customWidth="1"/>
    <col min="9476" max="9476" width="4.33203125" customWidth="1"/>
    <col min="9477"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485" max="9485" width="9.77734375" customWidth="1"/>
    <col min="9486" max="9486" width="25.77734375" customWidth="1"/>
    <col min="9729" max="9729" width="13.33203125" customWidth="1"/>
    <col min="9730" max="9730" width="1.5546875" customWidth="1"/>
    <col min="9731" max="9731" width="6.77734375" customWidth="1"/>
    <col min="9732" max="9732" width="4.33203125" customWidth="1"/>
    <col min="9733"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741" max="9741" width="9.77734375" customWidth="1"/>
    <col min="9742" max="9742" width="25.77734375" customWidth="1"/>
    <col min="9985" max="9985" width="13.33203125" customWidth="1"/>
    <col min="9986" max="9986" width="1.5546875" customWidth="1"/>
    <col min="9987" max="9987" width="6.77734375" customWidth="1"/>
    <col min="9988" max="9988" width="4.33203125" customWidth="1"/>
    <col min="9989"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9997" max="9997" width="9.77734375" customWidth="1"/>
    <col min="9998" max="9998" width="25.77734375" customWidth="1"/>
    <col min="10241" max="10241" width="13.33203125" customWidth="1"/>
    <col min="10242" max="10242" width="1.5546875" customWidth="1"/>
    <col min="10243" max="10243" width="6.77734375" customWidth="1"/>
    <col min="10244" max="10244" width="4.33203125" customWidth="1"/>
    <col min="10245"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253" max="10253" width="9.77734375" customWidth="1"/>
    <col min="10254" max="10254" width="25.77734375" customWidth="1"/>
    <col min="10497" max="10497" width="13.33203125" customWidth="1"/>
    <col min="10498" max="10498" width="1.5546875" customWidth="1"/>
    <col min="10499" max="10499" width="6.77734375" customWidth="1"/>
    <col min="10500" max="10500" width="4.33203125" customWidth="1"/>
    <col min="10501"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509" max="10509" width="9.77734375" customWidth="1"/>
    <col min="10510" max="10510" width="25.77734375" customWidth="1"/>
    <col min="10753" max="10753" width="13.33203125" customWidth="1"/>
    <col min="10754" max="10754" width="1.5546875" customWidth="1"/>
    <col min="10755" max="10755" width="6.77734375" customWidth="1"/>
    <col min="10756" max="10756" width="4.33203125" customWidth="1"/>
    <col min="10757"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0765" max="10765" width="9.77734375" customWidth="1"/>
    <col min="10766" max="10766" width="25.77734375" customWidth="1"/>
    <col min="11009" max="11009" width="13.33203125" customWidth="1"/>
    <col min="11010" max="11010" width="1.5546875" customWidth="1"/>
    <col min="11011" max="11011" width="6.77734375" customWidth="1"/>
    <col min="11012" max="11012" width="4.33203125" customWidth="1"/>
    <col min="11013"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021" max="11021" width="9.77734375" customWidth="1"/>
    <col min="11022" max="11022" width="25.77734375" customWidth="1"/>
    <col min="11265" max="11265" width="13.33203125" customWidth="1"/>
    <col min="11266" max="11266" width="1.5546875" customWidth="1"/>
    <col min="11267" max="11267" width="6.77734375" customWidth="1"/>
    <col min="11268" max="11268" width="4.33203125" customWidth="1"/>
    <col min="11269"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277" max="11277" width="9.77734375" customWidth="1"/>
    <col min="11278" max="11278" width="25.77734375" customWidth="1"/>
    <col min="11521" max="11521" width="13.33203125" customWidth="1"/>
    <col min="11522" max="11522" width="1.5546875" customWidth="1"/>
    <col min="11523" max="11523" width="6.77734375" customWidth="1"/>
    <col min="11524" max="11524" width="4.33203125" customWidth="1"/>
    <col min="11525"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533" max="11533" width="9.77734375" customWidth="1"/>
    <col min="11534" max="11534" width="25.77734375" customWidth="1"/>
    <col min="11777" max="11777" width="13.33203125" customWidth="1"/>
    <col min="11778" max="11778" width="1.5546875" customWidth="1"/>
    <col min="11779" max="11779" width="6.77734375" customWidth="1"/>
    <col min="11780" max="11780" width="4.33203125" customWidth="1"/>
    <col min="11781"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1789" max="11789" width="9.77734375" customWidth="1"/>
    <col min="11790" max="11790" width="25.77734375" customWidth="1"/>
    <col min="12033" max="12033" width="13.33203125" customWidth="1"/>
    <col min="12034" max="12034" width="1.5546875" customWidth="1"/>
    <col min="12035" max="12035" width="6.77734375" customWidth="1"/>
    <col min="12036" max="12036" width="4.33203125" customWidth="1"/>
    <col min="12037"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045" max="12045" width="9.77734375" customWidth="1"/>
    <col min="12046" max="12046" width="25.77734375" customWidth="1"/>
    <col min="12289" max="12289" width="13.33203125" customWidth="1"/>
    <col min="12290" max="12290" width="1.5546875" customWidth="1"/>
    <col min="12291" max="12291" width="6.77734375" customWidth="1"/>
    <col min="12292" max="12292" width="4.33203125" customWidth="1"/>
    <col min="12293"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301" max="12301" width="9.77734375" customWidth="1"/>
    <col min="12302" max="12302" width="25.77734375" customWidth="1"/>
    <col min="12545" max="12545" width="13.33203125" customWidth="1"/>
    <col min="12546" max="12546" width="1.5546875" customWidth="1"/>
    <col min="12547" max="12547" width="6.77734375" customWidth="1"/>
    <col min="12548" max="12548" width="4.33203125" customWidth="1"/>
    <col min="12549"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557" max="12557" width="9.77734375" customWidth="1"/>
    <col min="12558" max="12558" width="25.77734375" customWidth="1"/>
    <col min="12801" max="12801" width="13.33203125" customWidth="1"/>
    <col min="12802" max="12802" width="1.5546875" customWidth="1"/>
    <col min="12803" max="12803" width="6.77734375" customWidth="1"/>
    <col min="12804" max="12804" width="4.33203125" customWidth="1"/>
    <col min="12805"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2813" max="12813" width="9.77734375" customWidth="1"/>
    <col min="12814" max="12814" width="25.77734375" customWidth="1"/>
    <col min="13057" max="13057" width="13.33203125" customWidth="1"/>
    <col min="13058" max="13058" width="1.5546875" customWidth="1"/>
    <col min="13059" max="13059" width="6.77734375" customWidth="1"/>
    <col min="13060" max="13060" width="4.33203125" customWidth="1"/>
    <col min="13061"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069" max="13069" width="9.77734375" customWidth="1"/>
    <col min="13070" max="13070" width="25.77734375" customWidth="1"/>
    <col min="13313" max="13313" width="13.33203125" customWidth="1"/>
    <col min="13314" max="13314" width="1.5546875" customWidth="1"/>
    <col min="13315" max="13315" width="6.77734375" customWidth="1"/>
    <col min="13316" max="13316" width="4.33203125" customWidth="1"/>
    <col min="13317"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325" max="13325" width="9.77734375" customWidth="1"/>
    <col min="13326" max="13326" width="25.77734375" customWidth="1"/>
    <col min="13569" max="13569" width="13.33203125" customWidth="1"/>
    <col min="13570" max="13570" width="1.5546875" customWidth="1"/>
    <col min="13571" max="13571" width="6.77734375" customWidth="1"/>
    <col min="13572" max="13572" width="4.33203125" customWidth="1"/>
    <col min="13573"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581" max="13581" width="9.77734375" customWidth="1"/>
    <col min="13582" max="13582" width="25.77734375" customWidth="1"/>
    <col min="13825" max="13825" width="13.33203125" customWidth="1"/>
    <col min="13826" max="13826" width="1.5546875" customWidth="1"/>
    <col min="13827" max="13827" width="6.77734375" customWidth="1"/>
    <col min="13828" max="13828" width="4.33203125" customWidth="1"/>
    <col min="13829"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3837" max="13837" width="9.77734375" customWidth="1"/>
    <col min="13838" max="13838" width="25.77734375" customWidth="1"/>
    <col min="14081" max="14081" width="13.33203125" customWidth="1"/>
    <col min="14082" max="14082" width="1.5546875" customWidth="1"/>
    <col min="14083" max="14083" width="6.77734375" customWidth="1"/>
    <col min="14084" max="14084" width="4.33203125" customWidth="1"/>
    <col min="14085"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093" max="14093" width="9.77734375" customWidth="1"/>
    <col min="14094" max="14094" width="25.77734375" customWidth="1"/>
    <col min="14337" max="14337" width="13.33203125" customWidth="1"/>
    <col min="14338" max="14338" width="1.5546875" customWidth="1"/>
    <col min="14339" max="14339" width="6.77734375" customWidth="1"/>
    <col min="14340" max="14340" width="4.33203125" customWidth="1"/>
    <col min="14341"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349" max="14349" width="9.77734375" customWidth="1"/>
    <col min="14350" max="14350" width="25.77734375" customWidth="1"/>
    <col min="14593" max="14593" width="13.33203125" customWidth="1"/>
    <col min="14594" max="14594" width="1.5546875" customWidth="1"/>
    <col min="14595" max="14595" width="6.77734375" customWidth="1"/>
    <col min="14596" max="14596" width="4.33203125" customWidth="1"/>
    <col min="14597"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605" max="14605" width="9.77734375" customWidth="1"/>
    <col min="14606" max="14606" width="25.77734375" customWidth="1"/>
    <col min="14849" max="14849" width="13.33203125" customWidth="1"/>
    <col min="14850" max="14850" width="1.5546875" customWidth="1"/>
    <col min="14851" max="14851" width="6.77734375" customWidth="1"/>
    <col min="14852" max="14852" width="4.33203125" customWidth="1"/>
    <col min="14853"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4861" max="14861" width="9.77734375" customWidth="1"/>
    <col min="14862" max="14862" width="25.77734375" customWidth="1"/>
    <col min="15105" max="15105" width="13.33203125" customWidth="1"/>
    <col min="15106" max="15106" width="1.5546875" customWidth="1"/>
    <col min="15107" max="15107" width="6.77734375" customWidth="1"/>
    <col min="15108" max="15108" width="4.33203125" customWidth="1"/>
    <col min="15109"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117" max="15117" width="9.77734375" customWidth="1"/>
    <col min="15118" max="15118" width="25.77734375" customWidth="1"/>
    <col min="15361" max="15361" width="13.33203125" customWidth="1"/>
    <col min="15362" max="15362" width="1.5546875" customWidth="1"/>
    <col min="15363" max="15363" width="6.77734375" customWidth="1"/>
    <col min="15364" max="15364" width="4.33203125" customWidth="1"/>
    <col min="15365"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373" max="15373" width="9.77734375" customWidth="1"/>
    <col min="15374" max="15374" width="25.77734375" customWidth="1"/>
    <col min="15617" max="15617" width="13.33203125" customWidth="1"/>
    <col min="15618" max="15618" width="1.5546875" customWidth="1"/>
    <col min="15619" max="15619" width="6.77734375" customWidth="1"/>
    <col min="15620" max="15620" width="4.33203125" customWidth="1"/>
    <col min="15621"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629" max="15629" width="9.77734375" customWidth="1"/>
    <col min="15630" max="15630" width="25.77734375" customWidth="1"/>
    <col min="15873" max="15873" width="13.33203125" customWidth="1"/>
    <col min="15874" max="15874" width="1.5546875" customWidth="1"/>
    <col min="15875" max="15875" width="6.77734375" customWidth="1"/>
    <col min="15876" max="15876" width="4.33203125" customWidth="1"/>
    <col min="15877"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5885" max="15885" width="9.77734375" customWidth="1"/>
    <col min="15886" max="15886" width="25.77734375" customWidth="1"/>
    <col min="16129" max="16129" width="13.33203125" customWidth="1"/>
    <col min="16130" max="16130" width="1.5546875" customWidth="1"/>
    <col min="16131" max="16131" width="6.77734375" customWidth="1"/>
    <col min="16132" max="16132" width="4.33203125" customWidth="1"/>
    <col min="16133"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141" max="16141" width="9.77734375" customWidth="1"/>
    <col min="16142" max="16142" width="25.77734375" customWidth="1"/>
  </cols>
  <sheetData>
    <row r="1" spans="1:14" ht="9.9499999999999993" customHeight="1">
      <c r="A1" s="1"/>
      <c r="B1" s="2" t="s">
        <v>0</v>
      </c>
      <c r="C1" s="3"/>
      <c r="D1" s="3"/>
      <c r="E1" s="3"/>
      <c r="F1" s="3"/>
      <c r="G1" s="3"/>
      <c r="H1" s="3" t="s">
        <v>1</v>
      </c>
      <c r="I1" s="2" t="s">
        <v>2</v>
      </c>
      <c r="J1" s="3"/>
      <c r="K1" s="3"/>
      <c r="L1" s="4" t="s">
        <v>3</v>
      </c>
      <c r="M1" s="417"/>
    </row>
    <row r="2" spans="1:14" ht="15" customHeight="1">
      <c r="A2" s="8" t="str">
        <f>A!A2</f>
        <v>kriptologia</v>
      </c>
      <c r="B2" s="9" t="s">
        <v>1</v>
      </c>
      <c r="C2" s="11">
        <f>A!C2</f>
        <v>0</v>
      </c>
      <c r="D2" s="11"/>
      <c r="E2" s="11"/>
      <c r="F2" s="11"/>
      <c r="G2" s="11"/>
      <c r="H2" s="11"/>
      <c r="I2" s="312"/>
      <c r="J2" s="329" t="str">
        <f>A!J2</f>
        <v xml:space="preserve"> </v>
      </c>
      <c r="K2" s="11"/>
      <c r="L2" s="11"/>
      <c r="M2" s="314"/>
    </row>
    <row r="3" spans="1:14" ht="9.9499999999999993" customHeight="1">
      <c r="A3" s="26"/>
      <c r="B3" s="2" t="s">
        <v>14</v>
      </c>
      <c r="C3" s="315"/>
      <c r="D3" s="316"/>
      <c r="E3" s="316"/>
      <c r="F3" s="315"/>
      <c r="G3" s="315"/>
      <c r="H3" s="315"/>
      <c r="I3" s="28" t="s">
        <v>15</v>
      </c>
      <c r="J3" s="315"/>
      <c r="K3" s="315"/>
      <c r="L3" s="419"/>
      <c r="M3" s="317"/>
    </row>
    <row r="4" spans="1:14" ht="15" customHeight="1">
      <c r="A4" s="20"/>
      <c r="B4" s="9"/>
      <c r="C4" s="11">
        <f>A!C4</f>
        <v>0</v>
      </c>
      <c r="D4" s="11"/>
      <c r="E4" s="11"/>
      <c r="F4" s="11"/>
      <c r="G4" s="11"/>
      <c r="H4" s="318"/>
      <c r="I4" s="312"/>
      <c r="J4" s="32">
        <v>44118.353442708336</v>
      </c>
      <c r="K4" s="33"/>
      <c r="L4" s="11"/>
      <c r="M4" s="318"/>
    </row>
    <row r="5" spans="1:14" ht="9.9499999999999993" customHeight="1">
      <c r="A5" s="36" t="s">
        <v>23</v>
      </c>
      <c r="B5" s="26"/>
      <c r="C5" s="315"/>
      <c r="D5" s="315"/>
      <c r="E5" s="315"/>
      <c r="F5" s="315"/>
      <c r="G5" s="315"/>
      <c r="H5" s="315"/>
      <c r="I5" s="37"/>
      <c r="J5" s="315"/>
      <c r="K5" s="37" t="str">
        <f>A!K5</f>
        <v xml:space="preserve">                                    N:\Opslag\Statik\Dalton statikark\RepoEC_190701 </v>
      </c>
      <c r="L5" s="419"/>
      <c r="M5" s="317"/>
    </row>
    <row r="6" spans="1:14">
      <c r="A6" s="271" t="str">
        <f>A!A6</f>
        <v>Tilst</v>
      </c>
      <c r="B6" s="9"/>
      <c r="C6" s="11">
        <f>A!C6</f>
        <v>0</v>
      </c>
      <c r="D6" s="11"/>
      <c r="E6" s="11"/>
      <c r="F6" s="11"/>
      <c r="G6" s="11"/>
      <c r="H6" s="11"/>
      <c r="I6" s="41" t="s">
        <v>28</v>
      </c>
      <c r="J6" s="331">
        <v>44118.353446064815</v>
      </c>
      <c r="K6" s="11"/>
      <c r="L6" s="43"/>
      <c r="M6" s="318"/>
    </row>
    <row r="7" spans="1:14" ht="15" customHeight="1">
      <c r="A7" s="315"/>
      <c r="B7" s="315"/>
      <c r="C7" s="315"/>
      <c r="D7" s="315"/>
      <c r="E7" s="315"/>
      <c r="F7" s="315"/>
      <c r="G7" s="315"/>
      <c r="H7" s="315"/>
      <c r="I7" s="315"/>
      <c r="J7" s="315"/>
      <c r="K7" s="315"/>
      <c r="L7" s="315"/>
      <c r="M7" s="315"/>
    </row>
    <row r="8" spans="1:14" ht="15" customHeight="1">
      <c r="A8" s="315"/>
      <c r="B8" s="367" t="str">
        <f>A!$B$8</f>
        <v>REPOSE</v>
      </c>
      <c r="C8" s="315"/>
      <c r="D8" s="315"/>
      <c r="E8" s="315"/>
      <c r="F8" s="315"/>
      <c r="G8" s="304"/>
      <c r="H8" s="315"/>
      <c r="I8" s="315"/>
      <c r="J8" s="315"/>
      <c r="K8" s="315"/>
      <c r="L8" s="315"/>
      <c r="M8" s="315"/>
      <c r="N8" s="396" t="s">
        <v>1096</v>
      </c>
    </row>
    <row r="9" spans="1:14" ht="15" customHeight="1">
      <c r="A9" s="315"/>
      <c r="B9" s="367"/>
      <c r="C9" s="315"/>
      <c r="D9" s="315"/>
      <c r="E9" s="315"/>
      <c r="F9" s="315"/>
      <c r="G9" s="241" t="str">
        <f>A!G9</f>
        <v>Konsekvensklasse</v>
      </c>
      <c r="H9" s="241" t="str">
        <f>A!H9</f>
        <v>CC</v>
      </c>
      <c r="I9" s="321">
        <f>A!I9</f>
        <v>2</v>
      </c>
      <c r="J9" t="str">
        <f>A!J9</f>
        <v xml:space="preserve"> </v>
      </c>
      <c r="K9" s="315" t="str">
        <f>A!K9</f>
        <v>Middel</v>
      </c>
      <c r="L9" s="315"/>
      <c r="M9" s="315"/>
      <c r="N9" s="396" t="s">
        <v>1097</v>
      </c>
    </row>
    <row r="10" spans="1:14" ht="15" customHeight="1">
      <c r="A10" s="315"/>
      <c r="B10" s="315"/>
      <c r="C10" s="315"/>
      <c r="D10" s="315"/>
      <c r="E10" s="315"/>
      <c r="F10" s="315"/>
      <c r="G10" s="241" t="str">
        <f>A!G10</f>
        <v>Kontrolklasse</v>
      </c>
      <c r="H10" s="241" t="str">
        <f>A!H10</f>
        <v xml:space="preserve"> </v>
      </c>
      <c r="I10" s="321" t="str">
        <f>A!I10</f>
        <v>N</v>
      </c>
      <c r="J10" t="str">
        <f>A!J10</f>
        <v xml:space="preserve"> </v>
      </c>
      <c r="K10" s="315" t="str">
        <f>A!K10</f>
        <v>Normal</v>
      </c>
      <c r="L10" s="315"/>
      <c r="M10" s="315"/>
      <c r="N10" s="396" t="s">
        <v>1098</v>
      </c>
    </row>
    <row r="11" spans="1:14" ht="15" customHeight="1">
      <c r="A11" s="315"/>
      <c r="B11" s="315"/>
      <c r="C11" s="315"/>
      <c r="D11" s="315"/>
      <c r="E11" s="315"/>
      <c r="F11" s="315"/>
      <c r="G11" s="241" t="str">
        <f>A!G11</f>
        <v>Miljøpåvirkning</v>
      </c>
      <c r="H11" s="315" t="str">
        <f>A!H11</f>
        <v xml:space="preserve"> </v>
      </c>
      <c r="I11" s="321" t="str">
        <f>A!I11</f>
        <v>P</v>
      </c>
      <c r="J11" t="str">
        <f>A!J11</f>
        <v xml:space="preserve"> </v>
      </c>
      <c r="K11" s="315" t="str">
        <f>A!K11</f>
        <v>Passiv</v>
      </c>
      <c r="L11" s="315"/>
      <c r="M11" s="315"/>
      <c r="N11" s="396" t="s">
        <v>1099</v>
      </c>
    </row>
    <row r="12" spans="1:14" ht="15" customHeight="1">
      <c r="A12" s="315"/>
      <c r="B12" s="315"/>
      <c r="C12" s="315"/>
      <c r="D12" s="315"/>
      <c r="E12" s="315"/>
      <c r="F12" s="315"/>
      <c r="G12" s="57"/>
      <c r="H12" s="315"/>
      <c r="I12" s="315"/>
      <c r="J12" s="315"/>
      <c r="K12" s="315"/>
      <c r="L12" s="315"/>
      <c r="M12" s="315"/>
    </row>
    <row r="13" spans="1:14" ht="15" customHeight="1">
      <c r="A13" s="315"/>
      <c r="B13" s="315" t="str">
        <f>A!$B$13</f>
        <v>GEOMETRI, STYRKETAL OG TVÆRSNITSDATA</v>
      </c>
      <c r="C13" s="315"/>
      <c r="D13" s="315"/>
      <c r="E13" s="315"/>
      <c r="F13" s="315"/>
      <c r="G13" s="315"/>
      <c r="H13" s="315"/>
      <c r="I13" s="315"/>
      <c r="J13" s="315"/>
      <c r="K13" s="315"/>
      <c r="L13" s="315"/>
      <c r="M13" s="315"/>
    </row>
    <row r="14" spans="1:14" ht="15" customHeight="1">
      <c r="A14" s="315"/>
      <c r="B14" s="315"/>
      <c r="C14" s="315"/>
      <c r="D14" s="315"/>
      <c r="E14" s="315"/>
      <c r="F14" s="315"/>
      <c r="G14" s="315" t="str">
        <f>A!G14</f>
        <v>tykkelse</v>
      </c>
      <c r="H14" s="315" t="str">
        <f>A!H14</f>
        <v>t</v>
      </c>
      <c r="I14" s="48" t="s">
        <v>112</v>
      </c>
      <c r="J14" s="250" t="e">
        <f>A!J14</f>
        <v>#N/A</v>
      </c>
      <c r="K14" s="315" t="str">
        <f>A!K14</f>
        <v>mm</v>
      </c>
      <c r="L14" s="315"/>
      <c r="M14" s="315"/>
    </row>
    <row r="15" spans="1:14" ht="15" customHeight="1">
      <c r="A15" s="315"/>
      <c r="B15" s="315"/>
      <c r="C15" s="315"/>
      <c r="D15" s="315"/>
      <c r="E15" s="315"/>
      <c r="F15" s="315"/>
      <c r="G15" s="315" t="str">
        <f>A!G15</f>
        <v>effektiv højde</v>
      </c>
      <c r="H15" s="315" t="str">
        <f>A!H15</f>
        <v>d</v>
      </c>
      <c r="I15" s="48" t="s">
        <v>112</v>
      </c>
      <c r="J15" s="250" t="e">
        <f>A!J15</f>
        <v>#N/A</v>
      </c>
      <c r="K15" s="315" t="str">
        <f>A!K15</f>
        <v>mm</v>
      </c>
      <c r="L15" s="315"/>
      <c r="M15" s="315"/>
    </row>
    <row r="16" spans="1:14" ht="15" customHeight="1">
      <c r="A16" s="315"/>
      <c r="B16" s="315"/>
      <c r="C16" s="315"/>
      <c r="D16" s="315"/>
      <c r="E16" s="315"/>
      <c r="F16" s="315"/>
      <c r="G16" s="315" t="str">
        <f>A!G16</f>
        <v xml:space="preserve">længde </v>
      </c>
      <c r="H16" s="315" t="str">
        <f>A!H16</f>
        <v>l</v>
      </c>
      <c r="I16" s="48" t="s">
        <v>112</v>
      </c>
      <c r="J16" s="250" t="e">
        <f>A!J16</f>
        <v>#N/A</v>
      </c>
      <c r="K16" s="315" t="str">
        <f>A!K16</f>
        <v>mm</v>
      </c>
      <c r="L16" s="315"/>
      <c r="M16" s="315"/>
    </row>
    <row r="17" spans="1:13" ht="15" customHeight="1">
      <c r="A17" s="315"/>
      <c r="B17" s="315"/>
      <c r="C17" s="315"/>
      <c r="D17" s="315"/>
      <c r="E17" s="315"/>
      <c r="F17" s="315"/>
      <c r="G17" s="315" t="str">
        <f>A!G17</f>
        <v>bredde</v>
      </c>
      <c r="H17" s="315" t="str">
        <f>A!H17</f>
        <v>b</v>
      </c>
      <c r="I17" s="48" t="s">
        <v>112</v>
      </c>
      <c r="J17" s="250" t="e">
        <f>A!J17</f>
        <v>#N/A</v>
      </c>
      <c r="K17" s="315" t="str">
        <f>A!K17</f>
        <v>mm</v>
      </c>
      <c r="L17" s="315"/>
      <c r="M17" s="315"/>
    </row>
    <row r="18" spans="1:13" ht="15" customHeight="1">
      <c r="A18" s="315"/>
      <c r="B18" s="315"/>
      <c r="C18" s="315"/>
      <c r="D18" s="315"/>
      <c r="E18" s="315"/>
      <c r="F18" s="315"/>
      <c r="G18" s="315" t="str">
        <f>A!G18</f>
        <v>udsparing i lysning</v>
      </c>
      <c r="H18" s="315"/>
      <c r="I18" s="48" t="s">
        <v>112</v>
      </c>
      <c r="J18" s="250">
        <f>A!J18</f>
        <v>0</v>
      </c>
      <c r="K18" s="315" t="str">
        <f>A!K18</f>
        <v>mm</v>
      </c>
      <c r="L18" s="315"/>
      <c r="M18" s="304"/>
    </row>
    <row r="19" spans="1:13" ht="15" customHeight="1">
      <c r="A19" s="315"/>
      <c r="B19" s="55" t="s">
        <v>169</v>
      </c>
      <c r="E19" t="s">
        <v>170</v>
      </c>
      <c r="F19" s="315"/>
      <c r="G19" s="315" t="str">
        <f>A!G19</f>
        <v>bredde udfor lysning</v>
      </c>
      <c r="H19" s="315"/>
      <c r="I19" s="48" t="s">
        <v>112</v>
      </c>
      <c r="J19" s="250" t="e">
        <f>A!J19</f>
        <v>#N/A</v>
      </c>
      <c r="K19" s="315" t="str">
        <f>A!K19</f>
        <v>mm</v>
      </c>
      <c r="L19" s="315"/>
      <c r="M19" s="315"/>
    </row>
    <row r="20" spans="1:13" ht="15" customHeight="1">
      <c r="A20" s="315"/>
      <c r="B20" s="46"/>
      <c r="C20" s="46" t="s">
        <v>183</v>
      </c>
      <c r="E20" t="s">
        <v>72</v>
      </c>
      <c r="F20" s="315"/>
      <c r="G20" s="315" t="str">
        <f>A!G20</f>
        <v>udsparing i (p)</v>
      </c>
      <c r="H20" s="315"/>
      <c r="I20" s="48" t="s">
        <v>112</v>
      </c>
      <c r="J20" s="250">
        <f>A!J20</f>
        <v>0</v>
      </c>
      <c r="K20" s="315" t="str">
        <f>A!K20</f>
        <v>mm</v>
      </c>
      <c r="L20" s="315"/>
      <c r="M20" s="315"/>
    </row>
    <row r="21" spans="1:13" ht="15" customHeight="1">
      <c r="A21" s="315"/>
      <c r="B21" s="315"/>
      <c r="C21" s="315"/>
      <c r="D21" s="315"/>
      <c r="E21" s="315"/>
      <c r="F21" s="315"/>
      <c r="G21" s="315" t="str">
        <f>A!G21</f>
        <v>løb-/naboelem.udsp., nu</v>
      </c>
      <c r="H21" s="315"/>
      <c r="I21" s="48" t="s">
        <v>112</v>
      </c>
      <c r="J21" s="250">
        <f>A!J21</f>
        <v>120</v>
      </c>
      <c r="K21" s="315" t="str">
        <f>A!K21</f>
        <v>mm dybde</v>
      </c>
      <c r="L21" s="315"/>
      <c r="M21" s="315"/>
    </row>
    <row r="22" spans="1:13" ht="15" customHeight="1">
      <c r="A22" s="315"/>
      <c r="B22" s="315"/>
      <c r="C22" s="315"/>
      <c r="D22" s="315"/>
      <c r="E22" s="315"/>
      <c r="F22" s="315"/>
      <c r="G22" s="315" t="str">
        <f>A!G22</f>
        <v>betonstyrke</v>
      </c>
      <c r="H22" s="315" t="str">
        <f>A!H22</f>
        <v>f ck</v>
      </c>
      <c r="I22" s="48" t="s">
        <v>112</v>
      </c>
      <c r="J22" s="250">
        <f>A!J22</f>
        <v>30</v>
      </c>
      <c r="K22" s="315" t="str">
        <f>A!K22</f>
        <v>N/mm2</v>
      </c>
      <c r="L22" s="315"/>
      <c r="M22" s="315"/>
    </row>
    <row r="23" spans="1:13" ht="15" customHeight="1">
      <c r="A23" s="315"/>
      <c r="B23" s="315"/>
      <c r="C23" s="241" t="str">
        <f>A!C23</f>
        <v xml:space="preserve">(p)  </v>
      </c>
      <c r="D23" s="315">
        <f>A!D23</f>
        <v>0</v>
      </c>
      <c r="E23" s="315"/>
      <c r="F23" s="315" t="str">
        <f>A!F23</f>
        <v>l           L</v>
      </c>
      <c r="G23" s="315"/>
      <c r="H23" s="315" t="str">
        <f>A!H23</f>
        <v>f cd</v>
      </c>
      <c r="I23" s="48" t="str">
        <f>A!I23</f>
        <v>=</v>
      </c>
      <c r="J23" s="320">
        <f>A!J23</f>
        <v>21.428571428571431</v>
      </c>
      <c r="K23" s="315" t="str">
        <f>A!K23</f>
        <v>N/mm2</v>
      </c>
      <c r="L23" s="315"/>
      <c r="M23" s="315"/>
    </row>
    <row r="24" spans="1:13" ht="15" customHeight="1">
      <c r="A24" s="315"/>
      <c r="B24" s="315"/>
      <c r="C24" s="315"/>
      <c r="D24" s="315"/>
      <c r="E24" s="315"/>
      <c r="F24" s="315"/>
      <c r="G24" s="315"/>
      <c r="H24" s="315" t="str">
        <f>A!H24</f>
        <v>f ctm</v>
      </c>
      <c r="I24" s="48" t="str">
        <f>A!I24</f>
        <v>=</v>
      </c>
      <c r="J24" s="148">
        <f>A!J24</f>
        <v>2.896468153816889</v>
      </c>
      <c r="K24" s="315" t="str">
        <f>A!K24</f>
        <v>N/mm2</v>
      </c>
      <c r="L24" s="315"/>
      <c r="M24" s="315"/>
    </row>
    <row r="25" spans="1:13" ht="15" customHeight="1">
      <c r="A25" s="315"/>
      <c r="B25" s="315"/>
      <c r="C25" s="241"/>
      <c r="D25" s="315"/>
      <c r="E25" s="315"/>
      <c r="F25" s="315"/>
      <c r="G25" s="315" t="str">
        <f>A!G25</f>
        <v>hovedarmering</v>
      </c>
      <c r="H25" s="321" t="str">
        <f>A!H25</f>
        <v xml:space="preserve">     8 mm pr</v>
      </c>
      <c r="I25" s="315"/>
      <c r="J25" s="321">
        <f>A!J25</f>
        <v>150</v>
      </c>
      <c r="K25" s="315" t="str">
        <f>A!K25</f>
        <v>svejst net</v>
      </c>
      <c r="L25" s="315"/>
      <c r="M25" s="321"/>
    </row>
    <row r="26" spans="1:13" ht="15" customHeight="1">
      <c r="A26" s="315"/>
      <c r="B26" s="315"/>
      <c r="C26" s="46" t="s">
        <v>183</v>
      </c>
      <c r="E26" t="s">
        <v>71</v>
      </c>
      <c r="F26" s="315"/>
      <c r="G26" s="241" t="str">
        <f>A!G26</f>
        <v>suppleret med</v>
      </c>
      <c r="H26" s="235" t="e">
        <f>A!H26</f>
        <v>#N/A</v>
      </c>
      <c r="I26" s="315" t="str">
        <f>A!I26</f>
        <v>K</v>
      </c>
      <c r="J26" s="250" t="e">
        <f>A!J26</f>
        <v>#N/A</v>
      </c>
      <c r="K26" s="315" t="str">
        <f>A!K26</f>
        <v>stk,type,diameter</v>
      </c>
      <c r="L26" s="315"/>
      <c r="M26" s="315"/>
    </row>
    <row r="27" spans="1:13" ht="15" customHeight="1">
      <c r="A27" s="315"/>
      <c r="B27" s="55" t="s">
        <v>243</v>
      </c>
      <c r="E27" t="s">
        <v>244</v>
      </c>
      <c r="F27" s="315"/>
      <c r="G27" s="241" t="str">
        <f>A!G27</f>
        <v>+ekstra i strimmel (f)</v>
      </c>
      <c r="H27" s="235" t="e">
        <f>A!H27</f>
        <v>#N/A</v>
      </c>
      <c r="I27" s="315" t="str">
        <f>A!I27</f>
        <v>K</v>
      </c>
      <c r="J27" s="250" t="e">
        <f>A!J27</f>
        <v>#N/A</v>
      </c>
      <c r="K27" s="315" t="str">
        <f>A!K27</f>
        <v>stk,type,diameter</v>
      </c>
      <c r="L27" s="315"/>
      <c r="M27" s="315"/>
    </row>
    <row r="28" spans="1:13" ht="15" customHeight="1">
      <c r="A28" s="315"/>
      <c r="B28" s="315"/>
      <c r="C28" s="315"/>
      <c r="D28" s="315"/>
      <c r="E28" s="315"/>
      <c r="F28" s="315"/>
      <c r="G28" s="315"/>
      <c r="H28" s="315" t="str">
        <f>A!H28</f>
        <v>f yk</v>
      </c>
      <c r="I28" t="s">
        <v>112</v>
      </c>
      <c r="J28" s="250">
        <f>A!J28</f>
        <v>500</v>
      </c>
      <c r="K28" s="315" t="str">
        <f>A!K28</f>
        <v>N/mm2</v>
      </c>
      <c r="L28" s="315"/>
      <c r="M28" s="315"/>
    </row>
    <row r="29" spans="1:13" ht="15" customHeight="1">
      <c r="A29" s="315"/>
      <c r="B29" s="315"/>
      <c r="C29" s="315"/>
      <c r="D29" s="315"/>
      <c r="E29" s="315"/>
      <c r="F29" s="315"/>
      <c r="G29" s="315"/>
      <c r="H29" s="315" t="str">
        <f>A!H29</f>
        <v>f yd</v>
      </c>
      <c r="I29" t="s">
        <v>112</v>
      </c>
      <c r="J29" s="250">
        <f>A!J29</f>
        <v>416.66666666666669</v>
      </c>
      <c r="K29" s="315" t="str">
        <f>A!K29</f>
        <v>N/mm2</v>
      </c>
      <c r="L29" s="315"/>
      <c r="M29" s="315"/>
    </row>
    <row r="30" spans="1:13" ht="15" customHeight="1">
      <c r="A30" s="315"/>
      <c r="B30" s="315"/>
      <c r="C30" s="315"/>
      <c r="D30" s="315"/>
      <c r="E30" s="315"/>
      <c r="F30" s="315"/>
      <c r="G30" s="315" t="str">
        <f>A!G30</f>
        <v>hovedarmering</v>
      </c>
      <c r="H30" s="315" t="str">
        <f>A!H30</f>
        <v>A s</v>
      </c>
      <c r="I30" t="s">
        <v>112</v>
      </c>
      <c r="J30" s="250" t="e">
        <f>A!J30</f>
        <v>#N/A</v>
      </c>
      <c r="K30" s="315" t="str">
        <f>A!K30</f>
        <v>mm2</v>
      </c>
      <c r="L30" s="315"/>
      <c r="M30" s="315"/>
    </row>
    <row r="31" spans="1:13" ht="15" customHeight="1">
      <c r="A31" s="315"/>
      <c r="B31" s="315"/>
      <c r="C31" s="321" t="str">
        <f>A!C31</f>
        <v xml:space="preserve">  R1</v>
      </c>
      <c r="D31" s="315" t="str">
        <f>A!D31</f>
        <v>R2</v>
      </c>
      <c r="E31" s="315"/>
      <c r="F31" s="315"/>
      <c r="G31" s="241" t="str">
        <f>A!G31</f>
        <v>+ekstra i strimmel (f)</v>
      </c>
      <c r="H31" s="315"/>
      <c r="I31" s="315"/>
      <c r="J31" s="250" t="e">
        <f>A!J31</f>
        <v>#N/A</v>
      </c>
      <c r="K31" s="315" t="str">
        <f>A!K31</f>
        <v>mm2</v>
      </c>
      <c r="L31" s="315"/>
      <c r="M31" s="315"/>
    </row>
    <row r="32" spans="1:13" ht="15" customHeight="1">
      <c r="A32" s="315"/>
      <c r="B32" s="315"/>
      <c r="C32" s="241" t="str">
        <f>A!C32</f>
        <v>b</v>
      </c>
      <c r="D32" s="315"/>
      <c r="E32" s="315"/>
      <c r="F32" s="315"/>
      <c r="G32" s="315" t="str">
        <f>A!G32</f>
        <v>spændvidde</v>
      </c>
      <c r="H32" s="315" t="str">
        <f>A!H32</f>
        <v>L</v>
      </c>
      <c r="I32" t="s">
        <v>112</v>
      </c>
      <c r="J32" s="148" t="e">
        <f>A!J32</f>
        <v>#N/A</v>
      </c>
      <c r="K32" s="315" t="str">
        <f>A!K32</f>
        <v>m</v>
      </c>
      <c r="L32" s="315" t="e">
        <f>A!L32</f>
        <v>#N/A</v>
      </c>
      <c r="M32" s="315"/>
    </row>
    <row r="33" spans="1:13" ht="15" customHeight="1">
      <c r="A33" s="315"/>
      <c r="B33" s="315"/>
      <c r="C33" s="315"/>
      <c r="D33" s="315"/>
      <c r="E33" s="315"/>
      <c r="F33" s="377" t="e">
        <f>A!F33</f>
        <v>#N/A</v>
      </c>
      <c r="G33" s="315"/>
      <c r="H33" s="315"/>
      <c r="I33" s="315"/>
      <c r="J33" s="321" t="str">
        <f>A!J33</f>
        <v>venstre</v>
      </c>
      <c r="K33" s="315"/>
      <c r="L33" s="321" t="str">
        <f>A!L33</f>
        <v>højre</v>
      </c>
      <c r="M33" s="315"/>
    </row>
    <row r="34" spans="1:13" ht="15" customHeight="1">
      <c r="A34" s="315"/>
      <c r="B34" s="315"/>
      <c r="C34" s="315"/>
      <c r="D34" s="315"/>
      <c r="E34" s="315"/>
      <c r="F34" s="377">
        <f>A!F34</f>
        <v>120</v>
      </c>
      <c r="G34" s="315"/>
      <c r="H34" s="315"/>
      <c r="I34" s="315"/>
      <c r="J34" s="321" t="str">
        <f>A!J34</f>
        <v>dorn</v>
      </c>
      <c r="K34" s="315"/>
      <c r="L34" s="321" t="str">
        <f>A!L34</f>
        <v>fast</v>
      </c>
      <c r="M34" s="368" t="str">
        <f>A!M34</f>
        <v xml:space="preserve">  </v>
      </c>
    </row>
    <row r="35" spans="1:13" ht="15" customHeight="1">
      <c r="A35" s="315"/>
      <c r="B35" s="315"/>
      <c r="C35" s="315" t="s">
        <v>289</v>
      </c>
      <c r="D35" s="315"/>
      <c r="E35" s="315"/>
      <c r="F35" s="377"/>
      <c r="G35" s="315"/>
      <c r="H35" s="315" t="str">
        <f>A!H35</f>
        <v>a1</v>
      </c>
      <c r="I35" t="s">
        <v>112</v>
      </c>
      <c r="J35" s="250" t="e">
        <f>A!J35</f>
        <v>#N/A</v>
      </c>
      <c r="K35" s="315"/>
      <c r="L35" s="250" t="e">
        <f>A!L35</f>
        <v>#N/A</v>
      </c>
      <c r="M35" s="315" t="str">
        <f>A!M35</f>
        <v>mm</v>
      </c>
    </row>
    <row r="36" spans="1:13" ht="15" customHeight="1">
      <c r="A36" s="315"/>
      <c r="B36" s="315"/>
      <c r="C36" s="315" t="s">
        <v>298</v>
      </c>
      <c r="D36" s="315"/>
      <c r="E36" s="315"/>
      <c r="F36" s="377" t="e">
        <f>A!F36</f>
        <v>#N/A</v>
      </c>
      <c r="G36" s="315"/>
      <c r="H36" s="315" t="str">
        <f>A!H36</f>
        <v>a2</v>
      </c>
      <c r="I36" t="s">
        <v>112</v>
      </c>
      <c r="J36" s="250" t="e">
        <f>A!J36</f>
        <v>#N/A</v>
      </c>
      <c r="K36" s="315"/>
      <c r="L36" s="250" t="e">
        <f>A!L36</f>
        <v>#N/A</v>
      </c>
      <c r="M36" s="315" t="str">
        <f>A!M36</f>
        <v>mm</v>
      </c>
    </row>
    <row r="37" spans="1:13" ht="15" customHeight="1">
      <c r="A37" s="315"/>
      <c r="B37" s="315"/>
      <c r="C37" s="315"/>
      <c r="D37" s="315"/>
      <c r="E37" s="315"/>
      <c r="F37" s="322" t="e">
        <f>A!F37</f>
        <v>#N/A</v>
      </c>
      <c r="G37" s="315"/>
      <c r="H37" s="315" t="str">
        <f>A!H37</f>
        <v>ad</v>
      </c>
      <c r="I37" t="s">
        <v>112</v>
      </c>
      <c r="J37" s="250" t="e">
        <f>A!J37</f>
        <v>#N/A</v>
      </c>
      <c r="K37" s="315"/>
      <c r="L37" s="250" t="e">
        <f>A!L37</f>
        <v>#N/A</v>
      </c>
      <c r="M37" s="315" t="str">
        <f>A!M37</f>
        <v>mm</v>
      </c>
    </row>
    <row r="38" spans="1:13" ht="15" customHeight="1">
      <c r="A38" s="315"/>
      <c r="B38" s="315" t="str">
        <f>A!B38</f>
        <v>LASTE</v>
      </c>
      <c r="C38" s="315"/>
      <c r="D38" s="315"/>
      <c r="E38" s="315"/>
      <c r="F38" s="315"/>
      <c r="G38" s="315"/>
      <c r="H38" s="315" t="str">
        <f>A!H37</f>
        <v>ad</v>
      </c>
      <c r="I38" t="s">
        <v>112</v>
      </c>
      <c r="J38" s="315" t="e">
        <f>A!J37</f>
        <v>#N/A</v>
      </c>
      <c r="K38" s="315"/>
      <c r="L38" s="315" t="e">
        <f>A!L37</f>
        <v>#N/A</v>
      </c>
      <c r="M38" s="315" t="str">
        <f>A!M37</f>
        <v>mm</v>
      </c>
    </row>
    <row r="39" spans="1:13" ht="15" customHeight="1">
      <c r="A39" s="315"/>
      <c r="B39" s="315" t="str">
        <f>A!B39</f>
        <v xml:space="preserve"> -jævnt fordelt</v>
      </c>
      <c r="C39" s="315"/>
      <c r="D39" s="315"/>
      <c r="E39" s="315"/>
      <c r="F39" s="369"/>
      <c r="G39" s="325"/>
      <c r="H39" s="321" t="str">
        <f>A!H39</f>
        <v>karakt.</v>
      </c>
      <c r="I39" s="315"/>
      <c r="J39" s="241" t="str">
        <f>A!J39</f>
        <v>lastfaktor</v>
      </c>
      <c r="K39" s="370"/>
      <c r="L39" s="315" t="str">
        <f>A!L39</f>
        <v xml:space="preserve">   regn.m.</v>
      </c>
      <c r="M39" s="315"/>
    </row>
    <row r="40" spans="1:13" ht="15" customHeight="1">
      <c r="A40" s="315"/>
      <c r="B40" s="315"/>
      <c r="C40" s="315" t="str">
        <f>A!C40</f>
        <v>egenvægt</v>
      </c>
      <c r="D40" s="315"/>
      <c r="E40" s="315"/>
      <c r="F40" s="250">
        <f>A!F40</f>
        <v>25</v>
      </c>
      <c r="G40" s="315" t="str">
        <f>A!G40</f>
        <v xml:space="preserve">kN/m3 </v>
      </c>
      <c r="H40" s="148" t="e">
        <f>A!H40</f>
        <v>#N/A</v>
      </c>
      <c r="I40" s="315" t="str">
        <f>A!I40</f>
        <v>x</v>
      </c>
      <c r="J40" s="321" t="e">
        <f>A!J40</f>
        <v>#N/A</v>
      </c>
      <c r="K40" s="315" t="str">
        <f>A!K40</f>
        <v>=</v>
      </c>
      <c r="L40" s="148" t="e">
        <f>A!L40</f>
        <v>#N/A</v>
      </c>
      <c r="M40" s="315" t="str">
        <f>A!M40</f>
        <v>kN/m2</v>
      </c>
    </row>
    <row r="41" spans="1:13" ht="15" customHeight="1">
      <c r="A41" s="315"/>
      <c r="B41" s="315"/>
      <c r="C41" s="315" t="str">
        <f>A!C41</f>
        <v>permanent udover egenvægt</v>
      </c>
      <c r="D41" s="315"/>
      <c r="E41" s="315"/>
      <c r="F41" s="315"/>
      <c r="G41" s="315"/>
      <c r="H41" s="371" t="e">
        <f>A!H41</f>
        <v>#N/A</v>
      </c>
      <c r="I41" s="315" t="str">
        <f>A!I41</f>
        <v>x</v>
      </c>
      <c r="J41" s="321" t="e">
        <f>A!J41</f>
        <v>#N/A</v>
      </c>
      <c r="K41" s="315" t="str">
        <f>A!K41</f>
        <v>=</v>
      </c>
      <c r="L41" s="148" t="e">
        <f>A!L41</f>
        <v>#N/A</v>
      </c>
      <c r="M41" s="315" t="str">
        <f>A!M41</f>
        <v>kN/m2</v>
      </c>
    </row>
    <row r="42" spans="1:13" ht="15" customHeight="1">
      <c r="A42" s="315"/>
      <c r="B42" s="315"/>
      <c r="C42" s="315" t="str">
        <f>A!C43</f>
        <v>permanent ialt</v>
      </c>
      <c r="D42" s="315"/>
      <c r="E42" s="315"/>
      <c r="F42" s="315"/>
      <c r="G42" s="315"/>
      <c r="H42" s="380" t="e">
        <f>A!H43</f>
        <v>#N/A</v>
      </c>
      <c r="I42" s="315"/>
      <c r="J42" s="321" t="str">
        <f>A!J43</f>
        <v>kN/m2</v>
      </c>
      <c r="K42" s="315"/>
      <c r="L42" s="148"/>
      <c r="M42" s="315"/>
    </row>
    <row r="43" spans="1:13" ht="15" customHeight="1">
      <c r="A43" s="315"/>
      <c r="B43" s="315"/>
      <c r="C43" s="315" t="str">
        <f>A!C44</f>
        <v>nyttelast</v>
      </c>
      <c r="D43" s="315"/>
      <c r="E43" s="315"/>
      <c r="F43" s="241" t="str">
        <f>A!F44</f>
        <v>kategori</v>
      </c>
      <c r="G43" s="315" t="str">
        <f>A!G44</f>
        <v>A</v>
      </c>
      <c r="H43" s="371">
        <f>A!H44</f>
        <v>3</v>
      </c>
      <c r="I43" s="315" t="str">
        <f>A!I44</f>
        <v>x</v>
      </c>
      <c r="J43" s="386" t="e">
        <f>A!J44</f>
        <v>#N/A</v>
      </c>
      <c r="K43" s="315" t="str">
        <f>A!K44</f>
        <v>=</v>
      </c>
      <c r="L43" s="371" t="e">
        <f>A!L44</f>
        <v>#N/A</v>
      </c>
      <c r="M43" s="315" t="str">
        <f>A!M44</f>
        <v>kN/m2</v>
      </c>
    </row>
    <row r="44" spans="1:13" ht="15" customHeight="1">
      <c r="A44" s="315"/>
      <c r="B44" s="315"/>
      <c r="C44" s="315" t="str">
        <f>A!$C$46</f>
        <v>ialt jævnt fordelt</v>
      </c>
      <c r="D44" s="315"/>
      <c r="E44" s="315"/>
      <c r="F44" s="315"/>
      <c r="G44" s="315"/>
      <c r="H44" t="e">
        <f>A!H46</f>
        <v>#N/A</v>
      </c>
      <c r="J44" t="str">
        <f>A!J46</f>
        <v>kN/m2</v>
      </c>
      <c r="L44" t="e">
        <f>A!L46</f>
        <v>#N/A</v>
      </c>
      <c r="M44" t="str">
        <f>A!M46</f>
        <v>kN/m2</v>
      </c>
    </row>
    <row r="45" spans="1:13" ht="15" customHeight="1"/>
    <row r="46" spans="1:13" ht="15" customHeight="1">
      <c r="A46" s="315"/>
      <c r="B46" s="315" t="str">
        <f>A!B47</f>
        <v xml:space="preserve"> -fra løb/naboelementer</v>
      </c>
      <c r="C46" s="315"/>
      <c r="D46" s="315"/>
      <c r="E46" s="315"/>
      <c r="F46" s="315"/>
      <c r="G46" s="315"/>
      <c r="H46" s="321" t="str">
        <f>A!H47</f>
        <v>venstre</v>
      </c>
      <c r="I46" s="315"/>
      <c r="J46" s="321" t="str">
        <f>A!J47</f>
        <v>højre</v>
      </c>
      <c r="K46" s="315"/>
      <c r="L46" s="315"/>
      <c r="M46" s="315"/>
    </row>
    <row r="47" spans="1:13" ht="15" customHeight="1">
      <c r="A47" s="315"/>
      <c r="B47" s="315"/>
      <c r="C47" s="315" t="str">
        <f>A!C48</f>
        <v>spændvidde (lv) løb/naboelem.</v>
      </c>
      <c r="D47" s="315"/>
      <c r="E47" s="315"/>
      <c r="F47" s="315"/>
      <c r="G47" s="315"/>
      <c r="H47" s="148" t="e">
        <f>A!H48</f>
        <v>#N/A</v>
      </c>
      <c r="I47" s="148"/>
      <c r="J47" s="148" t="e">
        <f>A!J48</f>
        <v>#N/A</v>
      </c>
      <c r="K47" s="315" t="str">
        <f>A!K48</f>
        <v>m</v>
      </c>
      <c r="L47" s="315"/>
      <c r="M47" s="315"/>
    </row>
    <row r="48" spans="1:13" ht="15" customHeight="1">
      <c r="A48" s="315"/>
      <c r="B48" s="315"/>
      <c r="C48" s="315" t="str">
        <f>A!C49</f>
        <v>bredde af løb/naboelem.</v>
      </c>
      <c r="D48" s="315"/>
      <c r="E48" s="315"/>
      <c r="F48" s="315"/>
      <c r="G48" s="315"/>
      <c r="H48" s="148" t="e">
        <f>A!H49</f>
        <v>#N/A</v>
      </c>
      <c r="I48" s="148"/>
      <c r="J48" s="148" t="e">
        <f>A!J49</f>
        <v>#N/A</v>
      </c>
      <c r="K48" s="315" t="str">
        <f>A!K49</f>
        <v>m</v>
      </c>
      <c r="M48" s="315"/>
    </row>
    <row r="49" spans="1:13" ht="15" customHeight="1">
      <c r="A49" s="315"/>
      <c r="B49" s="315"/>
      <c r="C49" s="315" t="str">
        <f>A!C50</f>
        <v>afstand reposeende til kant løb/naboelem.</v>
      </c>
      <c r="D49" s="315"/>
      <c r="E49" s="315"/>
      <c r="F49" s="315"/>
      <c r="G49" s="315"/>
      <c r="H49" s="148" t="e">
        <f>A!H50</f>
        <v>#N/A</v>
      </c>
      <c r="I49" s="148"/>
      <c r="J49" s="148" t="e">
        <f>A!J50</f>
        <v>#N/A</v>
      </c>
      <c r="K49" s="315" t="str">
        <f>A!K50</f>
        <v>m</v>
      </c>
      <c r="L49" s="315"/>
      <c r="M49" s="368"/>
    </row>
    <row r="50" spans="1:13" ht="15" customHeight="1">
      <c r="A50" s="315"/>
      <c r="B50" s="315"/>
      <c r="C50" s="148" t="str">
        <f>A!C51</f>
        <v>permanent last</v>
      </c>
      <c r="D50" s="315"/>
      <c r="E50" s="315"/>
      <c r="F50" s="315"/>
      <c r="G50" s="315"/>
      <c r="H50" s="148" t="e">
        <f>A!H51</f>
        <v>#N/A</v>
      </c>
      <c r="I50" s="148"/>
      <c r="J50" s="148" t="e">
        <f>A!J51</f>
        <v>#N/A</v>
      </c>
      <c r="K50" s="315" t="str">
        <f>A!K51</f>
        <v>kN/m2 karakt.</v>
      </c>
      <c r="L50" s="315"/>
      <c r="M50" s="368"/>
    </row>
    <row r="51" spans="1:13" ht="15" customHeight="1">
      <c r="A51" s="315"/>
      <c r="B51" s="315"/>
      <c r="C51" s="315" t="str">
        <f>A!C52</f>
        <v>nyttelast</v>
      </c>
      <c r="D51" s="315"/>
      <c r="E51" s="315"/>
      <c r="F51" s="315"/>
      <c r="G51" s="315"/>
      <c r="H51" s="148">
        <f>A!H52</f>
        <v>3</v>
      </c>
      <c r="I51" s="148"/>
      <c r="J51" s="148">
        <f>A!J52</f>
        <v>3</v>
      </c>
      <c r="K51" s="315" t="str">
        <f>A!K52</f>
        <v>kN/m2 karakt.</v>
      </c>
      <c r="L51" s="315"/>
      <c r="M51" s="315"/>
    </row>
    <row r="52" spans="1:13" ht="15" customHeight="1">
      <c r="A52" s="315"/>
      <c r="B52" s="315"/>
      <c r="C52" s="315" t="str">
        <f>A!C53</f>
        <v>ialt permanent last</v>
      </c>
      <c r="D52" s="315"/>
      <c r="E52" s="315"/>
      <c r="F52" s="315"/>
      <c r="G52" s="315"/>
      <c r="H52" s="148" t="e">
        <f>A!H53</f>
        <v>#N/A</v>
      </c>
      <c r="I52" s="148"/>
      <c r="J52" s="148" t="e">
        <f>A!J53</f>
        <v>#N/A</v>
      </c>
      <c r="K52" s="315" t="str">
        <f>A!K53</f>
        <v>kN/m regn.m.</v>
      </c>
      <c r="L52" s="315"/>
      <c r="M52" s="315"/>
    </row>
    <row r="53" spans="1:13" ht="15" customHeight="1">
      <c r="A53" s="315"/>
      <c r="B53" s="315"/>
      <c r="C53" s="315" t="str">
        <f>A!C54</f>
        <v>ialt nyttelast</v>
      </c>
      <c r="D53" s="315"/>
      <c r="E53" s="315"/>
      <c r="F53" s="315"/>
      <c r="G53" s="315"/>
      <c r="H53" s="148" t="e">
        <f>A!H54</f>
        <v>#N/A</v>
      </c>
      <c r="I53" s="148"/>
      <c r="J53" s="148" t="e">
        <f>A!J54</f>
        <v>#N/A</v>
      </c>
      <c r="K53" s="315" t="str">
        <f>A!K54</f>
        <v>kN/m regn.m.</v>
      </c>
      <c r="L53" s="315"/>
      <c r="M53" s="315"/>
    </row>
    <row r="54" spans="1:13" ht="15" customHeight="1">
      <c r="A54" s="315"/>
      <c r="B54" s="315" t="str">
        <f>A!B55</f>
        <v xml:space="preserve"> -fra løbs/naboelementers sidekantpladestrimler</v>
      </c>
      <c r="C54" s="315"/>
      <c r="D54" s="315"/>
      <c r="E54" s="315"/>
      <c r="F54" s="315"/>
      <c r="G54" s="315"/>
      <c r="H54" s="321" t="str">
        <f>A!H55</f>
        <v>venstre</v>
      </c>
      <c r="I54" s="315"/>
      <c r="J54" s="321" t="str">
        <f>A!J55</f>
        <v>højre</v>
      </c>
      <c r="K54" s="315"/>
      <c r="L54" s="315"/>
      <c r="M54" s="315"/>
    </row>
    <row r="55" spans="1:13" ht="15" customHeight="1">
      <c r="A55" s="315"/>
      <c r="B55" s="315"/>
      <c r="C55" s="315" t="str">
        <f>A!C56</f>
        <v>i afstand fra lysningskant</v>
      </c>
      <c r="D55" s="315"/>
      <c r="E55" s="315"/>
      <c r="F55" s="315"/>
      <c r="G55" s="315"/>
      <c r="H55" s="148" t="e">
        <f>A!H56</f>
        <v>#N/A</v>
      </c>
      <c r="I55" s="315"/>
      <c r="J55" s="148" t="e">
        <f>A!J56</f>
        <v>#N/A</v>
      </c>
      <c r="K55" s="315" t="str">
        <f>A!K56</f>
        <v>m</v>
      </c>
      <c r="L55" s="315"/>
      <c r="M55" s="315"/>
    </row>
    <row r="56" spans="1:13" ht="15" customHeight="1">
      <c r="A56" s="315"/>
      <c r="B56" s="315"/>
      <c r="C56" s="148" t="str">
        <f>A!C57</f>
        <v>permanent last</v>
      </c>
      <c r="D56" s="315"/>
      <c r="E56" s="315"/>
      <c r="F56" s="315"/>
      <c r="G56" s="315"/>
      <c r="H56" s="148">
        <f>A!H57</f>
        <v>0</v>
      </c>
      <c r="I56" s="315"/>
      <c r="J56" s="148">
        <f>A!J57</f>
        <v>0</v>
      </c>
      <c r="K56" s="315" t="str">
        <f>A!K57</f>
        <v>kN karakt.</v>
      </c>
      <c r="L56" s="315"/>
      <c r="M56" s="315"/>
    </row>
    <row r="57" spans="1:13" ht="15" customHeight="1">
      <c r="A57" s="315"/>
      <c r="B57" s="315"/>
      <c r="C57" s="315" t="str">
        <f>A!C58</f>
        <v>nyttelast</v>
      </c>
      <c r="D57" s="315"/>
      <c r="E57" s="315"/>
      <c r="F57" s="315"/>
      <c r="G57" s="315"/>
      <c r="H57" s="148">
        <f>A!H58</f>
        <v>0</v>
      </c>
      <c r="I57" s="315"/>
      <c r="J57" s="148">
        <f>A!J58</f>
        <v>0</v>
      </c>
      <c r="K57" s="315" t="str">
        <f>A!K58</f>
        <v>kN karakt.</v>
      </c>
      <c r="L57" s="315"/>
      <c r="M57" s="315"/>
    </row>
    <row r="58" spans="1:13" ht="15" customHeight="1">
      <c r="A58" s="315"/>
      <c r="B58" s="315"/>
      <c r="C58" s="315" t="str">
        <f>A!C59</f>
        <v xml:space="preserve">ialt </v>
      </c>
      <c r="D58" s="315"/>
      <c r="E58" s="315"/>
      <c r="F58" s="315"/>
      <c r="G58" s="315"/>
      <c r="H58" s="148" t="e">
        <f>A!H59</f>
        <v>#N/A</v>
      </c>
      <c r="I58" s="315"/>
      <c r="J58" s="148" t="e">
        <f>A!J59</f>
        <v>#N/A</v>
      </c>
      <c r="K58" s="315" t="str">
        <f>A!K59</f>
        <v>kN regn.m.</v>
      </c>
      <c r="L58" s="315"/>
      <c r="M58" s="315"/>
    </row>
    <row r="59" spans="1:13" ht="15" customHeight="1"/>
    <row r="60" spans="1:13" ht="15" customHeight="1">
      <c r="A60" s="315"/>
      <c r="B60" s="315"/>
      <c r="C60" s="315"/>
      <c r="D60" s="315"/>
      <c r="E60" s="315"/>
      <c r="F60" s="315"/>
      <c r="G60" s="315"/>
      <c r="H60" s="315"/>
      <c r="I60" s="315"/>
      <c r="J60" s="315"/>
      <c r="K60" s="315"/>
      <c r="L60" s="315"/>
      <c r="M60" s="315"/>
    </row>
    <row r="61" spans="1:13" ht="15" customHeight="1">
      <c r="A61" s="315"/>
      <c r="B61" s="315"/>
      <c r="C61" s="315"/>
      <c r="D61" s="315"/>
      <c r="E61" s="315"/>
      <c r="F61" s="315"/>
      <c r="G61" s="315"/>
      <c r="H61" s="315"/>
      <c r="I61" s="315"/>
      <c r="J61" s="315"/>
      <c r="K61" s="315"/>
      <c r="L61" s="315"/>
      <c r="M61" s="315"/>
    </row>
    <row r="62" spans="1:13" ht="15" customHeight="1">
      <c r="A62" s="315"/>
      <c r="B62" s="315" t="str">
        <f>A!B62</f>
        <v>MOMENT</v>
      </c>
      <c r="C62" s="315"/>
      <c r="D62" s="315"/>
      <c r="E62" s="315"/>
      <c r="F62" s="315"/>
      <c r="G62" s="315"/>
      <c r="H62" s="241" t="str">
        <f>A!H62</f>
        <v>bæreevne  M Rd</v>
      </c>
      <c r="I62" s="241"/>
      <c r="J62" s="315"/>
      <c r="K62" s="315"/>
      <c r="L62" s="315" t="str">
        <f>A!L62</f>
        <v xml:space="preserve"> snitkraft</v>
      </c>
      <c r="M62" s="315"/>
    </row>
    <row r="63" spans="1:13" ht="15" customHeight="1">
      <c r="A63" s="315"/>
      <c r="B63" s="315"/>
      <c r="C63" s="315" t="str">
        <f>A!C63</f>
        <v>ved jævnt fordelt last, plade (p)</v>
      </c>
      <c r="D63" s="315"/>
      <c r="E63" s="315"/>
      <c r="F63" s="315"/>
      <c r="G63" s="315"/>
      <c r="H63" s="320" t="e">
        <f>A!H63</f>
        <v>#N/A</v>
      </c>
      <c r="I63" s="315"/>
      <c r="J63" s="315" t="str">
        <f>A!J63</f>
        <v>kNm/m</v>
      </c>
      <c r="K63" s="315" t="e">
        <f>A!K63</f>
        <v>#N/A</v>
      </c>
      <c r="L63" s="320" t="e">
        <f>A!L63</f>
        <v>#N/A</v>
      </c>
      <c r="M63" s="315" t="e">
        <f>A!M63</f>
        <v>#N/A</v>
      </c>
    </row>
    <row r="64" spans="1:13" ht="15" customHeight="1">
      <c r="A64" s="315"/>
      <c r="B64" s="315"/>
      <c r="C64" s="315" t="str">
        <f>A!C64</f>
        <v>incl.last fra løb/naboelem.,forkantpl.strimmel(f)</v>
      </c>
      <c r="D64" s="315"/>
      <c r="E64" s="315"/>
      <c r="F64" s="315"/>
      <c r="G64" s="315"/>
      <c r="H64" s="320" t="e">
        <f>A!H64</f>
        <v>#N/A</v>
      </c>
      <c r="I64" s="315"/>
      <c r="J64" s="315" t="str">
        <f>A!J64</f>
        <v>kNm</v>
      </c>
      <c r="K64" s="315" t="e">
        <f>A!K64</f>
        <v>#N/A</v>
      </c>
      <c r="L64" s="320" t="e">
        <f>A!L64</f>
        <v>#N/A</v>
      </c>
      <c r="M64" s="315" t="e">
        <f>A!M64</f>
        <v>#N/A</v>
      </c>
    </row>
    <row r="65" spans="1:13" ht="15" customHeight="1">
      <c r="A65" s="315"/>
      <c r="B65" s="315"/>
      <c r="C65" s="315"/>
      <c r="D65" s="315"/>
      <c r="E65" s="315"/>
      <c r="F65" s="315"/>
      <c r="G65" s="315"/>
      <c r="H65" s="315"/>
      <c r="I65" s="315"/>
      <c r="J65" s="315"/>
      <c r="K65" s="315"/>
      <c r="L65" s="315"/>
      <c r="M65" s="315"/>
    </row>
    <row r="66" spans="1:13" ht="15" customHeight="1">
      <c r="A66" s="315"/>
      <c r="B66" s="315" t="str">
        <f>A!$B$66</f>
        <v>FORSKYDNING</v>
      </c>
      <c r="C66" s="315"/>
      <c r="D66" s="315"/>
      <c r="E66" s="315"/>
      <c r="F66" s="315"/>
      <c r="G66" s="315"/>
      <c r="H66" s="241" t="str">
        <f>A!$H$66</f>
        <v>bæreevne  V Rd,c</v>
      </c>
      <c r="I66" s="315"/>
      <c r="J66" s="315"/>
      <c r="K66" s="315"/>
      <c r="L66" s="315" t="str">
        <f>A!$L$66</f>
        <v xml:space="preserve"> snitkraft</v>
      </c>
      <c r="M66" s="315"/>
    </row>
    <row r="67" spans="1:13" ht="15" customHeight="1">
      <c r="A67" s="315"/>
      <c r="B67" s="315"/>
      <c r="C67" s="315" t="str">
        <f>A!C67</f>
        <v>plade (p)</v>
      </c>
      <c r="D67" s="315"/>
      <c r="E67" s="315"/>
      <c r="F67" s="315"/>
      <c r="G67" s="315"/>
      <c r="H67" s="320" t="e">
        <f>A!H67</f>
        <v>#N/A</v>
      </c>
      <c r="I67" s="315"/>
      <c r="J67" s="315" t="str">
        <f>A!J67</f>
        <v>kN/m</v>
      </c>
      <c r="K67" s="315" t="e">
        <f>A!K67</f>
        <v>#N/A</v>
      </c>
      <c r="L67" s="320" t="e">
        <f>A!L67</f>
        <v>#N/A</v>
      </c>
      <c r="M67" s="315" t="e">
        <f>A!M67</f>
        <v>#N/A</v>
      </c>
    </row>
    <row r="68" spans="1:13" ht="15" customHeight="1">
      <c r="A68" s="315"/>
      <c r="B68" s="315"/>
      <c r="C68" s="315" t="str">
        <f>A!C68</f>
        <v>forkantpladestrimmel (f)</v>
      </c>
      <c r="D68" s="315"/>
      <c r="E68" s="315"/>
      <c r="F68" s="315"/>
      <c r="G68" s="315"/>
      <c r="H68" s="320" t="e">
        <f>A!H68</f>
        <v>#N/A</v>
      </c>
      <c r="I68" s="315"/>
      <c r="J68" s="315" t="str">
        <f>A!J68</f>
        <v>kN</v>
      </c>
      <c r="K68" s="315" t="e">
        <f>A!K68</f>
        <v>#N/A</v>
      </c>
      <c r="L68" s="320" t="e">
        <f>A!L68</f>
        <v>#N/A</v>
      </c>
      <c r="M68" s="315" t="e">
        <f>A!M68</f>
        <v>#N/A</v>
      </c>
    </row>
    <row r="69" spans="1:13" ht="15" customHeight="1">
      <c r="A69" s="315"/>
      <c r="B69" s="315"/>
      <c r="C69" s="315"/>
      <c r="D69" s="315"/>
      <c r="E69" s="315"/>
      <c r="F69" s="315"/>
      <c r="G69" s="250">
        <f>A!G69</f>
        <v>1</v>
      </c>
      <c r="H69" s="315" t="str">
        <f>A!H69</f>
        <v>-snits bjl.</v>
      </c>
      <c r="I69" s="315" t="str">
        <f>A!I69</f>
        <v>K</v>
      </c>
      <c r="J69" s="250">
        <f>A!J69</f>
        <v>8</v>
      </c>
      <c r="K69" s="315" t="str">
        <f>A!K69</f>
        <v>type,diameter</v>
      </c>
      <c r="L69" s="315"/>
      <c r="M69" s="315"/>
    </row>
    <row r="70" spans="1:13" ht="15" customHeight="1">
      <c r="A70" s="315"/>
      <c r="B70" s="315"/>
      <c r="C70" s="315"/>
      <c r="D70" s="315"/>
      <c r="E70" s="315"/>
      <c r="F70" s="315"/>
      <c r="G70" s="315" t="str">
        <f>A!G70</f>
        <v>antal,  centerafst.</v>
      </c>
      <c r="H70" s="372" t="e">
        <f>A!H70</f>
        <v>#N/A</v>
      </c>
      <c r="I70" s="315"/>
      <c r="J70" s="250">
        <f>A!J70</f>
        <v>150</v>
      </c>
      <c r="K70" s="315" t="e">
        <f>A!K70</f>
        <v>#N/A</v>
      </c>
      <c r="L70" s="315"/>
    </row>
    <row r="71" spans="1:13" ht="15" customHeight="1">
      <c r="A71" s="315"/>
      <c r="B71" s="315"/>
      <c r="C71" s="315"/>
      <c r="D71" s="315"/>
      <c r="E71" s="315"/>
      <c r="F71" s="315"/>
      <c r="G71" s="315"/>
      <c r="H71" s="315" t="str">
        <f>A!H71</f>
        <v>f yk</v>
      </c>
      <c r="I71" s="315" t="str">
        <f>A!I71</f>
        <v>=</v>
      </c>
      <c r="J71" s="250">
        <f>A!J71</f>
        <v>500</v>
      </c>
      <c r="K71" s="315" t="str">
        <f>A!K71</f>
        <v>N/mm2</v>
      </c>
      <c r="L71" s="315"/>
      <c r="M71" s="315"/>
    </row>
    <row r="72" spans="1:13" ht="15" customHeight="1">
      <c r="A72" s="315"/>
      <c r="B72" s="315"/>
      <c r="C72" s="315"/>
      <c r="D72" s="315"/>
      <c r="E72" s="315"/>
      <c r="F72" s="315"/>
      <c r="G72" s="315"/>
      <c r="H72" s="315" t="str">
        <f>A!H72</f>
        <v>f ywd</v>
      </c>
      <c r="I72" s="315" t="str">
        <f>A!I72</f>
        <v>=</v>
      </c>
      <c r="J72" s="250">
        <f>A!J72</f>
        <v>416.66666666666669</v>
      </c>
      <c r="K72" s="315" t="str">
        <f>A!K72</f>
        <v>N/mm2</v>
      </c>
      <c r="L72" s="315"/>
      <c r="M72" s="315"/>
    </row>
    <row r="73" spans="1:13" ht="15" customHeight="1">
      <c r="A73" s="315"/>
      <c r="B73" s="315"/>
      <c r="C73" s="315"/>
      <c r="D73" s="315"/>
      <c r="E73" s="315"/>
      <c r="F73" s="315"/>
      <c r="G73" s="241" t="str">
        <f>A!G73</f>
        <v>V Rd,s =</v>
      </c>
      <c r="H73" s="320" t="e">
        <f>A!H73</f>
        <v>#N/A</v>
      </c>
      <c r="I73" s="315" t="e">
        <f>A!I73</f>
        <v>#N/A</v>
      </c>
      <c r="J73" s="320" t="e">
        <f>A!J73</f>
        <v>#N/A</v>
      </c>
      <c r="K73" s="315" t="str">
        <f>A!K73</f>
        <v>kN</v>
      </c>
      <c r="L73" s="315"/>
      <c r="M73" s="315" t="e">
        <f>A!M73</f>
        <v>#N/A</v>
      </c>
    </row>
    <row r="74" spans="1:13" ht="15" customHeight="1">
      <c r="A74" s="315"/>
      <c r="B74" s="315"/>
      <c r="C74" s="315"/>
      <c r="D74" s="315"/>
      <c r="E74" s="315"/>
      <c r="F74" s="315"/>
      <c r="G74" s="315"/>
      <c r="H74" s="315"/>
      <c r="I74" s="315"/>
      <c r="J74" s="315"/>
      <c r="K74" s="315"/>
      <c r="L74" s="315"/>
      <c r="M74" s="315"/>
    </row>
    <row r="75" spans="1:13" ht="15" customHeight="1">
      <c r="A75" s="315"/>
      <c r="B75" s="315" t="str">
        <f>A!$B$124</f>
        <v>PLADESTRIMMEL V.REPOSEENDER (e)</v>
      </c>
      <c r="C75" s="315"/>
      <c r="D75" s="315"/>
      <c r="E75" s="315"/>
      <c r="F75" s="315"/>
      <c r="G75" s="315"/>
      <c r="H75" s="315"/>
      <c r="I75" s="315"/>
      <c r="J75" s="315"/>
      <c r="K75" s="315"/>
      <c r="L75" s="315"/>
      <c r="M75" s="315"/>
    </row>
    <row r="76" spans="1:13" ht="15" customHeight="1">
      <c r="A76" s="315"/>
      <c r="B76" s="315"/>
      <c r="C76" s="315"/>
      <c r="D76" s="315"/>
      <c r="E76" s="315"/>
      <c r="F76" s="315"/>
      <c r="G76" s="315" t="str">
        <f>A!G125</f>
        <v>armering (5)</v>
      </c>
      <c r="H76" s="250" t="e">
        <f>A!H125</f>
        <v>#N/A</v>
      </c>
      <c r="I76" s="315" t="str">
        <f>A!I125</f>
        <v>K</v>
      </c>
      <c r="J76" s="250">
        <f>A!J125</f>
        <v>8</v>
      </c>
      <c r="K76" s="315" t="str">
        <f>A!K125</f>
        <v>stk,type,diameter</v>
      </c>
      <c r="L76" s="315"/>
      <c r="M76" s="315"/>
    </row>
    <row r="77" spans="1:13" ht="15" customHeight="1">
      <c r="A77" s="382" t="e">
        <f>A!A126</f>
        <v>#N/A</v>
      </c>
      <c r="B77" s="315"/>
      <c r="C77" s="374"/>
      <c r="D77" s="315" t="e">
        <f>A!D126</f>
        <v>#N/A</v>
      </c>
      <c r="E77" s="315"/>
      <c r="F77" s="383" t="e">
        <f>A!F126</f>
        <v>#N/A</v>
      </c>
      <c r="G77" s="373" t="str">
        <f>A!G126</f>
        <v>m, venstre</v>
      </c>
      <c r="H77" s="315" t="str">
        <f>A!H126</f>
        <v>f yk</v>
      </c>
      <c r="I77" t="str">
        <f>A!I126</f>
        <v>=</v>
      </c>
      <c r="J77" s="250">
        <f>A!J126</f>
        <v>500</v>
      </c>
      <c r="K77" s="315" t="str">
        <f>A!K126</f>
        <v>N/mm2</v>
      </c>
      <c r="L77" s="315"/>
      <c r="M77" s="315"/>
    </row>
    <row r="78" spans="1:13" ht="15" customHeight="1">
      <c r="A78" s="382" t="e">
        <f>A!A127</f>
        <v>#N/A</v>
      </c>
      <c r="B78" s="315"/>
      <c r="C78" s="374"/>
      <c r="D78" s="315" t="e">
        <f>A!D127</f>
        <v>#N/A</v>
      </c>
      <c r="E78" s="315"/>
      <c r="F78" s="383" t="e">
        <f>A!F127</f>
        <v>#N/A</v>
      </c>
      <c r="G78" s="373" t="str">
        <f>A!G127</f>
        <v>m, højre</v>
      </c>
      <c r="H78" s="315" t="str">
        <f>A!H127</f>
        <v>f yd</v>
      </c>
      <c r="I78" t="str">
        <f>A!I127</f>
        <v>=</v>
      </c>
      <c r="J78" s="250">
        <f>A!J127</f>
        <v>416.66666666666669</v>
      </c>
      <c r="K78" s="315" t="str">
        <f>A!K127</f>
        <v>N/mm2</v>
      </c>
      <c r="L78" s="315"/>
      <c r="M78" s="315"/>
    </row>
    <row r="79" spans="1:13" ht="15" customHeight="1">
      <c r="A79" s="315"/>
      <c r="B79" s="315"/>
      <c r="C79" s="315"/>
      <c r="D79" s="315"/>
      <c r="E79" s="315"/>
      <c r="F79" s="315"/>
      <c r="G79" s="315"/>
      <c r="H79" s="315" t="str">
        <f>A!H128</f>
        <v>A s</v>
      </c>
      <c r="I79" t="str">
        <f>A!I128</f>
        <v>=</v>
      </c>
      <c r="J79" s="250" t="e">
        <f>A!J128</f>
        <v>#N/A</v>
      </c>
      <c r="K79" s="315" t="str">
        <f>A!K128</f>
        <v>mm2</v>
      </c>
      <c r="L79" s="315"/>
      <c r="M79" s="315"/>
    </row>
    <row r="80" spans="1:13" ht="15" customHeight="1">
      <c r="A80" s="315"/>
      <c r="B80" s="315"/>
      <c r="C80" s="315"/>
      <c r="D80" s="315" t="str">
        <f>A!D129</f>
        <v xml:space="preserve"> (5)</v>
      </c>
      <c r="E80" s="315"/>
      <c r="F80" s="315"/>
      <c r="G80" s="315" t="str">
        <f>A!G129</f>
        <v>tværsnitsbredde</v>
      </c>
      <c r="H80" s="315"/>
      <c r="I80" t="str">
        <f>A!I129</f>
        <v>=</v>
      </c>
      <c r="J80" s="250">
        <f>A!J129</f>
        <v>150</v>
      </c>
      <c r="K80" s="315" t="str">
        <f>A!K129</f>
        <v>mm</v>
      </c>
      <c r="L80" s="315"/>
      <c r="M80" s="315"/>
    </row>
    <row r="81" spans="1:13" ht="15" customHeight="1">
      <c r="A81" s="315"/>
      <c r="B81" s="384"/>
      <c r="C81" s="374"/>
      <c r="D81" s="374"/>
      <c r="E81" s="374"/>
      <c r="F81" s="374"/>
      <c r="G81" s="315" t="str">
        <f>A!G130</f>
        <v>effektiv højde</v>
      </c>
      <c r="H81" s="315" t="str">
        <f>A!H130</f>
        <v>d</v>
      </c>
      <c r="I81" t="str">
        <f>A!I130</f>
        <v>=</v>
      </c>
      <c r="J81" s="250" t="e">
        <f>A!J130</f>
        <v>#N/A</v>
      </c>
      <c r="K81" s="315" t="str">
        <f>A!K130</f>
        <v>mm</v>
      </c>
      <c r="L81" s="315"/>
      <c r="M81" s="315"/>
    </row>
    <row r="82" spans="1:13" ht="15" customHeight="1">
      <c r="A82" s="315"/>
      <c r="B82" s="315"/>
      <c r="C82" s="315"/>
      <c r="D82" s="315"/>
      <c r="E82" s="315"/>
      <c r="F82" s="315"/>
      <c r="G82" s="315"/>
      <c r="H82" s="315" t="str">
        <f>A!$H$131</f>
        <v>bæreevne</v>
      </c>
      <c r="I82" s="315"/>
      <c r="J82" s="315"/>
      <c r="K82" s="315"/>
      <c r="L82" s="315" t="str">
        <f>A!$L$131</f>
        <v xml:space="preserve"> snitkraft</v>
      </c>
      <c r="M82" s="315"/>
    </row>
    <row r="83" spans="1:13" ht="15" customHeight="1">
      <c r="A83" s="315"/>
      <c r="B83" s="315"/>
      <c r="C83" s="315"/>
      <c r="D83" s="315"/>
      <c r="E83" s="315"/>
      <c r="F83" s="315"/>
      <c r="G83" s="315" t="str">
        <f>A!G132</f>
        <v xml:space="preserve">moment overside </v>
      </c>
      <c r="H83" s="320" t="e">
        <f>A!H132</f>
        <v>#N/A</v>
      </c>
      <c r="I83" s="315"/>
      <c r="J83" s="315" t="str">
        <f>A!J132</f>
        <v>kNm</v>
      </c>
      <c r="K83" s="315" t="e">
        <f>A!K132</f>
        <v>#N/A</v>
      </c>
      <c r="L83" s="320" t="e">
        <f>A!L132</f>
        <v>#N/A</v>
      </c>
      <c r="M83" s="315" t="e">
        <f>A!M132</f>
        <v>#N/A</v>
      </c>
    </row>
    <row r="84" spans="1:13" ht="15" customHeight="1">
      <c r="A84" s="315"/>
      <c r="B84" s="315"/>
      <c r="C84" s="315"/>
      <c r="D84" s="315"/>
      <c r="E84" s="315"/>
      <c r="F84" s="315"/>
      <c r="G84" s="315" t="str">
        <f>A!G133</f>
        <v>moment underside</v>
      </c>
      <c r="H84" s="320" t="e">
        <f>A!H133</f>
        <v>#N/A</v>
      </c>
      <c r="I84" s="315"/>
      <c r="J84" s="315" t="str">
        <f>A!J133</f>
        <v>kNm</v>
      </c>
      <c r="K84" s="315" t="e">
        <f>A!K133</f>
        <v>#N/A</v>
      </c>
      <c r="L84" s="320" t="e">
        <f>A!L133</f>
        <v>#N/A</v>
      </c>
      <c r="M84" s="315" t="e">
        <f>A!M133</f>
        <v>#N/A</v>
      </c>
    </row>
    <row r="85" spans="1:13" ht="15" customHeight="1">
      <c r="A85" s="315"/>
      <c r="B85" s="315"/>
      <c r="C85" s="315"/>
      <c r="D85" s="315"/>
      <c r="E85" s="315"/>
      <c r="F85" s="315"/>
      <c r="G85" s="315" t="str">
        <f>A!G134</f>
        <v>forskydning V Rd,c</v>
      </c>
      <c r="H85" s="320" t="e">
        <f>A!H134</f>
        <v>#N/A</v>
      </c>
      <c r="I85" s="315"/>
      <c r="J85" s="315" t="str">
        <f>A!J134</f>
        <v>kN</v>
      </c>
      <c r="K85" s="315" t="e">
        <f>A!K134</f>
        <v>#N/A</v>
      </c>
      <c r="L85" s="320" t="e">
        <f>A!L134</f>
        <v>#N/A</v>
      </c>
      <c r="M85" s="315" t="e">
        <f>A!M134</f>
        <v>#N/A</v>
      </c>
    </row>
    <row r="86" spans="1:13" ht="15" customHeight="1">
      <c r="A86" s="315"/>
      <c r="B86" s="315"/>
      <c r="C86" s="315"/>
      <c r="D86" s="315"/>
      <c r="E86" s="315"/>
      <c r="F86" s="315"/>
      <c r="G86" s="315"/>
      <c r="H86" s="374" t="e">
        <f>A!H135</f>
        <v>#N/A</v>
      </c>
      <c r="I86" s="374">
        <f>A!I135</f>
        <v>0</v>
      </c>
      <c r="J86" s="374" t="str">
        <f>A!J135</f>
        <v>kN</v>
      </c>
      <c r="K86" s="315" t="e">
        <f>A!K135</f>
        <v>#N/A</v>
      </c>
      <c r="L86" s="320" t="e">
        <f>A!L135</f>
        <v>#N/A</v>
      </c>
      <c r="M86" s="315" t="e">
        <f>A!M135</f>
        <v>#N/A</v>
      </c>
    </row>
    <row r="87" spans="1:13" ht="15" customHeight="1">
      <c r="A87" s="315"/>
      <c r="B87" s="315"/>
      <c r="C87" s="315"/>
      <c r="D87" s="315"/>
      <c r="E87" s="315"/>
      <c r="F87" s="315"/>
      <c r="G87" s="315"/>
      <c r="H87" s="374" t="e">
        <f>A!H136</f>
        <v>#N/A</v>
      </c>
      <c r="I87" s="374">
        <f>A!I136</f>
        <v>0</v>
      </c>
      <c r="J87" s="374" t="str">
        <f>A!J136</f>
        <v>kN</v>
      </c>
      <c r="K87" s="315" t="e">
        <f>A!K136</f>
        <v>#N/A</v>
      </c>
      <c r="L87" s="320" t="e">
        <f>A!L136</f>
        <v>#N/A</v>
      </c>
      <c r="M87" s="315" t="e">
        <f>A!M136</f>
        <v>#N/A</v>
      </c>
    </row>
    <row r="88" spans="1:13" ht="15" customHeight="1">
      <c r="A88" s="315"/>
      <c r="B88" s="315"/>
      <c r="C88" s="315"/>
      <c r="D88" s="315"/>
      <c r="E88" s="315"/>
      <c r="F88" s="315"/>
      <c r="G88" s="315"/>
      <c r="H88" s="315" t="str">
        <f>A!H137</f>
        <v>bøjler</v>
      </c>
      <c r="I88" s="315" t="str">
        <f>A!I137</f>
        <v>K</v>
      </c>
      <c r="J88" s="315"/>
      <c r="K88" s="315" t="str">
        <f>A!K137</f>
        <v>type</v>
      </c>
      <c r="L88" s="315"/>
      <c r="M88" s="315"/>
    </row>
    <row r="89" spans="1:13" ht="15" customHeight="1">
      <c r="A89" s="315"/>
      <c r="B89" s="315"/>
      <c r="C89" s="315"/>
      <c r="D89" s="315"/>
      <c r="E89" s="315"/>
      <c r="F89" s="315"/>
      <c r="G89" s="315"/>
      <c r="H89" s="315" t="str">
        <f>A!H138</f>
        <v>f yk</v>
      </c>
      <c r="I89" t="str">
        <f>A!I138</f>
        <v>=</v>
      </c>
      <c r="J89" s="250">
        <f>A!J138</f>
        <v>500</v>
      </c>
      <c r="K89" s="315" t="str">
        <f>A!K138</f>
        <v>N/mm2</v>
      </c>
      <c r="L89" s="315"/>
      <c r="M89" s="315"/>
    </row>
    <row r="90" spans="1:13" ht="15" customHeight="1">
      <c r="A90" s="315"/>
      <c r="B90" s="315"/>
      <c r="C90" s="315"/>
      <c r="D90" s="315"/>
      <c r="E90" s="315"/>
      <c r="F90" s="315"/>
      <c r="G90" s="315"/>
      <c r="H90" s="315" t="str">
        <f>A!H139</f>
        <v>f ywd</v>
      </c>
      <c r="I90" t="str">
        <f>A!I139</f>
        <v>=</v>
      </c>
      <c r="J90" s="250">
        <f>A!J139</f>
        <v>416.66666666666669</v>
      </c>
      <c r="K90" s="315" t="str">
        <f>A!K139</f>
        <v>N/mm2</v>
      </c>
      <c r="L90" s="315"/>
      <c r="M90" s="315"/>
    </row>
    <row r="91" spans="1:13" ht="15" customHeight="1">
      <c r="A91" s="315"/>
      <c r="B91" s="315"/>
      <c r="C91" s="315"/>
      <c r="D91" s="315"/>
      <c r="E91" s="315"/>
      <c r="F91" s="315"/>
      <c r="G91" s="315">
        <f>A!G140</f>
        <v>1</v>
      </c>
      <c r="H91" s="315" t="str">
        <f>A!H140</f>
        <v>-snits bjl.</v>
      </c>
      <c r="I91" s="315" t="str">
        <f>A!I140</f>
        <v>K</v>
      </c>
      <c r="J91" s="250">
        <f>A!J140</f>
        <v>8</v>
      </c>
      <c r="K91" s="315" t="str">
        <f>A!K140</f>
        <v>type, diameter</v>
      </c>
      <c r="L91" s="315"/>
      <c r="M91" s="315"/>
    </row>
    <row r="92" spans="1:13" ht="15" customHeight="1">
      <c r="A92" s="315"/>
      <c r="B92" s="315"/>
      <c r="C92" s="315"/>
      <c r="D92" s="315"/>
      <c r="E92" s="315"/>
      <c r="F92" s="315"/>
      <c r="G92" s="315" t="e">
        <f>A!G141</f>
        <v>#N/A</v>
      </c>
      <c r="H92" s="315"/>
      <c r="I92" s="315"/>
      <c r="J92" s="250" t="e">
        <f>A!J141</f>
        <v>#N/A</v>
      </c>
      <c r="K92" s="315" t="e">
        <f>A!K141</f>
        <v>#N/A</v>
      </c>
      <c r="L92" s="315"/>
      <c r="M92" s="315"/>
    </row>
    <row r="93" spans="1:13" ht="15" customHeight="1">
      <c r="A93" s="315"/>
      <c r="B93" s="315"/>
      <c r="C93" s="315"/>
      <c r="D93" s="315"/>
      <c r="E93" s="315"/>
      <c r="F93" s="315"/>
      <c r="G93" s="241" t="str">
        <f>A!G142</f>
        <v>V Rd,s =</v>
      </c>
      <c r="H93" s="320" t="e">
        <f>A!H142</f>
        <v>#N/A</v>
      </c>
      <c r="I93" s="315" t="e">
        <f>A!I142</f>
        <v>#N/A</v>
      </c>
      <c r="J93" s="320" t="e">
        <f>A!J142</f>
        <v>#N/A</v>
      </c>
      <c r="K93" s="315" t="str">
        <f>A!K142</f>
        <v>kN</v>
      </c>
      <c r="L93" s="315"/>
      <c r="M93" s="315" t="e">
        <f>A!M142</f>
        <v>#N/A</v>
      </c>
    </row>
    <row r="94" spans="1:13" ht="15" customHeight="1">
      <c r="A94" s="315"/>
      <c r="B94" s="315"/>
      <c r="C94" s="315"/>
      <c r="D94" s="315"/>
      <c r="E94" s="315"/>
      <c r="F94" s="315"/>
      <c r="G94" s="315">
        <f>A!G143</f>
        <v>1</v>
      </c>
      <c r="H94" s="315" t="str">
        <f>A!H143</f>
        <v>-snits bjl.</v>
      </c>
      <c r="I94" s="315" t="str">
        <f>A!I143</f>
        <v>K</v>
      </c>
      <c r="J94" s="250">
        <f>A!J143</f>
        <v>8</v>
      </c>
      <c r="K94" s="315" t="str">
        <f>A!K143</f>
        <v>type, diameter</v>
      </c>
      <c r="L94" s="315"/>
      <c r="M94" s="315"/>
    </row>
    <row r="95" spans="1:13" ht="15" customHeight="1">
      <c r="A95" s="315"/>
      <c r="B95" s="315"/>
      <c r="C95" s="315"/>
      <c r="D95" s="315"/>
      <c r="E95" s="315"/>
      <c r="F95" s="315"/>
      <c r="G95" s="315" t="e">
        <f>A!G144</f>
        <v>#N/A</v>
      </c>
      <c r="H95" s="315"/>
      <c r="I95" s="315"/>
      <c r="J95" s="250" t="e">
        <f>A!J144</f>
        <v>#N/A</v>
      </c>
      <c r="K95" s="315" t="e">
        <f>A!K144</f>
        <v>#N/A</v>
      </c>
      <c r="L95" s="315"/>
      <c r="M95" s="315"/>
    </row>
    <row r="96" spans="1:13" ht="15" customHeight="1">
      <c r="A96" s="315"/>
      <c r="B96" s="315"/>
      <c r="C96" s="315"/>
      <c r="D96" s="315"/>
      <c r="E96" s="315"/>
      <c r="F96" s="315"/>
      <c r="G96" s="241" t="str">
        <f>A!G145</f>
        <v>V Rd,s =</v>
      </c>
      <c r="H96" s="320" t="e">
        <f>A!H145</f>
        <v>#N/A</v>
      </c>
      <c r="I96" s="315" t="e">
        <f>A!I145</f>
        <v>#N/A</v>
      </c>
      <c r="J96" s="320" t="e">
        <f>A!J145</f>
        <v>#N/A</v>
      </c>
      <c r="K96" s="315" t="str">
        <f>A!K145</f>
        <v>kN</v>
      </c>
      <c r="L96" s="315"/>
      <c r="M96" s="315" t="e">
        <f>A!M145</f>
        <v>#N/A</v>
      </c>
    </row>
    <row r="97" spans="1:13" ht="15" customHeight="1">
      <c r="A97" s="315"/>
      <c r="B97" s="315"/>
      <c r="C97" s="315"/>
      <c r="D97" s="315"/>
      <c r="E97" s="315"/>
      <c r="F97" s="315"/>
      <c r="G97" s="315">
        <f>A!G146</f>
        <v>1</v>
      </c>
      <c r="H97" s="315" t="str">
        <f>A!H146</f>
        <v>-snits bjl.</v>
      </c>
      <c r="I97" s="315" t="str">
        <f>A!I146</f>
        <v>K</v>
      </c>
      <c r="J97" s="250">
        <f>A!J146</f>
        <v>8</v>
      </c>
      <c r="K97" s="315" t="str">
        <f>A!K146</f>
        <v>type, diameter</v>
      </c>
      <c r="L97" s="315"/>
      <c r="M97" s="315"/>
    </row>
    <row r="98" spans="1:13" ht="15" customHeight="1">
      <c r="A98" s="315"/>
      <c r="B98" s="315"/>
      <c r="C98" s="315"/>
      <c r="D98" s="315"/>
      <c r="E98" s="315"/>
      <c r="F98" s="315"/>
      <c r="G98" s="315" t="e">
        <f>A!G147</f>
        <v>#N/A</v>
      </c>
      <c r="H98" s="315"/>
      <c r="I98" s="315"/>
      <c r="J98" s="250" t="e">
        <f>A!J147</f>
        <v>#N/A</v>
      </c>
      <c r="K98" s="315" t="e">
        <f>A!K147</f>
        <v>#N/A</v>
      </c>
      <c r="L98" s="315"/>
      <c r="M98" s="315"/>
    </row>
    <row r="99" spans="1:13" ht="15" customHeight="1">
      <c r="A99" s="315"/>
      <c r="B99" s="315"/>
      <c r="C99" s="315"/>
      <c r="D99" s="315"/>
      <c r="E99" s="315"/>
      <c r="F99" s="315"/>
      <c r="G99" s="241" t="str">
        <f>A!G148</f>
        <v>V Rd,s =</v>
      </c>
      <c r="H99" s="320" t="e">
        <f>A!H148</f>
        <v>#N/A</v>
      </c>
      <c r="I99" s="315" t="e">
        <f>A!I148</f>
        <v>#N/A</v>
      </c>
      <c r="J99" s="320" t="e">
        <f>A!J148</f>
        <v>#N/A</v>
      </c>
      <c r="K99" s="315" t="str">
        <f>A!K148</f>
        <v>kN</v>
      </c>
      <c r="L99" s="315"/>
      <c r="M99" s="315" t="e">
        <f>A!M148</f>
        <v>#N/A</v>
      </c>
    </row>
    <row r="100" spans="1:13" ht="15" customHeight="1">
      <c r="A100" s="315"/>
      <c r="B100" s="315"/>
      <c r="C100" s="315"/>
      <c r="D100" s="315"/>
      <c r="E100" s="315"/>
      <c r="F100" s="315"/>
      <c r="G100" s="315"/>
      <c r="H100" s="315"/>
      <c r="I100" s="315"/>
      <c r="J100" s="315"/>
      <c r="K100" s="315"/>
      <c r="L100" s="315"/>
      <c r="M100" s="315"/>
    </row>
    <row r="101" spans="1:13" ht="15" customHeight="1">
      <c r="A101" s="315"/>
      <c r="B101" s="315"/>
      <c r="C101" s="315"/>
      <c r="D101" s="315"/>
      <c r="E101" s="315"/>
      <c r="F101" s="315"/>
      <c r="G101" s="315"/>
      <c r="H101" s="315"/>
      <c r="I101" s="315"/>
      <c r="J101" s="315"/>
      <c r="K101" s="315"/>
      <c r="L101" s="315"/>
      <c r="M101" s="315"/>
    </row>
    <row r="102" spans="1:13" ht="15" customHeight="1">
      <c r="A102" s="315"/>
      <c r="B102" s="315" t="str">
        <f>A!$B$75</f>
        <v>ANVENDELSESGRÆNSETILSTAND</v>
      </c>
      <c r="C102" s="315"/>
      <c r="D102" s="315"/>
      <c r="E102" s="315"/>
      <c r="F102" s="315"/>
      <c r="G102" s="315"/>
      <c r="H102" s="315" t="str">
        <f>A!H75</f>
        <v xml:space="preserve"> excl.-</v>
      </c>
      <c r="I102" s="315"/>
      <c r="J102" s="315" t="str">
        <f>A!J75</f>
        <v xml:space="preserve"> incl.- #</v>
      </c>
      <c r="K102" s="315"/>
      <c r="L102" s="315" t="str">
        <f>A!$L$75</f>
        <v xml:space="preserve">  last fra løb</v>
      </c>
      <c r="M102" s="315"/>
    </row>
    <row r="103" spans="1:13" ht="15" customHeight="1">
      <c r="A103" s="315"/>
      <c r="B103" s="315"/>
      <c r="C103" s="315" t="str">
        <f>A!C76</f>
        <v>kontrol af min.armering</v>
      </c>
      <c r="D103" s="315"/>
      <c r="E103" s="315"/>
      <c r="F103" s="315"/>
      <c r="G103" s="241" t="str">
        <f>A!$G$76</f>
        <v>As min, mm2 =</v>
      </c>
      <c r="H103" s="250" t="e">
        <f>A!H76</f>
        <v>#N/A</v>
      </c>
      <c r="I103" s="315"/>
      <c r="J103" s="315"/>
      <c r="K103" s="315" t="e">
        <f>A!K76</f>
        <v>#N/A</v>
      </c>
      <c r="L103" s="250" t="e">
        <f>A!L76</f>
        <v>#N/A</v>
      </c>
      <c r="M103" s="315" t="e">
        <f>A!M76</f>
        <v>#N/A</v>
      </c>
    </row>
    <row r="104" spans="1:13" ht="15" customHeight="1">
      <c r="A104" s="315"/>
      <c r="B104" s="315"/>
      <c r="C104" s="315" t="str">
        <f>A!C77</f>
        <v>revnevidde</v>
      </c>
      <c r="D104" s="315"/>
      <c r="E104" s="315"/>
      <c r="F104" s="315" t="str">
        <f>A!F77</f>
        <v>for kvasipermanent last</v>
      </c>
      <c r="G104" s="315"/>
      <c r="H104" s="148" t="e">
        <f>A!H77</f>
        <v>#N/A</v>
      </c>
      <c r="I104" s="315"/>
      <c r="J104" s="148" t="e">
        <f>A!J77</f>
        <v>#N/A</v>
      </c>
      <c r="K104" s="315"/>
      <c r="L104" s="315"/>
      <c r="M104" s="315"/>
    </row>
    <row r="105" spans="1:13" ht="15" customHeight="1">
      <c r="A105" s="315"/>
      <c r="B105" s="315"/>
      <c r="C105" s="315"/>
      <c r="D105" s="315"/>
      <c r="E105" s="315"/>
      <c r="F105" s="315" t="str">
        <f>A!F78</f>
        <v>for korttidslast</v>
      </c>
      <c r="G105" s="315"/>
      <c r="H105" s="148" t="e">
        <f>A!H78</f>
        <v>#N/A</v>
      </c>
      <c r="I105" s="315"/>
      <c r="J105" s="148" t="e">
        <f>A!J78</f>
        <v>#N/A</v>
      </c>
      <c r="K105" s="315"/>
      <c r="L105" s="315"/>
      <c r="M105" s="315"/>
    </row>
    <row r="106" spans="1:13" ht="15" customHeight="1">
      <c r="A106" s="315"/>
      <c r="B106" s="315"/>
      <c r="C106" s="315"/>
      <c r="D106" s="315"/>
      <c r="E106" s="315"/>
      <c r="F106" s="315" t="str">
        <f>A!F79</f>
        <v>ialt</v>
      </c>
      <c r="G106" s="241" t="str">
        <f>A!$G$79</f>
        <v>mm</v>
      </c>
      <c r="H106" s="148" t="e">
        <f>A!H79</f>
        <v>#N/A</v>
      </c>
      <c r="I106" s="315"/>
      <c r="J106" s="148" t="e">
        <f>A!J79</f>
        <v>#N/A</v>
      </c>
      <c r="K106" s="315" t="e">
        <f>A!K79</f>
        <v>#N/A</v>
      </c>
      <c r="L106" s="148">
        <f>A!L79</f>
        <v>0.4</v>
      </c>
      <c r="M106" s="315" t="e">
        <f>A!M79</f>
        <v>#N/A</v>
      </c>
    </row>
    <row r="107" spans="1:13" ht="15" customHeight="1">
      <c r="A107" s="315"/>
      <c r="B107" s="315"/>
      <c r="C107" s="315" t="str">
        <f>A!C80</f>
        <v>nedbøjning</v>
      </c>
      <c r="D107" s="315"/>
      <c r="E107" s="315"/>
      <c r="F107" s="315" t="str">
        <f>A!F80</f>
        <v>for kvasipermanent last</v>
      </c>
      <c r="G107" s="315"/>
      <c r="H107" s="250" t="e">
        <f>A!H80</f>
        <v>#N/A</v>
      </c>
      <c r="I107" s="315"/>
      <c r="J107" s="250" t="e">
        <f>A!J80</f>
        <v>#N/A</v>
      </c>
      <c r="K107" s="315" t="e">
        <f>A!K80</f>
        <v>#N/A</v>
      </c>
      <c r="L107" s="250" t="e">
        <f>A!L80</f>
        <v>#N/A</v>
      </c>
      <c r="M107" s="315" t="e">
        <f>A!M80</f>
        <v>#N/A</v>
      </c>
    </row>
    <row r="108" spans="1:13" ht="15" customHeight="1">
      <c r="A108" s="315"/>
      <c r="B108" s="315"/>
      <c r="C108" s="315"/>
      <c r="D108" s="315"/>
      <c r="E108" s="315"/>
      <c r="F108" s="315" t="str">
        <f>A!F81</f>
        <v>for korttidslast</v>
      </c>
      <c r="G108" s="315"/>
      <c r="H108" s="250" t="e">
        <f>A!H81</f>
        <v>#N/A</v>
      </c>
      <c r="I108" s="315"/>
      <c r="J108" s="250" t="e">
        <f>A!J81</f>
        <v>#N/A</v>
      </c>
      <c r="K108" s="315" t="e">
        <f>A!K81</f>
        <v>#N/A</v>
      </c>
      <c r="L108" s="250" t="e">
        <f>A!L81</f>
        <v>#N/A</v>
      </c>
      <c r="M108" s="315" t="e">
        <f>A!M81</f>
        <v>#N/A</v>
      </c>
    </row>
    <row r="109" spans="1:13" ht="15" customHeight="1">
      <c r="A109" s="315"/>
      <c r="B109" s="315"/>
      <c r="C109" s="315"/>
      <c r="D109" s="315"/>
      <c r="E109" s="315"/>
      <c r="F109" s="315" t="str">
        <f>A!F82</f>
        <v>ialt</v>
      </c>
      <c r="G109" s="241" t="str">
        <f>A!$G$82</f>
        <v>mm</v>
      </c>
      <c r="H109" s="250" t="e">
        <f>A!H82</f>
        <v>#N/A</v>
      </c>
      <c r="I109" s="315"/>
      <c r="J109" s="250" t="e">
        <f>A!J82</f>
        <v>#N/A</v>
      </c>
      <c r="K109" s="315" t="str">
        <f>A!K82</f>
        <v xml:space="preserve"> </v>
      </c>
      <c r="L109" s="250" t="str">
        <f>A!L82</f>
        <v xml:space="preserve"> </v>
      </c>
      <c r="M109" s="315" t="str">
        <f>A!M82</f>
        <v xml:space="preserve"> </v>
      </c>
    </row>
    <row r="110" spans="1:13" ht="15" customHeight="1">
      <c r="A110" s="315"/>
      <c r="B110" s="315"/>
      <c r="C110" s="315"/>
      <c r="D110" s="315"/>
      <c r="E110" s="315" t="str">
        <f>A!$E$83</f>
        <v>#) regnet fordelt på en bredde nærmest løbsudsparing</v>
      </c>
      <c r="F110" s="315"/>
      <c r="G110" s="315"/>
      <c r="H110" s="315"/>
      <c r="I110" s="315"/>
      <c r="J110" s="315"/>
      <c r="K110" s="315"/>
      <c r="L110" s="250" t="e">
        <f>A!L83</f>
        <v>#N/A</v>
      </c>
      <c r="M110" s="315" t="str">
        <f>A!M83</f>
        <v>mm</v>
      </c>
    </row>
    <row r="111" spans="1:13" ht="15" customHeight="1">
      <c r="A111" s="315"/>
      <c r="B111" s="315"/>
      <c r="C111" s="315"/>
      <c r="D111" s="315"/>
      <c r="E111" s="315"/>
      <c r="F111" s="315"/>
      <c r="G111" s="315"/>
      <c r="H111" s="315"/>
      <c r="I111" s="315"/>
      <c r="J111" s="315"/>
      <c r="K111" s="315"/>
      <c r="L111" s="315"/>
      <c r="M111" s="315"/>
    </row>
    <row r="112" spans="1:13" ht="15" customHeight="1">
      <c r="A112" s="315"/>
      <c r="B112" s="315" t="str">
        <f>A!$B$85</f>
        <v>UNDERSTØTNINGER FOR LØB/NABOELEM.</v>
      </c>
      <c r="C112" s="315"/>
      <c r="D112" s="315"/>
      <c r="E112" s="315"/>
      <c r="F112" s="315"/>
      <c r="G112" s="315"/>
      <c r="H112" s="315" t="e">
        <f>A!$H$85</f>
        <v>#N/A</v>
      </c>
      <c r="I112" s="315"/>
      <c r="J112" s="315"/>
      <c r="K112" s="315"/>
      <c r="L112" s="315"/>
      <c r="M112" s="315"/>
    </row>
    <row r="113" spans="1:13" ht="15" customHeight="1">
      <c r="A113" s="315"/>
      <c r="B113" s="315"/>
      <c r="C113" s="315"/>
      <c r="D113" s="315"/>
      <c r="E113" s="315"/>
      <c r="F113" s="315"/>
      <c r="G113" s="315" t="str">
        <f>A!G86</f>
        <v>effektiv højde</v>
      </c>
      <c r="H113" s="315" t="str">
        <f>A!H86</f>
        <v>d</v>
      </c>
      <c r="I113" t="s">
        <v>112</v>
      </c>
      <c r="J113" s="250">
        <f>A!J86</f>
        <v>72</v>
      </c>
      <c r="K113" s="315" t="str">
        <f>A!K86</f>
        <v>mm</v>
      </c>
      <c r="L113" s="315"/>
      <c r="M113" s="315"/>
    </row>
    <row r="114" spans="1:13" ht="15" customHeight="1">
      <c r="A114" s="315"/>
      <c r="B114" s="315"/>
      <c r="C114" s="315"/>
      <c r="D114" s="315"/>
      <c r="E114" s="315"/>
      <c r="F114" s="315"/>
      <c r="G114" s="315" t="str">
        <f>A!G87</f>
        <v>momentarm</v>
      </c>
      <c r="H114" s="315" t="str">
        <f>A!H87</f>
        <v>a</v>
      </c>
      <c r="I114" t="s">
        <v>112</v>
      </c>
      <c r="J114" s="250">
        <f>A!J87</f>
        <v>103</v>
      </c>
      <c r="K114" s="315" t="str">
        <f>A!K87</f>
        <v>mm</v>
      </c>
      <c r="L114" s="315"/>
      <c r="M114" s="315"/>
    </row>
    <row r="115" spans="1:13" ht="15" customHeight="1">
      <c r="A115" s="315"/>
      <c r="B115" s="315"/>
      <c r="C115" s="315"/>
      <c r="D115" s="315"/>
      <c r="E115" s="315" t="str">
        <f>A!E88</f>
        <v>a</v>
      </c>
      <c r="F115" s="315"/>
      <c r="G115" s="315" t="str">
        <f>A!G88</f>
        <v>armering (1)</v>
      </c>
      <c r="H115" s="323"/>
      <c r="I115" s="315" t="str">
        <f>A!I88</f>
        <v>K</v>
      </c>
      <c r="J115" s="250">
        <f>A!J88</f>
        <v>6</v>
      </c>
      <c r="K115" s="315" t="str">
        <f>A!K88</f>
        <v>type,diameter</v>
      </c>
      <c r="L115" s="315"/>
      <c r="M115" s="315"/>
    </row>
    <row r="116" spans="1:13" ht="15" customHeight="1">
      <c r="A116" s="315"/>
      <c r="B116" s="315"/>
      <c r="C116" s="315"/>
      <c r="D116" s="315"/>
      <c r="E116" s="315"/>
      <c r="F116" s="315"/>
      <c r="G116" s="315" t="str">
        <f>A!G89</f>
        <v xml:space="preserve">             centerafst.</v>
      </c>
      <c r="H116" s="315"/>
      <c r="I116" s="315"/>
      <c r="J116" s="250">
        <f>A!J89</f>
        <v>150</v>
      </c>
      <c r="K116" s="315" t="str">
        <f>A!K89</f>
        <v>mm</v>
      </c>
      <c r="L116" s="315"/>
      <c r="M116" s="315"/>
    </row>
    <row r="117" spans="1:13" ht="15" customHeight="1">
      <c r="A117" s="315"/>
      <c r="B117" s="315"/>
      <c r="C117" s="315"/>
      <c r="D117" s="315"/>
      <c r="E117" s="315"/>
      <c r="F117" s="321">
        <f>A!F90</f>
        <v>120</v>
      </c>
      <c r="G117" s="315"/>
      <c r="H117" s="315" t="str">
        <f>A!H90</f>
        <v>f yk</v>
      </c>
      <c r="I117" t="s">
        <v>112</v>
      </c>
      <c r="J117" s="250">
        <f>A!J90</f>
        <v>500</v>
      </c>
      <c r="K117" s="315" t="str">
        <f>A!K90</f>
        <v>N/mm2</v>
      </c>
      <c r="L117" s="315"/>
      <c r="M117" s="315"/>
    </row>
    <row r="118" spans="1:13" ht="15" customHeight="1">
      <c r="A118" s="315"/>
      <c r="B118" s="315"/>
      <c r="C118" s="321" t="str">
        <f>A!C91</f>
        <v>(2)</v>
      </c>
      <c r="D118" s="315"/>
      <c r="E118" s="315"/>
      <c r="F118" s="241" t="str">
        <f>A!F91</f>
        <v xml:space="preserve">d   </v>
      </c>
      <c r="G118" s="315"/>
      <c r="H118" s="315" t="str">
        <f>A!H91</f>
        <v>f yd</v>
      </c>
      <c r="I118" t="s">
        <v>112</v>
      </c>
      <c r="J118" s="250">
        <f>A!J91</f>
        <v>416.66666666666669</v>
      </c>
      <c r="K118" s="315" t="str">
        <f>A!K91</f>
        <v>N/mm2</v>
      </c>
      <c r="L118" s="315"/>
      <c r="M118" s="315"/>
    </row>
    <row r="119" spans="1:13" ht="15" customHeight="1">
      <c r="A119" s="315"/>
      <c r="B119" s="315"/>
      <c r="C119" s="315"/>
      <c r="D119" s="315"/>
      <c r="E119" s="315"/>
      <c r="F119" s="315"/>
      <c r="G119" s="315"/>
      <c r="H119" s="315" t="str">
        <f>A!H92</f>
        <v>A s</v>
      </c>
      <c r="I119" t="s">
        <v>112</v>
      </c>
      <c r="J119" s="250">
        <f>A!J92</f>
        <v>188.4955592153876</v>
      </c>
      <c r="K119" s="315" t="str">
        <f>A!K92</f>
        <v>mm2/m</v>
      </c>
      <c r="L119" s="315"/>
      <c r="M119" s="315"/>
    </row>
    <row r="120" spans="1:13" ht="15" customHeight="1">
      <c r="A120" s="315"/>
      <c r="B120" s="315"/>
      <c r="C120" s="321" t="str">
        <f>A!C93</f>
        <v>(1)</v>
      </c>
      <c r="D120" s="315"/>
      <c r="E120" s="315"/>
      <c r="F120" s="324">
        <f>A!F93</f>
        <v>60</v>
      </c>
      <c r="G120" s="315" t="str">
        <f>A!G93</f>
        <v>reduc. fcd</v>
      </c>
      <c r="H120" s="315"/>
      <c r="I120" t="s">
        <v>112</v>
      </c>
      <c r="J120" s="320">
        <f>A!J93</f>
        <v>18.702746957119125</v>
      </c>
      <c r="K120" s="315" t="str">
        <f>A!K93</f>
        <v>N/mm2</v>
      </c>
      <c r="L120" s="315"/>
      <c r="M120" s="315"/>
    </row>
    <row r="121" spans="1:13" ht="15" customHeight="1">
      <c r="A121" s="315"/>
      <c r="B121" s="315"/>
      <c r="C121" s="315"/>
      <c r="D121" s="315"/>
      <c r="E121" s="315"/>
      <c r="F121" s="315"/>
      <c r="G121" s="315" t="str">
        <f>A!G94</f>
        <v>M Rd =</v>
      </c>
      <c r="H121" s="320">
        <f>A!H94</f>
        <v>4.8099157705764011</v>
      </c>
      <c r="J121" s="315" t="str">
        <f>A!J94</f>
        <v>kNm/m</v>
      </c>
      <c r="K121" s="315" t="e">
        <f>A!K94</f>
        <v>#N/A</v>
      </c>
      <c r="L121" s="320" t="e">
        <f>A!L94</f>
        <v>#N/A</v>
      </c>
      <c r="M121" s="315" t="e">
        <f>A!M94</f>
        <v>#N/A</v>
      </c>
    </row>
    <row r="122" spans="1:13" ht="15" customHeight="1">
      <c r="A122" s="315"/>
      <c r="B122" s="315"/>
      <c r="C122" s="315"/>
      <c r="D122" s="315"/>
      <c r="E122" s="315"/>
      <c r="F122" s="315"/>
      <c r="G122" s="315" t="str">
        <f>A!G95</f>
        <v>V Rd,c =</v>
      </c>
      <c r="H122" s="320">
        <f>A!H95</f>
        <v>39.039672129770757</v>
      </c>
      <c r="J122" s="315" t="str">
        <f>A!J95</f>
        <v>kN/m</v>
      </c>
      <c r="K122" s="315" t="e">
        <f>A!K95</f>
        <v>#N/A</v>
      </c>
      <c r="L122" s="320" t="e">
        <f>A!L95</f>
        <v>#N/A</v>
      </c>
      <c r="M122" s="315" t="e">
        <f>A!M95</f>
        <v>#N/A</v>
      </c>
    </row>
    <row r="123" spans="1:13" ht="15" customHeight="1">
      <c r="A123" s="315"/>
      <c r="B123" s="315"/>
      <c r="C123" s="315"/>
      <c r="D123" s="315"/>
      <c r="E123" s="315"/>
      <c r="F123" s="315"/>
      <c r="G123" s="315" t="str">
        <f>A!G96</f>
        <v>armering (2)</v>
      </c>
      <c r="H123" s="323"/>
      <c r="I123" s="315" t="str">
        <f>A!I96</f>
        <v>K</v>
      </c>
      <c r="J123" s="250">
        <f>A!J96</f>
        <v>6</v>
      </c>
      <c r="K123" s="315" t="str">
        <f>A!K96</f>
        <v>type,diameter</v>
      </c>
      <c r="L123" s="315"/>
      <c r="M123" s="315"/>
    </row>
    <row r="124" spans="1:13" ht="15" customHeight="1">
      <c r="A124" s="315"/>
      <c r="B124" s="315"/>
      <c r="C124" s="315"/>
      <c r="D124" s="315"/>
      <c r="E124" s="315"/>
      <c r="F124" s="315"/>
      <c r="G124" s="315" t="str">
        <f>A!G97</f>
        <v xml:space="preserve">             centerafst.</v>
      </c>
      <c r="H124" s="315"/>
      <c r="I124" s="315"/>
      <c r="J124" s="250">
        <f>A!J97</f>
        <v>150</v>
      </c>
      <c r="K124" s="315" t="str">
        <f>A!K97</f>
        <v>mm</v>
      </c>
      <c r="L124" s="315"/>
      <c r="M124" s="315"/>
    </row>
    <row r="125" spans="1:13" ht="15" customHeight="1">
      <c r="A125" s="315"/>
      <c r="B125" s="315"/>
      <c r="C125" s="315"/>
      <c r="D125" s="315"/>
      <c r="E125" s="315"/>
      <c r="F125" s="315"/>
      <c r="G125" s="315"/>
      <c r="H125" s="315" t="str">
        <f>A!H98</f>
        <v>f yk</v>
      </c>
      <c r="I125" t="s">
        <v>112</v>
      </c>
      <c r="J125" s="250">
        <f>A!J98</f>
        <v>500</v>
      </c>
      <c r="K125" s="315"/>
      <c r="L125" s="315"/>
      <c r="M125" s="315"/>
    </row>
    <row r="126" spans="1:13" ht="15" customHeight="1">
      <c r="A126" s="315"/>
      <c r="B126" s="315"/>
      <c r="C126" s="315"/>
      <c r="D126" s="315"/>
      <c r="E126" s="315"/>
      <c r="F126" s="315"/>
      <c r="G126" s="315"/>
      <c r="H126" s="315" t="str">
        <f>A!H99</f>
        <v>f ywd</v>
      </c>
      <c r="I126" t="s">
        <v>112</v>
      </c>
      <c r="J126" s="250">
        <f>A!J99</f>
        <v>416.66666666666669</v>
      </c>
      <c r="K126" s="315" t="str">
        <f>A!K99</f>
        <v>N/mm2</v>
      </c>
      <c r="L126" s="315"/>
      <c r="M126" s="315"/>
    </row>
    <row r="127" spans="1:13" ht="15" customHeight="1">
      <c r="A127" s="315"/>
      <c r="B127" s="315"/>
      <c r="C127" s="315"/>
      <c r="D127" s="315"/>
      <c r="E127" s="315"/>
      <c r="F127" s="315"/>
      <c r="G127" s="315"/>
      <c r="H127" s="325" t="str">
        <f>A!H100</f>
        <v>A s</v>
      </c>
      <c r="I127" t="s">
        <v>112</v>
      </c>
      <c r="J127" s="250">
        <f>A!J100</f>
        <v>188.4955592153876</v>
      </c>
      <c r="K127" s="315" t="str">
        <f>A!K100</f>
        <v>mm2</v>
      </c>
      <c r="L127" s="315"/>
      <c r="M127" s="315"/>
    </row>
    <row r="128" spans="1:13" ht="15" customHeight="1">
      <c r="A128" s="315"/>
      <c r="B128" s="315"/>
      <c r="C128" s="315"/>
      <c r="D128" s="315"/>
      <c r="E128" s="315"/>
      <c r="F128" s="315"/>
      <c r="G128" s="325" t="str">
        <f>A!G101</f>
        <v>sigma s</v>
      </c>
      <c r="H128" s="250" t="e">
        <f>A!H101</f>
        <v>#N/A</v>
      </c>
      <c r="I128" s="315"/>
      <c r="J128" s="315" t="str">
        <f>A!J101</f>
        <v>N/mm2</v>
      </c>
      <c r="K128" s="315" t="e">
        <f>A!K101</f>
        <v>#N/A</v>
      </c>
      <c r="L128" s="250">
        <f>A!L101</f>
        <v>416.66666666666669</v>
      </c>
      <c r="M128" s="315" t="e">
        <f>A!M101</f>
        <v>#N/A</v>
      </c>
    </row>
    <row r="129" spans="1:13" ht="15" customHeight="1">
      <c r="A129" s="315"/>
      <c r="B129" s="315"/>
      <c r="C129" s="315"/>
      <c r="D129" s="315"/>
      <c r="E129" s="315"/>
      <c r="F129" s="315"/>
      <c r="G129" s="315"/>
      <c r="H129" s="315"/>
      <c r="I129" s="315"/>
      <c r="J129" s="315"/>
      <c r="K129" s="315"/>
      <c r="L129" s="315"/>
      <c r="M129" s="315"/>
    </row>
    <row r="130" spans="1:13" ht="15" customHeight="1">
      <c r="A130" s="315"/>
      <c r="B130" s="315" t="str">
        <f>A!$B$103</f>
        <v>DORNE</v>
      </c>
      <c r="C130" s="315"/>
      <c r="D130" s="315"/>
      <c r="E130" s="315"/>
      <c r="F130" s="315"/>
      <c r="G130" s="315" t="e">
        <f>A!G103</f>
        <v>#N/A</v>
      </c>
      <c r="H130" s="315" t="str">
        <f>A!H103</f>
        <v>R2 maks</v>
      </c>
      <c r="I130" t="s">
        <v>112</v>
      </c>
      <c r="J130" s="320" t="e">
        <f>A!J103</f>
        <v>#N/A</v>
      </c>
      <c r="K130" s="315" t="str">
        <f>A!K103</f>
        <v>kN</v>
      </c>
      <c r="L130" s="315"/>
      <c r="M130" s="315"/>
    </row>
    <row r="131" spans="1:13" ht="15" customHeight="1">
      <c r="A131" s="315"/>
      <c r="B131" s="315"/>
      <c r="C131" s="56"/>
      <c r="D131" s="315"/>
      <c r="E131" s="315"/>
      <c r="F131" s="315"/>
      <c r="G131" s="315" t="e">
        <f>A!G104</f>
        <v>#N/A</v>
      </c>
      <c r="H131" s="315" t="str">
        <f>A!H104</f>
        <v>R1 maks</v>
      </c>
      <c r="I131" t="s">
        <v>112</v>
      </c>
      <c r="J131" s="320" t="e">
        <f>A!J104</f>
        <v>#N/A</v>
      </c>
      <c r="K131" s="315" t="str">
        <f>A!K104</f>
        <v>kN</v>
      </c>
      <c r="L131" s="368"/>
      <c r="M131" s="375"/>
    </row>
    <row r="132" spans="1:13" ht="15" customHeight="1">
      <c r="A132" s="315"/>
      <c r="B132" s="315"/>
      <c r="C132" s="315"/>
      <c r="D132" s="315"/>
      <c r="E132" s="315"/>
      <c r="F132" s="315"/>
      <c r="G132" s="315" t="str">
        <f>A!G105</f>
        <v>min. reaktion</v>
      </c>
      <c r="H132" s="315" t="str">
        <f>A!H105</f>
        <v>R1 min</v>
      </c>
      <c r="I132" t="s">
        <v>112</v>
      </c>
      <c r="J132" s="320" t="e">
        <f>A!J105</f>
        <v>#N/A</v>
      </c>
      <c r="K132" s="315" t="e">
        <f>A!K105</f>
        <v>#N/A</v>
      </c>
      <c r="L132" s="315" t="e">
        <f>A!L105</f>
        <v>#N/A</v>
      </c>
      <c r="M132" s="189"/>
    </row>
    <row r="133" spans="1:13" ht="15" customHeight="1">
      <c r="A133" s="315"/>
      <c r="B133" s="315"/>
      <c r="C133" s="321"/>
      <c r="D133" s="315"/>
      <c r="E133" s="241" t="str">
        <f>A!E106</f>
        <v xml:space="preserve">dornlængde  </v>
      </c>
      <c r="F133" s="322">
        <f>A!F106</f>
        <v>300</v>
      </c>
      <c r="G133" s="315" t="str">
        <f>A!G106</f>
        <v>afstand</v>
      </c>
      <c r="H133" s="315" t="str">
        <f>A!H106</f>
        <v>a3</v>
      </c>
      <c r="I133" t="s">
        <v>112</v>
      </c>
      <c r="J133" s="250">
        <f>A!J106</f>
        <v>141</v>
      </c>
      <c r="K133" s="315" t="str">
        <f>A!K106</f>
        <v>mm</v>
      </c>
      <c r="L133" s="387" t="e">
        <f>A!L106</f>
        <v>#N/A</v>
      </c>
      <c r="M133" s="315"/>
    </row>
    <row r="134" spans="1:13" ht="15" customHeight="1">
      <c r="A134" s="315"/>
      <c r="B134" s="315"/>
      <c r="C134" s="235">
        <f>A!C107</f>
        <v>50</v>
      </c>
      <c r="D134" s="315"/>
      <c r="E134" s="315"/>
      <c r="F134" s="315"/>
      <c r="G134" s="315" t="str">
        <f>A!G107</f>
        <v>afstand</v>
      </c>
      <c r="H134" s="315" t="str">
        <f>A!H107</f>
        <v>a4</v>
      </c>
      <c r="I134" t="s">
        <v>112</v>
      </c>
      <c r="J134" s="250">
        <f>A!J107</f>
        <v>94</v>
      </c>
      <c r="K134" s="315" t="str">
        <f>A!K107</f>
        <v>mm</v>
      </c>
      <c r="L134" s="323"/>
      <c r="M134" s="315"/>
    </row>
    <row r="135" spans="1:13" ht="15" customHeight="1">
      <c r="A135" s="315"/>
      <c r="B135" s="315"/>
      <c r="C135" s="324">
        <f>A!C108</f>
        <v>50</v>
      </c>
      <c r="D135" s="235">
        <f>A!D108</f>
        <v>41</v>
      </c>
      <c r="E135" s="315"/>
      <c r="F135" s="321">
        <f>A!F108</f>
        <v>80</v>
      </c>
      <c r="G135" s="212" t="str">
        <f>A!G108</f>
        <v>ophængs-</v>
      </c>
      <c r="H135" s="315" t="str">
        <f>A!H108</f>
        <v>R3</v>
      </c>
      <c r="I135" t="s">
        <v>112</v>
      </c>
      <c r="J135" s="320" t="e">
        <f>A!J108</f>
        <v>#N/A</v>
      </c>
      <c r="K135" s="315" t="str">
        <f>A!K108</f>
        <v>kN</v>
      </c>
      <c r="L135" s="315"/>
      <c r="M135" s="315"/>
    </row>
    <row r="136" spans="1:13" ht="15" customHeight="1">
      <c r="A136" s="315"/>
      <c r="B136" s="315"/>
      <c r="C136" s="322">
        <f>A!C109</f>
        <v>50</v>
      </c>
      <c r="D136" s="315"/>
      <c r="E136" s="315"/>
      <c r="F136" s="321">
        <f>A!F109</f>
        <v>30</v>
      </c>
      <c r="G136" s="212" t="str">
        <f>A!G109</f>
        <v>armering 1K8</v>
      </c>
      <c r="H136" s="315" t="str">
        <f>A!H109</f>
        <v>R4</v>
      </c>
      <c r="I136" t="s">
        <v>112</v>
      </c>
      <c r="J136" s="320" t="e">
        <f>A!J109</f>
        <v>#N/A</v>
      </c>
      <c r="K136" s="315" t="str">
        <f>A!K109</f>
        <v>kN</v>
      </c>
      <c r="L136" s="315"/>
      <c r="M136" s="315"/>
    </row>
    <row r="137" spans="1:13" ht="15" customHeight="1">
      <c r="A137" s="315"/>
      <c r="B137" s="315"/>
      <c r="C137" s="315"/>
      <c r="D137" s="315"/>
      <c r="E137" s="315" t="str">
        <f>A!E110</f>
        <v>(3)</v>
      </c>
      <c r="F137" s="315"/>
      <c r="G137" s="315" t="str">
        <f>A!$G$110</f>
        <v>2-snits arm.(3)</v>
      </c>
      <c r="H137" s="250">
        <f>A!H110</f>
        <v>1</v>
      </c>
      <c r="I137" s="315" t="str">
        <f>A!I110</f>
        <v>R3</v>
      </c>
      <c r="J137" s="250">
        <f>A!J110</f>
        <v>12</v>
      </c>
      <c r="K137" s="315" t="str">
        <f>A!K110</f>
        <v>stk,type,diameter</v>
      </c>
      <c r="L137" s="315"/>
      <c r="M137" s="315"/>
    </row>
    <row r="138" spans="1:13" ht="15" customHeight="1">
      <c r="A138" s="315"/>
      <c r="B138" s="315"/>
      <c r="C138" s="315"/>
      <c r="D138" s="315"/>
      <c r="E138" s="315"/>
      <c r="F138" s="315"/>
      <c r="G138" s="315"/>
      <c r="H138" s="315" t="str">
        <f>A!H111</f>
        <v>f yk</v>
      </c>
      <c r="I138" t="s">
        <v>112</v>
      </c>
      <c r="J138" s="250">
        <f>A!J111</f>
        <v>355</v>
      </c>
      <c r="K138" s="315" t="str">
        <f>A!K111</f>
        <v>N/mm2</v>
      </c>
      <c r="L138" s="315"/>
      <c r="M138" s="315"/>
    </row>
    <row r="139" spans="1:13" ht="15" customHeight="1">
      <c r="A139" s="315"/>
      <c r="B139" s="315"/>
      <c r="C139" s="315"/>
      <c r="D139" s="315"/>
      <c r="E139" s="315"/>
      <c r="F139" s="325" t="str">
        <f>A!F112</f>
        <v xml:space="preserve"> (4)</v>
      </c>
      <c r="G139" s="315" t="str">
        <f>A!G112</f>
        <v>h</v>
      </c>
      <c r="H139" s="315" t="str">
        <f>A!H112</f>
        <v>f yd</v>
      </c>
      <c r="I139" t="s">
        <v>112</v>
      </c>
      <c r="J139" s="250">
        <f>A!J112</f>
        <v>295.83333333333337</v>
      </c>
      <c r="K139" s="315" t="str">
        <f>A!K112</f>
        <v>N/mm2</v>
      </c>
      <c r="L139" s="315"/>
      <c r="M139" s="315"/>
    </row>
    <row r="140" spans="1:13" ht="15" customHeight="1">
      <c r="A140" s="315"/>
      <c r="B140" s="315"/>
      <c r="C140" s="315" t="e">
        <f>A!C113</f>
        <v>#N/A</v>
      </c>
      <c r="D140" s="315"/>
      <c r="E140" s="315"/>
      <c r="F140" s="315"/>
      <c r="G140" s="315"/>
      <c r="H140" s="315" t="str">
        <f>A!H113</f>
        <v>A s</v>
      </c>
      <c r="I140" t="s">
        <v>112</v>
      </c>
      <c r="J140" s="250">
        <f>A!J113</f>
        <v>226.1946710584651</v>
      </c>
      <c r="K140" s="315" t="str">
        <f>A!K113</f>
        <v>mm2</v>
      </c>
      <c r="L140" s="315"/>
      <c r="M140" s="315"/>
    </row>
    <row r="141" spans="1:13" ht="15" customHeight="1">
      <c r="A141" s="315"/>
      <c r="B141" s="315"/>
      <c r="C141" s="241"/>
      <c r="D141" s="315"/>
      <c r="E141" s="315" t="str">
        <f>A!E114</f>
        <v>R3</v>
      </c>
      <c r="F141" s="321" t="str">
        <f>A!F114</f>
        <v xml:space="preserve">R4    </v>
      </c>
      <c r="G141" s="315" t="str">
        <f>A!G114</f>
        <v>bæreevne (3)</v>
      </c>
      <c r="H141" s="320">
        <f>A!H114</f>
        <v>66.915923521462602</v>
      </c>
      <c r="I141" s="315"/>
      <c r="J141" s="315" t="str">
        <f>A!J114</f>
        <v>kN</v>
      </c>
      <c r="K141" s="315" t="e">
        <f>A!K114</f>
        <v>#N/A</v>
      </c>
      <c r="L141" s="320" t="e">
        <f>A!L114</f>
        <v>#N/A</v>
      </c>
      <c r="M141" s="315" t="e">
        <f>A!M114</f>
        <v>#N/A</v>
      </c>
    </row>
    <row r="142" spans="1:13" ht="15" customHeight="1">
      <c r="A142" s="315"/>
      <c r="B142" s="315"/>
      <c r="C142" s="315"/>
      <c r="D142" s="315"/>
      <c r="E142" s="315"/>
      <c r="F142" s="315"/>
      <c r="G142" s="315" t="str">
        <f>"dorn "&amp;+A!I117&amp;" "&amp;FIXED(DORNDIAM,0)&amp;" mm, i stålkvalitet"</f>
        <v>dorn Ø 65 mm, i stålkvalitet</v>
      </c>
      <c r="H142" s="315"/>
      <c r="I142" s="315" t="str">
        <f>A!I116</f>
        <v>S</v>
      </c>
      <c r="J142" s="315" t="str">
        <f>A!J116</f>
        <v>355</v>
      </c>
      <c r="K142" s="315" t="str">
        <f>A!K116</f>
        <v>fyk = 325 N/mm2</v>
      </c>
      <c r="L142" s="315"/>
      <c r="M142" s="315"/>
    </row>
    <row r="143" spans="1:13" ht="15" customHeight="1">
      <c r="A143" s="315"/>
      <c r="B143" s="315"/>
      <c r="C143" s="241" t="str">
        <f>A!C116</f>
        <v xml:space="preserve">   a3</v>
      </c>
      <c r="D143" s="315"/>
      <c r="E143" s="241" t="str">
        <f>A!E116</f>
        <v>a4</v>
      </c>
      <c r="F143" s="315"/>
      <c r="G143" s="315"/>
      <c r="H143" s="250" t="str">
        <f>A!H118</f>
        <v>Welast</v>
      </c>
      <c r="I143" s="315" t="str">
        <f>A!I118</f>
        <v>=</v>
      </c>
      <c r="J143" s="250">
        <f>A!J118</f>
        <v>26961.246327878031</v>
      </c>
      <c r="K143" s="315" t="str">
        <f>A!K118</f>
        <v>mm3</v>
      </c>
      <c r="L143" s="250"/>
      <c r="M143" s="315"/>
    </row>
    <row r="144" spans="1:13" ht="15" customHeight="1">
      <c r="A144" s="315"/>
      <c r="B144" s="315"/>
      <c r="C144" s="315"/>
      <c r="D144" s="315"/>
      <c r="E144" s="315"/>
      <c r="F144" s="315"/>
      <c r="G144" s="315" t="str">
        <f>A!G119</f>
        <v>stålspænding</v>
      </c>
      <c r="H144" s="250" t="e">
        <f>A!H119</f>
        <v>#N/A</v>
      </c>
      <c r="J144" s="250" t="str">
        <f>A!J119</f>
        <v>N/mm2</v>
      </c>
      <c r="K144" s="315" t="e">
        <f>A!K119</f>
        <v>#N/A</v>
      </c>
      <c r="L144" s="250">
        <f>A!L119</f>
        <v>295.45454545454544</v>
      </c>
      <c r="M144" s="315" t="e">
        <f>A!M119</f>
        <v>#N/A</v>
      </c>
    </row>
    <row r="145" spans="1:13" ht="15" customHeight="1">
      <c r="A145" s="315"/>
      <c r="B145" s="315"/>
      <c r="C145" s="315"/>
      <c r="D145" s="315"/>
      <c r="E145" s="315"/>
      <c r="F145" s="315"/>
      <c r="G145" s="315" t="str">
        <f>A!G120</f>
        <v xml:space="preserve">dornplacering </v>
      </c>
      <c r="H145" s="320" t="str">
        <f>A!H120</f>
        <v>h</v>
      </c>
      <c r="I145" s="315" t="str">
        <f>A!I120</f>
        <v>=</v>
      </c>
      <c r="J145" s="315" t="e">
        <f>A!J120</f>
        <v>#N/A</v>
      </c>
      <c r="K145" s="315" t="str">
        <f>A!K120</f>
        <v>mm</v>
      </c>
      <c r="L145" s="320"/>
      <c r="M145" s="315"/>
    </row>
    <row r="146" spans="1:13" ht="15" customHeight="1">
      <c r="A146" s="315"/>
      <c r="B146" s="315"/>
      <c r="C146" s="315"/>
      <c r="D146" s="315"/>
      <c r="E146" s="315"/>
      <c r="F146" s="315"/>
      <c r="G146" s="315" t="str">
        <f>A!G121</f>
        <v>trykspænding (4)</v>
      </c>
      <c r="H146" s="320" t="e">
        <f>A!H121</f>
        <v>#N/A</v>
      </c>
      <c r="J146" s="315" t="str">
        <f>A!J121</f>
        <v>N/mm2</v>
      </c>
      <c r="K146" s="315" t="e">
        <f>A!K121</f>
        <v>#N/A</v>
      </c>
      <c r="L146" s="320" t="e">
        <f>A!L121</f>
        <v>#N/A</v>
      </c>
      <c r="M146" s="315" t="e">
        <f>A!M121</f>
        <v>#N/A</v>
      </c>
    </row>
    <row r="147" spans="1:13" ht="15" customHeight="1">
      <c r="A147" s="315"/>
      <c r="B147" s="315"/>
      <c r="C147" s="315"/>
      <c r="D147" s="315"/>
      <c r="E147" s="315"/>
      <c r="F147" s="315"/>
      <c r="G147" t="str">
        <f>A!G122</f>
        <v>gennemlokn. V Rd</v>
      </c>
      <c r="H147" s="24" t="e">
        <f>A!H122</f>
        <v>#N/A</v>
      </c>
      <c r="J147" t="str">
        <f>A!J122</f>
        <v>kN</v>
      </c>
      <c r="K147" t="e">
        <f>A!K122</f>
        <v>#N/A</v>
      </c>
      <c r="L147" s="24" t="e">
        <f>A!L122</f>
        <v>#N/A</v>
      </c>
      <c r="M147" t="e">
        <f>A!M122</f>
        <v>#N/A</v>
      </c>
    </row>
    <row r="148" spans="1:13" ht="15" customHeight="1">
      <c r="A148" s="315"/>
      <c r="B148" s="315"/>
      <c r="C148" s="315"/>
      <c r="D148" s="315"/>
      <c r="E148" s="315"/>
      <c r="F148" s="315"/>
    </row>
    <row r="149" spans="1:13" ht="15" customHeight="1">
      <c r="A149" s="315"/>
      <c r="B149" s="315"/>
      <c r="C149" s="315"/>
      <c r="D149" s="315"/>
      <c r="E149" s="315"/>
      <c r="F149" s="315"/>
    </row>
    <row r="150" spans="1:13" ht="15" customHeight="1">
      <c r="A150" s="315"/>
      <c r="B150" s="315"/>
      <c r="C150" s="315"/>
      <c r="D150" s="315"/>
      <c r="E150" s="315"/>
      <c r="F150" s="315"/>
      <c r="G150" s="315"/>
      <c r="H150" s="315"/>
      <c r="I150" s="315"/>
      <c r="J150" s="315"/>
      <c r="K150" s="315"/>
      <c r="L150" s="315"/>
      <c r="M150" s="315"/>
    </row>
    <row r="151" spans="1:13" ht="15" customHeight="1"/>
    <row r="152" spans="1:13" ht="15" customHeight="1"/>
    <row r="153" spans="1:13" ht="15" customHeight="1"/>
    <row r="154" spans="1:13" ht="15" customHeight="1"/>
    <row r="155" spans="1:13" ht="15" customHeight="1"/>
    <row r="156" spans="1:13" ht="15" customHeight="1"/>
    <row r="157" spans="1:13" ht="15" customHeight="1"/>
    <row r="158" spans="1:13" ht="15" customHeight="1"/>
    <row r="159" spans="1:13" ht="15" customHeight="1"/>
    <row r="160" spans="1:13" ht="15" customHeight="1"/>
    <row r="161" spans="1:13" ht="15" customHeight="1"/>
    <row r="162" spans="1:13" ht="15" customHeight="1"/>
    <row r="163" spans="1:13" ht="15" customHeight="1">
      <c r="B163" t="str">
        <f>A!$B$163</f>
        <v>FAST VEDERLAG</v>
      </c>
    </row>
    <row r="164" spans="1:13" ht="15" customHeight="1">
      <c r="C164" s="56"/>
      <c r="G164" t="str">
        <f>A!G164</f>
        <v>maks. reaktion</v>
      </c>
      <c r="H164" t="e">
        <f>A!H164</f>
        <v>#N/A</v>
      </c>
      <c r="I164" t="str">
        <f>A!I164</f>
        <v>=</v>
      </c>
      <c r="J164" s="320" t="e">
        <f>A!J164</f>
        <v>#N/A</v>
      </c>
      <c r="K164" t="str">
        <f>A!K164</f>
        <v>kN jævnt fordelt på b</v>
      </c>
    </row>
    <row r="165" spans="1:13" ht="15" customHeight="1">
      <c r="G165" t="str">
        <f>A!G165</f>
        <v>min. reaktion</v>
      </c>
      <c r="H165" t="str">
        <f>A!H165</f>
        <v>R1 min</v>
      </c>
      <c r="I165" s="320" t="str">
        <f>A!I165</f>
        <v>=</v>
      </c>
      <c r="J165" s="320" t="e">
        <f>A!J165</f>
        <v>#N/A</v>
      </c>
      <c r="K165" t="e">
        <f>A!K165</f>
        <v>#N/A</v>
      </c>
      <c r="L165" s="315" t="e">
        <f>A!L165</f>
        <v>#N/A</v>
      </c>
      <c r="M165" s="189"/>
    </row>
    <row r="166" spans="1:13" ht="15" customHeight="1">
      <c r="G166" t="str">
        <f>A!G166</f>
        <v>vederlagsbredde</v>
      </c>
      <c r="H166" t="str">
        <f>A!H166</f>
        <v>b</v>
      </c>
      <c r="I166" t="str">
        <f>A!I166</f>
        <v>=</v>
      </c>
      <c r="J166" s="250" t="e">
        <f>A!J166</f>
        <v>#N/A</v>
      </c>
      <c r="K166" t="str">
        <f>A!K166</f>
        <v>mm</v>
      </c>
      <c r="L166" s="387" t="e">
        <f>A!L166</f>
        <v>#N/A</v>
      </c>
    </row>
    <row r="167" spans="1:13" ht="15" customHeight="1">
      <c r="G167" t="str">
        <f>A!G167</f>
        <v>pladetykkelse</v>
      </c>
      <c r="H167" t="str">
        <f>A!H167</f>
        <v>t</v>
      </c>
      <c r="I167" t="str">
        <f>A!I167</f>
        <v>=</v>
      </c>
      <c r="J167" s="250" t="e">
        <f>A!J167</f>
        <v>#N/A</v>
      </c>
      <c r="K167" t="str">
        <f>A!K167</f>
        <v>mm</v>
      </c>
    </row>
    <row r="168" spans="1:13" ht="15" customHeight="1">
      <c r="G168" t="str">
        <f>A!G168</f>
        <v>betonstyrke</v>
      </c>
      <c r="H168" t="str">
        <f>A!H168</f>
        <v>f ck</v>
      </c>
      <c r="I168" t="str">
        <f>A!I168</f>
        <v>=</v>
      </c>
      <c r="J168" s="250">
        <f>A!J168</f>
        <v>30</v>
      </c>
      <c r="K168" t="str">
        <f>A!K168</f>
        <v>N/mm2</v>
      </c>
    </row>
    <row r="169" spans="1:13" ht="15" customHeight="1">
      <c r="C169" s="55" t="str">
        <f>A!$C$169</f>
        <v xml:space="preserve">cl.(2)    </v>
      </c>
      <c r="F169" s="46" t="str">
        <f>A!$F$169</f>
        <v>uk.(3)</v>
      </c>
      <c r="H169" t="str">
        <f>A!H169</f>
        <v>fcd</v>
      </c>
      <c r="I169" t="str">
        <f>A!I169</f>
        <v>=</v>
      </c>
      <c r="J169" s="24">
        <f>A!J169</f>
        <v>21.428571428571431</v>
      </c>
      <c r="K169" t="str">
        <f>A!K169</f>
        <v>N/mm2</v>
      </c>
    </row>
    <row r="170" spans="1:13" ht="15" customHeight="1">
      <c r="C170" s="210" t="str">
        <f>A!$C$170</f>
        <v>(3)</v>
      </c>
      <c r="E170" s="250" t="e">
        <f>A!$E$170</f>
        <v>#N/A</v>
      </c>
      <c r="F170" s="324" t="e">
        <f>A!$F$170</f>
        <v>#N/A</v>
      </c>
      <c r="G170" s="120" t="str">
        <f>A!G170</f>
        <v>effektivitetsfaktor</v>
      </c>
      <c r="H170" s="315" t="str">
        <f>A!H170</f>
        <v>ν</v>
      </c>
      <c r="I170" t="str">
        <f>A!I170</f>
        <v>=</v>
      </c>
      <c r="J170" s="320">
        <f>A!J170</f>
        <v>0.8</v>
      </c>
      <c r="K170" s="48"/>
    </row>
    <row r="171" spans="1:13" ht="15" customHeight="1">
      <c r="C171" s="325"/>
      <c r="H171" s="315" t="str">
        <f>A!H171</f>
        <v>ν fcd</v>
      </c>
      <c r="I171" t="str">
        <f>A!I171</f>
        <v>=</v>
      </c>
      <c r="J171" s="24">
        <f>A!J171</f>
        <v>17.142857142857146</v>
      </c>
      <c r="K171" t="str">
        <f>A!K171</f>
        <v>N/mm2</v>
      </c>
    </row>
    <row r="172" spans="1:13" ht="15" customHeight="1">
      <c r="D172">
        <f>A!$D$172</f>
        <v>10</v>
      </c>
      <c r="E172" s="19"/>
      <c r="H172" t="str">
        <f>A!H172</f>
        <v xml:space="preserve">C4 = R </v>
      </c>
      <c r="I172" t="str">
        <f>A!I172</f>
        <v>=</v>
      </c>
      <c r="J172" s="320" t="e">
        <f>A!J172</f>
        <v>#N/A</v>
      </c>
      <c r="K172" t="str">
        <f>A!K172</f>
        <v>kN</v>
      </c>
    </row>
    <row r="173" spans="1:13" ht="15" customHeight="1">
      <c r="D173" s="214" t="str">
        <f>A!D173</f>
        <v>(2)</v>
      </c>
      <c r="E173" s="214" t="str">
        <f>A!E173</f>
        <v>(1)</v>
      </c>
      <c r="G173" s="120"/>
      <c r="H173" t="str">
        <f>A!H173</f>
        <v>hs</v>
      </c>
      <c r="I173" t="str">
        <f>A!I173</f>
        <v>=</v>
      </c>
      <c r="J173" s="250" t="e">
        <f>A!J173</f>
        <v>#N/A</v>
      </c>
      <c r="K173" t="str">
        <f>A!K173</f>
        <v>mm</v>
      </c>
    </row>
    <row r="174" spans="1:13" ht="15" customHeight="1">
      <c r="A174" s="46" t="e">
        <f>A!$A$174</f>
        <v>#N/A</v>
      </c>
      <c r="E174" s="62"/>
      <c r="F174" s="55"/>
      <c r="G174" t="str">
        <f>A!G174</f>
        <v>i plade (pl)</v>
      </c>
      <c r="H174" t="str">
        <f>A!H174</f>
        <v>a</v>
      </c>
      <c r="I174" t="str">
        <f>A!I174</f>
        <v>=</v>
      </c>
      <c r="J174" s="250" t="e">
        <f>A!J174</f>
        <v>#N/A</v>
      </c>
      <c r="K174" t="str">
        <f>A!K174</f>
        <v>mm</v>
      </c>
    </row>
    <row r="175" spans="1:13" ht="15" customHeight="1">
      <c r="H175" s="46" t="str">
        <f>A!H175</f>
        <v>hældning af trykstringer</v>
      </c>
      <c r="I175" t="str">
        <f>A!I175</f>
        <v>=</v>
      </c>
      <c r="J175" s="24" t="e">
        <f>A!J175</f>
        <v>#N/A</v>
      </c>
      <c r="K175" t="str">
        <f>A!K175</f>
        <v>grader</v>
      </c>
    </row>
    <row r="176" spans="1:13" ht="15" customHeight="1">
      <c r="A176" s="46" t="e">
        <f>A!$A$176</f>
        <v>#N/A</v>
      </c>
      <c r="C176" s="46"/>
      <c r="D176" s="250">
        <f>A!D176</f>
        <v>10</v>
      </c>
      <c r="H176" t="str">
        <f>A!H176</f>
        <v>h5</v>
      </c>
      <c r="I176" t="str">
        <f>A!I176</f>
        <v>=</v>
      </c>
      <c r="J176" s="250">
        <f>A!J176</f>
        <v>12</v>
      </c>
      <c r="K176" t="str">
        <f>A!K176</f>
        <v>mm</v>
      </c>
    </row>
    <row r="177" spans="1:13" ht="15" customHeight="1">
      <c r="C177" t="str">
        <f>A!$C$177</f>
        <v>R</v>
      </c>
      <c r="D177" s="250">
        <f>A!D177</f>
        <v>50</v>
      </c>
      <c r="F177" s="19"/>
      <c r="G177" s="69" t="str">
        <f>A!G177</f>
        <v>h4</v>
      </c>
      <c r="H177" t="str">
        <f>A!H177</f>
        <v>h4</v>
      </c>
      <c r="I177" t="str">
        <f>A!I177</f>
        <v>=</v>
      </c>
      <c r="J177" s="51" t="e">
        <f>A!J177</f>
        <v>#N/A</v>
      </c>
      <c r="K177" t="str">
        <f>A!K177</f>
        <v>mm</v>
      </c>
    </row>
    <row r="178" spans="1:13" ht="15" customHeight="1">
      <c r="G178" s="69" t="str">
        <f>A!G178</f>
        <v>C4</v>
      </c>
      <c r="H178" t="str">
        <f>A!H178</f>
        <v>h6</v>
      </c>
      <c r="I178" t="str">
        <f>A!I178</f>
        <v>=</v>
      </c>
      <c r="J178" s="51" t="e">
        <f>A!J178</f>
        <v>#N/A</v>
      </c>
      <c r="K178" t="str">
        <f>A!K178</f>
        <v>mm</v>
      </c>
    </row>
    <row r="179" spans="1:13" ht="15" customHeight="1">
      <c r="C179" s="325"/>
      <c r="H179" t="str">
        <f>A!H179</f>
        <v>C5</v>
      </c>
      <c r="I179" t="str">
        <f>A!I179</f>
        <v>=</v>
      </c>
      <c r="J179" s="24" t="e">
        <f>A!J179</f>
        <v>#N/A</v>
      </c>
      <c r="K179" t="str">
        <f>A!K179</f>
        <v>kN</v>
      </c>
      <c r="L179" t="str">
        <f>A!L179</f>
        <v>modhold</v>
      </c>
    </row>
    <row r="180" spans="1:13" ht="15" customHeight="1">
      <c r="G180" s="19" t="str">
        <f>A!G180</f>
        <v>C5</v>
      </c>
      <c r="H180" t="str">
        <f>A!H180</f>
        <v>C6</v>
      </c>
      <c r="I180" t="str">
        <f>A!I180</f>
        <v>=</v>
      </c>
      <c r="J180" s="24" t="e">
        <f>A!J180</f>
        <v>#N/A</v>
      </c>
      <c r="K180" t="str">
        <f>A!K180</f>
        <v>kN</v>
      </c>
    </row>
    <row r="181" spans="1:13" ht="15" customHeight="1">
      <c r="B181" s="209"/>
      <c r="C181" s="209"/>
      <c r="D181" s="209"/>
      <c r="E181" s="209"/>
      <c r="F181" s="209"/>
      <c r="G181" s="376" t="str">
        <f>A!G181</f>
        <v>h5</v>
      </c>
      <c r="H181" s="209" t="str">
        <f>A!H181</f>
        <v>σcknude</v>
      </c>
      <c r="I181" t="str">
        <f>A!I181</f>
        <v>=</v>
      </c>
      <c r="J181" s="218" t="e">
        <f>A!J181</f>
        <v>#N/A</v>
      </c>
      <c r="K181" s="209" t="str">
        <f>A!K181</f>
        <v>N/mm2</v>
      </c>
      <c r="L181" s="209"/>
      <c r="M181" s="217" t="e">
        <f>A!M181</f>
        <v>#N/A</v>
      </c>
    </row>
    <row r="182" spans="1:13" ht="15" customHeight="1">
      <c r="B182" s="19"/>
      <c r="D182" s="19" t="str">
        <f>A!D182</f>
        <v>a</v>
      </c>
      <c r="E182" s="19" t="str">
        <f>A!E182</f>
        <v>hs</v>
      </c>
      <c r="F182" s="69" t="str">
        <f>A!F182</f>
        <v>t</v>
      </c>
      <c r="G182" t="str">
        <f>A!G182</f>
        <v>C6</v>
      </c>
    </row>
    <row r="183" spans="1:13" ht="15" customHeight="1">
      <c r="C183" s="46"/>
      <c r="E183" s="19"/>
      <c r="F183" s="46" t="str">
        <f>A!F183</f>
        <v>h6</v>
      </c>
      <c r="G183" s="46"/>
    </row>
    <row r="184" spans="1:13" ht="15" customHeight="1">
      <c r="A184" s="235" t="e">
        <f>A!$A$184</f>
        <v>#N/A</v>
      </c>
      <c r="C184" s="46"/>
      <c r="F184" s="46"/>
    </row>
    <row r="185" spans="1:13" ht="15" customHeight="1">
      <c r="C185" s="46"/>
    </row>
    <row r="186" spans="1:13" ht="15" customHeight="1">
      <c r="C186" s="324" t="e">
        <f>A!$C$186</f>
        <v>#N/A</v>
      </c>
    </row>
    <row r="187" spans="1:13" ht="15" customHeight="1">
      <c r="F187" t="str">
        <f>A!F187</f>
        <v>armering</v>
      </c>
      <c r="G187" t="str">
        <f>A!G187</f>
        <v>i "knast" (1)</v>
      </c>
      <c r="H187" s="250" t="e">
        <f>A!H187</f>
        <v>#N/A</v>
      </c>
      <c r="I187" s="315" t="str">
        <f>A!I187</f>
        <v>K</v>
      </c>
      <c r="J187" s="250">
        <f>A!J187</f>
        <v>8</v>
      </c>
      <c r="K187" t="str">
        <f>A!K187</f>
        <v>stk,type,diameter</v>
      </c>
    </row>
    <row r="188" spans="1:13" ht="15" customHeight="1">
      <c r="B188" s="220"/>
      <c r="G188" s="46"/>
      <c r="H188" s="55" t="str">
        <f>A!H188</f>
        <v>fyk</v>
      </c>
      <c r="I188" t="str">
        <f>A!I188</f>
        <v>=</v>
      </c>
      <c r="J188" s="51">
        <f>A!J188</f>
        <v>500</v>
      </c>
      <c r="K188" t="str">
        <f>A!K188</f>
        <v>N/mm2</v>
      </c>
    </row>
    <row r="189" spans="1:13" ht="15" customHeight="1">
      <c r="A189" s="209"/>
      <c r="B189" s="220"/>
      <c r="E189" s="214" t="str">
        <f>A!$E$189</f>
        <v>(1)</v>
      </c>
      <c r="G189" s="46"/>
      <c r="H189" s="55" t="str">
        <f>A!H189</f>
        <v>f yd</v>
      </c>
      <c r="I189" t="str">
        <f>A!I189</f>
        <v>=</v>
      </c>
      <c r="J189" s="51">
        <f>A!J189</f>
        <v>416.66666666666669</v>
      </c>
      <c r="K189" t="str">
        <f>A!K189</f>
        <v>N/mm2</v>
      </c>
    </row>
    <row r="190" spans="1:13" ht="15" customHeight="1">
      <c r="B190" s="220"/>
      <c r="E190" s="62"/>
      <c r="F190" s="166"/>
      <c r="G190" s="46"/>
      <c r="H190" s="55" t="str">
        <f>A!H190</f>
        <v>As(1)</v>
      </c>
      <c r="I190" t="str">
        <f>A!I190</f>
        <v>=</v>
      </c>
      <c r="J190" s="51" t="e">
        <f>A!J190</f>
        <v>#N/A</v>
      </c>
      <c r="K190" t="str">
        <f>A!K190</f>
        <v>mm2</v>
      </c>
    </row>
    <row r="191" spans="1:13" ht="15" customHeight="1">
      <c r="F191" s="120" t="e">
        <f>A!$F$191</f>
        <v>#N/A</v>
      </c>
      <c r="G191" s="46" t="str">
        <f>A!$G$191</f>
        <v>F Rd(1) =</v>
      </c>
      <c r="H191" s="24" t="e">
        <f>A!H191</f>
        <v>#N/A</v>
      </c>
      <c r="J191" t="str">
        <f>A!J191</f>
        <v>kN</v>
      </c>
      <c r="K191" t="e">
        <f>A!K191</f>
        <v>#N/A</v>
      </c>
      <c r="L191" s="24" t="e">
        <f>A!L191</f>
        <v>#N/A</v>
      </c>
      <c r="M191" t="e">
        <f>A!M191</f>
        <v>#N/A</v>
      </c>
    </row>
    <row r="192" spans="1:13" ht="15" customHeight="1">
      <c r="A192" s="235"/>
    </row>
    <row r="193" spans="3:13" ht="15" customHeight="1">
      <c r="C193" s="24" t="e">
        <f>A!C193</f>
        <v>#N/A</v>
      </c>
      <c r="D193" t="str">
        <f>A!D193</f>
        <v>kN/m</v>
      </c>
      <c r="E193" s="55"/>
      <c r="G193" t="str">
        <f>A!$G$193</f>
        <v>Forankring af hovedarmering (pl)</v>
      </c>
    </row>
    <row r="194" spans="3:13" ht="15" customHeight="1">
      <c r="C194" s="210"/>
    </row>
    <row r="195" spans="3:13" ht="15" customHeight="1">
      <c r="C195" s="325"/>
    </row>
    <row r="196" spans="3:13" ht="15" customHeight="1">
      <c r="E196" s="19"/>
    </row>
    <row r="197" spans="3:13" ht="15" customHeight="1">
      <c r="D197" s="214"/>
      <c r="E197" s="214"/>
      <c r="F197" s="111" t="e">
        <f>A!$F$197</f>
        <v>#N/A</v>
      </c>
    </row>
    <row r="198" spans="3:13" ht="15" customHeight="1">
      <c r="E198" s="62" t="s">
        <v>125</v>
      </c>
      <c r="F198" s="55"/>
      <c r="H198" t="str">
        <f>A!H198</f>
        <v>F</v>
      </c>
      <c r="I198" t="str">
        <f>A!I198</f>
        <v>=</v>
      </c>
      <c r="J198" s="110" t="e">
        <f>A!J198</f>
        <v>#N/A</v>
      </c>
      <c r="K198" t="str">
        <f>A!K198</f>
        <v>kN</v>
      </c>
    </row>
    <row r="199" spans="3:13" ht="15" customHeight="1">
      <c r="F199" s="377" t="e">
        <f>A!F199</f>
        <v>#N/A</v>
      </c>
    </row>
    <row r="200" spans="3:13" ht="15" customHeight="1">
      <c r="C200" t="str">
        <f>A!$C$200</f>
        <v>R</v>
      </c>
    </row>
    <row r="201" spans="3:13" ht="15" customHeight="1">
      <c r="D201" s="111"/>
      <c r="F201" s="225" t="e">
        <f>A!F202</f>
        <v>#N/A</v>
      </c>
    </row>
    <row r="202" spans="3:13" ht="15" customHeight="1">
      <c r="C202" s="226" t="e">
        <f>A!$C$202</f>
        <v>#N/A</v>
      </c>
      <c r="F202" s="225" t="e">
        <f>A!F201</f>
        <v>#N/A</v>
      </c>
    </row>
    <row r="203" spans="3:13" ht="15" customHeight="1"/>
    <row r="204" spans="3:13" ht="15" customHeight="1">
      <c r="F204" t="str">
        <f>A!F204</f>
        <v>armering</v>
      </c>
      <c r="G204" t="str">
        <f>A!G204</f>
        <v>v.knast"rod"(2)</v>
      </c>
      <c r="H204" s="250" t="e">
        <f>A!H187</f>
        <v>#N/A</v>
      </c>
      <c r="I204" s="315" t="str">
        <f>A!I187</f>
        <v>K</v>
      </c>
      <c r="J204" s="250">
        <f>A!J187</f>
        <v>8</v>
      </c>
      <c r="K204" t="str">
        <f>A!K187</f>
        <v>stk,type,diameter</v>
      </c>
    </row>
    <row r="205" spans="3:13" ht="15" customHeight="1">
      <c r="H205" s="55" t="str">
        <f>A!H188</f>
        <v>fyk</v>
      </c>
      <c r="I205" t="str">
        <f>A!I188</f>
        <v>=</v>
      </c>
      <c r="J205" s="51">
        <f>A!J188</f>
        <v>500</v>
      </c>
      <c r="K205" t="str">
        <f>A!K188</f>
        <v>N/mm2</v>
      </c>
    </row>
    <row r="206" spans="3:13" ht="15" customHeight="1">
      <c r="H206" s="55" t="str">
        <f>A!H189</f>
        <v>f yd</v>
      </c>
      <c r="I206" t="str">
        <f>A!I189</f>
        <v>=</v>
      </c>
      <c r="J206" s="51">
        <f>A!J189</f>
        <v>416.66666666666669</v>
      </c>
      <c r="K206" t="str">
        <f>A!K189</f>
        <v>N/mm2</v>
      </c>
    </row>
    <row r="207" spans="3:13" ht="15" customHeight="1">
      <c r="C207" s="55" t="e">
        <f>A!C207</f>
        <v>#N/A</v>
      </c>
      <c r="F207" s="227" t="str">
        <f>A!$E$189</f>
        <v>(1)</v>
      </c>
      <c r="H207" s="55" t="str">
        <f>A!H190</f>
        <v>As(1)</v>
      </c>
      <c r="I207" t="str">
        <f>A!I190</f>
        <v>=</v>
      </c>
      <c r="J207" s="51" t="e">
        <f>A!J190</f>
        <v>#N/A</v>
      </c>
      <c r="K207" t="str">
        <f>A!K190</f>
        <v>mm2</v>
      </c>
    </row>
    <row r="208" spans="3:13" ht="15" customHeight="1">
      <c r="G208" s="46" t="str">
        <f>A!$G$208</f>
        <v>F Rd(2) =</v>
      </c>
      <c r="H208" s="24" t="e">
        <f>A!H191</f>
        <v>#N/A</v>
      </c>
      <c r="J208" t="str">
        <f>A!J191</f>
        <v>kN</v>
      </c>
      <c r="K208" t="e">
        <f>A!K191</f>
        <v>#N/A</v>
      </c>
      <c r="L208" s="24" t="e">
        <f>A!L191</f>
        <v>#N/A</v>
      </c>
      <c r="M208" t="e">
        <f>A!M191</f>
        <v>#N/A</v>
      </c>
    </row>
    <row r="209" spans="2:13" ht="15" customHeight="1">
      <c r="K209" t="e">
        <f>A!K209</f>
        <v>#N/A</v>
      </c>
      <c r="L209" s="110" t="e">
        <f>A!L209</f>
        <v>#N/A</v>
      </c>
      <c r="M209" t="e">
        <f>A!M209</f>
        <v>#N/A</v>
      </c>
    </row>
    <row r="210" spans="2:13" ht="15" customHeight="1">
      <c r="F210" s="55" t="e">
        <f>A!$F$210</f>
        <v>#N/A</v>
      </c>
    </row>
    <row r="211" spans="2:13" ht="15" customHeight="1"/>
    <row r="212" spans="2:13" ht="15" customHeight="1">
      <c r="F212" t="str">
        <f>A!F212</f>
        <v>armering</v>
      </c>
      <c r="G212" t="str">
        <f>A!G212</f>
        <v>i plade udfor b</v>
      </c>
      <c r="H212" s="19" t="str">
        <f>A!H212</f>
        <v xml:space="preserve">     8 mm pr</v>
      </c>
      <c r="J212" s="321">
        <f>A!J212</f>
        <v>150</v>
      </c>
      <c r="K212" t="str">
        <f>A!K212</f>
        <v>svejst net</v>
      </c>
      <c r="M212" s="19"/>
    </row>
    <row r="213" spans="2:13" ht="15" customHeight="1">
      <c r="B213" s="220"/>
      <c r="G213" s="46" t="str">
        <f>A!G213</f>
        <v>suppleret med</v>
      </c>
      <c r="H213" s="378" t="e">
        <f>A!H213</f>
        <v>#N/A</v>
      </c>
      <c r="I213" s="315" t="str">
        <f>A!I213</f>
        <v>K</v>
      </c>
      <c r="J213" s="250" t="e">
        <f>A!J213</f>
        <v>#N/A</v>
      </c>
      <c r="K213" t="str">
        <f>A!K213</f>
        <v>stk,type,diameter</v>
      </c>
    </row>
    <row r="214" spans="2:13" ht="15" customHeight="1">
      <c r="H214" s="55" t="str">
        <f>A!H214</f>
        <v>fyk</v>
      </c>
      <c r="I214" t="str">
        <f>A!I214</f>
        <v>=</v>
      </c>
      <c r="J214" s="51">
        <f>A!J214</f>
        <v>500</v>
      </c>
      <c r="K214" t="str">
        <f>A!K214</f>
        <v>N/mm2</v>
      </c>
    </row>
    <row r="215" spans="2:13" ht="15" customHeight="1">
      <c r="H215" s="55" t="str">
        <f>A!H215</f>
        <v>f yd</v>
      </c>
      <c r="I215" t="str">
        <f>A!I215</f>
        <v>=</v>
      </c>
      <c r="J215" s="51">
        <f>A!J215</f>
        <v>416.66666666666669</v>
      </c>
      <c r="K215" t="str">
        <f>A!K215</f>
        <v>N/mm2</v>
      </c>
    </row>
    <row r="216" spans="2:13" ht="15" customHeight="1">
      <c r="H216" t="str">
        <f>A!H216</f>
        <v>As(pl)</v>
      </c>
      <c r="I216" t="str">
        <f>A!I216</f>
        <v>=</v>
      </c>
      <c r="J216" s="51" t="e">
        <f>A!J216</f>
        <v>#N/A</v>
      </c>
      <c r="K216" t="str">
        <f>A!K216</f>
        <v>mm2</v>
      </c>
    </row>
    <row r="217" spans="2:13" ht="15" customHeight="1">
      <c r="G217" s="46" t="str">
        <f>A!$G$217</f>
        <v>F Rd(pl) =</v>
      </c>
      <c r="H217" s="24" t="e">
        <f>A!H217</f>
        <v>#N/A</v>
      </c>
      <c r="J217" t="str">
        <f>A!J217</f>
        <v>kN</v>
      </c>
      <c r="K217" t="e">
        <f>A!K217</f>
        <v>#N/A</v>
      </c>
      <c r="L217" s="24" t="e">
        <f>A!L217</f>
        <v>#N/A</v>
      </c>
      <c r="M217" t="e">
        <f>A!M217</f>
        <v>#N/A</v>
      </c>
    </row>
    <row r="218" spans="2:13" ht="15" customHeight="1"/>
    <row r="219" spans="2:13" ht="15" customHeight="1"/>
    <row r="220" spans="2:13" ht="15" customHeight="1"/>
    <row r="221" spans="2:13" ht="15" customHeight="1"/>
    <row r="222" spans="2:13" ht="15" customHeight="1">
      <c r="F222" t="str">
        <f>A!F222</f>
        <v>armering</v>
      </c>
      <c r="G222" t="str">
        <f>A!G222</f>
        <v>i "knast" (1)</v>
      </c>
      <c r="H222" s="250" t="e">
        <f>A!H222</f>
        <v>#N/A</v>
      </c>
      <c r="I222" s="315" t="str">
        <f>A!I222</f>
        <v>K</v>
      </c>
      <c r="J222" s="250">
        <f>A!J222</f>
        <v>8</v>
      </c>
      <c r="K222" t="str">
        <f>A!K222</f>
        <v>stk,type,diameter</v>
      </c>
    </row>
    <row r="223" spans="2:13" ht="15" customHeight="1">
      <c r="F223" s="168"/>
      <c r="G223" s="46" t="str">
        <f>A!G223</f>
        <v>F Rd(1) =</v>
      </c>
      <c r="H223" s="24" t="e">
        <f>A!H223</f>
        <v>#N/A</v>
      </c>
      <c r="J223" t="str">
        <f>A!J223</f>
        <v>kN</v>
      </c>
      <c r="K223" t="e">
        <f>A!K223</f>
        <v>#N/A</v>
      </c>
      <c r="L223" s="24" t="e">
        <f>A!L223</f>
        <v>#N/A</v>
      </c>
      <c r="M223" t="e">
        <f>A!M223</f>
        <v>#N/A</v>
      </c>
    </row>
    <row r="224" spans="2:13" ht="15" customHeight="1">
      <c r="E224" s="214"/>
      <c r="G224" s="46" t="str">
        <f>A!G224</f>
        <v>benlængde(1) =</v>
      </c>
      <c r="H224" s="51" t="e">
        <f>A!H224</f>
        <v>#N/A</v>
      </c>
      <c r="J224" s="51" t="str">
        <f>A!J224</f>
        <v>mm</v>
      </c>
    </row>
    <row r="225" spans="2:13" ht="15" customHeight="1">
      <c r="F225" s="166"/>
      <c r="G225" s="55" t="str">
        <f>A!G225</f>
        <v>v.knast"rod"(2)</v>
      </c>
      <c r="H225" s="90" t="e">
        <f>A!H225</f>
        <v>#N/A</v>
      </c>
      <c r="I225" t="str">
        <f>A!I225</f>
        <v>K</v>
      </c>
      <c r="J225" s="51">
        <f>A!J225</f>
        <v>8</v>
      </c>
    </row>
    <row r="226" spans="2:13" ht="15" customHeight="1">
      <c r="G226" t="str">
        <f>A!G226</f>
        <v>F Rd(2) =</v>
      </c>
      <c r="H226" s="24" t="e">
        <f>A!H226</f>
        <v>#N/A</v>
      </c>
      <c r="J226" t="str">
        <f>A!J226</f>
        <v>kN</v>
      </c>
      <c r="K226" t="e">
        <f>A!K226</f>
        <v>#N/A</v>
      </c>
      <c r="L226" s="24" t="e">
        <f>A!L226</f>
        <v>#N/A</v>
      </c>
      <c r="M226" t="e">
        <f>A!M226</f>
        <v>#N/A</v>
      </c>
    </row>
    <row r="227" spans="2:13" ht="15" customHeight="1">
      <c r="D227" t="str">
        <f>A!$D$227</f>
        <v>benlængde</v>
      </c>
      <c r="G227" t="str">
        <f>A!G227</f>
        <v xml:space="preserve">     "   for forankring(pl)</v>
      </c>
      <c r="K227" t="e">
        <f>A!K227</f>
        <v>#N/A</v>
      </c>
      <c r="L227" s="24" t="e">
        <f>A!L227</f>
        <v>#N/A</v>
      </c>
      <c r="M227" t="e">
        <f>A!M227</f>
        <v>#N/A</v>
      </c>
    </row>
    <row r="228" spans="2:13" ht="15" customHeight="1">
      <c r="G228" s="46" t="str">
        <f>A!G228</f>
        <v>benlængde(2) =</v>
      </c>
      <c r="H228" t="e">
        <f>A!H228</f>
        <v>#N/A</v>
      </c>
      <c r="J228" t="str">
        <f>A!J228</f>
        <v>mm</v>
      </c>
    </row>
    <row r="229" spans="2:13" ht="15" customHeight="1">
      <c r="G229" s="46" t="str">
        <f>A!G229</f>
        <v>højde U-bjl(2) =</v>
      </c>
      <c r="H229" t="e">
        <f>A!H229</f>
        <v>#N/A</v>
      </c>
      <c r="J229" t="str">
        <f>A!J229</f>
        <v>mm</v>
      </c>
    </row>
    <row r="230" spans="2:13" ht="15" customHeight="1"/>
    <row r="231" spans="2:13">
      <c r="B231" s="220"/>
    </row>
    <row r="232" spans="2:13">
      <c r="B232" s="220"/>
    </row>
    <row r="233" spans="2:13">
      <c r="B233" s="220"/>
    </row>
    <row r="245" spans="1:13" ht="15" customHeight="1"/>
    <row r="246" spans="1:13" ht="15" customHeight="1"/>
    <row r="247" spans="1:13" ht="15" customHeight="1"/>
    <row r="248" spans="1:13" ht="15" customHeight="1"/>
    <row r="251" spans="1:13">
      <c r="A251" s="315"/>
      <c r="B251" s="315" t="str">
        <f>A!B352</f>
        <v>FAST VEDERLAG</v>
      </c>
      <c r="C251" s="315"/>
      <c r="D251" s="315"/>
      <c r="E251" s="315"/>
      <c r="F251" s="315"/>
      <c r="G251" s="315"/>
      <c r="H251" s="315"/>
      <c r="I251" s="315"/>
      <c r="J251" s="315"/>
      <c r="K251" s="315"/>
      <c r="L251" s="315"/>
      <c r="M251" s="315"/>
    </row>
    <row r="252" spans="1:13" ht="15.75">
      <c r="A252" s="315"/>
      <c r="B252" s="315"/>
      <c r="C252" s="56"/>
      <c r="D252" s="315"/>
      <c r="E252" s="315"/>
      <c r="F252" s="315"/>
      <c r="G252" s="315" t="e">
        <f>A!G353</f>
        <v>#N/A</v>
      </c>
      <c r="H252" s="315" t="str">
        <f>A!H353</f>
        <v>R2 maks</v>
      </c>
      <c r="I252" t="str">
        <f>A!I353</f>
        <v>=</v>
      </c>
      <c r="J252" s="320" t="e">
        <f>A!J353</f>
        <v>#N/A</v>
      </c>
      <c r="K252" s="315" t="str">
        <f>A!K353</f>
        <v>kN</v>
      </c>
      <c r="L252" s="315"/>
      <c r="M252" s="315"/>
    </row>
    <row r="253" spans="1:13" ht="15.75">
      <c r="A253" s="315"/>
      <c r="B253" s="315"/>
      <c r="C253" s="315"/>
      <c r="D253" s="315"/>
      <c r="E253" s="315"/>
      <c r="F253" s="315"/>
      <c r="G253" s="315" t="e">
        <f>A!G354</f>
        <v>#N/A</v>
      </c>
      <c r="H253" s="315" t="str">
        <f>A!H354</f>
        <v>R1 maks</v>
      </c>
      <c r="I253" t="str">
        <f>A!I354</f>
        <v>=</v>
      </c>
      <c r="J253" s="320" t="e">
        <f>A!J354</f>
        <v>#N/A</v>
      </c>
      <c r="K253" s="315" t="str">
        <f>A!K354</f>
        <v>kN</v>
      </c>
      <c r="L253" s="387" t="e">
        <f>A!L354</f>
        <v>#N/A</v>
      </c>
      <c r="M253" s="315"/>
    </row>
    <row r="254" spans="1:13" ht="15.75">
      <c r="A254" s="315"/>
      <c r="B254" s="315"/>
      <c r="C254" s="315"/>
      <c r="D254" s="315"/>
      <c r="E254" s="315"/>
      <c r="F254" s="315"/>
      <c r="G254" s="315" t="str">
        <f>A!G355</f>
        <v>min. reaktion</v>
      </c>
      <c r="H254" s="315" t="str">
        <f>A!H355</f>
        <v>R1 min</v>
      </c>
      <c r="I254" s="320" t="str">
        <f>A!I355</f>
        <v>=</v>
      </c>
      <c r="J254" s="320" t="e">
        <f>A!J355</f>
        <v>#N/A</v>
      </c>
      <c r="K254" s="315" t="e">
        <f>A!K355</f>
        <v>#N/A</v>
      </c>
      <c r="L254" s="315" t="e">
        <f>A!L355</f>
        <v>#N/A</v>
      </c>
      <c r="M254" s="189"/>
    </row>
    <row r="255" spans="1:13">
      <c r="A255" s="315"/>
      <c r="B255" s="315"/>
      <c r="C255" s="315"/>
      <c r="D255" s="315"/>
      <c r="E255" s="315"/>
      <c r="F255" s="315"/>
      <c r="G255" s="315" t="str">
        <f>A!G382</f>
        <v>effektiv højde</v>
      </c>
      <c r="H255" s="315" t="str">
        <f>A!H382</f>
        <v>d</v>
      </c>
      <c r="I255" t="str">
        <f>A!I382</f>
        <v>=</v>
      </c>
      <c r="J255" s="250" t="e">
        <f>A!J382</f>
        <v>#N/A</v>
      </c>
      <c r="K255" s="315" t="str">
        <f>A!K382</f>
        <v>mm</v>
      </c>
      <c r="L255" s="315"/>
      <c r="M255" s="315"/>
    </row>
    <row r="256" spans="1:13" ht="15" customHeight="1">
      <c r="A256" s="315"/>
      <c r="B256" s="315"/>
      <c r="C256" s="315"/>
      <c r="D256" s="315"/>
      <c r="E256" s="315"/>
      <c r="F256" s="315"/>
      <c r="G256" s="315" t="str">
        <f>A!G383</f>
        <v>vederlagsbredde</v>
      </c>
      <c r="H256" s="315" t="str">
        <f>A!H383</f>
        <v>b</v>
      </c>
      <c r="I256" t="str">
        <f>A!I383</f>
        <v>=</v>
      </c>
      <c r="J256" s="250" t="e">
        <f>A!J383</f>
        <v>#N/A</v>
      </c>
      <c r="K256" s="315" t="str">
        <f>A!K383</f>
        <v>mm</v>
      </c>
      <c r="L256" s="315"/>
      <c r="M256" s="315"/>
    </row>
    <row r="257" spans="1:13" ht="15" customHeight="1">
      <c r="A257" s="315"/>
      <c r="B257" s="315"/>
      <c r="C257" s="315"/>
      <c r="D257" s="315"/>
      <c r="E257" s="315"/>
      <c r="F257" s="315"/>
      <c r="G257" s="315" t="str">
        <f>A!G384</f>
        <v>betonstyrke</v>
      </c>
      <c r="H257" s="315" t="str">
        <f>A!H384</f>
        <v>f ck</v>
      </c>
      <c r="I257" t="str">
        <f>A!I384</f>
        <v>=</v>
      </c>
      <c r="J257" s="250">
        <f>A!J384</f>
        <v>30</v>
      </c>
      <c r="K257" s="315" t="str">
        <f>A!K384</f>
        <v>N/mm2</v>
      </c>
      <c r="L257" s="315"/>
      <c r="M257" s="315"/>
    </row>
    <row r="258" spans="1:13" ht="15" customHeight="1">
      <c r="A258" s="315"/>
      <c r="B258" s="315"/>
      <c r="C258" s="315"/>
      <c r="D258" s="315"/>
      <c r="E258" s="315"/>
      <c r="F258" s="315"/>
      <c r="G258" s="315"/>
      <c r="H258" s="315" t="str">
        <f>A!H385</f>
        <v>f cd</v>
      </c>
      <c r="I258" t="str">
        <f>A!I385</f>
        <v>=</v>
      </c>
      <c r="J258" s="320">
        <f>A!J385</f>
        <v>21.428571428571431</v>
      </c>
      <c r="K258" s="315" t="str">
        <f>A!K385</f>
        <v>N/mm2</v>
      </c>
      <c r="L258" s="315"/>
      <c r="M258" s="315"/>
    </row>
    <row r="259" spans="1:13" ht="15" customHeight="1">
      <c r="A259" s="315"/>
      <c r="B259" s="315"/>
      <c r="C259" s="315"/>
      <c r="D259" s="315"/>
      <c r="E259" s="315"/>
      <c r="F259" s="315"/>
      <c r="G259" s="315" t="str">
        <f>A!G386</f>
        <v>hovedarmering</v>
      </c>
      <c r="H259" s="321" t="str">
        <f>A!H386</f>
        <v xml:space="preserve">     8 mm pr</v>
      </c>
      <c r="I259" s="315"/>
      <c r="J259" s="321">
        <f>A!J386</f>
        <v>150</v>
      </c>
      <c r="K259" s="315" t="str">
        <f>A!K386</f>
        <v>svejst net</v>
      </c>
      <c r="L259" s="315"/>
      <c r="M259" s="315"/>
    </row>
    <row r="260" spans="1:13">
      <c r="A260" s="315"/>
      <c r="B260" s="315"/>
      <c r="C260" s="315"/>
      <c r="D260" s="315"/>
      <c r="E260" s="315"/>
      <c r="F260" s="315"/>
      <c r="G260" s="241" t="str">
        <f>A!G387</f>
        <v>suppleret med</v>
      </c>
      <c r="H260" s="250" t="e">
        <f>A!H387</f>
        <v>#N/A</v>
      </c>
      <c r="I260" s="250" t="str">
        <f>A!I387</f>
        <v>K</v>
      </c>
      <c r="J260" s="250" t="e">
        <f>A!J387</f>
        <v>#N/A</v>
      </c>
      <c r="K260" s="315" t="str">
        <f>A!K387</f>
        <v>stk,type,diameter</v>
      </c>
      <c r="L260" s="315"/>
      <c r="M260" s="315"/>
    </row>
    <row r="261" spans="1:13">
      <c r="H261" s="315" t="str">
        <f>A!H388</f>
        <v>f  yk</v>
      </c>
      <c r="I261" t="str">
        <f>A!I388</f>
        <v>=</v>
      </c>
      <c r="J261" s="315">
        <f>A!J388</f>
        <v>500</v>
      </c>
      <c r="K261" s="315" t="str">
        <f>A!K388</f>
        <v>N/mm2</v>
      </c>
      <c r="L261" s="315"/>
      <c r="M261" s="315"/>
    </row>
    <row r="262" spans="1:13">
      <c r="H262" s="315" t="str">
        <f>A!H389</f>
        <v>f  yd</v>
      </c>
      <c r="I262" t="str">
        <f>A!I389</f>
        <v>=</v>
      </c>
      <c r="J262" s="250">
        <f>A!J389</f>
        <v>416.66666666666669</v>
      </c>
      <c r="K262" s="315" t="str">
        <f>A!K389</f>
        <v>N/mm2</v>
      </c>
      <c r="L262" s="315"/>
      <c r="M262" s="315"/>
    </row>
    <row r="263" spans="1:13">
      <c r="H263" s="315" t="str">
        <f>A!H390</f>
        <v>A s</v>
      </c>
      <c r="I263" t="str">
        <f>A!I390</f>
        <v>=</v>
      </c>
      <c r="J263" s="250" t="e">
        <f>A!J390</f>
        <v>#N/A</v>
      </c>
      <c r="K263" s="315" t="str">
        <f>A!K390</f>
        <v>mm2</v>
      </c>
      <c r="L263" s="315"/>
      <c r="M263" s="315"/>
    </row>
    <row r="264" spans="1:13">
      <c r="A264" s="321" t="str">
        <f>A!A391</f>
        <v>dæklag på</v>
      </c>
      <c r="G264" s="315" t="str">
        <f>A!G391</f>
        <v>basisforankr.lgd.</v>
      </c>
      <c r="H264" s="315" t="str">
        <f>A!H391</f>
        <v>l b,rqd</v>
      </c>
      <c r="I264" s="315"/>
      <c r="J264" s="250" t="e">
        <f>A!J391</f>
        <v>#N/A</v>
      </c>
      <c r="K264" s="315" t="str">
        <f>A!K391</f>
        <v>mm</v>
      </c>
      <c r="L264" s="315"/>
      <c r="M264" s="315"/>
    </row>
    <row r="265" spans="1:13">
      <c r="A265" s="321" t="str">
        <f>A!A392</f>
        <v>hovedarm.</v>
      </c>
      <c r="G265" s="315" t="str">
        <f>A!G392</f>
        <v>U-bøjler</v>
      </c>
      <c r="H265" s="250" t="e">
        <f>A!H392</f>
        <v>#N/A</v>
      </c>
      <c r="I265" s="315" t="str">
        <f>A!I392</f>
        <v>K</v>
      </c>
      <c r="J265" s="250" t="e">
        <f>A!J392</f>
        <v>#N/A</v>
      </c>
      <c r="K265" s="315" t="str">
        <f>A!K392</f>
        <v>stk,type,diameter</v>
      </c>
      <c r="L265" s="315"/>
      <c r="M265" s="315"/>
    </row>
    <row r="266" spans="1:13">
      <c r="A266" s="315" t="e">
        <f>A!A393</f>
        <v>#N/A</v>
      </c>
      <c r="B266" s="315" t="e">
        <v>#VALUE!</v>
      </c>
      <c r="C266" s="46" t="str">
        <f>A!C392</f>
        <v>R</v>
      </c>
      <c r="G266" t="e">
        <f>A!G393</f>
        <v>#N/A</v>
      </c>
      <c r="J266" s="250" t="e">
        <f>A!J393</f>
        <v>#N/A</v>
      </c>
      <c r="K266" s="315" t="str">
        <f>A!K393</f>
        <v>mm bukkediameter</v>
      </c>
      <c r="L266" s="315"/>
      <c r="M266" s="315"/>
    </row>
    <row r="267" spans="1:13">
      <c r="G267" s="315"/>
      <c r="H267" s="241" t="str">
        <f>A!H394</f>
        <v>hjørnearmering inde i U-bjl.buk.</v>
      </c>
      <c r="I267" s="315" t="str">
        <f>A!I394</f>
        <v>K</v>
      </c>
      <c r="J267" s="235">
        <f>A!J394</f>
        <v>8</v>
      </c>
      <c r="K267" s="315" t="str">
        <f>A!K394</f>
        <v>=&gt;</v>
      </c>
      <c r="L267" s="315" t="e">
        <f>A!L394</f>
        <v>#N/A</v>
      </c>
      <c r="M267" s="315"/>
    </row>
    <row r="268" spans="1:13">
      <c r="G268" s="315" t="str">
        <f>A!G395</f>
        <v>vederlagsdybde</v>
      </c>
      <c r="H268" s="315"/>
      <c r="I268" s="315"/>
      <c r="J268" s="315" t="e">
        <f>A!J395</f>
        <v>#N/A</v>
      </c>
      <c r="K268" s="315" t="str">
        <f>A!K395</f>
        <v>mm</v>
      </c>
      <c r="L268" s="315"/>
      <c r="M268" t="e">
        <f>A!M395</f>
        <v>#N/A</v>
      </c>
    </row>
    <row r="269" spans="1:13">
      <c r="G269" s="315" t="str">
        <f>A!G396</f>
        <v>hovedarmering slutter</v>
      </c>
      <c r="H269" s="315"/>
      <c r="I269" s="315"/>
      <c r="J269" s="315" t="e">
        <f>A!J396</f>
        <v>#N/A</v>
      </c>
      <c r="K269" s="315" t="str">
        <f>A!K396</f>
        <v>mm fra CL.vederlag</v>
      </c>
      <c r="L269" s="315"/>
      <c r="M269" s="315"/>
    </row>
    <row r="270" spans="1:13">
      <c r="G270" s="315" t="e">
        <f>A!G397</f>
        <v>#N/A</v>
      </c>
      <c r="H270" s="320" t="e">
        <f>A!H397</f>
        <v>#N/A</v>
      </c>
      <c r="I270" s="315"/>
      <c r="J270" s="315" t="e">
        <f>A!J397</f>
        <v>#N/A</v>
      </c>
      <c r="K270" s="315" t="e">
        <f>A!K397</f>
        <v>#N/A</v>
      </c>
      <c r="L270" s="250" t="e">
        <f>A!L397</f>
        <v>#N/A</v>
      </c>
      <c r="M270" s="315" t="e">
        <f>A!M397</f>
        <v>#N/A</v>
      </c>
    </row>
    <row r="271" spans="1:13">
      <c r="G271" s="315"/>
      <c r="H271" s="320" t="str">
        <f>A!H398</f>
        <v>bæreevne</v>
      </c>
      <c r="I271" s="315"/>
      <c r="J271" s="315"/>
      <c r="K271" s="315"/>
      <c r="L271" s="315" t="str">
        <f>A!L398</f>
        <v xml:space="preserve"> snitkraft</v>
      </c>
      <c r="M271" s="315"/>
    </row>
    <row r="272" spans="1:13">
      <c r="G272" s="325" t="str">
        <f>A!G399</f>
        <v>forankring</v>
      </c>
      <c r="H272" s="320" t="e">
        <f>A!H399</f>
        <v>#N/A</v>
      </c>
      <c r="I272" s="315"/>
      <c r="J272" s="315" t="str">
        <f>A!J399</f>
        <v>kN</v>
      </c>
      <c r="K272" s="315" t="e">
        <f>A!K399</f>
        <v>#N/A</v>
      </c>
      <c r="L272" s="320" t="e">
        <f>A!L399</f>
        <v>#N/A</v>
      </c>
      <c r="M272" s="315" t="e">
        <f>A!M399</f>
        <v>#N/A</v>
      </c>
    </row>
    <row r="273" spans="1:13">
      <c r="G273" s="325" t="str">
        <f>A!G400</f>
        <v>forskydning V Rd,c</v>
      </c>
      <c r="H273" s="320" t="e">
        <f>A!H400</f>
        <v>#N/A</v>
      </c>
      <c r="I273" s="315"/>
      <c r="J273" s="315" t="str">
        <f>A!J400</f>
        <v>kN</v>
      </c>
      <c r="K273" s="315" t="e">
        <f>A!K400</f>
        <v>#N/A</v>
      </c>
      <c r="L273" s="320" t="e">
        <f>A!L400</f>
        <v>#N/A</v>
      </c>
      <c r="M273" s="315" t="e">
        <f>A!M400</f>
        <v>#N/A</v>
      </c>
    </row>
    <row r="274" spans="1:13">
      <c r="G274" s="315"/>
      <c r="H274" s="315"/>
      <c r="I274" s="315"/>
      <c r="J274" s="315"/>
      <c r="K274" s="315"/>
      <c r="L274" s="315"/>
      <c r="M274" s="315"/>
    </row>
    <row r="275" spans="1:13">
      <c r="A275" s="315"/>
      <c r="B275" s="315"/>
      <c r="C275" s="315"/>
      <c r="D275" s="315"/>
      <c r="E275" s="315"/>
      <c r="F275" s="315"/>
      <c r="G275" s="315"/>
      <c r="H275" s="315"/>
      <c r="I275" s="315"/>
      <c r="J275" s="315"/>
      <c r="K275" s="315"/>
      <c r="L275" s="315"/>
      <c r="M275" s="315"/>
    </row>
    <row r="276" spans="1:13">
      <c r="A276" s="315"/>
      <c r="B276" s="315"/>
      <c r="C276" s="315"/>
      <c r="D276" s="315"/>
      <c r="E276" s="315"/>
      <c r="F276" s="315"/>
      <c r="G276" s="315" t="str">
        <f>A!G412</f>
        <v>effektiv højde</v>
      </c>
      <c r="H276" s="320" t="str">
        <f>A!H412</f>
        <v>d</v>
      </c>
      <c r="I276" t="str">
        <f>A!I412</f>
        <v>=</v>
      </c>
      <c r="J276" s="250" t="e">
        <f>A!J412</f>
        <v>#N/A</v>
      </c>
      <c r="K276" s="315" t="str">
        <f>A!K412</f>
        <v>mm</v>
      </c>
      <c r="L276" s="315"/>
      <c r="M276" s="315"/>
    </row>
    <row r="277" spans="1:13">
      <c r="A277" s="315"/>
      <c r="B277" s="315"/>
      <c r="C277" s="315"/>
      <c r="D277" s="315"/>
      <c r="E277" s="315"/>
      <c r="F277" s="315"/>
      <c r="G277" s="315" t="str">
        <f>A!G413</f>
        <v>vederlagsbredde</v>
      </c>
      <c r="H277" s="315" t="str">
        <f>A!H413</f>
        <v>b</v>
      </c>
      <c r="I277" t="str">
        <f>A!I413</f>
        <v>=</v>
      </c>
      <c r="J277" s="250" t="e">
        <f>A!J413</f>
        <v>#N/A</v>
      </c>
      <c r="K277" s="315" t="str">
        <f>A!K413</f>
        <v>mm</v>
      </c>
      <c r="L277" s="315"/>
      <c r="M277" s="315"/>
    </row>
    <row r="278" spans="1:13">
      <c r="A278" s="315"/>
      <c r="B278" s="315"/>
      <c r="C278" s="315"/>
      <c r="D278" s="315"/>
      <c r="E278" s="315"/>
      <c r="F278" s="315"/>
      <c r="G278" s="315" t="str">
        <f>A!G414</f>
        <v>betonstyrke</v>
      </c>
      <c r="H278" s="315" t="str">
        <f>A!H414</f>
        <v>f ck</v>
      </c>
      <c r="I278" t="str">
        <f>A!I414</f>
        <v>=</v>
      </c>
      <c r="J278" s="250">
        <f>A!J414</f>
        <v>30</v>
      </c>
      <c r="K278" s="315" t="str">
        <f>A!K414</f>
        <v>N/mm2</v>
      </c>
      <c r="L278" s="315"/>
      <c r="M278" s="315"/>
    </row>
    <row r="279" spans="1:13">
      <c r="A279" s="315"/>
      <c r="B279" s="315"/>
      <c r="C279" s="315"/>
      <c r="D279" s="315"/>
      <c r="E279" s="315"/>
      <c r="F279" s="315"/>
      <c r="G279" s="315"/>
      <c r="H279" s="315" t="str">
        <f>A!H415</f>
        <v>f cd</v>
      </c>
      <c r="I279" t="str">
        <f>A!I415</f>
        <v>=</v>
      </c>
      <c r="J279" s="320">
        <f>A!J415</f>
        <v>21.428571428571431</v>
      </c>
      <c r="K279" s="315" t="str">
        <f>A!K415</f>
        <v>N/mm2</v>
      </c>
      <c r="L279" s="315"/>
      <c r="M279" s="315"/>
    </row>
    <row r="280" spans="1:13">
      <c r="A280" s="315"/>
      <c r="B280" s="315"/>
      <c r="C280" s="315"/>
      <c r="D280" s="315"/>
      <c r="E280" s="315"/>
      <c r="F280" s="315"/>
      <c r="G280" s="315" t="str">
        <f>A!G416</f>
        <v>hovedarmering</v>
      </c>
      <c r="H280" s="315" t="str">
        <f>A!H416</f>
        <v xml:space="preserve">     8 mm pr</v>
      </c>
      <c r="I280" s="315"/>
      <c r="J280" s="315">
        <f>A!J416</f>
        <v>150</v>
      </c>
      <c r="K280" s="315" t="str">
        <f>A!K416</f>
        <v>svejst net</v>
      </c>
      <c r="L280" s="315"/>
      <c r="M280" s="315"/>
    </row>
    <row r="281" spans="1:13">
      <c r="A281" s="315"/>
      <c r="B281" s="315"/>
      <c r="C281" s="315"/>
      <c r="D281" s="315"/>
      <c r="E281" s="315"/>
      <c r="F281" s="315"/>
      <c r="G281" s="241" t="str">
        <f>A!G417</f>
        <v xml:space="preserve"> </v>
      </c>
      <c r="H281" s="315" t="e">
        <f>A!H417</f>
        <v>#N/A</v>
      </c>
      <c r="I281" s="315" t="str">
        <f>A!I417</f>
        <v>K</v>
      </c>
      <c r="J281" s="315" t="e">
        <f>A!J417</f>
        <v>#N/A</v>
      </c>
      <c r="K281" s="315" t="str">
        <f>A!K417</f>
        <v>stk,type,diameter</v>
      </c>
      <c r="L281" s="315"/>
      <c r="M281" s="315"/>
    </row>
    <row r="282" spans="1:13">
      <c r="A282" s="315"/>
      <c r="B282" s="315"/>
      <c r="C282" s="315"/>
      <c r="D282" s="315"/>
      <c r="E282" s="315"/>
      <c r="F282" s="315"/>
      <c r="G282" s="315"/>
      <c r="H282" s="315" t="str">
        <f>A!H418</f>
        <v>f  yk</v>
      </c>
      <c r="I282" t="str">
        <f>A!I418</f>
        <v>=</v>
      </c>
      <c r="J282" s="315">
        <f>A!J418</f>
        <v>500</v>
      </c>
      <c r="K282" s="315" t="str">
        <f>A!K418</f>
        <v>N/mm2</v>
      </c>
      <c r="L282" s="315"/>
      <c r="M282" s="315"/>
    </row>
    <row r="283" spans="1:13">
      <c r="A283" s="315"/>
      <c r="B283" s="315"/>
      <c r="C283" s="315"/>
      <c r="D283" s="315"/>
      <c r="E283" s="315"/>
      <c r="F283" s="315"/>
      <c r="G283" s="315"/>
      <c r="H283" s="315" t="str">
        <f>A!H419</f>
        <v>f  yd</v>
      </c>
      <c r="I283" t="str">
        <f>A!I419</f>
        <v>=</v>
      </c>
      <c r="J283" s="250">
        <f>A!J419</f>
        <v>416.66666666666669</v>
      </c>
      <c r="K283" s="315" t="str">
        <f>A!K419</f>
        <v>N/mm2</v>
      </c>
      <c r="L283" s="315"/>
      <c r="M283" s="315"/>
    </row>
    <row r="284" spans="1:13">
      <c r="A284" s="315"/>
      <c r="B284" s="315"/>
      <c r="C284" s="315"/>
      <c r="D284" s="315"/>
      <c r="E284" s="315"/>
      <c r="F284" s="315"/>
      <c r="G284" s="315"/>
      <c r="H284" s="315" t="str">
        <f>A!H420</f>
        <v>A s</v>
      </c>
      <c r="I284" t="str">
        <f>A!I420</f>
        <v>=</v>
      </c>
      <c r="J284" s="250" t="e">
        <f>A!J420</f>
        <v>#N/A</v>
      </c>
      <c r="K284" s="315" t="str">
        <f>A!K420</f>
        <v>mm2</v>
      </c>
      <c r="L284" s="315"/>
      <c r="M284" s="315"/>
    </row>
    <row r="285" spans="1:13">
      <c r="A285" s="321" t="str">
        <f>A!A421</f>
        <v>dæklag på</v>
      </c>
      <c r="B285" s="315"/>
      <c r="C285" s="315"/>
      <c r="D285" s="315"/>
      <c r="E285" s="315"/>
      <c r="F285" s="315"/>
      <c r="G285" s="315" t="str">
        <f>A!G421</f>
        <v>basisforankr.lgd.</v>
      </c>
      <c r="H285" s="315" t="str">
        <f>A!H421</f>
        <v>l b,rqd</v>
      </c>
      <c r="I285" s="315"/>
      <c r="J285" s="250" t="e">
        <f>A!J421</f>
        <v>#N/A</v>
      </c>
      <c r="K285" s="315" t="str">
        <f>A!K421</f>
        <v>mm</v>
      </c>
      <c r="L285" s="315"/>
      <c r="M285" s="315"/>
    </row>
    <row r="286" spans="1:13">
      <c r="A286" s="321" t="str">
        <f>A!A422</f>
        <v>hovedarm.</v>
      </c>
      <c r="B286" s="315"/>
      <c r="C286" s="241" t="str">
        <f>A!C422</f>
        <v>R</v>
      </c>
      <c r="D286" s="315"/>
      <c r="E286" s="315"/>
      <c r="F286" s="315"/>
      <c r="G286" s="315"/>
      <c r="H286" s="315"/>
      <c r="I286" s="315"/>
      <c r="J286" s="315"/>
      <c r="K286" s="315"/>
      <c r="L286" s="315"/>
      <c r="M286" s="315"/>
    </row>
    <row r="287" spans="1:13">
      <c r="A287" s="250" t="e">
        <f>A!A423</f>
        <v>#N/A</v>
      </c>
      <c r="B287" s="315" t="str">
        <f>A!B423</f>
        <v>mm</v>
      </c>
      <c r="C287" s="315"/>
      <c r="D287" s="315"/>
      <c r="E287" s="315"/>
      <c r="F287" s="315"/>
      <c r="G287" s="315" t="str">
        <f>A!G423</f>
        <v>vederlagsdybde</v>
      </c>
      <c r="H287" s="315"/>
      <c r="I287" s="315"/>
      <c r="J287" s="250" t="e">
        <f>A!J423</f>
        <v>#N/A</v>
      </c>
      <c r="K287" s="315" t="str">
        <f>A!K423</f>
        <v>mm</v>
      </c>
      <c r="L287" s="315"/>
      <c r="M287" s="315"/>
    </row>
    <row r="288" spans="1:13">
      <c r="A288" s="315"/>
      <c r="B288" s="315"/>
      <c r="C288" s="315"/>
      <c r="D288" s="315"/>
      <c r="E288" s="315"/>
      <c r="F288" s="315"/>
      <c r="G288" s="315" t="str">
        <f>A!G424</f>
        <v>hovedarmering slutter</v>
      </c>
      <c r="H288" s="315"/>
      <c r="I288" s="315"/>
      <c r="J288" s="250" t="e">
        <f>A!J424</f>
        <v>#N/A</v>
      </c>
      <c r="K288" s="315" t="str">
        <f>A!K424</f>
        <v>mm fra CL.vederlag</v>
      </c>
      <c r="L288" s="315"/>
      <c r="M288" s="315"/>
    </row>
    <row r="289" spans="1:13">
      <c r="A289" s="315"/>
      <c r="B289" s="315"/>
      <c r="C289" s="315" t="str">
        <f>A!C425</f>
        <v>+</v>
      </c>
      <c r="D289" s="315"/>
      <c r="E289" s="315"/>
      <c r="F289" s="315"/>
      <c r="G289" s="315" t="e">
        <f>A!G425</f>
        <v>#N/A</v>
      </c>
      <c r="H289" s="315" t="e">
        <f>A!H425</f>
        <v>#N/A</v>
      </c>
      <c r="I289" s="315"/>
      <c r="J289" s="315" t="e">
        <f>A!J425</f>
        <v>#N/A</v>
      </c>
      <c r="K289" s="315" t="e">
        <f>A!K425</f>
        <v>#N/A</v>
      </c>
      <c r="L289" s="250" t="e">
        <f>A!L425</f>
        <v>#N/A</v>
      </c>
      <c r="M289" s="315" t="e">
        <f>A!M425</f>
        <v>#N/A</v>
      </c>
    </row>
    <row r="290" spans="1:13">
      <c r="A290" s="315"/>
      <c r="B290" s="315"/>
      <c r="C290" s="315"/>
      <c r="D290" s="315"/>
      <c r="E290" s="315"/>
      <c r="F290" s="315"/>
      <c r="G290" s="315"/>
      <c r="H290" s="315" t="str">
        <f>A!H426</f>
        <v>bæreevne</v>
      </c>
      <c r="I290" s="315"/>
      <c r="J290" s="315"/>
      <c r="K290" s="315"/>
      <c r="L290" s="315" t="str">
        <f>A!L426</f>
        <v xml:space="preserve"> snitkraft</v>
      </c>
      <c r="M290" s="315"/>
    </row>
    <row r="291" spans="1:13">
      <c r="A291" s="315"/>
      <c r="B291" s="315"/>
      <c r="C291" s="315"/>
      <c r="D291" s="315"/>
      <c r="E291" s="315"/>
      <c r="F291" s="315"/>
      <c r="G291" s="315" t="str">
        <f>A!G427</f>
        <v>forankring</v>
      </c>
      <c r="H291" s="320" t="e">
        <f>A!H427</f>
        <v>#N/A</v>
      </c>
      <c r="I291" s="315"/>
      <c r="J291" s="315" t="str">
        <f>A!J427</f>
        <v>kN</v>
      </c>
      <c r="K291" s="315" t="e">
        <f>A!K427</f>
        <v>#N/A</v>
      </c>
      <c r="L291" s="320" t="e">
        <f>A!L427</f>
        <v>#N/A</v>
      </c>
      <c r="M291" s="315" t="e">
        <f>A!M427</f>
        <v>#N/A</v>
      </c>
    </row>
    <row r="292" spans="1:13">
      <c r="A292" s="315"/>
      <c r="B292" s="315"/>
      <c r="C292" s="315"/>
      <c r="D292" s="315"/>
      <c r="E292" s="315"/>
      <c r="F292" s="315"/>
      <c r="G292" s="315" t="str">
        <f>A!G428</f>
        <v>forskydning V Rd,c</v>
      </c>
      <c r="H292" s="320" t="e">
        <f>A!H428</f>
        <v>#N/A</v>
      </c>
      <c r="I292" s="315"/>
      <c r="J292" s="315" t="str">
        <f>A!J428</f>
        <v>kN</v>
      </c>
      <c r="K292" s="315" t="e">
        <f>A!K428</f>
        <v>#N/A</v>
      </c>
      <c r="L292" s="320" t="e">
        <f>A!L428</f>
        <v>#N/A</v>
      </c>
      <c r="M292" s="315" t="e">
        <f>A!M428</f>
        <v>#N/A</v>
      </c>
    </row>
    <row r="293" spans="1:13">
      <c r="A293" s="315"/>
      <c r="B293" s="315"/>
      <c r="C293" s="315"/>
      <c r="D293" s="315"/>
      <c r="E293" s="315"/>
      <c r="F293" s="315"/>
      <c r="G293" s="315"/>
      <c r="H293" s="315"/>
      <c r="I293" s="315"/>
      <c r="J293" s="315"/>
      <c r="K293" s="315"/>
      <c r="L293" s="315"/>
      <c r="M293" s="315"/>
    </row>
    <row r="294" spans="1:13">
      <c r="A294" s="315"/>
      <c r="B294" s="315"/>
      <c r="C294" s="315"/>
      <c r="D294" s="315"/>
      <c r="E294" s="315" t="str">
        <f>A!E356</f>
        <v>(6)</v>
      </c>
      <c r="F294" s="315"/>
      <c r="G294" s="315" t="str">
        <f>A!G356</f>
        <v>effektiv højde</v>
      </c>
      <c r="H294" s="315" t="str">
        <f>A!H356</f>
        <v>d</v>
      </c>
      <c r="I294" t="str">
        <f>A!I356</f>
        <v>=</v>
      </c>
      <c r="J294" s="250" t="e">
        <f>A!J356</f>
        <v>#N/A</v>
      </c>
      <c r="K294" s="315" t="str">
        <f>A!K356</f>
        <v>mm</v>
      </c>
      <c r="L294" s="315"/>
      <c r="M294" s="315"/>
    </row>
    <row r="295" spans="1:13">
      <c r="A295" s="315"/>
      <c r="B295" s="315"/>
      <c r="C295" s="241" t="str">
        <f>A!C357</f>
        <v>(7)</v>
      </c>
      <c r="D295" s="315"/>
      <c r="E295" s="315"/>
      <c r="F295" s="315"/>
      <c r="G295" s="315" t="str">
        <f>A!G357</f>
        <v>"knast"bredde</v>
      </c>
      <c r="H295" s="315"/>
      <c r="I295" t="str">
        <f>A!I357</f>
        <v>=</v>
      </c>
      <c r="J295" s="250" t="e">
        <f>A!J357</f>
        <v>#N/A</v>
      </c>
      <c r="K295" s="315" t="str">
        <f>A!K357</f>
        <v>mm</v>
      </c>
      <c r="L295" s="315"/>
      <c r="M295" s="315"/>
    </row>
    <row r="296" spans="1:13">
      <c r="A296" s="315"/>
      <c r="B296" s="315"/>
      <c r="C296" s="315"/>
      <c r="D296" s="315"/>
      <c r="E296" s="315"/>
      <c r="F296" s="315"/>
      <c r="G296" s="315" t="str">
        <f>A!G358</f>
        <v>momentarm</v>
      </c>
      <c r="H296" s="315" t="str">
        <f>A!H358</f>
        <v>a</v>
      </c>
      <c r="I296" t="str">
        <f>A!I358</f>
        <v>=</v>
      </c>
      <c r="J296" s="250">
        <f>A!J358</f>
        <v>100</v>
      </c>
      <c r="K296" s="315" t="str">
        <f>A!K358</f>
        <v>mm</v>
      </c>
      <c r="L296" s="315"/>
      <c r="M296" s="315"/>
    </row>
    <row r="297" spans="1:13">
      <c r="A297" s="315"/>
      <c r="B297" s="315" t="str">
        <f>A!B359</f>
        <v>d</v>
      </c>
      <c r="C297" s="315"/>
      <c r="D297" s="315" t="str">
        <f>A!$D$359</f>
        <v>(9)</v>
      </c>
      <c r="E297" s="315"/>
      <c r="F297" s="315" t="str">
        <f>A!F359</f>
        <v>(8)</v>
      </c>
      <c r="G297" s="315" t="str">
        <f>A!G359</f>
        <v>v.knast"rod"(6)</v>
      </c>
      <c r="H297" s="250" t="e">
        <f>A!H359</f>
        <v>#N/A</v>
      </c>
      <c r="I297" s="315" t="str">
        <f>A!I359</f>
        <v>K</v>
      </c>
      <c r="J297" s="250">
        <f>A!J359</f>
        <v>10</v>
      </c>
      <c r="K297" s="315" t="str">
        <f>A!K359</f>
        <v>stk,type,diameter</v>
      </c>
      <c r="L297" s="315"/>
      <c r="M297" s="315"/>
    </row>
    <row r="298" spans="1:13">
      <c r="A298" s="315"/>
      <c r="B298" s="315"/>
      <c r="C298" s="315"/>
      <c r="D298" s="315"/>
      <c r="E298" s="315"/>
      <c r="F298" s="315"/>
      <c r="G298" s="315"/>
      <c r="H298" s="315" t="str">
        <f>A!H360</f>
        <v>f yk</v>
      </c>
      <c r="I298" t="str">
        <f>A!I360</f>
        <v>=</v>
      </c>
      <c r="J298" s="250">
        <f>A!J360</f>
        <v>500</v>
      </c>
      <c r="K298" s="315" t="str">
        <f>A!K360</f>
        <v>N/mm2</v>
      </c>
      <c r="L298" s="315"/>
      <c r="M298" s="315"/>
    </row>
    <row r="299" spans="1:13">
      <c r="A299" s="315"/>
      <c r="B299" s="315"/>
      <c r="C299" s="315"/>
      <c r="D299" s="315"/>
      <c r="E299" s="315"/>
      <c r="F299" s="315"/>
      <c r="G299" s="315"/>
      <c r="H299" s="315" t="str">
        <f>A!H361</f>
        <v>f yd</v>
      </c>
      <c r="I299" t="str">
        <f>A!I361</f>
        <v>=</v>
      </c>
      <c r="J299" s="250">
        <f>A!J361</f>
        <v>416.66666666666669</v>
      </c>
      <c r="K299" s="315" t="str">
        <f>A!K361</f>
        <v>N/mm2</v>
      </c>
      <c r="L299" s="315"/>
      <c r="M299" s="315"/>
    </row>
    <row r="300" spans="1:13">
      <c r="A300" s="315"/>
      <c r="B300" s="315"/>
      <c r="C300" s="315"/>
      <c r="D300" s="315"/>
      <c r="E300" s="315"/>
      <c r="F300" s="315"/>
      <c r="G300" s="315"/>
      <c r="H300" s="241" t="str">
        <f>A!H362</f>
        <v>hjørnearm.(8) inde i U-bjl.</v>
      </c>
      <c r="I300" s="315" t="str">
        <f>A!I362</f>
        <v>K</v>
      </c>
      <c r="J300" s="315">
        <f>A!J362</f>
        <v>16</v>
      </c>
      <c r="K300" s="315" t="str">
        <f>A!K362</f>
        <v>=&gt;</v>
      </c>
      <c r="L300" s="315" t="str">
        <f>A!L362</f>
        <v>red.fyd= 397 N/mm2</v>
      </c>
      <c r="M300" s="315"/>
    </row>
    <row r="301" spans="1:13">
      <c r="A301" s="315"/>
      <c r="B301" s="315"/>
      <c r="C301" s="321" t="str">
        <f>A!C363</f>
        <v>R</v>
      </c>
      <c r="D301" s="315"/>
      <c r="E301" s="315"/>
      <c r="F301" s="315"/>
      <c r="G301" s="315"/>
      <c r="H301" s="315" t="str">
        <f>A!H363</f>
        <v>As (6)</v>
      </c>
      <c r="I301" t="str">
        <f>A!I363</f>
        <v>=</v>
      </c>
      <c r="J301" s="250" t="e">
        <f>A!J363</f>
        <v>#N/A</v>
      </c>
      <c r="K301" s="315" t="str">
        <f>A!K363</f>
        <v>mm2</v>
      </c>
      <c r="L301" s="315"/>
      <c r="M301" s="315"/>
    </row>
    <row r="302" spans="1:13">
      <c r="A302" s="315"/>
      <c r="B302" s="315"/>
      <c r="C302" s="315"/>
      <c r="D302" s="321" t="str">
        <f>A!D364</f>
        <v>a</v>
      </c>
      <c r="E302" s="315"/>
      <c r="F302" s="315"/>
      <c r="G302" s="315" t="str">
        <f>A!G364</f>
        <v>sigma s</v>
      </c>
      <c r="H302" s="250" t="e">
        <f>A!H364</f>
        <v>#N/A</v>
      </c>
      <c r="I302" s="315"/>
      <c r="J302" s="315" t="str">
        <f>A!J364</f>
        <v>N/mm2</v>
      </c>
      <c r="K302" s="315" t="e">
        <f>A!K364</f>
        <v>#N/A</v>
      </c>
      <c r="L302" s="250">
        <f>A!L364</f>
        <v>397.29482304179191</v>
      </c>
      <c r="M302" s="315" t="e">
        <f>A!M364</f>
        <v>#N/A</v>
      </c>
    </row>
    <row r="303" spans="1:13">
      <c r="A303" s="315"/>
      <c r="B303" s="315"/>
      <c r="C303" s="315"/>
      <c r="D303" s="315"/>
      <c r="E303" s="315"/>
      <c r="F303" s="315"/>
      <c r="G303" s="315" t="str">
        <f>A!G365</f>
        <v>i "knast" (7)</v>
      </c>
      <c r="H303" s="250" t="e">
        <f>A!H365</f>
        <v>#N/A</v>
      </c>
      <c r="I303" s="315" t="str">
        <f>A!I365</f>
        <v>K</v>
      </c>
      <c r="J303" s="250">
        <f>A!J365</f>
        <v>10</v>
      </c>
      <c r="K303" s="315" t="str">
        <f>A!K365</f>
        <v>stk,type,diameter</v>
      </c>
      <c r="L303" s="315"/>
      <c r="M303" s="315"/>
    </row>
    <row r="304" spans="1:13">
      <c r="A304" s="315"/>
      <c r="B304" s="315"/>
      <c r="C304" s="315"/>
      <c r="D304" s="315"/>
      <c r="E304" s="315"/>
      <c r="F304" s="315"/>
      <c r="G304" s="315"/>
      <c r="H304" s="315" t="str">
        <f>A!H366</f>
        <v>f yk</v>
      </c>
      <c r="I304" t="str">
        <f>A!I366</f>
        <v>=</v>
      </c>
      <c r="J304" s="250">
        <f>A!J366</f>
        <v>500</v>
      </c>
      <c r="K304" s="315" t="str">
        <f>A!K366</f>
        <v>N/mm2</v>
      </c>
      <c r="L304" s="315"/>
      <c r="M304" s="315"/>
    </row>
    <row r="305" spans="1:13">
      <c r="A305" s="315"/>
      <c r="B305" s="315"/>
      <c r="C305" s="315"/>
      <c r="D305" s="315"/>
      <c r="E305" s="315"/>
      <c r="F305" s="315"/>
      <c r="G305" s="315"/>
      <c r="H305" s="315" t="str">
        <f>A!H367</f>
        <v>f yd</v>
      </c>
      <c r="I305" t="str">
        <f>A!I367</f>
        <v>=</v>
      </c>
      <c r="J305" s="250">
        <f>A!J367</f>
        <v>416.66666666666669</v>
      </c>
      <c r="K305" s="315" t="str">
        <f>A!K367</f>
        <v>N/mm2</v>
      </c>
      <c r="L305" s="315"/>
      <c r="M305" s="315"/>
    </row>
    <row r="306" spans="1:13">
      <c r="A306" s="315"/>
      <c r="B306" s="315"/>
      <c r="C306" s="315"/>
      <c r="D306" s="315"/>
      <c r="E306" s="315"/>
      <c r="F306" s="315"/>
      <c r="G306" s="315"/>
      <c r="H306" s="241" t="str">
        <f>A!H368</f>
        <v>hjørnearm.(9) inde i U-bjl.</v>
      </c>
      <c r="I306" s="315" t="str">
        <f>A!I368</f>
        <v>K</v>
      </c>
      <c r="J306" s="315">
        <f>A!J368</f>
        <v>16</v>
      </c>
      <c r="K306" s="315" t="str">
        <f>A!K368</f>
        <v>=&gt;</v>
      </c>
      <c r="L306" s="315" t="str">
        <f>A!L368</f>
        <v>red.fyd= 397 N/mm2</v>
      </c>
      <c r="M306" s="315"/>
    </row>
    <row r="307" spans="1:13">
      <c r="A307" s="315"/>
      <c r="B307" s="315"/>
      <c r="C307" s="315"/>
      <c r="D307" s="315"/>
      <c r="E307" s="315"/>
      <c r="F307" s="315"/>
      <c r="G307" s="315"/>
      <c r="H307" s="315" t="str">
        <f>A!H369</f>
        <v>As (7)</v>
      </c>
      <c r="I307" t="str">
        <f>A!I369</f>
        <v>=</v>
      </c>
      <c r="J307" s="250" t="e">
        <f>A!J369</f>
        <v>#N/A</v>
      </c>
      <c r="K307" s="315" t="str">
        <f>A!K369</f>
        <v>mm2/m</v>
      </c>
      <c r="L307" s="315"/>
      <c r="M307" s="315"/>
    </row>
    <row r="308" spans="1:13">
      <c r="A308" s="315"/>
      <c r="B308" s="315"/>
      <c r="C308" s="315"/>
      <c r="D308" s="315"/>
      <c r="E308" s="315"/>
      <c r="F308" s="315"/>
      <c r="G308" s="315" t="str">
        <f>A!G370</f>
        <v>reduc. f cd</v>
      </c>
      <c r="H308" s="315"/>
      <c r="I308" t="str">
        <f>A!I370</f>
        <v>=</v>
      </c>
      <c r="J308" s="320" t="e">
        <f>A!J370</f>
        <v>#N/A</v>
      </c>
      <c r="K308" s="315" t="str">
        <f>A!K370</f>
        <v>N/mm2</v>
      </c>
      <c r="L308" s="315"/>
      <c r="M308" s="315"/>
    </row>
    <row r="309" spans="1:13">
      <c r="A309" s="315"/>
      <c r="B309" s="315"/>
      <c r="C309" s="315"/>
      <c r="D309" s="315"/>
      <c r="E309" s="315"/>
      <c r="F309" s="315"/>
      <c r="G309" s="315" t="str">
        <f>A!G371</f>
        <v>M Rd =</v>
      </c>
      <c r="H309" s="320" t="e">
        <f>A!H371</f>
        <v>#N/A</v>
      </c>
      <c r="I309" s="315"/>
      <c r="J309" s="315" t="str">
        <f>A!J371</f>
        <v>kNm</v>
      </c>
      <c r="K309" s="315" t="e">
        <f>A!K371</f>
        <v>#N/A</v>
      </c>
      <c r="L309" s="320" t="e">
        <f>A!L371</f>
        <v>#N/A</v>
      </c>
      <c r="M309" s="315" t="e">
        <f>A!M371</f>
        <v>#N/A</v>
      </c>
    </row>
    <row r="310" spans="1:13">
      <c r="A310" s="315"/>
      <c r="B310" s="315"/>
      <c r="C310" s="315"/>
      <c r="D310" s="315"/>
      <c r="E310" s="315"/>
      <c r="F310" s="315"/>
      <c r="G310" s="315" t="str">
        <f>A!G372</f>
        <v>V Rd,c =</v>
      </c>
      <c r="H310" s="320" t="e">
        <f>A!H372</f>
        <v>#N/A</v>
      </c>
      <c r="I310" s="315"/>
      <c r="J310" s="315" t="str">
        <f>A!J372</f>
        <v>kN</v>
      </c>
      <c r="K310" s="315" t="e">
        <f>A!K372</f>
        <v>#N/A</v>
      </c>
      <c r="L310" s="320" t="e">
        <f>A!L372</f>
        <v>#N/A</v>
      </c>
      <c r="M310" s="315" t="e">
        <f>A!M372</f>
        <v>#N/A</v>
      </c>
    </row>
    <row r="311" spans="1:13">
      <c r="A311" s="315"/>
      <c r="B311" s="315"/>
      <c r="C311" s="315"/>
      <c r="D311" s="315"/>
      <c r="E311" s="315"/>
      <c r="F311" s="315"/>
      <c r="G311" s="315">
        <f>A!G373</f>
        <v>2</v>
      </c>
      <c r="H311" s="315" t="str">
        <f>A!H373</f>
        <v>-snits bjl.</v>
      </c>
      <c r="I311" s="315" t="str">
        <f>A!I373</f>
        <v>K</v>
      </c>
      <c r="J311" s="250">
        <f>A!J373</f>
        <v>6</v>
      </c>
      <c r="K311" s="315" t="str">
        <f>A!K373</f>
        <v>type,diameter</v>
      </c>
      <c r="L311" s="315"/>
      <c r="M311" s="315"/>
    </row>
    <row r="312" spans="1:13">
      <c r="A312" s="315"/>
      <c r="B312" s="315"/>
      <c r="C312" s="315"/>
      <c r="D312" s="315"/>
      <c r="E312" s="315"/>
      <c r="F312" s="315"/>
      <c r="G312" s="315" t="str">
        <f>A!G374</f>
        <v xml:space="preserve">             centerafst.</v>
      </c>
      <c r="H312" s="315"/>
      <c r="I312" s="315"/>
      <c r="J312" s="250" t="e">
        <f>A!J374</f>
        <v>#N/A</v>
      </c>
      <c r="K312" s="315" t="e">
        <f>A!K374</f>
        <v>#N/A</v>
      </c>
      <c r="L312" s="315"/>
      <c r="M312" s="315"/>
    </row>
    <row r="313" spans="1:13">
      <c r="A313" s="315"/>
      <c r="B313" s="315"/>
      <c r="C313" s="315"/>
      <c r="D313" s="315"/>
      <c r="E313" s="315"/>
      <c r="F313" s="315"/>
      <c r="G313" s="315"/>
      <c r="H313" s="315" t="str">
        <f>A!H375</f>
        <v>f yk</v>
      </c>
      <c r="I313" t="str">
        <f>A!I375</f>
        <v>=</v>
      </c>
      <c r="J313" s="250">
        <f>A!J375</f>
        <v>500</v>
      </c>
      <c r="K313" s="315" t="str">
        <f>A!K375</f>
        <v>N/mm2</v>
      </c>
      <c r="L313" s="315"/>
      <c r="M313" s="315"/>
    </row>
    <row r="314" spans="1:13">
      <c r="A314" s="315"/>
      <c r="B314" s="315"/>
      <c r="C314" s="315"/>
      <c r="D314" s="315"/>
      <c r="E314" s="315"/>
      <c r="F314" s="315"/>
      <c r="G314" s="315"/>
      <c r="H314" s="315" t="str">
        <f>A!H376</f>
        <v>f ywd</v>
      </c>
      <c r="I314" t="str">
        <f>A!I376</f>
        <v>=</v>
      </c>
      <c r="J314" s="250">
        <f>A!J376</f>
        <v>416.66666666666669</v>
      </c>
      <c r="K314" s="315" t="str">
        <f>A!K376</f>
        <v>N/mm2</v>
      </c>
      <c r="L314" s="315"/>
      <c r="M314" s="315"/>
    </row>
    <row r="315" spans="1:13">
      <c r="A315" s="315"/>
      <c r="B315" s="315"/>
      <c r="C315" s="315"/>
      <c r="D315" s="315"/>
      <c r="E315" s="315"/>
      <c r="F315" s="315"/>
      <c r="G315" s="241" t="str">
        <f>A!G377</f>
        <v>V Rd,s =</v>
      </c>
      <c r="H315" s="320" t="e">
        <f>A!H377</f>
        <v>#N/A</v>
      </c>
      <c r="I315" s="315" t="e">
        <f>A!I377</f>
        <v>#N/A</v>
      </c>
      <c r="J315" s="320" t="e">
        <f>A!J377</f>
        <v>#N/A</v>
      </c>
      <c r="K315" s="315" t="str">
        <f>A!K377</f>
        <v>kN</v>
      </c>
      <c r="L315" s="315"/>
      <c r="M315" s="315" t="e">
        <f>A!M377</f>
        <v>#N/A</v>
      </c>
    </row>
    <row r="360" spans="1:13">
      <c r="A360" s="315"/>
      <c r="B360" s="315"/>
      <c r="C360" s="315"/>
      <c r="D360" s="315"/>
      <c r="E360" s="315"/>
      <c r="F360" s="315"/>
      <c r="G360" s="315"/>
      <c r="H360" s="315"/>
      <c r="I360" s="315"/>
      <c r="J360" s="315"/>
      <c r="K360" s="315"/>
      <c r="L360" s="315"/>
      <c r="M360" s="315"/>
    </row>
    <row r="361" spans="1:13">
      <c r="A361" s="315"/>
      <c r="B361" s="315"/>
      <c r="C361" s="315"/>
      <c r="D361" s="315"/>
      <c r="E361" s="315"/>
      <c r="F361" s="315"/>
      <c r="G361" s="315"/>
      <c r="H361" s="315"/>
      <c r="I361" s="315"/>
      <c r="J361" s="315"/>
      <c r="K361" s="315"/>
      <c r="L361" s="315"/>
      <c r="M361" s="315"/>
    </row>
    <row r="362" spans="1:13">
      <c r="A362" s="315"/>
      <c r="B362" s="315"/>
      <c r="C362" s="315"/>
      <c r="D362" s="315"/>
      <c r="E362" s="315"/>
      <c r="F362" s="315"/>
      <c r="G362" s="315"/>
      <c r="H362" s="315"/>
      <c r="I362" s="315"/>
      <c r="J362" s="315"/>
      <c r="K362" s="315"/>
      <c r="L362" s="315"/>
      <c r="M362" s="315"/>
    </row>
    <row r="363" spans="1:13">
      <c r="A363" s="315"/>
      <c r="B363" s="315" t="str">
        <f>A!B472</f>
        <v>ULYKKESSITUATION BRAND, STÅLDORNE</v>
      </c>
      <c r="C363" s="315"/>
      <c r="D363" s="315"/>
      <c r="E363" s="315"/>
      <c r="F363" s="315"/>
      <c r="G363" s="315"/>
      <c r="H363" s="315"/>
      <c r="I363" s="315"/>
      <c r="J363" s="315"/>
      <c r="K363" s="315"/>
      <c r="L363" s="315"/>
      <c r="M363" s="315"/>
    </row>
    <row r="364" spans="1:13">
      <c r="A364" s="315"/>
      <c r="B364" s="315"/>
      <c r="C364" s="315"/>
      <c r="D364" s="315"/>
      <c r="E364" s="315"/>
      <c r="F364" s="315"/>
      <c r="G364" s="315"/>
      <c r="H364" s="315"/>
      <c r="I364" s="315"/>
      <c r="J364" s="315"/>
      <c r="K364" s="315"/>
      <c r="L364" s="315"/>
      <c r="M364" s="315"/>
    </row>
    <row r="365" spans="1:13">
      <c r="A365" s="315"/>
      <c r="B365" s="315"/>
      <c r="C365" s="315"/>
      <c r="D365" s="315"/>
      <c r="E365" s="315"/>
      <c r="F365" s="315"/>
      <c r="G365" s="315" t="str">
        <f>A!G474</f>
        <v>stålspænding</v>
      </c>
      <c r="H365" s="250" t="e">
        <f>A!H474</f>
        <v>#N/A</v>
      </c>
      <c r="I365" s="315"/>
      <c r="J365" s="315" t="str">
        <f>A!J474</f>
        <v>N/mm2</v>
      </c>
      <c r="K365" s="315" t="e">
        <f>A!K474</f>
        <v>#N/A</v>
      </c>
      <c r="L365" s="250">
        <f>A!L474</f>
        <v>295.45454545454544</v>
      </c>
      <c r="M365" s="315"/>
    </row>
    <row r="366" spans="1:13">
      <c r="A366" s="315"/>
      <c r="B366" s="315"/>
      <c r="C366" s="315"/>
      <c r="D366" s="315"/>
      <c r="E366" s="315"/>
      <c r="F366" s="315"/>
      <c r="G366" s="315" t="str">
        <f>A!G475</f>
        <v>=&gt; udnyttelsesgrad</v>
      </c>
      <c r="H366" s="315"/>
      <c r="I366" s="315"/>
      <c r="J366" s="250" t="e">
        <f>A!J475</f>
        <v>#N/A</v>
      </c>
      <c r="K366" s="315" t="str">
        <f>A!K475</f>
        <v>%</v>
      </c>
      <c r="L366" s="315" t="e">
        <f>A!L475</f>
        <v>#N/A</v>
      </c>
      <c r="M366" s="315"/>
    </row>
    <row r="367" spans="1:13">
      <c r="A367" s="315"/>
      <c r="B367" s="315"/>
      <c r="C367" s="315"/>
      <c r="D367" s="315"/>
      <c r="E367" s="315"/>
      <c r="F367" s="315"/>
      <c r="G367" s="315"/>
      <c r="H367" s="315"/>
      <c r="I367" s="315"/>
      <c r="J367" s="315"/>
      <c r="K367" s="315"/>
      <c r="L367" s="315"/>
      <c r="M367" s="315"/>
    </row>
    <row r="368" spans="1:13">
      <c r="A368" s="315"/>
      <c r="B368" s="315"/>
      <c r="C368" s="315"/>
      <c r="D368" s="315"/>
      <c r="E368" s="315"/>
      <c r="F368" s="315"/>
      <c r="G368" s="315"/>
      <c r="H368" s="315"/>
      <c r="I368" s="315"/>
      <c r="J368" s="315"/>
      <c r="K368" s="315"/>
      <c r="L368" s="315"/>
      <c r="M368" s="315"/>
    </row>
    <row r="369" spans="1:13">
      <c r="A369" s="315"/>
      <c r="B369" s="315"/>
      <c r="C369" s="315"/>
      <c r="D369" s="315"/>
      <c r="E369" s="315"/>
      <c r="F369" s="315"/>
      <c r="G369" s="315"/>
      <c r="H369" s="315"/>
      <c r="I369" s="315"/>
      <c r="J369" s="315"/>
      <c r="K369" s="315"/>
      <c r="L369" s="315"/>
      <c r="M369" s="315"/>
    </row>
    <row r="370" spans="1:13">
      <c r="A370" s="315"/>
      <c r="B370" s="315"/>
      <c r="C370" s="315"/>
      <c r="D370" s="315"/>
      <c r="E370" s="315"/>
      <c r="F370" s="315"/>
      <c r="G370" s="315"/>
      <c r="H370" s="315"/>
      <c r="I370" s="315"/>
      <c r="J370" s="315"/>
      <c r="K370" s="315"/>
      <c r="L370" s="315"/>
      <c r="M370" s="315"/>
    </row>
    <row r="371" spans="1:13">
      <c r="A371" s="315"/>
      <c r="B371" s="315"/>
      <c r="C371" s="315"/>
      <c r="D371" s="315"/>
      <c r="E371" s="315"/>
      <c r="F371" s="315"/>
      <c r="G371" s="315"/>
      <c r="H371" s="315"/>
      <c r="I371" s="315"/>
      <c r="J371" s="315"/>
      <c r="K371" s="315"/>
      <c r="L371" s="315"/>
      <c r="M371" s="315"/>
    </row>
    <row r="372" spans="1:13">
      <c r="A372" s="315"/>
      <c r="B372" s="315"/>
      <c r="C372" s="315"/>
      <c r="D372" s="315"/>
      <c r="E372" s="315"/>
      <c r="F372" s="315"/>
      <c r="G372" s="315"/>
      <c r="H372" s="315"/>
      <c r="I372" s="315"/>
      <c r="J372" s="315"/>
      <c r="K372" s="315"/>
      <c r="L372" s="315"/>
      <c r="M372" s="315"/>
    </row>
    <row r="373" spans="1:13">
      <c r="A373" s="315"/>
      <c r="B373" s="315"/>
      <c r="C373" s="315"/>
      <c r="D373" s="315"/>
      <c r="E373" s="315"/>
      <c r="F373" s="315"/>
      <c r="G373" s="315"/>
      <c r="H373" s="315"/>
      <c r="I373" s="315"/>
      <c r="J373" s="315"/>
      <c r="K373" s="315"/>
      <c r="L373" s="315"/>
      <c r="M373" s="315"/>
    </row>
    <row r="374" spans="1:13">
      <c r="A374" s="315"/>
      <c r="B374" s="315"/>
      <c r="C374" s="315"/>
      <c r="D374" s="315"/>
      <c r="E374" s="315"/>
      <c r="F374" s="315"/>
      <c r="G374" s="315"/>
      <c r="H374" s="315"/>
      <c r="I374" s="315"/>
      <c r="J374" s="315"/>
      <c r="K374" s="315"/>
      <c r="L374" s="315"/>
      <c r="M374" s="315"/>
    </row>
    <row r="375" spans="1:13">
      <c r="A375" s="315"/>
      <c r="B375" s="315"/>
      <c r="C375" s="315"/>
      <c r="D375" s="315"/>
      <c r="E375" s="315"/>
      <c r="F375" s="315"/>
      <c r="G375" s="315"/>
      <c r="H375" s="315"/>
      <c r="I375" s="315"/>
      <c r="J375" s="315"/>
      <c r="K375" s="315"/>
      <c r="L375" s="315"/>
      <c r="M375" s="315"/>
    </row>
    <row r="376" spans="1:13">
      <c r="A376" s="315"/>
      <c r="B376" s="315"/>
      <c r="C376" s="315"/>
      <c r="D376" s="315"/>
      <c r="E376" s="315"/>
      <c r="F376" s="315"/>
      <c r="G376" s="315"/>
      <c r="H376" s="315"/>
      <c r="I376" s="315"/>
      <c r="J376" s="315"/>
      <c r="K376" s="315"/>
      <c r="L376" s="315"/>
      <c r="M376" s="315"/>
    </row>
    <row r="377" spans="1:13">
      <c r="A377" s="315"/>
      <c r="B377" s="315"/>
      <c r="C377" s="315"/>
      <c r="D377" s="315"/>
      <c r="E377" s="315"/>
      <c r="F377" s="315"/>
      <c r="G377" s="315"/>
      <c r="H377" s="315"/>
      <c r="I377" s="315"/>
      <c r="J377" s="315"/>
      <c r="K377" s="315"/>
      <c r="L377" s="315"/>
      <c r="M377" s="315"/>
    </row>
    <row r="378" spans="1:13">
      <c r="A378" s="315"/>
      <c r="B378" s="315"/>
      <c r="C378" s="315"/>
      <c r="D378" s="315"/>
      <c r="E378" s="315"/>
      <c r="F378" s="315"/>
      <c r="G378" s="315"/>
      <c r="H378" s="315"/>
      <c r="I378" s="315"/>
      <c r="J378" s="315"/>
      <c r="K378" s="315"/>
      <c r="L378" s="315"/>
      <c r="M378" s="315"/>
    </row>
    <row r="379" spans="1:13">
      <c r="A379" s="315"/>
      <c r="B379" s="315"/>
      <c r="C379" s="315"/>
      <c r="D379" s="315"/>
      <c r="E379" s="315"/>
      <c r="F379" s="315"/>
      <c r="G379" s="315"/>
      <c r="H379" s="315"/>
      <c r="I379" s="315"/>
      <c r="J379" s="315"/>
      <c r="K379" s="315"/>
      <c r="L379" s="315"/>
      <c r="M379" s="315"/>
    </row>
    <row r="380" spans="1:13">
      <c r="A380" s="315"/>
      <c r="B380" s="315"/>
      <c r="C380" s="315"/>
      <c r="D380" s="315"/>
      <c r="E380" s="315"/>
      <c r="F380" s="315"/>
      <c r="G380" s="315"/>
      <c r="H380" s="315"/>
      <c r="I380" s="315"/>
      <c r="J380" s="315"/>
      <c r="K380" s="315"/>
      <c r="L380" s="315"/>
      <c r="M380" s="315"/>
    </row>
    <row r="381" spans="1:13">
      <c r="A381" s="315"/>
      <c r="B381" s="315"/>
      <c r="C381" s="315"/>
      <c r="D381" s="315"/>
      <c r="E381" s="315"/>
      <c r="F381" s="315"/>
      <c r="G381" s="315"/>
      <c r="H381" s="315"/>
      <c r="I381" s="315"/>
      <c r="J381" s="315"/>
      <c r="K381" s="315"/>
      <c r="L381" s="315"/>
      <c r="M381" s="315"/>
    </row>
    <row r="382" spans="1:13">
      <c r="A382" s="315"/>
      <c r="B382" s="315"/>
      <c r="C382" s="315"/>
      <c r="D382" s="315"/>
      <c r="E382" s="315"/>
      <c r="F382" s="315"/>
      <c r="G382" s="315"/>
      <c r="H382" s="315"/>
      <c r="I382" s="315"/>
      <c r="J382" s="315"/>
      <c r="K382" s="315"/>
      <c r="L382" s="315"/>
      <c r="M382" s="315"/>
    </row>
    <row r="383" spans="1:13">
      <c r="A383" s="315"/>
      <c r="B383" s="315"/>
      <c r="C383" s="315"/>
      <c r="D383" s="315"/>
      <c r="E383" s="315"/>
      <c r="F383" s="315"/>
      <c r="G383" s="315"/>
      <c r="H383" s="315"/>
      <c r="I383" s="315"/>
      <c r="J383" s="315"/>
      <c r="K383" s="315"/>
      <c r="L383" s="315"/>
      <c r="M383" s="315"/>
    </row>
    <row r="384" spans="1:13">
      <c r="A384" s="315"/>
      <c r="B384" s="315"/>
      <c r="C384" s="315"/>
      <c r="D384" s="315"/>
      <c r="E384" s="315"/>
      <c r="F384" s="315"/>
      <c r="G384" s="315"/>
      <c r="H384" s="315"/>
      <c r="I384" s="315"/>
      <c r="J384" s="315"/>
      <c r="K384" s="315"/>
      <c r="L384" s="315"/>
      <c r="M384" s="315"/>
    </row>
    <row r="385" spans="1:13">
      <c r="A385" s="315"/>
      <c r="B385" s="315"/>
      <c r="C385" s="315"/>
      <c r="D385" s="315"/>
      <c r="E385" s="315"/>
      <c r="F385" s="315"/>
      <c r="G385" s="315"/>
      <c r="H385" s="315"/>
      <c r="I385" s="315"/>
      <c r="J385" s="315"/>
      <c r="K385" s="315"/>
      <c r="L385" s="315"/>
      <c r="M385" s="315"/>
    </row>
    <row r="386" spans="1:13">
      <c r="A386" s="315"/>
      <c r="B386" s="315"/>
      <c r="C386" s="315"/>
      <c r="D386" s="315"/>
      <c r="E386" s="315"/>
      <c r="F386" s="315"/>
      <c r="G386" s="315"/>
      <c r="H386" s="315"/>
      <c r="I386" s="315"/>
      <c r="J386" s="315"/>
      <c r="K386" s="315"/>
      <c r="L386" s="315"/>
      <c r="M386" s="315"/>
    </row>
    <row r="387" spans="1:13">
      <c r="A387" s="315"/>
      <c r="B387" s="315"/>
      <c r="C387" s="315"/>
      <c r="D387" s="315"/>
      <c r="E387" s="315"/>
      <c r="F387" s="315"/>
      <c r="G387" s="315"/>
      <c r="H387" s="315"/>
      <c r="I387" s="315"/>
      <c r="J387" s="315"/>
      <c r="K387" s="315"/>
      <c r="L387" s="315"/>
      <c r="M387" s="315"/>
    </row>
    <row r="388" spans="1:13">
      <c r="A388" s="315"/>
      <c r="B388" s="315"/>
      <c r="C388" s="315"/>
      <c r="D388" s="315"/>
      <c r="E388" s="315"/>
      <c r="F388" s="315"/>
      <c r="G388" s="315"/>
      <c r="H388" s="315"/>
      <c r="I388" s="315"/>
      <c r="J388" s="315"/>
      <c r="K388" s="315"/>
      <c r="L388" s="315"/>
      <c r="M388" s="315"/>
    </row>
    <row r="389" spans="1:13">
      <c r="A389" s="315"/>
      <c r="B389" s="315"/>
      <c r="C389" s="315"/>
      <c r="D389" s="315"/>
      <c r="E389" s="315"/>
      <c r="F389" s="315"/>
      <c r="G389" s="315"/>
      <c r="H389" s="315"/>
      <c r="I389" s="315"/>
      <c r="J389" s="315"/>
      <c r="K389" s="315"/>
      <c r="L389" s="315"/>
      <c r="M389" s="315"/>
    </row>
    <row r="390" spans="1:13">
      <c r="A390" s="315"/>
      <c r="B390" s="315"/>
      <c r="C390" s="315"/>
      <c r="D390" s="315"/>
      <c r="E390" s="315"/>
      <c r="F390" s="315"/>
      <c r="G390" s="315"/>
      <c r="H390" s="315"/>
      <c r="I390" s="315"/>
      <c r="J390" s="315"/>
      <c r="K390" s="315"/>
      <c r="L390" s="315"/>
      <c r="M390" s="315"/>
    </row>
    <row r="391" spans="1:13">
      <c r="A391" s="315"/>
      <c r="B391" s="315"/>
      <c r="C391" s="315"/>
      <c r="D391" s="315"/>
      <c r="E391" s="315"/>
      <c r="F391" s="315"/>
      <c r="G391" s="315"/>
      <c r="H391" s="315"/>
      <c r="I391" s="241" t="str">
        <f>A!I500</f>
        <v>af diagrammet ovenfor aflæses kritisk ståltemperatur:</v>
      </c>
      <c r="J391" s="250" t="e">
        <f>A!J500</f>
        <v>#N/A</v>
      </c>
      <c r="K391" s="315"/>
      <c r="L391" s="250" t="str">
        <f>A!L500</f>
        <v>gr.C.</v>
      </c>
      <c r="M391" s="315"/>
    </row>
    <row r="392" spans="1:13">
      <c r="A392" s="315"/>
      <c r="B392" s="315"/>
      <c r="C392" s="315"/>
      <c r="D392" s="315"/>
      <c r="E392" s="315"/>
      <c r="F392" s="315"/>
      <c r="G392" s="315"/>
      <c r="H392" s="315"/>
      <c r="I392" s="315"/>
      <c r="J392" s="315"/>
      <c r="K392" s="315"/>
      <c r="L392" s="315"/>
      <c r="M392" s="315"/>
    </row>
    <row r="393" spans="1:13">
      <c r="A393" s="315"/>
      <c r="B393" s="315"/>
      <c r="C393" s="315"/>
      <c r="D393" s="250">
        <f>A!D502</f>
        <v>30</v>
      </c>
      <c r="E393" s="325" t="str">
        <f>A!E502</f>
        <v>minutters standardbrand excl. afkølingsfase</v>
      </c>
      <c r="F393" s="315"/>
      <c r="G393" s="315"/>
      <c r="H393" s="315"/>
      <c r="I393" s="315"/>
      <c r="J393" s="315"/>
      <c r="K393" s="315"/>
      <c r="L393" s="315"/>
      <c r="M393" s="315"/>
    </row>
    <row r="394" spans="1:13">
      <c r="A394" s="315"/>
      <c r="B394" s="315"/>
      <c r="C394" s="315"/>
      <c r="D394" s="315"/>
      <c r="E394" s="315"/>
      <c r="F394" s="315"/>
      <c r="G394" s="315"/>
      <c r="H394" s="315"/>
      <c r="I394" s="241" t="str">
        <f>A!I503</f>
        <v>medfører maks. temperatur i ståldorn ca.</v>
      </c>
      <c r="J394" s="250" t="e">
        <f>A!J503</f>
        <v>#N/A</v>
      </c>
      <c r="K394" s="315"/>
      <c r="L394" s="250" t="str">
        <f>A!L503</f>
        <v>gr.C</v>
      </c>
      <c r="M394" s="315"/>
    </row>
    <row r="395" spans="1:13">
      <c r="A395" s="315"/>
      <c r="B395" s="315"/>
      <c r="C395" s="315"/>
      <c r="D395" s="315"/>
      <c r="E395" s="315"/>
      <c r="F395" s="315"/>
      <c r="G395" s="315" t="e">
        <f>A!G504</f>
        <v>#N/A</v>
      </c>
      <c r="H395" s="315"/>
      <c r="I395" s="315"/>
      <c r="J395" s="315"/>
      <c r="K395" s="315"/>
      <c r="L395" s="315"/>
      <c r="M395" s="315"/>
    </row>
    <row r="396" spans="1:13" ht="19.5">
      <c r="A396" s="315"/>
      <c r="B396" s="315"/>
      <c r="C396" s="315"/>
      <c r="D396" s="379" t="str">
        <f>A!D505</f>
        <v xml:space="preserve"> </v>
      </c>
      <c r="E396" s="315"/>
      <c r="F396" s="315"/>
      <c r="G396" s="315"/>
      <c r="H396" s="315"/>
      <c r="I396" s="315"/>
      <c r="J396" s="315"/>
      <c r="K396" s="315"/>
      <c r="L396" s="315"/>
      <c r="M396" s="315"/>
    </row>
    <row r="397" spans="1:13" ht="19.5">
      <c r="A397" s="315"/>
      <c r="B397" s="315"/>
      <c r="C397" s="315"/>
      <c r="D397" s="379" t="str">
        <f>A!D506</f>
        <v xml:space="preserve"> </v>
      </c>
      <c r="E397" s="315"/>
      <c r="F397" s="315"/>
      <c r="G397" s="315"/>
      <c r="H397" s="315"/>
      <c r="I397" s="315"/>
      <c r="J397" s="315"/>
      <c r="K397" s="315"/>
      <c r="L397" s="315"/>
      <c r="M397" s="315"/>
    </row>
    <row r="398" spans="1:13" ht="19.5">
      <c r="A398" s="315"/>
      <c r="B398" s="315"/>
      <c r="C398" s="315"/>
      <c r="D398" s="379" t="str">
        <f>A!D507</f>
        <v xml:space="preserve"> </v>
      </c>
      <c r="E398" s="315"/>
      <c r="F398" s="315"/>
      <c r="G398" s="315"/>
      <c r="H398" s="315"/>
      <c r="I398" s="241"/>
      <c r="J398" s="323"/>
      <c r="K398" s="315"/>
      <c r="L398" s="315"/>
      <c r="M398" s="315"/>
    </row>
    <row r="399" spans="1:13" ht="19.5">
      <c r="A399" s="315"/>
      <c r="B399" s="315"/>
      <c r="C399" s="315"/>
      <c r="D399" s="379"/>
      <c r="E399" s="315"/>
      <c r="F399" s="315"/>
      <c r="G399" s="315"/>
      <c r="H399" s="315"/>
      <c r="I399" s="315"/>
      <c r="J399" s="323"/>
      <c r="K399" s="315"/>
      <c r="L399" s="323"/>
      <c r="M399" s="315"/>
    </row>
    <row r="400" spans="1:13">
      <c r="A400" s="315"/>
      <c r="B400" s="315"/>
      <c r="C400" s="315"/>
      <c r="D400" s="315"/>
      <c r="E400" s="315"/>
      <c r="F400" s="315"/>
      <c r="G400" s="315"/>
      <c r="H400" s="315"/>
      <c r="I400" s="315"/>
      <c r="J400" s="315"/>
      <c r="K400" s="315"/>
      <c r="L400" s="315"/>
      <c r="M400" s="315"/>
    </row>
  </sheetData>
  <sheetProtection algorithmName="SHA-512" hashValue="gKK3UOr/co5p2y3T/NUUqhiHDtVj5dsGKu/tpwaklu58KkDvh3Zr5V78YfFD5Qx+TRtEaJbIaXkdrLgLIXfFrQ==" saltValue="01rdZdeBHbPagFrkwJSgWw==" spinCount="100000" sheet="1" objects="1" scenarios="1"/>
  <printOptions horizontalCentered="1"/>
  <pageMargins left="0.98425196850393704" right="0.39370078740157483" top="0.39370078740157483" bottom="0.19685039370078741" header="0" footer="0"/>
  <pageSetup paperSize="9" scale="79"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10242" r:id="rId5" name="Button 2">
              <controlPr locked="0" defaultSize="0" print="0" autoFill="0" autoLine="0" autoPict="0" macro="[0]!GÅTILBAGETILarkA">
                <anchor moveWithCells="1" sizeWithCells="1">
                  <from>
                    <xdr:col>11</xdr:col>
                    <xdr:colOff>428625</xdr:colOff>
                    <xdr:row>6</xdr:row>
                    <xdr:rowOff>76200</xdr:rowOff>
                  </from>
                  <to>
                    <xdr:col>12</xdr:col>
                    <xdr:colOff>762000</xdr:colOff>
                    <xdr:row>9</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5">
    <pageSetUpPr fitToPage="1"/>
  </sheetPr>
  <dimension ref="A1:M59"/>
  <sheetViews>
    <sheetView zoomScale="87" zoomScaleNormal="87" workbookViewId="0">
      <selection activeCell="P43" sqref="P43"/>
    </sheetView>
  </sheetViews>
  <sheetFormatPr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77734375" customWidth="1"/>
    <col min="12" max="12" width="7.77734375" customWidth="1"/>
    <col min="13" max="13" width="9.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77734375" customWidth="1"/>
    <col min="268" max="268" width="7.77734375" customWidth="1"/>
    <col min="269" max="269" width="9.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77734375" customWidth="1"/>
    <col min="524" max="524" width="7.77734375" customWidth="1"/>
    <col min="525" max="525" width="9.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77734375" customWidth="1"/>
    <col min="780" max="780" width="7.77734375" customWidth="1"/>
    <col min="781" max="781" width="9.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77734375" customWidth="1"/>
    <col min="1036" max="1036" width="7.77734375" customWidth="1"/>
    <col min="1037" max="1037" width="9.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77734375" customWidth="1"/>
    <col min="1292" max="1292" width="7.77734375" customWidth="1"/>
    <col min="1293" max="1293" width="9.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77734375" customWidth="1"/>
    <col min="1548" max="1548" width="7.77734375" customWidth="1"/>
    <col min="1549" max="1549" width="9.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77734375" customWidth="1"/>
    <col min="1804" max="1804" width="7.77734375" customWidth="1"/>
    <col min="1805" max="1805" width="9.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77734375" customWidth="1"/>
    <col min="2060" max="2060" width="7.77734375" customWidth="1"/>
    <col min="2061" max="2061" width="9.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77734375" customWidth="1"/>
    <col min="2316" max="2316" width="7.77734375" customWidth="1"/>
    <col min="2317" max="2317" width="9.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77734375" customWidth="1"/>
    <col min="2572" max="2572" width="7.77734375" customWidth="1"/>
    <col min="2573" max="2573" width="9.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77734375" customWidth="1"/>
    <col min="2828" max="2828" width="7.77734375" customWidth="1"/>
    <col min="2829" max="2829" width="9.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77734375" customWidth="1"/>
    <col min="3084" max="3084" width="7.77734375" customWidth="1"/>
    <col min="3085" max="3085" width="9.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77734375" customWidth="1"/>
    <col min="3340" max="3340" width="7.77734375" customWidth="1"/>
    <col min="3341" max="3341" width="9.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77734375" customWidth="1"/>
    <col min="3596" max="3596" width="7.77734375" customWidth="1"/>
    <col min="3597" max="3597" width="9.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77734375" customWidth="1"/>
    <col min="3852" max="3852" width="7.77734375" customWidth="1"/>
    <col min="3853" max="3853" width="9.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77734375" customWidth="1"/>
    <col min="4108" max="4108" width="7.77734375" customWidth="1"/>
    <col min="4109" max="4109" width="9.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77734375" customWidth="1"/>
    <col min="4364" max="4364" width="7.77734375" customWidth="1"/>
    <col min="4365" max="4365" width="9.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77734375" customWidth="1"/>
    <col min="4620" max="4620" width="7.77734375" customWidth="1"/>
    <col min="4621" max="4621" width="9.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77734375" customWidth="1"/>
    <col min="4876" max="4876" width="7.77734375" customWidth="1"/>
    <col min="4877" max="4877" width="9.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77734375" customWidth="1"/>
    <col min="5132" max="5132" width="7.77734375" customWidth="1"/>
    <col min="5133" max="5133" width="9.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77734375" customWidth="1"/>
    <col min="5388" max="5388" width="7.77734375" customWidth="1"/>
    <col min="5389" max="5389" width="9.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77734375" customWidth="1"/>
    <col min="5644" max="5644" width="7.77734375" customWidth="1"/>
    <col min="5645" max="5645" width="9.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77734375" customWidth="1"/>
    <col min="5900" max="5900" width="7.77734375" customWidth="1"/>
    <col min="5901" max="5901" width="9.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77734375" customWidth="1"/>
    <col min="6156" max="6156" width="7.77734375" customWidth="1"/>
    <col min="6157" max="6157" width="9.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77734375" customWidth="1"/>
    <col min="6412" max="6412" width="7.77734375" customWidth="1"/>
    <col min="6413" max="6413" width="9.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77734375" customWidth="1"/>
    <col min="6668" max="6668" width="7.77734375" customWidth="1"/>
    <col min="6669" max="6669" width="9.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77734375" customWidth="1"/>
    <col min="6924" max="6924" width="7.77734375" customWidth="1"/>
    <col min="6925" max="6925" width="9.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77734375" customWidth="1"/>
    <col min="7180" max="7180" width="7.77734375" customWidth="1"/>
    <col min="7181" max="7181" width="9.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77734375" customWidth="1"/>
    <col min="7436" max="7436" width="7.77734375" customWidth="1"/>
    <col min="7437" max="7437" width="9.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77734375" customWidth="1"/>
    <col min="7692" max="7692" width="7.77734375" customWidth="1"/>
    <col min="7693" max="7693" width="9.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77734375" customWidth="1"/>
    <col min="7948" max="7948" width="7.77734375" customWidth="1"/>
    <col min="7949" max="7949" width="9.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77734375" customWidth="1"/>
    <col min="8204" max="8204" width="7.77734375" customWidth="1"/>
    <col min="8205" max="8205" width="9.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77734375" customWidth="1"/>
    <col min="8460" max="8460" width="7.77734375" customWidth="1"/>
    <col min="8461" max="8461" width="9.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77734375" customWidth="1"/>
    <col min="8716" max="8716" width="7.77734375" customWidth="1"/>
    <col min="8717" max="8717" width="9.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77734375" customWidth="1"/>
    <col min="8972" max="8972" width="7.77734375" customWidth="1"/>
    <col min="8973" max="8973" width="9.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77734375" customWidth="1"/>
    <col min="9228" max="9228" width="7.77734375" customWidth="1"/>
    <col min="9229" max="9229" width="9.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77734375" customWidth="1"/>
    <col min="9484" max="9484" width="7.77734375" customWidth="1"/>
    <col min="9485" max="9485" width="9.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77734375" customWidth="1"/>
    <col min="9740" max="9740" width="7.77734375" customWidth="1"/>
    <col min="9741" max="9741" width="9.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77734375" customWidth="1"/>
    <col min="9996" max="9996" width="7.77734375" customWidth="1"/>
    <col min="9997" max="9997" width="9.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77734375" customWidth="1"/>
    <col min="10252" max="10252" width="7.77734375" customWidth="1"/>
    <col min="10253" max="10253" width="9.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77734375" customWidth="1"/>
    <col min="10508" max="10508" width="7.77734375" customWidth="1"/>
    <col min="10509" max="10509" width="9.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77734375" customWidth="1"/>
    <col min="10764" max="10764" width="7.77734375" customWidth="1"/>
    <col min="10765" max="10765" width="9.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77734375" customWidth="1"/>
    <col min="11020" max="11020" width="7.77734375" customWidth="1"/>
    <col min="11021" max="11021" width="9.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77734375" customWidth="1"/>
    <col min="11276" max="11276" width="7.77734375" customWidth="1"/>
    <col min="11277" max="11277" width="9.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77734375" customWidth="1"/>
    <col min="11532" max="11532" width="7.77734375" customWidth="1"/>
    <col min="11533" max="11533" width="9.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77734375" customWidth="1"/>
    <col min="11788" max="11788" width="7.77734375" customWidth="1"/>
    <col min="11789" max="11789" width="9.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77734375" customWidth="1"/>
    <col min="12044" max="12044" width="7.77734375" customWidth="1"/>
    <col min="12045" max="12045" width="9.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77734375" customWidth="1"/>
    <col min="12300" max="12300" width="7.77734375" customWidth="1"/>
    <col min="12301" max="12301" width="9.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77734375" customWidth="1"/>
    <col min="12556" max="12556" width="7.77734375" customWidth="1"/>
    <col min="12557" max="12557" width="9.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77734375" customWidth="1"/>
    <col min="12812" max="12812" width="7.77734375" customWidth="1"/>
    <col min="12813" max="12813" width="9.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77734375" customWidth="1"/>
    <col min="13068" max="13068" width="7.77734375" customWidth="1"/>
    <col min="13069" max="13069" width="9.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77734375" customWidth="1"/>
    <col min="13324" max="13324" width="7.77734375" customWidth="1"/>
    <col min="13325" max="13325" width="9.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77734375" customWidth="1"/>
    <col min="13580" max="13580" width="7.77734375" customWidth="1"/>
    <col min="13581" max="13581" width="9.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77734375" customWidth="1"/>
    <col min="13836" max="13836" width="7.77734375" customWidth="1"/>
    <col min="13837" max="13837" width="9.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77734375" customWidth="1"/>
    <col min="14092" max="14092" width="7.77734375" customWidth="1"/>
    <col min="14093" max="14093" width="9.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77734375" customWidth="1"/>
    <col min="14348" max="14348" width="7.77734375" customWidth="1"/>
    <col min="14349" max="14349" width="9.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77734375" customWidth="1"/>
    <col min="14604" max="14604" width="7.77734375" customWidth="1"/>
    <col min="14605" max="14605" width="9.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77734375" customWidth="1"/>
    <col min="14860" max="14860" width="7.77734375" customWidth="1"/>
    <col min="14861" max="14861" width="9.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77734375" customWidth="1"/>
    <col min="15116" max="15116" width="7.77734375" customWidth="1"/>
    <col min="15117" max="15117" width="9.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77734375" customWidth="1"/>
    <col min="15372" max="15372" width="7.77734375" customWidth="1"/>
    <col min="15373" max="15373" width="9.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77734375" customWidth="1"/>
    <col min="15628" max="15628" width="7.77734375" customWidth="1"/>
    <col min="15629" max="15629" width="9.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77734375" customWidth="1"/>
    <col min="15884" max="15884" width="7.77734375" customWidth="1"/>
    <col min="15885" max="15885" width="9.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77734375" customWidth="1"/>
    <col min="16140" max="16140" width="7.77734375" customWidth="1"/>
    <col min="16141" max="16141" width="9.77734375" customWidth="1"/>
  </cols>
  <sheetData>
    <row r="1" spans="1:13" ht="9.9499999999999993" customHeight="1">
      <c r="A1" s="1"/>
      <c r="B1" s="2" t="s">
        <v>0</v>
      </c>
      <c r="C1" s="3"/>
      <c r="D1" s="3"/>
      <c r="E1" s="3"/>
      <c r="F1" s="3"/>
      <c r="G1" s="3"/>
      <c r="H1" s="3" t="s">
        <v>1</v>
      </c>
      <c r="I1" s="2" t="s">
        <v>2</v>
      </c>
      <c r="J1" s="3"/>
      <c r="K1" s="3"/>
      <c r="L1" s="4" t="s">
        <v>3</v>
      </c>
      <c r="M1" s="420"/>
    </row>
    <row r="2" spans="1:13" ht="15" customHeight="1">
      <c r="A2" s="8" t="str">
        <f>A!A2</f>
        <v>kriptologia</v>
      </c>
      <c r="B2" s="9" t="s">
        <v>1</v>
      </c>
      <c r="C2" s="311">
        <f>A!C2</f>
        <v>0</v>
      </c>
      <c r="D2" s="11"/>
      <c r="E2" s="11"/>
      <c r="F2" s="11"/>
      <c r="G2" s="11"/>
      <c r="H2" s="11"/>
      <c r="I2" s="312"/>
      <c r="J2" s="313" t="str">
        <f>A!J2</f>
        <v xml:space="preserve"> </v>
      </c>
      <c r="K2" s="11"/>
      <c r="L2" s="11"/>
      <c r="M2" s="314"/>
    </row>
    <row r="3" spans="1:13" ht="9.9499999999999993" customHeight="1">
      <c r="A3" s="26"/>
      <c r="B3" s="2" t="s">
        <v>14</v>
      </c>
      <c r="C3" s="315"/>
      <c r="D3" s="316"/>
      <c r="E3" s="316"/>
      <c r="F3" s="315"/>
      <c r="G3" s="315"/>
      <c r="H3" s="315"/>
      <c r="I3" s="28" t="s">
        <v>15</v>
      </c>
      <c r="J3" s="315"/>
      <c r="K3" s="315"/>
      <c r="L3" s="419"/>
      <c r="M3" s="317"/>
    </row>
    <row r="4" spans="1:13" ht="15" customHeight="1">
      <c r="A4" s="20"/>
      <c r="B4" s="9"/>
      <c r="C4" s="311">
        <f>A!C4</f>
        <v>0</v>
      </c>
      <c r="D4" s="11"/>
      <c r="E4" s="11"/>
      <c r="F4" s="11"/>
      <c r="G4" s="11"/>
      <c r="H4" s="318"/>
      <c r="I4" s="312"/>
      <c r="J4" s="32">
        <f>A!J4</f>
        <v>44118.352581712963</v>
      </c>
      <c r="K4" s="33"/>
      <c r="L4" s="11"/>
      <c r="M4" s="318"/>
    </row>
    <row r="5" spans="1:13" ht="9.9499999999999993" customHeight="1">
      <c r="A5" s="36" t="s">
        <v>23</v>
      </c>
      <c r="B5" s="26"/>
      <c r="C5" s="315"/>
      <c r="D5" s="315"/>
      <c r="E5" s="315"/>
      <c r="F5" s="315"/>
      <c r="G5" s="315"/>
      <c r="H5" s="315"/>
      <c r="I5" s="37"/>
      <c r="J5" s="315"/>
      <c r="K5" s="37" t="str">
        <f>A!K5</f>
        <v xml:space="preserve">                                    N:\Opslag\Statik\Dalton statikark\RepoEC_190701 </v>
      </c>
      <c r="L5" s="419"/>
      <c r="M5" s="317"/>
    </row>
    <row r="6" spans="1:13">
      <c r="A6" s="271" t="str">
        <f>A!A6</f>
        <v>Tilst</v>
      </c>
      <c r="B6" s="9"/>
      <c r="C6" s="311">
        <f>A!C6</f>
        <v>0</v>
      </c>
      <c r="D6" s="11"/>
      <c r="E6" s="11"/>
      <c r="F6" s="11"/>
      <c r="G6" s="11"/>
      <c r="H6" s="11"/>
      <c r="I6" s="41" t="s">
        <v>28</v>
      </c>
      <c r="J6" s="272">
        <f>A!J6</f>
        <v>44118.353442013889</v>
      </c>
      <c r="K6" s="11"/>
      <c r="L6" s="43"/>
      <c r="M6" s="318"/>
    </row>
    <row r="8" spans="1:13">
      <c r="C8" t="s">
        <v>1057</v>
      </c>
    </row>
    <row r="9" spans="1:13">
      <c r="C9" t="s">
        <v>1058</v>
      </c>
    </row>
    <row r="10" spans="1:13">
      <c r="C10" t="s">
        <v>1059</v>
      </c>
    </row>
    <row r="11" spans="1:13">
      <c r="C11" t="s">
        <v>1060</v>
      </c>
    </row>
    <row r="12" spans="1:13">
      <c r="C12" t="s">
        <v>1061</v>
      </c>
    </row>
    <row r="14" spans="1:13">
      <c r="C14" s="319" t="str">
        <f>A!$B$313</f>
        <v>DORNE UDEN STÅLRØR OG UDEN OPHÆNGSBØJLE</v>
      </c>
    </row>
    <row r="16" spans="1:13">
      <c r="A16" s="315"/>
      <c r="D16" s="315"/>
      <c r="E16" s="315"/>
      <c r="F16" s="315"/>
      <c r="G16" s="315" t="str">
        <f>A!G314</f>
        <v>max. reaktion</v>
      </c>
      <c r="H16" s="315" t="str">
        <f>A!H314</f>
        <v>R</v>
      </c>
      <c r="I16" s="328" t="s">
        <v>112</v>
      </c>
      <c r="J16" s="320" t="e">
        <f>A!J314</f>
        <v>#N/A</v>
      </c>
      <c r="K16" s="315" t="str">
        <f>A!K314</f>
        <v>kN</v>
      </c>
      <c r="L16" s="315"/>
      <c r="M16" s="315"/>
    </row>
    <row r="17" spans="1:13">
      <c r="A17" s="315"/>
      <c r="B17" s="315"/>
      <c r="C17" s="321"/>
      <c r="D17" s="315"/>
      <c r="E17" s="241" t="str">
        <f>A!E106</f>
        <v xml:space="preserve">dornlængde  </v>
      </c>
      <c r="F17" s="322">
        <f>A!F106</f>
        <v>300</v>
      </c>
      <c r="G17" s="315" t="str">
        <f>A!G315</f>
        <v>afstand</v>
      </c>
      <c r="H17" s="315" t="str">
        <f>A!H315</f>
        <v>a3</v>
      </c>
      <c r="I17" s="328" t="s">
        <v>112</v>
      </c>
      <c r="J17" s="250">
        <f>A!J315</f>
        <v>141</v>
      </c>
      <c r="K17" s="315" t="str">
        <f>A!K315</f>
        <v>mm</v>
      </c>
      <c r="L17" s="320"/>
      <c r="M17" s="315"/>
    </row>
    <row r="18" spans="1:13">
      <c r="A18" s="315"/>
      <c r="B18" s="315"/>
      <c r="C18" s="235">
        <f>A!C107</f>
        <v>50</v>
      </c>
      <c r="D18" s="315"/>
      <c r="E18" s="315"/>
      <c r="F18" s="315"/>
      <c r="G18" s="315" t="str">
        <f>A!G316</f>
        <v>afstand</v>
      </c>
      <c r="H18" s="315" t="str">
        <f>A!H316</f>
        <v>a4</v>
      </c>
      <c r="I18" s="328" t="s">
        <v>112</v>
      </c>
      <c r="J18" s="250">
        <f>A!J316</f>
        <v>94</v>
      </c>
      <c r="K18" s="315" t="str">
        <f>A!K316</f>
        <v>mm</v>
      </c>
      <c r="L18" s="323"/>
      <c r="M18" s="315"/>
    </row>
    <row r="19" spans="1:13">
      <c r="A19" s="315"/>
      <c r="B19" s="315"/>
      <c r="C19" s="324">
        <f>A!C108</f>
        <v>50</v>
      </c>
      <c r="D19" s="235">
        <f>A!$D$108</f>
        <v>41</v>
      </c>
      <c r="E19" s="315"/>
      <c r="F19" s="315"/>
      <c r="G19" s="315"/>
      <c r="H19" s="315" t="str">
        <f>A!H317</f>
        <v>R3</v>
      </c>
      <c r="I19" s="315" t="str">
        <f>A!I317</f>
        <v>=</v>
      </c>
      <c r="J19" s="320" t="e">
        <f>A!J317</f>
        <v>#N/A</v>
      </c>
      <c r="K19" s="315" t="str">
        <f>A!K317</f>
        <v>kN</v>
      </c>
      <c r="L19" s="315"/>
      <c r="M19" s="315"/>
    </row>
    <row r="20" spans="1:13">
      <c r="A20" s="315"/>
      <c r="B20" s="315"/>
      <c r="C20" s="322">
        <f>A!C109</f>
        <v>50</v>
      </c>
      <c r="D20" s="315"/>
      <c r="E20" s="315"/>
      <c r="F20" s="321">
        <f>A!$F$109</f>
        <v>30</v>
      </c>
      <c r="G20" s="315"/>
      <c r="H20" s="315" t="str">
        <f>A!H318</f>
        <v>R4</v>
      </c>
      <c r="I20" s="315" t="str">
        <f>A!I318</f>
        <v>=</v>
      </c>
      <c r="J20" s="320" t="e">
        <f>A!J318</f>
        <v>#N/A</v>
      </c>
      <c r="K20" s="315" t="str">
        <f>A!K318</f>
        <v>kN</v>
      </c>
      <c r="L20" s="315"/>
      <c r="M20" s="315"/>
    </row>
    <row r="21" spans="1:13">
      <c r="A21" s="315"/>
      <c r="B21" s="315"/>
      <c r="C21" s="315"/>
      <c r="D21" s="315"/>
      <c r="E21" s="321"/>
      <c r="F21" s="315"/>
      <c r="G21" s="315" t="str">
        <f>A!G319</f>
        <v>2-snits arm.(3)</v>
      </c>
      <c r="H21" s="250">
        <f>A!H319</f>
        <v>1</v>
      </c>
      <c r="I21" s="315" t="str">
        <f>A!I319</f>
        <v>R3</v>
      </c>
      <c r="J21" s="250">
        <f>A!J319</f>
        <v>12</v>
      </c>
      <c r="K21" s="315" t="str">
        <f>A!K319</f>
        <v>stk,type,diameter</v>
      </c>
      <c r="L21" s="315"/>
      <c r="M21" s="315"/>
    </row>
    <row r="22" spans="1:13">
      <c r="A22" s="315"/>
      <c r="B22" s="315"/>
      <c r="C22" s="315"/>
      <c r="D22" s="315"/>
      <c r="E22" s="315"/>
      <c r="F22" s="315"/>
      <c r="G22" s="315"/>
      <c r="H22" s="315" t="str">
        <f>A!H320</f>
        <v>f yk</v>
      </c>
      <c r="I22" s="328" t="s">
        <v>112</v>
      </c>
      <c r="J22" s="250">
        <f>A!J320</f>
        <v>355</v>
      </c>
      <c r="K22" s="315" t="str">
        <f>A!K320</f>
        <v>N/mm2</v>
      </c>
      <c r="L22" s="315"/>
      <c r="M22" s="315"/>
    </row>
    <row r="23" spans="1:13">
      <c r="A23" s="315"/>
      <c r="B23" s="315"/>
      <c r="C23" s="315"/>
      <c r="D23" s="315"/>
      <c r="E23" s="315"/>
      <c r="F23" s="325"/>
      <c r="G23" s="315" t="str">
        <f>A!$G$321</f>
        <v>h</v>
      </c>
      <c r="H23" s="315" t="str">
        <f>A!H321</f>
        <v>f yd</v>
      </c>
      <c r="I23" s="328" t="s">
        <v>112</v>
      </c>
      <c r="J23" s="250">
        <f>A!J321</f>
        <v>295.83333333333337</v>
      </c>
      <c r="K23" s="315" t="str">
        <f>A!K321</f>
        <v>N/mm2</v>
      </c>
      <c r="L23" s="315"/>
      <c r="M23" s="315"/>
    </row>
    <row r="24" spans="1:13">
      <c r="A24" s="315"/>
      <c r="B24" s="315"/>
      <c r="C24" s="315" t="str">
        <f>A!$C$322</f>
        <v xml:space="preserve"> R</v>
      </c>
      <c r="D24" s="315"/>
      <c r="E24" s="315"/>
      <c r="F24" s="315"/>
      <c r="G24" s="315"/>
      <c r="H24" s="315" t="str">
        <f>A!H322</f>
        <v>A s</v>
      </c>
      <c r="I24" s="328" t="s">
        <v>112</v>
      </c>
      <c r="J24" s="250">
        <f>A!J322</f>
        <v>226.1946710584651</v>
      </c>
      <c r="K24" s="315" t="str">
        <f>A!K322</f>
        <v>mm2</v>
      </c>
      <c r="L24" s="315"/>
      <c r="M24" s="315"/>
    </row>
    <row r="25" spans="1:13">
      <c r="A25" s="315"/>
      <c r="B25" s="315"/>
      <c r="C25" s="241"/>
      <c r="D25" s="315"/>
      <c r="E25" s="315" t="str">
        <f>A!E114</f>
        <v>R3</v>
      </c>
      <c r="F25" s="321" t="str">
        <f>A!F114</f>
        <v xml:space="preserve">R4    </v>
      </c>
      <c r="G25" s="315" t="str">
        <f>A!G323</f>
        <v>bæreevne (3)</v>
      </c>
      <c r="H25" s="320">
        <f>A!H323</f>
        <v>66.915923521462602</v>
      </c>
      <c r="I25" s="315"/>
      <c r="J25" s="315" t="str">
        <f>A!J323</f>
        <v>kN</v>
      </c>
      <c r="K25" s="315" t="e">
        <f>A!K323</f>
        <v>#N/A</v>
      </c>
      <c r="L25" s="320" t="e">
        <f>A!L323</f>
        <v>#N/A</v>
      </c>
      <c r="M25" s="315" t="e">
        <f>A!M323</f>
        <v>#N/A</v>
      </c>
    </row>
    <row r="26" spans="1:13" ht="15.75">
      <c r="A26" s="315"/>
      <c r="B26" s="315"/>
      <c r="C26" s="315"/>
      <c r="D26" s="315"/>
      <c r="E26" s="315"/>
      <c r="F26" s="315"/>
      <c r="G26" s="315"/>
      <c r="H26" s="304"/>
      <c r="I26" s="315"/>
      <c r="J26" s="315"/>
      <c r="K26" s="315"/>
      <c r="L26" s="315"/>
      <c r="M26" s="315"/>
    </row>
    <row r="27" spans="1:13">
      <c r="A27" s="315"/>
      <c r="B27" s="315"/>
      <c r="C27" s="241" t="str">
        <f>A!$C$116</f>
        <v xml:space="preserve">   a3</v>
      </c>
      <c r="D27" s="315"/>
      <c r="E27" s="241" t="str">
        <f>A!$E$116</f>
        <v>a4</v>
      </c>
      <c r="F27" s="315"/>
      <c r="G27" s="315" t="str">
        <f>A!G122</f>
        <v>gennemlokn. V Rd</v>
      </c>
      <c r="H27" s="320" t="e">
        <f>A!H122</f>
        <v>#N/A</v>
      </c>
      <c r="I27" s="326"/>
      <c r="J27" s="326" t="str">
        <f>A!J122</f>
        <v>kN</v>
      </c>
      <c r="K27" s="326" t="e">
        <f>A!K122</f>
        <v>#N/A</v>
      </c>
      <c r="L27" s="320" t="e">
        <f>A!L122</f>
        <v>#N/A</v>
      </c>
      <c r="M27" s="315" t="e">
        <f>A!M122</f>
        <v>#N/A</v>
      </c>
    </row>
    <row r="28" spans="1:13">
      <c r="A28" s="315"/>
      <c r="B28" s="315"/>
      <c r="C28" s="315"/>
      <c r="D28" s="315"/>
      <c r="E28" s="315"/>
      <c r="F28" s="315"/>
    </row>
    <row r="29" spans="1:13">
      <c r="C29" s="319" t="s">
        <v>675</v>
      </c>
      <c r="H29" s="46" t="str">
        <f>A!H291</f>
        <v>R4</v>
      </c>
      <c r="I29" s="328" t="s">
        <v>112</v>
      </c>
      <c r="J29" s="24" t="e">
        <f>A!J291</f>
        <v>#N/A</v>
      </c>
      <c r="K29" t="str">
        <f>A!K291</f>
        <v>kN</v>
      </c>
    </row>
    <row r="30" spans="1:13">
      <c r="C30" s="321"/>
      <c r="D30" s="241"/>
      <c r="H30" s="46" t="str">
        <f>A!H292</f>
        <v>fck</v>
      </c>
      <c r="I30" s="328" t="s">
        <v>112</v>
      </c>
      <c r="J30" s="51">
        <f>A!J292</f>
        <v>30</v>
      </c>
      <c r="K30" t="str">
        <f>A!K292</f>
        <v>N/mm2</v>
      </c>
    </row>
    <row r="31" spans="1:13">
      <c r="C31" s="325"/>
      <c r="H31" s="46" t="str">
        <f>A!H293</f>
        <v>gamma C</v>
      </c>
      <c r="I31" s="328" t="s">
        <v>112</v>
      </c>
      <c r="J31" s="49">
        <f>A!J293</f>
        <v>1.4</v>
      </c>
    </row>
    <row r="32" spans="1:13">
      <c r="E32" s="19"/>
      <c r="H32" s="46" t="str">
        <f>A!H294</f>
        <v>effektivitetsfaktor v</v>
      </c>
      <c r="I32" s="328" t="s">
        <v>112</v>
      </c>
      <c r="J32" s="24">
        <f>A!J294</f>
        <v>0.6</v>
      </c>
    </row>
    <row r="33" spans="1:13">
      <c r="H33" s="46" t="str">
        <f>A!H295</f>
        <v>nyttehøjde d</v>
      </c>
      <c r="I33" s="328" t="s">
        <v>112</v>
      </c>
      <c r="J33" s="51" t="e">
        <f>A!J295</f>
        <v>#N/A</v>
      </c>
      <c r="K33" t="str">
        <f>A!K295</f>
        <v>mm</v>
      </c>
    </row>
    <row r="34" spans="1:13">
      <c r="D34" s="46" t="s">
        <v>104</v>
      </c>
      <c r="F34" s="46" t="s">
        <v>120</v>
      </c>
      <c r="H34" s="46" t="str">
        <f>A!H296</f>
        <v>As, diam. centerafst.</v>
      </c>
      <c r="I34" s="63">
        <f>A!I296</f>
        <v>8</v>
      </c>
      <c r="J34" s="327">
        <f>A!J296</f>
        <v>150</v>
      </c>
      <c r="K34" t="str">
        <f>A!K296</f>
        <v>mm i begge retn.</v>
      </c>
    </row>
    <row r="35" spans="1:13">
      <c r="H35" s="46" t="str">
        <f>A!H297</f>
        <v>armeringsfohold</v>
      </c>
      <c r="J35" s="239" t="e">
        <f>A!J297</f>
        <v>#N/A</v>
      </c>
    </row>
    <row r="36" spans="1:13">
      <c r="A36" s="240" t="e">
        <f>A!A298</f>
        <v>#N/A</v>
      </c>
      <c r="F36" s="19" t="s">
        <v>549</v>
      </c>
      <c r="G36" s="46" t="str">
        <f>A!$G$298</f>
        <v>k=</v>
      </c>
      <c r="H36" s="49" t="e">
        <f>A!H298</f>
        <v>#N/A</v>
      </c>
      <c r="I36" s="48" t="str">
        <f>A!I298</f>
        <v>=&gt;</v>
      </c>
      <c r="J36" s="24" t="e">
        <f>A!J298</f>
        <v>#N/A</v>
      </c>
    </row>
    <row r="37" spans="1:13">
      <c r="A37" s="240" t="e">
        <f>A!A299</f>
        <v>#N/A</v>
      </c>
      <c r="B37" t="e">
        <f>A!B299</f>
        <v>#N/A</v>
      </c>
      <c r="H37" s="46" t="str">
        <f>A!H299</f>
        <v>vRd,C</v>
      </c>
      <c r="I37" s="328" t="s">
        <v>112</v>
      </c>
      <c r="J37" s="67" t="e">
        <f>A!J299</f>
        <v>#N/A</v>
      </c>
    </row>
    <row r="38" spans="1:13">
      <c r="B38" t="e">
        <f>A!B300</f>
        <v>#N/A</v>
      </c>
      <c r="F38" s="321">
        <f>A!$F$300</f>
        <v>30</v>
      </c>
      <c r="H38" s="46" t="str">
        <f>A!H300</f>
        <v>primær kontrolperimeter u</v>
      </c>
      <c r="I38" s="328" t="s">
        <v>112</v>
      </c>
      <c r="J38" s="51" t="e">
        <f>A!J300</f>
        <v>#N/A</v>
      </c>
      <c r="K38" t="str">
        <f>A!K300</f>
        <v>mm</v>
      </c>
    </row>
    <row r="39" spans="1:13">
      <c r="H39" s="46" t="str">
        <f>A!H301</f>
        <v>bæreevne V Rd</v>
      </c>
      <c r="I39" s="328" t="s">
        <v>112</v>
      </c>
      <c r="J39" s="24" t="e">
        <f>A!J301</f>
        <v>#N/A</v>
      </c>
      <c r="K39" t="e">
        <f>A!K301</f>
        <v>#N/A</v>
      </c>
      <c r="L39" s="24" t="e">
        <f>A!L301</f>
        <v>#N/A</v>
      </c>
      <c r="M39" t="e">
        <f>A!M301</f>
        <v>#N/A</v>
      </c>
    </row>
    <row r="40" spans="1:13">
      <c r="E40" s="46" t="str">
        <f>A!$E$302</f>
        <v>2d</v>
      </c>
      <c r="F40" s="241">
        <f>A!$F$302</f>
        <v>65</v>
      </c>
    </row>
    <row r="41" spans="1:13">
      <c r="F41" s="69"/>
      <c r="G41" t="str">
        <f>A!$F$304</f>
        <v>u</v>
      </c>
    </row>
    <row r="42" spans="1:13">
      <c r="F42" s="19"/>
    </row>
    <row r="43" spans="1:13">
      <c r="C43" s="319" t="str">
        <f>A!$B$328</f>
        <v>DORNE MED STÅLRØR OG OPHÆNGSBØJLE</v>
      </c>
    </row>
    <row r="44" spans="1:13">
      <c r="C44" s="325"/>
      <c r="F44" s="35"/>
      <c r="G44" s="212">
        <f>A!$G$329</f>
        <v>80</v>
      </c>
    </row>
    <row r="45" spans="1:13">
      <c r="E45" s="19"/>
      <c r="G45" s="46" t="str">
        <f>A!G330</f>
        <v>bøjle</v>
      </c>
      <c r="H45" s="250">
        <f>A!H330</f>
        <v>1</v>
      </c>
      <c r="I45" s="19" t="str">
        <f>A!I330</f>
        <v>K</v>
      </c>
      <c r="J45" s="51">
        <f>A!J330</f>
        <v>8</v>
      </c>
      <c r="K45" t="str">
        <f>A!K330</f>
        <v>stk, type, diam.</v>
      </c>
    </row>
    <row r="46" spans="1:13" ht="15" customHeight="1">
      <c r="K46" s="46" t="str">
        <f>A!K331</f>
        <v xml:space="preserve"> </v>
      </c>
      <c r="L46" s="247" t="str">
        <f>A!L331</f>
        <v xml:space="preserve"> </v>
      </c>
    </row>
    <row r="47" spans="1:13">
      <c r="F47" s="55"/>
      <c r="G47" s="46" t="str">
        <f>A!G332</f>
        <v>afstand</v>
      </c>
      <c r="H47" s="120" t="str">
        <f>A!H332</f>
        <v>a5</v>
      </c>
      <c r="I47" s="328" t="s">
        <v>112</v>
      </c>
      <c r="J47" s="250">
        <f>A!J332</f>
        <v>179</v>
      </c>
      <c r="K47" t="str">
        <f>A!K332</f>
        <v>mm</v>
      </c>
    </row>
    <row r="48" spans="1:13">
      <c r="C48" t="str">
        <f>A!$C$333</f>
        <v xml:space="preserve"> R</v>
      </c>
      <c r="G48" s="46" t="str">
        <f>A!G333</f>
        <v>reaktion</v>
      </c>
      <c r="H48" s="120" t="str">
        <f>A!H333</f>
        <v>R5</v>
      </c>
      <c r="I48" s="328" t="s">
        <v>112</v>
      </c>
      <c r="J48" s="24" t="e">
        <f>A!J333</f>
        <v>#N/A</v>
      </c>
      <c r="K48" t="str">
        <f>A!K333</f>
        <v>kN</v>
      </c>
    </row>
    <row r="49" spans="3:13">
      <c r="C49" s="46"/>
      <c r="E49" t="str">
        <f>A!E334</f>
        <v>R5</v>
      </c>
      <c r="F49" s="46" t="str">
        <f>A!F334</f>
        <v xml:space="preserve">R6  </v>
      </c>
      <c r="G49" s="46" t="str">
        <f>A!G334</f>
        <v>reaktion</v>
      </c>
      <c r="H49" s="120" t="str">
        <f>A!H334</f>
        <v>R6</v>
      </c>
      <c r="I49" s="328" t="s">
        <v>112</v>
      </c>
      <c r="J49" s="24" t="e">
        <f>A!J334</f>
        <v>#N/A</v>
      </c>
      <c r="K49" t="e">
        <f>A!K334</f>
        <v>#N/A</v>
      </c>
      <c r="L49">
        <f>A!L334</f>
        <v>26</v>
      </c>
      <c r="M49" t="e">
        <f>A!M334</f>
        <v>#N/A</v>
      </c>
    </row>
    <row r="50" spans="3:13">
      <c r="C50" s="46" t="str">
        <f>A!$C$335</f>
        <v xml:space="preserve">   a3</v>
      </c>
      <c r="F50" t="str">
        <f>A!$F$335</f>
        <v>a5</v>
      </c>
      <c r="G50" s="46" t="str">
        <f>A!G336</f>
        <v>bæreevne (3)</v>
      </c>
      <c r="H50" s="24">
        <f>A!H336</f>
        <v>66.915923521462602</v>
      </c>
      <c r="J50" t="str">
        <f>A!J336</f>
        <v>kN</v>
      </c>
      <c r="K50" t="e">
        <f>A!K336</f>
        <v>#N/A</v>
      </c>
      <c r="L50" s="24" t="e">
        <f>A!L336</f>
        <v>#N/A</v>
      </c>
      <c r="M50" t="e">
        <f>A!M336</f>
        <v>#N/A</v>
      </c>
    </row>
    <row r="52" spans="3:13">
      <c r="E52" s="19"/>
      <c r="F52" s="212" t="str">
        <f>A!$F$338</f>
        <v>R4</v>
      </c>
      <c r="G52" s="46" t="str">
        <f>A!G338</f>
        <v>afstand</v>
      </c>
      <c r="H52" s="120" t="str">
        <f>A!H338</f>
        <v>a7</v>
      </c>
      <c r="I52" s="328" t="s">
        <v>112</v>
      </c>
      <c r="J52" s="250">
        <f>A!J338</f>
        <v>85</v>
      </c>
      <c r="K52" t="str">
        <f>A!K338</f>
        <v>mm</v>
      </c>
    </row>
    <row r="53" spans="3:13">
      <c r="H53" s="46" t="str">
        <f>A!H339</f>
        <v>udvendig rørdiameter</v>
      </c>
      <c r="I53" s="328" t="s">
        <v>112</v>
      </c>
      <c r="J53" s="320">
        <f>A!J339</f>
        <v>75.3</v>
      </c>
      <c r="K53" t="str">
        <f>A!K339</f>
        <v>mm</v>
      </c>
    </row>
    <row r="54" spans="3:13">
      <c r="F54" s="55"/>
      <c r="H54" s="46" t="str">
        <f>A!H340</f>
        <v>rørtykkelse</v>
      </c>
      <c r="I54" s="328" t="s">
        <v>112</v>
      </c>
      <c r="J54" s="320">
        <f>A!J340</f>
        <v>4.5</v>
      </c>
      <c r="K54" t="str">
        <f>A!K340</f>
        <v>mm</v>
      </c>
    </row>
    <row r="55" spans="3:13">
      <c r="E55" t="str">
        <f>A!E341</f>
        <v>a4</v>
      </c>
      <c r="F55" s="168" t="str">
        <f>A!F341</f>
        <v>a7</v>
      </c>
      <c r="H55" s="46" t="str">
        <f>A!H341</f>
        <v>indvendig rørdiameter</v>
      </c>
      <c r="I55" s="328" t="s">
        <v>112</v>
      </c>
      <c r="J55" s="24">
        <f>A!J341</f>
        <v>66.3</v>
      </c>
      <c r="K55" t="str">
        <f>A!K341</f>
        <v>mm</v>
      </c>
    </row>
    <row r="56" spans="3:13">
      <c r="C56" s="46"/>
      <c r="F56" s="46"/>
      <c r="H56" s="46" t="str">
        <f>A!H342</f>
        <v>rør i stålkvalitet</v>
      </c>
      <c r="I56" s="46" t="str">
        <f>A!I342</f>
        <v>S</v>
      </c>
      <c r="J56" s="55">
        <f>A!J342</f>
        <v>195</v>
      </c>
      <c r="K56" t="str">
        <f>A!K342</f>
        <v>fyk N/mm2:=</v>
      </c>
      <c r="M56" s="69">
        <f>A!M342</f>
        <v>235</v>
      </c>
    </row>
    <row r="57" spans="3:13">
      <c r="D57" t="s">
        <v>756</v>
      </c>
      <c r="H57" s="46" t="str">
        <f>A!H343</f>
        <v>modstandsmoment rør</v>
      </c>
      <c r="I57" s="328" t="s">
        <v>112</v>
      </c>
      <c r="J57" s="51">
        <f>A!J343</f>
        <v>16724.691479926005</v>
      </c>
      <c r="K57" t="str">
        <f>A!K343</f>
        <v>mm3</v>
      </c>
    </row>
    <row r="58" spans="3:13">
      <c r="H58" s="46" t="str">
        <f>A!H344</f>
        <v>moment</v>
      </c>
      <c r="I58" s="328" t="s">
        <v>112</v>
      </c>
      <c r="J58" s="24" t="e">
        <f>A!J344</f>
        <v>#N/A</v>
      </c>
      <c r="K58" t="str">
        <f>A!K344</f>
        <v>kNm</v>
      </c>
    </row>
    <row r="59" spans="3:13">
      <c r="G59" s="46" t="str">
        <f>A!G345</f>
        <v>stålspænding i rør</v>
      </c>
      <c r="H59" s="51" t="e">
        <f>A!H345</f>
        <v>#N/A</v>
      </c>
      <c r="J59" t="str">
        <f>A!J345</f>
        <v>N/mm2</v>
      </c>
      <c r="K59" t="e">
        <f>A!K345</f>
        <v>#N/A</v>
      </c>
      <c r="L59" s="51">
        <f>A!L345</f>
        <v>213.63636363636363</v>
      </c>
      <c r="M59" t="e">
        <f>A!M345</f>
        <v>#N/A</v>
      </c>
    </row>
  </sheetData>
  <sheetProtection algorithmName="SHA-512" hashValue="faNw1YD9gXByroH9MQYtzEBQEso67QNjtosUaz5s9cjZ6qbaE/Xm2x8u3C+YKL+IzGCeMdEiKc43V/v+XOElLQ==" saltValue="lhssNOG0hHcx/s0ePtUA2A==" spinCount="100000" sheet="1" objects="1" scenarios="1"/>
  <printOptions horizontalCentered="1"/>
  <pageMargins left="0.98425196850393704" right="0.39370078740157483" top="0.39370078740157483" bottom="0.19685039370078741" header="0" footer="0"/>
  <pageSetup paperSize="9" scale="78" fitToHeight="0"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76200</xdr:rowOff>
                  </to>
                </anchor>
              </controlPr>
            </control>
          </mc:Choice>
        </mc:AlternateContent>
        <mc:AlternateContent xmlns:mc="http://schemas.openxmlformats.org/markup-compatibility/2006">
          <mc:Choice Requires="x14">
            <control shapeId="6146" r:id="rId5" name="Button 2">
              <controlPr locked="0" defaultSize="0" print="0" autoFill="0" autoLine="0" autoPict="0" macro="[0]!GÅTILBAGETILarkA">
                <anchor moveWithCells="1" sizeWithCells="1">
                  <from>
                    <xdr:col>13</xdr:col>
                    <xdr:colOff>57150</xdr:colOff>
                    <xdr:row>8</xdr:row>
                    <xdr:rowOff>66675</xdr:rowOff>
                  </from>
                  <to>
                    <xdr:col>14</xdr:col>
                    <xdr:colOff>295275</xdr:colOff>
                    <xdr:row>10</xdr:row>
                    <xdr:rowOff>180975</xdr:rowOff>
                  </to>
                </anchor>
              </controlPr>
            </control>
          </mc:Choice>
        </mc:AlternateContent>
        <mc:AlternateContent xmlns:mc="http://schemas.openxmlformats.org/markup-compatibility/2006">
          <mc:Choice Requires="x14">
            <control shapeId="6147" r:id="rId6" name="Button 3">
              <controlPr locked="0" defaultSize="0" print="0" autoFill="0" autoLine="0" autoPict="0" macro="[0]!UDSKRIVDorn">
                <anchor moveWithCells="1" sizeWithCells="1">
                  <from>
                    <xdr:col>13</xdr:col>
                    <xdr:colOff>57150</xdr:colOff>
                    <xdr:row>6</xdr:row>
                    <xdr:rowOff>104775</xdr:rowOff>
                  </from>
                  <to>
                    <xdr:col>14</xdr:col>
                    <xdr:colOff>209550</xdr:colOff>
                    <xdr:row>7</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6"/>
  <dimension ref="A1:AA83"/>
  <sheetViews>
    <sheetView zoomScale="87" zoomScaleNormal="87" workbookViewId="0">
      <selection activeCell="P38" sqref="P38"/>
    </sheetView>
  </sheetViews>
  <sheetFormatPr defaultRowHeight="15"/>
  <cols>
    <col min="1" max="1" width="13.77734375" customWidth="1"/>
    <col min="2" max="2" width="2.77734375" customWidth="1"/>
    <col min="3" max="3" width="6.77734375" customWidth="1"/>
    <col min="4" max="5" width="3.77734375" customWidth="1"/>
    <col min="6" max="6" width="8.77734375" customWidth="1"/>
    <col min="7" max="7" width="15.77734375" customWidth="1"/>
    <col min="8" max="8" width="7.77734375" customWidth="1"/>
    <col min="9" max="9" width="2.77734375" customWidth="1"/>
    <col min="10" max="10" width="7.77734375" customWidth="1"/>
    <col min="11" max="11" width="2.21875" customWidth="1"/>
    <col min="12" max="12" width="7.77734375" customWidth="1"/>
    <col min="14" max="14" width="12.77734375" customWidth="1"/>
    <col min="15" max="15" width="10.5546875" customWidth="1"/>
    <col min="22" max="23" width="8.77734375" customWidth="1"/>
    <col min="24" max="24" width="10.77734375" customWidth="1"/>
    <col min="25" max="27" width="8.77734375" customWidth="1"/>
    <col min="257" max="257" width="13.77734375" customWidth="1"/>
    <col min="258" max="258" width="2.77734375" customWidth="1"/>
    <col min="259" max="259" width="6.77734375" customWidth="1"/>
    <col min="260" max="261" width="3.77734375" customWidth="1"/>
    <col min="262" max="262" width="8.77734375" customWidth="1"/>
    <col min="263" max="263" width="15.77734375" customWidth="1"/>
    <col min="264" max="264" width="7.77734375" customWidth="1"/>
    <col min="265" max="265" width="2.77734375" customWidth="1"/>
    <col min="266" max="266" width="7.77734375" customWidth="1"/>
    <col min="267" max="267" width="2.21875" customWidth="1"/>
    <col min="268" max="268" width="7.77734375" customWidth="1"/>
    <col min="270" max="270" width="12.77734375" customWidth="1"/>
    <col min="271" max="271" width="10.5546875" customWidth="1"/>
    <col min="278" max="279" width="8.77734375" customWidth="1"/>
    <col min="280" max="280" width="10.77734375" customWidth="1"/>
    <col min="281" max="283" width="8.77734375" customWidth="1"/>
    <col min="513" max="513" width="13.77734375" customWidth="1"/>
    <col min="514" max="514" width="2.77734375" customWidth="1"/>
    <col min="515" max="515" width="6.77734375" customWidth="1"/>
    <col min="516" max="517" width="3.77734375" customWidth="1"/>
    <col min="518" max="518" width="8.77734375" customWidth="1"/>
    <col min="519" max="519" width="15.77734375" customWidth="1"/>
    <col min="520" max="520" width="7.77734375" customWidth="1"/>
    <col min="521" max="521" width="2.77734375" customWidth="1"/>
    <col min="522" max="522" width="7.77734375" customWidth="1"/>
    <col min="523" max="523" width="2.21875" customWidth="1"/>
    <col min="524" max="524" width="7.77734375" customWidth="1"/>
    <col min="526" max="526" width="12.77734375" customWidth="1"/>
    <col min="527" max="527" width="10.5546875" customWidth="1"/>
    <col min="534" max="535" width="8.77734375" customWidth="1"/>
    <col min="536" max="536" width="10.77734375" customWidth="1"/>
    <col min="537" max="539" width="8.77734375" customWidth="1"/>
    <col min="769" max="769" width="13.77734375" customWidth="1"/>
    <col min="770" max="770" width="2.77734375" customWidth="1"/>
    <col min="771" max="771" width="6.77734375" customWidth="1"/>
    <col min="772" max="773" width="3.77734375" customWidth="1"/>
    <col min="774" max="774" width="8.77734375" customWidth="1"/>
    <col min="775" max="775" width="15.77734375" customWidth="1"/>
    <col min="776" max="776" width="7.77734375" customWidth="1"/>
    <col min="777" max="777" width="2.77734375" customWidth="1"/>
    <col min="778" max="778" width="7.77734375" customWidth="1"/>
    <col min="779" max="779" width="2.21875" customWidth="1"/>
    <col min="780" max="780" width="7.77734375" customWidth="1"/>
    <col min="782" max="782" width="12.77734375" customWidth="1"/>
    <col min="783" max="783" width="10.5546875" customWidth="1"/>
    <col min="790" max="791" width="8.77734375" customWidth="1"/>
    <col min="792" max="792" width="10.77734375" customWidth="1"/>
    <col min="793" max="795" width="8.77734375" customWidth="1"/>
    <col min="1025" max="1025" width="13.77734375" customWidth="1"/>
    <col min="1026" max="1026" width="2.77734375" customWidth="1"/>
    <col min="1027" max="1027" width="6.77734375" customWidth="1"/>
    <col min="1028" max="1029" width="3.77734375" customWidth="1"/>
    <col min="1030" max="1030" width="8.77734375" customWidth="1"/>
    <col min="1031" max="1031" width="15.77734375" customWidth="1"/>
    <col min="1032" max="1032" width="7.77734375" customWidth="1"/>
    <col min="1033" max="1033" width="2.77734375" customWidth="1"/>
    <col min="1034" max="1034" width="7.77734375" customWidth="1"/>
    <col min="1035" max="1035" width="2.21875" customWidth="1"/>
    <col min="1036" max="1036" width="7.77734375" customWidth="1"/>
    <col min="1038" max="1038" width="12.77734375" customWidth="1"/>
    <col min="1039" max="1039" width="10.5546875" customWidth="1"/>
    <col min="1046" max="1047" width="8.77734375" customWidth="1"/>
    <col min="1048" max="1048" width="10.77734375" customWidth="1"/>
    <col min="1049" max="1051" width="8.77734375" customWidth="1"/>
    <col min="1281" max="1281" width="13.77734375" customWidth="1"/>
    <col min="1282" max="1282" width="2.77734375" customWidth="1"/>
    <col min="1283" max="1283" width="6.77734375" customWidth="1"/>
    <col min="1284" max="1285" width="3.77734375" customWidth="1"/>
    <col min="1286" max="1286" width="8.77734375" customWidth="1"/>
    <col min="1287" max="1287" width="15.77734375" customWidth="1"/>
    <col min="1288" max="1288" width="7.77734375" customWidth="1"/>
    <col min="1289" max="1289" width="2.77734375" customWidth="1"/>
    <col min="1290" max="1290" width="7.77734375" customWidth="1"/>
    <col min="1291" max="1291" width="2.21875" customWidth="1"/>
    <col min="1292" max="1292" width="7.77734375" customWidth="1"/>
    <col min="1294" max="1294" width="12.77734375" customWidth="1"/>
    <col min="1295" max="1295" width="10.5546875" customWidth="1"/>
    <col min="1302" max="1303" width="8.77734375" customWidth="1"/>
    <col min="1304" max="1304" width="10.77734375" customWidth="1"/>
    <col min="1305" max="1307" width="8.77734375" customWidth="1"/>
    <col min="1537" max="1537" width="13.77734375" customWidth="1"/>
    <col min="1538" max="1538" width="2.77734375" customWidth="1"/>
    <col min="1539" max="1539" width="6.77734375" customWidth="1"/>
    <col min="1540" max="1541" width="3.77734375" customWidth="1"/>
    <col min="1542" max="1542" width="8.77734375" customWidth="1"/>
    <col min="1543" max="1543" width="15.77734375" customWidth="1"/>
    <col min="1544" max="1544" width="7.77734375" customWidth="1"/>
    <col min="1545" max="1545" width="2.77734375" customWidth="1"/>
    <col min="1546" max="1546" width="7.77734375" customWidth="1"/>
    <col min="1547" max="1547" width="2.21875" customWidth="1"/>
    <col min="1548" max="1548" width="7.77734375" customWidth="1"/>
    <col min="1550" max="1550" width="12.77734375" customWidth="1"/>
    <col min="1551" max="1551" width="10.5546875" customWidth="1"/>
    <col min="1558" max="1559" width="8.77734375" customWidth="1"/>
    <col min="1560" max="1560" width="10.77734375" customWidth="1"/>
    <col min="1561" max="1563" width="8.77734375" customWidth="1"/>
    <col min="1793" max="1793" width="13.77734375" customWidth="1"/>
    <col min="1794" max="1794" width="2.77734375" customWidth="1"/>
    <col min="1795" max="1795" width="6.77734375" customWidth="1"/>
    <col min="1796" max="1797" width="3.77734375" customWidth="1"/>
    <col min="1798" max="1798" width="8.77734375" customWidth="1"/>
    <col min="1799" max="1799" width="15.77734375" customWidth="1"/>
    <col min="1800" max="1800" width="7.77734375" customWidth="1"/>
    <col min="1801" max="1801" width="2.77734375" customWidth="1"/>
    <col min="1802" max="1802" width="7.77734375" customWidth="1"/>
    <col min="1803" max="1803" width="2.21875" customWidth="1"/>
    <col min="1804" max="1804" width="7.77734375" customWidth="1"/>
    <col min="1806" max="1806" width="12.77734375" customWidth="1"/>
    <col min="1807" max="1807" width="10.5546875" customWidth="1"/>
    <col min="1814" max="1815" width="8.77734375" customWidth="1"/>
    <col min="1816" max="1816" width="10.77734375" customWidth="1"/>
    <col min="1817" max="1819" width="8.77734375" customWidth="1"/>
    <col min="2049" max="2049" width="13.77734375" customWidth="1"/>
    <col min="2050" max="2050" width="2.77734375" customWidth="1"/>
    <col min="2051" max="2051" width="6.77734375" customWidth="1"/>
    <col min="2052" max="2053" width="3.77734375" customWidth="1"/>
    <col min="2054" max="2054" width="8.77734375" customWidth="1"/>
    <col min="2055" max="2055" width="15.77734375" customWidth="1"/>
    <col min="2056" max="2056" width="7.77734375" customWidth="1"/>
    <col min="2057" max="2057" width="2.77734375" customWidth="1"/>
    <col min="2058" max="2058" width="7.77734375" customWidth="1"/>
    <col min="2059" max="2059" width="2.21875" customWidth="1"/>
    <col min="2060" max="2060" width="7.77734375" customWidth="1"/>
    <col min="2062" max="2062" width="12.77734375" customWidth="1"/>
    <col min="2063" max="2063" width="10.5546875" customWidth="1"/>
    <col min="2070" max="2071" width="8.77734375" customWidth="1"/>
    <col min="2072" max="2072" width="10.77734375" customWidth="1"/>
    <col min="2073" max="2075" width="8.77734375" customWidth="1"/>
    <col min="2305" max="2305" width="13.77734375" customWidth="1"/>
    <col min="2306" max="2306" width="2.77734375" customWidth="1"/>
    <col min="2307" max="2307" width="6.77734375" customWidth="1"/>
    <col min="2308" max="2309" width="3.77734375" customWidth="1"/>
    <col min="2310" max="2310" width="8.77734375" customWidth="1"/>
    <col min="2311" max="2311" width="15.77734375" customWidth="1"/>
    <col min="2312" max="2312" width="7.77734375" customWidth="1"/>
    <col min="2313" max="2313" width="2.77734375" customWidth="1"/>
    <col min="2314" max="2314" width="7.77734375" customWidth="1"/>
    <col min="2315" max="2315" width="2.21875" customWidth="1"/>
    <col min="2316" max="2316" width="7.77734375" customWidth="1"/>
    <col min="2318" max="2318" width="12.77734375" customWidth="1"/>
    <col min="2319" max="2319" width="10.5546875" customWidth="1"/>
    <col min="2326" max="2327" width="8.77734375" customWidth="1"/>
    <col min="2328" max="2328" width="10.77734375" customWidth="1"/>
    <col min="2329" max="2331" width="8.77734375" customWidth="1"/>
    <col min="2561" max="2561" width="13.77734375" customWidth="1"/>
    <col min="2562" max="2562" width="2.77734375" customWidth="1"/>
    <col min="2563" max="2563" width="6.77734375" customWidth="1"/>
    <col min="2564" max="2565" width="3.77734375" customWidth="1"/>
    <col min="2566" max="2566" width="8.77734375" customWidth="1"/>
    <col min="2567" max="2567" width="15.77734375" customWidth="1"/>
    <col min="2568" max="2568" width="7.77734375" customWidth="1"/>
    <col min="2569" max="2569" width="2.77734375" customWidth="1"/>
    <col min="2570" max="2570" width="7.77734375" customWidth="1"/>
    <col min="2571" max="2571" width="2.21875" customWidth="1"/>
    <col min="2572" max="2572" width="7.77734375" customWidth="1"/>
    <col min="2574" max="2574" width="12.77734375" customWidth="1"/>
    <col min="2575" max="2575" width="10.5546875" customWidth="1"/>
    <col min="2582" max="2583" width="8.77734375" customWidth="1"/>
    <col min="2584" max="2584" width="10.77734375" customWidth="1"/>
    <col min="2585" max="2587" width="8.77734375" customWidth="1"/>
    <col min="2817" max="2817" width="13.77734375" customWidth="1"/>
    <col min="2818" max="2818" width="2.77734375" customWidth="1"/>
    <col min="2819" max="2819" width="6.77734375" customWidth="1"/>
    <col min="2820" max="2821" width="3.77734375" customWidth="1"/>
    <col min="2822" max="2822" width="8.77734375" customWidth="1"/>
    <col min="2823" max="2823" width="15.77734375" customWidth="1"/>
    <col min="2824" max="2824" width="7.77734375" customWidth="1"/>
    <col min="2825" max="2825" width="2.77734375" customWidth="1"/>
    <col min="2826" max="2826" width="7.77734375" customWidth="1"/>
    <col min="2827" max="2827" width="2.21875" customWidth="1"/>
    <col min="2828" max="2828" width="7.77734375" customWidth="1"/>
    <col min="2830" max="2830" width="12.77734375" customWidth="1"/>
    <col min="2831" max="2831" width="10.5546875" customWidth="1"/>
    <col min="2838" max="2839" width="8.77734375" customWidth="1"/>
    <col min="2840" max="2840" width="10.77734375" customWidth="1"/>
    <col min="2841" max="2843" width="8.77734375" customWidth="1"/>
    <col min="3073" max="3073" width="13.77734375" customWidth="1"/>
    <col min="3074" max="3074" width="2.77734375" customWidth="1"/>
    <col min="3075" max="3075" width="6.77734375" customWidth="1"/>
    <col min="3076" max="3077" width="3.77734375" customWidth="1"/>
    <col min="3078" max="3078" width="8.77734375" customWidth="1"/>
    <col min="3079" max="3079" width="15.77734375" customWidth="1"/>
    <col min="3080" max="3080" width="7.77734375" customWidth="1"/>
    <col min="3081" max="3081" width="2.77734375" customWidth="1"/>
    <col min="3082" max="3082" width="7.77734375" customWidth="1"/>
    <col min="3083" max="3083" width="2.21875" customWidth="1"/>
    <col min="3084" max="3084" width="7.77734375" customWidth="1"/>
    <col min="3086" max="3086" width="12.77734375" customWidth="1"/>
    <col min="3087" max="3087" width="10.5546875" customWidth="1"/>
    <col min="3094" max="3095" width="8.77734375" customWidth="1"/>
    <col min="3096" max="3096" width="10.77734375" customWidth="1"/>
    <col min="3097" max="3099" width="8.77734375" customWidth="1"/>
    <col min="3329" max="3329" width="13.77734375" customWidth="1"/>
    <col min="3330" max="3330" width="2.77734375" customWidth="1"/>
    <col min="3331" max="3331" width="6.77734375" customWidth="1"/>
    <col min="3332" max="3333" width="3.77734375" customWidth="1"/>
    <col min="3334" max="3334" width="8.77734375" customWidth="1"/>
    <col min="3335" max="3335" width="15.77734375" customWidth="1"/>
    <col min="3336" max="3336" width="7.77734375" customWidth="1"/>
    <col min="3337" max="3337" width="2.77734375" customWidth="1"/>
    <col min="3338" max="3338" width="7.77734375" customWidth="1"/>
    <col min="3339" max="3339" width="2.21875" customWidth="1"/>
    <col min="3340" max="3340" width="7.77734375" customWidth="1"/>
    <col min="3342" max="3342" width="12.77734375" customWidth="1"/>
    <col min="3343" max="3343" width="10.5546875" customWidth="1"/>
    <col min="3350" max="3351" width="8.77734375" customWidth="1"/>
    <col min="3352" max="3352" width="10.77734375" customWidth="1"/>
    <col min="3353" max="3355" width="8.77734375" customWidth="1"/>
    <col min="3585" max="3585" width="13.77734375" customWidth="1"/>
    <col min="3586" max="3586" width="2.77734375" customWidth="1"/>
    <col min="3587" max="3587" width="6.77734375" customWidth="1"/>
    <col min="3588" max="3589" width="3.77734375" customWidth="1"/>
    <col min="3590" max="3590" width="8.77734375" customWidth="1"/>
    <col min="3591" max="3591" width="15.77734375" customWidth="1"/>
    <col min="3592" max="3592" width="7.77734375" customWidth="1"/>
    <col min="3593" max="3593" width="2.77734375" customWidth="1"/>
    <col min="3594" max="3594" width="7.77734375" customWidth="1"/>
    <col min="3595" max="3595" width="2.21875" customWidth="1"/>
    <col min="3596" max="3596" width="7.77734375" customWidth="1"/>
    <col min="3598" max="3598" width="12.77734375" customWidth="1"/>
    <col min="3599" max="3599" width="10.5546875" customWidth="1"/>
    <col min="3606" max="3607" width="8.77734375" customWidth="1"/>
    <col min="3608" max="3608" width="10.77734375" customWidth="1"/>
    <col min="3609" max="3611" width="8.77734375" customWidth="1"/>
    <col min="3841" max="3841" width="13.77734375" customWidth="1"/>
    <col min="3842" max="3842" width="2.77734375" customWidth="1"/>
    <col min="3843" max="3843" width="6.77734375" customWidth="1"/>
    <col min="3844" max="3845" width="3.77734375" customWidth="1"/>
    <col min="3846" max="3846" width="8.77734375" customWidth="1"/>
    <col min="3847" max="3847" width="15.77734375" customWidth="1"/>
    <col min="3848" max="3848" width="7.77734375" customWidth="1"/>
    <col min="3849" max="3849" width="2.77734375" customWidth="1"/>
    <col min="3850" max="3850" width="7.77734375" customWidth="1"/>
    <col min="3851" max="3851" width="2.21875" customWidth="1"/>
    <col min="3852" max="3852" width="7.77734375" customWidth="1"/>
    <col min="3854" max="3854" width="12.77734375" customWidth="1"/>
    <col min="3855" max="3855" width="10.5546875" customWidth="1"/>
    <col min="3862" max="3863" width="8.77734375" customWidth="1"/>
    <col min="3864" max="3864" width="10.77734375" customWidth="1"/>
    <col min="3865" max="3867" width="8.77734375" customWidth="1"/>
    <col min="4097" max="4097" width="13.77734375" customWidth="1"/>
    <col min="4098" max="4098" width="2.77734375" customWidth="1"/>
    <col min="4099" max="4099" width="6.77734375" customWidth="1"/>
    <col min="4100" max="4101" width="3.77734375" customWidth="1"/>
    <col min="4102" max="4102" width="8.77734375" customWidth="1"/>
    <col min="4103" max="4103" width="15.77734375" customWidth="1"/>
    <col min="4104" max="4104" width="7.77734375" customWidth="1"/>
    <col min="4105" max="4105" width="2.77734375" customWidth="1"/>
    <col min="4106" max="4106" width="7.77734375" customWidth="1"/>
    <col min="4107" max="4107" width="2.21875" customWidth="1"/>
    <col min="4108" max="4108" width="7.77734375" customWidth="1"/>
    <col min="4110" max="4110" width="12.77734375" customWidth="1"/>
    <col min="4111" max="4111" width="10.5546875" customWidth="1"/>
    <col min="4118" max="4119" width="8.77734375" customWidth="1"/>
    <col min="4120" max="4120" width="10.77734375" customWidth="1"/>
    <col min="4121" max="4123" width="8.77734375" customWidth="1"/>
    <col min="4353" max="4353" width="13.77734375" customWidth="1"/>
    <col min="4354" max="4354" width="2.77734375" customWidth="1"/>
    <col min="4355" max="4355" width="6.77734375" customWidth="1"/>
    <col min="4356" max="4357" width="3.77734375" customWidth="1"/>
    <col min="4358" max="4358" width="8.77734375" customWidth="1"/>
    <col min="4359" max="4359" width="15.77734375" customWidth="1"/>
    <col min="4360" max="4360" width="7.77734375" customWidth="1"/>
    <col min="4361" max="4361" width="2.77734375" customWidth="1"/>
    <col min="4362" max="4362" width="7.77734375" customWidth="1"/>
    <col min="4363" max="4363" width="2.21875" customWidth="1"/>
    <col min="4364" max="4364" width="7.77734375" customWidth="1"/>
    <col min="4366" max="4366" width="12.77734375" customWidth="1"/>
    <col min="4367" max="4367" width="10.5546875" customWidth="1"/>
    <col min="4374" max="4375" width="8.77734375" customWidth="1"/>
    <col min="4376" max="4376" width="10.77734375" customWidth="1"/>
    <col min="4377" max="4379" width="8.77734375" customWidth="1"/>
    <col min="4609" max="4609" width="13.77734375" customWidth="1"/>
    <col min="4610" max="4610" width="2.77734375" customWidth="1"/>
    <col min="4611" max="4611" width="6.77734375" customWidth="1"/>
    <col min="4612" max="4613" width="3.77734375" customWidth="1"/>
    <col min="4614" max="4614" width="8.77734375" customWidth="1"/>
    <col min="4615" max="4615" width="15.77734375" customWidth="1"/>
    <col min="4616" max="4616" width="7.77734375" customWidth="1"/>
    <col min="4617" max="4617" width="2.77734375" customWidth="1"/>
    <col min="4618" max="4618" width="7.77734375" customWidth="1"/>
    <col min="4619" max="4619" width="2.21875" customWidth="1"/>
    <col min="4620" max="4620" width="7.77734375" customWidth="1"/>
    <col min="4622" max="4622" width="12.77734375" customWidth="1"/>
    <col min="4623" max="4623" width="10.5546875" customWidth="1"/>
    <col min="4630" max="4631" width="8.77734375" customWidth="1"/>
    <col min="4632" max="4632" width="10.77734375" customWidth="1"/>
    <col min="4633" max="4635" width="8.77734375" customWidth="1"/>
    <col min="4865" max="4865" width="13.77734375" customWidth="1"/>
    <col min="4866" max="4866" width="2.77734375" customWidth="1"/>
    <col min="4867" max="4867" width="6.77734375" customWidth="1"/>
    <col min="4868" max="4869" width="3.77734375" customWidth="1"/>
    <col min="4870" max="4870" width="8.77734375" customWidth="1"/>
    <col min="4871" max="4871" width="15.77734375" customWidth="1"/>
    <col min="4872" max="4872" width="7.77734375" customWidth="1"/>
    <col min="4873" max="4873" width="2.77734375" customWidth="1"/>
    <col min="4874" max="4874" width="7.77734375" customWidth="1"/>
    <col min="4875" max="4875" width="2.21875" customWidth="1"/>
    <col min="4876" max="4876" width="7.77734375" customWidth="1"/>
    <col min="4878" max="4878" width="12.77734375" customWidth="1"/>
    <col min="4879" max="4879" width="10.5546875" customWidth="1"/>
    <col min="4886" max="4887" width="8.77734375" customWidth="1"/>
    <col min="4888" max="4888" width="10.77734375" customWidth="1"/>
    <col min="4889" max="4891" width="8.77734375" customWidth="1"/>
    <col min="5121" max="5121" width="13.77734375" customWidth="1"/>
    <col min="5122" max="5122" width="2.77734375" customWidth="1"/>
    <col min="5123" max="5123" width="6.77734375" customWidth="1"/>
    <col min="5124" max="5125" width="3.77734375" customWidth="1"/>
    <col min="5126" max="5126" width="8.77734375" customWidth="1"/>
    <col min="5127" max="5127" width="15.77734375" customWidth="1"/>
    <col min="5128" max="5128" width="7.77734375" customWidth="1"/>
    <col min="5129" max="5129" width="2.77734375" customWidth="1"/>
    <col min="5130" max="5130" width="7.77734375" customWidth="1"/>
    <col min="5131" max="5131" width="2.21875" customWidth="1"/>
    <col min="5132" max="5132" width="7.77734375" customWidth="1"/>
    <col min="5134" max="5134" width="12.77734375" customWidth="1"/>
    <col min="5135" max="5135" width="10.5546875" customWidth="1"/>
    <col min="5142" max="5143" width="8.77734375" customWidth="1"/>
    <col min="5144" max="5144" width="10.77734375" customWidth="1"/>
    <col min="5145" max="5147" width="8.77734375" customWidth="1"/>
    <col min="5377" max="5377" width="13.77734375" customWidth="1"/>
    <col min="5378" max="5378" width="2.77734375" customWidth="1"/>
    <col min="5379" max="5379" width="6.77734375" customWidth="1"/>
    <col min="5380" max="5381" width="3.77734375" customWidth="1"/>
    <col min="5382" max="5382" width="8.77734375" customWidth="1"/>
    <col min="5383" max="5383" width="15.77734375" customWidth="1"/>
    <col min="5384" max="5384" width="7.77734375" customWidth="1"/>
    <col min="5385" max="5385" width="2.77734375" customWidth="1"/>
    <col min="5386" max="5386" width="7.77734375" customWidth="1"/>
    <col min="5387" max="5387" width="2.21875" customWidth="1"/>
    <col min="5388" max="5388" width="7.77734375" customWidth="1"/>
    <col min="5390" max="5390" width="12.77734375" customWidth="1"/>
    <col min="5391" max="5391" width="10.5546875" customWidth="1"/>
    <col min="5398" max="5399" width="8.77734375" customWidth="1"/>
    <col min="5400" max="5400" width="10.77734375" customWidth="1"/>
    <col min="5401" max="5403" width="8.77734375" customWidth="1"/>
    <col min="5633" max="5633" width="13.77734375" customWidth="1"/>
    <col min="5634" max="5634" width="2.77734375" customWidth="1"/>
    <col min="5635" max="5635" width="6.77734375" customWidth="1"/>
    <col min="5636" max="5637" width="3.77734375" customWidth="1"/>
    <col min="5638" max="5638" width="8.77734375" customWidth="1"/>
    <col min="5639" max="5639" width="15.77734375" customWidth="1"/>
    <col min="5640" max="5640" width="7.77734375" customWidth="1"/>
    <col min="5641" max="5641" width="2.77734375" customWidth="1"/>
    <col min="5642" max="5642" width="7.77734375" customWidth="1"/>
    <col min="5643" max="5643" width="2.21875" customWidth="1"/>
    <col min="5644" max="5644" width="7.77734375" customWidth="1"/>
    <col min="5646" max="5646" width="12.77734375" customWidth="1"/>
    <col min="5647" max="5647" width="10.5546875" customWidth="1"/>
    <col min="5654" max="5655" width="8.77734375" customWidth="1"/>
    <col min="5656" max="5656" width="10.77734375" customWidth="1"/>
    <col min="5657" max="5659" width="8.77734375" customWidth="1"/>
    <col min="5889" max="5889" width="13.77734375" customWidth="1"/>
    <col min="5890" max="5890" width="2.77734375" customWidth="1"/>
    <col min="5891" max="5891" width="6.77734375" customWidth="1"/>
    <col min="5892" max="5893" width="3.77734375" customWidth="1"/>
    <col min="5894" max="5894" width="8.77734375" customWidth="1"/>
    <col min="5895" max="5895" width="15.77734375" customWidth="1"/>
    <col min="5896" max="5896" width="7.77734375" customWidth="1"/>
    <col min="5897" max="5897" width="2.77734375" customWidth="1"/>
    <col min="5898" max="5898" width="7.77734375" customWidth="1"/>
    <col min="5899" max="5899" width="2.21875" customWidth="1"/>
    <col min="5900" max="5900" width="7.77734375" customWidth="1"/>
    <col min="5902" max="5902" width="12.77734375" customWidth="1"/>
    <col min="5903" max="5903" width="10.5546875" customWidth="1"/>
    <col min="5910" max="5911" width="8.77734375" customWidth="1"/>
    <col min="5912" max="5912" width="10.77734375" customWidth="1"/>
    <col min="5913" max="5915" width="8.77734375" customWidth="1"/>
    <col min="6145" max="6145" width="13.77734375" customWidth="1"/>
    <col min="6146" max="6146" width="2.77734375" customWidth="1"/>
    <col min="6147" max="6147" width="6.77734375" customWidth="1"/>
    <col min="6148" max="6149" width="3.77734375" customWidth="1"/>
    <col min="6150" max="6150" width="8.77734375" customWidth="1"/>
    <col min="6151" max="6151" width="15.77734375" customWidth="1"/>
    <col min="6152" max="6152" width="7.77734375" customWidth="1"/>
    <col min="6153" max="6153" width="2.77734375" customWidth="1"/>
    <col min="6154" max="6154" width="7.77734375" customWidth="1"/>
    <col min="6155" max="6155" width="2.21875" customWidth="1"/>
    <col min="6156" max="6156" width="7.77734375" customWidth="1"/>
    <col min="6158" max="6158" width="12.77734375" customWidth="1"/>
    <col min="6159" max="6159" width="10.5546875" customWidth="1"/>
    <col min="6166" max="6167" width="8.77734375" customWidth="1"/>
    <col min="6168" max="6168" width="10.77734375" customWidth="1"/>
    <col min="6169" max="6171" width="8.77734375" customWidth="1"/>
    <col min="6401" max="6401" width="13.77734375" customWidth="1"/>
    <col min="6402" max="6402" width="2.77734375" customWidth="1"/>
    <col min="6403" max="6403" width="6.77734375" customWidth="1"/>
    <col min="6404" max="6405" width="3.77734375" customWidth="1"/>
    <col min="6406" max="6406" width="8.77734375" customWidth="1"/>
    <col min="6407" max="6407" width="15.77734375" customWidth="1"/>
    <col min="6408" max="6408" width="7.77734375" customWidth="1"/>
    <col min="6409" max="6409" width="2.77734375" customWidth="1"/>
    <col min="6410" max="6410" width="7.77734375" customWidth="1"/>
    <col min="6411" max="6411" width="2.21875" customWidth="1"/>
    <col min="6412" max="6412" width="7.77734375" customWidth="1"/>
    <col min="6414" max="6414" width="12.77734375" customWidth="1"/>
    <col min="6415" max="6415" width="10.5546875" customWidth="1"/>
    <col min="6422" max="6423" width="8.77734375" customWidth="1"/>
    <col min="6424" max="6424" width="10.77734375" customWidth="1"/>
    <col min="6425" max="6427" width="8.77734375" customWidth="1"/>
    <col min="6657" max="6657" width="13.77734375" customWidth="1"/>
    <col min="6658" max="6658" width="2.77734375" customWidth="1"/>
    <col min="6659" max="6659" width="6.77734375" customWidth="1"/>
    <col min="6660" max="6661" width="3.77734375" customWidth="1"/>
    <col min="6662" max="6662" width="8.77734375" customWidth="1"/>
    <col min="6663" max="6663" width="15.77734375" customWidth="1"/>
    <col min="6664" max="6664" width="7.77734375" customWidth="1"/>
    <col min="6665" max="6665" width="2.77734375" customWidth="1"/>
    <col min="6666" max="6666" width="7.77734375" customWidth="1"/>
    <col min="6667" max="6667" width="2.21875" customWidth="1"/>
    <col min="6668" max="6668" width="7.77734375" customWidth="1"/>
    <col min="6670" max="6670" width="12.77734375" customWidth="1"/>
    <col min="6671" max="6671" width="10.5546875" customWidth="1"/>
    <col min="6678" max="6679" width="8.77734375" customWidth="1"/>
    <col min="6680" max="6680" width="10.77734375" customWidth="1"/>
    <col min="6681" max="6683" width="8.77734375" customWidth="1"/>
    <col min="6913" max="6913" width="13.77734375" customWidth="1"/>
    <col min="6914" max="6914" width="2.77734375" customWidth="1"/>
    <col min="6915" max="6915" width="6.77734375" customWidth="1"/>
    <col min="6916" max="6917" width="3.77734375" customWidth="1"/>
    <col min="6918" max="6918" width="8.77734375" customWidth="1"/>
    <col min="6919" max="6919" width="15.77734375" customWidth="1"/>
    <col min="6920" max="6920" width="7.77734375" customWidth="1"/>
    <col min="6921" max="6921" width="2.77734375" customWidth="1"/>
    <col min="6922" max="6922" width="7.77734375" customWidth="1"/>
    <col min="6923" max="6923" width="2.21875" customWidth="1"/>
    <col min="6924" max="6924" width="7.77734375" customWidth="1"/>
    <col min="6926" max="6926" width="12.77734375" customWidth="1"/>
    <col min="6927" max="6927" width="10.5546875" customWidth="1"/>
    <col min="6934" max="6935" width="8.77734375" customWidth="1"/>
    <col min="6936" max="6936" width="10.77734375" customWidth="1"/>
    <col min="6937" max="6939" width="8.77734375" customWidth="1"/>
    <col min="7169" max="7169" width="13.77734375" customWidth="1"/>
    <col min="7170" max="7170" width="2.77734375" customWidth="1"/>
    <col min="7171" max="7171" width="6.77734375" customWidth="1"/>
    <col min="7172" max="7173" width="3.77734375" customWidth="1"/>
    <col min="7174" max="7174" width="8.77734375" customWidth="1"/>
    <col min="7175" max="7175" width="15.77734375" customWidth="1"/>
    <col min="7176" max="7176" width="7.77734375" customWidth="1"/>
    <col min="7177" max="7177" width="2.77734375" customWidth="1"/>
    <col min="7178" max="7178" width="7.77734375" customWidth="1"/>
    <col min="7179" max="7179" width="2.21875" customWidth="1"/>
    <col min="7180" max="7180" width="7.77734375" customWidth="1"/>
    <col min="7182" max="7182" width="12.77734375" customWidth="1"/>
    <col min="7183" max="7183" width="10.5546875" customWidth="1"/>
    <col min="7190" max="7191" width="8.77734375" customWidth="1"/>
    <col min="7192" max="7192" width="10.77734375" customWidth="1"/>
    <col min="7193" max="7195" width="8.77734375" customWidth="1"/>
    <col min="7425" max="7425" width="13.77734375" customWidth="1"/>
    <col min="7426" max="7426" width="2.77734375" customWidth="1"/>
    <col min="7427" max="7427" width="6.77734375" customWidth="1"/>
    <col min="7428" max="7429" width="3.77734375" customWidth="1"/>
    <col min="7430" max="7430" width="8.77734375" customWidth="1"/>
    <col min="7431" max="7431" width="15.77734375" customWidth="1"/>
    <col min="7432" max="7432" width="7.77734375" customWidth="1"/>
    <col min="7433" max="7433" width="2.77734375" customWidth="1"/>
    <col min="7434" max="7434" width="7.77734375" customWidth="1"/>
    <col min="7435" max="7435" width="2.21875" customWidth="1"/>
    <col min="7436" max="7436" width="7.77734375" customWidth="1"/>
    <col min="7438" max="7438" width="12.77734375" customWidth="1"/>
    <col min="7439" max="7439" width="10.5546875" customWidth="1"/>
    <col min="7446" max="7447" width="8.77734375" customWidth="1"/>
    <col min="7448" max="7448" width="10.77734375" customWidth="1"/>
    <col min="7449" max="7451" width="8.77734375" customWidth="1"/>
    <col min="7681" max="7681" width="13.77734375" customWidth="1"/>
    <col min="7682" max="7682" width="2.77734375" customWidth="1"/>
    <col min="7683" max="7683" width="6.77734375" customWidth="1"/>
    <col min="7684" max="7685" width="3.77734375" customWidth="1"/>
    <col min="7686" max="7686" width="8.77734375" customWidth="1"/>
    <col min="7687" max="7687" width="15.77734375" customWidth="1"/>
    <col min="7688" max="7688" width="7.77734375" customWidth="1"/>
    <col min="7689" max="7689" width="2.77734375" customWidth="1"/>
    <col min="7690" max="7690" width="7.77734375" customWidth="1"/>
    <col min="7691" max="7691" width="2.21875" customWidth="1"/>
    <col min="7692" max="7692" width="7.77734375" customWidth="1"/>
    <col min="7694" max="7694" width="12.77734375" customWidth="1"/>
    <col min="7695" max="7695" width="10.5546875" customWidth="1"/>
    <col min="7702" max="7703" width="8.77734375" customWidth="1"/>
    <col min="7704" max="7704" width="10.77734375" customWidth="1"/>
    <col min="7705" max="7707" width="8.77734375" customWidth="1"/>
    <col min="7937" max="7937" width="13.77734375" customWidth="1"/>
    <col min="7938" max="7938" width="2.77734375" customWidth="1"/>
    <col min="7939" max="7939" width="6.77734375" customWidth="1"/>
    <col min="7940" max="7941" width="3.77734375" customWidth="1"/>
    <col min="7942" max="7942" width="8.77734375" customWidth="1"/>
    <col min="7943" max="7943" width="15.77734375" customWidth="1"/>
    <col min="7944" max="7944" width="7.77734375" customWidth="1"/>
    <col min="7945" max="7945" width="2.77734375" customWidth="1"/>
    <col min="7946" max="7946" width="7.77734375" customWidth="1"/>
    <col min="7947" max="7947" width="2.21875" customWidth="1"/>
    <col min="7948" max="7948" width="7.77734375" customWidth="1"/>
    <col min="7950" max="7950" width="12.77734375" customWidth="1"/>
    <col min="7951" max="7951" width="10.5546875" customWidth="1"/>
    <col min="7958" max="7959" width="8.77734375" customWidth="1"/>
    <col min="7960" max="7960" width="10.77734375" customWidth="1"/>
    <col min="7961" max="7963" width="8.77734375" customWidth="1"/>
    <col min="8193" max="8193" width="13.77734375" customWidth="1"/>
    <col min="8194" max="8194" width="2.77734375" customWidth="1"/>
    <col min="8195" max="8195" width="6.77734375" customWidth="1"/>
    <col min="8196" max="8197" width="3.77734375" customWidth="1"/>
    <col min="8198" max="8198" width="8.77734375" customWidth="1"/>
    <col min="8199" max="8199" width="15.77734375" customWidth="1"/>
    <col min="8200" max="8200" width="7.77734375" customWidth="1"/>
    <col min="8201" max="8201" width="2.77734375" customWidth="1"/>
    <col min="8202" max="8202" width="7.77734375" customWidth="1"/>
    <col min="8203" max="8203" width="2.21875" customWidth="1"/>
    <col min="8204" max="8204" width="7.77734375" customWidth="1"/>
    <col min="8206" max="8206" width="12.77734375" customWidth="1"/>
    <col min="8207" max="8207" width="10.5546875" customWidth="1"/>
    <col min="8214" max="8215" width="8.77734375" customWidth="1"/>
    <col min="8216" max="8216" width="10.77734375" customWidth="1"/>
    <col min="8217" max="8219" width="8.77734375" customWidth="1"/>
    <col min="8449" max="8449" width="13.77734375" customWidth="1"/>
    <col min="8450" max="8450" width="2.77734375" customWidth="1"/>
    <col min="8451" max="8451" width="6.77734375" customWidth="1"/>
    <col min="8452" max="8453" width="3.77734375" customWidth="1"/>
    <col min="8454" max="8454" width="8.77734375" customWidth="1"/>
    <col min="8455" max="8455" width="15.77734375" customWidth="1"/>
    <col min="8456" max="8456" width="7.77734375" customWidth="1"/>
    <col min="8457" max="8457" width="2.77734375" customWidth="1"/>
    <col min="8458" max="8458" width="7.77734375" customWidth="1"/>
    <col min="8459" max="8459" width="2.21875" customWidth="1"/>
    <col min="8460" max="8460" width="7.77734375" customWidth="1"/>
    <col min="8462" max="8462" width="12.77734375" customWidth="1"/>
    <col min="8463" max="8463" width="10.5546875" customWidth="1"/>
    <col min="8470" max="8471" width="8.77734375" customWidth="1"/>
    <col min="8472" max="8472" width="10.77734375" customWidth="1"/>
    <col min="8473" max="8475" width="8.77734375" customWidth="1"/>
    <col min="8705" max="8705" width="13.77734375" customWidth="1"/>
    <col min="8706" max="8706" width="2.77734375" customWidth="1"/>
    <col min="8707" max="8707" width="6.77734375" customWidth="1"/>
    <col min="8708" max="8709" width="3.77734375" customWidth="1"/>
    <col min="8710" max="8710" width="8.77734375" customWidth="1"/>
    <col min="8711" max="8711" width="15.77734375" customWidth="1"/>
    <col min="8712" max="8712" width="7.77734375" customWidth="1"/>
    <col min="8713" max="8713" width="2.77734375" customWidth="1"/>
    <col min="8714" max="8714" width="7.77734375" customWidth="1"/>
    <col min="8715" max="8715" width="2.21875" customWidth="1"/>
    <col min="8716" max="8716" width="7.77734375" customWidth="1"/>
    <col min="8718" max="8718" width="12.77734375" customWidth="1"/>
    <col min="8719" max="8719" width="10.5546875" customWidth="1"/>
    <col min="8726" max="8727" width="8.77734375" customWidth="1"/>
    <col min="8728" max="8728" width="10.77734375" customWidth="1"/>
    <col min="8729" max="8731" width="8.77734375" customWidth="1"/>
    <col min="8961" max="8961" width="13.77734375" customWidth="1"/>
    <col min="8962" max="8962" width="2.77734375" customWidth="1"/>
    <col min="8963" max="8963" width="6.77734375" customWidth="1"/>
    <col min="8964" max="8965" width="3.77734375" customWidth="1"/>
    <col min="8966" max="8966" width="8.77734375" customWidth="1"/>
    <col min="8967" max="8967" width="15.77734375" customWidth="1"/>
    <col min="8968" max="8968" width="7.77734375" customWidth="1"/>
    <col min="8969" max="8969" width="2.77734375" customWidth="1"/>
    <col min="8970" max="8970" width="7.77734375" customWidth="1"/>
    <col min="8971" max="8971" width="2.21875" customWidth="1"/>
    <col min="8972" max="8972" width="7.77734375" customWidth="1"/>
    <col min="8974" max="8974" width="12.77734375" customWidth="1"/>
    <col min="8975" max="8975" width="10.5546875" customWidth="1"/>
    <col min="8982" max="8983" width="8.77734375" customWidth="1"/>
    <col min="8984" max="8984" width="10.77734375" customWidth="1"/>
    <col min="8985" max="8987" width="8.77734375" customWidth="1"/>
    <col min="9217" max="9217" width="13.77734375" customWidth="1"/>
    <col min="9218" max="9218" width="2.77734375" customWidth="1"/>
    <col min="9219" max="9219" width="6.77734375" customWidth="1"/>
    <col min="9220" max="9221" width="3.77734375" customWidth="1"/>
    <col min="9222" max="9222" width="8.77734375" customWidth="1"/>
    <col min="9223" max="9223" width="15.77734375" customWidth="1"/>
    <col min="9224" max="9224" width="7.77734375" customWidth="1"/>
    <col min="9225" max="9225" width="2.77734375" customWidth="1"/>
    <col min="9226" max="9226" width="7.77734375" customWidth="1"/>
    <col min="9227" max="9227" width="2.21875" customWidth="1"/>
    <col min="9228" max="9228" width="7.77734375" customWidth="1"/>
    <col min="9230" max="9230" width="12.77734375" customWidth="1"/>
    <col min="9231" max="9231" width="10.5546875" customWidth="1"/>
    <col min="9238" max="9239" width="8.77734375" customWidth="1"/>
    <col min="9240" max="9240" width="10.77734375" customWidth="1"/>
    <col min="9241" max="9243" width="8.77734375" customWidth="1"/>
    <col min="9473" max="9473" width="13.77734375" customWidth="1"/>
    <col min="9474" max="9474" width="2.77734375" customWidth="1"/>
    <col min="9475" max="9475" width="6.77734375" customWidth="1"/>
    <col min="9476" max="9477" width="3.77734375" customWidth="1"/>
    <col min="9478" max="9478" width="8.77734375" customWidth="1"/>
    <col min="9479" max="9479" width="15.77734375" customWidth="1"/>
    <col min="9480" max="9480" width="7.77734375" customWidth="1"/>
    <col min="9481" max="9481" width="2.77734375" customWidth="1"/>
    <col min="9482" max="9482" width="7.77734375" customWidth="1"/>
    <col min="9483" max="9483" width="2.21875" customWidth="1"/>
    <col min="9484" max="9484" width="7.77734375" customWidth="1"/>
    <col min="9486" max="9486" width="12.77734375" customWidth="1"/>
    <col min="9487" max="9487" width="10.5546875" customWidth="1"/>
    <col min="9494" max="9495" width="8.77734375" customWidth="1"/>
    <col min="9496" max="9496" width="10.77734375" customWidth="1"/>
    <col min="9497" max="9499" width="8.77734375" customWidth="1"/>
    <col min="9729" max="9729" width="13.77734375" customWidth="1"/>
    <col min="9730" max="9730" width="2.77734375" customWidth="1"/>
    <col min="9731" max="9731" width="6.77734375" customWidth="1"/>
    <col min="9732" max="9733" width="3.77734375" customWidth="1"/>
    <col min="9734" max="9734" width="8.77734375" customWidth="1"/>
    <col min="9735" max="9735" width="15.77734375" customWidth="1"/>
    <col min="9736" max="9736" width="7.77734375" customWidth="1"/>
    <col min="9737" max="9737" width="2.77734375" customWidth="1"/>
    <col min="9738" max="9738" width="7.77734375" customWidth="1"/>
    <col min="9739" max="9739" width="2.21875" customWidth="1"/>
    <col min="9740" max="9740" width="7.77734375" customWidth="1"/>
    <col min="9742" max="9742" width="12.77734375" customWidth="1"/>
    <col min="9743" max="9743" width="10.5546875" customWidth="1"/>
    <col min="9750" max="9751" width="8.77734375" customWidth="1"/>
    <col min="9752" max="9752" width="10.77734375" customWidth="1"/>
    <col min="9753" max="9755" width="8.77734375" customWidth="1"/>
    <col min="9985" max="9985" width="13.77734375" customWidth="1"/>
    <col min="9986" max="9986" width="2.77734375" customWidth="1"/>
    <col min="9987" max="9987" width="6.77734375" customWidth="1"/>
    <col min="9988" max="9989" width="3.77734375" customWidth="1"/>
    <col min="9990" max="9990" width="8.77734375" customWidth="1"/>
    <col min="9991" max="9991" width="15.77734375" customWidth="1"/>
    <col min="9992" max="9992" width="7.77734375" customWidth="1"/>
    <col min="9993" max="9993" width="2.77734375" customWidth="1"/>
    <col min="9994" max="9994" width="7.77734375" customWidth="1"/>
    <col min="9995" max="9995" width="2.21875" customWidth="1"/>
    <col min="9996" max="9996" width="7.77734375" customWidth="1"/>
    <col min="9998" max="9998" width="12.77734375" customWidth="1"/>
    <col min="9999" max="9999" width="10.5546875" customWidth="1"/>
    <col min="10006" max="10007" width="8.77734375" customWidth="1"/>
    <col min="10008" max="10008" width="10.77734375" customWidth="1"/>
    <col min="10009" max="10011" width="8.77734375" customWidth="1"/>
    <col min="10241" max="10241" width="13.77734375" customWidth="1"/>
    <col min="10242" max="10242" width="2.77734375" customWidth="1"/>
    <col min="10243" max="10243" width="6.77734375" customWidth="1"/>
    <col min="10244" max="10245" width="3.77734375" customWidth="1"/>
    <col min="10246" max="10246" width="8.77734375" customWidth="1"/>
    <col min="10247" max="10247" width="15.77734375" customWidth="1"/>
    <col min="10248" max="10248" width="7.77734375" customWidth="1"/>
    <col min="10249" max="10249" width="2.77734375" customWidth="1"/>
    <col min="10250" max="10250" width="7.77734375" customWidth="1"/>
    <col min="10251" max="10251" width="2.21875" customWidth="1"/>
    <col min="10252" max="10252" width="7.77734375" customWidth="1"/>
    <col min="10254" max="10254" width="12.77734375" customWidth="1"/>
    <col min="10255" max="10255" width="10.5546875" customWidth="1"/>
    <col min="10262" max="10263" width="8.77734375" customWidth="1"/>
    <col min="10264" max="10264" width="10.77734375" customWidth="1"/>
    <col min="10265" max="10267" width="8.77734375" customWidth="1"/>
    <col min="10497" max="10497" width="13.77734375" customWidth="1"/>
    <col min="10498" max="10498" width="2.77734375" customWidth="1"/>
    <col min="10499" max="10499" width="6.77734375" customWidth="1"/>
    <col min="10500" max="10501" width="3.77734375" customWidth="1"/>
    <col min="10502" max="10502" width="8.77734375" customWidth="1"/>
    <col min="10503" max="10503" width="15.77734375" customWidth="1"/>
    <col min="10504" max="10504" width="7.77734375" customWidth="1"/>
    <col min="10505" max="10505" width="2.77734375" customWidth="1"/>
    <col min="10506" max="10506" width="7.77734375" customWidth="1"/>
    <col min="10507" max="10507" width="2.21875" customWidth="1"/>
    <col min="10508" max="10508" width="7.77734375" customWidth="1"/>
    <col min="10510" max="10510" width="12.77734375" customWidth="1"/>
    <col min="10511" max="10511" width="10.5546875" customWidth="1"/>
    <col min="10518" max="10519" width="8.77734375" customWidth="1"/>
    <col min="10520" max="10520" width="10.77734375" customWidth="1"/>
    <col min="10521" max="10523" width="8.77734375" customWidth="1"/>
    <col min="10753" max="10753" width="13.77734375" customWidth="1"/>
    <col min="10754" max="10754" width="2.77734375" customWidth="1"/>
    <col min="10755" max="10755" width="6.77734375" customWidth="1"/>
    <col min="10756" max="10757" width="3.77734375" customWidth="1"/>
    <col min="10758" max="10758" width="8.77734375" customWidth="1"/>
    <col min="10759" max="10759" width="15.77734375" customWidth="1"/>
    <col min="10760" max="10760" width="7.77734375" customWidth="1"/>
    <col min="10761" max="10761" width="2.77734375" customWidth="1"/>
    <col min="10762" max="10762" width="7.77734375" customWidth="1"/>
    <col min="10763" max="10763" width="2.21875" customWidth="1"/>
    <col min="10764" max="10764" width="7.77734375" customWidth="1"/>
    <col min="10766" max="10766" width="12.77734375" customWidth="1"/>
    <col min="10767" max="10767" width="10.5546875" customWidth="1"/>
    <col min="10774" max="10775" width="8.77734375" customWidth="1"/>
    <col min="10776" max="10776" width="10.77734375" customWidth="1"/>
    <col min="10777" max="10779" width="8.77734375" customWidth="1"/>
    <col min="11009" max="11009" width="13.77734375" customWidth="1"/>
    <col min="11010" max="11010" width="2.77734375" customWidth="1"/>
    <col min="11011" max="11011" width="6.77734375" customWidth="1"/>
    <col min="11012" max="11013" width="3.77734375" customWidth="1"/>
    <col min="11014" max="11014" width="8.77734375" customWidth="1"/>
    <col min="11015" max="11015" width="15.77734375" customWidth="1"/>
    <col min="11016" max="11016" width="7.77734375" customWidth="1"/>
    <col min="11017" max="11017" width="2.77734375" customWidth="1"/>
    <col min="11018" max="11018" width="7.77734375" customWidth="1"/>
    <col min="11019" max="11019" width="2.21875" customWidth="1"/>
    <col min="11020" max="11020" width="7.77734375" customWidth="1"/>
    <col min="11022" max="11022" width="12.77734375" customWidth="1"/>
    <col min="11023" max="11023" width="10.5546875" customWidth="1"/>
    <col min="11030" max="11031" width="8.77734375" customWidth="1"/>
    <col min="11032" max="11032" width="10.77734375" customWidth="1"/>
    <col min="11033" max="11035" width="8.77734375" customWidth="1"/>
    <col min="11265" max="11265" width="13.77734375" customWidth="1"/>
    <col min="11266" max="11266" width="2.77734375" customWidth="1"/>
    <col min="11267" max="11267" width="6.77734375" customWidth="1"/>
    <col min="11268" max="11269" width="3.77734375" customWidth="1"/>
    <col min="11270" max="11270" width="8.77734375" customWidth="1"/>
    <col min="11271" max="11271" width="15.77734375" customWidth="1"/>
    <col min="11272" max="11272" width="7.77734375" customWidth="1"/>
    <col min="11273" max="11273" width="2.77734375" customWidth="1"/>
    <col min="11274" max="11274" width="7.77734375" customWidth="1"/>
    <col min="11275" max="11275" width="2.21875" customWidth="1"/>
    <col min="11276" max="11276" width="7.77734375" customWidth="1"/>
    <col min="11278" max="11278" width="12.77734375" customWidth="1"/>
    <col min="11279" max="11279" width="10.5546875" customWidth="1"/>
    <col min="11286" max="11287" width="8.77734375" customWidth="1"/>
    <col min="11288" max="11288" width="10.77734375" customWidth="1"/>
    <col min="11289" max="11291" width="8.77734375" customWidth="1"/>
    <col min="11521" max="11521" width="13.77734375" customWidth="1"/>
    <col min="11522" max="11522" width="2.77734375" customWidth="1"/>
    <col min="11523" max="11523" width="6.77734375" customWidth="1"/>
    <col min="11524" max="11525" width="3.77734375" customWidth="1"/>
    <col min="11526" max="11526" width="8.77734375" customWidth="1"/>
    <col min="11527" max="11527" width="15.77734375" customWidth="1"/>
    <col min="11528" max="11528" width="7.77734375" customWidth="1"/>
    <col min="11529" max="11529" width="2.77734375" customWidth="1"/>
    <col min="11530" max="11530" width="7.77734375" customWidth="1"/>
    <col min="11531" max="11531" width="2.21875" customWidth="1"/>
    <col min="11532" max="11532" width="7.77734375" customWidth="1"/>
    <col min="11534" max="11534" width="12.77734375" customWidth="1"/>
    <col min="11535" max="11535" width="10.5546875" customWidth="1"/>
    <col min="11542" max="11543" width="8.77734375" customWidth="1"/>
    <col min="11544" max="11544" width="10.77734375" customWidth="1"/>
    <col min="11545" max="11547" width="8.77734375" customWidth="1"/>
    <col min="11777" max="11777" width="13.77734375" customWidth="1"/>
    <col min="11778" max="11778" width="2.77734375" customWidth="1"/>
    <col min="11779" max="11779" width="6.77734375" customWidth="1"/>
    <col min="11780" max="11781" width="3.77734375" customWidth="1"/>
    <col min="11782" max="11782" width="8.77734375" customWidth="1"/>
    <col min="11783" max="11783" width="15.77734375" customWidth="1"/>
    <col min="11784" max="11784" width="7.77734375" customWidth="1"/>
    <col min="11785" max="11785" width="2.77734375" customWidth="1"/>
    <col min="11786" max="11786" width="7.77734375" customWidth="1"/>
    <col min="11787" max="11787" width="2.21875" customWidth="1"/>
    <col min="11788" max="11788" width="7.77734375" customWidth="1"/>
    <col min="11790" max="11790" width="12.77734375" customWidth="1"/>
    <col min="11791" max="11791" width="10.5546875" customWidth="1"/>
    <col min="11798" max="11799" width="8.77734375" customWidth="1"/>
    <col min="11800" max="11800" width="10.77734375" customWidth="1"/>
    <col min="11801" max="11803" width="8.77734375" customWidth="1"/>
    <col min="12033" max="12033" width="13.77734375" customWidth="1"/>
    <col min="12034" max="12034" width="2.77734375" customWidth="1"/>
    <col min="12035" max="12035" width="6.77734375" customWidth="1"/>
    <col min="12036" max="12037" width="3.77734375" customWidth="1"/>
    <col min="12038" max="12038" width="8.77734375" customWidth="1"/>
    <col min="12039" max="12039" width="15.77734375" customWidth="1"/>
    <col min="12040" max="12040" width="7.77734375" customWidth="1"/>
    <col min="12041" max="12041" width="2.77734375" customWidth="1"/>
    <col min="12042" max="12042" width="7.77734375" customWidth="1"/>
    <col min="12043" max="12043" width="2.21875" customWidth="1"/>
    <col min="12044" max="12044" width="7.77734375" customWidth="1"/>
    <col min="12046" max="12046" width="12.77734375" customWidth="1"/>
    <col min="12047" max="12047" width="10.5546875" customWidth="1"/>
    <col min="12054" max="12055" width="8.77734375" customWidth="1"/>
    <col min="12056" max="12056" width="10.77734375" customWidth="1"/>
    <col min="12057" max="12059" width="8.77734375" customWidth="1"/>
    <col min="12289" max="12289" width="13.77734375" customWidth="1"/>
    <col min="12290" max="12290" width="2.77734375" customWidth="1"/>
    <col min="12291" max="12291" width="6.77734375" customWidth="1"/>
    <col min="12292" max="12293" width="3.77734375" customWidth="1"/>
    <col min="12294" max="12294" width="8.77734375" customWidth="1"/>
    <col min="12295" max="12295" width="15.77734375" customWidth="1"/>
    <col min="12296" max="12296" width="7.77734375" customWidth="1"/>
    <col min="12297" max="12297" width="2.77734375" customWidth="1"/>
    <col min="12298" max="12298" width="7.77734375" customWidth="1"/>
    <col min="12299" max="12299" width="2.21875" customWidth="1"/>
    <col min="12300" max="12300" width="7.77734375" customWidth="1"/>
    <col min="12302" max="12302" width="12.77734375" customWidth="1"/>
    <col min="12303" max="12303" width="10.5546875" customWidth="1"/>
    <col min="12310" max="12311" width="8.77734375" customWidth="1"/>
    <col min="12312" max="12312" width="10.77734375" customWidth="1"/>
    <col min="12313" max="12315" width="8.77734375" customWidth="1"/>
    <col min="12545" max="12545" width="13.77734375" customWidth="1"/>
    <col min="12546" max="12546" width="2.77734375" customWidth="1"/>
    <col min="12547" max="12547" width="6.77734375" customWidth="1"/>
    <col min="12548" max="12549" width="3.77734375" customWidth="1"/>
    <col min="12550" max="12550" width="8.77734375" customWidth="1"/>
    <col min="12551" max="12551" width="15.77734375" customWidth="1"/>
    <col min="12552" max="12552" width="7.77734375" customWidth="1"/>
    <col min="12553" max="12553" width="2.77734375" customWidth="1"/>
    <col min="12554" max="12554" width="7.77734375" customWidth="1"/>
    <col min="12555" max="12555" width="2.21875" customWidth="1"/>
    <col min="12556" max="12556" width="7.77734375" customWidth="1"/>
    <col min="12558" max="12558" width="12.77734375" customWidth="1"/>
    <col min="12559" max="12559" width="10.5546875" customWidth="1"/>
    <col min="12566" max="12567" width="8.77734375" customWidth="1"/>
    <col min="12568" max="12568" width="10.77734375" customWidth="1"/>
    <col min="12569" max="12571" width="8.77734375" customWidth="1"/>
    <col min="12801" max="12801" width="13.77734375" customWidth="1"/>
    <col min="12802" max="12802" width="2.77734375" customWidth="1"/>
    <col min="12803" max="12803" width="6.77734375" customWidth="1"/>
    <col min="12804" max="12805" width="3.77734375" customWidth="1"/>
    <col min="12806" max="12806" width="8.77734375" customWidth="1"/>
    <col min="12807" max="12807" width="15.77734375" customWidth="1"/>
    <col min="12808" max="12808" width="7.77734375" customWidth="1"/>
    <col min="12809" max="12809" width="2.77734375" customWidth="1"/>
    <col min="12810" max="12810" width="7.77734375" customWidth="1"/>
    <col min="12811" max="12811" width="2.21875" customWidth="1"/>
    <col min="12812" max="12812" width="7.77734375" customWidth="1"/>
    <col min="12814" max="12814" width="12.77734375" customWidth="1"/>
    <col min="12815" max="12815" width="10.5546875" customWidth="1"/>
    <col min="12822" max="12823" width="8.77734375" customWidth="1"/>
    <col min="12824" max="12824" width="10.77734375" customWidth="1"/>
    <col min="12825" max="12827" width="8.77734375" customWidth="1"/>
    <col min="13057" max="13057" width="13.77734375" customWidth="1"/>
    <col min="13058" max="13058" width="2.77734375" customWidth="1"/>
    <col min="13059" max="13059" width="6.77734375" customWidth="1"/>
    <col min="13060" max="13061" width="3.77734375" customWidth="1"/>
    <col min="13062" max="13062" width="8.77734375" customWidth="1"/>
    <col min="13063" max="13063" width="15.77734375" customWidth="1"/>
    <col min="13064" max="13064" width="7.77734375" customWidth="1"/>
    <col min="13065" max="13065" width="2.77734375" customWidth="1"/>
    <col min="13066" max="13066" width="7.77734375" customWidth="1"/>
    <col min="13067" max="13067" width="2.21875" customWidth="1"/>
    <col min="13068" max="13068" width="7.77734375" customWidth="1"/>
    <col min="13070" max="13070" width="12.77734375" customWidth="1"/>
    <col min="13071" max="13071" width="10.5546875" customWidth="1"/>
    <col min="13078" max="13079" width="8.77734375" customWidth="1"/>
    <col min="13080" max="13080" width="10.77734375" customWidth="1"/>
    <col min="13081" max="13083" width="8.77734375" customWidth="1"/>
    <col min="13313" max="13313" width="13.77734375" customWidth="1"/>
    <col min="13314" max="13314" width="2.77734375" customWidth="1"/>
    <col min="13315" max="13315" width="6.77734375" customWidth="1"/>
    <col min="13316" max="13317" width="3.77734375" customWidth="1"/>
    <col min="13318" max="13318" width="8.77734375" customWidth="1"/>
    <col min="13319" max="13319" width="15.77734375" customWidth="1"/>
    <col min="13320" max="13320" width="7.77734375" customWidth="1"/>
    <col min="13321" max="13321" width="2.77734375" customWidth="1"/>
    <col min="13322" max="13322" width="7.77734375" customWidth="1"/>
    <col min="13323" max="13323" width="2.21875" customWidth="1"/>
    <col min="13324" max="13324" width="7.77734375" customWidth="1"/>
    <col min="13326" max="13326" width="12.77734375" customWidth="1"/>
    <col min="13327" max="13327" width="10.5546875" customWidth="1"/>
    <col min="13334" max="13335" width="8.77734375" customWidth="1"/>
    <col min="13336" max="13336" width="10.77734375" customWidth="1"/>
    <col min="13337" max="13339" width="8.77734375" customWidth="1"/>
    <col min="13569" max="13569" width="13.77734375" customWidth="1"/>
    <col min="13570" max="13570" width="2.77734375" customWidth="1"/>
    <col min="13571" max="13571" width="6.77734375" customWidth="1"/>
    <col min="13572" max="13573" width="3.77734375" customWidth="1"/>
    <col min="13574" max="13574" width="8.77734375" customWidth="1"/>
    <col min="13575" max="13575" width="15.77734375" customWidth="1"/>
    <col min="13576" max="13576" width="7.77734375" customWidth="1"/>
    <col min="13577" max="13577" width="2.77734375" customWidth="1"/>
    <col min="13578" max="13578" width="7.77734375" customWidth="1"/>
    <col min="13579" max="13579" width="2.21875" customWidth="1"/>
    <col min="13580" max="13580" width="7.77734375" customWidth="1"/>
    <col min="13582" max="13582" width="12.77734375" customWidth="1"/>
    <col min="13583" max="13583" width="10.5546875" customWidth="1"/>
    <col min="13590" max="13591" width="8.77734375" customWidth="1"/>
    <col min="13592" max="13592" width="10.77734375" customWidth="1"/>
    <col min="13593" max="13595" width="8.77734375" customWidth="1"/>
    <col min="13825" max="13825" width="13.77734375" customWidth="1"/>
    <col min="13826" max="13826" width="2.77734375" customWidth="1"/>
    <col min="13827" max="13827" width="6.77734375" customWidth="1"/>
    <col min="13828" max="13829" width="3.77734375" customWidth="1"/>
    <col min="13830" max="13830" width="8.77734375" customWidth="1"/>
    <col min="13831" max="13831" width="15.77734375" customWidth="1"/>
    <col min="13832" max="13832" width="7.77734375" customWidth="1"/>
    <col min="13833" max="13833" width="2.77734375" customWidth="1"/>
    <col min="13834" max="13834" width="7.77734375" customWidth="1"/>
    <col min="13835" max="13835" width="2.21875" customWidth="1"/>
    <col min="13836" max="13836" width="7.77734375" customWidth="1"/>
    <col min="13838" max="13838" width="12.77734375" customWidth="1"/>
    <col min="13839" max="13839" width="10.5546875" customWidth="1"/>
    <col min="13846" max="13847" width="8.77734375" customWidth="1"/>
    <col min="13848" max="13848" width="10.77734375" customWidth="1"/>
    <col min="13849" max="13851" width="8.77734375" customWidth="1"/>
    <col min="14081" max="14081" width="13.77734375" customWidth="1"/>
    <col min="14082" max="14082" width="2.77734375" customWidth="1"/>
    <col min="14083" max="14083" width="6.77734375" customWidth="1"/>
    <col min="14084" max="14085" width="3.77734375" customWidth="1"/>
    <col min="14086" max="14086" width="8.77734375" customWidth="1"/>
    <col min="14087" max="14087" width="15.77734375" customWidth="1"/>
    <col min="14088" max="14088" width="7.77734375" customWidth="1"/>
    <col min="14089" max="14089" width="2.77734375" customWidth="1"/>
    <col min="14090" max="14090" width="7.77734375" customWidth="1"/>
    <col min="14091" max="14091" width="2.21875" customWidth="1"/>
    <col min="14092" max="14092" width="7.77734375" customWidth="1"/>
    <col min="14094" max="14094" width="12.77734375" customWidth="1"/>
    <col min="14095" max="14095" width="10.5546875" customWidth="1"/>
    <col min="14102" max="14103" width="8.77734375" customWidth="1"/>
    <col min="14104" max="14104" width="10.77734375" customWidth="1"/>
    <col min="14105" max="14107" width="8.77734375" customWidth="1"/>
    <col min="14337" max="14337" width="13.77734375" customWidth="1"/>
    <col min="14338" max="14338" width="2.77734375" customWidth="1"/>
    <col min="14339" max="14339" width="6.77734375" customWidth="1"/>
    <col min="14340" max="14341" width="3.77734375" customWidth="1"/>
    <col min="14342" max="14342" width="8.77734375" customWidth="1"/>
    <col min="14343" max="14343" width="15.77734375" customWidth="1"/>
    <col min="14344" max="14344" width="7.77734375" customWidth="1"/>
    <col min="14345" max="14345" width="2.77734375" customWidth="1"/>
    <col min="14346" max="14346" width="7.77734375" customWidth="1"/>
    <col min="14347" max="14347" width="2.21875" customWidth="1"/>
    <col min="14348" max="14348" width="7.77734375" customWidth="1"/>
    <col min="14350" max="14350" width="12.77734375" customWidth="1"/>
    <col min="14351" max="14351" width="10.5546875" customWidth="1"/>
    <col min="14358" max="14359" width="8.77734375" customWidth="1"/>
    <col min="14360" max="14360" width="10.77734375" customWidth="1"/>
    <col min="14361" max="14363" width="8.77734375" customWidth="1"/>
    <col min="14593" max="14593" width="13.77734375" customWidth="1"/>
    <col min="14594" max="14594" width="2.77734375" customWidth="1"/>
    <col min="14595" max="14595" width="6.77734375" customWidth="1"/>
    <col min="14596" max="14597" width="3.77734375" customWidth="1"/>
    <col min="14598" max="14598" width="8.77734375" customWidth="1"/>
    <col min="14599" max="14599" width="15.77734375" customWidth="1"/>
    <col min="14600" max="14600" width="7.77734375" customWidth="1"/>
    <col min="14601" max="14601" width="2.77734375" customWidth="1"/>
    <col min="14602" max="14602" width="7.77734375" customWidth="1"/>
    <col min="14603" max="14603" width="2.21875" customWidth="1"/>
    <col min="14604" max="14604" width="7.77734375" customWidth="1"/>
    <col min="14606" max="14606" width="12.77734375" customWidth="1"/>
    <col min="14607" max="14607" width="10.5546875" customWidth="1"/>
    <col min="14614" max="14615" width="8.77734375" customWidth="1"/>
    <col min="14616" max="14616" width="10.77734375" customWidth="1"/>
    <col min="14617" max="14619" width="8.77734375" customWidth="1"/>
    <col min="14849" max="14849" width="13.77734375" customWidth="1"/>
    <col min="14850" max="14850" width="2.77734375" customWidth="1"/>
    <col min="14851" max="14851" width="6.77734375" customWidth="1"/>
    <col min="14852" max="14853" width="3.77734375" customWidth="1"/>
    <col min="14854" max="14854" width="8.77734375" customWidth="1"/>
    <col min="14855" max="14855" width="15.77734375" customWidth="1"/>
    <col min="14856" max="14856" width="7.77734375" customWidth="1"/>
    <col min="14857" max="14857" width="2.77734375" customWidth="1"/>
    <col min="14858" max="14858" width="7.77734375" customWidth="1"/>
    <col min="14859" max="14859" width="2.21875" customWidth="1"/>
    <col min="14860" max="14860" width="7.77734375" customWidth="1"/>
    <col min="14862" max="14862" width="12.77734375" customWidth="1"/>
    <col min="14863" max="14863" width="10.5546875" customWidth="1"/>
    <col min="14870" max="14871" width="8.77734375" customWidth="1"/>
    <col min="14872" max="14872" width="10.77734375" customWidth="1"/>
    <col min="14873" max="14875" width="8.77734375" customWidth="1"/>
    <col min="15105" max="15105" width="13.77734375" customWidth="1"/>
    <col min="15106" max="15106" width="2.77734375" customWidth="1"/>
    <col min="15107" max="15107" width="6.77734375" customWidth="1"/>
    <col min="15108" max="15109" width="3.77734375" customWidth="1"/>
    <col min="15110" max="15110" width="8.77734375" customWidth="1"/>
    <col min="15111" max="15111" width="15.77734375" customWidth="1"/>
    <col min="15112" max="15112" width="7.77734375" customWidth="1"/>
    <col min="15113" max="15113" width="2.77734375" customWidth="1"/>
    <col min="15114" max="15114" width="7.77734375" customWidth="1"/>
    <col min="15115" max="15115" width="2.21875" customWidth="1"/>
    <col min="15116" max="15116" width="7.77734375" customWidth="1"/>
    <col min="15118" max="15118" width="12.77734375" customWidth="1"/>
    <col min="15119" max="15119" width="10.5546875" customWidth="1"/>
    <col min="15126" max="15127" width="8.77734375" customWidth="1"/>
    <col min="15128" max="15128" width="10.77734375" customWidth="1"/>
    <col min="15129" max="15131" width="8.77734375" customWidth="1"/>
    <col min="15361" max="15361" width="13.77734375" customWidth="1"/>
    <col min="15362" max="15362" width="2.77734375" customWidth="1"/>
    <col min="15363" max="15363" width="6.77734375" customWidth="1"/>
    <col min="15364" max="15365" width="3.77734375" customWidth="1"/>
    <col min="15366" max="15366" width="8.77734375" customWidth="1"/>
    <col min="15367" max="15367" width="15.77734375" customWidth="1"/>
    <col min="15368" max="15368" width="7.77734375" customWidth="1"/>
    <col min="15369" max="15369" width="2.77734375" customWidth="1"/>
    <col min="15370" max="15370" width="7.77734375" customWidth="1"/>
    <col min="15371" max="15371" width="2.21875" customWidth="1"/>
    <col min="15372" max="15372" width="7.77734375" customWidth="1"/>
    <col min="15374" max="15374" width="12.77734375" customWidth="1"/>
    <col min="15375" max="15375" width="10.5546875" customWidth="1"/>
    <col min="15382" max="15383" width="8.77734375" customWidth="1"/>
    <col min="15384" max="15384" width="10.77734375" customWidth="1"/>
    <col min="15385" max="15387" width="8.77734375" customWidth="1"/>
    <col min="15617" max="15617" width="13.77734375" customWidth="1"/>
    <col min="15618" max="15618" width="2.77734375" customWidth="1"/>
    <col min="15619" max="15619" width="6.77734375" customWidth="1"/>
    <col min="15620" max="15621" width="3.77734375" customWidth="1"/>
    <col min="15622" max="15622" width="8.77734375" customWidth="1"/>
    <col min="15623" max="15623" width="15.77734375" customWidth="1"/>
    <col min="15624" max="15624" width="7.77734375" customWidth="1"/>
    <col min="15625" max="15625" width="2.77734375" customWidth="1"/>
    <col min="15626" max="15626" width="7.77734375" customWidth="1"/>
    <col min="15627" max="15627" width="2.21875" customWidth="1"/>
    <col min="15628" max="15628" width="7.77734375" customWidth="1"/>
    <col min="15630" max="15630" width="12.77734375" customWidth="1"/>
    <col min="15631" max="15631" width="10.5546875" customWidth="1"/>
    <col min="15638" max="15639" width="8.77734375" customWidth="1"/>
    <col min="15640" max="15640" width="10.77734375" customWidth="1"/>
    <col min="15641" max="15643" width="8.77734375" customWidth="1"/>
    <col min="15873" max="15873" width="13.77734375" customWidth="1"/>
    <col min="15874" max="15874" width="2.77734375" customWidth="1"/>
    <col min="15875" max="15875" width="6.77734375" customWidth="1"/>
    <col min="15876" max="15877" width="3.77734375" customWidth="1"/>
    <col min="15878" max="15878" width="8.77734375" customWidth="1"/>
    <col min="15879" max="15879" width="15.77734375" customWidth="1"/>
    <col min="15880" max="15880" width="7.77734375" customWidth="1"/>
    <col min="15881" max="15881" width="2.77734375" customWidth="1"/>
    <col min="15882" max="15882" width="7.77734375" customWidth="1"/>
    <col min="15883" max="15883" width="2.21875" customWidth="1"/>
    <col min="15884" max="15884" width="7.77734375" customWidth="1"/>
    <col min="15886" max="15886" width="12.77734375" customWidth="1"/>
    <col min="15887" max="15887" width="10.5546875" customWidth="1"/>
    <col min="15894" max="15895" width="8.77734375" customWidth="1"/>
    <col min="15896" max="15896" width="10.77734375" customWidth="1"/>
    <col min="15897" max="15899" width="8.77734375" customWidth="1"/>
    <col min="16129" max="16129" width="13.77734375" customWidth="1"/>
    <col min="16130" max="16130" width="2.77734375" customWidth="1"/>
    <col min="16131" max="16131" width="6.77734375" customWidth="1"/>
    <col min="16132" max="16133" width="3.77734375" customWidth="1"/>
    <col min="16134" max="16134" width="8.77734375" customWidth="1"/>
    <col min="16135" max="16135" width="15.77734375" customWidth="1"/>
    <col min="16136" max="16136" width="7.77734375" customWidth="1"/>
    <col min="16137" max="16137" width="2.77734375" customWidth="1"/>
    <col min="16138" max="16138" width="7.77734375" customWidth="1"/>
    <col min="16139" max="16139" width="2.21875" customWidth="1"/>
    <col min="16140" max="16140" width="7.77734375" customWidth="1"/>
    <col min="16142" max="16142" width="12.77734375" customWidth="1"/>
    <col min="16143" max="16143" width="10.5546875" customWidth="1"/>
    <col min="16150" max="16151" width="8.77734375" customWidth="1"/>
    <col min="16152" max="16152" width="10.77734375" customWidth="1"/>
    <col min="16153" max="16155" width="8.77734375" customWidth="1"/>
  </cols>
  <sheetData>
    <row r="1" spans="1:27" ht="9.9499999999999993" customHeight="1">
      <c r="A1" s="1"/>
      <c r="B1" s="2" t="s">
        <v>0</v>
      </c>
      <c r="C1" s="3"/>
      <c r="D1" s="3"/>
      <c r="E1" s="3"/>
      <c r="F1" s="3"/>
      <c r="G1" s="3"/>
      <c r="H1" s="3" t="s">
        <v>1</v>
      </c>
      <c r="I1" s="2" t="s">
        <v>2</v>
      </c>
      <c r="J1" s="3"/>
      <c r="K1" s="3"/>
      <c r="L1" s="4" t="s">
        <v>3</v>
      </c>
      <c r="M1" s="418"/>
    </row>
    <row r="2" spans="1:27" ht="15" customHeight="1">
      <c r="A2" s="8" t="str">
        <f>A!A2</f>
        <v>kriptologia</v>
      </c>
      <c r="B2" s="9" t="s">
        <v>1</v>
      </c>
      <c r="C2" s="11">
        <f>A!C2</f>
        <v>0</v>
      </c>
      <c r="D2" s="12"/>
      <c r="E2" s="12"/>
      <c r="F2" s="12"/>
      <c r="G2" s="12"/>
      <c r="H2" s="12"/>
      <c r="I2" s="9"/>
      <c r="J2" s="329" t="str">
        <f>A!J2</f>
        <v xml:space="preserve"> </v>
      </c>
      <c r="K2" s="12"/>
      <c r="L2" s="12"/>
      <c r="M2" s="21"/>
      <c r="N2" s="17" t="str">
        <f>A!N2</f>
        <v>D</v>
      </c>
      <c r="O2" s="57" t="str">
        <f>A!O2</f>
        <v>&lt;---- efter Dansk(D)-, Norsk(N)- eller Svensk(S)- NA</v>
      </c>
      <c r="T2">
        <f>A!T2</f>
        <v>0</v>
      </c>
    </row>
    <row r="3" spans="1:27" ht="9.9499999999999993" customHeight="1">
      <c r="A3" s="26"/>
      <c r="B3" s="2" t="s">
        <v>14</v>
      </c>
      <c r="C3" s="315"/>
      <c r="D3" s="3"/>
      <c r="E3" s="3"/>
      <c r="I3" s="28" t="s">
        <v>15</v>
      </c>
      <c r="L3" s="419"/>
      <c r="M3" s="29"/>
    </row>
    <row r="4" spans="1:27" ht="15" customHeight="1">
      <c r="A4" s="20"/>
      <c r="B4" s="9"/>
      <c r="C4" s="11">
        <f>A!C4</f>
        <v>0</v>
      </c>
      <c r="D4" s="12"/>
      <c r="E4" s="12"/>
      <c r="F4" s="12"/>
      <c r="G4" s="12"/>
      <c r="H4" s="21"/>
      <c r="I4" s="9"/>
      <c r="J4" s="32">
        <f>A!J4</f>
        <v>44118.352581712963</v>
      </c>
      <c r="K4" s="12"/>
      <c r="L4" s="12"/>
      <c r="M4" s="21"/>
      <c r="O4" t="s">
        <v>17</v>
      </c>
      <c r="R4" s="330" t="str">
        <f>A!R4</f>
        <v>nej</v>
      </c>
      <c r="S4" s="136" t="s">
        <v>19</v>
      </c>
      <c r="T4" s="136"/>
      <c r="U4" s="136"/>
    </row>
    <row r="5" spans="1:27" ht="9.9499999999999993" customHeight="1">
      <c r="A5" s="36" t="s">
        <v>23</v>
      </c>
      <c r="B5" s="26"/>
      <c r="C5" s="315"/>
      <c r="I5" s="37"/>
      <c r="K5" s="37" t="str">
        <f>A!K5</f>
        <v xml:space="preserve">                                    N:\Opslag\Statik\Dalton statikark\RepoEC_190701 </v>
      </c>
      <c r="L5" s="419"/>
      <c r="M5" s="29"/>
      <c r="S5" s="136"/>
      <c r="T5" s="136"/>
      <c r="U5" s="136"/>
    </row>
    <row r="6" spans="1:27" ht="15" customHeight="1">
      <c r="A6" s="271" t="str">
        <f>A!A6</f>
        <v>Tilst</v>
      </c>
      <c r="B6" s="9"/>
      <c r="C6" s="11">
        <f>A!C6</f>
        <v>0</v>
      </c>
      <c r="D6" s="12"/>
      <c r="E6" s="12"/>
      <c r="F6" s="12"/>
      <c r="G6" s="12"/>
      <c r="H6" s="21"/>
      <c r="I6" s="41" t="s">
        <v>28</v>
      </c>
      <c r="J6" s="331">
        <f>A!J6</f>
        <v>44118.353442013889</v>
      </c>
      <c r="K6" s="12"/>
      <c r="L6" s="43"/>
      <c r="M6" s="21"/>
      <c r="N6" s="49">
        <f>IF(R4="ja",1,IF(U6=2,1,IF(U6=3,1.1,NA())))</f>
        <v>1</v>
      </c>
      <c r="O6" t="s">
        <v>32</v>
      </c>
      <c r="S6" s="332" t="s">
        <v>1062</v>
      </c>
      <c r="T6" s="333" t="s">
        <v>1063</v>
      </c>
      <c r="U6" s="332">
        <v>2</v>
      </c>
      <c r="V6" s="334"/>
      <c r="W6" s="334" t="str">
        <f>IF(U6=2,"Middel",IF(U6=3,"Høj","Ikke tilladt !"))</f>
        <v>Middel</v>
      </c>
    </row>
    <row r="7" spans="1:27" ht="15.75">
      <c r="N7" s="335">
        <f>IF(U7="N",1,IF(U7="S",0.95,NA()))</f>
        <v>1</v>
      </c>
      <c r="O7" s="136" t="s">
        <v>40</v>
      </c>
      <c r="S7" s="332" t="s">
        <v>1064</v>
      </c>
      <c r="T7" s="332"/>
      <c r="U7" s="332" t="s">
        <v>48</v>
      </c>
      <c r="V7" s="336" t="str">
        <f>IF(OR(U6=2,U6=3)," ","NB !")</f>
        <v xml:space="preserve"> </v>
      </c>
      <c r="W7" s="334" t="str">
        <f>IF(U7="N","Normal",IF(U7="S","Skærpet","fejl !"))</f>
        <v>Normal</v>
      </c>
      <c r="X7" s="337" t="str">
        <f>IF(OR(U7="N",U7="S")," ","NB !")</f>
        <v xml:space="preserve"> </v>
      </c>
    </row>
    <row r="8" spans="1:27">
      <c r="B8" s="338" t="s">
        <v>39</v>
      </c>
      <c r="N8" s="339" t="e">
        <f>IF(I9="N",+S8,IF(I9="S",+S9,NA()))</f>
        <v>#N/A</v>
      </c>
      <c r="O8" s="334" t="s">
        <v>53</v>
      </c>
      <c r="P8" s="334"/>
      <c r="Q8" s="334"/>
      <c r="S8" s="340">
        <f>IF(AND(H10="XC",I10=1),15+N9,IF(H10="XC",25+N9,40+N9))</f>
        <v>45</v>
      </c>
      <c r="T8" s="341" t="s">
        <v>1065</v>
      </c>
      <c r="U8" s="136"/>
      <c r="V8" s="136"/>
      <c r="W8" s="136"/>
      <c r="X8" s="136"/>
    </row>
    <row r="9" spans="1:27" ht="15.75">
      <c r="D9" s="332"/>
      <c r="E9" s="332"/>
      <c r="F9" s="332"/>
      <c r="G9" s="342" t="str">
        <f>IF(OR(I9="N",I9="S"),"N for Norge, S for Sverige -----------------&gt;"," ")</f>
        <v xml:space="preserve"> </v>
      </c>
      <c r="H9" s="343"/>
      <c r="I9" s="344" t="str">
        <f>A!N2</f>
        <v>D</v>
      </c>
      <c r="J9" s="332"/>
      <c r="K9" s="332" t="str">
        <f>IF(I9="N","Norge",IF(I9="S","Sverige","Fejl"))</f>
        <v>Fejl</v>
      </c>
      <c r="L9" s="332"/>
      <c r="M9" s="136"/>
      <c r="N9" s="341">
        <f>A!N10</f>
        <v>5</v>
      </c>
      <c r="O9" t="s">
        <v>64</v>
      </c>
      <c r="S9" s="340">
        <f>IF(AND(H10="XC",I10=1),10+N9,IF(H10="XC",20+N9,IF(AND(H10="XS",I10=1),25+N9,IF(AND(H10="XD",I10=1),25+N9,40+N9))))</f>
        <v>45</v>
      </c>
      <c r="T9" s="341" t="s">
        <v>1066</v>
      </c>
      <c r="U9" s="136"/>
      <c r="V9" s="136"/>
      <c r="W9" s="136"/>
      <c r="X9" s="136"/>
    </row>
    <row r="10" spans="1:27" ht="15.75">
      <c r="D10" s="332"/>
      <c r="E10" s="332"/>
      <c r="F10" s="332"/>
      <c r="G10" s="333" t="s">
        <v>1067</v>
      </c>
      <c r="H10" s="345" t="str">
        <f>A!H10</f>
        <v xml:space="preserve"> </v>
      </c>
      <c r="I10" s="346" t="str">
        <f>A!I10</f>
        <v>N</v>
      </c>
      <c r="J10" s="347" t="str">
        <f>IF(AND(H10="XC",I10&lt;=4)," ",IF(AND(H10="XD",I10&lt;=3)," ",IF(AND(H10="XS",I10=1)," ","Fejl")))</f>
        <v>Fejl</v>
      </c>
      <c r="K10" s="332"/>
      <c r="L10" s="332"/>
      <c r="N10" s="348" t="e">
        <f>IF(AND(A!J26&gt;10,N8=15),10,IF(N8=20,5,IF(N8=30,5,IF(N8=40,5,0))))</f>
        <v>#N/A</v>
      </c>
      <c r="O10" s="136" t="s">
        <v>73</v>
      </c>
      <c r="S10" s="340" t="str">
        <f>IF(AND(H10="XC",I10=1),"P",IF(H10="XC","M",IF(AND(H10="XD",I10=1),"A",IF(AND(H10="XS",I10=1),"A","E"))))</f>
        <v>E</v>
      </c>
      <c r="T10" s="341" t="s">
        <v>1068</v>
      </c>
      <c r="U10" s="136"/>
      <c r="V10" s="136"/>
      <c r="W10" s="136"/>
      <c r="X10" s="136"/>
    </row>
    <row r="11" spans="1:27" ht="15.75">
      <c r="D11" s="332"/>
      <c r="E11" s="332"/>
      <c r="F11" s="332"/>
      <c r="G11" s="333" t="s">
        <v>1132</v>
      </c>
      <c r="H11" s="343"/>
      <c r="I11" s="346" t="str">
        <f>S10</f>
        <v>E</v>
      </c>
      <c r="J11" s="332"/>
      <c r="K11" s="332" t="str">
        <f>IF(I11="P","Passiv",IF(I11="M","Moderat",IF(I11="A","Aggressiv",IF(I11="E","Ekstra aggressiv","fejl !"))))</f>
        <v>Ekstra aggressiv</v>
      </c>
      <c r="L11" s="332"/>
      <c r="N11" s="349" t="e">
        <f>N8+N10</f>
        <v>#N/A</v>
      </c>
      <c r="O11" s="332" t="s">
        <v>74</v>
      </c>
      <c r="S11" s="350">
        <f>IF(S10="P",30,IF(S10="M",30,IF(S10="A",35,IF(S10="E",40,NA()))))</f>
        <v>40</v>
      </c>
      <c r="T11" s="351" t="s">
        <v>1069</v>
      </c>
      <c r="U11" s="136"/>
      <c r="V11" s="136"/>
      <c r="W11" s="172"/>
      <c r="X11" s="136"/>
    </row>
    <row r="12" spans="1:27">
      <c r="W12" s="49"/>
      <c r="AA12" s="24"/>
    </row>
    <row r="16" spans="1:27">
      <c r="C16" s="80" t="s">
        <v>1070</v>
      </c>
      <c r="N16" s="352" t="str">
        <f>IF(I9="N","           Efter EC + norsk NA",IF(I9="S","           Efter EC + svensk NA","Fejl"))</f>
        <v>Fejl</v>
      </c>
      <c r="O16" s="136"/>
      <c r="R16" s="136"/>
      <c r="AA16" s="51"/>
    </row>
    <row r="17" spans="3:27">
      <c r="C17" s="80" t="s">
        <v>1071</v>
      </c>
      <c r="N17" s="353">
        <f>IF(R4="ja",1.2,1.5*N7)</f>
        <v>1.5</v>
      </c>
      <c r="O17" s="136" t="s">
        <v>145</v>
      </c>
      <c r="R17" s="353" t="e">
        <f>IF(R4="JA",1,IF(I9="N",0.85,IF(I9="S",1,NA())))</f>
        <v>#N/A</v>
      </c>
      <c r="S17" s="332" t="s">
        <v>146</v>
      </c>
      <c r="V17" s="334"/>
      <c r="W17" s="332" t="s">
        <v>147</v>
      </c>
      <c r="X17" s="332" t="str">
        <f>IF(I9="n","EC + norsk NA",IF(I9="s","EC + svensk NA","Fejl"))</f>
        <v>Fejl</v>
      </c>
      <c r="Y17" s="332"/>
      <c r="Z17" s="332"/>
      <c r="AA17" s="49"/>
    </row>
    <row r="18" spans="3:27">
      <c r="C18" s="80" t="s">
        <v>1072</v>
      </c>
      <c r="N18" s="353">
        <f>IF(R4="ja",1.2,1.5*N7)</f>
        <v>1.5</v>
      </c>
      <c r="O18" s="136" t="s">
        <v>157</v>
      </c>
      <c r="R18" s="353" t="e">
        <f>IF(R4="JA",1,IF(I9="N",0.85,IF(I9="S",1,NA())))</f>
        <v>#N/A</v>
      </c>
      <c r="S18" s="332" t="s">
        <v>158</v>
      </c>
      <c r="V18" s="334"/>
      <c r="W18" s="354" t="s">
        <v>159</v>
      </c>
      <c r="X18" s="333"/>
      <c r="Y18" s="333"/>
      <c r="Z18" s="355" t="s">
        <v>160</v>
      </c>
      <c r="AA18" s="67"/>
    </row>
    <row r="19" spans="3:27" ht="15.75">
      <c r="H19" s="46"/>
      <c r="I19" s="356">
        <v>2</v>
      </c>
      <c r="J19" s="56" t="s">
        <v>1073</v>
      </c>
      <c r="N19" s="353">
        <f>IF(R4="ja",1,1.15*N7)</f>
        <v>1.1499999999999999</v>
      </c>
      <c r="O19" s="136" t="s">
        <v>172</v>
      </c>
      <c r="V19" s="354" t="s">
        <v>173</v>
      </c>
      <c r="W19" s="357" t="e">
        <f>H43</f>
        <v>#N/A</v>
      </c>
      <c r="X19" s="353">
        <f>IF(R4="ja",1,1.35)</f>
        <v>1.35</v>
      </c>
      <c r="Y19" s="353">
        <f>IF(R4="JA",1,1.2)</f>
        <v>1.2</v>
      </c>
      <c r="Z19" s="355" t="e">
        <f>IF(X21=MAXA(X21:Y21),+X19,+Y19)</f>
        <v>#N/A</v>
      </c>
      <c r="AA19" s="49"/>
    </row>
    <row r="20" spans="3:27" ht="15.75">
      <c r="G20" s="46" t="s">
        <v>1067</v>
      </c>
      <c r="H20" s="358" t="s">
        <v>8</v>
      </c>
      <c r="I20" s="356" t="s">
        <v>48</v>
      </c>
      <c r="J20" s="56" t="s">
        <v>1073</v>
      </c>
      <c r="N20" s="353" t="e">
        <f>IF(R4="ja",1,IF(I9="N",1.05,IF(I9="S",1,NA())))</f>
        <v>#N/A</v>
      </c>
      <c r="O20" s="136" t="s">
        <v>185</v>
      </c>
      <c r="V20" s="354" t="s">
        <v>186</v>
      </c>
      <c r="W20" s="357">
        <f>H44</f>
        <v>3</v>
      </c>
      <c r="X20" s="353">
        <f>IF(R4="JA",1,1.5*0.7)</f>
        <v>1.0499999999999998</v>
      </c>
      <c r="Y20" s="353">
        <f>IF(R4="JA",1,1.5)</f>
        <v>1.5</v>
      </c>
      <c r="Z20" s="355" t="e">
        <f>IF(X21=MAXA(X21:Y21),+X20,+Y20)</f>
        <v>#N/A</v>
      </c>
    </row>
    <row r="21" spans="3:27" ht="15.75">
      <c r="G21" s="46"/>
      <c r="H21" s="56" t="s">
        <v>1073</v>
      </c>
      <c r="I21" s="356" t="s">
        <v>49</v>
      </c>
      <c r="J21" s="56" t="s">
        <v>1073</v>
      </c>
      <c r="V21" s="334"/>
      <c r="W21" s="354" t="s">
        <v>197</v>
      </c>
      <c r="X21" s="353" t="e">
        <f>W19*X19+W20*X20</f>
        <v>#N/A</v>
      </c>
      <c r="Y21" s="353" t="e">
        <f>W19*Y19+W20*Y20</f>
        <v>#N/A</v>
      </c>
      <c r="Z21" s="333" t="str">
        <f>IF(R4="ja"," ","farligste")</f>
        <v>farligste</v>
      </c>
    </row>
    <row r="22" spans="3:27">
      <c r="C22" s="359" t="s">
        <v>1074</v>
      </c>
    </row>
    <row r="24" spans="3:27">
      <c r="C24" s="359" t="s">
        <v>1075</v>
      </c>
    </row>
    <row r="25" spans="3:27">
      <c r="C25" s="80" t="s">
        <v>1076</v>
      </c>
    </row>
    <row r="26" spans="3:27">
      <c r="C26" s="359" t="s">
        <v>1077</v>
      </c>
    </row>
    <row r="27" spans="3:27">
      <c r="C27" s="80" t="s">
        <v>1078</v>
      </c>
    </row>
    <row r="28" spans="3:27">
      <c r="C28" s="359" t="s">
        <v>1079</v>
      </c>
    </row>
    <row r="30" spans="3:27">
      <c r="C30" s="80" t="s">
        <v>1080</v>
      </c>
    </row>
    <row r="31" spans="3:27">
      <c r="C31" s="359" t="s">
        <v>1081</v>
      </c>
    </row>
    <row r="33" spans="2:20">
      <c r="C33" s="80" t="s">
        <v>1082</v>
      </c>
    </row>
    <row r="34" spans="2:20">
      <c r="C34" s="80" t="s">
        <v>1083</v>
      </c>
    </row>
    <row r="38" spans="2:20">
      <c r="B38" t="s">
        <v>306</v>
      </c>
    </row>
    <row r="39" spans="2:20">
      <c r="B39" t="s">
        <v>308</v>
      </c>
    </row>
    <row r="40" spans="2:20">
      <c r="C40" t="s">
        <v>315</v>
      </c>
      <c r="F40" s="360">
        <v>25</v>
      </c>
      <c r="G40" t="s">
        <v>1084</v>
      </c>
    </row>
    <row r="43" spans="2:20">
      <c r="C43" t="s">
        <v>1085</v>
      </c>
      <c r="H43" t="e">
        <f>A!H43</f>
        <v>#N/A</v>
      </c>
      <c r="R43" s="136"/>
      <c r="S43" s="67"/>
      <c r="T43" s="67" t="str">
        <f>IF(T41="dorn",(F106-C109)*10^-3+Y25," ")</f>
        <v xml:space="preserve"> </v>
      </c>
    </row>
    <row r="44" spans="2:20">
      <c r="C44" t="s">
        <v>346</v>
      </c>
      <c r="D44" s="136"/>
      <c r="E44" s="136"/>
      <c r="F44" s="333" t="str">
        <f>IF(I9="S","kategori"," ")</f>
        <v xml:space="preserve"> </v>
      </c>
      <c r="G44" s="343" t="str">
        <f>A!G44</f>
        <v>A</v>
      </c>
      <c r="H44" s="361">
        <f>IF(I9="S",R44,3)</f>
        <v>3</v>
      </c>
      <c r="R44" s="362">
        <f>IF(G44="A",2,IF(G44="C5",5,3))</f>
        <v>2</v>
      </c>
      <c r="S44" s="363" t="s">
        <v>1086</v>
      </c>
    </row>
    <row r="47" spans="2:20" hidden="1"/>
    <row r="48" spans="2:20" hidden="1"/>
    <row r="49" hidden="1"/>
    <row r="50" hidden="1"/>
    <row r="51" hidden="1"/>
    <row r="52" hidden="1"/>
    <row r="53" hidden="1"/>
    <row r="54" hidden="1"/>
    <row r="55" hidden="1"/>
    <row r="56" hidden="1"/>
    <row r="57" hidden="1"/>
    <row r="58" hidden="1"/>
    <row r="59" hidden="1"/>
    <row r="60" hidden="1"/>
    <row r="61" hidden="1"/>
    <row r="62" hidden="1"/>
    <row r="63" hidden="1"/>
    <row r="64" hidden="1"/>
    <row r="65" spans="2:27" hidden="1"/>
    <row r="66" spans="2:27" hidden="1"/>
    <row r="67" spans="2:27" hidden="1"/>
    <row r="68" spans="2:27" hidden="1"/>
    <row r="69" spans="2:27" hidden="1"/>
    <row r="70" spans="2:27" hidden="1"/>
    <row r="71" spans="2:27" hidden="1"/>
    <row r="72" spans="2:27" hidden="1"/>
    <row r="73" spans="2:27" hidden="1"/>
    <row r="75" spans="2:27">
      <c r="B75" t="s">
        <v>460</v>
      </c>
      <c r="T75" s="136"/>
      <c r="U75" s="136"/>
      <c r="V75" s="136"/>
      <c r="W75" s="136"/>
      <c r="X75" s="136"/>
    </row>
    <row r="76" spans="2:27">
      <c r="C76" t="s">
        <v>465</v>
      </c>
      <c r="G76" s="46" t="s">
        <v>466</v>
      </c>
      <c r="O76" s="364" t="str">
        <f>A!O76</f>
        <v>ja</v>
      </c>
      <c r="P76" t="s">
        <v>467</v>
      </c>
      <c r="T76" s="362">
        <f>IF(H44&lt;=3,0.3,0.6)</f>
        <v>0.3</v>
      </c>
      <c r="U76" s="332" t="s">
        <v>1087</v>
      </c>
      <c r="V76" s="332"/>
      <c r="W76" s="136"/>
      <c r="X76" s="136"/>
    </row>
    <row r="77" spans="2:27">
      <c r="C77" t="s">
        <v>470</v>
      </c>
      <c r="F77" t="str">
        <f>IF(O76="ja",+"for kvasipermanent last","for langtidslast")</f>
        <v>for kvasipermanent last</v>
      </c>
      <c r="O77" s="362">
        <f>IF(AND(O76="ja",I9="N"),+T76,IF(AND(O76="ja",I9="S"),+T77,0))</f>
        <v>0</v>
      </c>
      <c r="P77" t="s">
        <v>471</v>
      </c>
      <c r="T77" s="362">
        <f>IF(G44="A",0.3,IF(G44="B",0.3,0.6))</f>
        <v>0.3</v>
      </c>
      <c r="U77" s="332" t="s">
        <v>1088</v>
      </c>
      <c r="V77" s="332"/>
      <c r="W77" s="136"/>
      <c r="X77" s="136"/>
    </row>
    <row r="78" spans="2:27">
      <c r="F78" t="str">
        <f>"for korttidslast"</f>
        <v>for korttidslast</v>
      </c>
      <c r="O78" s="365"/>
      <c r="T78" s="136"/>
      <c r="U78" s="136"/>
      <c r="V78" s="136"/>
      <c r="W78" s="136"/>
      <c r="X78" s="136"/>
    </row>
    <row r="79" spans="2:27">
      <c r="F79" t="s">
        <v>472</v>
      </c>
      <c r="G79" s="46" t="s">
        <v>78</v>
      </c>
      <c r="L79" s="353" t="e">
        <f>IF(I9="N",+U79,IF(I9="S",+U80,NA()))</f>
        <v>#N/A</v>
      </c>
      <c r="O79" s="136"/>
      <c r="P79" t="s">
        <v>473</v>
      </c>
      <c r="T79" s="136"/>
      <c r="U79" s="353" t="e">
        <f>0.3*MINA(Y79:Z79)</f>
        <v>#N/A</v>
      </c>
      <c r="V79" s="332" t="s">
        <v>1089</v>
      </c>
      <c r="W79" s="332"/>
      <c r="X79" s="332"/>
      <c r="Y79" s="353" t="e">
        <f>(N11-N9)/(N8-N9)</f>
        <v>#N/A</v>
      </c>
      <c r="Z79" s="353">
        <v>1.3</v>
      </c>
      <c r="AA79" s="332" t="s">
        <v>1090</v>
      </c>
    </row>
    <row r="80" spans="2:27" ht="15.75">
      <c r="C80" t="s">
        <v>475</v>
      </c>
      <c r="F80" t="str">
        <f>F77</f>
        <v>for kvasipermanent last</v>
      </c>
      <c r="L80" s="51" t="e">
        <f>IF(O80=0," ",ROUND(J32*10^3/O80,0))</f>
        <v>#N/A</v>
      </c>
      <c r="N80" s="165" t="str">
        <f>IF(M80="forkast","NB!"," ")</f>
        <v xml:space="preserve"> </v>
      </c>
      <c r="O80" s="366" t="e">
        <f>IF(I9="N",0,IF(I9="S",300,NA()))</f>
        <v>#N/A</v>
      </c>
      <c r="P80" t="s">
        <v>476</v>
      </c>
      <c r="T80" s="136"/>
      <c r="U80" s="353">
        <f>IF(AND(H10="XC",I10&lt;3),0.45,IF(AND(H10="XC",I10&gt;2),0.4,IF(AND(H10="XS",I10&lt;3),0.3,IF(AND(H10="XD",I10&lt;3),0.3,0.2))))</f>
        <v>0.2</v>
      </c>
      <c r="V80" s="332" t="s">
        <v>1091</v>
      </c>
      <c r="W80" s="332"/>
      <c r="X80" s="332"/>
    </row>
    <row r="81" spans="5:24" ht="15.75">
      <c r="F81" t="str">
        <f>F78</f>
        <v>for korttidslast</v>
      </c>
      <c r="L81" s="51" t="e">
        <f>IF(O81=0," ",ROUND(J32*10^3/O81,0))</f>
        <v>#N/A</v>
      </c>
      <c r="N81" s="165" t="str">
        <f>IF(M81="forkast","NB!"," ")</f>
        <v xml:space="preserve"> </v>
      </c>
      <c r="O81" s="366" t="e">
        <f>IF(I9="N",0,IF(I9="S",400,NA()))</f>
        <v>#N/A</v>
      </c>
      <c r="P81" t="s">
        <v>476</v>
      </c>
      <c r="T81" s="136"/>
      <c r="U81" s="136"/>
      <c r="V81" s="136"/>
      <c r="W81" s="136"/>
      <c r="X81" s="136"/>
    </row>
    <row r="82" spans="5:24" ht="15.75">
      <c r="F82" t="s">
        <v>472</v>
      </c>
      <c r="G82" s="46" t="s">
        <v>78</v>
      </c>
      <c r="N82" s="165" t="str">
        <f>IF(M82="forkast","NB!"," ")</f>
        <v xml:space="preserve"> </v>
      </c>
      <c r="O82" s="366" t="e">
        <f>IF(I9="N",200,IF(I9="S",0,NA()))</f>
        <v>#N/A</v>
      </c>
      <c r="P82" t="s">
        <v>478</v>
      </c>
    </row>
    <row r="83" spans="5:24">
      <c r="E83" t="s">
        <v>479</v>
      </c>
    </row>
  </sheetData>
  <sheetProtection algorithmName="SHA-512" hashValue="pKmtOw8Xc7Fq07FeoOg8qHCUEH7kRs1vQOf17lRjFe/KuAzfuuNzcnXluT19spHp3nA3dfonkbdooYk8t+Z7DA==" saltValue="BptUEOK9q44DfcWTlViVzQ=="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locked="0" defaultSize="0" autoFill="0" autoLine="0" autoPict="0" macro="[0]!LÅSARK">
                <anchor moveWithCells="1" sizeWithCells="1">
                  <from>
                    <xdr:col>0</xdr:col>
                    <xdr:colOff>95250</xdr:colOff>
                    <xdr:row>0</xdr:row>
                    <xdr:rowOff>76200</xdr:rowOff>
                  </from>
                  <to>
                    <xdr:col>0</xdr:col>
                    <xdr:colOff>228600</xdr:colOff>
                    <xdr:row>1</xdr:row>
                    <xdr:rowOff>104775</xdr:rowOff>
                  </to>
                </anchor>
              </controlPr>
            </control>
          </mc:Choice>
        </mc:AlternateContent>
        <mc:AlternateContent xmlns:mc="http://schemas.openxmlformats.org/markup-compatibility/2006">
          <mc:Choice Requires="x14">
            <control shapeId="8194" r:id="rId4" name="Button 2">
              <controlPr locked="0" defaultSize="0" autoFill="0" autoLine="0" autoPict="0" macro="[0]!GÅTILBAGETILarkA">
                <anchor moveWithCells="1" sizeWithCells="1">
                  <from>
                    <xdr:col>0</xdr:col>
                    <xdr:colOff>190500</xdr:colOff>
                    <xdr:row>14</xdr:row>
                    <xdr:rowOff>47625</xdr:rowOff>
                  </from>
                  <to>
                    <xdr:col>0</xdr:col>
                    <xdr:colOff>1162050</xdr:colOff>
                    <xdr:row>15</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7"/>
  <dimension ref="A2:E126"/>
  <sheetViews>
    <sheetView zoomScale="87" zoomScaleNormal="87" workbookViewId="0">
      <selection activeCell="E18" sqref="E18"/>
    </sheetView>
  </sheetViews>
  <sheetFormatPr defaultRowHeight="15"/>
  <cols>
    <col min="1" max="1" width="10.109375" style="27" bestFit="1" customWidth="1"/>
    <col min="2" max="2" width="16.44140625" style="27" customWidth="1"/>
    <col min="3" max="3" width="81" style="297" customWidth="1"/>
    <col min="4" max="257" width="8.88671875" style="27"/>
    <col min="258" max="258" width="22.77734375" style="27" customWidth="1"/>
    <col min="259" max="259" width="79.21875" style="27" customWidth="1"/>
    <col min="260" max="513" width="8.88671875" style="27"/>
    <col min="514" max="514" width="22.77734375" style="27" customWidth="1"/>
    <col min="515" max="515" width="79.21875" style="27" customWidth="1"/>
    <col min="516" max="769" width="8.88671875" style="27"/>
    <col min="770" max="770" width="22.77734375" style="27" customWidth="1"/>
    <col min="771" max="771" width="79.21875" style="27" customWidth="1"/>
    <col min="772" max="1025" width="8.88671875" style="27"/>
    <col min="1026" max="1026" width="22.77734375" style="27" customWidth="1"/>
    <col min="1027" max="1027" width="79.21875" style="27" customWidth="1"/>
    <col min="1028" max="1281" width="8.88671875" style="27"/>
    <col min="1282" max="1282" width="22.77734375" style="27" customWidth="1"/>
    <col min="1283" max="1283" width="79.21875" style="27" customWidth="1"/>
    <col min="1284" max="1537" width="8.88671875" style="27"/>
    <col min="1538" max="1538" width="22.77734375" style="27" customWidth="1"/>
    <col min="1539" max="1539" width="79.21875" style="27" customWidth="1"/>
    <col min="1540" max="1793" width="8.88671875" style="27"/>
    <col min="1794" max="1794" width="22.77734375" style="27" customWidth="1"/>
    <col min="1795" max="1795" width="79.21875" style="27" customWidth="1"/>
    <col min="1796" max="2049" width="8.88671875" style="27"/>
    <col min="2050" max="2050" width="22.77734375" style="27" customWidth="1"/>
    <col min="2051" max="2051" width="79.21875" style="27" customWidth="1"/>
    <col min="2052" max="2305" width="8.88671875" style="27"/>
    <col min="2306" max="2306" width="22.77734375" style="27" customWidth="1"/>
    <col min="2307" max="2307" width="79.21875" style="27" customWidth="1"/>
    <col min="2308" max="2561" width="8.88671875" style="27"/>
    <col min="2562" max="2562" width="22.77734375" style="27" customWidth="1"/>
    <col min="2563" max="2563" width="79.21875" style="27" customWidth="1"/>
    <col min="2564" max="2817" width="8.88671875" style="27"/>
    <col min="2818" max="2818" width="22.77734375" style="27" customWidth="1"/>
    <col min="2819" max="2819" width="79.21875" style="27" customWidth="1"/>
    <col min="2820" max="3073" width="8.88671875" style="27"/>
    <col min="3074" max="3074" width="22.77734375" style="27" customWidth="1"/>
    <col min="3075" max="3075" width="79.21875" style="27" customWidth="1"/>
    <col min="3076" max="3329" width="8.88671875" style="27"/>
    <col min="3330" max="3330" width="22.77734375" style="27" customWidth="1"/>
    <col min="3331" max="3331" width="79.21875" style="27" customWidth="1"/>
    <col min="3332" max="3585" width="8.88671875" style="27"/>
    <col min="3586" max="3586" width="22.77734375" style="27" customWidth="1"/>
    <col min="3587" max="3587" width="79.21875" style="27" customWidth="1"/>
    <col min="3588" max="3841" width="8.88671875" style="27"/>
    <col min="3842" max="3842" width="22.77734375" style="27" customWidth="1"/>
    <col min="3843" max="3843" width="79.21875" style="27" customWidth="1"/>
    <col min="3844" max="4097" width="8.88671875" style="27"/>
    <col min="4098" max="4098" width="22.77734375" style="27" customWidth="1"/>
    <col min="4099" max="4099" width="79.21875" style="27" customWidth="1"/>
    <col min="4100" max="4353" width="8.88671875" style="27"/>
    <col min="4354" max="4354" width="22.77734375" style="27" customWidth="1"/>
    <col min="4355" max="4355" width="79.21875" style="27" customWidth="1"/>
    <col min="4356" max="4609" width="8.88671875" style="27"/>
    <col min="4610" max="4610" width="22.77734375" style="27" customWidth="1"/>
    <col min="4611" max="4611" width="79.21875" style="27" customWidth="1"/>
    <col min="4612" max="4865" width="8.88671875" style="27"/>
    <col min="4866" max="4866" width="22.77734375" style="27" customWidth="1"/>
    <col min="4867" max="4867" width="79.21875" style="27" customWidth="1"/>
    <col min="4868" max="5121" width="8.88671875" style="27"/>
    <col min="5122" max="5122" width="22.77734375" style="27" customWidth="1"/>
    <col min="5123" max="5123" width="79.21875" style="27" customWidth="1"/>
    <col min="5124" max="5377" width="8.88671875" style="27"/>
    <col min="5378" max="5378" width="22.77734375" style="27" customWidth="1"/>
    <col min="5379" max="5379" width="79.21875" style="27" customWidth="1"/>
    <col min="5380" max="5633" width="8.88671875" style="27"/>
    <col min="5634" max="5634" width="22.77734375" style="27" customWidth="1"/>
    <col min="5635" max="5635" width="79.21875" style="27" customWidth="1"/>
    <col min="5636" max="5889" width="8.88671875" style="27"/>
    <col min="5890" max="5890" width="22.77734375" style="27" customWidth="1"/>
    <col min="5891" max="5891" width="79.21875" style="27" customWidth="1"/>
    <col min="5892" max="6145" width="8.88671875" style="27"/>
    <col min="6146" max="6146" width="22.77734375" style="27" customWidth="1"/>
    <col min="6147" max="6147" width="79.21875" style="27" customWidth="1"/>
    <col min="6148" max="6401" width="8.88671875" style="27"/>
    <col min="6402" max="6402" width="22.77734375" style="27" customWidth="1"/>
    <col min="6403" max="6403" width="79.21875" style="27" customWidth="1"/>
    <col min="6404" max="6657" width="8.88671875" style="27"/>
    <col min="6658" max="6658" width="22.77734375" style="27" customWidth="1"/>
    <col min="6659" max="6659" width="79.21875" style="27" customWidth="1"/>
    <col min="6660" max="6913" width="8.88671875" style="27"/>
    <col min="6914" max="6914" width="22.77734375" style="27" customWidth="1"/>
    <col min="6915" max="6915" width="79.21875" style="27" customWidth="1"/>
    <col min="6916" max="7169" width="8.88671875" style="27"/>
    <col min="7170" max="7170" width="22.77734375" style="27" customWidth="1"/>
    <col min="7171" max="7171" width="79.21875" style="27" customWidth="1"/>
    <col min="7172" max="7425" width="8.88671875" style="27"/>
    <col min="7426" max="7426" width="22.77734375" style="27" customWidth="1"/>
    <col min="7427" max="7427" width="79.21875" style="27" customWidth="1"/>
    <col min="7428" max="7681" width="8.88671875" style="27"/>
    <col min="7682" max="7682" width="22.77734375" style="27" customWidth="1"/>
    <col min="7683" max="7683" width="79.21875" style="27" customWidth="1"/>
    <col min="7684" max="7937" width="8.88671875" style="27"/>
    <col min="7938" max="7938" width="22.77734375" style="27" customWidth="1"/>
    <col min="7939" max="7939" width="79.21875" style="27" customWidth="1"/>
    <col min="7940" max="8193" width="8.88671875" style="27"/>
    <col min="8194" max="8194" width="22.77734375" style="27" customWidth="1"/>
    <col min="8195" max="8195" width="79.21875" style="27" customWidth="1"/>
    <col min="8196" max="8449" width="8.88671875" style="27"/>
    <col min="8450" max="8450" width="22.77734375" style="27" customWidth="1"/>
    <col min="8451" max="8451" width="79.21875" style="27" customWidth="1"/>
    <col min="8452" max="8705" width="8.88671875" style="27"/>
    <col min="8706" max="8706" width="22.77734375" style="27" customWidth="1"/>
    <col min="8707" max="8707" width="79.21875" style="27" customWidth="1"/>
    <col min="8708" max="8961" width="8.88671875" style="27"/>
    <col min="8962" max="8962" width="22.77734375" style="27" customWidth="1"/>
    <col min="8963" max="8963" width="79.21875" style="27" customWidth="1"/>
    <col min="8964" max="9217" width="8.88671875" style="27"/>
    <col min="9218" max="9218" width="22.77734375" style="27" customWidth="1"/>
    <col min="9219" max="9219" width="79.21875" style="27" customWidth="1"/>
    <col min="9220" max="9473" width="8.88671875" style="27"/>
    <col min="9474" max="9474" width="22.77734375" style="27" customWidth="1"/>
    <col min="9475" max="9475" width="79.21875" style="27" customWidth="1"/>
    <col min="9476" max="9729" width="8.88671875" style="27"/>
    <col min="9730" max="9730" width="22.77734375" style="27" customWidth="1"/>
    <col min="9731" max="9731" width="79.21875" style="27" customWidth="1"/>
    <col min="9732" max="9985" width="8.88671875" style="27"/>
    <col min="9986" max="9986" width="22.77734375" style="27" customWidth="1"/>
    <col min="9987" max="9987" width="79.21875" style="27" customWidth="1"/>
    <col min="9988" max="10241" width="8.88671875" style="27"/>
    <col min="10242" max="10242" width="22.77734375" style="27" customWidth="1"/>
    <col min="10243" max="10243" width="79.21875" style="27" customWidth="1"/>
    <col min="10244" max="10497" width="8.88671875" style="27"/>
    <col min="10498" max="10498" width="22.77734375" style="27" customWidth="1"/>
    <col min="10499" max="10499" width="79.21875" style="27" customWidth="1"/>
    <col min="10500" max="10753" width="8.88671875" style="27"/>
    <col min="10754" max="10754" width="22.77734375" style="27" customWidth="1"/>
    <col min="10755" max="10755" width="79.21875" style="27" customWidth="1"/>
    <col min="10756" max="11009" width="8.88671875" style="27"/>
    <col min="11010" max="11010" width="22.77734375" style="27" customWidth="1"/>
    <col min="11011" max="11011" width="79.21875" style="27" customWidth="1"/>
    <col min="11012" max="11265" width="8.88671875" style="27"/>
    <col min="11266" max="11266" width="22.77734375" style="27" customWidth="1"/>
    <col min="11267" max="11267" width="79.21875" style="27" customWidth="1"/>
    <col min="11268" max="11521" width="8.88671875" style="27"/>
    <col min="11522" max="11522" width="22.77734375" style="27" customWidth="1"/>
    <col min="11523" max="11523" width="79.21875" style="27" customWidth="1"/>
    <col min="11524" max="11777" width="8.88671875" style="27"/>
    <col min="11778" max="11778" width="22.77734375" style="27" customWidth="1"/>
    <col min="11779" max="11779" width="79.21875" style="27" customWidth="1"/>
    <col min="11780" max="12033" width="8.88671875" style="27"/>
    <col min="12034" max="12034" width="22.77734375" style="27" customWidth="1"/>
    <col min="12035" max="12035" width="79.21875" style="27" customWidth="1"/>
    <col min="12036" max="12289" width="8.88671875" style="27"/>
    <col min="12290" max="12290" width="22.77734375" style="27" customWidth="1"/>
    <col min="12291" max="12291" width="79.21875" style="27" customWidth="1"/>
    <col min="12292" max="12545" width="8.88671875" style="27"/>
    <col min="12546" max="12546" width="22.77734375" style="27" customWidth="1"/>
    <col min="12547" max="12547" width="79.21875" style="27" customWidth="1"/>
    <col min="12548" max="12801" width="8.88671875" style="27"/>
    <col min="12802" max="12802" width="22.77734375" style="27" customWidth="1"/>
    <col min="12803" max="12803" width="79.21875" style="27" customWidth="1"/>
    <col min="12804" max="13057" width="8.88671875" style="27"/>
    <col min="13058" max="13058" width="22.77734375" style="27" customWidth="1"/>
    <col min="13059" max="13059" width="79.21875" style="27" customWidth="1"/>
    <col min="13060" max="13313" width="8.88671875" style="27"/>
    <col min="13314" max="13314" width="22.77734375" style="27" customWidth="1"/>
    <col min="13315" max="13315" width="79.21875" style="27" customWidth="1"/>
    <col min="13316" max="13569" width="8.88671875" style="27"/>
    <col min="13570" max="13570" width="22.77734375" style="27" customWidth="1"/>
    <col min="13571" max="13571" width="79.21875" style="27" customWidth="1"/>
    <col min="13572" max="13825" width="8.88671875" style="27"/>
    <col min="13826" max="13826" width="22.77734375" style="27" customWidth="1"/>
    <col min="13827" max="13827" width="79.21875" style="27" customWidth="1"/>
    <col min="13828" max="14081" width="8.88671875" style="27"/>
    <col min="14082" max="14082" width="22.77734375" style="27" customWidth="1"/>
    <col min="14083" max="14083" width="79.21875" style="27" customWidth="1"/>
    <col min="14084" max="14337" width="8.88671875" style="27"/>
    <col min="14338" max="14338" width="22.77734375" style="27" customWidth="1"/>
    <col min="14339" max="14339" width="79.21875" style="27" customWidth="1"/>
    <col min="14340" max="14593" width="8.88671875" style="27"/>
    <col min="14594" max="14594" width="22.77734375" style="27" customWidth="1"/>
    <col min="14595" max="14595" width="79.21875" style="27" customWidth="1"/>
    <col min="14596" max="14849" width="8.88671875" style="27"/>
    <col min="14850" max="14850" width="22.77734375" style="27" customWidth="1"/>
    <col min="14851" max="14851" width="79.21875" style="27" customWidth="1"/>
    <col min="14852" max="15105" width="8.88671875" style="27"/>
    <col min="15106" max="15106" width="22.77734375" style="27" customWidth="1"/>
    <col min="15107" max="15107" width="79.21875" style="27" customWidth="1"/>
    <col min="15108" max="15361" width="8.88671875" style="27"/>
    <col min="15362" max="15362" width="22.77734375" style="27" customWidth="1"/>
    <col min="15363" max="15363" width="79.21875" style="27" customWidth="1"/>
    <col min="15364" max="15617" width="8.88671875" style="27"/>
    <col min="15618" max="15618" width="22.77734375" style="27" customWidth="1"/>
    <col min="15619" max="15619" width="79.21875" style="27" customWidth="1"/>
    <col min="15620" max="15873" width="8.88671875" style="27"/>
    <col min="15874" max="15874" width="22.77734375" style="27" customWidth="1"/>
    <col min="15875" max="15875" width="79.21875" style="27" customWidth="1"/>
    <col min="15876" max="16129" width="8.88671875" style="27"/>
    <col min="16130" max="16130" width="22.77734375" style="27" customWidth="1"/>
    <col min="16131" max="16131" width="79.21875" style="27" customWidth="1"/>
    <col min="16132" max="16384" width="8.88671875" style="27"/>
  </cols>
  <sheetData>
    <row r="2" spans="1:4">
      <c r="A2" s="296" t="str">
        <f>A!$A$2</f>
        <v>kriptologia</v>
      </c>
    </row>
    <row r="3" spans="1:4">
      <c r="A3" s="27" t="s">
        <v>980</v>
      </c>
      <c r="B3" s="27" t="s">
        <v>981</v>
      </c>
      <c r="C3" s="297" t="s">
        <v>982</v>
      </c>
      <c r="D3" s="27" t="s">
        <v>983</v>
      </c>
    </row>
    <row r="4" spans="1:4" ht="78.75" customHeight="1">
      <c r="A4" s="430">
        <v>150727</v>
      </c>
      <c r="B4" s="430" t="s">
        <v>47</v>
      </c>
      <c r="C4" s="298" t="s">
        <v>984</v>
      </c>
      <c r="D4" s="430" t="s">
        <v>985</v>
      </c>
    </row>
    <row r="5" spans="1:4" ht="30">
      <c r="A5" s="430"/>
      <c r="B5" s="430"/>
      <c r="C5" s="298" t="s">
        <v>986</v>
      </c>
      <c r="D5" s="430"/>
    </row>
    <row r="6" spans="1:4">
      <c r="A6" s="430"/>
      <c r="B6" s="430"/>
      <c r="C6" s="298" t="s">
        <v>987</v>
      </c>
      <c r="D6" s="430"/>
    </row>
    <row r="7" spans="1:4" ht="30">
      <c r="A7" s="431"/>
      <c r="B7" s="299" t="s">
        <v>988</v>
      </c>
      <c r="C7" s="298" t="s">
        <v>989</v>
      </c>
      <c r="D7" s="430"/>
    </row>
    <row r="8" spans="1:4">
      <c r="A8" s="431"/>
      <c r="B8" s="299" t="s">
        <v>990</v>
      </c>
      <c r="C8" s="298" t="s">
        <v>991</v>
      </c>
      <c r="D8" s="430"/>
    </row>
    <row r="9" spans="1:4" ht="30">
      <c r="A9" s="299">
        <v>150804</v>
      </c>
      <c r="B9" s="299" t="s">
        <v>990</v>
      </c>
      <c r="C9" s="300" t="s">
        <v>992</v>
      </c>
      <c r="D9" t="s">
        <v>985</v>
      </c>
    </row>
    <row r="10" spans="1:4" ht="45">
      <c r="A10" s="430">
        <v>150827</v>
      </c>
      <c r="B10" s="299" t="s">
        <v>47</v>
      </c>
      <c r="C10" s="298" t="s">
        <v>993</v>
      </c>
      <c r="D10" s="428" t="s">
        <v>985</v>
      </c>
    </row>
    <row r="11" spans="1:4" ht="32.25" customHeight="1">
      <c r="A11" s="430"/>
      <c r="B11" s="299" t="s">
        <v>988</v>
      </c>
      <c r="C11" s="298" t="s">
        <v>994</v>
      </c>
      <c r="D11" s="428"/>
    </row>
    <row r="12" spans="1:4">
      <c r="A12" s="299">
        <v>150828</v>
      </c>
      <c r="B12" s="301" t="s">
        <v>47</v>
      </c>
      <c r="C12" s="300" t="s">
        <v>995</v>
      </c>
      <c r="D12" t="s">
        <v>985</v>
      </c>
    </row>
    <row r="13" spans="1:4" ht="30">
      <c r="A13" s="299">
        <v>150903</v>
      </c>
      <c r="B13" s="299" t="s">
        <v>47</v>
      </c>
      <c r="C13" s="297" t="s">
        <v>996</v>
      </c>
      <c r="D13" t="s">
        <v>985</v>
      </c>
    </row>
    <row r="14" spans="1:4" ht="45">
      <c r="A14" s="299">
        <v>151216</v>
      </c>
      <c r="B14" s="299" t="s">
        <v>47</v>
      </c>
      <c r="C14" s="298" t="s">
        <v>997</v>
      </c>
      <c r="D14" t="s">
        <v>985</v>
      </c>
    </row>
    <row r="15" spans="1:4">
      <c r="A15" s="299">
        <v>160214</v>
      </c>
      <c r="B15" s="299" t="s">
        <v>47</v>
      </c>
      <c r="C15" s="297" t="s">
        <v>998</v>
      </c>
      <c r="D15" t="s">
        <v>985</v>
      </c>
    </row>
    <row r="16" spans="1:4" ht="30">
      <c r="A16" s="299">
        <v>160305</v>
      </c>
      <c r="B16" s="299" t="s">
        <v>47</v>
      </c>
      <c r="C16" s="297" t="s">
        <v>999</v>
      </c>
      <c r="D16" t="s">
        <v>985</v>
      </c>
    </row>
    <row r="17" spans="1:5">
      <c r="A17" s="430">
        <v>160508</v>
      </c>
      <c r="B17" s="299" t="s">
        <v>47</v>
      </c>
      <c r="C17" s="297" t="s">
        <v>1000</v>
      </c>
      <c r="D17" s="429" t="s">
        <v>985</v>
      </c>
    </row>
    <row r="18" spans="1:5" ht="75">
      <c r="A18" s="430"/>
      <c r="B18" s="299"/>
      <c r="C18" s="297" t="s">
        <v>1001</v>
      </c>
      <c r="D18" s="429"/>
    </row>
    <row r="19" spans="1:5" ht="30.75" customHeight="1">
      <c r="A19" s="424">
        <v>160509</v>
      </c>
      <c r="B19" s="298" t="s">
        <v>988</v>
      </c>
      <c r="C19" s="297" t="s">
        <v>1002</v>
      </c>
      <c r="D19" s="427" t="s">
        <v>985</v>
      </c>
    </row>
    <row r="20" spans="1:5">
      <c r="A20" s="431"/>
      <c r="B20" s="299" t="s">
        <v>1003</v>
      </c>
      <c r="C20" s="297" t="s">
        <v>1004</v>
      </c>
      <c r="D20" s="429"/>
    </row>
    <row r="21" spans="1:5">
      <c r="A21" s="299">
        <v>160522</v>
      </c>
      <c r="B21" s="299" t="s">
        <v>47</v>
      </c>
      <c r="C21" s="297" t="s">
        <v>1005</v>
      </c>
      <c r="D21" t="s">
        <v>985</v>
      </c>
    </row>
    <row r="22" spans="1:5">
      <c r="A22" s="299">
        <v>160620</v>
      </c>
      <c r="B22" s="299" t="s">
        <v>1003</v>
      </c>
      <c r="C22" s="297" t="s">
        <v>1006</v>
      </c>
      <c r="D22" s="27" t="s">
        <v>985</v>
      </c>
    </row>
    <row r="23" spans="1:5" ht="30">
      <c r="A23" s="299">
        <v>161018</v>
      </c>
      <c r="B23" s="299" t="s">
        <v>47</v>
      </c>
      <c r="C23" s="297" t="s">
        <v>1007</v>
      </c>
      <c r="D23" s="27" t="s">
        <v>985</v>
      </c>
    </row>
    <row r="24" spans="1:5" ht="75">
      <c r="A24" s="299">
        <v>161231</v>
      </c>
      <c r="B24" s="298" t="s">
        <v>1008</v>
      </c>
      <c r="C24" s="389" t="s">
        <v>1136</v>
      </c>
      <c r="D24" s="27" t="s">
        <v>985</v>
      </c>
      <c r="E24" s="315" t="s">
        <v>1137</v>
      </c>
    </row>
    <row r="25" spans="1:5" ht="30">
      <c r="A25" s="299">
        <v>170418</v>
      </c>
      <c r="B25" s="299" t="s">
        <v>1009</v>
      </c>
      <c r="C25" s="297" t="s">
        <v>1010</v>
      </c>
      <c r="D25" s="27" t="s">
        <v>985</v>
      </c>
    </row>
    <row r="26" spans="1:5" ht="30.75">
      <c r="A26" s="430">
        <v>180102</v>
      </c>
      <c r="B26" s="302" t="s">
        <v>1011</v>
      </c>
      <c r="C26" s="303" t="s">
        <v>1092</v>
      </c>
      <c r="D26" s="428" t="s">
        <v>985</v>
      </c>
    </row>
    <row r="27" spans="1:5" ht="30">
      <c r="A27" s="431"/>
      <c r="B27" s="298" t="s">
        <v>1056</v>
      </c>
      <c r="C27" s="297" t="s">
        <v>1055</v>
      </c>
      <c r="D27" s="429"/>
    </row>
    <row r="28" spans="1:5">
      <c r="A28" s="299">
        <v>180108</v>
      </c>
      <c r="B28" s="388" t="s">
        <v>47</v>
      </c>
      <c r="C28" s="389" t="s">
        <v>1093</v>
      </c>
      <c r="D28" s="315" t="s">
        <v>985</v>
      </c>
    </row>
    <row r="29" spans="1:5" ht="45">
      <c r="A29" s="299">
        <v>180112</v>
      </c>
      <c r="B29" s="388" t="s">
        <v>47</v>
      </c>
      <c r="C29" s="389" t="s">
        <v>1094</v>
      </c>
      <c r="D29" s="315" t="s">
        <v>985</v>
      </c>
    </row>
    <row r="30" spans="1:5" ht="30">
      <c r="A30" s="424">
        <v>180203</v>
      </c>
      <c r="B30" s="393" t="s">
        <v>47</v>
      </c>
      <c r="C30" s="389" t="s">
        <v>1101</v>
      </c>
      <c r="D30" s="426" t="s">
        <v>985</v>
      </c>
    </row>
    <row r="31" spans="1:5">
      <c r="A31" s="425"/>
      <c r="B31" s="393" t="s">
        <v>990</v>
      </c>
      <c r="C31" s="389" t="s">
        <v>1102</v>
      </c>
      <c r="D31" s="427"/>
    </row>
    <row r="32" spans="1:5" ht="45">
      <c r="A32" s="298">
        <v>180211</v>
      </c>
      <c r="B32" s="393" t="s">
        <v>1103</v>
      </c>
      <c r="C32" s="389" t="s">
        <v>1105</v>
      </c>
      <c r="D32" s="389" t="s">
        <v>985</v>
      </c>
    </row>
    <row r="33" spans="1:4" ht="120">
      <c r="A33" s="298">
        <v>180221</v>
      </c>
      <c r="B33" s="393" t="s">
        <v>47</v>
      </c>
      <c r="C33" s="389" t="s">
        <v>1124</v>
      </c>
      <c r="D33" s="389" t="s">
        <v>985</v>
      </c>
    </row>
    <row r="34" spans="1:4" ht="75">
      <c r="A34" s="424">
        <v>180228</v>
      </c>
      <c r="B34" s="393" t="s">
        <v>47</v>
      </c>
      <c r="C34" s="389" t="s">
        <v>1125</v>
      </c>
      <c r="D34" s="426" t="s">
        <v>985</v>
      </c>
    </row>
    <row r="35" spans="1:4">
      <c r="A35" s="425"/>
      <c r="B35" s="393" t="s">
        <v>988</v>
      </c>
      <c r="C35" s="389" t="s">
        <v>1126</v>
      </c>
      <c r="D35" s="427"/>
    </row>
    <row r="36" spans="1:4" ht="30">
      <c r="A36" s="298">
        <v>180514</v>
      </c>
      <c r="B36" s="393" t="s">
        <v>1003</v>
      </c>
      <c r="C36" s="389" t="s">
        <v>1127</v>
      </c>
      <c r="D36" s="389" t="s">
        <v>985</v>
      </c>
    </row>
    <row r="37" spans="1:4" ht="30">
      <c r="A37" s="424">
        <v>180823</v>
      </c>
      <c r="B37" s="393" t="s">
        <v>1128</v>
      </c>
      <c r="C37" s="389" t="s">
        <v>1129</v>
      </c>
      <c r="D37" s="426" t="s">
        <v>985</v>
      </c>
    </row>
    <row r="38" spans="1:4" ht="60">
      <c r="A38" s="425"/>
      <c r="B38" s="393" t="s">
        <v>47</v>
      </c>
      <c r="C38" s="389" t="s">
        <v>1133</v>
      </c>
      <c r="D38" s="427"/>
    </row>
    <row r="39" spans="1:4">
      <c r="A39" s="425"/>
      <c r="B39" s="393" t="s">
        <v>1130</v>
      </c>
      <c r="C39" s="389" t="s">
        <v>1131</v>
      </c>
      <c r="D39" s="427"/>
    </row>
    <row r="40" spans="1:4">
      <c r="A40" s="424">
        <v>180902</v>
      </c>
      <c r="B40" s="393" t="s">
        <v>990</v>
      </c>
      <c r="C40" s="389" t="s">
        <v>1134</v>
      </c>
      <c r="D40" s="426" t="s">
        <v>985</v>
      </c>
    </row>
    <row r="41" spans="1:4">
      <c r="A41" s="425"/>
      <c r="B41" s="393" t="s">
        <v>47</v>
      </c>
      <c r="C41" s="389" t="s">
        <v>1135</v>
      </c>
      <c r="D41" s="427"/>
    </row>
    <row r="42" spans="1:4" ht="30">
      <c r="A42" s="298">
        <v>181119</v>
      </c>
      <c r="B42" s="393" t="s">
        <v>1142</v>
      </c>
      <c r="C42" s="389" t="s">
        <v>1145</v>
      </c>
      <c r="D42" s="389" t="s">
        <v>985</v>
      </c>
    </row>
    <row r="43" spans="1:4" ht="105">
      <c r="A43" s="424">
        <v>181123</v>
      </c>
      <c r="B43" s="393" t="s">
        <v>1146</v>
      </c>
      <c r="C43" s="389" t="s">
        <v>1168</v>
      </c>
      <c r="D43" s="426" t="s">
        <v>985</v>
      </c>
    </row>
    <row r="44" spans="1:4" ht="45">
      <c r="A44" s="425"/>
      <c r="B44" s="393" t="s">
        <v>1154</v>
      </c>
      <c r="C44" s="389" t="s">
        <v>1155</v>
      </c>
      <c r="D44" s="427"/>
    </row>
    <row r="45" spans="1:4" ht="60">
      <c r="A45" s="424">
        <v>181125</v>
      </c>
      <c r="B45" s="393" t="s">
        <v>47</v>
      </c>
      <c r="C45" s="389" t="s">
        <v>1162</v>
      </c>
      <c r="D45" s="426" t="s">
        <v>985</v>
      </c>
    </row>
    <row r="46" spans="1:4">
      <c r="A46" s="425"/>
      <c r="B46" s="393" t="s">
        <v>1154</v>
      </c>
      <c r="C46" s="389" t="s">
        <v>1167</v>
      </c>
      <c r="D46" s="427"/>
    </row>
    <row r="47" spans="1:4" ht="60" customHeight="1">
      <c r="A47" s="298">
        <v>181218</v>
      </c>
      <c r="B47" s="393" t="s">
        <v>1169</v>
      </c>
      <c r="C47" s="389" t="s">
        <v>1170</v>
      </c>
      <c r="D47" s="389" t="s">
        <v>985</v>
      </c>
    </row>
    <row r="48" spans="1:4">
      <c r="A48" s="424">
        <v>190701</v>
      </c>
      <c r="B48" s="393" t="s">
        <v>47</v>
      </c>
      <c r="C48" s="389" t="s">
        <v>1171</v>
      </c>
      <c r="D48" s="426" t="s">
        <v>985</v>
      </c>
    </row>
    <row r="49" spans="1:4" ht="17.25" customHeight="1">
      <c r="A49" s="425"/>
      <c r="B49" s="393" t="s">
        <v>990</v>
      </c>
      <c r="C49" s="393" t="s">
        <v>1172</v>
      </c>
      <c r="D49" s="427"/>
    </row>
    <row r="50" spans="1:4">
      <c r="A50" s="422">
        <v>44118</v>
      </c>
      <c r="B50" s="298" t="s">
        <v>47</v>
      </c>
      <c r="C50" s="297" t="s">
        <v>1175</v>
      </c>
      <c r="D50" s="297" t="s">
        <v>1176</v>
      </c>
    </row>
    <row r="51" spans="1:4">
      <c r="A51" s="422"/>
      <c r="B51" s="298"/>
      <c r="D51" s="297"/>
    </row>
    <row r="52" spans="1:4">
      <c r="A52" s="422"/>
      <c r="B52" s="298"/>
      <c r="D52" s="297"/>
    </row>
    <row r="53" spans="1:4">
      <c r="A53" s="422"/>
      <c r="B53" s="298"/>
      <c r="D53" s="297"/>
    </row>
    <row r="54" spans="1:4">
      <c r="A54" s="422"/>
      <c r="B54" s="298"/>
      <c r="D54" s="297"/>
    </row>
    <row r="55" spans="1:4">
      <c r="A55" s="423"/>
      <c r="B55" s="297"/>
      <c r="D55" s="297"/>
    </row>
    <row r="56" spans="1:4">
      <c r="A56" s="423"/>
      <c r="B56" s="297"/>
      <c r="D56" s="297"/>
    </row>
    <row r="57" spans="1:4">
      <c r="A57" s="423"/>
      <c r="B57" s="297"/>
      <c r="D57" s="297"/>
    </row>
    <row r="58" spans="1:4">
      <c r="A58" s="423"/>
      <c r="B58" s="297"/>
      <c r="D58" s="297"/>
    </row>
    <row r="59" spans="1:4">
      <c r="A59" s="423"/>
      <c r="B59" s="297"/>
      <c r="D59" s="297"/>
    </row>
    <row r="60" spans="1:4">
      <c r="A60" s="423"/>
      <c r="B60" s="297"/>
      <c r="D60" s="297"/>
    </row>
    <row r="61" spans="1:4">
      <c r="A61" s="423"/>
      <c r="B61" s="297"/>
      <c r="D61" s="297"/>
    </row>
    <row r="62" spans="1:4">
      <c r="A62" s="423"/>
      <c r="B62" s="297"/>
      <c r="D62" s="297"/>
    </row>
    <row r="63" spans="1:4">
      <c r="A63" s="423"/>
      <c r="B63" s="297"/>
      <c r="D63" s="297"/>
    </row>
    <row r="64" spans="1:4">
      <c r="A64" s="423"/>
      <c r="B64" s="297"/>
      <c r="D64" s="297"/>
    </row>
    <row r="65" spans="1:4">
      <c r="A65" s="423"/>
      <c r="B65" s="297"/>
      <c r="D65" s="297"/>
    </row>
    <row r="66" spans="1:4">
      <c r="A66" s="423"/>
      <c r="B66" s="297"/>
      <c r="D66" s="297"/>
    </row>
    <row r="67" spans="1:4">
      <c r="A67" s="423"/>
      <c r="B67" s="297"/>
      <c r="D67" s="297"/>
    </row>
    <row r="68" spans="1:4">
      <c r="A68" s="423"/>
      <c r="B68" s="297"/>
      <c r="D68" s="297"/>
    </row>
    <row r="69" spans="1:4">
      <c r="A69" s="423"/>
      <c r="B69" s="297"/>
      <c r="D69" s="297"/>
    </row>
    <row r="70" spans="1:4">
      <c r="A70" s="423"/>
      <c r="B70" s="297"/>
      <c r="D70" s="297"/>
    </row>
    <row r="71" spans="1:4">
      <c r="A71" s="423"/>
      <c r="B71" s="297"/>
      <c r="D71" s="297"/>
    </row>
    <row r="72" spans="1:4">
      <c r="A72" s="423"/>
      <c r="B72" s="297"/>
      <c r="D72" s="297"/>
    </row>
    <row r="73" spans="1:4">
      <c r="A73" s="423"/>
      <c r="B73" s="297"/>
      <c r="D73" s="297"/>
    </row>
    <row r="74" spans="1:4">
      <c r="A74" s="421"/>
    </row>
    <row r="75" spans="1:4">
      <c r="A75" s="421"/>
    </row>
    <row r="76" spans="1:4">
      <c r="A76" s="421"/>
    </row>
    <row r="77" spans="1:4">
      <c r="A77" s="421"/>
    </row>
    <row r="78" spans="1:4">
      <c r="A78" s="421"/>
    </row>
    <row r="79" spans="1:4">
      <c r="A79" s="421"/>
    </row>
    <row r="80" spans="1:4">
      <c r="A80" s="421"/>
    </row>
    <row r="81" spans="1:1">
      <c r="A81" s="421"/>
    </row>
    <row r="82" spans="1:1">
      <c r="A82" s="421"/>
    </row>
    <row r="83" spans="1:1">
      <c r="A83" s="421"/>
    </row>
    <row r="84" spans="1:1">
      <c r="A84" s="421"/>
    </row>
    <row r="85" spans="1:1">
      <c r="A85" s="421"/>
    </row>
    <row r="86" spans="1:1">
      <c r="A86" s="421"/>
    </row>
    <row r="87" spans="1:1">
      <c r="A87" s="421"/>
    </row>
    <row r="88" spans="1:1">
      <c r="A88" s="421"/>
    </row>
    <row r="89" spans="1:1">
      <c r="A89" s="421"/>
    </row>
    <row r="90" spans="1:1">
      <c r="A90" s="421"/>
    </row>
    <row r="91" spans="1:1">
      <c r="A91" s="421"/>
    </row>
    <row r="92" spans="1:1">
      <c r="A92" s="421"/>
    </row>
    <row r="93" spans="1:1">
      <c r="A93" s="421"/>
    </row>
    <row r="94" spans="1:1">
      <c r="A94" s="421"/>
    </row>
    <row r="95" spans="1:1">
      <c r="A95" s="421"/>
    </row>
    <row r="96" spans="1:1">
      <c r="A96" s="421"/>
    </row>
    <row r="97" spans="1:1">
      <c r="A97" s="421"/>
    </row>
    <row r="98" spans="1:1">
      <c r="A98" s="421"/>
    </row>
    <row r="99" spans="1:1">
      <c r="A99" s="421"/>
    </row>
    <row r="100" spans="1:1">
      <c r="A100" s="421"/>
    </row>
    <row r="101" spans="1:1">
      <c r="A101" s="421"/>
    </row>
    <row r="102" spans="1:1">
      <c r="A102" s="421"/>
    </row>
    <row r="103" spans="1:1">
      <c r="A103" s="421"/>
    </row>
    <row r="104" spans="1:1">
      <c r="A104" s="421"/>
    </row>
    <row r="105" spans="1:1">
      <c r="A105" s="421"/>
    </row>
    <row r="106" spans="1:1">
      <c r="A106" s="421"/>
    </row>
    <row r="107" spans="1:1">
      <c r="A107" s="421"/>
    </row>
    <row r="108" spans="1:1">
      <c r="A108" s="421"/>
    </row>
    <row r="109" spans="1:1">
      <c r="A109" s="421"/>
    </row>
    <row r="110" spans="1:1">
      <c r="A110" s="421"/>
    </row>
    <row r="111" spans="1:1">
      <c r="A111" s="421"/>
    </row>
    <row r="112" spans="1:1">
      <c r="A112" s="421"/>
    </row>
    <row r="113" spans="1:1">
      <c r="A113" s="421"/>
    </row>
    <row r="114" spans="1:1">
      <c r="A114" s="421"/>
    </row>
    <row r="115" spans="1:1">
      <c r="A115" s="421"/>
    </row>
    <row r="116" spans="1:1">
      <c r="A116" s="421"/>
    </row>
    <row r="117" spans="1:1">
      <c r="A117" s="421"/>
    </row>
    <row r="118" spans="1:1">
      <c r="A118" s="421"/>
    </row>
    <row r="119" spans="1:1">
      <c r="A119" s="421"/>
    </row>
    <row r="120" spans="1:1">
      <c r="A120" s="421"/>
    </row>
    <row r="121" spans="1:1">
      <c r="A121" s="421"/>
    </row>
    <row r="122" spans="1:1">
      <c r="A122" s="421"/>
    </row>
    <row r="123" spans="1:1">
      <c r="A123" s="421"/>
    </row>
    <row r="124" spans="1:1">
      <c r="A124" s="421"/>
    </row>
    <row r="125" spans="1:1">
      <c r="A125" s="421"/>
    </row>
    <row r="126" spans="1:1">
      <c r="A126" s="421"/>
    </row>
  </sheetData>
  <sheetProtection algorithmName="SHA-512" hashValue="H5XvwHFq6mMvCfm5d1XG5VIo8aGe/2Quu2RQMx6LereV8U40GtujBpxOvEqpL2SliwV+QXKjJH7IhGe+q1TfJg==" saltValue="iFvngcaZDNoTn3+hrcdKwg==" spinCount="100000" sheet="1" objects="1" scenarios="1"/>
  <mergeCells count="25">
    <mergeCell ref="A17:A18"/>
    <mergeCell ref="D17:D18"/>
    <mergeCell ref="A4:A8"/>
    <mergeCell ref="B4:B6"/>
    <mergeCell ref="D4:D8"/>
    <mergeCell ref="A10:A11"/>
    <mergeCell ref="D10:D11"/>
    <mergeCell ref="D30:D31"/>
    <mergeCell ref="A30:A31"/>
    <mergeCell ref="D26:D27"/>
    <mergeCell ref="A26:A27"/>
    <mergeCell ref="A19:A20"/>
    <mergeCell ref="D19:D20"/>
    <mergeCell ref="D40:D41"/>
    <mergeCell ref="A40:A41"/>
    <mergeCell ref="A37:A39"/>
    <mergeCell ref="D37:D39"/>
    <mergeCell ref="D34:D35"/>
    <mergeCell ref="A34:A35"/>
    <mergeCell ref="A48:A49"/>
    <mergeCell ref="D48:D49"/>
    <mergeCell ref="A45:A46"/>
    <mergeCell ref="D45:D46"/>
    <mergeCell ref="A43:A44"/>
    <mergeCell ref="D43:D4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locked="0" defaultSize="0" print="0" autoFill="0" autoLine="0" autoPict="0" macro="[0]!LÅSARK">
                <anchor moveWithCells="1" sizeWithCells="1">
                  <from>
                    <xdr:col>0</xdr:col>
                    <xdr:colOff>85725</xdr:colOff>
                    <xdr:row>0</xdr:row>
                    <xdr:rowOff>76200</xdr:rowOff>
                  </from>
                  <to>
                    <xdr:col>0</xdr:col>
                    <xdr:colOff>209550</xdr:colOff>
                    <xdr:row>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7</vt:i4>
      </vt:variant>
      <vt:variant>
        <vt:lpstr>Navngivne områder</vt:lpstr>
      </vt:variant>
      <vt:variant>
        <vt:i4>26</vt:i4>
      </vt:variant>
    </vt:vector>
  </HeadingPairs>
  <TitlesOfParts>
    <vt:vector size="33" baseType="lpstr">
      <vt:lpstr>A</vt:lpstr>
      <vt:lpstr>oversidearmer.</vt:lpstr>
      <vt:lpstr>forsk.forkant</vt:lpstr>
      <vt:lpstr>UdskriftsarkA</vt:lpstr>
      <vt:lpstr>UdskriftsarkDorn</vt:lpstr>
      <vt:lpstr>NS</vt:lpstr>
      <vt:lpstr>Logbog</vt:lpstr>
      <vt:lpstr>ARMDIAM</vt:lpstr>
      <vt:lpstr>BPLADE</vt:lpstr>
      <vt:lpstr>DORNDIAM</vt:lpstr>
      <vt:lpstr>DÆKLAG</vt:lpstr>
      <vt:lpstr>FCD</vt:lpstr>
      <vt:lpstr>FCK</vt:lpstr>
      <vt:lpstr>FYD</vt:lpstr>
      <vt:lpstr>GAMMAC</vt:lpstr>
      <vt:lpstr>GAMMACTRÆK</vt:lpstr>
      <vt:lpstr>GAMMADORN</vt:lpstr>
      <vt:lpstr>GAMMAS</vt:lpstr>
      <vt:lpstr>H</vt:lpstr>
      <vt:lpstr>L</vt:lpstr>
      <vt:lpstr>R_4</vt:lpstr>
      <vt:lpstr>REPL</vt:lpstr>
      <vt:lpstr>T</vt:lpstr>
      <vt:lpstr>forsk.forkant!Udskriftsområde</vt:lpstr>
      <vt:lpstr>oversidearmer.!Udskriftsområde</vt:lpstr>
      <vt:lpstr>UdskriftsarkA!Udskriftsområde</vt:lpstr>
      <vt:lpstr>UdskriftsarkDorn!Udskriftsområde</vt:lpstr>
      <vt:lpstr>A!Udskriftstitler</vt:lpstr>
      <vt:lpstr>forsk.forkant!Udskriftstitler</vt:lpstr>
      <vt:lpstr>oversidearmer.!Udskriftstitler</vt:lpstr>
      <vt:lpstr>UdskriftsarkA!Udskriftstitler</vt:lpstr>
      <vt:lpstr>UdskriftsarkDorn!Udskriftstitler</vt:lpstr>
      <vt:lpstr>V</vt:lpstr>
    </vt:vector>
  </TitlesOfParts>
  <Company>CRH Denmark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Jensen, Robert</dc:creator>
  <cp:lastModifiedBy>Laugesen, Kristian Damgaard</cp:lastModifiedBy>
  <cp:lastPrinted>2018-01-01T14:24:45Z</cp:lastPrinted>
  <dcterms:created xsi:type="dcterms:W3CDTF">2017-12-30T10:07:29Z</dcterms:created>
  <dcterms:modified xsi:type="dcterms:W3CDTF">2024-12-18T11:43:37Z</dcterms:modified>
</cp:coreProperties>
</file>