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crhemea-my.sharepoint.com/personal/kdl_crhconcrete_dk/Documents/Dokumenter/Udvikling/Dalton_Trapper/Dalton_Trapper/TrappeApp/Model/Projektering tab/Beregningsark/"/>
    </mc:Choice>
  </mc:AlternateContent>
  <xr:revisionPtr revIDLastSave="0" documentId="8_{219D0CDD-CDC5-445B-9E80-D837609313C1}" xr6:coauthVersionLast="47" xr6:coauthVersionMax="47" xr10:uidLastSave="{00000000-0000-0000-0000-000000000000}"/>
  <bookViews>
    <workbookView xWindow="-120" yWindow="-120" windowWidth="57840" windowHeight="23520" xr2:uid="{A864A113-2A29-49BF-B3A6-CC373DC614ED}"/>
  </bookViews>
  <sheets>
    <sheet name="Ark1" sheetId="1" r:id="rId1"/>
  </sheets>
  <definedNames>
    <definedName name="_xlnm.Print_Area" localSheetId="0">'Ark1'!$B$2:$O$67,'Ark1'!$Q$2:$AD$67,'Ark1'!$B$69:$O$134,'Ark1'!$Q$69:$AD$134,'Ark1'!$AF$70:$AS$133</definedName>
  </definedName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73" i="1" l="1"/>
  <c r="AK76" i="1"/>
  <c r="V76" i="1"/>
  <c r="G76" i="1"/>
  <c r="AB6" i="1"/>
  <c r="V9" i="1"/>
  <c r="G9" i="1"/>
  <c r="V4" i="1"/>
  <c r="AG77" i="1"/>
  <c r="R77" i="1"/>
  <c r="C77" i="1"/>
  <c r="R10" i="1"/>
  <c r="R13" i="1"/>
  <c r="J13" i="1" s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BD41" i="1"/>
  <c r="BD40" i="1"/>
  <c r="BD39" i="1"/>
  <c r="BE31" i="1"/>
  <c r="BE30" i="1"/>
  <c r="V23" i="1" l="1"/>
  <c r="U19" i="1"/>
  <c r="V19" i="1"/>
  <c r="W19" i="1"/>
  <c r="U22" i="1"/>
  <c r="W17" i="1"/>
  <c r="U18" i="1"/>
  <c r="V22" i="1"/>
  <c r="W23" i="1"/>
  <c r="V18" i="1"/>
  <c r="W18" i="1"/>
  <c r="U20" i="1"/>
  <c r="V20" i="1"/>
  <c r="W21" i="1"/>
  <c r="V16" i="1"/>
  <c r="W22" i="1"/>
  <c r="U17" i="1"/>
  <c r="U23" i="1"/>
  <c r="W20" i="1"/>
  <c r="U16" i="1"/>
  <c r="W16" i="1"/>
  <c r="V17" i="1"/>
  <c r="AA19" i="1" l="1"/>
  <c r="AB19" i="1" s="1"/>
  <c r="Y19" i="1"/>
  <c r="Z19" i="1" s="1"/>
  <c r="X28" i="1" l="1"/>
  <c r="X29" i="1" s="1"/>
  <c r="X17" i="1" l="1"/>
  <c r="M60" i="1"/>
  <c r="AK72" i="1"/>
  <c r="V72" i="1"/>
  <c r="G72" i="1"/>
  <c r="V5" i="1"/>
  <c r="AQ74" i="1"/>
  <c r="AB74" i="1"/>
  <c r="M74" i="1"/>
  <c r="AB7" i="1"/>
  <c r="AK71" i="1"/>
  <c r="V71" i="1"/>
  <c r="G71" i="1"/>
  <c r="AQ72" i="1"/>
  <c r="AB72" i="1"/>
  <c r="M72" i="1"/>
  <c r="AB5" i="1"/>
  <c r="AQ76" i="1"/>
  <c r="AB76" i="1"/>
  <c r="M76" i="1"/>
  <c r="AB9" i="1"/>
  <c r="K65" i="1"/>
  <c r="AN74" i="1" l="1"/>
  <c r="AL74" i="1"/>
  <c r="Y74" i="1"/>
  <c r="W74" i="1"/>
  <c r="J74" i="1"/>
  <c r="H74" i="1"/>
  <c r="Y7" i="1"/>
  <c r="W7" i="1"/>
  <c r="I7" i="1"/>
  <c r="X74" i="1" s="1"/>
  <c r="BJ25" i="1"/>
  <c r="BK26" i="1"/>
  <c r="BJ26" i="1" s="1"/>
  <c r="AQ87" i="1" l="1"/>
  <c r="X21" i="1"/>
  <c r="V21" i="1"/>
  <c r="AM74" i="1"/>
  <c r="X7" i="1"/>
  <c r="I74" i="1"/>
  <c r="BK27" i="1"/>
  <c r="AA21" i="1" l="1"/>
  <c r="Y21" i="1"/>
  <c r="AP87" i="1"/>
  <c r="BK28" i="1"/>
  <c r="BJ27" i="1"/>
  <c r="AC21" i="1" l="1"/>
  <c r="BK29" i="1"/>
  <c r="BJ28" i="1"/>
  <c r="BK30" i="1" l="1"/>
  <c r="BJ29" i="1"/>
  <c r="BK31" i="1" l="1"/>
  <c r="BJ30" i="1"/>
  <c r="BK32" i="1" l="1"/>
  <c r="BJ31" i="1"/>
  <c r="BK33" i="1" l="1"/>
  <c r="BJ32" i="1"/>
  <c r="BK34" i="1" l="1"/>
  <c r="BJ33" i="1"/>
  <c r="BK35" i="1" l="1"/>
  <c r="BJ34" i="1"/>
  <c r="BK36" i="1" l="1"/>
  <c r="BJ35" i="1"/>
  <c r="BK37" i="1" l="1"/>
  <c r="BJ36" i="1"/>
  <c r="BK38" i="1" l="1"/>
  <c r="BJ37" i="1"/>
  <c r="BK39" i="1" l="1"/>
  <c r="BJ38" i="1"/>
  <c r="BK40" i="1" l="1"/>
  <c r="BJ39" i="1"/>
  <c r="BK41" i="1" l="1"/>
  <c r="BJ40" i="1"/>
  <c r="BK42" i="1" l="1"/>
  <c r="BJ42" i="1" s="1"/>
  <c r="BJ41" i="1"/>
  <c r="BL42" i="1" s="1"/>
  <c r="C52" i="1" s="1"/>
  <c r="G52" i="1" l="1"/>
  <c r="K52" i="1"/>
  <c r="L52" i="1"/>
  <c r="H52" i="1"/>
  <c r="AA29" i="1"/>
  <c r="U29" i="1"/>
  <c r="AN100" i="1"/>
  <c r="AN99" i="1"/>
  <c r="AQ85" i="1"/>
  <c r="AP85" i="1"/>
  <c r="AO85" i="1"/>
  <c r="AQ84" i="1"/>
  <c r="AP84" i="1"/>
  <c r="AO84" i="1"/>
  <c r="AQ73" i="1"/>
  <c r="W106" i="1"/>
  <c r="W105" i="1"/>
  <c r="V105" i="1"/>
  <c r="V106" i="1"/>
  <c r="AB73" i="1"/>
  <c r="BA114" i="1" l="1"/>
  <c r="AQ111" i="1"/>
  <c r="AP93" i="1"/>
  <c r="AP94" i="1"/>
  <c r="AN115" i="1" s="1"/>
  <c r="AR86" i="1"/>
  <c r="AW93" i="1" s="1"/>
  <c r="M6" i="1"/>
  <c r="AO93" i="1" l="1"/>
  <c r="AW94" i="1"/>
  <c r="AQ93" i="1"/>
  <c r="AQ94" i="1" s="1"/>
  <c r="AO122" i="1"/>
  <c r="AN122" i="1"/>
  <c r="AP132" i="1"/>
  <c r="AQ132" i="1" s="1"/>
  <c r="AN132" i="1" s="1"/>
  <c r="AB123" i="1"/>
  <c r="Y123" i="1"/>
  <c r="AV93" i="1" l="1"/>
  <c r="AX93" i="1" s="1"/>
  <c r="AY93" i="1" s="1"/>
  <c r="AZ93" i="1" s="1"/>
  <c r="AR93" i="1" s="1"/>
  <c r="AO94" i="1"/>
  <c r="AV94" i="1" s="1"/>
  <c r="AX94" i="1" s="1"/>
  <c r="AY94" i="1" s="1"/>
  <c r="AZ94" i="1" s="1"/>
  <c r="AR94" i="1" s="1"/>
  <c r="AO115" i="1" s="1"/>
  <c r="AO132" i="1"/>
  <c r="X20" i="1" l="1"/>
  <c r="AJ97" i="1" s="1"/>
  <c r="AB97" i="1" l="1"/>
  <c r="AB96" i="1"/>
  <c r="L128" i="1"/>
  <c r="G17" i="1" l="1"/>
  <c r="W59" i="1" s="1"/>
  <c r="L18" i="1" l="1"/>
  <c r="U106" i="1" l="1"/>
  <c r="U105" i="1"/>
  <c r="T106" i="1"/>
  <c r="T105" i="1"/>
  <c r="Y51" i="1"/>
  <c r="M56" i="1"/>
  <c r="M50" i="1"/>
  <c r="AA20" i="1"/>
  <c r="Y20" i="1"/>
  <c r="I84" i="1"/>
  <c r="AA18" i="1"/>
  <c r="AB18" i="1" s="1"/>
  <c r="D109" i="1" s="1"/>
  <c r="Y18" i="1"/>
  <c r="AA17" i="1"/>
  <c r="I82" i="1" s="1"/>
  <c r="Y17" i="1"/>
  <c r="AA16" i="1"/>
  <c r="Y16" i="1"/>
  <c r="X19" i="1"/>
  <c r="Z106" i="1" l="1"/>
  <c r="X106" i="1"/>
  <c r="Y106" i="1" s="1"/>
  <c r="AC19" i="1"/>
  <c r="AC20" i="1"/>
  <c r="Z17" i="1"/>
  <c r="AC17" i="1"/>
  <c r="Z18" i="1"/>
  <c r="AC18" i="1"/>
  <c r="Z16" i="1"/>
  <c r="AC16" i="1"/>
  <c r="AQ91" i="1"/>
  <c r="AQ92" i="1" s="1"/>
  <c r="Z20" i="1"/>
  <c r="AP91" i="1" s="1"/>
  <c r="AO91" i="1"/>
  <c r="Z105" i="1"/>
  <c r="X105" i="1"/>
  <c r="Y105" i="1" s="1"/>
  <c r="AB17" i="1"/>
  <c r="J82" i="1" s="1"/>
  <c r="M58" i="1"/>
  <c r="Y114" i="1" s="1"/>
  <c r="Y84" i="1"/>
  <c r="Y83" i="1"/>
  <c r="I117" i="1"/>
  <c r="D99" i="1"/>
  <c r="D100" i="1" s="1"/>
  <c r="D98" i="1"/>
  <c r="J84" i="1"/>
  <c r="AB16" i="1"/>
  <c r="AB20" i="1"/>
  <c r="AC24" i="1" l="1"/>
  <c r="V53" i="1"/>
  <c r="T57" i="1" s="1"/>
  <c r="BP33" i="1" s="1"/>
  <c r="X57" i="1" l="1"/>
  <c r="AA57" i="1" s="1"/>
  <c r="AA60" i="1" s="1"/>
  <c r="AA63" i="1" s="1"/>
  <c r="AA65" i="1" s="1"/>
  <c r="D101" i="1" l="1"/>
  <c r="D103" i="1" s="1"/>
  <c r="D104" i="1" s="1"/>
  <c r="D105" i="1" s="1"/>
  <c r="D107" i="1" s="1"/>
  <c r="D97" i="1"/>
  <c r="AA61" i="1"/>
  <c r="AP100" i="1"/>
  <c r="AQ100" i="1" s="1"/>
  <c r="AR100" i="1" s="1"/>
  <c r="AN106" i="1" s="1"/>
  <c r="AP122" i="1"/>
  <c r="AQ122" i="1" s="1"/>
  <c r="AR122" i="1" s="1"/>
  <c r="AP99" i="1"/>
  <c r="AQ99" i="1" s="1"/>
  <c r="AR99" i="1" s="1"/>
  <c r="AP105" i="1" s="1"/>
  <c r="AO111" i="1" s="1"/>
  <c r="AA114" i="1"/>
  <c r="AB114" i="1" s="1"/>
  <c r="AC114" i="1" s="1"/>
  <c r="AA118" i="1" s="1"/>
  <c r="Z123" i="1" s="1"/>
  <c r="D106" i="1" l="1"/>
  <c r="J110" i="1" s="1"/>
  <c r="G83" i="1" s="1"/>
  <c r="I83" i="1" s="1"/>
  <c r="AC61" i="1"/>
  <c r="BA9" i="1" s="1"/>
  <c r="BG9" i="1"/>
  <c r="AO127" i="1"/>
  <c r="AN127" i="1"/>
  <c r="BG16" i="1" s="1"/>
  <c r="AA123" i="1"/>
  <c r="AP106" i="1"/>
  <c r="AY114" i="1" s="1"/>
  <c r="AX114" i="1"/>
  <c r="AN105" i="1"/>
  <c r="AN111" i="1" s="1"/>
  <c r="AP111" i="1" s="1"/>
  <c r="BG14" i="1" s="1"/>
  <c r="AQ115" i="1" l="1"/>
  <c r="J83" i="1"/>
  <c r="J117" i="1" s="1"/>
  <c r="K117" i="1" s="1"/>
  <c r="K131" i="1" s="1"/>
  <c r="AC123" i="1"/>
  <c r="BA14" i="1" s="1"/>
  <c r="BG13" i="1"/>
  <c r="AR132" i="1"/>
  <c r="BA17" i="1" s="1"/>
  <c r="AZ114" i="1"/>
  <c r="BB114" i="1" s="1"/>
  <c r="AR111" i="1"/>
  <c r="BA15" i="1" s="1"/>
  <c r="BG15" i="1" l="1"/>
  <c r="AR115" i="1"/>
  <c r="BA16" i="1" s="1"/>
  <c r="Z84" i="1"/>
  <c r="AA84" i="1" s="1"/>
  <c r="AB84" i="1" s="1"/>
  <c r="AC84" i="1" s="1"/>
  <c r="AA90" i="1" s="1"/>
  <c r="L83" i="1"/>
  <c r="Z83" i="1"/>
  <c r="L82" i="1" s="1"/>
  <c r="L117" i="1"/>
  <c r="M117" i="1" s="1"/>
  <c r="Z97" i="1" l="1"/>
  <c r="AB106" i="1"/>
  <c r="AA83" i="1"/>
  <c r="AA85" i="1" s="1"/>
  <c r="L84" i="1"/>
  <c r="L85" i="1" s="1"/>
  <c r="Y90" i="1"/>
  <c r="AA106" i="1" s="1"/>
  <c r="K122" i="1"/>
  <c r="J128" i="1" s="1"/>
  <c r="I122" i="1"/>
  <c r="I128" i="1" s="1"/>
  <c r="AC106" i="1" l="1"/>
  <c r="Y97" i="1"/>
  <c r="AA97" i="1" s="1"/>
  <c r="BG12" i="1" s="1"/>
  <c r="AB83" i="1"/>
  <c r="K128" i="1"/>
  <c r="BG10" i="1" s="1"/>
  <c r="AC97" i="1" l="1"/>
  <c r="BA13" i="1" s="1"/>
  <c r="AC83" i="1"/>
  <c r="AA89" i="1" s="1"/>
  <c r="AB105" i="1" s="1"/>
  <c r="N128" i="1"/>
  <c r="BA11" i="1" s="1"/>
  <c r="Y89" i="1" l="1"/>
  <c r="Z96" i="1"/>
  <c r="Y96" i="1" l="1"/>
  <c r="AA96" i="1" s="1"/>
  <c r="BG11" i="1" s="1"/>
  <c r="BG17" i="1" s="1"/>
  <c r="M11" i="1" s="1"/>
  <c r="AA105" i="1"/>
  <c r="AC105" i="1" s="1"/>
  <c r="AC96" i="1" l="1"/>
  <c r="BA12" i="1" s="1"/>
  <c r="BA10" i="1" s="1"/>
  <c r="BA18" i="1" s="1"/>
  <c r="G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Kristensen, Peder Bjerre</author>
  </authors>
  <commentList>
    <comment ref="J16" authorId="0" shapeId="0" xr:uid="{261E6B23-943C-4ACC-B342-7FA7C8A2B830}">
      <text>
        <r>
          <rPr>
            <b/>
            <sz val="9"/>
            <color indexed="81"/>
            <rFont val="Tahoma"/>
            <family val="2"/>
          </rPr>
          <t>Stigning sætte til 0 ved vandrette gelænder</t>
        </r>
      </text>
    </comment>
    <comment ref="G50" authorId="0" shapeId="0" xr:uid="{36C06149-48AE-4BAF-8576-6D09AB42107E}">
      <text>
        <r>
          <rPr>
            <b/>
            <sz val="9"/>
            <color indexed="81"/>
            <rFont val="Tahoma"/>
            <family val="2"/>
          </rPr>
          <t>Sektionslængde er vandret ydremål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6" authorId="0" shapeId="0" xr:uid="{6A7847AD-43D1-43D2-AAEB-FE84B2B43876}">
      <text>
        <r>
          <rPr>
            <b/>
            <sz val="9"/>
            <color indexed="81"/>
            <rFont val="Tahoma"/>
            <family val="2"/>
          </rPr>
          <t>Lodret ydre mål: gelænderhøjde</t>
        </r>
      </text>
    </comment>
  </commentList>
</comments>
</file>

<file path=xl/sharedStrings.xml><?xml version="1.0" encoding="utf-8"?>
<sst xmlns="http://schemas.openxmlformats.org/spreadsheetml/2006/main" count="632" uniqueCount="288">
  <si>
    <t>lister:</t>
  </si>
  <si>
    <t>Grund</t>
  </si>
  <si>
    <t>mm</t>
  </si>
  <si>
    <t>Stigning</t>
  </si>
  <si>
    <t>Sektionslængde l =</t>
  </si>
  <si>
    <t>Gelænderhøjde Lh =</t>
  </si>
  <si>
    <t>Afstand mellem balustre</t>
  </si>
  <si>
    <t>Antal baluster</t>
  </si>
  <si>
    <t>stk</t>
  </si>
  <si>
    <t>Højde ok gelænder CL - bolt</t>
  </si>
  <si>
    <t>Højde CL-bolt UK ben</t>
  </si>
  <si>
    <t>Profilliste:</t>
  </si>
  <si>
    <t>Meddelser:</t>
  </si>
  <si>
    <t>qEk =</t>
  </si>
  <si>
    <t>kN/m</t>
  </si>
  <si>
    <t>γM0 =</t>
  </si>
  <si>
    <t>γq =</t>
  </si>
  <si>
    <t>fy =</t>
  </si>
  <si>
    <t>MPa</t>
  </si>
  <si>
    <t>Bæreevne baluster ej OK</t>
  </si>
  <si>
    <t>Tværsnitskonstanter</t>
  </si>
  <si>
    <t>Bæreevne ben ej OK</t>
  </si>
  <si>
    <t>b</t>
  </si>
  <si>
    <t>h</t>
  </si>
  <si>
    <t>t</t>
  </si>
  <si>
    <t>antal</t>
  </si>
  <si>
    <t>A</t>
  </si>
  <si>
    <t>Av</t>
  </si>
  <si>
    <t>I</t>
  </si>
  <si>
    <t>Bæreevne bolt ej OK</t>
  </si>
  <si>
    <t>GELÆNDERSEKTION</t>
  </si>
  <si>
    <r>
      <t>mm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</si>
  <si>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mm</t>
    </r>
    <r>
      <rPr>
        <vertAlign val="superscript"/>
        <sz val="11"/>
        <color theme="1"/>
        <rFont val="Calibri"/>
        <family val="2"/>
        <scheme val="minor"/>
      </rPr>
      <t>4</t>
    </r>
  </si>
  <si>
    <r>
      <t>mm</t>
    </r>
    <r>
      <rPr>
        <vertAlign val="superscript"/>
        <sz val="11"/>
        <color theme="1"/>
        <rFont val="Calibri"/>
        <family val="2"/>
        <scheme val="minor"/>
      </rPr>
      <t>3</t>
    </r>
  </si>
  <si>
    <t>Topliste og fodliste</t>
  </si>
  <si>
    <t>1t,1f)</t>
  </si>
  <si>
    <t>Balustre over ben</t>
  </si>
  <si>
    <t>2b)</t>
  </si>
  <si>
    <t>kN</t>
  </si>
  <si>
    <t>2e)</t>
  </si>
  <si>
    <t>Bæreevne OK</t>
  </si>
  <si>
    <t>3)</t>
  </si>
  <si>
    <t>4)</t>
  </si>
  <si>
    <t>Last optages af ende profil, baluster og baluster over ben:</t>
  </si>
  <si>
    <t>5)</t>
  </si>
  <si>
    <t>rør:</t>
  </si>
  <si>
    <t>Stålspænding</t>
  </si>
  <si>
    <t xml:space="preserve"> </t>
  </si>
  <si>
    <t>τ =</t>
  </si>
  <si>
    <r>
      <t>σ</t>
    </r>
    <r>
      <rPr>
        <vertAlign val="subscript"/>
        <sz val="9.35"/>
        <color theme="1"/>
        <rFont val="Calibri"/>
        <family val="2"/>
        <scheme val="minor"/>
      </rPr>
      <t>M</t>
    </r>
    <r>
      <rPr>
        <sz val="9.35"/>
        <color theme="1"/>
        <rFont val="Calibri"/>
        <family val="2"/>
        <scheme val="minor"/>
      </rPr>
      <t xml:space="preserve"> =</t>
    </r>
  </si>
  <si>
    <t>(W)</t>
  </si>
  <si>
    <t>kNm</t>
  </si>
  <si>
    <t>Baluster over ben</t>
  </si>
  <si>
    <t xml:space="preserve">Baluster </t>
  </si>
  <si>
    <t>sum:</t>
  </si>
  <si>
    <t>m</t>
  </si>
  <si>
    <t xml:space="preserve">α= </t>
  </si>
  <si>
    <t>grader</t>
  </si>
  <si>
    <t>Statisk system:</t>
  </si>
  <si>
    <t>Statisk u-bestemt:</t>
  </si>
  <si>
    <t>Moment findes ved arbejdsligning:</t>
  </si>
  <si>
    <t xml:space="preserve">δ = </t>
  </si>
  <si>
    <t xml:space="preserve">F = </t>
  </si>
  <si>
    <t xml:space="preserve">θ = </t>
  </si>
  <si>
    <r>
      <t>2</t>
    </r>
    <r>
      <rPr>
        <sz val="11"/>
        <color theme="1"/>
        <rFont val="Calibri"/>
        <family val="2"/>
      </rPr>
      <t>·θ =</t>
    </r>
  </si>
  <si>
    <t xml:space="preserve">M= </t>
  </si>
  <si>
    <t>Mb =</t>
  </si>
  <si>
    <t>Rb =</t>
  </si>
  <si>
    <t xml:space="preserve">Ra = </t>
  </si>
  <si>
    <t>Udnyttelse for overførelse til udfyldningssektion:</t>
  </si>
  <si>
    <t>W_red</t>
  </si>
  <si>
    <t>red.</t>
  </si>
  <si>
    <t>beregnet</t>
  </si>
  <si>
    <t>I_red</t>
  </si>
  <si>
    <t>qEd_vin =</t>
  </si>
  <si>
    <t xml:space="preserve">L = </t>
  </si>
  <si>
    <t xml:space="preserve">H = </t>
  </si>
  <si>
    <t>qEd =</t>
  </si>
  <si>
    <t>von Mises</t>
  </si>
  <si>
    <r>
      <t>σ</t>
    </r>
    <r>
      <rPr>
        <vertAlign val="subscript"/>
        <sz val="11"/>
        <color theme="1"/>
        <rFont val="Calibri"/>
        <family val="2"/>
      </rPr>
      <t xml:space="preserve">i </t>
    </r>
    <r>
      <rPr>
        <sz val="11"/>
        <color theme="1"/>
        <rFont val="Calibri"/>
        <family val="2"/>
      </rPr>
      <t>=</t>
    </r>
  </si>
  <si>
    <t>krav</t>
  </si>
  <si>
    <t>fyd</t>
  </si>
  <si>
    <t>Bæreevne baluster over ben ej OK</t>
  </si>
  <si>
    <t>Antal ben:</t>
  </si>
  <si>
    <t>Ben ved hul:</t>
  </si>
  <si>
    <r>
      <t>W</t>
    </r>
    <r>
      <rPr>
        <vertAlign val="subscript"/>
        <sz val="11"/>
        <color theme="1"/>
        <rFont val="Calibri"/>
        <family val="2"/>
        <scheme val="minor"/>
      </rPr>
      <t>el</t>
    </r>
  </si>
  <si>
    <t>Bæreevne ben ved hul ej OK</t>
  </si>
  <si>
    <t>Fodliste</t>
  </si>
  <si>
    <t>Pr. ben</t>
  </si>
  <si>
    <t>Vridningsmoment:</t>
  </si>
  <si>
    <t xml:space="preserve">Tv = </t>
  </si>
  <si>
    <t>A =</t>
  </si>
  <si>
    <t>Boltanker</t>
  </si>
  <si>
    <t>NRd =</t>
  </si>
  <si>
    <t>z =</t>
  </si>
  <si>
    <t xml:space="preserve">fck = </t>
  </si>
  <si>
    <r>
      <t>γ</t>
    </r>
    <r>
      <rPr>
        <sz val="9.35"/>
        <color theme="1"/>
        <rFont val="Calibri"/>
        <family val="2"/>
      </rPr>
      <t>c =</t>
    </r>
    <r>
      <rPr>
        <sz val="11"/>
        <color theme="1"/>
        <rFont val="Calibri"/>
        <family val="2"/>
      </rPr>
      <t xml:space="preserve"> </t>
    </r>
  </si>
  <si>
    <t>Sagsnavn:</t>
  </si>
  <si>
    <t>Side nr.:</t>
  </si>
  <si>
    <t>Bygningsdel:</t>
  </si>
  <si>
    <t>Sags nr.:</t>
  </si>
  <si>
    <t>Emne:</t>
  </si>
  <si>
    <t>Udf.dato:</t>
  </si>
  <si>
    <t>Reference:</t>
  </si>
  <si>
    <t>Rev.dato:</t>
  </si>
  <si>
    <t>Fabrik:</t>
  </si>
  <si>
    <t>Sign:</t>
  </si>
  <si>
    <t>Skitsemodel gelændertype A:</t>
  </si>
  <si>
    <t>Type A</t>
  </si>
  <si>
    <t>Indstillingsværdier</t>
  </si>
  <si>
    <t>Karakteristisk vandret last:</t>
  </si>
  <si>
    <t>Last:</t>
  </si>
  <si>
    <t>Gelænder geometri:</t>
  </si>
  <si>
    <t>Geometri trappeløb:</t>
  </si>
  <si>
    <t>Grund min.</t>
  </si>
  <si>
    <t>Stigning max.</t>
  </si>
  <si>
    <t>Bolt</t>
  </si>
  <si>
    <t>Mål ok gelænder/cl sidebolt</t>
  </si>
  <si>
    <t>Gennemstiksanker M16</t>
  </si>
  <si>
    <t>Bolttype - Ben/trappe</t>
  </si>
  <si>
    <t>Længde håndliste:</t>
  </si>
  <si>
    <t>Ok gelænder / cl fodliste:</t>
  </si>
  <si>
    <t>Profildata:</t>
  </si>
  <si>
    <t>Linjelast på topliste - viklet last fra vandret plan:</t>
  </si>
  <si>
    <t>Topliste</t>
  </si>
  <si>
    <t>Toplistens brudmoment:</t>
  </si>
  <si>
    <t>Maksimal spænd af topliste for overførelse af last til endesektion:</t>
  </si>
  <si>
    <t xml:space="preserve">Lastfordelingsfaktorr </t>
  </si>
  <si>
    <t>Lastfordelingsmodel:</t>
  </si>
  <si>
    <t>Bæreevne:</t>
  </si>
  <si>
    <t>Lastfordelingsnøgle (Efter W)</t>
  </si>
  <si>
    <t>Snitkræfter:</t>
  </si>
  <si>
    <t xml:space="preserve">sum: </t>
  </si>
  <si>
    <t>Last optages af  baluster og baluster over ben: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</si>
  <si>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</si>
  <si>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1"/>
        <rFont val="Calibri"/>
        <family val="2"/>
        <scheme val="minor"/>
      </rPr>
      <t>Ed</t>
    </r>
    <r>
      <rPr>
        <sz val="11"/>
        <rFont val="Calibri"/>
        <family val="2"/>
        <scheme val="minor"/>
      </rPr>
      <t xml:space="preserve"> =</t>
    </r>
  </si>
  <si>
    <r>
      <t>V</t>
    </r>
    <r>
      <rPr>
        <vertAlign val="subscript"/>
        <sz val="11"/>
        <rFont val="Calibri"/>
        <family val="2"/>
        <scheme val="minor"/>
      </rPr>
      <t>end,bal</t>
    </r>
    <r>
      <rPr>
        <sz val="11"/>
        <rFont val="Calibri"/>
        <family val="2"/>
        <scheme val="minor"/>
      </rPr>
      <t xml:space="preserve"> =</t>
    </r>
  </si>
  <si>
    <t>Fordeling:</t>
  </si>
  <si>
    <r>
      <t>F</t>
    </r>
    <r>
      <rPr>
        <vertAlign val="subscript"/>
        <sz val="11"/>
        <color theme="1"/>
        <rFont val="Calibri"/>
        <family val="2"/>
        <scheme val="minor"/>
      </rPr>
      <t>vin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</si>
  <si>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1"/>
        <rFont val="Calibri"/>
        <family val="2"/>
        <scheme val="minor"/>
      </rPr>
      <t>profil</t>
    </r>
    <r>
      <rPr>
        <sz val="11"/>
        <rFont val="Calibri"/>
        <family val="2"/>
        <scheme val="minor"/>
      </rPr>
      <t xml:space="preserve"> =</t>
    </r>
  </si>
  <si>
    <t>krav:</t>
  </si>
  <si>
    <t>R2 =</t>
  </si>
  <si>
    <t>(Toplisten fordeler lasten til endesektionerne og aflastets at det modsatte rækværksværn)</t>
  </si>
  <si>
    <t>Samlet last på topliste (På rækværket)</t>
  </si>
  <si>
    <r>
      <t>M</t>
    </r>
    <r>
      <rPr>
        <vertAlign val="subscript"/>
        <sz val="11"/>
        <color theme="1"/>
        <rFont val="Calibri"/>
        <family val="2"/>
        <scheme val="minor"/>
      </rPr>
      <t>Rd</t>
    </r>
    <r>
      <rPr>
        <sz val="11"/>
        <color theme="1"/>
        <rFont val="Calibri"/>
        <family val="2"/>
        <scheme val="minor"/>
      </rPr>
      <t xml:space="preserve"> = </t>
    </r>
  </si>
  <si>
    <r>
      <t>F</t>
    </r>
    <r>
      <rPr>
        <vertAlign val="subscript"/>
        <sz val="11"/>
        <color theme="1"/>
        <rFont val="Calibri"/>
        <family val="2"/>
        <scheme val="minor"/>
      </rPr>
      <t>Rd</t>
    </r>
    <r>
      <rPr>
        <sz val="11"/>
        <color theme="1"/>
        <rFont val="Calibri"/>
        <family val="2"/>
        <scheme val="minor"/>
      </rPr>
      <t xml:space="preserve"> = </t>
    </r>
  </si>
  <si>
    <t xml:space="preserve">R1 = </t>
  </si>
  <si>
    <r>
      <t xml:space="preserve">0,5 </t>
    </r>
    <r>
      <rPr>
        <sz val="11"/>
        <color theme="1"/>
        <rFont val="Calibri"/>
        <family val="2"/>
      </rPr>
      <t xml:space="preserve">· </t>
    </r>
    <r>
      <rPr>
        <sz val="11"/>
        <color theme="1"/>
        <rFont val="Calibri"/>
        <family val="2"/>
        <scheme val="minor"/>
      </rPr>
      <t xml:space="preserve">l _1t_max = </t>
    </r>
  </si>
  <si>
    <t xml:space="preserve">l _1t_max =  </t>
  </si>
  <si>
    <t xml:space="preserve">f_red*R1 = </t>
  </si>
  <si>
    <t>Den samlet last på gelænder reduceret med 2*f_red*R1</t>
  </si>
  <si>
    <t>2*f_red*R1 =</t>
  </si>
  <si>
    <r>
      <t>F</t>
    </r>
    <r>
      <rPr>
        <vertAlign val="subscript"/>
        <sz val="11"/>
        <color theme="1"/>
        <rFont val="Calibri"/>
        <family val="2"/>
        <scheme val="minor"/>
      </rPr>
      <t>Ed</t>
    </r>
    <r>
      <rPr>
        <sz val="11"/>
        <color theme="1"/>
        <rFont val="Calibri"/>
        <family val="2"/>
        <scheme val="minor"/>
      </rPr>
      <t xml:space="preserve">= </t>
    </r>
  </si>
  <si>
    <t>Endeb-balustre's æreevne for rækværksmodstand:</t>
  </si>
  <si>
    <r>
      <t>M</t>
    </r>
    <r>
      <rPr>
        <vertAlign val="subscript"/>
        <sz val="11"/>
        <rFont val="Calibri"/>
        <family val="2"/>
        <scheme val="minor"/>
      </rPr>
      <t>end,bal</t>
    </r>
    <r>
      <rPr>
        <sz val="11"/>
        <rFont val="Calibri"/>
        <family val="2"/>
        <scheme val="minor"/>
      </rPr>
      <t xml:space="preserve"> =</t>
    </r>
  </si>
  <si>
    <r>
      <t>M</t>
    </r>
    <r>
      <rPr>
        <vertAlign val="subscript"/>
        <sz val="11"/>
        <color theme="1"/>
        <rFont val="Calibri"/>
        <family val="2"/>
        <scheme val="minor"/>
      </rPr>
      <t xml:space="preserve">Ed,vin = </t>
    </r>
  </si>
  <si>
    <r>
      <t>V</t>
    </r>
    <r>
      <rPr>
        <vertAlign val="subscript"/>
        <sz val="11"/>
        <color theme="1"/>
        <rFont val="Calibri"/>
        <family val="2"/>
        <scheme val="minor"/>
      </rPr>
      <t xml:space="preserve">Ed,vin </t>
    </r>
    <r>
      <rPr>
        <sz val="11"/>
        <color theme="1"/>
        <rFont val="Calibri"/>
        <family val="2"/>
        <scheme val="minor"/>
      </rPr>
      <t xml:space="preserve">= </t>
    </r>
  </si>
  <si>
    <r>
      <t>M</t>
    </r>
    <r>
      <rPr>
        <vertAlign val="subscript"/>
        <sz val="11"/>
        <color theme="1"/>
        <rFont val="Calibri"/>
        <family val="2"/>
        <scheme val="minor"/>
      </rPr>
      <t>Rd</t>
    </r>
    <r>
      <rPr>
        <sz val="11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</si>
  <si>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1"/>
        <color theme="1"/>
        <rFont val="Calibri"/>
        <family val="2"/>
        <scheme val="minor"/>
      </rPr>
      <t>Ed</t>
    </r>
    <r>
      <rPr>
        <sz val="11"/>
        <color theme="1"/>
        <rFont val="Calibri"/>
        <family val="2"/>
        <scheme val="minor"/>
      </rPr>
      <t>/M</t>
    </r>
    <r>
      <rPr>
        <vertAlign val="subscript"/>
        <sz val="11"/>
        <color theme="1"/>
        <rFont val="Calibri"/>
        <family val="2"/>
        <scheme val="minor"/>
      </rPr>
      <t>Rd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</si>
  <si>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1"/>
        <color theme="1"/>
        <rFont val="Calibri"/>
        <family val="2"/>
      </rPr>
      <t>yd</t>
    </r>
  </si>
  <si>
    <r>
      <t>b</t>
    </r>
    <r>
      <rPr>
        <vertAlign val="subscript"/>
        <sz val="11"/>
        <color theme="1"/>
        <rFont val="Calibri"/>
        <family val="2"/>
        <scheme val="minor"/>
      </rPr>
      <t>vin</t>
    </r>
    <r>
      <rPr>
        <sz val="11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</si>
  <si>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1"/>
        <color theme="1"/>
        <rFont val="Calibri"/>
        <family val="2"/>
        <scheme val="minor"/>
      </rPr>
      <t>vin</t>
    </r>
    <r>
      <rPr>
        <sz val="11"/>
        <color theme="1"/>
        <rFont val="Calibri"/>
        <family val="2"/>
        <scheme val="minor"/>
      </rPr>
      <t xml:space="preserve"> =</t>
    </r>
  </si>
  <si>
    <t>Tværsnitskonstanter og spændinger vinklet snit</t>
  </si>
  <si>
    <t>von</t>
  </si>
  <si>
    <t>Mises</t>
  </si>
  <si>
    <t>Gelændervinkel (vin):</t>
  </si>
  <si>
    <t>Balustre  og balustre over ben:</t>
  </si>
  <si>
    <t>von Moses</t>
  </si>
  <si>
    <r>
      <t>H</t>
    </r>
    <r>
      <rPr>
        <vertAlign val="subscript"/>
        <sz val="11"/>
        <color theme="1"/>
        <rFont val="Calibri"/>
        <family val="2"/>
        <scheme val="minor"/>
      </rPr>
      <t>vin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</si>
  <si>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1"/>
        <color theme="1"/>
        <rFont val="Calibri"/>
        <family val="2"/>
        <scheme val="minor"/>
      </rPr>
      <t>vin</t>
    </r>
    <r>
      <rPr>
        <sz val="11"/>
        <color theme="1"/>
        <rFont val="Calibri"/>
        <family val="2"/>
        <scheme val="minor"/>
      </rPr>
      <t xml:space="preserve"> = </t>
    </r>
  </si>
  <si>
    <r>
      <t>F</t>
    </r>
    <r>
      <rPr>
        <vertAlign val="subscript"/>
        <sz val="11"/>
        <rFont val="Calibri"/>
        <family val="2"/>
        <scheme val="minor"/>
      </rPr>
      <t>profil</t>
    </r>
  </si>
  <si>
    <r>
      <t>H</t>
    </r>
    <r>
      <rPr>
        <vertAlign val="subscript"/>
        <sz val="11"/>
        <color theme="1"/>
        <rFont val="Calibri"/>
        <family val="2"/>
        <scheme val="minor"/>
      </rPr>
      <t>vin</t>
    </r>
    <r>
      <rPr>
        <sz val="11"/>
        <color theme="1"/>
        <rFont val="Calibri"/>
        <family val="2"/>
        <scheme val="minor"/>
      </rPr>
      <t>*F</t>
    </r>
    <r>
      <rPr>
        <vertAlign val="subscript"/>
        <sz val="11"/>
        <color theme="1"/>
        <rFont val="Calibri"/>
        <family val="2"/>
        <scheme val="minor"/>
      </rPr>
      <t>profil</t>
    </r>
    <r>
      <rPr>
        <sz val="11"/>
        <color theme="1"/>
        <rFont val="Calibri"/>
        <family val="2"/>
        <scheme val="minor"/>
      </rPr>
      <t>/2 =</t>
    </r>
  </si>
  <si>
    <t>Ben</t>
  </si>
  <si>
    <t>(Informativ)</t>
  </si>
  <si>
    <r>
      <t>h</t>
    </r>
    <r>
      <rPr>
        <vertAlign val="subscript"/>
        <sz val="11"/>
        <color theme="1"/>
        <rFont val="Calibri"/>
        <family val="2"/>
        <scheme val="minor"/>
      </rPr>
      <t>ben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</si>
  <si>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1"/>
        <rFont val="Calibri"/>
        <family val="2"/>
        <scheme val="minor"/>
      </rPr>
      <t>Ed</t>
    </r>
    <r>
      <rPr>
        <sz val="11"/>
        <rFont val="Calibri"/>
        <family val="2"/>
        <scheme val="minor"/>
      </rPr>
      <t xml:space="preserve"> = </t>
    </r>
  </si>
  <si>
    <r>
      <t>V</t>
    </r>
    <r>
      <rPr>
        <vertAlign val="subscript"/>
        <sz val="11"/>
        <rFont val="Calibri"/>
        <family val="2"/>
        <scheme val="minor"/>
      </rPr>
      <t xml:space="preserve">cl_hul </t>
    </r>
    <r>
      <rPr>
        <sz val="11"/>
        <rFont val="Calibri"/>
        <family val="2"/>
        <scheme val="minor"/>
      </rPr>
      <t>=</t>
    </r>
  </si>
  <si>
    <r>
      <t>M</t>
    </r>
    <r>
      <rPr>
        <vertAlign val="subscript"/>
        <sz val="11"/>
        <rFont val="Calibri"/>
        <family val="2"/>
        <scheme val="minor"/>
      </rPr>
      <t xml:space="preserve">cl_hul </t>
    </r>
    <r>
      <rPr>
        <sz val="11"/>
        <rFont val="Calibri"/>
        <family val="2"/>
        <scheme val="minor"/>
      </rPr>
      <t>=</t>
    </r>
  </si>
  <si>
    <t>Tværsnits konstanter, ben med hul - Forstærket med rørprofil</t>
  </si>
  <si>
    <t>Ende</t>
  </si>
  <si>
    <t>Balustre</t>
  </si>
  <si>
    <t>Mellemstykke</t>
  </si>
  <si>
    <t>Rør forstærkning i ben</t>
  </si>
  <si>
    <t>Tværsnitskonstanter -Tværsnit forstærket med rør::</t>
  </si>
  <si>
    <t>Profildata (fra s2):</t>
  </si>
  <si>
    <t>bs</t>
  </si>
  <si>
    <t>Av =</t>
  </si>
  <si>
    <t>fordeling</t>
  </si>
  <si>
    <t>valgt</t>
  </si>
  <si>
    <t>Last fordelingsnøgle (balustre/ende):</t>
  </si>
  <si>
    <t>Ende balustre</t>
  </si>
  <si>
    <t>Ende balustre:</t>
  </si>
  <si>
    <r>
      <t>h</t>
    </r>
    <r>
      <rPr>
        <vertAlign val="subscript"/>
        <sz val="11"/>
        <color theme="1"/>
        <rFont val="Calibri"/>
        <family val="2"/>
        <scheme val="minor"/>
      </rPr>
      <t>bolt</t>
    </r>
    <r>
      <rPr>
        <sz val="11"/>
        <color theme="1"/>
        <rFont val="Calibri"/>
        <family val="2"/>
        <scheme val="minor"/>
      </rPr>
      <t xml:space="preserve"> =</t>
    </r>
  </si>
  <si>
    <t>Boltanker:</t>
  </si>
  <si>
    <t>Ben:</t>
  </si>
  <si>
    <t>Rør forstærkning i ben:</t>
  </si>
  <si>
    <t>Sammensat profil:</t>
  </si>
  <si>
    <t>Benprofil (fra side 2):</t>
  </si>
  <si>
    <r>
      <t>F</t>
    </r>
    <r>
      <rPr>
        <vertAlign val="subscript"/>
        <sz val="11"/>
        <color theme="1"/>
        <rFont val="Calibri"/>
        <family val="2"/>
        <scheme val="minor"/>
      </rPr>
      <t>bolt</t>
    </r>
    <r>
      <rPr>
        <sz val="11"/>
        <color theme="1"/>
        <rFont val="Calibri"/>
        <family val="2"/>
        <scheme val="minor"/>
      </rPr>
      <t xml:space="preserve"> = 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:</t>
    </r>
  </si>
  <si>
    <r>
      <t>F</t>
    </r>
    <r>
      <rPr>
        <vertAlign val="subscript"/>
        <sz val="11"/>
        <color theme="1"/>
        <rFont val="Calibri"/>
        <family val="2"/>
        <scheme val="minor"/>
      </rPr>
      <t>bolt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</si>
  <si>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1"/>
        <color theme="1"/>
        <rFont val="Calibri"/>
        <family val="2"/>
        <scheme val="minor"/>
      </rPr>
      <t xml:space="preserve">c </t>
    </r>
    <r>
      <rPr>
        <sz val="11"/>
        <color theme="1"/>
        <rFont val="Calibri"/>
        <family val="2"/>
        <scheme val="minor"/>
      </rPr>
      <t>=</t>
    </r>
  </si>
  <si>
    <r>
      <t>b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</si>
  <si>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h</t>
    </r>
    <r>
      <rPr>
        <vertAlign val="subscript"/>
        <sz val="11"/>
        <color theme="1"/>
        <rFont val="Calibri"/>
        <family val="2"/>
        <scheme val="minor"/>
      </rPr>
      <t>ben</t>
    </r>
    <r>
      <rPr>
        <sz val="11"/>
        <color theme="1"/>
        <rFont val="Calibri"/>
        <family val="2"/>
        <scheme val="minor"/>
      </rPr>
      <t xml:space="preserve"> = </t>
    </r>
  </si>
  <si>
    <r>
      <t>c</t>
    </r>
    <r>
      <rPr>
        <vertAlign val="subscript"/>
        <sz val="11"/>
        <color theme="1"/>
        <rFont val="Calibri"/>
        <family val="2"/>
        <scheme val="minor"/>
      </rPr>
      <t>bolt</t>
    </r>
    <r>
      <rPr>
        <sz val="11"/>
        <color theme="1"/>
        <rFont val="Calibri"/>
        <family val="2"/>
        <scheme val="minor"/>
      </rPr>
      <t xml:space="preserve"> =</t>
    </r>
  </si>
  <si>
    <t>Antal ben :</t>
  </si>
  <si>
    <r>
      <t>l</t>
    </r>
    <r>
      <rPr>
        <vertAlign val="subscript"/>
        <sz val="11"/>
        <color theme="1"/>
        <rFont val="Calibri"/>
        <family val="2"/>
        <scheme val="minor"/>
      </rPr>
      <t>hånd</t>
    </r>
    <r>
      <rPr>
        <sz val="11"/>
        <color theme="1"/>
        <rFont val="Calibri"/>
        <family val="2"/>
        <scheme val="minor"/>
      </rPr>
      <t xml:space="preserve"> =</t>
    </r>
  </si>
  <si>
    <r>
      <t>l</t>
    </r>
    <r>
      <rPr>
        <vertAlign val="subscript"/>
        <sz val="11"/>
        <color theme="1"/>
        <rFont val="Calibri"/>
        <family val="2"/>
        <scheme val="minor"/>
      </rPr>
      <t>min</t>
    </r>
    <r>
      <rPr>
        <sz val="11"/>
        <color theme="1"/>
        <rFont val="Calibri"/>
        <family val="2"/>
        <scheme val="minor"/>
      </rPr>
      <t xml:space="preserve"> =</t>
    </r>
  </si>
  <si>
    <t>λx =</t>
  </si>
  <si>
    <t xml:space="preserve">fyd = </t>
  </si>
  <si>
    <t>Beton (Trappeløb)</t>
  </si>
  <si>
    <t xml:space="preserve">fcd = </t>
  </si>
  <si>
    <t>Ok gelænder / cl fodliste vin:</t>
  </si>
  <si>
    <t>Lastfordelingsfaktor ej OK</t>
  </si>
  <si>
    <t>Bæreevne endebalustre ej ok</t>
  </si>
  <si>
    <t>Bæreevne fodliste ej OK</t>
  </si>
  <si>
    <t>Meddelelse:</t>
  </si>
  <si>
    <t xml:space="preserve">Grund / Stignings mål </t>
  </si>
  <si>
    <t>Sektionslængde bør rettes til mål:</t>
  </si>
  <si>
    <t>Sektionslængde svare til:</t>
  </si>
  <si>
    <t>L =</t>
  </si>
  <si>
    <t>Udnyttelse</t>
  </si>
  <si>
    <t>Lastfordeling</t>
  </si>
  <si>
    <t>0,5*R2 =</t>
  </si>
  <si>
    <r>
      <t xml:space="preserve">Krav 0,5*R2 </t>
    </r>
    <r>
      <rPr>
        <sz val="11"/>
        <color theme="1"/>
        <rFont val="Calibri"/>
        <family val="2"/>
      </rPr>
      <t>≥ f_red * R1</t>
    </r>
  </si>
  <si>
    <t>Endebalustre</t>
  </si>
  <si>
    <t>Ben ved hul</t>
  </si>
  <si>
    <t>Profiludnyttelse:</t>
  </si>
  <si>
    <t>Bæreevne balustrerække ej OK</t>
  </si>
  <si>
    <t>Optimal sektionslængde:</t>
  </si>
  <si>
    <t>Gelænder profilberegning</t>
  </si>
  <si>
    <r>
      <t>f</t>
    </r>
    <r>
      <rPr>
        <vertAlign val="subscript"/>
        <sz val="11"/>
        <color theme="1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=</t>
    </r>
  </si>
  <si>
    <t>Tabel:</t>
  </si>
  <si>
    <t>Trappeløb:</t>
  </si>
  <si>
    <t>Standard</t>
  </si>
  <si>
    <t>Profiltabel:</t>
  </si>
  <si>
    <t>Arkbeskyttelse:</t>
  </si>
  <si>
    <t>1 af 5</t>
  </si>
  <si>
    <t>2 af 5</t>
  </si>
  <si>
    <t>3 af 4</t>
  </si>
  <si>
    <t>4 af 5</t>
  </si>
  <si>
    <t>5 af 5</t>
  </si>
  <si>
    <r>
      <t>G</t>
    </r>
    <r>
      <rPr>
        <vertAlign val="subscript"/>
        <sz val="11"/>
        <color theme="1"/>
        <rFont val="Calibri"/>
        <family val="2"/>
        <scheme val="minor"/>
      </rPr>
      <t xml:space="preserve">grund </t>
    </r>
    <r>
      <rPr>
        <sz val="11"/>
        <color theme="1"/>
        <rFont val="Calibri"/>
        <family val="2"/>
        <scheme val="minor"/>
      </rPr>
      <t xml:space="preserve">=  </t>
    </r>
  </si>
  <si>
    <r>
      <t>S</t>
    </r>
    <r>
      <rPr>
        <vertAlign val="subscript"/>
        <sz val="11"/>
        <color theme="1"/>
        <rFont val="Calibri"/>
        <family val="2"/>
        <scheme val="minor"/>
      </rPr>
      <t>stigning</t>
    </r>
    <r>
      <rPr>
        <sz val="11"/>
        <color theme="1"/>
        <rFont val="Calibri"/>
        <family val="2"/>
        <scheme val="minor"/>
      </rPr>
      <t xml:space="preserve"> =</t>
    </r>
  </si>
  <si>
    <t>Antal balustre over ben:</t>
  </si>
  <si>
    <t>Antal balustre over ben</t>
  </si>
  <si>
    <t>Forstærkning i ben</t>
  </si>
  <si>
    <t>Forstærkning i ben:</t>
  </si>
  <si>
    <t>Inkl forstærkning:</t>
  </si>
  <si>
    <t>G</t>
  </si>
  <si>
    <t>kg</t>
  </si>
  <si>
    <r>
      <t>FEd</t>
    </r>
    <r>
      <rPr>
        <vertAlign val="subscript"/>
        <sz val="11"/>
        <color theme="1"/>
        <rFont val="Calibri"/>
        <family val="2"/>
        <scheme val="minor"/>
      </rPr>
      <t>bolt</t>
    </r>
    <r>
      <rPr>
        <sz val="11"/>
        <color theme="1"/>
        <rFont val="Calibri"/>
        <family val="2"/>
        <scheme val="minor"/>
      </rPr>
      <t xml:space="preserve"> =</t>
    </r>
  </si>
  <si>
    <r>
      <t>FEd</t>
    </r>
    <r>
      <rPr>
        <vertAlign val="subscript"/>
        <sz val="11"/>
        <color theme="1"/>
        <rFont val="Calibri"/>
        <family val="2"/>
        <scheme val="minor"/>
      </rPr>
      <t>beton</t>
    </r>
    <r>
      <rPr>
        <sz val="11"/>
        <color theme="1"/>
        <rFont val="Calibri"/>
        <family val="2"/>
        <scheme val="minor"/>
      </rPr>
      <t xml:space="preserve"> =</t>
    </r>
  </si>
  <si>
    <t>Stålprofiler t &lt; 3 mm:</t>
  </si>
  <si>
    <r>
      <t xml:space="preserve">Stålprofiler t </t>
    </r>
    <r>
      <rPr>
        <sz val="11"/>
        <rFont val="Calibri"/>
        <family val="2"/>
      </rPr>
      <t xml:space="preserve">≥ </t>
    </r>
    <r>
      <rPr>
        <sz val="11"/>
        <rFont val="Calibri"/>
        <family val="2"/>
        <scheme val="minor"/>
      </rPr>
      <t>3 mm:</t>
    </r>
  </si>
  <si>
    <t>Materialer:</t>
  </si>
  <si>
    <r>
      <t>W</t>
    </r>
    <r>
      <rPr>
        <vertAlign val="subscript"/>
        <sz val="11"/>
        <color theme="1"/>
        <rFont val="Calibri"/>
        <family val="2"/>
        <scheme val="minor"/>
      </rPr>
      <t>pl</t>
    </r>
  </si>
  <si>
    <t>S</t>
  </si>
  <si>
    <t>mm3</t>
  </si>
  <si>
    <r>
      <t>Beregning af W</t>
    </r>
    <r>
      <rPr>
        <vertAlign val="subscript"/>
        <sz val="11"/>
        <color theme="1"/>
        <rFont val="Calibri"/>
        <family val="2"/>
        <scheme val="minor"/>
      </rPr>
      <t>pl</t>
    </r>
    <r>
      <rPr>
        <sz val="11"/>
        <color theme="1"/>
        <rFont val="Calibri"/>
        <family val="2"/>
        <scheme val="minor"/>
      </rPr>
      <t>:</t>
    </r>
  </si>
  <si>
    <t>v = S/A</t>
  </si>
  <si>
    <t>zc+zt =</t>
  </si>
  <si>
    <t>Wpl =</t>
  </si>
  <si>
    <t>VRd</t>
  </si>
  <si>
    <t>MRd</t>
  </si>
  <si>
    <t>von Mises:</t>
  </si>
  <si>
    <t>Stålspænding:</t>
  </si>
  <si>
    <t>VEd/VRd+MEd/MRd =</t>
  </si>
  <si>
    <t>(Plastisk)</t>
  </si>
  <si>
    <t>(Elastisk)</t>
  </si>
  <si>
    <r>
      <t>A</t>
    </r>
    <r>
      <rPr>
        <vertAlign val="subscript"/>
        <sz val="11"/>
        <color theme="1"/>
        <rFont val="Calibri"/>
        <family val="2"/>
        <scheme val="minor"/>
      </rPr>
      <t>snit</t>
    </r>
  </si>
  <si>
    <t>Balustre:</t>
  </si>
  <si>
    <t>Balustre rør:</t>
  </si>
  <si>
    <t>Beregningsindstilling:</t>
  </si>
  <si>
    <t>Standard for profilliste</t>
  </si>
  <si>
    <t>Tilhørende standard norm last:</t>
  </si>
  <si>
    <t>B</t>
  </si>
  <si>
    <t>Variant: last / profilliste</t>
  </si>
  <si>
    <t>C</t>
  </si>
  <si>
    <t>Last variant (Profilliste C):</t>
  </si>
  <si>
    <t>Standard profilliste</t>
  </si>
  <si>
    <t>Profilliste C</t>
  </si>
  <si>
    <t>Profilliste;</t>
  </si>
  <si>
    <t>Variant:</t>
  </si>
  <si>
    <t>Indstillingsvarinat skal sættes til: "Profilliste C"</t>
  </si>
  <si>
    <t>v. 1.00_2023</t>
  </si>
  <si>
    <t>Bæreevne (Spændingsberegning - elastisk):</t>
  </si>
  <si>
    <t>Slaganker EXPANDET E16X65</t>
  </si>
  <si>
    <t>Dalton. Borumvej 30, 8381 Tilst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</si>
</sst>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00"/>
    <numFmt numFmtId="167" formatCode="dd/mm/yy;@"/>
  </numFmts>
  <fonts count="2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bscript"/>
      <sz val="9.35"/>
      <color theme="1"/>
      <name val="Calibri"/>
      <family val="2"/>
      <scheme val="minor"/>
    </font>
    <font>
      <sz val="9.3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b/>
      <u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.35"/>
      <color theme="1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7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</font>
    <font>
      <vertAlign val="subscript"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0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right"/>
    </xf>
    <xf numFmtId="0" fontId="3" fillId="0" borderId="0" xfId="0" applyFont="1"/>
    <xf numFmtId="0" fontId="0" fillId="4" borderId="0" xfId="0" applyFill="1" applyAlignment="1">
      <alignment horizontal="center"/>
    </xf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6" xfId="0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8" xfId="0" applyBorder="1"/>
    <xf numFmtId="0" fontId="0" fillId="0" borderId="7" xfId="0" applyBorder="1"/>
    <xf numFmtId="165" fontId="0" fillId="4" borderId="0" xfId="0" applyNumberFormat="1" applyFill="1" applyAlignment="1">
      <alignment horizont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8" fillId="0" borderId="1" xfId="0" applyFont="1" applyBorder="1"/>
    <xf numFmtId="0" fontId="3" fillId="0" borderId="1" xfId="0" applyFont="1" applyBorder="1" applyAlignment="1">
      <alignment horizontal="right"/>
    </xf>
    <xf numFmtId="0" fontId="0" fillId="0" borderId="1" xfId="0" applyBorder="1" applyAlignment="1">
      <alignment horizontal="right"/>
    </xf>
    <xf numFmtId="2" fontId="0" fillId="4" borderId="0" xfId="0" applyNumberFormat="1" applyFill="1" applyAlignment="1">
      <alignment horizontal="center"/>
    </xf>
    <xf numFmtId="0" fontId="9" fillId="0" borderId="1" xfId="0" applyFont="1" applyBorder="1"/>
    <xf numFmtId="1" fontId="0" fillId="4" borderId="0" xfId="0" applyNumberFormat="1" applyFill="1" applyAlignment="1">
      <alignment horizontal="center"/>
    </xf>
    <xf numFmtId="0" fontId="0" fillId="0" borderId="1" xfId="0" applyBorder="1" applyAlignment="1">
      <alignment horizontal="left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5" fillId="4" borderId="0" xfId="0" applyFont="1" applyFill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0" xfId="0" applyNumberFormat="1"/>
    <xf numFmtId="0" fontId="8" fillId="0" borderId="0" xfId="0" applyFont="1"/>
    <xf numFmtId="0" fontId="0" fillId="0" borderId="8" xfId="0" applyBorder="1" applyAlignment="1">
      <alignment horizontal="center"/>
    </xf>
    <xf numFmtId="0" fontId="1" fillId="0" borderId="1" xfId="0" applyFont="1" applyBorder="1"/>
    <xf numFmtId="1" fontId="0" fillId="0" borderId="0" xfId="0" applyNumberFormat="1"/>
    <xf numFmtId="0" fontId="15" fillId="0" borderId="2" xfId="0" applyFont="1" applyBorder="1"/>
    <xf numFmtId="0" fontId="15" fillId="0" borderId="3" xfId="0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15" fillId="0" borderId="1" xfId="0" applyFont="1" applyBorder="1"/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0" fontId="15" fillId="0" borderId="0" xfId="0" applyFont="1"/>
    <xf numFmtId="0" fontId="16" fillId="0" borderId="0" xfId="0" applyFont="1"/>
    <xf numFmtId="0" fontId="15" fillId="0" borderId="5" xfId="0" applyFont="1" applyBorder="1" applyAlignment="1">
      <alignment vertical="center"/>
    </xf>
    <xf numFmtId="0" fontId="17" fillId="0" borderId="8" xfId="0" applyFont="1" applyBorder="1" applyAlignment="1">
      <alignment horizontal="left"/>
    </xf>
    <xf numFmtId="0" fontId="1" fillId="0" borderId="4" xfId="0" applyFont="1" applyBorder="1"/>
    <xf numFmtId="0" fontId="0" fillId="0" borderId="5" xfId="0" applyBorder="1" applyAlignment="1">
      <alignment horizontal="center"/>
    </xf>
    <xf numFmtId="1" fontId="5" fillId="4" borderId="1" xfId="0" applyNumberFormat="1" applyFont="1" applyFill="1" applyBorder="1" applyAlignment="1">
      <alignment horizontal="center"/>
    </xf>
    <xf numFmtId="1" fontId="5" fillId="4" borderId="0" xfId="0" applyNumberFormat="1" applyFont="1" applyFill="1" applyAlignment="1">
      <alignment horizontal="center"/>
    </xf>
    <xf numFmtId="1" fontId="5" fillId="4" borderId="4" xfId="0" applyNumberFormat="1" applyFont="1" applyFill="1" applyBorder="1" applyAlignment="1">
      <alignment horizontal="center"/>
    </xf>
    <xf numFmtId="1" fontId="5" fillId="4" borderId="5" xfId="0" applyNumberFormat="1" applyFont="1" applyFill="1" applyBorder="1" applyAlignment="1">
      <alignment horizontal="center"/>
    </xf>
    <xf numFmtId="0" fontId="0" fillId="6" borderId="0" xfId="0" applyFill="1"/>
    <xf numFmtId="0" fontId="20" fillId="0" borderId="0" xfId="0" applyFont="1"/>
    <xf numFmtId="2" fontId="5" fillId="4" borderId="0" xfId="0" applyNumberFormat="1" applyFont="1" applyFill="1" applyAlignment="1">
      <alignment horizontal="center"/>
    </xf>
    <xf numFmtId="0" fontId="0" fillId="7" borderId="5" xfId="0" applyFill="1" applyBorder="1" applyAlignment="1">
      <alignment horizontal="center"/>
    </xf>
    <xf numFmtId="0" fontId="2" fillId="0" borderId="1" xfId="0" applyFont="1" applyBorder="1"/>
    <xf numFmtId="0" fontId="2" fillId="0" borderId="0" xfId="0" applyFont="1"/>
    <xf numFmtId="0" fontId="5" fillId="0" borderId="1" xfId="0" applyFont="1" applyBorder="1" applyAlignment="1">
      <alignment horizontal="center"/>
    </xf>
    <xf numFmtId="0" fontId="5" fillId="0" borderId="5" xfId="0" applyFont="1" applyBorder="1"/>
    <xf numFmtId="0" fontId="5" fillId="0" borderId="7" xfId="0" applyFont="1" applyBorder="1" applyAlignment="1">
      <alignment horizontal="center"/>
    </xf>
    <xf numFmtId="2" fontId="5" fillId="4" borderId="3" xfId="0" applyNumberFormat="1" applyFont="1" applyFill="1" applyBorder="1" applyAlignment="1">
      <alignment horizontal="center"/>
    </xf>
    <xf numFmtId="2" fontId="5" fillId="4" borderId="2" xfId="0" applyNumberFormat="1" applyFon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9" xfId="0" applyBorder="1"/>
    <xf numFmtId="0" fontId="0" fillId="7" borderId="10" xfId="0" applyFill="1" applyBorder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0" borderId="9" xfId="0" applyBorder="1" applyAlignment="1">
      <alignment horizontal="center"/>
    </xf>
    <xf numFmtId="0" fontId="13" fillId="0" borderId="0" xfId="0" applyFont="1"/>
    <xf numFmtId="0" fontId="11" fillId="0" borderId="1" xfId="0" applyFont="1" applyBorder="1"/>
    <xf numFmtId="2" fontId="5" fillId="4" borderId="5" xfId="0" applyNumberFormat="1" applyFont="1" applyFill="1" applyBorder="1" applyAlignment="1">
      <alignment horizontal="center"/>
    </xf>
    <xf numFmtId="2" fontId="0" fillId="4" borderId="3" xfId="0" applyNumberForma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horizontal="center"/>
    </xf>
    <xf numFmtId="0" fontId="5" fillId="0" borderId="1" xfId="0" applyFont="1" applyBorder="1"/>
    <xf numFmtId="0" fontId="0" fillId="0" borderId="7" xfId="0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2" fontId="0" fillId="4" borderId="5" xfId="0" applyNumberFormat="1" applyFill="1" applyBorder="1" applyAlignment="1">
      <alignment horizontal="center"/>
    </xf>
    <xf numFmtId="1" fontId="1" fillId="0" borderId="3" xfId="0" applyNumberFormat="1" applyFont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8" borderId="0" xfId="0" applyFill="1"/>
    <xf numFmtId="0" fontId="5" fillId="0" borderId="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2" fillId="0" borderId="0" xfId="0" applyFont="1"/>
    <xf numFmtId="0" fontId="15" fillId="0" borderId="0" xfId="0" applyFon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" fillId="0" borderId="0" xfId="0" applyFont="1"/>
    <xf numFmtId="0" fontId="11" fillId="0" borderId="0" xfId="0" applyFont="1"/>
    <xf numFmtId="0" fontId="9" fillId="0" borderId="0" xfId="0" applyFont="1"/>
    <xf numFmtId="0" fontId="5" fillId="0" borderId="1" xfId="0" applyFont="1" applyBorder="1" applyAlignment="1">
      <alignment horizontal="left"/>
    </xf>
    <xf numFmtId="0" fontId="8" fillId="0" borderId="2" xfId="0" applyFont="1" applyBorder="1"/>
    <xf numFmtId="2" fontId="0" fillId="9" borderId="10" xfId="0" applyNumberFormat="1" applyFill="1" applyBorder="1" applyAlignment="1">
      <alignment horizontal="center"/>
    </xf>
    <xf numFmtId="2" fontId="0" fillId="9" borderId="9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1" fillId="0" borderId="6" xfId="0" applyFont="1" applyBorder="1"/>
    <xf numFmtId="0" fontId="5" fillId="0" borderId="8" xfId="0" applyFont="1" applyBorder="1"/>
    <xf numFmtId="0" fontId="1" fillId="0" borderId="7" xfId="0" applyFont="1" applyBorder="1"/>
    <xf numFmtId="0" fontId="0" fillId="4" borderId="6" xfId="0" applyFill="1" applyBorder="1" applyAlignment="1">
      <alignment horizontal="center"/>
    </xf>
    <xf numFmtId="0" fontId="1" fillId="0" borderId="9" xfId="0" applyFont="1" applyBorder="1"/>
    <xf numFmtId="0" fontId="1" fillId="0" borderId="8" xfId="0" applyFont="1" applyBorder="1"/>
    <xf numFmtId="2" fontId="0" fillId="0" borderId="3" xfId="0" applyNumberFormat="1" applyBorder="1" applyAlignment="1">
      <alignment horizontal="center"/>
    </xf>
    <xf numFmtId="2" fontId="5" fillId="0" borderId="0" xfId="0" applyNumberFormat="1" applyFont="1" applyAlignment="1">
      <alignment horizontal="center"/>
    </xf>
    <xf numFmtId="0" fontId="0" fillId="2" borderId="0" xfId="0" applyFill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165" fontId="0" fillId="2" borderId="6" xfId="0" applyNumberFormat="1" applyFill="1" applyBorder="1" applyAlignment="1" applyProtection="1">
      <alignment horizontal="center"/>
      <protection locked="0"/>
    </xf>
    <xf numFmtId="165" fontId="0" fillId="2" borderId="0" xfId="0" applyNumberFormat="1" applyFill="1" applyAlignment="1" applyProtection="1">
      <alignment horizontal="center"/>
      <protection locked="0"/>
    </xf>
    <xf numFmtId="0" fontId="5" fillId="2" borderId="6" xfId="0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5" fontId="0" fillId="9" borderId="0" xfId="0" applyNumberFormat="1" applyFill="1" applyAlignment="1">
      <alignment horizontal="center"/>
    </xf>
    <xf numFmtId="0" fontId="5" fillId="9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0" fillId="10" borderId="0" xfId="0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166" fontId="5" fillId="4" borderId="3" xfId="0" applyNumberFormat="1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" fontId="5" fillId="0" borderId="0" xfId="0" applyNumberFormat="1" applyFont="1" applyAlignment="1">
      <alignment horizontal="center"/>
    </xf>
    <xf numFmtId="165" fontId="0" fillId="4" borderId="11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0" fontId="5" fillId="0" borderId="1" xfId="0" applyFont="1" applyBorder="1" applyAlignment="1">
      <alignment horizontal="right"/>
    </xf>
    <xf numFmtId="0" fontId="0" fillId="7" borderId="1" xfId="0" applyFill="1" applyBorder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0" fillId="9" borderId="5" xfId="0" applyFill="1" applyBorder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0" borderId="0" xfId="0" applyNumberFormat="1" applyAlignment="1" applyProtection="1">
      <alignment horizontal="center"/>
      <protection locked="0"/>
    </xf>
    <xf numFmtId="0" fontId="0" fillId="9" borderId="10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  <xf numFmtId="0" fontId="0" fillId="4" borderId="0" xfId="0" applyFill="1"/>
    <xf numFmtId="2" fontId="0" fillId="2" borderId="0" xfId="0" applyNumberFormat="1" applyFill="1" applyAlignment="1" applyProtection="1">
      <alignment horizontal="center"/>
      <protection locked="0"/>
    </xf>
    <xf numFmtId="2" fontId="0" fillId="3" borderId="0" xfId="0" applyNumberFormat="1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5" fillId="4" borderId="0" xfId="0" applyFont="1" applyFill="1" applyAlignment="1">
      <alignment horizontal="center" vertical="center"/>
    </xf>
    <xf numFmtId="167" fontId="15" fillId="4" borderId="0" xfId="0" applyNumberFormat="1" applyFont="1" applyFill="1" applyAlignment="1">
      <alignment horizontal="center" vertical="center"/>
    </xf>
    <xf numFmtId="0" fontId="15" fillId="4" borderId="0" xfId="0" applyFont="1" applyFill="1" applyAlignment="1" applyProtection="1">
      <alignment horizontal="center" vertical="center"/>
      <protection hidden="1"/>
    </xf>
    <xf numFmtId="0" fontId="15" fillId="4" borderId="5" xfId="0" applyFont="1" applyFill="1" applyBorder="1" applyAlignment="1">
      <alignment horizontal="center" vertical="center"/>
    </xf>
    <xf numFmtId="14" fontId="15" fillId="4" borderId="0" xfId="0" applyNumberFormat="1" applyFont="1" applyFill="1" applyAlignment="1" applyProtection="1">
      <alignment horizontal="center" vertical="center"/>
      <protection locked="0"/>
    </xf>
    <xf numFmtId="14" fontId="15" fillId="4" borderId="5" xfId="0" applyNumberFormat="1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Alignment="1" applyProtection="1">
      <alignment horizontal="left" vertical="center"/>
      <protection locked="0"/>
    </xf>
    <xf numFmtId="0" fontId="15" fillId="2" borderId="0" xfId="0" applyFont="1" applyFill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5" fillId="2" borderId="0" xfId="0" applyFont="1" applyFill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14" fontId="15" fillId="2" borderId="0" xfId="0" applyNumberFormat="1" applyFont="1" applyFill="1" applyAlignment="1" applyProtection="1">
      <alignment horizontal="center" vertical="center"/>
      <protection locked="0"/>
    </xf>
    <xf numFmtId="14" fontId="15" fillId="2" borderId="5" xfId="0" applyNumberFormat="1" applyFont="1" applyFill="1" applyBorder="1" applyAlignment="1" applyProtection="1">
      <alignment horizontal="center" vertical="center"/>
      <protection locked="0"/>
    </xf>
    <xf numFmtId="0" fontId="15" fillId="2" borderId="0" xfId="0" quotePrefix="1" applyFont="1" applyFill="1" applyAlignment="1" applyProtection="1">
      <alignment horizontal="center" vertical="center"/>
      <protection locked="0"/>
    </xf>
    <xf numFmtId="0" fontId="15" fillId="2" borderId="5" xfId="0" quotePrefix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3" borderId="0" xfId="0" applyFill="1" applyAlignment="1" applyProtection="1">
      <alignment horizontal="center"/>
      <protection locked="0"/>
    </xf>
    <xf numFmtId="167" fontId="15" fillId="4" borderId="5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8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99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333376</xdr:colOff>
      <xdr:row>90</xdr:row>
      <xdr:rowOff>169771</xdr:rowOff>
    </xdr:from>
    <xdr:to>
      <xdr:col>10</xdr:col>
      <xdr:colOff>76200</xdr:colOff>
      <xdr:row>107</xdr:row>
      <xdr:rowOff>18314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841951" y="10485346"/>
          <a:ext cx="2181224" cy="3305989"/>
        </a:xfrm>
        <a:prstGeom prst="rect">
          <a:avLst/>
        </a:prstGeom>
      </xdr:spPr>
    </xdr:pic>
    <xdr:clientData/>
  </xdr:twoCellAnchor>
  <xdr:oneCellAnchor>
    <xdr:from>
      <xdr:col>2</xdr:col>
      <xdr:colOff>76200</xdr:colOff>
      <xdr:row>2</xdr:row>
      <xdr:rowOff>114300</xdr:rowOff>
    </xdr:from>
    <xdr:ext cx="1037985" cy="1065687"/>
    <xdr:pic>
      <xdr:nvPicPr>
        <xdr:cNvPr id="6" name="Billed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34290000"/>
          <a:ext cx="1037985" cy="1065687"/>
        </a:xfrm>
        <a:prstGeom prst="rect">
          <a:avLst/>
        </a:prstGeom>
      </xdr:spPr>
    </xdr:pic>
    <xdr:clientData/>
  </xdr:oneCellAnchor>
  <xdr:oneCellAnchor>
    <xdr:from>
      <xdr:col>2</xdr:col>
      <xdr:colOff>76200</xdr:colOff>
      <xdr:row>69</xdr:row>
      <xdr:rowOff>114300</xdr:rowOff>
    </xdr:from>
    <xdr:ext cx="1037985" cy="1065687"/>
    <xdr:pic>
      <xdr:nvPicPr>
        <xdr:cNvPr id="10" name="Billed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729" y="495300"/>
          <a:ext cx="1037985" cy="1065687"/>
        </a:xfrm>
        <a:prstGeom prst="rect">
          <a:avLst/>
        </a:prstGeom>
      </xdr:spPr>
    </xdr:pic>
    <xdr:clientData/>
  </xdr:oneCellAnchor>
  <xdr:oneCellAnchor>
    <xdr:from>
      <xdr:col>17</xdr:col>
      <xdr:colOff>76200</xdr:colOff>
      <xdr:row>2</xdr:row>
      <xdr:rowOff>114300</xdr:rowOff>
    </xdr:from>
    <xdr:ext cx="1037985" cy="1065687"/>
    <xdr:pic>
      <xdr:nvPicPr>
        <xdr:cNvPr id="16" name="Billed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495300"/>
          <a:ext cx="1037985" cy="1065687"/>
        </a:xfrm>
        <a:prstGeom prst="rect">
          <a:avLst/>
        </a:prstGeom>
      </xdr:spPr>
    </xdr:pic>
    <xdr:clientData/>
  </xdr:oneCellAnchor>
  <xdr:oneCellAnchor>
    <xdr:from>
      <xdr:col>17</xdr:col>
      <xdr:colOff>76200</xdr:colOff>
      <xdr:row>69</xdr:row>
      <xdr:rowOff>114300</xdr:rowOff>
    </xdr:from>
    <xdr:ext cx="1037985" cy="1065687"/>
    <xdr:pic>
      <xdr:nvPicPr>
        <xdr:cNvPr id="18" name="Billed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315" y="13463954"/>
          <a:ext cx="1037985" cy="1065687"/>
        </a:xfrm>
        <a:prstGeom prst="rect">
          <a:avLst/>
        </a:prstGeom>
      </xdr:spPr>
    </xdr:pic>
    <xdr:clientData/>
  </xdr:oneCellAnchor>
  <xdr:twoCellAnchor editAs="oneCell">
    <xdr:from>
      <xdr:col>2</xdr:col>
      <xdr:colOff>133350</xdr:colOff>
      <xdr:row>111</xdr:row>
      <xdr:rowOff>158460</xdr:rowOff>
    </xdr:from>
    <xdr:to>
      <xdr:col>7</xdr:col>
      <xdr:colOff>361950</xdr:colOff>
      <xdr:row>128</xdr:row>
      <xdr:rowOff>671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21570660"/>
          <a:ext cx="3276600" cy="3375316"/>
        </a:xfrm>
        <a:prstGeom prst="rect">
          <a:avLst/>
        </a:prstGeom>
      </xdr:spPr>
    </xdr:pic>
    <xdr:clientData/>
  </xdr:twoCellAnchor>
  <xdr:twoCellAnchor editAs="oneCell">
    <xdr:from>
      <xdr:col>17</xdr:col>
      <xdr:colOff>49695</xdr:colOff>
      <xdr:row>31</xdr:row>
      <xdr:rowOff>20706</xdr:rowOff>
    </xdr:from>
    <xdr:to>
      <xdr:col>28</xdr:col>
      <xdr:colOff>505240</xdr:colOff>
      <xdr:row>47</xdr:row>
      <xdr:rowOff>115723</xdr:rowOff>
    </xdr:to>
    <xdr:pic>
      <xdr:nvPicPr>
        <xdr:cNvPr id="11" name="Billed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199782" y="6058728"/>
          <a:ext cx="7197588" cy="3184430"/>
        </a:xfrm>
        <a:prstGeom prst="rect">
          <a:avLst/>
        </a:prstGeom>
      </xdr:spPr>
    </xdr:pic>
    <xdr:clientData/>
  </xdr:twoCellAnchor>
  <xdr:twoCellAnchor editAs="oneCell">
    <xdr:from>
      <xdr:col>17</xdr:col>
      <xdr:colOff>443753</xdr:colOff>
      <xdr:row>110</xdr:row>
      <xdr:rowOff>127748</xdr:rowOff>
    </xdr:from>
    <xdr:to>
      <xdr:col>21</xdr:col>
      <xdr:colOff>392206</xdr:colOff>
      <xdr:row>125</xdr:row>
      <xdr:rowOff>178241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89577" y="21676660"/>
          <a:ext cx="2368923" cy="3183387"/>
        </a:xfrm>
        <a:prstGeom prst="rect">
          <a:avLst/>
        </a:prstGeom>
      </xdr:spPr>
    </xdr:pic>
    <xdr:clientData/>
  </xdr:twoCellAnchor>
  <xdr:oneCellAnchor>
    <xdr:from>
      <xdr:col>32</xdr:col>
      <xdr:colOff>76200</xdr:colOff>
      <xdr:row>69</xdr:row>
      <xdr:rowOff>114300</xdr:rowOff>
    </xdr:from>
    <xdr:ext cx="1037985" cy="1065687"/>
    <xdr:pic>
      <xdr:nvPicPr>
        <xdr:cNvPr id="24" name="Billed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2024" y="495300"/>
          <a:ext cx="1037985" cy="1065687"/>
        </a:xfrm>
        <a:prstGeom prst="rect">
          <a:avLst/>
        </a:prstGeom>
      </xdr:spPr>
    </xdr:pic>
    <xdr:clientData/>
  </xdr:oneCellAnchor>
  <xdr:twoCellAnchor editAs="oneCell">
    <xdr:from>
      <xdr:col>2</xdr:col>
      <xdr:colOff>312498</xdr:colOff>
      <xdr:row>19</xdr:row>
      <xdr:rowOff>136070</xdr:rowOff>
    </xdr:from>
    <xdr:to>
      <xdr:col>11</xdr:col>
      <xdr:colOff>513522</xdr:colOff>
      <xdr:row>46</xdr:row>
      <xdr:rowOff>143194</xdr:rowOff>
    </xdr:to>
    <xdr:pic>
      <xdr:nvPicPr>
        <xdr:cNvPr id="19" name="Billed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60976" y="3846679"/>
          <a:ext cx="5717242" cy="5192037"/>
        </a:xfrm>
        <a:prstGeom prst="rect">
          <a:avLst/>
        </a:prstGeom>
      </xdr:spPr>
    </xdr:pic>
    <xdr:clientData/>
  </xdr:twoCellAnchor>
  <xdr:twoCellAnchor editAs="oneCell">
    <xdr:from>
      <xdr:col>32</xdr:col>
      <xdr:colOff>231322</xdr:colOff>
      <xdr:row>97</xdr:row>
      <xdr:rowOff>231320</xdr:rowOff>
    </xdr:from>
    <xdr:to>
      <xdr:col>36</xdr:col>
      <xdr:colOff>75933</xdr:colOff>
      <xdr:row>114</xdr:row>
      <xdr:rowOff>68982</xdr:rowOff>
    </xdr:to>
    <xdr:pic>
      <xdr:nvPicPr>
        <xdr:cNvPr id="20" name="Billed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246929" y="19104427"/>
          <a:ext cx="2405955" cy="3429001"/>
        </a:xfrm>
        <a:prstGeom prst="rect">
          <a:avLst/>
        </a:prstGeom>
      </xdr:spPr>
    </xdr:pic>
    <xdr:clientData/>
  </xdr:twoCellAnchor>
  <xdr:twoCellAnchor editAs="oneCell">
    <xdr:from>
      <xdr:col>17</xdr:col>
      <xdr:colOff>179295</xdr:colOff>
      <xdr:row>81</xdr:row>
      <xdr:rowOff>1</xdr:rowOff>
    </xdr:from>
    <xdr:to>
      <xdr:col>21</xdr:col>
      <xdr:colOff>301047</xdr:colOff>
      <xdr:row>97</xdr:row>
      <xdr:rowOff>2765</xdr:rowOff>
    </xdr:to>
    <xdr:pic>
      <xdr:nvPicPr>
        <xdr:cNvPr id="22" name="Billed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225119" y="15643413"/>
          <a:ext cx="2542222" cy="3238500"/>
        </a:xfrm>
        <a:prstGeom prst="rect">
          <a:avLst/>
        </a:prstGeom>
      </xdr:spPr>
    </xdr:pic>
    <xdr:clientData/>
  </xdr:twoCellAnchor>
  <xdr:twoCellAnchor editAs="oneCell">
    <xdr:from>
      <xdr:col>32</xdr:col>
      <xdr:colOff>132106</xdr:colOff>
      <xdr:row>119</xdr:row>
      <xdr:rowOff>28161</xdr:rowOff>
    </xdr:from>
    <xdr:to>
      <xdr:col>36</xdr:col>
      <xdr:colOff>364591</xdr:colOff>
      <xdr:row>132</xdr:row>
      <xdr:rowOff>66261</xdr:rowOff>
    </xdr:to>
    <xdr:pic>
      <xdr:nvPicPr>
        <xdr:cNvPr id="5" name="Billed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440563" y="23824096"/>
          <a:ext cx="2796195" cy="2829339"/>
        </a:xfrm>
        <a:prstGeom prst="rect">
          <a:avLst/>
        </a:prstGeom>
      </xdr:spPr>
    </xdr:pic>
    <xdr:clientData/>
  </xdr:twoCellAnchor>
  <xdr:twoCellAnchor editAs="oneCell">
    <xdr:from>
      <xdr:col>32</xdr:col>
      <xdr:colOff>273327</xdr:colOff>
      <xdr:row>79</xdr:row>
      <xdr:rowOff>182217</xdr:rowOff>
    </xdr:from>
    <xdr:to>
      <xdr:col>35</xdr:col>
      <xdr:colOff>467760</xdr:colOff>
      <xdr:row>92</xdr:row>
      <xdr:rowOff>165651</xdr:rowOff>
    </xdr:to>
    <xdr:pic>
      <xdr:nvPicPr>
        <xdr:cNvPr id="7" name="Billed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581784" y="15695543"/>
          <a:ext cx="2145231" cy="265871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– 2022 T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8D151-9836-4F0F-9857-8DE14B7F9BBA}">
  <sheetPr>
    <pageSetUpPr fitToPage="1"/>
  </sheetPr>
  <dimension ref="C2:BQ153"/>
  <sheetViews>
    <sheetView tabSelected="1" zoomScale="90" zoomScaleNormal="90" workbookViewId="0">
      <selection activeCell="G15" sqref="G15"/>
    </sheetView>
  </sheetViews>
  <sheetFormatPr defaultRowHeight="15" x14ac:dyDescent="0.25"/>
  <cols>
    <col min="1" max="2" width="1.85546875" customWidth="1"/>
    <col min="15" max="15" width="2.5703125" customWidth="1"/>
    <col min="16" max="16" width="2.85546875" customWidth="1"/>
    <col min="17" max="17" width="2.7109375" customWidth="1"/>
    <col min="29" max="29" width="13.42578125" bestFit="1" customWidth="1"/>
    <col min="30" max="32" width="2.5703125" customWidth="1"/>
    <col min="33" max="33" width="10.7109375" bestFit="1" customWidth="1"/>
    <col min="45" max="47" width="2.5703125" customWidth="1"/>
    <col min="50" max="50" width="9" customWidth="1"/>
    <col min="51" max="51" width="9.5703125" bestFit="1" customWidth="1"/>
    <col min="59" max="59" width="11" bestFit="1" customWidth="1"/>
  </cols>
  <sheetData>
    <row r="2" spans="3:64" x14ac:dyDescent="0.25">
      <c r="G2" s="41"/>
      <c r="H2" s="41"/>
      <c r="I2" s="41"/>
      <c r="J2" s="37"/>
      <c r="V2" s="41"/>
      <c r="W2" s="41"/>
      <c r="X2" s="41"/>
      <c r="Y2" s="37"/>
    </row>
    <row r="3" spans="3:64" x14ac:dyDescent="0.25">
      <c r="C3" s="42"/>
      <c r="D3" s="43"/>
      <c r="E3" s="43"/>
      <c r="F3" s="43"/>
      <c r="G3" s="43"/>
      <c r="H3" s="43"/>
      <c r="I3" s="43"/>
      <c r="J3" s="43"/>
      <c r="K3" s="43"/>
      <c r="L3" s="43"/>
      <c r="M3" s="43"/>
      <c r="N3" s="44"/>
      <c r="R3" s="42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1"/>
      <c r="AG3" t="s">
        <v>235</v>
      </c>
      <c r="AI3" s="130">
        <v>1234</v>
      </c>
      <c r="AM3" s="149" t="s">
        <v>287</v>
      </c>
      <c r="AN3" s="149"/>
      <c r="AO3" s="149"/>
      <c r="AP3" s="149"/>
    </row>
    <row r="4" spans="3:64" x14ac:dyDescent="0.25">
      <c r="C4" s="45"/>
      <c r="D4" s="46"/>
      <c r="E4" s="47" t="s">
        <v>97</v>
      </c>
      <c r="F4" s="47"/>
      <c r="G4" s="156"/>
      <c r="H4" s="156"/>
      <c r="I4" s="156"/>
      <c r="J4" s="156"/>
      <c r="K4" s="156"/>
      <c r="L4" s="46" t="s">
        <v>98</v>
      </c>
      <c r="M4" s="157" t="s">
        <v>236</v>
      </c>
      <c r="N4" s="158"/>
      <c r="R4" s="45"/>
      <c r="S4" s="46"/>
      <c r="T4" s="47" t="s">
        <v>97</v>
      </c>
      <c r="U4" s="47"/>
      <c r="V4" s="150">
        <f>$G$4</f>
        <v>0</v>
      </c>
      <c r="W4" s="150"/>
      <c r="X4" s="150"/>
      <c r="Y4" s="150"/>
      <c r="Z4" s="150"/>
      <c r="AA4" s="46" t="s">
        <v>98</v>
      </c>
      <c r="AB4" s="150" t="s">
        <v>237</v>
      </c>
      <c r="AC4" s="153"/>
      <c r="AD4" s="1"/>
    </row>
    <row r="5" spans="3:64" x14ac:dyDescent="0.25">
      <c r="C5" s="45"/>
      <c r="D5" s="46"/>
      <c r="E5" s="47" t="s">
        <v>99</v>
      </c>
      <c r="F5" s="47"/>
      <c r="G5" s="156"/>
      <c r="H5" s="156"/>
      <c r="I5" s="156"/>
      <c r="J5" s="156"/>
      <c r="K5" s="156"/>
      <c r="L5" s="46" t="s">
        <v>100</v>
      </c>
      <c r="M5" s="159"/>
      <c r="N5" s="160"/>
      <c r="R5" s="45"/>
      <c r="S5" s="46"/>
      <c r="T5" s="47" t="s">
        <v>99</v>
      </c>
      <c r="U5" s="47"/>
      <c r="V5" s="150">
        <f>$G$5</f>
        <v>0</v>
      </c>
      <c r="W5" s="150"/>
      <c r="X5" s="150"/>
      <c r="Y5" s="150"/>
      <c r="Z5" s="150"/>
      <c r="AA5" s="46" t="s">
        <v>100</v>
      </c>
      <c r="AB5" s="150">
        <f>$M$5</f>
        <v>0</v>
      </c>
      <c r="AC5" s="153"/>
      <c r="AD5" s="1"/>
    </row>
    <row r="6" spans="3:64" x14ac:dyDescent="0.25">
      <c r="C6" s="45"/>
      <c r="D6" s="46"/>
      <c r="E6" s="47" t="s">
        <v>101</v>
      </c>
      <c r="F6" s="47"/>
      <c r="G6" s="48" t="s">
        <v>229</v>
      </c>
      <c r="H6" s="49"/>
      <c r="I6" s="49"/>
      <c r="K6" s="50"/>
      <c r="L6" s="46" t="s">
        <v>102</v>
      </c>
      <c r="M6" s="161">
        <f ca="1">NOW()</f>
        <v>45891.626879745367</v>
      </c>
      <c r="N6" s="162"/>
      <c r="R6" s="45"/>
      <c r="S6" s="46"/>
      <c r="T6" s="47" t="s">
        <v>101</v>
      </c>
      <c r="U6" s="47"/>
      <c r="V6" s="48" t="s">
        <v>229</v>
      </c>
      <c r="W6" s="49"/>
      <c r="X6" s="49"/>
      <c r="Z6" s="50"/>
      <c r="AA6" s="46" t="s">
        <v>102</v>
      </c>
      <c r="AB6" s="154">
        <f ca="1">NOW()</f>
        <v>45891.626879629628</v>
      </c>
      <c r="AC6" s="155"/>
      <c r="AD6" s="1"/>
    </row>
    <row r="7" spans="3:64" x14ac:dyDescent="0.25">
      <c r="C7" s="45"/>
      <c r="D7" s="46"/>
      <c r="E7" s="46" t="s">
        <v>103</v>
      </c>
      <c r="F7" s="46"/>
      <c r="G7" s="49" t="s">
        <v>108</v>
      </c>
      <c r="H7" s="101" t="s">
        <v>219</v>
      </c>
      <c r="I7" s="102">
        <f>G50</f>
        <v>2800</v>
      </c>
      <c r="J7" s="47" t="s">
        <v>2</v>
      </c>
      <c r="K7" s="46"/>
      <c r="L7" s="46" t="s">
        <v>104</v>
      </c>
      <c r="M7" s="163"/>
      <c r="N7" s="164"/>
      <c r="R7" s="45"/>
      <c r="S7" s="46"/>
      <c r="T7" s="46" t="s">
        <v>103</v>
      </c>
      <c r="U7" s="46"/>
      <c r="V7" s="49" t="s">
        <v>108</v>
      </c>
      <c r="W7" s="101" t="str">
        <f>$H$7</f>
        <v>L =</v>
      </c>
      <c r="X7" s="102">
        <f>$I$7</f>
        <v>2800</v>
      </c>
      <c r="Y7" s="46" t="str">
        <f>$J$7</f>
        <v>mm</v>
      </c>
      <c r="Z7" s="46"/>
      <c r="AA7" s="46" t="s">
        <v>104</v>
      </c>
      <c r="AB7" s="150">
        <f>$M$7</f>
        <v>0</v>
      </c>
      <c r="AC7" s="153"/>
      <c r="AD7" s="1"/>
      <c r="AW7" s="105" t="s">
        <v>12</v>
      </c>
      <c r="BC7" t="s">
        <v>220</v>
      </c>
    </row>
    <row r="8" spans="3:64" x14ac:dyDescent="0.25">
      <c r="C8" s="45"/>
      <c r="D8" s="46"/>
      <c r="E8" s="46"/>
      <c r="F8" s="46"/>
      <c r="G8" s="46"/>
      <c r="H8" s="46"/>
      <c r="I8" s="46"/>
      <c r="J8" s="46"/>
      <c r="K8" s="46"/>
      <c r="L8" s="46"/>
      <c r="M8" s="46"/>
      <c r="N8" s="51"/>
      <c r="R8" s="45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1"/>
    </row>
    <row r="9" spans="3:64" x14ac:dyDescent="0.25">
      <c r="C9" s="45"/>
      <c r="D9" s="46"/>
      <c r="E9" s="46" t="s">
        <v>105</v>
      </c>
      <c r="F9" s="46"/>
      <c r="G9" s="152" t="str">
        <f>$AM$3</f>
        <v>Dalton. Borumvej 30, 8381 Tilst</v>
      </c>
      <c r="H9" s="152"/>
      <c r="I9" s="152"/>
      <c r="J9" s="152"/>
      <c r="K9" s="152"/>
      <c r="L9" s="46" t="s">
        <v>106</v>
      </c>
      <c r="M9" s="159"/>
      <c r="N9" s="160"/>
      <c r="R9" s="45"/>
      <c r="S9" s="46"/>
      <c r="T9" s="46" t="s">
        <v>105</v>
      </c>
      <c r="U9" s="46"/>
      <c r="V9" s="152" t="str">
        <f>$AM$3</f>
        <v>Dalton. Borumvej 30, 8381 Tilst</v>
      </c>
      <c r="W9" s="152"/>
      <c r="X9" s="152"/>
      <c r="Y9" s="152"/>
      <c r="Z9" s="152"/>
      <c r="AA9" s="46" t="s">
        <v>106</v>
      </c>
      <c r="AB9" s="150">
        <f>$M$9</f>
        <v>0</v>
      </c>
      <c r="AC9" s="153"/>
      <c r="AD9" s="1"/>
      <c r="AW9" t="s">
        <v>212</v>
      </c>
      <c r="BA9" s="2">
        <f>IF(AC61="ok",0,1)</f>
        <v>0</v>
      </c>
      <c r="BE9" t="s">
        <v>221</v>
      </c>
      <c r="BG9" s="15">
        <f>AA60/AA61</f>
        <v>0.71404512281352428</v>
      </c>
    </row>
    <row r="10" spans="3:64" x14ac:dyDescent="0.25">
      <c r="C10" s="52" t="s">
        <v>284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7"/>
      <c r="R10" s="52" t="str">
        <f>$C$10</f>
        <v>v. 1.00_2023</v>
      </c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"/>
      <c r="AW10" t="s">
        <v>227</v>
      </c>
      <c r="BA10" s="2">
        <f>IF(AND(BA11=1,BA12=1,BA13=1),1,0)</f>
        <v>0</v>
      </c>
      <c r="BE10" t="s">
        <v>224</v>
      </c>
      <c r="BG10" s="15">
        <f>K128/L128</f>
        <v>0.44750000000000006</v>
      </c>
    </row>
    <row r="11" spans="3:64" x14ac:dyDescent="0.25">
      <c r="C11" s="3"/>
      <c r="E11" t="s">
        <v>215</v>
      </c>
      <c r="G11" s="100" t="str">
        <f>IF(BA9=1,AW9,  IF(BA10=1,AW10,                          IF(BA11=1,AW11,IF(BA12=1,AW12,IF(BA13=1,AW13,IF(BA14=1,AW14,IF(BA15=1,AW15,IF(BA16=1,AW16,IF(BA17=1,AW17,IF(BA18=0,AW18,"FEJL"))))))))))</f>
        <v>Bæreevne OK</v>
      </c>
      <c r="K11" t="s">
        <v>226</v>
      </c>
      <c r="M11" s="24">
        <f>BG17</f>
        <v>0.71404512281352428</v>
      </c>
      <c r="N11" s="53"/>
      <c r="P11" s="59"/>
      <c r="R11" s="3"/>
      <c r="AC11" s="5"/>
      <c r="AG11" s="107" t="s">
        <v>109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5"/>
      <c r="AW11" t="s">
        <v>213</v>
      </c>
      <c r="BA11" s="2">
        <f>IF(N128="ok",0,1)</f>
        <v>0</v>
      </c>
      <c r="BE11" t="s">
        <v>36</v>
      </c>
      <c r="BG11" s="15">
        <f>AA96/AB96</f>
        <v>0</v>
      </c>
    </row>
    <row r="12" spans="3:64" x14ac:dyDescent="0.25">
      <c r="C12" s="1"/>
      <c r="N12" s="6"/>
      <c r="P12" s="59"/>
      <c r="R12" s="21" t="s">
        <v>11</v>
      </c>
      <c r="AC12" s="6"/>
      <c r="AG12" s="1"/>
      <c r="AN12" s="105"/>
      <c r="AQ12" s="15"/>
      <c r="AS12" s="6"/>
      <c r="AW12" t="s">
        <v>82</v>
      </c>
      <c r="BA12" s="2">
        <f>IF(AC96="ok",0,1)</f>
        <v>0</v>
      </c>
      <c r="BE12" t="s">
        <v>180</v>
      </c>
      <c r="BG12" s="15">
        <f>AA97/AB97</f>
        <v>0.47000000000000008</v>
      </c>
    </row>
    <row r="13" spans="3:64" x14ac:dyDescent="0.25">
      <c r="C13" s="1"/>
      <c r="E13" s="31" t="s">
        <v>281</v>
      </c>
      <c r="G13" s="168" t="s">
        <v>279</v>
      </c>
      <c r="H13" s="168"/>
      <c r="J13" s="100" t="str">
        <f>IF(R13="id","Profilliste skal sættes til Profilliste C","")</f>
        <v/>
      </c>
      <c r="N13" s="6"/>
      <c r="P13" s="59"/>
      <c r="R13" s="85" t="str">
        <f>IF(AND(G15=AO18,G13=AW43),                        AK18,                    (IF(AND(G15=AO19,G13=        AW43),AK19,                      (IF(G13=AW44,AK20,"id")))))</f>
        <v>A</v>
      </c>
      <c r="U13" t="s">
        <v>122</v>
      </c>
      <c r="Y13" t="s">
        <v>20</v>
      </c>
      <c r="AC13" s="6"/>
      <c r="AG13" s="1"/>
      <c r="AH13" s="105" t="s">
        <v>232</v>
      </c>
      <c r="AQ13" s="15"/>
      <c r="AS13" s="6"/>
      <c r="AW13" t="s">
        <v>19</v>
      </c>
      <c r="BA13" s="2">
        <f>IF(AC97="ok",0,1)</f>
        <v>0</v>
      </c>
      <c r="BE13" t="s">
        <v>87</v>
      </c>
      <c r="BG13" s="15">
        <f>AA123/AB123</f>
        <v>0.20750000000000002</v>
      </c>
      <c r="BI13" t="s">
        <v>47</v>
      </c>
    </row>
    <row r="14" spans="3:64" ht="18" x14ac:dyDescent="0.35">
      <c r="C14" s="21" t="s">
        <v>111</v>
      </c>
      <c r="J14" s="38" t="s">
        <v>113</v>
      </c>
      <c r="N14" s="6"/>
      <c r="P14" s="59"/>
      <c r="R14" s="1"/>
      <c r="T14" s="6"/>
      <c r="U14" s="2" t="s">
        <v>22</v>
      </c>
      <c r="V14" s="2" t="s">
        <v>23</v>
      </c>
      <c r="W14" s="2" t="s">
        <v>24</v>
      </c>
      <c r="X14" s="88" t="s">
        <v>25</v>
      </c>
      <c r="Y14" s="14" t="s">
        <v>26</v>
      </c>
      <c r="Z14" s="2" t="s">
        <v>27</v>
      </c>
      <c r="AA14" s="2" t="s">
        <v>28</v>
      </c>
      <c r="AB14" s="54" t="s">
        <v>85</v>
      </c>
      <c r="AC14" s="54" t="s">
        <v>248</v>
      </c>
      <c r="AG14" s="1"/>
      <c r="AH14" t="s">
        <v>114</v>
      </c>
      <c r="AK14" s="119">
        <v>250</v>
      </c>
      <c r="AL14" t="s">
        <v>2</v>
      </c>
      <c r="AQ14" s="142"/>
      <c r="AS14" s="6"/>
      <c r="AW14" t="s">
        <v>214</v>
      </c>
      <c r="BA14" s="2">
        <f>IF(AC123="ok",0,1)</f>
        <v>0</v>
      </c>
      <c r="BE14" t="s">
        <v>172</v>
      </c>
      <c r="BG14" s="15">
        <f>AP111/AQ111</f>
        <v>0.68</v>
      </c>
      <c r="BL14" t="s">
        <v>0</v>
      </c>
    </row>
    <row r="15" spans="3:64" ht="18.75" x14ac:dyDescent="0.35">
      <c r="C15" s="1" t="s">
        <v>110</v>
      </c>
      <c r="F15" t="s">
        <v>13</v>
      </c>
      <c r="G15" s="148">
        <v>0.5</v>
      </c>
      <c r="H15" t="s">
        <v>14</v>
      </c>
      <c r="J15" t="s">
        <v>1</v>
      </c>
      <c r="K15" s="7" t="s">
        <v>241</v>
      </c>
      <c r="L15" s="119">
        <v>280</v>
      </c>
      <c r="M15" s="2" t="s">
        <v>2</v>
      </c>
      <c r="N15" s="6"/>
      <c r="P15" s="59"/>
      <c r="R15" s="16"/>
      <c r="S15" s="10"/>
      <c r="T15" s="11" t="s">
        <v>30</v>
      </c>
      <c r="U15" s="12" t="s">
        <v>2</v>
      </c>
      <c r="V15" s="12" t="s">
        <v>2</v>
      </c>
      <c r="W15" s="12" t="s">
        <v>2</v>
      </c>
      <c r="X15" s="75" t="s">
        <v>8</v>
      </c>
      <c r="Y15" s="39" t="s">
        <v>31</v>
      </c>
      <c r="Z15" s="12" t="s">
        <v>31</v>
      </c>
      <c r="AA15" s="12" t="s">
        <v>32</v>
      </c>
      <c r="AB15" s="54" t="s">
        <v>33</v>
      </c>
      <c r="AC15" s="54" t="s">
        <v>249</v>
      </c>
      <c r="AG15" s="1"/>
      <c r="AH15" t="s">
        <v>115</v>
      </c>
      <c r="AK15" s="119">
        <v>180</v>
      </c>
      <c r="AL15" t="s">
        <v>2</v>
      </c>
      <c r="AS15" s="6"/>
      <c r="AW15" t="s">
        <v>21</v>
      </c>
      <c r="BA15" s="2">
        <f>IF(AR111="ok",0,1)</f>
        <v>0</v>
      </c>
      <c r="BE15" t="s">
        <v>225</v>
      </c>
      <c r="BG15" s="15">
        <f>AQ115/1</f>
        <v>0.69808829791503935</v>
      </c>
    </row>
    <row r="16" spans="3:64" ht="18" x14ac:dyDescent="0.35">
      <c r="C16" s="1"/>
      <c r="F16" s="8" t="s">
        <v>16</v>
      </c>
      <c r="G16" s="119">
        <v>1.5</v>
      </c>
      <c r="J16" t="s">
        <v>3</v>
      </c>
      <c r="K16" s="7" t="s">
        <v>242</v>
      </c>
      <c r="L16" s="119">
        <v>175</v>
      </c>
      <c r="M16" s="2" t="s">
        <v>2</v>
      </c>
      <c r="N16" s="6"/>
      <c r="P16" s="59"/>
      <c r="R16" s="1" t="s">
        <v>34</v>
      </c>
      <c r="T16" s="54" t="s">
        <v>35</v>
      </c>
      <c r="U16" s="9">
        <f>VLOOKUP($R$13,$AK$26:$AN$28,2,FALSE)</f>
        <v>50</v>
      </c>
      <c r="V16" s="9">
        <f>VLOOKUP($R$13,$AK$26:$AN$28,3,FALSE)</f>
        <v>30</v>
      </c>
      <c r="W16" s="18">
        <f>VLOOKUP($R$13,$AK$26:$AN$28,4,FALSE)</f>
        <v>2</v>
      </c>
      <c r="X16" s="87"/>
      <c r="Y16" s="55">
        <f>2*V16*W16+2*(U16-2*W16)*W16</f>
        <v>304</v>
      </c>
      <c r="Z16" s="56">
        <f>Y16*V16/(U16+V16)</f>
        <v>114</v>
      </c>
      <c r="AA16" s="56">
        <f>1/12*U16*V16^3-1/12*(U16-2*W16)*(V16-2*W16)^3</f>
        <v>45125.333333333328</v>
      </c>
      <c r="AB16" s="57">
        <f>2*AA16/V16</f>
        <v>3008.3555555555554</v>
      </c>
      <c r="AC16" s="135">
        <f>Y16/1000*M50/1000*7850/1000</f>
        <v>7.8796384007389575</v>
      </c>
      <c r="AG16" s="1"/>
      <c r="AS16" s="6"/>
      <c r="AW16" t="s">
        <v>86</v>
      </c>
      <c r="BA16" s="2">
        <f>IF(AR115="ok",0,1)</f>
        <v>0</v>
      </c>
      <c r="BE16" t="s">
        <v>116</v>
      </c>
      <c r="BG16" s="15">
        <f>AN127/AP132</f>
        <v>0.64274007604960826</v>
      </c>
    </row>
    <row r="17" spans="3:68" x14ac:dyDescent="0.25">
      <c r="C17" s="1"/>
      <c r="F17" t="s">
        <v>77</v>
      </c>
      <c r="G17" s="24">
        <f>G16*G15</f>
        <v>0.75</v>
      </c>
      <c r="H17" t="s">
        <v>14</v>
      </c>
      <c r="N17" s="6"/>
      <c r="P17" s="59"/>
      <c r="R17" s="1" t="s">
        <v>36</v>
      </c>
      <c r="T17" s="54" t="s">
        <v>37</v>
      </c>
      <c r="U17" s="9">
        <f>VLOOKUP($R$13,$AK$29:$AN$31,2,FALSE)</f>
        <v>12.7</v>
      </c>
      <c r="V17" s="9">
        <f>VLOOKUP($R$13,$AK$29:$AN$31,3,FALSE)</f>
        <v>12.7</v>
      </c>
      <c r="W17" s="9">
        <f>VLOOKUP($R$13,$AK$29:$AN$31,4,FALSE)</f>
        <v>1.25</v>
      </c>
      <c r="X17" s="96">
        <f>L54</f>
        <v>0</v>
      </c>
      <c r="Y17" s="55">
        <f>2*V17*W17+2*(U17-2*W17)*W17</f>
        <v>57.25</v>
      </c>
      <c r="Z17" s="56">
        <f t="shared" ref="Z17:Z20" si="0">Y17*V17/(U17+V17)</f>
        <v>28.625</v>
      </c>
      <c r="AA17" s="56">
        <f t="shared" ref="AA17:AA20" si="1">1/12*U17*V17^3-1/12*(U17-2*W17)*(V17-2*W17)^3</f>
        <v>1265.8452083333332</v>
      </c>
      <c r="AB17" s="58">
        <f>2*AA17/V17</f>
        <v>199.34570209973751</v>
      </c>
      <c r="AC17" s="136">
        <f>Y17/1000*X17*M56/1000*7850/1000</f>
        <v>0</v>
      </c>
      <c r="AG17" s="1"/>
      <c r="AH17" s="10" t="s">
        <v>272</v>
      </c>
      <c r="AI17" s="10"/>
      <c r="AJ17" s="10"/>
      <c r="AK17" s="17"/>
      <c r="AL17" s="10" t="s">
        <v>111</v>
      </c>
      <c r="AM17" s="10"/>
      <c r="AN17" s="10"/>
      <c r="AO17" s="10"/>
      <c r="AP17" s="10"/>
      <c r="AS17" s="6"/>
      <c r="AW17" t="s">
        <v>29</v>
      </c>
      <c r="BA17" s="2">
        <f>IF(AR132="ok",0,1)</f>
        <v>0</v>
      </c>
      <c r="BE17" t="s">
        <v>226</v>
      </c>
      <c r="BG17" s="117">
        <f>LARGE(BG9:BG16,1)</f>
        <v>0.71404512281352428</v>
      </c>
      <c r="BL17" t="s">
        <v>83</v>
      </c>
      <c r="BN17" t="s">
        <v>244</v>
      </c>
    </row>
    <row r="18" spans="3:68" x14ac:dyDescent="0.25">
      <c r="C18" s="1"/>
      <c r="I18" s="2" t="s">
        <v>165</v>
      </c>
      <c r="K18" s="19" t="s">
        <v>56</v>
      </c>
      <c r="L18" s="18">
        <f>DEGREES(ATAN(L16/L15))</f>
        <v>32.005383208083494</v>
      </c>
      <c r="M18" s="20" t="s">
        <v>57</v>
      </c>
      <c r="N18" s="6"/>
      <c r="P18" s="59"/>
      <c r="R18" s="1" t="s">
        <v>179</v>
      </c>
      <c r="T18" s="54" t="s">
        <v>39</v>
      </c>
      <c r="U18" s="9">
        <f>VLOOKUP($R$13,$AK$32:$AN$34,2,FALSE)</f>
        <v>30</v>
      </c>
      <c r="V18" s="9">
        <f>VLOOKUP($R$13,$AK$32:$AN$34,3,FALSE)</f>
        <v>30</v>
      </c>
      <c r="W18" s="18">
        <f>VLOOKUP($R$13,$AK$32:$AN$34,4,FALSE)</f>
        <v>2</v>
      </c>
      <c r="X18" s="96">
        <v>2</v>
      </c>
      <c r="Y18" s="55">
        <f t="shared" ref="Y18:Y20" si="2">2*V18*W18+2*(U18-2*W18)*W18</f>
        <v>224</v>
      </c>
      <c r="Z18" s="56">
        <f t="shared" si="0"/>
        <v>112</v>
      </c>
      <c r="AA18" s="56">
        <f t="shared" si="1"/>
        <v>29418.666666666672</v>
      </c>
      <c r="AB18" s="58">
        <f t="shared" ref="AB18:AB20" si="3">2*AA18/V18</f>
        <v>1961.2444444444448</v>
      </c>
      <c r="AC18" s="136">
        <f>Y18/1000*X18*M56/1000*7850/1000</f>
        <v>3.1029123284152189</v>
      </c>
      <c r="AG18" s="1"/>
      <c r="AH18" t="s">
        <v>273</v>
      </c>
      <c r="AK18" s="140" t="s">
        <v>26</v>
      </c>
      <c r="AL18" t="s">
        <v>274</v>
      </c>
      <c r="AO18" s="141">
        <v>0.5</v>
      </c>
      <c r="AP18" t="s">
        <v>14</v>
      </c>
      <c r="AS18" s="6"/>
      <c r="AW18" t="s">
        <v>40</v>
      </c>
      <c r="BA18" s="36">
        <f>SUM(BA9:BA17)</f>
        <v>0</v>
      </c>
      <c r="BL18" s="2">
        <v>2</v>
      </c>
      <c r="BN18" s="2">
        <v>0</v>
      </c>
    </row>
    <row r="19" spans="3:68" x14ac:dyDescent="0.25">
      <c r="C19" s="21" t="s">
        <v>107</v>
      </c>
      <c r="N19" s="6"/>
      <c r="P19" s="59"/>
      <c r="R19" s="166" t="s">
        <v>270</v>
      </c>
      <c r="S19" s="167"/>
      <c r="T19" s="54" t="s">
        <v>41</v>
      </c>
      <c r="U19" s="9">
        <f xml:space="preserve">    IF($R$19=$AH$35,           VLOOKUP($R$13,$AK$35:$AN$37,2,FALSE), IF($R$19=$AH$38,  VLOOKUP($R$13,$AK$38:$AN$40,2,FALSE),0))</f>
        <v>12.7</v>
      </c>
      <c r="V19" s="9">
        <f xml:space="preserve">    IF($R$19=$AH$35,           VLOOKUP($R$13,$AK$35:$AN$37,3,FALSE), IF($R$19=$AH$38,  VLOOKUP($R$13,$AK$38:$AN$40,3,FALSE),0))</f>
        <v>12.7</v>
      </c>
      <c r="W19" s="9">
        <f xml:space="preserve">    IF($R$19=$AH$35,           VLOOKUP($R$13,$AK$35:$AN$37,4,FALSE), IF($R$19=$AH$38,  VLOOKUP($R$13,$AK$38:$AN$40,4,FALSE),0))</f>
        <v>1.25</v>
      </c>
      <c r="X19" s="85">
        <f>M60</f>
        <v>30</v>
      </c>
      <c r="Y19" s="55">
        <f>IF( R19=AH35,2*V19*W19+2*(U19-2*W19)*W19,PI()/4*(U19^2-(U19-2*W19)^2))</f>
        <v>57.25</v>
      </c>
      <c r="Z19" s="56">
        <f>IF(  R19=AH35,Y19*V19/(U19+V19),2*(U19-W19)*W19)</f>
        <v>28.625</v>
      </c>
      <c r="AA19" s="56">
        <f>IF(R19=AH35,1/12*U19*V19^3-1/12*(U19-2*W19)*(V19-2*W19)^3,PI()/64*(U19^4-(U19-2*W19)^4))</f>
        <v>1265.8452083333332</v>
      </c>
      <c r="AB19" s="58">
        <f>IF(R19=AH35,               2*AA19/V19,                   PI()/32*((U19^4-(U19-2*W19)^4)/U19))</f>
        <v>199.34570209973751</v>
      </c>
      <c r="AC19" s="136">
        <f>Y19/1000*X19*M56/1000*7850/1000</f>
        <v>11.895651616190044</v>
      </c>
      <c r="AG19" s="1"/>
      <c r="AH19" t="s">
        <v>273</v>
      </c>
      <c r="AK19" s="140" t="s">
        <v>275</v>
      </c>
      <c r="AL19" t="s">
        <v>274</v>
      </c>
      <c r="AO19" s="141">
        <v>1</v>
      </c>
      <c r="AP19" t="s">
        <v>14</v>
      </c>
      <c r="AS19" s="6"/>
      <c r="BL19" s="2">
        <v>3</v>
      </c>
      <c r="BN19" s="2">
        <v>1</v>
      </c>
    </row>
    <row r="20" spans="3:68" x14ac:dyDescent="0.25">
      <c r="C20" s="1"/>
      <c r="N20" s="6"/>
      <c r="P20" s="59"/>
      <c r="R20" s="1" t="s">
        <v>172</v>
      </c>
      <c r="T20" s="54" t="s">
        <v>42</v>
      </c>
      <c r="U20" s="9">
        <f>VLOOKUP($R$13,$AK$41:$AN$43,2,FALSE)</f>
        <v>60</v>
      </c>
      <c r="V20" s="9">
        <f>VLOOKUP($R$13,$AK$41:$AN$43,3,FALSE)</f>
        <v>30</v>
      </c>
      <c r="W20" s="18">
        <f>VLOOKUP($R$13,$AK$41:$AN$43,4,FALSE)</f>
        <v>2</v>
      </c>
      <c r="X20" s="85">
        <f>G54</f>
        <v>3</v>
      </c>
      <c r="Y20" s="55">
        <f t="shared" si="2"/>
        <v>344</v>
      </c>
      <c r="Z20" s="56">
        <f t="shared" si="0"/>
        <v>114.66666666666667</v>
      </c>
      <c r="AA20" s="56">
        <f t="shared" si="1"/>
        <v>52978.666666666672</v>
      </c>
      <c r="AB20" s="58">
        <f t="shared" si="3"/>
        <v>3531.9111111111115</v>
      </c>
      <c r="AC20" s="93">
        <f>Y20/1000*X20*(G62-M56+G63)/1000*7850/1000</f>
        <v>4.582757414900656</v>
      </c>
      <c r="AG20" s="1"/>
      <c r="AH20" t="s">
        <v>276</v>
      </c>
      <c r="AK20" s="140" t="s">
        <v>277</v>
      </c>
      <c r="AO20" s="142"/>
      <c r="AS20" s="6"/>
      <c r="BL20" s="2">
        <v>4</v>
      </c>
      <c r="BN20" s="2">
        <v>2</v>
      </c>
      <c r="BP20" s="15"/>
    </row>
    <row r="21" spans="3:68" x14ac:dyDescent="0.25">
      <c r="C21" s="1"/>
      <c r="N21" s="6"/>
      <c r="P21" s="59"/>
      <c r="R21" s="1" t="s">
        <v>245</v>
      </c>
      <c r="T21" s="2"/>
      <c r="U21" s="1"/>
      <c r="V21" s="9">
        <f>IF(W21=0,0,V20-2*W20)</f>
        <v>0</v>
      </c>
      <c r="W21" s="18">
        <f>VLOOKUP($R$13,$AK$44:$AN$46,4,FALSE)</f>
        <v>0</v>
      </c>
      <c r="X21" s="85">
        <f>IF(W21=0,0,2)</f>
        <v>0</v>
      </c>
      <c r="Y21" s="85">
        <f>X21*V21*W21</f>
        <v>0</v>
      </c>
      <c r="Z21" s="134"/>
      <c r="AA21" s="56">
        <f>X21*1/12*W21*V21^3</f>
        <v>0</v>
      </c>
      <c r="AB21" s="58"/>
      <c r="AC21" s="93">
        <f>Y21/1000*X21*(G63-M57+G64)/1000*7850/1000</f>
        <v>0</v>
      </c>
      <c r="AG21" s="1"/>
      <c r="AL21" t="s">
        <v>278</v>
      </c>
      <c r="AO21" s="147">
        <v>3</v>
      </c>
      <c r="AP21" t="s">
        <v>14</v>
      </c>
      <c r="AS21" s="6"/>
      <c r="BL21" s="2">
        <v>5</v>
      </c>
      <c r="BN21" s="2">
        <v>3</v>
      </c>
      <c r="BP21" s="15"/>
    </row>
    <row r="22" spans="3:68" x14ac:dyDescent="0.25">
      <c r="C22" s="1"/>
      <c r="N22" s="6"/>
      <c r="P22" s="59"/>
      <c r="R22" s="89" t="s">
        <v>181</v>
      </c>
      <c r="T22" s="2" t="s">
        <v>44</v>
      </c>
      <c r="U22" s="85">
        <f>VLOOKUP($R$13,$AK$47:$AN$49,2,FALSE)</f>
        <v>50</v>
      </c>
      <c r="V22" s="9">
        <f>VLOOKUP($R$13,$AK$47:$AN$49,3,FALSE)</f>
        <v>20</v>
      </c>
      <c r="W22" s="18">
        <f>VLOOKUP($R$13,$AK$47:$AN$49,4,FALSE)</f>
        <v>2</v>
      </c>
      <c r="X22" s="1"/>
      <c r="Y22" s="1"/>
      <c r="AB22" s="6"/>
      <c r="AC22" s="6"/>
      <c r="AG22" s="1"/>
      <c r="AS22" s="6"/>
      <c r="BI22" t="s">
        <v>216</v>
      </c>
      <c r="BP22" s="15"/>
    </row>
    <row r="23" spans="3:68" x14ac:dyDescent="0.25">
      <c r="C23" s="1"/>
      <c r="N23" s="6"/>
      <c r="P23" s="59"/>
      <c r="R23" s="112" t="s">
        <v>182</v>
      </c>
      <c r="S23" s="111"/>
      <c r="T23" s="113"/>
      <c r="U23" s="114">
        <f>VLOOKUP($R$13,$AK$50:$AN$52,2,FALSE)</f>
        <v>42.4</v>
      </c>
      <c r="V23" s="114" t="str">
        <f>VLOOKUP($R$13,$AK$50:$AN$52,3,FALSE)</f>
        <v>rør:</v>
      </c>
      <c r="W23" s="114">
        <f>VLOOKUP($R$13,$AK$50:$AN$52,4,FALSE)</f>
        <v>4.05</v>
      </c>
      <c r="X23" s="115"/>
      <c r="Y23" s="116"/>
      <c r="Z23" s="111"/>
      <c r="AA23" s="10"/>
      <c r="AB23" s="17"/>
      <c r="AC23" s="72"/>
      <c r="AG23" s="1"/>
      <c r="AR23" s="2"/>
      <c r="AS23" s="6"/>
      <c r="BC23" s="7"/>
      <c r="BD23" s="2"/>
    </row>
    <row r="24" spans="3:68" x14ac:dyDescent="0.25">
      <c r="C24" s="1"/>
      <c r="N24" s="6"/>
      <c r="P24" s="59"/>
      <c r="R24" s="1"/>
      <c r="AC24" s="136">
        <f>SUM(AC16:AC23)</f>
        <v>27.460959760244876</v>
      </c>
      <c r="AG24" s="1"/>
      <c r="AH24" s="105" t="s">
        <v>234</v>
      </c>
      <c r="AL24" s="2" t="s">
        <v>22</v>
      </c>
      <c r="AM24" s="2" t="s">
        <v>23</v>
      </c>
      <c r="AN24" s="2" t="s">
        <v>24</v>
      </c>
      <c r="AR24" s="2"/>
      <c r="AS24" s="6"/>
      <c r="BI24" t="s">
        <v>231</v>
      </c>
    </row>
    <row r="25" spans="3:68" x14ac:dyDescent="0.25">
      <c r="C25" s="1"/>
      <c r="N25" s="6"/>
      <c r="P25" s="59"/>
      <c r="R25" s="21" t="s">
        <v>254</v>
      </c>
      <c r="AC25" s="6"/>
      <c r="AG25" s="1"/>
      <c r="AK25" s="75" t="s">
        <v>282</v>
      </c>
      <c r="AL25" s="12" t="s">
        <v>2</v>
      </c>
      <c r="AM25" s="12" t="s">
        <v>2</v>
      </c>
      <c r="AN25" s="2" t="s">
        <v>2</v>
      </c>
      <c r="AR25" s="2"/>
      <c r="AS25" s="6"/>
      <c r="BJ25" s="2">
        <f t="shared" ref="BJ25:BJ42" si="4">BK25*$L$15</f>
        <v>840</v>
      </c>
      <c r="BK25" s="2">
        <v>3</v>
      </c>
      <c r="BL25" s="1"/>
    </row>
    <row r="26" spans="3:68" x14ac:dyDescent="0.25">
      <c r="C26" s="1"/>
      <c r="N26" s="6"/>
      <c r="P26" s="59"/>
      <c r="R26" s="1"/>
      <c r="T26" s="89" t="s">
        <v>252</v>
      </c>
      <c r="W26" s="89" t="s">
        <v>253</v>
      </c>
      <c r="Z26" s="1" t="s">
        <v>209</v>
      </c>
      <c r="AC26" s="6"/>
      <c r="AG26" s="1"/>
      <c r="AH26" t="s">
        <v>34</v>
      </c>
      <c r="AJ26" t="s">
        <v>35</v>
      </c>
      <c r="AK26" s="108" t="str">
        <f>$AK$18</f>
        <v>A</v>
      </c>
      <c r="AL26" s="126">
        <v>50</v>
      </c>
      <c r="AM26" s="126">
        <v>30</v>
      </c>
      <c r="AN26" s="110">
        <v>2</v>
      </c>
      <c r="AO26" s="4" t="s">
        <v>233</v>
      </c>
      <c r="AS26" s="6"/>
      <c r="BJ26" s="2">
        <f t="shared" si="4"/>
        <v>1120</v>
      </c>
      <c r="BK26" s="2">
        <f t="shared" ref="BK26:BK42" si="5">BK25+1</f>
        <v>4</v>
      </c>
      <c r="BL26" s="1"/>
    </row>
    <row r="27" spans="3:68" x14ac:dyDescent="0.25">
      <c r="C27" s="1"/>
      <c r="N27" s="6"/>
      <c r="P27" s="59"/>
      <c r="R27" s="1"/>
      <c r="T27" s="137" t="s">
        <v>17</v>
      </c>
      <c r="U27" s="119">
        <v>220</v>
      </c>
      <c r="V27" t="s">
        <v>18</v>
      </c>
      <c r="W27" s="137" t="s">
        <v>17</v>
      </c>
      <c r="X27" s="119">
        <v>235</v>
      </c>
      <c r="Y27" t="s">
        <v>18</v>
      </c>
      <c r="Z27" s="23" t="s">
        <v>95</v>
      </c>
      <c r="AA27" s="119">
        <v>30</v>
      </c>
      <c r="AB27" s="2" t="s">
        <v>18</v>
      </c>
      <c r="AC27" s="6"/>
      <c r="AG27" s="1"/>
      <c r="AK27" s="108" t="str">
        <f>$AK$19</f>
        <v>B</v>
      </c>
      <c r="AL27" s="126">
        <v>50</v>
      </c>
      <c r="AM27" s="126">
        <v>30</v>
      </c>
      <c r="AN27" s="126">
        <v>2</v>
      </c>
      <c r="AO27" t="s">
        <v>233</v>
      </c>
      <c r="AS27" s="6"/>
      <c r="AX27" s="105" t="s">
        <v>12</v>
      </c>
      <c r="BJ27" s="2">
        <f t="shared" si="4"/>
        <v>1400</v>
      </c>
      <c r="BK27" s="2">
        <f t="shared" si="5"/>
        <v>5</v>
      </c>
      <c r="BL27" s="1"/>
    </row>
    <row r="28" spans="3:68" x14ac:dyDescent="0.25">
      <c r="C28" s="1"/>
      <c r="N28" s="6"/>
      <c r="P28" s="59"/>
      <c r="R28" s="1"/>
      <c r="T28" s="22" t="s">
        <v>15</v>
      </c>
      <c r="U28" s="119">
        <v>1.1000000000000001</v>
      </c>
      <c r="W28" s="22" t="s">
        <v>15</v>
      </c>
      <c r="X28" s="139">
        <f>U28</f>
        <v>1.1000000000000001</v>
      </c>
      <c r="Z28" s="22" t="s">
        <v>96</v>
      </c>
      <c r="AA28" s="119">
        <v>1.4</v>
      </c>
      <c r="AC28" s="6"/>
      <c r="AG28" s="1"/>
      <c r="AH28" s="10"/>
      <c r="AI28" s="10"/>
      <c r="AJ28" s="10"/>
      <c r="AK28" s="109" t="str">
        <f>$AK$20</f>
        <v>C</v>
      </c>
      <c r="AL28" s="120">
        <v>30</v>
      </c>
      <c r="AM28" s="120">
        <v>30</v>
      </c>
      <c r="AN28" s="119">
        <v>2</v>
      </c>
      <c r="AS28" s="6"/>
      <c r="AX28" t="s">
        <v>217</v>
      </c>
      <c r="BJ28" s="2">
        <f t="shared" si="4"/>
        <v>1680</v>
      </c>
      <c r="BK28" s="2">
        <f t="shared" si="5"/>
        <v>6</v>
      </c>
      <c r="BL28" s="1"/>
    </row>
    <row r="29" spans="3:68" x14ac:dyDescent="0.25">
      <c r="C29" s="1"/>
      <c r="N29" s="6"/>
      <c r="P29" s="59"/>
      <c r="R29" s="1"/>
      <c r="T29" s="23" t="s">
        <v>208</v>
      </c>
      <c r="U29" s="26">
        <f>U27/U28</f>
        <v>199.99999999999997</v>
      </c>
      <c r="V29" t="s">
        <v>18</v>
      </c>
      <c r="W29" s="23" t="s">
        <v>208</v>
      </c>
      <c r="X29" s="26">
        <f>X27/X28</f>
        <v>213.63636363636363</v>
      </c>
      <c r="Y29" t="s">
        <v>18</v>
      </c>
      <c r="Z29" s="23" t="s">
        <v>210</v>
      </c>
      <c r="AA29" s="18">
        <f>AA27/AA28</f>
        <v>21.428571428571431</v>
      </c>
      <c r="AB29" s="2" t="s">
        <v>18</v>
      </c>
      <c r="AC29" s="6"/>
      <c r="AG29" s="1"/>
      <c r="AH29" t="s">
        <v>36</v>
      </c>
      <c r="AJ29" t="s">
        <v>37</v>
      </c>
      <c r="AK29" s="108" t="str">
        <f>$AK$18</f>
        <v>A</v>
      </c>
      <c r="AL29" s="126">
        <v>12.7</v>
      </c>
      <c r="AM29" s="126">
        <v>12.7</v>
      </c>
      <c r="AN29" s="110">
        <v>1.25</v>
      </c>
      <c r="AO29" s="4" t="s">
        <v>233</v>
      </c>
      <c r="AS29" s="6"/>
      <c r="AX29" t="s">
        <v>218</v>
      </c>
      <c r="BJ29" s="2">
        <f t="shared" si="4"/>
        <v>1960</v>
      </c>
      <c r="BK29" s="2">
        <f t="shared" si="5"/>
        <v>7</v>
      </c>
      <c r="BL29" s="1"/>
    </row>
    <row r="30" spans="3:68" x14ac:dyDescent="0.25">
      <c r="C30" s="1"/>
      <c r="N30" s="6"/>
      <c r="P30" s="59"/>
      <c r="R30" s="1"/>
      <c r="AC30" s="6"/>
      <c r="AG30" s="1"/>
      <c r="AK30" s="108" t="str">
        <f>$AK$19</f>
        <v>B</v>
      </c>
      <c r="AL30" s="127">
        <v>30</v>
      </c>
      <c r="AM30" s="127">
        <v>30</v>
      </c>
      <c r="AN30" s="127">
        <v>2</v>
      </c>
      <c r="AO30" t="s">
        <v>233</v>
      </c>
      <c r="AS30" s="6"/>
      <c r="AX30" t="s">
        <v>283</v>
      </c>
      <c r="BE30" t="str">
        <f>AH35</f>
        <v>Balustre:</v>
      </c>
      <c r="BJ30" s="2">
        <f t="shared" si="4"/>
        <v>2240</v>
      </c>
      <c r="BK30" s="2">
        <f t="shared" si="5"/>
        <v>8</v>
      </c>
      <c r="BL30" s="1"/>
    </row>
    <row r="31" spans="3:68" x14ac:dyDescent="0.25">
      <c r="C31" s="1"/>
      <c r="N31" s="6"/>
      <c r="P31" s="59"/>
      <c r="R31" s="21" t="s">
        <v>128</v>
      </c>
      <c r="AC31" s="6"/>
      <c r="AG31" s="1"/>
      <c r="AJ31" s="10"/>
      <c r="AK31" s="109" t="str">
        <f>$AK$20</f>
        <v>C</v>
      </c>
      <c r="AL31" s="121">
        <v>30</v>
      </c>
      <c r="AM31" s="121">
        <v>30</v>
      </c>
      <c r="AN31" s="122">
        <v>2</v>
      </c>
      <c r="AS31" s="6"/>
      <c r="BE31" t="str">
        <f>AH38</f>
        <v>Balustre rør:</v>
      </c>
      <c r="BJ31" s="2">
        <f t="shared" si="4"/>
        <v>2520</v>
      </c>
      <c r="BK31" s="2">
        <f t="shared" si="5"/>
        <v>9</v>
      </c>
      <c r="BL31" s="1"/>
    </row>
    <row r="32" spans="3:68" x14ac:dyDescent="0.25">
      <c r="C32" s="1"/>
      <c r="N32" s="6"/>
      <c r="P32" s="59"/>
      <c r="R32" s="1"/>
      <c r="AC32" s="6"/>
      <c r="AG32" s="1"/>
      <c r="AH32" s="4" t="s">
        <v>179</v>
      </c>
      <c r="AI32" s="4"/>
      <c r="AJ32" t="s">
        <v>39</v>
      </c>
      <c r="AK32" s="108" t="str">
        <f>$AK$18</f>
        <v>A</v>
      </c>
      <c r="AL32" s="126">
        <v>30</v>
      </c>
      <c r="AM32" s="126">
        <v>30</v>
      </c>
      <c r="AN32" s="110">
        <v>2</v>
      </c>
      <c r="AO32" s="4" t="s">
        <v>233</v>
      </c>
      <c r="AS32" s="6"/>
      <c r="BJ32" s="2">
        <f t="shared" si="4"/>
        <v>2800</v>
      </c>
      <c r="BK32" s="2">
        <f t="shared" si="5"/>
        <v>10</v>
      </c>
      <c r="BL32" s="1"/>
    </row>
    <row r="33" spans="3:69" ht="18" x14ac:dyDescent="0.35">
      <c r="C33" s="1"/>
      <c r="N33" s="6"/>
      <c r="P33" s="59"/>
      <c r="R33" s="1"/>
      <c r="AC33" s="6"/>
      <c r="AG33" s="1"/>
      <c r="AK33" s="108" t="str">
        <f>$AK$19</f>
        <v>B</v>
      </c>
      <c r="AL33" s="126">
        <v>50</v>
      </c>
      <c r="AM33" s="126">
        <v>30</v>
      </c>
      <c r="AN33" s="126">
        <v>2</v>
      </c>
      <c r="AO33" t="s">
        <v>233</v>
      </c>
      <c r="AS33" s="6"/>
      <c r="BJ33" s="2">
        <f t="shared" si="4"/>
        <v>3080</v>
      </c>
      <c r="BK33" s="2">
        <f t="shared" si="5"/>
        <v>11</v>
      </c>
      <c r="BL33" s="1"/>
      <c r="BO33" t="s">
        <v>206</v>
      </c>
      <c r="BP33" s="26">
        <f>T57*COS($L$18*PI()/180)*1000</f>
        <v>2332.8748085652123</v>
      </c>
      <c r="BQ33" t="s">
        <v>2</v>
      </c>
    </row>
    <row r="34" spans="3:69" x14ac:dyDescent="0.25">
      <c r="C34" s="1"/>
      <c r="N34" s="6"/>
      <c r="P34" s="59"/>
      <c r="R34" s="1"/>
      <c r="AC34" s="6"/>
      <c r="AG34" s="1"/>
      <c r="AH34" s="10"/>
      <c r="AI34" s="10"/>
      <c r="AJ34" s="10"/>
      <c r="AK34" s="109" t="str">
        <f>$AK$20</f>
        <v>C</v>
      </c>
      <c r="AL34" s="120">
        <v>30</v>
      </c>
      <c r="AM34" s="120">
        <v>30</v>
      </c>
      <c r="AN34" s="120">
        <v>2</v>
      </c>
      <c r="AS34" s="6"/>
      <c r="BJ34" s="2">
        <f t="shared" si="4"/>
        <v>3360</v>
      </c>
      <c r="BK34" s="2">
        <f t="shared" si="5"/>
        <v>12</v>
      </c>
      <c r="BL34" s="1"/>
    </row>
    <row r="35" spans="3:69" x14ac:dyDescent="0.25">
      <c r="C35" s="1"/>
      <c r="N35" s="6"/>
      <c r="P35" s="59"/>
      <c r="R35" s="1"/>
      <c r="AC35" s="6"/>
      <c r="AG35" s="1"/>
      <c r="AH35" s="146" t="s">
        <v>270</v>
      </c>
      <c r="AJ35" t="s">
        <v>41</v>
      </c>
      <c r="AK35" s="108" t="str">
        <f>$AK$18</f>
        <v>A</v>
      </c>
      <c r="AL35" s="126">
        <v>12.7</v>
      </c>
      <c r="AM35" s="126">
        <v>12.7</v>
      </c>
      <c r="AN35" s="126">
        <v>1.25</v>
      </c>
      <c r="AO35" s="4" t="s">
        <v>233</v>
      </c>
      <c r="AS35" s="6"/>
      <c r="BJ35" s="2">
        <f t="shared" si="4"/>
        <v>3640</v>
      </c>
      <c r="BK35" s="2">
        <f t="shared" si="5"/>
        <v>13</v>
      </c>
      <c r="BL35" s="1"/>
    </row>
    <row r="36" spans="3:69" x14ac:dyDescent="0.25">
      <c r="C36" s="1"/>
      <c r="N36" s="6"/>
      <c r="P36" s="59"/>
      <c r="R36" s="1"/>
      <c r="AC36" s="6"/>
      <c r="AG36" s="1"/>
      <c r="AK36" s="108" t="str">
        <f>$AK$19</f>
        <v>B</v>
      </c>
      <c r="AL36" s="126">
        <v>15</v>
      </c>
      <c r="AM36" s="126">
        <v>15</v>
      </c>
      <c r="AN36" s="126">
        <v>1.5</v>
      </c>
      <c r="AO36" t="s">
        <v>233</v>
      </c>
      <c r="AS36" s="6"/>
      <c r="BJ36" s="2">
        <f t="shared" si="4"/>
        <v>3920</v>
      </c>
      <c r="BK36" s="2">
        <f t="shared" si="5"/>
        <v>14</v>
      </c>
      <c r="BL36" s="1"/>
    </row>
    <row r="37" spans="3:69" x14ac:dyDescent="0.25">
      <c r="C37" s="1"/>
      <c r="N37" s="6"/>
      <c r="P37" s="59"/>
      <c r="R37" s="1"/>
      <c r="AC37" s="6"/>
      <c r="AG37" s="1"/>
      <c r="AH37" s="10"/>
      <c r="AI37" s="10"/>
      <c r="AJ37" s="10"/>
      <c r="AK37" s="109" t="str">
        <f>$AK$20</f>
        <v>C</v>
      </c>
      <c r="AL37" s="120">
        <v>10</v>
      </c>
      <c r="AM37" s="120">
        <v>30</v>
      </c>
      <c r="AN37" s="120">
        <v>1.5</v>
      </c>
      <c r="AO37" s="10"/>
      <c r="AS37" s="6"/>
      <c r="BJ37" s="2">
        <f t="shared" si="4"/>
        <v>4200</v>
      </c>
      <c r="BK37" s="2">
        <f t="shared" si="5"/>
        <v>15</v>
      </c>
      <c r="BL37" s="1"/>
    </row>
    <row r="38" spans="3:69" x14ac:dyDescent="0.25">
      <c r="C38" s="1"/>
      <c r="N38" s="6"/>
      <c r="P38" s="59"/>
      <c r="R38" s="1"/>
      <c r="AC38" s="6"/>
      <c r="AG38" s="1"/>
      <c r="AH38" s="146" t="s">
        <v>271</v>
      </c>
      <c r="AI38" s="146"/>
      <c r="AJ38" t="s">
        <v>41</v>
      </c>
      <c r="AK38" s="108" t="str">
        <f>$AK$18</f>
        <v>A</v>
      </c>
      <c r="AL38" s="126">
        <v>13</v>
      </c>
      <c r="AM38" s="128" t="s">
        <v>45</v>
      </c>
      <c r="AN38" s="126">
        <v>1.5</v>
      </c>
      <c r="AO38" s="4" t="s">
        <v>233</v>
      </c>
      <c r="AS38" s="6"/>
      <c r="BJ38" s="2">
        <f t="shared" si="4"/>
        <v>4480</v>
      </c>
      <c r="BK38" s="2">
        <f t="shared" si="5"/>
        <v>16</v>
      </c>
      <c r="BL38" s="1"/>
    </row>
    <row r="39" spans="3:69" x14ac:dyDescent="0.25">
      <c r="C39" s="1"/>
      <c r="N39" s="6"/>
      <c r="P39" s="59"/>
      <c r="R39" s="1"/>
      <c r="AC39" s="6"/>
      <c r="AG39" s="1"/>
      <c r="AK39" s="108" t="str">
        <f>$AK$19</f>
        <v>B</v>
      </c>
      <c r="AL39" s="126">
        <v>13</v>
      </c>
      <c r="AM39" s="128" t="s">
        <v>45</v>
      </c>
      <c r="AN39" s="126">
        <v>1.5</v>
      </c>
      <c r="AO39" t="s">
        <v>233</v>
      </c>
      <c r="AS39" s="6"/>
      <c r="BD39" s="15">
        <f>AO18</f>
        <v>0.5</v>
      </c>
      <c r="BJ39" s="2">
        <f t="shared" si="4"/>
        <v>4760</v>
      </c>
      <c r="BK39" s="2">
        <f t="shared" si="5"/>
        <v>17</v>
      </c>
      <c r="BL39" s="1"/>
    </row>
    <row r="40" spans="3:69" x14ac:dyDescent="0.25">
      <c r="C40" s="1"/>
      <c r="N40" s="6"/>
      <c r="P40" s="59"/>
      <c r="R40" s="1"/>
      <c r="AC40" s="6"/>
      <c r="AG40" s="1"/>
      <c r="AH40" s="10"/>
      <c r="AI40" s="10"/>
      <c r="AJ40" s="10"/>
      <c r="AK40" s="109" t="str">
        <f>$AK$20</f>
        <v>C</v>
      </c>
      <c r="AL40" s="120">
        <v>13</v>
      </c>
      <c r="AM40" s="145" t="s">
        <v>45</v>
      </c>
      <c r="AN40" s="123">
        <v>1.5</v>
      </c>
      <c r="AO40" s="10"/>
      <c r="AS40" s="6"/>
      <c r="BD40" s="15">
        <f>AO19</f>
        <v>1</v>
      </c>
      <c r="BJ40" s="2">
        <f t="shared" si="4"/>
        <v>5040</v>
      </c>
      <c r="BK40" s="2">
        <f t="shared" si="5"/>
        <v>18</v>
      </c>
      <c r="BL40" s="1"/>
    </row>
    <row r="41" spans="3:69" x14ac:dyDescent="0.25">
      <c r="C41" s="1"/>
      <c r="N41" s="6"/>
      <c r="P41" s="59"/>
      <c r="R41" s="1"/>
      <c r="AC41" s="6"/>
      <c r="AG41" s="1"/>
      <c r="AH41" t="s">
        <v>172</v>
      </c>
      <c r="AJ41" t="s">
        <v>42</v>
      </c>
      <c r="AK41" s="143" t="s">
        <v>26</v>
      </c>
      <c r="AL41" s="126">
        <v>60</v>
      </c>
      <c r="AM41" s="126">
        <v>30</v>
      </c>
      <c r="AN41" s="126">
        <v>2</v>
      </c>
      <c r="AO41" t="s">
        <v>233</v>
      </c>
      <c r="AS41" s="6"/>
      <c r="BD41" s="15">
        <f>AO21</f>
        <v>3</v>
      </c>
      <c r="BJ41" s="2">
        <f t="shared" si="4"/>
        <v>5320</v>
      </c>
      <c r="BK41" s="2">
        <f t="shared" si="5"/>
        <v>19</v>
      </c>
      <c r="BL41" s="1" t="s">
        <v>228</v>
      </c>
    </row>
    <row r="42" spans="3:69" x14ac:dyDescent="0.25">
      <c r="C42" s="1"/>
      <c r="N42" s="6"/>
      <c r="P42" s="59"/>
      <c r="R42" s="1"/>
      <c r="AC42" s="6"/>
      <c r="AG42" s="1"/>
      <c r="AK42" s="143" t="s">
        <v>275</v>
      </c>
      <c r="AL42" s="126">
        <v>60</v>
      </c>
      <c r="AM42" s="126">
        <v>30</v>
      </c>
      <c r="AN42" s="126">
        <v>3</v>
      </c>
      <c r="AO42" t="s">
        <v>233</v>
      </c>
      <c r="AS42" s="6"/>
      <c r="BJ42" s="2">
        <f t="shared" si="4"/>
        <v>5600</v>
      </c>
      <c r="BK42" s="2">
        <f t="shared" si="5"/>
        <v>20</v>
      </c>
      <c r="BL42" s="16">
        <f>VLOOKUP(G50,BJ25:BJ42,1,TRUE)</f>
        <v>2800</v>
      </c>
      <c r="BM42" t="s">
        <v>2</v>
      </c>
    </row>
    <row r="43" spans="3:69" x14ac:dyDescent="0.25">
      <c r="C43" s="1"/>
      <c r="N43" s="6"/>
      <c r="P43" s="59"/>
      <c r="R43" s="1"/>
      <c r="AC43" s="6"/>
      <c r="AG43" s="1"/>
      <c r="AK43" s="144" t="s">
        <v>277</v>
      </c>
      <c r="AL43" s="119">
        <v>60</v>
      </c>
      <c r="AM43" s="119">
        <v>30</v>
      </c>
      <c r="AN43" s="119">
        <v>2</v>
      </c>
      <c r="AS43" s="6"/>
      <c r="AW43" t="s">
        <v>279</v>
      </c>
    </row>
    <row r="44" spans="3:69" x14ac:dyDescent="0.25">
      <c r="C44" s="1"/>
      <c r="N44" s="6"/>
      <c r="P44" s="59"/>
      <c r="R44" s="1"/>
      <c r="AC44" s="6"/>
      <c r="AG44" s="1"/>
      <c r="AH44" s="4" t="s">
        <v>245</v>
      </c>
      <c r="AI44" s="4"/>
      <c r="AJ44" s="4"/>
      <c r="AK44" s="143" t="s">
        <v>26</v>
      </c>
      <c r="AL44" s="4"/>
      <c r="AM44" s="4"/>
      <c r="AN44" s="110">
        <v>0</v>
      </c>
      <c r="AO44" s="4" t="s">
        <v>233</v>
      </c>
      <c r="AS44" s="6"/>
      <c r="AW44" t="s">
        <v>280</v>
      </c>
    </row>
    <row r="45" spans="3:69" x14ac:dyDescent="0.25">
      <c r="C45" s="1"/>
      <c r="N45" s="6"/>
      <c r="P45" s="59"/>
      <c r="R45" s="1"/>
      <c r="AC45" s="6"/>
      <c r="AG45" s="1"/>
      <c r="AK45" s="143" t="s">
        <v>275</v>
      </c>
      <c r="AN45" s="126">
        <v>0</v>
      </c>
      <c r="AO45" t="s">
        <v>233</v>
      </c>
      <c r="AS45" s="6"/>
    </row>
    <row r="46" spans="3:69" x14ac:dyDescent="0.25">
      <c r="C46" s="1"/>
      <c r="N46" s="6"/>
      <c r="P46" s="59"/>
      <c r="R46" s="1"/>
      <c r="AC46" s="6"/>
      <c r="AG46" s="1"/>
      <c r="AH46" s="10"/>
      <c r="AI46" s="10"/>
      <c r="AJ46" s="10"/>
      <c r="AK46" s="144" t="s">
        <v>277</v>
      </c>
      <c r="AL46" s="10"/>
      <c r="AM46" s="10"/>
      <c r="AN46" s="133">
        <v>0</v>
      </c>
      <c r="AO46" s="10"/>
      <c r="AS46" s="6"/>
    </row>
    <row r="47" spans="3:69" x14ac:dyDescent="0.25">
      <c r="C47" s="1"/>
      <c r="O47" s="1"/>
      <c r="P47" s="59"/>
      <c r="R47" s="1"/>
      <c r="AC47" s="6"/>
      <c r="AG47" s="1"/>
      <c r="AH47" s="31" t="s">
        <v>181</v>
      </c>
      <c r="AJ47" t="s">
        <v>44</v>
      </c>
      <c r="AK47" s="143" t="s">
        <v>26</v>
      </c>
      <c r="AL47" s="128">
        <v>50</v>
      </c>
      <c r="AM47" s="126">
        <v>20</v>
      </c>
      <c r="AN47" s="126">
        <v>2</v>
      </c>
      <c r="AO47" t="s">
        <v>233</v>
      </c>
      <c r="AS47" s="6"/>
    </row>
    <row r="48" spans="3:69" x14ac:dyDescent="0.25">
      <c r="C48" s="21" t="s">
        <v>112</v>
      </c>
      <c r="O48" s="1"/>
      <c r="P48" s="59"/>
      <c r="R48" s="1"/>
      <c r="AC48" s="6"/>
      <c r="AG48" s="1"/>
      <c r="AK48" s="143" t="s">
        <v>275</v>
      </c>
      <c r="AL48" s="128">
        <v>50</v>
      </c>
      <c r="AM48" s="126">
        <v>20</v>
      </c>
      <c r="AN48" s="126">
        <v>2</v>
      </c>
      <c r="AO48" t="s">
        <v>233</v>
      </c>
      <c r="AS48" s="6"/>
    </row>
    <row r="49" spans="3:66" x14ac:dyDescent="0.25">
      <c r="C49" s="1"/>
      <c r="O49" s="1"/>
      <c r="P49" s="59"/>
      <c r="R49" s="21" t="s">
        <v>124</v>
      </c>
      <c r="AC49" s="6"/>
      <c r="AG49" s="1"/>
      <c r="AH49" s="10"/>
      <c r="AI49" s="10"/>
      <c r="AJ49" s="10"/>
      <c r="AK49" s="144" t="s">
        <v>277</v>
      </c>
      <c r="AL49" s="123">
        <v>50</v>
      </c>
      <c r="AM49" s="120">
        <v>20</v>
      </c>
      <c r="AN49" s="120">
        <v>2</v>
      </c>
      <c r="AO49" s="10"/>
      <c r="AS49" s="6"/>
      <c r="AW49" s="104"/>
    </row>
    <row r="50" spans="3:66" ht="18" x14ac:dyDescent="0.35">
      <c r="C50" s="1" t="s">
        <v>4</v>
      </c>
      <c r="F50" s="7" t="s">
        <v>75</v>
      </c>
      <c r="G50" s="119">
        <v>2800</v>
      </c>
      <c r="H50" s="2" t="s">
        <v>2</v>
      </c>
      <c r="I50" t="s">
        <v>120</v>
      </c>
      <c r="L50" t="s">
        <v>205</v>
      </c>
      <c r="M50" s="26">
        <f>G50/(COS($L$18*PI()/180))</f>
        <v>3301.8933962198112</v>
      </c>
      <c r="N50" s="6" t="s">
        <v>2</v>
      </c>
      <c r="P50" s="59"/>
      <c r="R50" s="1" t="s">
        <v>142</v>
      </c>
      <c r="AC50" s="6"/>
      <c r="AG50" s="1"/>
      <c r="AH50" s="31" t="s">
        <v>182</v>
      </c>
      <c r="AI50" s="103"/>
      <c r="AJ50" s="103"/>
      <c r="AK50" s="143" t="s">
        <v>26</v>
      </c>
      <c r="AL50" s="128">
        <v>42.4</v>
      </c>
      <c r="AM50" s="32" t="s">
        <v>45</v>
      </c>
      <c r="AN50" s="128">
        <v>4.05</v>
      </c>
      <c r="AO50" s="4" t="s">
        <v>233</v>
      </c>
      <c r="AS50" s="6"/>
    </row>
    <row r="51" spans="3:66" x14ac:dyDescent="0.25">
      <c r="C51" s="1"/>
      <c r="N51" s="6"/>
      <c r="P51" s="59"/>
      <c r="R51" s="1" t="s">
        <v>123</v>
      </c>
      <c r="X51" s="60" t="s">
        <v>74</v>
      </c>
      <c r="Y51" s="61">
        <f>G16*G15*COS($L$18*PI()/180)</f>
        <v>0.63599872800381596</v>
      </c>
      <c r="Z51" s="31" t="s">
        <v>14</v>
      </c>
      <c r="AC51" s="6"/>
      <c r="AG51" s="1"/>
      <c r="AK51" s="143" t="s">
        <v>275</v>
      </c>
      <c r="AL51" s="128">
        <v>42.4</v>
      </c>
      <c r="AM51" s="32" t="s">
        <v>45</v>
      </c>
      <c r="AN51" s="128">
        <v>4.05</v>
      </c>
      <c r="AO51" t="s">
        <v>233</v>
      </c>
      <c r="AS51" s="6"/>
    </row>
    <row r="52" spans="3:66" x14ac:dyDescent="0.25">
      <c r="C52" s="1" t="str">
        <f>IF(G50=BL42,AX29,AX28)</f>
        <v>Sektionslængde svare til:</v>
      </c>
      <c r="G52" s="9">
        <f>IF(NOT(C52=AX29),BL42,VLOOKUP(G50,BJ25:BK42,2,FALSE))</f>
        <v>10</v>
      </c>
      <c r="H52" t="str">
        <f>IF(C52=AX29,"Antal trappe Grund a:","mm")</f>
        <v>Antal trappe Grund a:</v>
      </c>
      <c r="K52" s="2">
        <f>IF($C$52=$AX$29,$L$15,"")</f>
        <v>280</v>
      </c>
      <c r="L52" s="2" t="str">
        <f>IF($C$52=$AX$29,"mm","")</f>
        <v>mm</v>
      </c>
      <c r="N52" s="6"/>
      <c r="P52" s="59"/>
      <c r="R52" s="1"/>
      <c r="AC52" s="6"/>
      <c r="AG52" s="1"/>
      <c r="AH52" s="111"/>
      <c r="AI52" s="10"/>
      <c r="AJ52" s="10"/>
      <c r="AK52" s="144" t="s">
        <v>277</v>
      </c>
      <c r="AL52" s="123">
        <v>42.4</v>
      </c>
      <c r="AM52" s="35" t="s">
        <v>45</v>
      </c>
      <c r="AN52" s="123">
        <v>4.05</v>
      </c>
      <c r="AO52" s="10"/>
      <c r="AS52" s="6"/>
    </row>
    <row r="53" spans="3:66" ht="18" x14ac:dyDescent="0.35">
      <c r="C53" s="1"/>
      <c r="N53" s="6"/>
      <c r="P53" s="59"/>
      <c r="R53" s="1" t="s">
        <v>125</v>
      </c>
      <c r="U53" s="7" t="s">
        <v>144</v>
      </c>
      <c r="V53" s="61">
        <f>AB16*U27/U28*10^-6</f>
        <v>0.60167111111111093</v>
      </c>
      <c r="W53" t="s">
        <v>51</v>
      </c>
      <c r="AC53" s="6"/>
      <c r="AG53" s="1"/>
      <c r="AL53" s="2"/>
      <c r="AS53" s="6"/>
    </row>
    <row r="54" spans="3:66" x14ac:dyDescent="0.25">
      <c r="C54" s="1"/>
      <c r="F54" s="7" t="s">
        <v>204</v>
      </c>
      <c r="G54" s="131">
        <v>3</v>
      </c>
      <c r="H54" t="s">
        <v>8</v>
      </c>
      <c r="I54" t="s">
        <v>243</v>
      </c>
      <c r="L54" s="131">
        <v>0</v>
      </c>
      <c r="M54" t="s">
        <v>8</v>
      </c>
      <c r="N54" s="6"/>
      <c r="P54" s="59"/>
      <c r="R54" s="1"/>
      <c r="AC54" s="6"/>
      <c r="AG54" s="1"/>
      <c r="AS54" s="6"/>
      <c r="AZ54" s="31"/>
      <c r="BA54" s="32"/>
      <c r="BB54" s="2"/>
      <c r="BC54" s="103"/>
      <c r="BD54" s="32"/>
      <c r="BE54" s="32"/>
      <c r="BF54" s="28"/>
      <c r="BG54" s="28"/>
      <c r="BJ54" s="2"/>
      <c r="BK54" s="2"/>
      <c r="BL54" s="20"/>
      <c r="BM54" s="20"/>
      <c r="BN54" s="20"/>
    </row>
    <row r="55" spans="3:66" x14ac:dyDescent="0.25">
      <c r="C55" s="1"/>
      <c r="N55" s="6"/>
      <c r="P55" s="59"/>
      <c r="R55" s="1" t="s">
        <v>126</v>
      </c>
      <c r="AC55" s="6"/>
      <c r="AG55" s="1"/>
      <c r="AH55" s="105" t="s">
        <v>116</v>
      </c>
      <c r="AK55" s="129" t="s">
        <v>93</v>
      </c>
      <c r="AS55" s="6"/>
      <c r="AZ55" s="32"/>
      <c r="BA55" s="32"/>
      <c r="BB55" s="2"/>
      <c r="BC55" s="28"/>
      <c r="BD55" s="32"/>
      <c r="BE55" s="32"/>
      <c r="BF55" s="28"/>
      <c r="BG55" s="28"/>
      <c r="BJ55" s="2"/>
      <c r="BK55" s="2"/>
      <c r="BL55" s="2"/>
      <c r="BM55" s="2"/>
    </row>
    <row r="56" spans="3:66" ht="18" x14ac:dyDescent="0.35">
      <c r="C56" s="1" t="s">
        <v>5</v>
      </c>
      <c r="F56" s="7" t="s">
        <v>76</v>
      </c>
      <c r="G56" s="119">
        <v>900</v>
      </c>
      <c r="H56" s="2" t="s">
        <v>2</v>
      </c>
      <c r="I56" t="s">
        <v>121</v>
      </c>
      <c r="L56" t="s">
        <v>134</v>
      </c>
      <c r="M56" s="26">
        <f>G56-0.5*V16/(COS($L$18*PI()/180))</f>
        <v>882.31128537739392</v>
      </c>
      <c r="N56" s="6" t="s">
        <v>2</v>
      </c>
      <c r="P56" s="59"/>
      <c r="R56" s="1"/>
      <c r="AC56" s="6"/>
      <c r="AG56" s="1"/>
      <c r="AK56" s="2" t="s">
        <v>38</v>
      </c>
      <c r="AS56" s="6"/>
    </row>
    <row r="57" spans="3:66" x14ac:dyDescent="0.25">
      <c r="C57" s="1"/>
      <c r="N57" s="6"/>
      <c r="P57" s="59"/>
      <c r="R57" s="1"/>
      <c r="S57" s="7" t="s">
        <v>148</v>
      </c>
      <c r="T57" s="24">
        <f>SQRT(V53*8/Y51)</f>
        <v>2.7510371159317968</v>
      </c>
      <c r="U57" t="s">
        <v>55</v>
      </c>
      <c r="W57" s="7" t="s">
        <v>147</v>
      </c>
      <c r="X57" s="24">
        <f>0.5*T57</f>
        <v>1.3755185579658984</v>
      </c>
      <c r="Y57" t="s">
        <v>55</v>
      </c>
      <c r="Z57" s="7" t="s">
        <v>146</v>
      </c>
      <c r="AA57" s="24">
        <f>1/2*Y51*X57</f>
        <v>0.43741402660597728</v>
      </c>
      <c r="AB57" t="s">
        <v>38</v>
      </c>
      <c r="AC57" s="6"/>
      <c r="AG57" s="1"/>
      <c r="AH57" t="s">
        <v>118</v>
      </c>
      <c r="AK57" s="119">
        <v>16.600000000000001</v>
      </c>
      <c r="AS57" s="6"/>
    </row>
    <row r="58" spans="3:66" ht="18" x14ac:dyDescent="0.35">
      <c r="C58" s="1" t="s">
        <v>117</v>
      </c>
      <c r="F58" s="7" t="s">
        <v>62</v>
      </c>
      <c r="G58" s="119">
        <v>150</v>
      </c>
      <c r="H58" t="s">
        <v>2</v>
      </c>
      <c r="I58" t="s">
        <v>211</v>
      </c>
      <c r="L58" t="s">
        <v>168</v>
      </c>
      <c r="M58" s="26">
        <f>M56*(COS($L$18*PI()/180))</f>
        <v>748.19847360457925</v>
      </c>
      <c r="N58" s="6" t="s">
        <v>2</v>
      </c>
      <c r="P58" s="59"/>
      <c r="R58" s="1"/>
      <c r="AC58" s="6"/>
      <c r="AG58" s="1"/>
      <c r="AH58" t="s">
        <v>286</v>
      </c>
      <c r="AK58" s="119">
        <v>14.6</v>
      </c>
      <c r="AS58" s="6"/>
      <c r="BJ58" s="15"/>
      <c r="BK58" s="13"/>
      <c r="BL58" s="13"/>
      <c r="BM58" s="2"/>
      <c r="BN58" s="2"/>
    </row>
    <row r="59" spans="3:66" ht="18" x14ac:dyDescent="0.35">
      <c r="C59" s="1"/>
      <c r="F59" s="7"/>
      <c r="G59" s="2"/>
      <c r="H59" s="2"/>
      <c r="N59" s="6"/>
      <c r="P59" s="59"/>
      <c r="R59" s="1" t="s">
        <v>143</v>
      </c>
      <c r="V59" s="7" t="s">
        <v>145</v>
      </c>
      <c r="W59" s="61">
        <f>G17*G50/1000</f>
        <v>2.1</v>
      </c>
      <c r="X59" s="31" t="s">
        <v>38</v>
      </c>
      <c r="AC59" s="6"/>
      <c r="AG59" s="1"/>
      <c r="AS59" s="6"/>
    </row>
    <row r="60" spans="3:66" ht="18" x14ac:dyDescent="0.35">
      <c r="C60" s="1" t="s">
        <v>6</v>
      </c>
      <c r="F60" s="7" t="s">
        <v>201</v>
      </c>
      <c r="G60" s="119">
        <v>90</v>
      </c>
      <c r="H60" s="2" t="s">
        <v>2</v>
      </c>
      <c r="K60" t="s">
        <v>7</v>
      </c>
      <c r="M60" s="30">
        <f>TRUNC(G50/G60-L54,0)-1</f>
        <v>30</v>
      </c>
      <c r="N60" s="6" t="s">
        <v>8</v>
      </c>
      <c r="P60" s="59"/>
      <c r="R60" s="106" t="s">
        <v>127</v>
      </c>
      <c r="V60" s="7" t="s">
        <v>230</v>
      </c>
      <c r="W60" s="119">
        <v>1</v>
      </c>
      <c r="Z60" s="7" t="s">
        <v>149</v>
      </c>
      <c r="AA60" s="24">
        <f>W60*AA57</f>
        <v>0.43741402660597728</v>
      </c>
      <c r="AB60" t="s">
        <v>38</v>
      </c>
      <c r="AC60" s="6"/>
      <c r="AG60" s="1"/>
      <c r="AS60" s="6"/>
      <c r="BD60" s="2"/>
      <c r="BE60" s="15"/>
      <c r="BN60" s="2"/>
    </row>
    <row r="61" spans="3:66" x14ac:dyDescent="0.25">
      <c r="C61" s="1"/>
      <c r="F61" s="7"/>
      <c r="N61" s="6"/>
      <c r="P61" s="59"/>
      <c r="R61" s="1" t="s">
        <v>223</v>
      </c>
      <c r="Z61" t="s">
        <v>222</v>
      </c>
      <c r="AA61" s="24">
        <f>0.5*AA65</f>
        <v>0.61258597339402276</v>
      </c>
      <c r="AB61" t="s">
        <v>38</v>
      </c>
      <c r="AC61" s="62" t="str">
        <f>IF(AA61&gt;=AA60,"ok","ej ok")</f>
        <v>ok</v>
      </c>
      <c r="AG61" s="1"/>
      <c r="AS61" s="6"/>
    </row>
    <row r="62" spans="3:66" ht="18" x14ac:dyDescent="0.35">
      <c r="C62" s="1" t="s">
        <v>9</v>
      </c>
      <c r="F62" s="7" t="s">
        <v>202</v>
      </c>
      <c r="G62" s="119">
        <v>1388</v>
      </c>
      <c r="H62" s="2" t="s">
        <v>2</v>
      </c>
      <c r="N62" s="6"/>
      <c r="P62" s="59"/>
      <c r="R62" s="1"/>
      <c r="AC62" s="6"/>
      <c r="AG62" s="1"/>
      <c r="AS62" s="6"/>
    </row>
    <row r="63" spans="3:66" ht="18" x14ac:dyDescent="0.35">
      <c r="C63" s="1" t="s">
        <v>10</v>
      </c>
      <c r="F63" s="7" t="s">
        <v>203</v>
      </c>
      <c r="G63" s="119">
        <v>60</v>
      </c>
      <c r="H63" s="2" t="s">
        <v>2</v>
      </c>
      <c r="N63" s="6"/>
      <c r="P63" s="59"/>
      <c r="R63" s="1" t="s">
        <v>150</v>
      </c>
      <c r="Z63" s="7" t="s">
        <v>151</v>
      </c>
      <c r="AA63" s="24">
        <f>2*AA60</f>
        <v>0.87482805321195456</v>
      </c>
      <c r="AB63" t="s">
        <v>38</v>
      </c>
      <c r="AC63" s="6"/>
      <c r="AG63" s="1"/>
      <c r="AS63" s="6"/>
    </row>
    <row r="64" spans="3:66" x14ac:dyDescent="0.25">
      <c r="C64" s="1"/>
      <c r="N64" s="6"/>
      <c r="P64" s="59"/>
      <c r="R64" s="1"/>
      <c r="AC64" s="6"/>
      <c r="AG64" s="1"/>
      <c r="AS64" s="6"/>
    </row>
    <row r="65" spans="3:52" x14ac:dyDescent="0.25">
      <c r="C65" s="1" t="s">
        <v>119</v>
      </c>
      <c r="F65" s="165" t="s">
        <v>286</v>
      </c>
      <c r="G65" s="165"/>
      <c r="H65" s="165"/>
      <c r="J65" s="2" t="s">
        <v>93</v>
      </c>
      <c r="K65" s="9">
        <f>VLOOKUP(F65,AH57:AK58,4,FALSE)</f>
        <v>14.6</v>
      </c>
      <c r="L65" s="2" t="s">
        <v>38</v>
      </c>
      <c r="N65" s="6"/>
      <c r="P65" s="59"/>
      <c r="R65" s="1" t="s">
        <v>43</v>
      </c>
      <c r="Z65" t="s">
        <v>141</v>
      </c>
      <c r="AA65" s="61">
        <f>W59-AA63</f>
        <v>1.2251719467880455</v>
      </c>
      <c r="AB65" t="s">
        <v>38</v>
      </c>
      <c r="AC65" s="6"/>
      <c r="AG65" s="1"/>
      <c r="AS65" s="6"/>
    </row>
    <row r="66" spans="3:52" x14ac:dyDescent="0.25">
      <c r="C66" s="16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7"/>
      <c r="P66" s="59"/>
      <c r="R66" s="16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7"/>
      <c r="AG66" s="16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7"/>
    </row>
    <row r="69" spans="3:52" x14ac:dyDescent="0.25">
      <c r="G69" s="41"/>
      <c r="H69" s="41"/>
      <c r="I69" s="41"/>
      <c r="J69" s="37"/>
      <c r="V69" s="41"/>
      <c r="W69" s="41"/>
      <c r="X69" s="41"/>
      <c r="Y69" s="37"/>
      <c r="AK69" s="41"/>
      <c r="AL69" s="41"/>
      <c r="AM69" s="41"/>
      <c r="AN69" s="37"/>
    </row>
    <row r="70" spans="3:52" x14ac:dyDescent="0.25">
      <c r="C70" s="42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1"/>
      <c r="R70" s="42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1"/>
      <c r="AG70" s="42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1"/>
    </row>
    <row r="71" spans="3:52" x14ac:dyDescent="0.25">
      <c r="C71" s="45"/>
      <c r="D71" s="46"/>
      <c r="E71" s="47" t="s">
        <v>97</v>
      </c>
      <c r="F71" s="47"/>
      <c r="G71" s="150">
        <f>$G$4</f>
        <v>0</v>
      </c>
      <c r="H71" s="150"/>
      <c r="I71" s="150"/>
      <c r="J71" s="150"/>
      <c r="K71" s="150"/>
      <c r="L71" s="46" t="s">
        <v>98</v>
      </c>
      <c r="M71" s="150" t="s">
        <v>238</v>
      </c>
      <c r="N71" s="153"/>
      <c r="O71" s="1"/>
      <c r="R71" s="45"/>
      <c r="S71" s="46"/>
      <c r="T71" s="47" t="s">
        <v>97</v>
      </c>
      <c r="U71" s="47"/>
      <c r="V71" s="150">
        <f>$G$4</f>
        <v>0</v>
      </c>
      <c r="W71" s="150"/>
      <c r="X71" s="150"/>
      <c r="Y71" s="150"/>
      <c r="Z71" s="150"/>
      <c r="AA71" s="46" t="s">
        <v>98</v>
      </c>
      <c r="AB71" s="150" t="s">
        <v>239</v>
      </c>
      <c r="AC71" s="150"/>
      <c r="AD71" s="1"/>
      <c r="AG71" s="45"/>
      <c r="AH71" s="46"/>
      <c r="AI71" s="47" t="s">
        <v>97</v>
      </c>
      <c r="AJ71" s="47"/>
      <c r="AK71" s="150">
        <f>$G$4</f>
        <v>0</v>
      </c>
      <c r="AL71" s="150"/>
      <c r="AM71" s="150"/>
      <c r="AN71" s="150"/>
      <c r="AO71" s="150"/>
      <c r="AP71" s="46" t="s">
        <v>98</v>
      </c>
      <c r="AQ71" s="150" t="s">
        <v>240</v>
      </c>
      <c r="AR71" s="150"/>
      <c r="AS71" s="1"/>
    </row>
    <row r="72" spans="3:52" x14ac:dyDescent="0.25">
      <c r="C72" s="45"/>
      <c r="D72" s="46"/>
      <c r="E72" s="47" t="s">
        <v>99</v>
      </c>
      <c r="F72" s="47"/>
      <c r="G72" s="150">
        <f>$G$5</f>
        <v>0</v>
      </c>
      <c r="H72" s="150"/>
      <c r="I72" s="150"/>
      <c r="J72" s="150"/>
      <c r="K72" s="150"/>
      <c r="L72" s="46" t="s">
        <v>100</v>
      </c>
      <c r="M72" s="150">
        <f>$M$5</f>
        <v>0</v>
      </c>
      <c r="N72" s="153"/>
      <c r="O72" s="1"/>
      <c r="R72" s="45"/>
      <c r="S72" s="46"/>
      <c r="T72" s="47" t="s">
        <v>99</v>
      </c>
      <c r="U72" s="47"/>
      <c r="V72" s="150">
        <f>$G$5</f>
        <v>0</v>
      </c>
      <c r="W72" s="150"/>
      <c r="X72" s="150"/>
      <c r="Y72" s="150"/>
      <c r="Z72" s="150"/>
      <c r="AA72" s="46" t="s">
        <v>100</v>
      </c>
      <c r="AB72" s="150">
        <f>$M$5</f>
        <v>0</v>
      </c>
      <c r="AC72" s="150"/>
      <c r="AD72" s="1"/>
      <c r="AG72" s="45"/>
      <c r="AH72" s="46"/>
      <c r="AI72" s="47" t="s">
        <v>99</v>
      </c>
      <c r="AJ72" s="47"/>
      <c r="AK72" s="150">
        <f>$G$5</f>
        <v>0</v>
      </c>
      <c r="AL72" s="150"/>
      <c r="AM72" s="150"/>
      <c r="AN72" s="150"/>
      <c r="AO72" s="150"/>
      <c r="AP72" s="46" t="s">
        <v>100</v>
      </c>
      <c r="AQ72" s="150">
        <f>$M$5</f>
        <v>0</v>
      </c>
      <c r="AR72" s="150"/>
      <c r="AS72" s="1"/>
    </row>
    <row r="73" spans="3:52" x14ac:dyDescent="0.25">
      <c r="C73" s="45"/>
      <c r="D73" s="46"/>
      <c r="E73" s="47" t="s">
        <v>101</v>
      </c>
      <c r="F73" s="47"/>
      <c r="G73" s="48" t="s">
        <v>229</v>
      </c>
      <c r="H73" s="49"/>
      <c r="I73" s="49"/>
      <c r="K73" s="50"/>
      <c r="L73" s="46" t="s">
        <v>102</v>
      </c>
      <c r="M73" s="151">
        <f ca="1">NOW()</f>
        <v>45891.626879629628</v>
      </c>
      <c r="N73" s="169"/>
      <c r="O73" s="1"/>
      <c r="R73" s="45"/>
      <c r="S73" s="46"/>
      <c r="T73" s="47" t="s">
        <v>101</v>
      </c>
      <c r="U73" s="47"/>
      <c r="V73" s="48" t="s">
        <v>229</v>
      </c>
      <c r="W73" s="49"/>
      <c r="X73" s="49"/>
      <c r="Z73" s="50"/>
      <c r="AA73" s="46" t="s">
        <v>102</v>
      </c>
      <c r="AB73" s="151">
        <f ca="1">NOW()</f>
        <v>45891.626879745367</v>
      </c>
      <c r="AC73" s="151"/>
      <c r="AD73" s="1"/>
      <c r="AG73" s="45"/>
      <c r="AH73" s="46"/>
      <c r="AI73" s="47" t="s">
        <v>101</v>
      </c>
      <c r="AJ73" s="47"/>
      <c r="AK73" s="48" t="s">
        <v>229</v>
      </c>
      <c r="AL73" s="49"/>
      <c r="AM73" s="49"/>
      <c r="AO73" s="50"/>
      <c r="AP73" s="46" t="s">
        <v>102</v>
      </c>
      <c r="AQ73" s="151">
        <f ca="1">NOW()</f>
        <v>45891.626879745367</v>
      </c>
      <c r="AR73" s="151"/>
      <c r="AS73" s="1"/>
    </row>
    <row r="74" spans="3:52" x14ac:dyDescent="0.25">
      <c r="C74" s="45"/>
      <c r="D74" s="46"/>
      <c r="E74" s="46" t="s">
        <v>103</v>
      </c>
      <c r="F74" s="46"/>
      <c r="G74" s="49" t="s">
        <v>108</v>
      </c>
      <c r="H74" s="101" t="str">
        <f>$H$7</f>
        <v>L =</v>
      </c>
      <c r="I74" s="102">
        <f>$I$7</f>
        <v>2800</v>
      </c>
      <c r="J74" s="46" t="str">
        <f>$J$7</f>
        <v>mm</v>
      </c>
      <c r="K74" s="46"/>
      <c r="L74" s="46" t="s">
        <v>104</v>
      </c>
      <c r="M74" s="150">
        <f>$M$7</f>
        <v>0</v>
      </c>
      <c r="N74" s="153"/>
      <c r="O74" s="1"/>
      <c r="R74" s="45"/>
      <c r="S74" s="46"/>
      <c r="T74" s="46" t="s">
        <v>103</v>
      </c>
      <c r="U74" s="46"/>
      <c r="V74" s="49" t="s">
        <v>108</v>
      </c>
      <c r="W74" s="101" t="str">
        <f>$H$7</f>
        <v>L =</v>
      </c>
      <c r="X74" s="102">
        <f>$I$7</f>
        <v>2800</v>
      </c>
      <c r="Y74" s="46" t="str">
        <f>$J$7</f>
        <v>mm</v>
      </c>
      <c r="Z74" s="46"/>
      <c r="AA74" s="46" t="s">
        <v>104</v>
      </c>
      <c r="AB74" s="150">
        <f>$M$7</f>
        <v>0</v>
      </c>
      <c r="AC74" s="150"/>
      <c r="AD74" s="1"/>
      <c r="AG74" s="45"/>
      <c r="AH74" s="46"/>
      <c r="AI74" s="46" t="s">
        <v>103</v>
      </c>
      <c r="AJ74" s="46"/>
      <c r="AK74" s="49" t="s">
        <v>108</v>
      </c>
      <c r="AL74" s="101" t="str">
        <f>$H$7</f>
        <v>L =</v>
      </c>
      <c r="AM74" s="102">
        <f>$I$7</f>
        <v>2800</v>
      </c>
      <c r="AN74" s="46" t="str">
        <f>$J$7</f>
        <v>mm</v>
      </c>
      <c r="AO74" s="46"/>
      <c r="AP74" s="46" t="s">
        <v>104</v>
      </c>
      <c r="AQ74" s="150">
        <f>$M$7</f>
        <v>0</v>
      </c>
      <c r="AR74" s="150"/>
      <c r="AS74" s="1"/>
    </row>
    <row r="75" spans="3:52" x14ac:dyDescent="0.25">
      <c r="C75" s="45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1"/>
      <c r="R75" s="45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1"/>
      <c r="AG75" s="45"/>
      <c r="AH75" s="46"/>
      <c r="AI75" s="46"/>
      <c r="AJ75" s="46"/>
      <c r="AK75" s="46"/>
      <c r="AL75" s="46"/>
      <c r="AM75" s="46"/>
      <c r="AN75" s="46"/>
      <c r="AO75" s="46"/>
      <c r="AP75" s="46"/>
      <c r="AQ75" s="46"/>
      <c r="AR75" s="46"/>
      <c r="AS75" s="1"/>
      <c r="AZ75" s="2"/>
    </row>
    <row r="76" spans="3:52" x14ac:dyDescent="0.25">
      <c r="C76" s="45"/>
      <c r="D76" s="46"/>
      <c r="E76" s="46" t="s">
        <v>105</v>
      </c>
      <c r="F76" s="46"/>
      <c r="G76" s="152" t="str">
        <f>$AM$3</f>
        <v>Dalton. Borumvej 30, 8381 Tilst</v>
      </c>
      <c r="H76" s="152"/>
      <c r="I76" s="152"/>
      <c r="J76" s="152"/>
      <c r="K76" s="152"/>
      <c r="L76" s="46" t="s">
        <v>106</v>
      </c>
      <c r="M76" s="150">
        <f>$M$9</f>
        <v>0</v>
      </c>
      <c r="N76" s="153"/>
      <c r="O76" s="1"/>
      <c r="R76" s="45"/>
      <c r="S76" s="46"/>
      <c r="T76" s="46" t="s">
        <v>105</v>
      </c>
      <c r="U76" s="46"/>
      <c r="V76" s="152" t="str">
        <f>$AM$3</f>
        <v>Dalton. Borumvej 30, 8381 Tilst</v>
      </c>
      <c r="W76" s="152"/>
      <c r="X76" s="152"/>
      <c r="Y76" s="152"/>
      <c r="Z76" s="152"/>
      <c r="AA76" s="46" t="s">
        <v>106</v>
      </c>
      <c r="AB76" s="150">
        <f>$M$9</f>
        <v>0</v>
      </c>
      <c r="AC76" s="150"/>
      <c r="AD76" s="1"/>
      <c r="AG76" s="45"/>
      <c r="AH76" s="46"/>
      <c r="AI76" s="46" t="s">
        <v>105</v>
      </c>
      <c r="AJ76" s="46"/>
      <c r="AK76" s="152" t="str">
        <f>$AM$3</f>
        <v>Dalton. Borumvej 30, 8381 Tilst</v>
      </c>
      <c r="AL76" s="152"/>
      <c r="AM76" s="152"/>
      <c r="AN76" s="152"/>
      <c r="AO76" s="152"/>
      <c r="AP76" s="46" t="s">
        <v>106</v>
      </c>
      <c r="AQ76" s="150">
        <f>$M$9</f>
        <v>0</v>
      </c>
      <c r="AR76" s="150"/>
      <c r="AS76" s="1"/>
      <c r="AZ76" s="2"/>
    </row>
    <row r="77" spans="3:52" x14ac:dyDescent="0.25">
      <c r="C77" s="52" t="str">
        <f>$C$10</f>
        <v>v. 1.00_2023</v>
      </c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"/>
      <c r="R77" s="52" t="str">
        <f>$C$10</f>
        <v>v. 1.00_2023</v>
      </c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7"/>
      <c r="AG77" s="52" t="str">
        <f>$C$10</f>
        <v>v. 1.00_2023</v>
      </c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7"/>
      <c r="AZ77" s="2"/>
    </row>
    <row r="78" spans="3:52" x14ac:dyDescent="0.25">
      <c r="C78" s="3"/>
      <c r="N78" s="5"/>
      <c r="P78" s="59"/>
      <c r="R78" s="3"/>
      <c r="AC78" s="5"/>
      <c r="AE78" s="97"/>
      <c r="AG78" s="3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5"/>
      <c r="AZ78" s="2"/>
    </row>
    <row r="79" spans="3:52" x14ac:dyDescent="0.25">
      <c r="C79" s="21" t="s">
        <v>189</v>
      </c>
      <c r="N79" s="6"/>
      <c r="P79" s="59"/>
      <c r="R79" s="21" t="s">
        <v>166</v>
      </c>
      <c r="AC79" s="6"/>
      <c r="AE79" s="97"/>
      <c r="AG79" s="21" t="s">
        <v>178</v>
      </c>
      <c r="AR79" s="6"/>
    </row>
    <row r="80" spans="3:52" x14ac:dyDescent="0.25">
      <c r="C80" s="1"/>
      <c r="F80" s="14" t="s">
        <v>188</v>
      </c>
      <c r="G80" s="32" t="s">
        <v>71</v>
      </c>
      <c r="H80" s="2"/>
      <c r="I80" s="2" t="s">
        <v>73</v>
      </c>
      <c r="J80" t="s">
        <v>70</v>
      </c>
      <c r="K80" s="27" t="s">
        <v>130</v>
      </c>
      <c r="N80" s="6"/>
      <c r="P80" s="59"/>
      <c r="R80" s="1"/>
      <c r="W80" s="64" t="s">
        <v>111</v>
      </c>
      <c r="AC80" s="6"/>
      <c r="AE80" s="97"/>
      <c r="AG80" s="1"/>
      <c r="AH80" s="103"/>
      <c r="AL80" s="64" t="s">
        <v>183</v>
      </c>
      <c r="AR80" s="6"/>
      <c r="AZ80" s="2"/>
    </row>
    <row r="81" spans="3:52" ht="18.75" x14ac:dyDescent="0.35">
      <c r="C81" s="1"/>
      <c r="F81" s="14" t="s">
        <v>187</v>
      </c>
      <c r="G81" s="32" t="s">
        <v>72</v>
      </c>
      <c r="H81" s="2"/>
      <c r="I81" s="2" t="s">
        <v>32</v>
      </c>
      <c r="J81" s="2" t="s">
        <v>33</v>
      </c>
      <c r="K81" s="1"/>
      <c r="N81" s="6"/>
      <c r="P81" s="59"/>
      <c r="R81" s="1"/>
      <c r="Y81" s="14" t="s">
        <v>134</v>
      </c>
      <c r="Z81" s="31" t="s">
        <v>137</v>
      </c>
      <c r="AA81" s="32" t="s">
        <v>135</v>
      </c>
      <c r="AB81" s="2" t="s">
        <v>138</v>
      </c>
      <c r="AC81" s="66" t="s">
        <v>139</v>
      </c>
      <c r="AE81" s="97"/>
      <c r="AG81" s="1"/>
      <c r="AR81" s="6"/>
      <c r="AZ81" s="2"/>
    </row>
    <row r="82" spans="3:52" x14ac:dyDescent="0.25">
      <c r="C82" s="3" t="s">
        <v>36</v>
      </c>
      <c r="D82" s="4"/>
      <c r="E82" s="4" t="s">
        <v>37</v>
      </c>
      <c r="F82" s="124">
        <v>1</v>
      </c>
      <c r="G82" s="92">
        <v>1</v>
      </c>
      <c r="H82" s="94"/>
      <c r="I82" s="95">
        <f>AA17*F82*G82</f>
        <v>1265.8452083333332</v>
      </c>
      <c r="J82" s="95">
        <f>AB17*F82*G82</f>
        <v>199.34570209973751</v>
      </c>
      <c r="K82" s="3"/>
      <c r="L82" s="79">
        <f>Z83</f>
        <v>0</v>
      </c>
      <c r="N82" s="6"/>
      <c r="P82" s="59"/>
      <c r="R82" s="1"/>
      <c r="W82" s="10"/>
      <c r="X82" s="10"/>
      <c r="Y82" s="33" t="s">
        <v>2</v>
      </c>
      <c r="Z82" s="35" t="s">
        <v>50</v>
      </c>
      <c r="AA82" s="35" t="s">
        <v>38</v>
      </c>
      <c r="AB82" s="12" t="s">
        <v>38</v>
      </c>
      <c r="AC82" s="67" t="s">
        <v>38</v>
      </c>
      <c r="AE82" s="97"/>
      <c r="AG82" s="1"/>
      <c r="AL82" s="64" t="s">
        <v>184</v>
      </c>
      <c r="AO82" s="14" t="s">
        <v>22</v>
      </c>
      <c r="AP82" s="2" t="s">
        <v>23</v>
      </c>
      <c r="AQ82" s="2" t="s">
        <v>24</v>
      </c>
      <c r="AR82" s="54" t="s">
        <v>185</v>
      </c>
      <c r="AZ82" s="2"/>
    </row>
    <row r="83" spans="3:52" x14ac:dyDescent="0.25">
      <c r="C83" s="1" t="s">
        <v>190</v>
      </c>
      <c r="E83" s="6" t="s">
        <v>39</v>
      </c>
      <c r="F83" s="125">
        <v>1</v>
      </c>
      <c r="G83" s="24">
        <f>(1-J110)</f>
        <v>0.95271798554221321</v>
      </c>
      <c r="H83" s="13"/>
      <c r="I83" s="26">
        <f>AA18*F83*G83</f>
        <v>28027.692844004527</v>
      </c>
      <c r="J83" s="26">
        <f>AB18*F83*G83</f>
        <v>1868.5128562669686</v>
      </c>
      <c r="K83" s="1"/>
      <c r="L83" s="24">
        <f>J117</f>
        <v>0.38457066217012931</v>
      </c>
      <c r="N83" s="6"/>
      <c r="P83" s="59"/>
      <c r="R83" s="1"/>
      <c r="W83" t="s">
        <v>52</v>
      </c>
      <c r="Y83" s="55">
        <f>$M$56</f>
        <v>882.31128537739392</v>
      </c>
      <c r="Z83" s="61">
        <f>X17*J82/(X17*J82+X18*J83+X19*J84)</f>
        <v>0</v>
      </c>
      <c r="AA83" s="61">
        <f>$AA$65*Z83</f>
        <v>0</v>
      </c>
      <c r="AB83" s="24">
        <f>AA83*COS($L$18*PI()/180)</f>
        <v>0</v>
      </c>
      <c r="AC83" s="78">
        <f>IF(L54=0,0,AB83/X17)</f>
        <v>0</v>
      </c>
      <c r="AE83" s="97"/>
      <c r="AG83" s="1"/>
      <c r="AO83" s="14" t="s">
        <v>2</v>
      </c>
      <c r="AP83" s="2" t="s">
        <v>2</v>
      </c>
      <c r="AQ83" s="12" t="s">
        <v>2</v>
      </c>
      <c r="AR83" s="90" t="s">
        <v>2</v>
      </c>
      <c r="AZ83" s="2"/>
    </row>
    <row r="84" spans="3:52" x14ac:dyDescent="0.25">
      <c r="C84" s="1" t="s">
        <v>180</v>
      </c>
      <c r="E84" s="6" t="s">
        <v>41</v>
      </c>
      <c r="F84" s="125">
        <v>1</v>
      </c>
      <c r="G84" s="9">
        <v>1</v>
      </c>
      <c r="H84" s="13"/>
      <c r="I84" s="26">
        <f>AA19*F84*G84</f>
        <v>1265.8452083333332</v>
      </c>
      <c r="J84" s="26">
        <f>AB19*F84*G84</f>
        <v>199.34570209973751</v>
      </c>
      <c r="K84" s="1"/>
      <c r="L84" s="24">
        <f>Z84</f>
        <v>0.61542933782987075</v>
      </c>
      <c r="N84" s="6"/>
      <c r="P84" s="59"/>
      <c r="R84" s="1"/>
      <c r="W84" t="s">
        <v>53</v>
      </c>
      <c r="Y84" s="55">
        <f>$M$56</f>
        <v>882.31128537739392</v>
      </c>
      <c r="Z84" s="61">
        <f>X19*J84/(X17*J82+X18*J83+X19*J84)</f>
        <v>0.61542933782987075</v>
      </c>
      <c r="AA84" s="61">
        <f>$AA$65*Z84</f>
        <v>0.7540067599395005</v>
      </c>
      <c r="AB84" s="24">
        <f>AA84*COS($L$18*PI()/180)</f>
        <v>0.63939645363706799</v>
      </c>
      <c r="AC84" s="78">
        <f>AB84/X19</f>
        <v>2.1313215121235598E-2</v>
      </c>
      <c r="AE84" s="97"/>
      <c r="AG84" s="1"/>
      <c r="AL84" t="s">
        <v>194</v>
      </c>
      <c r="AO84" s="91">
        <f>U20</f>
        <v>60</v>
      </c>
      <c r="AP84" s="92">
        <f>V20</f>
        <v>30</v>
      </c>
      <c r="AQ84" s="9">
        <f>W20</f>
        <v>2</v>
      </c>
      <c r="AR84" s="6"/>
    </row>
    <row r="85" spans="3:52" x14ac:dyDescent="0.25">
      <c r="C85" s="1"/>
      <c r="K85" s="34" t="s">
        <v>54</v>
      </c>
      <c r="L85" s="68">
        <f>SUM(L82:L84)</f>
        <v>1</v>
      </c>
      <c r="N85" s="6"/>
      <c r="P85" s="59"/>
      <c r="R85" s="1"/>
      <c r="Y85" s="1"/>
      <c r="Z85" s="7" t="s">
        <v>132</v>
      </c>
      <c r="AA85" s="79">
        <f>SUM(AA83:AA84)</f>
        <v>0.7540067599395005</v>
      </c>
      <c r="AC85" s="6"/>
      <c r="AE85" s="97"/>
      <c r="AG85" s="1"/>
      <c r="AL85" s="31" t="s">
        <v>195</v>
      </c>
      <c r="AO85" s="85">
        <f>U23</f>
        <v>42.4</v>
      </c>
      <c r="AP85" s="9" t="str">
        <f>V23</f>
        <v>rør:</v>
      </c>
      <c r="AQ85" s="9">
        <f>W23</f>
        <v>4.05</v>
      </c>
      <c r="AR85" s="6"/>
    </row>
    <row r="86" spans="3:52" x14ac:dyDescent="0.25">
      <c r="C86" s="1"/>
      <c r="N86" s="6"/>
      <c r="P86" s="59"/>
      <c r="R86" s="1"/>
      <c r="W86" s="64" t="s">
        <v>131</v>
      </c>
      <c r="AC86" s="6"/>
      <c r="AE86" s="97"/>
      <c r="AG86" s="1"/>
      <c r="AL86" t="s">
        <v>196</v>
      </c>
      <c r="AO86" s="1"/>
      <c r="AR86" s="9">
        <f>(AO84-AO85)/2+AQ85</f>
        <v>12.850000000000001</v>
      </c>
      <c r="AS86" s="1"/>
    </row>
    <row r="87" spans="3:52" ht="18" x14ac:dyDescent="0.35">
      <c r="C87" s="1"/>
      <c r="N87" s="6"/>
      <c r="P87" s="59"/>
      <c r="R87" s="1"/>
      <c r="Y87" s="65" t="s">
        <v>136</v>
      </c>
      <c r="AA87" s="32" t="s">
        <v>154</v>
      </c>
      <c r="AC87" s="6"/>
      <c r="AE87" s="97"/>
      <c r="AG87" s="1"/>
      <c r="AL87" t="s">
        <v>246</v>
      </c>
      <c r="AP87" s="30">
        <f>V21</f>
        <v>0</v>
      </c>
      <c r="AQ87" s="9">
        <f>W21</f>
        <v>0</v>
      </c>
      <c r="AS87" s="1"/>
    </row>
    <row r="88" spans="3:52" ht="18" x14ac:dyDescent="0.35">
      <c r="C88" s="1"/>
      <c r="N88" s="6"/>
      <c r="O88" s="2"/>
      <c r="P88" s="59"/>
      <c r="R88" s="1"/>
      <c r="W88" s="10"/>
      <c r="X88" s="10"/>
      <c r="Y88" s="33" t="s">
        <v>38</v>
      </c>
      <c r="Z88" s="10"/>
      <c r="AA88" s="35" t="s">
        <v>51</v>
      </c>
      <c r="AC88" s="6"/>
      <c r="AE88" s="97"/>
      <c r="AG88" s="1"/>
      <c r="AS88" s="1"/>
      <c r="AV88" s="10" t="s">
        <v>258</v>
      </c>
      <c r="AW88" s="10"/>
      <c r="AX88" s="10"/>
    </row>
    <row r="89" spans="3:52" ht="18" x14ac:dyDescent="0.35">
      <c r="C89" s="1"/>
      <c r="N89" s="6"/>
      <c r="P89" s="59"/>
      <c r="R89" s="1"/>
      <c r="W89" t="s">
        <v>52</v>
      </c>
      <c r="Y89" s="80">
        <f>AC83</f>
        <v>0</v>
      </c>
      <c r="AA89" s="61">
        <f>AC83*Y83/1000</f>
        <v>0</v>
      </c>
      <c r="AC89" s="6"/>
      <c r="AE89" s="97"/>
      <c r="AG89" s="1"/>
      <c r="AO89" s="14" t="s">
        <v>91</v>
      </c>
      <c r="AP89" s="2" t="s">
        <v>186</v>
      </c>
      <c r="AQ89" s="2" t="s">
        <v>28</v>
      </c>
      <c r="AR89" s="54" t="s">
        <v>255</v>
      </c>
      <c r="AV89" s="2" t="s">
        <v>269</v>
      </c>
      <c r="AW89" s="2" t="s">
        <v>256</v>
      </c>
      <c r="AX89" s="2" t="s">
        <v>259</v>
      </c>
      <c r="AY89" s="36" t="s">
        <v>260</v>
      </c>
      <c r="AZ89" s="4" t="s">
        <v>261</v>
      </c>
    </row>
    <row r="90" spans="3:52" ht="17.25" x14ac:dyDescent="0.25">
      <c r="C90" s="1"/>
      <c r="N90" s="6"/>
      <c r="P90" s="59"/>
      <c r="R90" s="1"/>
      <c r="W90" t="s">
        <v>53</v>
      </c>
      <c r="Y90" s="80">
        <f>AC84</f>
        <v>2.1313215121235598E-2</v>
      </c>
      <c r="AA90" s="61">
        <f>AC84*Y84/1000</f>
        <v>1.8804890229142286E-2</v>
      </c>
      <c r="AC90" s="6"/>
      <c r="AE90" s="97"/>
      <c r="AG90" s="1"/>
      <c r="AO90" s="39" t="s">
        <v>31</v>
      </c>
      <c r="AP90" s="12" t="s">
        <v>31</v>
      </c>
      <c r="AQ90" s="12" t="s">
        <v>32</v>
      </c>
      <c r="AR90" s="90" t="s">
        <v>257</v>
      </c>
      <c r="AV90" s="2" t="s">
        <v>31</v>
      </c>
      <c r="AW90" s="2" t="s">
        <v>33</v>
      </c>
      <c r="AX90" s="2" t="s">
        <v>2</v>
      </c>
      <c r="AY90" s="2" t="s">
        <v>2</v>
      </c>
      <c r="AZ90" s="2" t="s">
        <v>257</v>
      </c>
    </row>
    <row r="91" spans="3:52" x14ac:dyDescent="0.25">
      <c r="C91" s="21" t="s">
        <v>191</v>
      </c>
      <c r="N91" s="6"/>
      <c r="P91" s="59"/>
      <c r="R91" s="1"/>
      <c r="Y91" s="1"/>
      <c r="AC91" s="6"/>
      <c r="AE91" s="97"/>
      <c r="AG91" s="1"/>
      <c r="AL91" t="s">
        <v>197</v>
      </c>
      <c r="AO91" s="84">
        <f>Y20</f>
        <v>344</v>
      </c>
      <c r="AP91" s="26">
        <f>Z20</f>
        <v>114.66666666666667</v>
      </c>
      <c r="AQ91" s="26">
        <f>AA20</f>
        <v>52978.666666666672</v>
      </c>
      <c r="AR91" s="54"/>
    </row>
    <row r="92" spans="3:52" x14ac:dyDescent="0.25">
      <c r="C92" s="1"/>
      <c r="N92" s="6"/>
      <c r="P92" s="59"/>
      <c r="R92" s="1"/>
      <c r="W92" s="64" t="s">
        <v>129</v>
      </c>
      <c r="AC92" s="6"/>
      <c r="AE92" s="97"/>
      <c r="AG92" s="1"/>
      <c r="AL92" t="s">
        <v>247</v>
      </c>
      <c r="AO92" s="1"/>
      <c r="AQ92" s="26">
        <f>AQ91+AA21</f>
        <v>52978.666666666672</v>
      </c>
      <c r="AR92" s="6"/>
    </row>
    <row r="93" spans="3:52" x14ac:dyDescent="0.25">
      <c r="C93" s="25" t="s">
        <v>58</v>
      </c>
      <c r="N93" s="6"/>
      <c r="P93" s="59"/>
      <c r="R93" s="1"/>
      <c r="Y93" s="1" t="s">
        <v>46</v>
      </c>
      <c r="AA93" t="s">
        <v>78</v>
      </c>
      <c r="AC93" s="6"/>
      <c r="AE93" s="97"/>
      <c r="AG93" s="1"/>
      <c r="AL93" s="4" t="s">
        <v>196</v>
      </c>
      <c r="AM93" s="4"/>
      <c r="AN93" s="4"/>
      <c r="AO93" s="85">
        <f>(AP84*AQ84+2*(AR86-AQ85-AQ84)*AQ84+AP84*AQ85)*2</f>
        <v>417.4</v>
      </c>
      <c r="AP93" s="56">
        <f>2*(AP84*AQ84+AP84*AQ85)</f>
        <v>363</v>
      </c>
      <c r="AQ93" s="26">
        <f>2*(1/12*AQ84*AP84^3+                         1/12*AQ85*AP84^3+                2*(1/12*(AR86-AQ85-AQ84)*AQ84^3+(AR86-AQ85-AQ84)*AQ84*(0.5*AP84-0.5*AQ84)^2)                      )</f>
        <v>37905.533333333333</v>
      </c>
      <c r="AR93" s="82">
        <f>AZ93</f>
        <v>3484.0999999999995</v>
      </c>
      <c r="AV93" s="2">
        <f>1/2*AO93</f>
        <v>208.7</v>
      </c>
      <c r="AW93">
        <f>2*                    (1/2*$AP$84*$AQ$84*(1/4*$AP$84)                   +1/2*$AP$84*$AQ$85*(1/4*$AP$84)+                ($AR$86-$AQ$84-$AQ$85)*$AQ$84*(1/2*$AQ$84)                    )</f>
        <v>1388.45</v>
      </c>
      <c r="AX93" s="15">
        <f>AW93/AV93</f>
        <v>6.652850982271203</v>
      </c>
      <c r="AY93" s="15">
        <f>AP84-2*AX93</f>
        <v>16.694298035457592</v>
      </c>
      <c r="AZ93">
        <f>AV93*AY93</f>
        <v>3484.0999999999995</v>
      </c>
    </row>
    <row r="94" spans="3:52" ht="18" x14ac:dyDescent="0.35">
      <c r="C94" s="1"/>
      <c r="N94" s="6"/>
      <c r="P94" s="59"/>
      <c r="R94" s="1"/>
      <c r="Y94" s="14" t="s">
        <v>48</v>
      </c>
      <c r="Z94" s="2" t="s">
        <v>49</v>
      </c>
      <c r="AA94" s="20" t="s">
        <v>79</v>
      </c>
      <c r="AB94" s="20" t="s">
        <v>81</v>
      </c>
      <c r="AC94" s="71" t="s">
        <v>140</v>
      </c>
      <c r="AE94" s="97"/>
      <c r="AG94" s="1"/>
      <c r="AL94" t="s">
        <v>247</v>
      </c>
      <c r="AO94" s="85">
        <f>AO93+Y21</f>
        <v>417.4</v>
      </c>
      <c r="AP94" s="9">
        <f>2*(AP84*AQ84+AP84*AQ85+AP87*AQ87)</f>
        <v>363</v>
      </c>
      <c r="AQ94" s="26">
        <f>AQ93+AA21</f>
        <v>37905.533333333333</v>
      </c>
      <c r="AR94" s="82">
        <f>AZ94</f>
        <v>3484.0999999999995</v>
      </c>
      <c r="AV94" s="2">
        <f>1/2*AO94</f>
        <v>208.7</v>
      </c>
      <c r="AW94">
        <f>2*                    (1/2*$AP$84*$AQ$84*(1/4*$AP$84)                   +1/2*$AP$84*$AQ$85*(1/4*$AP$84)+                ($AR$86-$AQ$84-$AQ$85)*$AQ$84*(1/2*$AQ$84)           +  1/2*AP87*AQ87*(AQ84+1/4*AP87)         )</f>
        <v>1388.45</v>
      </c>
      <c r="AX94" s="15">
        <f>AW94/AV94</f>
        <v>6.652850982271203</v>
      </c>
      <c r="AY94" s="15">
        <f>AP84-2*AX94</f>
        <v>16.694298035457592</v>
      </c>
      <c r="AZ94">
        <f>AV94*AY94</f>
        <v>3484.0999999999995</v>
      </c>
    </row>
    <row r="95" spans="3:52" x14ac:dyDescent="0.25">
      <c r="C95" s="1" t="s">
        <v>59</v>
      </c>
      <c r="N95" s="6"/>
      <c r="P95" s="59"/>
      <c r="R95" s="1"/>
      <c r="W95" s="10"/>
      <c r="X95" s="10"/>
      <c r="Y95" s="39" t="s">
        <v>18</v>
      </c>
      <c r="Z95" s="12" t="s">
        <v>18</v>
      </c>
      <c r="AA95" s="12" t="s">
        <v>18</v>
      </c>
      <c r="AB95" s="12" t="s">
        <v>18</v>
      </c>
      <c r="AC95" s="72"/>
      <c r="AE95" s="97"/>
      <c r="AG95" s="1"/>
      <c r="AR95" s="6"/>
    </row>
    <row r="96" spans="3:52" x14ac:dyDescent="0.25">
      <c r="C96" s="1" t="s">
        <v>60</v>
      </c>
      <c r="N96" s="6"/>
      <c r="P96" s="59"/>
      <c r="R96" s="1"/>
      <c r="W96" t="s">
        <v>52</v>
      </c>
      <c r="Y96" s="70">
        <f>$Y$89*10^3/$Z$17</f>
        <v>0</v>
      </c>
      <c r="Z96" s="26">
        <f>$AA$89*10^6/$AA$17*$V$17/2</f>
        <v>0</v>
      </c>
      <c r="AA96" s="26">
        <f>FLOOR(SQRT(Z96^2+3*Y96^2),0.5)</f>
        <v>0</v>
      </c>
      <c r="AB96" s="18">
        <f>$U$27/$U$28</f>
        <v>199.99999999999997</v>
      </c>
      <c r="AC96" s="73" t="str">
        <f t="shared" ref="AC96:AC97" si="6">IF(AA96&lt;=AB96,"ok","EJ OK")</f>
        <v>ok</v>
      </c>
      <c r="AE96" s="97"/>
      <c r="AG96" s="21" t="s">
        <v>172</v>
      </c>
      <c r="AR96" s="6"/>
    </row>
    <row r="97" spans="3:54" ht="18" x14ac:dyDescent="0.35">
      <c r="C97" s="23" t="s">
        <v>152</v>
      </c>
      <c r="D97" s="24">
        <f>AA60</f>
        <v>0.43741402660597728</v>
      </c>
      <c r="E97" t="s">
        <v>38</v>
      </c>
      <c r="N97" s="6"/>
      <c r="P97" s="59"/>
      <c r="R97" s="1"/>
      <c r="W97" t="s">
        <v>53</v>
      </c>
      <c r="Y97" s="70">
        <f>Y90*10^3/Z19</f>
        <v>0.74456646711740082</v>
      </c>
      <c r="Z97" s="26">
        <f xml:space="preserve">      IF(R19=AH35,    AA90*10^6/AA19*V19/2,   AA90*10^6/AA19*U19/2 )</f>
        <v>94.333060763626293</v>
      </c>
      <c r="AA97" s="26">
        <f>FLOOR(SQRT(Z97^2+3*Y97^2),0.5)</f>
        <v>94</v>
      </c>
      <c r="AB97" s="18">
        <f>$U$27/$U$28</f>
        <v>199.99999999999997</v>
      </c>
      <c r="AC97" s="73" t="str">
        <f t="shared" si="6"/>
        <v>ok</v>
      </c>
      <c r="AE97" s="97"/>
      <c r="AG97" s="1"/>
      <c r="AH97" t="s">
        <v>83</v>
      </c>
      <c r="AJ97" s="9">
        <f>X20</f>
        <v>3</v>
      </c>
      <c r="AK97" t="s">
        <v>8</v>
      </c>
      <c r="AL97" s="64" t="s">
        <v>111</v>
      </c>
      <c r="AN97" s="14" t="s">
        <v>174</v>
      </c>
      <c r="AP97" s="32" t="s">
        <v>135</v>
      </c>
      <c r="AQ97" s="2" t="s">
        <v>138</v>
      </c>
      <c r="AR97" s="98" t="s">
        <v>139</v>
      </c>
    </row>
    <row r="98" spans="3:54" x14ac:dyDescent="0.25">
      <c r="C98" s="22" t="s">
        <v>61</v>
      </c>
      <c r="D98" s="24">
        <f>1/((M56-G58)/2)*G58</f>
        <v>0.40966185553920026</v>
      </c>
      <c r="N98" s="6"/>
      <c r="P98" s="59"/>
      <c r="R98" s="1"/>
      <c r="AC98" s="6"/>
      <c r="AE98" s="97"/>
      <c r="AG98" s="1"/>
      <c r="AL98" s="10"/>
      <c r="AM98" s="17"/>
      <c r="AN98" s="33" t="s">
        <v>2</v>
      </c>
      <c r="AO98" s="10"/>
      <c r="AP98" s="35" t="s">
        <v>38</v>
      </c>
      <c r="AQ98" s="12" t="s">
        <v>38</v>
      </c>
      <c r="AR98" s="67" t="s">
        <v>38</v>
      </c>
      <c r="AZ98" t="s">
        <v>47</v>
      </c>
    </row>
    <row r="99" spans="3:54" x14ac:dyDescent="0.25">
      <c r="C99" s="22" t="s">
        <v>63</v>
      </c>
      <c r="D99" s="74">
        <f>2*1/(M56/1000-G58/1000)</f>
        <v>2.7310790369280018</v>
      </c>
      <c r="N99" s="6"/>
      <c r="P99" s="59"/>
      <c r="R99" s="1"/>
      <c r="AC99" s="6"/>
      <c r="AE99" s="97"/>
      <c r="AG99" s="1"/>
      <c r="AL99" t="s">
        <v>194</v>
      </c>
      <c r="AN99" s="84">
        <f>$G$62</f>
        <v>1388</v>
      </c>
      <c r="AP99" s="24">
        <f>$AA$65</f>
        <v>1.2251719467880455</v>
      </c>
      <c r="AQ99" s="24">
        <f>AP99*COS($L$18*PI()/180)</f>
        <v>1.0389437329908746</v>
      </c>
      <c r="AR99" s="93">
        <f>AQ99/$X$20</f>
        <v>0.34631457766362489</v>
      </c>
    </row>
    <row r="100" spans="3:54" x14ac:dyDescent="0.25">
      <c r="C100" s="23" t="s">
        <v>64</v>
      </c>
      <c r="D100" s="74">
        <f>2*D99</f>
        <v>5.4621580738560036</v>
      </c>
      <c r="N100" s="6"/>
      <c r="P100" s="59"/>
      <c r="R100" s="77" t="s">
        <v>162</v>
      </c>
      <c r="AC100" s="6"/>
      <c r="AE100" s="97"/>
      <c r="AG100" s="1"/>
      <c r="AL100" t="s">
        <v>84</v>
      </c>
      <c r="AN100" s="84">
        <f>$G$62</f>
        <v>1388</v>
      </c>
      <c r="AP100" s="24">
        <f>$AA$65</f>
        <v>1.2251719467880455</v>
      </c>
      <c r="AQ100" s="24">
        <f>AP100*COS($L$18*PI()/180)</f>
        <v>1.0389437329908746</v>
      </c>
      <c r="AR100" s="24">
        <f>AQ100/$X$20</f>
        <v>0.34631457766362489</v>
      </c>
      <c r="AS100" s="1"/>
    </row>
    <row r="101" spans="3:54" x14ac:dyDescent="0.25">
      <c r="C101" s="23" t="s">
        <v>65</v>
      </c>
      <c r="D101" s="74">
        <f>AA60*D98/(D100+D99)</f>
        <v>2.1870701330298864E-2</v>
      </c>
      <c r="E101" t="s">
        <v>51</v>
      </c>
      <c r="N101" s="6"/>
      <c r="P101" s="59"/>
      <c r="R101" s="1" t="s">
        <v>173</v>
      </c>
      <c r="S101" s="31"/>
      <c r="T101" s="31"/>
      <c r="U101" s="31"/>
      <c r="V101" s="31"/>
      <c r="AA101" s="1" t="s">
        <v>46</v>
      </c>
      <c r="AC101" s="6" t="s">
        <v>163</v>
      </c>
      <c r="AE101" s="97"/>
      <c r="AG101" s="1"/>
      <c r="AN101" s="1"/>
      <c r="AS101" s="1"/>
    </row>
    <row r="102" spans="3:54" x14ac:dyDescent="0.25">
      <c r="C102" s="1"/>
      <c r="N102" s="6"/>
      <c r="P102" s="59"/>
      <c r="R102" s="1"/>
      <c r="AC102" s="6" t="s">
        <v>164</v>
      </c>
      <c r="AE102" s="97"/>
      <c r="AG102" s="1"/>
      <c r="AS102" s="1"/>
    </row>
    <row r="103" spans="3:54" ht="18" x14ac:dyDescent="0.35">
      <c r="C103" s="23" t="s">
        <v>66</v>
      </c>
      <c r="D103" s="74">
        <f>-D101</f>
        <v>-2.1870701330298864E-2</v>
      </c>
      <c r="E103" t="s">
        <v>51</v>
      </c>
      <c r="N103" s="6"/>
      <c r="P103" s="59"/>
      <c r="R103" s="1"/>
      <c r="T103" s="2" t="s">
        <v>160</v>
      </c>
      <c r="U103" s="2" t="s">
        <v>161</v>
      </c>
      <c r="V103" s="2" t="s">
        <v>23</v>
      </c>
      <c r="W103" s="2" t="s">
        <v>24</v>
      </c>
      <c r="X103" s="14" t="s">
        <v>26</v>
      </c>
      <c r="Y103" s="2" t="s">
        <v>27</v>
      </c>
      <c r="Z103" s="2" t="s">
        <v>28</v>
      </c>
      <c r="AA103" s="14" t="s">
        <v>48</v>
      </c>
      <c r="AB103" s="2" t="s">
        <v>49</v>
      </c>
      <c r="AC103" s="71" t="s">
        <v>79</v>
      </c>
      <c r="AE103" s="97"/>
      <c r="AG103" s="1"/>
      <c r="AL103" s="64" t="s">
        <v>131</v>
      </c>
      <c r="AN103" s="65" t="s">
        <v>176</v>
      </c>
      <c r="AP103" s="32" t="s">
        <v>177</v>
      </c>
      <c r="AS103" s="1"/>
    </row>
    <row r="104" spans="3:54" ht="17.25" x14ac:dyDescent="0.25">
      <c r="C104" s="23" t="s">
        <v>67</v>
      </c>
      <c r="D104" s="24">
        <f>(D103+AA60*M56/1000)/(M56/1000-G58/1000)</f>
        <v>0.49714464053206986</v>
      </c>
      <c r="E104" t="s">
        <v>38</v>
      </c>
      <c r="N104" s="6"/>
      <c r="P104" s="59"/>
      <c r="R104" s="16"/>
      <c r="S104" s="10"/>
      <c r="T104" s="12" t="s">
        <v>2</v>
      </c>
      <c r="U104" s="12" t="s">
        <v>2</v>
      </c>
      <c r="V104" s="12" t="s">
        <v>2</v>
      </c>
      <c r="W104" s="12" t="s">
        <v>2</v>
      </c>
      <c r="X104" s="39" t="s">
        <v>31</v>
      </c>
      <c r="Y104" s="12" t="s">
        <v>31</v>
      </c>
      <c r="Z104" s="12" t="s">
        <v>32</v>
      </c>
      <c r="AA104" s="39" t="s">
        <v>18</v>
      </c>
      <c r="AB104" s="12" t="s">
        <v>18</v>
      </c>
      <c r="AC104" s="75" t="s">
        <v>18</v>
      </c>
      <c r="AE104" s="97"/>
      <c r="AG104" s="1"/>
      <c r="AL104" s="10"/>
      <c r="AM104" s="10"/>
      <c r="AN104" s="33" t="s">
        <v>38</v>
      </c>
      <c r="AO104" s="10"/>
      <c r="AP104" s="35" t="s">
        <v>51</v>
      </c>
      <c r="AS104" s="1"/>
    </row>
    <row r="105" spans="3:54" x14ac:dyDescent="0.25">
      <c r="C105" s="23" t="s">
        <v>68</v>
      </c>
      <c r="D105" s="24">
        <f>AA60-D104</f>
        <v>-5.9730613926092579E-2</v>
      </c>
      <c r="E105" t="s">
        <v>38</v>
      </c>
      <c r="N105" s="6"/>
      <c r="P105" s="59"/>
      <c r="R105" s="1" t="s">
        <v>52</v>
      </c>
      <c r="T105" s="18">
        <f>$U$17*1/(COS($L$18*PI()/180))</f>
        <v>14.976445047139856</v>
      </c>
      <c r="U105" s="24">
        <f>$W$17*1/(COS($L$18*PI()/180))</f>
        <v>1.4740595518838442</v>
      </c>
      <c r="V105" s="9">
        <f>V17</f>
        <v>12.7</v>
      </c>
      <c r="W105" s="81">
        <f>W17</f>
        <v>1.25</v>
      </c>
      <c r="X105" s="26">
        <f>2*V105*W105+2*(T105-2*W105)*U105</f>
        <v>68.53204599058077</v>
      </c>
      <c r="Y105" s="26">
        <f>X105*V105/(T105+V105)</f>
        <v>31.447571485353038</v>
      </c>
      <c r="Z105" s="26">
        <f>1/12*T105*V105^3-1/12*(T105-2*U105)*(V105-2*W105)^3</f>
        <v>1492.7449764401156</v>
      </c>
      <c r="AA105" s="70">
        <f>$Y$89*10^3/$Y$105</f>
        <v>0</v>
      </c>
      <c r="AB105" s="26">
        <f>$AA$89*10^6/$Z$105*$V$105/2</f>
        <v>0</v>
      </c>
      <c r="AC105" s="83">
        <f t="shared" ref="AC105" si="7">SQRT(AB105^2+3*AA105^2)</f>
        <v>0</v>
      </c>
      <c r="AE105" s="97"/>
      <c r="AG105" s="1"/>
      <c r="AL105" t="s">
        <v>194</v>
      </c>
      <c r="AN105" s="80">
        <f>AR99</f>
        <v>0.34631457766362489</v>
      </c>
      <c r="AP105" s="61">
        <f>AR99*AN99/1000</f>
        <v>0.48068463379711135</v>
      </c>
      <c r="AS105" s="1"/>
    </row>
    <row r="106" spans="3:54" ht="18" x14ac:dyDescent="0.35">
      <c r="C106" s="27" t="s">
        <v>155</v>
      </c>
      <c r="D106" s="74">
        <f>ABS(D103)*COS($L$18*PI()/180)</f>
        <v>1.854631763549526E-2</v>
      </c>
      <c r="E106" t="s">
        <v>51</v>
      </c>
      <c r="N106" s="6"/>
      <c r="P106" s="59"/>
      <c r="R106" s="1" t="s">
        <v>53</v>
      </c>
      <c r="T106" s="18">
        <f>$U$19*1/(COS($L$18*PI()/180))</f>
        <v>14.976445047139856</v>
      </c>
      <c r="U106" s="24">
        <f>$W$19*1/(COS($L$18*PI()/180))</f>
        <v>1.4740595518838442</v>
      </c>
      <c r="V106" s="9">
        <f>V19</f>
        <v>12.7</v>
      </c>
      <c r="W106" s="82">
        <f>W19</f>
        <v>1.25</v>
      </c>
      <c r="X106" s="26">
        <f>IF(R19=AH38,"",2*V106*W106+2*(T106-2*W106)*U106)</f>
        <v>68.53204599058077</v>
      </c>
      <c r="Y106" s="26">
        <f>IF(R19=AH38,"",X106*V106/(T106+V106))</f>
        <v>31.447571485353038</v>
      </c>
      <c r="Z106" s="26">
        <f xml:space="preserve">   IF(R19=AH38,"",        1/12*T106*V106^3-1/12*(T106-2*U106)*(V106-2*W106)^3)</f>
        <v>1492.7449764401156</v>
      </c>
      <c r="AA106" s="70">
        <f xml:space="preserve">    IF(R19=AH38,"",      $Y$90*10^3/$Y$106)</f>
        <v>0.6777380291881171</v>
      </c>
      <c r="AB106" s="26">
        <f xml:space="preserve"> IF(R19=AH38,"",            $AA$90*10^6/$Z$106*$V$17/2)</f>
        <v>79.994275539164022</v>
      </c>
      <c r="AC106" s="83">
        <f xml:space="preserve">  IF(R19=AH38,"", SQRT(AB106^2+3*AA106^2))</f>
        <v>80.002888107519709</v>
      </c>
      <c r="AE106" s="97"/>
      <c r="AG106" s="1"/>
      <c r="AL106" t="s">
        <v>84</v>
      </c>
      <c r="AN106" s="80">
        <f>AR100</f>
        <v>0.34631457766362489</v>
      </c>
      <c r="AP106" s="61">
        <f>AR100*AN100/1000</f>
        <v>0.48068463379711135</v>
      </c>
      <c r="AS106" s="1"/>
    </row>
    <row r="107" spans="3:54" ht="18" x14ac:dyDescent="0.35">
      <c r="C107" s="1" t="s">
        <v>156</v>
      </c>
      <c r="D107" s="24">
        <f>MAX(ABS(D104),ABS(D105))*COS($L$18*PI()/180)</f>
        <v>0.42157781201641437</v>
      </c>
      <c r="E107" t="s">
        <v>38</v>
      </c>
      <c r="N107" s="6"/>
      <c r="P107" s="59"/>
      <c r="R107" s="1"/>
      <c r="AC107" s="6"/>
      <c r="AE107" s="97"/>
      <c r="AG107" s="1"/>
      <c r="AN107" s="1"/>
      <c r="AS107" s="1"/>
    </row>
    <row r="108" spans="3:54" x14ac:dyDescent="0.25">
      <c r="C108" s="1"/>
      <c r="N108" s="6"/>
      <c r="P108" s="59"/>
      <c r="R108" s="16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7"/>
      <c r="AE108" s="97"/>
      <c r="AG108" s="1"/>
      <c r="AL108" s="64" t="s">
        <v>129</v>
      </c>
      <c r="AN108" s="1" t="s">
        <v>265</v>
      </c>
      <c r="AP108" s="1" t="s">
        <v>264</v>
      </c>
      <c r="AS108" s="1"/>
    </row>
    <row r="109" spans="3:54" ht="18" x14ac:dyDescent="0.35">
      <c r="C109" s="14" t="s">
        <v>157</v>
      </c>
      <c r="D109" s="24">
        <f>U27/U28*AB18/1000000</f>
        <v>0.39224888888888887</v>
      </c>
      <c r="E109" t="s">
        <v>51</v>
      </c>
      <c r="N109" s="6"/>
      <c r="P109" s="59"/>
      <c r="R109" s="1"/>
      <c r="AC109" s="6"/>
      <c r="AE109" s="97"/>
      <c r="AG109" s="1"/>
      <c r="AL109" t="s">
        <v>268</v>
      </c>
      <c r="AN109" s="14" t="s">
        <v>48</v>
      </c>
      <c r="AO109" s="2" t="s">
        <v>49</v>
      </c>
      <c r="AP109" s="99" t="s">
        <v>79</v>
      </c>
      <c r="AQ109" s="20" t="s">
        <v>81</v>
      </c>
      <c r="AR109" s="99" t="s">
        <v>140</v>
      </c>
      <c r="AS109" s="1"/>
      <c r="AV109" s="64" t="s">
        <v>285</v>
      </c>
      <c r="BB109" s="6"/>
    </row>
    <row r="110" spans="3:54" ht="18" x14ac:dyDescent="0.35">
      <c r="C110" s="1" t="s">
        <v>69</v>
      </c>
      <c r="H110" t="s">
        <v>158</v>
      </c>
      <c r="J110" s="24">
        <f>D106/D109</f>
        <v>4.728201445778682E-2</v>
      </c>
      <c r="N110" s="6"/>
      <c r="P110" s="59"/>
      <c r="R110" s="21" t="s">
        <v>87</v>
      </c>
      <c r="X110" s="13"/>
      <c r="Y110" s="13"/>
      <c r="Z110" s="13"/>
      <c r="AA110" s="15"/>
      <c r="AB110" s="13"/>
      <c r="AC110" s="6"/>
      <c r="AE110" s="97"/>
      <c r="AG110" s="1"/>
      <c r="AL110" s="10"/>
      <c r="AM110" s="10"/>
      <c r="AN110" s="39" t="s">
        <v>18</v>
      </c>
      <c r="AO110" s="12" t="s">
        <v>18</v>
      </c>
      <c r="AP110" s="39" t="s">
        <v>18</v>
      </c>
      <c r="AQ110" s="12" t="s">
        <v>18</v>
      </c>
      <c r="AR110" s="16"/>
      <c r="AS110" s="1"/>
      <c r="AX110" s="1" t="s">
        <v>46</v>
      </c>
      <c r="AZ110" t="s">
        <v>78</v>
      </c>
      <c r="BB110" s="6"/>
    </row>
    <row r="111" spans="3:54" ht="18" x14ac:dyDescent="0.35">
      <c r="C111" s="21" t="s">
        <v>153</v>
      </c>
      <c r="N111" s="6"/>
      <c r="P111" s="59"/>
      <c r="R111" s="1"/>
      <c r="W111" s="64" t="s">
        <v>111</v>
      </c>
      <c r="AC111" t="s">
        <v>88</v>
      </c>
      <c r="AD111" s="40"/>
      <c r="AE111" s="97"/>
      <c r="AF111" s="76"/>
      <c r="AG111" s="1"/>
      <c r="AL111" t="s">
        <v>194</v>
      </c>
      <c r="AN111" s="70">
        <f>$AN$105*10^3/$AP$91</f>
        <v>3.02018527032231</v>
      </c>
      <c r="AO111" s="26">
        <f>$AP$105*10^6/$AQ$92*($AP$84/2)</f>
        <v>136.0976023108044</v>
      </c>
      <c r="AP111" s="84">
        <f>FLOOR(SQRT(AO111^2+3*AN111^2),0.5)</f>
        <v>136</v>
      </c>
      <c r="AQ111" s="26">
        <f>IF($W$20&gt;=3,$X$29,$U$29)</f>
        <v>199.99999999999997</v>
      </c>
      <c r="AR111" s="138" t="str">
        <f>IF(AP111&lt;=AQ111,"ok","EJ OK")</f>
        <v>ok</v>
      </c>
      <c r="AS111" s="1"/>
      <c r="AX111" s="14" t="s">
        <v>48</v>
      </c>
      <c r="AY111" s="2" t="s">
        <v>49</v>
      </c>
      <c r="AZ111" s="20" t="s">
        <v>79</v>
      </c>
      <c r="BA111" s="20" t="s">
        <v>81</v>
      </c>
      <c r="BB111" s="71" t="s">
        <v>140</v>
      </c>
    </row>
    <row r="112" spans="3:54" ht="18" x14ac:dyDescent="0.35">
      <c r="C112" s="21"/>
      <c r="N112" s="6"/>
      <c r="P112" s="59"/>
      <c r="R112" s="1"/>
      <c r="Y112" s="14" t="s">
        <v>168</v>
      </c>
      <c r="AA112" s="32" t="s">
        <v>175</v>
      </c>
      <c r="AB112" s="2" t="s">
        <v>169</v>
      </c>
      <c r="AC112" s="32" t="s">
        <v>170</v>
      </c>
      <c r="AD112" s="1"/>
      <c r="AE112" s="97"/>
      <c r="AG112" s="1"/>
      <c r="AS112" s="1"/>
      <c r="AV112" s="10"/>
      <c r="AW112" s="10"/>
      <c r="AX112" s="39" t="s">
        <v>18</v>
      </c>
      <c r="AY112" s="12" t="s">
        <v>18</v>
      </c>
      <c r="AZ112" s="12" t="s">
        <v>18</v>
      </c>
      <c r="BA112" s="12" t="s">
        <v>18</v>
      </c>
      <c r="BB112" s="72"/>
    </row>
    <row r="113" spans="3:67" x14ac:dyDescent="0.25">
      <c r="C113" s="1"/>
      <c r="I113" s="1"/>
      <c r="N113" s="6"/>
      <c r="P113" s="59"/>
      <c r="R113" s="1"/>
      <c r="W113" s="10"/>
      <c r="X113" s="10"/>
      <c r="Y113" s="39" t="s">
        <v>2</v>
      </c>
      <c r="Z113" s="10"/>
      <c r="AA113" s="35" t="s">
        <v>38</v>
      </c>
      <c r="AB113" s="12" t="s">
        <v>38</v>
      </c>
      <c r="AC113" s="35" t="s">
        <v>38</v>
      </c>
      <c r="AD113" s="40"/>
      <c r="AE113" s="97"/>
      <c r="AG113" s="1"/>
      <c r="AL113" s="64" t="s">
        <v>129</v>
      </c>
      <c r="AN113" s="2" t="s">
        <v>262</v>
      </c>
      <c r="AO113" s="2" t="s">
        <v>263</v>
      </c>
      <c r="AP113" s="1" t="s">
        <v>266</v>
      </c>
      <c r="AS113" s="1"/>
      <c r="AV113" s="2"/>
    </row>
    <row r="114" spans="3:67" x14ac:dyDescent="0.25">
      <c r="C114" s="1"/>
      <c r="I114" s="63" t="s">
        <v>111</v>
      </c>
      <c r="N114" s="6"/>
      <c r="P114" s="59"/>
      <c r="R114" s="1"/>
      <c r="W114" t="s">
        <v>87</v>
      </c>
      <c r="Y114" s="84">
        <f>M58</f>
        <v>748.19847360457925</v>
      </c>
      <c r="AA114" s="24">
        <f>AA65</f>
        <v>1.2251719467880455</v>
      </c>
      <c r="AB114" s="24">
        <f>AA114*COS($L$18*PI()/180)</f>
        <v>1.0389437329908746</v>
      </c>
      <c r="AC114" s="61">
        <f>AB114/$X$20</f>
        <v>0.34631457766362489</v>
      </c>
      <c r="AD114" s="1"/>
      <c r="AE114" s="97"/>
      <c r="AG114" s="1"/>
      <c r="AL114" s="10" t="s">
        <v>267</v>
      </c>
      <c r="AM114" s="10"/>
      <c r="AN114" s="12" t="s">
        <v>38</v>
      </c>
      <c r="AO114" s="12" t="s">
        <v>51</v>
      </c>
      <c r="AP114" s="16"/>
      <c r="AQ114" s="10"/>
      <c r="AR114" s="17"/>
      <c r="AS114" s="1"/>
      <c r="AV114" t="s">
        <v>84</v>
      </c>
      <c r="AX114" s="70">
        <f>$AN$106*10^3/$AP$93</f>
        <v>0.95403464921108794</v>
      </c>
      <c r="AY114" s="26">
        <f>$AP$106*10^6/$AQ$94*($AP$84/2)</f>
        <v>190.21680670078081</v>
      </c>
      <c r="AZ114" s="26">
        <f>FLOOR(SQRT(AY114^2+3*AX114^2),0.5)</f>
        <v>190</v>
      </c>
      <c r="BA114" s="26">
        <f>IF($W$20&gt;=3,$X$29,$U$29)</f>
        <v>199.99999999999997</v>
      </c>
      <c r="BB114" s="73" t="str">
        <f>IF(AZ114&lt;=BA114,"ok","EJ OK")</f>
        <v>ok</v>
      </c>
    </row>
    <row r="115" spans="3:67" ht="18" x14ac:dyDescent="0.35">
      <c r="C115" s="1"/>
      <c r="I115" s="14" t="s">
        <v>134</v>
      </c>
      <c r="J115" s="31" t="s">
        <v>137</v>
      </c>
      <c r="K115" s="32" t="s">
        <v>135</v>
      </c>
      <c r="L115" s="2" t="s">
        <v>138</v>
      </c>
      <c r="M115" s="31" t="s">
        <v>139</v>
      </c>
      <c r="N115" s="6"/>
      <c r="P115" s="59"/>
      <c r="R115" s="1"/>
      <c r="Y115" s="1"/>
      <c r="AD115" s="1"/>
      <c r="AE115" s="97"/>
      <c r="AG115" s="1"/>
      <c r="AL115" t="s">
        <v>84</v>
      </c>
      <c r="AN115" s="24">
        <f>$AP$94*(IF($W$20&lt;3,$U$27,$X$27)/(SQRT(3)*$U$28))/1000</f>
        <v>41.915629543166823</v>
      </c>
      <c r="AO115" s="24">
        <f>AR94/U28*(IF(W20&lt;3,U27,X27))/1000000</f>
        <v>0.69681999999999988</v>
      </c>
      <c r="AP115" s="1"/>
      <c r="AQ115" s="24">
        <f>AN106/AN115+AP106/AO115</f>
        <v>0.69808829791503935</v>
      </c>
      <c r="AR115" s="138" t="str">
        <f>IF(AQ115&lt;=1,"ok","EJ OK")</f>
        <v>ok</v>
      </c>
      <c r="AS115" s="1"/>
    </row>
    <row r="116" spans="3:67" x14ac:dyDescent="0.25">
      <c r="C116" s="1"/>
      <c r="I116" s="33" t="s">
        <v>2</v>
      </c>
      <c r="J116" s="32" t="s">
        <v>50</v>
      </c>
      <c r="K116" s="32" t="s">
        <v>38</v>
      </c>
      <c r="L116" s="12" t="s">
        <v>38</v>
      </c>
      <c r="M116" s="32" t="s">
        <v>38</v>
      </c>
      <c r="N116" s="6"/>
      <c r="P116" s="59"/>
      <c r="R116" s="1"/>
      <c r="W116" s="64" t="s">
        <v>131</v>
      </c>
      <c r="Y116" s="1" t="s">
        <v>89</v>
      </c>
      <c r="AA116" s="2" t="s">
        <v>90</v>
      </c>
      <c r="AD116" s="1"/>
      <c r="AE116" s="97"/>
      <c r="AS116" s="1"/>
    </row>
    <row r="117" spans="3:67" x14ac:dyDescent="0.25">
      <c r="C117" s="1"/>
      <c r="I117" s="55">
        <f>$M$56</f>
        <v>882.31128537739392</v>
      </c>
      <c r="J117" s="68">
        <f>X18*J83/(X17*J82+X18*J83+X19*J84)</f>
        <v>0.38457066217012931</v>
      </c>
      <c r="K117" s="68">
        <f>$AA$65*J117</f>
        <v>0.47116518684854508</v>
      </c>
      <c r="L117" s="24">
        <f>K117*COS($L$18*PI()/180)</f>
        <v>0.39954727935380663</v>
      </c>
      <c r="M117" s="68">
        <f>L117/X18</f>
        <v>0.19977363967690331</v>
      </c>
      <c r="N117" s="6"/>
      <c r="P117" s="59"/>
      <c r="R117" s="1"/>
      <c r="W117" s="10"/>
      <c r="X117" s="10"/>
      <c r="Y117" s="16"/>
      <c r="Z117" s="10"/>
      <c r="AA117" s="12" t="s">
        <v>51</v>
      </c>
      <c r="AD117" s="1"/>
      <c r="AE117" s="97"/>
      <c r="AS117" s="1"/>
    </row>
    <row r="118" spans="3:67" ht="18" x14ac:dyDescent="0.35">
      <c r="C118" s="1"/>
      <c r="I118" s="1"/>
      <c r="N118" s="6"/>
      <c r="P118" s="59"/>
      <c r="R118" s="1"/>
      <c r="U118" s="64"/>
      <c r="W118" t="s">
        <v>87</v>
      </c>
      <c r="Y118" s="1" t="s">
        <v>171</v>
      </c>
      <c r="AA118" s="24">
        <f>AC114*Y114/1000/2</f>
        <v>0.12955601919746934</v>
      </c>
      <c r="AD118" s="1"/>
      <c r="AE118" s="97"/>
      <c r="AG118" s="3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1"/>
    </row>
    <row r="119" spans="3:67" x14ac:dyDescent="0.25">
      <c r="C119" s="1"/>
      <c r="I119" s="63" t="s">
        <v>131</v>
      </c>
      <c r="N119" s="6"/>
      <c r="P119" s="59"/>
      <c r="R119" s="1"/>
      <c r="Y119" s="1"/>
      <c r="AC119" s="6"/>
      <c r="AE119" s="97"/>
      <c r="AG119" s="21" t="s">
        <v>92</v>
      </c>
      <c r="AL119" s="64" t="s">
        <v>111</v>
      </c>
      <c r="AR119" s="6"/>
    </row>
    <row r="120" spans="3:67" ht="18" x14ac:dyDescent="0.35">
      <c r="C120" s="1"/>
      <c r="I120" s="65" t="s">
        <v>136</v>
      </c>
      <c r="K120" s="32" t="s">
        <v>154</v>
      </c>
      <c r="L120" s="28"/>
      <c r="N120" s="6"/>
      <c r="P120" s="59"/>
      <c r="R120" s="1"/>
      <c r="W120" s="64" t="s">
        <v>129</v>
      </c>
      <c r="Y120" s="1"/>
      <c r="AA120" t="s">
        <v>167</v>
      </c>
      <c r="AC120" s="6"/>
      <c r="AE120" s="97"/>
      <c r="AG120" s="1"/>
      <c r="AN120" s="14" t="s">
        <v>174</v>
      </c>
      <c r="AO120" s="2" t="s">
        <v>192</v>
      </c>
      <c r="AP120" s="32" t="s">
        <v>135</v>
      </c>
      <c r="AQ120" s="2" t="s">
        <v>138</v>
      </c>
      <c r="AR120" s="98" t="s">
        <v>139</v>
      </c>
    </row>
    <row r="121" spans="3:67" ht="18" x14ac:dyDescent="0.35">
      <c r="C121" s="1"/>
      <c r="I121" s="65" t="s">
        <v>38</v>
      </c>
      <c r="K121" s="32" t="s">
        <v>51</v>
      </c>
      <c r="L121" s="28"/>
      <c r="N121" s="6"/>
      <c r="P121" s="59"/>
      <c r="R121" s="1"/>
      <c r="Y121" s="14" t="s">
        <v>91</v>
      </c>
      <c r="Z121" s="14" t="s">
        <v>48</v>
      </c>
      <c r="AA121" s="20" t="s">
        <v>79</v>
      </c>
      <c r="AB121" s="20" t="s">
        <v>81</v>
      </c>
      <c r="AC121" s="71" t="s">
        <v>140</v>
      </c>
      <c r="AE121" s="97"/>
      <c r="AG121" s="1"/>
      <c r="AL121" s="10"/>
      <c r="AM121" s="10"/>
      <c r="AN121" s="39" t="s">
        <v>2</v>
      </c>
      <c r="AO121" s="12" t="s">
        <v>2</v>
      </c>
      <c r="AP121" s="35" t="s">
        <v>38</v>
      </c>
      <c r="AQ121" s="12" t="s">
        <v>38</v>
      </c>
      <c r="AR121" s="67" t="s">
        <v>38</v>
      </c>
    </row>
    <row r="122" spans="3:67" ht="17.25" x14ac:dyDescent="0.25">
      <c r="C122" s="1"/>
      <c r="I122" s="69">
        <f>M117</f>
        <v>0.19977363967690331</v>
      </c>
      <c r="J122" s="4"/>
      <c r="K122" s="132">
        <f>M117*I117/1000</f>
        <v>0.1762625368078489</v>
      </c>
      <c r="L122" s="29"/>
      <c r="N122" s="6"/>
      <c r="P122" s="59"/>
      <c r="R122" s="1"/>
      <c r="W122" s="10"/>
      <c r="X122" s="10"/>
      <c r="Y122" s="75" t="s">
        <v>31</v>
      </c>
      <c r="Z122" s="39" t="s">
        <v>18</v>
      </c>
      <c r="AA122" s="12" t="s">
        <v>18</v>
      </c>
      <c r="AB122" s="12" t="s">
        <v>18</v>
      </c>
      <c r="AC122" s="72"/>
      <c r="AE122" s="97"/>
      <c r="AG122" s="1"/>
      <c r="AL122" t="s">
        <v>193</v>
      </c>
      <c r="AN122" s="85">
        <f>G62</f>
        <v>1388</v>
      </c>
      <c r="AO122" s="9">
        <f>G63</f>
        <v>60</v>
      </c>
      <c r="AP122" s="24">
        <f>$AA$65</f>
        <v>1.2251719467880455</v>
      </c>
      <c r="AQ122" s="24">
        <f>AP122*COS($L$18*PI()/180)</f>
        <v>1.0389437329908746</v>
      </c>
      <c r="AR122" s="93">
        <f>AQ122/$X$20</f>
        <v>0.34631457766362489</v>
      </c>
      <c r="AW122" s="38"/>
    </row>
    <row r="123" spans="3:67" x14ac:dyDescent="0.25">
      <c r="C123" s="1"/>
      <c r="I123" s="1"/>
      <c r="N123" s="6"/>
      <c r="P123" s="59"/>
      <c r="R123" s="1"/>
      <c r="W123" t="s">
        <v>87</v>
      </c>
      <c r="Y123" s="85">
        <f>(U16-W16)*(V16-W16)</f>
        <v>1344</v>
      </c>
      <c r="Z123" s="86">
        <f>AA118*1000000/(2*W16*Y123)</f>
        <v>24.098961904291173</v>
      </c>
      <c r="AA123" s="26">
        <f>FLOOR(SQRT(3*Z123^2),0.5)</f>
        <v>41.5</v>
      </c>
      <c r="AB123" s="18">
        <f>$U$27/$U$28</f>
        <v>199.99999999999997</v>
      </c>
      <c r="AC123" s="73" t="str">
        <f>IF(AA123&lt;=AB123,"ok","EJ OK")</f>
        <v>ok</v>
      </c>
      <c r="AE123" s="97"/>
      <c r="AG123" s="1"/>
      <c r="AR123" s="6"/>
    </row>
    <row r="124" spans="3:67" x14ac:dyDescent="0.25">
      <c r="C124" s="1"/>
      <c r="I124" s="63" t="s">
        <v>129</v>
      </c>
      <c r="N124" s="6"/>
      <c r="P124" s="59"/>
      <c r="R124" s="1"/>
      <c r="AC124" s="6"/>
      <c r="AE124" s="97"/>
      <c r="AG124" s="1"/>
      <c r="AL124" s="64" t="s">
        <v>131</v>
      </c>
      <c r="AN124" s="1"/>
      <c r="AR124" s="6"/>
    </row>
    <row r="125" spans="3:67" ht="18" x14ac:dyDescent="0.35">
      <c r="C125" s="1"/>
      <c r="I125" s="1" t="s">
        <v>46</v>
      </c>
      <c r="K125" t="s">
        <v>78</v>
      </c>
      <c r="N125" s="6"/>
      <c r="P125" s="59"/>
      <c r="R125" s="1"/>
      <c r="AC125" s="6"/>
      <c r="AE125" s="97"/>
      <c r="AG125" s="1"/>
      <c r="AN125" s="14" t="s">
        <v>250</v>
      </c>
      <c r="AO125" s="2" t="s">
        <v>251</v>
      </c>
      <c r="AR125" s="6"/>
    </row>
    <row r="126" spans="3:67" ht="18" x14ac:dyDescent="0.35">
      <c r="C126" s="1"/>
      <c r="I126" s="14" t="s">
        <v>48</v>
      </c>
      <c r="J126" s="2" t="s">
        <v>49</v>
      </c>
      <c r="K126" s="20" t="s">
        <v>79</v>
      </c>
      <c r="L126" s="20" t="s">
        <v>159</v>
      </c>
      <c r="N126" s="71" t="s">
        <v>140</v>
      </c>
      <c r="P126" s="59"/>
      <c r="R126" s="1"/>
      <c r="AC126" s="6"/>
      <c r="AE126" s="97"/>
      <c r="AG126" s="1"/>
      <c r="AL126" s="10"/>
      <c r="AM126" s="10"/>
      <c r="AN126" s="39" t="s">
        <v>38</v>
      </c>
      <c r="AO126" s="12" t="s">
        <v>38</v>
      </c>
      <c r="AR126" s="6"/>
      <c r="BM126" s="2"/>
      <c r="BN126" s="20"/>
      <c r="BO126" s="20"/>
    </row>
    <row r="127" spans="3:67" x14ac:dyDescent="0.25">
      <c r="C127" s="1"/>
      <c r="I127" s="39" t="s">
        <v>18</v>
      </c>
      <c r="J127" s="12" t="s">
        <v>18</v>
      </c>
      <c r="K127" s="12" t="s">
        <v>18</v>
      </c>
      <c r="L127" s="12" t="s">
        <v>18</v>
      </c>
      <c r="N127" s="72"/>
      <c r="P127" s="59"/>
      <c r="R127" s="1"/>
      <c r="AC127" s="6"/>
      <c r="AE127" s="97"/>
      <c r="AG127" s="1"/>
      <c r="AL127" t="s">
        <v>193</v>
      </c>
      <c r="AN127" s="70">
        <f>AR122*(AN122/1000+AO132/1000)/(AO132/1000)</f>
        <v>9.3840051103242796</v>
      </c>
      <c r="AO127" s="24">
        <f>AR122*(AN122/1000)/(AO132/1000)</f>
        <v>9.0376905326606529</v>
      </c>
      <c r="AR127" s="6"/>
      <c r="BM127" s="2"/>
      <c r="BN127" s="2"/>
      <c r="BO127" s="2"/>
    </row>
    <row r="128" spans="3:67" x14ac:dyDescent="0.25">
      <c r="C128" s="1"/>
      <c r="I128" s="70">
        <f>$I$122*10^3/$Z$18</f>
        <v>1.7836932114009225</v>
      </c>
      <c r="J128" s="26">
        <f>$K$122*10^6/$AA$18*($V$18/2)</f>
        <v>89.872803620753245</v>
      </c>
      <c r="K128" s="26">
        <f>FLOOR(SQRT(J128^2+3*I128^2),0.5)</f>
        <v>89.5</v>
      </c>
      <c r="L128" s="18">
        <f>$U$27/$U$28</f>
        <v>199.99999999999997</v>
      </c>
      <c r="N128" s="73" t="str">
        <f>IF(K128&lt;=L128,"ok","EJ OK")</f>
        <v>ok</v>
      </c>
      <c r="P128" s="59"/>
      <c r="R128" s="1"/>
      <c r="AC128" s="6"/>
      <c r="AE128" s="97"/>
      <c r="AG128" s="1"/>
      <c r="AR128" s="6"/>
    </row>
    <row r="129" spans="3:44" ht="18" x14ac:dyDescent="0.35">
      <c r="C129" s="1"/>
      <c r="I129" s="1"/>
      <c r="N129" s="6"/>
      <c r="P129" s="59"/>
      <c r="R129" s="1"/>
      <c r="AC129" s="6"/>
      <c r="AE129" s="97"/>
      <c r="AG129" s="1"/>
      <c r="AP129" s="1" t="s">
        <v>198</v>
      </c>
      <c r="AR129" s="6"/>
    </row>
    <row r="130" spans="3:44" ht="18" x14ac:dyDescent="0.35">
      <c r="C130" s="1"/>
      <c r="N130" s="6"/>
      <c r="P130" s="59"/>
      <c r="R130" s="1"/>
      <c r="AC130" s="6"/>
      <c r="AE130" s="97"/>
      <c r="AG130" s="1"/>
      <c r="AL130" s="64" t="s">
        <v>129</v>
      </c>
      <c r="AN130" s="99" t="s">
        <v>207</v>
      </c>
      <c r="AO130" s="2" t="s">
        <v>94</v>
      </c>
      <c r="AP130" s="14" t="s">
        <v>199</v>
      </c>
      <c r="AQ130" s="2" t="s">
        <v>200</v>
      </c>
      <c r="AR130" s="71" t="s">
        <v>80</v>
      </c>
    </row>
    <row r="131" spans="3:44" ht="18" x14ac:dyDescent="0.35">
      <c r="C131" s="1"/>
      <c r="D131" t="s">
        <v>133</v>
      </c>
      <c r="J131" t="s">
        <v>145</v>
      </c>
      <c r="K131" s="24">
        <f>AA65-K117</f>
        <v>0.75400675993950039</v>
      </c>
      <c r="L131" t="s">
        <v>38</v>
      </c>
      <c r="N131" s="6"/>
      <c r="P131" s="59"/>
      <c r="R131" s="1"/>
      <c r="AC131" s="6"/>
      <c r="AE131" s="97"/>
      <c r="AG131" s="1"/>
      <c r="AL131" s="10"/>
      <c r="AM131" s="17"/>
      <c r="AN131" s="39" t="s">
        <v>2</v>
      </c>
      <c r="AO131" s="12" t="s">
        <v>2</v>
      </c>
      <c r="AP131" s="39" t="s">
        <v>38</v>
      </c>
      <c r="AQ131" s="12" t="s">
        <v>38</v>
      </c>
      <c r="AR131" s="72"/>
    </row>
    <row r="132" spans="3:44" x14ac:dyDescent="0.25">
      <c r="C132" s="1"/>
      <c r="N132" s="6"/>
      <c r="P132" s="59"/>
      <c r="R132" s="1"/>
      <c r="AC132" s="6"/>
      <c r="AE132" s="97"/>
      <c r="AG132" s="1"/>
      <c r="AL132" t="s">
        <v>193</v>
      </c>
      <c r="AN132" s="86">
        <f>AQ132*1000/(U22*AA27/AA28)</f>
        <v>13.626666666666665</v>
      </c>
      <c r="AO132" s="18">
        <f>AO122-0.5*AN132</f>
        <v>53.186666666666667</v>
      </c>
      <c r="AP132" s="85">
        <f>K65</f>
        <v>14.6</v>
      </c>
      <c r="AQ132" s="9">
        <f>AP132</f>
        <v>14.6</v>
      </c>
      <c r="AR132" s="73" t="str">
        <f>IF(AND(AP132&gt;=AN127,AQ132&gt;=AO127),"ok","ej ok")</f>
        <v>ok</v>
      </c>
    </row>
    <row r="133" spans="3:44" x14ac:dyDescent="0.25"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7"/>
      <c r="P133" s="59"/>
      <c r="R133" s="16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7"/>
      <c r="AE133" s="97"/>
      <c r="AG133" s="16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7"/>
    </row>
    <row r="141" spans="3:44" x14ac:dyDescent="0.25">
      <c r="C141" s="31"/>
      <c r="D141" s="103"/>
    </row>
    <row r="148" spans="5:13" x14ac:dyDescent="0.25">
      <c r="E148" s="2"/>
      <c r="F148" s="31"/>
      <c r="G148" s="32"/>
      <c r="H148" s="2"/>
      <c r="I148" s="103"/>
      <c r="L148" s="28"/>
      <c r="M148" s="28"/>
    </row>
    <row r="149" spans="5:13" x14ac:dyDescent="0.25">
      <c r="E149" s="32"/>
      <c r="F149" s="32"/>
      <c r="G149" s="32"/>
      <c r="H149" s="2"/>
      <c r="I149" s="28"/>
      <c r="L149" s="28"/>
      <c r="M149" s="28"/>
    </row>
    <row r="151" spans="5:13" x14ac:dyDescent="0.25">
      <c r="L151" s="29"/>
      <c r="M151" s="29"/>
    </row>
    <row r="152" spans="5:13" x14ac:dyDescent="0.25">
      <c r="L152" s="29"/>
      <c r="M152" s="29"/>
    </row>
    <row r="153" spans="5:13" x14ac:dyDescent="0.25">
      <c r="E153" s="32"/>
      <c r="F153" s="118"/>
      <c r="G153" s="118"/>
      <c r="H153" s="118"/>
    </row>
  </sheetData>
  <sheetProtection algorithmName="SHA-512" hashValue="jbtgMVVjR/t17jeH6MB84SCd5dbrXn8/526iINx1QImSSEzIYkE8EA2/uF/W2y1mZFWpv7mLgXBQqYWQYphAKw==" saltValue="2Iq+3O0vPWQq3miNgtY6mw==" spinCount="100000" sheet="1" objects="1" scenarios="1"/>
  <mergeCells count="44">
    <mergeCell ref="V72:Z72"/>
    <mergeCell ref="R19:S19"/>
    <mergeCell ref="G13:H13"/>
    <mergeCell ref="AQ74:AR74"/>
    <mergeCell ref="AK76:AO76"/>
    <mergeCell ref="AQ76:AR76"/>
    <mergeCell ref="M73:N73"/>
    <mergeCell ref="M74:N74"/>
    <mergeCell ref="AK71:AO71"/>
    <mergeCell ref="AQ71:AR71"/>
    <mergeCell ref="AK72:AO72"/>
    <mergeCell ref="AQ72:AR72"/>
    <mergeCell ref="AQ73:AR73"/>
    <mergeCell ref="G76:K76"/>
    <mergeCell ref="M76:N76"/>
    <mergeCell ref="G72:K72"/>
    <mergeCell ref="M72:N72"/>
    <mergeCell ref="G4:K4"/>
    <mergeCell ref="M4:N4"/>
    <mergeCell ref="G5:K5"/>
    <mergeCell ref="M5:N5"/>
    <mergeCell ref="M6:N6"/>
    <mergeCell ref="G9:K9"/>
    <mergeCell ref="M9:N9"/>
    <mergeCell ref="G71:K71"/>
    <mergeCell ref="M71:N71"/>
    <mergeCell ref="M7:N7"/>
    <mergeCell ref="F65:H65"/>
    <mergeCell ref="AM3:AP3"/>
    <mergeCell ref="AB72:AC72"/>
    <mergeCell ref="AB73:AC73"/>
    <mergeCell ref="AB74:AC74"/>
    <mergeCell ref="V76:Z76"/>
    <mergeCell ref="AB76:AC76"/>
    <mergeCell ref="AB9:AC9"/>
    <mergeCell ref="V71:Z71"/>
    <mergeCell ref="AB71:AC71"/>
    <mergeCell ref="AB4:AC4"/>
    <mergeCell ref="V5:Z5"/>
    <mergeCell ref="AB5:AC5"/>
    <mergeCell ref="AB6:AC6"/>
    <mergeCell ref="AB7:AC7"/>
    <mergeCell ref="V4:Z4"/>
    <mergeCell ref="V9:Z9"/>
  </mergeCells>
  <conditionalFormatting sqref="C52">
    <cfRule type="cellIs" dxfId="7" priority="23" operator="equal">
      <formula>$AX$28</formula>
    </cfRule>
  </conditionalFormatting>
  <conditionalFormatting sqref="R60">
    <cfRule type="expression" dxfId="6" priority="3">
      <formula>$AA$61&lt;$AA$60</formula>
    </cfRule>
  </conditionalFormatting>
  <conditionalFormatting sqref="AC61">
    <cfRule type="cellIs" dxfId="5" priority="5" operator="notEqual">
      <formula>"ok"</formula>
    </cfRule>
  </conditionalFormatting>
  <conditionalFormatting sqref="AC96:AC97">
    <cfRule type="cellIs" dxfId="4" priority="11" operator="notEqual">
      <formula>"ok"</formula>
    </cfRule>
  </conditionalFormatting>
  <conditionalFormatting sqref="AC123">
    <cfRule type="cellIs" dxfId="3" priority="10" operator="notEqual">
      <formula>"ok"</formula>
    </cfRule>
  </conditionalFormatting>
  <conditionalFormatting sqref="AR111 AR115 N128">
    <cfRule type="cellIs" dxfId="2" priority="13" operator="notEqual">
      <formula>"ok"</formula>
    </cfRule>
  </conditionalFormatting>
  <conditionalFormatting sqref="AR132">
    <cfRule type="cellIs" dxfId="1" priority="7" operator="notEqual">
      <formula>"ok"</formula>
    </cfRule>
  </conditionalFormatting>
  <conditionalFormatting sqref="BB114">
    <cfRule type="cellIs" dxfId="0" priority="1" operator="notEqual">
      <formula>"ok"</formula>
    </cfRule>
  </conditionalFormatting>
  <dataValidations count="10">
    <dataValidation type="decimal" allowBlank="1" showInputMessage="1" showErrorMessage="1" errorTitle="Lastfordeling" error="Skal være mindre end 1" promptTitle="Skal være mindre end 1" sqref="W60" xr:uid="{0952AA0C-1980-4673-8D0D-CE2F3721EE9F}">
      <formula1>0</formula1>
      <formula2>1</formula2>
    </dataValidation>
    <dataValidation type="decimal" operator="greaterThan" allowBlank="1" showInputMessage="1" showErrorMessage="1" sqref="AQ14" xr:uid="{C929895E-57B8-49D9-B046-E11D94CD4ACB}">
      <formula1>1</formula1>
    </dataValidation>
    <dataValidation type="list" allowBlank="1" showInputMessage="1" showErrorMessage="1" sqref="F65" xr:uid="{C4A0BEEA-C8F2-45D4-99F9-2CBBDBAABD6E}">
      <formula1>$AH$57:$AH$58</formula1>
    </dataValidation>
    <dataValidation type="list" allowBlank="1" showInputMessage="1" showErrorMessage="1" sqref="G15" xr:uid="{C6D26CEF-C9D2-4FEE-9F8B-423B3B57A7AD}">
      <formula1>$BD$39:$BD$41</formula1>
    </dataValidation>
    <dataValidation type="whole" operator="lessThanOrEqual" allowBlank="1" showInputMessage="1" showErrorMessage="1" errorTitle="DS/EN 1991" error="Lasthøjde maks 1200 mm " sqref="G56" xr:uid="{55CC13AE-ED56-4B06-A4AD-DEA7F255E7C2}">
      <formula1>1200</formula1>
    </dataValidation>
    <dataValidation type="list" allowBlank="1" showInputMessage="1" showErrorMessage="1" sqref="G54" xr:uid="{7A1FA380-910A-418A-B291-73E29E881994}">
      <formula1>$BL$18:$BL$21</formula1>
    </dataValidation>
    <dataValidation type="list" allowBlank="1" showInputMessage="1" showErrorMessage="1" sqref="L54" xr:uid="{7FFED8D3-E0E8-4161-8A49-311DD7A0A4DE}">
      <formula1>$BN$18:$BN$21</formula1>
    </dataValidation>
    <dataValidation type="list" allowBlank="1" showInputMessage="1" showErrorMessage="1" sqref="R19" xr:uid="{CCC20898-00E8-4B1F-9172-DCFAF95BBFD5}">
      <formula1>$BE$30:$BE$31</formula1>
    </dataValidation>
    <dataValidation type="list" allowBlank="1" showInputMessage="1" showErrorMessage="1" sqref="G13" xr:uid="{329D73B5-C2F3-4021-950E-7F9ED5A2C73A}">
      <formula1>$AW$43:$AW$44</formula1>
    </dataValidation>
    <dataValidation type="decimal" operator="greaterThanOrEqual" allowBlank="1" showInputMessage="1" showErrorMessage="1" sqref="AO21" xr:uid="{CD81AC0F-A752-427C-989C-3607309C42BC}">
      <formula1>0.5</formula1>
    </dataValidation>
  </dataValidations>
  <pageMargins left="0.7" right="0.7" top="0.75" bottom="0.75" header="0.3" footer="0.3"/>
  <pageSetup paperSize="9" scale="71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Navngivne områder</vt:lpstr>
      </vt:variant>
      <vt:variant>
        <vt:i4>1</vt:i4>
      </vt:variant>
    </vt:vector>
  </HeadingPairs>
  <TitlesOfParts>
    <vt:vector size="2" baseType="lpstr">
      <vt:lpstr>Ark1</vt:lpstr>
      <vt:lpstr>'Ark1'!Udskriftsområde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Kristensen, Peder Bjerre</dc:creator>
  <cp:lastModifiedBy>Laugesen, Kristian Damgaard</cp:lastModifiedBy>
  <cp:lastPrinted>2023-09-01T08:49:02Z</cp:lastPrinted>
  <dcterms:created xsi:type="dcterms:W3CDTF">2022-05-06T09:30:13Z</dcterms:created>
  <dcterms:modified xsi:type="dcterms:W3CDTF">2025-08-22T13:03:05Z</dcterms:modified>
</cp:coreProperties>
</file>