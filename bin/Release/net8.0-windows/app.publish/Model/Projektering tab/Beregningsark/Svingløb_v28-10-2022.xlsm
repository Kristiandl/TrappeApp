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2.xml" ContentType="application/vnd.openxmlformats-officedocument.drawing+xml"/>
  <Override PartName="/xl/charts/chart1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3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4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5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Denne_projektmappe" defaultThemeVersion="166925"/>
  <mc:AlternateContent xmlns:mc="http://schemas.openxmlformats.org/markup-compatibility/2006">
    <mc:Choice Requires="x15">
      <x15ac:absPath xmlns:x15ac="http://schemas.microsoft.com/office/spreadsheetml/2010/11/ac" url="https://crhemea-my.sharepoint.com/personal/kdl_crhconcrete_dk/Documents/Dokumenter/Udvikling/Dalton_Trapper/Dalton_Trapper/TrappeApp/Model/Projektering tab/Beregningsark/"/>
    </mc:Choice>
  </mc:AlternateContent>
  <xr:revisionPtr revIDLastSave="82" documentId="13_ncr:1_{B000AB68-175C-4059-A93B-E13770F66A2D}" xr6:coauthVersionLast="47" xr6:coauthVersionMax="47" xr10:uidLastSave="{94F75233-8FDC-484A-8DCD-4E8A6CF23178}"/>
  <bookViews>
    <workbookView xWindow="28695" yWindow="0" windowWidth="29010" windowHeight="23385" xr2:uid="{8501B872-89DC-4288-9428-EBE998F4565F}"/>
  </bookViews>
  <sheets>
    <sheet name="A" sheetId="1" r:id="rId1"/>
    <sheet name="Snitkræfter" sheetId="2" r:id="rId2"/>
  </sheets>
  <definedNames>
    <definedName name="_xlnm.Print_Area" localSheetId="0">A!$A$1:$S$566</definedName>
    <definedName name="_xlnm.Print_Titles" localSheetId="0">A!$1:$6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149" i="1" l="1"/>
  <c r="AE144" i="1"/>
  <c r="AE115" i="1"/>
  <c r="AE146" i="1"/>
  <c r="AE112" i="1"/>
  <c r="AE122" i="1"/>
  <c r="AE145" i="1"/>
  <c r="AE147" i="1" l="1"/>
  <c r="AE143" i="1"/>
  <c r="AE142" i="1"/>
  <c r="AE116" i="1"/>
  <c r="AE120" i="1"/>
  <c r="AE121" i="1"/>
  <c r="AF111" i="1"/>
  <c r="W110" i="1"/>
  <c r="AE141" i="1" s="1"/>
  <c r="CF93" i="1"/>
  <c r="N398" i="1"/>
  <c r="M398" i="1"/>
  <c r="K398" i="1"/>
  <c r="J398" i="1"/>
  <c r="I398" i="1"/>
  <c r="G398" i="1"/>
  <c r="F398" i="1"/>
  <c r="N330" i="1"/>
  <c r="M330" i="1"/>
  <c r="K330" i="1"/>
  <c r="J330" i="1"/>
  <c r="I330" i="1"/>
  <c r="G330" i="1"/>
  <c r="F330" i="1"/>
  <c r="N263" i="1"/>
  <c r="M263" i="1"/>
  <c r="K263" i="1"/>
  <c r="J263" i="1"/>
  <c r="I263" i="1"/>
  <c r="G263" i="1"/>
  <c r="F263" i="1"/>
  <c r="J199" i="1"/>
  <c r="I199" i="1"/>
  <c r="G199" i="1"/>
  <c r="F199" i="1"/>
  <c r="N190" i="1"/>
  <c r="K199" i="1"/>
  <c r="M199" i="1"/>
  <c r="N199" i="1" s="1"/>
  <c r="AC80" i="1"/>
  <c r="AC81" i="1"/>
  <c r="O88" i="1"/>
  <c r="AE86" i="1"/>
  <c r="AD86" i="1"/>
  <c r="AB86" i="1" l="1"/>
  <c r="AB85" i="1"/>
  <c r="AB84" i="1"/>
  <c r="AB83" i="1"/>
  <c r="AB82" i="1"/>
  <c r="AB81" i="1"/>
  <c r="AB80" i="1"/>
  <c r="I112" i="1"/>
  <c r="I110" i="1"/>
  <c r="I109" i="1"/>
  <c r="M99" i="1"/>
  <c r="J93" i="1"/>
  <c r="J88" i="1"/>
  <c r="J87" i="1"/>
  <c r="J85" i="1"/>
  <c r="J84" i="1"/>
  <c r="J83" i="1"/>
  <c r="AE83" i="1"/>
  <c r="AE84" i="1"/>
  <c r="AE85" i="1"/>
  <c r="AD83" i="1"/>
  <c r="AD84" i="1"/>
  <c r="AD85" i="1"/>
  <c r="AF33" i="1" l="1"/>
  <c r="AH33" i="1" s="1"/>
  <c r="AC33" i="1"/>
  <c r="AE33" i="1" s="1"/>
  <c r="AF32" i="1"/>
  <c r="AC32" i="1"/>
  <c r="AB34" i="1"/>
  <c r="AF34" i="1" s="1"/>
  <c r="AA34" i="1"/>
  <c r="AC34" i="1" s="1"/>
  <c r="AB32" i="1"/>
  <c r="AA32" i="1"/>
  <c r="AC30" i="1"/>
  <c r="AD30" i="1" s="1"/>
  <c r="AD29" i="1"/>
  <c r="AF29" i="1" s="1"/>
  <c r="AC28" i="1"/>
  <c r="AF28" i="1" s="1"/>
  <c r="AC26" i="1"/>
  <c r="AA26" i="1"/>
  <c r="AC22" i="1"/>
  <c r="AA22" i="1"/>
  <c r="AC18" i="1"/>
  <c r="AA18" i="1"/>
  <c r="AA30" i="1"/>
  <c r="AB30" i="1" s="1"/>
  <c r="AE30" i="1" s="1"/>
  <c r="AB29" i="1"/>
  <c r="AE29" i="1" s="1"/>
  <c r="AA28" i="1"/>
  <c r="AE28" i="1" s="1"/>
  <c r="AB25" i="1"/>
  <c r="AC25" i="1" s="1"/>
  <c r="AA25" i="1"/>
  <c r="AD25" i="1" s="1"/>
  <c r="AA21" i="1"/>
  <c r="AD21" i="1" s="1"/>
  <c r="AA24" i="1"/>
  <c r="AE24" i="1" s="1"/>
  <c r="AA20" i="1"/>
  <c r="AE20" i="1" s="1"/>
  <c r="AA16" i="1"/>
  <c r="AE16" i="1" s="1"/>
  <c r="AH34" i="1" l="1"/>
  <c r="AG34" i="1" s="1"/>
  <c r="AE34" i="1"/>
  <c r="AD34" i="1" s="1"/>
  <c r="AE25" i="1"/>
  <c r="AG33" i="1"/>
  <c r="AD33" i="1"/>
  <c r="AF30" i="1"/>
  <c r="AB21" i="1"/>
  <c r="AC21" i="1" s="1"/>
  <c r="AE21" i="1" s="1"/>
  <c r="AQ370" i="1"/>
  <c r="AQ356" i="1"/>
  <c r="AW354" i="1"/>
  <c r="AS354" i="1"/>
  <c r="AT354" i="1" s="1"/>
  <c r="BB354" i="1" s="1"/>
  <c r="BD354" i="1" s="1"/>
  <c r="AV370" i="1"/>
  <c r="AX370" i="1" s="1"/>
  <c r="AZ370" i="1" s="1"/>
  <c r="BB370" i="1" s="1"/>
  <c r="BD370" i="1" s="1"/>
  <c r="AS370" i="1"/>
  <c r="AR370" i="1"/>
  <c r="AW370" i="1" s="1"/>
  <c r="AY370" i="1" s="1"/>
  <c r="BA370" i="1" s="1"/>
  <c r="BC370" i="1" s="1"/>
  <c r="BE370" i="1" s="1"/>
  <c r="AT365" i="1"/>
  <c r="AU365" i="1" s="1"/>
  <c r="AV365" i="1" s="1"/>
  <c r="AW365" i="1" s="1"/>
  <c r="AX365" i="1" s="1"/>
  <c r="AY365" i="1" s="1"/>
  <c r="AQ365" i="1"/>
  <c r="AR365" i="1" s="1"/>
  <c r="AV364" i="1"/>
  <c r="AP364" i="1"/>
  <c r="AT364" i="1" s="1"/>
  <c r="CC357" i="1"/>
  <c r="CB357" i="1"/>
  <c r="CA357" i="1"/>
  <c r="BZ357" i="1"/>
  <c r="BY357" i="1"/>
  <c r="BX357" i="1"/>
  <c r="BW357" i="1"/>
  <c r="BV357" i="1"/>
  <c r="BU357" i="1"/>
  <c r="BT357" i="1"/>
  <c r="BS357" i="1"/>
  <c r="BR357" i="1"/>
  <c r="BQ357" i="1"/>
  <c r="BP357" i="1"/>
  <c r="BO357" i="1"/>
  <c r="BN357" i="1"/>
  <c r="BM357" i="1"/>
  <c r="BL357" i="1"/>
  <c r="BK357" i="1"/>
  <c r="BJ357" i="1"/>
  <c r="BI357" i="1"/>
  <c r="BH357" i="1"/>
  <c r="BG357" i="1"/>
  <c r="BF357" i="1"/>
  <c r="BE357" i="1"/>
  <c r="BD357" i="1"/>
  <c r="BC357" i="1"/>
  <c r="BB357" i="1"/>
  <c r="BA357" i="1"/>
  <c r="AZ357" i="1"/>
  <c r="AY357" i="1"/>
  <c r="AX357" i="1"/>
  <c r="AW357" i="1"/>
  <c r="AV357" i="1"/>
  <c r="AU357" i="1"/>
  <c r="AT357" i="1"/>
  <c r="AS357" i="1"/>
  <c r="AY354" i="1"/>
  <c r="AU354" i="1"/>
  <c r="AP302" i="1"/>
  <c r="AS287" i="1"/>
  <c r="AW287" i="1"/>
  <c r="AQ289" i="1"/>
  <c r="AP360" i="1" l="1"/>
  <c r="AY360" i="1" s="1"/>
  <c r="AX354" i="1"/>
  <c r="BF354" i="1"/>
  <c r="BG354" i="1" s="1"/>
  <c r="BH354" i="1" s="1"/>
  <c r="BJ354" i="1" s="1"/>
  <c r="BL354" i="1" s="1"/>
  <c r="AZ354" i="1"/>
  <c r="BF287" i="1"/>
  <c r="AZ287" i="1"/>
  <c r="BA287" i="1" s="1"/>
  <c r="BI287" i="1" s="1"/>
  <c r="AV303" i="1"/>
  <c r="AX303" i="1" s="1"/>
  <c r="AZ303" i="1" s="1"/>
  <c r="BB303" i="1" s="1"/>
  <c r="AS303" i="1"/>
  <c r="AR303" i="1"/>
  <c r="AQ303" i="1"/>
  <c r="AU297" i="1"/>
  <c r="AT298" i="1"/>
  <c r="AU298" i="1" s="1"/>
  <c r="AV298" i="1" s="1"/>
  <c r="AW298" i="1" s="1"/>
  <c r="AX298" i="1" s="1"/>
  <c r="AY298" i="1" s="1"/>
  <c r="AQ298" i="1"/>
  <c r="AR298" i="1" s="1"/>
  <c r="AV297" i="1"/>
  <c r="AP297" i="1"/>
  <c r="AT297" i="1" s="1"/>
  <c r="CC290" i="1"/>
  <c r="CB290" i="1"/>
  <c r="CA290" i="1"/>
  <c r="BZ290" i="1"/>
  <c r="BY290" i="1"/>
  <c r="BX290" i="1"/>
  <c r="BW290" i="1"/>
  <c r="BV290" i="1"/>
  <c r="BU290" i="1"/>
  <c r="BT290" i="1"/>
  <c r="BS290" i="1"/>
  <c r="BR290" i="1"/>
  <c r="BQ290" i="1"/>
  <c r="BP290" i="1"/>
  <c r="BO290" i="1"/>
  <c r="BN290" i="1"/>
  <c r="BM290" i="1"/>
  <c r="BL290" i="1"/>
  <c r="BK290" i="1"/>
  <c r="BJ290" i="1"/>
  <c r="BI290" i="1"/>
  <c r="BH290" i="1"/>
  <c r="BG290" i="1"/>
  <c r="BF290" i="1"/>
  <c r="BE290" i="1"/>
  <c r="BD290" i="1"/>
  <c r="BC290" i="1"/>
  <c r="BB290" i="1"/>
  <c r="BA290" i="1"/>
  <c r="AZ290" i="1"/>
  <c r="AY290" i="1"/>
  <c r="AX290" i="1"/>
  <c r="AW290" i="1"/>
  <c r="AV290" i="1"/>
  <c r="AU290" i="1"/>
  <c r="AT290" i="1"/>
  <c r="AS290" i="1"/>
  <c r="AY287" i="1"/>
  <c r="AX287" i="1"/>
  <c r="AU287" i="1"/>
  <c r="AZ98" i="1"/>
  <c r="AZ96" i="1"/>
  <c r="AS237" i="1"/>
  <c r="AQ237" i="1"/>
  <c r="AR237" i="1"/>
  <c r="AP241" i="1" s="1"/>
  <c r="AS241" i="1" s="1"/>
  <c r="AP236" i="1"/>
  <c r="AQ236" i="1" s="1"/>
  <c r="AW221" i="1"/>
  <c r="AU221" i="1"/>
  <c r="AS221" i="1"/>
  <c r="AT221" i="1" s="1"/>
  <c r="AV237" i="1"/>
  <c r="AX237" i="1" s="1"/>
  <c r="AZ237" i="1" s="1"/>
  <c r="BB237" i="1" s="1"/>
  <c r="AT232" i="1"/>
  <c r="AU232" i="1" s="1"/>
  <c r="AV232" i="1" s="1"/>
  <c r="AW232" i="1" s="1"/>
  <c r="AX232" i="1" s="1"/>
  <c r="AY232" i="1" s="1"/>
  <c r="AQ232" i="1"/>
  <c r="AR232" i="1" s="1"/>
  <c r="AP231" i="1"/>
  <c r="AT231" i="1" s="1"/>
  <c r="CC224" i="1"/>
  <c r="CB224" i="1"/>
  <c r="CA224" i="1"/>
  <c r="BZ224" i="1"/>
  <c r="BY224" i="1"/>
  <c r="BX224" i="1"/>
  <c r="BW224" i="1"/>
  <c r="BV224" i="1"/>
  <c r="BU224" i="1"/>
  <c r="BT224" i="1"/>
  <c r="BS224" i="1"/>
  <c r="BR224" i="1"/>
  <c r="BQ224" i="1"/>
  <c r="BP224" i="1"/>
  <c r="BO224" i="1"/>
  <c r="BN224" i="1"/>
  <c r="BM224" i="1"/>
  <c r="BL224" i="1"/>
  <c r="BK224" i="1"/>
  <c r="BJ224" i="1"/>
  <c r="BI224" i="1"/>
  <c r="BH224" i="1"/>
  <c r="BG224" i="1"/>
  <c r="BF224" i="1"/>
  <c r="BE224" i="1"/>
  <c r="BD224" i="1"/>
  <c r="BC224" i="1"/>
  <c r="BB224" i="1"/>
  <c r="BA224" i="1"/>
  <c r="AZ224" i="1"/>
  <c r="AY224" i="1"/>
  <c r="AX224" i="1"/>
  <c r="AW224" i="1"/>
  <c r="AV224" i="1"/>
  <c r="AU224" i="1"/>
  <c r="AT224" i="1"/>
  <c r="AS224" i="1"/>
  <c r="AQ223" i="1"/>
  <c r="AY221" i="1"/>
  <c r="BR166" i="1"/>
  <c r="BS166" i="1"/>
  <c r="BT166" i="1"/>
  <c r="BU166" i="1"/>
  <c r="BV166" i="1"/>
  <c r="BW166" i="1"/>
  <c r="BX166" i="1"/>
  <c r="BY166" i="1"/>
  <c r="BZ166" i="1"/>
  <c r="CA166" i="1"/>
  <c r="CB166" i="1"/>
  <c r="CC166" i="1"/>
  <c r="AQ165" i="1"/>
  <c r="AU166" i="1"/>
  <c r="AV166" i="1"/>
  <c r="AW166" i="1"/>
  <c r="AX166" i="1"/>
  <c r="AY166" i="1"/>
  <c r="AZ166" i="1"/>
  <c r="BA166" i="1"/>
  <c r="BB166" i="1"/>
  <c r="BC166" i="1"/>
  <c r="BD166" i="1"/>
  <c r="BE166" i="1"/>
  <c r="BF166" i="1"/>
  <c r="BG166" i="1"/>
  <c r="BH166" i="1"/>
  <c r="BI166" i="1"/>
  <c r="BJ166" i="1"/>
  <c r="BK166" i="1"/>
  <c r="BL166" i="1"/>
  <c r="BM166" i="1"/>
  <c r="BN166" i="1"/>
  <c r="BO166" i="1"/>
  <c r="BP166" i="1"/>
  <c r="BQ166" i="1"/>
  <c r="AT166" i="1"/>
  <c r="AS166" i="1"/>
  <c r="AS163" i="1"/>
  <c r="AZ163" i="1" s="1"/>
  <c r="BA163" i="1" s="1"/>
  <c r="AT174" i="1"/>
  <c r="AU174" i="1" s="1"/>
  <c r="AV174" i="1" s="1"/>
  <c r="AW174" i="1" s="1"/>
  <c r="AX174" i="1" s="1"/>
  <c r="AY174" i="1" s="1"/>
  <c r="AR179" i="1"/>
  <c r="AW179" i="1" s="1"/>
  <c r="AY179" i="1" s="1"/>
  <c r="BA179" i="1" s="1"/>
  <c r="BC179" i="1" s="1"/>
  <c r="AV179" i="1"/>
  <c r="AX179" i="1" s="1"/>
  <c r="AZ179" i="1" s="1"/>
  <c r="BB179" i="1" s="1"/>
  <c r="AQ179" i="1"/>
  <c r="AR162" i="1"/>
  <c r="AS162" i="1" s="1"/>
  <c r="AZ162" i="1" s="1"/>
  <c r="AX360" i="1" l="1"/>
  <c r="BF360" i="1"/>
  <c r="BD360" i="1"/>
  <c r="AT360" i="1"/>
  <c r="CA360" i="1"/>
  <c r="BO360" i="1"/>
  <c r="BB360" i="1"/>
  <c r="BN360" i="1"/>
  <c r="AZ360" i="1"/>
  <c r="AW360" i="1"/>
  <c r="BZ360" i="1"/>
  <c r="BS360" i="1"/>
  <c r="BG360" i="1"/>
  <c r="BV360" i="1"/>
  <c r="BM360" i="1"/>
  <c r="BR360" i="1"/>
  <c r="BJ360" i="1"/>
  <c r="BU360" i="1"/>
  <c r="BQ360" i="1"/>
  <c r="BH360" i="1"/>
  <c r="BA360" i="1"/>
  <c r="AV360" i="1"/>
  <c r="BL360" i="1"/>
  <c r="AS360" i="1"/>
  <c r="BX360" i="1"/>
  <c r="BE360" i="1"/>
  <c r="BY360" i="1"/>
  <c r="CB360" i="1"/>
  <c r="BW360" i="1"/>
  <c r="BT360" i="1"/>
  <c r="BP360" i="1"/>
  <c r="CC360" i="1"/>
  <c r="BC360" i="1"/>
  <c r="BK360" i="1"/>
  <c r="AU360" i="1"/>
  <c r="BI360" i="1"/>
  <c r="BA354" i="1"/>
  <c r="BI354" i="1" s="1"/>
  <c r="BK354" i="1" s="1"/>
  <c r="BM354" i="1" s="1"/>
  <c r="AW364" i="1"/>
  <c r="AW303" i="1"/>
  <c r="AY303" i="1" s="1"/>
  <c r="BA303" i="1" s="1"/>
  <c r="BC303" i="1" s="1"/>
  <c r="AT287" i="1"/>
  <c r="BB287" i="1" s="1"/>
  <c r="BD287" i="1" s="1"/>
  <c r="BG287" i="1"/>
  <c r="BH287" i="1" s="1"/>
  <c r="AP293" i="1"/>
  <c r="BK287" i="1"/>
  <c r="BM287" i="1" s="1"/>
  <c r="BC287" i="1"/>
  <c r="BE287" i="1" s="1"/>
  <c r="AP307" i="1"/>
  <c r="AQ302" i="1"/>
  <c r="BF221" i="1"/>
  <c r="BG221" i="1" s="1"/>
  <c r="BH221" i="1" s="1"/>
  <c r="BJ221" i="1" s="1"/>
  <c r="BL221" i="1" s="1"/>
  <c r="AW237" i="1"/>
  <c r="AY237" i="1" s="1"/>
  <c r="BA237" i="1" s="1"/>
  <c r="BC237" i="1" s="1"/>
  <c r="BB221" i="1"/>
  <c r="BD221" i="1" s="1"/>
  <c r="AP227" i="1"/>
  <c r="AV231" i="1"/>
  <c r="AX221" i="1"/>
  <c r="AZ221" i="1"/>
  <c r="BA221" i="1" s="1"/>
  <c r="AU241" i="1"/>
  <c r="AU231" i="1"/>
  <c r="BI163" i="1"/>
  <c r="BK163" i="1" s="1"/>
  <c r="BM163" i="1" s="1"/>
  <c r="BA162" i="1"/>
  <c r="AT162" i="1"/>
  <c r="BB162" i="1" s="1"/>
  <c r="BC162" i="1" s="1"/>
  <c r="AX183" i="1"/>
  <c r="BC183" i="1" s="1"/>
  <c r="AP183" i="1"/>
  <c r="AS183" i="1" s="1"/>
  <c r="AS179" i="1"/>
  <c r="AY163" i="1"/>
  <c r="AW163" i="1"/>
  <c r="BF163" i="1" s="1"/>
  <c r="BG163" i="1" s="1"/>
  <c r="BH163" i="1" s="1"/>
  <c r="BJ163" i="1" s="1"/>
  <c r="BL163" i="1" s="1"/>
  <c r="AT163" i="1"/>
  <c r="BB163" i="1" s="1"/>
  <c r="BD163" i="1" s="1"/>
  <c r="AQ174" i="1"/>
  <c r="AR174" i="1" s="1"/>
  <c r="AP173" i="1"/>
  <c r="AT173" i="1" s="1"/>
  <c r="AU163" i="1"/>
  <c r="AU162" i="1"/>
  <c r="BC354" i="1" l="1"/>
  <c r="BE354" i="1" s="1"/>
  <c r="AX293" i="1"/>
  <c r="BJ293" i="1"/>
  <c r="BV293" i="1"/>
  <c r="AY293" i="1"/>
  <c r="BK293" i="1"/>
  <c r="BW293" i="1"/>
  <c r="AZ293" i="1"/>
  <c r="BL293" i="1"/>
  <c r="BX293" i="1"/>
  <c r="BN293" i="1"/>
  <c r="BB293" i="1"/>
  <c r="BT293" i="1"/>
  <c r="BA293" i="1"/>
  <c r="BM293" i="1"/>
  <c r="BY293" i="1"/>
  <c r="BZ293" i="1"/>
  <c r="BH293" i="1"/>
  <c r="BC293" i="1"/>
  <c r="BO293" i="1"/>
  <c r="CA293" i="1"/>
  <c r="BE293" i="1"/>
  <c r="BG293" i="1"/>
  <c r="BD293" i="1"/>
  <c r="BP293" i="1"/>
  <c r="CB293" i="1"/>
  <c r="BQ293" i="1"/>
  <c r="CC293" i="1"/>
  <c r="AU293" i="1"/>
  <c r="AV293" i="1"/>
  <c r="AT293" i="1"/>
  <c r="BF293" i="1"/>
  <c r="BR293" i="1"/>
  <c r="AS293" i="1"/>
  <c r="BS293" i="1"/>
  <c r="AW293" i="1"/>
  <c r="BI293" i="1"/>
  <c r="BU293" i="1"/>
  <c r="BJ287" i="1"/>
  <c r="BL287" i="1" s="1"/>
  <c r="AU307" i="1"/>
  <c r="AS307" i="1"/>
  <c r="AW241" i="1"/>
  <c r="AY241" i="1"/>
  <c r="AY227" i="1"/>
  <c r="BK227" i="1"/>
  <c r="BW227" i="1"/>
  <c r="AZ227" i="1"/>
  <c r="BL227" i="1"/>
  <c r="BX227" i="1"/>
  <c r="BA227" i="1"/>
  <c r="BM227" i="1"/>
  <c r="BY227" i="1"/>
  <c r="BC227" i="1"/>
  <c r="BJ227" i="1"/>
  <c r="BB227" i="1"/>
  <c r="BN227" i="1"/>
  <c r="BZ227" i="1"/>
  <c r="BO227" i="1"/>
  <c r="CA227" i="1"/>
  <c r="AW227" i="1"/>
  <c r="BV227" i="1"/>
  <c r="BD227" i="1"/>
  <c r="BP227" i="1"/>
  <c r="CB227" i="1"/>
  <c r="AU227" i="1"/>
  <c r="BE227" i="1"/>
  <c r="BQ227" i="1"/>
  <c r="CC227" i="1"/>
  <c r="AS227" i="1"/>
  <c r="BG227" i="1"/>
  <c r="AT227" i="1"/>
  <c r="BF227" i="1"/>
  <c r="BR227" i="1"/>
  <c r="BS227" i="1"/>
  <c r="BU227" i="1"/>
  <c r="AV227" i="1"/>
  <c r="BH227" i="1"/>
  <c r="BT227" i="1"/>
  <c r="BI227" i="1"/>
  <c r="AX227" i="1"/>
  <c r="BI221" i="1"/>
  <c r="BK221" i="1" s="1"/>
  <c r="BM221" i="1" s="1"/>
  <c r="BC221" i="1"/>
  <c r="BE221" i="1" s="1"/>
  <c r="BC163" i="1"/>
  <c r="BE163" i="1" s="1"/>
  <c r="AX163" i="1"/>
  <c r="AP169" i="1"/>
  <c r="BD162" i="1"/>
  <c r="BE162" i="1" s="1"/>
  <c r="BA183" i="1"/>
  <c r="AU183" i="1"/>
  <c r="BW93" i="1"/>
  <c r="BV93" i="1"/>
  <c r="BQ93" i="1"/>
  <c r="BP93" i="1" s="1"/>
  <c r="BQ92" i="1"/>
  <c r="CG93" i="1"/>
  <c r="BW92" i="1"/>
  <c r="BV92" i="1" s="1"/>
  <c r="BT92" i="1"/>
  <c r="BS92" i="1" s="1"/>
  <c r="BP92" i="1"/>
  <c r="AW307" i="1" l="1"/>
  <c r="AY307" i="1"/>
  <c r="BR169" i="1"/>
  <c r="BS169" i="1"/>
  <c r="BT169" i="1"/>
  <c r="BU169" i="1"/>
  <c r="BW169" i="1"/>
  <c r="BY169" i="1"/>
  <c r="CA169" i="1"/>
  <c r="BX169" i="1"/>
  <c r="BL169" i="1"/>
  <c r="AV169" i="1"/>
  <c r="BV169" i="1"/>
  <c r="BO169" i="1"/>
  <c r="BJ169" i="1"/>
  <c r="AY169" i="1"/>
  <c r="AS169" i="1"/>
  <c r="BG169" i="1"/>
  <c r="BC169" i="1"/>
  <c r="AW169" i="1"/>
  <c r="CB169" i="1"/>
  <c r="BA169" i="1"/>
  <c r="BP169" i="1"/>
  <c r="BB169" i="1"/>
  <c r="BK169" i="1"/>
  <c r="BQ169" i="1"/>
  <c r="BE169" i="1"/>
  <c r="BZ169" i="1"/>
  <c r="AZ169" i="1"/>
  <c r="BI169" i="1"/>
  <c r="BD169" i="1"/>
  <c r="AT169" i="1"/>
  <c r="BN169" i="1"/>
  <c r="BF169" i="1"/>
  <c r="BH169" i="1"/>
  <c r="AU169" i="1"/>
  <c r="CC169" i="1"/>
  <c r="BM169" i="1"/>
  <c r="AX169" i="1"/>
  <c r="CE93" i="1"/>
  <c r="BV78" i="1"/>
  <c r="BW78" i="1" s="1"/>
  <c r="BS79" i="1"/>
  <c r="BT79" i="1" s="1"/>
  <c r="BR78" i="1"/>
  <c r="BS78" i="1" s="1"/>
  <c r="BO79" i="1"/>
  <c r="BR93" i="1" s="1"/>
  <c r="BO78" i="1"/>
  <c r="CA92" i="1" s="1"/>
  <c r="CC92" i="1" l="1"/>
  <c r="CA93" i="1"/>
  <c r="CC93" i="1"/>
  <c r="CI93" i="1" s="1"/>
  <c r="CH93" i="1" s="1"/>
  <c r="BW79" i="1"/>
  <c r="BX79" i="1" s="1"/>
  <c r="CB92" i="1" l="1"/>
  <c r="CD92" i="1"/>
  <c r="CF92" i="1" s="1"/>
  <c r="BT93" i="1"/>
  <c r="BS93" i="1"/>
  <c r="CB93" i="1"/>
  <c r="CG92" i="1" l="1"/>
  <c r="CI92" i="1" s="1"/>
  <c r="CE92" i="1"/>
  <c r="CH92" i="1" l="1"/>
  <c r="I545" i="1"/>
  <c r="I544" i="1"/>
  <c r="I518" i="1"/>
  <c r="D506" i="1"/>
  <c r="D486" i="1"/>
  <c r="D488" i="1"/>
  <c r="G483" i="1"/>
  <c r="G556" i="1" s="1"/>
  <c r="E458" i="1"/>
  <c r="I419" i="1"/>
  <c r="I389" i="1"/>
  <c r="G384" i="1"/>
  <c r="G383" i="1"/>
  <c r="I379" i="1"/>
  <c r="I378" i="1"/>
  <c r="I377" i="1"/>
  <c r="I376" i="1"/>
  <c r="I321" i="1"/>
  <c r="G316" i="1"/>
  <c r="G315" i="1"/>
  <c r="I311" i="1"/>
  <c r="I310" i="1"/>
  <c r="I309" i="1"/>
  <c r="I308" i="1"/>
  <c r="I254" i="1"/>
  <c r="G249" i="1"/>
  <c r="G248" i="1"/>
  <c r="I244" i="1"/>
  <c r="I243" i="1"/>
  <c r="I242" i="1"/>
  <c r="I241" i="1"/>
  <c r="I190" i="1"/>
  <c r="G185" i="1"/>
  <c r="G184" i="1"/>
  <c r="I180" i="1"/>
  <c r="I179" i="1"/>
  <c r="I178" i="1"/>
  <c r="I177" i="1"/>
  <c r="AC82" i="1"/>
  <c r="AC83" i="1"/>
  <c r="AC84" i="1"/>
  <c r="AC85" i="1"/>
  <c r="AC86" i="1"/>
  <c r="W465" i="1"/>
  <c r="W466" i="1"/>
  <c r="W467" i="1"/>
  <c r="W464" i="1"/>
  <c r="U463" i="1" l="1"/>
  <c r="G501" i="1"/>
  <c r="I504" i="1" s="1"/>
  <c r="AA503" i="1" s="1"/>
  <c r="G523" i="1"/>
  <c r="I526" i="1" s="1"/>
  <c r="AA528" i="1" s="1"/>
  <c r="AB547" i="1"/>
  <c r="AB549" i="1" s="1"/>
  <c r="AA545" i="1"/>
  <c r="AA544" i="1"/>
  <c r="I559" i="1"/>
  <c r="I557" i="1"/>
  <c r="U546" i="1"/>
  <c r="I546" i="1" s="1"/>
  <c r="AA527" i="1"/>
  <c r="U520" i="1"/>
  <c r="I524" i="1"/>
  <c r="I516" i="1"/>
  <c r="I515" i="1"/>
  <c r="I500" i="1"/>
  <c r="I497" i="1"/>
  <c r="AA502" i="1" s="1"/>
  <c r="I502" i="1"/>
  <c r="I517" i="1" l="1"/>
  <c r="I519" i="1"/>
  <c r="I548" i="1"/>
  <c r="I549" i="1"/>
  <c r="AA542" i="1" s="1"/>
  <c r="W390" i="1"/>
  <c r="W485" i="1"/>
  <c r="AA480" i="1"/>
  <c r="AA477" i="1"/>
  <c r="W481" i="1"/>
  <c r="W478" i="1"/>
  <c r="W480" i="1"/>
  <c r="W477" i="1"/>
  <c r="I482" i="1"/>
  <c r="I481" i="1"/>
  <c r="I480" i="1"/>
  <c r="I484" i="1"/>
  <c r="I486" i="1"/>
  <c r="AA487" i="1" s="1"/>
  <c r="I477" i="1"/>
  <c r="AA486" i="1" s="1"/>
  <c r="I498" i="1" l="1"/>
  <c r="I520" i="1"/>
  <c r="I478" i="1"/>
  <c r="I538" i="1"/>
  <c r="AA552" i="1" s="1"/>
  <c r="AT89" i="1" l="1"/>
  <c r="AV162" i="1" s="1"/>
  <c r="AT88" i="1"/>
  <c r="BH162" i="1" l="1"/>
  <c r="BI162" i="1"/>
  <c r="AW162" i="1"/>
  <c r="BF162" i="1" s="1"/>
  <c r="AY162" i="1"/>
  <c r="AP450" i="1"/>
  <c r="AP451" i="1"/>
  <c r="AP452" i="1"/>
  <c r="AP449" i="1"/>
  <c r="AP443" i="1"/>
  <c r="AP444" i="1"/>
  <c r="AP445" i="1"/>
  <c r="AP442" i="1"/>
  <c r="AS450" i="1"/>
  <c r="AS451" i="1"/>
  <c r="AS452" i="1"/>
  <c r="AS449" i="1"/>
  <c r="AS443" i="1"/>
  <c r="AS444" i="1"/>
  <c r="AS445" i="1"/>
  <c r="AS442" i="1"/>
  <c r="AR450" i="1"/>
  <c r="AR451" i="1"/>
  <c r="AR452" i="1"/>
  <c r="AR449" i="1"/>
  <c r="AR443" i="1"/>
  <c r="AR444" i="1"/>
  <c r="AR445" i="1"/>
  <c r="AR442" i="1"/>
  <c r="AQ450" i="1"/>
  <c r="AQ451" i="1"/>
  <c r="AQ452" i="1"/>
  <c r="AQ449" i="1"/>
  <c r="AQ443" i="1"/>
  <c r="AQ444" i="1"/>
  <c r="AQ445" i="1"/>
  <c r="AQ442" i="1"/>
  <c r="C406" i="1"/>
  <c r="AX162" i="1" l="1"/>
  <c r="BJ162" i="1" s="1"/>
  <c r="AO449" i="1"/>
  <c r="AO452" i="1"/>
  <c r="AO451" i="1"/>
  <c r="AO450" i="1"/>
  <c r="AO442" i="1"/>
  <c r="AO445" i="1"/>
  <c r="AO444" i="1"/>
  <c r="AO443" i="1"/>
  <c r="AB79" i="1"/>
  <c r="BA108" i="1"/>
  <c r="AS309" i="1" s="1"/>
  <c r="BA98" i="1"/>
  <c r="AS243" i="1" s="1"/>
  <c r="AU95" i="2"/>
  <c r="AV95" i="2"/>
  <c r="AW95" i="2"/>
  <c r="AX95" i="2"/>
  <c r="AY95" i="2"/>
  <c r="AZ95" i="2"/>
  <c r="BA95" i="2"/>
  <c r="BB95" i="2"/>
  <c r="BC95" i="2"/>
  <c r="I410" i="1"/>
  <c r="AT100" i="1"/>
  <c r="BO88" i="1" s="1"/>
  <c r="AS98" i="1"/>
  <c r="AT98" i="1"/>
  <c r="AT99" i="1"/>
  <c r="BO83" i="1" s="1"/>
  <c r="BR84" i="1" s="1"/>
  <c r="AS101" i="1"/>
  <c r="BO86" i="1" s="1"/>
  <c r="AT101" i="1"/>
  <c r="BO85" i="1" s="1"/>
  <c r="AT97" i="1"/>
  <c r="AS97" i="1"/>
  <c r="AR98" i="1"/>
  <c r="AR99" i="1"/>
  <c r="AR100" i="1"/>
  <c r="AR101" i="1"/>
  <c r="AR97" i="1"/>
  <c r="AR88" i="1"/>
  <c r="AR89" i="1"/>
  <c r="AR90" i="1"/>
  <c r="AR91" i="1"/>
  <c r="AR92" i="1"/>
  <c r="J133" i="1"/>
  <c r="AT311" i="1" l="1"/>
  <c r="AT245" i="1"/>
  <c r="BK162" i="1"/>
  <c r="BL162" i="1"/>
  <c r="BM162" i="1" s="1"/>
  <c r="AP167" i="1"/>
  <c r="BM167" i="1" s="1"/>
  <c r="BG162" i="1"/>
  <c r="AP168" i="1"/>
  <c r="AS168" i="1" s="1"/>
  <c r="BV84" i="1"/>
  <c r="BV88" i="1" s="1"/>
  <c r="BP85" i="1"/>
  <c r="BW84" i="1" s="1"/>
  <c r="BV85" i="1"/>
  <c r="BV86" i="1" s="1"/>
  <c r="BV87" i="1" s="1"/>
  <c r="BP83" i="1"/>
  <c r="BS85" i="1" s="1"/>
  <c r="BR85" i="1"/>
  <c r="BR86" i="1" s="1"/>
  <c r="BP88" i="1"/>
  <c r="CB84" i="1"/>
  <c r="BX85" i="1"/>
  <c r="BX86" i="1" s="1"/>
  <c r="BX87" i="1" s="1"/>
  <c r="BX84" i="1"/>
  <c r="BX88" i="1" s="1"/>
  <c r="BP86" i="1"/>
  <c r="BY84" i="1" s="1"/>
  <c r="K459" i="1"/>
  <c r="W111" i="1"/>
  <c r="BA167" i="1" l="1"/>
  <c r="BX167" i="1"/>
  <c r="BL167" i="1"/>
  <c r="AZ167" i="1"/>
  <c r="BK167" i="1"/>
  <c r="BW167" i="1"/>
  <c r="BE167" i="1"/>
  <c r="BV167" i="1"/>
  <c r="BJ167" i="1"/>
  <c r="BH167" i="1"/>
  <c r="AV167" i="1"/>
  <c r="BS167" i="1"/>
  <c r="BF167" i="1"/>
  <c r="AY167" i="1"/>
  <c r="BG167" i="1"/>
  <c r="BR167" i="1"/>
  <c r="AT167" i="1"/>
  <c r="CB167" i="1"/>
  <c r="BP167" i="1"/>
  <c r="AX167" i="1"/>
  <c r="BD167" i="1"/>
  <c r="BT167" i="1"/>
  <c r="CA167" i="1"/>
  <c r="BO167" i="1"/>
  <c r="BC167" i="1"/>
  <c r="AU167" i="1"/>
  <c r="BZ167" i="1"/>
  <c r="AS167" i="1"/>
  <c r="BN167" i="1"/>
  <c r="BI167" i="1"/>
  <c r="CC167" i="1"/>
  <c r="BY167" i="1"/>
  <c r="BU167" i="1"/>
  <c r="BB167" i="1"/>
  <c r="AW167" i="1"/>
  <c r="BQ167" i="1"/>
  <c r="BY168" i="1"/>
  <c r="CB168" i="1"/>
  <c r="BX168" i="1"/>
  <c r="BV168" i="1"/>
  <c r="BT168" i="1"/>
  <c r="BP168" i="1"/>
  <c r="BC168" i="1"/>
  <c r="BN168" i="1"/>
  <c r="BG168" i="1"/>
  <c r="BQ168" i="1"/>
  <c r="AV168" i="1"/>
  <c r="AX168" i="1"/>
  <c r="AU168" i="1"/>
  <c r="BM168" i="1"/>
  <c r="BW168" i="1"/>
  <c r="BO168" i="1"/>
  <c r="BD168" i="1"/>
  <c r="BJ168" i="1"/>
  <c r="BK168" i="1"/>
  <c r="CA168" i="1"/>
  <c r="BE168" i="1"/>
  <c r="BF168" i="1"/>
  <c r="BH168" i="1"/>
  <c r="AT168" i="1"/>
  <c r="BZ168" i="1"/>
  <c r="BI168" i="1"/>
  <c r="BA168" i="1"/>
  <c r="AY168" i="1"/>
  <c r="BL168" i="1"/>
  <c r="BS168" i="1"/>
  <c r="CC168" i="1"/>
  <c r="AZ168" i="1"/>
  <c r="BU168" i="1"/>
  <c r="BB168" i="1"/>
  <c r="BR168" i="1"/>
  <c r="AW168" i="1"/>
  <c r="BW88" i="1"/>
  <c r="BW85" i="1"/>
  <c r="BW86" i="1" s="1"/>
  <c r="BW87" i="1" s="1"/>
  <c r="BS84" i="1"/>
  <c r="BS88" i="1" s="1"/>
  <c r="BS86" i="1"/>
  <c r="BS87" i="1" s="1"/>
  <c r="BR87" i="1"/>
  <c r="BR88" i="1"/>
  <c r="CB88" i="1"/>
  <c r="CB85" i="1"/>
  <c r="CB86" i="1" s="1"/>
  <c r="CB87" i="1" s="1"/>
  <c r="CC85" i="1"/>
  <c r="CC86" i="1" s="1"/>
  <c r="CC87" i="1" s="1"/>
  <c r="CC84" i="1"/>
  <c r="CC88" i="1" s="1"/>
  <c r="BY88" i="1"/>
  <c r="BY85" i="1"/>
  <c r="BY86" i="1" s="1"/>
  <c r="BY87" i="1" s="1"/>
  <c r="AF141" i="1"/>
  <c r="K133" i="1" l="1"/>
  <c r="M133" i="1" s="1"/>
  <c r="N133" i="1" l="1"/>
  <c r="K127" i="1" l="1" a="1"/>
  <c r="K127" i="1" s="1"/>
  <c r="AF132" i="1"/>
  <c r="AE113" i="1"/>
  <c r="AF113" i="1" s="1"/>
  <c r="W112" i="1"/>
  <c r="I114" i="1" l="1"/>
  <c r="Q91" i="1"/>
  <c r="K132" i="1" l="1"/>
  <c r="K131" i="1"/>
  <c r="AE133" i="1"/>
  <c r="AF133" i="1" s="1"/>
  <c r="K123" i="1"/>
  <c r="W423" i="1"/>
  <c r="W422" i="1"/>
  <c r="AI81" i="1" a="1"/>
  <c r="AI81" i="1" s="1"/>
  <c r="AE134" i="1" l="1"/>
  <c r="I113" i="1"/>
  <c r="I427" i="1"/>
  <c r="B427" i="1" s="1"/>
  <c r="W425" i="1" l="1"/>
  <c r="W426" i="1"/>
  <c r="W126" i="1"/>
  <c r="AF112" i="1"/>
  <c r="AF134" i="1"/>
  <c r="AE131" i="1"/>
  <c r="AF131" i="1" s="1"/>
  <c r="C416" i="1"/>
  <c r="C418" i="1"/>
  <c r="Z419" i="1"/>
  <c r="Z416" i="1"/>
  <c r="Z415" i="1"/>
  <c r="AC412" i="1"/>
  <c r="AC413" i="1" s="1"/>
  <c r="AC411" i="1" s="1"/>
  <c r="Z406" i="1"/>
  <c r="Z441" i="1" s="1"/>
  <c r="U415" i="1"/>
  <c r="J437" i="1" s="1"/>
  <c r="Z410" i="1"/>
  <c r="Z409" i="1"/>
  <c r="I417" i="1" s="1"/>
  <c r="G417" i="1"/>
  <c r="I412" i="1"/>
  <c r="B403" i="1"/>
  <c r="I405" i="1"/>
  <c r="I406" i="1" l="1"/>
  <c r="Z440" i="1"/>
  <c r="G437" i="1" s="1"/>
  <c r="W430" i="1"/>
  <c r="AD411" i="1"/>
  <c r="AE411" i="1" s="1"/>
  <c r="AE412" i="1"/>
  <c r="Z418" i="1"/>
  <c r="Z417" i="1"/>
  <c r="AE413" i="1" l="1"/>
  <c r="Z420" i="1"/>
  <c r="W396" i="1" l="1"/>
  <c r="I390" i="1"/>
  <c r="N389" i="1"/>
  <c r="I387" i="1"/>
  <c r="I385" i="1"/>
  <c r="W376" i="1"/>
  <c r="E334" i="1"/>
  <c r="W327" i="1"/>
  <c r="W321" i="1"/>
  <c r="I322" i="1"/>
  <c r="N321" i="1"/>
  <c r="I319" i="1"/>
  <c r="I317" i="1"/>
  <c r="W307" i="1"/>
  <c r="E266" i="1"/>
  <c r="E136" i="1"/>
  <c r="E201" i="1"/>
  <c r="W260" i="1"/>
  <c r="W254" i="1"/>
  <c r="I255" i="1"/>
  <c r="N254" i="1"/>
  <c r="I252" i="1"/>
  <c r="I250" i="1"/>
  <c r="W240" i="1"/>
  <c r="W190" i="1"/>
  <c r="I191" i="1"/>
  <c r="I188" i="1"/>
  <c r="I186" i="1"/>
  <c r="W196" i="1"/>
  <c r="W176" i="1"/>
  <c r="G146" i="2" l="1"/>
  <c r="G147" i="2" s="1"/>
  <c r="BW52" i="2"/>
  <c r="BW53" i="2" s="1"/>
  <c r="F138" i="2"/>
  <c r="F95" i="2"/>
  <c r="G106" i="2"/>
  <c r="G107" i="2" s="1"/>
  <c r="G63" i="2"/>
  <c r="G64" i="2" s="1"/>
  <c r="AT52" i="2"/>
  <c r="AU52" i="2"/>
  <c r="AV52" i="2"/>
  <c r="AW52" i="2"/>
  <c r="AX52" i="2"/>
  <c r="AY52" i="2"/>
  <c r="AZ52" i="2"/>
  <c r="BA52" i="2"/>
  <c r="BB52" i="2"/>
  <c r="BC52" i="2"/>
  <c r="F52" i="2"/>
  <c r="V16" i="2" l="1"/>
  <c r="G16" i="2"/>
  <c r="F6" i="2"/>
  <c r="AB18" i="1" l="1"/>
  <c r="AS99" i="1"/>
  <c r="BO84" i="1" s="1"/>
  <c r="AS100" i="1"/>
  <c r="BO87" i="1" s="1"/>
  <c r="BZ84" i="1" s="1"/>
  <c r="AS92" i="1"/>
  <c r="AU92" i="1"/>
  <c r="BC114" i="1"/>
  <c r="BC84" i="1"/>
  <c r="AD82" i="1"/>
  <c r="AE82" i="1"/>
  <c r="J89" i="1"/>
  <c r="BC98" i="1"/>
  <c r="AZ115" i="1"/>
  <c r="AZ119" i="1"/>
  <c r="AZ118" i="1"/>
  <c r="AZ116" i="1"/>
  <c r="AZ112" i="1"/>
  <c r="BC108" i="1"/>
  <c r="BC107" i="1"/>
  <c r="BC105" i="1"/>
  <c r="BG104" i="1"/>
  <c r="BD104" i="1"/>
  <c r="AZ111" i="1"/>
  <c r="AZ110" i="1"/>
  <c r="AZ107" i="1"/>
  <c r="AZ106" i="1"/>
  <c r="AZ105" i="1"/>
  <c r="BG94" i="1"/>
  <c r="BC97" i="1"/>
  <c r="AZ97" i="1"/>
  <c r="AZ95" i="1"/>
  <c r="BC95" i="1"/>
  <c r="BG95" i="1" s="1"/>
  <c r="AZ101" i="1"/>
  <c r="AZ100" i="1"/>
  <c r="AZ90" i="1"/>
  <c r="AA33" i="1" l="1"/>
  <c r="AB33" i="1"/>
  <c r="AD22" i="1"/>
  <c r="AB22" i="1"/>
  <c r="AE22" i="1" s="1"/>
  <c r="AB26" i="1"/>
  <c r="AB17" i="1"/>
  <c r="AC17" i="1" s="1"/>
  <c r="AA17" i="1"/>
  <c r="AD17" i="1" s="1"/>
  <c r="BG114" i="1"/>
  <c r="BW54" i="2" s="1"/>
  <c r="AP369" i="1"/>
  <c r="BW46" i="2"/>
  <c r="BW47" i="2" s="1"/>
  <c r="AR353" i="1"/>
  <c r="BH104" i="1"/>
  <c r="AZ302" i="1"/>
  <c r="AX302" i="1"/>
  <c r="AY302" i="1"/>
  <c r="BB302" i="1"/>
  <c r="AV302" i="1"/>
  <c r="AR302" i="1"/>
  <c r="AS302" i="1" s="1"/>
  <c r="BA302" i="1"/>
  <c r="C5" i="2"/>
  <c r="D5" i="2" s="1"/>
  <c r="AP178" i="1"/>
  <c r="BT84" i="1"/>
  <c r="BT85" i="1"/>
  <c r="BT86" i="1" s="1"/>
  <c r="I111" i="1"/>
  <c r="AL140" i="1" s="1"/>
  <c r="BZ92" i="1"/>
  <c r="BY92" i="1" s="1"/>
  <c r="BT78" i="1"/>
  <c r="BU78" i="1" s="1"/>
  <c r="BZ88" i="1"/>
  <c r="BZ85" i="1"/>
  <c r="BZ86" i="1" s="1"/>
  <c r="BZ87" i="1" s="1"/>
  <c r="BP84" i="1"/>
  <c r="BP87" i="1"/>
  <c r="B428" i="1"/>
  <c r="I429" i="1" s="1"/>
  <c r="BG105" i="1"/>
  <c r="BO50" i="2"/>
  <c r="BG107" i="1"/>
  <c r="BO48" i="2"/>
  <c r="BO49" i="2" s="1"/>
  <c r="BW43" i="2"/>
  <c r="G134" i="2"/>
  <c r="BF54" i="2"/>
  <c r="AT55" i="2"/>
  <c r="AU55" i="2"/>
  <c r="AV55" i="2"/>
  <c r="BB55" i="2"/>
  <c r="AW55" i="2"/>
  <c r="AX55" i="2"/>
  <c r="BA55" i="2"/>
  <c r="AY55" i="2"/>
  <c r="AZ55" i="2"/>
  <c r="BC55" i="2"/>
  <c r="BF55" i="2"/>
  <c r="BF49" i="2"/>
  <c r="BF48" i="2"/>
  <c r="BG97" i="1"/>
  <c r="BG49" i="2"/>
  <c r="BG48" i="2"/>
  <c r="AW141" i="2"/>
  <c r="AX141" i="2"/>
  <c r="BV52" i="2"/>
  <c r="AY141" i="2"/>
  <c r="BV53" i="2"/>
  <c r="AZ141" i="2"/>
  <c r="BA141" i="2"/>
  <c r="BB141" i="2"/>
  <c r="BC141" i="2"/>
  <c r="AU141" i="2"/>
  <c r="AV141" i="2"/>
  <c r="BN51" i="2"/>
  <c r="BN50" i="2"/>
  <c r="F101" i="2"/>
  <c r="BF50" i="2"/>
  <c r="F58" i="2"/>
  <c r="BF51" i="2"/>
  <c r="AU98" i="2"/>
  <c r="AV98" i="2"/>
  <c r="BN55" i="2"/>
  <c r="AW98" i="2"/>
  <c r="BN54" i="2"/>
  <c r="AX98" i="2"/>
  <c r="AY98" i="2"/>
  <c r="AZ98" i="2"/>
  <c r="BA98" i="2"/>
  <c r="BB98" i="2"/>
  <c r="BC98" i="2"/>
  <c r="BN49" i="2"/>
  <c r="BN48" i="2"/>
  <c r="BD95" i="1"/>
  <c r="BG50" i="2"/>
  <c r="BV49" i="2"/>
  <c r="BV48" i="2"/>
  <c r="BG108" i="1"/>
  <c r="BO56" i="2"/>
  <c r="BO57" i="2" s="1"/>
  <c r="BG98" i="1"/>
  <c r="BG56" i="2"/>
  <c r="BG57" i="2" s="1"/>
  <c r="AT92" i="1"/>
  <c r="AV92" i="1" s="1"/>
  <c r="BD107" i="1"/>
  <c r="BD97" i="1"/>
  <c r="BD105" i="1"/>
  <c r="BD108" i="1"/>
  <c r="BD94" i="1"/>
  <c r="BD98" i="1"/>
  <c r="BG84" i="1"/>
  <c r="BC88" i="1"/>
  <c r="BC86" i="1"/>
  <c r="AZ91" i="1"/>
  <c r="A14" i="2" s="1"/>
  <c r="AE17" i="1" l="1"/>
  <c r="AD26" i="1"/>
  <c r="AE26" i="1"/>
  <c r="AD18" i="1"/>
  <c r="AE18" i="1"/>
  <c r="AU364" i="1"/>
  <c r="AQ369" i="1"/>
  <c r="AQ353" i="1"/>
  <c r="AV353" i="1"/>
  <c r="AU353" i="1"/>
  <c r="AS353" i="1"/>
  <c r="BO51" i="2"/>
  <c r="AP306" i="1"/>
  <c r="AQ306" i="1" s="1"/>
  <c r="BH108" i="1"/>
  <c r="AS310" i="1"/>
  <c r="AT310" i="1" s="1"/>
  <c r="BH107" i="1"/>
  <c r="AP310" i="1"/>
  <c r="AQ310" i="1" s="1"/>
  <c r="AX297" i="1" s="1"/>
  <c r="BC302" i="1"/>
  <c r="AW302" i="1"/>
  <c r="BH94" i="1"/>
  <c r="BA236" i="1"/>
  <c r="AZ236" i="1"/>
  <c r="AV236" i="1"/>
  <c r="AW236" i="1" s="1"/>
  <c r="AY236" i="1"/>
  <c r="AX236" i="1"/>
  <c r="BB236" i="1"/>
  <c r="BC236" i="1" s="1"/>
  <c r="AR236" i="1"/>
  <c r="AS236" i="1" s="1"/>
  <c r="BH98" i="1"/>
  <c r="AS244" i="1"/>
  <c r="AT244" i="1" s="1"/>
  <c r="BC96" i="1"/>
  <c r="BD96" i="1" s="1"/>
  <c r="AP240" i="1"/>
  <c r="AQ240" i="1" s="1"/>
  <c r="BH97" i="1"/>
  <c r="AP244" i="1"/>
  <c r="AQ244" i="1" s="1"/>
  <c r="AX231" i="1" s="1"/>
  <c r="BG88" i="1"/>
  <c r="AX186" i="1"/>
  <c r="AY186" i="1" s="1"/>
  <c r="BD88" i="1"/>
  <c r="BH88" i="1" s="1"/>
  <c r="AX182" i="1"/>
  <c r="AY182" i="1" s="1"/>
  <c r="AT178" i="1"/>
  <c r="AU173" i="1"/>
  <c r="AS178" i="1"/>
  <c r="AF142" i="1"/>
  <c r="BT87" i="1"/>
  <c r="BT88" i="1"/>
  <c r="BU86" i="1"/>
  <c r="BU88" i="1"/>
  <c r="BU84" i="1"/>
  <c r="BU85" i="1"/>
  <c r="BU87" i="1"/>
  <c r="CA84" i="1"/>
  <c r="CA88" i="1" s="1"/>
  <c r="CA85" i="1"/>
  <c r="CA86" i="1" s="1"/>
  <c r="CA87" i="1" s="1"/>
  <c r="BC115" i="1"/>
  <c r="BD115" i="1" s="1"/>
  <c r="BW50" i="2"/>
  <c r="BW51" i="2" s="1"/>
  <c r="BU56" i="2"/>
  <c r="BW56" i="2" s="1"/>
  <c r="BW57" i="2" s="1"/>
  <c r="H5" i="2"/>
  <c r="BH95" i="1"/>
  <c r="BG51" i="2"/>
  <c r="AV88" i="1"/>
  <c r="BD114" i="1"/>
  <c r="BC106" i="1"/>
  <c r="BH105" i="1"/>
  <c r="AV89" i="1"/>
  <c r="AQ162" i="1" s="1"/>
  <c r="AR173" i="1" s="1"/>
  <c r="AY173" i="1" s="1"/>
  <c r="BG86" i="1"/>
  <c r="BD87" i="1"/>
  <c r="BD85" i="1"/>
  <c r="AZ81" i="1"/>
  <c r="AZ80" i="1"/>
  <c r="AU90" i="1"/>
  <c r="AU91" i="1"/>
  <c r="AO77" i="1"/>
  <c r="AP77" i="1"/>
  <c r="M102" i="1"/>
  <c r="AF114" i="1" s="1"/>
  <c r="BP353" i="1" l="1"/>
  <c r="BO353" i="1"/>
  <c r="BH115" i="1"/>
  <c r="AP374" i="1"/>
  <c r="AQ374" i="1" s="1"/>
  <c r="AX364" i="1" s="1"/>
  <c r="AT353" i="1"/>
  <c r="BB353" i="1" s="1"/>
  <c r="BC353" i="1" s="1"/>
  <c r="BH114" i="1"/>
  <c r="BW55" i="2" s="1"/>
  <c r="AU138" i="2" s="1"/>
  <c r="AR369" i="1"/>
  <c r="AS369" i="1" s="1"/>
  <c r="BD369" i="1"/>
  <c r="BE369" i="1" s="1"/>
  <c r="AX369" i="1"/>
  <c r="AY369" i="1"/>
  <c r="AV369" i="1"/>
  <c r="AW369" i="1" s="1"/>
  <c r="BB369" i="1"/>
  <c r="BC369" i="1" s="1"/>
  <c r="BA369" i="1"/>
  <c r="AZ369" i="1"/>
  <c r="AW353" i="1"/>
  <c r="AY353" i="1"/>
  <c r="AR364" i="1"/>
  <c r="BO54" i="2"/>
  <c r="BO55" i="2" s="1"/>
  <c r="BB306" i="1"/>
  <c r="BC306" i="1" s="1"/>
  <c r="BG96" i="1"/>
  <c r="BG54" i="2"/>
  <c r="BB240" i="1"/>
  <c r="BC240" i="1" s="1"/>
  <c r="BC87" i="1"/>
  <c r="BG87" i="1" s="1"/>
  <c r="AP182" i="1"/>
  <c r="AQ182" i="1" s="1"/>
  <c r="BH87" i="1"/>
  <c r="AP186" i="1"/>
  <c r="AQ186" i="1" s="1"/>
  <c r="AX173" i="1" s="1"/>
  <c r="AQ173" i="1"/>
  <c r="BD84" i="1"/>
  <c r="C9" i="2"/>
  <c r="D9" i="2" s="1"/>
  <c r="D132" i="1"/>
  <c r="D126" i="1"/>
  <c r="AU101" i="2"/>
  <c r="BG115" i="1"/>
  <c r="BW48" i="2"/>
  <c r="BW49" i="2" s="1"/>
  <c r="BC101" i="2"/>
  <c r="AY101" i="2"/>
  <c r="BB101" i="2"/>
  <c r="BW58" i="2"/>
  <c r="BV57" i="2"/>
  <c r="AW58" i="2"/>
  <c r="BB58" i="2"/>
  <c r="AX58" i="2"/>
  <c r="BC58" i="2"/>
  <c r="AY58" i="2"/>
  <c r="AZ58" i="2"/>
  <c r="BA58" i="2"/>
  <c r="AT58" i="2"/>
  <c r="AU58" i="2"/>
  <c r="AV58" i="2"/>
  <c r="AX101" i="2"/>
  <c r="BA101" i="2"/>
  <c r="AW101" i="2"/>
  <c r="AZ101" i="2"/>
  <c r="BH96" i="1"/>
  <c r="BG55" i="2"/>
  <c r="AV101" i="2"/>
  <c r="BD106" i="1"/>
  <c r="BH106" i="1" s="1"/>
  <c r="BG106" i="1"/>
  <c r="AF80" i="1"/>
  <c r="BA87" i="1" s="1"/>
  <c r="AF81" i="1"/>
  <c r="BA88" i="1" s="1"/>
  <c r="BH85" i="1"/>
  <c r="AS90" i="1"/>
  <c r="AR220" i="1" s="1"/>
  <c r="AS91" i="1"/>
  <c r="BD86" i="1"/>
  <c r="AB78" i="1"/>
  <c r="BC85" i="1" s="1"/>
  <c r="D67" i="1"/>
  <c r="D68" i="1"/>
  <c r="D69" i="1"/>
  <c r="D70" i="1"/>
  <c r="D71" i="1"/>
  <c r="D72" i="1"/>
  <c r="D73" i="1"/>
  <c r="D74" i="1"/>
  <c r="D66" i="1"/>
  <c r="J67" i="1"/>
  <c r="J68" i="1"/>
  <c r="J69" i="1"/>
  <c r="J70" i="1"/>
  <c r="J71" i="1"/>
  <c r="J72" i="1"/>
  <c r="J73" i="1"/>
  <c r="J74" i="1"/>
  <c r="J66" i="1"/>
  <c r="E67" i="1"/>
  <c r="M67" i="1" s="1"/>
  <c r="E68" i="1"/>
  <c r="M68" i="1" s="1"/>
  <c r="E69" i="1"/>
  <c r="M69" i="1" s="1"/>
  <c r="E70" i="1"/>
  <c r="E71" i="1"/>
  <c r="M71" i="1" s="1"/>
  <c r="E72" i="1"/>
  <c r="M72" i="1" s="1"/>
  <c r="E73" i="1"/>
  <c r="M73" i="1" s="1"/>
  <c r="E74" i="1"/>
  <c r="M74" i="1" s="1"/>
  <c r="E66" i="1"/>
  <c r="M66" i="1" s="1"/>
  <c r="J418" i="1"/>
  <c r="Q83" i="1" a="1"/>
  <c r="Q83" i="1" s="1"/>
  <c r="AZ353" i="1" l="1"/>
  <c r="BD353" i="1" s="1"/>
  <c r="BE353" i="1" s="1"/>
  <c r="BG118" i="1"/>
  <c r="AQ364" i="1"/>
  <c r="AY364" i="1"/>
  <c r="BF353" i="1"/>
  <c r="AX353" i="1"/>
  <c r="BO46" i="2"/>
  <c r="AU96" i="2" s="1"/>
  <c r="AR286" i="1"/>
  <c r="AS286" i="1" s="1"/>
  <c r="AT286" i="1" s="1"/>
  <c r="AS220" i="1"/>
  <c r="AU220" i="1"/>
  <c r="AR186" i="1"/>
  <c r="AV138" i="2"/>
  <c r="BB138" i="2"/>
  <c r="BF88" i="1"/>
  <c r="AZ186" i="1"/>
  <c r="BH84" i="1"/>
  <c r="AY178" i="1"/>
  <c r="AX178" i="1"/>
  <c r="AW178" i="1"/>
  <c r="AV178" i="1"/>
  <c r="BC178" i="1"/>
  <c r="BA178" i="1"/>
  <c r="AQ178" i="1"/>
  <c r="AR178" i="1" s="1"/>
  <c r="AZ178" i="1"/>
  <c r="BB178" i="1"/>
  <c r="BC138" i="2"/>
  <c r="M70" i="1"/>
  <c r="K70" i="1"/>
  <c r="AX138" i="2"/>
  <c r="I539" i="1"/>
  <c r="AA488" i="1"/>
  <c r="AA505" i="1"/>
  <c r="AA529" i="1"/>
  <c r="AA504" i="1"/>
  <c r="G508" i="1" s="1"/>
  <c r="AA489" i="1"/>
  <c r="AA530" i="1"/>
  <c r="AZ138" i="2"/>
  <c r="AY138" i="2"/>
  <c r="AW138" i="2"/>
  <c r="BA138" i="2"/>
  <c r="AE110" i="1"/>
  <c r="W128" i="1"/>
  <c r="W427" i="1"/>
  <c r="I181" i="1"/>
  <c r="I245" i="1"/>
  <c r="I380" i="1"/>
  <c r="W392" i="1" s="1"/>
  <c r="I312" i="1"/>
  <c r="BW59" i="2"/>
  <c r="BV58" i="2"/>
  <c r="BG85" i="1"/>
  <c r="C7" i="2"/>
  <c r="D7" i="2" s="1"/>
  <c r="BH86" i="1"/>
  <c r="C6" i="2"/>
  <c r="BG47" i="2"/>
  <c r="BG46" i="2"/>
  <c r="K74" i="1"/>
  <c r="C8" i="2"/>
  <c r="D8" i="2" s="1"/>
  <c r="Q85" i="1"/>
  <c r="BF87" i="1"/>
  <c r="K73" i="1"/>
  <c r="AZ102" i="1"/>
  <c r="AT91" i="1"/>
  <c r="AV91" i="1" s="1"/>
  <c r="BF108" i="1"/>
  <c r="AT90" i="1"/>
  <c r="BF98" i="1"/>
  <c r="BD116" i="1"/>
  <c r="BG116" i="1"/>
  <c r="F70" i="1" a="1"/>
  <c r="F70" i="1" s="1"/>
  <c r="AZ77" i="1"/>
  <c r="K68" i="1"/>
  <c r="AZ87" i="1"/>
  <c r="F69" i="1" a="1"/>
  <c r="F69" i="1" s="1"/>
  <c r="AZ88" i="1"/>
  <c r="K66" i="1"/>
  <c r="AZ85" i="1"/>
  <c r="K72" i="1"/>
  <c r="AZ92" i="1"/>
  <c r="BB96" i="1" s="1"/>
  <c r="K71" i="1"/>
  <c r="AZ82" i="1"/>
  <c r="K67" i="1"/>
  <c r="AZ86" i="1"/>
  <c r="F66" i="1" a="1"/>
  <c r="F66" i="1" s="1"/>
  <c r="F72" i="1" a="1"/>
  <c r="F72" i="1" s="1"/>
  <c r="F71" i="1" a="1"/>
  <c r="F71" i="1" s="1"/>
  <c r="F68" i="1" a="1"/>
  <c r="F68" i="1" s="1"/>
  <c r="F73" i="1" a="1"/>
  <c r="F73" i="1" s="1"/>
  <c r="F67" i="1" a="1"/>
  <c r="F67" i="1" s="1"/>
  <c r="F74" i="1" a="1"/>
  <c r="F74" i="1" s="1"/>
  <c r="K69" i="1"/>
  <c r="AI80" i="1"/>
  <c r="AI79" i="1"/>
  <c r="AL89" i="1" s="1"/>
  <c r="AK89" i="1"/>
  <c r="I78" i="1"/>
  <c r="BA353" i="1" l="1"/>
  <c r="BI353" i="1" s="1"/>
  <c r="BH353" i="1"/>
  <c r="BH116" i="1"/>
  <c r="AS374" i="1"/>
  <c r="AT374" i="1" s="1"/>
  <c r="AP359" i="1"/>
  <c r="BJ353" i="1"/>
  <c r="BK353" i="1" s="1"/>
  <c r="BG353" i="1"/>
  <c r="AP358" i="1"/>
  <c r="AZ96" i="2"/>
  <c r="BO47" i="2"/>
  <c r="AY96" i="2"/>
  <c r="AX96" i="2"/>
  <c r="BB96" i="2"/>
  <c r="AW96" i="2"/>
  <c r="BC96" i="2"/>
  <c r="AV96" i="2"/>
  <c r="BA96" i="2"/>
  <c r="BO52" i="2"/>
  <c r="AV286" i="1"/>
  <c r="AW286" i="1" s="1"/>
  <c r="AQ286" i="1"/>
  <c r="AU286" i="1"/>
  <c r="AV90" i="1"/>
  <c r="AT220" i="1"/>
  <c r="BB220" i="1" s="1"/>
  <c r="BC220" i="1" s="1"/>
  <c r="AX185" i="1"/>
  <c r="BC185" i="1" s="1"/>
  <c r="AP185" i="1"/>
  <c r="AU185" i="1" s="1"/>
  <c r="BA186" i="1"/>
  <c r="BC186" i="1"/>
  <c r="BD186" i="1" s="1"/>
  <c r="AS186" i="1"/>
  <c r="AU186" i="1"/>
  <c r="AV186" i="1" s="1"/>
  <c r="G530" i="1"/>
  <c r="G490" i="1"/>
  <c r="AE118" i="1"/>
  <c r="AF118" i="1" s="1"/>
  <c r="G123" i="1"/>
  <c r="AF119" i="1"/>
  <c r="AF143" i="1" s="1"/>
  <c r="AF110" i="1"/>
  <c r="G2" i="2"/>
  <c r="W329" i="1"/>
  <c r="W323" i="1"/>
  <c r="W398" i="1"/>
  <c r="I247" i="1"/>
  <c r="I314" i="1"/>
  <c r="I183" i="1"/>
  <c r="W262" i="1"/>
  <c r="W256" i="1"/>
  <c r="W192" i="1"/>
  <c r="W198" i="1"/>
  <c r="G91" i="2"/>
  <c r="BO43" i="2"/>
  <c r="F9" i="2"/>
  <c r="D6" i="2"/>
  <c r="C10" i="2"/>
  <c r="BG43" i="2"/>
  <c r="G48" i="2"/>
  <c r="AV53" i="2"/>
  <c r="BA53" i="2"/>
  <c r="BB53" i="2"/>
  <c r="AU53" i="2"/>
  <c r="AX53" i="2"/>
  <c r="AT53" i="2"/>
  <c r="AY53" i="2"/>
  <c r="AW53" i="2"/>
  <c r="BC53" i="2"/>
  <c r="AZ53" i="2"/>
  <c r="F12" i="2"/>
  <c r="BW60" i="2"/>
  <c r="BV59" i="2"/>
  <c r="BM58" i="2"/>
  <c r="BB106" i="1"/>
  <c r="BB105" i="1"/>
  <c r="BB95" i="1"/>
  <c r="Q90" i="1"/>
  <c r="I558" i="1" s="1"/>
  <c r="W129" i="1"/>
  <c r="G120" i="1" s="1"/>
  <c r="AK88" i="1"/>
  <c r="AJ89" i="1"/>
  <c r="AL88" i="1"/>
  <c r="AJ88" i="1"/>
  <c r="AR297" i="1" l="1"/>
  <c r="BP286" i="1"/>
  <c r="BO286" i="1"/>
  <c r="BL353" i="1"/>
  <c r="BM353" i="1" s="1"/>
  <c r="AS358" i="1"/>
  <c r="CB358" i="1"/>
  <c r="BI358" i="1"/>
  <c r="AX358" i="1"/>
  <c r="AZ358" i="1"/>
  <c r="BQ358" i="1"/>
  <c r="BU358" i="1"/>
  <c r="BJ358" i="1"/>
  <c r="BL358" i="1"/>
  <c r="AT358" i="1"/>
  <c r="BN358" i="1"/>
  <c r="BV358" i="1"/>
  <c r="BX358" i="1"/>
  <c r="BF358" i="1"/>
  <c r="BD358" i="1"/>
  <c r="BM358" i="1"/>
  <c r="BA358" i="1"/>
  <c r="BR358" i="1"/>
  <c r="AV358" i="1"/>
  <c r="CC358" i="1"/>
  <c r="BB358" i="1"/>
  <c r="BG358" i="1"/>
  <c r="AY358" i="1"/>
  <c r="BZ358" i="1"/>
  <c r="BS358" i="1"/>
  <c r="AU358" i="1"/>
  <c r="BK358" i="1"/>
  <c r="BC358" i="1"/>
  <c r="BH358" i="1"/>
  <c r="BW358" i="1"/>
  <c r="BO358" i="1"/>
  <c r="BT358" i="1"/>
  <c r="BY358" i="1"/>
  <c r="CA358" i="1"/>
  <c r="BE358" i="1"/>
  <c r="BP358" i="1"/>
  <c r="AW358" i="1"/>
  <c r="BZ359" i="1"/>
  <c r="CA359" i="1"/>
  <c r="AV359" i="1"/>
  <c r="BQ359" i="1"/>
  <c r="BM359" i="1"/>
  <c r="BO359" i="1"/>
  <c r="CC359" i="1"/>
  <c r="BD359" i="1"/>
  <c r="BH359" i="1"/>
  <c r="AW359" i="1"/>
  <c r="BJ359" i="1"/>
  <c r="BK359" i="1"/>
  <c r="BG359" i="1"/>
  <c r="AZ359" i="1"/>
  <c r="BP359" i="1"/>
  <c r="BU359" i="1"/>
  <c r="BX359" i="1"/>
  <c r="AT359" i="1"/>
  <c r="BV359" i="1"/>
  <c r="BF359" i="1"/>
  <c r="AU359" i="1"/>
  <c r="BI359" i="1"/>
  <c r="BS359" i="1"/>
  <c r="BL359" i="1"/>
  <c r="CB359" i="1"/>
  <c r="BT359" i="1"/>
  <c r="BA359" i="1"/>
  <c r="BN359" i="1"/>
  <c r="BE359" i="1"/>
  <c r="BB359" i="1"/>
  <c r="AX359" i="1"/>
  <c r="AY359" i="1"/>
  <c r="BY359" i="1"/>
  <c r="BR359" i="1"/>
  <c r="BC359" i="1"/>
  <c r="AS359" i="1"/>
  <c r="BW359" i="1"/>
  <c r="AX286" i="1"/>
  <c r="BF286" i="1"/>
  <c r="AQ220" i="1"/>
  <c r="AV220" i="1"/>
  <c r="AY220" i="1" s="1"/>
  <c r="BB286" i="1"/>
  <c r="BC286" i="1" s="1"/>
  <c r="AQ297" i="1"/>
  <c r="AY297" i="1"/>
  <c r="AY286" i="1"/>
  <c r="AZ220" i="1"/>
  <c r="BA220" i="1" s="1"/>
  <c r="BG52" i="2"/>
  <c r="BG53" i="2" s="1"/>
  <c r="BE58" i="2"/>
  <c r="BG58" i="2" s="1"/>
  <c r="BG59" i="2" s="1"/>
  <c r="BF59" i="2" s="1"/>
  <c r="AB548" i="1"/>
  <c r="AB546" i="1"/>
  <c r="J560" i="1"/>
  <c r="AE111" i="1"/>
  <c r="J123" i="1"/>
  <c r="M123" i="1"/>
  <c r="N123" i="1" s="1"/>
  <c r="W113" i="1"/>
  <c r="W118" i="1" s="1"/>
  <c r="W257" i="1"/>
  <c r="G262" i="1" s="1"/>
  <c r="W424" i="1"/>
  <c r="W428" i="1" s="1"/>
  <c r="W429" i="1" s="1"/>
  <c r="AB429" i="1"/>
  <c r="Q95" i="1"/>
  <c r="I411" i="1"/>
  <c r="G413" i="1" s="1"/>
  <c r="W393" i="1"/>
  <c r="G397" i="1" s="1"/>
  <c r="W193" i="1"/>
  <c r="G198" i="1" s="1"/>
  <c r="W324" i="1"/>
  <c r="G329" i="1" s="1"/>
  <c r="Q84" i="1"/>
  <c r="BW61" i="2"/>
  <c r="BV60" i="2"/>
  <c r="I5" i="2"/>
  <c r="K5" i="2"/>
  <c r="D10" i="2"/>
  <c r="L5" i="2"/>
  <c r="M5" i="2" s="1"/>
  <c r="N5" i="2" s="1"/>
  <c r="O5" i="2" s="1"/>
  <c r="P5" i="2" s="1"/>
  <c r="Q5" i="2" s="1"/>
  <c r="R5" i="2" s="1"/>
  <c r="S5" i="2" s="1"/>
  <c r="T5" i="2" s="1"/>
  <c r="U5" i="2" s="1"/>
  <c r="V5" i="2" s="1"/>
  <c r="J5" i="2"/>
  <c r="BO58" i="2"/>
  <c r="BO59" i="2" s="1"/>
  <c r="BO53" i="2"/>
  <c r="J94" i="1"/>
  <c r="J86" i="1"/>
  <c r="H67" i="1"/>
  <c r="H68" i="1"/>
  <c r="H69" i="1"/>
  <c r="H70" i="1"/>
  <c r="H71" i="1"/>
  <c r="H72" i="1"/>
  <c r="H73" i="1"/>
  <c r="H74" i="1"/>
  <c r="H66" i="1"/>
  <c r="I79" i="1"/>
  <c r="AR231" i="1" l="1"/>
  <c r="AQ231" i="1" s="1"/>
  <c r="BP220" i="1"/>
  <c r="BO220" i="1"/>
  <c r="BI220" i="1"/>
  <c r="AY231" i="1"/>
  <c r="AW220" i="1"/>
  <c r="BF220" i="1" s="1"/>
  <c r="AP291" i="1"/>
  <c r="BJ286" i="1"/>
  <c r="BK286" i="1" s="1"/>
  <c r="BH220" i="1"/>
  <c r="AP292" i="1"/>
  <c r="AZ286" i="1"/>
  <c r="BD220" i="1"/>
  <c r="BE220" i="1" s="1"/>
  <c r="BG60" i="2"/>
  <c r="BF60" i="2" s="1"/>
  <c r="BU79" i="1"/>
  <c r="BV79" i="1" s="1"/>
  <c r="BX93" i="1"/>
  <c r="I256" i="1"/>
  <c r="W263" i="1" s="1"/>
  <c r="I503" i="1"/>
  <c r="J510" i="1" s="1"/>
  <c r="I485" i="1"/>
  <c r="W490" i="1" s="1"/>
  <c r="W117" i="1"/>
  <c r="I506" i="1"/>
  <c r="I540" i="1"/>
  <c r="U521" i="1"/>
  <c r="I525" i="1" s="1"/>
  <c r="I527" i="1"/>
  <c r="I488" i="1"/>
  <c r="G430" i="1"/>
  <c r="AE119" i="1"/>
  <c r="AF120" i="1"/>
  <c r="AF121" i="1" s="1"/>
  <c r="I323" i="1"/>
  <c r="W330" i="1" s="1"/>
  <c r="W120" i="1"/>
  <c r="I318" i="1"/>
  <c r="W308" i="1" s="1"/>
  <c r="W313" i="1" s="1"/>
  <c r="I251" i="1"/>
  <c r="W241" i="1" s="1"/>
  <c r="W246" i="1" s="1"/>
  <c r="I386" i="1"/>
  <c r="I187" i="1"/>
  <c r="I192" i="1"/>
  <c r="W199" i="1" s="1"/>
  <c r="I391" i="1"/>
  <c r="W399" i="1" s="1"/>
  <c r="AC420" i="1"/>
  <c r="AE415" i="1"/>
  <c r="AC419" i="1"/>
  <c r="AE417" i="1"/>
  <c r="I246" i="1"/>
  <c r="I381" i="1"/>
  <c r="I182" i="1"/>
  <c r="I313" i="1"/>
  <c r="BW62" i="2"/>
  <c r="BV61" i="2"/>
  <c r="BN59" i="2"/>
  <c r="BO60" i="2"/>
  <c r="BO61" i="2" s="1"/>
  <c r="J91" i="1"/>
  <c r="M98" i="1" s="1"/>
  <c r="M100" i="1" s="1"/>
  <c r="AE114" i="1" s="1"/>
  <c r="I77" i="1"/>
  <c r="AX220" i="1" l="1"/>
  <c r="AP226" i="1" s="1"/>
  <c r="BG61" i="2"/>
  <c r="BG62" i="2" s="1"/>
  <c r="BG63" i="2" s="1"/>
  <c r="BG64" i="2" s="1"/>
  <c r="BG65" i="2" s="1"/>
  <c r="BG66" i="2" s="1"/>
  <c r="BG67" i="2" s="1"/>
  <c r="BG68" i="2" s="1"/>
  <c r="BG69" i="2" s="1"/>
  <c r="BG70" i="2" s="1"/>
  <c r="BG71" i="2" s="1"/>
  <c r="BG72" i="2" s="1"/>
  <c r="BG73" i="2" s="1"/>
  <c r="BG74" i="2" s="1"/>
  <c r="BG75" i="2" s="1"/>
  <c r="BG76" i="2" s="1"/>
  <c r="BG77" i="2" s="1"/>
  <c r="BG78" i="2" s="1"/>
  <c r="BG79" i="2" s="1"/>
  <c r="BG80" i="2" s="1"/>
  <c r="BG81" i="2" s="1"/>
  <c r="BG82" i="2" s="1"/>
  <c r="BG83" i="2" s="1"/>
  <c r="BG84" i="2" s="1"/>
  <c r="BG85" i="2" s="1"/>
  <c r="BG86" i="2" s="1"/>
  <c r="BG87" i="2" s="1"/>
  <c r="BG88" i="2" s="1"/>
  <c r="BG89" i="2" s="1"/>
  <c r="BG90" i="2" s="1"/>
  <c r="BG91" i="2" s="1"/>
  <c r="BG92" i="2" s="1"/>
  <c r="BG93" i="2" s="1"/>
  <c r="BG94" i="2" s="1"/>
  <c r="BG95" i="2" s="1"/>
  <c r="BG96" i="2" s="1"/>
  <c r="BS291" i="1"/>
  <c r="BW291" i="1"/>
  <c r="BL291" i="1"/>
  <c r="BU291" i="1"/>
  <c r="CC291" i="1"/>
  <c r="CA291" i="1"/>
  <c r="BD291" i="1"/>
  <c r="BV291" i="1"/>
  <c r="AU291" i="1"/>
  <c r="AV291" i="1"/>
  <c r="BM291" i="1"/>
  <c r="BG291" i="1"/>
  <c r="BY291" i="1"/>
  <c r="BX291" i="1"/>
  <c r="BP291" i="1"/>
  <c r="AZ291" i="1"/>
  <c r="BF291" i="1"/>
  <c r="BQ291" i="1"/>
  <c r="CB291" i="1"/>
  <c r="BI291" i="1"/>
  <c r="BH291" i="1"/>
  <c r="BB291" i="1"/>
  <c r="AW291" i="1"/>
  <c r="BC291" i="1"/>
  <c r="BK291" i="1"/>
  <c r="BO291" i="1"/>
  <c r="AT291" i="1"/>
  <c r="BJ291" i="1"/>
  <c r="BN291" i="1"/>
  <c r="BZ291" i="1"/>
  <c r="BA291" i="1"/>
  <c r="AY291" i="1"/>
  <c r="AX291" i="1"/>
  <c r="AS291" i="1"/>
  <c r="BR291" i="1"/>
  <c r="BT291" i="1"/>
  <c r="BE291" i="1"/>
  <c r="BA286" i="1"/>
  <c r="BI286" i="1" s="1"/>
  <c r="BH286" i="1"/>
  <c r="AX292" i="1"/>
  <c r="BJ292" i="1"/>
  <c r="BV292" i="1"/>
  <c r="AY292" i="1"/>
  <c r="BK292" i="1"/>
  <c r="BW292" i="1"/>
  <c r="AZ292" i="1"/>
  <c r="BL292" i="1"/>
  <c r="BX292" i="1"/>
  <c r="BA292" i="1"/>
  <c r="BM292" i="1"/>
  <c r="BY292" i="1"/>
  <c r="BB292" i="1"/>
  <c r="BN292" i="1"/>
  <c r="BZ292" i="1"/>
  <c r="AV292" i="1"/>
  <c r="BC292" i="1"/>
  <c r="BO292" i="1"/>
  <c r="CA292" i="1"/>
  <c r="BE292" i="1"/>
  <c r="AU292" i="1"/>
  <c r="BT292" i="1"/>
  <c r="BD292" i="1"/>
  <c r="BP292" i="1"/>
  <c r="CB292" i="1"/>
  <c r="BQ292" i="1"/>
  <c r="BG292" i="1"/>
  <c r="AS292" i="1"/>
  <c r="CC292" i="1"/>
  <c r="AT292" i="1"/>
  <c r="BF292" i="1"/>
  <c r="BR292" i="1"/>
  <c r="BS292" i="1"/>
  <c r="BH292" i="1"/>
  <c r="AW292" i="1"/>
  <c r="BI292" i="1"/>
  <c r="BU292" i="1"/>
  <c r="BD286" i="1"/>
  <c r="BE286" i="1" s="1"/>
  <c r="BG286" i="1"/>
  <c r="BB226" i="1"/>
  <c r="BE226" i="1"/>
  <c r="BT226" i="1"/>
  <c r="BD226" i="1"/>
  <c r="BA226" i="1"/>
  <c r="AS226" i="1"/>
  <c r="AY226" i="1"/>
  <c r="BN226" i="1"/>
  <c r="BQ226" i="1"/>
  <c r="AW226" i="1"/>
  <c r="AX226" i="1"/>
  <c r="BU226" i="1"/>
  <c r="BK226" i="1"/>
  <c r="BZ226" i="1"/>
  <c r="CC226" i="1"/>
  <c r="AT226" i="1"/>
  <c r="BY226" i="1"/>
  <c r="BW226" i="1"/>
  <c r="BO226" i="1"/>
  <c r="BS226" i="1"/>
  <c r="BL226" i="1"/>
  <c r="BR226" i="1"/>
  <c r="BM226" i="1"/>
  <c r="AU226" i="1"/>
  <c r="BG226" i="1"/>
  <c r="BV226" i="1"/>
  <c r="AZ226" i="1"/>
  <c r="BI226" i="1"/>
  <c r="BX226" i="1"/>
  <c r="CA226" i="1"/>
  <c r="BP226" i="1"/>
  <c r="CB226" i="1"/>
  <c r="BH226" i="1"/>
  <c r="BF226" i="1"/>
  <c r="AV226" i="1"/>
  <c r="BC226" i="1"/>
  <c r="BJ226" i="1"/>
  <c r="W493" i="1"/>
  <c r="BJ220" i="1"/>
  <c r="BG220" i="1"/>
  <c r="AP225" i="1"/>
  <c r="W502" i="1"/>
  <c r="BZ93" i="1"/>
  <c r="BY93" i="1"/>
  <c r="W121" i="1"/>
  <c r="W122" i="1" s="1"/>
  <c r="W123" i="1" s="1"/>
  <c r="G117" i="1" s="1"/>
  <c r="W377" i="1"/>
  <c r="W382" i="1" s="1"/>
  <c r="W486" i="1"/>
  <c r="J492" i="1"/>
  <c r="J552" i="1"/>
  <c r="AA551" i="1"/>
  <c r="J532" i="1"/>
  <c r="W527" i="1"/>
  <c r="W524" i="1"/>
  <c r="AF148" i="1"/>
  <c r="D131" i="1"/>
  <c r="D125" i="1"/>
  <c r="AL142" i="1"/>
  <c r="AL141" i="1"/>
  <c r="AE123" i="1"/>
  <c r="AF122" i="1"/>
  <c r="AF123" i="1"/>
  <c r="AF115" i="1" s="1"/>
  <c r="W177" i="1"/>
  <c r="W182" i="1" s="1"/>
  <c r="J420" i="1"/>
  <c r="W384" i="1"/>
  <c r="W381" i="1"/>
  <c r="W400" i="1"/>
  <c r="W315" i="1"/>
  <c r="W331" i="1"/>
  <c r="W312" i="1"/>
  <c r="W184" i="1"/>
  <c r="W181" i="1"/>
  <c r="W200" i="1"/>
  <c r="W245" i="1"/>
  <c r="W248" i="1"/>
  <c r="W264" i="1"/>
  <c r="BW63" i="2"/>
  <c r="BV62" i="2"/>
  <c r="BN60" i="2"/>
  <c r="BO62" i="2"/>
  <c r="BN61" i="2"/>
  <c r="AI89" i="1"/>
  <c r="AN89" i="1" s="1"/>
  <c r="AI88" i="1"/>
  <c r="AN88" i="1" s="1"/>
  <c r="O4" i="1"/>
  <c r="BF62" i="2" l="1"/>
  <c r="BF61" i="2"/>
  <c r="BL286" i="1"/>
  <c r="BM286" i="1" s="1"/>
  <c r="AY225" i="1"/>
  <c r="BV225" i="1"/>
  <c r="BR225" i="1"/>
  <c r="BH225" i="1"/>
  <c r="BS225" i="1"/>
  <c r="BT225" i="1"/>
  <c r="AX225" i="1"/>
  <c r="BP225" i="1"/>
  <c r="BO225" i="1"/>
  <c r="BQ225" i="1"/>
  <c r="BD225" i="1"/>
  <c r="BJ225" i="1"/>
  <c r="BA225" i="1"/>
  <c r="AV225" i="1"/>
  <c r="BM225" i="1"/>
  <c r="AT225" i="1"/>
  <c r="BG225" i="1"/>
  <c r="AW225" i="1"/>
  <c r="BN225" i="1"/>
  <c r="BY225" i="1"/>
  <c r="CA225" i="1"/>
  <c r="BW225" i="1"/>
  <c r="BK225" i="1"/>
  <c r="AU225" i="1"/>
  <c r="CB225" i="1"/>
  <c r="BL225" i="1"/>
  <c r="CC225" i="1"/>
  <c r="BU225" i="1"/>
  <c r="BF225" i="1"/>
  <c r="BI225" i="1"/>
  <c r="BZ225" i="1"/>
  <c r="BX225" i="1"/>
  <c r="AS225" i="1"/>
  <c r="BE225" i="1"/>
  <c r="BC225" i="1"/>
  <c r="BB225" i="1"/>
  <c r="AZ225" i="1"/>
  <c r="BK220" i="1"/>
  <c r="BL220" i="1"/>
  <c r="BM220" i="1" s="1"/>
  <c r="W525" i="1"/>
  <c r="W528" i="1" s="1"/>
  <c r="W529" i="1" s="1"/>
  <c r="W530" i="1" s="1"/>
  <c r="G529" i="1" s="1"/>
  <c r="W491" i="1"/>
  <c r="AA553" i="1"/>
  <c r="AE124" i="1"/>
  <c r="AE125" i="1" s="1"/>
  <c r="AE126" i="1" s="1"/>
  <c r="AE135" i="1" s="1"/>
  <c r="AF144" i="1"/>
  <c r="AF145" i="1" s="1"/>
  <c r="AF146" i="1" s="1"/>
  <c r="AF147" i="1" s="1"/>
  <c r="AL143" i="1"/>
  <c r="AL144" i="1" s="1"/>
  <c r="H129" i="1" s="1"/>
  <c r="AF124" i="1"/>
  <c r="AF125" i="1" s="1"/>
  <c r="AF126" i="1" s="1"/>
  <c r="AF135" i="1" s="1"/>
  <c r="AF136" i="1"/>
  <c r="W185" i="1"/>
  <c r="W186" i="1" s="1"/>
  <c r="W187" i="1" s="1"/>
  <c r="G195" i="1" s="1"/>
  <c r="W249" i="1"/>
  <c r="W250" i="1" s="1"/>
  <c r="W251" i="1" s="1"/>
  <c r="G259" i="1" s="1"/>
  <c r="W316" i="1"/>
  <c r="W317" i="1" s="1"/>
  <c r="W318" i="1" s="1"/>
  <c r="G326" i="1" s="1"/>
  <c r="W385" i="1"/>
  <c r="W386" i="1" s="1"/>
  <c r="BW64" i="2"/>
  <c r="BV63" i="2"/>
  <c r="BO63" i="2"/>
  <c r="BN62" i="2"/>
  <c r="BF63" i="2"/>
  <c r="AO88" i="1"/>
  <c r="AO89" i="1"/>
  <c r="O100" i="1" s="1"/>
  <c r="AE136" i="1" l="1"/>
  <c r="W503" i="1"/>
  <c r="W504" i="1" s="1"/>
  <c r="W505" i="1" s="1"/>
  <c r="G507" i="1" s="1"/>
  <c r="W494" i="1"/>
  <c r="W495" i="1" s="1"/>
  <c r="W496" i="1" s="1"/>
  <c r="G489" i="1" s="1"/>
  <c r="W387" i="1"/>
  <c r="G394" i="1" s="1"/>
  <c r="AE139" i="1"/>
  <c r="AE128" i="1"/>
  <c r="AF150" i="1"/>
  <c r="AE150" i="1"/>
  <c r="AF116" i="1"/>
  <c r="AF127" i="1" s="1"/>
  <c r="AF139" i="1"/>
  <c r="AF152" i="1" s="1"/>
  <c r="BW65" i="2"/>
  <c r="BV64" i="2"/>
  <c r="BN63" i="2"/>
  <c r="BO64" i="2"/>
  <c r="BF64" i="2"/>
  <c r="O102" i="1"/>
  <c r="Q102" i="1" s="1"/>
  <c r="O99" i="1"/>
  <c r="Q99" i="1" s="1"/>
  <c r="O98" i="1"/>
  <c r="Q98" i="1" s="1"/>
  <c r="AE152" i="1" l="1"/>
  <c r="AE127" i="1"/>
  <c r="AE137" i="1" s="1"/>
  <c r="H125" i="1" s="1"/>
  <c r="AE151" i="1"/>
  <c r="H131" i="1" s="1"/>
  <c r="J131" i="1" s="1"/>
  <c r="AF151" i="1"/>
  <c r="H132" i="1" s="1"/>
  <c r="AF128" i="1"/>
  <c r="AF137" i="1" s="1"/>
  <c r="H126" i="1" s="1"/>
  <c r="BW66" i="2"/>
  <c r="BV65" i="2"/>
  <c r="BO65" i="2"/>
  <c r="BN64" i="2"/>
  <c r="BF65" i="2"/>
  <c r="Q100" i="1"/>
  <c r="Q104" i="1" s="1"/>
  <c r="H127" i="1" l="1"/>
  <c r="M127" i="1" s="1"/>
  <c r="N127" i="1" s="1"/>
  <c r="AC79" i="1"/>
  <c r="AC78" i="1"/>
  <c r="AO78" i="1" s="1"/>
  <c r="AA478" i="1"/>
  <c r="W479" i="1" s="1"/>
  <c r="AA481" i="1"/>
  <c r="W482" i="1" s="1"/>
  <c r="M131" i="1"/>
  <c r="N131" i="1" s="1"/>
  <c r="J132" i="1"/>
  <c r="M132" i="1"/>
  <c r="N132" i="1" s="1"/>
  <c r="H133" i="1"/>
  <c r="BA80" i="1"/>
  <c r="BA105" i="1" s="1"/>
  <c r="Q105" i="1"/>
  <c r="BW67" i="2"/>
  <c r="BV66" i="2"/>
  <c r="BO66" i="2"/>
  <c r="BN65" i="2"/>
  <c r="BF66" i="2"/>
  <c r="BA94" i="1"/>
  <c r="AP235" i="1" s="1"/>
  <c r="BA114" i="1"/>
  <c r="AP368" i="1" s="1"/>
  <c r="BA104" i="1"/>
  <c r="AP301" i="1" s="1"/>
  <c r="BA78" i="1"/>
  <c r="BA84" i="1"/>
  <c r="AP177" i="1" s="1"/>
  <c r="BA81" i="1"/>
  <c r="I521" i="1" l="1"/>
  <c r="I499" i="1"/>
  <c r="I537" i="1"/>
  <c r="I543" i="1" s="1"/>
  <c r="I479" i="1"/>
  <c r="AR306" i="1"/>
  <c r="AP305" i="1"/>
  <c r="AU305" i="1" s="1"/>
  <c r="AQ307" i="1"/>
  <c r="J127" i="1"/>
  <c r="K117" i="1"/>
  <c r="M117" i="1" s="1"/>
  <c r="N117" i="1" s="1"/>
  <c r="K120" i="1"/>
  <c r="BA95" i="1"/>
  <c r="BW68" i="2"/>
  <c r="BV67" i="2"/>
  <c r="BF114" i="1"/>
  <c r="D140" i="2" s="1"/>
  <c r="D139" i="2" s="1"/>
  <c r="BF105" i="1"/>
  <c r="D103" i="2" s="1"/>
  <c r="D102" i="2" s="1"/>
  <c r="BO67" i="2"/>
  <c r="BN66" i="2"/>
  <c r="BF84" i="1"/>
  <c r="K6" i="2"/>
  <c r="L6" i="2"/>
  <c r="M6" i="2"/>
  <c r="Q6" i="2"/>
  <c r="H6" i="2"/>
  <c r="G8" i="2" s="1"/>
  <c r="N6" i="2"/>
  <c r="R6" i="2"/>
  <c r="O6" i="2"/>
  <c r="S6" i="2"/>
  <c r="P6" i="2"/>
  <c r="T6" i="2"/>
  <c r="I6" i="2"/>
  <c r="J6" i="2"/>
  <c r="BF94" i="1"/>
  <c r="D54" i="2" s="1"/>
  <c r="D53" i="2" s="1"/>
  <c r="BF67" i="2"/>
  <c r="AP79" i="1"/>
  <c r="AP78" i="1"/>
  <c r="AO79" i="1"/>
  <c r="BF104" i="1"/>
  <c r="D97" i="2" s="1"/>
  <c r="D96" i="2" s="1"/>
  <c r="AP81" i="1"/>
  <c r="AP80" i="1"/>
  <c r="AO81" i="1"/>
  <c r="AF78" i="1" s="1" a="1"/>
  <c r="AF78" i="1" s="1"/>
  <c r="AO80" i="1"/>
  <c r="J490" i="1" l="1"/>
  <c r="J489" i="1"/>
  <c r="G492" i="1"/>
  <c r="I550" i="1"/>
  <c r="W550" i="1" s="1"/>
  <c r="W549" i="1"/>
  <c r="J507" i="1"/>
  <c r="J508" i="1"/>
  <c r="G510" i="1"/>
  <c r="J530" i="1"/>
  <c r="J529" i="1"/>
  <c r="AV307" i="1"/>
  <c r="AR307" i="1"/>
  <c r="AW305" i="1"/>
  <c r="AY305" i="1"/>
  <c r="AS306" i="1"/>
  <c r="AW297" i="1"/>
  <c r="AU306" i="1"/>
  <c r="AV306" i="1" s="1"/>
  <c r="AY306" i="1"/>
  <c r="AZ306" i="1" s="1"/>
  <c r="AW306" i="1"/>
  <c r="AX306" i="1" s="1"/>
  <c r="BF95" i="1"/>
  <c r="D60" i="2" s="1"/>
  <c r="D59" i="2" s="1"/>
  <c r="AW59" i="2" s="1" a="1"/>
  <c r="AW59" i="2" s="1"/>
  <c r="AR240" i="1"/>
  <c r="AP239" i="1"/>
  <c r="AU239" i="1" s="1"/>
  <c r="AQ241" i="1"/>
  <c r="BA85" i="1"/>
  <c r="AR182" i="1" s="1"/>
  <c r="AW173" i="1" s="1"/>
  <c r="AX102" i="2" a="1"/>
  <c r="AX102" i="2" s="1"/>
  <c r="AV102" i="2" a="1"/>
  <c r="AV102" i="2" s="1"/>
  <c r="BB102" i="2" a="1"/>
  <c r="BB102" i="2" s="1"/>
  <c r="AU102" i="2" a="1"/>
  <c r="AU102" i="2" s="1"/>
  <c r="BA102" i="2" a="1"/>
  <c r="BA102" i="2" s="1"/>
  <c r="AZ102" i="2" a="1"/>
  <c r="AZ102" i="2" s="1"/>
  <c r="AW102" i="2" a="1"/>
  <c r="AW102" i="2" s="1"/>
  <c r="AY102" i="2" a="1"/>
  <c r="AY102" i="2" s="1"/>
  <c r="BC102" i="2" a="1"/>
  <c r="BC102" i="2" s="1"/>
  <c r="AF79" i="1" a="1"/>
  <c r="AF79" i="1" s="1"/>
  <c r="BA86" i="1" s="1"/>
  <c r="J117" i="1"/>
  <c r="AV139" i="2" a="1"/>
  <c r="AV139" i="2" s="1"/>
  <c r="BC139" i="2" a="1"/>
  <c r="BC139" i="2" s="1"/>
  <c r="BB139" i="2" a="1"/>
  <c r="BB139" i="2" s="1"/>
  <c r="AU139" i="2" a="1"/>
  <c r="AU139" i="2" s="1"/>
  <c r="AZ139" i="2" a="1"/>
  <c r="AZ139" i="2" s="1"/>
  <c r="AW139" i="2" a="1"/>
  <c r="AW139" i="2" s="1"/>
  <c r="AY139" i="2" a="1"/>
  <c r="AY139" i="2" s="1"/>
  <c r="AX139" i="2" a="1"/>
  <c r="AX139" i="2" s="1"/>
  <c r="BA139" i="2" a="1"/>
  <c r="BA139" i="2" s="1"/>
  <c r="BW69" i="2"/>
  <c r="BV68" i="2"/>
  <c r="BO68" i="2"/>
  <c r="BN67" i="2"/>
  <c r="BF68" i="2"/>
  <c r="T7" i="2"/>
  <c r="H7" i="2"/>
  <c r="M7" i="2"/>
  <c r="K7" i="2"/>
  <c r="N7" i="2"/>
  <c r="O7" i="2"/>
  <c r="J7" i="2"/>
  <c r="L7" i="2"/>
  <c r="P7" i="2"/>
  <c r="R7" i="2"/>
  <c r="Q7" i="2"/>
  <c r="I7" i="2"/>
  <c r="S7" i="2"/>
  <c r="H8" i="2"/>
  <c r="G560" i="1" l="1"/>
  <c r="I560" i="1" s="1"/>
  <c r="I551" i="1"/>
  <c r="W551" i="1" s="1"/>
  <c r="G552" i="1" s="1"/>
  <c r="AA543" i="1" s="1"/>
  <c r="M529" i="1"/>
  <c r="N529" i="1" s="1"/>
  <c r="I529" i="1"/>
  <c r="M510" i="1"/>
  <c r="N510" i="1" s="1"/>
  <c r="I510" i="1"/>
  <c r="M508" i="1"/>
  <c r="N508" i="1" s="1"/>
  <c r="I508" i="1"/>
  <c r="I507" i="1"/>
  <c r="M507" i="1"/>
  <c r="N507" i="1" s="1"/>
  <c r="G532" i="1"/>
  <c r="M530" i="1"/>
  <c r="N530" i="1" s="1"/>
  <c r="I530" i="1"/>
  <c r="I492" i="1"/>
  <c r="M492" i="1"/>
  <c r="N492" i="1" s="1"/>
  <c r="M489" i="1"/>
  <c r="N489" i="1" s="1"/>
  <c r="I489" i="1"/>
  <c r="M490" i="1"/>
  <c r="N490" i="1" s="1"/>
  <c r="I490" i="1"/>
  <c r="BB59" i="2" a="1"/>
  <c r="BB59" i="2" s="1"/>
  <c r="AX59" i="2" a="1"/>
  <c r="AX59" i="2" s="1"/>
  <c r="AU59" i="2" a="1"/>
  <c r="AU59" i="2" s="1"/>
  <c r="BC59" i="2" a="1"/>
  <c r="BC59" i="2" s="1"/>
  <c r="AZ59" i="2" a="1"/>
  <c r="AZ59" i="2" s="1"/>
  <c r="AT59" i="2" a="1"/>
  <c r="AT59" i="2" s="1"/>
  <c r="AY59" i="2" a="1"/>
  <c r="AY59" i="2" s="1"/>
  <c r="BA59" i="2" a="1"/>
  <c r="BA59" i="2" s="1"/>
  <c r="AV59" i="2" a="1"/>
  <c r="AV59" i="2" s="1"/>
  <c r="AX307" i="1"/>
  <c r="AZ307" i="1"/>
  <c r="AR241" i="1"/>
  <c r="AV241" i="1"/>
  <c r="AY239" i="1"/>
  <c r="AW239" i="1"/>
  <c r="AS240" i="1"/>
  <c r="AW231" i="1"/>
  <c r="AY240" i="1"/>
  <c r="AZ240" i="1" s="1"/>
  <c r="AW240" i="1"/>
  <c r="AX240" i="1" s="1"/>
  <c r="AU240" i="1"/>
  <c r="AV240" i="1" s="1"/>
  <c r="AX181" i="1"/>
  <c r="BC181" i="1" s="1"/>
  <c r="AP181" i="1"/>
  <c r="AU181" i="1" s="1"/>
  <c r="AZ182" i="1"/>
  <c r="AV173" i="1" s="1"/>
  <c r="AY183" i="1"/>
  <c r="AX187" i="1" s="1"/>
  <c r="AQ183" i="1"/>
  <c r="BF86" i="1"/>
  <c r="J9" i="2"/>
  <c r="I9" i="2"/>
  <c r="H9" i="2"/>
  <c r="G11" i="2" s="1"/>
  <c r="H11" i="2" s="1"/>
  <c r="I11" i="2" s="1"/>
  <c r="K9" i="2"/>
  <c r="R12" i="2"/>
  <c r="T12" i="2"/>
  <c r="Q12" i="2"/>
  <c r="G14" i="2" s="1"/>
  <c r="H13" i="2" s="1"/>
  <c r="BF85" i="1"/>
  <c r="S12" i="2"/>
  <c r="BW70" i="2"/>
  <c r="BV69" i="2"/>
  <c r="BO69" i="2"/>
  <c r="BN68" i="2"/>
  <c r="BF69" i="2"/>
  <c r="I8" i="2"/>
  <c r="M560" i="1" l="1"/>
  <c r="N560" i="1" s="1"/>
  <c r="M552" i="1"/>
  <c r="N552" i="1" s="1"/>
  <c r="I552" i="1"/>
  <c r="M532" i="1"/>
  <c r="N532" i="1" s="1"/>
  <c r="I532" i="1"/>
  <c r="J11" i="2"/>
  <c r="K11" i="2" s="1"/>
  <c r="L11" i="2" s="1"/>
  <c r="M11" i="2" s="1"/>
  <c r="N11" i="2" s="1"/>
  <c r="O11" i="2" s="1"/>
  <c r="P11" i="2" s="1"/>
  <c r="Q11" i="2" s="1"/>
  <c r="R11" i="2" s="1"/>
  <c r="S11" i="2" s="1"/>
  <c r="T11" i="2" s="1"/>
  <c r="U11" i="2" s="1"/>
  <c r="V11" i="2" s="1"/>
  <c r="S10" i="2" s="1"/>
  <c r="AX241" i="1"/>
  <c r="AZ241" i="1"/>
  <c r="BD183" i="1"/>
  <c r="AZ183" i="1"/>
  <c r="BC182" i="1"/>
  <c r="BD182" i="1" s="1"/>
  <c r="BA182" i="1"/>
  <c r="AP187" i="1"/>
  <c r="AR183" i="1"/>
  <c r="AV183" i="1"/>
  <c r="AS182" i="1"/>
  <c r="AU182" i="1"/>
  <c r="AV182" i="1" s="1"/>
  <c r="BA91" i="1"/>
  <c r="BA90" i="1" s="1"/>
  <c r="BA106" i="1" s="1"/>
  <c r="I10" i="2"/>
  <c r="J10" i="2"/>
  <c r="K10" i="2"/>
  <c r="H10" i="2"/>
  <c r="H16" i="2" s="1"/>
  <c r="P13" i="2"/>
  <c r="O13" i="2"/>
  <c r="I13" i="2"/>
  <c r="J13" i="2"/>
  <c r="Q13" i="2"/>
  <c r="L13" i="2"/>
  <c r="M13" i="2"/>
  <c r="G17" i="2"/>
  <c r="G18" i="2" s="1"/>
  <c r="K13" i="2"/>
  <c r="R13" i="2"/>
  <c r="H14" i="2"/>
  <c r="I14" i="2" s="1"/>
  <c r="J14" i="2" s="1"/>
  <c r="K14" i="2" s="1"/>
  <c r="L14" i="2" s="1"/>
  <c r="M14" i="2" s="1"/>
  <c r="N14" i="2" s="1"/>
  <c r="O14" i="2" s="1"/>
  <c r="P14" i="2" s="1"/>
  <c r="Q14" i="2" s="1"/>
  <c r="R14" i="2" s="1"/>
  <c r="S14" i="2" s="1"/>
  <c r="T14" i="2" s="1"/>
  <c r="U14" i="2" s="1"/>
  <c r="V14" i="2" s="1"/>
  <c r="U13" i="2" s="1"/>
  <c r="T13" i="2"/>
  <c r="S13" i="2"/>
  <c r="N13" i="2"/>
  <c r="BW71" i="2"/>
  <c r="BV70" i="2"/>
  <c r="BO70" i="2"/>
  <c r="BN69" i="2"/>
  <c r="J8" i="2"/>
  <c r="BF70" i="2"/>
  <c r="BF106" i="1" l="1"/>
  <c r="BC307" i="1"/>
  <c r="BB305" i="1"/>
  <c r="BC187" i="1"/>
  <c r="BA187" i="1"/>
  <c r="AY187" i="1"/>
  <c r="AS187" i="1"/>
  <c r="AU187" i="1"/>
  <c r="AQ187" i="1"/>
  <c r="P10" i="2"/>
  <c r="P16" i="2" s="1"/>
  <c r="R10" i="2"/>
  <c r="R16" i="2" s="1"/>
  <c r="M10" i="2"/>
  <c r="M16" i="2" s="1"/>
  <c r="N10" i="2"/>
  <c r="N16" i="2" s="1"/>
  <c r="U10" i="2"/>
  <c r="T10" i="2"/>
  <c r="T16" i="2" s="1"/>
  <c r="Q10" i="2"/>
  <c r="Q16" i="2" s="1"/>
  <c r="O10" i="2"/>
  <c r="O16" i="2" s="1"/>
  <c r="L10" i="2"/>
  <c r="L16" i="2" s="1"/>
  <c r="BA96" i="1"/>
  <c r="I16" i="2"/>
  <c r="K16" i="2"/>
  <c r="J16" i="2"/>
  <c r="I17" i="2"/>
  <c r="I18" i="2" s="1"/>
  <c r="H17" i="2"/>
  <c r="H18" i="2" s="1"/>
  <c r="S16" i="2"/>
  <c r="BW72" i="2"/>
  <c r="BV71" i="2"/>
  <c r="BN70" i="2"/>
  <c r="BO71" i="2"/>
  <c r="BF71" i="2"/>
  <c r="J17" i="2"/>
  <c r="J18" i="2" s="1"/>
  <c r="K8" i="2"/>
  <c r="BF96" i="1" l="1"/>
  <c r="BC241" i="1"/>
  <c r="BB239" i="1"/>
  <c r="AV187" i="1"/>
  <c r="AR187" i="1"/>
  <c r="BD187" i="1"/>
  <c r="AZ187" i="1"/>
  <c r="BW73" i="2"/>
  <c r="BV72" i="2"/>
  <c r="BO72" i="2"/>
  <c r="BN71" i="2"/>
  <c r="K17" i="2"/>
  <c r="K18" i="2" s="1"/>
  <c r="L8" i="2"/>
  <c r="BF72" i="2"/>
  <c r="BW74" i="2" l="1"/>
  <c r="BV73" i="2"/>
  <c r="BO73" i="2"/>
  <c r="BN72" i="2"/>
  <c r="BF73" i="2"/>
  <c r="M8" i="2"/>
  <c r="L17" i="2"/>
  <c r="L18" i="2" s="1"/>
  <c r="BW75" i="2" l="1"/>
  <c r="BV74" i="2"/>
  <c r="BO74" i="2"/>
  <c r="BN73" i="2"/>
  <c r="N8" i="2"/>
  <c r="M17" i="2"/>
  <c r="M18" i="2" s="1"/>
  <c r="BF74" i="2"/>
  <c r="BW76" i="2" l="1"/>
  <c r="BV75" i="2"/>
  <c r="BO75" i="2"/>
  <c r="BN74" i="2"/>
  <c r="BF75" i="2"/>
  <c r="O8" i="2"/>
  <c r="N17" i="2"/>
  <c r="N18" i="2" s="1"/>
  <c r="BW77" i="2" l="1"/>
  <c r="BV76" i="2"/>
  <c r="BO76" i="2"/>
  <c r="BN75" i="2"/>
  <c r="P8" i="2"/>
  <c r="O17" i="2"/>
  <c r="O18" i="2" s="1"/>
  <c r="BF76" i="2"/>
  <c r="I438" i="1" l="1"/>
  <c r="AB457" i="1" s="1"/>
  <c r="M437" i="1"/>
  <c r="N437" i="1" s="1"/>
  <c r="I437" i="1"/>
  <c r="BW78" i="2"/>
  <c r="BV77" i="2"/>
  <c r="BO77" i="2"/>
  <c r="BN76" i="2"/>
  <c r="BF77" i="2"/>
  <c r="Q8" i="2"/>
  <c r="P17" i="2"/>
  <c r="P18" i="2" s="1"/>
  <c r="AD448" i="1" l="1"/>
  <c r="AF448" i="1" s="1"/>
  <c r="AG448" i="1" s="1"/>
  <c r="AD446" i="1"/>
  <c r="AF446" i="1" s="1"/>
  <c r="AG446" i="1" s="1"/>
  <c r="AD445" i="1"/>
  <c r="AF445" i="1" s="1"/>
  <c r="AG445" i="1" s="1"/>
  <c r="AD452" i="1"/>
  <c r="AF452" i="1" s="1"/>
  <c r="AG452" i="1" s="1"/>
  <c r="AD443" i="1"/>
  <c r="AF443" i="1" s="1"/>
  <c r="AG443" i="1" s="1"/>
  <c r="AD449" i="1"/>
  <c r="AF449" i="1" s="1"/>
  <c r="AG449" i="1" s="1"/>
  <c r="AD439" i="1"/>
  <c r="AF439" i="1" s="1"/>
  <c r="AG439" i="1" s="1"/>
  <c r="AD444" i="1"/>
  <c r="AF444" i="1" s="1"/>
  <c r="AG444" i="1" s="1"/>
  <c r="AD451" i="1"/>
  <c r="AF451" i="1" s="1"/>
  <c r="AG451" i="1" s="1"/>
  <c r="AD447" i="1"/>
  <c r="AF447" i="1" s="1"/>
  <c r="AG447" i="1" s="1"/>
  <c r="AH447" i="1" s="1"/>
  <c r="AI447" i="1" s="1"/>
  <c r="AD440" i="1"/>
  <c r="AF440" i="1" s="1"/>
  <c r="AG440" i="1" s="1"/>
  <c r="AD441" i="1"/>
  <c r="AF441" i="1" s="1"/>
  <c r="AG441" i="1" s="1"/>
  <c r="AD450" i="1"/>
  <c r="AF450" i="1" s="1"/>
  <c r="AG450" i="1" s="1"/>
  <c r="AD442" i="1"/>
  <c r="AF442" i="1" s="1"/>
  <c r="AG442" i="1" s="1"/>
  <c r="BW79" i="2"/>
  <c r="BV78" i="2"/>
  <c r="BO78" i="2"/>
  <c r="BN77" i="2"/>
  <c r="BF78" i="2"/>
  <c r="R8" i="2"/>
  <c r="Q17" i="2"/>
  <c r="Q18" i="2" s="1"/>
  <c r="AH443" i="1" l="1"/>
  <c r="AI443" i="1" s="1"/>
  <c r="AH449" i="1"/>
  <c r="AI449" i="1" s="1"/>
  <c r="AH451" i="1"/>
  <c r="AI451" i="1" s="1"/>
  <c r="AH440" i="1"/>
  <c r="AI440" i="1" s="1"/>
  <c r="AH444" i="1"/>
  <c r="AI444" i="1" s="1"/>
  <c r="AH442" i="1"/>
  <c r="AI442" i="1" s="1"/>
  <c r="AH452" i="1"/>
  <c r="AI452" i="1" s="1"/>
  <c r="AH445" i="1"/>
  <c r="AI445" i="1" s="1"/>
  <c r="AH446" i="1"/>
  <c r="AI446" i="1" s="1"/>
  <c r="AH450" i="1"/>
  <c r="AI450" i="1" s="1"/>
  <c r="AH448" i="1"/>
  <c r="AI448" i="1" s="1"/>
  <c r="AH441" i="1"/>
  <c r="AI441" i="1" s="1"/>
  <c r="BW80" i="2"/>
  <c r="BV79" i="2"/>
  <c r="BO79" i="2"/>
  <c r="BN78" i="2"/>
  <c r="BF79" i="2"/>
  <c r="S8" i="2"/>
  <c r="R17" i="2"/>
  <c r="R18" i="2" s="1"/>
  <c r="AA456" i="1" l="1"/>
  <c r="AB456" i="1" s="1"/>
  <c r="BW81" i="2"/>
  <c r="BV80" i="2"/>
  <c r="BN79" i="2"/>
  <c r="BO80" i="2"/>
  <c r="BF80" i="2"/>
  <c r="T8" i="2"/>
  <c r="S17" i="2"/>
  <c r="S18" i="2" s="1"/>
  <c r="AA455" i="1" l="1"/>
  <c r="AB455" i="1" s="1"/>
  <c r="AA457" i="1" s="1"/>
  <c r="K456" i="1" s="1"/>
  <c r="F460" i="1" s="1"/>
  <c r="BW82" i="2"/>
  <c r="BV81" i="2"/>
  <c r="BN80" i="2"/>
  <c r="BO81" i="2"/>
  <c r="BF81" i="2"/>
  <c r="U8" i="2"/>
  <c r="T17" i="2"/>
  <c r="T18" i="2" s="1"/>
  <c r="BW83" i="2" l="1"/>
  <c r="BV82" i="2"/>
  <c r="BN81" i="2"/>
  <c r="BO82" i="2"/>
  <c r="U17" i="2"/>
  <c r="U18" i="2" s="1"/>
  <c r="V8" i="2"/>
  <c r="BF82" i="2"/>
  <c r="BW84" i="2" l="1"/>
  <c r="BV83" i="2"/>
  <c r="BO83" i="2"/>
  <c r="BN82" i="2"/>
  <c r="BF83" i="2"/>
  <c r="V17" i="2"/>
  <c r="V18" i="2" s="1"/>
  <c r="D22" i="2" s="1"/>
  <c r="U7" i="2"/>
  <c r="U16" i="2" s="1"/>
  <c r="D21" i="2" s="1"/>
  <c r="K195" i="1" s="1"/>
  <c r="K198" i="1" l="1"/>
  <c r="M198" i="1" s="1"/>
  <c r="N198" i="1" s="1"/>
  <c r="M195" i="1"/>
  <c r="N195" i="1" s="1"/>
  <c r="J195" i="1"/>
  <c r="BW85" i="2"/>
  <c r="BV84" i="2"/>
  <c r="BN83" i="2"/>
  <c r="BO84" i="2"/>
  <c r="BF84" i="2"/>
  <c r="J198" i="1" l="1"/>
  <c r="M120" i="1"/>
  <c r="N120" i="1" s="1"/>
  <c r="J120" i="1"/>
  <c r="BW86" i="2"/>
  <c r="BV85" i="2"/>
  <c r="BO85" i="2"/>
  <c r="BN84" i="2"/>
  <c r="BF85" i="2"/>
  <c r="BW87" i="2" l="1"/>
  <c r="BV86" i="2"/>
  <c r="BN85" i="2"/>
  <c r="BO86" i="2"/>
  <c r="BF86" i="2"/>
  <c r="BW88" i="2" l="1"/>
  <c r="BV87" i="2"/>
  <c r="BN86" i="2"/>
  <c r="BO87" i="2"/>
  <c r="BF87" i="2"/>
  <c r="BW89" i="2" l="1"/>
  <c r="BV88" i="2"/>
  <c r="BO88" i="2"/>
  <c r="BN87" i="2"/>
  <c r="BF88" i="2"/>
  <c r="BW90" i="2" l="1"/>
  <c r="BV89" i="2"/>
  <c r="BO89" i="2"/>
  <c r="BN88" i="2"/>
  <c r="BF89" i="2"/>
  <c r="BW91" i="2" l="1"/>
  <c r="BV90" i="2"/>
  <c r="BO90" i="2"/>
  <c r="BN89" i="2"/>
  <c r="BF90" i="2"/>
  <c r="BW92" i="2" l="1"/>
  <c r="BV91" i="2"/>
  <c r="BO91" i="2"/>
  <c r="BN90" i="2"/>
  <c r="BF91" i="2"/>
  <c r="BW93" i="2" l="1"/>
  <c r="BV92" i="2"/>
  <c r="BN91" i="2"/>
  <c r="BO92" i="2"/>
  <c r="BF92" i="2"/>
  <c r="BW94" i="2" l="1"/>
  <c r="BV93" i="2"/>
  <c r="BO93" i="2"/>
  <c r="BN92" i="2"/>
  <c r="BF93" i="2"/>
  <c r="BW95" i="2" l="1"/>
  <c r="BV94" i="2"/>
  <c r="BN93" i="2"/>
  <c r="BO94" i="2"/>
  <c r="BF94" i="2"/>
  <c r="BW96" i="2" l="1"/>
  <c r="BV96" i="2" s="1"/>
  <c r="BV95" i="2"/>
  <c r="BO95" i="2"/>
  <c r="BN94" i="2"/>
  <c r="BF95" i="2"/>
  <c r="BZ45" i="2" a="1"/>
  <c r="BZ45" i="2" l="1"/>
  <c r="BO96" i="2"/>
  <c r="BN96" i="2" s="1"/>
  <c r="BN95" i="2"/>
  <c r="BF96" i="2"/>
  <c r="BJ45" i="2" a="1"/>
  <c r="BR45" i="2" a="1"/>
  <c r="G136" i="2" a="1"/>
  <c r="BJ45" i="2" l="1"/>
  <c r="AQ141" i="2"/>
  <c r="AR141" i="2"/>
  <c r="AS141" i="2"/>
  <c r="AT141" i="2"/>
  <c r="AT138" i="2"/>
  <c r="AT139" i="2" s="1" a="1"/>
  <c r="AT139" i="2" s="1"/>
  <c r="AQ138" i="2"/>
  <c r="AQ139" i="2" s="1" a="1"/>
  <c r="AQ139" i="2" s="1"/>
  <c r="AS138" i="2"/>
  <c r="AS139" i="2" s="1" a="1"/>
  <c r="AS139" i="2" s="1"/>
  <c r="AR138" i="2"/>
  <c r="AR139" i="2" s="1" a="1"/>
  <c r="AR139" i="2" s="1"/>
  <c r="J141" i="2"/>
  <c r="AK141" i="2"/>
  <c r="AD141" i="2"/>
  <c r="N138" i="2"/>
  <c r="N139" i="2" s="1" a="1"/>
  <c r="N139" i="2" s="1"/>
  <c r="AC138" i="2"/>
  <c r="AC139" i="2" s="1" a="1"/>
  <c r="AC139" i="2" s="1"/>
  <c r="G138" i="2"/>
  <c r="G139" i="2" s="1" a="1"/>
  <c r="G139" i="2" s="1"/>
  <c r="G145" i="2" s="1"/>
  <c r="U138" i="2"/>
  <c r="U139" i="2" s="1" a="1"/>
  <c r="U139" i="2" s="1"/>
  <c r="L141" i="2"/>
  <c r="V138" i="2"/>
  <c r="V139" i="2" s="1" a="1"/>
  <c r="V139" i="2" s="1"/>
  <c r="M141" i="2"/>
  <c r="V141" i="2"/>
  <c r="N141" i="2"/>
  <c r="AF141" i="2"/>
  <c r="Z138" i="2"/>
  <c r="Z139" i="2" s="1" a="1"/>
  <c r="Z139" i="2" s="1"/>
  <c r="AH138" i="2"/>
  <c r="AH139" i="2" s="1" a="1"/>
  <c r="AH139" i="2" s="1"/>
  <c r="J138" i="2"/>
  <c r="J139" i="2" s="1" a="1"/>
  <c r="J139" i="2" s="1"/>
  <c r="T141" i="2"/>
  <c r="H141" i="2"/>
  <c r="H143" i="2" s="1"/>
  <c r="H142" i="2" s="1"/>
  <c r="K138" i="2"/>
  <c r="K139" i="2" s="1" a="1"/>
  <c r="K139" i="2" s="1"/>
  <c r="P138" i="2"/>
  <c r="P139" i="2" s="1" a="1"/>
  <c r="P139" i="2" s="1"/>
  <c r="Q141" i="2"/>
  <c r="Y138" i="2"/>
  <c r="Y139" i="2" s="1" a="1"/>
  <c r="Y139" i="2" s="1"/>
  <c r="AP138" i="2"/>
  <c r="AP139" i="2" s="1" a="1"/>
  <c r="AP139" i="2" s="1"/>
  <c r="AH141" i="2"/>
  <c r="Z141" i="2"/>
  <c r="S141" i="2"/>
  <c r="AL138" i="2"/>
  <c r="AL139" i="2" s="1" a="1"/>
  <c r="AL139" i="2" s="1"/>
  <c r="R138" i="2"/>
  <c r="R139" i="2" s="1" a="1"/>
  <c r="R139" i="2" s="1"/>
  <c r="AA138" i="2"/>
  <c r="AA139" i="2" s="1" a="1"/>
  <c r="AA139" i="2" s="1"/>
  <c r="X141" i="2"/>
  <c r="R141" i="2"/>
  <c r="AO138" i="2"/>
  <c r="AO139" i="2" s="1" a="1"/>
  <c r="AO139" i="2" s="1"/>
  <c r="AE141" i="2"/>
  <c r="O138" i="2"/>
  <c r="O139" i="2" s="1" a="1"/>
  <c r="O139" i="2" s="1"/>
  <c r="AD138" i="2"/>
  <c r="AD139" i="2" s="1" a="1"/>
  <c r="AD139" i="2" s="1"/>
  <c r="L138" i="2"/>
  <c r="L139" i="2" s="1" a="1"/>
  <c r="L139" i="2" s="1"/>
  <c r="AJ138" i="2"/>
  <c r="AJ139" i="2" s="1" a="1"/>
  <c r="AJ139" i="2" s="1"/>
  <c r="W138" i="2"/>
  <c r="W139" i="2" s="1" a="1"/>
  <c r="W139" i="2" s="1"/>
  <c r="Y141" i="2"/>
  <c r="W141" i="2"/>
  <c r="U141" i="2"/>
  <c r="AF138" i="2"/>
  <c r="AF139" i="2" s="1" a="1"/>
  <c r="AF139" i="2" s="1"/>
  <c r="AE138" i="2"/>
  <c r="AE139" i="2" s="1" a="1"/>
  <c r="AE139" i="2" s="1"/>
  <c r="T138" i="2"/>
  <c r="T139" i="2" s="1" a="1"/>
  <c r="T139" i="2" s="1"/>
  <c r="AB138" i="2"/>
  <c r="AB139" i="2" s="1" a="1"/>
  <c r="AB139" i="2" s="1"/>
  <c r="AN138" i="2"/>
  <c r="AN139" i="2" s="1" a="1"/>
  <c r="AN139" i="2" s="1"/>
  <c r="AI141" i="2"/>
  <c r="O141" i="2"/>
  <c r="S138" i="2"/>
  <c r="S139" i="2" s="1" a="1"/>
  <c r="S139" i="2" s="1"/>
  <c r="AB141" i="2"/>
  <c r="AG138" i="2"/>
  <c r="AG139" i="2" s="1" a="1"/>
  <c r="AG139" i="2" s="1"/>
  <c r="AK138" i="2"/>
  <c r="AK139" i="2" s="1" a="1"/>
  <c r="AK139" i="2" s="1"/>
  <c r="G136" i="2"/>
  <c r="G141" i="2" s="1"/>
  <c r="AG141" i="2"/>
  <c r="AA141" i="2"/>
  <c r="X138" i="2"/>
  <c r="X139" i="2" s="1" a="1"/>
  <c r="X139" i="2" s="1"/>
  <c r="H138" i="2"/>
  <c r="H139" i="2" s="1" a="1"/>
  <c r="H139" i="2" s="1"/>
  <c r="I138" i="2"/>
  <c r="I139" i="2" s="1" a="1"/>
  <c r="I139" i="2" s="1"/>
  <c r="P141" i="2"/>
  <c r="M138" i="2"/>
  <c r="M139" i="2" s="1" a="1"/>
  <c r="M139" i="2" s="1"/>
  <c r="AI138" i="2"/>
  <c r="AI139" i="2" s="1" a="1"/>
  <c r="AI139" i="2" s="1"/>
  <c r="Q138" i="2"/>
  <c r="Q139" i="2" s="1" a="1"/>
  <c r="Q139" i="2" s="1"/>
  <c r="AN141" i="2"/>
  <c r="AC141" i="2"/>
  <c r="AM138" i="2"/>
  <c r="AM139" i="2" s="1" a="1"/>
  <c r="AM139" i="2" s="1"/>
  <c r="AM141" i="2"/>
  <c r="BR45" i="2"/>
  <c r="G93" i="2" a="1"/>
  <c r="G50" i="2" a="1"/>
  <c r="AG95" i="2" l="1"/>
  <c r="AS95" i="2"/>
  <c r="AT95" i="2"/>
  <c r="AJ95" i="2"/>
  <c r="AJ96" i="2" s="1"/>
  <c r="AL95" i="2"/>
  <c r="AL96" i="2" s="1"/>
  <c r="AN95" i="2"/>
  <c r="AN96" i="2" s="1"/>
  <c r="AQ95" i="2"/>
  <c r="AH95" i="2"/>
  <c r="AK95" i="2"/>
  <c r="AK96" i="2" s="1"/>
  <c r="AO95" i="2"/>
  <c r="AO96" i="2" s="1"/>
  <c r="AR95" i="2"/>
  <c r="AR96" i="2" s="1"/>
  <c r="AI95" i="2"/>
  <c r="AI96" i="2" s="1"/>
  <c r="AP95" i="2"/>
  <c r="AM95" i="2"/>
  <c r="AT98" i="2"/>
  <c r="AO98" i="2"/>
  <c r="AP98" i="2"/>
  <c r="AL98" i="2"/>
  <c r="AS98" i="2"/>
  <c r="AQ98" i="2"/>
  <c r="AK98" i="2"/>
  <c r="AR98" i="2"/>
  <c r="AN98" i="2"/>
  <c r="AM98" i="2"/>
  <c r="AN101" i="2"/>
  <c r="AN102" i="2" s="1" a="1"/>
  <c r="AN102" i="2" s="1"/>
  <c r="AO101" i="2"/>
  <c r="AQ101" i="2"/>
  <c r="AT101" i="2"/>
  <c r="AT102" i="2" s="1" a="1"/>
  <c r="AT102" i="2" s="1"/>
  <c r="AK101" i="2"/>
  <c r="AK102" i="2" s="1" a="1"/>
  <c r="AK102" i="2" s="1"/>
  <c r="AP101" i="2"/>
  <c r="AP102" i="2" s="1" a="1"/>
  <c r="AP102" i="2" s="1"/>
  <c r="AM101" i="2"/>
  <c r="AM102" i="2" s="1" a="1"/>
  <c r="AM102" i="2" s="1"/>
  <c r="AS101" i="2"/>
  <c r="AS102" i="2" s="1" a="1"/>
  <c r="AS102" i="2" s="1"/>
  <c r="AL101" i="2"/>
  <c r="AL102" i="2" s="1" a="1"/>
  <c r="AL102" i="2" s="1"/>
  <c r="AR101" i="2"/>
  <c r="AR102" i="2" s="1" a="1"/>
  <c r="AR102" i="2" s="1"/>
  <c r="AM96" i="2"/>
  <c r="AG96" i="2"/>
  <c r="AP96" i="2"/>
  <c r="AT96" i="2"/>
  <c r="AS96" i="2"/>
  <c r="AQ96" i="2"/>
  <c r="AH96" i="2"/>
  <c r="AQ102" i="2" a="1"/>
  <c r="AQ102" i="2" s="1"/>
  <c r="AO102" i="2" a="1"/>
  <c r="AO102" i="2" s="1"/>
  <c r="AQ52" i="2"/>
  <c r="AQ53" i="2" s="1"/>
  <c r="AS52" i="2"/>
  <c r="AS53" i="2" s="1"/>
  <c r="AM52" i="2"/>
  <c r="AM53" i="2" s="1"/>
  <c r="AP52" i="2"/>
  <c r="AP53" i="2" s="1"/>
  <c r="AR52" i="2"/>
  <c r="AR53" i="2" s="1"/>
  <c r="AL52" i="2"/>
  <c r="AL53" i="2" s="1"/>
  <c r="AO52" i="2"/>
  <c r="AO53" i="2" s="1"/>
  <c r="AK52" i="2"/>
  <c r="AK53" i="2" s="1"/>
  <c r="AN52" i="2"/>
  <c r="AN53" i="2" s="1"/>
  <c r="AM55" i="2"/>
  <c r="AN55" i="2"/>
  <c r="AQ55" i="2"/>
  <c r="AL55" i="2"/>
  <c r="AS55" i="2"/>
  <c r="AO55" i="2"/>
  <c r="AR55" i="2"/>
  <c r="AP55" i="2"/>
  <c r="AK55" i="2"/>
  <c r="AQ58" i="2"/>
  <c r="AQ59" i="2" s="1" a="1"/>
  <c r="AQ59" i="2" s="1"/>
  <c r="AK58" i="2"/>
  <c r="AK59" i="2" s="1" a="1"/>
  <c r="AK59" i="2" s="1"/>
  <c r="AO58" i="2"/>
  <c r="AO59" i="2" s="1" a="1"/>
  <c r="AO59" i="2" s="1"/>
  <c r="AM58" i="2"/>
  <c r="AM59" i="2" s="1" a="1"/>
  <c r="AM59" i="2" s="1"/>
  <c r="AN58" i="2"/>
  <c r="AN59" i="2" s="1" a="1"/>
  <c r="AN59" i="2" s="1"/>
  <c r="AR58" i="2"/>
  <c r="AR59" i="2" s="1" a="1"/>
  <c r="AR59" i="2" s="1"/>
  <c r="AS58" i="2"/>
  <c r="AS59" i="2" s="1" a="1"/>
  <c r="AS59" i="2" s="1"/>
  <c r="AP58" i="2"/>
  <c r="AP59" i="2" s="1" a="1"/>
  <c r="AP59" i="2" s="1"/>
  <c r="AL58" i="2"/>
  <c r="AL59" i="2" s="1" a="1"/>
  <c r="AL59" i="2" s="1"/>
  <c r="H140" i="2"/>
  <c r="H146" i="2" s="1"/>
  <c r="H147" i="2" s="1"/>
  <c r="H145" i="2"/>
  <c r="J95" i="2"/>
  <c r="J96" i="2" s="1"/>
  <c r="V95" i="2"/>
  <c r="V96" i="2" s="1"/>
  <c r="X95" i="2"/>
  <c r="X96" i="2" s="1"/>
  <c r="Y95" i="2"/>
  <c r="Y96" i="2" s="1"/>
  <c r="K95" i="2"/>
  <c r="K96" i="2" s="1"/>
  <c r="W95" i="2"/>
  <c r="W96" i="2" s="1"/>
  <c r="L95" i="2"/>
  <c r="L96" i="2" s="1"/>
  <c r="M95" i="2"/>
  <c r="M96" i="2" s="1"/>
  <c r="N95" i="2"/>
  <c r="N96" i="2" s="1"/>
  <c r="Z95" i="2"/>
  <c r="Z96" i="2" s="1"/>
  <c r="O95" i="2"/>
  <c r="O96" i="2" s="1"/>
  <c r="AA95" i="2"/>
  <c r="AA96" i="2" s="1"/>
  <c r="P95" i="2"/>
  <c r="P96" i="2" s="1"/>
  <c r="AB95" i="2"/>
  <c r="AB96" i="2" s="1"/>
  <c r="I95" i="2"/>
  <c r="I96" i="2" s="1"/>
  <c r="Q95" i="2"/>
  <c r="Q96" i="2" s="1"/>
  <c r="AC95" i="2"/>
  <c r="AC96" i="2" s="1"/>
  <c r="R95" i="2"/>
  <c r="R96" i="2" s="1"/>
  <c r="AD95" i="2"/>
  <c r="AD96" i="2" s="1"/>
  <c r="AF95" i="2"/>
  <c r="AF96" i="2" s="1"/>
  <c r="U95" i="2"/>
  <c r="U96" i="2" s="1"/>
  <c r="S95" i="2"/>
  <c r="S96" i="2" s="1"/>
  <c r="AE95" i="2"/>
  <c r="AE96" i="2" s="1"/>
  <c r="T95" i="2"/>
  <c r="T96" i="2" s="1"/>
  <c r="H95" i="2"/>
  <c r="H97" i="2" s="1"/>
  <c r="G95" i="2"/>
  <c r="G96" i="2" s="1"/>
  <c r="AG98" i="2"/>
  <c r="AG101" i="2"/>
  <c r="AG102" i="2" s="1" a="1"/>
  <c r="AG102" i="2" s="1"/>
  <c r="AH98" i="2"/>
  <c r="AH101" i="2"/>
  <c r="AH102" i="2" s="1" a="1"/>
  <c r="AH102" i="2" s="1"/>
  <c r="AI98" i="2"/>
  <c r="AI101" i="2"/>
  <c r="AI102" i="2" s="1" a="1"/>
  <c r="AI102" i="2" s="1"/>
  <c r="AJ98" i="2"/>
  <c r="AJ101" i="2"/>
  <c r="AJ102" i="2" s="1" a="1"/>
  <c r="AJ102" i="2" s="1"/>
  <c r="AJ55" i="2"/>
  <c r="AJ52" i="2"/>
  <c r="AJ53" i="2" s="1"/>
  <c r="AJ58" i="2"/>
  <c r="AJ59" i="2" s="1" a="1"/>
  <c r="AJ59" i="2" s="1"/>
  <c r="K101" i="2"/>
  <c r="K102" i="2" s="1" a="1"/>
  <c r="K102" i="2" s="1"/>
  <c r="Q101" i="2"/>
  <c r="Q102" i="2" s="1" a="1"/>
  <c r="Q102" i="2" s="1"/>
  <c r="H98" i="2"/>
  <c r="H100" i="2" s="1"/>
  <c r="H99" i="2" s="1"/>
  <c r="S98" i="2"/>
  <c r="X101" i="2"/>
  <c r="X102" i="2" s="1" a="1"/>
  <c r="X102" i="2" s="1"/>
  <c r="Z101" i="2"/>
  <c r="Z102" i="2" s="1" a="1"/>
  <c r="Z102" i="2" s="1"/>
  <c r="AC98" i="2"/>
  <c r="V101" i="2"/>
  <c r="V102" i="2" s="1" a="1"/>
  <c r="V102" i="2" s="1"/>
  <c r="AF98" i="2"/>
  <c r="W101" i="2"/>
  <c r="W102" i="2" s="1" a="1"/>
  <c r="W102" i="2" s="1"/>
  <c r="AC101" i="2"/>
  <c r="AC102" i="2" s="1" a="1"/>
  <c r="AC102" i="2" s="1"/>
  <c r="T98" i="2"/>
  <c r="P98" i="2"/>
  <c r="U98" i="2"/>
  <c r="U101" i="2"/>
  <c r="U102" i="2" s="1" a="1"/>
  <c r="U102" i="2" s="1"/>
  <c r="AB101" i="2"/>
  <c r="AB102" i="2" s="1" a="1"/>
  <c r="AB102" i="2" s="1"/>
  <c r="AE101" i="2"/>
  <c r="AE102" i="2" s="1" a="1"/>
  <c r="AE102" i="2" s="1"/>
  <c r="L101" i="2"/>
  <c r="L102" i="2" s="1" a="1"/>
  <c r="L102" i="2" s="1"/>
  <c r="R101" i="2"/>
  <c r="R102" i="2" s="1" a="1"/>
  <c r="R102" i="2" s="1"/>
  <c r="Q98" i="2"/>
  <c r="AD101" i="2"/>
  <c r="AD102" i="2" s="1" a="1"/>
  <c r="AD102" i="2" s="1"/>
  <c r="AA98" i="2"/>
  <c r="AF101" i="2"/>
  <c r="AF102" i="2" s="1" a="1"/>
  <c r="AF102" i="2" s="1"/>
  <c r="R98" i="2"/>
  <c r="AE98" i="2"/>
  <c r="M101" i="2"/>
  <c r="M102" i="2" s="1" a="1"/>
  <c r="M102" i="2" s="1"/>
  <c r="G101" i="2"/>
  <c r="G102" i="2" s="1" a="1"/>
  <c r="G102" i="2" s="1"/>
  <c r="Z98" i="2"/>
  <c r="O101" i="2"/>
  <c r="O102" i="2" s="1" a="1"/>
  <c r="O102" i="2" s="1"/>
  <c r="N98" i="2"/>
  <c r="H101" i="2"/>
  <c r="H103" i="2" s="1"/>
  <c r="Y101" i="2"/>
  <c r="Y102" i="2" s="1" a="1"/>
  <c r="Y102" i="2" s="1"/>
  <c r="X98" i="2"/>
  <c r="V98" i="2"/>
  <c r="G93" i="2"/>
  <c r="G98" i="2" s="1"/>
  <c r="O98" i="2"/>
  <c r="T101" i="2"/>
  <c r="T102" i="2" s="1" a="1"/>
  <c r="T102" i="2" s="1"/>
  <c r="N101" i="2"/>
  <c r="N102" i="2" s="1" a="1"/>
  <c r="N102" i="2" s="1"/>
  <c r="Y98" i="2"/>
  <c r="I101" i="2"/>
  <c r="I102" i="2" s="1" a="1"/>
  <c r="I102" i="2" s="1"/>
  <c r="W98" i="2"/>
  <c r="P101" i="2"/>
  <c r="P102" i="2" s="1" a="1"/>
  <c r="P102" i="2" s="1"/>
  <c r="S101" i="2"/>
  <c r="S102" i="2" s="1" a="1"/>
  <c r="S102" i="2" s="1"/>
  <c r="AA101" i="2"/>
  <c r="AA102" i="2" s="1" a="1"/>
  <c r="AA102" i="2" s="1"/>
  <c r="AB98" i="2"/>
  <c r="M98" i="2"/>
  <c r="J101" i="2"/>
  <c r="J102" i="2" s="1" a="1"/>
  <c r="J102" i="2" s="1"/>
  <c r="AD98" i="2"/>
  <c r="AG58" i="2"/>
  <c r="AG59" i="2" s="1" a="1"/>
  <c r="AG59" i="2" s="1"/>
  <c r="AI58" i="2"/>
  <c r="AI59" i="2" s="1" a="1"/>
  <c r="AI59" i="2" s="1"/>
  <c r="AI52" i="2"/>
  <c r="AI53" i="2" s="1"/>
  <c r="AI55" i="2"/>
  <c r="AG52" i="2"/>
  <c r="AG53" i="2" s="1"/>
  <c r="AG55" i="2"/>
  <c r="AH55" i="2"/>
  <c r="AH58" i="2"/>
  <c r="AH59" i="2" s="1" a="1"/>
  <c r="AH59" i="2" s="1"/>
  <c r="AH52" i="2"/>
  <c r="AH53" i="2" s="1"/>
  <c r="AF58" i="2"/>
  <c r="AF59" i="2" s="1" a="1"/>
  <c r="AF59" i="2" s="1"/>
  <c r="AE58" i="2"/>
  <c r="AE59" i="2" s="1" a="1"/>
  <c r="AE59" i="2" s="1"/>
  <c r="AF55" i="2"/>
  <c r="AE55" i="2"/>
  <c r="AE52" i="2"/>
  <c r="AE53" i="2" s="1"/>
  <c r="AF52" i="2"/>
  <c r="AF53" i="2" s="1"/>
  <c r="M58" i="2"/>
  <c r="M59" i="2" s="1" a="1"/>
  <c r="M59" i="2" s="1"/>
  <c r="H52" i="2"/>
  <c r="H54" i="2" s="1"/>
  <c r="T52" i="2"/>
  <c r="T53" i="2" s="1"/>
  <c r="I52" i="2"/>
  <c r="I53" i="2" s="1"/>
  <c r="U52" i="2"/>
  <c r="U53" i="2" s="1"/>
  <c r="J52" i="2"/>
  <c r="J53" i="2" s="1"/>
  <c r="V52" i="2"/>
  <c r="V53" i="2" s="1"/>
  <c r="L52" i="2"/>
  <c r="L53" i="2" s="1"/>
  <c r="X52" i="2"/>
  <c r="X53" i="2" s="1"/>
  <c r="M52" i="2"/>
  <c r="M53" i="2" s="1"/>
  <c r="Y52" i="2"/>
  <c r="Y53" i="2" s="1"/>
  <c r="P52" i="2"/>
  <c r="P53" i="2" s="1"/>
  <c r="AB52" i="2"/>
  <c r="AB53" i="2" s="1"/>
  <c r="AC52" i="2"/>
  <c r="AC53" i="2" s="1"/>
  <c r="W52" i="2"/>
  <c r="W53" i="2" s="1"/>
  <c r="N52" i="2"/>
  <c r="N53" i="2" s="1"/>
  <c r="Z52" i="2"/>
  <c r="Z53" i="2" s="1"/>
  <c r="O52" i="2"/>
  <c r="O53" i="2" s="1"/>
  <c r="AA52" i="2"/>
  <c r="AA53" i="2" s="1"/>
  <c r="Q52" i="2"/>
  <c r="Q53" i="2" s="1"/>
  <c r="K52" i="2"/>
  <c r="K53" i="2" s="1"/>
  <c r="R52" i="2"/>
  <c r="R53" i="2" s="1"/>
  <c r="AD52" i="2"/>
  <c r="AD53" i="2" s="1"/>
  <c r="S52" i="2"/>
  <c r="S53" i="2" s="1"/>
  <c r="G52" i="2"/>
  <c r="G53" i="2" s="1"/>
  <c r="V58" i="2"/>
  <c r="V59" i="2" s="1" a="1"/>
  <c r="V59" i="2" s="1"/>
  <c r="W58" i="2"/>
  <c r="W59" i="2" s="1" a="1"/>
  <c r="W59" i="2" s="1"/>
  <c r="X58" i="2"/>
  <c r="X59" i="2" s="1" a="1"/>
  <c r="X59" i="2" s="1"/>
  <c r="Y58" i="2"/>
  <c r="Y59" i="2" s="1" a="1"/>
  <c r="Y59" i="2" s="1"/>
  <c r="Z58" i="2"/>
  <c r="Z59" i="2" s="1" a="1"/>
  <c r="Z59" i="2" s="1"/>
  <c r="AA58" i="2"/>
  <c r="AA59" i="2" s="1" a="1"/>
  <c r="AA59" i="2" s="1"/>
  <c r="AD58" i="2"/>
  <c r="AD59" i="2" s="1" a="1"/>
  <c r="AD59" i="2" s="1"/>
  <c r="AB58" i="2"/>
  <c r="AB59" i="2" s="1" a="1"/>
  <c r="AB59" i="2" s="1"/>
  <c r="AC58" i="2"/>
  <c r="AC59" i="2" s="1" a="1"/>
  <c r="AC59" i="2" s="1"/>
  <c r="U58" i="2"/>
  <c r="U59" i="2" s="1" a="1"/>
  <c r="U59" i="2" s="1"/>
  <c r="H58" i="2"/>
  <c r="H60" i="2" s="1"/>
  <c r="T58" i="2"/>
  <c r="T59" i="2" s="1" a="1"/>
  <c r="T59" i="2" s="1"/>
  <c r="K58" i="2"/>
  <c r="K59" i="2" s="1" a="1"/>
  <c r="K59" i="2" s="1"/>
  <c r="L58" i="2"/>
  <c r="L59" i="2" s="1" a="1"/>
  <c r="L59" i="2" s="1"/>
  <c r="I58" i="2"/>
  <c r="I59" i="2" s="1" a="1"/>
  <c r="I59" i="2" s="1"/>
  <c r="J58" i="2"/>
  <c r="J59" i="2" s="1" a="1"/>
  <c r="J59" i="2" s="1"/>
  <c r="Q58" i="2"/>
  <c r="Q59" i="2" s="1" a="1"/>
  <c r="Q59" i="2" s="1"/>
  <c r="N58" i="2"/>
  <c r="N59" i="2" s="1" a="1"/>
  <c r="N59" i="2" s="1"/>
  <c r="P58" i="2"/>
  <c r="P59" i="2" s="1" a="1"/>
  <c r="P59" i="2" s="1"/>
  <c r="O58" i="2"/>
  <c r="O59" i="2" s="1" a="1"/>
  <c r="O59" i="2" s="1"/>
  <c r="S58" i="2"/>
  <c r="S59" i="2" s="1" a="1"/>
  <c r="S59" i="2" s="1"/>
  <c r="R58" i="2"/>
  <c r="R59" i="2" s="1" a="1"/>
  <c r="R59" i="2" s="1"/>
  <c r="G58" i="2"/>
  <c r="G59" i="2" s="1" a="1"/>
  <c r="G59" i="2" s="1"/>
  <c r="M55" i="2"/>
  <c r="Y55" i="2"/>
  <c r="N55" i="2"/>
  <c r="Z55" i="2"/>
  <c r="AB55" i="2"/>
  <c r="I55" i="2"/>
  <c r="V55" i="2"/>
  <c r="K55" i="2"/>
  <c r="O55" i="2"/>
  <c r="AA55" i="2"/>
  <c r="P55" i="2"/>
  <c r="W55" i="2"/>
  <c r="X55" i="2"/>
  <c r="Q55" i="2"/>
  <c r="AC55" i="2"/>
  <c r="R55" i="2"/>
  <c r="AD55" i="2"/>
  <c r="S55" i="2"/>
  <c r="H55" i="2"/>
  <c r="H57" i="2" s="1"/>
  <c r="H56" i="2" s="1"/>
  <c r="T55" i="2"/>
  <c r="U55" i="2"/>
  <c r="G50" i="2"/>
  <c r="I140" i="2" l="1"/>
  <c r="H102" i="2" a="1"/>
  <c r="H102" i="2" s="1"/>
  <c r="H96" i="2"/>
  <c r="H59" i="2" a="1"/>
  <c r="H59" i="2" s="1"/>
  <c r="I103" i="2"/>
  <c r="J103" i="2" s="1"/>
  <c r="K103" i="2" s="1"/>
  <c r="L103" i="2" s="1"/>
  <c r="M103" i="2" s="1"/>
  <c r="N103" i="2" s="1"/>
  <c r="O103" i="2" s="1"/>
  <c r="P103" i="2" s="1"/>
  <c r="Q103" i="2" s="1"/>
  <c r="R103" i="2" s="1"/>
  <c r="S103" i="2" s="1"/>
  <c r="T103" i="2" s="1"/>
  <c r="U103" i="2" s="1"/>
  <c r="V103" i="2" s="1"/>
  <c r="W103" i="2" s="1"/>
  <c r="X103" i="2" s="1"/>
  <c r="Y103" i="2" s="1"/>
  <c r="Z103" i="2" s="1"/>
  <c r="AA103" i="2" s="1"/>
  <c r="AB103" i="2" s="1"/>
  <c r="AC103" i="2" s="1"/>
  <c r="AD103" i="2" s="1"/>
  <c r="AE103" i="2" s="1"/>
  <c r="AF103" i="2" s="1"/>
  <c r="AG103" i="2" s="1"/>
  <c r="AH103" i="2" s="1"/>
  <c r="AI103" i="2" s="1"/>
  <c r="AJ103" i="2" s="1"/>
  <c r="AK103" i="2" s="1"/>
  <c r="AL103" i="2" s="1"/>
  <c r="AM103" i="2" s="1"/>
  <c r="AN103" i="2" s="1"/>
  <c r="AO103" i="2" s="1"/>
  <c r="AP103" i="2" s="1"/>
  <c r="AQ103" i="2" s="1"/>
  <c r="AR103" i="2" s="1"/>
  <c r="AS103" i="2" s="1"/>
  <c r="AT103" i="2" s="1"/>
  <c r="AU103" i="2" s="1"/>
  <c r="AV103" i="2" s="1"/>
  <c r="AW103" i="2" s="1"/>
  <c r="AX103" i="2" s="1"/>
  <c r="AY103" i="2" s="1"/>
  <c r="AZ103" i="2" s="1"/>
  <c r="BA103" i="2" s="1"/>
  <c r="BB103" i="2" s="1"/>
  <c r="BC103" i="2" s="1"/>
  <c r="G62" i="2"/>
  <c r="G105" i="2"/>
  <c r="I97" i="2"/>
  <c r="H106" i="2"/>
  <c r="H107" i="2" s="1"/>
  <c r="H53" i="2"/>
  <c r="I60" i="2"/>
  <c r="J60" i="2" s="1"/>
  <c r="K60" i="2" s="1"/>
  <c r="L60" i="2" s="1"/>
  <c r="M60" i="2" s="1"/>
  <c r="N60" i="2" s="1"/>
  <c r="O60" i="2" s="1"/>
  <c r="P60" i="2" s="1"/>
  <c r="Q60" i="2" s="1"/>
  <c r="R60" i="2" s="1"/>
  <c r="S60" i="2" s="1"/>
  <c r="T60" i="2" s="1"/>
  <c r="U60" i="2" s="1"/>
  <c r="V60" i="2" s="1"/>
  <c r="W60" i="2" s="1"/>
  <c r="X60" i="2" s="1"/>
  <c r="Y60" i="2" s="1"/>
  <c r="Z60" i="2" s="1"/>
  <c r="AA60" i="2" s="1"/>
  <c r="AB60" i="2" s="1"/>
  <c r="AC60" i="2" s="1"/>
  <c r="AD60" i="2" s="1"/>
  <c r="AE60" i="2" s="1"/>
  <c r="AF60" i="2" s="1"/>
  <c r="AG60" i="2" s="1"/>
  <c r="AH60" i="2" s="1"/>
  <c r="AI60" i="2" s="1"/>
  <c r="AJ60" i="2" s="1"/>
  <c r="AK60" i="2" s="1"/>
  <c r="AL60" i="2" s="1"/>
  <c r="AM60" i="2" s="1"/>
  <c r="AN60" i="2" s="1"/>
  <c r="AO60" i="2" s="1"/>
  <c r="AP60" i="2" s="1"/>
  <c r="AQ60" i="2" s="1"/>
  <c r="AR60" i="2" s="1"/>
  <c r="AS60" i="2" s="1"/>
  <c r="AT60" i="2" s="1"/>
  <c r="AU60" i="2" s="1"/>
  <c r="AV60" i="2" s="1"/>
  <c r="AW60" i="2" s="1"/>
  <c r="AX60" i="2" s="1"/>
  <c r="AY60" i="2" s="1"/>
  <c r="AZ60" i="2" s="1"/>
  <c r="BA60" i="2" s="1"/>
  <c r="BB60" i="2" s="1"/>
  <c r="BC60" i="2" s="1"/>
  <c r="G55" i="2"/>
  <c r="H63" i="2"/>
  <c r="I54" i="2"/>
  <c r="I57" i="2"/>
  <c r="J140" i="2" l="1"/>
  <c r="H105" i="2"/>
  <c r="J97" i="2"/>
  <c r="I56" i="2"/>
  <c r="H64" i="2"/>
  <c r="H62" i="2"/>
  <c r="J54" i="2"/>
  <c r="I63" i="2"/>
  <c r="K140" i="2" l="1"/>
  <c r="K97" i="2"/>
  <c r="I64" i="2"/>
  <c r="I62" i="2"/>
  <c r="K54" i="2"/>
  <c r="L140" i="2" l="1"/>
  <c r="L97" i="2"/>
  <c r="L54" i="2"/>
  <c r="M140" i="2" l="1"/>
  <c r="M97" i="2"/>
  <c r="M54" i="2"/>
  <c r="N140" i="2" l="1"/>
  <c r="N97" i="2"/>
  <c r="N54" i="2"/>
  <c r="O140" i="2" l="1"/>
  <c r="O97" i="2"/>
  <c r="O54" i="2"/>
  <c r="P140" i="2" l="1"/>
  <c r="P97" i="2"/>
  <c r="P54" i="2"/>
  <c r="Q140" i="2" l="1"/>
  <c r="Q97" i="2"/>
  <c r="Q54" i="2"/>
  <c r="R140" i="2" l="1"/>
  <c r="R97" i="2"/>
  <c r="R54" i="2"/>
  <c r="S140" i="2" l="1"/>
  <c r="S97" i="2"/>
  <c r="S54" i="2"/>
  <c r="T140" i="2" l="1"/>
  <c r="T97" i="2"/>
  <c r="T54" i="2"/>
  <c r="U140" i="2" l="1"/>
  <c r="U97" i="2"/>
  <c r="U54" i="2"/>
  <c r="V140" i="2" l="1"/>
  <c r="V97" i="2"/>
  <c r="V54" i="2"/>
  <c r="W140" i="2" l="1"/>
  <c r="W97" i="2"/>
  <c r="W54" i="2"/>
  <c r="X140" i="2" l="1"/>
  <c r="X97" i="2"/>
  <c r="X54" i="2"/>
  <c r="Y140" i="2" l="1"/>
  <c r="Y97" i="2"/>
  <c r="Y54" i="2"/>
  <c r="Z140" i="2" l="1"/>
  <c r="Z97" i="2"/>
  <c r="Z54" i="2"/>
  <c r="AA140" i="2" l="1"/>
  <c r="AA97" i="2"/>
  <c r="AA54" i="2"/>
  <c r="AB140" i="2" l="1"/>
  <c r="AB97" i="2"/>
  <c r="AB54" i="2"/>
  <c r="AC140" i="2" l="1"/>
  <c r="AC97" i="2"/>
  <c r="AC54" i="2"/>
  <c r="AD140" i="2" l="1"/>
  <c r="AD97" i="2"/>
  <c r="AD54" i="2"/>
  <c r="AE140" i="2" l="1"/>
  <c r="AE97" i="2"/>
  <c r="AE54" i="2"/>
  <c r="AF140" i="2" l="1"/>
  <c r="AF97" i="2"/>
  <c r="AF54" i="2"/>
  <c r="AG140" i="2" l="1"/>
  <c r="AG97" i="2"/>
  <c r="AG54" i="2"/>
  <c r="AH140" i="2" l="1"/>
  <c r="AH97" i="2"/>
  <c r="AH54" i="2"/>
  <c r="AI140" i="2" l="1"/>
  <c r="AI97" i="2"/>
  <c r="AI54" i="2"/>
  <c r="AJ140" i="2" l="1"/>
  <c r="AJ97" i="2"/>
  <c r="AJ54" i="2"/>
  <c r="AK140" i="2" l="1"/>
  <c r="AK97" i="2"/>
  <c r="AK54" i="2"/>
  <c r="AL140" i="2" l="1"/>
  <c r="AL97" i="2"/>
  <c r="AL54" i="2"/>
  <c r="AM140" i="2" l="1"/>
  <c r="AM97" i="2"/>
  <c r="AM54" i="2"/>
  <c r="AN140" i="2" l="1"/>
  <c r="AN97" i="2"/>
  <c r="AN54" i="2"/>
  <c r="AO140" i="2" l="1"/>
  <c r="AO97" i="2"/>
  <c r="AO54" i="2"/>
  <c r="AP140" i="2" l="1"/>
  <c r="AP97" i="2"/>
  <c r="AP54" i="2"/>
  <c r="AQ140" i="2" l="1"/>
  <c r="AQ97" i="2"/>
  <c r="AQ54" i="2"/>
  <c r="AR140" i="2" l="1"/>
  <c r="AR97" i="2"/>
  <c r="AR54" i="2"/>
  <c r="AS140" i="2" l="1"/>
  <c r="AS97" i="2"/>
  <c r="AS54" i="2"/>
  <c r="AT140" i="2" l="1"/>
  <c r="AT97" i="2"/>
  <c r="AT54" i="2"/>
  <c r="AU140" i="2" l="1"/>
  <c r="AU97" i="2"/>
  <c r="AU54" i="2"/>
  <c r="AV140" i="2" l="1"/>
  <c r="AV97" i="2"/>
  <c r="AV54" i="2"/>
  <c r="AW140" i="2" l="1"/>
  <c r="AW97" i="2"/>
  <c r="AW54" i="2"/>
  <c r="AX140" i="2" l="1"/>
  <c r="AX97" i="2"/>
  <c r="AX54" i="2"/>
  <c r="AY140" i="2" l="1"/>
  <c r="AY97" i="2"/>
  <c r="AY54" i="2"/>
  <c r="AZ140" i="2" l="1"/>
  <c r="AZ97" i="2"/>
  <c r="AZ54" i="2"/>
  <c r="BA140" i="2" l="1"/>
  <c r="BA97" i="2"/>
  <c r="BA54" i="2"/>
  <c r="BB140" i="2" l="1"/>
  <c r="BB97" i="2"/>
  <c r="BB54" i="2"/>
  <c r="BC140" i="2" l="1"/>
  <c r="BC97" i="2"/>
  <c r="BC54" i="2"/>
  <c r="L98" i="2" l="1"/>
  <c r="I98" i="2"/>
  <c r="K98" i="2"/>
  <c r="AO141" i="2" l="1"/>
  <c r="BA97" i="1" l="1"/>
  <c r="AP243" i="1" s="1"/>
  <c r="L55" i="2" l="1"/>
  <c r="BF97" i="1"/>
  <c r="AQ245" i="1"/>
  <c r="J55" i="2"/>
  <c r="BA101" i="1" l="1"/>
  <c r="BA100" i="1" s="1"/>
  <c r="BA115" i="1" s="1"/>
  <c r="D57" i="2"/>
  <c r="D56" i="2" s="1"/>
  <c r="J57" i="2" s="1"/>
  <c r="K57" i="2" l="1"/>
  <c r="J56" i="2"/>
  <c r="J63" i="2"/>
  <c r="J64" i="2" s="1"/>
  <c r="L57" i="2"/>
  <c r="K63" i="2"/>
  <c r="K64" i="2" s="1"/>
  <c r="K56" i="2" l="1"/>
  <c r="J62" i="2"/>
  <c r="BF115" i="1"/>
  <c r="AP373" i="1"/>
  <c r="AQ375" i="1"/>
  <c r="M57" i="2"/>
  <c r="L63" i="2"/>
  <c r="L64" i="2" s="1"/>
  <c r="K62" i="2"/>
  <c r="L56" i="2"/>
  <c r="M56" i="2" l="1"/>
  <c r="L62" i="2"/>
  <c r="M63" i="2"/>
  <c r="M64" i="2" s="1"/>
  <c r="N57" i="2"/>
  <c r="O57" i="2" l="1"/>
  <c r="N63" i="2"/>
  <c r="N64" i="2" s="1"/>
  <c r="M62" i="2"/>
  <c r="N56" i="2"/>
  <c r="N62" i="2" l="1"/>
  <c r="O56" i="2"/>
  <c r="P57" i="2"/>
  <c r="O63" i="2"/>
  <c r="O64" i="2" s="1"/>
  <c r="O62" i="2" l="1"/>
  <c r="P56" i="2"/>
  <c r="P63" i="2"/>
  <c r="P64" i="2" s="1"/>
  <c r="Q57" i="2"/>
  <c r="P62" i="2" l="1"/>
  <c r="Q56" i="2"/>
  <c r="Q63" i="2"/>
  <c r="Q64" i="2" s="1"/>
  <c r="R57" i="2"/>
  <c r="R63" i="2" l="1"/>
  <c r="R64" i="2" s="1"/>
  <c r="S57" i="2"/>
  <c r="R56" i="2"/>
  <c r="Q62" i="2"/>
  <c r="S63" i="2" l="1"/>
  <c r="S64" i="2" s="1"/>
  <c r="T57" i="2"/>
  <c r="R62" i="2"/>
  <c r="S56" i="2"/>
  <c r="U57" i="2" l="1"/>
  <c r="T63" i="2"/>
  <c r="T64" i="2" s="1"/>
  <c r="T56" i="2"/>
  <c r="S62" i="2"/>
  <c r="U56" i="2" l="1"/>
  <c r="T62" i="2"/>
  <c r="U63" i="2"/>
  <c r="U64" i="2" s="1"/>
  <c r="V57" i="2"/>
  <c r="W57" i="2" l="1"/>
  <c r="V63" i="2"/>
  <c r="V64" i="2" s="1"/>
  <c r="V56" i="2"/>
  <c r="U62" i="2"/>
  <c r="W56" i="2" l="1"/>
  <c r="V62" i="2"/>
  <c r="X57" i="2"/>
  <c r="W63" i="2"/>
  <c r="W64" i="2" s="1"/>
  <c r="Y57" i="2" l="1"/>
  <c r="X63" i="2"/>
  <c r="X64" i="2" s="1"/>
  <c r="W62" i="2"/>
  <c r="X56" i="2"/>
  <c r="Y56" i="2" l="1"/>
  <c r="X62" i="2"/>
  <c r="Z57" i="2"/>
  <c r="Y63" i="2"/>
  <c r="Y64" i="2" s="1"/>
  <c r="Z63" i="2" l="1"/>
  <c r="Z64" i="2" s="1"/>
  <c r="AA57" i="2"/>
  <c r="Y62" i="2"/>
  <c r="Z56" i="2"/>
  <c r="AB57" i="2" l="1"/>
  <c r="AA63" i="2"/>
  <c r="AA64" i="2" s="1"/>
  <c r="Z62" i="2"/>
  <c r="AA56" i="2"/>
  <c r="AA62" i="2" l="1"/>
  <c r="AB56" i="2"/>
  <c r="AB63" i="2"/>
  <c r="AB64" i="2" s="1"/>
  <c r="AC57" i="2"/>
  <c r="AC63" i="2" l="1"/>
  <c r="AC64" i="2" s="1"/>
  <c r="AD57" i="2"/>
  <c r="AC56" i="2"/>
  <c r="AB62" i="2"/>
  <c r="AD63" i="2" l="1"/>
  <c r="AD64" i="2" s="1"/>
  <c r="AE57" i="2"/>
  <c r="AC62" i="2"/>
  <c r="AD56" i="2"/>
  <c r="AD62" i="2" l="1"/>
  <c r="AE56" i="2"/>
  <c r="AF57" i="2"/>
  <c r="AE63" i="2"/>
  <c r="AE64" i="2" s="1"/>
  <c r="AF56" i="2" l="1"/>
  <c r="AE62" i="2"/>
  <c r="AF63" i="2"/>
  <c r="AF64" i="2" s="1"/>
  <c r="AG57" i="2"/>
  <c r="AG63" i="2" l="1"/>
  <c r="AG64" i="2" s="1"/>
  <c r="AH57" i="2"/>
  <c r="AG56" i="2"/>
  <c r="AF62" i="2"/>
  <c r="AI57" i="2" l="1"/>
  <c r="AH63" i="2"/>
  <c r="AH64" i="2" s="1"/>
  <c r="AH56" i="2"/>
  <c r="AG62" i="2"/>
  <c r="AI56" i="2" l="1"/>
  <c r="AH62" i="2"/>
  <c r="AJ57" i="2"/>
  <c r="AI63" i="2"/>
  <c r="AI64" i="2" s="1"/>
  <c r="AK57" i="2" l="1"/>
  <c r="AJ63" i="2"/>
  <c r="AJ64" i="2" s="1"/>
  <c r="AJ56" i="2"/>
  <c r="AI62" i="2"/>
  <c r="AK56" i="2" l="1"/>
  <c r="AJ62" i="2"/>
  <c r="AK63" i="2"/>
  <c r="AK64" i="2" s="1"/>
  <c r="AL57" i="2"/>
  <c r="AL63" i="2" l="1"/>
  <c r="AL64" i="2" s="1"/>
  <c r="AM57" i="2"/>
  <c r="AK62" i="2"/>
  <c r="AL56" i="2"/>
  <c r="AN57" i="2" l="1"/>
  <c r="AM63" i="2"/>
  <c r="AM64" i="2" s="1"/>
  <c r="AL62" i="2"/>
  <c r="AM56" i="2"/>
  <c r="AM62" i="2" l="1"/>
  <c r="AN56" i="2"/>
  <c r="AN63" i="2"/>
  <c r="AN64" i="2" s="1"/>
  <c r="AO57" i="2"/>
  <c r="AO63" i="2" l="1"/>
  <c r="AO64" i="2" s="1"/>
  <c r="AP57" i="2"/>
  <c r="AN62" i="2"/>
  <c r="AO56" i="2"/>
  <c r="AP63" i="2" l="1"/>
  <c r="AP64" i="2" s="1"/>
  <c r="AQ57" i="2"/>
  <c r="AO62" i="2"/>
  <c r="AP56" i="2"/>
  <c r="AQ63" i="2" l="1"/>
  <c r="AQ64" i="2" s="1"/>
  <c r="AR57" i="2"/>
  <c r="AP62" i="2"/>
  <c r="AQ56" i="2"/>
  <c r="AR63" i="2" l="1"/>
  <c r="AR64" i="2" s="1"/>
  <c r="AS57" i="2"/>
  <c r="AR56" i="2"/>
  <c r="AQ62" i="2"/>
  <c r="AR62" i="2" l="1"/>
  <c r="AS56" i="2"/>
  <c r="AS62" i="2" s="1"/>
  <c r="AS63" i="2"/>
  <c r="AS64" i="2" s="1"/>
  <c r="AT57" i="2"/>
  <c r="AU57" i="2" l="1"/>
  <c r="AT56" i="2"/>
  <c r="AT63" i="2"/>
  <c r="AT64" i="2" s="1"/>
  <c r="AU56" i="2" l="1"/>
  <c r="AT62" i="2"/>
  <c r="AV57" i="2"/>
  <c r="AU63" i="2"/>
  <c r="AU64" i="2" s="1"/>
  <c r="AW57" i="2" l="1"/>
  <c r="AV63" i="2"/>
  <c r="AV64" i="2" s="1"/>
  <c r="AU62" i="2"/>
  <c r="AV56" i="2"/>
  <c r="AW56" i="2" l="1"/>
  <c r="AV62" i="2"/>
  <c r="AX57" i="2"/>
  <c r="AW63" i="2"/>
  <c r="AW64" i="2" s="1"/>
  <c r="AY57" i="2" l="1"/>
  <c r="AX63" i="2"/>
  <c r="AX64" i="2" s="1"/>
  <c r="AX56" i="2"/>
  <c r="AW62" i="2"/>
  <c r="AX62" i="2" l="1"/>
  <c r="AY56" i="2"/>
  <c r="AZ57" i="2"/>
  <c r="AY63" i="2"/>
  <c r="AY64" i="2" s="1"/>
  <c r="AZ63" i="2" l="1"/>
  <c r="AZ64" i="2" s="1"/>
  <c r="BA57" i="2"/>
  <c r="AY62" i="2"/>
  <c r="AZ56" i="2"/>
  <c r="AZ62" i="2" l="1"/>
  <c r="BA56" i="2"/>
  <c r="BA63" i="2"/>
  <c r="BA64" i="2" s="1"/>
  <c r="BB57" i="2"/>
  <c r="BB63" i="2" l="1"/>
  <c r="BB64" i="2" s="1"/>
  <c r="BC57" i="2"/>
  <c r="BC63" i="2" s="1"/>
  <c r="BC64" i="2" s="1"/>
  <c r="D68" i="2" s="1"/>
  <c r="K262" i="1" s="1"/>
  <c r="BB56" i="2"/>
  <c r="BA62" i="2"/>
  <c r="BC56" i="2" l="1"/>
  <c r="BC62" i="2" s="1"/>
  <c r="BB62" i="2"/>
  <c r="J262" i="1"/>
  <c r="M262" i="1"/>
  <c r="N262" i="1" s="1"/>
  <c r="D67" i="2" l="1"/>
  <c r="D66" i="2"/>
  <c r="AP141" i="2"/>
  <c r="K259" i="1" l="1"/>
  <c r="I141" i="2"/>
  <c r="M259" i="1" l="1"/>
  <c r="N259" i="1" s="1"/>
  <c r="J259" i="1"/>
  <c r="AJ141" i="2"/>
  <c r="BA107" i="1" l="1"/>
  <c r="J98" i="2" l="1"/>
  <c r="AQ311" i="1"/>
  <c r="AP309" i="1"/>
  <c r="BF107" i="1"/>
  <c r="D100" i="2" l="1"/>
  <c r="D99" i="2" s="1"/>
  <c r="I100" i="2" s="1"/>
  <c r="BA111" i="1"/>
  <c r="BA110" i="1" s="1"/>
  <c r="BA116" i="1" l="1"/>
  <c r="I106" i="2"/>
  <c r="I107" i="2" s="1"/>
  <c r="J100" i="2"/>
  <c r="I99" i="2"/>
  <c r="AL141" i="2" l="1"/>
  <c r="AT375" i="1"/>
  <c r="AS373" i="1"/>
  <c r="BF116" i="1"/>
  <c r="K141" i="2"/>
  <c r="J99" i="2"/>
  <c r="I105" i="2"/>
  <c r="K100" i="2"/>
  <c r="J106" i="2"/>
  <c r="J107" i="2" s="1"/>
  <c r="D143" i="2" l="1"/>
  <c r="D142" i="2" s="1"/>
  <c r="I143" i="2" s="1"/>
  <c r="BA119" i="1"/>
  <c r="L100" i="2"/>
  <c r="K106" i="2"/>
  <c r="K107" i="2" s="1"/>
  <c r="K99" i="2"/>
  <c r="J105" i="2"/>
  <c r="BA118" i="1" l="1"/>
  <c r="BF78" i="1"/>
  <c r="I404" i="1" s="1"/>
  <c r="I146" i="2"/>
  <c r="I147" i="2" s="1"/>
  <c r="J143" i="2"/>
  <c r="I142" i="2"/>
  <c r="L99" i="2"/>
  <c r="K105" i="2"/>
  <c r="L106" i="2"/>
  <c r="L107" i="2" s="1"/>
  <c r="M100" i="2"/>
  <c r="I145" i="2" l="1"/>
  <c r="J142" i="2"/>
  <c r="Z407" i="1"/>
  <c r="AC415" i="1"/>
  <c r="Z408" i="1"/>
  <c r="Z411" i="1"/>
  <c r="I407" i="1"/>
  <c r="K143" i="2"/>
  <c r="J146" i="2"/>
  <c r="J147" i="2" s="1"/>
  <c r="N100" i="2"/>
  <c r="M106" i="2"/>
  <c r="M107" i="2" s="1"/>
  <c r="M99" i="2"/>
  <c r="L105" i="2"/>
  <c r="L143" i="2" l="1"/>
  <c r="K146" i="2"/>
  <c r="K147" i="2" s="1"/>
  <c r="AF415" i="1"/>
  <c r="AD415" i="1"/>
  <c r="K142" i="2"/>
  <c r="J145" i="2"/>
  <c r="J413" i="1"/>
  <c r="I408" i="1"/>
  <c r="G418" i="1"/>
  <c r="M105" i="2"/>
  <c r="N99" i="2"/>
  <c r="O100" i="2"/>
  <c r="N106" i="2"/>
  <c r="N107" i="2" s="1"/>
  <c r="M418" i="1" l="1"/>
  <c r="N418" i="1" s="1"/>
  <c r="I418" i="1"/>
  <c r="K145" i="2"/>
  <c r="L142" i="2"/>
  <c r="J430" i="1"/>
  <c r="AC417" i="1"/>
  <c r="G420" i="1"/>
  <c r="W413" i="1"/>
  <c r="I413" i="1"/>
  <c r="M413" i="1"/>
  <c r="N413" i="1" s="1"/>
  <c r="L146" i="2"/>
  <c r="L147" i="2" s="1"/>
  <c r="M143" i="2"/>
  <c r="N105" i="2"/>
  <c r="O99" i="2"/>
  <c r="P100" i="2"/>
  <c r="O106" i="2"/>
  <c r="O107" i="2" s="1"/>
  <c r="M420" i="1" l="1"/>
  <c r="N420" i="1" s="1"/>
  <c r="I420" i="1"/>
  <c r="I430" i="1"/>
  <c r="M430" i="1"/>
  <c r="N430" i="1" s="1"/>
  <c r="M146" i="2"/>
  <c r="M147" i="2" s="1"/>
  <c r="N143" i="2"/>
  <c r="AD417" i="1"/>
  <c r="AF417" i="1"/>
  <c r="L145" i="2"/>
  <c r="M142" i="2"/>
  <c r="P106" i="2"/>
  <c r="P107" i="2" s="1"/>
  <c r="Q100" i="2"/>
  <c r="O105" i="2"/>
  <c r="P99" i="2"/>
  <c r="O143" i="2" l="1"/>
  <c r="N146" i="2"/>
  <c r="N147" i="2" s="1"/>
  <c r="N142" i="2"/>
  <c r="M145" i="2"/>
  <c r="Q106" i="2"/>
  <c r="Q107" i="2" s="1"/>
  <c r="R100" i="2"/>
  <c r="P105" i="2"/>
  <c r="Q99" i="2"/>
  <c r="O142" i="2" l="1"/>
  <c r="N145" i="2"/>
  <c r="O146" i="2"/>
  <c r="O147" i="2" s="1"/>
  <c r="P143" i="2"/>
  <c r="R106" i="2"/>
  <c r="R107" i="2" s="1"/>
  <c r="S100" i="2"/>
  <c r="R99" i="2"/>
  <c r="Q105" i="2"/>
  <c r="P146" i="2" l="1"/>
  <c r="P147" i="2" s="1"/>
  <c r="Q143" i="2"/>
  <c r="O145" i="2"/>
  <c r="P142" i="2"/>
  <c r="T100" i="2"/>
  <c r="S106" i="2"/>
  <c r="S107" i="2" s="1"/>
  <c r="R105" i="2"/>
  <c r="S99" i="2"/>
  <c r="Q146" i="2" l="1"/>
  <c r="Q147" i="2" s="1"/>
  <c r="R143" i="2"/>
  <c r="P145" i="2"/>
  <c r="Q142" i="2"/>
  <c r="S105" i="2"/>
  <c r="T99" i="2"/>
  <c r="T106" i="2"/>
  <c r="T107" i="2" s="1"/>
  <c r="U100" i="2"/>
  <c r="S143" i="2" l="1"/>
  <c r="R146" i="2"/>
  <c r="R147" i="2" s="1"/>
  <c r="Q145" i="2"/>
  <c r="R142" i="2"/>
  <c r="U106" i="2"/>
  <c r="U107" i="2" s="1"/>
  <c r="V100" i="2"/>
  <c r="U99" i="2"/>
  <c r="T105" i="2"/>
  <c r="R145" i="2" l="1"/>
  <c r="S142" i="2"/>
  <c r="T143" i="2"/>
  <c r="S146" i="2"/>
  <c r="S147" i="2" s="1"/>
  <c r="W100" i="2"/>
  <c r="V106" i="2"/>
  <c r="V107" i="2" s="1"/>
  <c r="V99" i="2"/>
  <c r="U105" i="2"/>
  <c r="T142" i="2" l="1"/>
  <c r="S145" i="2"/>
  <c r="T146" i="2"/>
  <c r="T147" i="2" s="1"/>
  <c r="U143" i="2"/>
  <c r="W99" i="2"/>
  <c r="V105" i="2"/>
  <c r="X100" i="2"/>
  <c r="W106" i="2"/>
  <c r="W107" i="2" s="1"/>
  <c r="U146" i="2" l="1"/>
  <c r="U147" i="2" s="1"/>
  <c r="V143" i="2"/>
  <c r="U142" i="2"/>
  <c r="T145" i="2"/>
  <c r="X106" i="2"/>
  <c r="X107" i="2" s="1"/>
  <c r="Y100" i="2"/>
  <c r="X99" i="2"/>
  <c r="W105" i="2"/>
  <c r="W143" i="2" l="1"/>
  <c r="V146" i="2"/>
  <c r="V147" i="2" s="1"/>
  <c r="V142" i="2"/>
  <c r="U145" i="2"/>
  <c r="X105" i="2"/>
  <c r="Y99" i="2"/>
  <c r="Y106" i="2"/>
  <c r="Y107" i="2" s="1"/>
  <c r="Z100" i="2"/>
  <c r="V145" i="2" l="1"/>
  <c r="W142" i="2"/>
  <c r="W146" i="2"/>
  <c r="W147" i="2" s="1"/>
  <c r="X143" i="2"/>
  <c r="Z106" i="2"/>
  <c r="Z107" i="2" s="1"/>
  <c r="AA100" i="2"/>
  <c r="Z99" i="2"/>
  <c r="Y105" i="2"/>
  <c r="W145" i="2" l="1"/>
  <c r="X142" i="2"/>
  <c r="Y143" i="2"/>
  <c r="X146" i="2"/>
  <c r="X147" i="2" s="1"/>
  <c r="Z105" i="2"/>
  <c r="AA99" i="2"/>
  <c r="AB100" i="2"/>
  <c r="AA106" i="2"/>
  <c r="AA107" i="2" s="1"/>
  <c r="X145" i="2" l="1"/>
  <c r="Y142" i="2"/>
  <c r="Z143" i="2"/>
  <c r="Y146" i="2"/>
  <c r="Y147" i="2" s="1"/>
  <c r="AB99" i="2"/>
  <c r="AA105" i="2"/>
  <c r="AC100" i="2"/>
  <c r="AB106" i="2"/>
  <c r="AB107" i="2" s="1"/>
  <c r="Y145" i="2" l="1"/>
  <c r="Z142" i="2"/>
  <c r="AA143" i="2"/>
  <c r="Z146" i="2"/>
  <c r="Z147" i="2" s="1"/>
  <c r="AC106" i="2"/>
  <c r="AC107" i="2" s="1"/>
  <c r="AD100" i="2"/>
  <c r="AC99" i="2"/>
  <c r="AB105" i="2"/>
  <c r="AA142" i="2" l="1"/>
  <c r="Z145" i="2"/>
  <c r="AB143" i="2"/>
  <c r="AA146" i="2"/>
  <c r="AA147" i="2" s="1"/>
  <c r="AD106" i="2"/>
  <c r="AD107" i="2" s="1"/>
  <c r="AE100" i="2"/>
  <c r="AC105" i="2"/>
  <c r="AD99" i="2"/>
  <c r="AC143" i="2" l="1"/>
  <c r="AB146" i="2"/>
  <c r="AB147" i="2" s="1"/>
  <c r="AB142" i="2"/>
  <c r="AA145" i="2"/>
  <c r="AF100" i="2"/>
  <c r="AE106" i="2"/>
  <c r="AE107" i="2" s="1"/>
  <c r="AD105" i="2"/>
  <c r="AE99" i="2"/>
  <c r="AB145" i="2" l="1"/>
  <c r="AC142" i="2"/>
  <c r="AD143" i="2"/>
  <c r="AC146" i="2"/>
  <c r="AC147" i="2" s="1"/>
  <c r="AF99" i="2"/>
  <c r="AE105" i="2"/>
  <c r="AG100" i="2"/>
  <c r="AF106" i="2"/>
  <c r="AF107" i="2" s="1"/>
  <c r="AE143" i="2" l="1"/>
  <c r="AD146" i="2"/>
  <c r="AD147" i="2" s="1"/>
  <c r="AC145" i="2"/>
  <c r="AD142" i="2"/>
  <c r="AH100" i="2"/>
  <c r="AG106" i="2"/>
  <c r="AG107" i="2" s="1"/>
  <c r="AF105" i="2"/>
  <c r="AG99" i="2"/>
  <c r="AE142" i="2" l="1"/>
  <c r="AD145" i="2"/>
  <c r="AE146" i="2"/>
  <c r="AE147" i="2" s="1"/>
  <c r="AF143" i="2"/>
  <c r="AG105" i="2"/>
  <c r="AH99" i="2"/>
  <c r="AH106" i="2"/>
  <c r="AH107" i="2" s="1"/>
  <c r="AI100" i="2"/>
  <c r="AG143" i="2" l="1"/>
  <c r="AF146" i="2"/>
  <c r="AF147" i="2" s="1"/>
  <c r="AF142" i="2"/>
  <c r="AE145" i="2"/>
  <c r="AI106" i="2"/>
  <c r="AI107" i="2" s="1"/>
  <c r="AJ100" i="2"/>
  <c r="AH105" i="2"/>
  <c r="AI99" i="2"/>
  <c r="AF145" i="2" l="1"/>
  <c r="AG142" i="2"/>
  <c r="AG146" i="2"/>
  <c r="AG147" i="2" s="1"/>
  <c r="AH143" i="2"/>
  <c r="AJ99" i="2"/>
  <c r="AI105" i="2"/>
  <c r="AJ106" i="2"/>
  <c r="AJ107" i="2" s="1"/>
  <c r="AK100" i="2"/>
  <c r="AH142" i="2" l="1"/>
  <c r="AG145" i="2"/>
  <c r="AH146" i="2"/>
  <c r="AH147" i="2" s="1"/>
  <c r="AI143" i="2"/>
  <c r="AK106" i="2"/>
  <c r="AK107" i="2" s="1"/>
  <c r="AL100" i="2"/>
  <c r="AK99" i="2"/>
  <c r="AJ105" i="2"/>
  <c r="AJ143" i="2" l="1"/>
  <c r="AI146" i="2"/>
  <c r="AI147" i="2" s="1"/>
  <c r="AH145" i="2"/>
  <c r="AI142" i="2"/>
  <c r="AL106" i="2"/>
  <c r="AL107" i="2" s="1"/>
  <c r="AM100" i="2"/>
  <c r="AL99" i="2"/>
  <c r="AK105" i="2"/>
  <c r="AJ142" i="2" l="1"/>
  <c r="AI145" i="2"/>
  <c r="AJ146" i="2"/>
  <c r="AJ147" i="2" s="1"/>
  <c r="AK143" i="2"/>
  <c r="AM106" i="2"/>
  <c r="AM107" i="2" s="1"/>
  <c r="AN100" i="2"/>
  <c r="AL105" i="2"/>
  <c r="AM99" i="2"/>
  <c r="AL143" i="2" l="1"/>
  <c r="AK146" i="2"/>
  <c r="AK147" i="2" s="1"/>
  <c r="AK142" i="2"/>
  <c r="AJ145" i="2"/>
  <c r="AM105" i="2"/>
  <c r="AN99" i="2"/>
  <c r="AN106" i="2"/>
  <c r="AN107" i="2" s="1"/>
  <c r="AO100" i="2"/>
  <c r="AL142" i="2" l="1"/>
  <c r="AK145" i="2"/>
  <c r="AL146" i="2"/>
  <c r="AL147" i="2" s="1"/>
  <c r="AM143" i="2"/>
  <c r="AP100" i="2"/>
  <c r="AO106" i="2"/>
  <c r="AO107" i="2" s="1"/>
  <c r="AO99" i="2"/>
  <c r="AN105" i="2"/>
  <c r="AL145" i="2" l="1"/>
  <c r="AM142" i="2"/>
  <c r="AM145" i="2" s="1"/>
  <c r="AM146" i="2"/>
  <c r="AM147" i="2" s="1"/>
  <c r="AN143" i="2"/>
  <c r="AP99" i="2"/>
  <c r="AO105" i="2"/>
  <c r="AP106" i="2"/>
  <c r="AP107" i="2" s="1"/>
  <c r="AQ100" i="2"/>
  <c r="AN142" i="2" l="1"/>
  <c r="AN146" i="2"/>
  <c r="AN147" i="2" s="1"/>
  <c r="AO143" i="2"/>
  <c r="AQ106" i="2"/>
  <c r="AQ107" i="2" s="1"/>
  <c r="AR100" i="2"/>
  <c r="AQ99" i="2"/>
  <c r="AP105" i="2"/>
  <c r="AP143" i="2" l="1"/>
  <c r="AO146" i="2"/>
  <c r="AO147" i="2" s="1"/>
  <c r="AN145" i="2"/>
  <c r="AO142" i="2"/>
  <c r="AS100" i="2"/>
  <c r="AR106" i="2"/>
  <c r="AR107" i="2" s="1"/>
  <c r="AQ105" i="2"/>
  <c r="AR99" i="2"/>
  <c r="AP142" i="2" l="1"/>
  <c r="AO145" i="2"/>
  <c r="AP146" i="2"/>
  <c r="AP147" i="2" s="1"/>
  <c r="AQ143" i="2"/>
  <c r="AR105" i="2"/>
  <c r="AS99" i="2"/>
  <c r="AT100" i="2"/>
  <c r="AS106" i="2"/>
  <c r="AS107" i="2" s="1"/>
  <c r="AQ146" i="2" l="1"/>
  <c r="AQ147" i="2" s="1"/>
  <c r="AR143" i="2"/>
  <c r="AP145" i="2"/>
  <c r="AQ142" i="2"/>
  <c r="AS105" i="2"/>
  <c r="AT99" i="2"/>
  <c r="AT105" i="2" s="1"/>
  <c r="AU100" i="2"/>
  <c r="AT106" i="2"/>
  <c r="AT107" i="2" s="1"/>
  <c r="AR142" i="2" l="1"/>
  <c r="AQ145" i="2"/>
  <c r="AS143" i="2"/>
  <c r="AR146" i="2"/>
  <c r="AR147" i="2" s="1"/>
  <c r="AU99" i="2"/>
  <c r="AV100" i="2"/>
  <c r="AU106" i="2"/>
  <c r="AU107" i="2" s="1"/>
  <c r="AS146" i="2" l="1"/>
  <c r="AS147" i="2" s="1"/>
  <c r="AT143" i="2"/>
  <c r="AR145" i="2"/>
  <c r="AS142" i="2"/>
  <c r="AV106" i="2"/>
  <c r="AV107" i="2" s="1"/>
  <c r="AW100" i="2"/>
  <c r="AU105" i="2"/>
  <c r="AV99" i="2"/>
  <c r="AT142" i="2" l="1"/>
  <c r="AS145" i="2"/>
  <c r="AT146" i="2"/>
  <c r="AT147" i="2" s="1"/>
  <c r="AU143" i="2"/>
  <c r="AV105" i="2"/>
  <c r="AW99" i="2"/>
  <c r="AX100" i="2"/>
  <c r="AW106" i="2"/>
  <c r="AW107" i="2" s="1"/>
  <c r="AU146" i="2" l="1"/>
  <c r="AU147" i="2" s="1"/>
  <c r="AV143" i="2"/>
  <c r="AU142" i="2"/>
  <c r="AT145" i="2"/>
  <c r="AY100" i="2"/>
  <c r="AX106" i="2"/>
  <c r="AX107" i="2" s="1"/>
  <c r="AW105" i="2"/>
  <c r="AX99" i="2"/>
  <c r="AV142" i="2" l="1"/>
  <c r="AU145" i="2"/>
  <c r="AV146" i="2"/>
  <c r="AV147" i="2" s="1"/>
  <c r="AW143" i="2"/>
  <c r="AY99" i="2"/>
  <c r="AX105" i="2"/>
  <c r="AY106" i="2"/>
  <c r="AY107" i="2" s="1"/>
  <c r="AZ100" i="2"/>
  <c r="AW146" i="2" l="1"/>
  <c r="AW147" i="2" s="1"/>
  <c r="AX143" i="2"/>
  <c r="AV145" i="2"/>
  <c r="AW142" i="2"/>
  <c r="AZ106" i="2"/>
  <c r="AZ107" i="2" s="1"/>
  <c r="BA100" i="2"/>
  <c r="AY105" i="2"/>
  <c r="AZ99" i="2"/>
  <c r="AX146" i="2" l="1"/>
  <c r="AX147" i="2" s="1"/>
  <c r="AY143" i="2"/>
  <c r="AW145" i="2"/>
  <c r="AX142" i="2"/>
  <c r="AZ105" i="2"/>
  <c r="BA99" i="2"/>
  <c r="BB100" i="2"/>
  <c r="BA106" i="2"/>
  <c r="BA107" i="2" s="1"/>
  <c r="AX145" i="2" l="1"/>
  <c r="AY142" i="2"/>
  <c r="AZ143" i="2"/>
  <c r="AY146" i="2"/>
  <c r="AY147" i="2" s="1"/>
  <c r="BB99" i="2"/>
  <c r="BA105" i="2"/>
  <c r="BC100" i="2"/>
  <c r="BC106" i="2" s="1"/>
  <c r="BC107" i="2" s="1"/>
  <c r="BB106" i="2"/>
  <c r="BB107" i="2" s="1"/>
  <c r="D111" i="2" s="1"/>
  <c r="K329" i="1" s="1"/>
  <c r="AZ146" i="2" l="1"/>
  <c r="AZ147" i="2" s="1"/>
  <c r="BA143" i="2"/>
  <c r="AY145" i="2"/>
  <c r="AZ142" i="2"/>
  <c r="J329" i="1"/>
  <c r="M329" i="1"/>
  <c r="N329" i="1" s="1"/>
  <c r="BB105" i="2"/>
  <c r="BC99" i="2"/>
  <c r="BC105" i="2" s="1"/>
  <c r="BA142" i="2" l="1"/>
  <c r="AZ145" i="2"/>
  <c r="BB143" i="2"/>
  <c r="BA146" i="2"/>
  <c r="BA147" i="2" s="1"/>
  <c r="D109" i="2"/>
  <c r="D110" i="2"/>
  <c r="K326" i="1" s="1"/>
  <c r="J326" i="1" s="1"/>
  <c r="BB146" i="2" l="1"/>
  <c r="BB147" i="2" s="1"/>
  <c r="BC143" i="2"/>
  <c r="BC146" i="2" s="1"/>
  <c r="BC147" i="2" s="1"/>
  <c r="D152" i="2" s="1"/>
  <c r="K397" i="1" s="1"/>
  <c r="BA145" i="2"/>
  <c r="BB142" i="2"/>
  <c r="M326" i="1"/>
  <c r="N326" i="1" s="1"/>
  <c r="M397" i="1" l="1"/>
  <c r="N397" i="1" s="1"/>
  <c r="J397" i="1"/>
  <c r="BC142" i="2"/>
  <c r="BC145" i="2" s="1"/>
  <c r="D151" i="2" s="1"/>
  <c r="K394" i="1" s="1"/>
  <c r="BB145" i="2"/>
  <c r="D150" i="2"/>
  <c r="J394" i="1" l="1"/>
  <c r="M394" i="1"/>
  <c r="N39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<sst xmlns="http://schemas.openxmlformats.org/spreadsheetml/2006/main" count="1742" uniqueCount="521">
  <si>
    <t>Sagsnavn</t>
  </si>
  <si>
    <t>Sagsnr</t>
  </si>
  <si>
    <t>Side</t>
  </si>
  <si>
    <t/>
  </si>
  <si>
    <t>Bygningsdel</t>
  </si>
  <si>
    <t>Udskriftsdato</t>
  </si>
  <si>
    <t xml:space="preserve"> </t>
  </si>
  <si>
    <t>Fabrik</t>
  </si>
  <si>
    <t>Elementnr</t>
  </si>
  <si>
    <t>Tilst</t>
  </si>
  <si>
    <t>Navn</t>
  </si>
  <si>
    <t>Type</t>
  </si>
  <si>
    <t>Datavalideringslister</t>
  </si>
  <si>
    <t>Løbslast</t>
  </si>
  <si>
    <t>Lastområde</t>
  </si>
  <si>
    <t>Beregning af strimler i svingløb</t>
  </si>
  <si>
    <t>Miljøklasse</t>
  </si>
  <si>
    <t>P</t>
  </si>
  <si>
    <t>=</t>
  </si>
  <si>
    <t>M</t>
  </si>
  <si>
    <t>A</t>
  </si>
  <si>
    <t>E</t>
  </si>
  <si>
    <t>Konsekvensklasse</t>
  </si>
  <si>
    <t>Kontrolklasse</t>
  </si>
  <si>
    <t>N</t>
  </si>
  <si>
    <t>L1</t>
  </si>
  <si>
    <t>L2</t>
  </si>
  <si>
    <t>L3</t>
  </si>
  <si>
    <t>F</t>
  </si>
  <si>
    <t>Laster/strimler</t>
  </si>
  <si>
    <t>Strimmel</t>
  </si>
  <si>
    <t>dorn</t>
  </si>
  <si>
    <t>repos</t>
  </si>
  <si>
    <t>L</t>
  </si>
  <si>
    <t>B1</t>
  </si>
  <si>
    <t>B2</t>
  </si>
  <si>
    <t>B3</t>
  </si>
  <si>
    <t>mm</t>
  </si>
  <si>
    <t>m2</t>
  </si>
  <si>
    <t>Vægt</t>
  </si>
  <si>
    <t>ton</t>
  </si>
  <si>
    <t>kN</t>
  </si>
  <si>
    <t>Regningsmæssig last</t>
  </si>
  <si>
    <t>S</t>
  </si>
  <si>
    <t>GEOMETRI, STYRKETAL &amp; LASTER</t>
  </si>
  <si>
    <t>Egenvægt</t>
  </si>
  <si>
    <t>x</t>
  </si>
  <si>
    <t>lastfaktor</t>
  </si>
  <si>
    <t>Karakt.</t>
  </si>
  <si>
    <t>Lastfaktor</t>
  </si>
  <si>
    <t>Hvilende udover egenvægt</t>
  </si>
  <si>
    <t>I alt</t>
  </si>
  <si>
    <t>kN/m2</t>
  </si>
  <si>
    <t>Nyttelast</t>
  </si>
  <si>
    <t>Kategori A</t>
  </si>
  <si>
    <t>Kategori B</t>
  </si>
  <si>
    <t>Kategori C</t>
  </si>
  <si>
    <t>Kategori D</t>
  </si>
  <si>
    <t>Regn. m.</t>
  </si>
  <si>
    <t>Total</t>
  </si>
  <si>
    <r>
      <t xml:space="preserve">=  </t>
    </r>
    <r>
      <rPr>
        <sz val="12"/>
        <color theme="1"/>
        <rFont val="Calibri"/>
        <family val="2"/>
      </rPr>
      <t>γ</t>
    </r>
    <r>
      <rPr>
        <vertAlign val="subscript"/>
        <sz val="12"/>
        <color theme="1"/>
        <rFont val="Calibri"/>
        <family val="2"/>
      </rPr>
      <t>0</t>
    </r>
  </si>
  <si>
    <r>
      <t xml:space="preserve">=  </t>
    </r>
    <r>
      <rPr>
        <sz val="12"/>
        <color theme="1"/>
        <rFont val="Calibri"/>
        <family val="2"/>
      </rPr>
      <t>γ</t>
    </r>
    <r>
      <rPr>
        <vertAlign val="subscript"/>
        <sz val="12"/>
        <color theme="1"/>
        <rFont val="Calibri"/>
        <family val="2"/>
      </rPr>
      <t>3</t>
    </r>
  </si>
  <si>
    <t>Dom. Egenlast</t>
  </si>
  <si>
    <t>Dom. Nyttelast</t>
  </si>
  <si>
    <t>Egenlast</t>
  </si>
  <si>
    <t>Betonstyrke</t>
  </si>
  <si>
    <t>fck</t>
  </si>
  <si>
    <t>N/mm2</t>
  </si>
  <si>
    <t>fcd</t>
  </si>
  <si>
    <t>beton, tryk</t>
  </si>
  <si>
    <t>beton, træk</t>
  </si>
  <si>
    <t>armering</t>
  </si>
  <si>
    <t>stål</t>
  </si>
  <si>
    <t>Partialkoefficienter</t>
  </si>
  <si>
    <t>fctm</t>
  </si>
  <si>
    <t>fyk</t>
  </si>
  <si>
    <t>fyd</t>
  </si>
  <si>
    <t>Stålstyrke (K-stål)</t>
  </si>
  <si>
    <t>Størst</t>
  </si>
  <si>
    <t xml:space="preserve">Tyngde </t>
  </si>
  <si>
    <t>Last [kN/m2]</t>
  </si>
  <si>
    <t>Last til strimmel [kN/m]</t>
  </si>
  <si>
    <t>Længde/tykkelse [mm]</t>
  </si>
  <si>
    <t>Plads 5 skal være strimmel P</t>
  </si>
  <si>
    <t>Plads 6 skal være strimmel F</t>
  </si>
  <si>
    <t>-</t>
  </si>
  <si>
    <t>Understøtning v [mm]</t>
  </si>
  <si>
    <t>Understøtning h [mm]</t>
  </si>
  <si>
    <t>Situation 1</t>
  </si>
  <si>
    <t>Situation 2</t>
  </si>
  <si>
    <t>Situation 3</t>
  </si>
  <si>
    <t>Situation 4</t>
  </si>
  <si>
    <t>[kN/m]</t>
  </si>
  <si>
    <t>Tilhørende endestrimmel ligger af på repos i højre ende og ingen bagdorn</t>
  </si>
  <si>
    <t>Tilhørende endestrimmel ligger af på repos i højre ende og bagdorn</t>
  </si>
  <si>
    <t>Tilhørende strimmel ligger af på dorne i begge ender</t>
  </si>
  <si>
    <t>Tilhørende strimmel ligger af på dorn i højre ende og ingen bagdorn</t>
  </si>
  <si>
    <t>La</t>
  </si>
  <si>
    <t>Lb</t>
  </si>
  <si>
    <t>Lc</t>
  </si>
  <si>
    <t>kN/m</t>
  </si>
  <si>
    <t>Belastning:</t>
  </si>
  <si>
    <t>Reaktioner:</t>
  </si>
  <si>
    <t>Start</t>
  </si>
  <si>
    <t>Slut</t>
  </si>
  <si>
    <t>Plads 7 skal være øverste endestrimmel</t>
  </si>
  <si>
    <t>Plads 8 skal være nederste endestrimmel</t>
  </si>
  <si>
    <t>Plads 9 skal være evt. strimmel i side 5</t>
  </si>
  <si>
    <t>Moment om venstre understøtning</t>
  </si>
  <si>
    <t>Fladelast</t>
  </si>
  <si>
    <t>Punktlast fra løb</t>
  </si>
  <si>
    <t>venstre</t>
  </si>
  <si>
    <t>højre</t>
  </si>
  <si>
    <t>Belastning- og reaktionsoversigt:</t>
  </si>
  <si>
    <t>a</t>
  </si>
  <si>
    <t>a+b/4</t>
  </si>
  <si>
    <t>a+b*3/4</t>
  </si>
  <si>
    <t>a+b</t>
  </si>
  <si>
    <t>b</t>
  </si>
  <si>
    <t>c</t>
  </si>
  <si>
    <t>d</t>
  </si>
  <si>
    <t>e</t>
  </si>
  <si>
    <t>a+b+c</t>
  </si>
  <si>
    <t>a+b+c+d/4</t>
  </si>
  <si>
    <t>a+b+c+d/2</t>
  </si>
  <si>
    <t>a+b+c+d*3/4</t>
  </si>
  <si>
    <t>a+b+c+d</t>
  </si>
  <si>
    <t>a+b+c+d+e</t>
  </si>
  <si>
    <t>[mm]</t>
  </si>
  <si>
    <t>[m]</t>
  </si>
  <si>
    <t>a+b/2</t>
  </si>
  <si>
    <t>Snit</t>
  </si>
  <si>
    <t>Snit [m]</t>
  </si>
  <si>
    <t>M [kNm]</t>
  </si>
  <si>
    <t>V [kN]</t>
  </si>
  <si>
    <t>M i alt [kNm]</t>
  </si>
  <si>
    <t>V i alt [kN]</t>
  </si>
  <si>
    <t>|V| i alt [kN]</t>
  </si>
  <si>
    <t>a+b+c*1/5</t>
  </si>
  <si>
    <t>a+b+c*2/5</t>
  </si>
  <si>
    <t>a+b+c*3/5</t>
  </si>
  <si>
    <t>a+b+c*4/5</t>
  </si>
  <si>
    <t>https://www.linsgroup.com/MECHANICAL_DESIGN/Beam/beam_formula.htm</t>
  </si>
  <si>
    <t>Mmax</t>
  </si>
  <si>
    <t>Vmax</t>
  </si>
  <si>
    <t>kNm</t>
  </si>
  <si>
    <t>Reaktion, venstre</t>
  </si>
  <si>
    <t>Reaktion, højre</t>
  </si>
  <si>
    <t xml:space="preserve">Strimmel </t>
  </si>
  <si>
    <t>mel. punkt</t>
  </si>
  <si>
    <t>ven. u. støtn. h</t>
  </si>
  <si>
    <t>høj. u. støtn. v</t>
  </si>
  <si>
    <t>høj. u. støtn. h</t>
  </si>
  <si>
    <t>ven. u. støtn. v</t>
  </si>
  <si>
    <t>Punktlaster [kN]</t>
  </si>
  <si>
    <t>Fladelast start</t>
  </si>
  <si>
    <t>Fladelast slut</t>
  </si>
  <si>
    <t>Mmin</t>
  </si>
  <si>
    <t>Punkt for løb, v</t>
  </si>
  <si>
    <t>Punkt for løb, h</t>
  </si>
  <si>
    <t>GEOMETRI, STYRKETAL OG TVÆRSNITSDATA</t>
  </si>
  <si>
    <t>Tværsnitshøjde</t>
  </si>
  <si>
    <t>Effektiv højde</t>
  </si>
  <si>
    <t>h</t>
  </si>
  <si>
    <t>Tværsnitsbredde mht. moment</t>
  </si>
  <si>
    <t>Tværsnitsbredde mht. forskydning</t>
  </si>
  <si>
    <t>bM</t>
  </si>
  <si>
    <t>bV</t>
  </si>
  <si>
    <t>Hovedarmering</t>
  </si>
  <si>
    <t>og</t>
  </si>
  <si>
    <t>K</t>
  </si>
  <si>
    <t>stk, type, diameter</t>
  </si>
  <si>
    <t>As</t>
  </si>
  <si>
    <t>mm2</t>
  </si>
  <si>
    <t>Moment</t>
  </si>
  <si>
    <t>Forskydning</t>
  </si>
  <si>
    <t>Snitkraft</t>
  </si>
  <si>
    <t>Bæreevne</t>
  </si>
  <si>
    <t>Bøjlearmering</t>
  </si>
  <si>
    <t>type, diameter</t>
  </si>
  <si>
    <t>-snits med centerafstand</t>
  </si>
  <si>
    <t>fywd</t>
  </si>
  <si>
    <t>Karakt. E-modul</t>
  </si>
  <si>
    <t>%</t>
  </si>
  <si>
    <t>λ</t>
  </si>
  <si>
    <t>ω</t>
  </si>
  <si>
    <t>eta</t>
  </si>
  <si>
    <t>μ</t>
  </si>
  <si>
    <t>&lt;----- Melder 0 hvis ikke størrelsen ligger indenfor kriterierne.</t>
  </si>
  <si>
    <t>Forskydningsbæreevne</t>
  </si>
  <si>
    <t>Momentbæreevne:</t>
  </si>
  <si>
    <t>k</t>
  </si>
  <si>
    <r>
      <t>V</t>
    </r>
    <r>
      <rPr>
        <vertAlign val="subscript"/>
        <sz val="12"/>
        <color theme="1"/>
        <rFont val="Calibri"/>
        <family val="2"/>
        <scheme val="minor"/>
      </rPr>
      <t>Rd,c</t>
    </r>
  </si>
  <si>
    <t>Del af længdearmering der er fuldt forankret</t>
  </si>
  <si>
    <r>
      <t xml:space="preserve">Regn. Mæssig flydetøjning, </t>
    </r>
    <r>
      <rPr>
        <sz val="12"/>
        <color theme="1"/>
        <rFont val="Calibri"/>
        <family val="2"/>
      </rPr>
      <t>ε</t>
    </r>
    <r>
      <rPr>
        <vertAlign val="subscript"/>
        <sz val="12"/>
        <color theme="1"/>
        <rFont val="Calibri"/>
        <family val="2"/>
        <scheme val="minor"/>
      </rPr>
      <t>yd</t>
    </r>
  </si>
  <si>
    <r>
      <t xml:space="preserve">Brudtøjning, </t>
    </r>
    <r>
      <rPr>
        <sz val="12"/>
        <color theme="1"/>
        <rFont val="Calibri"/>
        <family val="2"/>
      </rPr>
      <t>ε</t>
    </r>
    <r>
      <rPr>
        <vertAlign val="subscript"/>
        <sz val="12"/>
        <color theme="1"/>
        <rFont val="Calibri"/>
        <family val="2"/>
        <scheme val="minor"/>
      </rPr>
      <t>cu3</t>
    </r>
  </si>
  <si>
    <r>
      <rPr>
        <sz val="12"/>
        <color theme="1"/>
        <rFont val="Calibri"/>
        <family val="2"/>
      </rPr>
      <t>ω</t>
    </r>
    <r>
      <rPr>
        <vertAlign val="subscript"/>
        <sz val="12"/>
        <color theme="1"/>
        <rFont val="Calibri"/>
        <family val="2"/>
        <scheme val="minor"/>
      </rPr>
      <t>min</t>
    </r>
  </si>
  <si>
    <r>
      <t>ω</t>
    </r>
    <r>
      <rPr>
        <vertAlign val="subscript"/>
        <sz val="12"/>
        <color theme="1"/>
        <rFont val="Calibri"/>
        <family val="2"/>
        <scheme val="minor"/>
      </rPr>
      <t>bal</t>
    </r>
  </si>
  <si>
    <r>
      <t>M</t>
    </r>
    <r>
      <rPr>
        <vertAlign val="subscript"/>
        <sz val="12"/>
        <color theme="1"/>
        <rFont val="Calibri"/>
        <family val="2"/>
      </rPr>
      <t>Rd</t>
    </r>
  </si>
  <si>
    <r>
      <t>A</t>
    </r>
    <r>
      <rPr>
        <vertAlign val="subscript"/>
        <sz val="12"/>
        <color theme="1"/>
        <rFont val="Calibri"/>
        <family val="2"/>
        <scheme val="minor"/>
      </rPr>
      <t>sl</t>
    </r>
  </si>
  <si>
    <t>V Rd,c =</t>
  </si>
  <si>
    <t>M Rd =</t>
  </si>
  <si>
    <t>EC2 (6.2A)</t>
  </si>
  <si>
    <t>Minimumsværdi  -  EC2 (6.2b)</t>
  </si>
  <si>
    <t>Kan vælges mellem 1 og 2,5 i EC2 (6.7N)</t>
  </si>
  <si>
    <t>Tanθ</t>
  </si>
  <si>
    <t>EC2 - (6.8)</t>
  </si>
  <si>
    <t>EC2 - (6.9)</t>
  </si>
  <si>
    <t>v1</t>
  </si>
  <si>
    <t>6.2.3(3) Note 3</t>
  </si>
  <si>
    <t>EC2 - (6.6N)</t>
  </si>
  <si>
    <r>
      <t>Cot</t>
    </r>
    <r>
      <rPr>
        <sz val="12"/>
        <color theme="1"/>
        <rFont val="Calibri"/>
        <family val="2"/>
      </rPr>
      <t>θ</t>
    </r>
  </si>
  <si>
    <r>
      <rPr>
        <sz val="12"/>
        <color theme="1"/>
        <rFont val="Calibri"/>
        <family val="2"/>
      </rPr>
      <t>α</t>
    </r>
    <r>
      <rPr>
        <vertAlign val="subscript"/>
        <sz val="12"/>
        <color theme="1"/>
        <rFont val="Calibri"/>
        <family val="2"/>
        <scheme val="minor"/>
      </rPr>
      <t>cw</t>
    </r>
  </si>
  <si>
    <r>
      <t>V</t>
    </r>
    <r>
      <rPr>
        <vertAlign val="subscript"/>
        <sz val="12"/>
        <color theme="1"/>
        <rFont val="Calibri"/>
        <family val="2"/>
        <scheme val="minor"/>
      </rPr>
      <t>Rd,s</t>
    </r>
  </si>
  <si>
    <r>
      <t>V</t>
    </r>
    <r>
      <rPr>
        <vertAlign val="subscript"/>
        <sz val="12"/>
        <color theme="1"/>
        <rFont val="Calibri"/>
        <family val="2"/>
        <scheme val="minor"/>
      </rPr>
      <t>Rd,max</t>
    </r>
  </si>
  <si>
    <t>Dorne</t>
  </si>
  <si>
    <t>R</t>
  </si>
  <si>
    <t>a3</t>
  </si>
  <si>
    <t>a4</t>
  </si>
  <si>
    <t>R3</t>
  </si>
  <si>
    <t>R4</t>
  </si>
  <si>
    <t>Max reaktion</t>
  </si>
  <si>
    <t>afstand</t>
  </si>
  <si>
    <t>2-snits arm. (3)</t>
  </si>
  <si>
    <t>Dorn stålkvalitet</t>
  </si>
  <si>
    <t>Stålspænding</t>
  </si>
  <si>
    <t xml:space="preserve">dornlængde </t>
  </si>
  <si>
    <t xml:space="preserve">  R</t>
  </si>
  <si>
    <t xml:space="preserve">R3   </t>
  </si>
  <si>
    <t xml:space="preserve">    R4</t>
  </si>
  <si>
    <t xml:space="preserve">     h</t>
  </si>
  <si>
    <t xml:space="preserve"> (4)</t>
  </si>
  <si>
    <t>(3)</t>
  </si>
  <si>
    <t xml:space="preserve">           a3</t>
  </si>
  <si>
    <t xml:space="preserve">  50</t>
  </si>
  <si>
    <t>Ø</t>
  </si>
  <si>
    <t xml:space="preserve">       50</t>
  </si>
  <si>
    <t>Max dorn reaktion</t>
  </si>
  <si>
    <t>mm3</t>
  </si>
  <si>
    <t>Rund ståldorn</t>
  </si>
  <si>
    <t>Dornplacering</t>
  </si>
  <si>
    <t>Ja</t>
  </si>
  <si>
    <t>Nej</t>
  </si>
  <si>
    <t>Welast</t>
  </si>
  <si>
    <t>Wplast</t>
  </si>
  <si>
    <t>fyk for dorn</t>
  </si>
  <si>
    <t>Plastisk beregning?</t>
  </si>
  <si>
    <t>σ</t>
  </si>
  <si>
    <t>τ</t>
  </si>
  <si>
    <t>Udnyttelse:</t>
  </si>
  <si>
    <t>Mred pga. V</t>
  </si>
  <si>
    <t>Nmm</t>
  </si>
  <si>
    <t>Ac0</t>
  </si>
  <si>
    <t>Ac1</t>
  </si>
  <si>
    <t>d1</t>
  </si>
  <si>
    <t>b1</t>
  </si>
  <si>
    <t>d2</t>
  </si>
  <si>
    <t>b2</t>
  </si>
  <si>
    <t>ch=</t>
  </si>
  <si>
    <t>db+dl=4b1=</t>
  </si>
  <si>
    <t>db=dl=</t>
  </si>
  <si>
    <t>cl=</t>
  </si>
  <si>
    <t>Koncentreret last</t>
  </si>
  <si>
    <t>Trykspænding:</t>
  </si>
  <si>
    <r>
      <t>F</t>
    </r>
    <r>
      <rPr>
        <vertAlign val="subscript"/>
        <sz val="12"/>
        <color theme="1"/>
        <rFont val="Calibri"/>
        <family val="2"/>
        <scheme val="minor"/>
      </rPr>
      <t>Rdu</t>
    </r>
  </si>
  <si>
    <t>dog max:</t>
  </si>
  <si>
    <t>Fra SJ's ark:</t>
  </si>
  <si>
    <t>EC2 6.7 (6.63)</t>
  </si>
  <si>
    <t>Kapacitet (3)</t>
  </si>
  <si>
    <t>Gennemlokning:</t>
  </si>
  <si>
    <t>GENNEMLOKNING</t>
  </si>
  <si>
    <t xml:space="preserve">                       u</t>
  </si>
  <si>
    <t xml:space="preserve">            2d</t>
  </si>
  <si>
    <t>mm i begge retninger</t>
  </si>
  <si>
    <t>Diameter, centerafstand</t>
  </si>
  <si>
    <t>DS411 6.2.4.2:</t>
  </si>
  <si>
    <t>DS411 6.2.4.1:</t>
  </si>
  <si>
    <t>Effektivitetsfaktor</t>
  </si>
  <si>
    <t>v</t>
  </si>
  <si>
    <t xml:space="preserve">Primær kontrolperimeter u </t>
  </si>
  <si>
    <t>V Rd =</t>
  </si>
  <si>
    <t>C Rd,c</t>
  </si>
  <si>
    <t>Dæklag</t>
  </si>
  <si>
    <t>Nyttehøjde yderste armering</t>
  </si>
  <si>
    <t>Nyttehøjde inderste armering</t>
  </si>
  <si>
    <t>= foreskrevet dæklag</t>
  </si>
  <si>
    <t>Diameter yderste armering</t>
  </si>
  <si>
    <t>Diameter inderste armering</t>
  </si>
  <si>
    <r>
      <rPr>
        <sz val="12"/>
        <color theme="1"/>
        <rFont val="Calibri"/>
        <family val="2"/>
      </rPr>
      <t>ρ</t>
    </r>
    <r>
      <rPr>
        <vertAlign val="subscript"/>
        <sz val="12"/>
        <color theme="1"/>
        <rFont val="Calibri"/>
        <family val="2"/>
        <scheme val="minor"/>
      </rPr>
      <t>l</t>
    </r>
  </si>
  <si>
    <r>
      <t>v</t>
    </r>
    <r>
      <rPr>
        <vertAlign val="subscript"/>
        <sz val="12"/>
        <color theme="1"/>
        <rFont val="Calibri"/>
        <family val="2"/>
        <scheme val="minor"/>
      </rPr>
      <t>Rdc</t>
    </r>
  </si>
  <si>
    <r>
      <t>v</t>
    </r>
    <r>
      <rPr>
        <vertAlign val="subscript"/>
        <sz val="12"/>
        <color theme="1"/>
        <rFont val="Calibri"/>
        <family val="2"/>
        <scheme val="minor"/>
      </rPr>
      <t>min</t>
    </r>
  </si>
  <si>
    <t>Lidt i tvivl med denne her -----------&gt;</t>
  </si>
  <si>
    <r>
      <t>V</t>
    </r>
    <r>
      <rPr>
        <vertAlign val="subscript"/>
        <sz val="12"/>
        <color theme="1"/>
        <rFont val="Calibri"/>
        <family val="2"/>
        <scheme val="minor"/>
      </rPr>
      <t>Rd</t>
    </r>
  </si>
  <si>
    <t>Mpa</t>
  </si>
  <si>
    <t>MPa</t>
  </si>
  <si>
    <t>u hvis ikke fri rand</t>
  </si>
  <si>
    <t>dog max</t>
  </si>
  <si>
    <t>stk, type, dia.</t>
  </si>
  <si>
    <t>Hovedarmering (ikke opspændt)</t>
  </si>
  <si>
    <t>Tykkelse</t>
  </si>
  <si>
    <t>Spændvidde</t>
  </si>
  <si>
    <t>Bredde</t>
  </si>
  <si>
    <t>t</t>
  </si>
  <si>
    <t>Lv</t>
  </si>
  <si>
    <t>m</t>
  </si>
  <si>
    <t>pr. meter</t>
  </si>
  <si>
    <t>= tolerancetillæg udførelse</t>
  </si>
  <si>
    <t>= ekstra dæklag</t>
  </si>
  <si>
    <t>Grund</t>
  </si>
  <si>
    <t>Stigning</t>
  </si>
  <si>
    <t>g</t>
  </si>
  <si>
    <t>s</t>
  </si>
  <si>
    <t>MOMENT</t>
  </si>
  <si>
    <t>FORSKYDNING</t>
  </si>
  <si>
    <t>ANVENDELSESGRÆNSETILSTAND</t>
  </si>
  <si>
    <t>Min. Armering</t>
  </si>
  <si>
    <t xml:space="preserve">As min = </t>
  </si>
  <si>
    <t>k1</t>
  </si>
  <si>
    <t>k2</t>
  </si>
  <si>
    <t>k3</t>
  </si>
  <si>
    <t>k4</t>
  </si>
  <si>
    <t>η</t>
  </si>
  <si>
    <t>αρ</t>
  </si>
  <si>
    <t>T.S. s. 177 23. udg.</t>
  </si>
  <si>
    <t>Korttid</t>
  </si>
  <si>
    <t>Langtid</t>
  </si>
  <si>
    <t>EC2 3.1.3(2) reduceres med 30% hvis tilslag af sandsten</t>
  </si>
  <si>
    <t>β</t>
  </si>
  <si>
    <r>
      <t>f</t>
    </r>
    <r>
      <rPr>
        <vertAlign val="subscript"/>
        <sz val="12"/>
        <color theme="1"/>
        <rFont val="Calibri"/>
        <family val="2"/>
        <scheme val="minor"/>
      </rPr>
      <t>cm</t>
    </r>
  </si>
  <si>
    <r>
      <t>E</t>
    </r>
    <r>
      <rPr>
        <vertAlign val="subscript"/>
        <sz val="12"/>
        <color theme="1"/>
        <rFont val="Calibri"/>
        <family val="2"/>
        <scheme val="minor"/>
      </rPr>
      <t>cm</t>
    </r>
  </si>
  <si>
    <r>
      <t>ψ</t>
    </r>
    <r>
      <rPr>
        <vertAlign val="subscript"/>
        <sz val="12"/>
        <color theme="1"/>
        <rFont val="Calibri"/>
        <family val="2"/>
      </rPr>
      <t>2</t>
    </r>
  </si>
  <si>
    <r>
      <t>k</t>
    </r>
    <r>
      <rPr>
        <vertAlign val="subscript"/>
        <sz val="12"/>
        <color theme="1"/>
        <rFont val="Calibri"/>
        <family val="2"/>
        <scheme val="minor"/>
      </rPr>
      <t>t</t>
    </r>
  </si>
  <si>
    <r>
      <t>f</t>
    </r>
    <r>
      <rPr>
        <vertAlign val="subscript"/>
        <sz val="12"/>
        <color theme="1"/>
        <rFont val="Calibri"/>
        <family val="2"/>
        <scheme val="minor"/>
      </rPr>
      <t>ct,eff</t>
    </r>
  </si>
  <si>
    <r>
      <rPr>
        <sz val="12"/>
        <color theme="1"/>
        <rFont val="Calibri"/>
        <family val="2"/>
      </rPr>
      <t>α</t>
    </r>
    <r>
      <rPr>
        <vertAlign val="subscript"/>
        <sz val="12"/>
        <color theme="1"/>
        <rFont val="Calibri"/>
        <family val="2"/>
        <scheme val="minor"/>
      </rPr>
      <t>e</t>
    </r>
  </si>
  <si>
    <r>
      <t>h</t>
    </r>
    <r>
      <rPr>
        <vertAlign val="subscript"/>
        <sz val="12"/>
        <color theme="1"/>
        <rFont val="Calibri"/>
        <family val="2"/>
        <scheme val="minor"/>
      </rPr>
      <t>c</t>
    </r>
  </si>
  <si>
    <r>
      <t>A</t>
    </r>
    <r>
      <rPr>
        <vertAlign val="subscript"/>
        <sz val="12"/>
        <color theme="1"/>
        <rFont val="Calibri"/>
        <family val="2"/>
        <scheme val="minor"/>
      </rPr>
      <t>c,eff</t>
    </r>
  </si>
  <si>
    <r>
      <rPr>
        <sz val="12"/>
        <color theme="1"/>
        <rFont val="Calibri"/>
        <family val="2"/>
      </rPr>
      <t>ρ</t>
    </r>
    <r>
      <rPr>
        <vertAlign val="subscript"/>
        <sz val="12"/>
        <color theme="1"/>
        <rFont val="Calibri"/>
        <family val="2"/>
        <scheme val="minor"/>
      </rPr>
      <t>p,eff</t>
    </r>
  </si>
  <si>
    <r>
      <rPr>
        <sz val="12"/>
        <color theme="1"/>
        <rFont val="Calibri"/>
        <family val="2"/>
      </rPr>
      <t>ε</t>
    </r>
    <r>
      <rPr>
        <vertAlign val="subscript"/>
        <sz val="12"/>
        <color theme="1"/>
        <rFont val="Calibri"/>
        <family val="2"/>
        <scheme val="minor"/>
      </rPr>
      <t>sm</t>
    </r>
    <r>
      <rPr>
        <sz val="12"/>
        <color theme="1"/>
        <rFont val="Calibri"/>
        <family val="2"/>
        <scheme val="minor"/>
      </rPr>
      <t xml:space="preserve"> - ε</t>
    </r>
    <r>
      <rPr>
        <vertAlign val="subscript"/>
        <sz val="12"/>
        <color theme="1"/>
        <rFont val="Calibri"/>
        <family val="2"/>
        <scheme val="minor"/>
      </rPr>
      <t>cm</t>
    </r>
  </si>
  <si>
    <r>
      <t>0,6*</t>
    </r>
    <r>
      <rPr>
        <sz val="12"/>
        <color theme="1"/>
        <rFont val="Calibri"/>
        <family val="2"/>
      </rPr>
      <t>σ</t>
    </r>
    <r>
      <rPr>
        <vertAlign val="subscript"/>
        <sz val="12"/>
        <color theme="1"/>
        <rFont val="Calibri"/>
        <family val="2"/>
        <scheme val="minor"/>
      </rPr>
      <t>s</t>
    </r>
    <r>
      <rPr>
        <sz val="12"/>
        <color theme="1"/>
        <rFont val="Calibri"/>
        <family val="2"/>
        <scheme val="minor"/>
      </rPr>
      <t>/E</t>
    </r>
    <r>
      <rPr>
        <vertAlign val="subscript"/>
        <sz val="12"/>
        <color theme="1"/>
        <rFont val="Calibri"/>
        <family val="2"/>
        <scheme val="minor"/>
      </rPr>
      <t>s</t>
    </r>
  </si>
  <si>
    <t>EC2 7.3.2(2)</t>
  </si>
  <si>
    <t>EC2 7.3.2(3)</t>
  </si>
  <si>
    <t>EC2 7.3.4(2) (7.10)</t>
  </si>
  <si>
    <t>EC2 7.3.4(2) (7.9)</t>
  </si>
  <si>
    <t xml:space="preserve">  &lt;---- Melder 0 hvis ikke størrelsen ligger indenfor kriterierne.</t>
  </si>
  <si>
    <t>NA 7.3.4(3)</t>
  </si>
  <si>
    <r>
      <t>S</t>
    </r>
    <r>
      <rPr>
        <vertAlign val="subscript"/>
        <sz val="12"/>
        <color theme="1"/>
        <rFont val="Calibri"/>
        <family val="2"/>
        <scheme val="minor"/>
      </rPr>
      <t>r,max</t>
    </r>
  </si>
  <si>
    <r>
      <t>w</t>
    </r>
    <r>
      <rPr>
        <vertAlign val="subscript"/>
        <sz val="12"/>
        <color theme="1"/>
        <rFont val="Calibri"/>
        <family val="2"/>
        <scheme val="minor"/>
      </rPr>
      <t>k</t>
    </r>
  </si>
  <si>
    <t>EC2 7.3.4(1) (7.8)</t>
  </si>
  <si>
    <t>EC2 7.3.4(3) (7.11)</t>
  </si>
  <si>
    <t>EC2 7.3.4(3)</t>
  </si>
  <si>
    <t>EC2 7.3.4(3) (7.14)</t>
  </si>
  <si>
    <t>Revnevidde</t>
  </si>
  <si>
    <t>Revnemoment</t>
  </si>
  <si>
    <t>Nedbøjning</t>
  </si>
  <si>
    <t>= "del" af spændvidde som nedbøjningskriterie for langtidslast</t>
  </si>
  <si>
    <t>= "del" af spændvidde som nedbøjningskriterie for korttidslast</t>
  </si>
  <si>
    <t>= "del" af spændvidde som nedbøjningskriterie for w maks</t>
  </si>
  <si>
    <t xml:space="preserve">   i alt</t>
  </si>
  <si>
    <t>Alternativt</t>
  </si>
  <si>
    <t>EC2 9.2.1.1</t>
  </si>
  <si>
    <r>
      <t>φ</t>
    </r>
    <r>
      <rPr>
        <vertAlign val="subscript"/>
        <sz val="12"/>
        <color theme="1"/>
        <rFont val="Calibri"/>
        <family val="2"/>
        <scheme val="minor"/>
      </rPr>
      <t>b</t>
    </r>
  </si>
  <si>
    <t>Nedbøjning revnet</t>
  </si>
  <si>
    <t>Vinkel</t>
  </si>
  <si>
    <t>rad</t>
  </si>
  <si>
    <r>
      <rPr>
        <sz val="12"/>
        <color theme="1"/>
        <rFont val="Calibri"/>
        <family val="2"/>
      </rPr>
      <t>σ</t>
    </r>
    <r>
      <rPr>
        <vertAlign val="subscript"/>
        <sz val="12"/>
        <color theme="1"/>
        <rFont val="Calibri"/>
        <family val="2"/>
        <scheme val="minor"/>
      </rPr>
      <t>c,II</t>
    </r>
  </si>
  <si>
    <r>
      <rPr>
        <sz val="12"/>
        <color theme="1"/>
        <rFont val="Calibri"/>
        <family val="2"/>
      </rPr>
      <t>σ</t>
    </r>
    <r>
      <rPr>
        <vertAlign val="subscript"/>
        <sz val="12"/>
        <color theme="1"/>
        <rFont val="Calibri"/>
        <family val="2"/>
        <scheme val="minor"/>
      </rPr>
      <t>s, II</t>
    </r>
  </si>
  <si>
    <t>Nedbøjning urevnet</t>
  </si>
  <si>
    <t>Tillægshøjde fra trin</t>
  </si>
  <si>
    <t>Er regnet uden brug af tykkelse mht. vægt. på den sikre side.</t>
  </si>
  <si>
    <r>
      <t>S</t>
    </r>
    <r>
      <rPr>
        <vertAlign val="subscript"/>
        <sz val="12"/>
        <color theme="1"/>
        <rFont val="Calibri"/>
        <family val="2"/>
        <scheme val="minor"/>
      </rPr>
      <t>to</t>
    </r>
  </si>
  <si>
    <r>
      <t>A</t>
    </r>
    <r>
      <rPr>
        <vertAlign val="subscript"/>
        <sz val="12"/>
        <color theme="1"/>
        <rFont val="Calibri"/>
        <family val="2"/>
        <scheme val="minor"/>
      </rPr>
      <t>t</t>
    </r>
  </si>
  <si>
    <r>
      <t>A</t>
    </r>
    <r>
      <rPr>
        <vertAlign val="subscript"/>
        <sz val="12"/>
        <color theme="1"/>
        <rFont val="Calibri"/>
        <family val="2"/>
        <scheme val="minor"/>
      </rPr>
      <t>c</t>
    </r>
  </si>
  <si>
    <r>
      <t>y</t>
    </r>
    <r>
      <rPr>
        <vertAlign val="subscript"/>
        <sz val="12"/>
        <color theme="1"/>
        <rFont val="Calibri"/>
        <family val="2"/>
        <scheme val="minor"/>
      </rPr>
      <t>0</t>
    </r>
  </si>
  <si>
    <r>
      <t>I</t>
    </r>
    <r>
      <rPr>
        <vertAlign val="subscript"/>
        <sz val="12"/>
        <color theme="1"/>
        <rFont val="Calibri"/>
        <family val="2"/>
        <scheme val="minor"/>
      </rPr>
      <t>t</t>
    </r>
  </si>
  <si>
    <t>mm4</t>
  </si>
  <si>
    <t>beta</t>
  </si>
  <si>
    <t>Revnemoment:</t>
  </si>
  <si>
    <t>zeta</t>
  </si>
  <si>
    <t>Komb. Nedbøjning</t>
  </si>
  <si>
    <t>dog mindst?</t>
  </si>
  <si>
    <t>EC2 7.4.3(3) (7.18)</t>
  </si>
  <si>
    <t>EC2 7.4.3(3) (7.19)</t>
  </si>
  <si>
    <t>EC2 7.4.3(3)</t>
  </si>
  <si>
    <t>Hvorfra?</t>
  </si>
  <si>
    <r>
      <t xml:space="preserve"> y</t>
    </r>
    <r>
      <rPr>
        <vertAlign val="subscript"/>
        <sz val="12"/>
        <color theme="1"/>
        <rFont val="Calibri"/>
        <family val="2"/>
        <scheme val="minor"/>
      </rPr>
      <t>0</t>
    </r>
    <r>
      <rPr>
        <sz val="12"/>
        <color theme="1"/>
        <rFont val="Calibri"/>
        <family val="2"/>
        <scheme val="minor"/>
      </rPr>
      <t xml:space="preserve">         t</t>
    </r>
  </si>
  <si>
    <r>
      <rPr>
        <sz val="12"/>
        <color theme="1"/>
        <rFont val="Calibri"/>
        <family val="2"/>
      </rPr>
      <t xml:space="preserve">    ∆</t>
    </r>
    <r>
      <rPr>
        <sz val="12"/>
        <color theme="1"/>
        <rFont val="Calibri"/>
        <family val="2"/>
        <scheme val="minor"/>
      </rPr>
      <t>t</t>
    </r>
  </si>
  <si>
    <t>Dornplaceringer</t>
  </si>
  <si>
    <t>&lt;---</t>
  </si>
  <si>
    <t>x for midt fladelast</t>
  </si>
  <si>
    <t>BRAND</t>
  </si>
  <si>
    <t xml:space="preserve">Max reaktion kar. </t>
  </si>
  <si>
    <t>Udnyttelsesgrad</t>
  </si>
  <si>
    <r>
      <rPr>
        <sz val="14"/>
        <color theme="1"/>
        <rFont val="Calibri"/>
        <family val="2"/>
      </rPr>
      <t>μ</t>
    </r>
    <r>
      <rPr>
        <vertAlign val="subscript"/>
        <sz val="14"/>
        <color theme="1"/>
        <rFont val="Calibri"/>
        <family val="2"/>
        <scheme val="minor"/>
      </rPr>
      <t>0</t>
    </r>
  </si>
  <si>
    <t>temp. gr.C.</t>
  </si>
  <si>
    <t>red.faktor</t>
  </si>
  <si>
    <t>aktuel udnyttelsesgrad</t>
  </si>
  <si>
    <t>R1</t>
  </si>
  <si>
    <t>Interpolering</t>
  </si>
  <si>
    <t>30 minutters brand</t>
  </si>
  <si>
    <t>60 minutters brand</t>
  </si>
  <si>
    <t>temp. i dorn (gr. C.)</t>
  </si>
  <si>
    <t>Afstand til væg [mm]</t>
  </si>
  <si>
    <t>Dorn dia. [mm]</t>
  </si>
  <si>
    <t>Dorn længde [mm]</t>
  </si>
  <si>
    <t>Maks</t>
  </si>
  <si>
    <t>Af diagrammet aflæses kritisk ståltemperatur:</t>
  </si>
  <si>
    <t>gr. C.</t>
  </si>
  <si>
    <t>minutters standardbrand excl. afkølingsfase medfører</t>
  </si>
  <si>
    <t>maks temperatur i ståldorn på ca.</t>
  </si>
  <si>
    <t>Resultater for temperaturer i dorne findes af dette link:</t>
  </si>
  <si>
    <t>N:\Projektering\Tilst\Trappedorne_Brand\Beregninger og notater_ESP</t>
  </si>
  <si>
    <t>Top/Bund detaljer</t>
  </si>
  <si>
    <t>TOP DETALJE</t>
  </si>
  <si>
    <t>z2</t>
  </si>
  <si>
    <t xml:space="preserve">  a</t>
  </si>
  <si>
    <t xml:space="preserve">d1 </t>
  </si>
  <si>
    <t>udv. mål</t>
  </si>
  <si>
    <t>Knastbredde</t>
  </si>
  <si>
    <t>kb</t>
  </si>
  <si>
    <t>Reaktion</t>
  </si>
  <si>
    <t>Momentarm</t>
  </si>
  <si>
    <t>Indre momentarm</t>
  </si>
  <si>
    <t>Armering</t>
  </si>
  <si>
    <t>SNIT 1-1</t>
  </si>
  <si>
    <t>M Rd</t>
  </si>
  <si>
    <t>V Rd</t>
  </si>
  <si>
    <t>SNIT 2-2</t>
  </si>
  <si>
    <t>GEOMETRI OG TVÆRSNITSDATA</t>
  </si>
  <si>
    <t>Top detalje er ved  øverste endestrimmel?</t>
  </si>
  <si>
    <t>Knastbredde top</t>
  </si>
  <si>
    <t>Reaktion top</t>
  </si>
  <si>
    <t>Knastbredde bund</t>
  </si>
  <si>
    <t>Reaktion bund</t>
  </si>
  <si>
    <t>Repos eller naboløb</t>
  </si>
  <si>
    <t>Naboløb</t>
  </si>
  <si>
    <t>Repos</t>
  </si>
  <si>
    <t>BUND DETALJE</t>
  </si>
  <si>
    <t>(2)</t>
  </si>
  <si>
    <t>(1)</t>
  </si>
  <si>
    <t>Armering (1) &amp; (2)</t>
  </si>
  <si>
    <t>Armering (2)</t>
  </si>
  <si>
    <t xml:space="preserve">   a</t>
  </si>
  <si>
    <t xml:space="preserve">F  </t>
  </si>
  <si>
    <t>æ</t>
  </si>
  <si>
    <t>eller (1)+(2)</t>
  </si>
  <si>
    <t>Last fra naboløb</t>
  </si>
  <si>
    <t>fyd red</t>
  </si>
  <si>
    <t>grader</t>
  </si>
  <si>
    <t>mm dæklag mod hylde (både lodret og vandret)</t>
  </si>
  <si>
    <t>bukkediameter for armering</t>
  </si>
  <si>
    <t>N/mm2 reduceret fyd</t>
  </si>
  <si>
    <t>Øbukke * 2,5 * Ø * fcd / (As * Cos(30))</t>
  </si>
  <si>
    <t>Vederlagsbredde</t>
  </si>
  <si>
    <t>ν</t>
  </si>
  <si>
    <t>C4 = R</t>
  </si>
  <si>
    <t>hs</t>
  </si>
  <si>
    <t>Hældning af trykstringer</t>
  </si>
  <si>
    <t>h5</t>
  </si>
  <si>
    <t>h4</t>
  </si>
  <si>
    <t>h6</t>
  </si>
  <si>
    <t>C5</t>
  </si>
  <si>
    <t>C6</t>
  </si>
  <si>
    <r>
      <rPr>
        <sz val="14"/>
        <color theme="1"/>
        <rFont val="Calibri"/>
        <family val="2"/>
      </rPr>
      <t>σ</t>
    </r>
    <r>
      <rPr>
        <vertAlign val="subscript"/>
        <sz val="14"/>
        <color theme="1"/>
        <rFont val="Calibri"/>
        <family val="2"/>
        <scheme val="minor"/>
      </rPr>
      <t>s</t>
    </r>
  </si>
  <si>
    <r>
      <t>f</t>
    </r>
    <r>
      <rPr>
        <vertAlign val="subscript"/>
        <sz val="14"/>
        <color theme="1"/>
        <rFont val="Calibri"/>
        <family val="2"/>
        <scheme val="minor"/>
      </rPr>
      <t>cd, red</t>
    </r>
  </si>
  <si>
    <t xml:space="preserve">  hs</t>
  </si>
  <si>
    <t xml:space="preserve">&lt;--- hs = overside (1) til overside (2) </t>
  </si>
  <si>
    <t xml:space="preserve">&lt;--- a = centerlinje (2) til R </t>
  </si>
  <si>
    <t>Tværarmering (1) og (2)</t>
  </si>
  <si>
    <t>Type, diameter</t>
  </si>
  <si>
    <t>Stk, type, diameter</t>
  </si>
  <si>
    <r>
      <rPr>
        <sz val="14"/>
        <color theme="1"/>
        <rFont val="Calibri"/>
        <family val="2"/>
      </rPr>
      <t>σ</t>
    </r>
    <r>
      <rPr>
        <vertAlign val="subscript"/>
        <sz val="14"/>
        <color theme="1"/>
        <rFont val="Calibri"/>
        <family val="2"/>
        <scheme val="minor"/>
      </rPr>
      <t>s</t>
    </r>
    <r>
      <rPr>
        <sz val="14"/>
        <color theme="1"/>
        <rFont val="Calibri"/>
        <family val="2"/>
        <scheme val="minor"/>
      </rPr>
      <t xml:space="preserve"> =</t>
    </r>
  </si>
  <si>
    <t>Armering (3)</t>
  </si>
  <si>
    <t>Tværarmering (1) og (2), stringerbredde</t>
  </si>
  <si>
    <t>h6 =</t>
  </si>
  <si>
    <t>v fcd =</t>
  </si>
  <si>
    <t>Ud fra moment i tværarmering</t>
  </si>
  <si>
    <t>Ud fra vederlagsbredde</t>
  </si>
  <si>
    <t>Stringerbredde =</t>
  </si>
  <si>
    <t>L maks:</t>
  </si>
  <si>
    <t>L mulig:</t>
  </si>
  <si>
    <t>gamma s =</t>
  </si>
  <si>
    <t>Bukket arm.</t>
  </si>
  <si>
    <t>diameter</t>
  </si>
  <si>
    <t>fyd =</t>
  </si>
  <si>
    <t>Tværarmering</t>
  </si>
  <si>
    <t>Wplast =</t>
  </si>
  <si>
    <t>sigma 4 =</t>
  </si>
  <si>
    <t>sigma 5 =</t>
  </si>
  <si>
    <t>sigma 6 =</t>
  </si>
  <si>
    <r>
      <t>σ</t>
    </r>
    <r>
      <rPr>
        <vertAlign val="subscript"/>
        <sz val="14"/>
        <color theme="1"/>
        <rFont val="Calibri"/>
        <family val="2"/>
      </rPr>
      <t>knude</t>
    </r>
    <r>
      <rPr>
        <sz val="14"/>
        <color theme="1"/>
        <rFont val="Calibri"/>
        <family val="2"/>
      </rPr>
      <t xml:space="preserve"> =</t>
    </r>
  </si>
  <si>
    <t>Udskrift:</t>
  </si>
  <si>
    <t>Bladsamling - top</t>
  </si>
  <si>
    <t>Bladsamling - bund</t>
  </si>
  <si>
    <t>Svingløb - top</t>
  </si>
  <si>
    <t>Ref</t>
  </si>
  <si>
    <t>y</t>
  </si>
  <si>
    <t>Dorn 1</t>
  </si>
  <si>
    <t>Dorn 2</t>
  </si>
  <si>
    <t>Dorn 3</t>
  </si>
  <si>
    <t>Dorn 4</t>
  </si>
  <si>
    <t>Dorn 5</t>
  </si>
  <si>
    <t>Dorn 6</t>
  </si>
  <si>
    <t>Længde</t>
  </si>
  <si>
    <t>Målkæder</t>
  </si>
  <si>
    <t>Underst. H</t>
  </si>
  <si>
    <t>Underst. V</t>
  </si>
  <si>
    <t>Laster</t>
  </si>
  <si>
    <t>Streger under venstre understøtning</t>
  </si>
  <si>
    <t>Centrum</t>
  </si>
  <si>
    <t>Radius =</t>
  </si>
  <si>
    <t>Rad</t>
  </si>
  <si>
    <t>vinkel</t>
  </si>
  <si>
    <t>x1</t>
  </si>
  <si>
    <t>x2</t>
  </si>
  <si>
    <t>Streger under højre understøtning</t>
  </si>
  <si>
    <t>Skalering af last:</t>
  </si>
  <si>
    <t>Skalering af underst.:</t>
  </si>
  <si>
    <t>Svingløb - bund</t>
  </si>
  <si>
    <t>Højre/venstre princip</t>
  </si>
  <si>
    <t>Strimmelinddeling af svingløb</t>
  </si>
  <si>
    <t>Dalton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</si>
</sst>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;;;"/>
    <numFmt numFmtId="165" formatCode="dd/mm/yy;@"/>
    <numFmt numFmtId="166" formatCode="0.0"/>
    <numFmt numFmtId="167" formatCode="0.000"/>
    <numFmt numFmtId="168" formatCode="0.0000"/>
    <numFmt numFmtId="169" formatCode="0.000000"/>
    <numFmt numFmtId="170" formatCode="0.00000"/>
    <numFmt numFmtId="171" formatCode="0.000_)"/>
    <numFmt numFmtId="172" formatCode="0_)"/>
  </numFmts>
  <fonts count="42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</font>
    <font>
      <vertAlign val="subscript"/>
      <sz val="12"/>
      <color theme="1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u/>
      <sz val="11"/>
      <color theme="10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sz val="12"/>
      <color rgb="FFFFC000"/>
      <name val="Calibri"/>
      <family val="2"/>
      <scheme val="minor"/>
    </font>
    <font>
      <sz val="14"/>
      <name val="Arial MT"/>
      <family val="2"/>
    </font>
    <font>
      <sz val="14"/>
      <color indexed="12"/>
      <name val="Arial"/>
      <family val="2"/>
    </font>
    <font>
      <sz val="14"/>
      <name val="Arial MT Black"/>
    </font>
    <font>
      <sz val="14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4"/>
      <color theme="1"/>
      <name val="Calibri"/>
      <family val="2"/>
    </font>
    <font>
      <sz val="14"/>
      <color theme="8" tint="-0.249977111117893"/>
      <name val="Calibri"/>
      <family val="2"/>
      <scheme val="minor"/>
    </font>
    <font>
      <strike/>
      <sz val="14"/>
      <color theme="1"/>
      <name val="Calibri"/>
      <family val="2"/>
      <scheme val="minor"/>
    </font>
    <font>
      <b/>
      <strike/>
      <sz val="14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3"/>
      <color theme="8" tint="-0.249977111117893"/>
      <name val="Calibri"/>
      <family val="2"/>
      <scheme val="minor"/>
    </font>
    <font>
      <sz val="13"/>
      <color theme="1"/>
      <name val="Calibri"/>
      <family val="2"/>
      <scheme val="minor"/>
    </font>
    <font>
      <vertAlign val="subscript"/>
      <sz val="14"/>
      <color theme="1"/>
      <name val="Calibri"/>
      <family val="2"/>
      <scheme val="minor"/>
    </font>
    <font>
      <sz val="14"/>
      <color rgb="FF0070C0"/>
      <name val="Calibri"/>
      <family val="2"/>
      <scheme val="minor"/>
    </font>
    <font>
      <vertAlign val="subscript"/>
      <sz val="14"/>
      <color theme="1"/>
      <name val="Calibri"/>
      <family val="2"/>
    </font>
    <font>
      <sz val="18"/>
      <color rgb="FF000000"/>
      <name val="Calibri"/>
      <family val="2"/>
    </font>
    <font>
      <sz val="11"/>
      <color theme="0"/>
      <name val="Calibri"/>
      <family val="2"/>
      <scheme val="minor"/>
    </font>
    <font>
      <sz val="16"/>
      <color rgb="FF000000"/>
      <name val="Calibri"/>
      <family val="2"/>
    </font>
    <font>
      <sz val="14"/>
      <color rgb="FF000000"/>
      <name val="Calibri"/>
      <family val="2"/>
    </font>
    <font>
      <b/>
      <sz val="20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CC"/>
      </patternFill>
    </fill>
  </fills>
  <borders count="32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thin">
        <color indexed="64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theme="0" tint="-0.499984740745262"/>
      </top>
      <bottom style="thin">
        <color indexed="64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/>
      <bottom/>
      <diagonal/>
    </border>
  </borders>
  <cellStyleXfs count="4">
    <xf numFmtId="0" fontId="0" fillId="0" borderId="0"/>
    <xf numFmtId="0" fontId="11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6" fillId="3" borderId="30" applyNumberFormat="0" applyFont="0" applyAlignment="0" applyProtection="0"/>
  </cellStyleXfs>
  <cellXfs count="246">
    <xf numFmtId="0" fontId="0" fillId="0" borderId="0" xfId="0"/>
    <xf numFmtId="0" fontId="1" fillId="0" borderId="0" xfId="0" applyFont="1"/>
    <xf numFmtId="0" fontId="1" fillId="0" borderId="11" xfId="0" applyFont="1" applyBorder="1"/>
    <xf numFmtId="0" fontId="3" fillId="0" borderId="0" xfId="0" applyFont="1"/>
    <xf numFmtId="0" fontId="1" fillId="0" borderId="14" xfId="0" applyFont="1" applyBorder="1"/>
    <xf numFmtId="0" fontId="5" fillId="0" borderId="0" xfId="0" applyFont="1"/>
    <xf numFmtId="0" fontId="6" fillId="0" borderId="0" xfId="0" applyFont="1"/>
    <xf numFmtId="0" fontId="1" fillId="0" borderId="0" xfId="0" applyFont="1" applyAlignment="1">
      <alignment horizontal="center"/>
    </xf>
    <xf numFmtId="0" fontId="1" fillId="0" borderId="14" xfId="0" applyFont="1" applyBorder="1" applyAlignment="1">
      <alignment horizontal="center"/>
    </xf>
    <xf numFmtId="2" fontId="0" fillId="0" borderId="0" xfId="0" applyNumberFormat="1"/>
    <xf numFmtId="166" fontId="0" fillId="0" borderId="0" xfId="0" applyNumberFormat="1"/>
    <xf numFmtId="2" fontId="1" fillId="0" borderId="0" xfId="0" applyNumberFormat="1" applyFont="1"/>
    <xf numFmtId="0" fontId="1" fillId="0" borderId="0" xfId="0" applyFont="1" applyAlignment="1">
      <alignment horizontal="right"/>
    </xf>
    <xf numFmtId="166" fontId="1" fillId="0" borderId="0" xfId="0" applyNumberFormat="1" applyFont="1"/>
    <xf numFmtId="0" fontId="8" fillId="0" borderId="16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1" fillId="0" borderId="0" xfId="0" quotePrefix="1" applyFont="1"/>
    <xf numFmtId="2" fontId="1" fillId="0" borderId="0" xfId="0" applyNumberFormat="1" applyFont="1" applyAlignment="1">
      <alignment vertical="center"/>
    </xf>
    <xf numFmtId="0" fontId="1" fillId="0" borderId="0" xfId="0" quotePrefix="1" applyFont="1" applyAlignment="1">
      <alignment vertical="center"/>
    </xf>
    <xf numFmtId="1" fontId="1" fillId="0" borderId="0" xfId="0" applyNumberFormat="1" applyFont="1"/>
    <xf numFmtId="1" fontId="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center"/>
    </xf>
    <xf numFmtId="0" fontId="1" fillId="0" borderId="21" xfId="0" applyFont="1" applyBorder="1" applyAlignment="1">
      <alignment horizontal="center"/>
    </xf>
    <xf numFmtId="2" fontId="1" fillId="0" borderId="21" xfId="0" applyNumberFormat="1" applyFont="1" applyBorder="1" applyAlignment="1">
      <alignment horizontal="center"/>
    </xf>
    <xf numFmtId="2" fontId="1" fillId="0" borderId="22" xfId="0" applyNumberFormat="1" applyFont="1" applyBorder="1" applyAlignment="1">
      <alignment horizontal="center"/>
    </xf>
    <xf numFmtId="2" fontId="1" fillId="0" borderId="23" xfId="0" applyNumberFormat="1" applyFont="1" applyBorder="1" applyAlignment="1">
      <alignment horizontal="center"/>
    </xf>
    <xf numFmtId="0" fontId="1" fillId="0" borderId="19" xfId="0" applyFont="1" applyBorder="1"/>
    <xf numFmtId="49" fontId="1" fillId="0" borderId="20" xfId="0" applyNumberFormat="1" applyFont="1" applyBorder="1"/>
    <xf numFmtId="49" fontId="1" fillId="0" borderId="27" xfId="0" applyNumberFormat="1" applyFont="1" applyBorder="1" applyAlignment="1">
      <alignment horizontal="center"/>
    </xf>
    <xf numFmtId="49" fontId="1" fillId="0" borderId="20" xfId="0" applyNumberFormat="1" applyFont="1" applyBorder="1" applyAlignment="1">
      <alignment horizontal="center"/>
    </xf>
    <xf numFmtId="0" fontId="1" fillId="0" borderId="2" xfId="0" applyFont="1" applyBorder="1"/>
    <xf numFmtId="0" fontId="1" fillId="0" borderId="26" xfId="0" applyFont="1" applyBorder="1"/>
    <xf numFmtId="0" fontId="1" fillId="0" borderId="23" xfId="0" applyFont="1" applyBorder="1"/>
    <xf numFmtId="2" fontId="1" fillId="0" borderId="11" xfId="0" applyNumberFormat="1" applyFont="1" applyBorder="1" applyAlignment="1">
      <alignment horizontal="center"/>
    </xf>
    <xf numFmtId="0" fontId="1" fillId="0" borderId="3" xfId="0" applyFont="1" applyBorder="1"/>
    <xf numFmtId="2" fontId="1" fillId="0" borderId="3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2" fontId="0" fillId="0" borderId="21" xfId="0" applyNumberFormat="1" applyBorder="1"/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21" xfId="0" applyBorder="1"/>
    <xf numFmtId="2" fontId="0" fillId="0" borderId="21" xfId="0" applyNumberFormat="1" applyBorder="1" applyAlignment="1">
      <alignment horizontal="right"/>
    </xf>
    <xf numFmtId="2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0" fontId="12" fillId="0" borderId="2" xfId="0" applyFont="1" applyBorder="1" applyAlignment="1">
      <alignment horizontal="right"/>
    </xf>
    <xf numFmtId="0" fontId="12" fillId="0" borderId="3" xfId="0" applyFont="1" applyBorder="1"/>
    <xf numFmtId="0" fontId="0" fillId="0" borderId="3" xfId="0" applyBorder="1"/>
    <xf numFmtId="0" fontId="0" fillId="0" borderId="26" xfId="0" applyBorder="1"/>
    <xf numFmtId="0" fontId="0" fillId="0" borderId="11" xfId="0" applyBorder="1" applyAlignment="1">
      <alignment horizontal="left"/>
    </xf>
    <xf numFmtId="0" fontId="0" fillId="0" borderId="23" xfId="0" applyBorder="1"/>
    <xf numFmtId="0" fontId="0" fillId="0" borderId="28" xfId="0" applyBorder="1" applyAlignment="1">
      <alignment horizontal="left"/>
    </xf>
    <xf numFmtId="0" fontId="0" fillId="0" borderId="22" xfId="0" applyBorder="1"/>
    <xf numFmtId="0" fontId="0" fillId="0" borderId="23" xfId="0" applyBorder="1" applyAlignment="1">
      <alignment horizontal="center"/>
    </xf>
    <xf numFmtId="0" fontId="12" fillId="0" borderId="11" xfId="0" applyFont="1" applyBorder="1" applyAlignment="1">
      <alignment horizontal="right"/>
    </xf>
    <xf numFmtId="0" fontId="12" fillId="0" borderId="0" xfId="0" applyFont="1"/>
    <xf numFmtId="0" fontId="12" fillId="0" borderId="11" xfId="0" applyFont="1" applyBorder="1" applyAlignment="1">
      <alignment horizontal="left"/>
    </xf>
    <xf numFmtId="2" fontId="0" fillId="0" borderId="3" xfId="0" applyNumberFormat="1" applyBorder="1"/>
    <xf numFmtId="0" fontId="0" fillId="0" borderId="28" xfId="0" applyBorder="1"/>
    <xf numFmtId="0" fontId="13" fillId="0" borderId="0" xfId="0" applyFont="1"/>
    <xf numFmtId="0" fontId="1" fillId="0" borderId="2" xfId="0" applyFont="1" applyBorder="1" applyAlignment="1">
      <alignment horizontal="right"/>
    </xf>
    <xf numFmtId="0" fontId="1" fillId="0" borderId="3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28" xfId="0" applyFont="1" applyBorder="1" applyAlignment="1">
      <alignment horizontal="right"/>
    </xf>
    <xf numFmtId="0" fontId="1" fillId="0" borderId="22" xfId="0" applyFont="1" applyBorder="1" applyAlignment="1">
      <alignment horizontal="center"/>
    </xf>
    <xf numFmtId="0" fontId="1" fillId="0" borderId="11" xfId="0" applyFont="1" applyBorder="1" applyAlignment="1">
      <alignment horizontal="right"/>
    </xf>
    <xf numFmtId="2" fontId="1" fillId="0" borderId="26" xfId="0" applyNumberFormat="1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3" fillId="0" borderId="0" xfId="0" applyFont="1" applyAlignment="1">
      <alignment horizontal="right"/>
    </xf>
    <xf numFmtId="0" fontId="14" fillId="0" borderId="0" xfId="2"/>
    <xf numFmtId="167" fontId="1" fillId="0" borderId="0" xfId="0" applyNumberFormat="1" applyFont="1"/>
    <xf numFmtId="0" fontId="1" fillId="0" borderId="29" xfId="0" applyFont="1" applyBorder="1" applyAlignment="1">
      <alignment horizontal="right"/>
    </xf>
    <xf numFmtId="0" fontId="1" fillId="0" borderId="16" xfId="0" applyFont="1" applyBorder="1" applyAlignment="1">
      <alignment horizontal="right"/>
    </xf>
    <xf numFmtId="0" fontId="1" fillId="0" borderId="17" xfId="0" applyFont="1" applyBorder="1" applyAlignment="1">
      <alignment horizontal="right"/>
    </xf>
    <xf numFmtId="2" fontId="1" fillId="0" borderId="2" xfId="0" applyNumberFormat="1" applyFont="1" applyBorder="1" applyAlignment="1">
      <alignment horizontal="center"/>
    </xf>
    <xf numFmtId="0" fontId="1" fillId="0" borderId="28" xfId="0" applyFont="1" applyBorder="1" applyAlignment="1">
      <alignment horizontal="center"/>
    </xf>
    <xf numFmtId="2" fontId="1" fillId="0" borderId="28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0" fontId="9" fillId="0" borderId="0" xfId="0" applyFont="1"/>
    <xf numFmtId="168" fontId="1" fillId="0" borderId="0" xfId="0" applyNumberFormat="1" applyFont="1"/>
    <xf numFmtId="49" fontId="4" fillId="0" borderId="0" xfId="0" applyNumberFormat="1" applyFont="1"/>
    <xf numFmtId="0" fontId="4" fillId="0" borderId="0" xfId="0" applyFont="1" applyAlignment="1">
      <alignment horizontal="right"/>
    </xf>
    <xf numFmtId="1" fontId="0" fillId="0" borderId="0" xfId="0" applyNumberFormat="1"/>
    <xf numFmtId="0" fontId="1" fillId="3" borderId="30" xfId="3" applyFont="1"/>
    <xf numFmtId="0" fontId="1" fillId="3" borderId="30" xfId="3" applyFont="1" applyAlignment="1">
      <alignment horizontal="right"/>
    </xf>
    <xf numFmtId="166" fontId="1" fillId="3" borderId="30" xfId="3" applyNumberFormat="1" applyFont="1"/>
    <xf numFmtId="0" fontId="1" fillId="3" borderId="30" xfId="3" applyFont="1" applyAlignment="1">
      <alignment horizontal="center"/>
    </xf>
    <xf numFmtId="2" fontId="1" fillId="3" borderId="30" xfId="3" applyNumberFormat="1" applyFont="1"/>
    <xf numFmtId="0" fontId="1" fillId="3" borderId="30" xfId="3" applyFont="1" applyAlignment="1">
      <alignment horizontal="left"/>
    </xf>
    <xf numFmtId="0" fontId="1" fillId="3" borderId="31" xfId="3" applyFont="1" applyBorder="1" applyAlignment="1">
      <alignment horizontal="left"/>
    </xf>
    <xf numFmtId="0" fontId="2" fillId="0" borderId="0" xfId="0" applyFont="1"/>
    <xf numFmtId="0" fontId="18" fillId="0" borderId="0" xfId="0" applyFont="1"/>
    <xf numFmtId="0" fontId="0" fillId="0" borderId="3" xfId="0" applyBorder="1" applyAlignment="1">
      <alignment horizontal="left"/>
    </xf>
    <xf numFmtId="170" fontId="1" fillId="0" borderId="0" xfId="0" applyNumberFormat="1" applyFont="1"/>
    <xf numFmtId="169" fontId="1" fillId="0" borderId="0" xfId="0" applyNumberFormat="1" applyFont="1"/>
    <xf numFmtId="0" fontId="0" fillId="0" borderId="26" xfId="0" applyBorder="1" applyAlignment="1">
      <alignment horizontal="center"/>
    </xf>
    <xf numFmtId="166" fontId="0" fillId="3" borderId="30" xfId="3" applyNumberFormat="1" applyFont="1"/>
    <xf numFmtId="164" fontId="6" fillId="0" borderId="6" xfId="0" applyNumberFormat="1" applyFont="1" applyBorder="1" applyProtection="1">
      <protection hidden="1"/>
    </xf>
    <xf numFmtId="0" fontId="6" fillId="0" borderId="7" xfId="0" applyFont="1" applyBorder="1"/>
    <xf numFmtId="0" fontId="6" fillId="0" borderId="8" xfId="0" applyFont="1" applyBorder="1"/>
    <xf numFmtId="0" fontId="6" fillId="0" borderId="9" xfId="0" applyFont="1" applyBorder="1"/>
    <xf numFmtId="0" fontId="6" fillId="0" borderId="10" xfId="0" applyFont="1" applyBorder="1"/>
    <xf numFmtId="0" fontId="6" fillId="0" borderId="7" xfId="0" applyFont="1" applyBorder="1" applyAlignment="1" applyProtection="1">
      <alignment horizontal="left"/>
      <protection locked="0"/>
    </xf>
    <xf numFmtId="20" fontId="22" fillId="0" borderId="8" xfId="0" applyNumberFormat="1" applyFont="1" applyBorder="1" applyAlignment="1">
      <alignment horizontal="left"/>
    </xf>
    <xf numFmtId="0" fontId="23" fillId="0" borderId="0" xfId="1" applyFont="1"/>
    <xf numFmtId="0" fontId="24" fillId="0" borderId="0" xfId="0" applyFont="1"/>
    <xf numFmtId="0" fontId="6" fillId="0" borderId="0" xfId="0" applyFont="1" applyAlignment="1">
      <alignment horizontal="center"/>
    </xf>
    <xf numFmtId="0" fontId="25" fillId="0" borderId="0" xfId="0" applyFont="1"/>
    <xf numFmtId="0" fontId="6" fillId="0" borderId="0" xfId="0" applyFont="1" applyAlignment="1">
      <alignment vertical="center"/>
    </xf>
    <xf numFmtId="166" fontId="6" fillId="0" borderId="0" xfId="0" applyNumberFormat="1" applyFont="1"/>
    <xf numFmtId="2" fontId="6" fillId="0" borderId="0" xfId="0" applyNumberFormat="1" applyFont="1"/>
    <xf numFmtId="1" fontId="6" fillId="0" borderId="0" xfId="0" applyNumberFormat="1" applyFont="1"/>
    <xf numFmtId="0" fontId="6" fillId="0" borderId="0" xfId="0" applyFont="1" applyAlignment="1">
      <alignment horizontal="right"/>
    </xf>
    <xf numFmtId="2" fontId="6" fillId="2" borderId="25" xfId="0" applyNumberFormat="1" applyFont="1" applyFill="1" applyBorder="1" applyAlignment="1">
      <alignment horizontal="left" vertical="center"/>
    </xf>
    <xf numFmtId="0" fontId="6" fillId="0" borderId="0" xfId="0" applyFont="1" applyAlignment="1">
      <alignment horizontal="left"/>
    </xf>
    <xf numFmtId="0" fontId="26" fillId="0" borderId="0" xfId="0" applyFont="1"/>
    <xf numFmtId="0" fontId="26" fillId="0" borderId="0" xfId="0" applyFont="1" applyAlignment="1">
      <alignment horizontal="right"/>
    </xf>
    <xf numFmtId="0" fontId="23" fillId="0" borderId="0" xfId="0" applyFont="1"/>
    <xf numFmtId="0" fontId="5" fillId="0" borderId="0" xfId="0" applyFont="1" applyAlignment="1">
      <alignment horizontal="right"/>
    </xf>
    <xf numFmtId="0" fontId="6" fillId="0" borderId="0" xfId="0" quotePrefix="1" applyFont="1"/>
    <xf numFmtId="166" fontId="6" fillId="0" borderId="0" xfId="0" applyNumberFormat="1" applyFont="1" applyAlignment="1">
      <alignment horizontal="right"/>
    </xf>
    <xf numFmtId="0" fontId="6" fillId="0" borderId="0" xfId="0" quotePrefix="1" applyFont="1" applyAlignment="1">
      <alignment vertical="center"/>
    </xf>
    <xf numFmtId="166" fontId="6" fillId="0" borderId="0" xfId="0" applyNumberFormat="1" applyFont="1" applyAlignment="1">
      <alignment horizontal="left"/>
    </xf>
    <xf numFmtId="0" fontId="28" fillId="0" borderId="0" xfId="0" applyFont="1"/>
    <xf numFmtId="0" fontId="28" fillId="0" borderId="0" xfId="0" applyFont="1" applyAlignment="1">
      <alignment horizontal="center"/>
    </xf>
    <xf numFmtId="0" fontId="29" fillId="0" borderId="0" xfId="0" applyFont="1"/>
    <xf numFmtId="0" fontId="22" fillId="0" borderId="0" xfId="0" applyFont="1"/>
    <xf numFmtId="0" fontId="0" fillId="0" borderId="2" xfId="0" applyBorder="1"/>
    <xf numFmtId="0" fontId="0" fillId="0" borderId="3" xfId="0" applyBorder="1" applyAlignment="1">
      <alignment horizontal="center"/>
    </xf>
    <xf numFmtId="0" fontId="0" fillId="0" borderId="11" xfId="0" applyBorder="1"/>
    <xf numFmtId="0" fontId="0" fillId="0" borderId="21" xfId="0" applyBorder="1" applyAlignment="1">
      <alignment horizontal="center"/>
    </xf>
    <xf numFmtId="0" fontId="27" fillId="0" borderId="0" xfId="0" applyFont="1"/>
    <xf numFmtId="0" fontId="0" fillId="0" borderId="22" xfId="0" applyBorder="1" applyAlignment="1">
      <alignment horizontal="center"/>
    </xf>
    <xf numFmtId="1" fontId="6" fillId="0" borderId="0" xfId="0" applyNumberFormat="1" applyFont="1" applyAlignment="1">
      <alignment horizontal="left" indent="1"/>
    </xf>
    <xf numFmtId="0" fontId="4" fillId="0" borderId="0" xfId="0" applyFont="1" applyAlignment="1">
      <alignment horizontal="left"/>
    </xf>
    <xf numFmtId="0" fontId="30" fillId="0" borderId="0" xfId="0" applyFont="1"/>
    <xf numFmtId="0" fontId="0" fillId="0" borderId="0" xfId="0" applyAlignment="1">
      <alignment horizontal="right"/>
    </xf>
    <xf numFmtId="0" fontId="32" fillId="0" borderId="0" xfId="0" quotePrefix="1" applyFont="1"/>
    <xf numFmtId="171" fontId="0" fillId="0" borderId="0" xfId="0" applyNumberFormat="1"/>
    <xf numFmtId="172" fontId="0" fillId="0" borderId="0" xfId="0" applyNumberFormat="1" applyAlignment="1">
      <alignment horizontal="right"/>
    </xf>
    <xf numFmtId="167" fontId="0" fillId="0" borderId="0" xfId="0" applyNumberFormat="1"/>
    <xf numFmtId="166" fontId="22" fillId="0" borderId="0" xfId="0" applyNumberFormat="1" applyFont="1"/>
    <xf numFmtId="1" fontId="8" fillId="0" borderId="0" xfId="0" applyNumberFormat="1" applyFont="1" applyAlignment="1">
      <alignment horizontal="center"/>
    </xf>
    <xf numFmtId="0" fontId="6" fillId="2" borderId="15" xfId="0" applyFont="1" applyFill="1" applyBorder="1" applyAlignment="1" applyProtection="1">
      <alignment horizontal="left" vertical="center"/>
      <protection locked="0"/>
    </xf>
    <xf numFmtId="2" fontId="6" fillId="2" borderId="15" xfId="0" applyNumberFormat="1" applyFont="1" applyFill="1" applyBorder="1" applyAlignment="1" applyProtection="1">
      <alignment horizontal="left" vertical="center"/>
      <protection locked="0"/>
    </xf>
    <xf numFmtId="0" fontId="6" fillId="0" borderId="8" xfId="0" applyFont="1" applyBorder="1" applyProtection="1">
      <protection locked="0"/>
    </xf>
    <xf numFmtId="49" fontId="6" fillId="2" borderId="15" xfId="0" applyNumberFormat="1" applyFont="1" applyFill="1" applyBorder="1" applyAlignment="1" applyProtection="1">
      <alignment horizontal="left" vertical="center"/>
      <protection locked="0"/>
    </xf>
    <xf numFmtId="49" fontId="1" fillId="2" borderId="18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1" fontId="1" fillId="2" borderId="15" xfId="0" applyNumberFormat="1" applyFont="1" applyFill="1" applyBorder="1" applyAlignment="1" applyProtection="1">
      <alignment horizontal="right" vertical="center"/>
      <protection locked="0"/>
    </xf>
    <xf numFmtId="0" fontId="6" fillId="2" borderId="15" xfId="0" applyFont="1" applyFill="1" applyBorder="1" applyAlignment="1" applyProtection="1">
      <alignment horizontal="center" vertical="center"/>
      <protection locked="0"/>
    </xf>
    <xf numFmtId="0" fontId="6" fillId="2" borderId="15" xfId="0" applyFont="1" applyFill="1" applyBorder="1" applyAlignment="1" applyProtection="1">
      <alignment horizontal="right" vertical="center"/>
      <protection locked="0"/>
    </xf>
    <xf numFmtId="1" fontId="6" fillId="2" borderId="15" xfId="0" applyNumberFormat="1" applyFont="1" applyFill="1" applyBorder="1" applyAlignment="1" applyProtection="1">
      <alignment horizontal="right" vertical="center"/>
      <protection locked="0"/>
    </xf>
    <xf numFmtId="166" fontId="6" fillId="2" borderId="15" xfId="0" applyNumberFormat="1" applyFont="1" applyFill="1" applyBorder="1" applyAlignment="1" applyProtection="1">
      <alignment horizontal="right" vertical="center"/>
      <protection locked="0"/>
    </xf>
    <xf numFmtId="2" fontId="6" fillId="2" borderId="18" xfId="0" applyNumberFormat="1" applyFont="1" applyFill="1" applyBorder="1" applyAlignment="1" applyProtection="1">
      <alignment horizontal="left" vertical="center"/>
      <protection locked="0"/>
    </xf>
    <xf numFmtId="0" fontId="31" fillId="0" borderId="0" xfId="0" applyFont="1" applyAlignment="1" applyProtection="1">
      <alignment horizontal="right"/>
      <protection locked="0"/>
    </xf>
    <xf numFmtId="0" fontId="27" fillId="0" borderId="0" xfId="0" quotePrefix="1" applyFont="1" applyAlignment="1" applyProtection="1">
      <alignment horizontal="left"/>
      <protection locked="0"/>
    </xf>
    <xf numFmtId="0" fontId="27" fillId="0" borderId="0" xfId="0" applyFont="1" applyAlignment="1" applyProtection="1">
      <alignment horizontal="center"/>
      <protection locked="0"/>
    </xf>
    <xf numFmtId="0" fontId="27" fillId="0" borderId="0" xfId="0" applyFont="1" applyAlignment="1" applyProtection="1">
      <alignment horizontal="left"/>
      <protection locked="0"/>
    </xf>
    <xf numFmtId="0" fontId="27" fillId="0" borderId="0" xfId="0" applyFont="1" applyProtection="1">
      <protection locked="0"/>
    </xf>
    <xf numFmtId="0" fontId="27" fillId="0" borderId="0" xfId="0" applyFont="1" applyAlignment="1" applyProtection="1">
      <alignment horizontal="right"/>
      <protection locked="0"/>
    </xf>
    <xf numFmtId="1" fontId="6" fillId="2" borderId="15" xfId="0" applyNumberFormat="1" applyFont="1" applyFill="1" applyBorder="1" applyAlignment="1" applyProtection="1">
      <alignment horizontal="center" vertical="center"/>
      <protection locked="0"/>
    </xf>
    <xf numFmtId="0" fontId="17" fillId="0" borderId="0" xfId="0" applyFont="1" applyProtection="1">
      <protection locked="0"/>
    </xf>
    <xf numFmtId="0" fontId="27" fillId="0" borderId="0" xfId="0" applyFont="1" applyAlignment="1" applyProtection="1">
      <alignment horizontal="left" indent="1"/>
      <protection locked="0"/>
    </xf>
    <xf numFmtId="0" fontId="34" fillId="0" borderId="0" xfId="0" applyFont="1" applyProtection="1">
      <protection locked="0"/>
    </xf>
    <xf numFmtId="0" fontId="22" fillId="0" borderId="0" xfId="0" applyFont="1" applyProtection="1">
      <protection locked="0"/>
    </xf>
    <xf numFmtId="0" fontId="6" fillId="0" borderId="1" xfId="0" applyFont="1" applyBorder="1"/>
    <xf numFmtId="0" fontId="6" fillId="0" borderId="2" xfId="0" applyFont="1" applyBorder="1" applyAlignment="1">
      <alignment horizontal="left"/>
    </xf>
    <xf numFmtId="0" fontId="6" fillId="0" borderId="3" xfId="0" applyFont="1" applyBorder="1" applyAlignment="1">
      <alignment horizontal="left"/>
    </xf>
    <xf numFmtId="0" fontId="6" fillId="0" borderId="3" xfId="0" applyFont="1" applyBorder="1"/>
    <xf numFmtId="0" fontId="19" fillId="0" borderId="3" xfId="0" applyFont="1" applyBorder="1" applyAlignment="1">
      <alignment horizontal="left"/>
    </xf>
    <xf numFmtId="0" fontId="19" fillId="0" borderId="5" xfId="0" applyFont="1" applyBorder="1" applyAlignment="1">
      <alignment horizontal="left"/>
    </xf>
    <xf numFmtId="0" fontId="6" fillId="0" borderId="6" xfId="0" applyFont="1" applyBorder="1"/>
    <xf numFmtId="0" fontId="6" fillId="0" borderId="11" xfId="0" applyFont="1" applyBorder="1" applyAlignment="1">
      <alignment horizontal="left"/>
    </xf>
    <xf numFmtId="0" fontId="6" fillId="0" borderId="4" xfId="0" applyFont="1" applyBorder="1"/>
    <xf numFmtId="0" fontId="6" fillId="0" borderId="11" xfId="0" applyFont="1" applyBorder="1"/>
    <xf numFmtId="0" fontId="6" fillId="0" borderId="12" xfId="0" applyFont="1" applyBorder="1"/>
    <xf numFmtId="0" fontId="11" fillId="0" borderId="0" xfId="0" applyFont="1"/>
    <xf numFmtId="0" fontId="20" fillId="0" borderId="8" xfId="0" applyFont="1" applyBorder="1"/>
    <xf numFmtId="0" fontId="21" fillId="0" borderId="6" xfId="0" applyFont="1" applyBorder="1"/>
    <xf numFmtId="0" fontId="6" fillId="0" borderId="7" xfId="0" applyFont="1" applyBorder="1" applyAlignment="1">
      <alignment horizontal="left"/>
    </xf>
    <xf numFmtId="0" fontId="19" fillId="0" borderId="13" xfId="0" applyFont="1" applyBorder="1" applyAlignment="1">
      <alignment horizontal="right"/>
    </xf>
    <xf numFmtId="0" fontId="19" fillId="0" borderId="0" xfId="0" applyFont="1"/>
    <xf numFmtId="0" fontId="19" fillId="0" borderId="0" xfId="0" applyFont="1" applyAlignment="1">
      <alignment horizontal="right"/>
    </xf>
    <xf numFmtId="0" fontId="19" fillId="0" borderId="11" xfId="0" applyFont="1" applyBorder="1" applyAlignment="1">
      <alignment horizontal="right"/>
    </xf>
    <xf numFmtId="0" fontId="0" fillId="0" borderId="0" xfId="0" applyAlignment="1">
      <alignment wrapText="1"/>
    </xf>
    <xf numFmtId="0" fontId="6" fillId="0" borderId="0" xfId="0" applyFont="1" applyProtection="1">
      <protection locked="0"/>
    </xf>
    <xf numFmtId="166" fontId="6" fillId="0" borderId="0" xfId="0" applyNumberFormat="1" applyFont="1" applyProtection="1">
      <protection locked="0"/>
    </xf>
    <xf numFmtId="49" fontId="6" fillId="0" borderId="0" xfId="0" applyNumberFormat="1" applyFont="1" applyAlignment="1">
      <alignment horizontal="left"/>
    </xf>
    <xf numFmtId="49" fontId="6" fillId="0" borderId="0" xfId="0" applyNumberFormat="1" applyFont="1" applyAlignment="1">
      <alignment horizontal="center"/>
    </xf>
    <xf numFmtId="49" fontId="6" fillId="0" borderId="0" xfId="0" applyNumberFormat="1" applyFont="1"/>
    <xf numFmtId="0" fontId="0" fillId="3" borderId="30" xfId="3" applyFont="1"/>
    <xf numFmtId="0" fontId="37" fillId="0" borderId="29" xfId="0" applyFont="1" applyBorder="1"/>
    <xf numFmtId="0" fontId="37" fillId="0" borderId="16" xfId="0" applyFont="1" applyBorder="1"/>
    <xf numFmtId="0" fontId="37" fillId="0" borderId="17" xfId="0" applyFont="1" applyBorder="1"/>
    <xf numFmtId="1" fontId="2" fillId="0" borderId="0" xfId="0" applyNumberFormat="1" applyFont="1" applyAlignment="1" applyProtection="1">
      <alignment horizontal="center"/>
      <protection locked="0"/>
    </xf>
    <xf numFmtId="1" fontId="2" fillId="0" borderId="21" xfId="0" applyNumberFormat="1" applyFont="1" applyBorder="1" applyAlignment="1" applyProtection="1">
      <alignment horizontal="center"/>
      <protection locked="0"/>
    </xf>
    <xf numFmtId="0" fontId="32" fillId="0" borderId="0" xfId="0" applyFont="1"/>
    <xf numFmtId="1" fontId="1" fillId="2" borderId="0" xfId="0" applyNumberFormat="1" applyFont="1" applyFill="1" applyAlignment="1" applyProtection="1">
      <alignment horizontal="center" vertical="center"/>
      <protection locked="0"/>
    </xf>
    <xf numFmtId="0" fontId="1" fillId="0" borderId="20" xfId="0" applyFont="1" applyBorder="1" applyAlignment="1">
      <alignment horizontal="center"/>
    </xf>
    <xf numFmtId="0" fontId="1" fillId="0" borderId="27" xfId="0" applyFont="1" applyBorder="1"/>
    <xf numFmtId="0" fontId="1" fillId="0" borderId="19" xfId="0" applyFont="1" applyBorder="1" applyAlignment="1">
      <alignment horizontal="center"/>
    </xf>
    <xf numFmtId="0" fontId="1" fillId="0" borderId="20" xfId="0" applyFont="1" applyBorder="1"/>
    <xf numFmtId="0" fontId="1" fillId="0" borderId="11" xfId="0" applyFont="1" applyBorder="1" applyAlignment="1">
      <alignment horizontal="center"/>
    </xf>
    <xf numFmtId="0" fontId="1" fillId="0" borderId="22" xfId="0" applyFont="1" applyBorder="1"/>
    <xf numFmtId="0" fontId="1" fillId="0" borderId="21" xfId="0" applyFont="1" applyBorder="1"/>
    <xf numFmtId="0" fontId="1" fillId="0" borderId="28" xfId="0" applyFont="1" applyBorder="1"/>
    <xf numFmtId="0" fontId="1" fillId="0" borderId="27" xfId="0" applyFont="1" applyBorder="1" applyAlignment="1">
      <alignment horizontal="center"/>
    </xf>
    <xf numFmtId="2" fontId="6" fillId="2" borderId="15" xfId="0" applyNumberFormat="1" applyFont="1" applyFill="1" applyBorder="1" applyAlignment="1" applyProtection="1">
      <alignment horizontal="right" vertical="center"/>
      <protection locked="0"/>
    </xf>
    <xf numFmtId="49" fontId="1" fillId="0" borderId="0" xfId="0" applyNumberFormat="1" applyFont="1" applyAlignment="1">
      <alignment horizontal="center"/>
    </xf>
    <xf numFmtId="0" fontId="3" fillId="0" borderId="2" xfId="0" applyFont="1" applyBorder="1"/>
    <xf numFmtId="167" fontId="0" fillId="0" borderId="0" xfId="0" applyNumberFormat="1" applyAlignment="1">
      <alignment horizontal="center"/>
    </xf>
    <xf numFmtId="2" fontId="0" fillId="2" borderId="15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Alignment="1">
      <alignment horizontal="center"/>
    </xf>
    <xf numFmtId="167" fontId="0" fillId="0" borderId="21" xfId="0" applyNumberFormat="1" applyBorder="1" applyAlignment="1">
      <alignment horizontal="center"/>
    </xf>
    <xf numFmtId="0" fontId="0" fillId="0" borderId="21" xfId="0" applyBorder="1" applyAlignment="1">
      <alignment horizontal="left"/>
    </xf>
    <xf numFmtId="2" fontId="0" fillId="0" borderId="21" xfId="0" applyNumberFormat="1" applyBorder="1" applyAlignment="1">
      <alignment horizontal="center"/>
    </xf>
    <xf numFmtId="2" fontId="0" fillId="0" borderId="22" xfId="0" applyNumberFormat="1" applyBorder="1" applyAlignment="1">
      <alignment horizontal="center"/>
    </xf>
    <xf numFmtId="167" fontId="0" fillId="0" borderId="28" xfId="0" applyNumberFormat="1" applyBorder="1"/>
    <xf numFmtId="2" fontId="0" fillId="0" borderId="22" xfId="0" applyNumberFormat="1" applyBorder="1"/>
    <xf numFmtId="0" fontId="0" fillId="0" borderId="2" xfId="0" applyBorder="1" applyAlignment="1">
      <alignment horizontal="center"/>
    </xf>
    <xf numFmtId="0" fontId="0" fillId="0" borderId="28" xfId="0" applyBorder="1" applyAlignment="1">
      <alignment horizontal="center"/>
    </xf>
    <xf numFmtId="49" fontId="0" fillId="0" borderId="0" xfId="0" applyNumberFormat="1"/>
    <xf numFmtId="2" fontId="0" fillId="0" borderId="0" xfId="0" applyNumberFormat="1" applyAlignment="1">
      <alignment horizontal="left"/>
    </xf>
    <xf numFmtId="0" fontId="0" fillId="0" borderId="3" xfId="0" applyBorder="1" applyAlignment="1">
      <alignment horizontal="right"/>
    </xf>
    <xf numFmtId="2" fontId="0" fillId="0" borderId="23" xfId="0" applyNumberFormat="1" applyBorder="1" applyAlignment="1">
      <alignment horizontal="center"/>
    </xf>
    <xf numFmtId="167" fontId="0" fillId="0" borderId="23" xfId="0" applyNumberFormat="1" applyBorder="1" applyAlignment="1">
      <alignment horizontal="center"/>
    </xf>
    <xf numFmtId="167" fontId="0" fillId="0" borderId="2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49" fontId="0" fillId="0" borderId="3" xfId="0" applyNumberFormat="1" applyBorder="1"/>
    <xf numFmtId="2" fontId="0" fillId="0" borderId="28" xfId="0" applyNumberFormat="1" applyBorder="1" applyAlignment="1">
      <alignment horizontal="center"/>
    </xf>
    <xf numFmtId="167" fontId="0" fillId="0" borderId="21" xfId="0" applyNumberFormat="1" applyBorder="1"/>
    <xf numFmtId="0" fontId="0" fillId="0" borderId="11" xfId="0" applyBorder="1" applyAlignment="1">
      <alignment horizontal="center"/>
    </xf>
    <xf numFmtId="2" fontId="0" fillId="0" borderId="11" xfId="0" applyNumberFormat="1" applyBorder="1" applyAlignment="1">
      <alignment horizontal="center"/>
    </xf>
    <xf numFmtId="167" fontId="0" fillId="0" borderId="2" xfId="0" applyNumberFormat="1" applyBorder="1"/>
    <xf numFmtId="167" fontId="0" fillId="0" borderId="3" xfId="0" applyNumberFormat="1" applyBorder="1"/>
    <xf numFmtId="167" fontId="0" fillId="0" borderId="3" xfId="0" applyNumberFormat="1" applyBorder="1" applyAlignment="1">
      <alignment horizontal="center"/>
    </xf>
    <xf numFmtId="0" fontId="40" fillId="0" borderId="0" xfId="0" applyFont="1"/>
    <xf numFmtId="1" fontId="1" fillId="2" borderId="21" xfId="0" applyNumberFormat="1" applyFont="1" applyFill="1" applyBorder="1" applyAlignment="1" applyProtection="1">
      <alignment horizontal="center" vertical="center"/>
      <protection locked="0"/>
    </xf>
    <xf numFmtId="49" fontId="1" fillId="0" borderId="0" xfId="0" applyNumberFormat="1" applyFont="1"/>
    <xf numFmtId="0" fontId="41" fillId="0" borderId="0" xfId="0" applyFont="1"/>
    <xf numFmtId="2" fontId="1" fillId="2" borderId="0" xfId="0" applyNumberFormat="1" applyFont="1" applyFill="1" applyAlignment="1" applyProtection="1">
      <alignment horizontal="center" vertical="center"/>
      <protection locked="0"/>
    </xf>
    <xf numFmtId="165" fontId="22" fillId="0" borderId="8" xfId="0" applyNumberFormat="1" applyFont="1" applyBorder="1" applyAlignment="1">
      <alignment horizontal="left"/>
    </xf>
    <xf numFmtId="0" fontId="1" fillId="0" borderId="0" xfId="0" applyFont="1" applyAlignment="1">
      <alignment horizontal="center"/>
    </xf>
    <xf numFmtId="0" fontId="0" fillId="0" borderId="3" xfId="0" applyBorder="1" applyAlignment="1">
      <alignment horizontal="center" wrapText="1"/>
    </xf>
    <xf numFmtId="0" fontId="0" fillId="0" borderId="0" xfId="0" applyAlignment="1">
      <alignment horizontal="center" wrapText="1"/>
    </xf>
  </cellXfs>
  <cellStyles count="4">
    <cellStyle name="Advarselstekst" xfId="1" builtinId="11"/>
    <cellStyle name="Bemærk!" xfId="3" builtinId="10"/>
    <cellStyle name="Link" xfId="2" builtinId="8"/>
    <cellStyle name="Normal" xfId="0" builtinId="0"/>
  </cellStyles>
  <dxfs count="14"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theme="8" tint="-0.24994659260841701"/>
      </font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2000"/>
              <a:t>V-</a:t>
            </a:r>
            <a:r>
              <a:rPr lang="da-DK" sz="2000" baseline="0"/>
              <a:t> og M-kurve</a:t>
            </a:r>
            <a:endParaRPr lang="da-DK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Forskydning [kN]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Snitkræfter!$G$5:$V$5</c:f>
              <c:numCache>
                <c:formatCode>General</c:formatCode>
                <c:ptCount val="1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</c:numCache>
            </c:numRef>
          </c:xVal>
          <c:yVal>
            <c:numRef>
              <c:f>Snitkræfter!$G$17:$V$17</c:f>
              <c:numCache>
                <c:formatCode>0.00</c:formatCode>
                <c:ptCount val="1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B3-4E3D-B0E8-358021395052}"/>
            </c:ext>
          </c:extLst>
        </c:ser>
        <c:ser>
          <c:idx val="1"/>
          <c:order val="1"/>
          <c:tx>
            <c:v>Moment [kNm]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Snitkræfter!$G$5:$V$5</c:f>
              <c:numCache>
                <c:formatCode>General</c:formatCode>
                <c:ptCount val="1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</c:numCache>
            </c:numRef>
          </c:xVal>
          <c:yVal>
            <c:numRef>
              <c:f>Snitkræfter!$G$16:$V$16</c:f>
              <c:numCache>
                <c:formatCode>0.00</c:formatCode>
                <c:ptCount val="1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B3-4E3D-B0E8-358021395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7606496"/>
        <c:axId val="1897606912"/>
      </c:scatterChart>
      <c:valAx>
        <c:axId val="1897606496"/>
        <c:scaling>
          <c:orientation val="minMax"/>
          <c:max val="2.1750000000000003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200"/>
                  <a:t>x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70000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897606912"/>
        <c:crosses val="autoZero"/>
        <c:crossBetween val="midCat"/>
      </c:valAx>
      <c:valAx>
        <c:axId val="189760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897606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2000"/>
              <a:t>V- og M-Kurve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Forskydning [kN]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Snitkræfter!$G$51:$BC$51</c:f>
              <c:numCache>
                <c:formatCode>General</c:formatCode>
                <c:ptCount val="49"/>
              </c:numCache>
            </c:numRef>
          </c:xVal>
          <c:yVal>
            <c:numRef>
              <c:f>Snitkræfter!$G$63:$BC$63</c:f>
              <c:numCache>
                <c:formatCode>0.00</c:formatCode>
                <c:ptCount val="49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35-4379-B450-B32347FD61C5}"/>
            </c:ext>
          </c:extLst>
        </c:ser>
        <c:ser>
          <c:idx val="1"/>
          <c:order val="1"/>
          <c:tx>
            <c:v>Moment [kNm]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Snitkræfter!$G$51:$BC$51</c:f>
              <c:numCache>
                <c:formatCode>General</c:formatCode>
                <c:ptCount val="49"/>
              </c:numCache>
            </c:numRef>
          </c:xVal>
          <c:yVal>
            <c:numRef>
              <c:f>Snitkræfter!$G$62:$BC$62</c:f>
              <c:numCache>
                <c:formatCode>0.00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35-4379-B450-B32347FD61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7842432"/>
        <c:axId val="2077842848"/>
      </c:scatterChart>
      <c:valAx>
        <c:axId val="2077842432"/>
        <c:scaling>
          <c:orientation val="minMax"/>
          <c:max val="3.10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200"/>
                  <a:t>x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077842848"/>
        <c:crosses val="autoZero"/>
        <c:crossBetween val="midCat"/>
      </c:valAx>
      <c:valAx>
        <c:axId val="2077842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07784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2000"/>
              <a:t>V- og M-Kurve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Forskydning [kN]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Snitkræfter!$G$94:$BC$94</c:f>
              <c:numCache>
                <c:formatCode>General</c:formatCode>
                <c:ptCount val="49"/>
              </c:numCache>
            </c:numRef>
          </c:xVal>
          <c:yVal>
            <c:numRef>
              <c:f>Snitkræfter!$G$106:$BC$106</c:f>
              <c:numCache>
                <c:formatCode>0.00</c:formatCode>
                <c:ptCount val="49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AA-4B7D-8F59-ACF33F431CDD}"/>
            </c:ext>
          </c:extLst>
        </c:ser>
        <c:ser>
          <c:idx val="1"/>
          <c:order val="1"/>
          <c:tx>
            <c:v>Moment [kNm]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Snitkræfter!$G$94:$BC$94</c:f>
              <c:numCache>
                <c:formatCode>General</c:formatCode>
                <c:ptCount val="49"/>
              </c:numCache>
            </c:numRef>
          </c:xVal>
          <c:yVal>
            <c:numRef>
              <c:f>Snitkræfter!$G$105:$BC$105</c:f>
              <c:numCache>
                <c:formatCode>0.00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7AA-4B7D-8F59-ACF33F431C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0000288"/>
        <c:axId val="580000704"/>
      </c:scatterChart>
      <c:valAx>
        <c:axId val="580000288"/>
        <c:scaling>
          <c:orientation val="minMax"/>
          <c:max val="3.241000000000000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200"/>
                  <a:t>x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580000704"/>
        <c:crosses val="autoZero"/>
        <c:crossBetween val="midCat"/>
      </c:valAx>
      <c:valAx>
        <c:axId val="58000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580000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2000"/>
              <a:t>V- og M-Kurve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Forskydning [kN]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Snitkræfter!$G$137:$BC$137</c:f>
              <c:numCache>
                <c:formatCode>General</c:formatCode>
                <c:ptCount val="49"/>
              </c:numCache>
            </c:numRef>
          </c:xVal>
          <c:yVal>
            <c:numRef>
              <c:f>Snitkræfter!$G$146:$BC$146</c:f>
              <c:numCache>
                <c:formatCode>0.00</c:formatCode>
                <c:ptCount val="49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23-441D-9800-5C0C35468C99}"/>
            </c:ext>
          </c:extLst>
        </c:ser>
        <c:ser>
          <c:idx val="1"/>
          <c:order val="1"/>
          <c:tx>
            <c:v>Moment [kNm]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Snitkræfter!$G$137:$BC$137</c:f>
              <c:numCache>
                <c:formatCode>General</c:formatCode>
                <c:ptCount val="49"/>
              </c:numCache>
            </c:numRef>
          </c:xVal>
          <c:yVal>
            <c:numRef>
              <c:f>Snitkræfter!$G$145:$BC$145</c:f>
              <c:numCache>
                <c:formatCode>0.00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23-441D-9800-5C0C35468C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115232"/>
        <c:axId val="547123552"/>
      </c:scatterChart>
      <c:valAx>
        <c:axId val="547115232"/>
        <c:scaling>
          <c:orientation val="minMax"/>
          <c:max val="2.1750000000000003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200"/>
                  <a:t>x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547123552"/>
        <c:crosses val="autoZero"/>
        <c:crossBetween val="midCat"/>
      </c:valAx>
      <c:valAx>
        <c:axId val="54712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547115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Relative værdier for fy iht. DS/EN 1993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A!$AB$439:$AB$452</c:f>
              <c:numCache>
                <c:formatCode>General</c:formatCode>
                <c:ptCount val="14"/>
                <c:pt idx="0">
                  <c:v>0</c:v>
                </c:pt>
                <c:pt idx="1">
                  <c:v>20</c:v>
                </c:pt>
                <c:pt idx="2">
                  <c:v>100</c:v>
                </c:pt>
                <c:pt idx="3">
                  <c:v>200</c:v>
                </c:pt>
                <c:pt idx="4">
                  <c:v>300</c:v>
                </c:pt>
                <c:pt idx="5">
                  <c:v>400</c:v>
                </c:pt>
                <c:pt idx="6">
                  <c:v>500</c:v>
                </c:pt>
                <c:pt idx="7">
                  <c:v>600</c:v>
                </c:pt>
                <c:pt idx="8">
                  <c:v>700</c:v>
                </c:pt>
                <c:pt idx="9">
                  <c:v>800</c:v>
                </c:pt>
                <c:pt idx="10">
                  <c:v>900</c:v>
                </c:pt>
                <c:pt idx="11">
                  <c:v>1000</c:v>
                </c:pt>
                <c:pt idx="12">
                  <c:v>1100</c:v>
                </c:pt>
                <c:pt idx="13">
                  <c:v>1200</c:v>
                </c:pt>
              </c:numCache>
            </c:numRef>
          </c:xVal>
          <c:yVal>
            <c:numRef>
              <c:f>A!$AC$439:$AC$452</c:f>
              <c:numCache>
                <c:formatCode>0.000_)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0.78</c:v>
                </c:pt>
                <c:pt idx="7">
                  <c:v>0.47</c:v>
                </c:pt>
                <c:pt idx="8">
                  <c:v>0.23</c:v>
                </c:pt>
                <c:pt idx="9">
                  <c:v>0.11</c:v>
                </c:pt>
                <c:pt idx="10">
                  <c:v>0.06</c:v>
                </c:pt>
                <c:pt idx="11">
                  <c:v>0.04</c:v>
                </c:pt>
                <c:pt idx="12">
                  <c:v>0.02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12-45DA-B579-DDC912D148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59967"/>
        <c:axId val="482073647"/>
      </c:scatterChart>
      <c:valAx>
        <c:axId val="500559967"/>
        <c:scaling>
          <c:orientation val="minMax"/>
          <c:max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Temperatur [gr. C.]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82073647"/>
        <c:crosses val="autoZero"/>
        <c:crossBetween val="midCat"/>
      </c:valAx>
      <c:valAx>
        <c:axId val="482073647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Reduktionsfaktor / udnyttelsesgrad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.0_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5005599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5938557127438411E-2"/>
          <c:y val="3.1349457984510498E-2"/>
          <c:w val="0.94478172921601433"/>
          <c:h val="0.93335887102001447"/>
        </c:manualLayout>
      </c:layout>
      <c:scatterChart>
        <c:scatterStyle val="lineMarker"/>
        <c:varyColors val="0"/>
        <c:ser>
          <c:idx val="30"/>
          <c:order val="0"/>
          <c:tx>
            <c:v>Geo</c:v>
          </c:tx>
          <c:marker>
            <c:symbol val="none"/>
          </c:marker>
          <c:xVal>
            <c:numRef>
              <c:f>A!$BQ$78:$BY$78</c:f>
              <c:numCache>
                <c:formatCode>General</c:formatCode>
                <c:ptCount val="9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#N/A</c:v>
                </c:pt>
                <c:pt idx="4" formatCode="0.00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A!$BQ$79:$BY$79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2A57-4D5C-B383-98B7ED4F875E}"/>
            </c:ext>
          </c:extLst>
        </c:ser>
        <c:ser>
          <c:idx val="31"/>
          <c:order val="1"/>
          <c:tx>
            <c:v>Ref</c:v>
          </c:tx>
          <c:marker>
            <c:symbol val="none"/>
          </c:marker>
          <c:xVal>
            <c:numRef>
              <c:f>A!$BO$78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A!$BO$79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2A57-4D5C-B383-98B7ED4F875E}"/>
            </c:ext>
          </c:extLst>
        </c:ser>
        <c:ser>
          <c:idx val="32"/>
          <c:order val="2"/>
          <c:tx>
            <c:v>Dorn 5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A!$BZ$84:$BZ$88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A!$CA$84:$CA$88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2A57-4D5C-B383-98B7ED4F875E}"/>
            </c:ext>
          </c:extLst>
        </c:ser>
        <c:ser>
          <c:idx val="33"/>
          <c:order val="3"/>
          <c:tx>
            <c:v>Dorn 3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A!$BV$84:$BV$88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A!$BW$84:$BW$88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2A57-4D5C-B383-98B7ED4F875E}"/>
            </c:ext>
          </c:extLst>
        </c:ser>
        <c:ser>
          <c:idx val="34"/>
          <c:order val="4"/>
          <c:tx>
            <c:v>Dorn 4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A!$BX$84:$BX$88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A!$BY$84:$BY$88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2A57-4D5C-B383-98B7ED4F875E}"/>
            </c:ext>
          </c:extLst>
        </c:ser>
        <c:ser>
          <c:idx val="35"/>
          <c:order val="5"/>
          <c:tx>
            <c:v>Dorn 2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A!$BT$84:$BT$88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A!$BU$84:$BU$88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2A57-4D5C-B383-98B7ED4F875E}"/>
            </c:ext>
          </c:extLst>
        </c:ser>
        <c:ser>
          <c:idx val="36"/>
          <c:order val="6"/>
          <c:tx>
            <c:v>Dorn 1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A!$BR$84:$BR$88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A!$BS$84:$BS$88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2A57-4D5C-B383-98B7ED4F875E}"/>
            </c:ext>
          </c:extLst>
        </c:ser>
        <c:ser>
          <c:idx val="37"/>
          <c:order val="7"/>
          <c:tx>
            <c:v>Dorn 6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A!$CB$84:$CB$88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A!$CC$84:$CC$88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2A57-4D5C-B383-98B7ED4F875E}"/>
            </c:ext>
          </c:extLst>
        </c:ser>
        <c:ser>
          <c:idx val="38"/>
          <c:order val="8"/>
          <c:tx>
            <c:v>L</c:v>
          </c:tx>
          <c:spPr>
            <a:ln>
              <a:solidFill>
                <a:schemeClr val="tx1"/>
              </a:solidFill>
              <a:headEnd type="none"/>
              <a:tailEnd type="none"/>
            </a:ln>
          </c:spPr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  <a:headEnd type="triangle"/>
                <a:tailEnd type="none"/>
              </a:ln>
            </c:spPr>
            <c:extLst>
              <c:ext xmlns:c16="http://schemas.microsoft.com/office/drawing/2014/chart" uri="{C3380CC4-5D6E-409C-BE32-E72D297353CC}">
                <c16:uniqueId val="{000000F4-2A57-4D5C-B383-98B7ED4F875E}"/>
              </c:ext>
            </c:extLst>
          </c:dPt>
          <c:dPt>
            <c:idx val="2"/>
            <c:bubble3D val="0"/>
            <c:spPr>
              <a:ln>
                <a:solidFill>
                  <a:schemeClr val="tx1"/>
                </a:solidFill>
                <a:headEnd type="none"/>
                <a:tailEnd type="triangle"/>
              </a:ln>
            </c:spPr>
            <c:extLst>
              <c:ext xmlns:c16="http://schemas.microsoft.com/office/drawing/2014/chart" uri="{C3380CC4-5D6E-409C-BE32-E72D297353CC}">
                <c16:uniqueId val="{000000F5-2A57-4D5C-B383-98B7ED4F875E}"/>
              </c:ext>
            </c:extLst>
          </c:dPt>
          <c:xVal>
            <c:numRef>
              <c:f>A!$BO$92:$BQ$92</c:f>
              <c:numCache>
                <c:formatCode>0.00</c:formatCode>
                <c:ptCount val="3"/>
                <c:pt idx="0">
                  <c:v>-0.3</c:v>
                </c:pt>
                <c:pt idx="1">
                  <c:v>-0.3</c:v>
                </c:pt>
                <c:pt idx="2">
                  <c:v>-0.3</c:v>
                </c:pt>
              </c:numCache>
            </c:numRef>
          </c:xVal>
          <c:yVal>
            <c:numRef>
              <c:f>A!$BO$93:$BQ$93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2A57-4D5C-B383-98B7ED4F875E}"/>
            </c:ext>
          </c:extLst>
        </c:ser>
        <c:ser>
          <c:idx val="39"/>
          <c:order val="9"/>
          <c:tx>
            <c:v>B1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bubble3D val="0"/>
            <c:spPr>
              <a:ln>
                <a:solidFill>
                  <a:schemeClr val="tx1"/>
                </a:solidFill>
                <a:headEnd type="none"/>
                <a:tailEnd type="triangle"/>
              </a:ln>
            </c:spPr>
            <c:extLst>
              <c:ext xmlns:c16="http://schemas.microsoft.com/office/drawing/2014/chart" uri="{C3380CC4-5D6E-409C-BE32-E72D297353CC}">
                <c16:uniqueId val="{000000F7-2A57-4D5C-B383-98B7ED4F875E}"/>
              </c:ext>
            </c:extLst>
          </c:dPt>
          <c:dPt>
            <c:idx val="1"/>
            <c:bubble3D val="0"/>
            <c:spPr>
              <a:ln>
                <a:solidFill>
                  <a:schemeClr val="tx1"/>
                </a:solidFill>
                <a:headEnd type="triangle"/>
              </a:ln>
            </c:spPr>
            <c:extLst>
              <c:ext xmlns:c16="http://schemas.microsoft.com/office/drawing/2014/chart" uri="{C3380CC4-5D6E-409C-BE32-E72D297353CC}">
                <c16:uniqueId val="{000000F8-2A57-4D5C-B383-98B7ED4F875E}"/>
              </c:ext>
            </c:extLst>
          </c:dPt>
          <c:dPt>
            <c:idx val="2"/>
            <c:bubble3D val="0"/>
            <c:spPr>
              <a:ln>
                <a:solidFill>
                  <a:schemeClr val="tx1"/>
                </a:solidFill>
                <a:headEnd type="none"/>
                <a:tailEnd type="triangle"/>
              </a:ln>
            </c:spPr>
            <c:extLst>
              <c:ext xmlns:c16="http://schemas.microsoft.com/office/drawing/2014/chart" uri="{C3380CC4-5D6E-409C-BE32-E72D297353CC}">
                <c16:uniqueId val="{000000F9-2A57-4D5C-B383-98B7ED4F875E}"/>
              </c:ext>
            </c:extLst>
          </c:dPt>
          <c:xVal>
            <c:numRef>
              <c:f>A!$BR$92:$BT$92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A!$BR$93:$BT$93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6-2A57-4D5C-B383-98B7ED4F875E}"/>
            </c:ext>
          </c:extLst>
        </c:ser>
        <c:ser>
          <c:idx val="40"/>
          <c:order val="10"/>
          <c:tx>
            <c:v>B2</c:v>
          </c:tx>
          <c:spPr>
            <a:ln>
              <a:solidFill>
                <a:schemeClr val="tx1"/>
              </a:solidFill>
              <a:headEnd type="triangle"/>
              <a:tailEnd type="triangle"/>
            </a:ln>
          </c:spPr>
          <c:marker>
            <c:symbol val="none"/>
          </c:marker>
          <c:xVal>
            <c:numRef>
              <c:f>A!$BU$92:$BW$92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A!$BU$93:$BW$93</c:f>
              <c:numCache>
                <c:formatCode>0.00</c:formatCode>
                <c:ptCount val="3"/>
                <c:pt idx="0">
                  <c:v>-0.2</c:v>
                </c:pt>
                <c:pt idx="1">
                  <c:v>-0.2</c:v>
                </c:pt>
                <c:pt idx="2">
                  <c:v>-0.2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A-2A57-4D5C-B383-98B7ED4F875E}"/>
            </c:ext>
          </c:extLst>
        </c:ser>
        <c:ser>
          <c:idx val="41"/>
          <c:order val="11"/>
          <c:tx>
            <c:v>B3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  <a:headEnd type="triangle"/>
              </a:ln>
            </c:spPr>
            <c:extLst>
              <c:ext xmlns:c16="http://schemas.microsoft.com/office/drawing/2014/chart" uri="{C3380CC4-5D6E-409C-BE32-E72D297353CC}">
                <c16:uniqueId val="{000000FC-2A57-4D5C-B383-98B7ED4F875E}"/>
              </c:ext>
            </c:extLst>
          </c:dPt>
          <c:dPt>
            <c:idx val="2"/>
            <c:bubble3D val="0"/>
            <c:spPr>
              <a:ln>
                <a:solidFill>
                  <a:schemeClr val="tx1"/>
                </a:solidFill>
                <a:headEnd type="none"/>
                <a:tailEnd type="triangle"/>
              </a:ln>
            </c:spPr>
            <c:extLst>
              <c:ext xmlns:c16="http://schemas.microsoft.com/office/drawing/2014/chart" uri="{C3380CC4-5D6E-409C-BE32-E72D297353CC}">
                <c16:uniqueId val="{000000FD-2A57-4D5C-B383-98B7ED4F875E}"/>
              </c:ext>
            </c:extLst>
          </c:dPt>
          <c:xVal>
            <c:numRef>
              <c:f>A!$BX$92:$BZ$92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A!$BX$93:$BZ$93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B-2A57-4D5C-B383-98B7ED4F875E}"/>
            </c:ext>
          </c:extLst>
        </c:ser>
        <c:ser>
          <c:idx val="42"/>
          <c:order val="12"/>
          <c:tx>
            <c:v>L1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  <a:headEnd type="triangle"/>
              </a:ln>
            </c:spPr>
            <c:extLst>
              <c:ext xmlns:c16="http://schemas.microsoft.com/office/drawing/2014/chart" uri="{C3380CC4-5D6E-409C-BE32-E72D297353CC}">
                <c16:uniqueId val="{000000FF-2A57-4D5C-B383-98B7ED4F875E}"/>
              </c:ext>
            </c:extLst>
          </c:dPt>
          <c:dPt>
            <c:idx val="2"/>
            <c:bubble3D val="0"/>
            <c:spPr>
              <a:ln>
                <a:solidFill>
                  <a:schemeClr val="tx1"/>
                </a:solidFill>
                <a:headEnd type="none"/>
                <a:tailEnd type="triangle"/>
              </a:ln>
            </c:spPr>
            <c:extLst>
              <c:ext xmlns:c16="http://schemas.microsoft.com/office/drawing/2014/chart" uri="{C3380CC4-5D6E-409C-BE32-E72D297353CC}">
                <c16:uniqueId val="{00000100-2A57-4D5C-B383-98B7ED4F875E}"/>
              </c:ext>
            </c:extLst>
          </c:dPt>
          <c:xVal>
            <c:numRef>
              <c:f>A!$CA$92:$CC$92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A!$CA$93:$CC$93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E-2A57-4D5C-B383-98B7ED4F875E}"/>
            </c:ext>
          </c:extLst>
        </c:ser>
        <c:ser>
          <c:idx val="43"/>
          <c:order val="13"/>
          <c:tx>
            <c:v>L2</c:v>
          </c:tx>
          <c:spPr>
            <a:ln>
              <a:solidFill>
                <a:schemeClr val="tx1"/>
              </a:solidFill>
              <a:headEnd type="triangle"/>
              <a:tailEnd type="triangle"/>
            </a:ln>
          </c:spPr>
          <c:marker>
            <c:symbol val="none"/>
          </c:marker>
          <c:xVal>
            <c:numRef>
              <c:f>A!$CD$92:$CF$92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A!$CD$93:$CF$93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1-2A57-4D5C-B383-98B7ED4F875E}"/>
            </c:ext>
          </c:extLst>
        </c:ser>
        <c:ser>
          <c:idx val="44"/>
          <c:order val="14"/>
          <c:tx>
            <c:v>L3</c:v>
          </c:tx>
          <c:spPr>
            <a:ln>
              <a:solidFill>
                <a:schemeClr val="tx1"/>
              </a:solidFill>
              <a:headEnd type="triangle"/>
              <a:tailEnd type="triangle"/>
            </a:ln>
          </c:spPr>
          <c:marker>
            <c:symbol val="none"/>
          </c:marker>
          <c:xVal>
            <c:numRef>
              <c:f>A!$CG$92:$CI$92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A!$CG$93:$CI$93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2-2A57-4D5C-B383-98B7ED4F875E}"/>
            </c:ext>
          </c:extLst>
        </c:ser>
        <c:ser>
          <c:idx val="45"/>
          <c:order val="15"/>
          <c:tx>
            <c:v>Geo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A!$BQ$78:$BY$78</c:f>
              <c:numCache>
                <c:formatCode>General</c:formatCode>
                <c:ptCount val="9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#N/A</c:v>
                </c:pt>
                <c:pt idx="4" formatCode="0.00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A!$BQ$79:$BY$79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3-2A57-4D5C-B383-98B7ED4F875E}"/>
            </c:ext>
          </c:extLst>
        </c:ser>
        <c:ser>
          <c:idx val="46"/>
          <c:order val="16"/>
          <c:tx>
            <c:v>Ref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A!$BO$78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A!$BO$79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4-2A57-4D5C-B383-98B7ED4F875E}"/>
            </c:ext>
          </c:extLst>
        </c:ser>
        <c:ser>
          <c:idx val="47"/>
          <c:order val="17"/>
          <c:tx>
            <c:v>Dorn 5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A!$BZ$84:$BZ$88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A!$CA$84:$CA$88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5-2A57-4D5C-B383-98B7ED4F875E}"/>
            </c:ext>
          </c:extLst>
        </c:ser>
        <c:ser>
          <c:idx val="48"/>
          <c:order val="18"/>
          <c:tx>
            <c:v>Dorn 3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A!$BV$84:$BV$88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A!$BW$84:$BW$88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6-2A57-4D5C-B383-98B7ED4F875E}"/>
            </c:ext>
          </c:extLst>
        </c:ser>
        <c:ser>
          <c:idx val="49"/>
          <c:order val="19"/>
          <c:tx>
            <c:v>Dorn 4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A!$BX$84:$BX$88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A!$BY$84:$BY$88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7-2A57-4D5C-B383-98B7ED4F875E}"/>
            </c:ext>
          </c:extLst>
        </c:ser>
        <c:ser>
          <c:idx val="50"/>
          <c:order val="20"/>
          <c:tx>
            <c:v>Dorn 2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A!$BT$84:$BT$88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A!$BU$84:$BU$88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8-2A57-4D5C-B383-98B7ED4F875E}"/>
            </c:ext>
          </c:extLst>
        </c:ser>
        <c:ser>
          <c:idx val="51"/>
          <c:order val="21"/>
          <c:tx>
            <c:v>Dorn 1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A!$BR$84:$BR$88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A!$BS$84:$BS$88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9-2A57-4D5C-B383-98B7ED4F875E}"/>
            </c:ext>
          </c:extLst>
        </c:ser>
        <c:ser>
          <c:idx val="52"/>
          <c:order val="22"/>
          <c:tx>
            <c:v>Dorn 6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A!$CB$84:$CB$88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A!$CC$84:$CC$88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A-2A57-4D5C-B383-98B7ED4F875E}"/>
            </c:ext>
          </c:extLst>
        </c:ser>
        <c:ser>
          <c:idx val="53"/>
          <c:order val="23"/>
          <c:tx>
            <c:v>L</c:v>
          </c:tx>
          <c:spPr>
            <a:ln w="19050" cap="rnd">
              <a:solidFill>
                <a:schemeClr val="tx1"/>
              </a:solidFill>
              <a:round/>
              <a:headEnd type="none"/>
              <a:tailEnd type="none"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  <a:headEnd type="triangle"/>
                <a:tailEnd type="none"/>
              </a:ln>
              <a:effectLst/>
            </c:spPr>
            <c:extLst>
              <c:ext xmlns:c16="http://schemas.microsoft.com/office/drawing/2014/chart" uri="{C3380CC4-5D6E-409C-BE32-E72D297353CC}">
                <c16:uniqueId val="{0000010C-2A57-4D5C-B383-98B7ED4F875E}"/>
              </c:ext>
            </c:extLst>
          </c:dPt>
          <c:dPt>
            <c:idx val="2"/>
            <c:bubble3D val="0"/>
            <c:spPr>
              <a:ln w="19050" cap="rnd">
                <a:solidFill>
                  <a:schemeClr val="tx1"/>
                </a:solidFill>
                <a:round/>
                <a:headEnd type="none"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10D-2A57-4D5C-B383-98B7ED4F875E}"/>
              </c:ext>
            </c:extLst>
          </c:dPt>
          <c:xVal>
            <c:numRef>
              <c:f>A!$BO$92:$BQ$92</c:f>
              <c:numCache>
                <c:formatCode>0.00</c:formatCode>
                <c:ptCount val="3"/>
                <c:pt idx="0">
                  <c:v>-0.3</c:v>
                </c:pt>
                <c:pt idx="1">
                  <c:v>-0.3</c:v>
                </c:pt>
                <c:pt idx="2">
                  <c:v>-0.3</c:v>
                </c:pt>
              </c:numCache>
            </c:numRef>
          </c:xVal>
          <c:yVal>
            <c:numRef>
              <c:f>A!$BO$93:$BQ$93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2A57-4D5C-B383-98B7ED4F875E}"/>
            </c:ext>
          </c:extLst>
        </c:ser>
        <c:ser>
          <c:idx val="54"/>
          <c:order val="24"/>
          <c:tx>
            <c:v>B1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Pt>
            <c:idx val="0"/>
            <c:bubble3D val="0"/>
            <c:spPr>
              <a:ln w="19050" cap="rnd">
                <a:solidFill>
                  <a:schemeClr val="tx1"/>
                </a:solidFill>
                <a:round/>
                <a:headEnd type="none"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10F-2A57-4D5C-B383-98B7ED4F875E}"/>
              </c:ext>
            </c:extLst>
          </c:dPt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  <a:head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110-2A57-4D5C-B383-98B7ED4F875E}"/>
              </c:ext>
            </c:extLst>
          </c:dPt>
          <c:dPt>
            <c:idx val="2"/>
            <c:bubble3D val="0"/>
            <c:spPr>
              <a:ln w="19050" cap="rnd">
                <a:solidFill>
                  <a:schemeClr val="tx1"/>
                </a:solidFill>
                <a:round/>
                <a:headEnd type="none"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111-2A57-4D5C-B383-98B7ED4F875E}"/>
              </c:ext>
            </c:extLst>
          </c:dPt>
          <c:xVal>
            <c:numRef>
              <c:f>A!$BR$92:$BT$92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A!$BR$93:$BT$93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E-2A57-4D5C-B383-98B7ED4F875E}"/>
            </c:ext>
          </c:extLst>
        </c:ser>
        <c:ser>
          <c:idx val="55"/>
          <c:order val="25"/>
          <c:tx>
            <c:v>B2</c:v>
          </c:tx>
          <c:spPr>
            <a:ln w="19050" cap="rnd">
              <a:solidFill>
                <a:schemeClr val="tx1"/>
              </a:solidFill>
              <a:round/>
              <a:headEnd type="triangle"/>
              <a:tailEnd type="triangle"/>
            </a:ln>
            <a:effectLst/>
          </c:spPr>
          <c:marker>
            <c:symbol val="none"/>
          </c:marker>
          <c:xVal>
            <c:numRef>
              <c:f>A!$BU$92:$BW$92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A!$BU$93:$BW$93</c:f>
              <c:numCache>
                <c:formatCode>0.00</c:formatCode>
                <c:ptCount val="3"/>
                <c:pt idx="0">
                  <c:v>-0.2</c:v>
                </c:pt>
                <c:pt idx="1">
                  <c:v>-0.2</c:v>
                </c:pt>
                <c:pt idx="2">
                  <c:v>-0.2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2-2A57-4D5C-B383-98B7ED4F875E}"/>
            </c:ext>
          </c:extLst>
        </c:ser>
        <c:ser>
          <c:idx val="56"/>
          <c:order val="26"/>
          <c:tx>
            <c:v>B3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  <a:head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114-2A57-4D5C-B383-98B7ED4F875E}"/>
              </c:ext>
            </c:extLst>
          </c:dPt>
          <c:dPt>
            <c:idx val="2"/>
            <c:bubble3D val="0"/>
            <c:spPr>
              <a:ln w="19050" cap="rnd">
                <a:solidFill>
                  <a:schemeClr val="tx1"/>
                </a:solidFill>
                <a:round/>
                <a:headEnd type="none"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115-2A57-4D5C-B383-98B7ED4F875E}"/>
              </c:ext>
            </c:extLst>
          </c:dPt>
          <c:xVal>
            <c:numRef>
              <c:f>A!$BX$92:$BZ$92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A!$BX$93:$BZ$93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3-2A57-4D5C-B383-98B7ED4F875E}"/>
            </c:ext>
          </c:extLst>
        </c:ser>
        <c:ser>
          <c:idx val="57"/>
          <c:order val="27"/>
          <c:tx>
            <c:v>L1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  <a:head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117-2A57-4D5C-B383-98B7ED4F875E}"/>
              </c:ext>
            </c:extLst>
          </c:dPt>
          <c:dPt>
            <c:idx val="2"/>
            <c:bubble3D val="0"/>
            <c:spPr>
              <a:ln w="19050" cap="rnd">
                <a:solidFill>
                  <a:schemeClr val="tx1"/>
                </a:solidFill>
                <a:round/>
                <a:headEnd type="none"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118-2A57-4D5C-B383-98B7ED4F875E}"/>
              </c:ext>
            </c:extLst>
          </c:dPt>
          <c:xVal>
            <c:numRef>
              <c:f>A!$CA$92:$CC$92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A!$CA$93:$CC$93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6-2A57-4D5C-B383-98B7ED4F875E}"/>
            </c:ext>
          </c:extLst>
        </c:ser>
        <c:ser>
          <c:idx val="58"/>
          <c:order val="28"/>
          <c:tx>
            <c:v>L2</c:v>
          </c:tx>
          <c:spPr>
            <a:ln w="19050" cap="rnd">
              <a:solidFill>
                <a:schemeClr val="tx1"/>
              </a:solidFill>
              <a:round/>
              <a:headEnd type="triangle"/>
              <a:tailEnd type="triangle"/>
            </a:ln>
            <a:effectLst/>
          </c:spPr>
          <c:marker>
            <c:symbol val="none"/>
          </c:marker>
          <c:xVal>
            <c:numRef>
              <c:f>A!$CD$92:$CF$92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A!$CD$93:$CF$93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9-2A57-4D5C-B383-98B7ED4F875E}"/>
            </c:ext>
          </c:extLst>
        </c:ser>
        <c:ser>
          <c:idx val="59"/>
          <c:order val="29"/>
          <c:tx>
            <c:v>L3</c:v>
          </c:tx>
          <c:spPr>
            <a:ln w="19050" cap="rnd">
              <a:solidFill>
                <a:schemeClr val="tx1"/>
              </a:solidFill>
              <a:round/>
              <a:headEnd type="triangle"/>
              <a:tailEnd type="triangle"/>
            </a:ln>
            <a:effectLst/>
          </c:spPr>
          <c:marker>
            <c:symbol val="none"/>
          </c:marker>
          <c:xVal>
            <c:numRef>
              <c:f>A!$CG$92:$CI$92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A!$CG$93:$CI$93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A-2A57-4D5C-B383-98B7ED4F875E}"/>
            </c:ext>
          </c:extLst>
        </c:ser>
        <c:ser>
          <c:idx val="15"/>
          <c:order val="30"/>
          <c:tx>
            <c:v>Geo</c:v>
          </c:tx>
          <c:marker>
            <c:symbol val="none"/>
          </c:marker>
          <c:xVal>
            <c:numRef>
              <c:f>A!$BQ$78:$BY$78</c:f>
              <c:numCache>
                <c:formatCode>General</c:formatCode>
                <c:ptCount val="9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#N/A</c:v>
                </c:pt>
                <c:pt idx="4" formatCode="0.00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A!$BQ$79:$BY$79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2-2A57-4D5C-B383-98B7ED4F875E}"/>
            </c:ext>
          </c:extLst>
        </c:ser>
        <c:ser>
          <c:idx val="16"/>
          <c:order val="31"/>
          <c:tx>
            <c:v>Ref</c:v>
          </c:tx>
          <c:marker>
            <c:symbol val="none"/>
          </c:marker>
          <c:xVal>
            <c:numRef>
              <c:f>A!$BO$78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A!$BO$79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4-2A57-4D5C-B383-98B7ED4F875E}"/>
            </c:ext>
          </c:extLst>
        </c:ser>
        <c:ser>
          <c:idx val="17"/>
          <c:order val="32"/>
          <c:tx>
            <c:v>Dorn 5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A!$BZ$84:$BZ$88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A!$CA$84:$CA$88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6-2A57-4D5C-B383-98B7ED4F875E}"/>
            </c:ext>
          </c:extLst>
        </c:ser>
        <c:ser>
          <c:idx val="18"/>
          <c:order val="33"/>
          <c:tx>
            <c:v>Dorn 3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A!$BV$84:$BV$88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A!$BW$84:$BW$88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8-2A57-4D5C-B383-98B7ED4F875E}"/>
            </c:ext>
          </c:extLst>
        </c:ser>
        <c:ser>
          <c:idx val="19"/>
          <c:order val="34"/>
          <c:tx>
            <c:v>Dorn 4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A!$BX$84:$BX$88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A!$BY$84:$BY$88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A-2A57-4D5C-B383-98B7ED4F875E}"/>
            </c:ext>
          </c:extLst>
        </c:ser>
        <c:ser>
          <c:idx val="20"/>
          <c:order val="35"/>
          <c:tx>
            <c:v>Dorn 2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A!$BT$84:$BT$88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A!$BU$84:$BU$88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C-2A57-4D5C-B383-98B7ED4F875E}"/>
            </c:ext>
          </c:extLst>
        </c:ser>
        <c:ser>
          <c:idx val="21"/>
          <c:order val="36"/>
          <c:tx>
            <c:v>Dorn 1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A!$BR$84:$BR$88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A!$BS$84:$BS$88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E-2A57-4D5C-B383-98B7ED4F875E}"/>
            </c:ext>
          </c:extLst>
        </c:ser>
        <c:ser>
          <c:idx val="22"/>
          <c:order val="37"/>
          <c:tx>
            <c:v>Dorn 6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A!$CB$84:$CB$88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A!$CC$84:$CC$88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0-2A57-4D5C-B383-98B7ED4F875E}"/>
            </c:ext>
          </c:extLst>
        </c:ser>
        <c:ser>
          <c:idx val="23"/>
          <c:order val="38"/>
          <c:tx>
            <c:v>L</c:v>
          </c:tx>
          <c:spPr>
            <a:ln>
              <a:solidFill>
                <a:schemeClr val="tx1"/>
              </a:solidFill>
              <a:headEnd type="none"/>
              <a:tailEnd type="none"/>
            </a:ln>
          </c:spPr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  <a:headEnd type="triangle"/>
                <a:tailEnd type="none"/>
              </a:ln>
            </c:spPr>
            <c:extLst>
              <c:ext xmlns:c16="http://schemas.microsoft.com/office/drawing/2014/chart" uri="{C3380CC4-5D6E-409C-BE32-E72D297353CC}">
                <c16:uniqueId val="{00000093-2A57-4D5C-B383-98B7ED4F875E}"/>
              </c:ext>
            </c:extLst>
          </c:dPt>
          <c:dPt>
            <c:idx val="2"/>
            <c:bubble3D val="0"/>
            <c:spPr>
              <a:ln>
                <a:solidFill>
                  <a:schemeClr val="tx1"/>
                </a:solidFill>
                <a:headEnd type="none"/>
                <a:tailEnd type="triangle"/>
              </a:ln>
            </c:spPr>
            <c:extLst>
              <c:ext xmlns:c16="http://schemas.microsoft.com/office/drawing/2014/chart" uri="{C3380CC4-5D6E-409C-BE32-E72D297353CC}">
                <c16:uniqueId val="{00000095-2A57-4D5C-B383-98B7ED4F875E}"/>
              </c:ext>
            </c:extLst>
          </c:dPt>
          <c:xVal>
            <c:numRef>
              <c:f>A!$BO$92:$BQ$92</c:f>
              <c:numCache>
                <c:formatCode>0.00</c:formatCode>
                <c:ptCount val="3"/>
                <c:pt idx="0">
                  <c:v>-0.3</c:v>
                </c:pt>
                <c:pt idx="1">
                  <c:v>-0.3</c:v>
                </c:pt>
                <c:pt idx="2">
                  <c:v>-0.3</c:v>
                </c:pt>
              </c:numCache>
            </c:numRef>
          </c:xVal>
          <c:yVal>
            <c:numRef>
              <c:f>A!$BO$93:$BQ$93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6-2A57-4D5C-B383-98B7ED4F875E}"/>
            </c:ext>
          </c:extLst>
        </c:ser>
        <c:ser>
          <c:idx val="24"/>
          <c:order val="39"/>
          <c:tx>
            <c:v>B1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bubble3D val="0"/>
            <c:spPr>
              <a:ln>
                <a:solidFill>
                  <a:schemeClr val="tx1"/>
                </a:solidFill>
                <a:headEnd type="none"/>
                <a:tailEnd type="triangle"/>
              </a:ln>
            </c:spPr>
            <c:extLst>
              <c:ext xmlns:c16="http://schemas.microsoft.com/office/drawing/2014/chart" uri="{C3380CC4-5D6E-409C-BE32-E72D297353CC}">
                <c16:uniqueId val="{00000099-2A57-4D5C-B383-98B7ED4F875E}"/>
              </c:ext>
            </c:extLst>
          </c:dPt>
          <c:dPt>
            <c:idx val="1"/>
            <c:bubble3D val="0"/>
            <c:spPr>
              <a:ln>
                <a:solidFill>
                  <a:schemeClr val="tx1"/>
                </a:solidFill>
                <a:headEnd type="triangle"/>
              </a:ln>
            </c:spPr>
            <c:extLst>
              <c:ext xmlns:c16="http://schemas.microsoft.com/office/drawing/2014/chart" uri="{C3380CC4-5D6E-409C-BE32-E72D297353CC}">
                <c16:uniqueId val="{0000009B-2A57-4D5C-B383-98B7ED4F875E}"/>
              </c:ext>
            </c:extLst>
          </c:dPt>
          <c:dPt>
            <c:idx val="2"/>
            <c:bubble3D val="0"/>
            <c:spPr>
              <a:ln>
                <a:solidFill>
                  <a:schemeClr val="tx1"/>
                </a:solidFill>
                <a:headEnd type="none"/>
                <a:tailEnd type="triangle"/>
              </a:ln>
            </c:spPr>
            <c:extLst>
              <c:ext xmlns:c16="http://schemas.microsoft.com/office/drawing/2014/chart" uri="{C3380CC4-5D6E-409C-BE32-E72D297353CC}">
                <c16:uniqueId val="{0000009D-2A57-4D5C-B383-98B7ED4F875E}"/>
              </c:ext>
            </c:extLst>
          </c:dPt>
          <c:xVal>
            <c:numRef>
              <c:f>A!$BR$92:$BT$92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A!$BR$93:$BT$93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E-2A57-4D5C-B383-98B7ED4F875E}"/>
            </c:ext>
          </c:extLst>
        </c:ser>
        <c:ser>
          <c:idx val="25"/>
          <c:order val="40"/>
          <c:tx>
            <c:v>B2</c:v>
          </c:tx>
          <c:spPr>
            <a:ln>
              <a:solidFill>
                <a:schemeClr val="tx1"/>
              </a:solidFill>
              <a:headEnd type="triangle"/>
              <a:tailEnd type="triangle"/>
            </a:ln>
          </c:spPr>
          <c:marker>
            <c:symbol val="none"/>
          </c:marker>
          <c:xVal>
            <c:numRef>
              <c:f>A!$BU$92:$BW$92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A!$BU$93:$BW$93</c:f>
              <c:numCache>
                <c:formatCode>0.00</c:formatCode>
                <c:ptCount val="3"/>
                <c:pt idx="0">
                  <c:v>-0.2</c:v>
                </c:pt>
                <c:pt idx="1">
                  <c:v>-0.2</c:v>
                </c:pt>
                <c:pt idx="2">
                  <c:v>-0.2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0-2A57-4D5C-B383-98B7ED4F875E}"/>
            </c:ext>
          </c:extLst>
        </c:ser>
        <c:ser>
          <c:idx val="26"/>
          <c:order val="41"/>
          <c:tx>
            <c:v>B3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  <a:headEnd type="triangle"/>
              </a:ln>
            </c:spPr>
            <c:extLst>
              <c:ext xmlns:c16="http://schemas.microsoft.com/office/drawing/2014/chart" uri="{C3380CC4-5D6E-409C-BE32-E72D297353CC}">
                <c16:uniqueId val="{000000A3-2A57-4D5C-B383-98B7ED4F875E}"/>
              </c:ext>
            </c:extLst>
          </c:dPt>
          <c:dPt>
            <c:idx val="2"/>
            <c:bubble3D val="0"/>
            <c:spPr>
              <a:ln>
                <a:solidFill>
                  <a:schemeClr val="tx1"/>
                </a:solidFill>
                <a:headEnd type="none"/>
                <a:tailEnd type="triangle"/>
              </a:ln>
            </c:spPr>
            <c:extLst>
              <c:ext xmlns:c16="http://schemas.microsoft.com/office/drawing/2014/chart" uri="{C3380CC4-5D6E-409C-BE32-E72D297353CC}">
                <c16:uniqueId val="{000000A5-2A57-4D5C-B383-98B7ED4F875E}"/>
              </c:ext>
            </c:extLst>
          </c:dPt>
          <c:xVal>
            <c:numRef>
              <c:f>A!$BX$92:$BZ$92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A!$BX$93:$BZ$93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6-2A57-4D5C-B383-98B7ED4F875E}"/>
            </c:ext>
          </c:extLst>
        </c:ser>
        <c:ser>
          <c:idx val="27"/>
          <c:order val="42"/>
          <c:tx>
            <c:v>L1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  <a:headEnd type="triangle"/>
              </a:ln>
            </c:spPr>
            <c:extLst>
              <c:ext xmlns:c16="http://schemas.microsoft.com/office/drawing/2014/chart" uri="{C3380CC4-5D6E-409C-BE32-E72D297353CC}">
                <c16:uniqueId val="{000000A9-2A57-4D5C-B383-98B7ED4F875E}"/>
              </c:ext>
            </c:extLst>
          </c:dPt>
          <c:dPt>
            <c:idx val="2"/>
            <c:bubble3D val="0"/>
            <c:spPr>
              <a:ln>
                <a:solidFill>
                  <a:schemeClr val="tx1"/>
                </a:solidFill>
                <a:headEnd type="none"/>
                <a:tailEnd type="triangle"/>
              </a:ln>
            </c:spPr>
            <c:extLst>
              <c:ext xmlns:c16="http://schemas.microsoft.com/office/drawing/2014/chart" uri="{C3380CC4-5D6E-409C-BE32-E72D297353CC}">
                <c16:uniqueId val="{000000AB-2A57-4D5C-B383-98B7ED4F875E}"/>
              </c:ext>
            </c:extLst>
          </c:dPt>
          <c:xVal>
            <c:numRef>
              <c:f>A!$CA$92:$CC$92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A!$CA$93:$CC$93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C-2A57-4D5C-B383-98B7ED4F875E}"/>
            </c:ext>
          </c:extLst>
        </c:ser>
        <c:ser>
          <c:idx val="28"/>
          <c:order val="43"/>
          <c:tx>
            <c:v>L2</c:v>
          </c:tx>
          <c:spPr>
            <a:ln>
              <a:solidFill>
                <a:schemeClr val="tx1"/>
              </a:solidFill>
              <a:headEnd type="triangle"/>
              <a:tailEnd type="triangle"/>
            </a:ln>
          </c:spPr>
          <c:marker>
            <c:symbol val="none"/>
          </c:marker>
          <c:xVal>
            <c:numRef>
              <c:f>A!$CD$92:$CF$92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A!$CD$93:$CF$93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E-2A57-4D5C-B383-98B7ED4F875E}"/>
            </c:ext>
          </c:extLst>
        </c:ser>
        <c:ser>
          <c:idx val="29"/>
          <c:order val="44"/>
          <c:tx>
            <c:v>L3</c:v>
          </c:tx>
          <c:spPr>
            <a:ln>
              <a:solidFill>
                <a:schemeClr val="tx1"/>
              </a:solidFill>
              <a:headEnd type="triangle"/>
              <a:tailEnd type="triangle"/>
            </a:ln>
          </c:spPr>
          <c:marker>
            <c:symbol val="none"/>
          </c:marker>
          <c:xVal>
            <c:numRef>
              <c:f>A!$CG$92:$CI$92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A!$CG$93:$CI$93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0-2A57-4D5C-B383-98B7ED4F875E}"/>
            </c:ext>
          </c:extLst>
        </c:ser>
        <c:ser>
          <c:idx val="0"/>
          <c:order val="45"/>
          <c:tx>
            <c:v>Geo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A!$BQ$78:$BY$78</c:f>
              <c:numCache>
                <c:formatCode>General</c:formatCode>
                <c:ptCount val="9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#N/A</c:v>
                </c:pt>
                <c:pt idx="4" formatCode="0.00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A!$BQ$79:$BY$79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2-2A57-4D5C-B383-98B7ED4F875E}"/>
            </c:ext>
          </c:extLst>
        </c:ser>
        <c:ser>
          <c:idx val="1"/>
          <c:order val="46"/>
          <c:tx>
            <c:v>Ref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A!$BO$78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A!$BO$79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4-2A57-4D5C-B383-98B7ED4F875E}"/>
            </c:ext>
          </c:extLst>
        </c:ser>
        <c:ser>
          <c:idx val="2"/>
          <c:order val="47"/>
          <c:tx>
            <c:v>Dorn 5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A!$BZ$84:$BZ$88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A!$CA$84:$CA$88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6-2A57-4D5C-B383-98B7ED4F875E}"/>
            </c:ext>
          </c:extLst>
        </c:ser>
        <c:ser>
          <c:idx val="3"/>
          <c:order val="48"/>
          <c:tx>
            <c:v>Dorn 3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A!$BV$84:$BV$88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A!$BW$84:$BW$88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8-2A57-4D5C-B383-98B7ED4F875E}"/>
            </c:ext>
          </c:extLst>
        </c:ser>
        <c:ser>
          <c:idx val="4"/>
          <c:order val="49"/>
          <c:tx>
            <c:v>Dorn 4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A!$BX$84:$BX$88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A!$BY$84:$BY$88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A-2A57-4D5C-B383-98B7ED4F875E}"/>
            </c:ext>
          </c:extLst>
        </c:ser>
        <c:ser>
          <c:idx val="5"/>
          <c:order val="50"/>
          <c:tx>
            <c:v>Dorn 2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A!$BT$84:$BT$88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A!$BU$84:$BU$88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C-2A57-4D5C-B383-98B7ED4F875E}"/>
            </c:ext>
          </c:extLst>
        </c:ser>
        <c:ser>
          <c:idx val="6"/>
          <c:order val="51"/>
          <c:tx>
            <c:v>Dorn 1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A!$BR$84:$BR$88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A!$BS$84:$BS$88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E-2A57-4D5C-B383-98B7ED4F875E}"/>
            </c:ext>
          </c:extLst>
        </c:ser>
        <c:ser>
          <c:idx val="7"/>
          <c:order val="52"/>
          <c:tx>
            <c:v>Dorn 6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A!$CB$84:$CB$88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A!$CC$84:$CC$88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0-2A57-4D5C-B383-98B7ED4F875E}"/>
            </c:ext>
          </c:extLst>
        </c:ser>
        <c:ser>
          <c:idx val="8"/>
          <c:order val="53"/>
          <c:tx>
            <c:v>L</c:v>
          </c:tx>
          <c:spPr>
            <a:ln w="19050" cap="rnd">
              <a:solidFill>
                <a:schemeClr val="tx1"/>
              </a:solidFill>
              <a:round/>
              <a:headEnd type="none"/>
              <a:tailEnd type="none"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  <a:headEnd type="triangle"/>
                <a:tailEnd type="none"/>
              </a:ln>
              <a:effectLst/>
            </c:spPr>
            <c:extLst>
              <c:ext xmlns:c16="http://schemas.microsoft.com/office/drawing/2014/chart" uri="{C3380CC4-5D6E-409C-BE32-E72D297353CC}">
                <c16:uniqueId val="{000000C3-2A57-4D5C-B383-98B7ED4F875E}"/>
              </c:ext>
            </c:extLst>
          </c:dPt>
          <c:dPt>
            <c:idx val="2"/>
            <c:bubble3D val="0"/>
            <c:spPr>
              <a:ln w="19050" cap="rnd">
                <a:solidFill>
                  <a:schemeClr val="tx1"/>
                </a:solidFill>
                <a:round/>
                <a:headEnd type="none"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C5-2A57-4D5C-B383-98B7ED4F875E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>
                  <c15:layout>
                    <c:manualLayout>
                      <c:w val="0"/>
                      <c:h val="0"/>
                    </c:manualLayout>
                  </c15:layout>
                </c:ext>
                <c:ext xmlns:c16="http://schemas.microsoft.com/office/drawing/2014/chart" uri="{C3380CC4-5D6E-409C-BE32-E72D297353CC}">
                  <c16:uniqueId val="{000000C6-2A57-4D5C-B383-98B7ED4F875E}"/>
                </c:ext>
              </c:extLst>
            </c:dLbl>
            <c:dLbl>
              <c:idx val="1"/>
              <c:tx>
                <c:rich>
                  <a:bodyPr rot="0" spcFirstLastPara="1" vertOverflow="clip" horzOverflow="clip" vert="horz" wrap="square" lIns="38100" tIns="19050" rIns="38100" bIns="19050" anchor="t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ln>
                          <a:noFill/>
                        </a:ln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EC3A94BE-479C-4B26-84F3-3E0FAC39CACF}" type="SERIESNAME">
                      <a:rPr lang="en-US" sz="1600">
                        <a:ln>
                          <a:noFill/>
                        </a:ln>
                        <a:solidFill>
                          <a:schemeClr val="tx1"/>
                        </a:solidFill>
                      </a:rPr>
                      <a:pPr>
                        <a:defRPr sz="900" b="0" i="0" u="none" strike="noStrike" kern="1200" baseline="0">
                          <a:ln>
                            <a:noFill/>
                          </a:ln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[SERIENAVN]</a:t>
                    </a:fld>
                    <a:endParaRPr lang="da-DK"/>
                  </a:p>
                </c:rich>
              </c:tx>
              <c:spPr>
                <a:solidFill>
                  <a:sysClr val="window" lastClr="FFFFFF"/>
                </a:solidFill>
                <a:ln w="12700" cap="flat" cmpd="sng" algn="ctr">
                  <a:noFill/>
                  <a:prstDash val="solid"/>
                  <a:miter lim="800000"/>
                </a:ln>
                <a:effectLst/>
              </c:sp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  <c15:layout>
                    <c:manualLayout>
                      <c:w val="3.6095026800954305E-2"/>
                      <c:h val="4.0970962429527531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C3-2A57-4D5C-B383-98B7ED4F875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>
                  <c15:layout>
                    <c:manualLayout>
                      <c:w val="0"/>
                      <c:h val="0"/>
                    </c:manualLayout>
                  </c15:layout>
                </c:ext>
                <c:ext xmlns:c16="http://schemas.microsoft.com/office/drawing/2014/chart" uri="{C3380CC4-5D6E-409C-BE32-E72D297353CC}">
                  <c16:uniqueId val="{000000C5-2A57-4D5C-B383-98B7ED4F875E}"/>
                </c:ext>
              </c:extLst>
            </c:dLbl>
            <c:spPr>
              <a:solidFill>
                <a:sysClr val="window" lastClr="FFFFFF"/>
              </a:solidFill>
              <a:ln cap="rnd">
                <a:noFill/>
                <a:miter lim="800000"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noAutofit/>
              </a:bodyPr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A!$BO$92:$BQ$92</c:f>
              <c:numCache>
                <c:formatCode>0.00</c:formatCode>
                <c:ptCount val="3"/>
                <c:pt idx="0">
                  <c:v>-0.3</c:v>
                </c:pt>
                <c:pt idx="1">
                  <c:v>-0.3</c:v>
                </c:pt>
                <c:pt idx="2">
                  <c:v>-0.3</c:v>
                </c:pt>
              </c:numCache>
            </c:numRef>
          </c:xVal>
          <c:yVal>
            <c:numRef>
              <c:f>A!$BO$93:$BQ$93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2A57-4D5C-B383-98B7ED4F875E}"/>
            </c:ext>
          </c:extLst>
        </c:ser>
        <c:ser>
          <c:idx val="9"/>
          <c:order val="54"/>
          <c:tx>
            <c:v>B1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Pt>
            <c:idx val="0"/>
            <c:bubble3D val="0"/>
            <c:spPr>
              <a:ln w="19050" cap="rnd">
                <a:solidFill>
                  <a:schemeClr val="tx1"/>
                </a:solidFill>
                <a:round/>
                <a:headEnd type="none"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CA-2A57-4D5C-B383-98B7ED4F875E}"/>
              </c:ext>
            </c:extLst>
          </c:dPt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  <a:head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CC-2A57-4D5C-B383-98B7ED4F875E}"/>
              </c:ext>
            </c:extLst>
          </c:dPt>
          <c:dPt>
            <c:idx val="2"/>
            <c:bubble3D val="0"/>
            <c:spPr>
              <a:ln w="19050" cap="rnd">
                <a:solidFill>
                  <a:schemeClr val="tx1"/>
                </a:solidFill>
                <a:round/>
                <a:headEnd type="none"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CE-2A57-4D5C-B383-98B7ED4F875E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A-2A57-4D5C-B383-98B7ED4F875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9CB3429-CA59-4286-AA24-FA1174027956}" type="SERIESNAME">
                      <a:rPr lang="en-US" sz="1400"/>
                      <a:pPr/>
                      <a:t>[SERIENAVN]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CC-2A57-4D5C-B383-98B7ED4F875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E-2A57-4D5C-B383-98B7ED4F875E}"/>
                </c:ext>
              </c:extLst>
            </c:dLbl>
            <c:spPr>
              <a:solidFill>
                <a:sysClr val="window" lastClr="FFFFFF"/>
              </a:solidFill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A!$BR$92:$BT$92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A!$BR$93:$BT$93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2A57-4D5C-B383-98B7ED4F875E}"/>
            </c:ext>
          </c:extLst>
        </c:ser>
        <c:ser>
          <c:idx val="10"/>
          <c:order val="55"/>
          <c:tx>
            <c:v>B2</c:v>
          </c:tx>
          <c:spPr>
            <a:ln w="19050" cap="rnd">
              <a:solidFill>
                <a:schemeClr val="tx1"/>
              </a:solidFill>
              <a:round/>
              <a:headEnd type="triangle"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1-2A57-4D5C-B383-98B7ED4F875E}"/>
                </c:ext>
              </c:extLst>
            </c:dLbl>
            <c:dLbl>
              <c:idx val="1"/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AEFDB9C-8D41-43B3-A415-D578775E19FC}" type="SERIESNAME">
                      <a:rPr lang="en-US" sz="1400"/>
                      <a:pPr>
                        <a:defRPr sz="900" b="0" i="0" u="none" strike="noStrike" kern="1200" baseline="0">
                          <a:solidFill>
                            <a:schemeClr val="dk1">
                              <a:lumMod val="65000"/>
                              <a:lumOff val="3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[SERIENAVN]</a:t>
                    </a:fld>
                    <a:endParaRPr lang="da-DK"/>
                  </a:p>
                </c:rich>
              </c:tx>
              <c:spPr>
                <a:solidFill>
                  <a:sysClr val="window" lastClr="FFFFFF"/>
                </a:solidFill>
                <a:ln>
                  <a:noFill/>
                </a:ln>
                <a:effectLst/>
              </c:spPr>
              <c:dLblPos val="b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D2-2A57-4D5C-B383-98B7ED4F875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3-2A57-4D5C-B383-98B7ED4F875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A!$BU$92:$BW$92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A!$BU$93:$BW$93</c:f>
              <c:numCache>
                <c:formatCode>0.00</c:formatCode>
                <c:ptCount val="3"/>
                <c:pt idx="0">
                  <c:v>-0.2</c:v>
                </c:pt>
                <c:pt idx="1">
                  <c:v>-0.2</c:v>
                </c:pt>
                <c:pt idx="2">
                  <c:v>-0.2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2A57-4D5C-B383-98B7ED4F875E}"/>
            </c:ext>
          </c:extLst>
        </c:ser>
        <c:ser>
          <c:idx val="11"/>
          <c:order val="56"/>
          <c:tx>
            <c:v>B3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  <a:head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D7-2A57-4D5C-B383-98B7ED4F875E}"/>
              </c:ext>
            </c:extLst>
          </c:dPt>
          <c:dPt>
            <c:idx val="2"/>
            <c:bubble3D val="0"/>
            <c:spPr>
              <a:ln w="19050" cap="rnd">
                <a:solidFill>
                  <a:schemeClr val="tx1"/>
                </a:solidFill>
                <a:round/>
                <a:headEnd type="none"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D9-2A57-4D5C-B383-98B7ED4F875E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A-2A57-4D5C-B383-98B7ED4F875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B98DE64-212C-45CA-A63B-E29581A975E9}" type="SERIESNAME">
                      <a:rPr lang="en-US" sz="1400"/>
                      <a:pPr/>
                      <a:t>[SERIENAVN]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D7-2A57-4D5C-B383-98B7ED4F875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9-2A57-4D5C-B383-98B7ED4F875E}"/>
                </c:ext>
              </c:extLst>
            </c:dLbl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A!$BX$92:$BZ$92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A!$BX$93:$BZ$93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2A57-4D5C-B383-98B7ED4F875E}"/>
            </c:ext>
          </c:extLst>
        </c:ser>
        <c:ser>
          <c:idx val="12"/>
          <c:order val="57"/>
          <c:tx>
            <c:v>L1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  <a:head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DE-2A57-4D5C-B383-98B7ED4F875E}"/>
              </c:ext>
            </c:extLst>
          </c:dPt>
          <c:dPt>
            <c:idx val="2"/>
            <c:bubble3D val="0"/>
            <c:spPr>
              <a:ln w="19050" cap="rnd">
                <a:solidFill>
                  <a:schemeClr val="tx1"/>
                </a:solidFill>
                <a:round/>
                <a:headEnd type="none"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E0-2A57-4D5C-B383-98B7ED4F875E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1-2A57-4D5C-B383-98B7ED4F875E}"/>
                </c:ext>
              </c:extLst>
            </c:dLbl>
            <c:dLbl>
              <c:idx val="1"/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BF127AE2-E6C2-4BB1-AC4B-7DA845142B58}" type="SERIESNAME">
                      <a:rPr lang="en-US" sz="1400"/>
                      <a:pPr>
                        <a:defRPr sz="900" b="0" i="0" u="none" strike="noStrike" kern="1200" baseline="0">
                          <a:solidFill>
                            <a:schemeClr val="dk1">
                              <a:lumMod val="65000"/>
                              <a:lumOff val="3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[SERIENAVN]</a:t>
                    </a:fld>
                    <a:endParaRPr lang="da-DK"/>
                  </a:p>
                </c:rich>
              </c:tx>
              <c:spPr>
                <a:solidFill>
                  <a:sysClr val="window" lastClr="FFFFFF"/>
                </a:solidFill>
                <a:ln>
                  <a:noFill/>
                </a:ln>
                <a:effectLst/>
              </c:sp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DE-2A57-4D5C-B383-98B7ED4F875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0-2A57-4D5C-B383-98B7ED4F875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A!$CA$92:$CC$92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A!$CA$93:$CC$93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2A57-4D5C-B383-98B7ED4F875E}"/>
            </c:ext>
          </c:extLst>
        </c:ser>
        <c:ser>
          <c:idx val="13"/>
          <c:order val="58"/>
          <c:tx>
            <c:v>L2</c:v>
          </c:tx>
          <c:spPr>
            <a:ln w="19050" cap="rnd">
              <a:solidFill>
                <a:schemeClr val="tx1"/>
              </a:solidFill>
              <a:round/>
              <a:headEnd type="triangle"/>
              <a:tailEnd type="triangle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576D2A1D-3BCC-45F8-BC91-F55609A78947}" type="SERIESNAME">
                      <a:rPr lang="en-US" sz="1400"/>
                      <a:pPr>
                        <a:defRPr sz="900" b="0" i="0" u="none" strike="noStrike" kern="1200" baseline="0">
                          <a:solidFill>
                            <a:schemeClr val="dk1">
                              <a:lumMod val="65000"/>
                              <a:lumOff val="3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[SERIENAVN]</a:t>
                    </a:fld>
                    <a:endParaRPr lang="da-DK"/>
                  </a:p>
                </c:rich>
              </c:tx>
              <c:spPr>
                <a:solidFill>
                  <a:sysClr val="window" lastClr="FFFFFF"/>
                </a:solidFill>
                <a:ln>
                  <a:noFill/>
                </a:ln>
                <a:effectLst/>
              </c:sp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E4-2A57-4D5C-B383-98B7ED4F875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A!$CD$92:$CF$92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A!$CD$93:$CF$93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2A57-4D5C-B383-98B7ED4F875E}"/>
            </c:ext>
          </c:extLst>
        </c:ser>
        <c:ser>
          <c:idx val="14"/>
          <c:order val="59"/>
          <c:tx>
            <c:v>L3</c:v>
          </c:tx>
          <c:spPr>
            <a:ln w="19050" cap="rnd">
              <a:solidFill>
                <a:schemeClr val="tx1"/>
              </a:solidFill>
              <a:round/>
              <a:headEnd type="triangle"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7-2A57-4D5C-B383-98B7ED4F875E}"/>
                </c:ext>
              </c:extLst>
            </c:dLbl>
            <c:dLbl>
              <c:idx val="1"/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A6DDA529-686F-4798-93E6-07E7DD192514}" type="SERIESNAME">
                      <a:rPr lang="en-US" sz="1400"/>
                      <a:pPr>
                        <a:defRPr sz="900" b="0" i="0" u="none" strike="noStrike" kern="1200" baseline="0">
                          <a:solidFill>
                            <a:schemeClr val="dk1">
                              <a:lumMod val="65000"/>
                              <a:lumOff val="3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[SERIENAVN]</a:t>
                    </a:fld>
                    <a:endParaRPr lang="da-DK"/>
                  </a:p>
                </c:rich>
              </c:tx>
              <c:spPr>
                <a:solidFill>
                  <a:sysClr val="window" lastClr="FFFFFF"/>
                </a:solidFill>
                <a:ln>
                  <a:noFill/>
                </a:ln>
                <a:effectLst/>
              </c:sp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E8-2A57-4D5C-B383-98B7ED4F875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9-2A57-4D5C-B383-98B7ED4F875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A!$CG$92:$CI$92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A!$CG$93:$CI$93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2A57-4D5C-B383-98B7ED4F8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4995952"/>
        <c:axId val="924997200"/>
      </c:scatterChart>
      <c:valAx>
        <c:axId val="924995952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924997200"/>
        <c:crosses val="max"/>
        <c:crossBetween val="midCat"/>
        <c:majorUnit val="0.1"/>
      </c:valAx>
      <c:valAx>
        <c:axId val="924997200"/>
        <c:scaling>
          <c:orientation val="minMax"/>
        </c:scaling>
        <c:delete val="1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924995952"/>
        <c:crosses val="max"/>
        <c:crossBetween val="midCat"/>
        <c:majorUnit val="0.1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047396962886132E-2"/>
          <c:y val="5.2245078740157491E-2"/>
          <c:w val="0.93833175538115776"/>
          <c:h val="0.89554790026246722"/>
        </c:manualLayout>
      </c:layout>
      <c:scatterChart>
        <c:scatterStyle val="lineMarker"/>
        <c:varyColors val="0"/>
        <c:ser>
          <c:idx val="0"/>
          <c:order val="0"/>
          <c:tx>
            <c:v>Bjælke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A!$AP$162:$AQ$162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xVal>
          <c:yVal>
            <c:numRef>
              <c:f>A!$AP$163:$AQ$163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E-706E-4F5C-AA49-D496CBABF325}"/>
            </c:ext>
          </c:extLst>
        </c:ser>
        <c:ser>
          <c:idx val="1"/>
          <c:order val="1"/>
          <c:tx>
            <c:v>Understøtning, V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A!$AR$162:$AU$162</c:f>
              <c:numCache>
                <c:formatCode>General</c:formatCode>
                <c:ptCount val="4"/>
                <c:pt idx="0">
                  <c:v>0</c:v>
                </c:pt>
                <c:pt idx="1">
                  <c:v>-7.4999999999999997E-2</c:v>
                </c:pt>
                <c:pt idx="2">
                  <c:v>7.4999999999999997E-2</c:v>
                </c:pt>
                <c:pt idx="3">
                  <c:v>0</c:v>
                </c:pt>
              </c:numCache>
            </c:numRef>
          </c:xVal>
          <c:yVal>
            <c:numRef>
              <c:f>A!$AR$163:$AU$163</c:f>
              <c:numCache>
                <c:formatCode>0.000</c:formatCode>
                <c:ptCount val="4"/>
                <c:pt idx="0" formatCode="General">
                  <c:v>0</c:v>
                </c:pt>
                <c:pt idx="1">
                  <c:v>-9.1443186330665005E-2</c:v>
                </c:pt>
                <c:pt idx="2">
                  <c:v>-9.1443186330665005E-2</c:v>
                </c:pt>
                <c:pt idx="3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F-706E-4F5C-AA49-D496CBABF325}"/>
            </c:ext>
          </c:extLst>
        </c:ser>
        <c:ser>
          <c:idx val="2"/>
          <c:order val="2"/>
          <c:tx>
            <c:v>skrald</c:v>
          </c:tx>
          <c:marker>
            <c:symbol val="none"/>
          </c:marker>
          <c:xVal>
            <c:numRef>
              <c:f>A!$AF$181:$AG$181</c:f>
              <c:numCache>
                <c:formatCode>General</c:formatCode>
                <c:ptCount val="2"/>
              </c:numCache>
            </c:numRef>
          </c:xVal>
          <c:yVal>
            <c:numRef>
              <c:f>A!$AF$182:$AG$182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0-706E-4F5C-AA49-D496CBABF325}"/>
            </c:ext>
          </c:extLst>
        </c:ser>
        <c:ser>
          <c:idx val="3"/>
          <c:order val="3"/>
          <c:tx>
            <c:v>L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  <a:headEnd type="triangle"/>
              </a:ln>
            </c:spPr>
            <c:extLst>
              <c:ext xmlns:c16="http://schemas.microsoft.com/office/drawing/2014/chart" uri="{C3380CC4-5D6E-409C-BE32-E72D297353CC}">
                <c16:uniqueId val="{00000093-706E-4F5C-AA49-D496CBABF325}"/>
              </c:ext>
            </c:extLst>
          </c:dPt>
          <c:dPt>
            <c:idx val="2"/>
            <c:bubble3D val="0"/>
            <c:spPr>
              <a:ln>
                <a:solidFill>
                  <a:schemeClr val="tx1"/>
                </a:solidFill>
                <a:headEnd type="none"/>
                <a:tailEnd type="triangle"/>
              </a:ln>
            </c:spPr>
            <c:extLst>
              <c:ext xmlns:c16="http://schemas.microsoft.com/office/drawing/2014/chart" uri="{C3380CC4-5D6E-409C-BE32-E72D297353CC}">
                <c16:uniqueId val="{00000092-706E-4F5C-AA49-D496CBABF325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4-706E-4F5C-AA49-D496CBABF32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3-706E-4F5C-AA49-D496CBABF325}"/>
                </c:ext>
              </c:extLst>
            </c:dLbl>
            <c:dLbl>
              <c:idx val="2"/>
              <c:layout>
                <c:manualLayout>
                  <c:x val="-0.42145846087837663"/>
                  <c:y val="-6.7971664832581588E-2"/>
                </c:manualLayout>
              </c:layout>
              <c:tx>
                <c:rich>
                  <a:bodyPr/>
                  <a:lstStyle/>
                  <a:p>
                    <a:fld id="{9FBCCD77-E4AD-48EC-BCBB-F86A7B4E65EF}" type="XVALUE">
                      <a:rPr lang="en-US" sz="1400"/>
                      <a:pPr/>
                      <a:t>[X-VÆRDI]</a:t>
                    </a:fld>
                    <a:endParaRPr lang="da-DK"/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92-706E-4F5C-AA49-D496CBABF325}"/>
                </c:ext>
              </c:extLst>
            </c:dLbl>
            <c:spPr>
              <a:solidFill>
                <a:sysClr val="window" lastClr="FFFFFF"/>
              </a:solidFill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A!$AP$173:$AR$173</c:f>
              <c:numCache>
                <c:formatCode>General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A!$AP$174:$AR$174</c:f>
              <c:numCache>
                <c:formatCode>General</c:formatCode>
                <c:ptCount val="3"/>
                <c:pt idx="0">
                  <c:v>-0.3</c:v>
                </c:pt>
                <c:pt idx="1">
                  <c:v>-0.3</c:v>
                </c:pt>
                <c:pt idx="2">
                  <c:v>-0.3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1-706E-4F5C-AA49-D496CBABF325}"/>
            </c:ext>
          </c:extLst>
        </c:ser>
        <c:ser>
          <c:idx val="4"/>
          <c:order val="4"/>
          <c:tx>
            <c:v>Understøtning, H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A!$AV$162:$AY$162</c:f>
              <c:numCache>
                <c:formatCode>@</c:formatCode>
                <c:ptCount val="4"/>
                <c:pt idx="0">
                  <c:v>#N/A</c:v>
                </c:pt>
                <c:pt idx="1">
                  <c:v>#N/A</c:v>
                </c:pt>
                <c:pt idx="2" formatCode="General">
                  <c:v>#N/A</c:v>
                </c:pt>
                <c:pt idx="3" formatCode="General">
                  <c:v>#N/A</c:v>
                </c:pt>
              </c:numCache>
            </c:numRef>
          </c:xVal>
          <c:yVal>
            <c:numRef>
              <c:f>A!$AV$163:$AY$163</c:f>
              <c:numCache>
                <c:formatCode>0.000</c:formatCode>
                <c:ptCount val="4"/>
                <c:pt idx="0" formatCode="General">
                  <c:v>0</c:v>
                </c:pt>
                <c:pt idx="1">
                  <c:v>-9.1443186330665005E-2</c:v>
                </c:pt>
                <c:pt idx="2">
                  <c:v>-9.1443186330665005E-2</c:v>
                </c:pt>
                <c:pt idx="3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5-706E-4F5C-AA49-D496CBABF325}"/>
            </c:ext>
          </c:extLst>
        </c:ser>
        <c:ser>
          <c:idx val="5"/>
          <c:order val="5"/>
          <c:tx>
            <c:strRef>
              <c:f>A!$AP$177</c:f>
              <c:strCache>
                <c:ptCount val="1"/>
                <c:pt idx="0">
                  <c:v>#I/T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99-706E-4F5C-AA49-D496CBABF325}"/>
              </c:ext>
            </c:extLst>
          </c:dPt>
          <c:dPt>
            <c:idx val="2"/>
            <c:bubble3D val="0"/>
            <c:spPr>
              <a:ln>
                <a:solidFill>
                  <a:srgbClr val="FF0000"/>
                </a:solidFill>
                <a:headEnd type="arrow" w="lg" len="lg"/>
              </a:ln>
            </c:spPr>
            <c:extLst>
              <c:ext xmlns:c16="http://schemas.microsoft.com/office/drawing/2014/chart" uri="{C3380CC4-5D6E-409C-BE32-E72D297353CC}">
                <c16:uniqueId val="{00000097-706E-4F5C-AA49-D496CBABF325}"/>
              </c:ext>
            </c:extLst>
          </c:dPt>
          <c:dPt>
            <c:idx val="4"/>
            <c:bubble3D val="0"/>
            <c:spPr>
              <a:ln>
                <a:solidFill>
                  <a:srgbClr val="FF0000"/>
                </a:solidFill>
                <a:headEnd type="none"/>
                <a:tailEnd type="arrow" w="lg" len="lg"/>
              </a:ln>
            </c:spPr>
            <c:extLst>
              <c:ext xmlns:c16="http://schemas.microsoft.com/office/drawing/2014/chart" uri="{C3380CC4-5D6E-409C-BE32-E72D297353CC}">
                <c16:uniqueId val="{00000098-706E-4F5C-AA49-D496CBABF325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6-706E-4F5C-AA49-D496CBABF32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9-706E-4F5C-AA49-D496CBABF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4451ACD-A37B-4B18-8CA6-BF5AAD58B2C5}" type="SERIESNAME">
                      <a:rPr lang="en-US" sz="1100"/>
                      <a:pPr/>
                      <a:t>[SERIENAVN]</a:t>
                    </a:fld>
                    <a:endParaRPr lang="da-DK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97-706E-4F5C-AA49-D496CBABF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EAD1D2D-0FFB-46E5-9A39-E8CF26568C49}" type="SERIESNAME">
                      <a:rPr lang="en-US" sz="1100"/>
                      <a:pPr/>
                      <a:t>[SERIENAVN]</a:t>
                    </a:fld>
                    <a:endParaRPr lang="da-DK"/>
                  </a:p>
                </c:rich>
              </c:tx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B5-706E-4F5C-AA49-D496CBABF325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8-706E-4F5C-AA49-D496CBABF325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A!$AP$178:$AT$178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A!$AP$179:$AT$179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0.2</c:v>
                </c:pt>
                <c:pt idx="3">
                  <c:v>0.2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6-706E-4F5C-AA49-D496CBABF325}"/>
            </c:ext>
          </c:extLst>
        </c:ser>
        <c:ser>
          <c:idx val="6"/>
          <c:order val="6"/>
          <c:tx>
            <c:v>Fladelast - pil 1</c:v>
          </c:tx>
          <c:spPr>
            <a:ln>
              <a:solidFill>
                <a:srgbClr val="FF0000"/>
              </a:solidFill>
              <a:headEnd type="arrow" w="lg" len="lg"/>
              <a:tailEnd type="none"/>
            </a:ln>
          </c:spPr>
          <c:marker>
            <c:symbol val="none"/>
          </c:marker>
          <c:xVal>
            <c:numRef>
              <c:f>A!$AV$178:$AW$178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A!$AV$179:$AW$179</c:f>
              <c:numCache>
                <c:formatCode>0.00</c:formatCode>
                <c:ptCount val="2"/>
                <c:pt idx="0">
                  <c:v>0</c:v>
                </c:pt>
                <c:pt idx="1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A-706E-4F5C-AA49-D496CBABF325}"/>
            </c:ext>
          </c:extLst>
        </c:ser>
        <c:ser>
          <c:idx val="7"/>
          <c:order val="7"/>
          <c:tx>
            <c:v>Fladelast - pil 2</c:v>
          </c:tx>
          <c:spPr>
            <a:ln>
              <a:solidFill>
                <a:srgbClr val="FF0000"/>
              </a:solidFill>
              <a:headEnd type="arrow" w="lg" len="lg"/>
            </a:ln>
          </c:spPr>
          <c:marker>
            <c:symbol val="none"/>
          </c:marker>
          <c:xVal>
            <c:numRef>
              <c:f>A!$AX$178:$AY$178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A!$AX$179:$AY$179</c:f>
              <c:numCache>
                <c:formatCode>0.00</c:formatCode>
                <c:ptCount val="2"/>
                <c:pt idx="0">
                  <c:v>0</c:v>
                </c:pt>
                <c:pt idx="1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B-706E-4F5C-AA49-D496CBABF325}"/>
            </c:ext>
          </c:extLst>
        </c:ser>
        <c:ser>
          <c:idx val="8"/>
          <c:order val="8"/>
          <c:tx>
            <c:v>Fladelast - pil 3</c:v>
          </c:tx>
          <c:spPr>
            <a:ln>
              <a:solidFill>
                <a:srgbClr val="FF0000"/>
              </a:solidFill>
              <a:headEnd type="arrow" w="lg" len="lg"/>
            </a:ln>
          </c:spPr>
          <c:marker>
            <c:symbol val="none"/>
          </c:marker>
          <c:xVal>
            <c:numRef>
              <c:f>A!$AZ$178:$BA$178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A!$AZ$179:$BA$179</c:f>
              <c:numCache>
                <c:formatCode>0.00</c:formatCode>
                <c:ptCount val="2"/>
                <c:pt idx="0">
                  <c:v>0</c:v>
                </c:pt>
                <c:pt idx="1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C-706E-4F5C-AA49-D496CBABF325}"/>
            </c:ext>
          </c:extLst>
        </c:ser>
        <c:ser>
          <c:idx val="9"/>
          <c:order val="9"/>
          <c:tx>
            <c:v>Fladelast - pil 4</c:v>
          </c:tx>
          <c:spPr>
            <a:ln>
              <a:solidFill>
                <a:srgbClr val="FF0000"/>
              </a:solidFill>
              <a:headEnd type="arrow" w="lg" len="lg"/>
            </a:ln>
          </c:spPr>
          <c:marker>
            <c:symbol val="none"/>
          </c:marker>
          <c:xVal>
            <c:numRef>
              <c:f>A!$BB$178:$BC$178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A!$BB$179:$BC$179</c:f>
              <c:numCache>
                <c:formatCode>0.00</c:formatCode>
                <c:ptCount val="2"/>
                <c:pt idx="0">
                  <c:v>0</c:v>
                </c:pt>
                <c:pt idx="1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D-706E-4F5C-AA49-D496CBABF325}"/>
            </c:ext>
          </c:extLst>
        </c:ser>
        <c:ser>
          <c:idx val="10"/>
          <c:order val="10"/>
          <c:tx>
            <c:strRef>
              <c:f>A!$AP$181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  <a:headEnd type="arrow" w="lg" len="lg"/>
              <a:tailEnd type="arrow" w="lg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F-706E-4F5C-AA49-D496CBABF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0FAE480-7842-4276-ABC5-58443C85DDF1}" type="SERIESNAME">
                      <a:rPr lang="en-US" sz="1100"/>
                      <a:pPr/>
                      <a:t>[SERIENAVN]</a:t>
                    </a:fld>
                    <a:endParaRPr lang="da-DK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B0-706E-4F5C-AA49-D496CBABF32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8-706E-4F5C-AA49-D496CBABF325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1-706E-4F5C-AA49-D496CBABF325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A!$AP$182:$AS$182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A!$AP$183:$AS$183</c:f>
              <c:numCache>
                <c:formatCode>0.00</c:formatCode>
                <c:ptCount val="4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E-706E-4F5C-AA49-D496CBABF325}"/>
            </c:ext>
          </c:extLst>
        </c:ser>
        <c:ser>
          <c:idx val="11"/>
          <c:order val="11"/>
          <c:tx>
            <c:strRef>
              <c:f>A!$AU$181</c:f>
              <c:strCache>
                <c:ptCount val="1"/>
                <c:pt idx="0">
                  <c:v>#VÆRDI!</c:v>
                </c:pt>
              </c:strCache>
            </c:strRef>
          </c:tx>
          <c:spPr>
            <a:ln>
              <a:solidFill>
                <a:srgbClr val="FF0000"/>
              </a:solidFill>
              <a:headEnd type="arrow" w="lg" len="lg"/>
              <a:tailEnd type="none"/>
            </a:ln>
          </c:spPr>
          <c:marker>
            <c:symbol val="none"/>
          </c:marker>
          <c:xVal>
            <c:numRef>
              <c:f>A!$AU$182:$AV$182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A!$AU$183:$AV$183</c:f>
              <c:numCache>
                <c:formatCode>0.00</c:formatCode>
                <c:ptCount val="2"/>
                <c:pt idx="0">
                  <c:v>0.2</c:v>
                </c:pt>
                <c:pt idx="1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F-706E-4F5C-AA49-D496CBABF325}"/>
            </c:ext>
          </c:extLst>
        </c:ser>
        <c:ser>
          <c:idx val="12"/>
          <c:order val="12"/>
          <c:tx>
            <c:strRef>
              <c:f>A!$AX$181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  <a:headEnd type="arrow" w="lg" len="lg"/>
              <a:tailEnd type="arrow" w="lg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E-706E-4F5C-AA49-D496CBABF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CA97C71-CACD-47C2-9BC5-681E7F6F25B6}" type="SERIESNAME">
                      <a:rPr lang="en-US" sz="1100"/>
                      <a:pPr/>
                      <a:t>[SERIENAVN]</a:t>
                    </a:fld>
                    <a:endParaRPr lang="da-DK"/>
                  </a:p>
                </c:rich>
              </c:tx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B9-706E-4F5C-AA49-D496CBABF32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C-706E-4F5C-AA49-D496CBABF325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D-706E-4F5C-AA49-D496CBABF325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A!$AX$182:$BA$182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A!$AX$183:$BA$183</c:f>
              <c:numCache>
                <c:formatCode>0.00</c:formatCode>
                <c:ptCount val="4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0-706E-4F5C-AA49-D496CBABF325}"/>
            </c:ext>
          </c:extLst>
        </c:ser>
        <c:ser>
          <c:idx val="13"/>
          <c:order val="13"/>
          <c:tx>
            <c:strRef>
              <c:f>A!$BC$181</c:f>
              <c:strCache>
                <c:ptCount val="1"/>
                <c:pt idx="0">
                  <c:v>#VÆRDI!</c:v>
                </c:pt>
              </c:strCache>
            </c:strRef>
          </c:tx>
          <c:spPr>
            <a:ln>
              <a:solidFill>
                <a:srgbClr val="FF0000"/>
              </a:solidFill>
              <a:headEnd type="arrow" w="lg" len="lg"/>
              <a:tailEnd type="none"/>
            </a:ln>
          </c:spPr>
          <c:marker>
            <c:symbol val="none"/>
          </c:marker>
          <c:xVal>
            <c:numRef>
              <c:f>A!$BC$182:$BD$182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A!$BC$183:$BD$183</c:f>
              <c:numCache>
                <c:formatCode>0.00</c:formatCode>
                <c:ptCount val="2"/>
                <c:pt idx="0">
                  <c:v>0.2</c:v>
                </c:pt>
                <c:pt idx="1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1-706E-4F5C-AA49-D496CBABF325}"/>
            </c:ext>
          </c:extLst>
        </c:ser>
        <c:ser>
          <c:idx val="14"/>
          <c:order val="14"/>
          <c:tx>
            <c:strRef>
              <c:f>A!$AP$185</c:f>
              <c:strCache>
                <c:ptCount val="1"/>
                <c:pt idx="0">
                  <c:v>#I/T</c:v>
                </c:pt>
              </c:strCache>
            </c:strRef>
          </c:tx>
          <c:spPr>
            <a:ln>
              <a:solidFill>
                <a:srgbClr val="FF0000"/>
              </a:solidFill>
              <a:headEnd type="arrow" w="lg" len="lg"/>
              <a:tailEnd type="arrow" w="lg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2-706E-4F5C-AA49-D496CBABF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C33C80A-95F7-4448-B12D-DE9AA8740AE1}" type="SERIESNAME">
                      <a:rPr lang="en-US" sz="1100"/>
                      <a:pPr/>
                      <a:t>[SERIENAVN]</a:t>
                    </a:fld>
                    <a:endParaRPr lang="da-DK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B3-706E-4F5C-AA49-D496CBABF32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7-706E-4F5C-AA49-D496CBABF325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4-706E-4F5C-AA49-D496CBABF325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A!$AP$186:$AS$186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A!$AP$187:$AS$187</c:f>
              <c:numCache>
                <c:formatCode>0.00</c:formatCode>
                <c:ptCount val="4"/>
                <c:pt idx="0">
                  <c:v>0.2</c:v>
                </c:pt>
                <c:pt idx="1">
                  <c:v>#N/A</c:v>
                </c:pt>
                <c:pt idx="2">
                  <c:v>#N/A</c:v>
                </c:pt>
                <c:pt idx="3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2-706E-4F5C-AA49-D496CBABF325}"/>
            </c:ext>
          </c:extLst>
        </c:ser>
        <c:ser>
          <c:idx val="15"/>
          <c:order val="15"/>
          <c:tx>
            <c:strRef>
              <c:f>A!$AU$185</c:f>
              <c:strCache>
                <c:ptCount val="1"/>
                <c:pt idx="0">
                  <c:v>#I/T</c:v>
                </c:pt>
              </c:strCache>
            </c:strRef>
          </c:tx>
          <c:spPr>
            <a:ln>
              <a:solidFill>
                <a:srgbClr val="FF0000"/>
              </a:solidFill>
              <a:headEnd type="arrow" w="lg" len="lg"/>
            </a:ln>
          </c:spPr>
          <c:marker>
            <c:symbol val="none"/>
          </c:marker>
          <c:xVal>
            <c:numRef>
              <c:f>A!$AU$186:$AV$186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A!$AU$187:$AV$187</c:f>
              <c:numCache>
                <c:formatCode>0.00</c:formatCode>
                <c:ptCount val="2"/>
                <c:pt idx="0">
                  <c:v>0.2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3-706E-4F5C-AA49-D496CBABF325}"/>
            </c:ext>
          </c:extLst>
        </c:ser>
        <c:ser>
          <c:idx val="16"/>
          <c:order val="16"/>
          <c:tx>
            <c:strRef>
              <c:f>A!$AX$185</c:f>
              <c:strCache>
                <c:ptCount val="1"/>
                <c:pt idx="0">
                  <c:v>#I/T</c:v>
                </c:pt>
              </c:strCache>
            </c:strRef>
          </c:tx>
          <c:spPr>
            <a:ln>
              <a:solidFill>
                <a:srgbClr val="FF0000"/>
              </a:solidFill>
              <a:headEnd type="arrow" w="lg" len="lg"/>
              <a:tailEnd type="arrow" w="lg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B-706E-4F5C-AA49-D496CBABF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80B91D1-F405-4D83-AA46-F620C5CEDE4A}" type="SERIESNAME">
                      <a:rPr lang="en-US" sz="1100"/>
                      <a:pPr/>
                      <a:t>[SERIENAVN]</a:t>
                    </a:fld>
                    <a:endParaRPr lang="da-DK"/>
                  </a:p>
                </c:rich>
              </c:tx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A8-706E-4F5C-AA49-D496CBABF32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A-706E-4F5C-AA49-D496CBABF325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9-706E-4F5C-AA49-D496CBABF325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A!$AX$186:$BA$186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A!$AX$187:$BA$187</c:f>
              <c:numCache>
                <c:formatCode>0.00</c:formatCode>
                <c:ptCount val="4"/>
                <c:pt idx="0">
                  <c:v>0.2</c:v>
                </c:pt>
                <c:pt idx="1">
                  <c:v>#N/A</c:v>
                </c:pt>
                <c:pt idx="2">
                  <c:v>#N/A</c:v>
                </c:pt>
                <c:pt idx="3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4-706E-4F5C-AA49-D496CBABF325}"/>
            </c:ext>
          </c:extLst>
        </c:ser>
        <c:ser>
          <c:idx val="17"/>
          <c:order val="17"/>
          <c:tx>
            <c:strRef>
              <c:f>A!$BC$185</c:f>
              <c:strCache>
                <c:ptCount val="1"/>
                <c:pt idx="0">
                  <c:v>#I/T</c:v>
                </c:pt>
              </c:strCache>
            </c:strRef>
          </c:tx>
          <c:spPr>
            <a:ln>
              <a:solidFill>
                <a:srgbClr val="FF0000"/>
              </a:solidFill>
              <a:headEnd type="arrow" w="lg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6-706E-4F5C-AA49-D496CBABF32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7-706E-4F5C-AA49-D496CBABF325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t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A!$BC$186:$BD$186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A!$BC$187:$BD$187</c:f>
              <c:numCache>
                <c:formatCode>0.00</c:formatCode>
                <c:ptCount val="2"/>
                <c:pt idx="0">
                  <c:v>0.2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5-706E-4F5C-AA49-D496CBABF325}"/>
            </c:ext>
          </c:extLst>
        </c:ser>
        <c:ser>
          <c:idx val="19"/>
          <c:order val="19"/>
          <c:tx>
            <c:v>Streg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5769-4820-86EB-5501B208414A}"/>
              </c:ext>
            </c:extLst>
          </c:dPt>
          <c:xVal>
            <c:numRef>
              <c:f>A!$AZ$162:$BA$162</c:f>
              <c:numCache>
                <c:formatCode>0.00</c:formatCode>
                <c:ptCount val="2"/>
                <c:pt idx="0" formatCode="General">
                  <c:v>-0.05</c:v>
                </c:pt>
                <c:pt idx="1">
                  <c:v>-0.1</c:v>
                </c:pt>
              </c:numCache>
            </c:numRef>
          </c:xVal>
          <c:yVal>
            <c:numRef>
              <c:f>A!$AZ$163:$BA$163</c:f>
              <c:numCache>
                <c:formatCode>0.00</c:formatCode>
                <c:ptCount val="2"/>
                <c:pt idx="0" formatCode="0.000">
                  <c:v>-9.1443186330665005E-2</c:v>
                </c:pt>
                <c:pt idx="1">
                  <c:v>-0.15240531055110834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5769-4820-86EB-5501B208414A}"/>
            </c:ext>
          </c:extLst>
        </c:ser>
        <c:ser>
          <c:idx val="20"/>
          <c:order val="20"/>
          <c:tx>
            <c:v>streg 2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5769-4820-86EB-5501B208414A}"/>
              </c:ext>
            </c:extLst>
          </c:dPt>
          <c:xVal>
            <c:numRef>
              <c:f>A!$BB$162:$BC$162</c:f>
              <c:numCache>
                <c:formatCode>0.00</c:formatCode>
                <c:ptCount val="2"/>
                <c:pt idx="0" formatCode="General">
                  <c:v>0.05</c:v>
                </c:pt>
                <c:pt idx="1">
                  <c:v>0</c:v>
                </c:pt>
              </c:numCache>
            </c:numRef>
          </c:xVal>
          <c:yVal>
            <c:numRef>
              <c:f>A!$BB$163:$BC$163</c:f>
              <c:numCache>
                <c:formatCode>0.00</c:formatCode>
                <c:ptCount val="2"/>
                <c:pt idx="0">
                  <c:v>-9.1443186330665005E-2</c:v>
                </c:pt>
                <c:pt idx="1">
                  <c:v>-0.15240531055110834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5769-4820-86EB-5501B208414A}"/>
            </c:ext>
          </c:extLst>
        </c:ser>
        <c:ser>
          <c:idx val="21"/>
          <c:order val="21"/>
          <c:tx>
            <c:v>streg 3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A!$BD$162:$BE$162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-4.9999999999999996E-2</c:v>
                </c:pt>
              </c:numCache>
            </c:numRef>
          </c:xVal>
          <c:yVal>
            <c:numRef>
              <c:f>A!$BD$163:$BE$163</c:f>
              <c:numCache>
                <c:formatCode>0.00</c:formatCode>
                <c:ptCount val="2"/>
                <c:pt idx="0">
                  <c:v>-9.1443186330665005E-2</c:v>
                </c:pt>
                <c:pt idx="1">
                  <c:v>-0.15240531055110834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5769-4820-86EB-5501B208414A}"/>
            </c:ext>
          </c:extLst>
        </c:ser>
        <c:ser>
          <c:idx val="22"/>
          <c:order val="22"/>
          <c:tx>
            <c:v>Cirkel 1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A!$AS$168:$CC$168</c:f>
              <c:numCache>
                <c:formatCode>0.000</c:formatCode>
                <c:ptCount val="3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</c:numCache>
            </c:numRef>
          </c:xVal>
          <c:yVal>
            <c:numRef>
              <c:f>A!$AS$169:$CC$169</c:f>
              <c:numCache>
                <c:formatCode>0.000</c:formatCode>
                <c:ptCount val="37"/>
                <c:pt idx="0">
                  <c:v>-0.11019318633066501</c:v>
                </c:pt>
                <c:pt idx="1">
                  <c:v>-0.10693728299941006</c:v>
                </c:pt>
                <c:pt idx="2">
                  <c:v>-0.10378030864330871</c:v>
                </c:pt>
                <c:pt idx="3">
                  <c:v>-0.10081818633066501</c:v>
                </c:pt>
                <c:pt idx="4">
                  <c:v>-9.8140918649042397E-2</c:v>
                </c:pt>
                <c:pt idx="5">
                  <c:v>-9.5829853022184164E-2</c:v>
                </c:pt>
                <c:pt idx="6">
                  <c:v>-9.3955210009706788E-2</c:v>
                </c:pt>
                <c:pt idx="7">
                  <c:v>-9.2573949690929219E-2</c:v>
                </c:pt>
                <c:pt idx="8">
                  <c:v>-9.1728040961686103E-2</c:v>
                </c:pt>
                <c:pt idx="9">
                  <c:v>-9.1443186330665005E-2</c:v>
                </c:pt>
                <c:pt idx="10">
                  <c:v>-9.1728040961686103E-2</c:v>
                </c:pt>
                <c:pt idx="11">
                  <c:v>-9.2573949690929219E-2</c:v>
                </c:pt>
                <c:pt idx="12">
                  <c:v>-9.3955210009706774E-2</c:v>
                </c:pt>
                <c:pt idx="13">
                  <c:v>-9.5829853022184164E-2</c:v>
                </c:pt>
                <c:pt idx="14">
                  <c:v>-9.8140918649042397E-2</c:v>
                </c:pt>
                <c:pt idx="15">
                  <c:v>-0.10081818633066501</c:v>
                </c:pt>
                <c:pt idx="16">
                  <c:v>-0.10378030864330871</c:v>
                </c:pt>
                <c:pt idx="17">
                  <c:v>-0.10693728299941006</c:v>
                </c:pt>
                <c:pt idx="18">
                  <c:v>-0.11019318633066501</c:v>
                </c:pt>
                <c:pt idx="19">
                  <c:v>-0.11344908966191995</c:v>
                </c:pt>
                <c:pt idx="20">
                  <c:v>-0.11660606401802129</c:v>
                </c:pt>
                <c:pt idx="21">
                  <c:v>-0.11956818633066502</c:v>
                </c:pt>
                <c:pt idx="22">
                  <c:v>-0.12224545401228762</c:v>
                </c:pt>
                <c:pt idx="23">
                  <c:v>-0.12455651963914584</c:v>
                </c:pt>
                <c:pt idx="24">
                  <c:v>-0.12643116265162324</c:v>
                </c:pt>
                <c:pt idx="25">
                  <c:v>-0.1278124229704008</c:v>
                </c:pt>
                <c:pt idx="26">
                  <c:v>-0.12865833169964391</c:v>
                </c:pt>
                <c:pt idx="27">
                  <c:v>-0.12894318633066501</c:v>
                </c:pt>
                <c:pt idx="28">
                  <c:v>-0.12865833169964391</c:v>
                </c:pt>
                <c:pt idx="29">
                  <c:v>-0.1278124229704008</c:v>
                </c:pt>
                <c:pt idx="30">
                  <c:v>-0.12643116265162324</c:v>
                </c:pt>
                <c:pt idx="31">
                  <c:v>-0.12455651963914585</c:v>
                </c:pt>
                <c:pt idx="32">
                  <c:v>-0.12224545401228762</c:v>
                </c:pt>
                <c:pt idx="33">
                  <c:v>-0.11956818633066502</c:v>
                </c:pt>
                <c:pt idx="34">
                  <c:v>-0.11660606401802129</c:v>
                </c:pt>
                <c:pt idx="35">
                  <c:v>-0.11344908966191995</c:v>
                </c:pt>
                <c:pt idx="36">
                  <c:v>-0.11019318633066501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5769-4820-86EB-5501B208414A}"/>
            </c:ext>
          </c:extLst>
        </c:ser>
        <c:ser>
          <c:idx val="23"/>
          <c:order val="23"/>
          <c:tx>
            <c:v>Cirkel 2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A!$AS$167:$CC$167</c:f>
              <c:numCache>
                <c:formatCode>0.000</c:formatCode>
                <c:ptCount val="3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</c:numCache>
            </c:numRef>
          </c:xVal>
          <c:yVal>
            <c:numRef>
              <c:f>A!$AS$169:$CC$169</c:f>
              <c:numCache>
                <c:formatCode>0.000</c:formatCode>
                <c:ptCount val="37"/>
                <c:pt idx="0">
                  <c:v>-0.11019318633066501</c:v>
                </c:pt>
                <c:pt idx="1">
                  <c:v>-0.10693728299941006</c:v>
                </c:pt>
                <c:pt idx="2">
                  <c:v>-0.10378030864330871</c:v>
                </c:pt>
                <c:pt idx="3">
                  <c:v>-0.10081818633066501</c:v>
                </c:pt>
                <c:pt idx="4">
                  <c:v>-9.8140918649042397E-2</c:v>
                </c:pt>
                <c:pt idx="5">
                  <c:v>-9.5829853022184164E-2</c:v>
                </c:pt>
                <c:pt idx="6">
                  <c:v>-9.3955210009706788E-2</c:v>
                </c:pt>
                <c:pt idx="7">
                  <c:v>-9.2573949690929219E-2</c:v>
                </c:pt>
                <c:pt idx="8">
                  <c:v>-9.1728040961686103E-2</c:v>
                </c:pt>
                <c:pt idx="9">
                  <c:v>-9.1443186330665005E-2</c:v>
                </c:pt>
                <c:pt idx="10">
                  <c:v>-9.1728040961686103E-2</c:v>
                </c:pt>
                <c:pt idx="11">
                  <c:v>-9.2573949690929219E-2</c:v>
                </c:pt>
                <c:pt idx="12">
                  <c:v>-9.3955210009706774E-2</c:v>
                </c:pt>
                <c:pt idx="13">
                  <c:v>-9.5829853022184164E-2</c:v>
                </c:pt>
                <c:pt idx="14">
                  <c:v>-9.8140918649042397E-2</c:v>
                </c:pt>
                <c:pt idx="15">
                  <c:v>-0.10081818633066501</c:v>
                </c:pt>
                <c:pt idx="16">
                  <c:v>-0.10378030864330871</c:v>
                </c:pt>
                <c:pt idx="17">
                  <c:v>-0.10693728299941006</c:v>
                </c:pt>
                <c:pt idx="18">
                  <c:v>-0.11019318633066501</c:v>
                </c:pt>
                <c:pt idx="19">
                  <c:v>-0.11344908966191995</c:v>
                </c:pt>
                <c:pt idx="20">
                  <c:v>-0.11660606401802129</c:v>
                </c:pt>
                <c:pt idx="21">
                  <c:v>-0.11956818633066502</c:v>
                </c:pt>
                <c:pt idx="22">
                  <c:v>-0.12224545401228762</c:v>
                </c:pt>
                <c:pt idx="23">
                  <c:v>-0.12455651963914584</c:v>
                </c:pt>
                <c:pt idx="24">
                  <c:v>-0.12643116265162324</c:v>
                </c:pt>
                <c:pt idx="25">
                  <c:v>-0.1278124229704008</c:v>
                </c:pt>
                <c:pt idx="26">
                  <c:v>-0.12865833169964391</c:v>
                </c:pt>
                <c:pt idx="27">
                  <c:v>-0.12894318633066501</c:v>
                </c:pt>
                <c:pt idx="28">
                  <c:v>-0.12865833169964391</c:v>
                </c:pt>
                <c:pt idx="29">
                  <c:v>-0.1278124229704008</c:v>
                </c:pt>
                <c:pt idx="30">
                  <c:v>-0.12643116265162324</c:v>
                </c:pt>
                <c:pt idx="31">
                  <c:v>-0.12455651963914585</c:v>
                </c:pt>
                <c:pt idx="32">
                  <c:v>-0.12224545401228762</c:v>
                </c:pt>
                <c:pt idx="33">
                  <c:v>-0.11956818633066502</c:v>
                </c:pt>
                <c:pt idx="34">
                  <c:v>-0.11660606401802129</c:v>
                </c:pt>
                <c:pt idx="35">
                  <c:v>-0.11344908966191995</c:v>
                </c:pt>
                <c:pt idx="36">
                  <c:v>-0.11019318633066501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5769-4820-86EB-5501B208414A}"/>
            </c:ext>
          </c:extLst>
        </c:ser>
        <c:ser>
          <c:idx val="24"/>
          <c:order val="24"/>
          <c:tx>
            <c:v>streg 4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A!$BF$162:$BG$162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A!$BF$163:$BG$163</c:f>
              <c:numCache>
                <c:formatCode>0.00</c:formatCode>
                <c:ptCount val="2"/>
                <c:pt idx="0">
                  <c:v>-0.12894318633066501</c:v>
                </c:pt>
                <c:pt idx="1">
                  <c:v>-0.12894318633066501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5769-4820-86EB-5501B208414A}"/>
            </c:ext>
          </c:extLst>
        </c:ser>
        <c:ser>
          <c:idx val="25"/>
          <c:order val="25"/>
          <c:tx>
            <c:v>streg 5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5769-4820-86EB-5501B208414A}"/>
              </c:ext>
            </c:extLst>
          </c:dPt>
          <c:xVal>
            <c:numRef>
              <c:f>A!$BH$162:$BI$162</c:f>
              <c:numCache>
                <c:formatCode>@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A!$BH$163:$BI$163</c:f>
              <c:numCache>
                <c:formatCode>0.000</c:formatCode>
                <c:ptCount val="2"/>
                <c:pt idx="0" formatCode="0.00">
                  <c:v>-0.12894318633066501</c:v>
                </c:pt>
                <c:pt idx="1">
                  <c:v>-0.18990531055110835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5769-4820-86EB-5501B208414A}"/>
            </c:ext>
          </c:extLst>
        </c:ser>
        <c:ser>
          <c:idx val="26"/>
          <c:order val="26"/>
          <c:tx>
            <c:v>streg 6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A!$BJ$162:$BK$162</c:f>
              <c:numCache>
                <c:formatCode>@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A!$BJ$163:$BK$163</c:f>
              <c:numCache>
                <c:formatCode>0.000</c:formatCode>
                <c:ptCount val="2"/>
                <c:pt idx="0" formatCode="0.00">
                  <c:v>-0.12894318633066501</c:v>
                </c:pt>
                <c:pt idx="1">
                  <c:v>-0.18990531055110835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5769-4820-86EB-5501B208414A}"/>
            </c:ext>
          </c:extLst>
        </c:ser>
        <c:ser>
          <c:idx val="27"/>
          <c:order val="27"/>
          <c:tx>
            <c:v>streg 7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A!$BL$162:$BM$162</c:f>
              <c:numCache>
                <c:formatCode>General</c:formatCode>
                <c:ptCount val="2"/>
                <c:pt idx="0" formatCode="0.0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A!$BL$163:$BM$163</c:f>
              <c:numCache>
                <c:formatCode>0.00</c:formatCode>
                <c:ptCount val="2"/>
                <c:pt idx="0">
                  <c:v>-0.12894318633066501</c:v>
                </c:pt>
                <c:pt idx="1">
                  <c:v>-0.18990531055110835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5769-4820-86EB-5501B20841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4995952"/>
        <c:axId val="924997200"/>
        <c:extLst>
          <c:ext xmlns:c15="http://schemas.microsoft.com/office/drawing/2012/chart" uri="{02D57815-91ED-43cb-92C2-25804820EDAC}">
            <c15:filteredScatterSeries>
              <c15:ser>
                <c:idx val="18"/>
                <c:order val="18"/>
                <c:tx>
                  <c:v>Målkæde</c:v>
                </c:tx>
                <c:spPr>
                  <a:ln cmpd="sng">
                    <a:solidFill>
                      <a:schemeClr val="tx1"/>
                    </a:solidFill>
                    <a:headEnd type="none" w="sm" len="sm"/>
                    <a:tailEnd type="none" w="sm" len="sm"/>
                  </a:ln>
                </c:spPr>
                <c:marker>
                  <c:symbol val="none"/>
                </c:marker>
                <c:dPt>
                  <c:idx val="0"/>
                  <c:bubble3D val="0"/>
                  <c:spPr>
                    <a:ln cmpd="sng">
                      <a:solidFill>
                        <a:schemeClr val="tx1"/>
                      </a:solidFill>
                      <a:headEnd type="triangle" w="sm" len="sm"/>
                      <a:tailEnd type="none" w="sm" len="sm"/>
                    </a:ln>
                  </c:spPr>
                  <c:extLst>
                    <c:ext xmlns:c16="http://schemas.microsoft.com/office/drawing/2014/chart" uri="{C3380CC4-5D6E-409C-BE32-E72D297353CC}">
                      <c16:uniqueId val="{000000BD-706E-4F5C-AA49-D496CBABF325}"/>
                    </c:ext>
                  </c:extLst>
                </c:dPt>
                <c:dPt>
                  <c:idx val="1"/>
                  <c:bubble3D val="0"/>
                  <c:spPr>
                    <a:ln cmpd="sng">
                      <a:solidFill>
                        <a:schemeClr val="tx1"/>
                      </a:solidFill>
                      <a:headEnd type="triangle" w="sm" len="sm"/>
                      <a:tailEnd type="triangle" w="sm" len="sm"/>
                    </a:ln>
                  </c:spPr>
                  <c:extLst>
                    <c:ext xmlns:c16="http://schemas.microsoft.com/office/drawing/2014/chart" uri="{C3380CC4-5D6E-409C-BE32-E72D297353CC}">
                      <c16:uniqueId val="{000000BB-706E-4F5C-AA49-D496CBABF325}"/>
                    </c:ext>
                  </c:extLst>
                </c:dPt>
                <c:dPt>
                  <c:idx val="2"/>
                  <c:bubble3D val="0"/>
                  <c:spPr>
                    <a:ln cmpd="sng">
                      <a:solidFill>
                        <a:schemeClr val="tx1"/>
                      </a:solidFill>
                      <a:headEnd type="triangle" w="sm" len="sm"/>
                      <a:tailEnd type="triangle" w="sm" len="sm"/>
                    </a:ln>
                  </c:spPr>
                  <c:extLst>
                    <c:ext xmlns:c16="http://schemas.microsoft.com/office/drawing/2014/chart" uri="{C3380CC4-5D6E-409C-BE32-E72D297353CC}">
                      <c16:uniqueId val="{000000BE-706E-4F5C-AA49-D496CBABF325}"/>
                    </c:ext>
                  </c:extLst>
                </c:dPt>
                <c:dPt>
                  <c:idx val="3"/>
                  <c:bubble3D val="0"/>
                  <c:spPr>
                    <a:ln cmpd="sng">
                      <a:solidFill>
                        <a:schemeClr val="tx1"/>
                      </a:solidFill>
                      <a:headEnd type="triangle" w="sm" len="sm"/>
                      <a:tailEnd type="triangle" w="sm" len="sm"/>
                    </a:ln>
                  </c:spPr>
                  <c:extLst>
                    <c:ext xmlns:c16="http://schemas.microsoft.com/office/drawing/2014/chart" uri="{C3380CC4-5D6E-409C-BE32-E72D297353CC}">
                      <c16:uniqueId val="{000000BC-706E-4F5C-AA49-D496CBABF325}"/>
                    </c:ext>
                  </c:extLst>
                </c:dPt>
                <c:dPt>
                  <c:idx val="4"/>
                  <c:bubble3D val="0"/>
                  <c:spPr>
                    <a:ln cmpd="sng">
                      <a:solidFill>
                        <a:schemeClr val="tx1"/>
                      </a:solidFill>
                      <a:headEnd type="triangle" w="sm" len="sm"/>
                      <a:tailEnd type="triangle" w="sm" len="sm"/>
                    </a:ln>
                  </c:spPr>
                  <c:extLst>
                    <c:ext xmlns:c16="http://schemas.microsoft.com/office/drawing/2014/chart" uri="{C3380CC4-5D6E-409C-BE32-E72D297353CC}">
                      <c16:uniqueId val="{000000BF-706E-4F5C-AA49-D496CBABF325}"/>
                    </c:ext>
                  </c:extLst>
                </c:dPt>
                <c:dPt>
                  <c:idx val="5"/>
                  <c:bubble3D val="0"/>
                  <c:spPr>
                    <a:ln cmpd="sng">
                      <a:solidFill>
                        <a:schemeClr val="tx1"/>
                      </a:solidFill>
                      <a:headEnd type="triangle" w="sm" len="sm"/>
                      <a:tailEnd type="triangle" w="sm" len="sm"/>
                    </a:ln>
                  </c:spPr>
                  <c:extLst>
                    <c:ext xmlns:c16="http://schemas.microsoft.com/office/drawing/2014/chart" uri="{C3380CC4-5D6E-409C-BE32-E72D297353CC}">
                      <c16:uniqueId val="{000000C0-706E-4F5C-AA49-D496CBABF325}"/>
                    </c:ext>
                  </c:extLst>
                </c:dPt>
                <c:dPt>
                  <c:idx val="7"/>
                  <c:bubble3D val="0"/>
                  <c:spPr>
                    <a:ln cmpd="sng">
                      <a:solidFill>
                        <a:schemeClr val="tx1"/>
                      </a:solidFill>
                      <a:headEnd type="triangle" w="sm" len="sm"/>
                      <a:tailEnd type="none" w="sm" len="sm"/>
                    </a:ln>
                  </c:spPr>
                  <c:extLst>
                    <c:ext xmlns:c16="http://schemas.microsoft.com/office/drawing/2014/chart" uri="{C3380CC4-5D6E-409C-BE32-E72D297353CC}">
                      <c16:uniqueId val="{000000C2-706E-4F5C-AA49-D496CBABF325}"/>
                    </c:ext>
                  </c:extLst>
                </c:dPt>
                <c:dPt>
                  <c:idx val="9"/>
                  <c:bubble3D val="0"/>
                  <c:spPr>
                    <a:ln cmpd="sng">
                      <a:solidFill>
                        <a:schemeClr val="tx1"/>
                      </a:solidFill>
                      <a:headEnd type="triangle" w="sm" len="sm"/>
                      <a:tailEnd type="none" w="sm" len="sm"/>
                    </a:ln>
                  </c:spPr>
                  <c:extLst>
                    <c:ext xmlns:c16="http://schemas.microsoft.com/office/drawing/2014/chart" uri="{C3380CC4-5D6E-409C-BE32-E72D297353CC}">
                      <c16:uniqueId val="{000000C4-706E-4F5C-AA49-D496CBABF325}"/>
                    </c:ext>
                  </c:extLst>
                </c:dPt>
                <c:xVal>
                  <c:numRef>
                    <c:extLst>
                      <c:ext uri="{02D57815-91ED-43cb-92C2-25804820EDAC}">
                        <c15:formulaRef>
                          <c15:sqref>A!$AT$173:$BC$173</c15:sqref>
                        </c15:formulaRef>
                      </c:ext>
                    </c:extLst>
                    <c:numCache>
                      <c:formatCode>0.000</c:formatCode>
                      <c:ptCount val="10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A!$AT$174:$BC$174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-0.5</c:v>
                      </c:pt>
                      <c:pt idx="1">
                        <c:v>-0.5</c:v>
                      </c:pt>
                      <c:pt idx="2">
                        <c:v>-0.5</c:v>
                      </c:pt>
                      <c:pt idx="3">
                        <c:v>-0.5</c:v>
                      </c:pt>
                      <c:pt idx="4">
                        <c:v>-0.5</c:v>
                      </c:pt>
                      <c:pt idx="5">
                        <c:v>-0.5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BA-706E-4F5C-AA49-D496CBABF325}"/>
                  </c:ext>
                </c:extLst>
              </c15:ser>
            </c15:filteredScatterSeries>
          </c:ext>
        </c:extLst>
      </c:scatterChart>
      <c:valAx>
        <c:axId val="924995952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924997200"/>
        <c:crosses val="max"/>
        <c:crossBetween val="midCat"/>
        <c:majorUnit val="0.1"/>
      </c:valAx>
      <c:valAx>
        <c:axId val="924997200"/>
        <c:scaling>
          <c:orientation val="minMax"/>
        </c:scaling>
        <c:delete val="1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924995952"/>
        <c:crosses val="max"/>
        <c:crossBetween val="midCat"/>
        <c:majorUnit val="0.1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547151198597696E-2"/>
          <c:y val="5.2245078740157491E-2"/>
          <c:w val="0.9528320081231898"/>
          <c:h val="0.89554790026246722"/>
        </c:manualLayout>
      </c:layout>
      <c:scatterChart>
        <c:scatterStyle val="lineMarker"/>
        <c:varyColors val="0"/>
        <c:ser>
          <c:idx val="0"/>
          <c:order val="0"/>
          <c:tx>
            <c:v>Bjælke</c:v>
          </c:tx>
          <c:spPr>
            <a:ln>
              <a:solidFill>
                <a:schemeClr val="tx1"/>
              </a:solidFill>
              <a:headEnd type="none"/>
            </a:ln>
          </c:spPr>
          <c:marker>
            <c:symbol val="none"/>
          </c:marker>
          <c:dPt>
            <c:idx val="0"/>
            <c:bubble3D val="0"/>
            <c:spPr>
              <a:ln>
                <a:solidFill>
                  <a:schemeClr val="tx1"/>
                </a:solidFill>
                <a:headEnd type="none"/>
                <a:tailEnd type="stealth"/>
              </a:ln>
            </c:spPr>
            <c:extLst>
              <c:ext xmlns:c16="http://schemas.microsoft.com/office/drawing/2014/chart" uri="{C3380CC4-5D6E-409C-BE32-E72D297353CC}">
                <c16:uniqueId val="{00000054-5180-43BA-9AF7-F1E5020CC409}"/>
              </c:ext>
            </c:extLst>
          </c:dPt>
          <c:xVal>
            <c:numRef>
              <c:f>A!$AP$220:$AQ$220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xVal>
          <c:yVal>
            <c:numRef>
              <c:f>A!$AP$221:$AQ$221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80-43BA-9AF7-F1E5020CC409}"/>
            </c:ext>
          </c:extLst>
        </c:ser>
        <c:ser>
          <c:idx val="1"/>
          <c:order val="1"/>
          <c:tx>
            <c:v>Understøtning, V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A!$AR$220:$AU$220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 formatCode="0.00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A!$AR$221:$AU$221</c:f>
              <c:numCache>
                <c:formatCode>0.000</c:formatCode>
                <c:ptCount val="4"/>
                <c:pt idx="0" formatCode="General">
                  <c:v>0</c:v>
                </c:pt>
                <c:pt idx="1">
                  <c:v>-7.3154549064532004E-2</c:v>
                </c:pt>
                <c:pt idx="2">
                  <c:v>-7.3154549064532004E-2</c:v>
                </c:pt>
                <c:pt idx="3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80-43BA-9AF7-F1E5020CC409}"/>
            </c:ext>
          </c:extLst>
        </c:ser>
        <c:ser>
          <c:idx val="4"/>
          <c:order val="2"/>
          <c:tx>
            <c:v>Understøtning, H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A!$AV$220:$AY$220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 formatCode="0.00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A!$AV$221:$AY$221</c:f>
              <c:numCache>
                <c:formatCode>0.000</c:formatCode>
                <c:ptCount val="4"/>
                <c:pt idx="0" formatCode="General">
                  <c:v>0</c:v>
                </c:pt>
                <c:pt idx="1">
                  <c:v>-7.3154549064532004E-2</c:v>
                </c:pt>
                <c:pt idx="2">
                  <c:v>-7.3154549064532004E-2</c:v>
                </c:pt>
                <c:pt idx="3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180-43BA-9AF7-F1E5020CC409}"/>
            </c:ext>
          </c:extLst>
        </c:ser>
        <c:ser>
          <c:idx val="5"/>
          <c:order val="3"/>
          <c:tx>
            <c:strRef>
              <c:f>A!$AP$235</c:f>
              <c:strCache>
                <c:ptCount val="1"/>
                <c:pt idx="0">
                  <c:v>#I/T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dPt>
            <c:idx val="1"/>
            <c:bubble3D val="0"/>
            <c:spPr>
              <a:ln>
                <a:solidFill>
                  <a:srgbClr val="FF0000"/>
                </a:solidFill>
                <a:headEnd type="arrow" w="lg" len="lg"/>
              </a:ln>
            </c:spPr>
            <c:extLst>
              <c:ext xmlns:c16="http://schemas.microsoft.com/office/drawing/2014/chart" uri="{C3380CC4-5D6E-409C-BE32-E72D297353CC}">
                <c16:uniqueId val="{0000000B-5180-43BA-9AF7-F1E5020CC409}"/>
              </c:ext>
            </c:extLst>
          </c:dPt>
          <c:dPt>
            <c:idx val="3"/>
            <c:bubble3D val="0"/>
            <c:spPr>
              <a:ln>
                <a:solidFill>
                  <a:srgbClr val="FF0000"/>
                </a:solidFill>
                <a:headEnd w="lg" len="lg"/>
                <a:tailEnd type="arrow" w="lg" len="lg"/>
              </a:ln>
            </c:spPr>
            <c:extLst>
              <c:ext xmlns:c16="http://schemas.microsoft.com/office/drawing/2014/chart" uri="{C3380CC4-5D6E-409C-BE32-E72D297353CC}">
                <c16:uniqueId val="{00000011-5180-43BA-9AF7-F1E5020CC409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180-43BA-9AF7-F1E5020CC4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100B795-23FD-46F2-AAFF-D0D10665F29D}" type="SERIESNAME">
                      <a:rPr lang="en-US" sz="1400"/>
                      <a:pPr/>
                      <a:t>[SERIENAVN]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5180-43BA-9AF7-F1E5020CC40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180-43BA-9AF7-F1E5020CC409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180-43BA-9AF7-F1E5020CC40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A!$AP$236:$AS$236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A!$AP$237:$AS$237</c:f>
              <c:numCache>
                <c:formatCode>0.00</c:formatCode>
                <c:ptCount val="4"/>
                <c:pt idx="0">
                  <c:v>0</c:v>
                </c:pt>
                <c:pt idx="1">
                  <c:v>0.15</c:v>
                </c:pt>
                <c:pt idx="2">
                  <c:v>0.15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5180-43BA-9AF7-F1E5020CC409}"/>
            </c:ext>
          </c:extLst>
        </c:ser>
        <c:ser>
          <c:idx val="6"/>
          <c:order val="4"/>
          <c:tx>
            <c:v>Fladelast - pil 1</c:v>
          </c:tx>
          <c:spPr>
            <a:ln>
              <a:solidFill>
                <a:srgbClr val="FF0000"/>
              </a:solidFill>
              <a:headEnd type="arrow" w="lg" len="lg"/>
            </a:ln>
          </c:spPr>
          <c:marker>
            <c:symbol val="none"/>
          </c:marker>
          <c:xVal>
            <c:numRef>
              <c:f>A!$AV$236:$AW$236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A!$AV$237:$AW$237</c:f>
              <c:numCache>
                <c:formatCode>0.00</c:formatCode>
                <c:ptCount val="2"/>
                <c:pt idx="0">
                  <c:v>0</c:v>
                </c:pt>
                <c:pt idx="1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5180-43BA-9AF7-F1E5020CC409}"/>
            </c:ext>
          </c:extLst>
        </c:ser>
        <c:ser>
          <c:idx val="7"/>
          <c:order val="5"/>
          <c:tx>
            <c:v>Fladelast - pil 2</c:v>
          </c:tx>
          <c:spPr>
            <a:ln>
              <a:solidFill>
                <a:srgbClr val="FF0000"/>
              </a:solidFill>
              <a:headEnd type="arrow" w="lg" len="lg"/>
            </a:ln>
          </c:spPr>
          <c:marker>
            <c:symbol val="none"/>
          </c:marker>
          <c:xVal>
            <c:numRef>
              <c:f>A!$AX$236:$AY$236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A!$AX$237:$AY$237</c:f>
              <c:numCache>
                <c:formatCode>0.00</c:formatCode>
                <c:ptCount val="2"/>
                <c:pt idx="0">
                  <c:v>0</c:v>
                </c:pt>
                <c:pt idx="1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5180-43BA-9AF7-F1E5020CC409}"/>
            </c:ext>
          </c:extLst>
        </c:ser>
        <c:ser>
          <c:idx val="8"/>
          <c:order val="6"/>
          <c:tx>
            <c:v>Fladelast - pil 3</c:v>
          </c:tx>
          <c:spPr>
            <a:ln>
              <a:solidFill>
                <a:srgbClr val="FF0000"/>
              </a:solidFill>
              <a:headEnd type="arrow" w="lg" len="lg"/>
            </a:ln>
          </c:spPr>
          <c:marker>
            <c:symbol val="none"/>
          </c:marker>
          <c:xVal>
            <c:numRef>
              <c:f>A!$AZ$236:$BA$236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A!$AZ$237:$BA$237</c:f>
              <c:numCache>
                <c:formatCode>0.00</c:formatCode>
                <c:ptCount val="2"/>
                <c:pt idx="0">
                  <c:v>0</c:v>
                </c:pt>
                <c:pt idx="1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5180-43BA-9AF7-F1E5020CC409}"/>
            </c:ext>
          </c:extLst>
        </c:ser>
        <c:ser>
          <c:idx val="9"/>
          <c:order val="7"/>
          <c:tx>
            <c:v>Fladelast - pil 4</c:v>
          </c:tx>
          <c:spPr>
            <a:ln>
              <a:solidFill>
                <a:srgbClr val="FF0000"/>
              </a:solidFill>
              <a:headEnd type="arrow" w="lg" len="lg"/>
            </a:ln>
          </c:spPr>
          <c:marker>
            <c:symbol val="none"/>
          </c:marker>
          <c:xVal>
            <c:numRef>
              <c:f>A!$BB$236:$BC$236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A!$BB$237:$BC$237</c:f>
              <c:numCache>
                <c:formatCode>0.00</c:formatCode>
                <c:ptCount val="2"/>
                <c:pt idx="0">
                  <c:v>0</c:v>
                </c:pt>
                <c:pt idx="1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5180-43BA-9AF7-F1E5020CC409}"/>
            </c:ext>
          </c:extLst>
        </c:ser>
        <c:ser>
          <c:idx val="19"/>
          <c:order val="8"/>
          <c:tx>
            <c:v>Streg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32-5180-43BA-9AF7-F1E5020CC409}"/>
              </c:ext>
            </c:extLst>
          </c:dPt>
          <c:xVal>
            <c:numRef>
              <c:f>A!$AZ$220:$BA$220</c:f>
              <c:numCache>
                <c:formatCode>0.00</c:formatCode>
                <c:ptCount val="2"/>
                <c:pt idx="0" formatCode="General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A!$AZ$221:$BA$221</c:f>
              <c:numCache>
                <c:formatCode>0.00</c:formatCode>
                <c:ptCount val="2"/>
                <c:pt idx="0" formatCode="0.000">
                  <c:v>-7.3154549064532004E-2</c:v>
                </c:pt>
                <c:pt idx="1">
                  <c:v>-0.12192424844088667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5180-43BA-9AF7-F1E5020CC409}"/>
            </c:ext>
          </c:extLst>
        </c:ser>
        <c:ser>
          <c:idx val="20"/>
          <c:order val="9"/>
          <c:tx>
            <c:v>streg 2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A!$BB$220:$BC$220</c:f>
              <c:numCache>
                <c:formatCode>0.00</c:formatCode>
                <c:ptCount val="2"/>
                <c:pt idx="0" formatCode="General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A!$BB$221:$BC$221</c:f>
              <c:numCache>
                <c:formatCode>0.00</c:formatCode>
                <c:ptCount val="2"/>
                <c:pt idx="0">
                  <c:v>-7.3154549064532004E-2</c:v>
                </c:pt>
                <c:pt idx="1">
                  <c:v>-0.12192424844088667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5180-43BA-9AF7-F1E5020CC409}"/>
            </c:ext>
          </c:extLst>
        </c:ser>
        <c:ser>
          <c:idx val="21"/>
          <c:order val="10"/>
          <c:tx>
            <c:v>streg 3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A!$BD$220:$BE$220</c:f>
              <c:numCache>
                <c:formatCode>General</c:formatCode>
                <c:ptCount val="2"/>
                <c:pt idx="0" formatCode="0.0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A!$BD$221:$BE$221</c:f>
              <c:numCache>
                <c:formatCode>0.00</c:formatCode>
                <c:ptCount val="2"/>
                <c:pt idx="0">
                  <c:v>-7.3154549064532004E-2</c:v>
                </c:pt>
                <c:pt idx="1">
                  <c:v>-0.12192424844088667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5180-43BA-9AF7-F1E5020CC409}"/>
            </c:ext>
          </c:extLst>
        </c:ser>
        <c:ser>
          <c:idx val="22"/>
          <c:order val="11"/>
          <c:tx>
            <c:v>Cirkel 1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A!$AS$226:$CC$226</c:f>
              <c:numCache>
                <c:formatCode>0.000</c:formatCode>
                <c:ptCount val="3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</c:numCache>
            </c:numRef>
          </c:xVal>
          <c:yVal>
            <c:numRef>
              <c:f>A!$AS$227:$CC$227</c:f>
              <c:numCache>
                <c:formatCode>0.000</c:formatCode>
                <c:ptCount val="37"/>
                <c:pt idx="0">
                  <c:v>-8.8154549064532003E-2</c:v>
                </c:pt>
                <c:pt idx="1">
                  <c:v>-8.5549826399528045E-2</c:v>
                </c:pt>
                <c:pt idx="2">
                  <c:v>-8.3024246914646979E-2</c:v>
                </c:pt>
                <c:pt idx="3">
                  <c:v>-8.0654549064532011E-2</c:v>
                </c:pt>
                <c:pt idx="4">
                  <c:v>-7.8512734919233912E-2</c:v>
                </c:pt>
                <c:pt idx="5">
                  <c:v>-7.6663882417747339E-2</c:v>
                </c:pt>
                <c:pt idx="6">
                  <c:v>-7.5164168007765431E-2</c:v>
                </c:pt>
                <c:pt idx="7">
                  <c:v>-7.4059159752743381E-2</c:v>
                </c:pt>
                <c:pt idx="8">
                  <c:v>-7.3382432769348888E-2</c:v>
                </c:pt>
                <c:pt idx="9">
                  <c:v>-7.3154549064532004E-2</c:v>
                </c:pt>
                <c:pt idx="10">
                  <c:v>-7.3382432769348888E-2</c:v>
                </c:pt>
                <c:pt idx="11">
                  <c:v>-7.4059159752743381E-2</c:v>
                </c:pt>
                <c:pt idx="12">
                  <c:v>-7.5164168007765431E-2</c:v>
                </c:pt>
                <c:pt idx="13">
                  <c:v>-7.6663882417747339E-2</c:v>
                </c:pt>
                <c:pt idx="14">
                  <c:v>-7.8512734919233912E-2</c:v>
                </c:pt>
                <c:pt idx="15">
                  <c:v>-8.0654549064532011E-2</c:v>
                </c:pt>
                <c:pt idx="16">
                  <c:v>-8.3024246914646965E-2</c:v>
                </c:pt>
                <c:pt idx="17">
                  <c:v>-8.5549826399528045E-2</c:v>
                </c:pt>
                <c:pt idx="18">
                  <c:v>-8.8154549064532003E-2</c:v>
                </c:pt>
                <c:pt idx="19">
                  <c:v>-9.0759271729535962E-2</c:v>
                </c:pt>
                <c:pt idx="20">
                  <c:v>-9.3284851214417028E-2</c:v>
                </c:pt>
                <c:pt idx="21">
                  <c:v>-9.565454906453201E-2</c:v>
                </c:pt>
                <c:pt idx="22">
                  <c:v>-9.7796363209830095E-2</c:v>
                </c:pt>
                <c:pt idx="23">
                  <c:v>-9.9645215711316668E-2</c:v>
                </c:pt>
                <c:pt idx="24">
                  <c:v>-0.10114493012129858</c:v>
                </c:pt>
                <c:pt idx="25">
                  <c:v>-0.10224993837632063</c:v>
                </c:pt>
                <c:pt idx="26">
                  <c:v>-0.10292666535971512</c:v>
                </c:pt>
                <c:pt idx="27">
                  <c:v>-0.103154549064532</c:v>
                </c:pt>
                <c:pt idx="28">
                  <c:v>-0.10292666535971512</c:v>
                </c:pt>
                <c:pt idx="29">
                  <c:v>-0.10224993837632063</c:v>
                </c:pt>
                <c:pt idx="30">
                  <c:v>-0.10114493012129858</c:v>
                </c:pt>
                <c:pt idx="31">
                  <c:v>-9.9645215711316681E-2</c:v>
                </c:pt>
                <c:pt idx="32">
                  <c:v>-9.7796363209830095E-2</c:v>
                </c:pt>
                <c:pt idx="33">
                  <c:v>-9.565454906453201E-2</c:v>
                </c:pt>
                <c:pt idx="34">
                  <c:v>-9.3284851214417028E-2</c:v>
                </c:pt>
                <c:pt idx="35">
                  <c:v>-9.0759271729535962E-2</c:v>
                </c:pt>
                <c:pt idx="36">
                  <c:v>-8.8154549064532003E-2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5180-43BA-9AF7-F1E5020CC409}"/>
            </c:ext>
          </c:extLst>
        </c:ser>
        <c:ser>
          <c:idx val="23"/>
          <c:order val="12"/>
          <c:tx>
            <c:v>Cirkel 2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A!$AS$225:$CC$225</c:f>
              <c:numCache>
                <c:formatCode>0.000</c:formatCode>
                <c:ptCount val="3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</c:numCache>
            </c:numRef>
          </c:xVal>
          <c:yVal>
            <c:numRef>
              <c:f>A!$AS$227:$CC$227</c:f>
              <c:numCache>
                <c:formatCode>0.000</c:formatCode>
                <c:ptCount val="37"/>
                <c:pt idx="0">
                  <c:v>-8.8154549064532003E-2</c:v>
                </c:pt>
                <c:pt idx="1">
                  <c:v>-8.5549826399528045E-2</c:v>
                </c:pt>
                <c:pt idx="2">
                  <c:v>-8.3024246914646979E-2</c:v>
                </c:pt>
                <c:pt idx="3">
                  <c:v>-8.0654549064532011E-2</c:v>
                </c:pt>
                <c:pt idx="4">
                  <c:v>-7.8512734919233912E-2</c:v>
                </c:pt>
                <c:pt idx="5">
                  <c:v>-7.6663882417747339E-2</c:v>
                </c:pt>
                <c:pt idx="6">
                  <c:v>-7.5164168007765431E-2</c:v>
                </c:pt>
                <c:pt idx="7">
                  <c:v>-7.4059159752743381E-2</c:v>
                </c:pt>
                <c:pt idx="8">
                  <c:v>-7.3382432769348888E-2</c:v>
                </c:pt>
                <c:pt idx="9">
                  <c:v>-7.3154549064532004E-2</c:v>
                </c:pt>
                <c:pt idx="10">
                  <c:v>-7.3382432769348888E-2</c:v>
                </c:pt>
                <c:pt idx="11">
                  <c:v>-7.4059159752743381E-2</c:v>
                </c:pt>
                <c:pt idx="12">
                  <c:v>-7.5164168007765431E-2</c:v>
                </c:pt>
                <c:pt idx="13">
                  <c:v>-7.6663882417747339E-2</c:v>
                </c:pt>
                <c:pt idx="14">
                  <c:v>-7.8512734919233912E-2</c:v>
                </c:pt>
                <c:pt idx="15">
                  <c:v>-8.0654549064532011E-2</c:v>
                </c:pt>
                <c:pt idx="16">
                  <c:v>-8.3024246914646965E-2</c:v>
                </c:pt>
                <c:pt idx="17">
                  <c:v>-8.5549826399528045E-2</c:v>
                </c:pt>
                <c:pt idx="18">
                  <c:v>-8.8154549064532003E-2</c:v>
                </c:pt>
                <c:pt idx="19">
                  <c:v>-9.0759271729535962E-2</c:v>
                </c:pt>
                <c:pt idx="20">
                  <c:v>-9.3284851214417028E-2</c:v>
                </c:pt>
                <c:pt idx="21">
                  <c:v>-9.565454906453201E-2</c:v>
                </c:pt>
                <c:pt idx="22">
                  <c:v>-9.7796363209830095E-2</c:v>
                </c:pt>
                <c:pt idx="23">
                  <c:v>-9.9645215711316668E-2</c:v>
                </c:pt>
                <c:pt idx="24">
                  <c:v>-0.10114493012129858</c:v>
                </c:pt>
                <c:pt idx="25">
                  <c:v>-0.10224993837632063</c:v>
                </c:pt>
                <c:pt idx="26">
                  <c:v>-0.10292666535971512</c:v>
                </c:pt>
                <c:pt idx="27">
                  <c:v>-0.103154549064532</c:v>
                </c:pt>
                <c:pt idx="28">
                  <c:v>-0.10292666535971512</c:v>
                </c:pt>
                <c:pt idx="29">
                  <c:v>-0.10224993837632063</c:v>
                </c:pt>
                <c:pt idx="30">
                  <c:v>-0.10114493012129858</c:v>
                </c:pt>
                <c:pt idx="31">
                  <c:v>-9.9645215711316681E-2</c:v>
                </c:pt>
                <c:pt idx="32">
                  <c:v>-9.7796363209830095E-2</c:v>
                </c:pt>
                <c:pt idx="33">
                  <c:v>-9.565454906453201E-2</c:v>
                </c:pt>
                <c:pt idx="34">
                  <c:v>-9.3284851214417028E-2</c:v>
                </c:pt>
                <c:pt idx="35">
                  <c:v>-9.0759271729535962E-2</c:v>
                </c:pt>
                <c:pt idx="36">
                  <c:v>-8.8154549064532003E-2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5180-43BA-9AF7-F1E5020CC409}"/>
            </c:ext>
          </c:extLst>
        </c:ser>
        <c:ser>
          <c:idx val="24"/>
          <c:order val="13"/>
          <c:tx>
            <c:v>streg 4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A!$BF$220:$BG$220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A!$BF$221:$BG$221</c:f>
              <c:numCache>
                <c:formatCode>0.00</c:formatCode>
                <c:ptCount val="2"/>
                <c:pt idx="0">
                  <c:v>-0.103154549064532</c:v>
                </c:pt>
                <c:pt idx="1">
                  <c:v>-0.103154549064532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5180-43BA-9AF7-F1E5020CC409}"/>
            </c:ext>
          </c:extLst>
        </c:ser>
        <c:ser>
          <c:idx val="25"/>
          <c:order val="14"/>
          <c:tx>
            <c:v>streg 5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A!$BH$220:$BI$220</c:f>
              <c:numCache>
                <c:formatCode>@</c:formatCode>
                <c:ptCount val="2"/>
                <c:pt idx="0" formatCode="General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A!$BH$221:$BI$221</c:f>
              <c:numCache>
                <c:formatCode>0.000</c:formatCode>
                <c:ptCount val="2"/>
                <c:pt idx="0" formatCode="0.00">
                  <c:v>-0.103154549064532</c:v>
                </c:pt>
                <c:pt idx="1">
                  <c:v>-0.15192424844088667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5180-43BA-9AF7-F1E5020CC409}"/>
            </c:ext>
          </c:extLst>
        </c:ser>
        <c:ser>
          <c:idx val="26"/>
          <c:order val="15"/>
          <c:tx>
            <c:v>streg 6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A!$BJ$220:$BK$220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A!$BJ$221:$BK$221</c:f>
              <c:numCache>
                <c:formatCode>0.000</c:formatCode>
                <c:ptCount val="2"/>
                <c:pt idx="0" formatCode="0.00">
                  <c:v>-0.103154549064532</c:v>
                </c:pt>
                <c:pt idx="1">
                  <c:v>-0.15192424844088667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5180-43BA-9AF7-F1E5020CC409}"/>
            </c:ext>
          </c:extLst>
        </c:ser>
        <c:ser>
          <c:idx val="27"/>
          <c:order val="16"/>
          <c:tx>
            <c:v>streg 7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A!$BL$220:$BM$220</c:f>
              <c:numCache>
                <c:formatCode>General</c:formatCode>
                <c:ptCount val="2"/>
                <c:pt idx="0" formatCode="0.0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A!$BL$221:$BM$221</c:f>
              <c:numCache>
                <c:formatCode>0.00</c:formatCode>
                <c:ptCount val="2"/>
                <c:pt idx="0">
                  <c:v>-0.103154549064532</c:v>
                </c:pt>
                <c:pt idx="1">
                  <c:v>-0.15192424844088667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5180-43BA-9AF7-F1E5020CC409}"/>
            </c:ext>
          </c:extLst>
        </c:ser>
        <c:ser>
          <c:idx val="2"/>
          <c:order val="17"/>
          <c:tx>
            <c:strRef>
              <c:f>A!$AP$239</c:f>
              <c:strCache>
                <c:ptCount val="1"/>
                <c:pt idx="0">
                  <c:v>#I/T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dPt>
            <c:idx val="0"/>
            <c:bubble3D val="0"/>
            <c:spPr>
              <a:ln>
                <a:solidFill>
                  <a:srgbClr val="FF0000"/>
                </a:solidFill>
                <a:headEnd type="arrow" w="lg" len="lg"/>
              </a:ln>
            </c:spPr>
            <c:extLst>
              <c:ext xmlns:c16="http://schemas.microsoft.com/office/drawing/2014/chart" uri="{C3380CC4-5D6E-409C-BE32-E72D297353CC}">
                <c16:uniqueId val="{00000056-5180-43BA-9AF7-F1E5020CC409}"/>
              </c:ext>
            </c:extLst>
          </c:dPt>
          <c:dPt>
            <c:idx val="1"/>
            <c:bubble3D val="0"/>
            <c:spPr>
              <a:ln>
                <a:solidFill>
                  <a:srgbClr val="FF0000"/>
                </a:solidFill>
                <a:headEnd type="arrow" w="lg" len="lg"/>
                <a:tailEnd type="none"/>
              </a:ln>
            </c:spPr>
            <c:extLst>
              <c:ext xmlns:c16="http://schemas.microsoft.com/office/drawing/2014/chart" uri="{C3380CC4-5D6E-409C-BE32-E72D297353CC}">
                <c16:uniqueId val="{00000057-5180-43BA-9AF7-F1E5020CC409}"/>
              </c:ext>
            </c:extLst>
          </c:dPt>
          <c:dPt>
            <c:idx val="3"/>
            <c:bubble3D val="0"/>
            <c:spPr>
              <a:ln>
                <a:solidFill>
                  <a:srgbClr val="FF0000"/>
                </a:solidFill>
                <a:headEnd type="none"/>
                <a:tailEnd type="arrow" w="lg" len="lg"/>
              </a:ln>
            </c:spPr>
            <c:extLst>
              <c:ext xmlns:c16="http://schemas.microsoft.com/office/drawing/2014/chart" uri="{C3380CC4-5D6E-409C-BE32-E72D297353CC}">
                <c16:uniqueId val="{00000058-5180-43BA-9AF7-F1E5020CC409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5180-43BA-9AF7-F1E5020CC409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/>
                    </a:pPr>
                    <a:fld id="{EFC0DC84-CAF5-452C-B993-0A1CF2A9E546}" type="SERIESNAME">
                      <a:rPr lang="en-US" sz="1400"/>
                      <a:pPr>
                        <a:defRPr/>
                      </a:pPr>
                      <a:t>[SERIENAVN]</a:t>
                    </a:fld>
                    <a:endParaRPr lang="da-DK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57-5180-43BA-9AF7-F1E5020CC40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5-5180-43BA-9AF7-F1E5020CC409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5180-43BA-9AF7-F1E5020CC409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A!$AP$240:$AS$240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A!$AP$241:$AS$241</c:f>
              <c:numCache>
                <c:formatCode>0.00</c:formatCode>
                <c:ptCount val="4"/>
                <c:pt idx="0">
                  <c:v>0.15</c:v>
                </c:pt>
                <c:pt idx="1">
                  <c:v>#N/A</c:v>
                </c:pt>
                <c:pt idx="2">
                  <c:v>#N/A</c:v>
                </c:pt>
                <c:pt idx="3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5180-43BA-9AF7-F1E5020CC409}"/>
            </c:ext>
          </c:extLst>
        </c:ser>
        <c:ser>
          <c:idx val="3"/>
          <c:order val="18"/>
          <c:tx>
            <c:strRef>
              <c:f>A!$AU$239</c:f>
              <c:strCache>
                <c:ptCount val="1"/>
                <c:pt idx="0">
                  <c:v>#I/T</c:v>
                </c:pt>
              </c:strCache>
            </c:strRef>
          </c:tx>
          <c:marker>
            <c:symbol val="none"/>
          </c:marker>
          <c:dPt>
            <c:idx val="1"/>
            <c:bubble3D val="0"/>
            <c:spPr>
              <a:ln>
                <a:solidFill>
                  <a:srgbClr val="FF0000"/>
                </a:solidFill>
                <a:headEnd type="arrow" w="lg" len="lg"/>
              </a:ln>
            </c:spPr>
            <c:extLst>
              <c:ext xmlns:c16="http://schemas.microsoft.com/office/drawing/2014/chart" uri="{C3380CC4-5D6E-409C-BE32-E72D297353CC}">
                <c16:uniqueId val="{0000005A-5180-43BA-9AF7-F1E5020CC409}"/>
              </c:ext>
            </c:extLst>
          </c:dPt>
          <c:xVal>
            <c:numRef>
              <c:f>A!$AU$240:$AV$240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A!$AU$241:$AV$241</c:f>
              <c:numCache>
                <c:formatCode>0.00</c:formatCode>
                <c:ptCount val="2"/>
                <c:pt idx="0">
                  <c:v>0.15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5180-43BA-9AF7-F1E5020CC409}"/>
            </c:ext>
          </c:extLst>
        </c:ser>
        <c:ser>
          <c:idx val="10"/>
          <c:order val="19"/>
          <c:tx>
            <c:strRef>
              <c:f>A!$AW$239</c:f>
              <c:strCache>
                <c:ptCount val="1"/>
                <c:pt idx="0">
                  <c:v>#I/T</c:v>
                </c:pt>
              </c:strCache>
            </c:strRef>
          </c:tx>
          <c:marker>
            <c:symbol val="none"/>
          </c:marker>
          <c:dPt>
            <c:idx val="1"/>
            <c:bubble3D val="0"/>
            <c:spPr>
              <a:ln>
                <a:solidFill>
                  <a:srgbClr val="FF0000"/>
                </a:solidFill>
                <a:headEnd type="arrow" w="lg" len="lg"/>
              </a:ln>
            </c:spPr>
            <c:extLst>
              <c:ext xmlns:c16="http://schemas.microsoft.com/office/drawing/2014/chart" uri="{C3380CC4-5D6E-409C-BE32-E72D297353CC}">
                <c16:uniqueId val="{0000005C-5180-43BA-9AF7-F1E5020CC409}"/>
              </c:ext>
            </c:extLst>
          </c:dPt>
          <c:xVal>
            <c:numRef>
              <c:f>A!$AW$240:$AX$240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A!$AW$241:$AX$241</c:f>
              <c:numCache>
                <c:formatCode>0.00</c:formatCode>
                <c:ptCount val="2"/>
                <c:pt idx="0">
                  <c:v>0.15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5180-43BA-9AF7-F1E5020CC409}"/>
            </c:ext>
          </c:extLst>
        </c:ser>
        <c:ser>
          <c:idx val="11"/>
          <c:order val="20"/>
          <c:tx>
            <c:strRef>
              <c:f>A!$AY$239</c:f>
              <c:strCache>
                <c:ptCount val="1"/>
                <c:pt idx="0">
                  <c:v>#I/T</c:v>
                </c:pt>
              </c:strCache>
            </c:strRef>
          </c:tx>
          <c:spPr>
            <a:ln>
              <a:solidFill>
                <a:srgbClr val="FF0000"/>
              </a:solidFill>
              <a:headEnd type="arrow" w="lg" len="lg"/>
            </a:ln>
          </c:spPr>
          <c:marker>
            <c:symbol val="none"/>
          </c:marker>
          <c:xVal>
            <c:numRef>
              <c:f>A!$AY$240:$AZ$240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A!$AY$241:$AZ$241</c:f>
              <c:numCache>
                <c:formatCode>0.00</c:formatCode>
                <c:ptCount val="2"/>
                <c:pt idx="0">
                  <c:v>0.15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5180-43BA-9AF7-F1E5020CC409}"/>
            </c:ext>
          </c:extLst>
        </c:ser>
        <c:ser>
          <c:idx val="12"/>
          <c:order val="21"/>
          <c:tx>
            <c:strRef>
              <c:f>A!$BB$239</c:f>
              <c:strCache>
                <c:ptCount val="1"/>
                <c:pt idx="0">
                  <c:v>#I/T</c:v>
                </c:pt>
              </c:strCache>
            </c:strRef>
          </c:tx>
          <c:marker>
            <c:symbol val="none"/>
          </c:marker>
          <c:dPt>
            <c:idx val="1"/>
            <c:bubble3D val="0"/>
            <c:spPr>
              <a:ln w="25400">
                <a:solidFill>
                  <a:srgbClr val="FF0000"/>
                </a:solidFill>
                <a:headEnd type="arrow" w="lg" len="lg"/>
              </a:ln>
            </c:spPr>
            <c:extLst>
              <c:ext xmlns:c16="http://schemas.microsoft.com/office/drawing/2014/chart" uri="{C3380CC4-5D6E-409C-BE32-E72D297353CC}">
                <c16:uniqueId val="{0000005F-5180-43BA-9AF7-F1E5020CC409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4-5180-43BA-9AF7-F1E5020CC4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2CC8717-4FA2-491D-9487-7B9661A3186C}" type="SERIESNAME">
                      <a:rPr lang="en-US" sz="1400"/>
                      <a:pPr/>
                      <a:t>[SERIENAVN]</a:t>
                    </a:fld>
                    <a:endParaRPr lang="da-DK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5F-5180-43BA-9AF7-F1E5020CC40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A!$BB$240:$BC$240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A!$BB$241:$BC$241</c:f>
              <c:numCache>
                <c:formatCode>0.00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5180-43BA-9AF7-F1E5020CC409}"/>
            </c:ext>
          </c:extLst>
        </c:ser>
        <c:ser>
          <c:idx val="13"/>
          <c:order val="22"/>
          <c:tx>
            <c:strRef>
              <c:f>A!$AP$243</c:f>
              <c:strCache>
                <c:ptCount val="1"/>
              </c:strCache>
            </c:strRef>
          </c:tx>
          <c:spPr>
            <a:ln w="25400">
              <a:solidFill>
                <a:srgbClr val="FF0000"/>
              </a:solidFill>
              <a:headEnd type="arrow" w="lg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901D-4098-BBC7-DB8D3BEF9A3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DC9D9D1-A878-4526-963E-182CADF3B7CC}" type="SERIESNAME">
                      <a:rPr lang="en-US" sz="1400"/>
                      <a:pPr/>
                      <a:t>[SERIENAVN]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4-901D-4098-BBC7-DB8D3BEF9A3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A!$AP$244:$AQ$244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A!$AP$245:$AQ$245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5180-43BA-9AF7-F1E5020CC409}"/>
            </c:ext>
          </c:extLst>
        </c:ser>
        <c:ser>
          <c:idx val="14"/>
          <c:order val="23"/>
          <c:tx>
            <c:strRef>
              <c:f>A!$AS$243</c:f>
              <c:strCache>
                <c:ptCount val="1"/>
                <c:pt idx="0">
                  <c:v>#I/T</c:v>
                </c:pt>
              </c:strCache>
            </c:strRef>
          </c:tx>
          <c:spPr>
            <a:ln w="25400">
              <a:solidFill>
                <a:srgbClr val="FF0000"/>
              </a:solidFill>
              <a:headEnd type="arrow" w="lg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3-5180-43BA-9AF7-F1E5020CC4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097201B-9715-424F-BE88-B43F93D2206C}" type="SERIESNAME">
                      <a:rPr lang="en-US" sz="1400"/>
                      <a:pPr/>
                      <a:t>[SERIENAVN]</a:t>
                    </a:fld>
                    <a:endParaRPr lang="da-DK"/>
                  </a:p>
                </c:rich>
              </c:tx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62-5180-43BA-9AF7-F1E5020CC40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A!$AS$244:$AT$244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A!$AS$245:$AT$245</c:f>
              <c:numCache>
                <c:formatCode>0.00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5180-43BA-9AF7-F1E5020CC409}"/>
            </c:ext>
          </c:extLst>
        </c:ser>
        <c:ser>
          <c:idx val="15"/>
          <c:order val="24"/>
          <c:tx>
            <c:v>Ref 1</c:v>
          </c:tx>
          <c:marker>
            <c:symbol val="none"/>
          </c:marker>
          <c:xVal>
            <c:numRef>
              <c:f>A!$BO$220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A!$BO$221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901D-4098-BBC7-DB8D3BEF9A39}"/>
            </c:ext>
          </c:extLst>
        </c:ser>
        <c:ser>
          <c:idx val="16"/>
          <c:order val="25"/>
          <c:tx>
            <c:v>Ref 2</c:v>
          </c:tx>
          <c:marker>
            <c:symbol val="none"/>
          </c:marker>
          <c:xVal>
            <c:numRef>
              <c:f>A!$BP$220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A!$BP$221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01D-4098-BBC7-DB8D3BEF9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4995952"/>
        <c:axId val="924997200"/>
        <c:extLst/>
      </c:scatterChart>
      <c:valAx>
        <c:axId val="924995952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924997200"/>
        <c:crosses val="max"/>
        <c:crossBetween val="midCat"/>
        <c:majorUnit val="0.1"/>
      </c:valAx>
      <c:valAx>
        <c:axId val="924997200"/>
        <c:scaling>
          <c:orientation val="minMax"/>
        </c:scaling>
        <c:delete val="1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924995952"/>
        <c:crosses val="max"/>
        <c:crossBetween val="midCat"/>
        <c:majorUnit val="0.1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547151198597696E-2"/>
          <c:y val="5.2245078740157491E-2"/>
          <c:w val="0.9528320081231898"/>
          <c:h val="0.89554790026246722"/>
        </c:manualLayout>
      </c:layout>
      <c:scatterChart>
        <c:scatterStyle val="lineMarker"/>
        <c:varyColors val="0"/>
        <c:ser>
          <c:idx val="0"/>
          <c:order val="0"/>
          <c:tx>
            <c:v>Bjælke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32-2FE9-4D0A-A683-9F972CEC5323}"/>
              </c:ext>
            </c:extLst>
          </c:dPt>
          <c:xVal>
            <c:numRef>
              <c:f>A!$AP$286:$AQ$286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xVal>
          <c:yVal>
            <c:numRef>
              <c:f>A!$AP$287:$AQ$287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E9-4D0A-A683-9F972CEC5323}"/>
            </c:ext>
          </c:extLst>
        </c:ser>
        <c:ser>
          <c:idx val="1"/>
          <c:order val="1"/>
          <c:tx>
            <c:v>Understøtning, V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A!$AR$286:$AU$286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 formatCode="0.00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A!$AR$287:$AU$287</c:f>
              <c:numCache>
                <c:formatCode>0.000</c:formatCode>
                <c:ptCount val="4"/>
                <c:pt idx="0" formatCode="General">
                  <c:v>0</c:v>
                </c:pt>
                <c:pt idx="1">
                  <c:v>-7.3154549064532004E-2</c:v>
                </c:pt>
                <c:pt idx="2">
                  <c:v>-7.3154549064532004E-2</c:v>
                </c:pt>
                <c:pt idx="3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FE9-4D0A-A683-9F972CEC5323}"/>
            </c:ext>
          </c:extLst>
        </c:ser>
        <c:ser>
          <c:idx val="4"/>
          <c:order val="2"/>
          <c:tx>
            <c:v>Understøtning, H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A!$AV$286:$AY$286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 formatCode="0.00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A!$AV$287:$AY$287</c:f>
              <c:numCache>
                <c:formatCode>0.000</c:formatCode>
                <c:ptCount val="4"/>
                <c:pt idx="0" formatCode="General">
                  <c:v>0</c:v>
                </c:pt>
                <c:pt idx="1">
                  <c:v>-7.3154549064532004E-2</c:v>
                </c:pt>
                <c:pt idx="2">
                  <c:v>-7.3154549064532004E-2</c:v>
                </c:pt>
                <c:pt idx="3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FE9-4D0A-A683-9F972CEC5323}"/>
            </c:ext>
          </c:extLst>
        </c:ser>
        <c:ser>
          <c:idx val="5"/>
          <c:order val="3"/>
          <c:tx>
            <c:strRef>
              <c:f>A!$AP$301</c:f>
              <c:strCache>
                <c:ptCount val="1"/>
                <c:pt idx="0">
                  <c:v>#I/T</c:v>
                </c:pt>
              </c:strCache>
            </c:strRef>
          </c:tx>
          <c:spPr>
            <a:ln>
              <a:solidFill>
                <a:srgbClr val="FF0000"/>
              </a:solidFill>
              <a:headEnd type="arrow" w="lg" len="lg"/>
            </a:ln>
          </c:spPr>
          <c:marker>
            <c:symbol val="none"/>
          </c:marker>
          <c:dPt>
            <c:idx val="3"/>
            <c:bubble3D val="0"/>
            <c:spPr>
              <a:ln>
                <a:solidFill>
                  <a:srgbClr val="FF0000"/>
                </a:solidFill>
                <a:headEnd type="none" w="lg" len="lg"/>
                <a:tailEnd type="arrow" w="lg" len="lg"/>
              </a:ln>
            </c:spPr>
            <c:extLst>
              <c:ext xmlns:c16="http://schemas.microsoft.com/office/drawing/2014/chart" uri="{C3380CC4-5D6E-409C-BE32-E72D297353CC}">
                <c16:uniqueId val="{00000008-2FE9-4D0A-A683-9F972CEC5323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FE9-4D0A-A683-9F972CEC532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10B95E-0FE7-4652-8305-0853778F20B0}" type="SERIESNAME">
                      <a:rPr lang="en-US" sz="1400"/>
                      <a:pPr/>
                      <a:t>[SERIENAVN]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2FE9-4D0A-A683-9F972CEC532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FE9-4D0A-A683-9F972CEC5323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FE9-4D0A-A683-9F972CEC5323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A!$AP$302:$AS$302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A!$AP$303:$AS$303</c:f>
              <c:numCache>
                <c:formatCode>0.00</c:formatCode>
                <c:ptCount val="4"/>
                <c:pt idx="0">
                  <c:v>0</c:v>
                </c:pt>
                <c:pt idx="1">
                  <c:v>0.15</c:v>
                </c:pt>
                <c:pt idx="2">
                  <c:v>0.15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FE9-4D0A-A683-9F972CEC5323}"/>
            </c:ext>
          </c:extLst>
        </c:ser>
        <c:ser>
          <c:idx val="6"/>
          <c:order val="4"/>
          <c:tx>
            <c:v>Fladelast - pil 1</c:v>
          </c:tx>
          <c:spPr>
            <a:ln>
              <a:solidFill>
                <a:srgbClr val="FF0000"/>
              </a:solidFill>
              <a:headEnd type="arrow" w="lg" len="lg"/>
            </a:ln>
          </c:spPr>
          <c:marker>
            <c:symbol val="none"/>
          </c:marker>
          <c:xVal>
            <c:numRef>
              <c:f>A!$AV$302:$AW$302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A!$AV$303:$AW$303</c:f>
              <c:numCache>
                <c:formatCode>0.00</c:formatCode>
                <c:ptCount val="2"/>
                <c:pt idx="0">
                  <c:v>0</c:v>
                </c:pt>
                <c:pt idx="1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2FE9-4D0A-A683-9F972CEC5323}"/>
            </c:ext>
          </c:extLst>
        </c:ser>
        <c:ser>
          <c:idx val="7"/>
          <c:order val="5"/>
          <c:tx>
            <c:v>Fladelast - pil 2</c:v>
          </c:tx>
          <c:spPr>
            <a:ln>
              <a:solidFill>
                <a:srgbClr val="FF0000"/>
              </a:solidFill>
              <a:headEnd type="arrow" w="lg" len="lg"/>
            </a:ln>
          </c:spPr>
          <c:marker>
            <c:symbol val="none"/>
          </c:marker>
          <c:xVal>
            <c:numRef>
              <c:f>A!$AX$302:$AY$302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A!$AX$303:$AY$303</c:f>
              <c:numCache>
                <c:formatCode>0.00</c:formatCode>
                <c:ptCount val="2"/>
                <c:pt idx="0">
                  <c:v>0</c:v>
                </c:pt>
                <c:pt idx="1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2FE9-4D0A-A683-9F972CEC5323}"/>
            </c:ext>
          </c:extLst>
        </c:ser>
        <c:ser>
          <c:idx val="8"/>
          <c:order val="6"/>
          <c:tx>
            <c:v>Fladelast - pil 3</c:v>
          </c:tx>
          <c:spPr>
            <a:ln>
              <a:solidFill>
                <a:srgbClr val="FF0000"/>
              </a:solidFill>
              <a:headEnd type="arrow" w="lg" len="lg"/>
            </a:ln>
          </c:spPr>
          <c:marker>
            <c:symbol val="none"/>
          </c:marker>
          <c:xVal>
            <c:numRef>
              <c:f>A!$AZ$302:$BA$302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A!$AZ$303:$BA$303</c:f>
              <c:numCache>
                <c:formatCode>0.00</c:formatCode>
                <c:ptCount val="2"/>
                <c:pt idx="0">
                  <c:v>0</c:v>
                </c:pt>
                <c:pt idx="1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2FE9-4D0A-A683-9F972CEC5323}"/>
            </c:ext>
          </c:extLst>
        </c:ser>
        <c:ser>
          <c:idx val="9"/>
          <c:order val="7"/>
          <c:tx>
            <c:v>Fladelast - pil 4</c:v>
          </c:tx>
          <c:spPr>
            <a:ln>
              <a:solidFill>
                <a:srgbClr val="FF0000"/>
              </a:solidFill>
              <a:headEnd type="arrow" w="lg" len="lg"/>
            </a:ln>
          </c:spPr>
          <c:marker>
            <c:symbol val="none"/>
          </c:marker>
          <c:xVal>
            <c:numRef>
              <c:f>A!$BB$302:$BC$302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A!$BB$303:$BC$303</c:f>
              <c:numCache>
                <c:formatCode>0.00</c:formatCode>
                <c:ptCount val="2"/>
                <c:pt idx="0">
                  <c:v>0</c:v>
                </c:pt>
                <c:pt idx="1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2FE9-4D0A-A683-9F972CEC5323}"/>
            </c:ext>
          </c:extLst>
        </c:ser>
        <c:ser>
          <c:idx val="19"/>
          <c:order val="8"/>
          <c:tx>
            <c:v>Streg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A!$AZ$286:$BA$286</c:f>
              <c:numCache>
                <c:formatCode>0.00</c:formatCode>
                <c:ptCount val="2"/>
                <c:pt idx="0" formatCode="0.00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A!$AZ$287:$BE$287</c:f>
              <c:numCache>
                <c:formatCode>0.00</c:formatCode>
                <c:ptCount val="6"/>
                <c:pt idx="0" formatCode="0.000">
                  <c:v>-7.3154549064532004E-2</c:v>
                </c:pt>
                <c:pt idx="1">
                  <c:v>-0.12192424844088667</c:v>
                </c:pt>
                <c:pt idx="2">
                  <c:v>-7.3154549064532004E-2</c:v>
                </c:pt>
                <c:pt idx="3">
                  <c:v>-0.12192424844088667</c:v>
                </c:pt>
                <c:pt idx="4">
                  <c:v>-7.3154549064532004E-2</c:v>
                </c:pt>
                <c:pt idx="5">
                  <c:v>-0.12192424844088667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2FE9-4D0A-A683-9F972CEC5323}"/>
            </c:ext>
          </c:extLst>
        </c:ser>
        <c:ser>
          <c:idx val="20"/>
          <c:order val="9"/>
          <c:tx>
            <c:v>streg 2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A!$BB$286:$BC$286</c:f>
              <c:numCache>
                <c:formatCode>0.00</c:formatCode>
                <c:ptCount val="2"/>
                <c:pt idx="0" formatCode="General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A!$BB$287:$BC$287</c:f>
              <c:numCache>
                <c:formatCode>0.00</c:formatCode>
                <c:ptCount val="2"/>
                <c:pt idx="0">
                  <c:v>-7.3154549064532004E-2</c:v>
                </c:pt>
                <c:pt idx="1">
                  <c:v>-0.12192424844088667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2FE9-4D0A-A683-9F972CEC5323}"/>
            </c:ext>
          </c:extLst>
        </c:ser>
        <c:ser>
          <c:idx val="21"/>
          <c:order val="10"/>
          <c:tx>
            <c:v>streg 3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A!$BD$286:$BE$286</c:f>
              <c:numCache>
                <c:formatCode>General</c:formatCode>
                <c:ptCount val="2"/>
                <c:pt idx="0" formatCode="0.0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A!$BD$287:$BE$287</c:f>
              <c:numCache>
                <c:formatCode>0.00</c:formatCode>
                <c:ptCount val="2"/>
                <c:pt idx="0">
                  <c:v>-7.3154549064532004E-2</c:v>
                </c:pt>
                <c:pt idx="1">
                  <c:v>-0.12192424844088667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2FE9-4D0A-A683-9F972CEC5323}"/>
            </c:ext>
          </c:extLst>
        </c:ser>
        <c:ser>
          <c:idx val="22"/>
          <c:order val="11"/>
          <c:tx>
            <c:v>Cirkel 1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A!$AS$292:$CC$292</c:f>
              <c:numCache>
                <c:formatCode>0.000</c:formatCode>
                <c:ptCount val="3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</c:numCache>
            </c:numRef>
          </c:xVal>
          <c:yVal>
            <c:numRef>
              <c:f>A!$AS$293:$CC$293</c:f>
              <c:numCache>
                <c:formatCode>0.000</c:formatCode>
                <c:ptCount val="37"/>
                <c:pt idx="0">
                  <c:v>-8.8154549064532003E-2</c:v>
                </c:pt>
                <c:pt idx="1">
                  <c:v>-8.5549826399528045E-2</c:v>
                </c:pt>
                <c:pt idx="2">
                  <c:v>-8.3024246914646979E-2</c:v>
                </c:pt>
                <c:pt idx="3">
                  <c:v>-8.0654549064532011E-2</c:v>
                </c:pt>
                <c:pt idx="4">
                  <c:v>-7.8512734919233912E-2</c:v>
                </c:pt>
                <c:pt idx="5">
                  <c:v>-7.6663882417747339E-2</c:v>
                </c:pt>
                <c:pt idx="6">
                  <c:v>-7.5164168007765431E-2</c:v>
                </c:pt>
                <c:pt idx="7">
                  <c:v>-7.4059159752743381E-2</c:v>
                </c:pt>
                <c:pt idx="8">
                  <c:v>-7.3382432769348888E-2</c:v>
                </c:pt>
                <c:pt idx="9">
                  <c:v>-7.3154549064532004E-2</c:v>
                </c:pt>
                <c:pt idx="10">
                  <c:v>-7.3382432769348888E-2</c:v>
                </c:pt>
                <c:pt idx="11">
                  <c:v>-7.4059159752743381E-2</c:v>
                </c:pt>
                <c:pt idx="12">
                  <c:v>-7.5164168007765431E-2</c:v>
                </c:pt>
                <c:pt idx="13">
                  <c:v>-7.6663882417747339E-2</c:v>
                </c:pt>
                <c:pt idx="14">
                  <c:v>-7.8512734919233912E-2</c:v>
                </c:pt>
                <c:pt idx="15">
                  <c:v>-8.0654549064532011E-2</c:v>
                </c:pt>
                <c:pt idx="16">
                  <c:v>-8.3024246914646965E-2</c:v>
                </c:pt>
                <c:pt idx="17">
                  <c:v>-8.5549826399528045E-2</c:v>
                </c:pt>
                <c:pt idx="18">
                  <c:v>-8.8154549064532003E-2</c:v>
                </c:pt>
                <c:pt idx="19">
                  <c:v>-9.0759271729535962E-2</c:v>
                </c:pt>
                <c:pt idx="20">
                  <c:v>-9.3284851214417028E-2</c:v>
                </c:pt>
                <c:pt idx="21">
                  <c:v>-9.565454906453201E-2</c:v>
                </c:pt>
                <c:pt idx="22">
                  <c:v>-9.7796363209830095E-2</c:v>
                </c:pt>
                <c:pt idx="23">
                  <c:v>-9.9645215711316668E-2</c:v>
                </c:pt>
                <c:pt idx="24">
                  <c:v>-0.10114493012129858</c:v>
                </c:pt>
                <c:pt idx="25">
                  <c:v>-0.10224993837632063</c:v>
                </c:pt>
                <c:pt idx="26">
                  <c:v>-0.10292666535971512</c:v>
                </c:pt>
                <c:pt idx="27">
                  <c:v>-0.103154549064532</c:v>
                </c:pt>
                <c:pt idx="28">
                  <c:v>-0.10292666535971512</c:v>
                </c:pt>
                <c:pt idx="29">
                  <c:v>-0.10224993837632063</c:v>
                </c:pt>
                <c:pt idx="30">
                  <c:v>-0.10114493012129858</c:v>
                </c:pt>
                <c:pt idx="31">
                  <c:v>-9.9645215711316681E-2</c:v>
                </c:pt>
                <c:pt idx="32">
                  <c:v>-9.7796363209830095E-2</c:v>
                </c:pt>
                <c:pt idx="33">
                  <c:v>-9.565454906453201E-2</c:v>
                </c:pt>
                <c:pt idx="34">
                  <c:v>-9.3284851214417028E-2</c:v>
                </c:pt>
                <c:pt idx="35">
                  <c:v>-9.0759271729535962E-2</c:v>
                </c:pt>
                <c:pt idx="36">
                  <c:v>-8.8154549064532003E-2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2FE9-4D0A-A683-9F972CEC5323}"/>
            </c:ext>
          </c:extLst>
        </c:ser>
        <c:ser>
          <c:idx val="23"/>
          <c:order val="12"/>
          <c:tx>
            <c:v>Cirkel 2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A!$AS$291:$CC$291</c:f>
              <c:numCache>
                <c:formatCode>0.000</c:formatCode>
                <c:ptCount val="3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</c:numCache>
            </c:numRef>
          </c:xVal>
          <c:yVal>
            <c:numRef>
              <c:f>A!$AS$293:$CC$293</c:f>
              <c:numCache>
                <c:formatCode>0.000</c:formatCode>
                <c:ptCount val="37"/>
                <c:pt idx="0">
                  <c:v>-8.8154549064532003E-2</c:v>
                </c:pt>
                <c:pt idx="1">
                  <c:v>-8.5549826399528045E-2</c:v>
                </c:pt>
                <c:pt idx="2">
                  <c:v>-8.3024246914646979E-2</c:v>
                </c:pt>
                <c:pt idx="3">
                  <c:v>-8.0654549064532011E-2</c:v>
                </c:pt>
                <c:pt idx="4">
                  <c:v>-7.8512734919233912E-2</c:v>
                </c:pt>
                <c:pt idx="5">
                  <c:v>-7.6663882417747339E-2</c:v>
                </c:pt>
                <c:pt idx="6">
                  <c:v>-7.5164168007765431E-2</c:v>
                </c:pt>
                <c:pt idx="7">
                  <c:v>-7.4059159752743381E-2</c:v>
                </c:pt>
                <c:pt idx="8">
                  <c:v>-7.3382432769348888E-2</c:v>
                </c:pt>
                <c:pt idx="9">
                  <c:v>-7.3154549064532004E-2</c:v>
                </c:pt>
                <c:pt idx="10">
                  <c:v>-7.3382432769348888E-2</c:v>
                </c:pt>
                <c:pt idx="11">
                  <c:v>-7.4059159752743381E-2</c:v>
                </c:pt>
                <c:pt idx="12">
                  <c:v>-7.5164168007765431E-2</c:v>
                </c:pt>
                <c:pt idx="13">
                  <c:v>-7.6663882417747339E-2</c:v>
                </c:pt>
                <c:pt idx="14">
                  <c:v>-7.8512734919233912E-2</c:v>
                </c:pt>
                <c:pt idx="15">
                  <c:v>-8.0654549064532011E-2</c:v>
                </c:pt>
                <c:pt idx="16">
                  <c:v>-8.3024246914646965E-2</c:v>
                </c:pt>
                <c:pt idx="17">
                  <c:v>-8.5549826399528045E-2</c:v>
                </c:pt>
                <c:pt idx="18">
                  <c:v>-8.8154549064532003E-2</c:v>
                </c:pt>
                <c:pt idx="19">
                  <c:v>-9.0759271729535962E-2</c:v>
                </c:pt>
                <c:pt idx="20">
                  <c:v>-9.3284851214417028E-2</c:v>
                </c:pt>
                <c:pt idx="21">
                  <c:v>-9.565454906453201E-2</c:v>
                </c:pt>
                <c:pt idx="22">
                  <c:v>-9.7796363209830095E-2</c:v>
                </c:pt>
                <c:pt idx="23">
                  <c:v>-9.9645215711316668E-2</c:v>
                </c:pt>
                <c:pt idx="24">
                  <c:v>-0.10114493012129858</c:v>
                </c:pt>
                <c:pt idx="25">
                  <c:v>-0.10224993837632063</c:v>
                </c:pt>
                <c:pt idx="26">
                  <c:v>-0.10292666535971512</c:v>
                </c:pt>
                <c:pt idx="27">
                  <c:v>-0.103154549064532</c:v>
                </c:pt>
                <c:pt idx="28">
                  <c:v>-0.10292666535971512</c:v>
                </c:pt>
                <c:pt idx="29">
                  <c:v>-0.10224993837632063</c:v>
                </c:pt>
                <c:pt idx="30">
                  <c:v>-0.10114493012129858</c:v>
                </c:pt>
                <c:pt idx="31">
                  <c:v>-9.9645215711316681E-2</c:v>
                </c:pt>
                <c:pt idx="32">
                  <c:v>-9.7796363209830095E-2</c:v>
                </c:pt>
                <c:pt idx="33">
                  <c:v>-9.565454906453201E-2</c:v>
                </c:pt>
                <c:pt idx="34">
                  <c:v>-9.3284851214417028E-2</c:v>
                </c:pt>
                <c:pt idx="35">
                  <c:v>-9.0759271729535962E-2</c:v>
                </c:pt>
                <c:pt idx="36">
                  <c:v>-8.8154549064532003E-2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2FE9-4D0A-A683-9F972CEC5323}"/>
            </c:ext>
          </c:extLst>
        </c:ser>
        <c:ser>
          <c:idx val="24"/>
          <c:order val="13"/>
          <c:tx>
            <c:v>streg 4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A!$BF$286:$BG$286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A!$BF$287:$BG$287</c:f>
              <c:numCache>
                <c:formatCode>0.00</c:formatCode>
                <c:ptCount val="2"/>
                <c:pt idx="0">
                  <c:v>-0.103154549064532</c:v>
                </c:pt>
                <c:pt idx="1">
                  <c:v>-0.103154549064532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2FE9-4D0A-A683-9F972CEC5323}"/>
            </c:ext>
          </c:extLst>
        </c:ser>
        <c:ser>
          <c:idx val="25"/>
          <c:order val="14"/>
          <c:tx>
            <c:v>streg 5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A!$BH$286:$BI$286</c:f>
              <c:numCache>
                <c:formatCode>0.00</c:formatCode>
                <c:ptCount val="2"/>
                <c:pt idx="0" formatCode="0.00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A!$BH$287:$BI$287</c:f>
              <c:numCache>
                <c:formatCode>0.000</c:formatCode>
                <c:ptCount val="2"/>
                <c:pt idx="0" formatCode="0.00">
                  <c:v>-0.103154549064532</c:v>
                </c:pt>
                <c:pt idx="1">
                  <c:v>-0.15192424844088667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2FE9-4D0A-A683-9F972CEC5323}"/>
            </c:ext>
          </c:extLst>
        </c:ser>
        <c:ser>
          <c:idx val="26"/>
          <c:order val="15"/>
          <c:tx>
            <c:v>streg 6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A!$BJ$286:$BK$286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A!$BJ$287:$BK$287</c:f>
              <c:numCache>
                <c:formatCode>0.000</c:formatCode>
                <c:ptCount val="2"/>
                <c:pt idx="0" formatCode="0.00">
                  <c:v>-0.103154549064532</c:v>
                </c:pt>
                <c:pt idx="1">
                  <c:v>-0.15192424844088667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2FE9-4D0A-A683-9F972CEC5323}"/>
            </c:ext>
          </c:extLst>
        </c:ser>
        <c:ser>
          <c:idx val="27"/>
          <c:order val="16"/>
          <c:tx>
            <c:v>streg 7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A!$BL$286:$BM$286</c:f>
              <c:numCache>
                <c:formatCode>General</c:formatCode>
                <c:ptCount val="2"/>
                <c:pt idx="0" formatCode="0.0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A!$BL$287:$BM$287</c:f>
              <c:numCache>
                <c:formatCode>0.00</c:formatCode>
                <c:ptCount val="2"/>
                <c:pt idx="0">
                  <c:v>-0.103154549064532</c:v>
                </c:pt>
                <c:pt idx="1">
                  <c:v>-0.15192424844088667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2FE9-4D0A-A683-9F972CEC5323}"/>
            </c:ext>
          </c:extLst>
        </c:ser>
        <c:ser>
          <c:idx val="2"/>
          <c:order val="17"/>
          <c:tx>
            <c:strRef>
              <c:f>A!$AP$305</c:f>
              <c:strCache>
                <c:ptCount val="1"/>
                <c:pt idx="0">
                  <c:v>#I/T</c:v>
                </c:pt>
              </c:strCache>
            </c:strRef>
          </c:tx>
          <c:spPr>
            <a:ln>
              <a:solidFill>
                <a:srgbClr val="FF0000"/>
              </a:solidFill>
              <a:headEnd type="arrow" w="lg" len="lg"/>
              <a:tailEnd type="arrow" w="lg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2FE9-4D0A-A683-9F972CEC532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3E9DC5D-82B4-40DF-8E5E-D3B0710BE493}" type="SERIESNAME">
                      <a:rPr lang="en-US" sz="1400"/>
                      <a:pPr/>
                      <a:t>[SERIENAVN]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E-2FE9-4D0A-A683-9F972CEC532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2FE9-4D0A-A683-9F972CEC5323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2FE9-4D0A-A683-9F972CEC5323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A!$AP$306:$AS$306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A!$AP$307:$AS$307</c:f>
              <c:numCache>
                <c:formatCode>0.00</c:formatCode>
                <c:ptCount val="4"/>
                <c:pt idx="0">
                  <c:v>0.15</c:v>
                </c:pt>
                <c:pt idx="1">
                  <c:v>#N/A</c:v>
                </c:pt>
                <c:pt idx="2">
                  <c:v>#N/A</c:v>
                </c:pt>
                <c:pt idx="3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2FE9-4D0A-A683-9F972CEC5323}"/>
            </c:ext>
          </c:extLst>
        </c:ser>
        <c:ser>
          <c:idx val="3"/>
          <c:order val="18"/>
          <c:tx>
            <c:strRef>
              <c:f>A!$AU$305</c:f>
              <c:strCache>
                <c:ptCount val="1"/>
                <c:pt idx="0">
                  <c:v>#I/T</c:v>
                </c:pt>
              </c:strCache>
            </c:strRef>
          </c:tx>
          <c:spPr>
            <a:ln>
              <a:solidFill>
                <a:srgbClr val="FF0000"/>
              </a:solidFill>
              <a:headEnd type="arrow" w="lg" len="lg"/>
            </a:ln>
          </c:spPr>
          <c:marker>
            <c:symbol val="none"/>
          </c:marker>
          <c:xVal>
            <c:numRef>
              <c:f>A!$AU$306:$AV$306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A!$AU$307:$AV$307</c:f>
              <c:numCache>
                <c:formatCode>0.00</c:formatCode>
                <c:ptCount val="2"/>
                <c:pt idx="0">
                  <c:v>0.15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2FE9-4D0A-A683-9F972CEC5323}"/>
            </c:ext>
          </c:extLst>
        </c:ser>
        <c:ser>
          <c:idx val="10"/>
          <c:order val="19"/>
          <c:tx>
            <c:strRef>
              <c:f>A!$AW$305</c:f>
              <c:strCache>
                <c:ptCount val="1"/>
                <c:pt idx="0">
                  <c:v>#I/T</c:v>
                </c:pt>
              </c:strCache>
            </c:strRef>
          </c:tx>
          <c:spPr>
            <a:ln>
              <a:solidFill>
                <a:srgbClr val="FF0000"/>
              </a:solidFill>
              <a:headEnd type="arrow" w="lg" len="lg"/>
            </a:ln>
          </c:spPr>
          <c:marker>
            <c:symbol val="none"/>
          </c:marker>
          <c:xVal>
            <c:numRef>
              <c:f>A!$AW$306:$AX$306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A!$AW$307:$AX$307</c:f>
              <c:numCache>
                <c:formatCode>0.00</c:formatCode>
                <c:ptCount val="2"/>
                <c:pt idx="0">
                  <c:v>0.15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2FE9-4D0A-A683-9F972CEC5323}"/>
            </c:ext>
          </c:extLst>
        </c:ser>
        <c:ser>
          <c:idx val="11"/>
          <c:order val="20"/>
          <c:tx>
            <c:strRef>
              <c:f>A!$AY$305</c:f>
              <c:strCache>
                <c:ptCount val="1"/>
                <c:pt idx="0">
                  <c:v>#I/T</c:v>
                </c:pt>
              </c:strCache>
            </c:strRef>
          </c:tx>
          <c:spPr>
            <a:ln>
              <a:solidFill>
                <a:srgbClr val="FF0000"/>
              </a:solidFill>
              <a:headEnd type="arrow" w="lg" len="lg"/>
            </a:ln>
          </c:spPr>
          <c:marker>
            <c:symbol val="none"/>
          </c:marker>
          <c:xVal>
            <c:numRef>
              <c:f>A!$AY$306:$AZ$306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A!$AY$307:$AZ$307</c:f>
              <c:numCache>
                <c:formatCode>0.00</c:formatCode>
                <c:ptCount val="2"/>
                <c:pt idx="0">
                  <c:v>0.15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2FE9-4D0A-A683-9F972CEC5323}"/>
            </c:ext>
          </c:extLst>
        </c:ser>
        <c:ser>
          <c:idx val="12"/>
          <c:order val="21"/>
          <c:tx>
            <c:strRef>
              <c:f>A!$BB$305</c:f>
              <c:strCache>
                <c:ptCount val="1"/>
                <c:pt idx="0">
                  <c:v>#I/T</c:v>
                </c:pt>
              </c:strCache>
            </c:strRef>
          </c:tx>
          <c:spPr>
            <a:ln w="25400">
              <a:solidFill>
                <a:srgbClr val="FF0000"/>
              </a:solidFill>
              <a:headEnd type="arrow" w="lg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2FE9-4D0A-A683-9F972CEC532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D6EF97D-AAFD-4BC8-9A38-25D010EC644E}" type="SERIESNAME">
                      <a:rPr lang="en-US" sz="1400"/>
                      <a:pPr/>
                      <a:t>[SERIENAVN]</a:t>
                    </a:fld>
                    <a:endParaRPr lang="da-DK"/>
                  </a:p>
                </c:rich>
              </c:tx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B-2FE9-4D0A-A683-9F972CEC5323}"/>
                </c:ext>
              </c:extLst>
            </c:dLbl>
            <c:spPr>
              <a:noFill/>
              <a:ln>
                <a:noFill/>
              </a:ln>
              <a:effectLst/>
            </c:sp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A!$BB$306:$BC$306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A!$BB$307:$BC$307</c:f>
              <c:numCache>
                <c:formatCode>0.00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2FE9-4D0A-A683-9F972CEC5323}"/>
            </c:ext>
          </c:extLst>
        </c:ser>
        <c:ser>
          <c:idx val="13"/>
          <c:order val="22"/>
          <c:tx>
            <c:strRef>
              <c:f>A!$AP$309</c:f>
              <c:strCache>
                <c:ptCount val="1"/>
                <c:pt idx="0">
                  <c:v>0</c:v>
                </c:pt>
              </c:strCache>
            </c:strRef>
          </c:tx>
          <c:spPr>
            <a:ln w="25400">
              <a:solidFill>
                <a:srgbClr val="FF0000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fld id="{396F2049-72DD-4218-9FE5-C2726F835878}" type="SERIESNAME">
                      <a:rPr lang="en-US" sz="1400"/>
                      <a:pPr/>
                      <a:t>[SERIENAVN]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6DEC-4FC5-9559-A9B7849AB935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A!$AP$310:$AQ$310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A!$AP$311:$AQ$311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2FE9-4D0A-A683-9F972CEC5323}"/>
            </c:ext>
          </c:extLst>
        </c:ser>
        <c:ser>
          <c:idx val="14"/>
          <c:order val="23"/>
          <c:tx>
            <c:strRef>
              <c:f>A!$AS$309</c:f>
              <c:strCache>
                <c:ptCount val="1"/>
                <c:pt idx="0">
                  <c:v>#I/T</c:v>
                </c:pt>
              </c:strCache>
            </c:strRef>
          </c:tx>
          <c:spPr>
            <a:ln w="25400">
              <a:solidFill>
                <a:srgbClr val="FF0000"/>
              </a:solidFill>
              <a:headEnd type="arrow" w="lg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2FE9-4D0A-A683-9F972CEC532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A7F71EE-DAA9-46B9-82B4-499A123F62E0}" type="SERIESNAME">
                      <a:rPr lang="en-US" sz="1400"/>
                      <a:pPr/>
                      <a:t>[SERIENAVN]</a:t>
                    </a:fld>
                    <a:endParaRPr lang="da-DK"/>
                  </a:p>
                </c:rich>
              </c:tx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30-2FE9-4D0A-A683-9F972CEC5323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A!$AS$310:$AT$310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A!$AS$311:$AT$311</c:f>
              <c:numCache>
                <c:formatCode>0.00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2FE9-4D0A-A683-9F972CEC5323}"/>
            </c:ext>
          </c:extLst>
        </c:ser>
        <c:ser>
          <c:idx val="15"/>
          <c:order val="24"/>
          <c:tx>
            <c:v>Ref 1</c:v>
          </c:tx>
          <c:marker>
            <c:symbol val="none"/>
          </c:marker>
          <c:xVal>
            <c:numRef>
              <c:f>A!$BO$286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A!$BO$287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DEC-4FC5-9559-A9B7849AB935}"/>
            </c:ext>
          </c:extLst>
        </c:ser>
        <c:ser>
          <c:idx val="16"/>
          <c:order val="25"/>
          <c:tx>
            <c:v>Ref 2</c:v>
          </c:tx>
          <c:marker>
            <c:symbol val="none"/>
          </c:marker>
          <c:xVal>
            <c:numRef>
              <c:f>A!$BP$286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A!$BP$287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DEC-4FC5-9559-A9B7849AB9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4995952"/>
        <c:axId val="924997200"/>
        <c:extLst/>
      </c:scatterChart>
      <c:valAx>
        <c:axId val="924995952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924997200"/>
        <c:crosses val="max"/>
        <c:crossBetween val="midCat"/>
        <c:majorUnit val="0.1"/>
      </c:valAx>
      <c:valAx>
        <c:axId val="924997200"/>
        <c:scaling>
          <c:orientation val="minMax"/>
        </c:scaling>
        <c:delete val="1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924995952"/>
        <c:crosses val="max"/>
        <c:crossBetween val="midCat"/>
        <c:majorUnit val="0.1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547151198597696E-2"/>
          <c:y val="5.2245078740157491E-2"/>
          <c:w val="0.9625154150916404"/>
          <c:h val="0.89554790026246722"/>
        </c:manualLayout>
      </c:layout>
      <c:scatterChart>
        <c:scatterStyle val="lineMarker"/>
        <c:varyColors val="0"/>
        <c:ser>
          <c:idx val="0"/>
          <c:order val="0"/>
          <c:tx>
            <c:v>Bjælke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A!$AP$353:$AQ$353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xVal>
          <c:yVal>
            <c:numRef>
              <c:f>A!$AP$354:$AQ$354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787-4379-9782-83F61AA43349}"/>
            </c:ext>
          </c:extLst>
        </c:ser>
        <c:ser>
          <c:idx val="1"/>
          <c:order val="1"/>
          <c:tx>
            <c:v>Understøtning, V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A!$AR$353:$AU$353</c:f>
              <c:numCache>
                <c:formatCode>General</c:formatCode>
                <c:ptCount val="4"/>
                <c:pt idx="0">
                  <c:v>0</c:v>
                </c:pt>
                <c:pt idx="1">
                  <c:v>-0.06</c:v>
                </c:pt>
                <c:pt idx="2" formatCode="0.00">
                  <c:v>0.06</c:v>
                </c:pt>
                <c:pt idx="3">
                  <c:v>0</c:v>
                </c:pt>
              </c:numCache>
            </c:numRef>
          </c:xVal>
          <c:yVal>
            <c:numRef>
              <c:f>A!$AR$354:$AU$354</c:f>
              <c:numCache>
                <c:formatCode>0.000</c:formatCode>
                <c:ptCount val="4"/>
                <c:pt idx="0" formatCode="General">
                  <c:v>0</c:v>
                </c:pt>
                <c:pt idx="1">
                  <c:v>-7.3154549064532004E-2</c:v>
                </c:pt>
                <c:pt idx="2">
                  <c:v>-7.3154549064532004E-2</c:v>
                </c:pt>
                <c:pt idx="3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787-4379-9782-83F61AA43349}"/>
            </c:ext>
          </c:extLst>
        </c:ser>
        <c:ser>
          <c:idx val="4"/>
          <c:order val="2"/>
          <c:tx>
            <c:v>Understøtning, H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A!$AV$353:$AY$353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 formatCode="0.00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A!$AV$354:$AY$354</c:f>
              <c:numCache>
                <c:formatCode>0.000</c:formatCode>
                <c:ptCount val="4"/>
                <c:pt idx="0" formatCode="General">
                  <c:v>0</c:v>
                </c:pt>
                <c:pt idx="1">
                  <c:v>-7.3154549064532004E-2</c:v>
                </c:pt>
                <c:pt idx="2">
                  <c:v>-7.3154549064532004E-2</c:v>
                </c:pt>
                <c:pt idx="3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787-4379-9782-83F61AA43349}"/>
            </c:ext>
          </c:extLst>
        </c:ser>
        <c:ser>
          <c:idx val="5"/>
          <c:order val="3"/>
          <c:tx>
            <c:strRef>
              <c:f>A!$AP$368</c:f>
              <c:strCache>
                <c:ptCount val="1"/>
                <c:pt idx="0">
                  <c:v>#I/T</c:v>
                </c:pt>
              </c:strCache>
            </c:strRef>
          </c:tx>
          <c:spPr>
            <a:ln>
              <a:solidFill>
                <a:srgbClr val="FF0000"/>
              </a:solidFill>
              <a:headEnd type="arrow" w="lg" len="lg"/>
              <a:tailEnd type="arrow" w="lg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787-4379-9782-83F61AA43349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/>
                    </a:pPr>
                    <a:fld id="{30725528-37D7-47B8-BD62-EA66B271226A}" type="SERIESNAME">
                      <a:rPr lang="en-US" sz="1400"/>
                      <a:pPr>
                        <a:defRPr/>
                      </a:pPr>
                      <a:t>[SERIENAVN]</a:t>
                    </a:fld>
                    <a:endParaRPr lang="da-DK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4787-4379-9782-83F61AA43349}"/>
                </c:ext>
              </c:extLst>
            </c:dLbl>
            <c:dLbl>
              <c:idx val="2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/>
                    </a:pPr>
                    <a:fld id="{D6642D21-FDB7-41FA-978E-45390A014EFE}" type="SERIESNAME">
                      <a:rPr lang="en-US" sz="1400"/>
                      <a:pPr>
                        <a:defRPr/>
                      </a:pPr>
                      <a:t>[SERIENAVN]</a:t>
                    </a:fld>
                    <a:endParaRPr lang="da-DK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4787-4379-9782-83F61AA43349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787-4379-9782-83F61AA43349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A!$AP$369:$AS$369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A!$AP$370:$AS$370</c:f>
              <c:numCache>
                <c:formatCode>0.00</c:formatCode>
                <c:ptCount val="4"/>
                <c:pt idx="0">
                  <c:v>0</c:v>
                </c:pt>
                <c:pt idx="1">
                  <c:v>0.2</c:v>
                </c:pt>
                <c:pt idx="2">
                  <c:v>0.2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787-4379-9782-83F61AA43349}"/>
            </c:ext>
          </c:extLst>
        </c:ser>
        <c:ser>
          <c:idx val="6"/>
          <c:order val="4"/>
          <c:tx>
            <c:v>Fladelast - pil 1</c:v>
          </c:tx>
          <c:spPr>
            <a:ln>
              <a:solidFill>
                <a:srgbClr val="FF0000"/>
              </a:solidFill>
              <a:headEnd type="arrow" w="lg" len="lg"/>
            </a:ln>
          </c:spPr>
          <c:marker>
            <c:symbol val="none"/>
          </c:marker>
          <c:xVal>
            <c:numRef>
              <c:f>A!$AV$369:$AW$369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A!$AV$370:$AW$370</c:f>
              <c:numCache>
                <c:formatCode>0.00</c:formatCode>
                <c:ptCount val="2"/>
                <c:pt idx="0">
                  <c:v>0</c:v>
                </c:pt>
                <c:pt idx="1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787-4379-9782-83F61AA43349}"/>
            </c:ext>
          </c:extLst>
        </c:ser>
        <c:ser>
          <c:idx val="7"/>
          <c:order val="5"/>
          <c:tx>
            <c:v>Fladelast - pil 2</c:v>
          </c:tx>
          <c:spPr>
            <a:ln>
              <a:solidFill>
                <a:srgbClr val="FF0000"/>
              </a:solidFill>
              <a:headEnd type="arrow" w="lg" len="lg"/>
            </a:ln>
          </c:spPr>
          <c:marker>
            <c:symbol val="none"/>
          </c:marker>
          <c:xVal>
            <c:numRef>
              <c:f>A!$AX$369:$AY$369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A!$AX$370:$AY$370</c:f>
              <c:numCache>
                <c:formatCode>0.00</c:formatCode>
                <c:ptCount val="2"/>
                <c:pt idx="0">
                  <c:v>0</c:v>
                </c:pt>
                <c:pt idx="1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787-4379-9782-83F61AA43349}"/>
            </c:ext>
          </c:extLst>
        </c:ser>
        <c:ser>
          <c:idx val="8"/>
          <c:order val="6"/>
          <c:tx>
            <c:v>Fladelast - pil 3</c:v>
          </c:tx>
          <c:spPr>
            <a:ln>
              <a:solidFill>
                <a:srgbClr val="FF0000"/>
              </a:solidFill>
              <a:headEnd type="arrow" w="lg" len="lg"/>
            </a:ln>
          </c:spPr>
          <c:marker>
            <c:symbol val="none"/>
          </c:marker>
          <c:xVal>
            <c:numRef>
              <c:f>A!$AZ$369:$BA$369</c:f>
              <c:numCache>
                <c:formatCode>General</c:formatCode>
                <c:ptCount val="2"/>
                <c:pt idx="0" formatCode="0.00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A!$AZ$370:$BA$370</c:f>
              <c:numCache>
                <c:formatCode>0.00</c:formatCode>
                <c:ptCount val="2"/>
                <c:pt idx="0">
                  <c:v>0</c:v>
                </c:pt>
                <c:pt idx="1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787-4379-9782-83F61AA43349}"/>
            </c:ext>
          </c:extLst>
        </c:ser>
        <c:ser>
          <c:idx val="9"/>
          <c:order val="7"/>
          <c:tx>
            <c:v>Fladelast - pil 4</c:v>
          </c:tx>
          <c:spPr>
            <a:ln>
              <a:solidFill>
                <a:srgbClr val="FF0000"/>
              </a:solidFill>
              <a:headEnd type="arrow" w="lg" len="lg"/>
            </a:ln>
          </c:spPr>
          <c:marker>
            <c:symbol val="none"/>
          </c:marker>
          <c:xVal>
            <c:numRef>
              <c:f>A!$BB$369:$BC$369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A!$BB$370:$BC$370</c:f>
              <c:numCache>
                <c:formatCode>0.00</c:formatCode>
                <c:ptCount val="2"/>
                <c:pt idx="0">
                  <c:v>0</c:v>
                </c:pt>
                <c:pt idx="1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787-4379-9782-83F61AA43349}"/>
            </c:ext>
          </c:extLst>
        </c:ser>
        <c:ser>
          <c:idx val="15"/>
          <c:order val="8"/>
          <c:tx>
            <c:v>Fladelast - pil 5</c:v>
          </c:tx>
          <c:spPr>
            <a:ln>
              <a:solidFill>
                <a:srgbClr val="FF0000"/>
              </a:solidFill>
              <a:headEnd type="arrow" w="lg" len="lg"/>
            </a:ln>
          </c:spPr>
          <c:marker>
            <c:symbol val="none"/>
          </c:marker>
          <c:xVal>
            <c:numRef>
              <c:f>A!$BD$369:$BE$369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A!$BD$370:$BE$370</c:f>
              <c:numCache>
                <c:formatCode>0.00</c:formatCode>
                <c:ptCount val="2"/>
                <c:pt idx="0">
                  <c:v>0</c:v>
                </c:pt>
                <c:pt idx="1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787-4379-9782-83F61AA43349}"/>
            </c:ext>
          </c:extLst>
        </c:ser>
        <c:ser>
          <c:idx val="19"/>
          <c:order val="9"/>
          <c:tx>
            <c:v>Streg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A!$AZ$353:$BA$353</c:f>
              <c:numCache>
                <c:formatCode>0.00</c:formatCode>
                <c:ptCount val="2"/>
                <c:pt idx="0" formatCode="0.000">
                  <c:v>-3.9999999999999994E-2</c:v>
                </c:pt>
                <c:pt idx="1">
                  <c:v>-7.9999999999999988E-2</c:v>
                </c:pt>
              </c:numCache>
            </c:numRef>
          </c:xVal>
          <c:yVal>
            <c:numRef>
              <c:f>A!$AZ$354:$BA$354</c:f>
              <c:numCache>
                <c:formatCode>0.00</c:formatCode>
                <c:ptCount val="2"/>
                <c:pt idx="0" formatCode="0.000">
                  <c:v>-7.3154549064532004E-2</c:v>
                </c:pt>
                <c:pt idx="1">
                  <c:v>-0.12192424844088667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787-4379-9782-83F61AA43349}"/>
            </c:ext>
          </c:extLst>
        </c:ser>
        <c:ser>
          <c:idx val="20"/>
          <c:order val="10"/>
          <c:tx>
            <c:v>streg 2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A!$BB$353:$BC$353</c:f>
              <c:numCache>
                <c:formatCode>0.00</c:formatCode>
                <c:ptCount val="2"/>
                <c:pt idx="0" formatCode="General">
                  <c:v>3.9999999999999994E-2</c:v>
                </c:pt>
                <c:pt idx="1">
                  <c:v>0</c:v>
                </c:pt>
              </c:numCache>
            </c:numRef>
          </c:xVal>
          <c:yVal>
            <c:numRef>
              <c:f>A!$BB$354:$BC$354</c:f>
              <c:numCache>
                <c:formatCode>0.00</c:formatCode>
                <c:ptCount val="2"/>
                <c:pt idx="0">
                  <c:v>-7.3154549064532004E-2</c:v>
                </c:pt>
                <c:pt idx="1">
                  <c:v>-0.12192424844088667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787-4379-9782-83F61AA43349}"/>
            </c:ext>
          </c:extLst>
        </c:ser>
        <c:ser>
          <c:idx val="21"/>
          <c:order val="11"/>
          <c:tx>
            <c:v>streg 3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A!$BD$353:$BE$353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-0.04</c:v>
                </c:pt>
              </c:numCache>
            </c:numRef>
          </c:xVal>
          <c:yVal>
            <c:numRef>
              <c:f>A!$BD$354:$BE$354</c:f>
              <c:numCache>
                <c:formatCode>0.00</c:formatCode>
                <c:ptCount val="2"/>
                <c:pt idx="0">
                  <c:v>-7.3154549064532004E-2</c:v>
                </c:pt>
                <c:pt idx="1">
                  <c:v>-0.12192424844088667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787-4379-9782-83F61AA43349}"/>
            </c:ext>
          </c:extLst>
        </c:ser>
        <c:ser>
          <c:idx val="22"/>
          <c:order val="12"/>
          <c:tx>
            <c:v>Cirkel 1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A!$AS$359:$CC$359</c:f>
              <c:numCache>
                <c:formatCode>0.000</c:formatCode>
                <c:ptCount val="3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</c:numCache>
            </c:numRef>
          </c:xVal>
          <c:yVal>
            <c:numRef>
              <c:f>A!$AS$360:$CC$360</c:f>
              <c:numCache>
                <c:formatCode>0.000</c:formatCode>
                <c:ptCount val="37"/>
                <c:pt idx="0">
                  <c:v>-8.8154549064532003E-2</c:v>
                </c:pt>
                <c:pt idx="1">
                  <c:v>-8.5549826399528045E-2</c:v>
                </c:pt>
                <c:pt idx="2">
                  <c:v>-8.3024246914646979E-2</c:v>
                </c:pt>
                <c:pt idx="3">
                  <c:v>-8.0654549064532011E-2</c:v>
                </c:pt>
                <c:pt idx="4">
                  <c:v>-7.8512734919233912E-2</c:v>
                </c:pt>
                <c:pt idx="5">
                  <c:v>-7.6663882417747339E-2</c:v>
                </c:pt>
                <c:pt idx="6">
                  <c:v>-7.5164168007765431E-2</c:v>
                </c:pt>
                <c:pt idx="7">
                  <c:v>-7.4059159752743381E-2</c:v>
                </c:pt>
                <c:pt idx="8">
                  <c:v>-7.3382432769348888E-2</c:v>
                </c:pt>
                <c:pt idx="9">
                  <c:v>-7.3154549064532004E-2</c:v>
                </c:pt>
                <c:pt idx="10">
                  <c:v>-7.3382432769348888E-2</c:v>
                </c:pt>
                <c:pt idx="11">
                  <c:v>-7.4059159752743381E-2</c:v>
                </c:pt>
                <c:pt idx="12">
                  <c:v>-7.5164168007765431E-2</c:v>
                </c:pt>
                <c:pt idx="13">
                  <c:v>-7.6663882417747339E-2</c:v>
                </c:pt>
                <c:pt idx="14">
                  <c:v>-7.8512734919233912E-2</c:v>
                </c:pt>
                <c:pt idx="15">
                  <c:v>-8.0654549064532011E-2</c:v>
                </c:pt>
                <c:pt idx="16">
                  <c:v>-8.3024246914646965E-2</c:v>
                </c:pt>
                <c:pt idx="17">
                  <c:v>-8.5549826399528045E-2</c:v>
                </c:pt>
                <c:pt idx="18">
                  <c:v>-8.8154549064532003E-2</c:v>
                </c:pt>
                <c:pt idx="19">
                  <c:v>-9.0759271729535962E-2</c:v>
                </c:pt>
                <c:pt idx="20">
                  <c:v>-9.3284851214417028E-2</c:v>
                </c:pt>
                <c:pt idx="21">
                  <c:v>-9.565454906453201E-2</c:v>
                </c:pt>
                <c:pt idx="22">
                  <c:v>-9.7796363209830095E-2</c:v>
                </c:pt>
                <c:pt idx="23">
                  <c:v>-9.9645215711316668E-2</c:v>
                </c:pt>
                <c:pt idx="24">
                  <c:v>-0.10114493012129858</c:v>
                </c:pt>
                <c:pt idx="25">
                  <c:v>-0.10224993837632063</c:v>
                </c:pt>
                <c:pt idx="26">
                  <c:v>-0.10292666535971512</c:v>
                </c:pt>
                <c:pt idx="27">
                  <c:v>-0.103154549064532</c:v>
                </c:pt>
                <c:pt idx="28">
                  <c:v>-0.10292666535971512</c:v>
                </c:pt>
                <c:pt idx="29">
                  <c:v>-0.10224993837632063</c:v>
                </c:pt>
                <c:pt idx="30">
                  <c:v>-0.10114493012129858</c:v>
                </c:pt>
                <c:pt idx="31">
                  <c:v>-9.9645215711316681E-2</c:v>
                </c:pt>
                <c:pt idx="32">
                  <c:v>-9.7796363209830095E-2</c:v>
                </c:pt>
                <c:pt idx="33">
                  <c:v>-9.565454906453201E-2</c:v>
                </c:pt>
                <c:pt idx="34">
                  <c:v>-9.3284851214417028E-2</c:v>
                </c:pt>
                <c:pt idx="35">
                  <c:v>-9.0759271729535962E-2</c:v>
                </c:pt>
                <c:pt idx="36">
                  <c:v>-8.8154549064532003E-2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787-4379-9782-83F61AA43349}"/>
            </c:ext>
          </c:extLst>
        </c:ser>
        <c:ser>
          <c:idx val="23"/>
          <c:order val="13"/>
          <c:tx>
            <c:v>Cirkel 2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A!$AS$358:$CC$358</c:f>
              <c:numCache>
                <c:formatCode>0.000</c:formatCode>
                <c:ptCount val="3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</c:numCache>
            </c:numRef>
          </c:xVal>
          <c:yVal>
            <c:numRef>
              <c:f>A!$AS$360:$CC$360</c:f>
              <c:numCache>
                <c:formatCode>0.000</c:formatCode>
                <c:ptCount val="37"/>
                <c:pt idx="0">
                  <c:v>-8.8154549064532003E-2</c:v>
                </c:pt>
                <c:pt idx="1">
                  <c:v>-8.5549826399528045E-2</c:v>
                </c:pt>
                <c:pt idx="2">
                  <c:v>-8.3024246914646979E-2</c:v>
                </c:pt>
                <c:pt idx="3">
                  <c:v>-8.0654549064532011E-2</c:v>
                </c:pt>
                <c:pt idx="4">
                  <c:v>-7.8512734919233912E-2</c:v>
                </c:pt>
                <c:pt idx="5">
                  <c:v>-7.6663882417747339E-2</c:v>
                </c:pt>
                <c:pt idx="6">
                  <c:v>-7.5164168007765431E-2</c:v>
                </c:pt>
                <c:pt idx="7">
                  <c:v>-7.4059159752743381E-2</c:v>
                </c:pt>
                <c:pt idx="8">
                  <c:v>-7.3382432769348888E-2</c:v>
                </c:pt>
                <c:pt idx="9">
                  <c:v>-7.3154549064532004E-2</c:v>
                </c:pt>
                <c:pt idx="10">
                  <c:v>-7.3382432769348888E-2</c:v>
                </c:pt>
                <c:pt idx="11">
                  <c:v>-7.4059159752743381E-2</c:v>
                </c:pt>
                <c:pt idx="12">
                  <c:v>-7.5164168007765431E-2</c:v>
                </c:pt>
                <c:pt idx="13">
                  <c:v>-7.6663882417747339E-2</c:v>
                </c:pt>
                <c:pt idx="14">
                  <c:v>-7.8512734919233912E-2</c:v>
                </c:pt>
                <c:pt idx="15">
                  <c:v>-8.0654549064532011E-2</c:v>
                </c:pt>
                <c:pt idx="16">
                  <c:v>-8.3024246914646965E-2</c:v>
                </c:pt>
                <c:pt idx="17">
                  <c:v>-8.5549826399528045E-2</c:v>
                </c:pt>
                <c:pt idx="18">
                  <c:v>-8.8154549064532003E-2</c:v>
                </c:pt>
                <c:pt idx="19">
                  <c:v>-9.0759271729535962E-2</c:v>
                </c:pt>
                <c:pt idx="20">
                  <c:v>-9.3284851214417028E-2</c:v>
                </c:pt>
                <c:pt idx="21">
                  <c:v>-9.565454906453201E-2</c:v>
                </c:pt>
                <c:pt idx="22">
                  <c:v>-9.7796363209830095E-2</c:v>
                </c:pt>
                <c:pt idx="23">
                  <c:v>-9.9645215711316668E-2</c:v>
                </c:pt>
                <c:pt idx="24">
                  <c:v>-0.10114493012129858</c:v>
                </c:pt>
                <c:pt idx="25">
                  <c:v>-0.10224993837632063</c:v>
                </c:pt>
                <c:pt idx="26">
                  <c:v>-0.10292666535971512</c:v>
                </c:pt>
                <c:pt idx="27">
                  <c:v>-0.103154549064532</c:v>
                </c:pt>
                <c:pt idx="28">
                  <c:v>-0.10292666535971512</c:v>
                </c:pt>
                <c:pt idx="29">
                  <c:v>-0.10224993837632063</c:v>
                </c:pt>
                <c:pt idx="30">
                  <c:v>-0.10114493012129858</c:v>
                </c:pt>
                <c:pt idx="31">
                  <c:v>-9.9645215711316681E-2</c:v>
                </c:pt>
                <c:pt idx="32">
                  <c:v>-9.7796363209830095E-2</c:v>
                </c:pt>
                <c:pt idx="33">
                  <c:v>-9.565454906453201E-2</c:v>
                </c:pt>
                <c:pt idx="34">
                  <c:v>-9.3284851214417028E-2</c:v>
                </c:pt>
                <c:pt idx="35">
                  <c:v>-9.0759271729535962E-2</c:v>
                </c:pt>
                <c:pt idx="36">
                  <c:v>-8.8154549064532003E-2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787-4379-9782-83F61AA43349}"/>
            </c:ext>
          </c:extLst>
        </c:ser>
        <c:ser>
          <c:idx val="24"/>
          <c:order val="14"/>
          <c:tx>
            <c:v>streg 4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A!$BF$353:$BG$353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A!$BF$354:$BG$354</c:f>
              <c:numCache>
                <c:formatCode>0.00</c:formatCode>
                <c:ptCount val="2"/>
                <c:pt idx="0">
                  <c:v>-0.103154549064532</c:v>
                </c:pt>
                <c:pt idx="1">
                  <c:v>-0.103154549064532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787-4379-9782-83F61AA43349}"/>
            </c:ext>
          </c:extLst>
        </c:ser>
        <c:ser>
          <c:idx val="25"/>
          <c:order val="15"/>
          <c:tx>
            <c:v>streg 5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A!$BH$353:$BI$353</c:f>
              <c:numCache>
                <c:formatCode>0.00</c:formatCode>
                <c:ptCount val="2"/>
                <c:pt idx="0" formatCode="0.00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A!$BH$354:$BI$354</c:f>
              <c:numCache>
                <c:formatCode>0.000</c:formatCode>
                <c:ptCount val="2"/>
                <c:pt idx="0" formatCode="0.00">
                  <c:v>-0.103154549064532</c:v>
                </c:pt>
                <c:pt idx="1">
                  <c:v>-0.15192424844088667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787-4379-9782-83F61AA43349}"/>
            </c:ext>
          </c:extLst>
        </c:ser>
        <c:ser>
          <c:idx val="26"/>
          <c:order val="16"/>
          <c:tx>
            <c:v>streg 6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A!$BJ$353:$BK$353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A!$BJ$354:$BK$354</c:f>
              <c:numCache>
                <c:formatCode>0.000</c:formatCode>
                <c:ptCount val="2"/>
                <c:pt idx="0" formatCode="0.00">
                  <c:v>-0.103154549064532</c:v>
                </c:pt>
                <c:pt idx="1">
                  <c:v>-0.15192424844088667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787-4379-9782-83F61AA43349}"/>
            </c:ext>
          </c:extLst>
        </c:ser>
        <c:ser>
          <c:idx val="27"/>
          <c:order val="17"/>
          <c:tx>
            <c:v>streg 7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A!$BL$353:$BM$353</c:f>
              <c:numCache>
                <c:formatCode>General</c:formatCode>
                <c:ptCount val="2"/>
                <c:pt idx="0" formatCode="0.0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A!$BL$354:$BM$354</c:f>
              <c:numCache>
                <c:formatCode>0.00</c:formatCode>
                <c:ptCount val="2"/>
                <c:pt idx="0">
                  <c:v>-0.103154549064532</c:v>
                </c:pt>
                <c:pt idx="1">
                  <c:v>-0.15192424844088667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787-4379-9782-83F61AA43349}"/>
            </c:ext>
          </c:extLst>
        </c:ser>
        <c:ser>
          <c:idx val="12"/>
          <c:order val="18"/>
          <c:tx>
            <c:strRef>
              <c:f>A!$AP$373</c:f>
              <c:strCache>
                <c:ptCount val="1"/>
              </c:strCache>
            </c:strRef>
          </c:tx>
          <c:spPr>
            <a:ln w="25400">
              <a:solidFill>
                <a:srgbClr val="FF0000"/>
              </a:solidFill>
              <a:headEnd type="arrow" w="lg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4787-4379-9782-83F61AA43349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/>
                    </a:pPr>
                    <a:fld id="{A5E50281-8DC7-48A8-A47D-256F0E27E1CD}" type="SERIESNAME">
                      <a:rPr lang="en-US" sz="1400"/>
                      <a:pPr>
                        <a:defRPr/>
                      </a:pPr>
                      <a:t>[SERIENAVN]</a:t>
                    </a:fld>
                    <a:endParaRPr lang="da-DK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1-4787-4379-9782-83F61AA43349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A!$AP$374:$AQ$374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A!$AP$375:$AQ$375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787-4379-9782-83F61AA43349}"/>
            </c:ext>
          </c:extLst>
        </c:ser>
        <c:ser>
          <c:idx val="13"/>
          <c:order val="19"/>
          <c:tx>
            <c:strRef>
              <c:f>A!$AS$373</c:f>
              <c:strCache>
                <c:ptCount val="1"/>
              </c:strCache>
            </c:strRef>
          </c:tx>
          <c:spPr>
            <a:ln w="25400">
              <a:solidFill>
                <a:srgbClr val="FF0000"/>
              </a:solidFill>
              <a:headEnd type="arrow" w="lg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4787-4379-9782-83F61AA43349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/>
                    </a:pPr>
                    <a:fld id="{23A1A32E-BBE9-4FA3-BA04-BE7C8D787AA3}" type="SERIESNAME">
                      <a:rPr lang="en-US" sz="1400"/>
                      <a:pPr>
                        <a:defRPr/>
                      </a:pPr>
                      <a:t>[SERIENAVN]</a:t>
                    </a:fld>
                    <a:endParaRPr lang="da-DK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B-4787-4379-9782-83F61AA43349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A!$AS$374:$AT$374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A!$AS$375:$AT$375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787-4379-9782-83F61AA43349}"/>
            </c:ext>
          </c:extLst>
        </c:ser>
        <c:ser>
          <c:idx val="2"/>
          <c:order val="20"/>
          <c:tx>
            <c:v>ref 1</c:v>
          </c:tx>
          <c:marker>
            <c:symbol val="none"/>
          </c:marker>
          <c:xVal>
            <c:numRef>
              <c:f>A!$BO$353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A!$BO$354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787-4379-9782-83F61AA43349}"/>
            </c:ext>
          </c:extLst>
        </c:ser>
        <c:ser>
          <c:idx val="3"/>
          <c:order val="21"/>
          <c:tx>
            <c:v>ref 2</c:v>
          </c:tx>
          <c:marker>
            <c:symbol val="none"/>
          </c:marker>
          <c:xVal>
            <c:numRef>
              <c:f>A!$BP$353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A!$BP$354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787-4379-9782-83F61AA43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4995952"/>
        <c:axId val="924997200"/>
        <c:extLst/>
      </c:scatterChart>
      <c:valAx>
        <c:axId val="924995952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924997200"/>
        <c:crosses val="max"/>
        <c:crossBetween val="midCat"/>
        <c:majorUnit val="0.1"/>
      </c:valAx>
      <c:valAx>
        <c:axId val="924997200"/>
        <c:scaling>
          <c:orientation val="minMax"/>
        </c:scaling>
        <c:delete val="1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924995952"/>
        <c:crosses val="max"/>
        <c:crossBetween val="midCat"/>
        <c:majorUnit val="0.1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36206922131275E-2"/>
          <c:y val="3.1349448344448534E-2"/>
          <c:w val="0.90165901732968379"/>
          <c:h val="0.93335887102001447"/>
        </c:manualLayout>
      </c:layout>
      <c:scatterChart>
        <c:scatterStyle val="lineMarker"/>
        <c:varyColors val="0"/>
        <c:ser>
          <c:idx val="30"/>
          <c:order val="0"/>
          <c:tx>
            <c:v>Geo</c:v>
          </c:tx>
          <c:marker>
            <c:symbol val="none"/>
          </c:marker>
          <c:xVal>
            <c:numRef>
              <c:f>A!$BQ$78:$BY$78</c:f>
              <c:numCache>
                <c:formatCode>General</c:formatCode>
                <c:ptCount val="9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#N/A</c:v>
                </c:pt>
                <c:pt idx="4" formatCode="0.00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A!$BQ$79:$BY$79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36-4C12-BC05-8EBAF67042F7}"/>
            </c:ext>
          </c:extLst>
        </c:ser>
        <c:ser>
          <c:idx val="31"/>
          <c:order val="1"/>
          <c:tx>
            <c:v>Ref</c:v>
          </c:tx>
          <c:marker>
            <c:symbol val="none"/>
          </c:marker>
          <c:xVal>
            <c:numRef>
              <c:f>A!$BO$78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A!$BO$79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36-4C12-BC05-8EBAF67042F7}"/>
            </c:ext>
          </c:extLst>
        </c:ser>
        <c:ser>
          <c:idx val="32"/>
          <c:order val="2"/>
          <c:tx>
            <c:v>Dorn 5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A!$BZ$84:$BZ$88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A!$CA$84:$CA$88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D36-4C12-BC05-8EBAF67042F7}"/>
            </c:ext>
          </c:extLst>
        </c:ser>
        <c:ser>
          <c:idx val="33"/>
          <c:order val="3"/>
          <c:tx>
            <c:v>Dorn 3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A!$BV$84:$BV$88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A!$BW$84:$BW$88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D36-4C12-BC05-8EBAF67042F7}"/>
            </c:ext>
          </c:extLst>
        </c:ser>
        <c:ser>
          <c:idx val="34"/>
          <c:order val="4"/>
          <c:tx>
            <c:v>Dorn 4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A!$BX$84:$BX$88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A!$BY$84:$BY$88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D36-4C12-BC05-8EBAF67042F7}"/>
            </c:ext>
          </c:extLst>
        </c:ser>
        <c:ser>
          <c:idx val="35"/>
          <c:order val="5"/>
          <c:tx>
            <c:v>Dorn 2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A!$BT$84:$BT$88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A!$BU$84:$BU$88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D36-4C12-BC05-8EBAF67042F7}"/>
            </c:ext>
          </c:extLst>
        </c:ser>
        <c:ser>
          <c:idx val="36"/>
          <c:order val="6"/>
          <c:tx>
            <c:v>Dorn 1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A!$BR$84:$BR$88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A!$BS$84:$BS$88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D36-4C12-BC05-8EBAF67042F7}"/>
            </c:ext>
          </c:extLst>
        </c:ser>
        <c:ser>
          <c:idx val="37"/>
          <c:order val="7"/>
          <c:tx>
            <c:v>Dorn 6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A!$CB$84:$CB$88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A!$CC$84:$CC$88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D36-4C12-BC05-8EBAF67042F7}"/>
            </c:ext>
          </c:extLst>
        </c:ser>
        <c:ser>
          <c:idx val="38"/>
          <c:order val="8"/>
          <c:tx>
            <c:v>L</c:v>
          </c:tx>
          <c:spPr>
            <a:ln>
              <a:solidFill>
                <a:schemeClr val="tx1"/>
              </a:solidFill>
              <a:headEnd type="none"/>
              <a:tailEnd type="none"/>
            </a:ln>
          </c:spPr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  <a:headEnd type="triangle"/>
                <a:tailEnd type="none"/>
              </a:ln>
            </c:spPr>
            <c:extLst>
              <c:ext xmlns:c16="http://schemas.microsoft.com/office/drawing/2014/chart" uri="{C3380CC4-5D6E-409C-BE32-E72D297353CC}">
                <c16:uniqueId val="{00000009-1D36-4C12-BC05-8EBAF67042F7}"/>
              </c:ext>
            </c:extLst>
          </c:dPt>
          <c:dPt>
            <c:idx val="2"/>
            <c:bubble3D val="0"/>
            <c:spPr>
              <a:ln>
                <a:solidFill>
                  <a:schemeClr val="tx1"/>
                </a:solidFill>
                <a:headEnd type="none"/>
                <a:tailEnd type="triangle"/>
              </a:ln>
            </c:spPr>
            <c:extLst>
              <c:ext xmlns:c16="http://schemas.microsoft.com/office/drawing/2014/chart" uri="{C3380CC4-5D6E-409C-BE32-E72D297353CC}">
                <c16:uniqueId val="{0000000B-1D36-4C12-BC05-8EBAF67042F7}"/>
              </c:ext>
            </c:extLst>
          </c:dPt>
          <c:xVal>
            <c:numRef>
              <c:f>A!$BO$92:$BQ$92</c:f>
              <c:numCache>
                <c:formatCode>0.00</c:formatCode>
                <c:ptCount val="3"/>
                <c:pt idx="0">
                  <c:v>-0.3</c:v>
                </c:pt>
                <c:pt idx="1">
                  <c:v>-0.3</c:v>
                </c:pt>
                <c:pt idx="2">
                  <c:v>-0.3</c:v>
                </c:pt>
              </c:numCache>
            </c:numRef>
          </c:xVal>
          <c:yVal>
            <c:numRef>
              <c:f>A!$BO$93:$BQ$93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D36-4C12-BC05-8EBAF67042F7}"/>
            </c:ext>
          </c:extLst>
        </c:ser>
        <c:ser>
          <c:idx val="39"/>
          <c:order val="9"/>
          <c:tx>
            <c:v>B1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bubble3D val="0"/>
            <c:spPr>
              <a:ln>
                <a:solidFill>
                  <a:schemeClr val="tx1"/>
                </a:solidFill>
                <a:headEnd type="none"/>
                <a:tailEnd type="triangle"/>
              </a:ln>
            </c:spPr>
            <c:extLst>
              <c:ext xmlns:c16="http://schemas.microsoft.com/office/drawing/2014/chart" uri="{C3380CC4-5D6E-409C-BE32-E72D297353CC}">
                <c16:uniqueId val="{0000000E-1D36-4C12-BC05-8EBAF67042F7}"/>
              </c:ext>
            </c:extLst>
          </c:dPt>
          <c:dPt>
            <c:idx val="1"/>
            <c:bubble3D val="0"/>
            <c:spPr>
              <a:ln>
                <a:solidFill>
                  <a:schemeClr val="tx1"/>
                </a:solidFill>
                <a:headEnd type="triangle"/>
              </a:ln>
            </c:spPr>
            <c:extLst>
              <c:ext xmlns:c16="http://schemas.microsoft.com/office/drawing/2014/chart" uri="{C3380CC4-5D6E-409C-BE32-E72D297353CC}">
                <c16:uniqueId val="{00000010-1D36-4C12-BC05-8EBAF67042F7}"/>
              </c:ext>
            </c:extLst>
          </c:dPt>
          <c:dPt>
            <c:idx val="2"/>
            <c:bubble3D val="0"/>
            <c:spPr>
              <a:ln>
                <a:solidFill>
                  <a:schemeClr val="tx1"/>
                </a:solidFill>
                <a:headEnd type="none"/>
                <a:tailEnd type="triangle"/>
              </a:ln>
            </c:spPr>
            <c:extLst>
              <c:ext xmlns:c16="http://schemas.microsoft.com/office/drawing/2014/chart" uri="{C3380CC4-5D6E-409C-BE32-E72D297353CC}">
                <c16:uniqueId val="{00000012-1D36-4C12-BC05-8EBAF67042F7}"/>
              </c:ext>
            </c:extLst>
          </c:dPt>
          <c:xVal>
            <c:numRef>
              <c:f>A!$BR$92:$BT$92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A!$BR$93:$BT$93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1D36-4C12-BC05-8EBAF67042F7}"/>
            </c:ext>
          </c:extLst>
        </c:ser>
        <c:ser>
          <c:idx val="40"/>
          <c:order val="10"/>
          <c:tx>
            <c:v>B2</c:v>
          </c:tx>
          <c:spPr>
            <a:ln>
              <a:solidFill>
                <a:schemeClr val="tx1"/>
              </a:solidFill>
              <a:headEnd type="triangle"/>
              <a:tailEnd type="triangle"/>
            </a:ln>
          </c:spPr>
          <c:marker>
            <c:symbol val="none"/>
          </c:marker>
          <c:xVal>
            <c:numRef>
              <c:f>A!$BU$92:$BW$92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A!$BU$93:$BW$93</c:f>
              <c:numCache>
                <c:formatCode>0.00</c:formatCode>
                <c:ptCount val="3"/>
                <c:pt idx="0">
                  <c:v>-0.2</c:v>
                </c:pt>
                <c:pt idx="1">
                  <c:v>-0.2</c:v>
                </c:pt>
                <c:pt idx="2">
                  <c:v>-0.2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1D36-4C12-BC05-8EBAF67042F7}"/>
            </c:ext>
          </c:extLst>
        </c:ser>
        <c:ser>
          <c:idx val="42"/>
          <c:order val="12"/>
          <c:tx>
            <c:v>L1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  <a:headEnd type="triangle"/>
              </a:ln>
            </c:spPr>
            <c:extLst>
              <c:ext xmlns:c16="http://schemas.microsoft.com/office/drawing/2014/chart" uri="{C3380CC4-5D6E-409C-BE32-E72D297353CC}">
                <c16:uniqueId val="{0000001B-1D36-4C12-BC05-8EBAF67042F7}"/>
              </c:ext>
            </c:extLst>
          </c:dPt>
          <c:dPt>
            <c:idx val="2"/>
            <c:bubble3D val="0"/>
            <c:spPr>
              <a:ln>
                <a:solidFill>
                  <a:schemeClr val="tx1"/>
                </a:solidFill>
                <a:headEnd type="none"/>
                <a:tailEnd type="triangle"/>
              </a:ln>
            </c:spPr>
            <c:extLst>
              <c:ext xmlns:c16="http://schemas.microsoft.com/office/drawing/2014/chart" uri="{C3380CC4-5D6E-409C-BE32-E72D297353CC}">
                <c16:uniqueId val="{0000001D-1D36-4C12-BC05-8EBAF67042F7}"/>
              </c:ext>
            </c:extLst>
          </c:dPt>
          <c:xVal>
            <c:numRef>
              <c:f>A!$CA$92:$CC$92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A!$CA$93:$CC$93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1D36-4C12-BC05-8EBAF67042F7}"/>
            </c:ext>
          </c:extLst>
        </c:ser>
        <c:ser>
          <c:idx val="43"/>
          <c:order val="13"/>
          <c:tx>
            <c:v>L2</c:v>
          </c:tx>
          <c:spPr>
            <a:ln>
              <a:solidFill>
                <a:schemeClr val="tx1"/>
              </a:solidFill>
              <a:headEnd type="triangle"/>
              <a:tailEnd type="triangle"/>
            </a:ln>
          </c:spPr>
          <c:marker>
            <c:symbol val="none"/>
          </c:marker>
          <c:xVal>
            <c:numRef>
              <c:f>A!$CD$92:$CF$92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A!$CD$93:$CF$93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1D36-4C12-BC05-8EBAF67042F7}"/>
            </c:ext>
          </c:extLst>
        </c:ser>
        <c:ser>
          <c:idx val="44"/>
          <c:order val="14"/>
          <c:tx>
            <c:v>L3</c:v>
          </c:tx>
          <c:spPr>
            <a:ln>
              <a:solidFill>
                <a:schemeClr val="tx1"/>
              </a:solidFill>
              <a:headEnd type="triangle"/>
              <a:tailEnd type="triangle"/>
            </a:ln>
          </c:spPr>
          <c:marker>
            <c:symbol val="none"/>
          </c:marker>
          <c:xVal>
            <c:numRef>
              <c:f>A!$CG$92:$CI$92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A!$CG$93:$CI$93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1D36-4C12-BC05-8EBAF67042F7}"/>
            </c:ext>
          </c:extLst>
        </c:ser>
        <c:ser>
          <c:idx val="45"/>
          <c:order val="15"/>
          <c:tx>
            <c:v>Geo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A!$BQ$78:$BY$78</c:f>
              <c:numCache>
                <c:formatCode>General</c:formatCode>
                <c:ptCount val="9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#N/A</c:v>
                </c:pt>
                <c:pt idx="4" formatCode="0.00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A!$BQ$79:$BY$79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1D36-4C12-BC05-8EBAF67042F7}"/>
            </c:ext>
          </c:extLst>
        </c:ser>
        <c:ser>
          <c:idx val="46"/>
          <c:order val="16"/>
          <c:tx>
            <c:v>Ref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A!$BO$78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A!$BO$79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1D36-4C12-BC05-8EBAF67042F7}"/>
            </c:ext>
          </c:extLst>
        </c:ser>
        <c:ser>
          <c:idx val="47"/>
          <c:order val="17"/>
          <c:tx>
            <c:v>Dorn 5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A!$BZ$84:$BZ$88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A!$CA$84:$CA$88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1D36-4C12-BC05-8EBAF67042F7}"/>
            </c:ext>
          </c:extLst>
        </c:ser>
        <c:ser>
          <c:idx val="48"/>
          <c:order val="18"/>
          <c:tx>
            <c:v>Dorn 3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A!$BV$84:$BV$88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A!$BW$84:$BW$88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1D36-4C12-BC05-8EBAF67042F7}"/>
            </c:ext>
          </c:extLst>
        </c:ser>
        <c:ser>
          <c:idx val="49"/>
          <c:order val="19"/>
          <c:tx>
            <c:v>Dorn 4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A!$BX$84:$BX$88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A!$BY$84:$BY$88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1D36-4C12-BC05-8EBAF67042F7}"/>
            </c:ext>
          </c:extLst>
        </c:ser>
        <c:ser>
          <c:idx val="50"/>
          <c:order val="20"/>
          <c:tx>
            <c:v>Dorn 2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A!$BT$84:$BT$88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A!$BU$84:$BU$88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1D36-4C12-BC05-8EBAF67042F7}"/>
            </c:ext>
          </c:extLst>
        </c:ser>
        <c:ser>
          <c:idx val="51"/>
          <c:order val="21"/>
          <c:tx>
            <c:v>Dorn 1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A!$BR$84:$BR$88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A!$BS$84:$BS$88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1D36-4C12-BC05-8EBAF67042F7}"/>
            </c:ext>
          </c:extLst>
        </c:ser>
        <c:ser>
          <c:idx val="52"/>
          <c:order val="22"/>
          <c:tx>
            <c:v>Dorn 6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A!$CB$84:$CB$88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A!$CC$84:$CC$88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1D36-4C12-BC05-8EBAF67042F7}"/>
            </c:ext>
          </c:extLst>
        </c:ser>
        <c:ser>
          <c:idx val="53"/>
          <c:order val="23"/>
          <c:tx>
            <c:v>L</c:v>
          </c:tx>
          <c:spPr>
            <a:ln w="19050" cap="rnd">
              <a:solidFill>
                <a:schemeClr val="tx1"/>
              </a:solidFill>
              <a:round/>
              <a:headEnd type="none"/>
              <a:tailEnd type="none"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  <a:headEnd type="triangle"/>
                <a:tailEnd type="none"/>
              </a:ln>
              <a:effectLst/>
            </c:spPr>
            <c:extLst>
              <c:ext xmlns:c16="http://schemas.microsoft.com/office/drawing/2014/chart" uri="{C3380CC4-5D6E-409C-BE32-E72D297353CC}">
                <c16:uniqueId val="{0000002A-1D36-4C12-BC05-8EBAF67042F7}"/>
              </c:ext>
            </c:extLst>
          </c:dPt>
          <c:dPt>
            <c:idx val="2"/>
            <c:bubble3D val="0"/>
            <c:spPr>
              <a:ln w="19050" cap="rnd">
                <a:solidFill>
                  <a:schemeClr val="tx1"/>
                </a:solidFill>
                <a:round/>
                <a:headEnd type="none"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2C-1D36-4C12-BC05-8EBAF67042F7}"/>
              </c:ext>
            </c:extLst>
          </c:dPt>
          <c:xVal>
            <c:numRef>
              <c:f>A!$BO$92:$BQ$92</c:f>
              <c:numCache>
                <c:formatCode>0.00</c:formatCode>
                <c:ptCount val="3"/>
                <c:pt idx="0">
                  <c:v>-0.3</c:v>
                </c:pt>
                <c:pt idx="1">
                  <c:v>-0.3</c:v>
                </c:pt>
                <c:pt idx="2">
                  <c:v>-0.3</c:v>
                </c:pt>
              </c:numCache>
            </c:numRef>
          </c:xVal>
          <c:yVal>
            <c:numRef>
              <c:f>A!$BO$93:$BQ$93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1D36-4C12-BC05-8EBAF67042F7}"/>
            </c:ext>
          </c:extLst>
        </c:ser>
        <c:ser>
          <c:idx val="54"/>
          <c:order val="24"/>
          <c:tx>
            <c:v>B1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Pt>
            <c:idx val="0"/>
            <c:bubble3D val="0"/>
            <c:spPr>
              <a:ln w="19050" cap="rnd">
                <a:solidFill>
                  <a:schemeClr val="tx1"/>
                </a:solidFill>
                <a:round/>
                <a:headEnd type="none"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2F-1D36-4C12-BC05-8EBAF67042F7}"/>
              </c:ext>
            </c:extLst>
          </c:dPt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  <a:head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31-1D36-4C12-BC05-8EBAF67042F7}"/>
              </c:ext>
            </c:extLst>
          </c:dPt>
          <c:dPt>
            <c:idx val="2"/>
            <c:bubble3D val="0"/>
            <c:spPr>
              <a:ln w="19050" cap="rnd">
                <a:solidFill>
                  <a:schemeClr val="tx1"/>
                </a:solidFill>
                <a:round/>
                <a:headEnd type="none"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33-1D36-4C12-BC05-8EBAF67042F7}"/>
              </c:ext>
            </c:extLst>
          </c:dPt>
          <c:xVal>
            <c:numRef>
              <c:f>A!$BR$92:$BT$92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A!$BR$93:$BT$93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1D36-4C12-BC05-8EBAF67042F7}"/>
            </c:ext>
          </c:extLst>
        </c:ser>
        <c:ser>
          <c:idx val="55"/>
          <c:order val="25"/>
          <c:tx>
            <c:v>B2</c:v>
          </c:tx>
          <c:spPr>
            <a:ln w="19050" cap="rnd">
              <a:solidFill>
                <a:schemeClr val="tx1"/>
              </a:solidFill>
              <a:round/>
              <a:headEnd type="triangle"/>
              <a:tailEnd type="triangle"/>
            </a:ln>
            <a:effectLst/>
          </c:spPr>
          <c:marker>
            <c:symbol val="none"/>
          </c:marker>
          <c:xVal>
            <c:numRef>
              <c:f>A!$BU$92:$BW$92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A!$BU$93:$BW$93</c:f>
              <c:numCache>
                <c:formatCode>0.00</c:formatCode>
                <c:ptCount val="3"/>
                <c:pt idx="0">
                  <c:v>-0.2</c:v>
                </c:pt>
                <c:pt idx="1">
                  <c:v>-0.2</c:v>
                </c:pt>
                <c:pt idx="2">
                  <c:v>-0.2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1D36-4C12-BC05-8EBAF67042F7}"/>
            </c:ext>
          </c:extLst>
        </c:ser>
        <c:ser>
          <c:idx val="57"/>
          <c:order val="27"/>
          <c:tx>
            <c:v>L1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  <a:head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3C-1D36-4C12-BC05-8EBAF67042F7}"/>
              </c:ext>
            </c:extLst>
          </c:dPt>
          <c:dPt>
            <c:idx val="2"/>
            <c:bubble3D val="0"/>
            <c:spPr>
              <a:ln w="19050" cap="rnd">
                <a:solidFill>
                  <a:schemeClr val="tx1"/>
                </a:solidFill>
                <a:round/>
                <a:headEnd type="none"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3E-1D36-4C12-BC05-8EBAF67042F7}"/>
              </c:ext>
            </c:extLst>
          </c:dPt>
          <c:xVal>
            <c:numRef>
              <c:f>A!$CA$92:$CC$92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A!$CA$93:$CC$93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1D36-4C12-BC05-8EBAF67042F7}"/>
            </c:ext>
          </c:extLst>
        </c:ser>
        <c:ser>
          <c:idx val="58"/>
          <c:order val="28"/>
          <c:tx>
            <c:v>L2</c:v>
          </c:tx>
          <c:spPr>
            <a:ln w="19050" cap="rnd">
              <a:solidFill>
                <a:schemeClr val="tx1"/>
              </a:solidFill>
              <a:round/>
              <a:headEnd type="triangle"/>
              <a:tailEnd type="triangle"/>
            </a:ln>
            <a:effectLst/>
          </c:spPr>
          <c:marker>
            <c:symbol val="none"/>
          </c:marker>
          <c:xVal>
            <c:numRef>
              <c:f>A!$CD$92:$CF$92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A!$CD$93:$CF$93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1D36-4C12-BC05-8EBAF67042F7}"/>
            </c:ext>
          </c:extLst>
        </c:ser>
        <c:ser>
          <c:idx val="59"/>
          <c:order val="29"/>
          <c:tx>
            <c:v>L3</c:v>
          </c:tx>
          <c:spPr>
            <a:ln w="19050" cap="rnd">
              <a:solidFill>
                <a:schemeClr val="tx1"/>
              </a:solidFill>
              <a:round/>
              <a:headEnd type="triangle"/>
              <a:tailEnd type="triangle"/>
            </a:ln>
            <a:effectLst/>
          </c:spPr>
          <c:marker>
            <c:symbol val="none"/>
          </c:marker>
          <c:xVal>
            <c:numRef>
              <c:f>A!$CG$92:$CI$92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A!$CG$93:$CI$93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1D36-4C12-BC05-8EBAF67042F7}"/>
            </c:ext>
          </c:extLst>
        </c:ser>
        <c:ser>
          <c:idx val="15"/>
          <c:order val="30"/>
          <c:tx>
            <c:v>Geo</c:v>
          </c:tx>
          <c:marker>
            <c:symbol val="none"/>
          </c:marker>
          <c:xVal>
            <c:numRef>
              <c:f>A!$BQ$78:$BY$78</c:f>
              <c:numCache>
                <c:formatCode>General</c:formatCode>
                <c:ptCount val="9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#N/A</c:v>
                </c:pt>
                <c:pt idx="4" formatCode="0.00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A!$BQ$79:$BY$79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1D36-4C12-BC05-8EBAF67042F7}"/>
            </c:ext>
          </c:extLst>
        </c:ser>
        <c:ser>
          <c:idx val="16"/>
          <c:order val="31"/>
          <c:tx>
            <c:v>Ref</c:v>
          </c:tx>
          <c:marker>
            <c:symbol val="none"/>
          </c:marker>
          <c:xVal>
            <c:numRef>
              <c:f>A!$BO$78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A!$BO$79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1D36-4C12-BC05-8EBAF67042F7}"/>
            </c:ext>
          </c:extLst>
        </c:ser>
        <c:ser>
          <c:idx val="17"/>
          <c:order val="32"/>
          <c:tx>
            <c:v>Dorn 5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A!$BZ$84:$BZ$88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A!$CA$84:$CA$88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1D36-4C12-BC05-8EBAF67042F7}"/>
            </c:ext>
          </c:extLst>
        </c:ser>
        <c:ser>
          <c:idx val="18"/>
          <c:order val="33"/>
          <c:tx>
            <c:v>Dorn 3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A!$BV$84:$BV$88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A!$BW$84:$BW$88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1D36-4C12-BC05-8EBAF67042F7}"/>
            </c:ext>
          </c:extLst>
        </c:ser>
        <c:ser>
          <c:idx val="19"/>
          <c:order val="34"/>
          <c:tx>
            <c:v>Dorn 4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A!$BX$84:$BX$88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A!$BY$84:$BY$88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1D36-4C12-BC05-8EBAF67042F7}"/>
            </c:ext>
          </c:extLst>
        </c:ser>
        <c:ser>
          <c:idx val="20"/>
          <c:order val="35"/>
          <c:tx>
            <c:v>Dorn 2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A!$BT$84:$BT$88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A!$BU$84:$BU$88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1D36-4C12-BC05-8EBAF67042F7}"/>
            </c:ext>
          </c:extLst>
        </c:ser>
        <c:ser>
          <c:idx val="21"/>
          <c:order val="36"/>
          <c:tx>
            <c:v>Dorn 1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A!$BR$84:$BR$88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A!$BS$84:$BS$88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1D36-4C12-BC05-8EBAF67042F7}"/>
            </c:ext>
          </c:extLst>
        </c:ser>
        <c:ser>
          <c:idx val="22"/>
          <c:order val="37"/>
          <c:tx>
            <c:v>Dorn 6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A!$CB$84:$CB$88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A!$CC$84:$CC$88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1D36-4C12-BC05-8EBAF67042F7}"/>
            </c:ext>
          </c:extLst>
        </c:ser>
        <c:ser>
          <c:idx val="23"/>
          <c:order val="38"/>
          <c:tx>
            <c:v>L</c:v>
          </c:tx>
          <c:spPr>
            <a:ln>
              <a:solidFill>
                <a:schemeClr val="tx1"/>
              </a:solidFill>
              <a:headEnd type="none"/>
              <a:tailEnd type="none"/>
            </a:ln>
          </c:spPr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  <a:headEnd type="triangle"/>
                <a:tailEnd type="none"/>
              </a:ln>
            </c:spPr>
            <c:extLst>
              <c:ext xmlns:c16="http://schemas.microsoft.com/office/drawing/2014/chart" uri="{C3380CC4-5D6E-409C-BE32-E72D297353CC}">
                <c16:uniqueId val="{0000004B-1D36-4C12-BC05-8EBAF67042F7}"/>
              </c:ext>
            </c:extLst>
          </c:dPt>
          <c:dPt>
            <c:idx val="2"/>
            <c:bubble3D val="0"/>
            <c:spPr>
              <a:ln>
                <a:solidFill>
                  <a:schemeClr val="tx1"/>
                </a:solidFill>
                <a:headEnd type="none"/>
                <a:tailEnd type="triangle"/>
              </a:ln>
            </c:spPr>
            <c:extLst>
              <c:ext xmlns:c16="http://schemas.microsoft.com/office/drawing/2014/chart" uri="{C3380CC4-5D6E-409C-BE32-E72D297353CC}">
                <c16:uniqueId val="{0000004D-1D36-4C12-BC05-8EBAF67042F7}"/>
              </c:ext>
            </c:extLst>
          </c:dPt>
          <c:xVal>
            <c:numRef>
              <c:f>A!$BO$92:$BQ$92</c:f>
              <c:numCache>
                <c:formatCode>0.00</c:formatCode>
                <c:ptCount val="3"/>
                <c:pt idx="0">
                  <c:v>-0.3</c:v>
                </c:pt>
                <c:pt idx="1">
                  <c:v>-0.3</c:v>
                </c:pt>
                <c:pt idx="2">
                  <c:v>-0.3</c:v>
                </c:pt>
              </c:numCache>
            </c:numRef>
          </c:xVal>
          <c:yVal>
            <c:numRef>
              <c:f>A!$BO$93:$BQ$93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1D36-4C12-BC05-8EBAF67042F7}"/>
            </c:ext>
          </c:extLst>
        </c:ser>
        <c:ser>
          <c:idx val="24"/>
          <c:order val="39"/>
          <c:tx>
            <c:v>B1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bubble3D val="0"/>
            <c:spPr>
              <a:ln>
                <a:solidFill>
                  <a:schemeClr val="tx1"/>
                </a:solidFill>
                <a:headEnd type="none"/>
                <a:tailEnd type="triangle"/>
              </a:ln>
            </c:spPr>
            <c:extLst>
              <c:ext xmlns:c16="http://schemas.microsoft.com/office/drawing/2014/chart" uri="{C3380CC4-5D6E-409C-BE32-E72D297353CC}">
                <c16:uniqueId val="{00000050-1D36-4C12-BC05-8EBAF67042F7}"/>
              </c:ext>
            </c:extLst>
          </c:dPt>
          <c:dPt>
            <c:idx val="1"/>
            <c:bubble3D val="0"/>
            <c:spPr>
              <a:ln>
                <a:solidFill>
                  <a:schemeClr val="tx1"/>
                </a:solidFill>
                <a:headEnd type="triangle"/>
              </a:ln>
            </c:spPr>
            <c:extLst>
              <c:ext xmlns:c16="http://schemas.microsoft.com/office/drawing/2014/chart" uri="{C3380CC4-5D6E-409C-BE32-E72D297353CC}">
                <c16:uniqueId val="{00000052-1D36-4C12-BC05-8EBAF67042F7}"/>
              </c:ext>
            </c:extLst>
          </c:dPt>
          <c:dPt>
            <c:idx val="2"/>
            <c:bubble3D val="0"/>
            <c:spPr>
              <a:ln>
                <a:solidFill>
                  <a:schemeClr val="tx1"/>
                </a:solidFill>
                <a:headEnd type="none"/>
                <a:tailEnd type="triangle"/>
              </a:ln>
            </c:spPr>
            <c:extLst>
              <c:ext xmlns:c16="http://schemas.microsoft.com/office/drawing/2014/chart" uri="{C3380CC4-5D6E-409C-BE32-E72D297353CC}">
                <c16:uniqueId val="{00000054-1D36-4C12-BC05-8EBAF67042F7}"/>
              </c:ext>
            </c:extLst>
          </c:dPt>
          <c:xVal>
            <c:numRef>
              <c:f>A!$BR$92:$BT$92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A!$BR$93:$BT$93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1D36-4C12-BC05-8EBAF67042F7}"/>
            </c:ext>
          </c:extLst>
        </c:ser>
        <c:ser>
          <c:idx val="25"/>
          <c:order val="40"/>
          <c:tx>
            <c:v>B2</c:v>
          </c:tx>
          <c:spPr>
            <a:ln>
              <a:solidFill>
                <a:schemeClr val="tx1"/>
              </a:solidFill>
              <a:headEnd type="triangle"/>
              <a:tailEnd type="triangle"/>
            </a:ln>
          </c:spPr>
          <c:marker>
            <c:symbol val="none"/>
          </c:marker>
          <c:xVal>
            <c:numRef>
              <c:f>A!$BU$92:$BW$92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A!$BU$93:$BW$93</c:f>
              <c:numCache>
                <c:formatCode>0.00</c:formatCode>
                <c:ptCount val="3"/>
                <c:pt idx="0">
                  <c:v>-0.2</c:v>
                </c:pt>
                <c:pt idx="1">
                  <c:v>-0.2</c:v>
                </c:pt>
                <c:pt idx="2">
                  <c:v>-0.2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1D36-4C12-BC05-8EBAF67042F7}"/>
            </c:ext>
          </c:extLst>
        </c:ser>
        <c:ser>
          <c:idx val="27"/>
          <c:order val="42"/>
          <c:tx>
            <c:v>L1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  <a:headEnd type="triangle"/>
              </a:ln>
            </c:spPr>
            <c:extLst>
              <c:ext xmlns:c16="http://schemas.microsoft.com/office/drawing/2014/chart" uri="{C3380CC4-5D6E-409C-BE32-E72D297353CC}">
                <c16:uniqueId val="{0000005D-1D36-4C12-BC05-8EBAF67042F7}"/>
              </c:ext>
            </c:extLst>
          </c:dPt>
          <c:dPt>
            <c:idx val="2"/>
            <c:bubble3D val="0"/>
            <c:spPr>
              <a:ln>
                <a:solidFill>
                  <a:schemeClr val="tx1"/>
                </a:solidFill>
                <a:headEnd type="none"/>
                <a:tailEnd type="triangle"/>
              </a:ln>
            </c:spPr>
            <c:extLst>
              <c:ext xmlns:c16="http://schemas.microsoft.com/office/drawing/2014/chart" uri="{C3380CC4-5D6E-409C-BE32-E72D297353CC}">
                <c16:uniqueId val="{0000005F-1D36-4C12-BC05-8EBAF67042F7}"/>
              </c:ext>
            </c:extLst>
          </c:dPt>
          <c:xVal>
            <c:numRef>
              <c:f>A!$CA$92:$CC$92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A!$CA$93:$CC$93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1D36-4C12-BC05-8EBAF67042F7}"/>
            </c:ext>
          </c:extLst>
        </c:ser>
        <c:ser>
          <c:idx val="28"/>
          <c:order val="43"/>
          <c:tx>
            <c:v>L2</c:v>
          </c:tx>
          <c:spPr>
            <a:ln>
              <a:solidFill>
                <a:schemeClr val="tx1"/>
              </a:solidFill>
              <a:headEnd type="triangle"/>
              <a:tailEnd type="triangle"/>
            </a:ln>
          </c:spPr>
          <c:marker>
            <c:symbol val="none"/>
          </c:marker>
          <c:xVal>
            <c:numRef>
              <c:f>A!$CD$92:$CF$92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A!$CD$93:$CF$93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1D36-4C12-BC05-8EBAF67042F7}"/>
            </c:ext>
          </c:extLst>
        </c:ser>
        <c:ser>
          <c:idx val="29"/>
          <c:order val="44"/>
          <c:tx>
            <c:v>L3</c:v>
          </c:tx>
          <c:spPr>
            <a:ln>
              <a:solidFill>
                <a:schemeClr val="tx1"/>
              </a:solidFill>
              <a:headEnd type="triangle"/>
              <a:tailEnd type="triangle"/>
            </a:ln>
          </c:spPr>
          <c:marker>
            <c:symbol val="none"/>
          </c:marker>
          <c:xVal>
            <c:numRef>
              <c:f>A!$CG$92:$CI$92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A!$CG$93:$CI$93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1D36-4C12-BC05-8EBAF67042F7}"/>
            </c:ext>
          </c:extLst>
        </c:ser>
        <c:ser>
          <c:idx val="0"/>
          <c:order val="45"/>
          <c:tx>
            <c:v>Geo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A!$BQ$78:$BY$78</c:f>
              <c:numCache>
                <c:formatCode>General</c:formatCode>
                <c:ptCount val="9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#N/A</c:v>
                </c:pt>
                <c:pt idx="4" formatCode="0.00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A!$BQ$79:$BY$79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1D36-4C12-BC05-8EBAF67042F7}"/>
            </c:ext>
          </c:extLst>
        </c:ser>
        <c:ser>
          <c:idx val="1"/>
          <c:order val="46"/>
          <c:tx>
            <c:v>Ref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A!$BO$78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A!$BO$79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4-1D36-4C12-BC05-8EBAF67042F7}"/>
            </c:ext>
          </c:extLst>
        </c:ser>
        <c:ser>
          <c:idx val="2"/>
          <c:order val="47"/>
          <c:tx>
            <c:v>Dorn 5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A!$BZ$84:$BZ$88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A!$CA$84:$CA$88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5-1D36-4C12-BC05-8EBAF67042F7}"/>
            </c:ext>
          </c:extLst>
        </c:ser>
        <c:ser>
          <c:idx val="3"/>
          <c:order val="48"/>
          <c:tx>
            <c:v>Dorn 3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A!$BV$84:$BV$88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A!$BW$84:$BW$88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6-1D36-4C12-BC05-8EBAF67042F7}"/>
            </c:ext>
          </c:extLst>
        </c:ser>
        <c:ser>
          <c:idx val="4"/>
          <c:order val="49"/>
          <c:tx>
            <c:v>Dorn 4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A!$BX$84:$BX$88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A!$BY$84:$BY$88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7-1D36-4C12-BC05-8EBAF67042F7}"/>
            </c:ext>
          </c:extLst>
        </c:ser>
        <c:ser>
          <c:idx val="5"/>
          <c:order val="50"/>
          <c:tx>
            <c:v>Dorn 2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A!$BT$84:$BT$88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A!$BU$84:$BU$88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8-1D36-4C12-BC05-8EBAF67042F7}"/>
            </c:ext>
          </c:extLst>
        </c:ser>
        <c:ser>
          <c:idx val="6"/>
          <c:order val="51"/>
          <c:tx>
            <c:v>Dorn 1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A!$BR$84:$BR$88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A!$BS$84:$BS$88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9-1D36-4C12-BC05-8EBAF67042F7}"/>
            </c:ext>
          </c:extLst>
        </c:ser>
        <c:ser>
          <c:idx val="7"/>
          <c:order val="52"/>
          <c:tx>
            <c:v>Dorn 6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A!$CB$84:$CB$88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A!$CC$84:$CC$88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A-1D36-4C12-BC05-8EBAF67042F7}"/>
            </c:ext>
          </c:extLst>
        </c:ser>
        <c:ser>
          <c:idx val="8"/>
          <c:order val="53"/>
          <c:tx>
            <c:v>L</c:v>
          </c:tx>
          <c:spPr>
            <a:ln w="19050" cap="rnd">
              <a:solidFill>
                <a:schemeClr val="tx1"/>
              </a:solidFill>
              <a:round/>
              <a:headEnd type="none"/>
              <a:tailEnd type="none"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  <a:headEnd type="triangle"/>
                <a:tailEnd type="none"/>
              </a:ln>
              <a:effectLst/>
            </c:spPr>
            <c:extLst>
              <c:ext xmlns:c16="http://schemas.microsoft.com/office/drawing/2014/chart" uri="{C3380CC4-5D6E-409C-BE32-E72D297353CC}">
                <c16:uniqueId val="{0000006C-1D36-4C12-BC05-8EBAF67042F7}"/>
              </c:ext>
            </c:extLst>
          </c:dPt>
          <c:dPt>
            <c:idx val="2"/>
            <c:bubble3D val="0"/>
            <c:spPr>
              <a:ln w="19050" cap="rnd">
                <a:solidFill>
                  <a:schemeClr val="tx1"/>
                </a:solidFill>
                <a:round/>
                <a:headEnd type="none"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6E-1D36-4C12-BC05-8EBAF67042F7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F-1D36-4C12-BC05-8EBAF67042F7}"/>
                </c:ext>
              </c:extLst>
            </c:dLbl>
            <c:dLbl>
              <c:idx val="1"/>
              <c:tx>
                <c:rich>
                  <a:bodyPr rot="-5400000" vert="horz" wrap="square" lIns="38100" tIns="19050" rIns="38100" bIns="19050" anchor="ctr">
                    <a:spAutoFit/>
                  </a:bodyPr>
                  <a:lstStyle/>
                  <a:p>
                    <a:pPr>
                      <a:defRPr/>
                    </a:pPr>
                    <a:fld id="{8148F080-01F4-4A73-9BA6-1F3ED2F4C1CD}" type="CELLREF">
                      <a:rPr lang="en-US" sz="1800"/>
                      <a:pPr>
                        <a:defRPr/>
                      </a:pPr>
                      <a:t>[CELLEREFERENCE]</a:t>
                    </a:fld>
                    <a:endParaRPr lang="da-DK"/>
                  </a:p>
                </c:rich>
              </c:tx>
              <c:spPr>
                <a:solidFill>
                  <a:sysClr val="window" lastClr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  <c15:dlblFieldTable>
                    <c15:dlblFTEntry>
                      <c15:txfldGUID>{8148F080-01F4-4A73-9BA6-1F3ED2F4C1CD}</c15:txfldGUID>
                      <c15:f>A!$J$83</c15:f>
                      <c15:dlblFieldTableCache>
                        <c:ptCount val="1"/>
                        <c:pt idx="0">
                          <c:v>#I/T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C-1D36-4C12-BC05-8EBAF67042F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E-1D36-4C12-BC05-8EBAF67042F7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A!$BO$92:$BQ$92</c:f>
              <c:numCache>
                <c:formatCode>0.00</c:formatCode>
                <c:ptCount val="3"/>
                <c:pt idx="0">
                  <c:v>-0.3</c:v>
                </c:pt>
                <c:pt idx="1">
                  <c:v>-0.3</c:v>
                </c:pt>
                <c:pt idx="2">
                  <c:v>-0.3</c:v>
                </c:pt>
              </c:numCache>
            </c:numRef>
          </c:xVal>
          <c:yVal>
            <c:numRef>
              <c:f>A!$BO$93:$BQ$93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0-1D36-4C12-BC05-8EBAF67042F7}"/>
            </c:ext>
          </c:extLst>
        </c:ser>
        <c:ser>
          <c:idx val="9"/>
          <c:order val="54"/>
          <c:tx>
            <c:v>B1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Pt>
            <c:idx val="0"/>
            <c:bubble3D val="0"/>
            <c:spPr>
              <a:ln w="19050" cap="rnd">
                <a:solidFill>
                  <a:schemeClr val="tx1"/>
                </a:solidFill>
                <a:round/>
                <a:headEnd type="none"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72-1D36-4C12-BC05-8EBAF67042F7}"/>
              </c:ext>
            </c:extLst>
          </c:dPt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  <a:head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74-1D36-4C12-BC05-8EBAF67042F7}"/>
              </c:ext>
            </c:extLst>
          </c:dPt>
          <c:dPt>
            <c:idx val="2"/>
            <c:bubble3D val="0"/>
            <c:spPr>
              <a:ln w="19050" cap="rnd">
                <a:solidFill>
                  <a:schemeClr val="tx1"/>
                </a:solidFill>
                <a:round/>
                <a:headEnd type="none"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76-1D36-4C12-BC05-8EBAF67042F7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2-1D36-4C12-BC05-8EBAF67042F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5FFA6E3-EEFB-4EE0-86BB-69D387287A89}" type="CELLREF">
                      <a:rPr lang="en-US" sz="1800"/>
                      <a:pPr/>
                      <a:t>[CELLEREFERENCE]</a:t>
                    </a:fld>
                    <a:endParaRPr lang="da-DK"/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{C5FFA6E3-EEFB-4EE0-86BB-69D387287A89}</c15:txfldGUID>
                      <c15:f>A!$J$87</c15:f>
                      <c15:dlblFieldTableCache>
                        <c:ptCount val="1"/>
                        <c:pt idx="0">
                          <c:v>#I/T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74-1D36-4C12-BC05-8EBAF67042F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6-1D36-4C12-BC05-8EBAF67042F7}"/>
                </c:ext>
              </c:extLst>
            </c:dLbl>
            <c:spPr>
              <a:solidFill>
                <a:sysClr val="window" lastClr="FFFFFF"/>
              </a:solidFill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A!$BR$92:$BT$92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A!$BR$93:$BT$93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A!$J$87</c15:f>
                <c15:dlblRangeCache>
                  <c:ptCount val="1"/>
                  <c:pt idx="0">
                    <c:v>#I/T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77-1D36-4C12-BC05-8EBAF67042F7}"/>
            </c:ext>
          </c:extLst>
        </c:ser>
        <c:ser>
          <c:idx val="10"/>
          <c:order val="55"/>
          <c:tx>
            <c:v>B2</c:v>
          </c:tx>
          <c:spPr>
            <a:ln w="19050" cap="rnd">
              <a:solidFill>
                <a:schemeClr val="tx1"/>
              </a:solidFill>
              <a:round/>
              <a:headEnd type="triangle"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8-1D36-4C12-BC05-8EBAF67042F7}"/>
                </c:ext>
              </c:extLst>
            </c:dLbl>
            <c:dLbl>
              <c:idx val="1"/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B0556C3E-2D81-49F9-8809-45984BCACF7B}" type="CELLREF">
                      <a:rPr lang="en-US" sz="1800"/>
                      <a:pPr>
                        <a:defRPr sz="900" b="0" i="0" u="none" strike="noStrike" kern="1200" baseline="0">
                          <a:solidFill>
                            <a:schemeClr val="dk1">
                              <a:lumMod val="65000"/>
                              <a:lumOff val="3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[CELLEREFERENCE]</a:t>
                    </a:fld>
                    <a:endParaRPr lang="da-DK"/>
                  </a:p>
                </c:rich>
              </c:tx>
              <c:spPr>
                <a:solidFill>
                  <a:sysClr val="window" lastClr="FFFFFF"/>
                </a:solidFill>
                <a:ln>
                  <a:noFill/>
                </a:ln>
                <a:effectLst/>
              </c:spPr>
              <c:dLblPos val="b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  <c15:dlblFieldTable>
                    <c15:dlblFTEntry>
                      <c15:txfldGUID>{B0556C3E-2D81-49F9-8809-45984BCACF7B}</c15:txfldGUID>
                      <c15:f>A!$J$88</c15:f>
                      <c15:dlblFieldTableCache>
                        <c:ptCount val="1"/>
                        <c:pt idx="0">
                          <c:v>#I/T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9-1D36-4C12-BC05-8EBAF67042F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A-1D36-4C12-BC05-8EBAF67042F7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A!$BU$92:$BW$92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A!$BU$93:$BW$93</c:f>
              <c:numCache>
                <c:formatCode>0.00</c:formatCode>
                <c:ptCount val="3"/>
                <c:pt idx="0">
                  <c:v>-0.2</c:v>
                </c:pt>
                <c:pt idx="1">
                  <c:v>-0.2</c:v>
                </c:pt>
                <c:pt idx="2">
                  <c:v>-0.2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B-1D36-4C12-BC05-8EBAF67042F7}"/>
            </c:ext>
          </c:extLst>
        </c:ser>
        <c:ser>
          <c:idx val="12"/>
          <c:order val="57"/>
          <c:tx>
            <c:v>L1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  <a:head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83-1D36-4C12-BC05-8EBAF67042F7}"/>
              </c:ext>
            </c:extLst>
          </c:dPt>
          <c:dPt>
            <c:idx val="2"/>
            <c:bubble3D val="0"/>
            <c:spPr>
              <a:ln w="19050" cap="rnd">
                <a:solidFill>
                  <a:schemeClr val="tx1"/>
                </a:solidFill>
                <a:round/>
                <a:headEnd type="none"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85-1D36-4C12-BC05-8EBAF67042F7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6-1D36-4C12-BC05-8EBAF67042F7}"/>
                </c:ext>
              </c:extLst>
            </c:dLbl>
            <c:dLbl>
              <c:idx val="1"/>
              <c:tx>
                <c:rich>
                  <a:bodyPr rot="-5400000" vert="horz" wrap="square" lIns="38100" tIns="19050" rIns="38100" bIns="19050" anchor="ctr">
                    <a:spAutoFit/>
                  </a:bodyPr>
                  <a:lstStyle/>
                  <a:p>
                    <a:pPr>
                      <a:defRPr/>
                    </a:pPr>
                    <a:fld id="{F3B8481E-CFCF-4ADF-9889-F830292E5879}" type="CELLREF">
                      <a:rPr lang="en-US" sz="1800"/>
                      <a:pPr>
                        <a:defRPr/>
                      </a:pPr>
                      <a:t>[CELLEREFERENCE]</a:t>
                    </a:fld>
                    <a:endParaRPr lang="da-DK"/>
                  </a:p>
                </c:rich>
              </c:tx>
              <c:spPr>
                <a:solidFill>
                  <a:sysClr val="window" lastClr="FFFFFF"/>
                </a:solidFill>
                <a:ln>
                  <a:noFill/>
                </a:ln>
                <a:effectLst/>
              </c:sp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  <c15:dlblFieldTable>
                    <c15:dlblFTEntry>
                      <c15:txfldGUID>{F3B8481E-CFCF-4ADF-9889-F830292E5879}</c15:txfldGUID>
                      <c15:f>A!$J$84</c15:f>
                      <c15:dlblFieldTableCache>
                        <c:ptCount val="1"/>
                        <c:pt idx="0">
                          <c:v>#I/T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83-1D36-4C12-BC05-8EBAF67042F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5-1D36-4C12-BC05-8EBAF67042F7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A!$CA$92:$CC$92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A!$CA$93:$CC$93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A!$J$84</c15:f>
                <c15:dlblRangeCache>
                  <c:ptCount val="1"/>
                  <c:pt idx="0">
                    <c:v>#I/T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87-1D36-4C12-BC05-8EBAF67042F7}"/>
            </c:ext>
          </c:extLst>
        </c:ser>
        <c:ser>
          <c:idx val="13"/>
          <c:order val="58"/>
          <c:tx>
            <c:v>L2</c:v>
          </c:tx>
          <c:spPr>
            <a:ln w="19050" cap="rnd">
              <a:solidFill>
                <a:schemeClr val="tx1"/>
              </a:solidFill>
              <a:round/>
              <a:headEnd type="triangle"/>
              <a:tailEnd type="triangle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 rot="-540000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5ACE8AC-FDD5-4521-A39E-A4BF9F17B1B5}" type="CELLREF">
                      <a:rPr lang="en-US" sz="1800"/>
                      <a:pPr>
                        <a:defRPr sz="900" b="0" i="0" u="none" strike="noStrike" kern="1200" baseline="0">
                          <a:solidFill>
                            <a:schemeClr val="dk1">
                              <a:lumMod val="65000"/>
                              <a:lumOff val="3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[CELLEREFERENCE]</a:t>
                    </a:fld>
                    <a:endParaRPr lang="da-DK"/>
                  </a:p>
                </c:rich>
              </c:tx>
              <c:spPr>
                <a:solidFill>
                  <a:sysClr val="window" lastClr="FFFFFF"/>
                </a:solidFill>
                <a:ln>
                  <a:noFill/>
                </a:ln>
                <a:effectLst/>
              </c:sp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  <c15:dlblFieldTable>
                    <c15:dlblFTEntry>
                      <c15:txfldGUID>{45ACE8AC-FDD5-4521-A39E-A4BF9F17B1B5}</c15:txfldGUID>
                      <c15:f>A!$J$85</c15:f>
                      <c15:dlblFieldTableCache>
                        <c:ptCount val="1"/>
                        <c:pt idx="0">
                          <c:v>#I/T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8-1D36-4C12-BC05-8EBAF67042F7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A!$CD$92:$CF$92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A!$CD$93:$CF$93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9-1D36-4C12-BC05-8EBAF67042F7}"/>
            </c:ext>
          </c:extLst>
        </c:ser>
        <c:ser>
          <c:idx val="14"/>
          <c:order val="59"/>
          <c:tx>
            <c:v>L3</c:v>
          </c:tx>
          <c:spPr>
            <a:ln w="19050" cap="rnd">
              <a:solidFill>
                <a:schemeClr val="tx1"/>
              </a:solidFill>
              <a:round/>
              <a:headEnd type="triangle"/>
              <a:tailEnd type="triangle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fld id="{DF37DF67-5F51-4F47-86A5-79EF720DA814}" type="CELLREF">
                      <a:rPr lang="en-US" sz="1800" baseline="0"/>
                      <a:pPr/>
                      <a:t>[CELLEREFERENCE]</a:t>
                    </a:fld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{DF37DF67-5F51-4F47-86A5-79EF720DA814}</c15:txfldGUID>
                      <c15:f>A!$J$86</c15:f>
                      <c15:dlblFieldTableCache>
                        <c:ptCount val="1"/>
                        <c:pt idx="0">
                          <c:v>#I/T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B-1D36-4C12-BC05-8EBAF67042F7}"/>
                </c:ext>
              </c:extLst>
            </c:dLbl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da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A!$CG$92:$CI$92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A!$CG$93:$CI$93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D-1D36-4C12-BC05-8EBAF67042F7}"/>
            </c:ext>
          </c:extLst>
        </c:ser>
        <c:ser>
          <c:idx val="61"/>
          <c:order val="60"/>
          <c:tx>
            <c:strRef>
              <c:f>A!$AA$16</c:f>
              <c:strCache>
                <c:ptCount val="1"/>
                <c:pt idx="0">
                  <c:v>Strimmel </c:v>
                </c:pt>
              </c:strCache>
            </c:strRef>
          </c:tx>
          <c:spPr>
            <a:ln w="254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A!$AA$17:$AD$17</c:f>
              <c:numCache>
                <c:formatCode>0.000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A!$AA$18:$AD$18</c:f>
              <c:numCache>
                <c:formatCode>0.000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F-1D36-4C12-BC05-8EBAF67042F7}"/>
            </c:ext>
          </c:extLst>
        </c:ser>
        <c:ser>
          <c:idx val="60"/>
          <c:order val="61"/>
          <c:tx>
            <c:strRef>
              <c:f>A!$AA$20</c:f>
              <c:strCache>
                <c:ptCount val="1"/>
                <c:pt idx="0">
                  <c:v>Strimmel </c:v>
                </c:pt>
              </c:strCache>
            </c:strRef>
          </c:tx>
          <c:spPr>
            <a:ln w="254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A!$AA$21:$AD$21</c:f>
              <c:numCache>
                <c:formatCode>0.000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A!$AA$22:$AD$22</c:f>
              <c:numCache>
                <c:formatCode>0.000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1-1D36-4C12-BC05-8EBAF67042F7}"/>
            </c:ext>
          </c:extLst>
        </c:ser>
        <c:ser>
          <c:idx val="62"/>
          <c:order val="62"/>
          <c:tx>
            <c:strRef>
              <c:f>A!$AA$24</c:f>
              <c:strCache>
                <c:ptCount val="1"/>
                <c:pt idx="0">
                  <c:v>Strimmel </c:v>
                </c:pt>
              </c:strCache>
            </c:strRef>
          </c:tx>
          <c:spPr>
            <a:ln w="254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A!$AA$25:$AD$25</c:f>
              <c:numCache>
                <c:formatCode>0.000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0</c:v>
                </c:pt>
              </c:numCache>
            </c:numRef>
          </c:xVal>
          <c:yVal>
            <c:numRef>
              <c:f>A!$AA$26:$AD$26</c:f>
              <c:numCache>
                <c:formatCode>0.000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2-1D36-4C12-BC05-8EBAF67042F7}"/>
            </c:ext>
          </c:extLst>
        </c:ser>
        <c:ser>
          <c:idx val="63"/>
          <c:order val="63"/>
          <c:tx>
            <c:strRef>
              <c:f>A!$AE$16</c:f>
              <c:strCache>
                <c:ptCount val="1"/>
                <c:pt idx="0">
                  <c:v>Center - Strimmel </c:v>
                </c:pt>
              </c:strCache>
            </c:strRef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 sz="1800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94-1D36-4C12-BC05-8EBAF67042F7}"/>
                </c:ext>
              </c:extLst>
            </c:dLbl>
            <c:spPr>
              <a:solidFill>
                <a:sysClr val="window" lastClr="FFFFFF"/>
              </a:solidFill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A!$AE$17</c:f>
              <c:numCache>
                <c:formatCode>0.000</c:formatCode>
                <c:ptCount val="1"/>
                <c:pt idx="0">
                  <c:v>#N/A</c:v>
                </c:pt>
              </c:numCache>
            </c:numRef>
          </c:xVal>
          <c:yVal>
            <c:numRef>
              <c:f>A!$AE$18</c:f>
              <c:numCache>
                <c:formatCode>0.000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A!$Z$83</c15:f>
                <c15:dlblRangeCache>
                  <c:ptCount val="1"/>
                </c15:dlblRangeCache>
              </c15:datalabelsRange>
            </c:ext>
            <c:ext xmlns:c16="http://schemas.microsoft.com/office/drawing/2014/chart" uri="{C3380CC4-5D6E-409C-BE32-E72D297353CC}">
              <c16:uniqueId val="{00000093-1D36-4C12-BC05-8EBAF67042F7}"/>
            </c:ext>
          </c:extLst>
        </c:ser>
        <c:ser>
          <c:idx val="64"/>
          <c:order val="64"/>
          <c:tx>
            <c:strRef>
              <c:f>A!$AE$20</c:f>
              <c:strCache>
                <c:ptCount val="1"/>
                <c:pt idx="0">
                  <c:v>Center - Strimmel </c:v>
                </c:pt>
              </c:strCache>
            </c:strRef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 sz="1800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96-1D36-4C12-BC05-8EBAF67042F7}"/>
                </c:ext>
              </c:extLst>
            </c:dLbl>
            <c:spPr>
              <a:solidFill>
                <a:sysClr val="window" lastClr="FFFFFF"/>
              </a:solidFill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A!$AE$21</c:f>
              <c:numCache>
                <c:formatCode>0.000</c:formatCode>
                <c:ptCount val="1"/>
                <c:pt idx="0">
                  <c:v>#N/A</c:v>
                </c:pt>
              </c:numCache>
            </c:numRef>
          </c:xVal>
          <c:yVal>
            <c:numRef>
              <c:f>A!$AE$22</c:f>
              <c:numCache>
                <c:formatCode>0.000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A!$Z$82</c15:f>
                <c15:dlblRangeCache>
                  <c:ptCount val="1"/>
                </c15:dlblRangeCache>
              </c15:datalabelsRange>
            </c:ext>
            <c:ext xmlns:c16="http://schemas.microsoft.com/office/drawing/2014/chart" uri="{C3380CC4-5D6E-409C-BE32-E72D297353CC}">
              <c16:uniqueId val="{00000095-1D36-4C12-BC05-8EBAF67042F7}"/>
            </c:ext>
          </c:extLst>
        </c:ser>
        <c:ser>
          <c:idx val="65"/>
          <c:order val="65"/>
          <c:tx>
            <c:strRef>
              <c:f>A!$AE$24</c:f>
              <c:strCache>
                <c:ptCount val="1"/>
                <c:pt idx="0">
                  <c:v>Center - Strimmel </c:v>
                </c:pt>
              </c:strCache>
            </c:strRef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 sz="1800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98-1D36-4C12-BC05-8EBAF67042F7}"/>
                </c:ext>
              </c:extLst>
            </c:dLbl>
            <c:spPr>
              <a:solidFill>
                <a:sysClr val="window" lastClr="FFFFFF"/>
              </a:solidFill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A!$AE$25</c:f>
              <c:numCache>
                <c:formatCode>0.000</c:formatCode>
                <c:ptCount val="1"/>
                <c:pt idx="0">
                  <c:v>#N/A</c:v>
                </c:pt>
              </c:numCache>
            </c:numRef>
          </c:xVal>
          <c:yVal>
            <c:numRef>
              <c:f>A!$AE$26</c:f>
              <c:numCache>
                <c:formatCode>0.000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A!$Z$86</c15:f>
                <c15:dlblRangeCache>
                  <c:ptCount val="1"/>
                </c15:dlblRangeCache>
              </c15:datalabelsRange>
            </c:ext>
            <c:ext xmlns:c16="http://schemas.microsoft.com/office/drawing/2014/chart" uri="{C3380CC4-5D6E-409C-BE32-E72D297353CC}">
              <c16:uniqueId val="{00000097-1D36-4C12-BC05-8EBAF67042F7}"/>
            </c:ext>
          </c:extLst>
        </c:ser>
        <c:ser>
          <c:idx val="66"/>
          <c:order val="66"/>
          <c:tx>
            <c:strRef>
              <c:f>A!$AA$28</c:f>
              <c:strCache>
                <c:ptCount val="1"/>
                <c:pt idx="0">
                  <c:v>Strimmel </c:v>
                </c:pt>
              </c:strCache>
            </c:strRef>
          </c:tx>
          <c:spPr>
            <a:ln w="254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A!$AA$29:$AB$29</c:f>
              <c:numCache>
                <c:formatCode>0.000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xVal>
          <c:yVal>
            <c:numRef>
              <c:f>A!$AA$30:$AB$30</c:f>
              <c:numCache>
                <c:formatCode>0.000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9-1D36-4C12-BC05-8EBAF67042F7}"/>
            </c:ext>
          </c:extLst>
        </c:ser>
        <c:ser>
          <c:idx val="67"/>
          <c:order val="67"/>
          <c:tx>
            <c:strRef>
              <c:f>A!$AC$28</c:f>
              <c:strCache>
                <c:ptCount val="1"/>
                <c:pt idx="0">
                  <c:v>Strimmel </c:v>
                </c:pt>
              </c:strCache>
            </c:strRef>
          </c:tx>
          <c:spPr>
            <a:ln w="254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A!$AC$29:$AD$29</c:f>
              <c:numCache>
                <c:formatCode>0.000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xVal>
          <c:yVal>
            <c:numRef>
              <c:f>A!$AC$30:$AD$30</c:f>
              <c:numCache>
                <c:formatCode>0.000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A-1D36-4C12-BC05-8EBAF67042F7}"/>
            </c:ext>
          </c:extLst>
        </c:ser>
        <c:ser>
          <c:idx val="68"/>
          <c:order val="68"/>
          <c:tx>
            <c:strRef>
              <c:f>A!$AE$28</c:f>
              <c:strCache>
                <c:ptCount val="1"/>
                <c:pt idx="0">
                  <c:v>Center - Strimmel </c:v>
                </c:pt>
              </c:strCache>
            </c:strRef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 sz="1800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9D-1D36-4C12-BC05-8EBAF67042F7}"/>
                </c:ext>
              </c:extLst>
            </c:dLbl>
            <c:spPr>
              <a:solidFill>
                <a:sysClr val="window" lastClr="FFFFFF"/>
              </a:solidFill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A!$AE$29</c:f>
              <c:numCache>
                <c:formatCode>0.000</c:formatCode>
                <c:ptCount val="1"/>
                <c:pt idx="0">
                  <c:v>#N/A</c:v>
                </c:pt>
              </c:numCache>
            </c:numRef>
          </c:xVal>
          <c:yVal>
            <c:numRef>
              <c:f>A!$AE$30</c:f>
              <c:numCache>
                <c:formatCode>0.000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A!$Z$84</c15:f>
                <c15:dlblRangeCache>
                  <c:ptCount val="1"/>
                </c15:dlblRangeCache>
              </c15:datalabelsRange>
            </c:ext>
            <c:ext xmlns:c16="http://schemas.microsoft.com/office/drawing/2014/chart" uri="{C3380CC4-5D6E-409C-BE32-E72D297353CC}">
              <c16:uniqueId val="{0000009B-1D36-4C12-BC05-8EBAF67042F7}"/>
            </c:ext>
          </c:extLst>
        </c:ser>
        <c:ser>
          <c:idx val="69"/>
          <c:order val="69"/>
          <c:tx>
            <c:strRef>
              <c:f>A!$AF$28</c:f>
              <c:strCache>
                <c:ptCount val="1"/>
                <c:pt idx="0">
                  <c:v>Center - Strimmel </c:v>
                </c:pt>
              </c:strCache>
            </c:strRef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 sz="1800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9E-1D36-4C12-BC05-8EBAF67042F7}"/>
                </c:ext>
              </c:extLst>
            </c:dLbl>
            <c:spPr>
              <a:solidFill>
                <a:sysClr val="window" lastClr="FFFFFF"/>
              </a:solidFill>
              <a:ln>
                <a:noFill/>
              </a:ln>
              <a:effectLst/>
            </c:sp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A!$AF$29</c:f>
              <c:numCache>
                <c:formatCode>0.000</c:formatCode>
                <c:ptCount val="1"/>
                <c:pt idx="0">
                  <c:v>#N/A</c:v>
                </c:pt>
              </c:numCache>
            </c:numRef>
          </c:xVal>
          <c:yVal>
            <c:numRef>
              <c:f>A!$AF$30</c:f>
              <c:numCache>
                <c:formatCode>0.000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A!$Z$85</c15:f>
                <c15:dlblRangeCache>
                  <c:ptCount val="1"/>
                </c15:dlblRangeCache>
              </c15:datalabelsRange>
            </c:ext>
            <c:ext xmlns:c16="http://schemas.microsoft.com/office/drawing/2014/chart" uri="{C3380CC4-5D6E-409C-BE32-E72D297353CC}">
              <c16:uniqueId val="{0000009C-1D36-4C12-BC05-8EBAF67042F7}"/>
            </c:ext>
          </c:extLst>
        </c:ser>
        <c:ser>
          <c:idx val="70"/>
          <c:order val="70"/>
          <c:tx>
            <c:strRef>
              <c:f>A!$AA$32</c:f>
              <c:strCache>
                <c:ptCount val="1"/>
                <c:pt idx="0">
                  <c:v>Lastområde </c:v>
                </c:pt>
              </c:strCache>
            </c:strRef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 sz="1800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A1-1D36-4C12-BC05-8EBAF67042F7}"/>
                </c:ext>
              </c:extLst>
            </c:dLbl>
            <c:spPr>
              <a:solidFill>
                <a:sysClr val="window" lastClr="FFFFFF"/>
              </a:solidFill>
              <a:ln>
                <a:noFill/>
              </a:ln>
              <a:effectLst/>
            </c:sp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A!$AA$33</c:f>
              <c:numCache>
                <c:formatCode>0.000</c:formatCode>
                <c:ptCount val="1"/>
                <c:pt idx="0">
                  <c:v>#N/A</c:v>
                </c:pt>
              </c:numCache>
            </c:numRef>
          </c:xVal>
          <c:yVal>
            <c:numRef>
              <c:f>A!$AA$34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A!$Z$78</c15:f>
                <c15:dlblRangeCache>
                  <c:ptCount val="1"/>
                </c15:dlblRangeCache>
              </c15:datalabelsRange>
            </c:ext>
            <c:ext xmlns:c16="http://schemas.microsoft.com/office/drawing/2014/chart" uri="{C3380CC4-5D6E-409C-BE32-E72D297353CC}">
              <c16:uniqueId val="{0000009F-1D36-4C12-BC05-8EBAF67042F7}"/>
            </c:ext>
          </c:extLst>
        </c:ser>
        <c:ser>
          <c:idx val="71"/>
          <c:order val="71"/>
          <c:tx>
            <c:strRef>
              <c:f>A!$AB$32</c:f>
              <c:strCache>
                <c:ptCount val="1"/>
                <c:pt idx="0">
                  <c:v>Lastområde </c:v>
                </c:pt>
              </c:strCache>
            </c:strRef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 sz="1800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A2-1D36-4C12-BC05-8EBAF67042F7}"/>
                </c:ext>
              </c:extLst>
            </c:dLbl>
            <c:spPr>
              <a:solidFill>
                <a:sysClr val="window" lastClr="FFFFFF"/>
              </a:solidFill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A!$AB$33</c:f>
              <c:numCache>
                <c:formatCode>0.000</c:formatCode>
                <c:ptCount val="1"/>
                <c:pt idx="0">
                  <c:v>#N/A</c:v>
                </c:pt>
              </c:numCache>
            </c:numRef>
          </c:xVal>
          <c:yVal>
            <c:numRef>
              <c:f>A!$AB$34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A!$Z$79</c15:f>
                <c15:dlblRangeCache>
                  <c:ptCount val="1"/>
                </c15:dlblRangeCache>
              </c15:datalabelsRange>
            </c:ext>
            <c:ext xmlns:c16="http://schemas.microsoft.com/office/drawing/2014/chart" uri="{C3380CC4-5D6E-409C-BE32-E72D297353CC}">
              <c16:uniqueId val="{000000A0-1D36-4C12-BC05-8EBAF67042F7}"/>
            </c:ext>
          </c:extLst>
        </c:ser>
        <c:ser>
          <c:idx val="72"/>
          <c:order val="72"/>
          <c:tx>
            <c:strRef>
              <c:f>A!$AC$32</c:f>
              <c:strCache>
                <c:ptCount val="1"/>
                <c:pt idx="0">
                  <c:v>0</c:v>
                </c:pt>
              </c:strCache>
            </c:strRef>
          </c:tx>
          <c:spPr>
            <a:ln>
              <a:solidFill>
                <a:srgbClr val="FF0000"/>
              </a:solidFill>
              <a:headEnd type="arrow" w="lg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7-1D36-4C12-BC05-8EBAF67042F7}"/>
                </c:ext>
              </c:extLst>
            </c:dLbl>
            <c:dLbl>
              <c:idx val="1"/>
              <c:tx>
                <c:rich>
                  <a:bodyPr wrap="square" lIns="38100" tIns="0" rIns="38100" bIns="0" anchor="ctr">
                    <a:spAutoFit/>
                  </a:bodyPr>
                  <a:lstStyle/>
                  <a:p>
                    <a:pPr>
                      <a:defRPr/>
                    </a:pPr>
                    <a:fld id="{0A39C4D1-E52C-4BA1-BE8C-47228631598F}" type="CELLREF">
                      <a:rPr lang="en-US" sz="1800"/>
                      <a:pPr>
                        <a:defRPr/>
                      </a:pPr>
                      <a:t>[CELLEREFERENCE]</a:t>
                    </a:fld>
                    <a:endParaRPr lang="da-DK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  <c15:dlblFieldTable>
                    <c15:dlblFTEntry>
                      <c15:txfldGUID>{0A39C4D1-E52C-4BA1-BE8C-47228631598F}</c15:txfldGUID>
                      <c15:f>A!$Z$80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5-1D36-4C12-BC05-8EBAF67042F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6-1D36-4C12-BC05-8EBAF67042F7}"/>
                </c:ext>
              </c:extLst>
            </c:dLbl>
            <c:spPr>
              <a:solidFill>
                <a:sysClr val="window" lastClr="FFFFFF"/>
              </a:solidFill>
              <a:ln>
                <a:noFill/>
              </a:ln>
              <a:effectLst/>
            </c:sp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A!$AC$33:$AE$33</c:f>
              <c:numCache>
                <c:formatCode>General</c:formatCode>
                <c:ptCount val="3"/>
                <c:pt idx="0" formatCode="0.000">
                  <c:v>#N/A</c:v>
                </c:pt>
                <c:pt idx="1">
                  <c:v>#N/A</c:v>
                </c:pt>
                <c:pt idx="2" formatCode="0.000">
                  <c:v>#N/A</c:v>
                </c:pt>
              </c:numCache>
            </c:numRef>
          </c:xVal>
          <c:yVal>
            <c:numRef>
              <c:f>A!$AC$34:$AE$34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3-1D36-4C12-BC05-8EBAF67042F7}"/>
            </c:ext>
          </c:extLst>
        </c:ser>
        <c:ser>
          <c:idx val="73"/>
          <c:order val="73"/>
          <c:tx>
            <c:strRef>
              <c:f>A!$AF$32</c:f>
              <c:strCache>
                <c:ptCount val="1"/>
                <c:pt idx="0">
                  <c:v>0</c:v>
                </c:pt>
              </c:strCache>
            </c:strRef>
          </c:tx>
          <c:spPr>
            <a:ln>
              <a:solidFill>
                <a:srgbClr val="FF0000"/>
              </a:solidFill>
              <a:headEnd type="arrow" w="lg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9-1D36-4C12-BC05-8EBAF67042F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267F81-BE58-4BD4-86EE-BB5BBDA239F5}" type="CELLREF">
                      <a:rPr lang="en-US" sz="1800"/>
                      <a:pPr/>
                      <a:t>[CELLEREFERENCE]</a:t>
                    </a:fld>
                    <a:endParaRPr lang="da-DK"/>
                  </a:p>
                </c:rich>
              </c:tx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{D5267F81-BE58-4BD4-86EE-BB5BBDA239F5}</c15:txfldGUID>
                      <c15:f>A!$Z$81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A-1D36-4C12-BC05-8EBAF67042F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8-1D36-4C12-BC05-8EBAF67042F7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A!$AF$33:$AH$33</c:f>
              <c:numCache>
                <c:formatCode>General</c:formatCode>
                <c:ptCount val="3"/>
                <c:pt idx="0" formatCode="0.000">
                  <c:v>#N/A</c:v>
                </c:pt>
                <c:pt idx="1">
                  <c:v>#N/A</c:v>
                </c:pt>
                <c:pt idx="2" formatCode="0.000">
                  <c:v>#N/A</c:v>
                </c:pt>
              </c:numCache>
            </c:numRef>
          </c:xVal>
          <c:yVal>
            <c:numRef>
              <c:f>A!$AF$34:$AH$34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4-1D36-4C12-BC05-8EBAF67042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4995952"/>
        <c:axId val="924997200"/>
        <c:extLst>
          <c:ext xmlns:c15="http://schemas.microsoft.com/office/drawing/2012/chart" uri="{02D57815-91ED-43cb-92C2-25804820EDAC}">
            <c15:filteredScatterSeries>
              <c15:ser>
                <c:idx val="41"/>
                <c:order val="11"/>
                <c:tx>
                  <c:v>B3</c:v>
                </c:tx>
                <c:marker>
                  <c:symbol val="none"/>
                </c:marker>
                <c:dPt>
                  <c:idx val="1"/>
                  <c:bubble3D val="0"/>
                  <c:spPr>
                    <a:ln>
                      <a:solidFill>
                        <a:schemeClr val="tx1"/>
                      </a:solidFill>
                      <a:headEnd type="triangle"/>
                    </a:ln>
                  </c:spPr>
                  <c:extLst>
                    <c:ext xmlns:c16="http://schemas.microsoft.com/office/drawing/2014/chart" uri="{C3380CC4-5D6E-409C-BE32-E72D297353CC}">
                      <c16:uniqueId val="{00000016-1D36-4C12-BC05-8EBAF67042F7}"/>
                    </c:ext>
                  </c:extLst>
                </c:dPt>
                <c:dPt>
                  <c:idx val="2"/>
                  <c:bubble3D val="0"/>
                  <c:spPr>
                    <a:ln>
                      <a:solidFill>
                        <a:schemeClr val="tx1"/>
                      </a:solidFill>
                      <a:headEnd type="none"/>
                      <a:tailEnd type="triangle"/>
                    </a:ln>
                  </c:spPr>
                  <c:extLst>
                    <c:ext xmlns:c16="http://schemas.microsoft.com/office/drawing/2014/chart" uri="{C3380CC4-5D6E-409C-BE32-E72D297353CC}">
                      <c16:uniqueId val="{00000018-1D36-4C12-BC05-8EBAF67042F7}"/>
                    </c:ext>
                  </c:extLst>
                </c:dPt>
                <c:xVal>
                  <c:numRef>
                    <c:extLst>
                      <c:ext uri="{02D57815-91ED-43cb-92C2-25804820EDAC}">
                        <c15:formulaRef>
                          <c15:sqref>A!$BX$92:$BZ$92</c15:sqref>
                        </c15:formulaRef>
                      </c:ext>
                    </c:extLst>
                    <c:numCache>
                      <c:formatCode>0.00</c:formatCode>
                      <c:ptCount val="3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A!$BX$93:$BZ$93</c15:sqref>
                        </c15:formulaRef>
                      </c:ext>
                    </c:extLst>
                    <c:numCache>
                      <c:formatCode>0.00</c:formatCode>
                      <c:ptCount val="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9-1D36-4C12-BC05-8EBAF67042F7}"/>
                  </c:ext>
                </c:extLst>
              </c15:ser>
            </c15:filteredScatterSeries>
            <c15:filteredScatterSeries>
              <c15:ser>
                <c:idx val="56"/>
                <c:order val="26"/>
                <c:tx>
                  <c:v>B3</c:v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  <a:headEnd type="triangle"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7-1D36-4C12-BC05-8EBAF67042F7}"/>
                    </c:ext>
                  </c:extLst>
                </c:dPt>
                <c:dPt>
                  <c:idx val="2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  <a:headEnd type="none"/>
                      <a:tailEnd type="triangle"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9-1D36-4C12-BC05-8EBAF67042F7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A!$BX$92:$BZ$92</c15:sqref>
                        </c15:formulaRef>
                      </c:ext>
                    </c:extLst>
                    <c:numCache>
                      <c:formatCode>0.00</c:formatCode>
                      <c:ptCount val="3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A!$BX$93:$BZ$93</c15:sqref>
                        </c15:formulaRef>
                      </c:ext>
                    </c:extLst>
                    <c:numCache>
                      <c:formatCode>0.00</c:formatCode>
                      <c:ptCount val="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1D36-4C12-BC05-8EBAF67042F7}"/>
                  </c:ext>
                </c:extLst>
              </c15:ser>
            </c15:filteredScatterSeries>
            <c15:filteredScatterSeries>
              <c15:ser>
                <c:idx val="26"/>
                <c:order val="41"/>
                <c:tx>
                  <c:v>B3</c:v>
                </c:tx>
                <c:marker>
                  <c:symbol val="none"/>
                </c:marker>
                <c:dPt>
                  <c:idx val="1"/>
                  <c:bubble3D val="0"/>
                  <c:spPr>
                    <a:ln>
                      <a:solidFill>
                        <a:schemeClr val="tx1"/>
                      </a:solidFill>
                      <a:headEnd type="triangle"/>
                    </a:ln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8-1D36-4C12-BC05-8EBAF67042F7}"/>
                    </c:ext>
                  </c:extLst>
                </c:dPt>
                <c:dPt>
                  <c:idx val="2"/>
                  <c:bubble3D val="0"/>
                  <c:spPr>
                    <a:ln>
                      <a:solidFill>
                        <a:schemeClr val="tx1"/>
                      </a:solidFill>
                      <a:headEnd type="none"/>
                      <a:tailEnd type="triangle"/>
                    </a:ln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A-1D36-4C12-BC05-8EBAF67042F7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A!$BX$92:$BZ$92</c15:sqref>
                        </c15:formulaRef>
                      </c:ext>
                    </c:extLst>
                    <c:numCache>
                      <c:formatCode>0.00</c:formatCode>
                      <c:ptCount val="3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A!$BX$93:$BZ$93</c15:sqref>
                        </c15:formulaRef>
                      </c:ext>
                    </c:extLst>
                    <c:numCache>
                      <c:formatCode>0.00</c:formatCode>
                      <c:ptCount val="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1D36-4C12-BC05-8EBAF67042F7}"/>
                  </c:ext>
                </c:extLst>
              </c15:ser>
            </c15:filteredScatterSeries>
            <c15:filteredScatterSeries>
              <c15:ser>
                <c:idx val="11"/>
                <c:order val="56"/>
                <c:tx>
                  <c:v>B3</c:v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  <a:headEnd type="triangle"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D-1D36-4C12-BC05-8EBAF67042F7}"/>
                    </c:ext>
                  </c:extLst>
                </c:dPt>
                <c:dPt>
                  <c:idx val="2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  <a:headEnd type="none"/>
                      <a:tailEnd type="triangle"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F-1D36-4C12-BC05-8EBAF67042F7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A!$BX$92:$BZ$92</c15:sqref>
                        </c15:formulaRef>
                      </c:ext>
                    </c:extLst>
                    <c:numCache>
                      <c:formatCode>0.00</c:formatCode>
                      <c:ptCount val="3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A!$BX$93:$BZ$93</c15:sqref>
                        </c15:formulaRef>
                      </c:ext>
                    </c:extLst>
                    <c:numCache>
                      <c:formatCode>0.00</c:formatCode>
                      <c:ptCount val="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1-1D36-4C12-BC05-8EBAF67042F7}"/>
                  </c:ext>
                </c:extLst>
              </c15:ser>
            </c15:filteredScatterSeries>
          </c:ext>
        </c:extLst>
      </c:scatterChart>
      <c:valAx>
        <c:axId val="924995952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924997200"/>
        <c:crosses val="max"/>
        <c:crossBetween val="midCat"/>
        <c:majorUnit val="0.1"/>
      </c:valAx>
      <c:valAx>
        <c:axId val="924997200"/>
        <c:scaling>
          <c:orientation val="minMax"/>
        </c:scaling>
        <c:delete val="1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924995952"/>
        <c:crosses val="max"/>
        <c:crossBetween val="midCat"/>
        <c:majorUnit val="0.1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2000"/>
              <a:t>V- og M-Kurve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Forskydning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Snitkræfter!$G$51:$BC$51</c:f>
              <c:numCache>
                <c:formatCode>General</c:formatCode>
                <c:ptCount val="49"/>
              </c:numCache>
            </c:numRef>
          </c:xVal>
          <c:yVal>
            <c:numRef>
              <c:f>Snitkræfter!$G$63:$BC$63</c:f>
              <c:numCache>
                <c:formatCode>0.00</c:formatCode>
                <c:ptCount val="49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0DF-4818-8640-0B4B1400AAF6}"/>
            </c:ext>
          </c:extLst>
        </c:ser>
        <c:ser>
          <c:idx val="1"/>
          <c:order val="1"/>
          <c:tx>
            <c:v>Moment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Snitkræfter!$G$51:$BC$51</c:f>
              <c:numCache>
                <c:formatCode>General</c:formatCode>
                <c:ptCount val="49"/>
              </c:numCache>
            </c:numRef>
          </c:xVal>
          <c:yVal>
            <c:numRef>
              <c:f>Snitkræfter!$G$62:$BC$62</c:f>
              <c:numCache>
                <c:formatCode>0.00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0DF-4818-8640-0B4B1400AA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7842432"/>
        <c:axId val="2077842848"/>
      </c:scatterChart>
      <c:valAx>
        <c:axId val="2077842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200"/>
                  <a:t>x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077842848"/>
        <c:crosses val="autoZero"/>
        <c:crossBetween val="midCat"/>
      </c:valAx>
      <c:valAx>
        <c:axId val="2077842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07784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2000"/>
              <a:t>V- og M-Kurve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Forskydning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Snitkræfter!$G$94:$BC$94</c:f>
              <c:numCache>
                <c:formatCode>General</c:formatCode>
                <c:ptCount val="49"/>
              </c:numCache>
            </c:numRef>
          </c:xVal>
          <c:yVal>
            <c:numRef>
              <c:f>Snitkræfter!$G$106:$BC$106</c:f>
              <c:numCache>
                <c:formatCode>0.00</c:formatCode>
                <c:ptCount val="49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23-42DC-9545-AD7670178E9A}"/>
            </c:ext>
          </c:extLst>
        </c:ser>
        <c:ser>
          <c:idx val="1"/>
          <c:order val="1"/>
          <c:tx>
            <c:v>Moment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Snitkræfter!$G$94:$BC$94</c:f>
              <c:numCache>
                <c:formatCode>General</c:formatCode>
                <c:ptCount val="49"/>
              </c:numCache>
            </c:numRef>
          </c:xVal>
          <c:yVal>
            <c:numRef>
              <c:f>Snitkræfter!$G$105:$BC$105</c:f>
              <c:numCache>
                <c:formatCode>0.00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C23-42DC-9545-AD7670178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0000288"/>
        <c:axId val="580000704"/>
      </c:scatterChart>
      <c:valAx>
        <c:axId val="580000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200"/>
                  <a:t>x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580000704"/>
        <c:crosses val="autoZero"/>
        <c:crossBetween val="midCat"/>
      </c:valAx>
      <c:valAx>
        <c:axId val="58000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580000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2000"/>
              <a:t>V- og M-Kurve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Forskydning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Snitkræfter!$G$137:$BC$137</c:f>
              <c:numCache>
                <c:formatCode>General</c:formatCode>
                <c:ptCount val="49"/>
              </c:numCache>
            </c:numRef>
          </c:xVal>
          <c:yVal>
            <c:numRef>
              <c:f>Snitkræfter!$G$146:$BC$146</c:f>
              <c:numCache>
                <c:formatCode>0.00</c:formatCode>
                <c:ptCount val="49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1E-4273-9E90-09041763CB1D}"/>
            </c:ext>
          </c:extLst>
        </c:ser>
        <c:ser>
          <c:idx val="1"/>
          <c:order val="1"/>
          <c:tx>
            <c:v>Moment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Snitkræfter!$G$137:$BC$137</c:f>
              <c:numCache>
                <c:formatCode>General</c:formatCode>
                <c:ptCount val="49"/>
              </c:numCache>
            </c:numRef>
          </c:xVal>
          <c:yVal>
            <c:numRef>
              <c:f>Snitkræfter!$G$145:$BC$145</c:f>
              <c:numCache>
                <c:formatCode>0.00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E1E-4273-9E90-09041763CB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115232"/>
        <c:axId val="547123552"/>
      </c:scatterChart>
      <c:valAx>
        <c:axId val="547115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200"/>
                  <a:t>x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547123552"/>
        <c:crosses val="autoZero"/>
        <c:crossBetween val="midCat"/>
      </c:valAx>
      <c:valAx>
        <c:axId val="54712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547115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2000"/>
              <a:t>V-</a:t>
            </a:r>
            <a:r>
              <a:rPr lang="da-DK" sz="2000" baseline="0"/>
              <a:t> og M-kurve</a:t>
            </a:r>
            <a:endParaRPr lang="da-DK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Forskydning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Snitkræfter!$G$5:$V$5</c:f>
              <c:numCache>
                <c:formatCode>General</c:formatCode>
                <c:ptCount val="1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</c:numCache>
            </c:numRef>
          </c:cat>
          <c:val>
            <c:numRef>
              <c:f>Snitkræfter!$G$17:$V$17</c:f>
              <c:numCache>
                <c:formatCode>0.00</c:formatCode>
                <c:ptCount val="1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36-43F9-A7F5-3E5B83441573}"/>
            </c:ext>
          </c:extLst>
        </c:ser>
        <c:ser>
          <c:idx val="1"/>
          <c:order val="1"/>
          <c:tx>
            <c:v>Moment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Snitkræfter!$G$5:$V$5</c:f>
              <c:numCache>
                <c:formatCode>General</c:formatCode>
                <c:ptCount val="1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</c:numCache>
            </c:numRef>
          </c:cat>
          <c:val>
            <c:numRef>
              <c:f>Snitkræfter!$G$16:$V$16</c:f>
              <c:numCache>
                <c:formatCode>0.00</c:formatCode>
                <c:ptCount val="1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36-43F9-A7F5-3E5B83441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897606496"/>
        <c:axId val="1897606912"/>
      </c:lineChart>
      <c:catAx>
        <c:axId val="1897606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X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897606912"/>
        <c:crosses val="autoZero"/>
        <c:auto val="1"/>
        <c:lblAlgn val="ctr"/>
        <c:lblOffset val="0"/>
        <c:noMultiLvlLbl val="0"/>
      </c:catAx>
      <c:valAx>
        <c:axId val="189760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897606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.xml"/><Relationship Id="rId13" Type="http://schemas.openxmlformats.org/officeDocument/2006/relationships/chart" Target="../charts/chart8.xml"/><Relationship Id="rId18" Type="http://schemas.openxmlformats.org/officeDocument/2006/relationships/image" Target="../media/image7.png"/><Relationship Id="rId3" Type="http://schemas.openxmlformats.org/officeDocument/2006/relationships/chart" Target="../charts/chart1.xml"/><Relationship Id="rId7" Type="http://schemas.openxmlformats.org/officeDocument/2006/relationships/image" Target="../media/image3.png"/><Relationship Id="rId12" Type="http://schemas.openxmlformats.org/officeDocument/2006/relationships/chart" Target="../charts/chart7.xml"/><Relationship Id="rId17" Type="http://schemas.openxmlformats.org/officeDocument/2006/relationships/chart" Target="../charts/chart11.xml"/><Relationship Id="rId2" Type="http://schemas.openxmlformats.org/officeDocument/2006/relationships/image" Target="../media/image2.png"/><Relationship Id="rId16" Type="http://schemas.openxmlformats.org/officeDocument/2006/relationships/image" Target="../media/image6.png"/><Relationship Id="rId1" Type="http://schemas.openxmlformats.org/officeDocument/2006/relationships/image" Target="../media/image1.jpeg"/><Relationship Id="rId6" Type="http://schemas.openxmlformats.org/officeDocument/2006/relationships/chart" Target="../charts/chart4.xml"/><Relationship Id="rId11" Type="http://schemas.openxmlformats.org/officeDocument/2006/relationships/chart" Target="../charts/chart6.xml"/><Relationship Id="rId5" Type="http://schemas.openxmlformats.org/officeDocument/2006/relationships/chart" Target="../charts/chart3.xml"/><Relationship Id="rId15" Type="http://schemas.openxmlformats.org/officeDocument/2006/relationships/chart" Target="../charts/chart10.xml"/><Relationship Id="rId10" Type="http://schemas.openxmlformats.org/officeDocument/2006/relationships/image" Target="../media/image5.png"/><Relationship Id="rId4" Type="http://schemas.openxmlformats.org/officeDocument/2006/relationships/chart" Target="../charts/chart2.xml"/><Relationship Id="rId9" Type="http://schemas.openxmlformats.org/officeDocument/2006/relationships/image" Target="../media/image4.png"/><Relationship Id="rId14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4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190500</xdr:colOff>
      <xdr:row>0</xdr:row>
      <xdr:rowOff>114300</xdr:rowOff>
    </xdr:from>
    <xdr:to>
      <xdr:col>1</xdr:col>
      <xdr:colOff>800100</xdr:colOff>
      <xdr:row>2</xdr:row>
      <xdr:rowOff>113242</xdr:rowOff>
    </xdr:to>
    <xdr:pic>
      <xdr:nvPicPr>
        <xdr:cNvPr id="3" name="Picture 197" descr="CRH_office_panton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114300"/>
          <a:ext cx="609600" cy="4561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42</xdr:col>
      <xdr:colOff>257175</xdr:colOff>
      <xdr:row>82</xdr:row>
      <xdr:rowOff>57150</xdr:rowOff>
    </xdr:from>
    <xdr:to>
      <xdr:col>47</xdr:col>
      <xdr:colOff>186145</xdr:colOff>
      <xdr:row>85</xdr:row>
      <xdr:rowOff>72198</xdr:rowOff>
    </xdr:to>
    <xdr:pic>
      <xdr:nvPicPr>
        <xdr:cNvPr id="2" name="Billed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613100" y="3152775"/>
          <a:ext cx="3743325" cy="716085"/>
        </a:xfrm>
        <a:prstGeom prst="rect">
          <a:avLst/>
        </a:prstGeom>
      </xdr:spPr>
    </xdr:pic>
    <xdr:clientData/>
  </xdr:twoCellAnchor>
  <xdr:twoCellAnchor>
    <xdr:from>
      <xdr:col>1</xdr:col>
      <xdr:colOff>708561</xdr:colOff>
      <xdr:row>151</xdr:row>
      <xdr:rowOff>68356</xdr:rowOff>
    </xdr:from>
    <xdr:to>
      <xdr:col>17</xdr:col>
      <xdr:colOff>289939</xdr:colOff>
      <xdr:row>173</xdr:row>
      <xdr:rowOff>198803</xdr:rowOff>
    </xdr:to>
    <xdr:graphicFrame macro="">
      <xdr:nvGraphicFramePr>
        <xdr:cNvPr id="6" name="Diagram 16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73272</xdr:colOff>
      <xdr:row>216</xdr:row>
      <xdr:rowOff>39686</xdr:rowOff>
    </xdr:from>
    <xdr:to>
      <xdr:col>18</xdr:col>
      <xdr:colOff>19986</xdr:colOff>
      <xdr:row>237</xdr:row>
      <xdr:rowOff>31003</xdr:rowOff>
    </xdr:to>
    <xdr:graphicFrame macro="">
      <xdr:nvGraphicFramePr>
        <xdr:cNvPr id="5" name="Diagram 23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89303</xdr:colOff>
      <xdr:row>281</xdr:row>
      <xdr:rowOff>183285</xdr:rowOff>
    </xdr:from>
    <xdr:to>
      <xdr:col>18</xdr:col>
      <xdr:colOff>2</xdr:colOff>
      <xdr:row>304</xdr:row>
      <xdr:rowOff>1</xdr:rowOff>
    </xdr:to>
    <xdr:graphicFrame macro="">
      <xdr:nvGraphicFramePr>
        <xdr:cNvPr id="7" name="Diagram 24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20039</xdr:colOff>
      <xdr:row>349</xdr:row>
      <xdr:rowOff>187408</xdr:rowOff>
    </xdr:from>
    <xdr:to>
      <xdr:col>17</xdr:col>
      <xdr:colOff>512884</xdr:colOff>
      <xdr:row>371</xdr:row>
      <xdr:rowOff>176894</xdr:rowOff>
    </xdr:to>
    <xdr:graphicFrame macro="">
      <xdr:nvGraphicFramePr>
        <xdr:cNvPr id="8" name="Diagram 25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96475</xdr:colOff>
      <xdr:row>408</xdr:row>
      <xdr:rowOff>137377</xdr:rowOff>
    </xdr:from>
    <xdr:to>
      <xdr:col>4</xdr:col>
      <xdr:colOff>96475</xdr:colOff>
      <xdr:row>410</xdr:row>
      <xdr:rowOff>44628</xdr:rowOff>
    </xdr:to>
    <xdr:sp macro="" textlink="">
      <xdr:nvSpPr>
        <xdr:cNvPr id="82" name="Line 307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>
          <a:spLocks noChangeShapeType="1"/>
        </xdr:cNvSpPr>
      </xdr:nvSpPr>
      <xdr:spPr bwMode="auto">
        <a:xfrm>
          <a:off x="2366146" y="57047891"/>
          <a:ext cx="0" cy="310023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578672</xdr:colOff>
      <xdr:row>406</xdr:row>
      <xdr:rowOff>198119</xdr:rowOff>
    </xdr:from>
    <xdr:to>
      <xdr:col>3</xdr:col>
      <xdr:colOff>613738</xdr:colOff>
      <xdr:row>410</xdr:row>
      <xdr:rowOff>45982</xdr:rowOff>
    </xdr:to>
    <xdr:sp macro="" textlink="">
      <xdr:nvSpPr>
        <xdr:cNvPr id="83" name="Tegning 308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>
          <a:spLocks/>
        </xdr:cNvSpPr>
      </xdr:nvSpPr>
      <xdr:spPr bwMode="auto">
        <a:xfrm>
          <a:off x="952052" y="56605169"/>
          <a:ext cx="1284746" cy="655583"/>
        </a:xfrm>
        <a:custGeom>
          <a:avLst/>
          <a:gdLst>
            <a:gd name="T0" fmla="*/ 2147483646 w 16384"/>
            <a:gd name="T1" fmla="*/ 0 h 16384"/>
            <a:gd name="T2" fmla="*/ 0 w 16384"/>
            <a:gd name="T3" fmla="*/ 0 h 16384"/>
            <a:gd name="T4" fmla="*/ 0 w 16384"/>
            <a:gd name="T5" fmla="*/ 2147483646 h 16384"/>
            <a:gd name="T6" fmla="*/ 2147483646 w 16384"/>
            <a:gd name="T7" fmla="*/ 2147483646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16183" y="0"/>
              </a:moveTo>
              <a:lnTo>
                <a:pt x="0" y="0"/>
              </a:lnTo>
              <a:lnTo>
                <a:pt x="0" y="16384"/>
              </a:lnTo>
              <a:lnTo>
                <a:pt x="16384" y="16384"/>
              </a:lnTo>
            </a:path>
          </a:pathLst>
        </a:custGeom>
        <a:noFill/>
        <a:ln w="15875" cap="flat" cmpd="sng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1</xdr:col>
      <xdr:colOff>121472</xdr:colOff>
      <xdr:row>407</xdr:row>
      <xdr:rowOff>187018</xdr:rowOff>
    </xdr:from>
    <xdr:to>
      <xdr:col>1</xdr:col>
      <xdr:colOff>602704</xdr:colOff>
      <xdr:row>408</xdr:row>
      <xdr:rowOff>133022</xdr:rowOff>
    </xdr:to>
    <xdr:sp macro="" textlink="">
      <xdr:nvSpPr>
        <xdr:cNvPr id="84" name="Tegning 3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>
          <a:spLocks/>
        </xdr:cNvSpPr>
      </xdr:nvSpPr>
      <xdr:spPr bwMode="auto">
        <a:xfrm>
          <a:off x="491266" y="56507783"/>
          <a:ext cx="481232" cy="147710"/>
        </a:xfrm>
        <a:custGeom>
          <a:avLst/>
          <a:gdLst>
            <a:gd name="T0" fmla="*/ 2147483646 w 16384"/>
            <a:gd name="T1" fmla="*/ 0 h 16384"/>
            <a:gd name="T2" fmla="*/ 0 w 16384"/>
            <a:gd name="T3" fmla="*/ 0 h 16384"/>
            <a:gd name="T4" fmla="*/ 0 w 16384"/>
            <a:gd name="T5" fmla="*/ 2147483646 h 16384"/>
            <a:gd name="T6" fmla="*/ 2147483646 w 16384"/>
            <a:gd name="T7" fmla="*/ 2147483646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16039" y="0"/>
              </a:moveTo>
              <a:lnTo>
                <a:pt x="0" y="0"/>
              </a:lnTo>
              <a:lnTo>
                <a:pt x="0" y="16384"/>
              </a:lnTo>
              <a:lnTo>
                <a:pt x="16384" y="16384"/>
              </a:lnTo>
            </a:path>
          </a:pathLst>
        </a:custGeom>
        <a:noFill/>
        <a:ln w="15875" cap="flat" cmpd="sng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1</xdr:col>
      <xdr:colOff>602704</xdr:colOff>
      <xdr:row>407</xdr:row>
      <xdr:rowOff>187018</xdr:rowOff>
    </xdr:from>
    <xdr:to>
      <xdr:col>3</xdr:col>
      <xdr:colOff>217498</xdr:colOff>
      <xdr:row>408</xdr:row>
      <xdr:rowOff>133022</xdr:rowOff>
    </xdr:to>
    <xdr:sp macro="" textlink="">
      <xdr:nvSpPr>
        <xdr:cNvPr id="85" name="Tegning 3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>
          <a:spLocks/>
        </xdr:cNvSpPr>
      </xdr:nvSpPr>
      <xdr:spPr bwMode="auto">
        <a:xfrm>
          <a:off x="972498" y="56507783"/>
          <a:ext cx="869853" cy="14771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2147483646 h 16384"/>
            <a:gd name="T6" fmla="*/ 0 w 16384"/>
            <a:gd name="T7" fmla="*/ 2147483646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16384" y="0"/>
              </a:lnTo>
              <a:lnTo>
                <a:pt x="16384" y="16384"/>
              </a:lnTo>
              <a:lnTo>
                <a:pt x="0" y="16384"/>
              </a:lnTo>
            </a:path>
          </a:pathLst>
        </a:custGeom>
        <a:noFill/>
        <a:ln w="952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1</xdr:col>
      <xdr:colOff>578672</xdr:colOff>
      <xdr:row>410</xdr:row>
      <xdr:rowOff>47893</xdr:rowOff>
    </xdr:from>
    <xdr:to>
      <xdr:col>1</xdr:col>
      <xdr:colOff>869404</xdr:colOff>
      <xdr:row>412</xdr:row>
      <xdr:rowOff>38963</xdr:rowOff>
    </xdr:to>
    <xdr:sp macro="" textlink="">
      <xdr:nvSpPr>
        <xdr:cNvPr id="86" name="Tegning 3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>
          <a:spLocks/>
        </xdr:cNvSpPr>
      </xdr:nvSpPr>
      <xdr:spPr bwMode="auto">
        <a:xfrm>
          <a:off x="948466" y="56973775"/>
          <a:ext cx="290732" cy="394482"/>
        </a:xfrm>
        <a:custGeom>
          <a:avLst/>
          <a:gdLst>
            <a:gd name="T0" fmla="*/ 2147483646 w 16384"/>
            <a:gd name="T1" fmla="*/ 0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0 w 16384"/>
            <a:gd name="T9" fmla="*/ 2147483646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6384" h="16384">
              <a:moveTo>
                <a:pt x="8192" y="0"/>
              </a:moveTo>
              <a:lnTo>
                <a:pt x="8192" y="16384"/>
              </a:lnTo>
              <a:lnTo>
                <a:pt x="16384" y="10384"/>
              </a:lnTo>
              <a:lnTo>
                <a:pt x="8192" y="16384"/>
              </a:lnTo>
              <a:lnTo>
                <a:pt x="0" y="10384"/>
              </a:lnTo>
            </a:path>
          </a:pathLst>
        </a:custGeom>
        <a:noFill/>
        <a:ln w="15875" cap="flat" cmpd="sng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1</xdr:col>
      <xdr:colOff>182432</xdr:colOff>
      <xdr:row>408</xdr:row>
      <xdr:rowOff>148262</xdr:rowOff>
    </xdr:from>
    <xdr:to>
      <xdr:col>1</xdr:col>
      <xdr:colOff>403412</xdr:colOff>
      <xdr:row>410</xdr:row>
      <xdr:rowOff>131713</xdr:rowOff>
    </xdr:to>
    <xdr:sp macro="" textlink="">
      <xdr:nvSpPr>
        <xdr:cNvPr id="87" name="Tegning 312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>
          <a:spLocks/>
        </xdr:cNvSpPr>
      </xdr:nvSpPr>
      <xdr:spPr bwMode="auto">
        <a:xfrm>
          <a:off x="552226" y="56670733"/>
          <a:ext cx="220980" cy="386862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0 h 16384"/>
            <a:gd name="T4" fmla="*/ 0 w 16384"/>
            <a:gd name="T5" fmla="*/ 2147483646 h 16384"/>
            <a:gd name="T6" fmla="*/ 2147483646 w 16384"/>
            <a:gd name="T7" fmla="*/ 0 h 16384"/>
            <a:gd name="T8" fmla="*/ 2147483646 w 16384"/>
            <a:gd name="T9" fmla="*/ 2147483646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6384" h="16384">
              <a:moveTo>
                <a:pt x="7620" y="16384"/>
              </a:moveTo>
              <a:lnTo>
                <a:pt x="7620" y="0"/>
              </a:lnTo>
              <a:lnTo>
                <a:pt x="0" y="4819"/>
              </a:lnTo>
              <a:lnTo>
                <a:pt x="7620" y="0"/>
              </a:lnTo>
              <a:lnTo>
                <a:pt x="16384" y="5542"/>
              </a:lnTo>
            </a:path>
          </a:pathLst>
        </a:custGeom>
        <a:noFill/>
        <a:ln w="15875" cap="flat" cmpd="sng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2</xdr:col>
      <xdr:colOff>6689</xdr:colOff>
      <xdr:row>408</xdr:row>
      <xdr:rowOff>163502</xdr:rowOff>
    </xdr:from>
    <xdr:to>
      <xdr:col>3</xdr:col>
      <xdr:colOff>49858</xdr:colOff>
      <xdr:row>410</xdr:row>
      <xdr:rowOff>2173</xdr:rowOff>
    </xdr:to>
    <xdr:sp macro="" textlink="">
      <xdr:nvSpPr>
        <xdr:cNvPr id="88" name="Line 314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>
          <a:spLocks noChangeShapeType="1"/>
        </xdr:cNvSpPr>
      </xdr:nvSpPr>
      <xdr:spPr bwMode="auto">
        <a:xfrm flipH="1">
          <a:off x="1407424" y="56685973"/>
          <a:ext cx="267287" cy="242082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240358</xdr:colOff>
      <xdr:row>408</xdr:row>
      <xdr:rowOff>163502</xdr:rowOff>
    </xdr:from>
    <xdr:to>
      <xdr:col>3</xdr:col>
      <xdr:colOff>453718</xdr:colOff>
      <xdr:row>409</xdr:row>
      <xdr:rowOff>173399</xdr:rowOff>
    </xdr:to>
    <xdr:sp macro="" textlink="">
      <xdr:nvSpPr>
        <xdr:cNvPr id="89" name="Line 315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>
          <a:spLocks noChangeShapeType="1"/>
        </xdr:cNvSpPr>
      </xdr:nvSpPr>
      <xdr:spPr bwMode="auto">
        <a:xfrm>
          <a:off x="1865211" y="56685973"/>
          <a:ext cx="213360" cy="211602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4138</xdr:colOff>
      <xdr:row>410</xdr:row>
      <xdr:rowOff>30551</xdr:rowOff>
    </xdr:from>
    <xdr:to>
      <xdr:col>3</xdr:col>
      <xdr:colOff>240358</xdr:colOff>
      <xdr:row>411</xdr:row>
      <xdr:rowOff>167056</xdr:rowOff>
    </xdr:to>
    <xdr:sp macro="" textlink="">
      <xdr:nvSpPr>
        <xdr:cNvPr id="90" name="Tegning 316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>
          <a:spLocks/>
        </xdr:cNvSpPr>
      </xdr:nvSpPr>
      <xdr:spPr bwMode="auto">
        <a:xfrm>
          <a:off x="1626672" y="56556499"/>
          <a:ext cx="236220" cy="333574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0 h 16384"/>
            <a:gd name="T4" fmla="*/ 2147483646 w 16384"/>
            <a:gd name="T5" fmla="*/ 2147483646 h 16384"/>
            <a:gd name="T6" fmla="*/ 2147483646 w 16384"/>
            <a:gd name="T7" fmla="*/ 0 h 16384"/>
            <a:gd name="T8" fmla="*/ 0 w 16384"/>
            <a:gd name="T9" fmla="*/ 2147483646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6384" h="16384">
              <a:moveTo>
                <a:pt x="8495" y="16384"/>
              </a:moveTo>
              <a:lnTo>
                <a:pt x="8495" y="0"/>
              </a:lnTo>
              <a:lnTo>
                <a:pt x="16384" y="5605"/>
              </a:lnTo>
              <a:lnTo>
                <a:pt x="8495" y="0"/>
              </a:lnTo>
              <a:lnTo>
                <a:pt x="0" y="6036"/>
              </a:lnTo>
            </a:path>
          </a:pathLst>
        </a:custGeom>
        <a:noFill/>
        <a:ln w="15875" cap="flat" cmpd="sng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1</xdr:col>
      <xdr:colOff>243392</xdr:colOff>
      <xdr:row>413</xdr:row>
      <xdr:rowOff>199500</xdr:rowOff>
    </xdr:from>
    <xdr:to>
      <xdr:col>3</xdr:col>
      <xdr:colOff>164158</xdr:colOff>
      <xdr:row>413</xdr:row>
      <xdr:rowOff>199500</xdr:rowOff>
    </xdr:to>
    <xdr:sp macro="" textlink="">
      <xdr:nvSpPr>
        <xdr:cNvPr id="91" name="Line 317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>
          <a:spLocks noChangeShapeType="1"/>
        </xdr:cNvSpPr>
      </xdr:nvSpPr>
      <xdr:spPr bwMode="auto">
        <a:xfrm>
          <a:off x="616772" y="58020060"/>
          <a:ext cx="1170446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126058</xdr:colOff>
      <xdr:row>411</xdr:row>
      <xdr:rowOff>187329</xdr:rowOff>
    </xdr:from>
    <xdr:to>
      <xdr:col>3</xdr:col>
      <xdr:colOff>126058</xdr:colOff>
      <xdr:row>414</xdr:row>
      <xdr:rowOff>13034</xdr:rowOff>
    </xdr:to>
    <xdr:sp macro="" textlink="">
      <xdr:nvSpPr>
        <xdr:cNvPr id="92" name="Line 318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>
          <a:spLocks noChangeShapeType="1"/>
        </xdr:cNvSpPr>
      </xdr:nvSpPr>
      <xdr:spPr bwMode="auto">
        <a:xfrm>
          <a:off x="1750911" y="57314917"/>
          <a:ext cx="0" cy="430823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717004</xdr:colOff>
      <xdr:row>412</xdr:row>
      <xdr:rowOff>77063</xdr:rowOff>
    </xdr:from>
    <xdr:to>
      <xdr:col>1</xdr:col>
      <xdr:colOff>717004</xdr:colOff>
      <xdr:row>414</xdr:row>
      <xdr:rowOff>43514</xdr:rowOff>
    </xdr:to>
    <xdr:sp macro="" textlink="">
      <xdr:nvSpPr>
        <xdr:cNvPr id="93" name="Line 319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>
          <a:spLocks noChangeShapeType="1"/>
        </xdr:cNvSpPr>
      </xdr:nvSpPr>
      <xdr:spPr bwMode="auto">
        <a:xfrm>
          <a:off x="1086798" y="57406357"/>
          <a:ext cx="0" cy="369863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289112</xdr:colOff>
      <xdr:row>411</xdr:row>
      <xdr:rowOff>9138</xdr:rowOff>
    </xdr:from>
    <xdr:to>
      <xdr:col>1</xdr:col>
      <xdr:colOff>289112</xdr:colOff>
      <xdr:row>414</xdr:row>
      <xdr:rowOff>13034</xdr:rowOff>
    </xdr:to>
    <xdr:sp macro="" textlink="">
      <xdr:nvSpPr>
        <xdr:cNvPr id="94" name="Line 320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>
          <a:spLocks noChangeShapeType="1"/>
        </xdr:cNvSpPr>
      </xdr:nvSpPr>
      <xdr:spPr bwMode="auto">
        <a:xfrm>
          <a:off x="658906" y="57136726"/>
          <a:ext cx="0" cy="609014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678904</xdr:colOff>
      <xdr:row>413</xdr:row>
      <xdr:rowOff>158469</xdr:rowOff>
    </xdr:from>
    <xdr:to>
      <xdr:col>1</xdr:col>
      <xdr:colOff>762724</xdr:colOff>
      <xdr:row>414</xdr:row>
      <xdr:rowOff>35894</xdr:rowOff>
    </xdr:to>
    <xdr:sp macro="" textlink="">
      <xdr:nvSpPr>
        <xdr:cNvPr id="95" name="Line 322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>
          <a:spLocks noChangeShapeType="1"/>
        </xdr:cNvSpPr>
      </xdr:nvSpPr>
      <xdr:spPr bwMode="auto">
        <a:xfrm flipH="1">
          <a:off x="1052284" y="57979029"/>
          <a:ext cx="83820" cy="7935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80338</xdr:colOff>
      <xdr:row>413</xdr:row>
      <xdr:rowOff>166089</xdr:rowOff>
    </xdr:from>
    <xdr:to>
      <xdr:col>3</xdr:col>
      <xdr:colOff>171778</xdr:colOff>
      <xdr:row>414</xdr:row>
      <xdr:rowOff>35894</xdr:rowOff>
    </xdr:to>
    <xdr:sp macro="" textlink="">
      <xdr:nvSpPr>
        <xdr:cNvPr id="96" name="Line 32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>
          <a:spLocks noChangeShapeType="1"/>
        </xdr:cNvSpPr>
      </xdr:nvSpPr>
      <xdr:spPr bwMode="auto">
        <a:xfrm flipH="1">
          <a:off x="1703398" y="57986649"/>
          <a:ext cx="91440" cy="7173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217498</xdr:colOff>
      <xdr:row>403</xdr:row>
      <xdr:rowOff>176157</xdr:rowOff>
    </xdr:from>
    <xdr:to>
      <xdr:col>3</xdr:col>
      <xdr:colOff>217498</xdr:colOff>
      <xdr:row>407</xdr:row>
      <xdr:rowOff>156538</xdr:rowOff>
    </xdr:to>
    <xdr:sp macro="" textlink="">
      <xdr:nvSpPr>
        <xdr:cNvPr id="97" name="Line 327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>
          <a:spLocks noChangeShapeType="1"/>
        </xdr:cNvSpPr>
      </xdr:nvSpPr>
      <xdr:spPr bwMode="auto">
        <a:xfrm flipV="1">
          <a:off x="1842351" y="55690098"/>
          <a:ext cx="0" cy="78720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22412</xdr:colOff>
      <xdr:row>406</xdr:row>
      <xdr:rowOff>4793</xdr:rowOff>
    </xdr:from>
    <xdr:to>
      <xdr:col>1</xdr:col>
      <xdr:colOff>869404</xdr:colOff>
      <xdr:row>406</xdr:row>
      <xdr:rowOff>4793</xdr:rowOff>
    </xdr:to>
    <xdr:sp macro="" textlink="">
      <xdr:nvSpPr>
        <xdr:cNvPr id="98" name="Line 330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>
          <a:spLocks noChangeShapeType="1"/>
        </xdr:cNvSpPr>
      </xdr:nvSpPr>
      <xdr:spPr bwMode="auto">
        <a:xfrm>
          <a:off x="392206" y="56123852"/>
          <a:ext cx="846992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709384</xdr:colOff>
      <xdr:row>405</xdr:row>
      <xdr:rowOff>157848</xdr:rowOff>
    </xdr:from>
    <xdr:to>
      <xdr:col>1</xdr:col>
      <xdr:colOff>709384</xdr:colOff>
      <xdr:row>407</xdr:row>
      <xdr:rowOff>72718</xdr:rowOff>
    </xdr:to>
    <xdr:sp macro="" textlink="">
      <xdr:nvSpPr>
        <xdr:cNvPr id="99" name="Line 331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>
          <a:spLocks noChangeShapeType="1"/>
        </xdr:cNvSpPr>
      </xdr:nvSpPr>
      <xdr:spPr bwMode="auto">
        <a:xfrm flipV="1">
          <a:off x="1079178" y="56075201"/>
          <a:ext cx="0" cy="318282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289112</xdr:colOff>
      <xdr:row>405</xdr:row>
      <xdr:rowOff>157848</xdr:rowOff>
    </xdr:from>
    <xdr:to>
      <xdr:col>1</xdr:col>
      <xdr:colOff>289112</xdr:colOff>
      <xdr:row>408</xdr:row>
      <xdr:rowOff>64442</xdr:rowOff>
    </xdr:to>
    <xdr:sp macro="" textlink="">
      <xdr:nvSpPr>
        <xdr:cNvPr id="100" name="Line 332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>
          <a:spLocks noChangeShapeType="1"/>
        </xdr:cNvSpPr>
      </xdr:nvSpPr>
      <xdr:spPr bwMode="auto">
        <a:xfrm flipV="1">
          <a:off x="658906" y="56075201"/>
          <a:ext cx="0" cy="511712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464372</xdr:colOff>
      <xdr:row>407</xdr:row>
      <xdr:rowOff>19378</xdr:rowOff>
    </xdr:from>
    <xdr:to>
      <xdr:col>1</xdr:col>
      <xdr:colOff>464372</xdr:colOff>
      <xdr:row>411</xdr:row>
      <xdr:rowOff>108198</xdr:rowOff>
    </xdr:to>
    <xdr:sp macro="" textlink="">
      <xdr:nvSpPr>
        <xdr:cNvPr id="101" name="Line 333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>
          <a:spLocks noChangeShapeType="1"/>
        </xdr:cNvSpPr>
      </xdr:nvSpPr>
      <xdr:spPr bwMode="auto">
        <a:xfrm>
          <a:off x="834166" y="56340143"/>
          <a:ext cx="0" cy="895643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525332</xdr:colOff>
      <xdr:row>405</xdr:row>
      <xdr:rowOff>127368</xdr:rowOff>
    </xdr:from>
    <xdr:to>
      <xdr:col>1</xdr:col>
      <xdr:colOff>625564</xdr:colOff>
      <xdr:row>406</xdr:row>
      <xdr:rowOff>50513</xdr:rowOff>
    </xdr:to>
    <xdr:sp macro="" textlink="">
      <xdr:nvSpPr>
        <xdr:cNvPr id="102" name="Line 335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>
          <a:spLocks noChangeShapeType="1"/>
        </xdr:cNvSpPr>
      </xdr:nvSpPr>
      <xdr:spPr bwMode="auto">
        <a:xfrm flipH="1">
          <a:off x="895126" y="56044721"/>
          <a:ext cx="100232" cy="12485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411032</xdr:colOff>
      <xdr:row>405</xdr:row>
      <xdr:rowOff>134988</xdr:rowOff>
    </xdr:from>
    <xdr:to>
      <xdr:col>1</xdr:col>
      <xdr:colOff>487232</xdr:colOff>
      <xdr:row>406</xdr:row>
      <xdr:rowOff>50513</xdr:rowOff>
    </xdr:to>
    <xdr:sp macro="" textlink="">
      <xdr:nvSpPr>
        <xdr:cNvPr id="103" name="Line 336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>
          <a:spLocks noChangeShapeType="1"/>
        </xdr:cNvSpPr>
      </xdr:nvSpPr>
      <xdr:spPr bwMode="auto">
        <a:xfrm flipH="1">
          <a:off x="780826" y="56052341"/>
          <a:ext cx="76200" cy="11723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506730</xdr:colOff>
      <xdr:row>404</xdr:row>
      <xdr:rowOff>198120</xdr:rowOff>
    </xdr:from>
    <xdr:to>
      <xdr:col>1</xdr:col>
      <xdr:colOff>517712</xdr:colOff>
      <xdr:row>406</xdr:row>
      <xdr:rowOff>12413</xdr:rowOff>
    </xdr:to>
    <xdr:sp macro="" textlink="">
      <xdr:nvSpPr>
        <xdr:cNvPr id="104" name="Line 337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>
          <a:spLocks noChangeShapeType="1"/>
        </xdr:cNvSpPr>
      </xdr:nvSpPr>
      <xdr:spPr bwMode="auto">
        <a:xfrm>
          <a:off x="880110" y="56201310"/>
          <a:ext cx="10982" cy="218153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83372</xdr:colOff>
      <xdr:row>404</xdr:row>
      <xdr:rowOff>21343</xdr:rowOff>
    </xdr:from>
    <xdr:to>
      <xdr:col>3</xdr:col>
      <xdr:colOff>293698</xdr:colOff>
      <xdr:row>404</xdr:row>
      <xdr:rowOff>21343</xdr:rowOff>
    </xdr:to>
    <xdr:sp macro="" textlink="">
      <xdr:nvSpPr>
        <xdr:cNvPr id="105" name="Line 339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>
          <a:spLocks noChangeShapeType="1"/>
        </xdr:cNvSpPr>
      </xdr:nvSpPr>
      <xdr:spPr bwMode="auto">
        <a:xfrm flipH="1">
          <a:off x="453166" y="55736990"/>
          <a:ext cx="146538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68132</xdr:colOff>
      <xdr:row>403</xdr:row>
      <xdr:rowOff>145677</xdr:rowOff>
    </xdr:from>
    <xdr:to>
      <xdr:col>1</xdr:col>
      <xdr:colOff>167192</xdr:colOff>
      <xdr:row>404</xdr:row>
      <xdr:rowOff>67063</xdr:rowOff>
    </xdr:to>
    <xdr:sp macro="" textlink="">
      <xdr:nvSpPr>
        <xdr:cNvPr id="106" name="Line 340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>
          <a:spLocks noChangeShapeType="1"/>
        </xdr:cNvSpPr>
      </xdr:nvSpPr>
      <xdr:spPr bwMode="auto">
        <a:xfrm flipH="1">
          <a:off x="437926" y="55659618"/>
          <a:ext cx="99060" cy="123092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179398</xdr:colOff>
      <xdr:row>403</xdr:row>
      <xdr:rowOff>168537</xdr:rowOff>
    </xdr:from>
    <xdr:to>
      <xdr:col>3</xdr:col>
      <xdr:colOff>263218</xdr:colOff>
      <xdr:row>404</xdr:row>
      <xdr:rowOff>59443</xdr:rowOff>
    </xdr:to>
    <xdr:sp macro="" textlink="">
      <xdr:nvSpPr>
        <xdr:cNvPr id="107" name="Line 341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>
          <a:spLocks noChangeShapeType="1"/>
        </xdr:cNvSpPr>
      </xdr:nvSpPr>
      <xdr:spPr bwMode="auto">
        <a:xfrm flipH="1">
          <a:off x="1804251" y="55682478"/>
          <a:ext cx="83820" cy="92612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235772</xdr:colOff>
      <xdr:row>405</xdr:row>
      <xdr:rowOff>157848</xdr:rowOff>
    </xdr:from>
    <xdr:to>
      <xdr:col>1</xdr:col>
      <xdr:colOff>327212</xdr:colOff>
      <xdr:row>406</xdr:row>
      <xdr:rowOff>42893</xdr:rowOff>
    </xdr:to>
    <xdr:sp macro="" textlink="">
      <xdr:nvSpPr>
        <xdr:cNvPr id="108" name="Line 342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>
          <a:spLocks noChangeShapeType="1"/>
        </xdr:cNvSpPr>
      </xdr:nvSpPr>
      <xdr:spPr bwMode="auto">
        <a:xfrm flipH="1">
          <a:off x="605566" y="56075201"/>
          <a:ext cx="91440" cy="8675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121472</xdr:colOff>
      <xdr:row>403</xdr:row>
      <xdr:rowOff>145677</xdr:rowOff>
    </xdr:from>
    <xdr:to>
      <xdr:col>1</xdr:col>
      <xdr:colOff>121472</xdr:colOff>
      <xdr:row>406</xdr:row>
      <xdr:rowOff>42893</xdr:rowOff>
    </xdr:to>
    <xdr:sp macro="" textlink="">
      <xdr:nvSpPr>
        <xdr:cNvPr id="109" name="Line 343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>
          <a:spLocks noChangeShapeType="1"/>
        </xdr:cNvSpPr>
      </xdr:nvSpPr>
      <xdr:spPr bwMode="auto">
        <a:xfrm>
          <a:off x="491266" y="55659618"/>
          <a:ext cx="0" cy="502334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709384</xdr:colOff>
      <xdr:row>407</xdr:row>
      <xdr:rowOff>171778</xdr:rowOff>
    </xdr:from>
    <xdr:to>
      <xdr:col>4</xdr:col>
      <xdr:colOff>27895</xdr:colOff>
      <xdr:row>409</xdr:row>
      <xdr:rowOff>190500</xdr:rowOff>
    </xdr:to>
    <xdr:sp macro="" textlink="">
      <xdr:nvSpPr>
        <xdr:cNvPr id="110" name="Tegning 344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>
          <a:spLocks/>
        </xdr:cNvSpPr>
      </xdr:nvSpPr>
      <xdr:spPr bwMode="auto">
        <a:xfrm>
          <a:off x="1083815" y="56106519"/>
          <a:ext cx="1184097" cy="412860"/>
        </a:xfrm>
        <a:custGeom>
          <a:avLst/>
          <a:gdLst>
            <a:gd name="T0" fmla="*/ 0 w 16384"/>
            <a:gd name="T1" fmla="*/ 0 h 16384"/>
            <a:gd name="T2" fmla="*/ 0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0" y="14444"/>
              </a:lnTo>
              <a:lnTo>
                <a:pt x="67" y="15522"/>
              </a:lnTo>
              <a:lnTo>
                <a:pt x="336" y="16168"/>
              </a:lnTo>
              <a:lnTo>
                <a:pt x="806" y="16384"/>
              </a:lnTo>
              <a:lnTo>
                <a:pt x="16384" y="16384"/>
              </a:lnTo>
            </a:path>
          </a:pathLst>
        </a:custGeom>
        <a:noFill/>
        <a:ln w="26670" cap="flat" cmpd="sng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3</xdr:col>
      <xdr:colOff>175588</xdr:colOff>
      <xdr:row>406</xdr:row>
      <xdr:rowOff>58133</xdr:rowOff>
    </xdr:from>
    <xdr:to>
      <xdr:col>3</xdr:col>
      <xdr:colOff>251788</xdr:colOff>
      <xdr:row>406</xdr:row>
      <xdr:rowOff>126713</xdr:rowOff>
    </xdr:to>
    <xdr:sp macro="" textlink="">
      <xdr:nvSpPr>
        <xdr:cNvPr id="111" name="Line 345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>
          <a:spLocks noChangeShapeType="1"/>
        </xdr:cNvSpPr>
      </xdr:nvSpPr>
      <xdr:spPr bwMode="auto">
        <a:xfrm flipH="1">
          <a:off x="1798648" y="56465183"/>
          <a:ext cx="76200" cy="6858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377518</xdr:colOff>
      <xdr:row>408</xdr:row>
      <xdr:rowOff>148262</xdr:rowOff>
    </xdr:from>
    <xdr:to>
      <xdr:col>4</xdr:col>
      <xdr:colOff>151573</xdr:colOff>
      <xdr:row>408</xdr:row>
      <xdr:rowOff>148262</xdr:rowOff>
    </xdr:to>
    <xdr:sp macro="" textlink="">
      <xdr:nvSpPr>
        <xdr:cNvPr id="112" name="Line 346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>
          <a:spLocks noChangeShapeType="1"/>
        </xdr:cNvSpPr>
      </xdr:nvSpPr>
      <xdr:spPr bwMode="auto">
        <a:xfrm>
          <a:off x="2002371" y="56670733"/>
          <a:ext cx="390378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35515</xdr:colOff>
      <xdr:row>410</xdr:row>
      <xdr:rowOff>44628</xdr:rowOff>
    </xdr:from>
    <xdr:to>
      <xdr:col>4</xdr:col>
      <xdr:colOff>166813</xdr:colOff>
      <xdr:row>410</xdr:row>
      <xdr:rowOff>44628</xdr:rowOff>
    </xdr:to>
    <xdr:sp macro="" textlink="">
      <xdr:nvSpPr>
        <xdr:cNvPr id="113" name="Line 347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>
          <a:spLocks noChangeShapeType="1"/>
        </xdr:cNvSpPr>
      </xdr:nvSpPr>
      <xdr:spPr bwMode="auto">
        <a:xfrm>
          <a:off x="2305186" y="57357914"/>
          <a:ext cx="131298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578672</xdr:colOff>
      <xdr:row>405</xdr:row>
      <xdr:rowOff>157848</xdr:rowOff>
    </xdr:from>
    <xdr:to>
      <xdr:col>1</xdr:col>
      <xdr:colOff>578672</xdr:colOff>
      <xdr:row>406</xdr:row>
      <xdr:rowOff>126713</xdr:rowOff>
    </xdr:to>
    <xdr:sp macro="" textlink="">
      <xdr:nvSpPr>
        <xdr:cNvPr id="114" name="Line 348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>
          <a:spLocks noChangeShapeType="1"/>
        </xdr:cNvSpPr>
      </xdr:nvSpPr>
      <xdr:spPr bwMode="auto">
        <a:xfrm flipV="1">
          <a:off x="948466" y="56075201"/>
          <a:ext cx="0" cy="17057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464372</xdr:colOff>
      <xdr:row>405</xdr:row>
      <xdr:rowOff>165468</xdr:rowOff>
    </xdr:from>
    <xdr:to>
      <xdr:col>1</xdr:col>
      <xdr:colOff>464372</xdr:colOff>
      <xdr:row>406</xdr:row>
      <xdr:rowOff>157193</xdr:rowOff>
    </xdr:to>
    <xdr:sp macro="" textlink="">
      <xdr:nvSpPr>
        <xdr:cNvPr id="115" name="Line 350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>
          <a:spLocks noChangeShapeType="1"/>
        </xdr:cNvSpPr>
      </xdr:nvSpPr>
      <xdr:spPr bwMode="auto">
        <a:xfrm flipV="1">
          <a:off x="834166" y="56082821"/>
          <a:ext cx="0" cy="19343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68132</xdr:colOff>
      <xdr:row>405</xdr:row>
      <xdr:rowOff>165468</xdr:rowOff>
    </xdr:from>
    <xdr:to>
      <xdr:col>1</xdr:col>
      <xdr:colOff>159572</xdr:colOff>
      <xdr:row>406</xdr:row>
      <xdr:rowOff>42893</xdr:rowOff>
    </xdr:to>
    <xdr:sp macro="" textlink="">
      <xdr:nvSpPr>
        <xdr:cNvPr id="116" name="Line 353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SpPr>
          <a:spLocks noChangeShapeType="1"/>
        </xdr:cNvSpPr>
      </xdr:nvSpPr>
      <xdr:spPr bwMode="auto">
        <a:xfrm flipH="1">
          <a:off x="437926" y="56082821"/>
          <a:ext cx="91440" cy="7913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671284</xdr:colOff>
      <xdr:row>409</xdr:row>
      <xdr:rowOff>2828</xdr:rowOff>
    </xdr:from>
    <xdr:to>
      <xdr:col>1</xdr:col>
      <xdr:colOff>755104</xdr:colOff>
      <xdr:row>409</xdr:row>
      <xdr:rowOff>63788</xdr:rowOff>
    </xdr:to>
    <xdr:sp macro="" textlink="">
      <xdr:nvSpPr>
        <xdr:cNvPr id="117" name="Oval 354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>
          <a:spLocks noChangeArrowheads="1"/>
        </xdr:cNvSpPr>
      </xdr:nvSpPr>
      <xdr:spPr bwMode="auto">
        <a:xfrm>
          <a:off x="1041078" y="56727004"/>
          <a:ext cx="83820" cy="60960"/>
        </a:xfrm>
        <a:prstGeom prst="ellips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1</xdr:col>
      <xdr:colOff>747484</xdr:colOff>
      <xdr:row>407</xdr:row>
      <xdr:rowOff>187018</xdr:rowOff>
    </xdr:from>
    <xdr:to>
      <xdr:col>2</xdr:col>
      <xdr:colOff>21929</xdr:colOff>
      <xdr:row>409</xdr:row>
      <xdr:rowOff>25688</xdr:rowOff>
    </xdr:to>
    <xdr:sp macro="" textlink="">
      <xdr:nvSpPr>
        <xdr:cNvPr id="118" name="Line 355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>
          <a:spLocks noChangeShapeType="1"/>
        </xdr:cNvSpPr>
      </xdr:nvSpPr>
      <xdr:spPr bwMode="auto">
        <a:xfrm flipH="1">
          <a:off x="1117278" y="56507783"/>
          <a:ext cx="305386" cy="24208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244131</xdr:colOff>
      <xdr:row>413</xdr:row>
      <xdr:rowOff>167140</xdr:rowOff>
    </xdr:from>
    <xdr:to>
      <xdr:col>1</xdr:col>
      <xdr:colOff>327951</xdr:colOff>
      <xdr:row>414</xdr:row>
      <xdr:rowOff>44565</xdr:rowOff>
    </xdr:to>
    <xdr:sp macro="" textlink="">
      <xdr:nvSpPr>
        <xdr:cNvPr id="120" name="Line 322">
          <a:extLs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>
          <a:spLocks noChangeShapeType="1"/>
        </xdr:cNvSpPr>
      </xdr:nvSpPr>
      <xdr:spPr bwMode="auto">
        <a:xfrm flipH="1">
          <a:off x="617511" y="57987700"/>
          <a:ext cx="83820" cy="7935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665213</xdr:colOff>
      <xdr:row>405</xdr:row>
      <xdr:rowOff>136254</xdr:rowOff>
    </xdr:from>
    <xdr:to>
      <xdr:col>1</xdr:col>
      <xdr:colOff>765445</xdr:colOff>
      <xdr:row>406</xdr:row>
      <xdr:rowOff>59399</xdr:rowOff>
    </xdr:to>
    <xdr:sp macro="" textlink="">
      <xdr:nvSpPr>
        <xdr:cNvPr id="121" name="Line 335">
          <a:extLs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>
          <a:spLocks noChangeShapeType="1"/>
        </xdr:cNvSpPr>
      </xdr:nvSpPr>
      <xdr:spPr bwMode="auto">
        <a:xfrm flipH="1">
          <a:off x="1039644" y="55676857"/>
          <a:ext cx="100232" cy="120214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59516</xdr:colOff>
      <xdr:row>406</xdr:row>
      <xdr:rowOff>57150</xdr:rowOff>
    </xdr:from>
    <xdr:to>
      <xdr:col>3</xdr:col>
      <xdr:colOff>59516</xdr:colOff>
      <xdr:row>407</xdr:row>
      <xdr:rowOff>145756</xdr:rowOff>
    </xdr:to>
    <xdr:sp macro="" textlink="">
      <xdr:nvSpPr>
        <xdr:cNvPr id="122" name="Line 326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>
          <a:spLocks noChangeShapeType="1"/>
        </xdr:cNvSpPr>
      </xdr:nvSpPr>
      <xdr:spPr bwMode="auto">
        <a:xfrm flipV="1">
          <a:off x="1682050" y="55794822"/>
          <a:ext cx="0" cy="2856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24569</xdr:colOff>
      <xdr:row>406</xdr:row>
      <xdr:rowOff>95250</xdr:rowOff>
    </xdr:from>
    <xdr:to>
      <xdr:col>3</xdr:col>
      <xdr:colOff>266109</xdr:colOff>
      <xdr:row>406</xdr:row>
      <xdr:rowOff>95250</xdr:rowOff>
    </xdr:to>
    <xdr:sp macro="" textlink="">
      <xdr:nvSpPr>
        <xdr:cNvPr id="123" name="Line 328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>
          <a:spLocks noChangeShapeType="1"/>
        </xdr:cNvSpPr>
      </xdr:nvSpPr>
      <xdr:spPr bwMode="auto">
        <a:xfrm>
          <a:off x="1647103" y="55832922"/>
          <a:ext cx="24154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7227</xdr:colOff>
      <xdr:row>406</xdr:row>
      <xdr:rowOff>57150</xdr:rowOff>
    </xdr:from>
    <xdr:to>
      <xdr:col>3</xdr:col>
      <xdr:colOff>103987</xdr:colOff>
      <xdr:row>406</xdr:row>
      <xdr:rowOff>133350</xdr:rowOff>
    </xdr:to>
    <xdr:sp macro="" textlink="">
      <xdr:nvSpPr>
        <xdr:cNvPr id="124" name="Line 329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>
          <a:spLocks noChangeShapeType="1"/>
        </xdr:cNvSpPr>
      </xdr:nvSpPr>
      <xdr:spPr bwMode="auto">
        <a:xfrm flipV="1">
          <a:off x="1629761" y="55794822"/>
          <a:ext cx="96760" cy="762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52552</xdr:colOff>
      <xdr:row>408</xdr:row>
      <xdr:rowOff>131380</xdr:rowOff>
    </xdr:from>
    <xdr:to>
      <xdr:col>3</xdr:col>
      <xdr:colOff>220192</xdr:colOff>
      <xdr:row>408</xdr:row>
      <xdr:rowOff>131380</xdr:rowOff>
    </xdr:to>
    <xdr:sp macro="" textlink="">
      <xdr:nvSpPr>
        <xdr:cNvPr id="125" name="Line 313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>
          <a:spLocks noChangeShapeType="1"/>
        </xdr:cNvSpPr>
      </xdr:nvSpPr>
      <xdr:spPr bwMode="auto">
        <a:xfrm>
          <a:off x="1675086" y="56263190"/>
          <a:ext cx="167640" cy="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640079</xdr:colOff>
      <xdr:row>405</xdr:row>
      <xdr:rowOff>114299</xdr:rowOff>
    </xdr:from>
    <xdr:to>
      <xdr:col>2</xdr:col>
      <xdr:colOff>9524</xdr:colOff>
      <xdr:row>405</xdr:row>
      <xdr:rowOff>198120</xdr:rowOff>
    </xdr:to>
    <xdr:sp macro="" textlink="">
      <xdr:nvSpPr>
        <xdr:cNvPr id="126" name="Line 337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>
          <a:spLocks noChangeShapeType="1"/>
        </xdr:cNvSpPr>
      </xdr:nvSpPr>
      <xdr:spPr bwMode="auto">
        <a:xfrm flipH="1">
          <a:off x="1011554" y="70542149"/>
          <a:ext cx="398145" cy="8382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57094</xdr:colOff>
      <xdr:row>408</xdr:row>
      <xdr:rowOff>94578</xdr:rowOff>
    </xdr:from>
    <xdr:to>
      <xdr:col>4</xdr:col>
      <xdr:colOff>140914</xdr:colOff>
      <xdr:row>408</xdr:row>
      <xdr:rowOff>186869</xdr:rowOff>
    </xdr:to>
    <xdr:sp macro="" textlink="">
      <xdr:nvSpPr>
        <xdr:cNvPr id="127" name="Line 341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>
          <a:spLocks noChangeShapeType="1"/>
        </xdr:cNvSpPr>
      </xdr:nvSpPr>
      <xdr:spPr bwMode="auto">
        <a:xfrm flipH="1">
          <a:off x="2326765" y="57005092"/>
          <a:ext cx="83820" cy="9229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62534</xdr:colOff>
      <xdr:row>409</xdr:row>
      <xdr:rowOff>197994</xdr:rowOff>
    </xdr:from>
    <xdr:to>
      <xdr:col>4</xdr:col>
      <xdr:colOff>146354</xdr:colOff>
      <xdr:row>410</xdr:row>
      <xdr:rowOff>88899</xdr:rowOff>
    </xdr:to>
    <xdr:sp macro="" textlink="">
      <xdr:nvSpPr>
        <xdr:cNvPr id="128" name="Line 341">
          <a:extLs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>
          <a:spLocks noChangeShapeType="1"/>
        </xdr:cNvSpPr>
      </xdr:nvSpPr>
      <xdr:spPr bwMode="auto">
        <a:xfrm flipH="1">
          <a:off x="2332205" y="57309894"/>
          <a:ext cx="83820" cy="9229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591689</xdr:colOff>
      <xdr:row>417</xdr:row>
      <xdr:rowOff>48931</xdr:rowOff>
    </xdr:from>
    <xdr:to>
      <xdr:col>1</xdr:col>
      <xdr:colOff>776236</xdr:colOff>
      <xdr:row>418</xdr:row>
      <xdr:rowOff>45641</xdr:rowOff>
    </xdr:to>
    <xdr:sp macro="" textlink="">
      <xdr:nvSpPr>
        <xdr:cNvPr id="129" name="Rektangel 128"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/>
      </xdr:nvSpPr>
      <xdr:spPr>
        <a:xfrm>
          <a:off x="963396" y="58490614"/>
          <a:ext cx="184547" cy="196503"/>
        </a:xfrm>
        <a:prstGeom prst="rect">
          <a:avLst/>
        </a:prstGeom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>
    <xdr:from>
      <xdr:col>1</xdr:col>
      <xdr:colOff>540519</xdr:colOff>
      <xdr:row>415</xdr:row>
      <xdr:rowOff>150394</xdr:rowOff>
    </xdr:from>
    <xdr:to>
      <xdr:col>1</xdr:col>
      <xdr:colOff>626644</xdr:colOff>
      <xdr:row>416</xdr:row>
      <xdr:rowOff>48427</xdr:rowOff>
    </xdr:to>
    <xdr:sp macro="" textlink="">
      <xdr:nvSpPr>
        <xdr:cNvPr id="130" name="Line 340">
          <a:extLs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>
          <a:spLocks noChangeShapeType="1"/>
        </xdr:cNvSpPr>
      </xdr:nvSpPr>
      <xdr:spPr bwMode="auto">
        <a:xfrm flipH="1">
          <a:off x="911493" y="58443394"/>
          <a:ext cx="86125" cy="98559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582893</xdr:colOff>
      <xdr:row>415</xdr:row>
      <xdr:rowOff>144182</xdr:rowOff>
    </xdr:from>
    <xdr:to>
      <xdr:col>1</xdr:col>
      <xdr:colOff>582893</xdr:colOff>
      <xdr:row>417</xdr:row>
      <xdr:rowOff>7260</xdr:rowOff>
    </xdr:to>
    <xdr:sp macro="" textlink="">
      <xdr:nvSpPr>
        <xdr:cNvPr id="131" name="Line 343"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>
          <a:spLocks noChangeShapeType="1"/>
        </xdr:cNvSpPr>
      </xdr:nvSpPr>
      <xdr:spPr bwMode="auto">
        <a:xfrm>
          <a:off x="954600" y="58186280"/>
          <a:ext cx="0" cy="262663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735530</xdr:colOff>
      <xdr:row>415</xdr:row>
      <xdr:rowOff>139703</xdr:rowOff>
    </xdr:from>
    <xdr:to>
      <xdr:col>1</xdr:col>
      <xdr:colOff>834590</xdr:colOff>
      <xdr:row>416</xdr:row>
      <xdr:rowOff>61089</xdr:rowOff>
    </xdr:to>
    <xdr:sp macro="" textlink="">
      <xdr:nvSpPr>
        <xdr:cNvPr id="132" name="Line 340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>
          <a:spLocks noChangeShapeType="1"/>
        </xdr:cNvSpPr>
      </xdr:nvSpPr>
      <xdr:spPr bwMode="auto">
        <a:xfrm flipH="1">
          <a:off x="1107237" y="58181801"/>
          <a:ext cx="99060" cy="121178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782917</xdr:colOff>
      <xdr:row>415</xdr:row>
      <xdr:rowOff>141804</xdr:rowOff>
    </xdr:from>
    <xdr:to>
      <xdr:col>1</xdr:col>
      <xdr:colOff>782917</xdr:colOff>
      <xdr:row>417</xdr:row>
      <xdr:rowOff>4882</xdr:rowOff>
    </xdr:to>
    <xdr:sp macro="" textlink="">
      <xdr:nvSpPr>
        <xdr:cNvPr id="133" name="Line 343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>
          <a:spLocks noChangeShapeType="1"/>
        </xdr:cNvSpPr>
      </xdr:nvSpPr>
      <xdr:spPr bwMode="auto">
        <a:xfrm>
          <a:off x="1154624" y="58183902"/>
          <a:ext cx="0" cy="262663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555969</xdr:colOff>
      <xdr:row>415</xdr:row>
      <xdr:rowOff>195640</xdr:rowOff>
    </xdr:from>
    <xdr:to>
      <xdr:col>1</xdr:col>
      <xdr:colOff>806001</xdr:colOff>
      <xdr:row>415</xdr:row>
      <xdr:rowOff>195640</xdr:rowOff>
    </xdr:to>
    <xdr:sp macro="" textlink="">
      <xdr:nvSpPr>
        <xdr:cNvPr id="134" name="Line 339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>
          <a:spLocks noChangeShapeType="1"/>
        </xdr:cNvSpPr>
      </xdr:nvSpPr>
      <xdr:spPr bwMode="auto">
        <a:xfrm flipH="1">
          <a:off x="927676" y="58237738"/>
          <a:ext cx="250032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1006090</xdr:colOff>
      <xdr:row>417</xdr:row>
      <xdr:rowOff>22737</xdr:rowOff>
    </xdr:from>
    <xdr:to>
      <xdr:col>1</xdr:col>
      <xdr:colOff>1006090</xdr:colOff>
      <xdr:row>418</xdr:row>
      <xdr:rowOff>88222</xdr:rowOff>
    </xdr:to>
    <xdr:sp macro="" textlink="">
      <xdr:nvSpPr>
        <xdr:cNvPr id="135" name="Line 343">
          <a:extLs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>
          <a:spLocks noChangeShapeType="1"/>
        </xdr:cNvSpPr>
      </xdr:nvSpPr>
      <xdr:spPr bwMode="auto">
        <a:xfrm>
          <a:off x="1377797" y="58464420"/>
          <a:ext cx="0" cy="265278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950367</xdr:colOff>
      <xdr:row>416</xdr:row>
      <xdr:rowOff>184947</xdr:rowOff>
    </xdr:from>
    <xdr:to>
      <xdr:col>2</xdr:col>
      <xdr:colOff>22585</xdr:colOff>
      <xdr:row>417</xdr:row>
      <xdr:rowOff>106332</xdr:rowOff>
    </xdr:to>
    <xdr:sp macro="" textlink="">
      <xdr:nvSpPr>
        <xdr:cNvPr id="136" name="Line 340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>
          <a:spLocks noChangeShapeType="1"/>
        </xdr:cNvSpPr>
      </xdr:nvSpPr>
      <xdr:spPr bwMode="auto">
        <a:xfrm flipH="1">
          <a:off x="1322074" y="58426837"/>
          <a:ext cx="99060" cy="121178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840066</xdr:colOff>
      <xdr:row>418</xdr:row>
      <xdr:rowOff>42941</xdr:rowOff>
    </xdr:from>
    <xdr:to>
      <xdr:col>2</xdr:col>
      <xdr:colOff>61862</xdr:colOff>
      <xdr:row>418</xdr:row>
      <xdr:rowOff>42941</xdr:rowOff>
    </xdr:to>
    <xdr:sp macro="" textlink="">
      <xdr:nvSpPr>
        <xdr:cNvPr id="137" name="Line 343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>
          <a:spLocks noChangeShapeType="1"/>
        </xdr:cNvSpPr>
      </xdr:nvSpPr>
      <xdr:spPr bwMode="auto">
        <a:xfrm flipH="1">
          <a:off x="1214497" y="58342510"/>
          <a:ext cx="253124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833384</xdr:colOff>
      <xdr:row>417</xdr:row>
      <xdr:rowOff>50384</xdr:rowOff>
    </xdr:from>
    <xdr:to>
      <xdr:col>2</xdr:col>
      <xdr:colOff>53526</xdr:colOff>
      <xdr:row>417</xdr:row>
      <xdr:rowOff>50384</xdr:rowOff>
    </xdr:to>
    <xdr:sp macro="" textlink="">
      <xdr:nvSpPr>
        <xdr:cNvPr id="138" name="Line 339">
          <a:extLs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>
          <a:spLocks noChangeShapeType="1"/>
        </xdr:cNvSpPr>
      </xdr:nvSpPr>
      <xdr:spPr bwMode="auto">
        <a:xfrm flipH="1">
          <a:off x="1205091" y="58492067"/>
          <a:ext cx="246984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947985</xdr:colOff>
      <xdr:row>417</xdr:row>
      <xdr:rowOff>188518</xdr:rowOff>
    </xdr:from>
    <xdr:to>
      <xdr:col>2</xdr:col>
      <xdr:colOff>20203</xdr:colOff>
      <xdr:row>418</xdr:row>
      <xdr:rowOff>109904</xdr:rowOff>
    </xdr:to>
    <xdr:sp macro="" textlink="">
      <xdr:nvSpPr>
        <xdr:cNvPr id="139" name="Line 340">
          <a:extLs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>
          <a:spLocks noChangeShapeType="1"/>
        </xdr:cNvSpPr>
      </xdr:nvSpPr>
      <xdr:spPr bwMode="auto">
        <a:xfrm flipH="1">
          <a:off x="1319692" y="58630201"/>
          <a:ext cx="99060" cy="121179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659781</xdr:colOff>
      <xdr:row>415</xdr:row>
      <xdr:rowOff>106430</xdr:rowOff>
    </xdr:from>
    <xdr:to>
      <xdr:col>1</xdr:col>
      <xdr:colOff>1014157</xdr:colOff>
      <xdr:row>416</xdr:row>
      <xdr:rowOff>0</xdr:rowOff>
    </xdr:to>
    <xdr:sp macro="" textlink="">
      <xdr:nvSpPr>
        <xdr:cNvPr id="140" name="Line 339">
          <a:extLs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>
          <a:spLocks noChangeShapeType="1"/>
        </xdr:cNvSpPr>
      </xdr:nvSpPr>
      <xdr:spPr bwMode="auto">
        <a:xfrm flipH="1">
          <a:off x="1031488" y="58148528"/>
          <a:ext cx="354376" cy="93362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432289</xdr:colOff>
      <xdr:row>416</xdr:row>
      <xdr:rowOff>73268</xdr:rowOff>
    </xdr:from>
    <xdr:to>
      <xdr:col>1</xdr:col>
      <xdr:colOff>923192</xdr:colOff>
      <xdr:row>419</xdr:row>
      <xdr:rowOff>7327</xdr:rowOff>
    </xdr:to>
    <xdr:sp macro="" textlink="">
      <xdr:nvSpPr>
        <xdr:cNvPr id="141" name="Rektangel: afrundede hjørner 140">
          <a:extLs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/>
      </xdr:nvSpPr>
      <xdr:spPr>
        <a:xfrm>
          <a:off x="805962" y="58307653"/>
          <a:ext cx="490903" cy="527539"/>
        </a:xfrm>
        <a:prstGeom prst="roundRect">
          <a:avLst/>
        </a:prstGeom>
        <a:noFill/>
        <a:ln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>
    <xdr:from>
      <xdr:col>1</xdr:col>
      <xdr:colOff>411078</xdr:colOff>
      <xdr:row>419</xdr:row>
      <xdr:rowOff>135239</xdr:rowOff>
    </xdr:from>
    <xdr:to>
      <xdr:col>1</xdr:col>
      <xdr:colOff>621247</xdr:colOff>
      <xdr:row>419</xdr:row>
      <xdr:rowOff>135239</xdr:rowOff>
    </xdr:to>
    <xdr:sp macro="" textlink="">
      <xdr:nvSpPr>
        <xdr:cNvPr id="142" name="Line 339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>
          <a:spLocks noChangeShapeType="1"/>
        </xdr:cNvSpPr>
      </xdr:nvSpPr>
      <xdr:spPr bwMode="auto">
        <a:xfrm flipH="1">
          <a:off x="782052" y="59230344"/>
          <a:ext cx="210169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438244</xdr:colOff>
      <xdr:row>418</xdr:row>
      <xdr:rowOff>153965</xdr:rowOff>
    </xdr:from>
    <xdr:to>
      <xdr:col>1</xdr:col>
      <xdr:colOff>438244</xdr:colOff>
      <xdr:row>419</xdr:row>
      <xdr:rowOff>170449</xdr:rowOff>
    </xdr:to>
    <xdr:sp macro="" textlink="">
      <xdr:nvSpPr>
        <xdr:cNvPr id="143" name="Line 343">
          <a:extLs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>
          <a:spLocks noChangeShapeType="1"/>
        </xdr:cNvSpPr>
      </xdr:nvSpPr>
      <xdr:spPr bwMode="auto">
        <a:xfrm>
          <a:off x="809218" y="59048544"/>
          <a:ext cx="0" cy="21701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590644</xdr:colOff>
      <xdr:row>418</xdr:row>
      <xdr:rowOff>135917</xdr:rowOff>
    </xdr:from>
    <xdr:to>
      <xdr:col>1</xdr:col>
      <xdr:colOff>590644</xdr:colOff>
      <xdr:row>419</xdr:row>
      <xdr:rowOff>180475</xdr:rowOff>
    </xdr:to>
    <xdr:sp macro="" textlink="">
      <xdr:nvSpPr>
        <xdr:cNvPr id="144" name="Line 343">
          <a:extLs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>
          <a:spLocks noChangeShapeType="1"/>
        </xdr:cNvSpPr>
      </xdr:nvSpPr>
      <xdr:spPr bwMode="auto">
        <a:xfrm>
          <a:off x="961618" y="59030496"/>
          <a:ext cx="0" cy="245084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542524</xdr:colOff>
      <xdr:row>419</xdr:row>
      <xdr:rowOff>87229</xdr:rowOff>
    </xdr:from>
    <xdr:to>
      <xdr:col>1</xdr:col>
      <xdr:colOff>628649</xdr:colOff>
      <xdr:row>419</xdr:row>
      <xdr:rowOff>185788</xdr:rowOff>
    </xdr:to>
    <xdr:sp macro="" textlink="">
      <xdr:nvSpPr>
        <xdr:cNvPr id="145" name="Line 340">
          <a:extLs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>
          <a:spLocks noChangeShapeType="1"/>
        </xdr:cNvSpPr>
      </xdr:nvSpPr>
      <xdr:spPr bwMode="auto">
        <a:xfrm flipH="1">
          <a:off x="913498" y="59182334"/>
          <a:ext cx="86125" cy="98559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374082</xdr:colOff>
      <xdr:row>419</xdr:row>
      <xdr:rowOff>89235</xdr:rowOff>
    </xdr:from>
    <xdr:to>
      <xdr:col>1</xdr:col>
      <xdr:colOff>460207</xdr:colOff>
      <xdr:row>419</xdr:row>
      <xdr:rowOff>187794</xdr:rowOff>
    </xdr:to>
    <xdr:sp macro="" textlink="">
      <xdr:nvSpPr>
        <xdr:cNvPr id="146" name="Line 340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>
          <a:spLocks noChangeShapeType="1"/>
        </xdr:cNvSpPr>
      </xdr:nvSpPr>
      <xdr:spPr bwMode="auto">
        <a:xfrm flipH="1">
          <a:off x="745056" y="59184340"/>
          <a:ext cx="86125" cy="98559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 editAs="oneCell">
    <xdr:from>
      <xdr:col>0</xdr:col>
      <xdr:colOff>160420</xdr:colOff>
      <xdr:row>421</xdr:row>
      <xdr:rowOff>205154</xdr:rowOff>
    </xdr:from>
    <xdr:to>
      <xdr:col>1</xdr:col>
      <xdr:colOff>795580</xdr:colOff>
      <xdr:row>425</xdr:row>
      <xdr:rowOff>3693</xdr:rowOff>
    </xdr:to>
    <xdr:pic>
      <xdr:nvPicPr>
        <xdr:cNvPr id="9" name="Billed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60420" y="74906220"/>
          <a:ext cx="988989" cy="761067"/>
        </a:xfrm>
        <a:prstGeom prst="rect">
          <a:avLst/>
        </a:prstGeom>
      </xdr:spPr>
    </xdr:pic>
    <xdr:clientData/>
  </xdr:twoCellAnchor>
  <xdr:twoCellAnchor>
    <xdr:from>
      <xdr:col>1</xdr:col>
      <xdr:colOff>589658</xdr:colOff>
      <xdr:row>425</xdr:row>
      <xdr:rowOff>69718</xdr:rowOff>
    </xdr:from>
    <xdr:to>
      <xdr:col>1</xdr:col>
      <xdr:colOff>589658</xdr:colOff>
      <xdr:row>426</xdr:row>
      <xdr:rowOff>201385</xdr:rowOff>
    </xdr:to>
    <xdr:sp macro="" textlink="">
      <xdr:nvSpPr>
        <xdr:cNvPr id="74" name="Line 319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>
          <a:spLocks noChangeShapeType="1"/>
        </xdr:cNvSpPr>
      </xdr:nvSpPr>
      <xdr:spPr bwMode="auto">
        <a:xfrm>
          <a:off x="960632" y="75733310"/>
          <a:ext cx="0" cy="377312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74680</xdr:colOff>
      <xdr:row>424</xdr:row>
      <xdr:rowOff>45336</xdr:rowOff>
    </xdr:from>
    <xdr:to>
      <xdr:col>1</xdr:col>
      <xdr:colOff>74680</xdr:colOff>
      <xdr:row>428</xdr:row>
      <xdr:rowOff>65314</xdr:rowOff>
    </xdr:to>
    <xdr:sp macro="" textlink="">
      <xdr:nvSpPr>
        <xdr:cNvPr id="75" name="Line 320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>
          <a:spLocks noChangeShapeType="1"/>
        </xdr:cNvSpPr>
      </xdr:nvSpPr>
      <xdr:spPr bwMode="auto">
        <a:xfrm>
          <a:off x="445654" y="75468297"/>
          <a:ext cx="0" cy="997543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714843</xdr:colOff>
      <xdr:row>425</xdr:row>
      <xdr:rowOff>64276</xdr:rowOff>
    </xdr:from>
    <xdr:to>
      <xdr:col>1</xdr:col>
      <xdr:colOff>714843</xdr:colOff>
      <xdr:row>428</xdr:row>
      <xdr:rowOff>76200</xdr:rowOff>
    </xdr:to>
    <xdr:sp macro="" textlink="">
      <xdr:nvSpPr>
        <xdr:cNvPr id="76" name="Line 319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>
          <a:spLocks noChangeShapeType="1"/>
        </xdr:cNvSpPr>
      </xdr:nvSpPr>
      <xdr:spPr bwMode="auto">
        <a:xfrm>
          <a:off x="1085817" y="75727868"/>
          <a:ext cx="0" cy="748858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20768</xdr:colOff>
      <xdr:row>426</xdr:row>
      <xdr:rowOff>204226</xdr:rowOff>
    </xdr:from>
    <xdr:to>
      <xdr:col>1</xdr:col>
      <xdr:colOff>641253</xdr:colOff>
      <xdr:row>426</xdr:row>
      <xdr:rowOff>204226</xdr:rowOff>
    </xdr:to>
    <xdr:sp macro="" textlink="">
      <xdr:nvSpPr>
        <xdr:cNvPr id="77" name="Line 319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>
          <a:spLocks noChangeShapeType="1"/>
        </xdr:cNvSpPr>
      </xdr:nvSpPr>
      <xdr:spPr bwMode="auto">
        <a:xfrm>
          <a:off x="391742" y="76113463"/>
          <a:ext cx="62048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42540</xdr:colOff>
      <xdr:row>426</xdr:row>
      <xdr:rowOff>152401</xdr:rowOff>
    </xdr:from>
    <xdr:to>
      <xdr:col>1</xdr:col>
      <xdr:colOff>102412</xdr:colOff>
      <xdr:row>427</xdr:row>
      <xdr:rowOff>38101</xdr:rowOff>
    </xdr:to>
    <xdr:sp macro="" textlink="">
      <xdr:nvSpPr>
        <xdr:cNvPr id="78" name="Line 319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>
          <a:spLocks noChangeShapeType="1"/>
        </xdr:cNvSpPr>
      </xdr:nvSpPr>
      <xdr:spPr bwMode="auto">
        <a:xfrm flipV="1">
          <a:off x="413514" y="76061638"/>
          <a:ext cx="59872" cy="13134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559611</xdr:colOff>
      <xdr:row>426</xdr:row>
      <xdr:rowOff>146958</xdr:rowOff>
    </xdr:from>
    <xdr:to>
      <xdr:col>1</xdr:col>
      <xdr:colOff>619483</xdr:colOff>
      <xdr:row>427</xdr:row>
      <xdr:rowOff>32658</xdr:rowOff>
    </xdr:to>
    <xdr:sp macro="" textlink="">
      <xdr:nvSpPr>
        <xdr:cNvPr id="79" name="Line 319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>
          <a:spLocks noChangeShapeType="1"/>
        </xdr:cNvSpPr>
      </xdr:nvSpPr>
      <xdr:spPr bwMode="auto">
        <a:xfrm flipV="1">
          <a:off x="930585" y="76056195"/>
          <a:ext cx="59872" cy="13134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37097</xdr:colOff>
      <xdr:row>427</xdr:row>
      <xdr:rowOff>231675</xdr:rowOff>
    </xdr:from>
    <xdr:to>
      <xdr:col>1</xdr:col>
      <xdr:colOff>754550</xdr:colOff>
      <xdr:row>427</xdr:row>
      <xdr:rowOff>231675</xdr:rowOff>
    </xdr:to>
    <xdr:sp macro="" textlink="">
      <xdr:nvSpPr>
        <xdr:cNvPr id="80" name="Line 319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>
          <a:spLocks noChangeShapeType="1"/>
        </xdr:cNvSpPr>
      </xdr:nvSpPr>
      <xdr:spPr bwMode="auto">
        <a:xfrm>
          <a:off x="408071" y="76386557"/>
          <a:ext cx="717453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42540</xdr:colOff>
      <xdr:row>427</xdr:row>
      <xdr:rowOff>174172</xdr:rowOff>
    </xdr:from>
    <xdr:to>
      <xdr:col>1</xdr:col>
      <xdr:colOff>102412</xdr:colOff>
      <xdr:row>428</xdr:row>
      <xdr:rowOff>59872</xdr:rowOff>
    </xdr:to>
    <xdr:sp macro="" textlink="">
      <xdr:nvSpPr>
        <xdr:cNvPr id="81" name="Line 319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>
          <a:spLocks noChangeShapeType="1"/>
        </xdr:cNvSpPr>
      </xdr:nvSpPr>
      <xdr:spPr bwMode="auto">
        <a:xfrm flipV="1">
          <a:off x="413514" y="76329054"/>
          <a:ext cx="59872" cy="131344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679354</xdr:colOff>
      <xdr:row>427</xdr:row>
      <xdr:rowOff>168729</xdr:rowOff>
    </xdr:from>
    <xdr:to>
      <xdr:col>1</xdr:col>
      <xdr:colOff>738223</xdr:colOff>
      <xdr:row>428</xdr:row>
      <xdr:rowOff>54429</xdr:rowOff>
    </xdr:to>
    <xdr:sp macro="" textlink="">
      <xdr:nvSpPr>
        <xdr:cNvPr id="119" name="Line 319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>
          <a:spLocks noChangeShapeType="1"/>
        </xdr:cNvSpPr>
      </xdr:nvSpPr>
      <xdr:spPr bwMode="auto">
        <a:xfrm flipV="1">
          <a:off x="1050328" y="76323611"/>
          <a:ext cx="58869" cy="131344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27</xdr:col>
      <xdr:colOff>142875</xdr:colOff>
      <xdr:row>140</xdr:row>
      <xdr:rowOff>43290</xdr:rowOff>
    </xdr:from>
    <xdr:to>
      <xdr:col>27</xdr:col>
      <xdr:colOff>1095375</xdr:colOff>
      <xdr:row>144</xdr:row>
      <xdr:rowOff>290074</xdr:rowOff>
    </xdr:to>
    <xdr:sp macro="" textlink="">
      <xdr:nvSpPr>
        <xdr:cNvPr id="10" name="Rektangel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6066943" y="17062733"/>
          <a:ext cx="952500" cy="1160318"/>
        </a:xfrm>
        <a:prstGeom prst="rect">
          <a:avLst/>
        </a:prstGeom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>
    <xdr:from>
      <xdr:col>27</xdr:col>
      <xdr:colOff>138794</xdr:colOff>
      <xdr:row>138</xdr:row>
      <xdr:rowOff>192102</xdr:rowOff>
    </xdr:from>
    <xdr:to>
      <xdr:col>27</xdr:col>
      <xdr:colOff>1099458</xdr:colOff>
      <xdr:row>140</xdr:row>
      <xdr:rowOff>40568</xdr:rowOff>
    </xdr:to>
    <xdr:sp macro="" textlink="">
      <xdr:nvSpPr>
        <xdr:cNvPr id="11" name="Rektangel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6062862" y="16813227"/>
          <a:ext cx="960664" cy="246784"/>
        </a:xfrm>
        <a:prstGeom prst="rect">
          <a:avLst/>
        </a:prstGeom>
        <a:ln w="19050">
          <a:prstDash val="sys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>
    <xdr:from>
      <xdr:col>26</xdr:col>
      <xdr:colOff>649249</xdr:colOff>
      <xdr:row>138</xdr:row>
      <xdr:rowOff>156889</xdr:rowOff>
    </xdr:from>
    <xdr:to>
      <xdr:col>26</xdr:col>
      <xdr:colOff>649249</xdr:colOff>
      <xdr:row>144</xdr:row>
      <xdr:rowOff>281791</xdr:rowOff>
    </xdr:to>
    <xdr:sp macro="" textlink="">
      <xdr:nvSpPr>
        <xdr:cNvPr id="147" name="Line 327">
          <a:extLs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>
          <a:spLocks noChangeShapeType="1"/>
        </xdr:cNvSpPr>
      </xdr:nvSpPr>
      <xdr:spPr bwMode="auto">
        <a:xfrm flipV="1">
          <a:off x="15685760" y="16778014"/>
          <a:ext cx="0" cy="1436754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26</xdr:col>
      <xdr:colOff>602490</xdr:colOff>
      <xdr:row>138</xdr:row>
      <xdr:rowOff>153600</xdr:rowOff>
    </xdr:from>
    <xdr:to>
      <xdr:col>26</xdr:col>
      <xdr:colOff>686310</xdr:colOff>
      <xdr:row>139</xdr:row>
      <xdr:rowOff>44130</xdr:rowOff>
    </xdr:to>
    <xdr:sp macro="" textlink="">
      <xdr:nvSpPr>
        <xdr:cNvPr id="148" name="Line 341">
          <a:extLs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>
          <a:spLocks noChangeShapeType="1"/>
        </xdr:cNvSpPr>
      </xdr:nvSpPr>
      <xdr:spPr bwMode="auto">
        <a:xfrm flipH="1">
          <a:off x="15639001" y="16774725"/>
          <a:ext cx="83820" cy="89689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26</xdr:col>
      <xdr:colOff>585641</xdr:colOff>
      <xdr:row>144</xdr:row>
      <xdr:rowOff>283802</xdr:rowOff>
    </xdr:from>
    <xdr:to>
      <xdr:col>27</xdr:col>
      <xdr:colOff>43296</xdr:colOff>
      <xdr:row>144</xdr:row>
      <xdr:rowOff>283802</xdr:rowOff>
    </xdr:to>
    <xdr:sp macro="" textlink="">
      <xdr:nvSpPr>
        <xdr:cNvPr id="149" name="Line 328">
          <a:extLs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>
          <a:spLocks noChangeShapeType="1"/>
        </xdr:cNvSpPr>
      </xdr:nvSpPr>
      <xdr:spPr bwMode="auto">
        <a:xfrm>
          <a:off x="15622152" y="18216779"/>
          <a:ext cx="345212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26</xdr:col>
      <xdr:colOff>604630</xdr:colOff>
      <xdr:row>144</xdr:row>
      <xdr:rowOff>244948</xdr:rowOff>
    </xdr:from>
    <xdr:to>
      <xdr:col>26</xdr:col>
      <xdr:colOff>701390</xdr:colOff>
      <xdr:row>145</xdr:row>
      <xdr:rowOff>26739</xdr:rowOff>
    </xdr:to>
    <xdr:sp macro="" textlink="">
      <xdr:nvSpPr>
        <xdr:cNvPr id="150" name="Line 329">
          <a:extLs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>
          <a:spLocks noChangeShapeType="1"/>
        </xdr:cNvSpPr>
      </xdr:nvSpPr>
      <xdr:spPr bwMode="auto">
        <a:xfrm flipV="1">
          <a:off x="15641141" y="18177925"/>
          <a:ext cx="96760" cy="762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26</xdr:col>
      <xdr:colOff>582178</xdr:colOff>
      <xdr:row>140</xdr:row>
      <xdr:rowOff>42213</xdr:rowOff>
    </xdr:from>
    <xdr:to>
      <xdr:col>27</xdr:col>
      <xdr:colOff>39833</xdr:colOff>
      <xdr:row>140</xdr:row>
      <xdr:rowOff>42213</xdr:rowOff>
    </xdr:to>
    <xdr:sp macro="" textlink="">
      <xdr:nvSpPr>
        <xdr:cNvPr id="151" name="Line 328">
          <a:extLs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>
          <a:spLocks noChangeShapeType="1"/>
        </xdr:cNvSpPr>
      </xdr:nvSpPr>
      <xdr:spPr bwMode="auto">
        <a:xfrm>
          <a:off x="15618689" y="17061656"/>
          <a:ext cx="345212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26</xdr:col>
      <xdr:colOff>185854</xdr:colOff>
      <xdr:row>138</xdr:row>
      <xdr:rowOff>190283</xdr:rowOff>
    </xdr:from>
    <xdr:to>
      <xdr:col>27</xdr:col>
      <xdr:colOff>40699</xdr:colOff>
      <xdr:row>138</xdr:row>
      <xdr:rowOff>190283</xdr:rowOff>
    </xdr:to>
    <xdr:sp macro="" textlink="">
      <xdr:nvSpPr>
        <xdr:cNvPr id="152" name="Line 328">
          <a:extLs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>
          <a:spLocks noChangeShapeType="1"/>
        </xdr:cNvSpPr>
      </xdr:nvSpPr>
      <xdr:spPr bwMode="auto">
        <a:xfrm>
          <a:off x="15212122" y="16824185"/>
          <a:ext cx="742297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26</xdr:col>
      <xdr:colOff>607685</xdr:colOff>
      <xdr:row>139</xdr:row>
      <xdr:rowOff>197761</xdr:rowOff>
    </xdr:from>
    <xdr:to>
      <xdr:col>26</xdr:col>
      <xdr:colOff>691505</xdr:colOff>
      <xdr:row>140</xdr:row>
      <xdr:rowOff>88291</xdr:rowOff>
    </xdr:to>
    <xdr:sp macro="" textlink="">
      <xdr:nvSpPr>
        <xdr:cNvPr id="153" name="Line 341">
          <a:extLs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>
          <a:spLocks noChangeShapeType="1"/>
        </xdr:cNvSpPr>
      </xdr:nvSpPr>
      <xdr:spPr bwMode="auto">
        <a:xfrm flipH="1">
          <a:off x="15644196" y="17018045"/>
          <a:ext cx="83820" cy="89689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27</xdr:col>
      <xdr:colOff>1485721</xdr:colOff>
      <xdr:row>138</xdr:row>
      <xdr:rowOff>166414</xdr:rowOff>
    </xdr:from>
    <xdr:to>
      <xdr:col>27</xdr:col>
      <xdr:colOff>1485721</xdr:colOff>
      <xdr:row>144</xdr:row>
      <xdr:rowOff>291316</xdr:rowOff>
    </xdr:to>
    <xdr:sp macro="" textlink="">
      <xdr:nvSpPr>
        <xdr:cNvPr id="156" name="Line 327">
          <a:extLst>
            <a:ext uri="{FF2B5EF4-FFF2-40B4-BE49-F238E27FC236}">
              <a16:creationId xmlns:a16="http://schemas.microsoft.com/office/drawing/2014/main" id="{00000000-0008-0000-0000-00009C000000}"/>
            </a:ext>
          </a:extLst>
        </xdr:cNvPr>
        <xdr:cNvSpPr>
          <a:spLocks noChangeShapeType="1"/>
        </xdr:cNvSpPr>
      </xdr:nvSpPr>
      <xdr:spPr bwMode="auto">
        <a:xfrm flipV="1">
          <a:off x="17409789" y="16787539"/>
          <a:ext cx="0" cy="1436754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27</xdr:col>
      <xdr:colOff>1438962</xdr:colOff>
      <xdr:row>138</xdr:row>
      <xdr:rowOff>163125</xdr:rowOff>
    </xdr:from>
    <xdr:to>
      <xdr:col>28</xdr:col>
      <xdr:colOff>16100</xdr:colOff>
      <xdr:row>139</xdr:row>
      <xdr:rowOff>53655</xdr:rowOff>
    </xdr:to>
    <xdr:sp macro="" textlink="">
      <xdr:nvSpPr>
        <xdr:cNvPr id="157" name="Line 341">
          <a:extLst>
            <a:ext uri="{FF2B5EF4-FFF2-40B4-BE49-F238E27FC236}">
              <a16:creationId xmlns:a16="http://schemas.microsoft.com/office/drawing/2014/main" id="{00000000-0008-0000-0000-00009D000000}"/>
            </a:ext>
          </a:extLst>
        </xdr:cNvPr>
        <xdr:cNvSpPr>
          <a:spLocks noChangeShapeType="1"/>
        </xdr:cNvSpPr>
      </xdr:nvSpPr>
      <xdr:spPr bwMode="auto">
        <a:xfrm flipH="1">
          <a:off x="17363030" y="16784250"/>
          <a:ext cx="83820" cy="89689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27</xdr:col>
      <xdr:colOff>1222951</xdr:colOff>
      <xdr:row>144</xdr:row>
      <xdr:rowOff>293327</xdr:rowOff>
    </xdr:from>
    <xdr:to>
      <xdr:col>28</xdr:col>
      <xdr:colOff>61481</xdr:colOff>
      <xdr:row>144</xdr:row>
      <xdr:rowOff>293327</xdr:rowOff>
    </xdr:to>
    <xdr:sp macro="" textlink="">
      <xdr:nvSpPr>
        <xdr:cNvPr id="158" name="Line 328">
          <a:extLst>
            <a:ext uri="{FF2B5EF4-FFF2-40B4-BE49-F238E27FC236}">
              <a16:creationId xmlns:a16="http://schemas.microsoft.com/office/drawing/2014/main" id="{00000000-0008-0000-0000-00009E000000}"/>
            </a:ext>
          </a:extLst>
        </xdr:cNvPr>
        <xdr:cNvSpPr>
          <a:spLocks noChangeShapeType="1"/>
        </xdr:cNvSpPr>
      </xdr:nvSpPr>
      <xdr:spPr bwMode="auto">
        <a:xfrm>
          <a:off x="17147019" y="18226304"/>
          <a:ext cx="345212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27</xdr:col>
      <xdr:colOff>1441102</xdr:colOff>
      <xdr:row>144</xdr:row>
      <xdr:rowOff>254473</xdr:rowOff>
    </xdr:from>
    <xdr:to>
      <xdr:col>28</xdr:col>
      <xdr:colOff>31180</xdr:colOff>
      <xdr:row>145</xdr:row>
      <xdr:rowOff>36264</xdr:rowOff>
    </xdr:to>
    <xdr:sp macro="" textlink="">
      <xdr:nvSpPr>
        <xdr:cNvPr id="159" name="Line 329">
          <a:extLst>
            <a:ext uri="{FF2B5EF4-FFF2-40B4-BE49-F238E27FC236}">
              <a16:creationId xmlns:a16="http://schemas.microsoft.com/office/drawing/2014/main" id="{00000000-0008-0000-0000-00009F000000}"/>
            </a:ext>
          </a:extLst>
        </xdr:cNvPr>
        <xdr:cNvSpPr>
          <a:spLocks noChangeShapeType="1"/>
        </xdr:cNvSpPr>
      </xdr:nvSpPr>
      <xdr:spPr bwMode="auto">
        <a:xfrm flipV="1">
          <a:off x="17365170" y="18187450"/>
          <a:ext cx="96760" cy="762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27</xdr:col>
      <xdr:colOff>1267979</xdr:colOff>
      <xdr:row>139</xdr:row>
      <xdr:rowOff>4979</xdr:rowOff>
    </xdr:from>
    <xdr:to>
      <xdr:col>28</xdr:col>
      <xdr:colOff>106509</xdr:colOff>
      <xdr:row>139</xdr:row>
      <xdr:rowOff>4979</xdr:rowOff>
    </xdr:to>
    <xdr:sp macro="" textlink="">
      <xdr:nvSpPr>
        <xdr:cNvPr id="161" name="Line 328">
          <a:extLst>
            <a:ext uri="{FF2B5EF4-FFF2-40B4-BE49-F238E27FC236}">
              <a16:creationId xmlns:a16="http://schemas.microsoft.com/office/drawing/2014/main" id="{00000000-0008-0000-0000-0000A1000000}"/>
            </a:ext>
          </a:extLst>
        </xdr:cNvPr>
        <xdr:cNvSpPr>
          <a:spLocks noChangeShapeType="1"/>
        </xdr:cNvSpPr>
      </xdr:nvSpPr>
      <xdr:spPr bwMode="auto">
        <a:xfrm>
          <a:off x="17192047" y="16825263"/>
          <a:ext cx="345212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27</xdr:col>
      <xdr:colOff>260194</xdr:colOff>
      <xdr:row>144</xdr:row>
      <xdr:rowOff>60401</xdr:rowOff>
    </xdr:from>
    <xdr:to>
      <xdr:col>27</xdr:col>
      <xdr:colOff>343828</xdr:colOff>
      <xdr:row>144</xdr:row>
      <xdr:rowOff>144035</xdr:rowOff>
    </xdr:to>
    <xdr:sp macro="" textlink="">
      <xdr:nvSpPr>
        <xdr:cNvPr id="12" name="Ellips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6173914" y="18004572"/>
          <a:ext cx="83634" cy="83634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>
    <xdr:from>
      <xdr:col>27</xdr:col>
      <xdr:colOff>579862</xdr:colOff>
      <xdr:row>144</xdr:row>
      <xdr:rowOff>59473</xdr:rowOff>
    </xdr:from>
    <xdr:to>
      <xdr:col>27</xdr:col>
      <xdr:colOff>663496</xdr:colOff>
      <xdr:row>144</xdr:row>
      <xdr:rowOff>143107</xdr:rowOff>
    </xdr:to>
    <xdr:sp macro="" textlink="">
      <xdr:nvSpPr>
        <xdr:cNvPr id="163" name="Ellipse 162">
          <a:extLst>
            <a:ext uri="{FF2B5EF4-FFF2-40B4-BE49-F238E27FC236}">
              <a16:creationId xmlns:a16="http://schemas.microsoft.com/office/drawing/2014/main" id="{00000000-0008-0000-0000-0000A3000000}"/>
            </a:ext>
          </a:extLst>
        </xdr:cNvPr>
        <xdr:cNvSpPr/>
      </xdr:nvSpPr>
      <xdr:spPr>
        <a:xfrm>
          <a:off x="16493582" y="18003644"/>
          <a:ext cx="83634" cy="83634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>
    <xdr:from>
      <xdr:col>27</xdr:col>
      <xdr:colOff>880944</xdr:colOff>
      <xdr:row>144</xdr:row>
      <xdr:rowOff>58543</xdr:rowOff>
    </xdr:from>
    <xdr:to>
      <xdr:col>27</xdr:col>
      <xdr:colOff>964578</xdr:colOff>
      <xdr:row>144</xdr:row>
      <xdr:rowOff>142177</xdr:rowOff>
    </xdr:to>
    <xdr:sp macro="" textlink="">
      <xdr:nvSpPr>
        <xdr:cNvPr id="164" name="Ellipse 163">
          <a:extLst>
            <a:ext uri="{FF2B5EF4-FFF2-40B4-BE49-F238E27FC236}">
              <a16:creationId xmlns:a16="http://schemas.microsoft.com/office/drawing/2014/main" id="{00000000-0008-0000-0000-0000A4000000}"/>
            </a:ext>
          </a:extLst>
        </xdr:cNvPr>
        <xdr:cNvSpPr/>
      </xdr:nvSpPr>
      <xdr:spPr>
        <a:xfrm>
          <a:off x="16794664" y="18002714"/>
          <a:ext cx="83634" cy="83634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>
    <xdr:from>
      <xdr:col>26</xdr:col>
      <xdr:colOff>236676</xdr:colOff>
      <xdr:row>138</xdr:row>
      <xdr:rowOff>153404</xdr:rowOff>
    </xdr:from>
    <xdr:to>
      <xdr:col>26</xdr:col>
      <xdr:colOff>236676</xdr:colOff>
      <xdr:row>142</xdr:row>
      <xdr:rowOff>213732</xdr:rowOff>
    </xdr:to>
    <xdr:sp macro="" textlink="">
      <xdr:nvSpPr>
        <xdr:cNvPr id="154" name="Line 327">
          <a:extLst>
            <a:ext uri="{FF2B5EF4-FFF2-40B4-BE49-F238E27FC236}">
              <a16:creationId xmlns:a16="http://schemas.microsoft.com/office/drawing/2014/main" id="{00000000-0008-0000-0000-00009A000000}"/>
            </a:ext>
          </a:extLst>
        </xdr:cNvPr>
        <xdr:cNvSpPr>
          <a:spLocks noChangeShapeType="1"/>
        </xdr:cNvSpPr>
      </xdr:nvSpPr>
      <xdr:spPr bwMode="auto">
        <a:xfrm flipV="1">
          <a:off x="15262944" y="16787306"/>
          <a:ext cx="0" cy="89667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26</xdr:col>
      <xdr:colOff>189917</xdr:colOff>
      <xdr:row>138</xdr:row>
      <xdr:rowOff>150115</xdr:rowOff>
    </xdr:from>
    <xdr:to>
      <xdr:col>26</xdr:col>
      <xdr:colOff>273737</xdr:colOff>
      <xdr:row>139</xdr:row>
      <xdr:rowOff>40645</xdr:rowOff>
    </xdr:to>
    <xdr:sp macro="" textlink="">
      <xdr:nvSpPr>
        <xdr:cNvPr id="155" name="Line 341">
          <a:extLst>
            <a:ext uri="{FF2B5EF4-FFF2-40B4-BE49-F238E27FC236}">
              <a16:creationId xmlns:a16="http://schemas.microsoft.com/office/drawing/2014/main" id="{00000000-0008-0000-0000-00009B000000}"/>
            </a:ext>
          </a:extLst>
        </xdr:cNvPr>
        <xdr:cNvSpPr>
          <a:spLocks noChangeShapeType="1"/>
        </xdr:cNvSpPr>
      </xdr:nvSpPr>
      <xdr:spPr bwMode="auto">
        <a:xfrm flipH="1">
          <a:off x="15216185" y="16784017"/>
          <a:ext cx="83820" cy="90323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26</xdr:col>
      <xdr:colOff>173068</xdr:colOff>
      <xdr:row>142</xdr:row>
      <xdr:rowOff>159520</xdr:rowOff>
    </xdr:from>
    <xdr:to>
      <xdr:col>27</xdr:col>
      <xdr:colOff>92926</xdr:colOff>
      <xdr:row>142</xdr:row>
      <xdr:rowOff>159520</xdr:rowOff>
    </xdr:to>
    <xdr:sp macro="" textlink="">
      <xdr:nvSpPr>
        <xdr:cNvPr id="160" name="Line 328">
          <a:extLs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SpPr>
          <a:spLocks noChangeShapeType="1"/>
        </xdr:cNvSpPr>
      </xdr:nvSpPr>
      <xdr:spPr bwMode="auto">
        <a:xfrm>
          <a:off x="15199336" y="17629764"/>
          <a:ext cx="80731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26</xdr:col>
      <xdr:colOff>192057</xdr:colOff>
      <xdr:row>142</xdr:row>
      <xdr:rowOff>120666</xdr:rowOff>
    </xdr:from>
    <xdr:to>
      <xdr:col>26</xdr:col>
      <xdr:colOff>288817</xdr:colOff>
      <xdr:row>142</xdr:row>
      <xdr:rowOff>199823</xdr:rowOff>
    </xdr:to>
    <xdr:sp macro="" textlink="">
      <xdr:nvSpPr>
        <xdr:cNvPr id="162" name="Line 329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>
          <a:spLocks noChangeShapeType="1"/>
        </xdr:cNvSpPr>
      </xdr:nvSpPr>
      <xdr:spPr bwMode="auto">
        <a:xfrm flipV="1">
          <a:off x="15218325" y="17590910"/>
          <a:ext cx="96760" cy="79157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380999</xdr:colOff>
      <xdr:row>438</xdr:row>
      <xdr:rowOff>214311</xdr:rowOff>
    </xdr:from>
    <xdr:to>
      <xdr:col>14</xdr:col>
      <xdr:colOff>104775</xdr:colOff>
      <xdr:row>453</xdr:row>
      <xdr:rowOff>19050</xdr:rowOff>
    </xdr:to>
    <xdr:graphicFrame macro="">
      <xdr:nvGraphicFramePr>
        <xdr:cNvPr id="13" name="Diagram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390525</xdr:colOff>
          <xdr:row>430</xdr:row>
          <xdr:rowOff>95250</xdr:rowOff>
        </xdr:from>
        <xdr:to>
          <xdr:col>22</xdr:col>
          <xdr:colOff>209550</xdr:colOff>
          <xdr:row>433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a-DK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Beregning karakteristisk reaktion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366430</xdr:colOff>
      <xdr:row>476</xdr:row>
      <xdr:rowOff>173131</xdr:rowOff>
    </xdr:from>
    <xdr:to>
      <xdr:col>2</xdr:col>
      <xdr:colOff>38141</xdr:colOff>
      <xdr:row>481</xdr:row>
      <xdr:rowOff>82363</xdr:rowOff>
    </xdr:to>
    <xdr:sp macro="" textlink="">
      <xdr:nvSpPr>
        <xdr:cNvPr id="165" name="Tegning 473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>
          <a:spLocks/>
        </xdr:cNvSpPr>
      </xdr:nvSpPr>
      <xdr:spPr bwMode="auto">
        <a:xfrm>
          <a:off x="736224" y="87478160"/>
          <a:ext cx="702652" cy="10858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0 h 16384"/>
            <a:gd name="T14" fmla="*/ 2147483646 w 16384"/>
            <a:gd name="T15" fmla="*/ 0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0" t="0" r="r" b="b"/>
          <a:pathLst>
            <a:path w="16384" h="16384">
              <a:moveTo>
                <a:pt x="0" y="16384"/>
              </a:moveTo>
              <a:lnTo>
                <a:pt x="15895" y="10124"/>
              </a:lnTo>
              <a:lnTo>
                <a:pt x="16384" y="9738"/>
              </a:lnTo>
              <a:lnTo>
                <a:pt x="16262" y="9351"/>
              </a:lnTo>
              <a:lnTo>
                <a:pt x="16262" y="464"/>
              </a:lnTo>
              <a:lnTo>
                <a:pt x="16017" y="155"/>
              </a:lnTo>
              <a:lnTo>
                <a:pt x="15284" y="0"/>
              </a:lnTo>
              <a:lnTo>
                <a:pt x="8926" y="0"/>
              </a:lnTo>
              <a:lnTo>
                <a:pt x="8437" y="309"/>
              </a:lnTo>
              <a:lnTo>
                <a:pt x="8314" y="696"/>
              </a:lnTo>
              <a:lnTo>
                <a:pt x="8314" y="12520"/>
              </a:lnTo>
              <a:lnTo>
                <a:pt x="8070" y="13138"/>
              </a:lnTo>
            </a:path>
          </a:pathLst>
        </a:custGeom>
        <a:noFill/>
        <a:ln w="26670" cap="flat" cmpd="sng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1</xdr:col>
      <xdr:colOff>728380</xdr:colOff>
      <xdr:row>476</xdr:row>
      <xdr:rowOff>173131</xdr:rowOff>
    </xdr:from>
    <xdr:to>
      <xdr:col>3</xdr:col>
      <xdr:colOff>297988</xdr:colOff>
      <xdr:row>477</xdr:row>
      <xdr:rowOff>137832</xdr:rowOff>
    </xdr:to>
    <xdr:sp macro="" textlink="">
      <xdr:nvSpPr>
        <xdr:cNvPr id="166" name="Tegning 474">
          <a:extLst>
            <a:ext uri="{FF2B5EF4-FFF2-40B4-BE49-F238E27FC236}">
              <a16:creationId xmlns:a16="http://schemas.microsoft.com/office/drawing/2014/main" id="{00000000-0008-0000-0000-0000A6000000}"/>
            </a:ext>
          </a:extLst>
        </xdr:cNvPr>
        <xdr:cNvSpPr>
          <a:spLocks/>
        </xdr:cNvSpPr>
      </xdr:nvSpPr>
      <xdr:spPr bwMode="auto">
        <a:xfrm>
          <a:off x="1098174" y="87478160"/>
          <a:ext cx="880696" cy="20002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0 h 16384"/>
            <a:gd name="T18" fmla="*/ 2147483646 w 16384"/>
            <a:gd name="T19" fmla="*/ 0 h 16384"/>
            <a:gd name="T20" fmla="*/ 2147483646 w 16384"/>
            <a:gd name="T21" fmla="*/ 0 h 16384"/>
            <a:gd name="T22" fmla="*/ 0 w 16384"/>
            <a:gd name="T23" fmla="*/ 2147483646 h 16384"/>
            <a:gd name="T24" fmla="*/ 0 w 16384"/>
            <a:gd name="T25" fmla="*/ 2147483646 h 16384"/>
            <a:gd name="T26" fmla="*/ 2147483646 w 16384"/>
            <a:gd name="T27" fmla="*/ 2147483646 h 16384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0" t="0" r="r" b="b"/>
          <a:pathLst>
            <a:path w="16384" h="16384">
              <a:moveTo>
                <a:pt x="102" y="12788"/>
              </a:moveTo>
              <a:lnTo>
                <a:pt x="407" y="14786"/>
              </a:lnTo>
              <a:lnTo>
                <a:pt x="916" y="16384"/>
              </a:lnTo>
              <a:lnTo>
                <a:pt x="15773" y="16384"/>
              </a:lnTo>
              <a:lnTo>
                <a:pt x="16282" y="15185"/>
              </a:lnTo>
              <a:lnTo>
                <a:pt x="16384" y="13187"/>
              </a:lnTo>
              <a:lnTo>
                <a:pt x="16384" y="2398"/>
              </a:lnTo>
              <a:lnTo>
                <a:pt x="15977" y="799"/>
              </a:lnTo>
              <a:lnTo>
                <a:pt x="15163" y="0"/>
              </a:lnTo>
              <a:lnTo>
                <a:pt x="1934" y="0"/>
              </a:lnTo>
              <a:lnTo>
                <a:pt x="509" y="0"/>
              </a:lnTo>
              <a:lnTo>
                <a:pt x="0" y="1998"/>
              </a:lnTo>
              <a:lnTo>
                <a:pt x="0" y="13187"/>
              </a:lnTo>
              <a:lnTo>
                <a:pt x="305" y="14386"/>
              </a:lnTo>
            </a:path>
          </a:pathLst>
        </a:custGeom>
        <a:noFill/>
        <a:ln w="26670" cap="flat" cmpd="sng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1</xdr:col>
      <xdr:colOff>756955</xdr:colOff>
      <xdr:row>477</xdr:row>
      <xdr:rowOff>80682</xdr:rowOff>
    </xdr:from>
    <xdr:to>
      <xdr:col>1</xdr:col>
      <xdr:colOff>785530</xdr:colOff>
      <xdr:row>477</xdr:row>
      <xdr:rowOff>109257</xdr:rowOff>
    </xdr:to>
    <xdr:sp macro="" textlink="">
      <xdr:nvSpPr>
        <xdr:cNvPr id="167" name="Oval 475">
          <a:extLst>
            <a:ext uri="{FF2B5EF4-FFF2-40B4-BE49-F238E27FC236}">
              <a16:creationId xmlns:a16="http://schemas.microsoft.com/office/drawing/2014/main" id="{00000000-0008-0000-0000-0000A7000000}"/>
            </a:ext>
          </a:extLst>
        </xdr:cNvPr>
        <xdr:cNvSpPr>
          <a:spLocks noChangeArrowheads="1"/>
        </xdr:cNvSpPr>
      </xdr:nvSpPr>
      <xdr:spPr bwMode="auto">
        <a:xfrm>
          <a:off x="1126749" y="87621035"/>
          <a:ext cx="28575" cy="28575"/>
        </a:xfrm>
        <a:prstGeom prst="ellipse">
          <a:avLst/>
        </a:prstGeom>
        <a:noFill/>
        <a:ln w="3302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1</xdr:col>
      <xdr:colOff>1021457</xdr:colOff>
      <xdr:row>476</xdr:row>
      <xdr:rowOff>192181</xdr:rowOff>
    </xdr:from>
    <xdr:to>
      <xdr:col>2</xdr:col>
      <xdr:colOff>19091</xdr:colOff>
      <xdr:row>476</xdr:row>
      <xdr:rowOff>220756</xdr:rowOff>
    </xdr:to>
    <xdr:sp macro="" textlink="">
      <xdr:nvSpPr>
        <xdr:cNvPr id="168" name="Oval 476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>
          <a:spLocks noChangeArrowheads="1"/>
        </xdr:cNvSpPr>
      </xdr:nvSpPr>
      <xdr:spPr bwMode="auto">
        <a:xfrm>
          <a:off x="1391251" y="87497210"/>
          <a:ext cx="28575" cy="28575"/>
        </a:xfrm>
        <a:prstGeom prst="ellipse">
          <a:avLst/>
        </a:prstGeom>
        <a:noFill/>
        <a:ln w="3302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3</xdr:col>
      <xdr:colOff>240838</xdr:colOff>
      <xdr:row>477</xdr:row>
      <xdr:rowOff>80682</xdr:rowOff>
    </xdr:from>
    <xdr:to>
      <xdr:col>3</xdr:col>
      <xdr:colOff>269413</xdr:colOff>
      <xdr:row>477</xdr:row>
      <xdr:rowOff>109257</xdr:rowOff>
    </xdr:to>
    <xdr:sp macro="" textlink="">
      <xdr:nvSpPr>
        <xdr:cNvPr id="169" name="Oval 477">
          <a:extLst>
            <a:ext uri="{FF2B5EF4-FFF2-40B4-BE49-F238E27FC236}">
              <a16:creationId xmlns:a16="http://schemas.microsoft.com/office/drawing/2014/main" id="{00000000-0008-0000-0000-0000A9000000}"/>
            </a:ext>
          </a:extLst>
        </xdr:cNvPr>
        <xdr:cNvSpPr>
          <a:spLocks noChangeArrowheads="1"/>
        </xdr:cNvSpPr>
      </xdr:nvSpPr>
      <xdr:spPr bwMode="auto">
        <a:xfrm>
          <a:off x="1921720" y="87621035"/>
          <a:ext cx="28575" cy="28575"/>
        </a:xfrm>
        <a:prstGeom prst="ellipse">
          <a:avLst/>
        </a:prstGeom>
        <a:noFill/>
        <a:ln w="3302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1</xdr:col>
      <xdr:colOff>148829</xdr:colOff>
      <xdr:row>479</xdr:row>
      <xdr:rowOff>10085</xdr:rowOff>
    </xdr:from>
    <xdr:to>
      <xdr:col>3</xdr:col>
      <xdr:colOff>450389</xdr:colOff>
      <xdr:row>479</xdr:row>
      <xdr:rowOff>10085</xdr:rowOff>
    </xdr:to>
    <xdr:sp macro="" textlink="">
      <xdr:nvSpPr>
        <xdr:cNvPr id="170" name="Line 478">
          <a:extLst>
            <a:ext uri="{FF2B5EF4-FFF2-40B4-BE49-F238E27FC236}">
              <a16:creationId xmlns:a16="http://schemas.microsoft.com/office/drawing/2014/main" id="{00000000-0008-0000-0000-0000AA000000}"/>
            </a:ext>
          </a:extLst>
        </xdr:cNvPr>
        <xdr:cNvSpPr>
          <a:spLocks noChangeShapeType="1"/>
        </xdr:cNvSpPr>
      </xdr:nvSpPr>
      <xdr:spPr bwMode="auto">
        <a:xfrm>
          <a:off x="517923" y="89098601"/>
          <a:ext cx="1605294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187885</xdr:colOff>
      <xdr:row>476</xdr:row>
      <xdr:rowOff>461</xdr:rowOff>
    </xdr:from>
    <xdr:to>
      <xdr:col>2</xdr:col>
      <xdr:colOff>187885</xdr:colOff>
      <xdr:row>479</xdr:row>
      <xdr:rowOff>65049</xdr:rowOff>
    </xdr:to>
    <xdr:sp macro="" textlink="">
      <xdr:nvSpPr>
        <xdr:cNvPr id="171" name="Line 479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>
          <a:spLocks noChangeShapeType="1"/>
        </xdr:cNvSpPr>
      </xdr:nvSpPr>
      <xdr:spPr bwMode="auto">
        <a:xfrm>
          <a:off x="1586434" y="87751266"/>
          <a:ext cx="0" cy="775478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61329</xdr:colOff>
      <xdr:row>477</xdr:row>
      <xdr:rowOff>194982</xdr:rowOff>
    </xdr:from>
    <xdr:to>
      <xdr:col>3</xdr:col>
      <xdr:colOff>307513</xdr:colOff>
      <xdr:row>479</xdr:row>
      <xdr:rowOff>219635</xdr:rowOff>
    </xdr:to>
    <xdr:sp macro="" textlink="">
      <xdr:nvSpPr>
        <xdr:cNvPr id="172" name="Tegning 480">
          <a:extLst>
            <a:ext uri="{FF2B5EF4-FFF2-40B4-BE49-F238E27FC236}">
              <a16:creationId xmlns:a16="http://schemas.microsoft.com/office/drawing/2014/main" id="{00000000-0008-0000-0000-0000AC000000}"/>
            </a:ext>
          </a:extLst>
        </xdr:cNvPr>
        <xdr:cNvSpPr>
          <a:spLocks/>
        </xdr:cNvSpPr>
      </xdr:nvSpPr>
      <xdr:spPr bwMode="auto">
        <a:xfrm>
          <a:off x="1742211" y="87735335"/>
          <a:ext cx="246184" cy="49530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0 h 16384"/>
            <a:gd name="T4" fmla="*/ 0 w 16384"/>
            <a:gd name="T5" fmla="*/ 2147483646 h 16384"/>
            <a:gd name="T6" fmla="*/ 2147483646 w 16384"/>
            <a:gd name="T7" fmla="*/ 0 h 16384"/>
            <a:gd name="T8" fmla="*/ 2147483646 w 16384"/>
            <a:gd name="T9" fmla="*/ 2147483646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6384" h="16384">
              <a:moveTo>
                <a:pt x="8192" y="16384"/>
              </a:moveTo>
              <a:lnTo>
                <a:pt x="8192" y="0"/>
              </a:lnTo>
              <a:lnTo>
                <a:pt x="0" y="4096"/>
              </a:lnTo>
              <a:lnTo>
                <a:pt x="8192" y="0"/>
              </a:lnTo>
              <a:lnTo>
                <a:pt x="16384" y="4096"/>
              </a:lnTo>
            </a:path>
          </a:pathLst>
        </a:custGeom>
        <a:noFill/>
        <a:ln w="952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3</xdr:col>
      <xdr:colOff>183688</xdr:colOff>
      <xdr:row>480</xdr:row>
      <xdr:rowOff>31936</xdr:rowOff>
    </xdr:from>
    <xdr:to>
      <xdr:col>3</xdr:col>
      <xdr:colOff>183688</xdr:colOff>
      <xdr:row>482</xdr:row>
      <xdr:rowOff>9293</xdr:rowOff>
    </xdr:to>
    <xdr:sp macro="" textlink="">
      <xdr:nvSpPr>
        <xdr:cNvPr id="173" name="Line 481">
          <a:extLst>
            <a:ext uri="{FF2B5EF4-FFF2-40B4-BE49-F238E27FC236}">
              <a16:creationId xmlns:a16="http://schemas.microsoft.com/office/drawing/2014/main" id="{00000000-0008-0000-0000-0000AD000000}"/>
            </a:ext>
          </a:extLst>
        </xdr:cNvPr>
        <xdr:cNvSpPr>
          <a:spLocks noChangeShapeType="1"/>
        </xdr:cNvSpPr>
      </xdr:nvSpPr>
      <xdr:spPr bwMode="auto">
        <a:xfrm>
          <a:off x="1856371" y="88730595"/>
          <a:ext cx="0" cy="451283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38141</xdr:colOff>
      <xdr:row>479</xdr:row>
      <xdr:rowOff>181535</xdr:rowOff>
    </xdr:from>
    <xdr:to>
      <xdr:col>2</xdr:col>
      <xdr:colOff>38141</xdr:colOff>
      <xdr:row>483</xdr:row>
      <xdr:rowOff>23231</xdr:rowOff>
    </xdr:to>
    <xdr:sp macro="" textlink="">
      <xdr:nvSpPr>
        <xdr:cNvPr id="174" name="Line 483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SpPr>
          <a:spLocks noChangeShapeType="1"/>
        </xdr:cNvSpPr>
      </xdr:nvSpPr>
      <xdr:spPr bwMode="auto">
        <a:xfrm>
          <a:off x="1436690" y="88643230"/>
          <a:ext cx="0" cy="78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633130</xdr:colOff>
      <xdr:row>479</xdr:row>
      <xdr:rowOff>86284</xdr:rowOff>
    </xdr:from>
    <xdr:to>
      <xdr:col>1</xdr:col>
      <xdr:colOff>633130</xdr:colOff>
      <xdr:row>483</xdr:row>
      <xdr:rowOff>9291</xdr:rowOff>
    </xdr:to>
    <xdr:sp macro="" textlink="">
      <xdr:nvSpPr>
        <xdr:cNvPr id="175" name="Line 484">
          <a:extLst>
            <a:ext uri="{FF2B5EF4-FFF2-40B4-BE49-F238E27FC236}">
              <a16:creationId xmlns:a16="http://schemas.microsoft.com/office/drawing/2014/main" id="{00000000-0008-0000-0000-0000AF000000}"/>
            </a:ext>
          </a:extLst>
        </xdr:cNvPr>
        <xdr:cNvSpPr>
          <a:spLocks noChangeShapeType="1"/>
        </xdr:cNvSpPr>
      </xdr:nvSpPr>
      <xdr:spPr bwMode="auto">
        <a:xfrm>
          <a:off x="1004837" y="88547979"/>
          <a:ext cx="0" cy="87086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595030</xdr:colOff>
      <xdr:row>482</xdr:row>
      <xdr:rowOff>235010</xdr:rowOff>
    </xdr:from>
    <xdr:to>
      <xdr:col>2</xdr:col>
      <xdr:colOff>76241</xdr:colOff>
      <xdr:row>482</xdr:row>
      <xdr:rowOff>235010</xdr:rowOff>
    </xdr:to>
    <xdr:sp macro="" textlink="">
      <xdr:nvSpPr>
        <xdr:cNvPr id="176" name="Line 485">
          <a:extLst>
            <a:ext uri="{FF2B5EF4-FFF2-40B4-BE49-F238E27FC236}">
              <a16:creationId xmlns:a16="http://schemas.microsoft.com/office/drawing/2014/main" id="{00000000-0008-0000-0000-0000B0000000}"/>
            </a:ext>
          </a:extLst>
        </xdr:cNvPr>
        <xdr:cNvSpPr>
          <a:spLocks noChangeShapeType="1"/>
        </xdr:cNvSpPr>
      </xdr:nvSpPr>
      <xdr:spPr bwMode="auto">
        <a:xfrm>
          <a:off x="966737" y="89407595"/>
          <a:ext cx="508053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566455</xdr:colOff>
      <xdr:row>482</xdr:row>
      <xdr:rowOff>177860</xdr:rowOff>
    </xdr:from>
    <xdr:to>
      <xdr:col>1</xdr:col>
      <xdr:colOff>680755</xdr:colOff>
      <xdr:row>483</xdr:row>
      <xdr:rowOff>64721</xdr:rowOff>
    </xdr:to>
    <xdr:sp macro="" textlink="">
      <xdr:nvSpPr>
        <xdr:cNvPr id="177" name="Line 486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>
          <a:spLocks noChangeShapeType="1"/>
        </xdr:cNvSpPr>
      </xdr:nvSpPr>
      <xdr:spPr bwMode="auto">
        <a:xfrm flipH="1">
          <a:off x="938162" y="89350445"/>
          <a:ext cx="114300" cy="1238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1002407</xdr:colOff>
      <xdr:row>482</xdr:row>
      <xdr:rowOff>177860</xdr:rowOff>
    </xdr:from>
    <xdr:to>
      <xdr:col>2</xdr:col>
      <xdr:colOff>104816</xdr:colOff>
      <xdr:row>483</xdr:row>
      <xdr:rowOff>55196</xdr:rowOff>
    </xdr:to>
    <xdr:sp macro="" textlink="">
      <xdr:nvSpPr>
        <xdr:cNvPr id="178" name="Line 487">
          <a:extLst>
            <a:ext uri="{FF2B5EF4-FFF2-40B4-BE49-F238E27FC236}">
              <a16:creationId xmlns:a16="http://schemas.microsoft.com/office/drawing/2014/main" id="{00000000-0008-0000-0000-0000B2000000}"/>
            </a:ext>
          </a:extLst>
        </xdr:cNvPr>
        <xdr:cNvSpPr>
          <a:spLocks noChangeShapeType="1"/>
        </xdr:cNvSpPr>
      </xdr:nvSpPr>
      <xdr:spPr bwMode="auto">
        <a:xfrm flipH="1">
          <a:off x="1374114" y="89350445"/>
          <a:ext cx="129251" cy="1143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718855</xdr:colOff>
      <xdr:row>480</xdr:row>
      <xdr:rowOff>136711</xdr:rowOff>
    </xdr:from>
    <xdr:to>
      <xdr:col>1</xdr:col>
      <xdr:colOff>718855</xdr:colOff>
      <xdr:row>482</xdr:row>
      <xdr:rowOff>4647</xdr:rowOff>
    </xdr:to>
    <xdr:sp macro="" textlink="">
      <xdr:nvSpPr>
        <xdr:cNvPr id="179" name="Line 488">
          <a:extLst>
            <a:ext uri="{FF2B5EF4-FFF2-40B4-BE49-F238E27FC236}">
              <a16:creationId xmlns:a16="http://schemas.microsoft.com/office/drawing/2014/main" id="{00000000-0008-0000-0000-0000B3000000}"/>
            </a:ext>
          </a:extLst>
        </xdr:cNvPr>
        <xdr:cNvSpPr>
          <a:spLocks noChangeShapeType="1"/>
        </xdr:cNvSpPr>
      </xdr:nvSpPr>
      <xdr:spPr bwMode="auto">
        <a:xfrm>
          <a:off x="1090562" y="88835370"/>
          <a:ext cx="0" cy="341862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1011932</xdr:colOff>
      <xdr:row>479</xdr:row>
      <xdr:rowOff>76760</xdr:rowOff>
    </xdr:from>
    <xdr:to>
      <xdr:col>2</xdr:col>
      <xdr:colOff>9566</xdr:colOff>
      <xdr:row>479</xdr:row>
      <xdr:rowOff>105335</xdr:rowOff>
    </xdr:to>
    <xdr:sp macro="" textlink="">
      <xdr:nvSpPr>
        <xdr:cNvPr id="180" name="Oval 494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>
          <a:spLocks noChangeArrowheads="1"/>
        </xdr:cNvSpPr>
      </xdr:nvSpPr>
      <xdr:spPr bwMode="auto">
        <a:xfrm>
          <a:off x="1381726" y="88087760"/>
          <a:ext cx="28575" cy="28575"/>
        </a:xfrm>
        <a:prstGeom prst="ellipse">
          <a:avLst/>
        </a:prstGeom>
        <a:noFill/>
        <a:ln w="3302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1</xdr:col>
      <xdr:colOff>699805</xdr:colOff>
      <xdr:row>482</xdr:row>
      <xdr:rowOff>582</xdr:rowOff>
    </xdr:from>
    <xdr:to>
      <xdr:col>3</xdr:col>
      <xdr:colOff>250363</xdr:colOff>
      <xdr:row>482</xdr:row>
      <xdr:rowOff>582</xdr:rowOff>
    </xdr:to>
    <xdr:sp macro="" textlink="">
      <xdr:nvSpPr>
        <xdr:cNvPr id="181" name="Line 518">
          <a:extLst>
            <a:ext uri="{FF2B5EF4-FFF2-40B4-BE49-F238E27FC236}">
              <a16:creationId xmlns:a16="http://schemas.microsoft.com/office/drawing/2014/main" id="{00000000-0008-0000-0000-0000B5000000}"/>
            </a:ext>
          </a:extLst>
        </xdr:cNvPr>
        <xdr:cNvSpPr>
          <a:spLocks noChangeShapeType="1"/>
        </xdr:cNvSpPr>
      </xdr:nvSpPr>
      <xdr:spPr bwMode="auto">
        <a:xfrm>
          <a:off x="1071512" y="89173167"/>
          <a:ext cx="851534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345613</xdr:colOff>
      <xdr:row>478</xdr:row>
      <xdr:rowOff>7284</xdr:rowOff>
    </xdr:from>
    <xdr:to>
      <xdr:col>3</xdr:col>
      <xdr:colOff>345613</xdr:colOff>
      <xdr:row>480</xdr:row>
      <xdr:rowOff>231961</xdr:rowOff>
    </xdr:to>
    <xdr:sp macro="" textlink="">
      <xdr:nvSpPr>
        <xdr:cNvPr id="182" name="Line 519">
          <a:extLst>
            <a:ext uri="{FF2B5EF4-FFF2-40B4-BE49-F238E27FC236}">
              <a16:creationId xmlns:a16="http://schemas.microsoft.com/office/drawing/2014/main" id="{00000000-0008-0000-0000-0000B6000000}"/>
            </a:ext>
          </a:extLst>
        </xdr:cNvPr>
        <xdr:cNvSpPr>
          <a:spLocks noChangeShapeType="1"/>
        </xdr:cNvSpPr>
      </xdr:nvSpPr>
      <xdr:spPr bwMode="auto">
        <a:xfrm>
          <a:off x="2026495" y="87782960"/>
          <a:ext cx="0" cy="6953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671230</xdr:colOff>
      <xdr:row>481</xdr:row>
      <xdr:rowOff>199445</xdr:rowOff>
    </xdr:from>
    <xdr:to>
      <xdr:col>1</xdr:col>
      <xdr:colOff>766480</xdr:colOff>
      <xdr:row>482</xdr:row>
      <xdr:rowOff>38682</xdr:rowOff>
    </xdr:to>
    <xdr:sp macro="" textlink="">
      <xdr:nvSpPr>
        <xdr:cNvPr id="183" name="Line 520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>
          <a:spLocks noChangeShapeType="1"/>
        </xdr:cNvSpPr>
      </xdr:nvSpPr>
      <xdr:spPr bwMode="auto">
        <a:xfrm flipH="1">
          <a:off x="1042937" y="89135067"/>
          <a:ext cx="95250" cy="762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9566</xdr:colOff>
      <xdr:row>481</xdr:row>
      <xdr:rowOff>199793</xdr:rowOff>
    </xdr:from>
    <xdr:to>
      <xdr:col>2</xdr:col>
      <xdr:colOff>65049</xdr:colOff>
      <xdr:row>482</xdr:row>
      <xdr:rowOff>29157</xdr:rowOff>
    </xdr:to>
    <xdr:sp macro="" textlink="">
      <xdr:nvSpPr>
        <xdr:cNvPr id="184" name="Line 521">
          <a:extLst>
            <a:ext uri="{FF2B5EF4-FFF2-40B4-BE49-F238E27FC236}">
              <a16:creationId xmlns:a16="http://schemas.microsoft.com/office/drawing/2014/main" id="{00000000-0008-0000-0000-0000B8000000}"/>
            </a:ext>
          </a:extLst>
        </xdr:cNvPr>
        <xdr:cNvSpPr>
          <a:spLocks noChangeShapeType="1"/>
        </xdr:cNvSpPr>
      </xdr:nvSpPr>
      <xdr:spPr bwMode="auto">
        <a:xfrm flipV="1">
          <a:off x="1408115" y="89135415"/>
          <a:ext cx="55483" cy="66327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112875</xdr:colOff>
      <xdr:row>480</xdr:row>
      <xdr:rowOff>203386</xdr:rowOff>
    </xdr:from>
    <xdr:to>
      <xdr:col>3</xdr:col>
      <xdr:colOff>613316</xdr:colOff>
      <xdr:row>480</xdr:row>
      <xdr:rowOff>203386</xdr:rowOff>
    </xdr:to>
    <xdr:sp macro="" textlink="">
      <xdr:nvSpPr>
        <xdr:cNvPr id="185" name="Line 535">
          <a:extLst>
            <a:ext uri="{FF2B5EF4-FFF2-40B4-BE49-F238E27FC236}">
              <a16:creationId xmlns:a16="http://schemas.microsoft.com/office/drawing/2014/main" id="{00000000-0008-0000-0000-0000B9000000}"/>
            </a:ext>
          </a:extLst>
        </xdr:cNvPr>
        <xdr:cNvSpPr>
          <a:spLocks noChangeShapeType="1"/>
        </xdr:cNvSpPr>
      </xdr:nvSpPr>
      <xdr:spPr bwMode="auto">
        <a:xfrm flipH="1">
          <a:off x="1511424" y="88902045"/>
          <a:ext cx="7745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150976</xdr:colOff>
      <xdr:row>480</xdr:row>
      <xdr:rowOff>12886</xdr:rowOff>
    </xdr:from>
    <xdr:to>
      <xdr:col>2</xdr:col>
      <xdr:colOff>150976</xdr:colOff>
      <xdr:row>481</xdr:row>
      <xdr:rowOff>15688</xdr:rowOff>
    </xdr:to>
    <xdr:sp macro="" textlink="">
      <xdr:nvSpPr>
        <xdr:cNvPr id="186" name="Line 536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>
          <a:spLocks noChangeShapeType="1"/>
        </xdr:cNvSpPr>
      </xdr:nvSpPr>
      <xdr:spPr bwMode="auto">
        <a:xfrm>
          <a:off x="1551711" y="88259210"/>
          <a:ext cx="0" cy="2381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307513</xdr:colOff>
      <xdr:row>480</xdr:row>
      <xdr:rowOff>165286</xdr:rowOff>
    </xdr:from>
    <xdr:to>
      <xdr:col>3</xdr:col>
      <xdr:colOff>393238</xdr:colOff>
      <xdr:row>481</xdr:row>
      <xdr:rowOff>6163</xdr:rowOff>
    </xdr:to>
    <xdr:sp macro="" textlink="">
      <xdr:nvSpPr>
        <xdr:cNvPr id="187" name="Line 538">
          <a:extLst>
            <a:ext uri="{FF2B5EF4-FFF2-40B4-BE49-F238E27FC236}">
              <a16:creationId xmlns:a16="http://schemas.microsoft.com/office/drawing/2014/main" id="{00000000-0008-0000-0000-0000BB000000}"/>
            </a:ext>
          </a:extLst>
        </xdr:cNvPr>
        <xdr:cNvSpPr>
          <a:spLocks noChangeShapeType="1"/>
        </xdr:cNvSpPr>
      </xdr:nvSpPr>
      <xdr:spPr bwMode="auto">
        <a:xfrm flipH="1">
          <a:off x="1988395" y="88411610"/>
          <a:ext cx="85725" cy="762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107208</xdr:colOff>
      <xdr:row>480</xdr:row>
      <xdr:rowOff>162485</xdr:rowOff>
    </xdr:from>
    <xdr:to>
      <xdr:col>2</xdr:col>
      <xdr:colOff>192933</xdr:colOff>
      <xdr:row>481</xdr:row>
      <xdr:rowOff>3362</xdr:rowOff>
    </xdr:to>
    <xdr:sp macro="" textlink="">
      <xdr:nvSpPr>
        <xdr:cNvPr id="188" name="Line 538">
          <a:extLst>
            <a:ext uri="{FF2B5EF4-FFF2-40B4-BE49-F238E27FC236}">
              <a16:creationId xmlns:a16="http://schemas.microsoft.com/office/drawing/2014/main" id="{00000000-0008-0000-0000-0000BC000000}"/>
            </a:ext>
          </a:extLst>
        </xdr:cNvPr>
        <xdr:cNvSpPr>
          <a:spLocks noChangeShapeType="1"/>
        </xdr:cNvSpPr>
      </xdr:nvSpPr>
      <xdr:spPr bwMode="auto">
        <a:xfrm flipH="1">
          <a:off x="1506192" y="89489126"/>
          <a:ext cx="85725" cy="79002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348619</xdr:colOff>
      <xdr:row>476</xdr:row>
      <xdr:rowOff>100503</xdr:rowOff>
    </xdr:from>
    <xdr:to>
      <xdr:col>3</xdr:col>
      <xdr:colOff>344681</xdr:colOff>
      <xdr:row>481</xdr:row>
      <xdr:rowOff>176703</xdr:rowOff>
    </xdr:to>
    <xdr:sp macro="" textlink="">
      <xdr:nvSpPr>
        <xdr:cNvPr id="189" name="Tegning 472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>
          <a:spLocks/>
        </xdr:cNvSpPr>
      </xdr:nvSpPr>
      <xdr:spPr bwMode="auto">
        <a:xfrm>
          <a:off x="717713" y="88474644"/>
          <a:ext cx="1299796" cy="1266825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0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0" t="0" r="r" b="b"/>
          <a:pathLst>
            <a:path w="16384" h="16384">
              <a:moveTo>
                <a:pt x="0" y="16384"/>
              </a:moveTo>
              <a:lnTo>
                <a:pt x="10323" y="10133"/>
              </a:lnTo>
              <a:lnTo>
                <a:pt x="10323" y="4409"/>
              </a:lnTo>
              <a:lnTo>
                <a:pt x="16384" y="4409"/>
              </a:lnTo>
              <a:lnTo>
                <a:pt x="16384" y="0"/>
              </a:lnTo>
              <a:lnTo>
                <a:pt x="2797" y="0"/>
              </a:lnTo>
              <a:lnTo>
                <a:pt x="3596" y="8028"/>
              </a:lnTo>
              <a:lnTo>
                <a:pt x="333" y="8028"/>
              </a:lnTo>
            </a:path>
          </a:pathLst>
        </a:custGeom>
        <a:noFill/>
        <a:ln w="15875" cap="flat" cmpd="sng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3</xdr:col>
      <xdr:colOff>161967</xdr:colOff>
      <xdr:row>481</xdr:row>
      <xdr:rowOff>198863</xdr:rowOff>
    </xdr:from>
    <xdr:to>
      <xdr:col>3</xdr:col>
      <xdr:colOff>217450</xdr:colOff>
      <xdr:row>482</xdr:row>
      <xdr:rowOff>28227</xdr:rowOff>
    </xdr:to>
    <xdr:sp macro="" textlink="">
      <xdr:nvSpPr>
        <xdr:cNvPr id="190" name="Line 521">
          <a:extLst>
            <a:ext uri="{FF2B5EF4-FFF2-40B4-BE49-F238E27FC236}">
              <a16:creationId xmlns:a16="http://schemas.microsoft.com/office/drawing/2014/main" id="{00000000-0008-0000-0000-0000BE000000}"/>
            </a:ext>
          </a:extLst>
        </xdr:cNvPr>
        <xdr:cNvSpPr>
          <a:spLocks noChangeShapeType="1"/>
        </xdr:cNvSpPr>
      </xdr:nvSpPr>
      <xdr:spPr bwMode="auto">
        <a:xfrm flipV="1">
          <a:off x="1834650" y="89134485"/>
          <a:ext cx="55483" cy="66327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390757</xdr:colOff>
      <xdr:row>476</xdr:row>
      <xdr:rowOff>103846</xdr:rowOff>
    </xdr:from>
    <xdr:to>
      <xdr:col>4</xdr:col>
      <xdr:colOff>87119</xdr:colOff>
      <xdr:row>476</xdr:row>
      <xdr:rowOff>103846</xdr:rowOff>
    </xdr:to>
    <xdr:sp macro="" textlink="">
      <xdr:nvSpPr>
        <xdr:cNvPr id="191" name="Line 489">
          <a:extLst>
            <a:ext uri="{FF2B5EF4-FFF2-40B4-BE49-F238E27FC236}">
              <a16:creationId xmlns:a16="http://schemas.microsoft.com/office/drawing/2014/main" id="{00000000-0008-0000-0000-0000BF000000}"/>
            </a:ext>
          </a:extLst>
        </xdr:cNvPr>
        <xdr:cNvSpPr>
          <a:spLocks noChangeShapeType="1"/>
        </xdr:cNvSpPr>
      </xdr:nvSpPr>
      <xdr:spPr bwMode="auto">
        <a:xfrm>
          <a:off x="2063440" y="87854651"/>
          <a:ext cx="3143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371707</xdr:colOff>
      <xdr:row>477</xdr:row>
      <xdr:rowOff>152633</xdr:rowOff>
    </xdr:from>
    <xdr:to>
      <xdr:col>4</xdr:col>
      <xdr:colOff>87119</xdr:colOff>
      <xdr:row>477</xdr:row>
      <xdr:rowOff>152633</xdr:rowOff>
    </xdr:to>
    <xdr:sp macro="" textlink="">
      <xdr:nvSpPr>
        <xdr:cNvPr id="192" name="Line 490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>
          <a:spLocks noChangeShapeType="1"/>
        </xdr:cNvSpPr>
      </xdr:nvSpPr>
      <xdr:spPr bwMode="auto">
        <a:xfrm>
          <a:off x="2044390" y="88140401"/>
          <a:ext cx="3333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49019</xdr:colOff>
      <xdr:row>476</xdr:row>
      <xdr:rowOff>75271</xdr:rowOff>
    </xdr:from>
    <xdr:to>
      <xdr:col>4</xdr:col>
      <xdr:colOff>49019</xdr:colOff>
      <xdr:row>477</xdr:row>
      <xdr:rowOff>181208</xdr:rowOff>
    </xdr:to>
    <xdr:sp macro="" textlink="">
      <xdr:nvSpPr>
        <xdr:cNvPr id="193" name="Line 491">
          <a:extLst>
            <a:ext uri="{FF2B5EF4-FFF2-40B4-BE49-F238E27FC236}">
              <a16:creationId xmlns:a16="http://schemas.microsoft.com/office/drawing/2014/main" id="{00000000-0008-0000-0000-0000C1000000}"/>
            </a:ext>
          </a:extLst>
        </xdr:cNvPr>
        <xdr:cNvSpPr>
          <a:spLocks noChangeShapeType="1"/>
        </xdr:cNvSpPr>
      </xdr:nvSpPr>
      <xdr:spPr bwMode="auto">
        <a:xfrm>
          <a:off x="2339665" y="87826076"/>
          <a:ext cx="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600307</xdr:colOff>
      <xdr:row>476</xdr:row>
      <xdr:rowOff>37171</xdr:rowOff>
    </xdr:from>
    <xdr:to>
      <xdr:col>4</xdr:col>
      <xdr:colOff>96644</xdr:colOff>
      <xdr:row>476</xdr:row>
      <xdr:rowOff>160996</xdr:rowOff>
    </xdr:to>
    <xdr:sp macro="" textlink="">
      <xdr:nvSpPr>
        <xdr:cNvPr id="194" name="Line 492">
          <a:extLst>
            <a:ext uri="{FF2B5EF4-FFF2-40B4-BE49-F238E27FC236}">
              <a16:creationId xmlns:a16="http://schemas.microsoft.com/office/drawing/2014/main" id="{00000000-0008-0000-0000-0000C2000000}"/>
            </a:ext>
          </a:extLst>
        </xdr:cNvPr>
        <xdr:cNvSpPr>
          <a:spLocks noChangeShapeType="1"/>
        </xdr:cNvSpPr>
      </xdr:nvSpPr>
      <xdr:spPr bwMode="auto">
        <a:xfrm flipH="1">
          <a:off x="2272990" y="87787976"/>
          <a:ext cx="114300" cy="1238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609832</xdr:colOff>
      <xdr:row>477</xdr:row>
      <xdr:rowOff>95483</xdr:rowOff>
    </xdr:from>
    <xdr:to>
      <xdr:col>4</xdr:col>
      <xdr:colOff>106169</xdr:colOff>
      <xdr:row>477</xdr:row>
      <xdr:rowOff>190733</xdr:rowOff>
    </xdr:to>
    <xdr:sp macro="" textlink="">
      <xdr:nvSpPr>
        <xdr:cNvPr id="195" name="Line 493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>
          <a:spLocks noChangeShapeType="1"/>
        </xdr:cNvSpPr>
      </xdr:nvSpPr>
      <xdr:spPr bwMode="auto">
        <a:xfrm flipH="1">
          <a:off x="2282515" y="88083251"/>
          <a:ext cx="114300" cy="952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261994</xdr:colOff>
      <xdr:row>485</xdr:row>
      <xdr:rowOff>12489</xdr:rowOff>
    </xdr:from>
    <xdr:to>
      <xdr:col>1</xdr:col>
      <xdr:colOff>968406</xdr:colOff>
      <xdr:row>489</xdr:row>
      <xdr:rowOff>200833</xdr:rowOff>
    </xdr:to>
    <xdr:sp macro="" textlink="">
      <xdr:nvSpPr>
        <xdr:cNvPr id="196" name="Tegning 522">
          <a:extLst>
            <a:ext uri="{FF2B5EF4-FFF2-40B4-BE49-F238E27FC236}">
              <a16:creationId xmlns:a16="http://schemas.microsoft.com/office/drawing/2014/main" id="{00000000-0008-0000-0000-0000C4000000}"/>
            </a:ext>
          </a:extLst>
        </xdr:cNvPr>
        <xdr:cNvSpPr>
          <a:spLocks/>
        </xdr:cNvSpPr>
      </xdr:nvSpPr>
      <xdr:spPr bwMode="auto">
        <a:xfrm>
          <a:off x="634711" y="90972098"/>
          <a:ext cx="706412" cy="1149126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0 h 16384"/>
            <a:gd name="T14" fmla="*/ 2147483646 w 16384"/>
            <a:gd name="T15" fmla="*/ 0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0" t="0" r="r" b="b"/>
          <a:pathLst>
            <a:path w="16384" h="16384">
              <a:moveTo>
                <a:pt x="0" y="16384"/>
              </a:moveTo>
              <a:lnTo>
                <a:pt x="15895" y="10124"/>
              </a:lnTo>
              <a:lnTo>
                <a:pt x="16384" y="9738"/>
              </a:lnTo>
              <a:lnTo>
                <a:pt x="16262" y="9351"/>
              </a:lnTo>
              <a:lnTo>
                <a:pt x="16262" y="464"/>
              </a:lnTo>
              <a:lnTo>
                <a:pt x="16017" y="155"/>
              </a:lnTo>
              <a:lnTo>
                <a:pt x="15284" y="0"/>
              </a:lnTo>
              <a:lnTo>
                <a:pt x="8926" y="0"/>
              </a:lnTo>
              <a:lnTo>
                <a:pt x="8437" y="309"/>
              </a:lnTo>
              <a:lnTo>
                <a:pt x="8314" y="696"/>
              </a:lnTo>
              <a:lnTo>
                <a:pt x="8314" y="12520"/>
              </a:lnTo>
              <a:lnTo>
                <a:pt x="8070" y="13138"/>
              </a:lnTo>
            </a:path>
          </a:pathLst>
        </a:custGeom>
        <a:noFill/>
        <a:ln w="26670" cap="flat" cmpd="sng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1</xdr:col>
      <xdr:colOff>623944</xdr:colOff>
      <xdr:row>485</xdr:row>
      <xdr:rowOff>12489</xdr:rowOff>
    </xdr:from>
    <xdr:to>
      <xdr:col>3</xdr:col>
      <xdr:colOff>215596</xdr:colOff>
      <xdr:row>485</xdr:row>
      <xdr:rowOff>234796</xdr:rowOff>
    </xdr:to>
    <xdr:sp macro="" textlink="">
      <xdr:nvSpPr>
        <xdr:cNvPr id="197" name="Tegning 523">
          <a:extLst>
            <a:ext uri="{FF2B5EF4-FFF2-40B4-BE49-F238E27FC236}">
              <a16:creationId xmlns:a16="http://schemas.microsoft.com/office/drawing/2014/main" id="{00000000-0008-0000-0000-0000C5000000}"/>
            </a:ext>
          </a:extLst>
        </xdr:cNvPr>
        <xdr:cNvSpPr>
          <a:spLocks/>
        </xdr:cNvSpPr>
      </xdr:nvSpPr>
      <xdr:spPr bwMode="auto">
        <a:xfrm>
          <a:off x="996661" y="90972098"/>
          <a:ext cx="892022" cy="222307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0 h 16384"/>
            <a:gd name="T18" fmla="*/ 2147483646 w 16384"/>
            <a:gd name="T19" fmla="*/ 0 h 16384"/>
            <a:gd name="T20" fmla="*/ 2147483646 w 16384"/>
            <a:gd name="T21" fmla="*/ 0 h 16384"/>
            <a:gd name="T22" fmla="*/ 0 w 16384"/>
            <a:gd name="T23" fmla="*/ 2147483646 h 16384"/>
            <a:gd name="T24" fmla="*/ 0 w 16384"/>
            <a:gd name="T25" fmla="*/ 2147483646 h 16384"/>
            <a:gd name="T26" fmla="*/ 2147483646 w 16384"/>
            <a:gd name="T27" fmla="*/ 2147483646 h 16384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0" t="0" r="r" b="b"/>
          <a:pathLst>
            <a:path w="16384" h="16384">
              <a:moveTo>
                <a:pt x="102" y="12788"/>
              </a:moveTo>
              <a:lnTo>
                <a:pt x="407" y="14786"/>
              </a:lnTo>
              <a:lnTo>
                <a:pt x="916" y="16384"/>
              </a:lnTo>
              <a:lnTo>
                <a:pt x="15773" y="16384"/>
              </a:lnTo>
              <a:lnTo>
                <a:pt x="16282" y="15185"/>
              </a:lnTo>
              <a:lnTo>
                <a:pt x="16384" y="13187"/>
              </a:lnTo>
              <a:lnTo>
                <a:pt x="16384" y="2398"/>
              </a:lnTo>
              <a:lnTo>
                <a:pt x="15977" y="799"/>
              </a:lnTo>
              <a:lnTo>
                <a:pt x="15163" y="0"/>
              </a:lnTo>
              <a:lnTo>
                <a:pt x="1934" y="0"/>
              </a:lnTo>
              <a:lnTo>
                <a:pt x="509" y="0"/>
              </a:lnTo>
              <a:lnTo>
                <a:pt x="0" y="1998"/>
              </a:lnTo>
              <a:lnTo>
                <a:pt x="0" y="13187"/>
              </a:lnTo>
              <a:lnTo>
                <a:pt x="305" y="14386"/>
              </a:lnTo>
            </a:path>
          </a:pathLst>
        </a:custGeom>
        <a:noFill/>
        <a:ln w="26670" cap="flat" cmpd="sng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1</xdr:col>
      <xdr:colOff>557265</xdr:colOff>
      <xdr:row>487</xdr:row>
      <xdr:rowOff>143958</xdr:rowOff>
    </xdr:from>
    <xdr:to>
      <xdr:col>3</xdr:col>
      <xdr:colOff>82826</xdr:colOff>
      <xdr:row>487</xdr:row>
      <xdr:rowOff>143958</xdr:rowOff>
    </xdr:to>
    <xdr:sp macro="" textlink="">
      <xdr:nvSpPr>
        <xdr:cNvPr id="198" name="Line 524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>
          <a:spLocks noChangeShapeType="1"/>
        </xdr:cNvSpPr>
      </xdr:nvSpPr>
      <xdr:spPr bwMode="auto">
        <a:xfrm flipH="1">
          <a:off x="929982" y="91583958"/>
          <a:ext cx="825931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215596</xdr:colOff>
      <xdr:row>485</xdr:row>
      <xdr:rowOff>12489</xdr:rowOff>
    </xdr:from>
    <xdr:to>
      <xdr:col>3</xdr:col>
      <xdr:colOff>371229</xdr:colOff>
      <xdr:row>485</xdr:row>
      <xdr:rowOff>12489</xdr:rowOff>
    </xdr:to>
    <xdr:sp macro="" textlink="">
      <xdr:nvSpPr>
        <xdr:cNvPr id="199" name="Line 525">
          <a:extLst>
            <a:ext uri="{FF2B5EF4-FFF2-40B4-BE49-F238E27FC236}">
              <a16:creationId xmlns:a16="http://schemas.microsoft.com/office/drawing/2014/main" id="{00000000-0008-0000-0000-0000C7000000}"/>
            </a:ext>
          </a:extLst>
        </xdr:cNvPr>
        <xdr:cNvSpPr>
          <a:spLocks noChangeShapeType="1"/>
        </xdr:cNvSpPr>
      </xdr:nvSpPr>
      <xdr:spPr bwMode="auto">
        <a:xfrm>
          <a:off x="1888683" y="90972098"/>
          <a:ext cx="155633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241699</xdr:colOff>
      <xdr:row>486</xdr:row>
      <xdr:rowOff>24408</xdr:rowOff>
    </xdr:from>
    <xdr:to>
      <xdr:col>3</xdr:col>
      <xdr:colOff>387807</xdr:colOff>
      <xdr:row>486</xdr:row>
      <xdr:rowOff>24408</xdr:rowOff>
    </xdr:to>
    <xdr:sp macro="" textlink="">
      <xdr:nvSpPr>
        <xdr:cNvPr id="200" name="Line 526">
          <a:extLst>
            <a:ext uri="{FF2B5EF4-FFF2-40B4-BE49-F238E27FC236}">
              <a16:creationId xmlns:a16="http://schemas.microsoft.com/office/drawing/2014/main" id="{00000000-0008-0000-0000-0000C8000000}"/>
            </a:ext>
          </a:extLst>
        </xdr:cNvPr>
        <xdr:cNvSpPr>
          <a:spLocks noChangeShapeType="1"/>
        </xdr:cNvSpPr>
      </xdr:nvSpPr>
      <xdr:spPr bwMode="auto">
        <a:xfrm>
          <a:off x="1914786" y="91224212"/>
          <a:ext cx="146108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320371</xdr:colOff>
      <xdr:row>484</xdr:row>
      <xdr:rowOff>233635</xdr:rowOff>
    </xdr:from>
    <xdr:to>
      <xdr:col>3</xdr:col>
      <xdr:colOff>320371</xdr:colOff>
      <xdr:row>486</xdr:row>
      <xdr:rowOff>80326</xdr:rowOff>
    </xdr:to>
    <xdr:sp macro="" textlink="">
      <xdr:nvSpPr>
        <xdr:cNvPr id="201" name="Line 527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SpPr>
          <a:spLocks noChangeShapeType="1"/>
        </xdr:cNvSpPr>
      </xdr:nvSpPr>
      <xdr:spPr bwMode="auto">
        <a:xfrm>
          <a:off x="1993458" y="90953048"/>
          <a:ext cx="0" cy="327082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271517</xdr:colOff>
      <xdr:row>484</xdr:row>
      <xdr:rowOff>218382</xdr:rowOff>
    </xdr:from>
    <xdr:to>
      <xdr:col>3</xdr:col>
      <xdr:colOff>379525</xdr:colOff>
      <xdr:row>485</xdr:row>
      <xdr:rowOff>57619</xdr:rowOff>
    </xdr:to>
    <xdr:sp macro="" textlink="">
      <xdr:nvSpPr>
        <xdr:cNvPr id="202" name="Line 528">
          <a:extLst>
            <a:ext uri="{FF2B5EF4-FFF2-40B4-BE49-F238E27FC236}">
              <a16:creationId xmlns:a16="http://schemas.microsoft.com/office/drawing/2014/main" id="{00000000-0008-0000-0000-0000CA000000}"/>
            </a:ext>
          </a:extLst>
        </xdr:cNvPr>
        <xdr:cNvSpPr>
          <a:spLocks noChangeShapeType="1"/>
        </xdr:cNvSpPr>
      </xdr:nvSpPr>
      <xdr:spPr bwMode="auto">
        <a:xfrm flipH="1">
          <a:off x="1944604" y="90937795"/>
          <a:ext cx="108008" cy="79433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282271</xdr:colOff>
      <xdr:row>485</xdr:row>
      <xdr:rowOff>225271</xdr:rowOff>
    </xdr:from>
    <xdr:to>
      <xdr:col>3</xdr:col>
      <xdr:colOff>371229</xdr:colOff>
      <xdr:row>486</xdr:row>
      <xdr:rowOff>80326</xdr:rowOff>
    </xdr:to>
    <xdr:sp macro="" textlink="">
      <xdr:nvSpPr>
        <xdr:cNvPr id="203" name="Line 529">
          <a:extLst>
            <a:ext uri="{FF2B5EF4-FFF2-40B4-BE49-F238E27FC236}">
              <a16:creationId xmlns:a16="http://schemas.microsoft.com/office/drawing/2014/main" id="{00000000-0008-0000-0000-0000CB000000}"/>
            </a:ext>
          </a:extLst>
        </xdr:cNvPr>
        <xdr:cNvSpPr>
          <a:spLocks noChangeShapeType="1"/>
        </xdr:cNvSpPr>
      </xdr:nvSpPr>
      <xdr:spPr bwMode="auto">
        <a:xfrm flipH="1">
          <a:off x="1955358" y="91184880"/>
          <a:ext cx="88958" cy="952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566794</xdr:colOff>
      <xdr:row>487</xdr:row>
      <xdr:rowOff>58233</xdr:rowOff>
    </xdr:from>
    <xdr:to>
      <xdr:col>1</xdr:col>
      <xdr:colOff>681094</xdr:colOff>
      <xdr:row>487</xdr:row>
      <xdr:rowOff>182058</xdr:rowOff>
    </xdr:to>
    <xdr:sp macro="" textlink="">
      <xdr:nvSpPr>
        <xdr:cNvPr id="204" name="Line 530">
          <a:extLst>
            <a:ext uri="{FF2B5EF4-FFF2-40B4-BE49-F238E27FC236}">
              <a16:creationId xmlns:a16="http://schemas.microsoft.com/office/drawing/2014/main" id="{00000000-0008-0000-0000-0000CC000000}"/>
            </a:ext>
          </a:extLst>
        </xdr:cNvPr>
        <xdr:cNvSpPr>
          <a:spLocks noChangeShapeType="1"/>
        </xdr:cNvSpPr>
      </xdr:nvSpPr>
      <xdr:spPr bwMode="auto">
        <a:xfrm flipV="1">
          <a:off x="939511" y="91498233"/>
          <a:ext cx="114300" cy="1238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892206</xdr:colOff>
      <xdr:row>487</xdr:row>
      <xdr:rowOff>77283</xdr:rowOff>
    </xdr:from>
    <xdr:to>
      <xdr:col>2</xdr:col>
      <xdr:colOff>19476</xdr:colOff>
      <xdr:row>487</xdr:row>
      <xdr:rowOff>220158</xdr:rowOff>
    </xdr:to>
    <xdr:sp macro="" textlink="">
      <xdr:nvSpPr>
        <xdr:cNvPr id="205" name="Line 531">
          <a:extLst>
            <a:ext uri="{FF2B5EF4-FFF2-40B4-BE49-F238E27FC236}">
              <a16:creationId xmlns:a16="http://schemas.microsoft.com/office/drawing/2014/main" id="{00000000-0008-0000-0000-0000CD000000}"/>
            </a:ext>
          </a:extLst>
        </xdr:cNvPr>
        <xdr:cNvSpPr>
          <a:spLocks noChangeShapeType="1"/>
        </xdr:cNvSpPr>
      </xdr:nvSpPr>
      <xdr:spPr bwMode="auto">
        <a:xfrm flipH="1">
          <a:off x="1264923" y="91517283"/>
          <a:ext cx="154314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190494</xdr:colOff>
      <xdr:row>498</xdr:row>
      <xdr:rowOff>29639</xdr:rowOff>
    </xdr:from>
    <xdr:to>
      <xdr:col>3</xdr:col>
      <xdr:colOff>150440</xdr:colOff>
      <xdr:row>500</xdr:row>
      <xdr:rowOff>161930</xdr:rowOff>
    </xdr:to>
    <xdr:sp macro="" textlink="">
      <xdr:nvSpPr>
        <xdr:cNvPr id="206" name="Tegning 497">
          <a:extLst>
            <a:ext uri="{FF2B5EF4-FFF2-40B4-BE49-F238E27FC236}">
              <a16:creationId xmlns:a16="http://schemas.microsoft.com/office/drawing/2014/main" id="{00000000-0008-0000-0000-0000CE000000}"/>
            </a:ext>
          </a:extLst>
        </xdr:cNvPr>
        <xdr:cNvSpPr>
          <a:spLocks/>
        </xdr:cNvSpPr>
      </xdr:nvSpPr>
      <xdr:spPr bwMode="auto">
        <a:xfrm>
          <a:off x="560911" y="94686972"/>
          <a:ext cx="1261696" cy="61912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0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0 w 16384"/>
            <a:gd name="T21" fmla="*/ 2147483646 h 16384"/>
            <a:gd name="T22" fmla="*/ 0 60000 65536"/>
            <a:gd name="T23" fmla="*/ 0 60000 65536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</a:gdLst>
          <a:ahLst/>
          <a:cxnLst>
            <a:cxn ang="T22">
              <a:pos x="T0" y="T1"/>
            </a:cxn>
            <a:cxn ang="T23">
              <a:pos x="T2" y="T3"/>
            </a:cxn>
            <a:cxn ang="T24">
              <a:pos x="T4" y="T5"/>
            </a:cxn>
            <a:cxn ang="T25">
              <a:pos x="T6" y="T7"/>
            </a:cxn>
            <a:cxn ang="T26">
              <a:pos x="T8" y="T9"/>
            </a:cxn>
            <a:cxn ang="T27">
              <a:pos x="T10" y="T11"/>
            </a:cxn>
            <a:cxn ang="T28">
              <a:pos x="T12" y="T13"/>
            </a:cxn>
            <a:cxn ang="T29">
              <a:pos x="T14" y="T15"/>
            </a:cxn>
            <a:cxn ang="T30">
              <a:pos x="T16" y="T17"/>
            </a:cxn>
            <a:cxn ang="T31">
              <a:pos x="T18" y="T19"/>
            </a:cxn>
            <a:cxn ang="T32">
              <a:pos x="T20" y="T21"/>
            </a:cxn>
          </a:cxnLst>
          <a:rect l="0" t="0" r="r" b="b"/>
          <a:pathLst>
            <a:path w="16384" h="16384">
              <a:moveTo>
                <a:pt x="88" y="3040"/>
              </a:moveTo>
              <a:lnTo>
                <a:pt x="9337" y="16384"/>
              </a:lnTo>
              <a:lnTo>
                <a:pt x="9954" y="15708"/>
              </a:lnTo>
              <a:lnTo>
                <a:pt x="9954" y="676"/>
              </a:lnTo>
              <a:lnTo>
                <a:pt x="10218" y="0"/>
              </a:lnTo>
              <a:lnTo>
                <a:pt x="16032" y="0"/>
              </a:lnTo>
              <a:lnTo>
                <a:pt x="16384" y="507"/>
              </a:lnTo>
              <a:lnTo>
                <a:pt x="16384" y="6081"/>
              </a:lnTo>
              <a:lnTo>
                <a:pt x="16032" y="6925"/>
              </a:lnTo>
              <a:lnTo>
                <a:pt x="2907" y="6925"/>
              </a:lnTo>
              <a:lnTo>
                <a:pt x="0" y="2703"/>
              </a:lnTo>
            </a:path>
          </a:pathLst>
        </a:custGeom>
        <a:noFill/>
        <a:ln w="26670" cap="flat" cmpd="sng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3</xdr:col>
      <xdr:colOff>93290</xdr:colOff>
      <xdr:row>498</xdr:row>
      <xdr:rowOff>239189</xdr:rowOff>
    </xdr:from>
    <xdr:to>
      <xdr:col>3</xdr:col>
      <xdr:colOff>121865</xdr:colOff>
      <xdr:row>499</xdr:row>
      <xdr:rowOff>33872</xdr:rowOff>
    </xdr:to>
    <xdr:sp macro="" textlink="">
      <xdr:nvSpPr>
        <xdr:cNvPr id="207" name="Oval 498">
          <a:extLst>
            <a:ext uri="{FF2B5EF4-FFF2-40B4-BE49-F238E27FC236}">
              <a16:creationId xmlns:a16="http://schemas.microsoft.com/office/drawing/2014/main" id="{00000000-0008-0000-0000-0000CF000000}"/>
            </a:ext>
          </a:extLst>
        </xdr:cNvPr>
        <xdr:cNvSpPr>
          <a:spLocks noChangeArrowheads="1"/>
        </xdr:cNvSpPr>
      </xdr:nvSpPr>
      <xdr:spPr bwMode="auto">
        <a:xfrm>
          <a:off x="1765457" y="94896522"/>
          <a:ext cx="28575" cy="38100"/>
        </a:xfrm>
        <a:prstGeom prst="ellipse">
          <a:avLst/>
        </a:prstGeom>
        <a:noFill/>
        <a:ln w="3302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1</xdr:col>
      <xdr:colOff>967881</xdr:colOff>
      <xdr:row>498</xdr:row>
      <xdr:rowOff>39164</xdr:rowOff>
    </xdr:from>
    <xdr:to>
      <xdr:col>1</xdr:col>
      <xdr:colOff>996456</xdr:colOff>
      <xdr:row>498</xdr:row>
      <xdr:rowOff>77264</xdr:rowOff>
    </xdr:to>
    <xdr:sp macro="" textlink="">
      <xdr:nvSpPr>
        <xdr:cNvPr id="208" name="Oval 499">
          <a:extLst>
            <a:ext uri="{FF2B5EF4-FFF2-40B4-BE49-F238E27FC236}">
              <a16:creationId xmlns:a16="http://schemas.microsoft.com/office/drawing/2014/main" id="{00000000-0008-0000-0000-0000D0000000}"/>
            </a:ext>
          </a:extLst>
        </xdr:cNvPr>
        <xdr:cNvSpPr>
          <a:spLocks noChangeArrowheads="1"/>
        </xdr:cNvSpPr>
      </xdr:nvSpPr>
      <xdr:spPr bwMode="auto">
        <a:xfrm>
          <a:off x="1338298" y="94696497"/>
          <a:ext cx="28575" cy="38100"/>
        </a:xfrm>
        <a:prstGeom prst="ellipse">
          <a:avLst/>
        </a:prstGeom>
        <a:noFill/>
        <a:ln w="3302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1</xdr:col>
      <xdr:colOff>902671</xdr:colOff>
      <xdr:row>500</xdr:row>
      <xdr:rowOff>114305</xdr:rowOff>
    </xdr:from>
    <xdr:to>
      <xdr:col>1</xdr:col>
      <xdr:colOff>940771</xdr:colOff>
      <xdr:row>500</xdr:row>
      <xdr:rowOff>133355</xdr:rowOff>
    </xdr:to>
    <xdr:sp macro="" textlink="">
      <xdr:nvSpPr>
        <xdr:cNvPr id="209" name="Oval 500">
          <a:extLst>
            <a:ext uri="{FF2B5EF4-FFF2-40B4-BE49-F238E27FC236}">
              <a16:creationId xmlns:a16="http://schemas.microsoft.com/office/drawing/2014/main" id="{00000000-0008-0000-0000-0000D1000000}"/>
            </a:ext>
          </a:extLst>
        </xdr:cNvPr>
        <xdr:cNvSpPr>
          <a:spLocks noChangeArrowheads="1"/>
        </xdr:cNvSpPr>
      </xdr:nvSpPr>
      <xdr:spPr bwMode="auto">
        <a:xfrm>
          <a:off x="1273088" y="95258472"/>
          <a:ext cx="38100" cy="19050"/>
        </a:xfrm>
        <a:prstGeom prst="ellipse">
          <a:avLst/>
        </a:prstGeom>
        <a:noFill/>
        <a:ln w="3302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2</xdr:col>
      <xdr:colOff>150848</xdr:colOff>
      <xdr:row>499</xdr:row>
      <xdr:rowOff>100547</xdr:rowOff>
    </xdr:from>
    <xdr:to>
      <xdr:col>3</xdr:col>
      <xdr:colOff>121865</xdr:colOff>
      <xdr:row>501</xdr:row>
      <xdr:rowOff>89964</xdr:rowOff>
    </xdr:to>
    <xdr:sp macro="" textlink="">
      <xdr:nvSpPr>
        <xdr:cNvPr id="210" name="Tegning 501">
          <a:extLst>
            <a:ext uri="{FF2B5EF4-FFF2-40B4-BE49-F238E27FC236}">
              <a16:creationId xmlns:a16="http://schemas.microsoft.com/office/drawing/2014/main" id="{00000000-0008-0000-0000-0000D2000000}"/>
            </a:ext>
          </a:extLst>
        </xdr:cNvPr>
        <xdr:cNvSpPr>
          <a:spLocks/>
        </xdr:cNvSpPr>
      </xdr:nvSpPr>
      <xdr:spPr bwMode="auto">
        <a:xfrm>
          <a:off x="1547848" y="95001297"/>
          <a:ext cx="246184" cy="4762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0 h 16384"/>
            <a:gd name="T4" fmla="*/ 0 w 16384"/>
            <a:gd name="T5" fmla="*/ 2147483646 h 16384"/>
            <a:gd name="T6" fmla="*/ 2147483646 w 16384"/>
            <a:gd name="T7" fmla="*/ 0 h 16384"/>
            <a:gd name="T8" fmla="*/ 2147483646 w 16384"/>
            <a:gd name="T9" fmla="*/ 2147483646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6384" h="16384">
              <a:moveTo>
                <a:pt x="8192" y="16384"/>
              </a:moveTo>
              <a:lnTo>
                <a:pt x="8192" y="0"/>
              </a:lnTo>
              <a:lnTo>
                <a:pt x="0" y="4096"/>
              </a:lnTo>
              <a:lnTo>
                <a:pt x="8192" y="0"/>
              </a:lnTo>
              <a:lnTo>
                <a:pt x="16384" y="4096"/>
              </a:lnTo>
            </a:path>
          </a:pathLst>
        </a:custGeom>
        <a:noFill/>
        <a:ln w="952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1</xdr:col>
      <xdr:colOff>1025031</xdr:colOff>
      <xdr:row>496</xdr:row>
      <xdr:rowOff>164047</xdr:rowOff>
    </xdr:from>
    <xdr:to>
      <xdr:col>1</xdr:col>
      <xdr:colOff>1025031</xdr:colOff>
      <xdr:row>501</xdr:row>
      <xdr:rowOff>118539</xdr:rowOff>
    </xdr:to>
    <xdr:sp macro="" textlink="">
      <xdr:nvSpPr>
        <xdr:cNvPr id="211" name="Line 502">
          <a:extLst>
            <a:ext uri="{FF2B5EF4-FFF2-40B4-BE49-F238E27FC236}">
              <a16:creationId xmlns:a16="http://schemas.microsoft.com/office/drawing/2014/main" id="{00000000-0008-0000-0000-0000D3000000}"/>
            </a:ext>
          </a:extLst>
        </xdr:cNvPr>
        <xdr:cNvSpPr>
          <a:spLocks noChangeShapeType="1"/>
        </xdr:cNvSpPr>
      </xdr:nvSpPr>
      <xdr:spPr bwMode="auto">
        <a:xfrm>
          <a:off x="1395448" y="94334547"/>
          <a:ext cx="0" cy="11715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200019</xdr:colOff>
      <xdr:row>495</xdr:row>
      <xdr:rowOff>74089</xdr:rowOff>
    </xdr:from>
    <xdr:to>
      <xdr:col>3</xdr:col>
      <xdr:colOff>198065</xdr:colOff>
      <xdr:row>501</xdr:row>
      <xdr:rowOff>61389</xdr:rowOff>
    </xdr:to>
    <xdr:sp macro="" textlink="">
      <xdr:nvSpPr>
        <xdr:cNvPr id="212" name="Tegning 503">
          <a:extLst>
            <a:ext uri="{FF2B5EF4-FFF2-40B4-BE49-F238E27FC236}">
              <a16:creationId xmlns:a16="http://schemas.microsoft.com/office/drawing/2014/main" id="{00000000-0008-0000-0000-0000D4000000}"/>
            </a:ext>
          </a:extLst>
        </xdr:cNvPr>
        <xdr:cNvSpPr>
          <a:spLocks/>
        </xdr:cNvSpPr>
      </xdr:nvSpPr>
      <xdr:spPr bwMode="auto">
        <a:xfrm>
          <a:off x="570436" y="94001172"/>
          <a:ext cx="1299796" cy="1447800"/>
        </a:xfrm>
        <a:custGeom>
          <a:avLst/>
          <a:gdLst>
            <a:gd name="T0" fmla="*/ 2147483646 w 16384"/>
            <a:gd name="T1" fmla="*/ 0 h 16384"/>
            <a:gd name="T2" fmla="*/ 2147483646 w 16384"/>
            <a:gd name="T3" fmla="*/ 0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0 w 16384"/>
            <a:gd name="T17" fmla="*/ 2147483646 h 16384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60000 65536"/>
            <a:gd name="T25" fmla="*/ 0 60000 65536"/>
            <a:gd name="T26" fmla="*/ 0 60000 65536"/>
          </a:gdLst>
          <a:ahLst/>
          <a:cxnLst>
            <a:cxn ang="T18">
              <a:pos x="T0" y="T1"/>
            </a:cxn>
            <a:cxn ang="T19">
              <a:pos x="T2" y="T3"/>
            </a:cxn>
            <a:cxn ang="T20">
              <a:pos x="T4" y="T5"/>
            </a:cxn>
            <a:cxn ang="T21">
              <a:pos x="T6" y="T7"/>
            </a:cxn>
            <a:cxn ang="T22">
              <a:pos x="T8" y="T9"/>
            </a:cxn>
            <a:cxn ang="T23">
              <a:pos x="T10" y="T11"/>
            </a:cxn>
            <a:cxn ang="T24">
              <a:pos x="T12" y="T13"/>
            </a:cxn>
            <a:cxn ang="T25">
              <a:pos x="T14" y="T15"/>
            </a:cxn>
            <a:cxn ang="T26">
              <a:pos x="T16" y="T17"/>
            </a:cxn>
          </a:cxnLst>
          <a:rect l="0" t="0" r="r" b="b"/>
          <a:pathLst>
            <a:path w="16384" h="16384">
              <a:moveTo>
                <a:pt x="98" y="0"/>
              </a:moveTo>
              <a:lnTo>
                <a:pt x="5298" y="0"/>
              </a:lnTo>
              <a:lnTo>
                <a:pt x="4415" y="7058"/>
              </a:lnTo>
              <a:lnTo>
                <a:pt x="16384" y="7058"/>
              </a:lnTo>
              <a:lnTo>
                <a:pt x="16384" y="11427"/>
              </a:lnTo>
              <a:lnTo>
                <a:pt x="10301" y="11427"/>
              </a:lnTo>
              <a:lnTo>
                <a:pt x="10301" y="15964"/>
              </a:lnTo>
              <a:lnTo>
                <a:pt x="9615" y="16384"/>
              </a:lnTo>
              <a:lnTo>
                <a:pt x="0" y="9830"/>
              </a:lnTo>
            </a:path>
          </a:pathLst>
        </a:custGeom>
        <a:noFill/>
        <a:ln w="15875" cap="flat" cmpd="sng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1</xdr:col>
      <xdr:colOff>977406</xdr:colOff>
      <xdr:row>502</xdr:row>
      <xdr:rowOff>37047</xdr:rowOff>
    </xdr:from>
    <xdr:to>
      <xdr:col>3</xdr:col>
      <xdr:colOff>483815</xdr:colOff>
      <xdr:row>502</xdr:row>
      <xdr:rowOff>37047</xdr:rowOff>
    </xdr:to>
    <xdr:sp macro="" textlink="">
      <xdr:nvSpPr>
        <xdr:cNvPr id="213" name="Line 504">
          <a:extLst>
            <a:ext uri="{FF2B5EF4-FFF2-40B4-BE49-F238E27FC236}">
              <a16:creationId xmlns:a16="http://schemas.microsoft.com/office/drawing/2014/main" id="{00000000-0008-0000-0000-0000D5000000}"/>
            </a:ext>
          </a:extLst>
        </xdr:cNvPr>
        <xdr:cNvSpPr>
          <a:spLocks noChangeShapeType="1"/>
        </xdr:cNvSpPr>
      </xdr:nvSpPr>
      <xdr:spPr bwMode="auto">
        <a:xfrm flipH="1">
          <a:off x="1347823" y="95668047"/>
          <a:ext cx="808159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958356</xdr:colOff>
      <xdr:row>500</xdr:row>
      <xdr:rowOff>219080</xdr:rowOff>
    </xdr:from>
    <xdr:to>
      <xdr:col>1</xdr:col>
      <xdr:colOff>958356</xdr:colOff>
      <xdr:row>503</xdr:row>
      <xdr:rowOff>41280</xdr:rowOff>
    </xdr:to>
    <xdr:sp macro="" textlink="">
      <xdr:nvSpPr>
        <xdr:cNvPr id="214" name="Line 505">
          <a:extLst>
            <a:ext uri="{FF2B5EF4-FFF2-40B4-BE49-F238E27FC236}">
              <a16:creationId xmlns:a16="http://schemas.microsoft.com/office/drawing/2014/main" id="{00000000-0008-0000-0000-0000D6000000}"/>
            </a:ext>
          </a:extLst>
        </xdr:cNvPr>
        <xdr:cNvSpPr>
          <a:spLocks noChangeShapeType="1"/>
        </xdr:cNvSpPr>
      </xdr:nvSpPr>
      <xdr:spPr bwMode="auto">
        <a:xfrm>
          <a:off x="1328773" y="95363247"/>
          <a:ext cx="0" cy="552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273207</xdr:colOff>
      <xdr:row>501</xdr:row>
      <xdr:rowOff>118539</xdr:rowOff>
    </xdr:from>
    <xdr:to>
      <xdr:col>2</xdr:col>
      <xdr:colOff>273207</xdr:colOff>
      <xdr:row>503</xdr:row>
      <xdr:rowOff>41280</xdr:rowOff>
    </xdr:to>
    <xdr:sp macro="" textlink="">
      <xdr:nvSpPr>
        <xdr:cNvPr id="215" name="Line 506">
          <a:extLst>
            <a:ext uri="{FF2B5EF4-FFF2-40B4-BE49-F238E27FC236}">
              <a16:creationId xmlns:a16="http://schemas.microsoft.com/office/drawing/2014/main" id="{00000000-0008-0000-0000-0000D7000000}"/>
            </a:ext>
          </a:extLst>
        </xdr:cNvPr>
        <xdr:cNvSpPr>
          <a:spLocks noChangeShapeType="1"/>
        </xdr:cNvSpPr>
      </xdr:nvSpPr>
      <xdr:spPr bwMode="auto">
        <a:xfrm>
          <a:off x="1670207" y="95506122"/>
          <a:ext cx="0" cy="4095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245690</xdr:colOff>
      <xdr:row>497</xdr:row>
      <xdr:rowOff>225430</xdr:rowOff>
    </xdr:from>
    <xdr:to>
      <xdr:col>4</xdr:col>
      <xdr:colOff>2274</xdr:colOff>
      <xdr:row>497</xdr:row>
      <xdr:rowOff>225430</xdr:rowOff>
    </xdr:to>
    <xdr:sp macro="" textlink="">
      <xdr:nvSpPr>
        <xdr:cNvPr id="216" name="Line 510">
          <a:extLst>
            <a:ext uri="{FF2B5EF4-FFF2-40B4-BE49-F238E27FC236}">
              <a16:creationId xmlns:a16="http://schemas.microsoft.com/office/drawing/2014/main" id="{00000000-0008-0000-0000-0000D8000000}"/>
            </a:ext>
          </a:extLst>
        </xdr:cNvPr>
        <xdr:cNvSpPr>
          <a:spLocks noChangeShapeType="1"/>
        </xdr:cNvSpPr>
      </xdr:nvSpPr>
      <xdr:spPr bwMode="auto">
        <a:xfrm>
          <a:off x="1917857" y="94639347"/>
          <a:ext cx="3810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236165</xdr:colOff>
      <xdr:row>499</xdr:row>
      <xdr:rowOff>33872</xdr:rowOff>
    </xdr:from>
    <xdr:to>
      <xdr:col>4</xdr:col>
      <xdr:colOff>11799</xdr:colOff>
      <xdr:row>499</xdr:row>
      <xdr:rowOff>33872</xdr:rowOff>
    </xdr:to>
    <xdr:sp macro="" textlink="">
      <xdr:nvSpPr>
        <xdr:cNvPr id="217" name="Line 511">
          <a:extLst>
            <a:ext uri="{FF2B5EF4-FFF2-40B4-BE49-F238E27FC236}">
              <a16:creationId xmlns:a16="http://schemas.microsoft.com/office/drawing/2014/main" id="{00000000-0008-0000-0000-0000D9000000}"/>
            </a:ext>
          </a:extLst>
        </xdr:cNvPr>
        <xdr:cNvSpPr>
          <a:spLocks noChangeShapeType="1"/>
        </xdr:cNvSpPr>
      </xdr:nvSpPr>
      <xdr:spPr bwMode="auto">
        <a:xfrm>
          <a:off x="1908332" y="94934622"/>
          <a:ext cx="4000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588590</xdr:colOff>
      <xdr:row>497</xdr:row>
      <xdr:rowOff>187330</xdr:rowOff>
    </xdr:from>
    <xdr:to>
      <xdr:col>3</xdr:col>
      <xdr:colOff>588590</xdr:colOff>
      <xdr:row>499</xdr:row>
      <xdr:rowOff>71972</xdr:rowOff>
    </xdr:to>
    <xdr:sp macro="" textlink="">
      <xdr:nvSpPr>
        <xdr:cNvPr id="218" name="Line 512">
          <a:extLst>
            <a:ext uri="{FF2B5EF4-FFF2-40B4-BE49-F238E27FC236}">
              <a16:creationId xmlns:a16="http://schemas.microsoft.com/office/drawing/2014/main" id="{00000000-0008-0000-0000-0000DA000000}"/>
            </a:ext>
          </a:extLst>
        </xdr:cNvPr>
        <xdr:cNvSpPr>
          <a:spLocks noChangeShapeType="1"/>
        </xdr:cNvSpPr>
      </xdr:nvSpPr>
      <xdr:spPr bwMode="auto">
        <a:xfrm>
          <a:off x="2270245" y="93118485"/>
          <a:ext cx="0" cy="357608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531440</xdr:colOff>
      <xdr:row>497</xdr:row>
      <xdr:rowOff>158755</xdr:rowOff>
    </xdr:from>
    <xdr:to>
      <xdr:col>4</xdr:col>
      <xdr:colOff>11799</xdr:colOff>
      <xdr:row>498</xdr:row>
      <xdr:rowOff>39164</xdr:rowOff>
    </xdr:to>
    <xdr:sp macro="" textlink="">
      <xdr:nvSpPr>
        <xdr:cNvPr id="219" name="Line 513">
          <a:extLst>
            <a:ext uri="{FF2B5EF4-FFF2-40B4-BE49-F238E27FC236}">
              <a16:creationId xmlns:a16="http://schemas.microsoft.com/office/drawing/2014/main" id="{00000000-0008-0000-0000-0000DB000000}"/>
            </a:ext>
          </a:extLst>
        </xdr:cNvPr>
        <xdr:cNvSpPr>
          <a:spLocks noChangeShapeType="1"/>
        </xdr:cNvSpPr>
      </xdr:nvSpPr>
      <xdr:spPr bwMode="auto">
        <a:xfrm flipH="1">
          <a:off x="2203607" y="94572672"/>
          <a:ext cx="104775" cy="1238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540965</xdr:colOff>
      <xdr:row>499</xdr:row>
      <xdr:rowOff>5297</xdr:rowOff>
    </xdr:from>
    <xdr:to>
      <xdr:col>4</xdr:col>
      <xdr:colOff>11799</xdr:colOff>
      <xdr:row>499</xdr:row>
      <xdr:rowOff>81497</xdr:rowOff>
    </xdr:to>
    <xdr:sp macro="" textlink="">
      <xdr:nvSpPr>
        <xdr:cNvPr id="220" name="Line 514">
          <a:extLst>
            <a:ext uri="{FF2B5EF4-FFF2-40B4-BE49-F238E27FC236}">
              <a16:creationId xmlns:a16="http://schemas.microsoft.com/office/drawing/2014/main" id="{00000000-0008-0000-0000-0000DC000000}"/>
            </a:ext>
          </a:extLst>
        </xdr:cNvPr>
        <xdr:cNvSpPr>
          <a:spLocks noChangeShapeType="1"/>
        </xdr:cNvSpPr>
      </xdr:nvSpPr>
      <xdr:spPr bwMode="auto">
        <a:xfrm flipH="1">
          <a:off x="2213132" y="94906047"/>
          <a:ext cx="95250" cy="762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919655</xdr:colOff>
      <xdr:row>503</xdr:row>
      <xdr:rowOff>589</xdr:rowOff>
    </xdr:from>
    <xdr:to>
      <xdr:col>3</xdr:col>
      <xdr:colOff>74240</xdr:colOff>
      <xdr:row>503</xdr:row>
      <xdr:rowOff>6569</xdr:rowOff>
    </xdr:to>
    <xdr:sp macro="" textlink="">
      <xdr:nvSpPr>
        <xdr:cNvPr id="221" name="Line 533">
          <a:extLst>
            <a:ext uri="{FF2B5EF4-FFF2-40B4-BE49-F238E27FC236}">
              <a16:creationId xmlns:a16="http://schemas.microsoft.com/office/drawing/2014/main" id="{00000000-0008-0000-0000-0000DD000000}"/>
            </a:ext>
          </a:extLst>
        </xdr:cNvPr>
        <xdr:cNvSpPr>
          <a:spLocks noChangeShapeType="1"/>
        </xdr:cNvSpPr>
      </xdr:nvSpPr>
      <xdr:spPr bwMode="auto">
        <a:xfrm flipV="1">
          <a:off x="1294086" y="94350641"/>
          <a:ext cx="461809" cy="598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198065</xdr:colOff>
      <xdr:row>499</xdr:row>
      <xdr:rowOff>167222</xdr:rowOff>
    </xdr:from>
    <xdr:to>
      <xdr:col>3</xdr:col>
      <xdr:colOff>198065</xdr:colOff>
      <xdr:row>502</xdr:row>
      <xdr:rowOff>113247</xdr:rowOff>
    </xdr:to>
    <xdr:sp macro="" textlink="">
      <xdr:nvSpPr>
        <xdr:cNvPr id="222" name="Line 534">
          <a:extLst>
            <a:ext uri="{FF2B5EF4-FFF2-40B4-BE49-F238E27FC236}">
              <a16:creationId xmlns:a16="http://schemas.microsoft.com/office/drawing/2014/main" id="{00000000-0008-0000-0000-0000DE000000}"/>
            </a:ext>
          </a:extLst>
        </xdr:cNvPr>
        <xdr:cNvSpPr>
          <a:spLocks noChangeShapeType="1"/>
        </xdr:cNvSpPr>
      </xdr:nvSpPr>
      <xdr:spPr bwMode="auto">
        <a:xfrm>
          <a:off x="1870232" y="95067972"/>
          <a:ext cx="0" cy="6762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150440</xdr:colOff>
      <xdr:row>502</xdr:row>
      <xdr:rowOff>8472</xdr:rowOff>
    </xdr:from>
    <xdr:to>
      <xdr:col>3</xdr:col>
      <xdr:colOff>245690</xdr:colOff>
      <xdr:row>502</xdr:row>
      <xdr:rowOff>103722</xdr:rowOff>
    </xdr:to>
    <xdr:sp macro="" textlink="">
      <xdr:nvSpPr>
        <xdr:cNvPr id="223" name="Line 539">
          <a:extLst>
            <a:ext uri="{FF2B5EF4-FFF2-40B4-BE49-F238E27FC236}">
              <a16:creationId xmlns:a16="http://schemas.microsoft.com/office/drawing/2014/main" id="{00000000-0008-0000-0000-0000DF000000}"/>
            </a:ext>
          </a:extLst>
        </xdr:cNvPr>
        <xdr:cNvSpPr>
          <a:spLocks noChangeShapeType="1"/>
        </xdr:cNvSpPr>
      </xdr:nvSpPr>
      <xdr:spPr bwMode="auto">
        <a:xfrm flipH="1">
          <a:off x="1822607" y="95639472"/>
          <a:ext cx="95250" cy="952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227048</xdr:colOff>
      <xdr:row>502</xdr:row>
      <xdr:rowOff>198972</xdr:rowOff>
    </xdr:from>
    <xdr:to>
      <xdr:col>3</xdr:col>
      <xdr:colOff>45665</xdr:colOff>
      <xdr:row>503</xdr:row>
      <xdr:rowOff>50805</xdr:rowOff>
    </xdr:to>
    <xdr:sp macro="" textlink="">
      <xdr:nvSpPr>
        <xdr:cNvPr id="224" name="Line 540">
          <a:extLst>
            <a:ext uri="{FF2B5EF4-FFF2-40B4-BE49-F238E27FC236}">
              <a16:creationId xmlns:a16="http://schemas.microsoft.com/office/drawing/2014/main" id="{00000000-0008-0000-0000-0000E0000000}"/>
            </a:ext>
          </a:extLst>
        </xdr:cNvPr>
        <xdr:cNvSpPr>
          <a:spLocks noChangeShapeType="1"/>
        </xdr:cNvSpPr>
      </xdr:nvSpPr>
      <xdr:spPr bwMode="auto">
        <a:xfrm flipH="1">
          <a:off x="1632807" y="94312541"/>
          <a:ext cx="94513" cy="88316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1015506</xdr:colOff>
      <xdr:row>501</xdr:row>
      <xdr:rowOff>89964</xdr:rowOff>
    </xdr:from>
    <xdr:to>
      <xdr:col>1</xdr:col>
      <xdr:colOff>1015506</xdr:colOff>
      <xdr:row>502</xdr:row>
      <xdr:rowOff>84672</xdr:rowOff>
    </xdr:to>
    <xdr:sp macro="" textlink="">
      <xdr:nvSpPr>
        <xdr:cNvPr id="225" name="Line 546">
          <a:extLst>
            <a:ext uri="{FF2B5EF4-FFF2-40B4-BE49-F238E27FC236}">
              <a16:creationId xmlns:a16="http://schemas.microsoft.com/office/drawing/2014/main" id="{00000000-0008-0000-0000-0000E1000000}"/>
            </a:ext>
          </a:extLst>
        </xdr:cNvPr>
        <xdr:cNvSpPr>
          <a:spLocks noChangeShapeType="1"/>
        </xdr:cNvSpPr>
      </xdr:nvSpPr>
      <xdr:spPr bwMode="auto">
        <a:xfrm>
          <a:off x="1385923" y="95477547"/>
          <a:ext cx="0" cy="2381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967881</xdr:colOff>
      <xdr:row>502</xdr:row>
      <xdr:rowOff>8472</xdr:rowOff>
    </xdr:from>
    <xdr:to>
      <xdr:col>2</xdr:col>
      <xdr:colOff>36548</xdr:colOff>
      <xdr:row>502</xdr:row>
      <xdr:rowOff>84672</xdr:rowOff>
    </xdr:to>
    <xdr:sp macro="" textlink="">
      <xdr:nvSpPr>
        <xdr:cNvPr id="226" name="Line 547">
          <a:extLst>
            <a:ext uri="{FF2B5EF4-FFF2-40B4-BE49-F238E27FC236}">
              <a16:creationId xmlns:a16="http://schemas.microsoft.com/office/drawing/2014/main" id="{00000000-0008-0000-0000-0000E2000000}"/>
            </a:ext>
          </a:extLst>
        </xdr:cNvPr>
        <xdr:cNvSpPr>
          <a:spLocks noChangeShapeType="1"/>
        </xdr:cNvSpPr>
      </xdr:nvSpPr>
      <xdr:spPr bwMode="auto">
        <a:xfrm flipH="1">
          <a:off x="1338298" y="95639472"/>
          <a:ext cx="95250" cy="762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906517</xdr:colOff>
      <xdr:row>502</xdr:row>
      <xdr:rowOff>190501</xdr:rowOff>
    </xdr:from>
    <xdr:to>
      <xdr:col>1</xdr:col>
      <xdr:colOff>1001030</xdr:colOff>
      <xdr:row>503</xdr:row>
      <xdr:rowOff>42334</xdr:rowOff>
    </xdr:to>
    <xdr:sp macro="" textlink="">
      <xdr:nvSpPr>
        <xdr:cNvPr id="230" name="Line 540">
          <a:extLst>
            <a:ext uri="{FF2B5EF4-FFF2-40B4-BE49-F238E27FC236}">
              <a16:creationId xmlns:a16="http://schemas.microsoft.com/office/drawing/2014/main" id="{00000000-0008-0000-0000-0000E6000000}"/>
            </a:ext>
          </a:extLst>
        </xdr:cNvPr>
        <xdr:cNvSpPr>
          <a:spLocks noChangeShapeType="1"/>
        </xdr:cNvSpPr>
      </xdr:nvSpPr>
      <xdr:spPr bwMode="auto">
        <a:xfrm flipH="1">
          <a:off x="1280948" y="94304070"/>
          <a:ext cx="94513" cy="88316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157655</xdr:colOff>
      <xdr:row>504</xdr:row>
      <xdr:rowOff>230900</xdr:rowOff>
    </xdr:from>
    <xdr:to>
      <xdr:col>3</xdr:col>
      <xdr:colOff>124059</xdr:colOff>
      <xdr:row>507</xdr:row>
      <xdr:rowOff>152823</xdr:rowOff>
    </xdr:to>
    <xdr:sp macro="" textlink="">
      <xdr:nvSpPr>
        <xdr:cNvPr id="235" name="Tegning 532">
          <a:extLst>
            <a:ext uri="{FF2B5EF4-FFF2-40B4-BE49-F238E27FC236}">
              <a16:creationId xmlns:a16="http://schemas.microsoft.com/office/drawing/2014/main" id="{00000000-0008-0000-0000-0000EB000000}"/>
            </a:ext>
          </a:extLst>
        </xdr:cNvPr>
        <xdr:cNvSpPr>
          <a:spLocks/>
        </xdr:cNvSpPr>
      </xdr:nvSpPr>
      <xdr:spPr bwMode="auto">
        <a:xfrm>
          <a:off x="532086" y="94817434"/>
          <a:ext cx="1273628" cy="631372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0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0 w 16384"/>
            <a:gd name="T21" fmla="*/ 2147483646 h 16384"/>
            <a:gd name="T22" fmla="*/ 0 60000 65536"/>
            <a:gd name="T23" fmla="*/ 0 60000 65536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</a:gdLst>
          <a:ahLst/>
          <a:cxnLst>
            <a:cxn ang="T22">
              <a:pos x="T0" y="T1"/>
            </a:cxn>
            <a:cxn ang="T23">
              <a:pos x="T2" y="T3"/>
            </a:cxn>
            <a:cxn ang="T24">
              <a:pos x="T4" y="T5"/>
            </a:cxn>
            <a:cxn ang="T25">
              <a:pos x="T6" y="T7"/>
            </a:cxn>
            <a:cxn ang="T26">
              <a:pos x="T8" y="T9"/>
            </a:cxn>
            <a:cxn ang="T27">
              <a:pos x="T10" y="T11"/>
            </a:cxn>
            <a:cxn ang="T28">
              <a:pos x="T12" y="T13"/>
            </a:cxn>
            <a:cxn ang="T29">
              <a:pos x="T14" y="T15"/>
            </a:cxn>
            <a:cxn ang="T30">
              <a:pos x="T16" y="T17"/>
            </a:cxn>
            <a:cxn ang="T31">
              <a:pos x="T18" y="T19"/>
            </a:cxn>
            <a:cxn ang="T32">
              <a:pos x="T20" y="T21"/>
            </a:cxn>
          </a:cxnLst>
          <a:rect l="0" t="0" r="r" b="b"/>
          <a:pathLst>
            <a:path w="16384" h="16384">
              <a:moveTo>
                <a:pt x="88" y="3040"/>
              </a:moveTo>
              <a:lnTo>
                <a:pt x="9337" y="16384"/>
              </a:lnTo>
              <a:lnTo>
                <a:pt x="9954" y="15708"/>
              </a:lnTo>
              <a:lnTo>
                <a:pt x="9954" y="676"/>
              </a:lnTo>
              <a:lnTo>
                <a:pt x="10218" y="0"/>
              </a:lnTo>
              <a:lnTo>
                <a:pt x="16032" y="0"/>
              </a:lnTo>
              <a:lnTo>
                <a:pt x="16384" y="507"/>
              </a:lnTo>
              <a:lnTo>
                <a:pt x="16384" y="6081"/>
              </a:lnTo>
              <a:lnTo>
                <a:pt x="16032" y="6925"/>
              </a:lnTo>
              <a:lnTo>
                <a:pt x="2907" y="6925"/>
              </a:lnTo>
              <a:lnTo>
                <a:pt x="0" y="2703"/>
              </a:lnTo>
            </a:path>
          </a:pathLst>
        </a:custGeom>
        <a:noFill/>
        <a:ln w="26670" cap="flat" cmpd="sng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3</xdr:col>
      <xdr:colOff>190734</xdr:colOff>
      <xdr:row>504</xdr:row>
      <xdr:rowOff>198861</xdr:rowOff>
    </xdr:from>
    <xdr:to>
      <xdr:col>3</xdr:col>
      <xdr:colOff>266934</xdr:colOff>
      <xdr:row>505</xdr:row>
      <xdr:rowOff>27411</xdr:rowOff>
    </xdr:to>
    <xdr:sp macro="" textlink="">
      <xdr:nvSpPr>
        <xdr:cNvPr id="236" name="Line 544">
          <a:extLst>
            <a:ext uri="{FF2B5EF4-FFF2-40B4-BE49-F238E27FC236}">
              <a16:creationId xmlns:a16="http://schemas.microsoft.com/office/drawing/2014/main" id="{00000000-0008-0000-0000-0000EC000000}"/>
            </a:ext>
          </a:extLst>
        </xdr:cNvPr>
        <xdr:cNvSpPr>
          <a:spLocks noChangeShapeType="1"/>
        </xdr:cNvSpPr>
      </xdr:nvSpPr>
      <xdr:spPr bwMode="auto">
        <a:xfrm flipH="1">
          <a:off x="1870598" y="95033225"/>
          <a:ext cx="76200" cy="666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189002</xdr:colOff>
      <xdr:row>505</xdr:row>
      <xdr:rowOff>216585</xdr:rowOff>
    </xdr:from>
    <xdr:to>
      <xdr:col>3</xdr:col>
      <xdr:colOff>274727</xdr:colOff>
      <xdr:row>506</xdr:row>
      <xdr:rowOff>65827</xdr:rowOff>
    </xdr:to>
    <xdr:sp macro="" textlink="">
      <xdr:nvSpPr>
        <xdr:cNvPr id="237" name="Line 545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SpPr>
          <a:spLocks noChangeShapeType="1"/>
        </xdr:cNvSpPr>
      </xdr:nvSpPr>
      <xdr:spPr bwMode="auto">
        <a:xfrm flipH="1">
          <a:off x="1868866" y="95289074"/>
          <a:ext cx="85725" cy="87367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224378</xdr:colOff>
      <xdr:row>504</xdr:row>
      <xdr:rowOff>185507</xdr:rowOff>
    </xdr:from>
    <xdr:to>
      <xdr:col>3</xdr:col>
      <xdr:colOff>224378</xdr:colOff>
      <xdr:row>506</xdr:row>
      <xdr:rowOff>70149</xdr:rowOff>
    </xdr:to>
    <xdr:sp macro="" textlink="">
      <xdr:nvSpPr>
        <xdr:cNvPr id="238" name="Line 512">
          <a:extLst>
            <a:ext uri="{FF2B5EF4-FFF2-40B4-BE49-F238E27FC236}">
              <a16:creationId xmlns:a16="http://schemas.microsoft.com/office/drawing/2014/main" id="{00000000-0008-0000-0000-0000EE000000}"/>
            </a:ext>
          </a:extLst>
        </xdr:cNvPr>
        <xdr:cNvSpPr>
          <a:spLocks noChangeShapeType="1"/>
        </xdr:cNvSpPr>
      </xdr:nvSpPr>
      <xdr:spPr bwMode="auto">
        <a:xfrm>
          <a:off x="1906033" y="94772041"/>
          <a:ext cx="0" cy="357608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172107</xdr:colOff>
      <xdr:row>504</xdr:row>
      <xdr:rowOff>220806</xdr:rowOff>
    </xdr:from>
    <xdr:to>
      <xdr:col>3</xdr:col>
      <xdr:colOff>298738</xdr:colOff>
      <xdr:row>504</xdr:row>
      <xdr:rowOff>224659</xdr:rowOff>
    </xdr:to>
    <xdr:sp macro="" textlink="">
      <xdr:nvSpPr>
        <xdr:cNvPr id="239" name="Line 533">
          <a:extLst>
            <a:ext uri="{FF2B5EF4-FFF2-40B4-BE49-F238E27FC236}">
              <a16:creationId xmlns:a16="http://schemas.microsoft.com/office/drawing/2014/main" id="{00000000-0008-0000-0000-0000EF000000}"/>
            </a:ext>
          </a:extLst>
        </xdr:cNvPr>
        <xdr:cNvSpPr>
          <a:spLocks noChangeShapeType="1"/>
        </xdr:cNvSpPr>
      </xdr:nvSpPr>
      <xdr:spPr bwMode="auto">
        <a:xfrm flipV="1">
          <a:off x="1851971" y="95055170"/>
          <a:ext cx="126631" cy="3853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172973</xdr:colOff>
      <xdr:row>506</xdr:row>
      <xdr:rowOff>18183</xdr:rowOff>
    </xdr:from>
    <xdr:to>
      <xdr:col>3</xdr:col>
      <xdr:colOff>299604</xdr:colOff>
      <xdr:row>506</xdr:row>
      <xdr:rowOff>22036</xdr:rowOff>
    </xdr:to>
    <xdr:sp macro="" textlink="">
      <xdr:nvSpPr>
        <xdr:cNvPr id="240" name="Line 533">
          <a:extLst>
            <a:ext uri="{FF2B5EF4-FFF2-40B4-BE49-F238E27FC236}">
              <a16:creationId xmlns:a16="http://schemas.microsoft.com/office/drawing/2014/main" id="{00000000-0008-0000-0000-0000F0000000}"/>
            </a:ext>
          </a:extLst>
        </xdr:cNvPr>
        <xdr:cNvSpPr>
          <a:spLocks noChangeShapeType="1"/>
        </xdr:cNvSpPr>
      </xdr:nvSpPr>
      <xdr:spPr bwMode="auto">
        <a:xfrm flipV="1">
          <a:off x="1852837" y="95328797"/>
          <a:ext cx="126631" cy="3853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333375</xdr:colOff>
      <xdr:row>499</xdr:row>
      <xdr:rowOff>209549</xdr:rowOff>
    </xdr:from>
    <xdr:to>
      <xdr:col>1</xdr:col>
      <xdr:colOff>895350</xdr:colOff>
      <xdr:row>500</xdr:row>
      <xdr:rowOff>95250</xdr:rowOff>
    </xdr:to>
    <xdr:sp macro="" textlink="">
      <xdr:nvSpPr>
        <xdr:cNvPr id="241" name="Line 508">
          <a:extLst>
            <a:ext uri="{FF2B5EF4-FFF2-40B4-BE49-F238E27FC236}">
              <a16:creationId xmlns:a16="http://schemas.microsoft.com/office/drawing/2014/main" id="{00000000-0008-0000-0000-0000F1000000}"/>
            </a:ext>
          </a:extLst>
        </xdr:cNvPr>
        <xdr:cNvSpPr>
          <a:spLocks noChangeShapeType="1"/>
        </xdr:cNvSpPr>
      </xdr:nvSpPr>
      <xdr:spPr bwMode="auto">
        <a:xfrm flipV="1">
          <a:off x="704850" y="93935549"/>
          <a:ext cx="561975" cy="123826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904875</xdr:colOff>
      <xdr:row>499</xdr:row>
      <xdr:rowOff>180975</xdr:rowOff>
    </xdr:from>
    <xdr:to>
      <xdr:col>1</xdr:col>
      <xdr:colOff>990600</xdr:colOff>
      <xdr:row>499</xdr:row>
      <xdr:rowOff>228600</xdr:rowOff>
    </xdr:to>
    <xdr:sp macro="" textlink="">
      <xdr:nvSpPr>
        <xdr:cNvPr id="242" name="Oval 509">
          <a:extLst>
            <a:ext uri="{FF2B5EF4-FFF2-40B4-BE49-F238E27FC236}">
              <a16:creationId xmlns:a16="http://schemas.microsoft.com/office/drawing/2014/main" id="{00000000-0008-0000-0000-0000F2000000}"/>
            </a:ext>
          </a:extLst>
        </xdr:cNvPr>
        <xdr:cNvSpPr>
          <a:spLocks noChangeArrowheads="1"/>
        </xdr:cNvSpPr>
      </xdr:nvSpPr>
      <xdr:spPr bwMode="auto">
        <a:xfrm>
          <a:off x="1276350" y="93906975"/>
          <a:ext cx="85725" cy="47625"/>
        </a:xfrm>
        <a:prstGeom prst="ellips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2</xdr:col>
      <xdr:colOff>114300</xdr:colOff>
      <xdr:row>498</xdr:row>
      <xdr:rowOff>228600</xdr:rowOff>
    </xdr:from>
    <xdr:to>
      <xdr:col>2</xdr:col>
      <xdr:colOff>209550</xdr:colOff>
      <xdr:row>499</xdr:row>
      <xdr:rowOff>76200</xdr:rowOff>
    </xdr:to>
    <xdr:sp macro="" textlink="">
      <xdr:nvSpPr>
        <xdr:cNvPr id="243" name="Oval 515">
          <a:extLst>
            <a:ext uri="{FF2B5EF4-FFF2-40B4-BE49-F238E27FC236}">
              <a16:creationId xmlns:a16="http://schemas.microsoft.com/office/drawing/2014/main" id="{00000000-0008-0000-0000-0000F3000000}"/>
            </a:ext>
          </a:extLst>
        </xdr:cNvPr>
        <xdr:cNvSpPr>
          <a:spLocks noChangeArrowheads="1"/>
        </xdr:cNvSpPr>
      </xdr:nvSpPr>
      <xdr:spPr bwMode="auto">
        <a:xfrm>
          <a:off x="1514475" y="93716475"/>
          <a:ext cx="95250" cy="85725"/>
        </a:xfrm>
        <a:prstGeom prst="ellips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2</xdr:col>
      <xdr:colOff>180974</xdr:colOff>
      <xdr:row>496</xdr:row>
      <xdr:rowOff>190500</xdr:rowOff>
    </xdr:from>
    <xdr:to>
      <xdr:col>3</xdr:col>
      <xdr:colOff>276224</xdr:colOff>
      <xdr:row>499</xdr:row>
      <xdr:rowOff>9525</xdr:rowOff>
    </xdr:to>
    <xdr:sp macro="" textlink="">
      <xdr:nvSpPr>
        <xdr:cNvPr id="244" name="Line 516">
          <a:extLst>
            <a:ext uri="{FF2B5EF4-FFF2-40B4-BE49-F238E27FC236}">
              <a16:creationId xmlns:a16="http://schemas.microsoft.com/office/drawing/2014/main" id="{00000000-0008-0000-0000-0000F4000000}"/>
            </a:ext>
          </a:extLst>
        </xdr:cNvPr>
        <xdr:cNvSpPr>
          <a:spLocks noChangeShapeType="1"/>
        </xdr:cNvSpPr>
      </xdr:nvSpPr>
      <xdr:spPr bwMode="auto">
        <a:xfrm flipH="1">
          <a:off x="1581149" y="93202125"/>
          <a:ext cx="371475" cy="533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468086</xdr:colOff>
      <xdr:row>513</xdr:row>
      <xdr:rowOff>190500</xdr:rowOff>
    </xdr:from>
    <xdr:to>
      <xdr:col>3</xdr:col>
      <xdr:colOff>465364</xdr:colOff>
      <xdr:row>521</xdr:row>
      <xdr:rowOff>114300</xdr:rowOff>
    </xdr:to>
    <xdr:sp macro="" textlink="">
      <xdr:nvSpPr>
        <xdr:cNvPr id="227" name="Tegning 548">
          <a:extLst>
            <a:ext uri="{FF2B5EF4-FFF2-40B4-BE49-F238E27FC236}">
              <a16:creationId xmlns:a16="http://schemas.microsoft.com/office/drawing/2014/main" id="{00000000-0008-0000-0000-0000E3000000}"/>
            </a:ext>
          </a:extLst>
        </xdr:cNvPr>
        <xdr:cNvSpPr>
          <a:spLocks/>
        </xdr:cNvSpPr>
      </xdr:nvSpPr>
      <xdr:spPr bwMode="auto">
        <a:xfrm>
          <a:off x="839561" y="97259775"/>
          <a:ext cx="1302203" cy="182880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0 h 16384"/>
            <a:gd name="T14" fmla="*/ 0 w 16384"/>
            <a:gd name="T15" fmla="*/ 0 h 16384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0" t="0" r="r" b="b"/>
          <a:pathLst>
            <a:path w="16384" h="16384">
              <a:moveTo>
                <a:pt x="321" y="7869"/>
              </a:moveTo>
              <a:lnTo>
                <a:pt x="16384" y="16384"/>
              </a:lnTo>
              <a:lnTo>
                <a:pt x="16384" y="10887"/>
              </a:lnTo>
              <a:lnTo>
                <a:pt x="12368" y="10887"/>
              </a:lnTo>
              <a:lnTo>
                <a:pt x="12368" y="6467"/>
              </a:lnTo>
              <a:lnTo>
                <a:pt x="7871" y="6467"/>
              </a:lnTo>
              <a:lnTo>
                <a:pt x="7871" y="0"/>
              </a:lnTo>
              <a:lnTo>
                <a:pt x="0" y="0"/>
              </a:lnTo>
            </a:path>
          </a:pathLst>
        </a:custGeom>
        <a:noFill/>
        <a:ln w="15875" cap="flat" cmpd="sng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3</xdr:col>
      <xdr:colOff>341539</xdr:colOff>
      <xdr:row>516</xdr:row>
      <xdr:rowOff>76200</xdr:rowOff>
    </xdr:from>
    <xdr:to>
      <xdr:col>3</xdr:col>
      <xdr:colOff>341539</xdr:colOff>
      <xdr:row>518</xdr:row>
      <xdr:rowOff>219075</xdr:rowOff>
    </xdr:to>
    <xdr:sp macro="" textlink="">
      <xdr:nvSpPr>
        <xdr:cNvPr id="228" name="Line 549">
          <a:extLst>
            <a:ext uri="{FF2B5EF4-FFF2-40B4-BE49-F238E27FC236}">
              <a16:creationId xmlns:a16="http://schemas.microsoft.com/office/drawing/2014/main" id="{00000000-0008-0000-0000-0000E4000000}"/>
            </a:ext>
          </a:extLst>
        </xdr:cNvPr>
        <xdr:cNvSpPr>
          <a:spLocks noChangeShapeType="1"/>
        </xdr:cNvSpPr>
      </xdr:nvSpPr>
      <xdr:spPr bwMode="auto">
        <a:xfrm>
          <a:off x="2017939" y="97859850"/>
          <a:ext cx="0" cy="61912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429986</xdr:colOff>
      <xdr:row>522</xdr:row>
      <xdr:rowOff>0</xdr:rowOff>
    </xdr:from>
    <xdr:to>
      <xdr:col>3</xdr:col>
      <xdr:colOff>379639</xdr:colOff>
      <xdr:row>523</xdr:row>
      <xdr:rowOff>47625</xdr:rowOff>
    </xdr:to>
    <xdr:sp macro="" textlink="">
      <xdr:nvSpPr>
        <xdr:cNvPr id="229" name="Tegning 551">
          <a:extLst>
            <a:ext uri="{FF2B5EF4-FFF2-40B4-BE49-F238E27FC236}">
              <a16:creationId xmlns:a16="http://schemas.microsoft.com/office/drawing/2014/main" id="{00000000-0008-0000-0000-0000E5000000}"/>
            </a:ext>
          </a:extLst>
        </xdr:cNvPr>
        <xdr:cNvSpPr>
          <a:spLocks/>
        </xdr:cNvSpPr>
      </xdr:nvSpPr>
      <xdr:spPr bwMode="auto">
        <a:xfrm>
          <a:off x="801461" y="99212400"/>
          <a:ext cx="1254578" cy="285750"/>
        </a:xfrm>
        <a:custGeom>
          <a:avLst/>
          <a:gdLst>
            <a:gd name="T0" fmla="*/ 2147483646 w 16384"/>
            <a:gd name="T1" fmla="*/ 0 h 16384"/>
            <a:gd name="T2" fmla="*/ 2147483646 w 16384"/>
            <a:gd name="T3" fmla="*/ 0 h 16384"/>
            <a:gd name="T4" fmla="*/ 2147483646 w 16384"/>
            <a:gd name="T5" fmla="*/ 2147483646 h 16384"/>
            <a:gd name="T6" fmla="*/ 0 w 16384"/>
            <a:gd name="T7" fmla="*/ 2147483646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103" y="0"/>
              </a:moveTo>
              <a:lnTo>
                <a:pt x="16384" y="0"/>
              </a:lnTo>
              <a:lnTo>
                <a:pt x="16384" y="16384"/>
              </a:lnTo>
              <a:lnTo>
                <a:pt x="0" y="16384"/>
              </a:lnTo>
            </a:path>
          </a:pathLst>
        </a:custGeom>
        <a:noFill/>
        <a:ln w="26670" cap="flat" cmpd="sng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2</xdr:col>
      <xdr:colOff>262618</xdr:colOff>
      <xdr:row>519</xdr:row>
      <xdr:rowOff>19050</xdr:rowOff>
    </xdr:from>
    <xdr:to>
      <xdr:col>2</xdr:col>
      <xdr:colOff>262618</xdr:colOff>
      <xdr:row>522</xdr:row>
      <xdr:rowOff>66675</xdr:rowOff>
    </xdr:to>
    <xdr:sp macro="" textlink="">
      <xdr:nvSpPr>
        <xdr:cNvPr id="231" name="Line 552">
          <a:extLst>
            <a:ext uri="{FF2B5EF4-FFF2-40B4-BE49-F238E27FC236}">
              <a16:creationId xmlns:a16="http://schemas.microsoft.com/office/drawing/2014/main" id="{00000000-0008-0000-0000-0000E7000000}"/>
            </a:ext>
          </a:extLst>
        </xdr:cNvPr>
        <xdr:cNvSpPr>
          <a:spLocks noChangeShapeType="1"/>
        </xdr:cNvSpPr>
      </xdr:nvSpPr>
      <xdr:spPr bwMode="auto">
        <a:xfrm>
          <a:off x="1662793" y="98517075"/>
          <a:ext cx="0" cy="7620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224518</xdr:colOff>
      <xdr:row>521</xdr:row>
      <xdr:rowOff>190500</xdr:rowOff>
    </xdr:from>
    <xdr:to>
      <xdr:col>3</xdr:col>
      <xdr:colOff>34018</xdr:colOff>
      <xdr:row>522</xdr:row>
      <xdr:rowOff>47625</xdr:rowOff>
    </xdr:to>
    <xdr:sp macro="" textlink="">
      <xdr:nvSpPr>
        <xdr:cNvPr id="232" name="Oval 553">
          <a:extLst>
            <a:ext uri="{FF2B5EF4-FFF2-40B4-BE49-F238E27FC236}">
              <a16:creationId xmlns:a16="http://schemas.microsoft.com/office/drawing/2014/main" id="{00000000-0008-0000-0000-0000E8000000}"/>
            </a:ext>
          </a:extLst>
        </xdr:cNvPr>
        <xdr:cNvSpPr>
          <a:spLocks noChangeArrowheads="1"/>
        </xdr:cNvSpPr>
      </xdr:nvSpPr>
      <xdr:spPr bwMode="auto">
        <a:xfrm>
          <a:off x="1624693" y="99164775"/>
          <a:ext cx="85725" cy="95250"/>
        </a:xfrm>
        <a:prstGeom prst="ellips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1</xdr:col>
      <xdr:colOff>449036</xdr:colOff>
      <xdr:row>516</xdr:row>
      <xdr:rowOff>209550</xdr:rowOff>
    </xdr:from>
    <xdr:to>
      <xdr:col>3</xdr:col>
      <xdr:colOff>408214</xdr:colOff>
      <xdr:row>519</xdr:row>
      <xdr:rowOff>28575</xdr:rowOff>
    </xdr:to>
    <xdr:sp macro="" textlink="">
      <xdr:nvSpPr>
        <xdr:cNvPr id="233" name="Tegning 555">
          <a:extLst>
            <a:ext uri="{FF2B5EF4-FFF2-40B4-BE49-F238E27FC236}">
              <a16:creationId xmlns:a16="http://schemas.microsoft.com/office/drawing/2014/main" id="{00000000-0008-0000-0000-0000E9000000}"/>
            </a:ext>
          </a:extLst>
        </xdr:cNvPr>
        <xdr:cNvSpPr>
          <a:spLocks/>
        </xdr:cNvSpPr>
      </xdr:nvSpPr>
      <xdr:spPr bwMode="auto">
        <a:xfrm>
          <a:off x="820511" y="97993200"/>
          <a:ext cx="1264103" cy="53340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0 w 16384"/>
            <a:gd name="T5" fmla="*/ 0 h 16384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6384" h="16384">
              <a:moveTo>
                <a:pt x="16384" y="16384"/>
              </a:moveTo>
              <a:lnTo>
                <a:pt x="9011" y="16384"/>
              </a:lnTo>
              <a:lnTo>
                <a:pt x="0" y="0"/>
              </a:lnTo>
            </a:path>
          </a:pathLst>
        </a:custGeom>
        <a:noFill/>
        <a:ln w="26670" cap="flat" cmpd="sng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2</xdr:col>
      <xdr:colOff>107496</xdr:colOff>
      <xdr:row>518</xdr:row>
      <xdr:rowOff>219075</xdr:rowOff>
    </xdr:from>
    <xdr:to>
      <xdr:col>2</xdr:col>
      <xdr:colOff>136071</xdr:colOff>
      <xdr:row>519</xdr:row>
      <xdr:rowOff>9525</xdr:rowOff>
    </xdr:to>
    <xdr:sp macro="" textlink="">
      <xdr:nvSpPr>
        <xdr:cNvPr id="234" name="Oval 556">
          <a:extLst>
            <a:ext uri="{FF2B5EF4-FFF2-40B4-BE49-F238E27FC236}">
              <a16:creationId xmlns:a16="http://schemas.microsoft.com/office/drawing/2014/main" id="{00000000-0008-0000-0000-0000EA000000}"/>
            </a:ext>
          </a:extLst>
        </xdr:cNvPr>
        <xdr:cNvSpPr>
          <a:spLocks noChangeArrowheads="1"/>
        </xdr:cNvSpPr>
      </xdr:nvSpPr>
      <xdr:spPr bwMode="auto">
        <a:xfrm>
          <a:off x="1507671" y="98478975"/>
          <a:ext cx="28575" cy="28575"/>
        </a:xfrm>
        <a:prstGeom prst="ellips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2</xdr:col>
      <xdr:colOff>97971</xdr:colOff>
      <xdr:row>517</xdr:row>
      <xdr:rowOff>209550</xdr:rowOff>
    </xdr:from>
    <xdr:to>
      <xdr:col>3</xdr:col>
      <xdr:colOff>129268</xdr:colOff>
      <xdr:row>518</xdr:row>
      <xdr:rowOff>190500</xdr:rowOff>
    </xdr:to>
    <xdr:sp macro="" textlink="">
      <xdr:nvSpPr>
        <xdr:cNvPr id="245" name="Line 557">
          <a:extLst>
            <a:ext uri="{FF2B5EF4-FFF2-40B4-BE49-F238E27FC236}">
              <a16:creationId xmlns:a16="http://schemas.microsoft.com/office/drawing/2014/main" id="{00000000-0008-0000-0000-0000F5000000}"/>
            </a:ext>
          </a:extLst>
        </xdr:cNvPr>
        <xdr:cNvSpPr>
          <a:spLocks noChangeShapeType="1"/>
        </xdr:cNvSpPr>
      </xdr:nvSpPr>
      <xdr:spPr bwMode="auto">
        <a:xfrm flipH="1" flipV="1">
          <a:off x="1498146" y="98231325"/>
          <a:ext cx="307522" cy="2190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915761</xdr:colOff>
      <xdr:row>518</xdr:row>
      <xdr:rowOff>0</xdr:rowOff>
    </xdr:from>
    <xdr:to>
      <xdr:col>2</xdr:col>
      <xdr:colOff>145596</xdr:colOff>
      <xdr:row>519</xdr:row>
      <xdr:rowOff>47625</xdr:rowOff>
    </xdr:to>
    <xdr:sp macro="" textlink="">
      <xdr:nvSpPr>
        <xdr:cNvPr id="246" name="Line 558">
          <a:extLst>
            <a:ext uri="{FF2B5EF4-FFF2-40B4-BE49-F238E27FC236}">
              <a16:creationId xmlns:a16="http://schemas.microsoft.com/office/drawing/2014/main" id="{00000000-0008-0000-0000-0000F6000000}"/>
            </a:ext>
          </a:extLst>
        </xdr:cNvPr>
        <xdr:cNvSpPr>
          <a:spLocks noChangeShapeType="1"/>
        </xdr:cNvSpPr>
      </xdr:nvSpPr>
      <xdr:spPr bwMode="auto">
        <a:xfrm flipH="1">
          <a:off x="1287236" y="98259900"/>
          <a:ext cx="258535" cy="2857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136071</xdr:colOff>
      <xdr:row>517</xdr:row>
      <xdr:rowOff>171450</xdr:rowOff>
    </xdr:from>
    <xdr:to>
      <xdr:col>2</xdr:col>
      <xdr:colOff>145596</xdr:colOff>
      <xdr:row>518</xdr:row>
      <xdr:rowOff>57150</xdr:rowOff>
    </xdr:to>
    <xdr:sp macro="" textlink="">
      <xdr:nvSpPr>
        <xdr:cNvPr id="247" name="Line 559">
          <a:extLst>
            <a:ext uri="{FF2B5EF4-FFF2-40B4-BE49-F238E27FC236}">
              <a16:creationId xmlns:a16="http://schemas.microsoft.com/office/drawing/2014/main" id="{00000000-0008-0000-0000-0000F7000000}"/>
            </a:ext>
          </a:extLst>
        </xdr:cNvPr>
        <xdr:cNvSpPr>
          <a:spLocks noChangeShapeType="1"/>
        </xdr:cNvSpPr>
      </xdr:nvSpPr>
      <xdr:spPr bwMode="auto">
        <a:xfrm>
          <a:off x="1536246" y="98193225"/>
          <a:ext cx="9525" cy="1238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936171</xdr:colOff>
      <xdr:row>518</xdr:row>
      <xdr:rowOff>171450</xdr:rowOff>
    </xdr:from>
    <xdr:to>
      <xdr:col>1</xdr:col>
      <xdr:colOff>964746</xdr:colOff>
      <xdr:row>519</xdr:row>
      <xdr:rowOff>47625</xdr:rowOff>
    </xdr:to>
    <xdr:sp macro="" textlink="">
      <xdr:nvSpPr>
        <xdr:cNvPr id="248" name="Line 560">
          <a:extLst>
            <a:ext uri="{FF2B5EF4-FFF2-40B4-BE49-F238E27FC236}">
              <a16:creationId xmlns:a16="http://schemas.microsoft.com/office/drawing/2014/main" id="{00000000-0008-0000-0000-0000F8000000}"/>
            </a:ext>
          </a:extLst>
        </xdr:cNvPr>
        <xdr:cNvSpPr>
          <a:spLocks noChangeShapeType="1"/>
        </xdr:cNvSpPr>
      </xdr:nvSpPr>
      <xdr:spPr bwMode="auto">
        <a:xfrm flipH="1" flipV="1">
          <a:off x="1307646" y="98431350"/>
          <a:ext cx="28575" cy="1143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34018</xdr:colOff>
      <xdr:row>517</xdr:row>
      <xdr:rowOff>209550</xdr:rowOff>
    </xdr:from>
    <xdr:to>
      <xdr:col>3</xdr:col>
      <xdr:colOff>62593</xdr:colOff>
      <xdr:row>518</xdr:row>
      <xdr:rowOff>0</xdr:rowOff>
    </xdr:to>
    <xdr:sp macro="" textlink="">
      <xdr:nvSpPr>
        <xdr:cNvPr id="249" name="Oval 562">
          <a:extLst>
            <a:ext uri="{FF2B5EF4-FFF2-40B4-BE49-F238E27FC236}">
              <a16:creationId xmlns:a16="http://schemas.microsoft.com/office/drawing/2014/main" id="{00000000-0008-0000-0000-0000F9000000}"/>
            </a:ext>
          </a:extLst>
        </xdr:cNvPr>
        <xdr:cNvSpPr>
          <a:spLocks noChangeArrowheads="1"/>
        </xdr:cNvSpPr>
      </xdr:nvSpPr>
      <xdr:spPr bwMode="auto">
        <a:xfrm>
          <a:off x="1710418" y="98231325"/>
          <a:ext cx="28575" cy="28575"/>
        </a:xfrm>
        <a:prstGeom prst="ellips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3</xdr:col>
      <xdr:colOff>332014</xdr:colOff>
      <xdr:row>519</xdr:row>
      <xdr:rowOff>47625</xdr:rowOff>
    </xdr:from>
    <xdr:to>
      <xdr:col>3</xdr:col>
      <xdr:colOff>360589</xdr:colOff>
      <xdr:row>519</xdr:row>
      <xdr:rowOff>76200</xdr:rowOff>
    </xdr:to>
    <xdr:sp macro="" textlink="">
      <xdr:nvSpPr>
        <xdr:cNvPr id="250" name="Oval 563">
          <a:extLst>
            <a:ext uri="{FF2B5EF4-FFF2-40B4-BE49-F238E27FC236}">
              <a16:creationId xmlns:a16="http://schemas.microsoft.com/office/drawing/2014/main" id="{00000000-0008-0000-0000-0000FA000000}"/>
            </a:ext>
          </a:extLst>
        </xdr:cNvPr>
        <xdr:cNvSpPr>
          <a:spLocks noChangeArrowheads="1"/>
        </xdr:cNvSpPr>
      </xdr:nvSpPr>
      <xdr:spPr bwMode="auto">
        <a:xfrm>
          <a:off x="2008414" y="98545650"/>
          <a:ext cx="28575" cy="28575"/>
        </a:xfrm>
        <a:prstGeom prst="ellipse">
          <a:avLst/>
        </a:prstGeom>
        <a:noFill/>
        <a:ln w="3175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0</xdr:col>
      <xdr:colOff>133350</xdr:colOff>
      <xdr:row>518</xdr:row>
      <xdr:rowOff>19050</xdr:rowOff>
    </xdr:from>
    <xdr:to>
      <xdr:col>2</xdr:col>
      <xdr:colOff>97971</xdr:colOff>
      <xdr:row>522</xdr:row>
      <xdr:rowOff>161925</xdr:rowOff>
    </xdr:to>
    <xdr:sp macro="" textlink="">
      <xdr:nvSpPr>
        <xdr:cNvPr id="251" name="Tegning 564">
          <a:extLst>
            <a:ext uri="{FF2B5EF4-FFF2-40B4-BE49-F238E27FC236}">
              <a16:creationId xmlns:a16="http://schemas.microsoft.com/office/drawing/2014/main" id="{00000000-0008-0000-0000-0000FB000000}"/>
            </a:ext>
          </a:extLst>
        </xdr:cNvPr>
        <xdr:cNvSpPr>
          <a:spLocks/>
        </xdr:cNvSpPr>
      </xdr:nvSpPr>
      <xdr:spPr bwMode="auto">
        <a:xfrm>
          <a:off x="133350" y="98278950"/>
          <a:ext cx="1364796" cy="1095375"/>
        </a:xfrm>
        <a:custGeom>
          <a:avLst/>
          <a:gdLst>
            <a:gd name="T0" fmla="*/ 2147483646 w 16384"/>
            <a:gd name="T1" fmla="*/ 0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0 w 16384"/>
            <a:gd name="T7" fmla="*/ 2147483646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2555" y="0"/>
              </a:moveTo>
              <a:lnTo>
                <a:pt x="16384" y="12423"/>
              </a:lnTo>
              <a:lnTo>
                <a:pt x="13678" y="16384"/>
              </a:lnTo>
              <a:lnTo>
                <a:pt x="0" y="3601"/>
              </a:lnTo>
            </a:path>
          </a:pathLst>
        </a:custGeom>
        <a:noFill/>
        <a:ln w="26670" cap="flat" cmpd="sng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1</xdr:col>
      <xdr:colOff>820511</xdr:colOff>
      <xdr:row>516</xdr:row>
      <xdr:rowOff>85725</xdr:rowOff>
    </xdr:from>
    <xdr:to>
      <xdr:col>1</xdr:col>
      <xdr:colOff>915761</xdr:colOff>
      <xdr:row>516</xdr:row>
      <xdr:rowOff>180975</xdr:rowOff>
    </xdr:to>
    <xdr:sp macro="" textlink="">
      <xdr:nvSpPr>
        <xdr:cNvPr id="252" name="Oval 565">
          <a:extLst>
            <a:ext uri="{FF2B5EF4-FFF2-40B4-BE49-F238E27FC236}">
              <a16:creationId xmlns:a16="http://schemas.microsoft.com/office/drawing/2014/main" id="{00000000-0008-0000-0000-0000FC000000}"/>
            </a:ext>
          </a:extLst>
        </xdr:cNvPr>
        <xdr:cNvSpPr>
          <a:spLocks noChangeArrowheads="1"/>
        </xdr:cNvSpPr>
      </xdr:nvSpPr>
      <xdr:spPr bwMode="auto">
        <a:xfrm>
          <a:off x="1191986" y="97869375"/>
          <a:ext cx="95250" cy="95250"/>
        </a:xfrm>
        <a:prstGeom prst="ellips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1</xdr:col>
      <xdr:colOff>66675</xdr:colOff>
      <xdr:row>516</xdr:row>
      <xdr:rowOff>171450</xdr:rowOff>
    </xdr:from>
    <xdr:to>
      <xdr:col>1</xdr:col>
      <xdr:colOff>839561</xdr:colOff>
      <xdr:row>520</xdr:row>
      <xdr:rowOff>114300</xdr:rowOff>
    </xdr:to>
    <xdr:sp macro="" textlink="">
      <xdr:nvSpPr>
        <xdr:cNvPr id="253" name="Line 566">
          <a:extLst>
            <a:ext uri="{FF2B5EF4-FFF2-40B4-BE49-F238E27FC236}">
              <a16:creationId xmlns:a16="http://schemas.microsoft.com/office/drawing/2014/main" id="{00000000-0008-0000-0000-0000FD000000}"/>
            </a:ext>
          </a:extLst>
        </xdr:cNvPr>
        <xdr:cNvSpPr>
          <a:spLocks noChangeShapeType="1"/>
        </xdr:cNvSpPr>
      </xdr:nvSpPr>
      <xdr:spPr bwMode="auto">
        <a:xfrm flipH="1">
          <a:off x="438150" y="97955100"/>
          <a:ext cx="772886" cy="895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285750</xdr:colOff>
      <xdr:row>518</xdr:row>
      <xdr:rowOff>219075</xdr:rowOff>
    </xdr:from>
    <xdr:to>
      <xdr:col>1</xdr:col>
      <xdr:colOff>391886</xdr:colOff>
      <xdr:row>519</xdr:row>
      <xdr:rowOff>95250</xdr:rowOff>
    </xdr:to>
    <xdr:sp macro="" textlink="">
      <xdr:nvSpPr>
        <xdr:cNvPr id="254" name="Oval 567">
          <a:extLst>
            <a:ext uri="{FF2B5EF4-FFF2-40B4-BE49-F238E27FC236}">
              <a16:creationId xmlns:a16="http://schemas.microsoft.com/office/drawing/2014/main" id="{00000000-0008-0000-0000-0000FE000000}"/>
            </a:ext>
          </a:extLst>
        </xdr:cNvPr>
        <xdr:cNvSpPr>
          <a:spLocks noChangeArrowheads="1"/>
        </xdr:cNvSpPr>
      </xdr:nvSpPr>
      <xdr:spPr bwMode="auto">
        <a:xfrm>
          <a:off x="657225" y="98478975"/>
          <a:ext cx="106136" cy="114300"/>
        </a:xfrm>
        <a:prstGeom prst="ellips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1</xdr:col>
      <xdr:colOff>696686</xdr:colOff>
      <xdr:row>520</xdr:row>
      <xdr:rowOff>0</xdr:rowOff>
    </xdr:from>
    <xdr:to>
      <xdr:col>2</xdr:col>
      <xdr:colOff>183696</xdr:colOff>
      <xdr:row>520</xdr:row>
      <xdr:rowOff>0</xdr:rowOff>
    </xdr:to>
    <xdr:sp macro="" textlink="">
      <xdr:nvSpPr>
        <xdr:cNvPr id="255" name="Line 568">
          <a:extLst>
            <a:ext uri="{FF2B5EF4-FFF2-40B4-BE49-F238E27FC236}">
              <a16:creationId xmlns:a16="http://schemas.microsoft.com/office/drawing/2014/main" id="{00000000-0008-0000-0000-0000FF000000}"/>
            </a:ext>
          </a:extLst>
        </xdr:cNvPr>
        <xdr:cNvSpPr>
          <a:spLocks noChangeShapeType="1"/>
        </xdr:cNvSpPr>
      </xdr:nvSpPr>
      <xdr:spPr bwMode="auto">
        <a:xfrm flipH="1">
          <a:off x="1068161" y="98736150"/>
          <a:ext cx="51571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734786</xdr:colOff>
      <xdr:row>518</xdr:row>
      <xdr:rowOff>161925</xdr:rowOff>
    </xdr:from>
    <xdr:to>
      <xdr:col>1</xdr:col>
      <xdr:colOff>868136</xdr:colOff>
      <xdr:row>520</xdr:row>
      <xdr:rowOff>47625</xdr:rowOff>
    </xdr:to>
    <xdr:sp macro="" textlink="">
      <xdr:nvSpPr>
        <xdr:cNvPr id="256" name="Arc 569">
          <a:extLst>
            <a:ext uri="{FF2B5EF4-FFF2-40B4-BE49-F238E27FC236}">
              <a16:creationId xmlns:a16="http://schemas.microsoft.com/office/drawing/2014/main" id="{00000000-0008-0000-0000-000000010000}"/>
            </a:ext>
          </a:extLst>
        </xdr:cNvPr>
        <xdr:cNvSpPr>
          <a:spLocks/>
        </xdr:cNvSpPr>
      </xdr:nvSpPr>
      <xdr:spPr bwMode="auto">
        <a:xfrm flipH="1">
          <a:off x="1106261" y="98421825"/>
          <a:ext cx="133350" cy="361950"/>
        </a:xfrm>
        <a:custGeom>
          <a:avLst/>
          <a:gdLst>
            <a:gd name="T0" fmla="*/ 0 w 21600"/>
            <a:gd name="T1" fmla="*/ 0 h 21600"/>
            <a:gd name="T2" fmla="*/ 2147483646 w 21600"/>
            <a:gd name="T3" fmla="*/ 2147483646 h 21600"/>
            <a:gd name="T4" fmla="*/ 0 w 21600"/>
            <a:gd name="T5" fmla="*/ 2147483646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3</xdr:col>
      <xdr:colOff>214993</xdr:colOff>
      <xdr:row>516</xdr:row>
      <xdr:rowOff>190500</xdr:rowOff>
    </xdr:from>
    <xdr:to>
      <xdr:col>4</xdr:col>
      <xdr:colOff>303439</xdr:colOff>
      <xdr:row>523</xdr:row>
      <xdr:rowOff>66675</xdr:rowOff>
    </xdr:to>
    <xdr:sp macro="" textlink="">
      <xdr:nvSpPr>
        <xdr:cNvPr id="257" name="Tegning 570">
          <a:extLst>
            <a:ext uri="{FF2B5EF4-FFF2-40B4-BE49-F238E27FC236}">
              <a16:creationId xmlns:a16="http://schemas.microsoft.com/office/drawing/2014/main" id="{00000000-0008-0000-0000-000001010000}"/>
            </a:ext>
          </a:extLst>
        </xdr:cNvPr>
        <xdr:cNvSpPr>
          <a:spLocks/>
        </xdr:cNvSpPr>
      </xdr:nvSpPr>
      <xdr:spPr bwMode="auto">
        <a:xfrm>
          <a:off x="1891393" y="97974150"/>
          <a:ext cx="707571" cy="15430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0 w 16384"/>
            <a:gd name="T7" fmla="*/ 2147483646 h 16384"/>
            <a:gd name="T8" fmla="*/ 0 w 16384"/>
            <a:gd name="T9" fmla="*/ 0 h 16384"/>
            <a:gd name="T10" fmla="*/ 2147483646 w 16384"/>
            <a:gd name="T11" fmla="*/ 0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0" t="0" r="r" b="b"/>
          <a:pathLst>
            <a:path w="16384" h="16384">
              <a:moveTo>
                <a:pt x="16384" y="16384"/>
              </a:moveTo>
              <a:lnTo>
                <a:pt x="6942" y="12066"/>
              </a:lnTo>
              <a:lnTo>
                <a:pt x="6942" y="4699"/>
              </a:lnTo>
              <a:lnTo>
                <a:pt x="0" y="4699"/>
              </a:lnTo>
              <a:lnTo>
                <a:pt x="0" y="0"/>
              </a:lnTo>
              <a:lnTo>
                <a:pt x="14440" y="0"/>
              </a:lnTo>
            </a:path>
          </a:pathLst>
        </a:custGeom>
        <a:noFill/>
        <a:ln w="952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3</xdr:col>
      <xdr:colOff>72118</xdr:colOff>
      <xdr:row>515</xdr:row>
      <xdr:rowOff>142875</xdr:rowOff>
    </xdr:from>
    <xdr:to>
      <xdr:col>3</xdr:col>
      <xdr:colOff>72118</xdr:colOff>
      <xdr:row>517</xdr:row>
      <xdr:rowOff>142875</xdr:rowOff>
    </xdr:to>
    <xdr:sp macro="" textlink="">
      <xdr:nvSpPr>
        <xdr:cNvPr id="258" name="Line 571">
          <a:extLst>
            <a:ext uri="{FF2B5EF4-FFF2-40B4-BE49-F238E27FC236}">
              <a16:creationId xmlns:a16="http://schemas.microsoft.com/office/drawing/2014/main" id="{00000000-0008-0000-0000-000002010000}"/>
            </a:ext>
          </a:extLst>
        </xdr:cNvPr>
        <xdr:cNvSpPr>
          <a:spLocks noChangeShapeType="1"/>
        </xdr:cNvSpPr>
      </xdr:nvSpPr>
      <xdr:spPr bwMode="auto">
        <a:xfrm flipV="1">
          <a:off x="1748518" y="97688400"/>
          <a:ext cx="0" cy="4762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341539</xdr:colOff>
      <xdr:row>515</xdr:row>
      <xdr:rowOff>161925</xdr:rowOff>
    </xdr:from>
    <xdr:to>
      <xdr:col>3</xdr:col>
      <xdr:colOff>341539</xdr:colOff>
      <xdr:row>516</xdr:row>
      <xdr:rowOff>47625</xdr:rowOff>
    </xdr:to>
    <xdr:sp macro="" textlink="">
      <xdr:nvSpPr>
        <xdr:cNvPr id="259" name="Line 572">
          <a:extLst>
            <a:ext uri="{FF2B5EF4-FFF2-40B4-BE49-F238E27FC236}">
              <a16:creationId xmlns:a16="http://schemas.microsoft.com/office/drawing/2014/main" id="{00000000-0008-0000-0000-000003010000}"/>
            </a:ext>
          </a:extLst>
        </xdr:cNvPr>
        <xdr:cNvSpPr>
          <a:spLocks noChangeShapeType="1"/>
        </xdr:cNvSpPr>
      </xdr:nvSpPr>
      <xdr:spPr bwMode="auto">
        <a:xfrm flipV="1">
          <a:off x="2017939" y="97707450"/>
          <a:ext cx="0" cy="1238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34018</xdr:colOff>
      <xdr:row>516</xdr:row>
      <xdr:rowOff>0</xdr:rowOff>
    </xdr:from>
    <xdr:to>
      <xdr:col>3</xdr:col>
      <xdr:colOff>389164</xdr:colOff>
      <xdr:row>516</xdr:row>
      <xdr:rowOff>0</xdr:rowOff>
    </xdr:to>
    <xdr:sp macro="" textlink="">
      <xdr:nvSpPr>
        <xdr:cNvPr id="260" name="Line 573">
          <a:extLst>
            <a:ext uri="{FF2B5EF4-FFF2-40B4-BE49-F238E27FC236}">
              <a16:creationId xmlns:a16="http://schemas.microsoft.com/office/drawing/2014/main" id="{00000000-0008-0000-0000-000004010000}"/>
            </a:ext>
          </a:extLst>
        </xdr:cNvPr>
        <xdr:cNvSpPr>
          <a:spLocks noChangeShapeType="1"/>
        </xdr:cNvSpPr>
      </xdr:nvSpPr>
      <xdr:spPr bwMode="auto">
        <a:xfrm>
          <a:off x="1710418" y="97783650"/>
          <a:ext cx="355146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43543</xdr:colOff>
      <xdr:row>515</xdr:row>
      <xdr:rowOff>200025</xdr:rowOff>
    </xdr:from>
    <xdr:to>
      <xdr:col>3</xdr:col>
      <xdr:colOff>129268</xdr:colOff>
      <xdr:row>516</xdr:row>
      <xdr:rowOff>38100</xdr:rowOff>
    </xdr:to>
    <xdr:sp macro="" textlink="">
      <xdr:nvSpPr>
        <xdr:cNvPr id="261" name="Line 574">
          <a:extLst>
            <a:ext uri="{FF2B5EF4-FFF2-40B4-BE49-F238E27FC236}">
              <a16:creationId xmlns:a16="http://schemas.microsoft.com/office/drawing/2014/main" id="{00000000-0008-0000-0000-000005010000}"/>
            </a:ext>
          </a:extLst>
        </xdr:cNvPr>
        <xdr:cNvSpPr>
          <a:spLocks noChangeShapeType="1"/>
        </xdr:cNvSpPr>
      </xdr:nvSpPr>
      <xdr:spPr bwMode="auto">
        <a:xfrm flipH="1">
          <a:off x="1719943" y="97745550"/>
          <a:ext cx="85725" cy="762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284389</xdr:colOff>
      <xdr:row>515</xdr:row>
      <xdr:rowOff>200025</xdr:rowOff>
    </xdr:from>
    <xdr:to>
      <xdr:col>3</xdr:col>
      <xdr:colOff>389164</xdr:colOff>
      <xdr:row>516</xdr:row>
      <xdr:rowOff>57150</xdr:rowOff>
    </xdr:to>
    <xdr:sp macro="" textlink="">
      <xdr:nvSpPr>
        <xdr:cNvPr id="262" name="Line 575">
          <a:extLst>
            <a:ext uri="{FF2B5EF4-FFF2-40B4-BE49-F238E27FC236}">
              <a16:creationId xmlns:a16="http://schemas.microsoft.com/office/drawing/2014/main" id="{00000000-0008-0000-0000-000006010000}"/>
            </a:ext>
          </a:extLst>
        </xdr:cNvPr>
        <xdr:cNvSpPr>
          <a:spLocks noChangeShapeType="1"/>
        </xdr:cNvSpPr>
      </xdr:nvSpPr>
      <xdr:spPr bwMode="auto">
        <a:xfrm flipH="1">
          <a:off x="1960789" y="97745550"/>
          <a:ext cx="104775" cy="952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100693</xdr:colOff>
      <xdr:row>519</xdr:row>
      <xdr:rowOff>190500</xdr:rowOff>
    </xdr:from>
    <xdr:to>
      <xdr:col>3</xdr:col>
      <xdr:colOff>129268</xdr:colOff>
      <xdr:row>519</xdr:row>
      <xdr:rowOff>219075</xdr:rowOff>
    </xdr:to>
    <xdr:sp macro="" textlink="">
      <xdr:nvSpPr>
        <xdr:cNvPr id="263" name="Oval 576">
          <a:extLst>
            <a:ext uri="{FF2B5EF4-FFF2-40B4-BE49-F238E27FC236}">
              <a16:creationId xmlns:a16="http://schemas.microsoft.com/office/drawing/2014/main" id="{00000000-0008-0000-0000-000007010000}"/>
            </a:ext>
          </a:extLst>
        </xdr:cNvPr>
        <xdr:cNvSpPr>
          <a:spLocks noChangeArrowheads="1"/>
        </xdr:cNvSpPr>
      </xdr:nvSpPr>
      <xdr:spPr bwMode="auto">
        <a:xfrm>
          <a:off x="1777093" y="98688525"/>
          <a:ext cx="28575" cy="28575"/>
        </a:xfrm>
        <a:prstGeom prst="ellips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1</xdr:col>
      <xdr:colOff>458561</xdr:colOff>
      <xdr:row>523</xdr:row>
      <xdr:rowOff>142875</xdr:rowOff>
    </xdr:from>
    <xdr:to>
      <xdr:col>3</xdr:col>
      <xdr:colOff>332014</xdr:colOff>
      <xdr:row>528</xdr:row>
      <xdr:rowOff>61232</xdr:rowOff>
    </xdr:to>
    <xdr:sp macro="" textlink="">
      <xdr:nvSpPr>
        <xdr:cNvPr id="264" name="Tegning 578">
          <a:extLst>
            <a:ext uri="{FF2B5EF4-FFF2-40B4-BE49-F238E27FC236}">
              <a16:creationId xmlns:a16="http://schemas.microsoft.com/office/drawing/2014/main" id="{00000000-0008-0000-0000-000008010000}"/>
            </a:ext>
          </a:extLst>
        </xdr:cNvPr>
        <xdr:cNvSpPr>
          <a:spLocks/>
        </xdr:cNvSpPr>
      </xdr:nvSpPr>
      <xdr:spPr bwMode="auto">
        <a:xfrm>
          <a:off x="830036" y="99593400"/>
          <a:ext cx="1178378" cy="1108982"/>
        </a:xfrm>
        <a:custGeom>
          <a:avLst/>
          <a:gdLst>
            <a:gd name="T0" fmla="*/ 2147483646 w 16384"/>
            <a:gd name="T1" fmla="*/ 0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0 w 16384"/>
            <a:gd name="T13" fmla="*/ 2147483646 h 1638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0" t="0" r="r" b="b"/>
          <a:pathLst>
            <a:path w="16384" h="16384">
              <a:moveTo>
                <a:pt x="3277" y="0"/>
              </a:moveTo>
              <a:lnTo>
                <a:pt x="11981" y="6197"/>
              </a:lnTo>
              <a:lnTo>
                <a:pt x="11981" y="13233"/>
              </a:lnTo>
              <a:lnTo>
                <a:pt x="16384" y="16384"/>
              </a:lnTo>
              <a:lnTo>
                <a:pt x="16384" y="10608"/>
              </a:lnTo>
              <a:lnTo>
                <a:pt x="8806" y="10608"/>
              </a:lnTo>
              <a:lnTo>
                <a:pt x="0" y="3676"/>
              </a:lnTo>
            </a:path>
          </a:pathLst>
        </a:custGeom>
        <a:noFill/>
        <a:ln w="26670" cap="flat" cmpd="sng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3</xdr:col>
      <xdr:colOff>190500</xdr:colOff>
      <xdr:row>518</xdr:row>
      <xdr:rowOff>76200</xdr:rowOff>
    </xdr:from>
    <xdr:to>
      <xdr:col>3</xdr:col>
      <xdr:colOff>507546</xdr:colOff>
      <xdr:row>518</xdr:row>
      <xdr:rowOff>228600</xdr:rowOff>
    </xdr:to>
    <xdr:sp macro="" textlink="">
      <xdr:nvSpPr>
        <xdr:cNvPr id="265" name="Tegning 550">
          <a:extLst>
            <a:ext uri="{FF2B5EF4-FFF2-40B4-BE49-F238E27FC236}">
              <a16:creationId xmlns:a16="http://schemas.microsoft.com/office/drawing/2014/main" id="{00000000-0008-0000-0000-000009010000}"/>
            </a:ext>
          </a:extLst>
        </xdr:cNvPr>
        <xdr:cNvSpPr>
          <a:spLocks/>
        </xdr:cNvSpPr>
      </xdr:nvSpPr>
      <xdr:spPr bwMode="auto">
        <a:xfrm>
          <a:off x="1866900" y="98336100"/>
          <a:ext cx="317046" cy="152400"/>
        </a:xfrm>
        <a:custGeom>
          <a:avLst/>
          <a:gdLst>
            <a:gd name="T0" fmla="*/ 2147483646 w 16384"/>
            <a:gd name="T1" fmla="*/ 0 h 16384"/>
            <a:gd name="T2" fmla="*/ 2147483646 w 16384"/>
            <a:gd name="T3" fmla="*/ 2147483646 h 16384"/>
            <a:gd name="T4" fmla="*/ 0 w 16384"/>
            <a:gd name="T5" fmla="*/ 0 h 16384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6384" h="16384">
              <a:moveTo>
                <a:pt x="16384" y="0"/>
              </a:moveTo>
              <a:lnTo>
                <a:pt x="8192" y="16384"/>
              </a:lnTo>
              <a:lnTo>
                <a:pt x="0" y="0"/>
              </a:lnTo>
            </a:path>
          </a:pathLst>
        </a:custGeom>
        <a:noFill/>
        <a:ln w="15875" cap="flat" cmpd="sng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1</xdr:col>
      <xdr:colOff>752475</xdr:colOff>
      <xdr:row>516</xdr:row>
      <xdr:rowOff>38100</xdr:rowOff>
    </xdr:from>
    <xdr:to>
      <xdr:col>3</xdr:col>
      <xdr:colOff>378278</xdr:colOff>
      <xdr:row>520</xdr:row>
      <xdr:rowOff>161925</xdr:rowOff>
    </xdr:to>
    <xdr:sp macro="" textlink="">
      <xdr:nvSpPr>
        <xdr:cNvPr id="266" name="Tegning 561">
          <a:extLst>
            <a:ext uri="{FF2B5EF4-FFF2-40B4-BE49-F238E27FC236}">
              <a16:creationId xmlns:a16="http://schemas.microsoft.com/office/drawing/2014/main" id="{00000000-0008-0000-0000-00000A010000}"/>
            </a:ext>
          </a:extLst>
        </xdr:cNvPr>
        <xdr:cNvSpPr>
          <a:spLocks/>
        </xdr:cNvSpPr>
      </xdr:nvSpPr>
      <xdr:spPr bwMode="auto">
        <a:xfrm>
          <a:off x="1123950" y="97821750"/>
          <a:ext cx="930728" cy="10763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11176" y="6055"/>
              </a:lnTo>
              <a:lnTo>
                <a:pt x="11176" y="13446"/>
              </a:lnTo>
              <a:lnTo>
                <a:pt x="16384" y="16384"/>
              </a:lnTo>
            </a:path>
          </a:pathLst>
        </a:custGeom>
        <a:noFill/>
        <a:ln w="26670" cap="flat" cmpd="sng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3</xdr:col>
      <xdr:colOff>380779</xdr:colOff>
      <xdr:row>538</xdr:row>
      <xdr:rowOff>146488</xdr:rowOff>
    </xdr:from>
    <xdr:to>
      <xdr:col>3</xdr:col>
      <xdr:colOff>380779</xdr:colOff>
      <xdr:row>543</xdr:row>
      <xdr:rowOff>131520</xdr:rowOff>
    </xdr:to>
    <xdr:cxnSp macro="">
      <xdr:nvCxnSpPr>
        <xdr:cNvPr id="292" name="Lige forbindelse 291">
          <a:extLst>
            <a:ext uri="{FF2B5EF4-FFF2-40B4-BE49-F238E27FC236}">
              <a16:creationId xmlns:a16="http://schemas.microsoft.com/office/drawing/2014/main" id="{00000000-0008-0000-0000-000024010000}"/>
            </a:ext>
          </a:extLst>
        </xdr:cNvPr>
        <xdr:cNvCxnSpPr>
          <a:cxnSpLocks/>
        </xdr:cNvCxnSpPr>
      </xdr:nvCxnSpPr>
      <xdr:spPr>
        <a:xfrm>
          <a:off x="2057179" y="103321288"/>
          <a:ext cx="0" cy="1175657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330886</xdr:colOff>
      <xdr:row>543</xdr:row>
      <xdr:rowOff>131520</xdr:rowOff>
    </xdr:from>
    <xdr:to>
      <xdr:col>3</xdr:col>
      <xdr:colOff>380780</xdr:colOff>
      <xdr:row>550</xdr:row>
      <xdr:rowOff>123354</xdr:rowOff>
    </xdr:to>
    <xdr:cxnSp macro="">
      <xdr:nvCxnSpPr>
        <xdr:cNvPr id="293" name="Lige forbindelse 292">
          <a:extLst>
            <a:ext uri="{FF2B5EF4-FFF2-40B4-BE49-F238E27FC236}">
              <a16:creationId xmlns:a16="http://schemas.microsoft.com/office/drawing/2014/main" id="{00000000-0008-0000-0000-000025010000}"/>
            </a:ext>
          </a:extLst>
        </xdr:cNvPr>
        <xdr:cNvCxnSpPr>
          <a:cxnSpLocks/>
        </xdr:cNvCxnSpPr>
      </xdr:nvCxnSpPr>
      <xdr:spPr>
        <a:xfrm flipH="1">
          <a:off x="330886" y="104496945"/>
          <a:ext cx="1726294" cy="1658709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60101</xdr:colOff>
      <xdr:row>536</xdr:row>
      <xdr:rowOff>50800</xdr:rowOff>
    </xdr:from>
    <xdr:to>
      <xdr:col>3</xdr:col>
      <xdr:colOff>60101</xdr:colOff>
      <xdr:row>538</xdr:row>
      <xdr:rowOff>79829</xdr:rowOff>
    </xdr:to>
    <xdr:cxnSp macro="">
      <xdr:nvCxnSpPr>
        <xdr:cNvPr id="294" name="Lige forbindelse 293">
          <a:extLst>
            <a:ext uri="{FF2B5EF4-FFF2-40B4-BE49-F238E27FC236}">
              <a16:creationId xmlns:a16="http://schemas.microsoft.com/office/drawing/2014/main" id="{00000000-0008-0000-0000-000026010000}"/>
            </a:ext>
          </a:extLst>
        </xdr:cNvPr>
        <xdr:cNvCxnSpPr>
          <a:cxnSpLocks/>
        </xdr:cNvCxnSpPr>
      </xdr:nvCxnSpPr>
      <xdr:spPr>
        <a:xfrm>
          <a:off x="1736501" y="102749350"/>
          <a:ext cx="0" cy="505279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196628</xdr:colOff>
      <xdr:row>537</xdr:row>
      <xdr:rowOff>200026</xdr:rowOff>
    </xdr:from>
    <xdr:to>
      <xdr:col>3</xdr:col>
      <xdr:colOff>60101</xdr:colOff>
      <xdr:row>538</xdr:row>
      <xdr:rowOff>97066</xdr:rowOff>
    </xdr:to>
    <xdr:cxnSp macro="">
      <xdr:nvCxnSpPr>
        <xdr:cNvPr id="295" name="Lige forbindelse 294">
          <a:extLst>
            <a:ext uri="{FF2B5EF4-FFF2-40B4-BE49-F238E27FC236}">
              <a16:creationId xmlns:a16="http://schemas.microsoft.com/office/drawing/2014/main" id="{00000000-0008-0000-0000-000027010000}"/>
            </a:ext>
          </a:extLst>
        </xdr:cNvPr>
        <xdr:cNvCxnSpPr>
          <a:cxnSpLocks/>
        </xdr:cNvCxnSpPr>
      </xdr:nvCxnSpPr>
      <xdr:spPr>
        <a:xfrm flipH="1" flipV="1">
          <a:off x="1596803" y="103136701"/>
          <a:ext cx="139698" cy="135165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47404</xdr:colOff>
      <xdr:row>537</xdr:row>
      <xdr:rowOff>200025</xdr:rowOff>
    </xdr:from>
    <xdr:to>
      <xdr:col>3</xdr:col>
      <xdr:colOff>199801</xdr:colOff>
      <xdr:row>538</xdr:row>
      <xdr:rowOff>114301</xdr:rowOff>
    </xdr:to>
    <xdr:cxnSp macro="">
      <xdr:nvCxnSpPr>
        <xdr:cNvPr id="296" name="Lige forbindelse 295">
          <a:extLst>
            <a:ext uri="{FF2B5EF4-FFF2-40B4-BE49-F238E27FC236}">
              <a16:creationId xmlns:a16="http://schemas.microsoft.com/office/drawing/2014/main" id="{00000000-0008-0000-0000-000028010000}"/>
            </a:ext>
          </a:extLst>
        </xdr:cNvPr>
        <xdr:cNvCxnSpPr>
          <a:cxnSpLocks/>
        </xdr:cNvCxnSpPr>
      </xdr:nvCxnSpPr>
      <xdr:spPr>
        <a:xfrm flipH="1">
          <a:off x="1723804" y="103136700"/>
          <a:ext cx="152397" cy="152401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190501</xdr:colOff>
      <xdr:row>540</xdr:row>
      <xdr:rowOff>107707</xdr:rowOff>
    </xdr:from>
    <xdr:to>
      <xdr:col>3</xdr:col>
      <xdr:colOff>199802</xdr:colOff>
      <xdr:row>547</xdr:row>
      <xdr:rowOff>78907</xdr:rowOff>
    </xdr:to>
    <xdr:cxnSp macro="">
      <xdr:nvCxnSpPr>
        <xdr:cNvPr id="297" name="Lige forbindelse 296">
          <a:extLst>
            <a:ext uri="{FF2B5EF4-FFF2-40B4-BE49-F238E27FC236}">
              <a16:creationId xmlns:a16="http://schemas.microsoft.com/office/drawing/2014/main" id="{00000000-0008-0000-0000-000029010000}"/>
            </a:ext>
          </a:extLst>
        </xdr:cNvPr>
        <xdr:cNvCxnSpPr>
          <a:cxnSpLocks/>
        </xdr:cNvCxnSpPr>
      </xdr:nvCxnSpPr>
      <xdr:spPr>
        <a:xfrm flipH="1">
          <a:off x="190501" y="103758757"/>
          <a:ext cx="1685701" cy="1638075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282123</xdr:colOff>
      <xdr:row>543</xdr:row>
      <xdr:rowOff>36271</xdr:rowOff>
    </xdr:from>
    <xdr:to>
      <xdr:col>3</xdr:col>
      <xdr:colOff>289157</xdr:colOff>
      <xdr:row>550</xdr:row>
      <xdr:rowOff>22187</xdr:rowOff>
    </xdr:to>
    <xdr:cxnSp macro="">
      <xdr:nvCxnSpPr>
        <xdr:cNvPr id="298" name="Lige forbindelse 297">
          <a:extLst>
            <a:ext uri="{FF2B5EF4-FFF2-40B4-BE49-F238E27FC236}">
              <a16:creationId xmlns:a16="http://schemas.microsoft.com/office/drawing/2014/main" id="{00000000-0008-0000-0000-00002A010000}"/>
            </a:ext>
          </a:extLst>
        </xdr:cNvPr>
        <xdr:cNvCxnSpPr>
          <a:cxnSpLocks/>
        </xdr:cNvCxnSpPr>
      </xdr:nvCxnSpPr>
      <xdr:spPr>
        <a:xfrm flipH="1">
          <a:off x="282123" y="104401696"/>
          <a:ext cx="1683434" cy="1652791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289156</xdr:colOff>
      <xdr:row>539</xdr:row>
      <xdr:rowOff>9529</xdr:rowOff>
    </xdr:from>
    <xdr:to>
      <xdr:col>3</xdr:col>
      <xdr:colOff>289156</xdr:colOff>
      <xdr:row>543</xdr:row>
      <xdr:rowOff>36271</xdr:rowOff>
    </xdr:to>
    <xdr:cxnSp macro="">
      <xdr:nvCxnSpPr>
        <xdr:cNvPr id="299" name="Lige forbindelse 298">
          <a:extLst>
            <a:ext uri="{FF2B5EF4-FFF2-40B4-BE49-F238E27FC236}">
              <a16:creationId xmlns:a16="http://schemas.microsoft.com/office/drawing/2014/main" id="{00000000-0008-0000-0000-00002B010000}"/>
            </a:ext>
          </a:extLst>
        </xdr:cNvPr>
        <xdr:cNvCxnSpPr>
          <a:cxnSpLocks/>
        </xdr:cNvCxnSpPr>
      </xdr:nvCxnSpPr>
      <xdr:spPr>
        <a:xfrm flipV="1">
          <a:off x="1965556" y="103422454"/>
          <a:ext cx="0" cy="979242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691475</xdr:colOff>
      <xdr:row>539</xdr:row>
      <xdr:rowOff>9529</xdr:rowOff>
    </xdr:from>
    <xdr:to>
      <xdr:col>3</xdr:col>
      <xdr:colOff>289156</xdr:colOff>
      <xdr:row>539</xdr:row>
      <xdr:rowOff>9529</xdr:rowOff>
    </xdr:to>
    <xdr:cxnSp macro="">
      <xdr:nvCxnSpPr>
        <xdr:cNvPr id="300" name="Lige forbindelse 299">
          <a:extLst>
            <a:ext uri="{FF2B5EF4-FFF2-40B4-BE49-F238E27FC236}">
              <a16:creationId xmlns:a16="http://schemas.microsoft.com/office/drawing/2014/main" id="{00000000-0008-0000-0000-00002C010000}"/>
            </a:ext>
          </a:extLst>
        </xdr:cNvPr>
        <xdr:cNvCxnSpPr>
          <a:cxnSpLocks/>
        </xdr:cNvCxnSpPr>
      </xdr:nvCxnSpPr>
      <xdr:spPr>
        <a:xfrm>
          <a:off x="1062950" y="103422454"/>
          <a:ext cx="902606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701001</xdr:colOff>
      <xdr:row>539</xdr:row>
      <xdr:rowOff>9529</xdr:rowOff>
    </xdr:from>
    <xdr:to>
      <xdr:col>1</xdr:col>
      <xdr:colOff>701001</xdr:colOff>
      <xdr:row>546</xdr:row>
      <xdr:rowOff>225410</xdr:rowOff>
    </xdr:to>
    <xdr:cxnSp macro="">
      <xdr:nvCxnSpPr>
        <xdr:cNvPr id="301" name="Lige forbindelse 300">
          <a:extLst>
            <a:ext uri="{FF2B5EF4-FFF2-40B4-BE49-F238E27FC236}">
              <a16:creationId xmlns:a16="http://schemas.microsoft.com/office/drawing/2014/main" id="{00000000-0008-0000-0000-00002D010000}"/>
            </a:ext>
          </a:extLst>
        </xdr:cNvPr>
        <xdr:cNvCxnSpPr>
          <a:cxnSpLocks/>
        </xdr:cNvCxnSpPr>
      </xdr:nvCxnSpPr>
      <xdr:spPr>
        <a:xfrm>
          <a:off x="1072476" y="103422454"/>
          <a:ext cx="0" cy="1882756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723953</xdr:colOff>
      <xdr:row>539</xdr:row>
      <xdr:rowOff>28383</xdr:rowOff>
    </xdr:from>
    <xdr:to>
      <xdr:col>1</xdr:col>
      <xdr:colOff>784453</xdr:colOff>
      <xdr:row>539</xdr:row>
      <xdr:rowOff>88883</xdr:rowOff>
    </xdr:to>
    <xdr:sp macro="" textlink="">
      <xdr:nvSpPr>
        <xdr:cNvPr id="302" name="Ellipse 301">
          <a:extLst>
            <a:ext uri="{FF2B5EF4-FFF2-40B4-BE49-F238E27FC236}">
              <a16:creationId xmlns:a16="http://schemas.microsoft.com/office/drawing/2014/main" id="{00000000-0008-0000-0000-00002E010000}"/>
            </a:ext>
          </a:extLst>
        </xdr:cNvPr>
        <xdr:cNvSpPr/>
      </xdr:nvSpPr>
      <xdr:spPr>
        <a:xfrm>
          <a:off x="1095428" y="103441308"/>
          <a:ext cx="60500" cy="6050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da-DK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da-DK"/>
        </a:p>
      </xdr:txBody>
    </xdr:sp>
    <xdr:clientData/>
  </xdr:twoCellAnchor>
  <xdr:twoCellAnchor>
    <xdr:from>
      <xdr:col>3</xdr:col>
      <xdr:colOff>200667</xdr:colOff>
      <xdr:row>539</xdr:row>
      <xdr:rowOff>28383</xdr:rowOff>
    </xdr:from>
    <xdr:to>
      <xdr:col>3</xdr:col>
      <xdr:colOff>261167</xdr:colOff>
      <xdr:row>539</xdr:row>
      <xdr:rowOff>88883</xdr:rowOff>
    </xdr:to>
    <xdr:sp macro="" textlink="">
      <xdr:nvSpPr>
        <xdr:cNvPr id="303" name="Ellipse 302">
          <a:extLst>
            <a:ext uri="{FF2B5EF4-FFF2-40B4-BE49-F238E27FC236}">
              <a16:creationId xmlns:a16="http://schemas.microsoft.com/office/drawing/2014/main" id="{00000000-0008-0000-0000-00002F010000}"/>
            </a:ext>
          </a:extLst>
        </xdr:cNvPr>
        <xdr:cNvSpPr/>
      </xdr:nvSpPr>
      <xdr:spPr>
        <a:xfrm>
          <a:off x="1877067" y="103441308"/>
          <a:ext cx="60500" cy="6050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da-DK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da-DK"/>
        </a:p>
      </xdr:txBody>
    </xdr:sp>
    <xdr:clientData/>
  </xdr:twoCellAnchor>
  <xdr:twoCellAnchor>
    <xdr:from>
      <xdr:col>3</xdr:col>
      <xdr:colOff>197534</xdr:colOff>
      <xdr:row>542</xdr:row>
      <xdr:rowOff>210921</xdr:rowOff>
    </xdr:from>
    <xdr:to>
      <xdr:col>3</xdr:col>
      <xdr:colOff>258034</xdr:colOff>
      <xdr:row>543</xdr:row>
      <xdr:rowOff>33296</xdr:rowOff>
    </xdr:to>
    <xdr:sp macro="" textlink="">
      <xdr:nvSpPr>
        <xdr:cNvPr id="304" name="Ellipse 303">
          <a:extLst>
            <a:ext uri="{FF2B5EF4-FFF2-40B4-BE49-F238E27FC236}">
              <a16:creationId xmlns:a16="http://schemas.microsoft.com/office/drawing/2014/main" id="{00000000-0008-0000-0000-000030010000}"/>
            </a:ext>
          </a:extLst>
        </xdr:cNvPr>
        <xdr:cNvSpPr/>
      </xdr:nvSpPr>
      <xdr:spPr>
        <a:xfrm>
          <a:off x="1873934" y="104338221"/>
          <a:ext cx="60500" cy="6050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da-DK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da-DK"/>
        </a:p>
      </xdr:txBody>
    </xdr:sp>
    <xdr:clientData/>
  </xdr:twoCellAnchor>
  <xdr:twoCellAnchor>
    <xdr:from>
      <xdr:col>1</xdr:col>
      <xdr:colOff>612517</xdr:colOff>
      <xdr:row>546</xdr:row>
      <xdr:rowOff>139485</xdr:rowOff>
    </xdr:from>
    <xdr:to>
      <xdr:col>1</xdr:col>
      <xdr:colOff>673017</xdr:colOff>
      <xdr:row>546</xdr:row>
      <xdr:rowOff>199985</xdr:rowOff>
    </xdr:to>
    <xdr:sp macro="" textlink="">
      <xdr:nvSpPr>
        <xdr:cNvPr id="305" name="Ellipse 304">
          <a:extLst>
            <a:ext uri="{FF2B5EF4-FFF2-40B4-BE49-F238E27FC236}">
              <a16:creationId xmlns:a16="http://schemas.microsoft.com/office/drawing/2014/main" id="{00000000-0008-0000-0000-000031010000}"/>
            </a:ext>
          </a:extLst>
        </xdr:cNvPr>
        <xdr:cNvSpPr/>
      </xdr:nvSpPr>
      <xdr:spPr>
        <a:xfrm>
          <a:off x="983992" y="105219285"/>
          <a:ext cx="60500" cy="6050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da-DK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da-DK"/>
        </a:p>
      </xdr:txBody>
    </xdr:sp>
    <xdr:clientData/>
  </xdr:twoCellAnchor>
  <xdr:twoCellAnchor>
    <xdr:from>
      <xdr:col>1</xdr:col>
      <xdr:colOff>666534</xdr:colOff>
      <xdr:row>546</xdr:row>
      <xdr:rowOff>129959</xdr:rowOff>
    </xdr:from>
    <xdr:to>
      <xdr:col>4</xdr:col>
      <xdr:colOff>59424</xdr:colOff>
      <xdr:row>546</xdr:row>
      <xdr:rowOff>129959</xdr:rowOff>
    </xdr:to>
    <xdr:cxnSp macro="">
      <xdr:nvCxnSpPr>
        <xdr:cNvPr id="306" name="Lige forbindelse 305">
          <a:extLst>
            <a:ext uri="{FF2B5EF4-FFF2-40B4-BE49-F238E27FC236}">
              <a16:creationId xmlns:a16="http://schemas.microsoft.com/office/drawing/2014/main" id="{00000000-0008-0000-0000-000032010000}"/>
            </a:ext>
          </a:extLst>
        </xdr:cNvPr>
        <xdr:cNvCxnSpPr>
          <a:cxnSpLocks/>
        </xdr:cNvCxnSpPr>
      </xdr:nvCxnSpPr>
      <xdr:spPr>
        <a:xfrm>
          <a:off x="1038009" y="105209759"/>
          <a:ext cx="1316940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323634</xdr:colOff>
      <xdr:row>539</xdr:row>
      <xdr:rowOff>9529</xdr:rowOff>
    </xdr:from>
    <xdr:to>
      <xdr:col>4</xdr:col>
      <xdr:colOff>59424</xdr:colOff>
      <xdr:row>539</xdr:row>
      <xdr:rowOff>9529</xdr:rowOff>
    </xdr:to>
    <xdr:cxnSp macro="">
      <xdr:nvCxnSpPr>
        <xdr:cNvPr id="307" name="Lige forbindelse 306">
          <a:extLst>
            <a:ext uri="{FF2B5EF4-FFF2-40B4-BE49-F238E27FC236}">
              <a16:creationId xmlns:a16="http://schemas.microsoft.com/office/drawing/2014/main" id="{00000000-0008-0000-0000-000033010000}"/>
            </a:ext>
          </a:extLst>
        </xdr:cNvPr>
        <xdr:cNvCxnSpPr>
          <a:cxnSpLocks/>
        </xdr:cNvCxnSpPr>
      </xdr:nvCxnSpPr>
      <xdr:spPr>
        <a:xfrm>
          <a:off x="2000034" y="103422454"/>
          <a:ext cx="354915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45137</xdr:colOff>
      <xdr:row>538</xdr:row>
      <xdr:rowOff>179829</xdr:rowOff>
    </xdr:from>
    <xdr:to>
      <xdr:col>4</xdr:col>
      <xdr:colOff>45137</xdr:colOff>
      <xdr:row>546</xdr:row>
      <xdr:rowOff>172827</xdr:rowOff>
    </xdr:to>
    <xdr:cxnSp macro="">
      <xdr:nvCxnSpPr>
        <xdr:cNvPr id="308" name="Lige forbindelse 307">
          <a:extLst>
            <a:ext uri="{FF2B5EF4-FFF2-40B4-BE49-F238E27FC236}">
              <a16:creationId xmlns:a16="http://schemas.microsoft.com/office/drawing/2014/main" id="{00000000-0008-0000-0000-000034010000}"/>
            </a:ext>
          </a:extLst>
        </xdr:cNvPr>
        <xdr:cNvCxnSpPr>
          <a:cxnSpLocks/>
        </xdr:cNvCxnSpPr>
      </xdr:nvCxnSpPr>
      <xdr:spPr>
        <a:xfrm flipV="1">
          <a:off x="2340662" y="103354629"/>
          <a:ext cx="0" cy="1897998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613663</xdr:colOff>
      <xdr:row>546</xdr:row>
      <xdr:rowOff>78911</xdr:rowOff>
    </xdr:from>
    <xdr:to>
      <xdr:col>4</xdr:col>
      <xdr:colOff>87408</xdr:colOff>
      <xdr:row>546</xdr:row>
      <xdr:rowOff>181008</xdr:rowOff>
    </xdr:to>
    <xdr:cxnSp macro="">
      <xdr:nvCxnSpPr>
        <xdr:cNvPr id="309" name="Lige forbindelse 308">
          <a:extLst>
            <a:ext uri="{FF2B5EF4-FFF2-40B4-BE49-F238E27FC236}">
              <a16:creationId xmlns:a16="http://schemas.microsoft.com/office/drawing/2014/main" id="{00000000-0008-0000-0000-000035010000}"/>
            </a:ext>
          </a:extLst>
        </xdr:cNvPr>
        <xdr:cNvCxnSpPr>
          <a:cxnSpLocks/>
        </xdr:cNvCxnSpPr>
      </xdr:nvCxnSpPr>
      <xdr:spPr>
        <a:xfrm flipV="1">
          <a:off x="2290063" y="105158711"/>
          <a:ext cx="92870" cy="102097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1031</xdr:colOff>
      <xdr:row>538</xdr:row>
      <xdr:rowOff>197293</xdr:rowOff>
    </xdr:from>
    <xdr:to>
      <xdr:col>4</xdr:col>
      <xdr:colOff>93901</xdr:colOff>
      <xdr:row>539</xdr:row>
      <xdr:rowOff>61265</xdr:rowOff>
    </xdr:to>
    <xdr:cxnSp macro="">
      <xdr:nvCxnSpPr>
        <xdr:cNvPr id="310" name="Lige forbindelse 309">
          <a:extLst>
            <a:ext uri="{FF2B5EF4-FFF2-40B4-BE49-F238E27FC236}">
              <a16:creationId xmlns:a16="http://schemas.microsoft.com/office/drawing/2014/main" id="{00000000-0008-0000-0000-000036010000}"/>
            </a:ext>
          </a:extLst>
        </xdr:cNvPr>
        <xdr:cNvCxnSpPr>
          <a:cxnSpLocks/>
        </xdr:cNvCxnSpPr>
      </xdr:nvCxnSpPr>
      <xdr:spPr>
        <a:xfrm flipV="1">
          <a:off x="2296556" y="103372093"/>
          <a:ext cx="92870" cy="102097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60101</xdr:colOff>
      <xdr:row>539</xdr:row>
      <xdr:rowOff>88885</xdr:rowOff>
    </xdr:from>
    <xdr:to>
      <xdr:col>3</xdr:col>
      <xdr:colOff>60101</xdr:colOff>
      <xdr:row>549</xdr:row>
      <xdr:rowOff>36498</xdr:rowOff>
    </xdr:to>
    <xdr:cxnSp macro="">
      <xdr:nvCxnSpPr>
        <xdr:cNvPr id="311" name="Lige forbindelse 310">
          <a:extLst>
            <a:ext uri="{FF2B5EF4-FFF2-40B4-BE49-F238E27FC236}">
              <a16:creationId xmlns:a16="http://schemas.microsoft.com/office/drawing/2014/main" id="{00000000-0008-0000-0000-000037010000}"/>
            </a:ext>
          </a:extLst>
        </xdr:cNvPr>
        <xdr:cNvCxnSpPr>
          <a:cxnSpLocks/>
        </xdr:cNvCxnSpPr>
      </xdr:nvCxnSpPr>
      <xdr:spPr>
        <a:xfrm flipV="1">
          <a:off x="1736501" y="103501810"/>
          <a:ext cx="0" cy="2328863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643227</xdr:colOff>
      <xdr:row>547</xdr:row>
      <xdr:rowOff>30147</xdr:rowOff>
    </xdr:from>
    <xdr:to>
      <xdr:col>1</xdr:col>
      <xdr:colOff>643227</xdr:colOff>
      <xdr:row>549</xdr:row>
      <xdr:rowOff>36498</xdr:rowOff>
    </xdr:to>
    <xdr:cxnSp macro="">
      <xdr:nvCxnSpPr>
        <xdr:cNvPr id="312" name="Lige forbindelse 311">
          <a:extLst>
            <a:ext uri="{FF2B5EF4-FFF2-40B4-BE49-F238E27FC236}">
              <a16:creationId xmlns:a16="http://schemas.microsoft.com/office/drawing/2014/main" id="{00000000-0008-0000-0000-000038010000}"/>
            </a:ext>
          </a:extLst>
        </xdr:cNvPr>
        <xdr:cNvCxnSpPr>
          <a:cxnSpLocks/>
        </xdr:cNvCxnSpPr>
      </xdr:nvCxnSpPr>
      <xdr:spPr>
        <a:xfrm flipV="1">
          <a:off x="1014702" y="105348072"/>
          <a:ext cx="0" cy="48260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612517</xdr:colOff>
      <xdr:row>548</xdr:row>
      <xdr:rowOff>231759</xdr:rowOff>
    </xdr:from>
    <xdr:to>
      <xdr:col>3</xdr:col>
      <xdr:colOff>159436</xdr:colOff>
      <xdr:row>548</xdr:row>
      <xdr:rowOff>231760</xdr:rowOff>
    </xdr:to>
    <xdr:cxnSp macro="">
      <xdr:nvCxnSpPr>
        <xdr:cNvPr id="313" name="Lige forbindelse 312">
          <a:extLst>
            <a:ext uri="{FF2B5EF4-FFF2-40B4-BE49-F238E27FC236}">
              <a16:creationId xmlns:a16="http://schemas.microsoft.com/office/drawing/2014/main" id="{00000000-0008-0000-0000-000039010000}"/>
            </a:ext>
          </a:extLst>
        </xdr:cNvPr>
        <xdr:cNvCxnSpPr>
          <a:cxnSpLocks/>
        </xdr:cNvCxnSpPr>
      </xdr:nvCxnSpPr>
      <xdr:spPr>
        <a:xfrm flipH="1">
          <a:off x="983992" y="105787809"/>
          <a:ext cx="851844" cy="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20132</xdr:colOff>
      <xdr:row>548</xdr:row>
      <xdr:rowOff>169102</xdr:rowOff>
    </xdr:from>
    <xdr:to>
      <xdr:col>3</xdr:col>
      <xdr:colOff>113002</xdr:colOff>
      <xdr:row>549</xdr:row>
      <xdr:rowOff>33074</xdr:rowOff>
    </xdr:to>
    <xdr:cxnSp macro="">
      <xdr:nvCxnSpPr>
        <xdr:cNvPr id="314" name="Lige forbindelse 313">
          <a:extLst>
            <a:ext uri="{FF2B5EF4-FFF2-40B4-BE49-F238E27FC236}">
              <a16:creationId xmlns:a16="http://schemas.microsoft.com/office/drawing/2014/main" id="{00000000-0008-0000-0000-00003A010000}"/>
            </a:ext>
          </a:extLst>
        </xdr:cNvPr>
        <xdr:cNvCxnSpPr>
          <a:cxnSpLocks/>
        </xdr:cNvCxnSpPr>
      </xdr:nvCxnSpPr>
      <xdr:spPr>
        <a:xfrm flipV="1">
          <a:off x="1696532" y="105725152"/>
          <a:ext cx="92870" cy="102097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599852</xdr:colOff>
      <xdr:row>548</xdr:row>
      <xdr:rowOff>174338</xdr:rowOff>
    </xdr:from>
    <xdr:to>
      <xdr:col>1</xdr:col>
      <xdr:colOff>692722</xdr:colOff>
      <xdr:row>549</xdr:row>
      <xdr:rowOff>38310</xdr:rowOff>
    </xdr:to>
    <xdr:cxnSp macro="">
      <xdr:nvCxnSpPr>
        <xdr:cNvPr id="315" name="Lige forbindelse 314">
          <a:extLst>
            <a:ext uri="{FF2B5EF4-FFF2-40B4-BE49-F238E27FC236}">
              <a16:creationId xmlns:a16="http://schemas.microsoft.com/office/drawing/2014/main" id="{00000000-0008-0000-0000-00003B010000}"/>
            </a:ext>
          </a:extLst>
        </xdr:cNvPr>
        <xdr:cNvCxnSpPr>
          <a:cxnSpLocks/>
        </xdr:cNvCxnSpPr>
      </xdr:nvCxnSpPr>
      <xdr:spPr>
        <a:xfrm flipV="1">
          <a:off x="971327" y="105730388"/>
          <a:ext cx="92870" cy="102097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612517</xdr:colOff>
      <xdr:row>538</xdr:row>
      <xdr:rowOff>146488</xdr:rowOff>
    </xdr:from>
    <xdr:to>
      <xdr:col>3</xdr:col>
      <xdr:colOff>380780</xdr:colOff>
      <xdr:row>538</xdr:row>
      <xdr:rowOff>146488</xdr:rowOff>
    </xdr:to>
    <xdr:cxnSp macro="">
      <xdr:nvCxnSpPr>
        <xdr:cNvPr id="316" name="Lige forbindelse 315">
          <a:extLst>
            <a:ext uri="{FF2B5EF4-FFF2-40B4-BE49-F238E27FC236}">
              <a16:creationId xmlns:a16="http://schemas.microsoft.com/office/drawing/2014/main" id="{00000000-0008-0000-0000-00003C010000}"/>
            </a:ext>
          </a:extLst>
        </xdr:cNvPr>
        <xdr:cNvCxnSpPr>
          <a:cxnSpLocks/>
        </xdr:cNvCxnSpPr>
      </xdr:nvCxnSpPr>
      <xdr:spPr>
        <a:xfrm flipH="1">
          <a:off x="983992" y="103321288"/>
          <a:ext cx="1073188" cy="0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612517</xdr:colOff>
      <xdr:row>538</xdr:row>
      <xdr:rowOff>146489</xdr:rowOff>
    </xdr:from>
    <xdr:to>
      <xdr:col>1</xdr:col>
      <xdr:colOff>612517</xdr:colOff>
      <xdr:row>543</xdr:row>
      <xdr:rowOff>131520</xdr:rowOff>
    </xdr:to>
    <xdr:cxnSp macro="">
      <xdr:nvCxnSpPr>
        <xdr:cNvPr id="317" name="Lige forbindelse 316">
          <a:extLst>
            <a:ext uri="{FF2B5EF4-FFF2-40B4-BE49-F238E27FC236}">
              <a16:creationId xmlns:a16="http://schemas.microsoft.com/office/drawing/2014/main" id="{00000000-0008-0000-0000-00003D010000}"/>
            </a:ext>
          </a:extLst>
        </xdr:cNvPr>
        <xdr:cNvCxnSpPr>
          <a:cxnSpLocks/>
        </xdr:cNvCxnSpPr>
      </xdr:nvCxnSpPr>
      <xdr:spPr>
        <a:xfrm flipV="1">
          <a:off x="983992" y="103321289"/>
          <a:ext cx="0" cy="1175656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141558</xdr:colOff>
      <xdr:row>543</xdr:row>
      <xdr:rowOff>131520</xdr:rowOff>
    </xdr:from>
    <xdr:to>
      <xdr:col>1</xdr:col>
      <xdr:colOff>599853</xdr:colOff>
      <xdr:row>543</xdr:row>
      <xdr:rowOff>131520</xdr:rowOff>
    </xdr:to>
    <xdr:cxnSp macro="">
      <xdr:nvCxnSpPr>
        <xdr:cNvPr id="318" name="Lige forbindelse 317">
          <a:extLst>
            <a:ext uri="{FF2B5EF4-FFF2-40B4-BE49-F238E27FC236}">
              <a16:creationId xmlns:a16="http://schemas.microsoft.com/office/drawing/2014/main" id="{00000000-0008-0000-0000-00003E010000}"/>
            </a:ext>
          </a:extLst>
        </xdr:cNvPr>
        <xdr:cNvCxnSpPr>
          <a:cxnSpLocks/>
        </xdr:cNvCxnSpPr>
      </xdr:nvCxnSpPr>
      <xdr:spPr>
        <a:xfrm>
          <a:off x="141558" y="104496945"/>
          <a:ext cx="829770" cy="0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285749</xdr:colOff>
      <xdr:row>546</xdr:row>
      <xdr:rowOff>171450</xdr:rowOff>
    </xdr:from>
    <xdr:to>
      <xdr:col>1</xdr:col>
      <xdr:colOff>634092</xdr:colOff>
      <xdr:row>547</xdr:row>
      <xdr:rowOff>66675</xdr:rowOff>
    </xdr:to>
    <xdr:sp macro="" textlink="">
      <xdr:nvSpPr>
        <xdr:cNvPr id="319" name="Line 552">
          <a:extLst>
            <a:ext uri="{FF2B5EF4-FFF2-40B4-BE49-F238E27FC236}">
              <a16:creationId xmlns:a16="http://schemas.microsoft.com/office/drawing/2014/main" id="{00000000-0008-0000-0000-00003F010000}"/>
            </a:ext>
          </a:extLst>
        </xdr:cNvPr>
        <xdr:cNvSpPr>
          <a:spLocks noChangeShapeType="1"/>
        </xdr:cNvSpPr>
      </xdr:nvSpPr>
      <xdr:spPr bwMode="auto">
        <a:xfrm flipH="1">
          <a:off x="657224" y="105251250"/>
          <a:ext cx="348343" cy="133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295275</xdr:colOff>
      <xdr:row>537</xdr:row>
      <xdr:rowOff>209549</xdr:rowOff>
    </xdr:from>
    <xdr:to>
      <xdr:col>1</xdr:col>
      <xdr:colOff>962025</xdr:colOff>
      <xdr:row>538</xdr:row>
      <xdr:rowOff>228600</xdr:rowOff>
    </xdr:to>
    <xdr:sp macro="" textlink="">
      <xdr:nvSpPr>
        <xdr:cNvPr id="320" name="Line 552">
          <a:extLst>
            <a:ext uri="{FF2B5EF4-FFF2-40B4-BE49-F238E27FC236}">
              <a16:creationId xmlns:a16="http://schemas.microsoft.com/office/drawing/2014/main" id="{00000000-0008-0000-0000-000040010000}"/>
            </a:ext>
          </a:extLst>
        </xdr:cNvPr>
        <xdr:cNvSpPr>
          <a:spLocks noChangeShapeType="1"/>
        </xdr:cNvSpPr>
      </xdr:nvSpPr>
      <xdr:spPr bwMode="auto">
        <a:xfrm flipH="1" flipV="1">
          <a:off x="666750" y="103146224"/>
          <a:ext cx="666750" cy="257176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276224</xdr:colOff>
      <xdr:row>537</xdr:row>
      <xdr:rowOff>209549</xdr:rowOff>
    </xdr:from>
    <xdr:to>
      <xdr:col>1</xdr:col>
      <xdr:colOff>676274</xdr:colOff>
      <xdr:row>540</xdr:row>
      <xdr:rowOff>76200</xdr:rowOff>
    </xdr:to>
    <xdr:sp macro="" textlink="">
      <xdr:nvSpPr>
        <xdr:cNvPr id="321" name="Line 552">
          <a:extLst>
            <a:ext uri="{FF2B5EF4-FFF2-40B4-BE49-F238E27FC236}">
              <a16:creationId xmlns:a16="http://schemas.microsoft.com/office/drawing/2014/main" id="{00000000-0008-0000-0000-000041010000}"/>
            </a:ext>
          </a:extLst>
        </xdr:cNvPr>
        <xdr:cNvSpPr>
          <a:spLocks noChangeShapeType="1"/>
        </xdr:cNvSpPr>
      </xdr:nvSpPr>
      <xdr:spPr bwMode="auto">
        <a:xfrm flipH="1" flipV="1">
          <a:off x="647699" y="103146224"/>
          <a:ext cx="400050" cy="581026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243566</xdr:colOff>
      <xdr:row>537</xdr:row>
      <xdr:rowOff>161925</xdr:rowOff>
    </xdr:from>
    <xdr:to>
      <xdr:col>4</xdr:col>
      <xdr:colOff>9524</xdr:colOff>
      <xdr:row>539</xdr:row>
      <xdr:rowOff>38100</xdr:rowOff>
    </xdr:to>
    <xdr:sp macro="" textlink="">
      <xdr:nvSpPr>
        <xdr:cNvPr id="322" name="Line 552">
          <a:extLst>
            <a:ext uri="{FF2B5EF4-FFF2-40B4-BE49-F238E27FC236}">
              <a16:creationId xmlns:a16="http://schemas.microsoft.com/office/drawing/2014/main" id="{00000000-0008-0000-0000-000042010000}"/>
            </a:ext>
          </a:extLst>
        </xdr:cNvPr>
        <xdr:cNvSpPr>
          <a:spLocks noChangeShapeType="1"/>
        </xdr:cNvSpPr>
      </xdr:nvSpPr>
      <xdr:spPr bwMode="auto">
        <a:xfrm flipV="1">
          <a:off x="1919966" y="103098600"/>
          <a:ext cx="385083" cy="3524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948418</xdr:colOff>
      <xdr:row>538</xdr:row>
      <xdr:rowOff>200025</xdr:rowOff>
    </xdr:from>
    <xdr:to>
      <xdr:col>2</xdr:col>
      <xdr:colOff>5443</xdr:colOff>
      <xdr:row>539</xdr:row>
      <xdr:rowOff>57150</xdr:rowOff>
    </xdr:to>
    <xdr:sp macro="" textlink="">
      <xdr:nvSpPr>
        <xdr:cNvPr id="323" name="Oval 553">
          <a:extLst>
            <a:ext uri="{FF2B5EF4-FFF2-40B4-BE49-F238E27FC236}">
              <a16:creationId xmlns:a16="http://schemas.microsoft.com/office/drawing/2014/main" id="{00000000-0008-0000-0000-000043010000}"/>
            </a:ext>
          </a:extLst>
        </xdr:cNvPr>
        <xdr:cNvSpPr>
          <a:spLocks noChangeArrowheads="1"/>
        </xdr:cNvSpPr>
      </xdr:nvSpPr>
      <xdr:spPr bwMode="auto">
        <a:xfrm>
          <a:off x="1319893" y="103374825"/>
          <a:ext cx="85725" cy="95250"/>
        </a:xfrm>
        <a:prstGeom prst="ellips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1</xdr:col>
      <xdr:colOff>662668</xdr:colOff>
      <xdr:row>540</xdr:row>
      <xdr:rowOff>57150</xdr:rowOff>
    </xdr:from>
    <xdr:to>
      <xdr:col>1</xdr:col>
      <xdr:colOff>748393</xdr:colOff>
      <xdr:row>540</xdr:row>
      <xdr:rowOff>152400</xdr:rowOff>
    </xdr:to>
    <xdr:sp macro="" textlink="">
      <xdr:nvSpPr>
        <xdr:cNvPr id="324" name="Oval 553">
          <a:extLst>
            <a:ext uri="{FF2B5EF4-FFF2-40B4-BE49-F238E27FC236}">
              <a16:creationId xmlns:a16="http://schemas.microsoft.com/office/drawing/2014/main" id="{00000000-0008-0000-0000-000044010000}"/>
            </a:ext>
          </a:extLst>
        </xdr:cNvPr>
        <xdr:cNvSpPr>
          <a:spLocks noChangeArrowheads="1"/>
        </xdr:cNvSpPr>
      </xdr:nvSpPr>
      <xdr:spPr bwMode="auto">
        <a:xfrm>
          <a:off x="1034143" y="103708200"/>
          <a:ext cx="85725" cy="95250"/>
        </a:xfrm>
        <a:prstGeom prst="ellips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1</xdr:col>
      <xdr:colOff>941295</xdr:colOff>
      <xdr:row>559</xdr:row>
      <xdr:rowOff>156878</xdr:rowOff>
    </xdr:from>
    <xdr:to>
      <xdr:col>4</xdr:col>
      <xdr:colOff>190973</xdr:colOff>
      <xdr:row>564</xdr:row>
      <xdr:rowOff>113514</xdr:rowOff>
    </xdr:to>
    <xdr:cxnSp macro="">
      <xdr:nvCxnSpPr>
        <xdr:cNvPr id="325" name="Lige forbindelse 324">
          <a:extLst>
            <a:ext uri="{FF2B5EF4-FFF2-40B4-BE49-F238E27FC236}">
              <a16:creationId xmlns:a16="http://schemas.microsoft.com/office/drawing/2014/main" id="{00000000-0008-0000-0000-000045010000}"/>
            </a:ext>
          </a:extLst>
        </xdr:cNvPr>
        <xdr:cNvCxnSpPr>
          <a:cxnSpLocks/>
        </xdr:cNvCxnSpPr>
      </xdr:nvCxnSpPr>
      <xdr:spPr>
        <a:xfrm flipH="1">
          <a:off x="1311089" y="107307525"/>
          <a:ext cx="1177090" cy="1155665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179293</xdr:colOff>
      <xdr:row>557</xdr:row>
      <xdr:rowOff>22407</xdr:rowOff>
    </xdr:from>
    <xdr:to>
      <xdr:col>4</xdr:col>
      <xdr:colOff>190499</xdr:colOff>
      <xdr:row>559</xdr:row>
      <xdr:rowOff>168084</xdr:rowOff>
    </xdr:to>
    <xdr:cxnSp macro="">
      <xdr:nvCxnSpPr>
        <xdr:cNvPr id="326" name="Lige forbindelse 325">
          <a:extLst>
            <a:ext uri="{FF2B5EF4-FFF2-40B4-BE49-F238E27FC236}">
              <a16:creationId xmlns:a16="http://schemas.microsoft.com/office/drawing/2014/main" id="{00000000-0008-0000-0000-000046010000}"/>
            </a:ext>
          </a:extLst>
        </xdr:cNvPr>
        <xdr:cNvCxnSpPr>
          <a:cxnSpLocks/>
        </xdr:cNvCxnSpPr>
      </xdr:nvCxnSpPr>
      <xdr:spPr>
        <a:xfrm flipV="1">
          <a:off x="2476499" y="106702407"/>
          <a:ext cx="11206" cy="616324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18827</xdr:colOff>
      <xdr:row>557</xdr:row>
      <xdr:rowOff>18076</xdr:rowOff>
    </xdr:from>
    <xdr:to>
      <xdr:col>4</xdr:col>
      <xdr:colOff>201705</xdr:colOff>
      <xdr:row>557</xdr:row>
      <xdr:rowOff>18076</xdr:rowOff>
    </xdr:to>
    <xdr:cxnSp macro="">
      <xdr:nvCxnSpPr>
        <xdr:cNvPr id="327" name="Lige forbindelse 326">
          <a:extLst>
            <a:ext uri="{FF2B5EF4-FFF2-40B4-BE49-F238E27FC236}">
              <a16:creationId xmlns:a16="http://schemas.microsoft.com/office/drawing/2014/main" id="{00000000-0008-0000-0000-000047010000}"/>
            </a:ext>
          </a:extLst>
        </xdr:cNvPr>
        <xdr:cNvCxnSpPr>
          <a:cxnSpLocks/>
        </xdr:cNvCxnSpPr>
      </xdr:nvCxnSpPr>
      <xdr:spPr>
        <a:xfrm>
          <a:off x="1699709" y="106698076"/>
          <a:ext cx="799202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28353</xdr:colOff>
      <xdr:row>557</xdr:row>
      <xdr:rowOff>33613</xdr:rowOff>
    </xdr:from>
    <xdr:to>
      <xdr:col>3</xdr:col>
      <xdr:colOff>28353</xdr:colOff>
      <xdr:row>562</xdr:row>
      <xdr:rowOff>142831</xdr:rowOff>
    </xdr:to>
    <xdr:cxnSp macro="">
      <xdr:nvCxnSpPr>
        <xdr:cNvPr id="328" name="Lige forbindelse 327">
          <a:extLst>
            <a:ext uri="{FF2B5EF4-FFF2-40B4-BE49-F238E27FC236}">
              <a16:creationId xmlns:a16="http://schemas.microsoft.com/office/drawing/2014/main" id="{00000000-0008-0000-0000-000048010000}"/>
            </a:ext>
          </a:extLst>
        </xdr:cNvPr>
        <xdr:cNvCxnSpPr>
          <a:cxnSpLocks/>
        </xdr:cNvCxnSpPr>
      </xdr:nvCxnSpPr>
      <xdr:spPr>
        <a:xfrm>
          <a:off x="1709235" y="106713613"/>
          <a:ext cx="0" cy="1308247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941293</xdr:colOff>
      <xdr:row>562</xdr:row>
      <xdr:rowOff>128555</xdr:rowOff>
    </xdr:from>
    <xdr:to>
      <xdr:col>3</xdr:col>
      <xdr:colOff>37878</xdr:colOff>
      <xdr:row>564</xdr:row>
      <xdr:rowOff>60261</xdr:rowOff>
    </xdr:to>
    <xdr:cxnSp macro="">
      <xdr:nvCxnSpPr>
        <xdr:cNvPr id="329" name="Lige forbindelse 328">
          <a:extLst>
            <a:ext uri="{FF2B5EF4-FFF2-40B4-BE49-F238E27FC236}">
              <a16:creationId xmlns:a16="http://schemas.microsoft.com/office/drawing/2014/main" id="{00000000-0008-0000-0000-000049010000}"/>
            </a:ext>
          </a:extLst>
        </xdr:cNvPr>
        <xdr:cNvCxnSpPr>
          <a:cxnSpLocks/>
        </xdr:cNvCxnSpPr>
      </xdr:nvCxnSpPr>
      <xdr:spPr>
        <a:xfrm flipH="1">
          <a:off x="1311087" y="108007584"/>
          <a:ext cx="407673" cy="402353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224117</xdr:colOff>
      <xdr:row>556</xdr:row>
      <xdr:rowOff>11205</xdr:rowOff>
    </xdr:from>
    <xdr:to>
      <xdr:col>5</xdr:col>
      <xdr:colOff>67234</xdr:colOff>
      <xdr:row>557</xdr:row>
      <xdr:rowOff>201706</xdr:rowOff>
    </xdr:to>
    <xdr:sp macro="" textlink="">
      <xdr:nvSpPr>
        <xdr:cNvPr id="330" name="Line 552">
          <a:extLst>
            <a:ext uri="{FF2B5EF4-FFF2-40B4-BE49-F238E27FC236}">
              <a16:creationId xmlns:a16="http://schemas.microsoft.com/office/drawing/2014/main" id="{00000000-0008-0000-0000-00004A010000}"/>
            </a:ext>
          </a:extLst>
        </xdr:cNvPr>
        <xdr:cNvSpPr>
          <a:spLocks noChangeShapeType="1"/>
        </xdr:cNvSpPr>
      </xdr:nvSpPr>
      <xdr:spPr bwMode="auto">
        <a:xfrm flipH="1">
          <a:off x="2521323" y="106455881"/>
          <a:ext cx="224117" cy="4258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137673</xdr:colOff>
      <xdr:row>557</xdr:row>
      <xdr:rowOff>199465</xdr:rowOff>
    </xdr:from>
    <xdr:to>
      <xdr:col>4</xdr:col>
      <xdr:colOff>223398</xdr:colOff>
      <xdr:row>558</xdr:row>
      <xdr:rowOff>59391</xdr:rowOff>
    </xdr:to>
    <xdr:sp macro="" textlink="">
      <xdr:nvSpPr>
        <xdr:cNvPr id="331" name="Oval 553">
          <a:extLst>
            <a:ext uri="{FF2B5EF4-FFF2-40B4-BE49-F238E27FC236}">
              <a16:creationId xmlns:a16="http://schemas.microsoft.com/office/drawing/2014/main" id="{00000000-0008-0000-0000-00004B010000}"/>
            </a:ext>
          </a:extLst>
        </xdr:cNvPr>
        <xdr:cNvSpPr>
          <a:spLocks noChangeArrowheads="1"/>
        </xdr:cNvSpPr>
      </xdr:nvSpPr>
      <xdr:spPr bwMode="auto">
        <a:xfrm>
          <a:off x="2434879" y="106879465"/>
          <a:ext cx="85725" cy="95250"/>
        </a:xfrm>
        <a:prstGeom prst="ellips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 editAs="oneCell">
    <xdr:from>
      <xdr:col>3</xdr:col>
      <xdr:colOff>280147</xdr:colOff>
      <xdr:row>547</xdr:row>
      <xdr:rowOff>22411</xdr:rowOff>
    </xdr:from>
    <xdr:to>
      <xdr:col>5</xdr:col>
      <xdr:colOff>835062</xdr:colOff>
      <xdr:row>553</xdr:row>
      <xdr:rowOff>10387</xdr:rowOff>
    </xdr:to>
    <xdr:pic>
      <xdr:nvPicPr>
        <xdr:cNvPr id="14" name="Billed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961029" y="104326764"/>
          <a:ext cx="1536999" cy="1423147"/>
        </a:xfrm>
        <a:prstGeom prst="rect">
          <a:avLst/>
        </a:prstGeom>
      </xdr:spPr>
    </xdr:pic>
    <xdr:clientData/>
  </xdr:twoCellAnchor>
  <xdr:twoCellAnchor editAs="oneCell">
    <xdr:from>
      <xdr:col>0</xdr:col>
      <xdr:colOff>257736</xdr:colOff>
      <xdr:row>550</xdr:row>
      <xdr:rowOff>44824</xdr:rowOff>
    </xdr:from>
    <xdr:to>
      <xdr:col>2</xdr:col>
      <xdr:colOff>224558</xdr:colOff>
      <xdr:row>558</xdr:row>
      <xdr:rowOff>73176</xdr:rowOff>
    </xdr:to>
    <xdr:pic>
      <xdr:nvPicPr>
        <xdr:cNvPr id="15" name="Billed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7736" y="105055148"/>
          <a:ext cx="1358032" cy="1916206"/>
        </a:xfrm>
        <a:prstGeom prst="rect">
          <a:avLst/>
        </a:prstGeom>
      </xdr:spPr>
    </xdr:pic>
    <xdr:clientData/>
  </xdr:twoCellAnchor>
  <xdr:twoCellAnchor>
    <xdr:from>
      <xdr:col>1</xdr:col>
      <xdr:colOff>840441</xdr:colOff>
      <xdr:row>551</xdr:row>
      <xdr:rowOff>123265</xdr:rowOff>
    </xdr:from>
    <xdr:to>
      <xdr:col>3</xdr:col>
      <xdr:colOff>358589</xdr:colOff>
      <xdr:row>554</xdr:row>
      <xdr:rowOff>134470</xdr:rowOff>
    </xdr:to>
    <xdr:sp macro="" textlink="">
      <xdr:nvSpPr>
        <xdr:cNvPr id="267" name="Line 552">
          <a:extLst>
            <a:ext uri="{FF2B5EF4-FFF2-40B4-BE49-F238E27FC236}">
              <a16:creationId xmlns:a16="http://schemas.microsoft.com/office/drawing/2014/main" id="{00000000-0008-0000-0000-00000B010000}"/>
            </a:ext>
          </a:extLst>
        </xdr:cNvPr>
        <xdr:cNvSpPr>
          <a:spLocks noChangeShapeType="1"/>
        </xdr:cNvSpPr>
      </xdr:nvSpPr>
      <xdr:spPr bwMode="auto">
        <a:xfrm flipH="1">
          <a:off x="1210235" y="105368912"/>
          <a:ext cx="829236" cy="739587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4</xdr:row>
          <xdr:rowOff>133350</xdr:rowOff>
        </xdr:from>
        <xdr:to>
          <xdr:col>21</xdr:col>
          <xdr:colOff>1743075</xdr:colOff>
          <xdr:row>7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Udskriv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</xdr:colOff>
          <xdr:row>0</xdr:row>
          <xdr:rowOff>104775</xdr:rowOff>
        </xdr:from>
        <xdr:to>
          <xdr:col>21</xdr:col>
          <xdr:colOff>1743075</xdr:colOff>
          <xdr:row>3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Gå til bunden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469</xdr:row>
          <xdr:rowOff>152400</xdr:rowOff>
        </xdr:from>
        <xdr:to>
          <xdr:col>28</xdr:col>
          <xdr:colOff>438150</xdr:colOff>
          <xdr:row>472</xdr:row>
          <xdr:rowOff>238125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Gå til toppen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238125</xdr:colOff>
          <xdr:row>2</xdr:row>
          <xdr:rowOff>76200</xdr:rowOff>
        </xdr:from>
        <xdr:to>
          <xdr:col>25</xdr:col>
          <xdr:colOff>504825</xdr:colOff>
          <xdr:row>5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Vis alle rækker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169</xdr:row>
          <xdr:rowOff>209550</xdr:rowOff>
        </xdr:from>
        <xdr:to>
          <xdr:col>27</xdr:col>
          <xdr:colOff>95250</xdr:colOff>
          <xdr:row>173</xdr:row>
          <xdr:rowOff>180975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Vis rækker til bøjlearmering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47625</xdr:colOff>
          <xdr:row>238</xdr:row>
          <xdr:rowOff>47625</xdr:rowOff>
        </xdr:from>
        <xdr:to>
          <xdr:col>26</xdr:col>
          <xdr:colOff>876300</xdr:colOff>
          <xdr:row>241</xdr:row>
          <xdr:rowOff>133350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Vis rækker til bøjlearmering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47625</xdr:colOff>
          <xdr:row>306</xdr:row>
          <xdr:rowOff>47625</xdr:rowOff>
        </xdr:from>
        <xdr:to>
          <xdr:col>26</xdr:col>
          <xdr:colOff>876300</xdr:colOff>
          <xdr:row>309</xdr:row>
          <xdr:rowOff>133350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Vis rækker til bøjlearmering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47625</xdr:colOff>
          <xdr:row>374</xdr:row>
          <xdr:rowOff>47625</xdr:rowOff>
        </xdr:from>
        <xdr:to>
          <xdr:col>26</xdr:col>
          <xdr:colOff>876300</xdr:colOff>
          <xdr:row>377</xdr:row>
          <xdr:rowOff>133350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Vis rækker til bøjlearmering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374</xdr:row>
          <xdr:rowOff>28575</xdr:rowOff>
        </xdr:from>
        <xdr:to>
          <xdr:col>28</xdr:col>
          <xdr:colOff>628650</xdr:colOff>
          <xdr:row>377</xdr:row>
          <xdr:rowOff>104775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Gå til toppen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200025</xdr:colOff>
          <xdr:row>306</xdr:row>
          <xdr:rowOff>38100</xdr:rowOff>
        </xdr:from>
        <xdr:to>
          <xdr:col>28</xdr:col>
          <xdr:colOff>333375</xdr:colOff>
          <xdr:row>309</xdr:row>
          <xdr:rowOff>114300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Gå til toppen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209550</xdr:colOff>
          <xdr:row>238</xdr:row>
          <xdr:rowOff>47625</xdr:rowOff>
        </xdr:from>
        <xdr:to>
          <xdr:col>28</xdr:col>
          <xdr:colOff>342900</xdr:colOff>
          <xdr:row>241</xdr:row>
          <xdr:rowOff>123825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Gå til toppen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409575</xdr:colOff>
          <xdr:row>169</xdr:row>
          <xdr:rowOff>228600</xdr:rowOff>
        </xdr:from>
        <xdr:to>
          <xdr:col>28</xdr:col>
          <xdr:colOff>542925</xdr:colOff>
          <xdr:row>173</xdr:row>
          <xdr:rowOff>152400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Gå til toppen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962025</xdr:colOff>
          <xdr:row>469</xdr:row>
          <xdr:rowOff>152400</xdr:rowOff>
        </xdr:from>
        <xdr:to>
          <xdr:col>29</xdr:col>
          <xdr:colOff>1371600</xdr:colOff>
          <xdr:row>472</xdr:row>
          <xdr:rowOff>238125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Vis alle rækker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74086</xdr:colOff>
      <xdr:row>80</xdr:row>
      <xdr:rowOff>57452</xdr:rowOff>
    </xdr:from>
    <xdr:to>
      <xdr:col>6</xdr:col>
      <xdr:colOff>314325</xdr:colOff>
      <xdr:row>106</xdr:row>
      <xdr:rowOff>40822</xdr:rowOff>
    </xdr:to>
    <xdr:graphicFrame macro="">
      <xdr:nvGraphicFramePr>
        <xdr:cNvPr id="18" name="Diagram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253201</xdr:colOff>
      <xdr:row>136</xdr:row>
      <xdr:rowOff>236433</xdr:rowOff>
    </xdr:from>
    <xdr:to>
      <xdr:col>18</xdr:col>
      <xdr:colOff>558273</xdr:colOff>
      <xdr:row>150</xdr:row>
      <xdr:rowOff>214448</xdr:rowOff>
    </xdr:to>
    <xdr:graphicFrame macro="">
      <xdr:nvGraphicFramePr>
        <xdr:cNvPr id="16" name="Diagram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695325</xdr:colOff>
          <xdr:row>151</xdr:row>
          <xdr:rowOff>104775</xdr:rowOff>
        </xdr:from>
        <xdr:to>
          <xdr:col>23</xdr:col>
          <xdr:colOff>85725</xdr:colOff>
          <xdr:row>154</xdr:row>
          <xdr:rowOff>76200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 kurven op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336362</xdr:colOff>
      <xdr:row>201</xdr:row>
      <xdr:rowOff>260294</xdr:rowOff>
    </xdr:from>
    <xdr:to>
      <xdr:col>18</xdr:col>
      <xdr:colOff>635719</xdr:colOff>
      <xdr:row>215</xdr:row>
      <xdr:rowOff>226871</xdr:rowOff>
    </xdr:to>
    <xdr:graphicFrame macro="">
      <xdr:nvGraphicFramePr>
        <xdr:cNvPr id="20" name="Diagram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39</xdr:col>
      <xdr:colOff>512618</xdr:colOff>
      <xdr:row>228</xdr:row>
      <xdr:rowOff>152400</xdr:rowOff>
    </xdr:from>
    <xdr:to>
      <xdr:col>51</xdr:col>
      <xdr:colOff>207818</xdr:colOff>
      <xdr:row>232</xdr:row>
      <xdr:rowOff>41564</xdr:rowOff>
    </xdr:to>
    <xdr:cxnSp macro="">
      <xdr:nvCxnSpPr>
        <xdr:cNvPr id="22" name="Lige forbindels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29052982" y="37296436"/>
          <a:ext cx="8271163" cy="83127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540327</xdr:colOff>
      <xdr:row>228</xdr:row>
      <xdr:rowOff>207819</xdr:rowOff>
    </xdr:from>
    <xdr:to>
      <xdr:col>50</xdr:col>
      <xdr:colOff>692727</xdr:colOff>
      <xdr:row>232</xdr:row>
      <xdr:rowOff>110837</xdr:rowOff>
    </xdr:to>
    <xdr:cxnSp macro="">
      <xdr:nvCxnSpPr>
        <xdr:cNvPr id="24" name="Lige forbindels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 flipV="1">
          <a:off x="29080691" y="37351855"/>
          <a:ext cx="7938654" cy="84512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1190625</xdr:colOff>
          <xdr:row>220</xdr:row>
          <xdr:rowOff>9525</xdr:rowOff>
        </xdr:from>
        <xdr:to>
          <xdr:col>23</xdr:col>
          <xdr:colOff>285750</xdr:colOff>
          <xdr:row>223</xdr:row>
          <xdr:rowOff>19050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 kurven op</a:t>
              </a:r>
            </a:p>
          </xdr:txBody>
        </xdr:sp>
        <xdr:clientData fPrintsWithSheet="0"/>
      </xdr:twoCellAnchor>
    </mc:Choice>
    <mc:Fallback/>
  </mc:AlternateContent>
  <xdr:twoCellAnchor>
    <xdr:from>
      <xdr:col>39</xdr:col>
      <xdr:colOff>512618</xdr:colOff>
      <xdr:row>294</xdr:row>
      <xdr:rowOff>152400</xdr:rowOff>
    </xdr:from>
    <xdr:to>
      <xdr:col>51</xdr:col>
      <xdr:colOff>207818</xdr:colOff>
      <xdr:row>298</xdr:row>
      <xdr:rowOff>41564</xdr:rowOff>
    </xdr:to>
    <xdr:cxnSp macro="">
      <xdr:nvCxnSpPr>
        <xdr:cNvPr id="4" name="Lige forbindels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>
          <a:off x="29019582" y="42130436"/>
          <a:ext cx="8294915" cy="86887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540327</xdr:colOff>
      <xdr:row>294</xdr:row>
      <xdr:rowOff>207819</xdr:rowOff>
    </xdr:from>
    <xdr:to>
      <xdr:col>50</xdr:col>
      <xdr:colOff>692727</xdr:colOff>
      <xdr:row>298</xdr:row>
      <xdr:rowOff>110837</xdr:rowOff>
    </xdr:to>
    <xdr:cxnSp macro="">
      <xdr:nvCxnSpPr>
        <xdr:cNvPr id="17" name="Lige forbindels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 flipV="1">
          <a:off x="29047291" y="42185855"/>
          <a:ext cx="7962900" cy="88273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278425</xdr:colOff>
      <xdr:row>266</xdr:row>
      <xdr:rowOff>263770</xdr:rowOff>
    </xdr:from>
    <xdr:to>
      <xdr:col>18</xdr:col>
      <xdr:colOff>586155</xdr:colOff>
      <xdr:row>281</xdr:row>
      <xdr:rowOff>43961</xdr:rowOff>
    </xdr:to>
    <xdr:graphicFrame macro="">
      <xdr:nvGraphicFramePr>
        <xdr:cNvPr id="21" name="Diagram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171450</xdr:colOff>
          <xdr:row>287</xdr:row>
          <xdr:rowOff>9525</xdr:rowOff>
        </xdr:from>
        <xdr:to>
          <xdr:col>26</xdr:col>
          <xdr:colOff>0</xdr:colOff>
          <xdr:row>290</xdr:row>
          <xdr:rowOff>19050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 kurven op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102577</xdr:colOff>
      <xdr:row>335</xdr:row>
      <xdr:rowOff>1</xdr:rowOff>
    </xdr:from>
    <xdr:to>
      <xdr:col>18</xdr:col>
      <xdr:colOff>410307</xdr:colOff>
      <xdr:row>349</xdr:row>
      <xdr:rowOff>14654</xdr:rowOff>
    </xdr:to>
    <xdr:graphicFrame macro="">
      <xdr:nvGraphicFramePr>
        <xdr:cNvPr id="27" name="Diagram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512618</xdr:colOff>
      <xdr:row>361</xdr:row>
      <xdr:rowOff>152400</xdr:rowOff>
    </xdr:from>
    <xdr:to>
      <xdr:col>51</xdr:col>
      <xdr:colOff>207818</xdr:colOff>
      <xdr:row>365</xdr:row>
      <xdr:rowOff>41564</xdr:rowOff>
    </xdr:to>
    <xdr:cxnSp macro="">
      <xdr:nvCxnSpPr>
        <xdr:cNvPr id="28" name="Lige forbindels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CxnSpPr/>
      </xdr:nvCxnSpPr>
      <xdr:spPr>
        <a:xfrm>
          <a:off x="28985041" y="57507554"/>
          <a:ext cx="8253046" cy="82701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540327</xdr:colOff>
      <xdr:row>361</xdr:row>
      <xdr:rowOff>207819</xdr:rowOff>
    </xdr:from>
    <xdr:to>
      <xdr:col>50</xdr:col>
      <xdr:colOff>692727</xdr:colOff>
      <xdr:row>365</xdr:row>
      <xdr:rowOff>110837</xdr:rowOff>
    </xdr:to>
    <xdr:cxnSp macro="">
      <xdr:nvCxnSpPr>
        <xdr:cNvPr id="29" name="Lige forbindels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 flipV="1">
          <a:off x="29012750" y="57562973"/>
          <a:ext cx="7918939" cy="84086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28575</xdr:colOff>
          <xdr:row>430</xdr:row>
          <xdr:rowOff>95250</xdr:rowOff>
        </xdr:from>
        <xdr:to>
          <xdr:col>26</xdr:col>
          <xdr:colOff>381000</xdr:colOff>
          <xdr:row>433</xdr:row>
          <xdr:rowOff>114300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a-DK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Skjul/vis brandberegning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22</xdr:col>
      <xdr:colOff>295295</xdr:colOff>
      <xdr:row>89</xdr:row>
      <xdr:rowOff>127079</xdr:rowOff>
    </xdr:from>
    <xdr:to>
      <xdr:col>26</xdr:col>
      <xdr:colOff>662868</xdr:colOff>
      <xdr:row>106</xdr:row>
      <xdr:rowOff>0</xdr:rowOff>
    </xdr:to>
    <xdr:pic>
      <xdr:nvPicPr>
        <xdr:cNvPr id="30" name="Billed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3977677" y="21261373"/>
          <a:ext cx="2664779" cy="38734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171450</xdr:colOff>
          <xdr:row>352</xdr:row>
          <xdr:rowOff>9525</xdr:rowOff>
        </xdr:from>
        <xdr:to>
          <xdr:col>26</xdr:col>
          <xdr:colOff>0</xdr:colOff>
          <xdr:row>355</xdr:row>
          <xdr:rowOff>19050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 kurven op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35175</xdr:colOff>
      <xdr:row>10</xdr:row>
      <xdr:rowOff>6899</xdr:rowOff>
    </xdr:from>
    <xdr:to>
      <xdr:col>18</xdr:col>
      <xdr:colOff>235324</xdr:colOff>
      <xdr:row>62</xdr:row>
      <xdr:rowOff>122464</xdr:rowOff>
    </xdr:to>
    <xdr:graphicFrame macro="">
      <xdr:nvGraphicFramePr>
        <xdr:cNvPr id="19" name="Diagram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34</xdr:col>
      <xdr:colOff>212912</xdr:colOff>
      <xdr:row>546</xdr:row>
      <xdr:rowOff>0</xdr:rowOff>
    </xdr:from>
    <xdr:to>
      <xdr:col>36</xdr:col>
      <xdr:colOff>441255</xdr:colOff>
      <xdr:row>551</xdr:row>
      <xdr:rowOff>246513</xdr:rowOff>
    </xdr:to>
    <xdr:pic>
      <xdr:nvPicPr>
        <xdr:cNvPr id="26" name="Billed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6052876" y="136833429"/>
          <a:ext cx="1561843" cy="1464352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549</xdr:row>
      <xdr:rowOff>22414</xdr:rowOff>
    </xdr:from>
    <xdr:to>
      <xdr:col>33</xdr:col>
      <xdr:colOff>851287</xdr:colOff>
      <xdr:row>557</xdr:row>
      <xdr:rowOff>50766</xdr:rowOff>
    </xdr:to>
    <xdr:pic>
      <xdr:nvPicPr>
        <xdr:cNvPr id="31" name="Billed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4356786" y="137590628"/>
          <a:ext cx="1368358" cy="2001388"/>
        </a:xfrm>
        <a:prstGeom prst="rect">
          <a:avLst/>
        </a:prstGeom>
      </xdr:spPr>
    </xdr:pic>
    <xdr:clientData/>
  </xdr:twoCellAnchor>
  <xdr:twoCellAnchor>
    <xdr:from>
      <xdr:col>33</xdr:col>
      <xdr:colOff>433027</xdr:colOff>
      <xdr:row>550</xdr:row>
      <xdr:rowOff>100854</xdr:rowOff>
    </xdr:from>
    <xdr:to>
      <xdr:col>34</xdr:col>
      <xdr:colOff>291354</xdr:colOff>
      <xdr:row>553</xdr:row>
      <xdr:rowOff>112059</xdr:rowOff>
    </xdr:to>
    <xdr:sp macro="" textlink="">
      <xdr:nvSpPr>
        <xdr:cNvPr id="32" name="Line 552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>
          <a:spLocks noChangeShapeType="1"/>
        </xdr:cNvSpPr>
      </xdr:nvSpPr>
      <xdr:spPr bwMode="auto">
        <a:xfrm flipH="1">
          <a:off x="25306884" y="137913997"/>
          <a:ext cx="824434" cy="759598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 editAs="oneCell">
    <xdr:from>
      <xdr:col>27</xdr:col>
      <xdr:colOff>571501</xdr:colOff>
      <xdr:row>86</xdr:row>
      <xdr:rowOff>190500</xdr:rowOff>
    </xdr:from>
    <xdr:to>
      <xdr:col>30</xdr:col>
      <xdr:colOff>134472</xdr:colOff>
      <xdr:row>106</xdr:row>
      <xdr:rowOff>150891</xdr:rowOff>
    </xdr:to>
    <xdr:pic>
      <xdr:nvPicPr>
        <xdr:cNvPr id="23" name="Billed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7570825" y="20618824"/>
          <a:ext cx="3843618" cy="466686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12</xdr:row>
      <xdr:rowOff>160735</xdr:rowOff>
    </xdr:from>
    <xdr:to>
      <xdr:col>2</xdr:col>
      <xdr:colOff>557213</xdr:colOff>
      <xdr:row>12</xdr:row>
      <xdr:rowOff>160735</xdr:rowOff>
    </xdr:to>
    <xdr:sp macro="" textlink="">
      <xdr:nvSpPr>
        <xdr:cNvPr id="2" name="Line 205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ShapeType="1"/>
        </xdr:cNvSpPr>
      </xdr:nvSpPr>
      <xdr:spPr bwMode="auto">
        <a:xfrm>
          <a:off x="1057275" y="2561035"/>
          <a:ext cx="1328738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64294</xdr:colOff>
      <xdr:row>11</xdr:row>
      <xdr:rowOff>9524</xdr:rowOff>
    </xdr:from>
    <xdr:to>
      <xdr:col>1</xdr:col>
      <xdr:colOff>64294</xdr:colOff>
      <xdr:row>13</xdr:row>
      <xdr:rowOff>9292</xdr:rowOff>
    </xdr:to>
    <xdr:sp macro="" textlink="">
      <xdr:nvSpPr>
        <xdr:cNvPr id="3" name="Line 208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ShapeType="1"/>
        </xdr:cNvSpPr>
      </xdr:nvSpPr>
      <xdr:spPr bwMode="auto">
        <a:xfrm flipV="1">
          <a:off x="1281635" y="2207244"/>
          <a:ext cx="0" cy="399353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365013</xdr:colOff>
      <xdr:row>11</xdr:row>
      <xdr:rowOff>23929</xdr:rowOff>
    </xdr:from>
    <xdr:to>
      <xdr:col>1</xdr:col>
      <xdr:colOff>365013</xdr:colOff>
      <xdr:row>13</xdr:row>
      <xdr:rowOff>18586</xdr:rowOff>
    </xdr:to>
    <xdr:sp macro="" textlink="">
      <xdr:nvSpPr>
        <xdr:cNvPr id="4" name="Line 209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 noChangeShapeType="1"/>
        </xdr:cNvSpPr>
      </xdr:nvSpPr>
      <xdr:spPr bwMode="auto">
        <a:xfrm flipV="1">
          <a:off x="1582354" y="2221649"/>
          <a:ext cx="0" cy="394242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309563</xdr:colOff>
      <xdr:row>11</xdr:row>
      <xdr:rowOff>19050</xdr:rowOff>
    </xdr:from>
    <xdr:to>
      <xdr:col>2</xdr:col>
      <xdr:colOff>309563</xdr:colOff>
      <xdr:row>13</xdr:row>
      <xdr:rowOff>27385</xdr:rowOff>
    </xdr:to>
    <xdr:sp macro="" textlink="">
      <xdr:nvSpPr>
        <xdr:cNvPr id="5" name="Line 21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ShapeType="1"/>
        </xdr:cNvSpPr>
      </xdr:nvSpPr>
      <xdr:spPr bwMode="auto">
        <a:xfrm flipV="1">
          <a:off x="2138363" y="2219325"/>
          <a:ext cx="0" cy="40838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0</xdr:col>
      <xdr:colOff>483394</xdr:colOff>
      <xdr:row>10</xdr:row>
      <xdr:rowOff>161925</xdr:rowOff>
    </xdr:from>
    <xdr:to>
      <xdr:col>2</xdr:col>
      <xdr:colOff>509588</xdr:colOff>
      <xdr:row>10</xdr:row>
      <xdr:rowOff>161925</xdr:rowOff>
    </xdr:to>
    <xdr:sp macro="" textlink="">
      <xdr:nvSpPr>
        <xdr:cNvPr id="6" name="Line 21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ShapeType="1"/>
        </xdr:cNvSpPr>
      </xdr:nvSpPr>
      <xdr:spPr bwMode="auto">
        <a:xfrm>
          <a:off x="1092994" y="2162175"/>
          <a:ext cx="1245394" cy="0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0</xdr:col>
      <xdr:colOff>483219</xdr:colOff>
      <xdr:row>10</xdr:row>
      <xdr:rowOff>161924</xdr:rowOff>
    </xdr:from>
    <xdr:to>
      <xdr:col>0</xdr:col>
      <xdr:colOff>483393</xdr:colOff>
      <xdr:row>13</xdr:row>
      <xdr:rowOff>27878</xdr:rowOff>
    </xdr:to>
    <xdr:sp macro="" textlink="">
      <xdr:nvSpPr>
        <xdr:cNvPr id="7" name="Line 21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ShapeType="1"/>
        </xdr:cNvSpPr>
      </xdr:nvSpPr>
      <xdr:spPr bwMode="auto">
        <a:xfrm flipV="1">
          <a:off x="1091890" y="2159851"/>
          <a:ext cx="174" cy="465332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 type="triangle" w="lg" len="lg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509588</xdr:colOff>
      <xdr:row>10</xdr:row>
      <xdr:rowOff>142875</xdr:rowOff>
    </xdr:from>
    <xdr:to>
      <xdr:col>2</xdr:col>
      <xdr:colOff>509588</xdr:colOff>
      <xdr:row>13</xdr:row>
      <xdr:rowOff>17860</xdr:rowOff>
    </xdr:to>
    <xdr:sp macro="" textlink="">
      <xdr:nvSpPr>
        <xdr:cNvPr id="8" name="Line 21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>
          <a:spLocks noChangeShapeType="1"/>
        </xdr:cNvSpPr>
      </xdr:nvSpPr>
      <xdr:spPr bwMode="auto">
        <a:xfrm flipH="1" flipV="1">
          <a:off x="2338388" y="2143125"/>
          <a:ext cx="0" cy="47506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 type="triangle" w="lg" len="lg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64294</xdr:colOff>
      <xdr:row>10</xdr:row>
      <xdr:rowOff>0</xdr:rowOff>
    </xdr:from>
    <xdr:to>
      <xdr:col>1</xdr:col>
      <xdr:colOff>364671</xdr:colOff>
      <xdr:row>10</xdr:row>
      <xdr:rowOff>161925</xdr:rowOff>
    </xdr:to>
    <xdr:sp macro="" textlink="">
      <xdr:nvSpPr>
        <xdr:cNvPr id="9" name="Tegning 220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>
          <a:spLocks/>
        </xdr:cNvSpPr>
      </xdr:nvSpPr>
      <xdr:spPr bwMode="auto">
        <a:xfrm>
          <a:off x="1283494" y="2013857"/>
          <a:ext cx="300377" cy="161925"/>
        </a:xfrm>
        <a:custGeom>
          <a:avLst/>
          <a:gdLst>
            <a:gd name="T0" fmla="*/ 0 w 16384"/>
            <a:gd name="T1" fmla="*/ 2147483647 h 16384"/>
            <a:gd name="T2" fmla="*/ 0 w 16384"/>
            <a:gd name="T3" fmla="*/ 0 h 16384"/>
            <a:gd name="T4" fmla="*/ 2147483647 w 16384"/>
            <a:gd name="T5" fmla="*/ 0 h 16384"/>
            <a:gd name="T6" fmla="*/ 2147483647 w 16384"/>
            <a:gd name="T7" fmla="*/ 2147483647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0" y="15754"/>
              </a:moveTo>
              <a:lnTo>
                <a:pt x="0" y="0"/>
              </a:lnTo>
              <a:lnTo>
                <a:pt x="16384" y="0"/>
              </a:lnTo>
              <a:lnTo>
                <a:pt x="16384" y="16384"/>
              </a:lnTo>
            </a:path>
          </a:pathLst>
        </a:custGeom>
        <a:noFill/>
        <a:ln w="19050" cap="flat" cmpd="sng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2</xdr:col>
      <xdr:colOff>14288</xdr:colOff>
      <xdr:row>10</xdr:row>
      <xdr:rowOff>0</xdr:rowOff>
    </xdr:from>
    <xdr:to>
      <xdr:col>2</xdr:col>
      <xdr:colOff>319088</xdr:colOff>
      <xdr:row>10</xdr:row>
      <xdr:rowOff>161925</xdr:rowOff>
    </xdr:to>
    <xdr:sp macro="" textlink="">
      <xdr:nvSpPr>
        <xdr:cNvPr id="10" name="Tegning 22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>
          <a:spLocks/>
        </xdr:cNvSpPr>
      </xdr:nvSpPr>
      <xdr:spPr bwMode="auto">
        <a:xfrm>
          <a:off x="1843088" y="2000250"/>
          <a:ext cx="304800" cy="161925"/>
        </a:xfrm>
        <a:custGeom>
          <a:avLst/>
          <a:gdLst>
            <a:gd name="T0" fmla="*/ 0 w 16384"/>
            <a:gd name="T1" fmla="*/ 2147483647 h 16384"/>
            <a:gd name="T2" fmla="*/ 0 w 16384"/>
            <a:gd name="T3" fmla="*/ 0 h 16384"/>
            <a:gd name="T4" fmla="*/ 2147483647 w 16384"/>
            <a:gd name="T5" fmla="*/ 0 h 16384"/>
            <a:gd name="T6" fmla="*/ 2147483647 w 16384"/>
            <a:gd name="T7" fmla="*/ 2147483647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0" y="16384"/>
              </a:moveTo>
              <a:lnTo>
                <a:pt x="0" y="0"/>
              </a:lnTo>
              <a:lnTo>
                <a:pt x="16384" y="0"/>
              </a:lnTo>
              <a:lnTo>
                <a:pt x="16384" y="16384"/>
              </a:lnTo>
            </a:path>
          </a:pathLst>
        </a:custGeom>
        <a:noFill/>
        <a:ln w="19050" cap="flat" cmpd="sng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</a:extLst>
      </xdr:spPr>
    </xdr:sp>
    <xdr:clientData fLocksWithSheet="0"/>
  </xdr:twoCellAnchor>
  <xdr:twoCellAnchor>
    <xdr:from>
      <xdr:col>2</xdr:col>
      <xdr:colOff>22116</xdr:colOff>
      <xdr:row>11</xdr:row>
      <xdr:rowOff>23925</xdr:rowOff>
    </xdr:from>
    <xdr:to>
      <xdr:col>2</xdr:col>
      <xdr:colOff>22116</xdr:colOff>
      <xdr:row>13</xdr:row>
      <xdr:rowOff>27878</xdr:rowOff>
    </xdr:to>
    <xdr:sp macro="" textlink="">
      <xdr:nvSpPr>
        <xdr:cNvPr id="11" name="Line 209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>
          <a:spLocks noChangeShapeType="1"/>
        </xdr:cNvSpPr>
      </xdr:nvSpPr>
      <xdr:spPr bwMode="auto">
        <a:xfrm flipV="1">
          <a:off x="1848128" y="2221645"/>
          <a:ext cx="0" cy="403538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594731</xdr:colOff>
      <xdr:row>12</xdr:row>
      <xdr:rowOff>111510</xdr:rowOff>
    </xdr:from>
    <xdr:to>
      <xdr:col>2</xdr:col>
      <xdr:colOff>51109</xdr:colOff>
      <xdr:row>13</xdr:row>
      <xdr:rowOff>9292</xdr:rowOff>
    </xdr:to>
    <xdr:sp macro="" textlink="">
      <xdr:nvSpPr>
        <xdr:cNvPr id="12" name="Line 209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>
          <a:spLocks noChangeShapeType="1"/>
        </xdr:cNvSpPr>
      </xdr:nvSpPr>
      <xdr:spPr bwMode="auto">
        <a:xfrm flipV="1">
          <a:off x="1812072" y="2509022"/>
          <a:ext cx="65049" cy="975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268557</xdr:colOff>
      <xdr:row>12</xdr:row>
      <xdr:rowOff>110581</xdr:rowOff>
    </xdr:from>
    <xdr:to>
      <xdr:col>2</xdr:col>
      <xdr:colOff>333606</xdr:colOff>
      <xdr:row>13</xdr:row>
      <xdr:rowOff>8363</xdr:rowOff>
    </xdr:to>
    <xdr:sp macro="" textlink="">
      <xdr:nvSpPr>
        <xdr:cNvPr id="13" name="Line 209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>
          <a:spLocks noChangeShapeType="1"/>
        </xdr:cNvSpPr>
      </xdr:nvSpPr>
      <xdr:spPr bwMode="auto">
        <a:xfrm flipV="1">
          <a:off x="2094569" y="2508093"/>
          <a:ext cx="65049" cy="975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2</xdr:col>
      <xdr:colOff>476713</xdr:colOff>
      <xdr:row>12</xdr:row>
      <xdr:rowOff>109651</xdr:rowOff>
    </xdr:from>
    <xdr:to>
      <xdr:col>2</xdr:col>
      <xdr:colOff>541762</xdr:colOff>
      <xdr:row>13</xdr:row>
      <xdr:rowOff>7433</xdr:rowOff>
    </xdr:to>
    <xdr:sp macro="" textlink="">
      <xdr:nvSpPr>
        <xdr:cNvPr id="14" name="Line 209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>
          <a:spLocks noChangeShapeType="1"/>
        </xdr:cNvSpPr>
      </xdr:nvSpPr>
      <xdr:spPr bwMode="auto">
        <a:xfrm flipV="1">
          <a:off x="2302725" y="2507163"/>
          <a:ext cx="65049" cy="975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</xdr:col>
      <xdr:colOff>29735</xdr:colOff>
      <xdr:row>12</xdr:row>
      <xdr:rowOff>113368</xdr:rowOff>
    </xdr:from>
    <xdr:to>
      <xdr:col>1</xdr:col>
      <xdr:colOff>94784</xdr:colOff>
      <xdr:row>13</xdr:row>
      <xdr:rowOff>11150</xdr:rowOff>
    </xdr:to>
    <xdr:sp macro="" textlink="">
      <xdr:nvSpPr>
        <xdr:cNvPr id="15" name="Line 209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>
          <a:spLocks noChangeShapeType="1"/>
        </xdr:cNvSpPr>
      </xdr:nvSpPr>
      <xdr:spPr bwMode="auto">
        <a:xfrm flipV="1">
          <a:off x="1247076" y="2510880"/>
          <a:ext cx="65049" cy="975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0</xdr:col>
      <xdr:colOff>451622</xdr:colOff>
      <xdr:row>12</xdr:row>
      <xdr:rowOff>126377</xdr:rowOff>
    </xdr:from>
    <xdr:to>
      <xdr:col>0</xdr:col>
      <xdr:colOff>516671</xdr:colOff>
      <xdr:row>13</xdr:row>
      <xdr:rowOff>24159</xdr:rowOff>
    </xdr:to>
    <xdr:sp macro="" textlink="">
      <xdr:nvSpPr>
        <xdr:cNvPr id="16" name="Line 209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>
          <a:spLocks noChangeShapeType="1"/>
        </xdr:cNvSpPr>
      </xdr:nvSpPr>
      <xdr:spPr bwMode="auto">
        <a:xfrm flipV="1">
          <a:off x="1060293" y="2523889"/>
          <a:ext cx="65049" cy="975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0</xdr:col>
      <xdr:colOff>274134</xdr:colOff>
      <xdr:row>11</xdr:row>
      <xdr:rowOff>181207</xdr:rowOff>
    </xdr:from>
    <xdr:to>
      <xdr:col>0</xdr:col>
      <xdr:colOff>464634</xdr:colOff>
      <xdr:row>13</xdr:row>
      <xdr:rowOff>23232</xdr:rowOff>
    </xdr:to>
    <xdr:cxnSp macro="">
      <xdr:nvCxnSpPr>
        <xdr:cNvPr id="18" name="Lige pilforbindels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CxnSpPr/>
      </xdr:nvCxnSpPr>
      <xdr:spPr>
        <a:xfrm flipV="1">
          <a:off x="882805" y="2378927"/>
          <a:ext cx="190500" cy="24161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534329</xdr:colOff>
      <xdr:row>11</xdr:row>
      <xdr:rowOff>185853</xdr:rowOff>
    </xdr:from>
    <xdr:to>
      <xdr:col>3</xdr:col>
      <xdr:colOff>157047</xdr:colOff>
      <xdr:row>12</xdr:row>
      <xdr:rowOff>189571</xdr:rowOff>
    </xdr:to>
    <xdr:cxnSp macro="">
      <xdr:nvCxnSpPr>
        <xdr:cNvPr id="21" name="Lige pilforbindels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CxnSpPr/>
      </xdr:nvCxnSpPr>
      <xdr:spPr>
        <a:xfrm flipH="1" flipV="1">
          <a:off x="2378927" y="2383573"/>
          <a:ext cx="231388" cy="20351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280146</xdr:colOff>
      <xdr:row>66</xdr:row>
      <xdr:rowOff>23430</xdr:rowOff>
    </xdr:from>
    <xdr:to>
      <xdr:col>19</xdr:col>
      <xdr:colOff>336176</xdr:colOff>
      <xdr:row>87</xdr:row>
      <xdr:rowOff>1018</xdr:rowOff>
    </xdr:to>
    <xdr:graphicFrame macro="">
      <xdr:nvGraphicFramePr>
        <xdr:cNvPr id="19" name="Diagram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484910</xdr:colOff>
      <xdr:row>108</xdr:row>
      <xdr:rowOff>138545</xdr:rowOff>
    </xdr:from>
    <xdr:to>
      <xdr:col>19</xdr:col>
      <xdr:colOff>415637</xdr:colOff>
      <xdr:row>130</xdr:row>
      <xdr:rowOff>103908</xdr:rowOff>
    </xdr:to>
    <xdr:graphicFrame macro="">
      <xdr:nvGraphicFramePr>
        <xdr:cNvPr id="20" name="Diagram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571500</xdr:colOff>
      <xdr:row>149</xdr:row>
      <xdr:rowOff>100445</xdr:rowOff>
    </xdr:from>
    <xdr:to>
      <xdr:col>19</xdr:col>
      <xdr:colOff>536864</xdr:colOff>
      <xdr:row>174</xdr:row>
      <xdr:rowOff>51954</xdr:rowOff>
    </xdr:to>
    <xdr:graphicFrame macro="">
      <xdr:nvGraphicFramePr>
        <xdr:cNvPr id="23" name="Diagram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173123</xdr:colOff>
      <xdr:row>22</xdr:row>
      <xdr:rowOff>150079</xdr:rowOff>
    </xdr:from>
    <xdr:to>
      <xdr:col>20</xdr:col>
      <xdr:colOff>103910</xdr:colOff>
      <xdr:row>44</xdr:row>
      <xdr:rowOff>51954</xdr:rowOff>
    </xdr:to>
    <xdr:graphicFrame macro="">
      <xdr:nvGraphicFramePr>
        <xdr:cNvPr id="22" name="Diagram 16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– 2022 Tema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drawing" Target="../drawings/drawing1.xml"/><Relationship Id="rId21" Type="http://schemas.openxmlformats.org/officeDocument/2006/relationships/ctrlProp" Target="../ctrlProps/ctrlProp17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printerSettings" Target="../printerSettings/printerSettings1.bin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hyperlink" Target="file:///\\nordic.crh\crh\Projektering\Tilst\Trappedorne_Brand\Beregninger%20og%20notater_ESP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linsgroup.com/MECHANICAL_DESIGN/Beam/beam_formula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B8B1B-0705-44C9-AFD9-A33424E331C2}">
  <sheetPr codeName="Ark1"/>
  <dimension ref="A1:CI561"/>
  <sheetViews>
    <sheetView tabSelected="1" zoomScale="85" zoomScaleNormal="85" zoomScaleSheetLayoutView="40" workbookViewId="0">
      <selection activeCell="O2" sqref="O2"/>
    </sheetView>
  </sheetViews>
  <sheetFormatPr defaultRowHeight="18.75"/>
  <cols>
    <col min="1" max="1" width="5.5703125" style="6" customWidth="1"/>
    <col min="2" max="2" width="15.42578125" style="6" customWidth="1"/>
    <col min="3" max="3" width="4.140625" style="6" customWidth="1"/>
    <col min="4" max="4" width="9.28515625" style="6" customWidth="1"/>
    <col min="5" max="5" width="5.7109375" style="6" bestFit="1" customWidth="1"/>
    <col min="6" max="6" width="22.42578125" style="6" customWidth="1"/>
    <col min="7" max="7" width="8.85546875" style="6" customWidth="1"/>
    <col min="8" max="8" width="6.140625" style="6" customWidth="1"/>
    <col min="9" max="9" width="9" style="6" customWidth="1"/>
    <col min="10" max="10" width="7.5703125" style="6" customWidth="1"/>
    <col min="11" max="11" width="11.85546875" style="6" customWidth="1"/>
    <col min="12" max="12" width="3.5703125" style="6" customWidth="1"/>
    <col min="13" max="13" width="9.140625" style="6"/>
    <col min="14" max="14" width="4.140625" style="6" customWidth="1"/>
    <col min="15" max="15" width="10.42578125" style="6" customWidth="1"/>
    <col min="16" max="16" width="3.140625" style="6" customWidth="1"/>
    <col min="17" max="17" width="7.42578125" style="6" customWidth="1"/>
    <col min="18" max="18" width="9.140625" style="6" customWidth="1"/>
    <col min="19" max="19" width="9.42578125" style="6" customWidth="1"/>
    <col min="21" max="21" width="5.85546875" customWidth="1"/>
    <col min="22" max="22" width="27.7109375" customWidth="1"/>
    <col min="23" max="23" width="8.85546875" customWidth="1"/>
    <col min="24" max="24" width="8" customWidth="1"/>
    <col min="25" max="25" width="4.5703125" customWidth="1"/>
    <col min="26" max="26" width="13" customWidth="1"/>
    <col min="27" max="27" width="15.28515625" customWidth="1"/>
    <col min="28" max="28" width="23.28515625" customWidth="1"/>
    <col min="29" max="29" width="19.140625" customWidth="1"/>
    <col min="30" max="30" width="21.7109375" bestFit="1" customWidth="1"/>
    <col min="31" max="31" width="21.85546875" bestFit="1" customWidth="1"/>
    <col min="32" max="32" width="24.7109375" customWidth="1"/>
    <col min="33" max="33" width="7.7109375" bestFit="1" customWidth="1"/>
    <col min="34" max="34" width="14.42578125" bestFit="1" customWidth="1"/>
    <col min="35" max="35" width="9.85546875" customWidth="1"/>
    <col min="36" max="36" width="10.140625" customWidth="1"/>
    <col min="38" max="38" width="13.7109375" bestFit="1" customWidth="1"/>
    <col min="39" max="39" width="2" bestFit="1" customWidth="1"/>
    <col min="42" max="43" width="9.28515625" bestFit="1" customWidth="1"/>
    <col min="44" max="44" width="15.42578125" customWidth="1"/>
    <col min="45" max="47" width="11" bestFit="1" customWidth="1"/>
    <col min="48" max="48" width="11" customWidth="1"/>
    <col min="49" max="49" width="11" bestFit="1" customWidth="1"/>
    <col min="50" max="50" width="9.28515625" bestFit="1" customWidth="1"/>
    <col min="51" max="51" width="11.85546875" style="43" customWidth="1"/>
    <col min="52" max="52" width="15.5703125" customWidth="1"/>
    <col min="53" max="53" width="8.28515625" customWidth="1"/>
    <col min="54" max="54" width="6.28515625" customWidth="1"/>
    <col min="58" max="58" width="19.28515625" customWidth="1"/>
  </cols>
  <sheetData>
    <row r="1" spans="2:50">
      <c r="B1" s="165"/>
      <c r="C1" s="166" t="s">
        <v>0</v>
      </c>
      <c r="D1" s="167"/>
      <c r="E1" s="167"/>
      <c r="F1" s="167"/>
      <c r="G1" s="167"/>
      <c r="H1" s="167"/>
      <c r="I1" s="167"/>
      <c r="J1" s="168"/>
      <c r="K1" s="168"/>
      <c r="L1" s="168"/>
      <c r="M1" s="168"/>
      <c r="N1" s="166" t="s">
        <v>1</v>
      </c>
      <c r="O1" s="169"/>
      <c r="P1" s="169"/>
      <c r="Q1" s="169"/>
      <c r="R1" s="166" t="s">
        <v>2</v>
      </c>
      <c r="S1" s="170"/>
      <c r="AR1" t="s">
        <v>12</v>
      </c>
    </row>
    <row r="2" spans="2:50">
      <c r="B2" s="96" t="s">
        <v>520</v>
      </c>
      <c r="C2" s="97" t="s">
        <v>3</v>
      </c>
      <c r="D2" s="144"/>
      <c r="E2" s="98"/>
      <c r="F2" s="98"/>
      <c r="G2" s="98"/>
      <c r="H2" s="98"/>
      <c r="I2" s="98"/>
      <c r="J2" s="177"/>
      <c r="K2" s="98"/>
      <c r="L2" s="98"/>
      <c r="M2" s="98"/>
      <c r="N2" s="97"/>
      <c r="O2" s="144"/>
      <c r="P2" s="98"/>
      <c r="Q2" s="98"/>
      <c r="R2" s="99"/>
      <c r="S2" s="100"/>
      <c r="AR2" t="s">
        <v>13</v>
      </c>
      <c r="AS2" t="s">
        <v>17</v>
      </c>
      <c r="AT2">
        <v>2</v>
      </c>
      <c r="AU2" t="s">
        <v>24</v>
      </c>
      <c r="AV2" t="s">
        <v>54</v>
      </c>
      <c r="AW2" t="s">
        <v>241</v>
      </c>
      <c r="AX2">
        <v>9.3000000000000007</v>
      </c>
    </row>
    <row r="3" spans="2:50">
      <c r="B3" s="171"/>
      <c r="C3" s="172" t="s">
        <v>4</v>
      </c>
      <c r="D3" s="113"/>
      <c r="E3" s="113"/>
      <c r="F3" s="113"/>
      <c r="G3" s="113"/>
      <c r="H3" s="113"/>
      <c r="I3" s="113"/>
      <c r="K3" s="173"/>
      <c r="N3" s="172" t="s">
        <v>5</v>
      </c>
      <c r="R3" s="174"/>
      <c r="S3" s="175"/>
      <c r="X3" s="176"/>
      <c r="AB3" s="176"/>
      <c r="AR3" t="s">
        <v>14</v>
      </c>
      <c r="AS3" t="s">
        <v>19</v>
      </c>
      <c r="AT3">
        <v>3</v>
      </c>
      <c r="AU3" t="s">
        <v>43</v>
      </c>
      <c r="AV3" t="s">
        <v>55</v>
      </c>
      <c r="AW3" t="s">
        <v>242</v>
      </c>
      <c r="AX3">
        <v>12.5</v>
      </c>
    </row>
    <row r="4" spans="2:50">
      <c r="B4" s="178"/>
      <c r="C4" s="97"/>
      <c r="D4" s="144"/>
      <c r="E4" s="98"/>
      <c r="F4" s="98"/>
      <c r="G4" s="98"/>
      <c r="H4" s="98"/>
      <c r="I4" s="98"/>
      <c r="J4" s="177" t="s">
        <v>6</v>
      </c>
      <c r="K4" s="98"/>
      <c r="L4" s="98"/>
      <c r="M4" s="98"/>
      <c r="N4" s="97"/>
      <c r="O4" s="242">
        <f ca="1">NOW()</f>
        <v>45643.474493518515</v>
      </c>
      <c r="P4" s="242"/>
      <c r="Q4" s="98"/>
      <c r="R4" s="99"/>
      <c r="S4" s="100"/>
      <c r="X4" s="58"/>
      <c r="AB4" s="58"/>
      <c r="AR4" t="s">
        <v>30</v>
      </c>
      <c r="AS4" t="s">
        <v>20</v>
      </c>
      <c r="AV4" t="s">
        <v>56</v>
      </c>
    </row>
    <row r="5" spans="2:50">
      <c r="B5" s="179" t="s">
        <v>7</v>
      </c>
      <c r="C5" s="171" t="s">
        <v>8</v>
      </c>
      <c r="N5" s="180"/>
      <c r="O5" s="181"/>
      <c r="P5" s="181"/>
      <c r="Q5" s="182"/>
      <c r="R5" s="183"/>
      <c r="S5" s="175"/>
      <c r="AS5" t="s">
        <v>21</v>
      </c>
      <c r="AV5" t="s">
        <v>57</v>
      </c>
    </row>
    <row r="6" spans="2:50">
      <c r="B6" s="101" t="s">
        <v>9</v>
      </c>
      <c r="C6" s="97"/>
      <c r="D6" s="144"/>
      <c r="E6" s="98"/>
      <c r="F6" s="98"/>
      <c r="G6" s="98"/>
      <c r="H6" s="98"/>
      <c r="I6" s="98"/>
      <c r="J6" s="177" t="s">
        <v>6</v>
      </c>
      <c r="K6" s="98"/>
      <c r="L6" s="98"/>
      <c r="M6" s="98"/>
      <c r="N6" s="179"/>
      <c r="O6" s="102"/>
      <c r="P6" s="102"/>
      <c r="Q6" s="98"/>
      <c r="R6" s="99"/>
      <c r="S6" s="100"/>
    </row>
    <row r="7" spans="2:50">
      <c r="O7" s="103"/>
      <c r="AC7" s="1"/>
      <c r="AD7" s="1"/>
      <c r="AE7" s="1"/>
      <c r="AF7" s="1"/>
      <c r="AG7" s="3"/>
      <c r="AH7" s="1"/>
      <c r="AI7" s="1"/>
    </row>
    <row r="8" spans="2:50" ht="26.25">
      <c r="C8" s="237" t="s">
        <v>519</v>
      </c>
      <c r="O8" s="103"/>
      <c r="AC8" s="1"/>
      <c r="AD8" s="1"/>
      <c r="AE8" s="1"/>
      <c r="AF8" s="1"/>
      <c r="AG8" s="3"/>
      <c r="AH8" s="1"/>
      <c r="AI8" s="1"/>
    </row>
    <row r="9" spans="2:50">
      <c r="O9" s="103"/>
      <c r="AC9" s="1"/>
      <c r="AD9" s="1"/>
      <c r="AE9" s="1"/>
      <c r="AF9" s="1"/>
      <c r="AG9" s="3"/>
      <c r="AH9" s="1"/>
      <c r="AI9" s="1"/>
    </row>
    <row r="10" spans="2:50">
      <c r="O10" s="103"/>
      <c r="AC10" s="1"/>
      <c r="AD10" s="1"/>
      <c r="AE10" s="1"/>
      <c r="AF10" s="1"/>
      <c r="AG10" s="3"/>
      <c r="AH10" s="1"/>
      <c r="AI10" s="1"/>
    </row>
    <row r="11" spans="2:50">
      <c r="O11" s="103"/>
      <c r="AC11" s="1"/>
      <c r="AD11" s="1"/>
      <c r="AE11" s="1"/>
      <c r="AF11" s="1"/>
      <c r="AG11" s="3"/>
      <c r="AH11" s="1"/>
      <c r="AI11" s="1"/>
    </row>
    <row r="12" spans="2:50">
      <c r="O12" s="103"/>
      <c r="AC12" s="1"/>
      <c r="AD12" s="1"/>
      <c r="AE12" s="1"/>
      <c r="AF12" s="1"/>
      <c r="AG12" s="3"/>
      <c r="AH12" s="1"/>
      <c r="AI12" s="1"/>
    </row>
    <row r="13" spans="2:50">
      <c r="O13" s="103"/>
      <c r="AC13" s="1"/>
      <c r="AD13" s="1"/>
      <c r="AE13" s="1"/>
      <c r="AF13" s="1"/>
      <c r="AG13" s="3"/>
      <c r="AH13" s="1"/>
      <c r="AI13" s="1"/>
    </row>
    <row r="14" spans="2:50">
      <c r="O14" s="103"/>
      <c r="AC14" s="1"/>
      <c r="AD14" s="1"/>
      <c r="AE14" s="1"/>
      <c r="AF14" s="1"/>
      <c r="AG14" s="3"/>
      <c r="AH14" s="1"/>
      <c r="AI14" s="1"/>
    </row>
    <row r="15" spans="2:50">
      <c r="O15" s="103"/>
      <c r="AE15" s="1"/>
      <c r="AF15" s="1"/>
      <c r="AG15" s="3"/>
      <c r="AH15" s="1"/>
      <c r="AI15" s="1"/>
    </row>
    <row r="16" spans="2:50">
      <c r="O16" s="103"/>
      <c r="AA16" t="str">
        <f>"Strimmel " &amp;Z83</f>
        <v xml:space="preserve">Strimmel </v>
      </c>
      <c r="AE16" s="1" t="str">
        <f>"Center - " &amp;AA16</f>
        <v xml:space="preserve">Center - Strimmel </v>
      </c>
      <c r="AF16" s="1"/>
      <c r="AG16" s="3"/>
      <c r="AH16" s="1"/>
      <c r="AI16" s="1"/>
    </row>
    <row r="17" spans="15:35">
      <c r="O17" s="103"/>
      <c r="Z17" t="s">
        <v>46</v>
      </c>
      <c r="AA17" s="139" t="e">
        <f>(J89-AB83)*10^-3</f>
        <v>#N/A</v>
      </c>
      <c r="AB17" s="139" t="e">
        <f>J89*10^-3</f>
        <v>#N/A</v>
      </c>
      <c r="AC17" s="139" t="e">
        <f>AB17</f>
        <v>#N/A</v>
      </c>
      <c r="AD17" s="139" t="e">
        <f>AA17</f>
        <v>#N/A</v>
      </c>
      <c r="AE17" s="69" t="e">
        <f>(AC17+AD17)/2</f>
        <v>#N/A</v>
      </c>
      <c r="AF17" s="11"/>
      <c r="AG17" s="3"/>
      <c r="AH17" s="1"/>
      <c r="AI17" s="1"/>
    </row>
    <row r="18" spans="15:35">
      <c r="O18" s="103"/>
      <c r="Z18" t="s">
        <v>495</v>
      </c>
      <c r="AA18" s="139" t="e">
        <f>AB85*10^-3</f>
        <v>#N/A</v>
      </c>
      <c r="AB18" s="139" t="e">
        <f>AA18</f>
        <v>#N/A</v>
      </c>
      <c r="AC18" s="139" t="e">
        <f>(J83-AB84)*10^-3</f>
        <v>#N/A</v>
      </c>
      <c r="AD18" s="139" t="e">
        <f>AC18</f>
        <v>#N/A</v>
      </c>
      <c r="AE18" s="69" t="e">
        <f>(AC18+AB18)/2</f>
        <v>#N/A</v>
      </c>
      <c r="AF18" s="11"/>
      <c r="AG18" s="3"/>
      <c r="AH18" s="1"/>
      <c r="AI18" s="1"/>
    </row>
    <row r="19" spans="15:35">
      <c r="O19" s="103"/>
      <c r="AA19" s="139"/>
      <c r="AB19" s="139"/>
      <c r="AC19" s="69"/>
      <c r="AD19" s="69"/>
      <c r="AE19" s="1"/>
      <c r="AF19" s="1"/>
      <c r="AG19" s="3"/>
      <c r="AH19" s="1"/>
      <c r="AI19" s="1"/>
    </row>
    <row r="20" spans="15:35">
      <c r="O20" s="103"/>
      <c r="AA20" s="139" t="str">
        <f>"Strimmel " &amp;Z82</f>
        <v xml:space="preserve">Strimmel </v>
      </c>
      <c r="AB20" s="139"/>
      <c r="AC20" s="69"/>
      <c r="AD20" s="69"/>
      <c r="AE20" s="1" t="str">
        <f>"Center - " &amp;AA20</f>
        <v xml:space="preserve">Center - Strimmel </v>
      </c>
      <c r="AF20" s="1"/>
      <c r="AG20" s="3"/>
      <c r="AH20" s="1"/>
      <c r="AI20" s="1"/>
    </row>
    <row r="21" spans="15:35">
      <c r="O21" s="103"/>
      <c r="Z21" t="s">
        <v>46</v>
      </c>
      <c r="AA21" s="139" t="e">
        <f>AB86*10^-3</f>
        <v>#N/A</v>
      </c>
      <c r="AB21" s="139" t="e">
        <f>AA21+AB82*10^-3</f>
        <v>#N/A</v>
      </c>
      <c r="AC21" s="69" t="e">
        <f>AB21</f>
        <v>#N/A</v>
      </c>
      <c r="AD21" s="69" t="e">
        <f>AA21</f>
        <v>#N/A</v>
      </c>
      <c r="AE21" s="69" t="e">
        <f>(AC21+AD21)/2</f>
        <v>#N/A</v>
      </c>
      <c r="AF21" s="1"/>
      <c r="AG21" s="3"/>
      <c r="AH21" s="1"/>
      <c r="AI21" s="1"/>
    </row>
    <row r="22" spans="15:35">
      <c r="O22" s="103"/>
      <c r="Z22" t="s">
        <v>495</v>
      </c>
      <c r="AA22" s="139" t="e">
        <f>AB85*10^-3</f>
        <v>#N/A</v>
      </c>
      <c r="AB22" s="139" t="e">
        <f>AA22</f>
        <v>#N/A</v>
      </c>
      <c r="AC22" s="69" t="e">
        <f>(J83-AB84)*10^-3</f>
        <v>#N/A</v>
      </c>
      <c r="AD22" s="69" t="e">
        <f>AC22</f>
        <v>#N/A</v>
      </c>
      <c r="AE22" s="69" t="e">
        <f>(AC22+AB22)/2</f>
        <v>#N/A</v>
      </c>
      <c r="AF22" s="1"/>
      <c r="AG22" s="3"/>
      <c r="AH22" s="1"/>
      <c r="AI22" s="1"/>
    </row>
    <row r="23" spans="15:35">
      <c r="O23" s="103"/>
      <c r="AC23" s="1"/>
      <c r="AD23" s="1"/>
      <c r="AE23" s="1"/>
      <c r="AF23" s="1"/>
      <c r="AG23" s="3"/>
      <c r="AH23" s="1"/>
      <c r="AI23" s="1"/>
    </row>
    <row r="24" spans="15:35">
      <c r="O24" s="103"/>
      <c r="AA24" t="str">
        <f>"Strimmel " &amp;Z86</f>
        <v xml:space="preserve">Strimmel </v>
      </c>
      <c r="AC24" s="1"/>
      <c r="AD24" s="1"/>
      <c r="AE24" s="1" t="str">
        <f>"Center - " &amp;AA24</f>
        <v xml:space="preserve">Center - Strimmel </v>
      </c>
      <c r="AF24" s="1"/>
      <c r="AG24" s="3"/>
      <c r="AH24" s="1"/>
      <c r="AI24" s="1"/>
    </row>
    <row r="25" spans="15:35">
      <c r="O25" s="103"/>
      <c r="Z25" t="s">
        <v>46</v>
      </c>
      <c r="AA25" s="139">
        <f>0</f>
        <v>0</v>
      </c>
      <c r="AB25" s="139" t="e">
        <f>AB86*10^-3</f>
        <v>#N/A</v>
      </c>
      <c r="AC25" s="69" t="e">
        <f>AB25</f>
        <v>#N/A</v>
      </c>
      <c r="AD25" s="69">
        <f>AA25</f>
        <v>0</v>
      </c>
      <c r="AE25" s="69" t="e">
        <f>(AC25+AD25)/2</f>
        <v>#N/A</v>
      </c>
      <c r="AF25" s="1"/>
      <c r="AG25" s="3"/>
      <c r="AH25" s="1"/>
      <c r="AI25" s="1"/>
    </row>
    <row r="26" spans="15:35">
      <c r="O26" s="103"/>
      <c r="Z26" t="s">
        <v>495</v>
      </c>
      <c r="AA26" s="139" t="e">
        <f>AB85*10^-3</f>
        <v>#N/A</v>
      </c>
      <c r="AB26" s="139" t="e">
        <f>AA26</f>
        <v>#N/A</v>
      </c>
      <c r="AC26" s="69" t="e">
        <f>(J83-AB84)*10^-3</f>
        <v>#N/A</v>
      </c>
      <c r="AD26" s="69" t="e">
        <f>AC26</f>
        <v>#N/A</v>
      </c>
      <c r="AE26" s="69" t="e">
        <f>(AC26+AB26)/2</f>
        <v>#N/A</v>
      </c>
      <c r="AF26" s="1"/>
      <c r="AG26" s="3"/>
      <c r="AH26" s="1"/>
      <c r="AI26" s="1"/>
    </row>
    <row r="27" spans="15:35">
      <c r="O27" s="103"/>
      <c r="AC27" s="1"/>
      <c r="AD27" s="1"/>
      <c r="AE27" s="1"/>
      <c r="AF27" s="1"/>
      <c r="AG27" s="3"/>
      <c r="AH27" s="1"/>
      <c r="AI27" s="1"/>
    </row>
    <row r="28" spans="15:35">
      <c r="O28" s="103"/>
      <c r="AA28" t="str">
        <f>"Strimmel " &amp;Z84</f>
        <v xml:space="preserve">Strimmel </v>
      </c>
      <c r="AC28" t="str">
        <f>"Strimmel " &amp;Z85</f>
        <v xml:space="preserve">Strimmel </v>
      </c>
      <c r="AD28" s="1"/>
      <c r="AE28" s="1" t="str">
        <f>"Center - " &amp;AA28</f>
        <v xml:space="preserve">Center - Strimmel </v>
      </c>
      <c r="AF28" s="1" t="str">
        <f>"Center - " &amp;AC28</f>
        <v xml:space="preserve">Center - Strimmel </v>
      </c>
      <c r="AG28" s="3"/>
      <c r="AH28" s="1"/>
      <c r="AI28" s="1"/>
    </row>
    <row r="29" spans="15:35">
      <c r="O29" s="103"/>
      <c r="Z29" t="s">
        <v>46</v>
      </c>
      <c r="AA29" s="139">
        <v>0</v>
      </c>
      <c r="AB29" s="139" t="e">
        <f>J87*10^-3</f>
        <v>#N/A</v>
      </c>
      <c r="AC29" s="69">
        <v>0</v>
      </c>
      <c r="AD29" s="69" t="e">
        <f>J88*10^-3</f>
        <v>#N/A</v>
      </c>
      <c r="AE29" s="69" t="e">
        <f>(AB29+AA29)/2</f>
        <v>#N/A</v>
      </c>
      <c r="AF29" s="69" t="e">
        <f>(AD29+AC29)/2</f>
        <v>#N/A</v>
      </c>
      <c r="AG29" s="3"/>
      <c r="AH29" s="1"/>
      <c r="AI29" s="1"/>
    </row>
    <row r="30" spans="15:35">
      <c r="O30" s="103"/>
      <c r="Z30" t="s">
        <v>495</v>
      </c>
      <c r="AA30" s="139" t="e">
        <f>(J83-AB84)*10^-3</f>
        <v>#N/A</v>
      </c>
      <c r="AB30" s="139" t="e">
        <f>AA30</f>
        <v>#N/A</v>
      </c>
      <c r="AC30" s="69" t="e">
        <f>AB85*10^-3</f>
        <v>#N/A</v>
      </c>
      <c r="AD30" s="69" t="e">
        <f>AC30</f>
        <v>#N/A</v>
      </c>
      <c r="AE30" s="69" t="e">
        <f>(AB30+AA30)/2</f>
        <v>#N/A</v>
      </c>
      <c r="AF30" s="69" t="e">
        <f>(AD30+AC30)/2</f>
        <v>#N/A</v>
      </c>
      <c r="AG30" s="3"/>
      <c r="AH30" s="1"/>
      <c r="AI30" s="1"/>
    </row>
    <row r="31" spans="15:35">
      <c r="O31" s="103"/>
      <c r="AC31" s="1"/>
      <c r="AD31" s="1"/>
      <c r="AE31" s="1"/>
      <c r="AF31" s="1"/>
      <c r="AG31" s="3"/>
      <c r="AH31" s="1"/>
      <c r="AI31" s="1"/>
    </row>
    <row r="32" spans="15:35">
      <c r="O32" s="103"/>
      <c r="AA32" t="str">
        <f>"Lastområde "&amp;Z78</f>
        <v xml:space="preserve">Lastområde </v>
      </c>
      <c r="AB32" t="str">
        <f>"Lastområde "&amp;Z79</f>
        <v xml:space="preserve">Lastområde </v>
      </c>
      <c r="AC32" s="239">
        <f>Z80</f>
        <v>0</v>
      </c>
      <c r="AF32" s="239">
        <f>Z81</f>
        <v>0</v>
      </c>
      <c r="AG32" s="1"/>
      <c r="AH32" s="1"/>
      <c r="AI32" s="1"/>
    </row>
    <row r="33" spans="15:35">
      <c r="O33" s="103"/>
      <c r="Z33" t="s">
        <v>46</v>
      </c>
      <c r="AA33" s="139" t="e">
        <f>(J87+J89)/2*10^-3</f>
        <v>#N/A</v>
      </c>
      <c r="AB33" s="139" t="e">
        <f>(J88+J89)/2*10^-3</f>
        <v>#N/A</v>
      </c>
      <c r="AC33" s="69" t="e">
        <f>J87*10^-3</f>
        <v>#N/A</v>
      </c>
      <c r="AD33" t="e">
        <f>(AE33+AC33)/2</f>
        <v>#N/A</v>
      </c>
      <c r="AE33" s="139" t="e">
        <f>IF(AC80=0,AC33,AC33+0.25)</f>
        <v>#N/A</v>
      </c>
      <c r="AF33" s="69" t="e">
        <f>J88*10^-3</f>
        <v>#N/A</v>
      </c>
      <c r="AG33" t="e">
        <f>(AH33+AF33)/2</f>
        <v>#N/A</v>
      </c>
      <c r="AH33" s="139" t="e">
        <f>IF(AC81=0,AF33,AF33+0.25)</f>
        <v>#N/A</v>
      </c>
      <c r="AI33" s="1"/>
    </row>
    <row r="34" spans="15:35">
      <c r="O34" s="103"/>
      <c r="Z34" t="s">
        <v>495</v>
      </c>
      <c r="AA34" t="e">
        <f>(J83+(J83-J84))/2*10^-3</f>
        <v>#N/A</v>
      </c>
      <c r="AB34" t="e">
        <f>J85/2*10^-3</f>
        <v>#N/A</v>
      </c>
      <c r="AC34" s="1" t="e">
        <f>AA34</f>
        <v>#N/A</v>
      </c>
      <c r="AD34" t="e">
        <f>(AC34+AE34)/2</f>
        <v>#N/A</v>
      </c>
      <c r="AE34" t="e">
        <f>AC34</f>
        <v>#N/A</v>
      </c>
      <c r="AF34" s="1" t="e">
        <f>AB34</f>
        <v>#N/A</v>
      </c>
      <c r="AG34" t="e">
        <f>(AF34+AH34)/2</f>
        <v>#N/A</v>
      </c>
      <c r="AH34" s="1" t="e">
        <f>AF34</f>
        <v>#N/A</v>
      </c>
      <c r="AI34" s="1"/>
    </row>
    <row r="35" spans="15:35">
      <c r="O35" s="103"/>
      <c r="AC35" s="1"/>
      <c r="AD35" s="1"/>
      <c r="AE35" s="1"/>
      <c r="AF35" s="1"/>
      <c r="AG35" s="3"/>
      <c r="AH35" s="1"/>
      <c r="AI35" s="1"/>
    </row>
    <row r="36" spans="15:35">
      <c r="O36" s="103"/>
      <c r="AC36" s="1"/>
      <c r="AD36" s="1"/>
      <c r="AE36" s="1"/>
      <c r="AF36" s="1"/>
      <c r="AG36" s="3"/>
      <c r="AH36" s="1"/>
      <c r="AI36" s="1"/>
    </row>
    <row r="37" spans="15:35">
      <c r="O37" s="103"/>
      <c r="AC37" s="1"/>
      <c r="AD37" s="1"/>
      <c r="AE37" s="1"/>
      <c r="AF37" s="1"/>
      <c r="AG37" s="3"/>
      <c r="AH37" s="1"/>
      <c r="AI37" s="1"/>
    </row>
    <row r="38" spans="15:35" ht="21">
      <c r="O38" s="103"/>
      <c r="AA38" s="134" t="s">
        <v>518</v>
      </c>
      <c r="AC38" s="1"/>
      <c r="AD38" s="1"/>
      <c r="AE38" s="1"/>
      <c r="AF38" s="1"/>
      <c r="AG38" s="3"/>
      <c r="AH38" s="1"/>
      <c r="AI38" s="1"/>
    </row>
    <row r="39" spans="15:35">
      <c r="O39" s="103"/>
      <c r="AC39" s="1"/>
      <c r="AD39" s="1"/>
      <c r="AE39" s="1"/>
      <c r="AF39" s="1"/>
      <c r="AG39" s="3"/>
      <c r="AH39" s="1"/>
      <c r="AI39" s="1"/>
    </row>
    <row r="40" spans="15:35">
      <c r="O40" s="103"/>
      <c r="AC40" s="1"/>
      <c r="AD40" s="1"/>
      <c r="AE40" s="1"/>
      <c r="AF40" s="1"/>
      <c r="AG40" s="3"/>
      <c r="AH40" s="1"/>
      <c r="AI40" s="1"/>
    </row>
    <row r="41" spans="15:35">
      <c r="O41" s="103"/>
      <c r="AC41" s="1"/>
      <c r="AD41" s="1"/>
      <c r="AE41" s="1"/>
      <c r="AF41" s="1"/>
      <c r="AG41" s="3"/>
      <c r="AH41" s="1"/>
      <c r="AI41" s="1"/>
    </row>
    <row r="42" spans="15:35">
      <c r="O42" s="103"/>
      <c r="AC42" s="1"/>
      <c r="AD42" s="1"/>
      <c r="AE42" s="1"/>
      <c r="AF42" s="1"/>
      <c r="AG42" s="3"/>
      <c r="AH42" s="1"/>
      <c r="AI42" s="1"/>
    </row>
    <row r="43" spans="15:35">
      <c r="O43" s="103"/>
      <c r="AC43" s="1"/>
      <c r="AD43" s="1"/>
      <c r="AE43" s="1"/>
      <c r="AF43" s="1"/>
      <c r="AG43" s="3"/>
      <c r="AH43" s="1"/>
      <c r="AI43" s="1"/>
    </row>
    <row r="44" spans="15:35">
      <c r="O44" s="103"/>
      <c r="AC44" s="1"/>
      <c r="AD44" s="1"/>
      <c r="AE44" s="1"/>
      <c r="AF44" s="1"/>
      <c r="AG44" s="3"/>
      <c r="AH44" s="1"/>
      <c r="AI44" s="1"/>
    </row>
    <row r="45" spans="15:35">
      <c r="O45" s="103"/>
      <c r="AC45" s="1"/>
      <c r="AD45" s="1"/>
      <c r="AE45" s="1"/>
      <c r="AF45" s="1"/>
      <c r="AG45" s="3"/>
      <c r="AH45" s="1"/>
      <c r="AI45" s="1"/>
    </row>
    <row r="46" spans="15:35">
      <c r="O46" s="103"/>
      <c r="AC46" s="1"/>
      <c r="AD46" s="1"/>
      <c r="AE46" s="1"/>
      <c r="AF46" s="1"/>
      <c r="AG46" s="3"/>
      <c r="AH46" s="1"/>
      <c r="AI46" s="1"/>
    </row>
    <row r="47" spans="15:35">
      <c r="O47" s="103"/>
      <c r="AC47" s="1"/>
      <c r="AD47" s="1"/>
      <c r="AE47" s="1"/>
      <c r="AF47" s="1"/>
      <c r="AG47" s="3"/>
      <c r="AH47" s="1"/>
      <c r="AI47" s="1"/>
    </row>
    <row r="48" spans="15:35">
      <c r="O48" s="103"/>
      <c r="AC48" s="1"/>
      <c r="AD48" s="1"/>
      <c r="AE48" s="1"/>
      <c r="AF48" s="1"/>
      <c r="AG48" s="3"/>
      <c r="AH48" s="1"/>
      <c r="AI48" s="1"/>
    </row>
    <row r="49" spans="3:35">
      <c r="O49" s="103"/>
      <c r="AC49" s="1"/>
      <c r="AD49" s="1"/>
      <c r="AE49" s="1"/>
      <c r="AF49" s="1"/>
      <c r="AG49" s="3"/>
      <c r="AH49" s="1"/>
      <c r="AI49" s="1"/>
    </row>
    <row r="50" spans="3:35">
      <c r="O50" s="103"/>
      <c r="AC50" s="1"/>
      <c r="AD50" s="1"/>
      <c r="AE50" s="1"/>
      <c r="AF50" s="1"/>
      <c r="AG50" s="3"/>
      <c r="AH50" s="1"/>
      <c r="AI50" s="1"/>
    </row>
    <row r="51" spans="3:35">
      <c r="O51" s="103"/>
      <c r="AC51" s="1"/>
      <c r="AD51" s="1"/>
      <c r="AE51" s="1"/>
      <c r="AF51" s="1"/>
      <c r="AG51" s="3"/>
      <c r="AH51" s="1"/>
      <c r="AI51" s="1"/>
    </row>
    <row r="52" spans="3:35">
      <c r="O52" s="103"/>
      <c r="AC52" s="1"/>
      <c r="AD52" s="1"/>
      <c r="AE52" s="1"/>
      <c r="AF52" s="1"/>
      <c r="AG52" s="3"/>
      <c r="AH52" s="1"/>
      <c r="AI52" s="1"/>
    </row>
    <row r="53" spans="3:35">
      <c r="O53" s="103"/>
      <c r="AC53" s="1"/>
      <c r="AD53" s="1"/>
      <c r="AE53" s="1"/>
      <c r="AF53" s="1"/>
      <c r="AG53" s="3"/>
      <c r="AH53" s="1"/>
      <c r="AI53" s="1"/>
    </row>
    <row r="54" spans="3:35">
      <c r="O54" s="103"/>
      <c r="AC54" s="1"/>
      <c r="AD54" s="1"/>
      <c r="AE54" s="1"/>
      <c r="AF54" s="1"/>
      <c r="AG54" s="3"/>
      <c r="AH54" s="1"/>
      <c r="AI54" s="1"/>
    </row>
    <row r="55" spans="3:35">
      <c r="O55" s="103"/>
      <c r="AC55" s="1"/>
      <c r="AD55" s="1"/>
      <c r="AE55" s="1"/>
      <c r="AF55" s="1"/>
      <c r="AG55" s="3"/>
      <c r="AH55" s="1"/>
      <c r="AI55" s="1"/>
    </row>
    <row r="56" spans="3:35">
      <c r="O56" s="103"/>
      <c r="AC56" s="1"/>
      <c r="AD56" s="1"/>
      <c r="AE56" s="1"/>
      <c r="AF56" s="1"/>
      <c r="AG56" s="3"/>
      <c r="AH56" s="1"/>
      <c r="AI56" s="1"/>
    </row>
    <row r="57" spans="3:35">
      <c r="O57" s="103"/>
      <c r="AC57" s="1"/>
      <c r="AD57" s="1"/>
      <c r="AE57" s="1"/>
      <c r="AF57" s="1"/>
      <c r="AG57" s="3"/>
      <c r="AH57" s="1"/>
      <c r="AI57" s="1"/>
    </row>
    <row r="58" spans="3:35">
      <c r="O58" s="103"/>
      <c r="AC58" s="1"/>
      <c r="AD58" s="1"/>
      <c r="AE58" s="1"/>
      <c r="AF58" s="1"/>
      <c r="AG58" s="3"/>
      <c r="AH58" s="1"/>
      <c r="AI58" s="1"/>
    </row>
    <row r="59" spans="3:35">
      <c r="O59" s="103"/>
      <c r="AC59" s="1"/>
      <c r="AD59" s="1"/>
      <c r="AE59" s="1"/>
      <c r="AF59" s="1"/>
      <c r="AG59" s="3"/>
      <c r="AH59" s="1"/>
      <c r="AI59" s="1"/>
    </row>
    <row r="60" spans="3:35">
      <c r="O60" s="103"/>
      <c r="AC60" s="1"/>
      <c r="AD60" s="1"/>
      <c r="AE60" s="1"/>
      <c r="AF60" s="1"/>
      <c r="AG60" s="3"/>
      <c r="AH60" s="1"/>
      <c r="AI60" s="1"/>
    </row>
    <row r="61" spans="3:35">
      <c r="O61" s="103"/>
      <c r="AC61" s="1"/>
      <c r="AD61" s="1"/>
      <c r="AE61" s="1"/>
      <c r="AF61" s="1"/>
      <c r="AG61" s="3"/>
      <c r="AH61" s="1"/>
      <c r="AI61" s="1"/>
    </row>
    <row r="62" spans="3:35">
      <c r="O62" s="103"/>
      <c r="AC62" s="1"/>
      <c r="AD62" s="1"/>
      <c r="AE62" s="1"/>
      <c r="AF62" s="1"/>
      <c r="AG62" s="3"/>
      <c r="AH62" s="1"/>
      <c r="AI62" s="1"/>
    </row>
    <row r="63" spans="3:35">
      <c r="O63" s="103"/>
      <c r="AC63" s="1"/>
      <c r="AD63" s="1"/>
      <c r="AE63" s="1"/>
      <c r="AF63" s="1"/>
      <c r="AG63" s="3"/>
      <c r="AH63" s="1"/>
      <c r="AI63" s="1"/>
    </row>
    <row r="64" spans="3:35" ht="23.25">
      <c r="C64" s="240" t="s">
        <v>15</v>
      </c>
    </row>
    <row r="66" spans="3:86" ht="18.75" customHeight="1">
      <c r="C66" s="5"/>
      <c r="D66" s="104" t="str">
        <f t="shared" ref="D66:D74" si="0">AA78</f>
        <v>Lastområde</v>
      </c>
      <c r="E66" s="6" t="str">
        <f t="shared" ref="E66:E74" si="1">IF(ISBLANK(Z78),"",Z78)</f>
        <v/>
      </c>
      <c r="F66" s="6" t="str" cm="1">
        <f t="array" ref="F66">_xlfn.IFS(E66="","",D66="Lastområde","er lastområde til",D66="Strimmel","ligger af på",D66="Løbslast","'s last trækkes ind til")</f>
        <v/>
      </c>
      <c r="G66" s="142"/>
      <c r="H66" s="105" t="str">
        <f>IF(I66="","","og")</f>
        <v/>
      </c>
      <c r="I66" s="145"/>
      <c r="J66" s="105" t="str">
        <f>IF(AND(ISBLANK(G66),ISBLANK(I66)),"","som")</f>
        <v/>
      </c>
      <c r="K66" s="6" t="str">
        <f t="shared" ref="K66:K74" si="2">IF(E66="","",IF(INDEX($AB$78:$AB$86,MATCH(E66,$Z$78:$Z$86,0))&lt;=300,"punktlast","linjelast"))</f>
        <v/>
      </c>
      <c r="M66" s="106" t="str">
        <f>IF(E66="","",IF(OR(G66=E66,I66=E66),"FEJL!",""))</f>
        <v/>
      </c>
    </row>
    <row r="67" spans="3:86" ht="18.75" customHeight="1">
      <c r="D67" s="104" t="str">
        <f t="shared" si="0"/>
        <v>Lastområde</v>
      </c>
      <c r="E67" s="6" t="str">
        <f t="shared" si="1"/>
        <v/>
      </c>
      <c r="F67" s="6" t="str" cm="1">
        <f t="array" ref="F67">_xlfn.IFS(E67="","",D67="Lastområde","er lastområde til",D67="Strimmel","ligger af på",D67="Løbslast","'s last trækkes ind til")</f>
        <v/>
      </c>
      <c r="G67" s="142"/>
      <c r="H67" s="105" t="str">
        <f t="shared" ref="H67:H74" si="3">IF(I67="","","og")</f>
        <v/>
      </c>
      <c r="I67" s="145"/>
      <c r="J67" s="105" t="str">
        <f t="shared" ref="J67:J74" si="4">IF(AND(ISBLANK(G67),ISBLANK(I67)),"","som")</f>
        <v/>
      </c>
      <c r="K67" s="6" t="str">
        <f t="shared" si="2"/>
        <v/>
      </c>
      <c r="L67" s="105"/>
      <c r="M67" s="106" t="str">
        <f t="shared" ref="M67:M74" si="5">IF(E67="","",IF(OR(G67=E67,I67=E67),"FEJL!",""))</f>
        <v/>
      </c>
    </row>
    <row r="68" spans="3:86" ht="18.75" customHeight="1">
      <c r="D68" s="104" t="str">
        <f t="shared" si="0"/>
        <v>Løbslast</v>
      </c>
      <c r="E68" s="6" t="str">
        <f t="shared" si="1"/>
        <v/>
      </c>
      <c r="F68" s="6" t="str" cm="1">
        <f t="array" ref="F68">_xlfn.IFS(E68="","",D68="Lastområde","er lastområde til",D68="Strimmel","ligger af på",D68="Løbslast","'s last trækkes ind til")</f>
        <v/>
      </c>
      <c r="G68" s="142"/>
      <c r="H68" s="105" t="str">
        <f t="shared" si="3"/>
        <v/>
      </c>
      <c r="I68" s="145"/>
      <c r="J68" s="105" t="str">
        <f t="shared" si="4"/>
        <v/>
      </c>
      <c r="K68" s="6" t="str">
        <f t="shared" si="2"/>
        <v/>
      </c>
      <c r="L68" s="105"/>
      <c r="M68" s="106" t="str">
        <f t="shared" si="5"/>
        <v/>
      </c>
    </row>
    <row r="69" spans="3:86">
      <c r="D69" s="104" t="str">
        <f t="shared" si="0"/>
        <v>Løbslast</v>
      </c>
      <c r="E69" s="6" t="str">
        <f t="shared" si="1"/>
        <v/>
      </c>
      <c r="F69" s="6" t="str" cm="1">
        <f t="array" ref="F69">_xlfn.IFS(E69="","",D69="Lastområde","er lastområde til",D69="Strimmel","ligger af på",D69="Løbslast","'s last trækkes ind til")</f>
        <v/>
      </c>
      <c r="G69" s="142"/>
      <c r="H69" s="105" t="str">
        <f t="shared" si="3"/>
        <v/>
      </c>
      <c r="I69" s="145"/>
      <c r="J69" s="105" t="str">
        <f t="shared" si="4"/>
        <v/>
      </c>
      <c r="K69" s="6" t="str">
        <f t="shared" si="2"/>
        <v/>
      </c>
      <c r="L69" s="105"/>
      <c r="M69" s="106" t="str">
        <f t="shared" si="5"/>
        <v/>
      </c>
    </row>
    <row r="70" spans="3:86">
      <c r="D70" s="104" t="str">
        <f t="shared" si="0"/>
        <v>Strimmel</v>
      </c>
      <c r="E70" s="6" t="str">
        <f t="shared" si="1"/>
        <v/>
      </c>
      <c r="F70" s="6" t="str" cm="1">
        <f t="array" ref="F70">_xlfn.IFS(E70="","",D70="Lastområde","er lastområde til",D70="Strimmel","ligger af på",D70="Løbslast","'s last trækkes ind til")</f>
        <v/>
      </c>
      <c r="G70" s="142"/>
      <c r="H70" s="105" t="str">
        <f t="shared" si="3"/>
        <v/>
      </c>
      <c r="I70" s="145"/>
      <c r="J70" s="105" t="str">
        <f t="shared" si="4"/>
        <v/>
      </c>
      <c r="K70" s="6" t="str">
        <f t="shared" si="2"/>
        <v/>
      </c>
      <c r="M70" s="106" t="str">
        <f t="shared" si="5"/>
        <v/>
      </c>
    </row>
    <row r="71" spans="3:86">
      <c r="D71" s="104" t="str">
        <f t="shared" si="0"/>
        <v>Strimmel</v>
      </c>
      <c r="E71" s="6" t="str">
        <f t="shared" si="1"/>
        <v/>
      </c>
      <c r="F71" s="6" t="str" cm="1">
        <f t="array" ref="F71">_xlfn.IFS(E71="","",D71="Lastområde","er lastområde til",D71="Strimmel","ligger af på",D71="Løbslast","'s last trækkes ind til")</f>
        <v/>
      </c>
      <c r="G71" s="142"/>
      <c r="H71" s="105" t="str">
        <f t="shared" si="3"/>
        <v/>
      </c>
      <c r="I71" s="145"/>
      <c r="J71" s="105" t="str">
        <f t="shared" si="4"/>
        <v/>
      </c>
      <c r="K71" s="6" t="str">
        <f t="shared" si="2"/>
        <v/>
      </c>
      <c r="M71" s="106" t="str">
        <f t="shared" si="5"/>
        <v/>
      </c>
    </row>
    <row r="72" spans="3:86">
      <c r="D72" s="104" t="str">
        <f t="shared" si="0"/>
        <v>Strimmel</v>
      </c>
      <c r="E72" s="6" t="str">
        <f t="shared" si="1"/>
        <v/>
      </c>
      <c r="F72" s="6" t="str" cm="1">
        <f t="array" ref="F72">_xlfn.IFS(E72="","",D72="Lastområde","er lastområde til",D72="Strimmel","ligger af på",D72="Løbslast","'s last trækkes ind til")</f>
        <v/>
      </c>
      <c r="G72" s="143"/>
      <c r="H72" s="105" t="str">
        <f t="shared" si="3"/>
        <v/>
      </c>
      <c r="I72" s="143"/>
      <c r="J72" s="105" t="str">
        <f t="shared" si="4"/>
        <v/>
      </c>
      <c r="K72" s="6" t="str">
        <f t="shared" si="2"/>
        <v/>
      </c>
      <c r="M72" s="106" t="str">
        <f t="shared" si="5"/>
        <v/>
      </c>
    </row>
    <row r="73" spans="3:86">
      <c r="D73" s="104" t="str">
        <f t="shared" si="0"/>
        <v>Strimmel</v>
      </c>
      <c r="E73" s="6" t="str">
        <f t="shared" si="1"/>
        <v/>
      </c>
      <c r="F73" s="6" t="str" cm="1">
        <f t="array" ref="F73">_xlfn.IFS(E73="","",D73="Lastområde","er lastområde til",D73="Strimmel","ligger af på",D73="Løbslast","'s last trækkes ind til")</f>
        <v/>
      </c>
      <c r="G73" s="142"/>
      <c r="H73" s="105" t="str">
        <f t="shared" si="3"/>
        <v/>
      </c>
      <c r="I73" s="145"/>
      <c r="J73" s="105" t="str">
        <f t="shared" si="4"/>
        <v/>
      </c>
      <c r="K73" s="6" t="str">
        <f t="shared" si="2"/>
        <v/>
      </c>
      <c r="M73" s="106" t="str">
        <f t="shared" si="5"/>
        <v/>
      </c>
    </row>
    <row r="74" spans="3:86">
      <c r="D74" s="104" t="str">
        <f t="shared" si="0"/>
        <v>Strimmel</v>
      </c>
      <c r="E74" s="6" t="str">
        <f t="shared" si="1"/>
        <v/>
      </c>
      <c r="F74" s="6" t="str" cm="1">
        <f t="array" ref="F74">_xlfn.IFS(E74="","",D74="Lastområde","er lastområde til",D74="Strimmel","ligger af på",D74="Løbslast","'s last trækkes ind til")</f>
        <v/>
      </c>
      <c r="G74" s="142"/>
      <c r="H74" s="105" t="str">
        <f t="shared" si="3"/>
        <v/>
      </c>
      <c r="I74" s="145"/>
      <c r="J74" s="105" t="str">
        <f t="shared" si="4"/>
        <v/>
      </c>
      <c r="K74" s="6" t="str">
        <f t="shared" si="2"/>
        <v/>
      </c>
      <c r="M74" s="106" t="str">
        <f t="shared" si="5"/>
        <v/>
      </c>
    </row>
    <row r="76" spans="3:86" ht="21">
      <c r="C76" s="134" t="s">
        <v>44</v>
      </c>
      <c r="Y76" s="3"/>
      <c r="Z76" s="3" t="s">
        <v>29</v>
      </c>
      <c r="AA76" s="1"/>
      <c r="AB76" s="1"/>
      <c r="AC76" s="1"/>
      <c r="AD76" s="1"/>
      <c r="AE76" s="1"/>
      <c r="AF76" s="1"/>
      <c r="AG76" s="7"/>
      <c r="AH76" s="7"/>
      <c r="AI76" s="1"/>
      <c r="AZ76" s="5" t="s">
        <v>113</v>
      </c>
    </row>
    <row r="77" spans="3:86" ht="15.75" customHeight="1">
      <c r="D77" s="5"/>
      <c r="E77" s="5"/>
      <c r="F77" s="107" t="s">
        <v>22</v>
      </c>
      <c r="G77" s="149">
        <v>2</v>
      </c>
      <c r="H77" s="105" t="s">
        <v>18</v>
      </c>
      <c r="I77" s="6" t="str">
        <f>IF(G77=2,"CC2",IF(G77=3,"CC3","Fejl!"))</f>
        <v>CC2</v>
      </c>
      <c r="Y77" s="4"/>
      <c r="Z77" s="8" t="s">
        <v>10</v>
      </c>
      <c r="AA77" s="8" t="s">
        <v>11</v>
      </c>
      <c r="AB77" s="8" t="s">
        <v>82</v>
      </c>
      <c r="AC77" s="8" t="s">
        <v>80</v>
      </c>
      <c r="AD77" s="8" t="s">
        <v>86</v>
      </c>
      <c r="AE77" s="8" t="s">
        <v>87</v>
      </c>
      <c r="AF77" s="8" t="s">
        <v>81</v>
      </c>
      <c r="AG77" s="7"/>
      <c r="AH77" s="1"/>
      <c r="AI77" s="1"/>
      <c r="AM77" s="26"/>
      <c r="AN77" s="27" t="s">
        <v>92</v>
      </c>
      <c r="AO77" s="28">
        <f>Z78</f>
        <v>0</v>
      </c>
      <c r="AP77" s="29">
        <f>Z79</f>
        <v>0</v>
      </c>
      <c r="AQ77" s="1"/>
      <c r="AR77" s="1"/>
      <c r="AS77" s="1"/>
      <c r="AT77" s="1"/>
      <c r="AU77" s="1"/>
      <c r="AV77" s="1"/>
      <c r="AW77" s="1"/>
      <c r="AY77" s="44" t="s">
        <v>30</v>
      </c>
      <c r="AZ77" s="45" t="str">
        <f>E70</f>
        <v/>
      </c>
      <c r="BA77" s="46"/>
      <c r="BB77" s="47"/>
      <c r="BN77" s="26"/>
      <c r="BO77" s="198" t="s">
        <v>494</v>
      </c>
      <c r="BP77" s="199"/>
      <c r="BQ77" s="200" t="s">
        <v>32</v>
      </c>
      <c r="BR77" s="199"/>
      <c r="BS77" s="199"/>
      <c r="BT77" s="199"/>
      <c r="BU77" s="199"/>
      <c r="BV77" s="199"/>
      <c r="BW77" s="199"/>
      <c r="BX77" s="199"/>
      <c r="BY77" s="201"/>
      <c r="BZ77" s="1"/>
      <c r="CA77" s="1"/>
      <c r="CB77" s="1"/>
      <c r="CC77" s="1"/>
      <c r="CD77" s="1"/>
      <c r="CE77" s="1"/>
      <c r="CF77" s="1"/>
      <c r="CG77" s="1"/>
      <c r="CH77" s="1"/>
    </row>
    <row r="78" spans="3:86">
      <c r="F78" s="6" t="s">
        <v>23</v>
      </c>
      <c r="G78" s="149" t="s">
        <v>24</v>
      </c>
      <c r="H78" s="105" t="s">
        <v>18</v>
      </c>
      <c r="I78" s="6" t="str">
        <f>IF(G78="N","Normal",IF(G78="S","Skærpet","Fejl!"))</f>
        <v>Normal</v>
      </c>
      <c r="Y78" s="8">
        <v>1</v>
      </c>
      <c r="Z78" s="146"/>
      <c r="AA78" s="7" t="s">
        <v>14</v>
      </c>
      <c r="AB78" s="20" t="e">
        <f>J84</f>
        <v>#N/A</v>
      </c>
      <c r="AC78" s="21" t="e">
        <f>IF(AA78="Lastområde",$Q$104,IF(AA78="Løbslast",NA(),""))</f>
        <v>#N/A</v>
      </c>
      <c r="AD78" s="21" t="s">
        <v>85</v>
      </c>
      <c r="AE78" s="21" t="s">
        <v>85</v>
      </c>
      <c r="AF78" s="25" cm="1">
        <f t="array" ref="AF78">_xlfn.IFS(AND(I72="repos",NOT(G72="dorn")),AO78,AND(I72="repos",G72="dorn"),AO79,AND(I72="dorn",G72="dorn"),AO80,AND(I72="dorn",NOT(G72="dorn")),AO81,AND(G72="",I72=""),0)</f>
        <v>0</v>
      </c>
      <c r="AG78" s="7"/>
      <c r="AH78" s="1"/>
      <c r="AI78" s="1"/>
      <c r="AM78" s="30" t="s">
        <v>88</v>
      </c>
      <c r="AN78" s="31"/>
      <c r="AO78" s="21" t="e">
        <f>0.5*(J87-J89+AB83/2)*10^-3*AC78</f>
        <v>#N/A</v>
      </c>
      <c r="AP78" s="25" t="e">
        <f>0.5*(J88-J89+AB83/2)*10^-3*AC79</f>
        <v>#N/A</v>
      </c>
      <c r="AQ78" s="1"/>
      <c r="AR78" s="1" t="s">
        <v>93</v>
      </c>
      <c r="AS78" s="1"/>
      <c r="AT78" s="1"/>
      <c r="AU78" s="1"/>
      <c r="AV78" s="1"/>
      <c r="AW78" s="1"/>
      <c r="AY78" s="48" t="s">
        <v>101</v>
      </c>
      <c r="AZ78" t="s">
        <v>109</v>
      </c>
      <c r="BA78" s="9" t="e">
        <f>Q104*AB82*10^-3</f>
        <v>#N/A</v>
      </c>
      <c r="BB78" s="49" t="s">
        <v>100</v>
      </c>
      <c r="BD78" t="s">
        <v>237</v>
      </c>
      <c r="BF78" s="9">
        <f>_xlfn.MAXIFS(BA80:BA134,AZ80:AZ134,"dorn")</f>
        <v>0</v>
      </c>
      <c r="BG78" t="s">
        <v>41</v>
      </c>
      <c r="BN78" s="202" t="s">
        <v>46</v>
      </c>
      <c r="BO78" s="32" t="e">
        <f>MAX(J87:J88)*10^-3</f>
        <v>#N/A</v>
      </c>
      <c r="BP78" s="1"/>
      <c r="BQ78" s="2">
        <v>0</v>
      </c>
      <c r="BR78" s="1" t="e">
        <f>J88*10^-3</f>
        <v>#N/A</v>
      </c>
      <c r="BS78" s="1" t="e">
        <f>BR78</f>
        <v>#N/A</v>
      </c>
      <c r="BT78" s="11" t="e">
        <f>J89*10^-3</f>
        <v>#N/A</v>
      </c>
      <c r="BU78" s="11" t="e">
        <f>BT78</f>
        <v>#N/A</v>
      </c>
      <c r="BV78" s="1" t="e">
        <f>J87*10^-3</f>
        <v>#N/A</v>
      </c>
      <c r="BW78" s="1" t="e">
        <f>BV78</f>
        <v>#N/A</v>
      </c>
      <c r="BX78" s="1">
        <v>0</v>
      </c>
      <c r="BY78" s="32">
        <v>0</v>
      </c>
      <c r="BZ78" s="1"/>
      <c r="CA78" s="1"/>
      <c r="CB78" s="1"/>
      <c r="CC78" s="1"/>
      <c r="CD78" s="1"/>
      <c r="CE78" s="1"/>
      <c r="CF78" s="1"/>
      <c r="CG78" s="1"/>
      <c r="CH78" s="1"/>
    </row>
    <row r="79" spans="3:86">
      <c r="F79" s="107" t="s">
        <v>16</v>
      </c>
      <c r="G79" s="149" t="s">
        <v>17</v>
      </c>
      <c r="H79" s="105" t="s">
        <v>18</v>
      </c>
      <c r="I79" s="6" t="str">
        <f>IF(G79="P","Passiv",IF(G79="M","Moderat",IF(G79="A","Aggressiv",IF(G79="E","Ekstra aggressiv","Ikke tilladt!"))))</f>
        <v>Passiv</v>
      </c>
      <c r="Y79" s="8">
        <v>2</v>
      </c>
      <c r="Z79" s="146"/>
      <c r="AA79" s="7" t="s">
        <v>14</v>
      </c>
      <c r="AB79" s="20" t="e">
        <f>J85</f>
        <v>#N/A</v>
      </c>
      <c r="AC79" s="21" t="e">
        <f>IF(AA79="Lastområde",$Q$104,IF(AA79="Løbslast",NA(),""))</f>
        <v>#N/A</v>
      </c>
      <c r="AD79" s="21" t="s">
        <v>85</v>
      </c>
      <c r="AE79" s="21" t="s">
        <v>85</v>
      </c>
      <c r="AF79" s="25" cm="1">
        <f t="array" ref="AF79">_xlfn.IFS(AND(I73="repos",NOT(G73="dorn")),AP78,AND(I73="repos",G73="dorn"),AP79,AND(I73="dorn",G73="dorn"),AP80,AND(I73="dorn",NOT(G73="dorn")),AP81,AND(G73="",I73=""),0)</f>
        <v>0</v>
      </c>
      <c r="AG79" s="7"/>
      <c r="AH79" s="1"/>
      <c r="AI79" s="17">
        <f>IF(G77=2,1,IF(G77=3,1.1,"Fejl!"))</f>
        <v>1</v>
      </c>
      <c r="AJ79" s="18" t="s">
        <v>60</v>
      </c>
      <c r="AK79" s="1"/>
      <c r="AM79" s="2" t="s">
        <v>89</v>
      </c>
      <c r="AN79" s="32"/>
      <c r="AO79" s="21" t="e">
        <f>0.5*(J87-J89+AB83/2)*10^-3*AC78</f>
        <v>#N/A</v>
      </c>
      <c r="AP79" s="25" t="e">
        <f>0.5*(J88-J89+AB83/2)*10^-3*AC79</f>
        <v>#N/A</v>
      </c>
      <c r="AQ79" s="1"/>
      <c r="AR79" s="1" t="s">
        <v>94</v>
      </c>
      <c r="AS79" s="1"/>
      <c r="AT79" s="1"/>
      <c r="AU79" s="1"/>
      <c r="AV79" s="1"/>
      <c r="AW79" s="1"/>
      <c r="AY79" s="48"/>
      <c r="BA79" s="9"/>
      <c r="BB79" s="49"/>
      <c r="BN79" s="74" t="s">
        <v>495</v>
      </c>
      <c r="BO79" s="203" t="e">
        <f>J83*10^-3</f>
        <v>#N/A</v>
      </c>
      <c r="BP79" s="204"/>
      <c r="BQ79" s="205">
        <v>0</v>
      </c>
      <c r="BR79" s="204">
        <v>0</v>
      </c>
      <c r="BS79" s="204" t="e">
        <f>J85*10^-3</f>
        <v>#N/A</v>
      </c>
      <c r="BT79" s="204" t="e">
        <f>BS79</f>
        <v>#N/A</v>
      </c>
      <c r="BU79" s="204" t="e">
        <f>(J85+J86)*10^-3</f>
        <v>#N/A</v>
      </c>
      <c r="BV79" s="204" t="e">
        <f>BU79</f>
        <v>#N/A</v>
      </c>
      <c r="BW79" s="204" t="e">
        <f>BO79</f>
        <v>#N/A</v>
      </c>
      <c r="BX79" s="204" t="e">
        <f>BW79</f>
        <v>#N/A</v>
      </c>
      <c r="BY79" s="203">
        <v>0</v>
      </c>
      <c r="BZ79" s="1"/>
      <c r="CA79" s="1"/>
      <c r="CB79" s="1"/>
      <c r="CC79" s="1"/>
      <c r="CD79" s="1"/>
      <c r="CE79" s="1"/>
      <c r="CF79" s="1"/>
      <c r="CG79" s="1"/>
      <c r="CH79" s="1"/>
    </row>
    <row r="80" spans="3:86">
      <c r="Y80" s="8">
        <v>3</v>
      </c>
      <c r="Z80" s="146"/>
      <c r="AA80" s="7" t="s">
        <v>13</v>
      </c>
      <c r="AB80" s="197" t="e">
        <f>NA()</f>
        <v>#N/A</v>
      </c>
      <c r="AC80" s="241" t="e">
        <f t="shared" ref="AC80:AC81" si="6">IF(AA80="Lastområde",$Q$104,IF(AA80="Løbslast",NA(),""))</f>
        <v>#N/A</v>
      </c>
      <c r="AD80" s="21" t="s">
        <v>85</v>
      </c>
      <c r="AE80" s="21" t="s">
        <v>85</v>
      </c>
      <c r="AF80" s="25" t="e">
        <f>IF(G72="dorn",AC80*0.5*AB80*10^-3*((J87-AD84)/(J87-AD84-(J87-$J$89)-$AB$83/2)),AC80*0.5*AB80*10^-3*(J87/(J87-(J87-$J$89)-$AB$83/2)))</f>
        <v>#N/A</v>
      </c>
      <c r="AG80" s="7"/>
      <c r="AH80" s="1"/>
      <c r="AI80" s="17">
        <f>IF(G78="S",0.95,IF(G78="N",1,"Fejl!"))</f>
        <v>1</v>
      </c>
      <c r="AJ80" s="18" t="s">
        <v>61</v>
      </c>
      <c r="AK80" s="1"/>
      <c r="AM80" s="2" t="s">
        <v>90</v>
      </c>
      <c r="AN80" s="32"/>
      <c r="AO80" s="21" t="e">
        <f>(J87-J89)*10^-3*AC78*((J87-AD84-(J87-J89)*0.5)/(J87-AD84-(J87-J89)-AB83/2))</f>
        <v>#N/A</v>
      </c>
      <c r="AP80" s="25" t="e">
        <f>(J88-J89)*10^-3*AC79*((J88-AD85-(J88-J89)*0.5)/(J88-AD85-(J88-J89)-AB83/2))</f>
        <v>#N/A</v>
      </c>
      <c r="AQ80" s="1"/>
      <c r="AR80" s="1" t="s">
        <v>95</v>
      </c>
      <c r="AS80" s="1"/>
      <c r="AT80" s="1"/>
      <c r="AU80" s="1"/>
      <c r="AV80" s="1"/>
      <c r="AW80" s="1"/>
      <c r="AY80" s="48" t="s">
        <v>102</v>
      </c>
      <c r="AZ80">
        <f>G70</f>
        <v>0</v>
      </c>
      <c r="BA80" s="9" t="e">
        <f>1/2*$Q$104*$AT$88*10^-3</f>
        <v>#N/A</v>
      </c>
      <c r="BB80" s="49" t="s">
        <v>100</v>
      </c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</row>
    <row r="81" spans="8:87">
      <c r="Y81" s="8">
        <v>4</v>
      </c>
      <c r="Z81" s="146"/>
      <c r="AA81" s="7" t="s">
        <v>13</v>
      </c>
      <c r="AB81" s="197" t="e">
        <f>NA()</f>
        <v>#N/A</v>
      </c>
      <c r="AC81" s="241" t="e">
        <f t="shared" si="6"/>
        <v>#N/A</v>
      </c>
      <c r="AD81" s="21" t="s">
        <v>85</v>
      </c>
      <c r="AE81" s="21" t="s">
        <v>85</v>
      </c>
      <c r="AF81" s="25" t="e">
        <f>IF(G73="dorn",AC81*0.5*AB81*10^-3*((J88-AD85)/(J88-AD85-(J88-$J$89)-$AB$83/2)),AC81*0.5*AB81*10^-3*(J88/(J88-(J88-$J$89)-$AB$83/2)))</f>
        <v>#N/A</v>
      </c>
      <c r="AG81" s="7"/>
      <c r="AH81" s="1"/>
      <c r="AI81" s="1" cm="1">
        <f t="array" ref="AI81">_xlfn.IFS(G79="P",25,G79="M",25,G79="A",35,G79="E",45)</f>
        <v>25</v>
      </c>
      <c r="AJ81" s="16" t="s">
        <v>285</v>
      </c>
      <c r="AK81" s="1"/>
      <c r="AM81" s="2" t="s">
        <v>91</v>
      </c>
      <c r="AN81" s="1"/>
      <c r="AO81" s="33" t="e">
        <f>(J87-J89)*10^-3*AC78*((J87-(J87-J89)*0.5)/(J87-(J87-J89)-AB83/2))</f>
        <v>#N/A</v>
      </c>
      <c r="AP81" s="25" t="e">
        <f>(J88-J89)*10^-3*AC79*((J88-(J88-J89)*0.5)/(J88-(J88-J89)-AB83/2))</f>
        <v>#N/A</v>
      </c>
      <c r="AQ81" s="1"/>
      <c r="AR81" s="1" t="s">
        <v>96</v>
      </c>
      <c r="AS81" s="1"/>
      <c r="AT81" s="1"/>
      <c r="AU81" s="1"/>
      <c r="AV81" s="1"/>
      <c r="AW81" s="1"/>
      <c r="AY81" s="50"/>
      <c r="AZ81" s="40">
        <f>I70</f>
        <v>0</v>
      </c>
      <c r="BA81" s="37" t="e">
        <f>1/2*$Q$104*$AT$88*10^-3</f>
        <v>#N/A</v>
      </c>
      <c r="BB81" s="51" t="s">
        <v>100</v>
      </c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</row>
    <row r="82" spans="8:87">
      <c r="V82" t="s">
        <v>83</v>
      </c>
      <c r="Y82" s="8">
        <v>5</v>
      </c>
      <c r="Z82" s="146"/>
      <c r="AA82" s="7" t="s">
        <v>30</v>
      </c>
      <c r="AB82" s="197" t="e">
        <f>NA()</f>
        <v>#N/A</v>
      </c>
      <c r="AC82" s="21" t="str">
        <f>IF(AA82="Lastområde",$Q$104,IF(AA82="Løbslast",NA(),""))</f>
        <v/>
      </c>
      <c r="AD82" s="194" t="e">
        <f>IF(G70="dorn",NA(),INDEX($Z$82:$AB$86,MATCH(G70,$Z$82:$Z$86,0),3)/2)</f>
        <v>#N/A</v>
      </c>
      <c r="AE82" s="194" t="e">
        <f>IF(I70="dorn",NA(),IF(I70="repos",0,INDEX($Z$82:$AB$86,MATCH(I70,$Z$82:$Z$86,0),3)/2))</f>
        <v>#N/A</v>
      </c>
      <c r="AF82" s="25"/>
      <c r="AG82" s="7"/>
      <c r="AH82" s="1"/>
      <c r="AI82" s="1">
        <v>10</v>
      </c>
      <c r="AJ82" s="16" t="s">
        <v>306</v>
      </c>
      <c r="AK82" s="1"/>
      <c r="AM82" s="34"/>
      <c r="AN82" s="34"/>
      <c r="AO82" s="35"/>
      <c r="AP82" s="35"/>
      <c r="AQ82" s="1"/>
      <c r="AR82" s="1"/>
      <c r="AS82" s="1"/>
      <c r="AT82" s="1"/>
      <c r="AU82" s="1"/>
      <c r="AV82" s="1"/>
      <c r="AW82" s="1"/>
      <c r="AY82" s="44" t="s">
        <v>30</v>
      </c>
      <c r="AZ82" s="45" t="str">
        <f>E71</f>
        <v/>
      </c>
      <c r="BA82" s="56"/>
      <c r="BB82" s="46"/>
      <c r="BC82" s="46"/>
      <c r="BD82" s="46"/>
      <c r="BE82" s="46"/>
      <c r="BF82" s="244" t="s">
        <v>108</v>
      </c>
      <c r="BG82" s="46"/>
      <c r="BH82" s="47"/>
      <c r="BN82" s="30"/>
      <c r="BO82" s="60" t="s">
        <v>46</v>
      </c>
      <c r="BP82" s="61" t="s">
        <v>495</v>
      </c>
      <c r="BQ82" s="1"/>
      <c r="BR82" s="30" t="s">
        <v>496</v>
      </c>
      <c r="BS82" s="34"/>
      <c r="BT82" s="34" t="s">
        <v>497</v>
      </c>
      <c r="BU82" s="34"/>
      <c r="BV82" s="34" t="s">
        <v>498</v>
      </c>
      <c r="BW82" s="34"/>
      <c r="BX82" s="34" t="s">
        <v>499</v>
      </c>
      <c r="BY82" s="34"/>
      <c r="BZ82" s="34" t="s">
        <v>500</v>
      </c>
      <c r="CA82" s="34"/>
      <c r="CB82" s="34" t="s">
        <v>501</v>
      </c>
      <c r="CC82" s="31"/>
      <c r="CD82" s="1"/>
      <c r="CE82" s="1"/>
      <c r="CF82" s="1"/>
      <c r="CG82" s="1"/>
      <c r="CH82" s="7"/>
      <c r="CI82" s="36"/>
    </row>
    <row r="83" spans="8:87">
      <c r="H83" s="6" t="s">
        <v>33</v>
      </c>
      <c r="I83" s="105" t="s">
        <v>18</v>
      </c>
      <c r="J83" s="150" t="e">
        <f>NA()</f>
        <v>#N/A</v>
      </c>
      <c r="K83" s="6" t="s">
        <v>37</v>
      </c>
      <c r="M83" s="6" t="s">
        <v>65</v>
      </c>
      <c r="O83" s="6" t="s">
        <v>66</v>
      </c>
      <c r="P83" s="105" t="s">
        <v>18</v>
      </c>
      <c r="Q83" s="6" cm="1">
        <f t="array" ref="Q83">_xlfn.IFS(G79="P",30,G79="M",30,G79="A",35,G79="E",40)</f>
        <v>30</v>
      </c>
      <c r="R83" s="6" t="s">
        <v>67</v>
      </c>
      <c r="V83" t="s">
        <v>84</v>
      </c>
      <c r="Y83" s="8">
        <v>6</v>
      </c>
      <c r="Z83" s="146"/>
      <c r="AA83" s="7" t="s">
        <v>30</v>
      </c>
      <c r="AB83" s="197" t="e">
        <f>NA()</f>
        <v>#N/A</v>
      </c>
      <c r="AC83" s="21" t="str">
        <f>IF(AA83="Lastområde",$Q$104,IF(AA83="Løbslast",NA(),""))</f>
        <v/>
      </c>
      <c r="AD83" s="194" t="e">
        <f t="shared" ref="AD83:AD85" si="7">IF(G71="dorn",NA(),INDEX($Z$82:$AB$86,MATCH(G71,$Z$82:$Z$86,0),3)/2)</f>
        <v>#N/A</v>
      </c>
      <c r="AE83" s="194" t="e">
        <f t="shared" ref="AE83:AE85" si="8">IF(I71="dorn",NA(),IF(I71="repos",0,INDEX($Z$82:$AB$86,MATCH(I71,$Z$82:$Z$86,0),3)/2))</f>
        <v>#N/A</v>
      </c>
      <c r="AF83" s="25"/>
      <c r="AI83" s="148">
        <v>0</v>
      </c>
      <c r="AJ83" s="16" t="s">
        <v>307</v>
      </c>
      <c r="AK83" s="1"/>
      <c r="AM83" s="1"/>
      <c r="AN83" s="1"/>
      <c r="AO83" s="21"/>
      <c r="AP83" s="21"/>
      <c r="AQ83" s="1"/>
      <c r="AR83" s="1"/>
      <c r="AS83" s="1"/>
      <c r="AT83" s="1"/>
      <c r="AU83" s="1"/>
      <c r="AV83" s="1"/>
      <c r="AW83" s="1"/>
      <c r="AY83" s="48" t="s">
        <v>101</v>
      </c>
      <c r="BA83" s="9"/>
      <c r="BC83" s="36" t="s">
        <v>103</v>
      </c>
      <c r="BD83" s="36" t="s">
        <v>104</v>
      </c>
      <c r="BF83" s="245"/>
      <c r="BH83" s="49"/>
      <c r="BN83" s="2" t="s">
        <v>496</v>
      </c>
      <c r="BO83" s="7" t="str">
        <f>IF(AT99="-","Nej",(J87-AT99)*10^-3)</f>
        <v>Nej</v>
      </c>
      <c r="BP83" s="66" t="str">
        <f>IF(BO83="Nej","Nej",BO79)</f>
        <v>Nej</v>
      </c>
      <c r="BQ83" s="1"/>
      <c r="BR83" s="202" t="s">
        <v>46</v>
      </c>
      <c r="BS83" s="7" t="s">
        <v>495</v>
      </c>
      <c r="BT83" s="7" t="s">
        <v>46</v>
      </c>
      <c r="BU83" s="7" t="s">
        <v>495</v>
      </c>
      <c r="BV83" s="7" t="s">
        <v>46</v>
      </c>
      <c r="BW83" s="7" t="s">
        <v>495</v>
      </c>
      <c r="BX83" s="7" t="s">
        <v>46</v>
      </c>
      <c r="BY83" s="7" t="s">
        <v>495</v>
      </c>
      <c r="BZ83" s="7" t="s">
        <v>46</v>
      </c>
      <c r="CA83" s="7" t="s">
        <v>495</v>
      </c>
      <c r="CB83" s="7" t="s">
        <v>46</v>
      </c>
      <c r="CC83" s="66" t="s">
        <v>495</v>
      </c>
      <c r="CD83" s="1"/>
      <c r="CE83" s="1"/>
      <c r="CF83" s="1"/>
      <c r="CG83" s="1"/>
      <c r="CH83" s="7"/>
      <c r="CI83" s="36"/>
    </row>
    <row r="84" spans="8:87">
      <c r="H84" s="6" t="s">
        <v>25</v>
      </c>
      <c r="I84" s="105" t="s">
        <v>18</v>
      </c>
      <c r="J84" s="150" t="e">
        <f>NA()</f>
        <v>#N/A</v>
      </c>
      <c r="K84" s="6" t="s">
        <v>37</v>
      </c>
      <c r="O84" s="6" t="s">
        <v>68</v>
      </c>
      <c r="P84" s="105" t="s">
        <v>18</v>
      </c>
      <c r="Q84" s="108">
        <f>Q83/AI95</f>
        <v>21.428571428571431</v>
      </c>
      <c r="R84" s="6" t="s">
        <v>67</v>
      </c>
      <c r="V84" t="s">
        <v>105</v>
      </c>
      <c r="Y84" s="8">
        <v>7</v>
      </c>
      <c r="Z84" s="146"/>
      <c r="AA84" s="7" t="s">
        <v>30</v>
      </c>
      <c r="AB84" s="197" t="e">
        <f>NA()</f>
        <v>#N/A</v>
      </c>
      <c r="AC84" s="21" t="str">
        <f>IF(AA84="Lastområde",$Q$104,IF(AA84="Løbslast",NA(),""))</f>
        <v/>
      </c>
      <c r="AD84" s="194" t="e">
        <f t="shared" si="7"/>
        <v>#N/A</v>
      </c>
      <c r="AE84" s="194" t="e">
        <f t="shared" si="8"/>
        <v>#N/A</v>
      </c>
      <c r="AF84" s="25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Y84" s="48"/>
      <c r="AZ84" t="s">
        <v>109</v>
      </c>
      <c r="BA84" s="9" t="e">
        <f>Q104*AB83*10^-3</f>
        <v>#N/A</v>
      </c>
      <c r="BB84" t="s">
        <v>100</v>
      </c>
      <c r="BC84" s="36" t="e">
        <f>AB85/2</f>
        <v>#N/A</v>
      </c>
      <c r="BD84" s="39" t="e">
        <f>AV89-AB84/2</f>
        <v>#N/A</v>
      </c>
      <c r="BE84" t="s">
        <v>37</v>
      </c>
      <c r="BF84" s="38" t="e">
        <f>BA84*(BH84-BG84)*((BH84-BG84)*0.5+(BC84-$AS$89)*10^-3)</f>
        <v>#N/A</v>
      </c>
      <c r="BG84" s="36" t="e">
        <f>BC84*10^-3</f>
        <v>#N/A</v>
      </c>
      <c r="BH84" s="52" t="e">
        <f>BD84*10^-3</f>
        <v>#N/A</v>
      </c>
      <c r="BN84" s="2" t="s">
        <v>497</v>
      </c>
      <c r="BO84" s="7" t="str">
        <f>IF(AS99="-","Nej",AS99*10^-3)</f>
        <v>Nej</v>
      </c>
      <c r="BP84" s="66" t="str">
        <f>IF(BO84="Nej","Nej",BO79)</f>
        <v>Nej</v>
      </c>
      <c r="BQ84" s="1"/>
      <c r="BR84" s="202" t="e">
        <f>BO83-0.05</f>
        <v>#VALUE!</v>
      </c>
      <c r="BS84" s="7" t="str">
        <f>BP83</f>
        <v>Nej</v>
      </c>
      <c r="BT84" s="7" t="e">
        <f>BO84-0.05</f>
        <v>#VALUE!</v>
      </c>
      <c r="BU84" s="7" t="str">
        <f>BP84</f>
        <v>Nej</v>
      </c>
      <c r="BV84" s="7" t="e">
        <f>BO85</f>
        <v>#N/A</v>
      </c>
      <c r="BW84" s="7" t="e">
        <f>BP85-0.05</f>
        <v>#N/A</v>
      </c>
      <c r="BX84" s="7" t="e">
        <f>BO86</f>
        <v>#N/A</v>
      </c>
      <c r="BY84" s="7" t="e">
        <f>BP86-0.05</f>
        <v>#N/A</v>
      </c>
      <c r="BZ84" s="7" t="e">
        <f>BO87-0.05</f>
        <v>#VALUE!</v>
      </c>
      <c r="CA84" s="7" t="str">
        <f>BP87</f>
        <v>Nej</v>
      </c>
      <c r="CB84" s="7" t="e">
        <f>BO88-0.05</f>
        <v>#VALUE!</v>
      </c>
      <c r="CC84" s="66" t="str">
        <f>BP88</f>
        <v>Nej</v>
      </c>
      <c r="CD84" s="1"/>
      <c r="CE84" s="1"/>
      <c r="CF84" s="1"/>
      <c r="CG84" s="1"/>
      <c r="CH84" s="7"/>
      <c r="CI84" s="36"/>
    </row>
    <row r="85" spans="8:87">
      <c r="H85" s="6" t="s">
        <v>26</v>
      </c>
      <c r="I85" s="105" t="s">
        <v>18</v>
      </c>
      <c r="J85" s="150" t="e">
        <f>NA()</f>
        <v>#N/A</v>
      </c>
      <c r="K85" s="6" t="s">
        <v>37</v>
      </c>
      <c r="O85" s="6" t="s">
        <v>74</v>
      </c>
      <c r="P85" s="105" t="s">
        <v>18</v>
      </c>
      <c r="Q85" s="109">
        <f>0.3*Q83^(2/3)</f>
        <v>2.896468153816889</v>
      </c>
      <c r="R85" s="6" t="s">
        <v>67</v>
      </c>
      <c r="V85" t="s">
        <v>106</v>
      </c>
      <c r="Y85" s="8">
        <v>8</v>
      </c>
      <c r="Z85" s="146"/>
      <c r="AA85" s="7" t="s">
        <v>30</v>
      </c>
      <c r="AB85" s="197" t="e">
        <f>NA()</f>
        <v>#N/A</v>
      </c>
      <c r="AC85" s="21" t="str">
        <f>IF(AA85="Lastområde",$Q$104,IF(AA85="Løbslast",NA(),""))</f>
        <v/>
      </c>
      <c r="AD85" s="194" t="e">
        <f t="shared" si="7"/>
        <v>#N/A</v>
      </c>
      <c r="AE85" s="194" t="e">
        <f t="shared" si="8"/>
        <v>#N/A</v>
      </c>
      <c r="AF85" s="25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Y85" s="48"/>
      <c r="AZ85" t="str">
        <f>E66</f>
        <v/>
      </c>
      <c r="BA85" s="9">
        <f>AF78</f>
        <v>0</v>
      </c>
      <c r="BB85" t="s">
        <v>100</v>
      </c>
      <c r="BC85" s="39" t="e">
        <f>BD85-(AB78-AB84)</f>
        <v>#N/A</v>
      </c>
      <c r="BD85" s="36" t="e">
        <f>AT89-AB84/2</f>
        <v>#N/A</v>
      </c>
      <c r="BE85" t="s">
        <v>37</v>
      </c>
      <c r="BF85" s="38" t="e">
        <f>BA85*(BH85-BG85)*((BH85-BG85)*0.5+(BC85-$AS$89)*10^-3)</f>
        <v>#N/A</v>
      </c>
      <c r="BG85" s="36" t="e">
        <f t="shared" ref="BG85:BG88" si="9">BC85*10^-3</f>
        <v>#N/A</v>
      </c>
      <c r="BH85" s="52" t="e">
        <f t="shared" ref="BH85:BH88" si="10">BD85*10^-3</f>
        <v>#N/A</v>
      </c>
      <c r="BN85" s="2" t="s">
        <v>498</v>
      </c>
      <c r="BO85" s="7" t="e">
        <f>IF(AT101="-",NA(),0)</f>
        <v>#N/A</v>
      </c>
      <c r="BP85" s="66" t="e">
        <f>IF(BO85="Nej","Nej",(J83-AT101)*10^-3)</f>
        <v>#N/A</v>
      </c>
      <c r="BQ85" s="1"/>
      <c r="BR85" s="202" t="e">
        <f>BO83+0.05</f>
        <v>#VALUE!</v>
      </c>
      <c r="BS85" s="7" t="str">
        <f>BP83</f>
        <v>Nej</v>
      </c>
      <c r="BT85" s="7" t="e">
        <f>BO84+0.05</f>
        <v>#VALUE!</v>
      </c>
      <c r="BU85" s="7" t="str">
        <f>BP84</f>
        <v>Nej</v>
      </c>
      <c r="BV85" s="7" t="e">
        <f>BO85</f>
        <v>#N/A</v>
      </c>
      <c r="BW85" s="7" t="e">
        <f>BW84+0.1</f>
        <v>#N/A</v>
      </c>
      <c r="BX85" s="7" t="e">
        <f>BO86</f>
        <v>#N/A</v>
      </c>
      <c r="BY85" s="7" t="e">
        <f>BY84+0.1</f>
        <v>#N/A</v>
      </c>
      <c r="BZ85" s="7" t="e">
        <f>BZ84+0.1</f>
        <v>#VALUE!</v>
      </c>
      <c r="CA85" s="7" t="str">
        <f>BP87</f>
        <v>Nej</v>
      </c>
      <c r="CB85" s="7" t="e">
        <f>CB84+0.1</f>
        <v>#VALUE!</v>
      </c>
      <c r="CC85" s="66" t="str">
        <f>BP88</f>
        <v>Nej</v>
      </c>
      <c r="CD85" s="1"/>
      <c r="CE85" s="1"/>
      <c r="CF85" s="1"/>
      <c r="CG85" s="1"/>
      <c r="CH85" s="7"/>
      <c r="CI85" s="36"/>
    </row>
    <row r="86" spans="8:87">
      <c r="H86" s="6" t="s">
        <v>27</v>
      </c>
      <c r="I86" s="105" t="s">
        <v>18</v>
      </c>
      <c r="J86" s="6" t="e">
        <f>J83-J84-J85</f>
        <v>#N/A</v>
      </c>
      <c r="K86" s="6" t="s">
        <v>37</v>
      </c>
      <c r="P86" s="105"/>
      <c r="Q86" s="109"/>
      <c r="V86" t="s">
        <v>107</v>
      </c>
      <c r="Y86" s="8">
        <v>9</v>
      </c>
      <c r="Z86" s="147"/>
      <c r="AA86" s="22" t="s">
        <v>30</v>
      </c>
      <c r="AB86" s="238" t="e">
        <f>NA()</f>
        <v>#N/A</v>
      </c>
      <c r="AC86" s="23" t="str">
        <f>IF(AA86="Lastområde",$Q$104,IF(AA86="Løbslast",NA(),""))</f>
        <v/>
      </c>
      <c r="AD86" s="195">
        <f>IF(G74="dorn",NA(),0)</f>
        <v>0</v>
      </c>
      <c r="AE86" s="195">
        <f>IF(I74="dorn",NA(),0)</f>
        <v>0</v>
      </c>
      <c r="AF86" s="24"/>
      <c r="AH86" s="1"/>
      <c r="AI86" s="1" t="s">
        <v>42</v>
      </c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Y86" s="48"/>
      <c r="AZ86" t="str">
        <f>E67</f>
        <v/>
      </c>
      <c r="BA86" s="9">
        <f>AF79</f>
        <v>0</v>
      </c>
      <c r="BB86" t="s">
        <v>100</v>
      </c>
      <c r="BC86" s="36" t="e">
        <f>AB85/2</f>
        <v>#N/A</v>
      </c>
      <c r="BD86" s="36" t="e">
        <f>BC86+(AB79-AB85)</f>
        <v>#N/A</v>
      </c>
      <c r="BE86" t="s">
        <v>37</v>
      </c>
      <c r="BF86" s="38" t="e">
        <f>BA86*(BH86-BG86)*((BH86-BG86)*0.5+(BC86-$AS$89)*10^-3)</f>
        <v>#N/A</v>
      </c>
      <c r="BG86" s="36" t="e">
        <f t="shared" si="9"/>
        <v>#N/A</v>
      </c>
      <c r="BH86" s="52" t="e">
        <f t="shared" si="10"/>
        <v>#N/A</v>
      </c>
      <c r="BN86" s="2" t="s">
        <v>499</v>
      </c>
      <c r="BO86" s="7" t="e">
        <f>IF(AS101="-",NA(),0)</f>
        <v>#N/A</v>
      </c>
      <c r="BP86" s="66" t="e">
        <f>IF(BO86="Nej","Nej",AS101*10^-3)</f>
        <v>#N/A</v>
      </c>
      <c r="BQ86" s="1"/>
      <c r="BR86" s="202" t="e">
        <f>BR85</f>
        <v>#VALUE!</v>
      </c>
      <c r="BS86" s="7" t="e">
        <f>BS85+0.1</f>
        <v>#VALUE!</v>
      </c>
      <c r="BT86" s="7" t="e">
        <f>BT85</f>
        <v>#VALUE!</v>
      </c>
      <c r="BU86" s="7" t="e">
        <f>BP84+0.1</f>
        <v>#VALUE!</v>
      </c>
      <c r="BV86" s="7" t="e">
        <f>BV85-0.1</f>
        <v>#N/A</v>
      </c>
      <c r="BW86" s="7" t="e">
        <f>BW85</f>
        <v>#N/A</v>
      </c>
      <c r="BX86" s="7" t="e">
        <f>BX85-0.1</f>
        <v>#N/A</v>
      </c>
      <c r="BY86" s="7" t="e">
        <f>BY85</f>
        <v>#N/A</v>
      </c>
      <c r="BZ86" s="7" t="e">
        <f>BZ85</f>
        <v>#VALUE!</v>
      </c>
      <c r="CA86" s="7" t="e">
        <f>CA85-0.1</f>
        <v>#VALUE!</v>
      </c>
      <c r="CB86" s="7" t="e">
        <f>CB85</f>
        <v>#VALUE!</v>
      </c>
      <c r="CC86" s="66" t="e">
        <f>CC85-0.1</f>
        <v>#VALUE!</v>
      </c>
      <c r="CD86" s="1"/>
      <c r="CE86" s="1"/>
      <c r="CF86" s="1"/>
      <c r="CG86" s="1"/>
      <c r="CH86" s="7"/>
      <c r="CI86" s="36"/>
    </row>
    <row r="87" spans="8:87">
      <c r="H87" s="6" t="s">
        <v>34</v>
      </c>
      <c r="I87" s="105" t="s">
        <v>18</v>
      </c>
      <c r="J87" s="150" t="e">
        <f>NA()</f>
        <v>#N/A</v>
      </c>
      <c r="K87" s="6" t="s">
        <v>37</v>
      </c>
      <c r="M87" s="6" t="s">
        <v>298</v>
      </c>
      <c r="Z87" s="14"/>
      <c r="AH87" s="1"/>
      <c r="AI87" s="1" t="s">
        <v>64</v>
      </c>
      <c r="AJ87" s="1" t="s">
        <v>47</v>
      </c>
      <c r="AK87" s="1" t="s">
        <v>53</v>
      </c>
      <c r="AL87" s="1" t="s">
        <v>47</v>
      </c>
      <c r="AM87" s="1"/>
      <c r="AN87" s="1"/>
      <c r="AO87" s="7" t="s">
        <v>78</v>
      </c>
      <c r="AP87" s="1"/>
      <c r="AQ87" s="1"/>
      <c r="AR87" s="30"/>
      <c r="AS87" s="60" t="s">
        <v>97</v>
      </c>
      <c r="AT87" s="60" t="s">
        <v>98</v>
      </c>
      <c r="AU87" s="60" t="s">
        <v>99</v>
      </c>
      <c r="AV87" s="61" t="s">
        <v>33</v>
      </c>
      <c r="AW87" s="1"/>
      <c r="AY87" s="48"/>
      <c r="AZ87" t="str">
        <f>E68</f>
        <v/>
      </c>
      <c r="BA87" s="9" t="e">
        <f>AF80</f>
        <v>#N/A</v>
      </c>
      <c r="BB87" t="s">
        <v>100</v>
      </c>
      <c r="BC87" s="39" t="e">
        <f>BD85-(J84-AB84)</f>
        <v>#N/A</v>
      </c>
      <c r="BD87" s="36" t="e">
        <f>AT89-AB84/2</f>
        <v>#N/A</v>
      </c>
      <c r="BE87" t="s">
        <v>37</v>
      </c>
      <c r="BF87" s="38" t="e">
        <f>BA87*(BH87-BG87)*((BH87-BG87)*0.5+(BC87-$AS$89)*10^-3)</f>
        <v>#N/A</v>
      </c>
      <c r="BG87" s="36" t="e">
        <f t="shared" si="9"/>
        <v>#N/A</v>
      </c>
      <c r="BH87" s="52" t="e">
        <f t="shared" si="10"/>
        <v>#N/A</v>
      </c>
      <c r="BN87" s="2" t="s">
        <v>500</v>
      </c>
      <c r="BO87" s="7" t="str">
        <f>IF(AS100="-","Nej",AS100*10^-3)</f>
        <v>Nej</v>
      </c>
      <c r="BP87" s="66" t="str">
        <f>IF(BO87="Nej","Nej",0)</f>
        <v>Nej</v>
      </c>
      <c r="BQ87" s="1"/>
      <c r="BR87" s="202" t="e">
        <f>BR84</f>
        <v>#VALUE!</v>
      </c>
      <c r="BS87" s="7" t="e">
        <f>BS86</f>
        <v>#VALUE!</v>
      </c>
      <c r="BT87" s="7" t="e">
        <f>BT84</f>
        <v>#VALUE!</v>
      </c>
      <c r="BU87" s="7" t="e">
        <f>BP84+0.1</f>
        <v>#VALUE!</v>
      </c>
      <c r="BV87" s="7" t="e">
        <f>BV86</f>
        <v>#N/A</v>
      </c>
      <c r="BW87" s="7" t="e">
        <f>BW86-0.1</f>
        <v>#N/A</v>
      </c>
      <c r="BX87" s="7" t="e">
        <f>BX86</f>
        <v>#N/A</v>
      </c>
      <c r="BY87" s="7" t="e">
        <f>BY86-0.1</f>
        <v>#N/A</v>
      </c>
      <c r="BZ87" s="7" t="e">
        <f>BZ86-0.1</f>
        <v>#VALUE!</v>
      </c>
      <c r="CA87" s="7" t="e">
        <f>CA86</f>
        <v>#VALUE!</v>
      </c>
      <c r="CB87" s="7" t="e">
        <f>CB86-0.1</f>
        <v>#VALUE!</v>
      </c>
      <c r="CC87" s="66" t="e">
        <f>CC86</f>
        <v>#VALUE!</v>
      </c>
      <c r="CD87" s="1"/>
      <c r="CE87" s="1"/>
      <c r="CF87" s="1"/>
      <c r="CG87" s="1"/>
      <c r="CH87" s="1"/>
    </row>
    <row r="88" spans="8:87">
      <c r="H88" s="6" t="s">
        <v>35</v>
      </c>
      <c r="I88" s="105" t="s">
        <v>18</v>
      </c>
      <c r="J88" s="150" t="e">
        <f>NA()</f>
        <v>#N/A</v>
      </c>
      <c r="K88" s="6" t="s">
        <v>37</v>
      </c>
      <c r="O88" s="150" t="e">
        <f>NA()</f>
        <v>#N/A</v>
      </c>
      <c r="P88" s="105" t="s">
        <v>33</v>
      </c>
      <c r="Q88" s="152">
        <v>12.5</v>
      </c>
      <c r="R88" s="6" t="s">
        <v>297</v>
      </c>
      <c r="Z88" s="14" t="s">
        <v>31</v>
      </c>
      <c r="AH88" s="1" t="s">
        <v>62</v>
      </c>
      <c r="AI88" s="11" t="e">
        <f>M98+M99</f>
        <v>#N/A</v>
      </c>
      <c r="AJ88" s="1">
        <f>1.2*AI79</f>
        <v>1.2</v>
      </c>
      <c r="AK88" s="11">
        <f>M102</f>
        <v>3</v>
      </c>
      <c r="AL88" s="1">
        <f>0*AI79</f>
        <v>0</v>
      </c>
      <c r="AM88" s="1" t="s">
        <v>18</v>
      </c>
      <c r="AN88" s="11" t="e">
        <f>AI88*AJ88+AK88*AL88</f>
        <v>#N/A</v>
      </c>
      <c r="AO88" s="1" t="e">
        <f>AN88&gt;AN89</f>
        <v>#N/A</v>
      </c>
      <c r="AP88" s="1"/>
      <c r="AQ88" s="1"/>
      <c r="AR88" s="2" t="str">
        <f>AA82&amp;" "&amp;Z82</f>
        <v xml:space="preserve">Strimmel </v>
      </c>
      <c r="AS88" s="7">
        <v>0</v>
      </c>
      <c r="AT88" s="208" t="e">
        <f>J$83-INDEX($Z$82:$AB$89,MATCH(I70,$Z$82:$Z$89,0),3)/2-INDEX($Z$82:$AB89,MATCH(G70,$Z$82:$Z$89,0),3)/2</f>
        <v>#N/A</v>
      </c>
      <c r="AU88" s="7">
        <v>0</v>
      </c>
      <c r="AV88" s="32" t="e">
        <f>SUM(AS88:AU88)</f>
        <v>#N/A</v>
      </c>
      <c r="AW88" s="1"/>
      <c r="AY88" s="48"/>
      <c r="AZ88" t="str">
        <f>E69</f>
        <v/>
      </c>
      <c r="BA88" s="9" t="e">
        <f>AF81</f>
        <v>#N/A</v>
      </c>
      <c r="BB88" t="s">
        <v>100</v>
      </c>
      <c r="BC88" s="36" t="e">
        <f>AB85/2</f>
        <v>#N/A</v>
      </c>
      <c r="BD88" s="36" t="e">
        <f>BC86+(J85-AB85)</f>
        <v>#N/A</v>
      </c>
      <c r="BE88" t="s">
        <v>37</v>
      </c>
      <c r="BF88" s="38" t="e">
        <f>BA88*(BH88-BG88)*((BH88-BG88)*0.5+(BC88-$AS$89)*10^-3)</f>
        <v>#N/A</v>
      </c>
      <c r="BG88" s="36" t="e">
        <f t="shared" si="9"/>
        <v>#N/A</v>
      </c>
      <c r="BH88" s="52" t="e">
        <f t="shared" si="10"/>
        <v>#N/A</v>
      </c>
      <c r="BN88" s="205" t="s">
        <v>501</v>
      </c>
      <c r="BO88" s="22" t="str">
        <f>IF(AT100="-","Nej",(J88-AT100)*10^-3)</f>
        <v>Nej</v>
      </c>
      <c r="BP88" s="63" t="str">
        <f>IF(BO88="Nej","Nej",0)</f>
        <v>Nej</v>
      </c>
      <c r="BQ88" s="1"/>
      <c r="BR88" s="74" t="e">
        <f>BR84</f>
        <v>#VALUE!</v>
      </c>
      <c r="BS88" s="22" t="str">
        <f>BS84</f>
        <v>Nej</v>
      </c>
      <c r="BT88" s="22" t="e">
        <f>BT84</f>
        <v>#VALUE!</v>
      </c>
      <c r="BU88" s="22" t="str">
        <f>BP84</f>
        <v>Nej</v>
      </c>
      <c r="BV88" s="22" t="e">
        <f t="shared" ref="BV88:CC88" si="11">BV84</f>
        <v>#N/A</v>
      </c>
      <c r="BW88" s="22" t="e">
        <f t="shared" si="11"/>
        <v>#N/A</v>
      </c>
      <c r="BX88" s="22" t="e">
        <f t="shared" si="11"/>
        <v>#N/A</v>
      </c>
      <c r="BY88" s="22" t="e">
        <f t="shared" si="11"/>
        <v>#N/A</v>
      </c>
      <c r="BZ88" s="22" t="e">
        <f t="shared" si="11"/>
        <v>#VALUE!</v>
      </c>
      <c r="CA88" s="22" t="str">
        <f t="shared" si="11"/>
        <v>Nej</v>
      </c>
      <c r="CB88" s="22" t="e">
        <f t="shared" si="11"/>
        <v>#VALUE!</v>
      </c>
      <c r="CC88" s="63" t="str">
        <f t="shared" si="11"/>
        <v>Nej</v>
      </c>
      <c r="CD88" s="1"/>
      <c r="CE88" s="1"/>
      <c r="CF88" s="1"/>
      <c r="CG88" s="1"/>
      <c r="CH88" s="1"/>
    </row>
    <row r="89" spans="8:87">
      <c r="H89" s="6" t="s">
        <v>36</v>
      </c>
      <c r="I89" s="105" t="s">
        <v>18</v>
      </c>
      <c r="J89" s="110" t="e">
        <f>SUM(AB82,AB83,AB86)</f>
        <v>#N/A</v>
      </c>
      <c r="K89" s="6" t="s">
        <v>37</v>
      </c>
      <c r="O89" s="6" t="s">
        <v>75</v>
      </c>
      <c r="P89" s="105" t="s">
        <v>18</v>
      </c>
      <c r="Q89" s="6">
        <v>500</v>
      </c>
      <c r="R89" s="6" t="s">
        <v>67</v>
      </c>
      <c r="Z89" s="15" t="s">
        <v>32</v>
      </c>
      <c r="AB89" s="141">
        <v>0</v>
      </c>
      <c r="AH89" s="1" t="s">
        <v>63</v>
      </c>
      <c r="AI89" s="11" t="e">
        <f>M98+M99</f>
        <v>#N/A</v>
      </c>
      <c r="AJ89" s="13">
        <f>1*AI79</f>
        <v>1</v>
      </c>
      <c r="AK89" s="11">
        <f>M102</f>
        <v>3</v>
      </c>
      <c r="AL89" s="1">
        <f>1.5 * AI79</f>
        <v>1.5</v>
      </c>
      <c r="AM89" s="1" t="s">
        <v>18</v>
      </c>
      <c r="AN89" s="11" t="e">
        <f>AI89*AJ89+AK89*AL89</f>
        <v>#N/A</v>
      </c>
      <c r="AO89" s="1" t="e">
        <f>AN89&gt;AN88</f>
        <v>#N/A</v>
      </c>
      <c r="AP89" s="1"/>
      <c r="AQ89" s="1"/>
      <c r="AR89" s="2" t="str">
        <f t="shared" ref="AR89:AR92" si="12">AA83&amp;" "&amp;Z83</f>
        <v xml:space="preserve">Strimmel </v>
      </c>
      <c r="AS89" s="7">
        <v>0</v>
      </c>
      <c r="AT89" s="208" t="e">
        <f>J$83-INDEX($Z$82:$AB$89,MATCH(I71,$Z$82:$Z$89,0),3)/2-INDEX($Z$82:$AB$89,MATCH(G71,$Z$82:$Z$89,0),3)/2</f>
        <v>#N/A</v>
      </c>
      <c r="AU89" s="7">
        <v>0</v>
      </c>
      <c r="AV89" s="32" t="e">
        <f t="shared" ref="AV89:AV91" si="13">SUM(AS89:AU89)</f>
        <v>#N/A</v>
      </c>
      <c r="AW89" s="1"/>
      <c r="AY89" s="48" t="s">
        <v>102</v>
      </c>
      <c r="BA89" s="9"/>
      <c r="BH89" s="49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</row>
    <row r="90" spans="8:87">
      <c r="O90" s="6" t="s">
        <v>76</v>
      </c>
      <c r="P90" s="105" t="s">
        <v>18</v>
      </c>
      <c r="Q90" s="110">
        <f>Q89/AI97</f>
        <v>416.66666666666669</v>
      </c>
      <c r="R90" s="6" t="s">
        <v>67</v>
      </c>
      <c r="AM90" s="1"/>
      <c r="AN90" s="1"/>
      <c r="AO90" s="1"/>
      <c r="AP90" s="1"/>
      <c r="AQ90" s="1"/>
      <c r="AR90" s="2" t="str">
        <f t="shared" si="12"/>
        <v xml:space="preserve">Strimmel </v>
      </c>
      <c r="AS90" s="7" t="e">
        <f t="shared" ref="AS90:AS91" si="14">AD84</f>
        <v>#N/A</v>
      </c>
      <c r="AT90" s="7" t="e">
        <f>J87-AS90-AU90</f>
        <v>#N/A</v>
      </c>
      <c r="AU90" s="7" t="e">
        <f t="shared" ref="AU90:AU91" si="15">AE84</f>
        <v>#N/A</v>
      </c>
      <c r="AV90" s="32" t="e">
        <f t="shared" si="13"/>
        <v>#N/A</v>
      </c>
      <c r="AW90" s="1"/>
      <c r="AY90" s="48"/>
      <c r="AZ90">
        <f>G71</f>
        <v>0</v>
      </c>
      <c r="BA90" s="42" t="e">
        <f>BA84*(BH84-BG84)+BA85*(BH85-BG85)+BA86*(BH86-BG86)+BA87*(BH87-BG87)+BA88*(BH88-BG88)-BA91</f>
        <v>#N/A</v>
      </c>
      <c r="BB90" t="s">
        <v>41</v>
      </c>
      <c r="BC90" t="s">
        <v>111</v>
      </c>
      <c r="BH90" s="49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</row>
    <row r="91" spans="8:87">
      <c r="H91" s="6" t="s">
        <v>20</v>
      </c>
      <c r="I91" s="105" t="s">
        <v>18</v>
      </c>
      <c r="J91" s="109" t="e">
        <f>(J87*J84+J85*J88+J86*J89)*10^-6</f>
        <v>#N/A</v>
      </c>
      <c r="K91" s="6" t="s">
        <v>38</v>
      </c>
      <c r="O91" s="6" t="s">
        <v>172</v>
      </c>
      <c r="P91" s="105" t="s">
        <v>18</v>
      </c>
      <c r="Q91" s="6" t="e">
        <f>IF(Q88=9.3,O88*52,O88*93)</f>
        <v>#N/A</v>
      </c>
      <c r="R91" s="6" t="s">
        <v>173</v>
      </c>
      <c r="AM91" s="1"/>
      <c r="AN91" s="1"/>
      <c r="AO91" s="1"/>
      <c r="AP91" s="1"/>
      <c r="AQ91" s="1"/>
      <c r="AR91" s="2" t="str">
        <f t="shared" si="12"/>
        <v xml:space="preserve">Strimmel </v>
      </c>
      <c r="AS91" s="7" t="e">
        <f t="shared" si="14"/>
        <v>#N/A</v>
      </c>
      <c r="AT91" s="7" t="e">
        <f>J88-AS91-AU91</f>
        <v>#N/A</v>
      </c>
      <c r="AU91" s="7" t="e">
        <f t="shared" si="15"/>
        <v>#N/A</v>
      </c>
      <c r="AV91" s="32" t="e">
        <f t="shared" si="13"/>
        <v>#N/A</v>
      </c>
      <c r="AW91" s="1"/>
      <c r="AY91" s="50"/>
      <c r="AZ91" s="40">
        <f>I71</f>
        <v>0</v>
      </c>
      <c r="BA91" s="42" t="e">
        <f>SUM(BF84:BF88)/(AT89*10^-3)</f>
        <v>#N/A</v>
      </c>
      <c r="BB91" s="40" t="s">
        <v>41</v>
      </c>
      <c r="BC91" s="40" t="s">
        <v>112</v>
      </c>
      <c r="BD91" s="40"/>
      <c r="BE91" s="40"/>
      <c r="BF91" s="40"/>
      <c r="BG91" s="40"/>
      <c r="BH91" s="51"/>
      <c r="BN91" s="200"/>
      <c r="BO91" s="206" t="s">
        <v>33</v>
      </c>
      <c r="BP91" s="206"/>
      <c r="BQ91" s="206"/>
      <c r="BR91" s="206" t="s">
        <v>34</v>
      </c>
      <c r="BS91" s="206"/>
      <c r="BT91" s="206"/>
      <c r="BU91" s="206" t="s">
        <v>35</v>
      </c>
      <c r="BV91" s="206"/>
      <c r="BW91" s="206"/>
      <c r="BX91" s="206" t="s">
        <v>36</v>
      </c>
      <c r="BY91" s="206"/>
      <c r="BZ91" s="206"/>
      <c r="CA91" s="206" t="s">
        <v>25</v>
      </c>
      <c r="CB91" s="206"/>
      <c r="CC91" s="206"/>
      <c r="CD91" s="206" t="s">
        <v>26</v>
      </c>
      <c r="CE91" s="206"/>
      <c r="CF91" s="206"/>
      <c r="CG91" s="206" t="s">
        <v>27</v>
      </c>
      <c r="CH91" s="206"/>
      <c r="CI91" s="198"/>
    </row>
    <row r="92" spans="8:87">
      <c r="AM92" s="1"/>
      <c r="AN92" s="1"/>
      <c r="AO92" s="1"/>
      <c r="AP92" s="1"/>
      <c r="AQ92" s="1"/>
      <c r="AR92" s="205" t="str">
        <f t="shared" si="12"/>
        <v xml:space="preserve">Strimmel </v>
      </c>
      <c r="AS92" s="22">
        <f>IF(G74="dorn",AD86-AB85/2,AD86)</f>
        <v>0</v>
      </c>
      <c r="AT92" s="22" t="e">
        <f>$J$83-AB85/2-AB84/2-AS92-AU92</f>
        <v>#N/A</v>
      </c>
      <c r="AU92" s="22">
        <f>IF(I74="dorn",AE86-AB84/2,AE86)</f>
        <v>0</v>
      </c>
      <c r="AV92" s="203" t="e">
        <f>SUM(AS92:AU92)</f>
        <v>#N/A</v>
      </c>
      <c r="AW92" s="1"/>
      <c r="AY92" s="53" t="s">
        <v>30</v>
      </c>
      <c r="AZ92" s="54" t="str">
        <f>E72</f>
        <v/>
      </c>
      <c r="BA92" s="56"/>
      <c r="BB92" s="46"/>
      <c r="BC92" s="46"/>
      <c r="BD92" s="46"/>
      <c r="BE92" s="46"/>
      <c r="BF92" s="244" t="s">
        <v>108</v>
      </c>
      <c r="BG92" s="46"/>
      <c r="BH92" s="47"/>
      <c r="BN92" s="202" t="s">
        <v>46</v>
      </c>
      <c r="BO92" s="21">
        <v>-0.3</v>
      </c>
      <c r="BP92" s="21">
        <f>BO92</f>
        <v>-0.3</v>
      </c>
      <c r="BQ92" s="21">
        <f>BO92</f>
        <v>-0.3</v>
      </c>
      <c r="BR92" s="21">
        <v>0</v>
      </c>
      <c r="BS92" s="21" t="e">
        <f>BT92/2</f>
        <v>#N/A</v>
      </c>
      <c r="BT92" s="21" t="e">
        <f>J87*10^-3</f>
        <v>#N/A</v>
      </c>
      <c r="BU92" s="21">
        <v>0</v>
      </c>
      <c r="BV92" s="21" t="e">
        <f>BW92/2</f>
        <v>#N/A</v>
      </c>
      <c r="BW92" s="21" t="e">
        <f>J88*10^-3</f>
        <v>#N/A</v>
      </c>
      <c r="BX92" s="21">
        <v>0</v>
      </c>
      <c r="BY92" s="21" t="e">
        <f>BZ92/2</f>
        <v>#N/A</v>
      </c>
      <c r="BZ92" s="21" t="e">
        <f>J89*10^-3</f>
        <v>#N/A</v>
      </c>
      <c r="CA92" s="21" t="e">
        <f>BO78+0.3</f>
        <v>#N/A</v>
      </c>
      <c r="CB92" s="21" t="e">
        <f>CC92</f>
        <v>#N/A</v>
      </c>
      <c r="CC92" s="21" t="e">
        <f>CA92</f>
        <v>#N/A</v>
      </c>
      <c r="CD92" s="21" t="e">
        <f>CC92</f>
        <v>#N/A</v>
      </c>
      <c r="CE92" s="21" t="e">
        <f>CD92</f>
        <v>#N/A</v>
      </c>
      <c r="CF92" s="21" t="e">
        <f>CD92</f>
        <v>#N/A</v>
      </c>
      <c r="CG92" s="21" t="e">
        <f>CD92</f>
        <v>#N/A</v>
      </c>
      <c r="CH92" s="21" t="e">
        <f>CG92</f>
        <v>#N/A</v>
      </c>
      <c r="CI92" s="25" t="e">
        <f>CG92</f>
        <v>#N/A</v>
      </c>
    </row>
    <row r="93" spans="8:87">
      <c r="H93" s="111" t="s">
        <v>39</v>
      </c>
      <c r="I93" s="105" t="s">
        <v>18</v>
      </c>
      <c r="J93" s="152" t="e">
        <f>NA()</f>
        <v>#N/A</v>
      </c>
      <c r="K93" s="6" t="s">
        <v>40</v>
      </c>
      <c r="M93" s="6" t="s">
        <v>77</v>
      </c>
      <c r="Y93" s="36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Y93" s="48" t="s">
        <v>101</v>
      </c>
      <c r="BA93" s="9"/>
      <c r="BC93" s="36" t="s">
        <v>103</v>
      </c>
      <c r="BD93" s="36" t="s">
        <v>104</v>
      </c>
      <c r="BF93" s="245"/>
      <c r="BH93" s="49"/>
      <c r="BN93" s="74" t="s">
        <v>495</v>
      </c>
      <c r="BO93" s="23">
        <v>0</v>
      </c>
      <c r="BP93" s="23" t="e">
        <f>BQ93/2</f>
        <v>#N/A</v>
      </c>
      <c r="BQ93" s="23" t="e">
        <f>J83*10^-3</f>
        <v>#N/A</v>
      </c>
      <c r="BR93" s="23" t="e">
        <f>BO79+0.2</f>
        <v>#N/A</v>
      </c>
      <c r="BS93" s="23" t="e">
        <f>BR93</f>
        <v>#N/A</v>
      </c>
      <c r="BT93" s="23" t="e">
        <f>BR93</f>
        <v>#N/A</v>
      </c>
      <c r="BU93" s="23">
        <v>-0.2</v>
      </c>
      <c r="BV93" s="23">
        <f>BU93</f>
        <v>-0.2</v>
      </c>
      <c r="BW93" s="23">
        <f>BU93</f>
        <v>-0.2</v>
      </c>
      <c r="BX93" s="23" t="e">
        <f>(J85+J86*0.5)*10^-3</f>
        <v>#N/A</v>
      </c>
      <c r="BY93" s="23" t="e">
        <f>BX93</f>
        <v>#N/A</v>
      </c>
      <c r="BZ93" s="23" t="e">
        <f>BX93</f>
        <v>#N/A</v>
      </c>
      <c r="CA93" s="23" t="e">
        <f>BO79</f>
        <v>#N/A</v>
      </c>
      <c r="CB93" s="23" t="e">
        <f>CA93-(CA93-CC93)/2</f>
        <v>#N/A</v>
      </c>
      <c r="CC93" s="23" t="e">
        <f>BO79-J84*10^-3</f>
        <v>#N/A</v>
      </c>
      <c r="CD93" s="23">
        <v>0</v>
      </c>
      <c r="CE93" s="23" t="e">
        <f>CF93/2</f>
        <v>#N/A</v>
      </c>
      <c r="CF93" s="23" t="e">
        <f>J85*10^-3</f>
        <v>#N/A</v>
      </c>
      <c r="CG93" s="23" t="e">
        <f>CF93</f>
        <v>#N/A</v>
      </c>
      <c r="CH93" s="23" t="e">
        <f>CI93-(CI93-CG93)/2</f>
        <v>#N/A</v>
      </c>
      <c r="CI93" s="24" t="e">
        <f>CC93</f>
        <v>#N/A</v>
      </c>
    </row>
    <row r="94" spans="8:87">
      <c r="H94" s="111" t="s">
        <v>79</v>
      </c>
      <c r="I94" s="105" t="s">
        <v>18</v>
      </c>
      <c r="J94" s="108" t="e">
        <f>J93*9.82</f>
        <v>#N/A</v>
      </c>
      <c r="K94" s="6" t="s">
        <v>41</v>
      </c>
      <c r="O94" s="6" t="s">
        <v>75</v>
      </c>
      <c r="P94" s="105" t="s">
        <v>18</v>
      </c>
      <c r="Q94" s="6">
        <v>500</v>
      </c>
      <c r="R94" s="6" t="s">
        <v>67</v>
      </c>
      <c r="Y94" s="36"/>
      <c r="AI94" s="1" t="s">
        <v>73</v>
      </c>
      <c r="AJ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Y94" s="48"/>
      <c r="AZ94" t="s">
        <v>109</v>
      </c>
      <c r="BA94" s="9" t="e">
        <f>Q104*AB84*10^-3</f>
        <v>#N/A</v>
      </c>
      <c r="BB94" t="s">
        <v>100</v>
      </c>
      <c r="BC94" s="36">
        <v>0</v>
      </c>
      <c r="BD94" s="36" t="e">
        <f>J87</f>
        <v>#N/A</v>
      </c>
      <c r="BE94" t="s">
        <v>37</v>
      </c>
      <c r="BF94" s="38" t="e">
        <f>BA94*(BH94-BG94)*((BH94-BG94)*0.5+(BC94-AS90)*10^-3)</f>
        <v>#N/A</v>
      </c>
      <c r="BG94" s="36">
        <f>BC94*10^-3</f>
        <v>0</v>
      </c>
      <c r="BH94" s="52" t="e">
        <f>BD94*10^-3</f>
        <v>#N/A</v>
      </c>
    </row>
    <row r="95" spans="8:87">
      <c r="O95" s="6" t="s">
        <v>76</v>
      </c>
      <c r="P95" s="105" t="s">
        <v>18</v>
      </c>
      <c r="Q95" s="110">
        <f>Q94/AI97</f>
        <v>416.66666666666669</v>
      </c>
      <c r="R95" s="6" t="s">
        <v>67</v>
      </c>
      <c r="AI95" s="11">
        <v>1.4</v>
      </c>
      <c r="AJ95" s="16" t="s">
        <v>69</v>
      </c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Y95" s="48"/>
      <c r="AZ95">
        <f>Z82</f>
        <v>0</v>
      </c>
      <c r="BA95" s="9" t="e">
        <f>INDEX(AZ80:BA81,MATCH(AZ92,AZ80:AZ81,0),2)</f>
        <v>#N/A</v>
      </c>
      <c r="BB95" t="e">
        <f>INDEX(AZ80:BB81,MATCH(AZ92,AZ80:AZ81,0),3)</f>
        <v>#N/A</v>
      </c>
      <c r="BC95" s="36">
        <f>IF(ISBLANK(Z86),0,AB86)</f>
        <v>0</v>
      </c>
      <c r="BD95" s="36" t="e">
        <f>BC95+AB82</f>
        <v>#N/A</v>
      </c>
      <c r="BE95" t="s">
        <v>37</v>
      </c>
      <c r="BF95" s="38" t="e">
        <f>BA95*(BH95-BG95)*((BH95-BG95)*0.5+(BC95-AS90)*10^-3)</f>
        <v>#N/A</v>
      </c>
      <c r="BG95" s="36">
        <f t="shared" ref="BG95:BG98" si="16">BC95*10^-3</f>
        <v>0</v>
      </c>
      <c r="BH95" s="52" t="e">
        <f t="shared" ref="BH95:BH98" si="17">BD95*10^-3</f>
        <v>#N/A</v>
      </c>
    </row>
    <row r="96" spans="8:87">
      <c r="AI96" s="11">
        <v>1.6</v>
      </c>
      <c r="AJ96" s="1" t="s">
        <v>70</v>
      </c>
      <c r="AM96" s="1"/>
      <c r="AN96" s="1"/>
      <c r="AO96" s="1"/>
      <c r="AP96" s="1"/>
      <c r="AQ96" s="1"/>
      <c r="AR96" s="209" t="s">
        <v>386</v>
      </c>
      <c r="AS96" s="60" t="s">
        <v>278</v>
      </c>
      <c r="AT96" s="61" t="s">
        <v>163</v>
      </c>
      <c r="AU96" s="1"/>
      <c r="AV96" s="1"/>
      <c r="AW96" s="1"/>
      <c r="AY96" s="48"/>
      <c r="AZ96" s="221">
        <f>Z83</f>
        <v>0</v>
      </c>
      <c r="BA96" s="9" t="e">
        <f>INDEX(AZ90:BA91,MATCH(AZ92,AZ90:AZ91,0),2)</f>
        <v>#N/A</v>
      </c>
      <c r="BB96" t="e">
        <f>INDEX(AZ90:BB91,MATCH(AZ92,AZ90:AZ91,0),3)</f>
        <v>#N/A</v>
      </c>
      <c r="BC96" s="36" t="e">
        <f>BD95+AB83/2</f>
        <v>#N/A</v>
      </c>
      <c r="BD96" s="36" t="e">
        <f>BC96</f>
        <v>#N/A</v>
      </c>
      <c r="BE96" t="s">
        <v>37</v>
      </c>
      <c r="BF96" s="38" t="e">
        <f>BA96*(BC96-$AS$90)*10^-3</f>
        <v>#N/A</v>
      </c>
      <c r="BG96" s="36" t="e">
        <f t="shared" si="16"/>
        <v>#N/A</v>
      </c>
      <c r="BH96" s="52" t="e">
        <f t="shared" si="17"/>
        <v>#N/A</v>
      </c>
    </row>
    <row r="97" spans="4:60">
      <c r="M97" s="6" t="s">
        <v>48</v>
      </c>
      <c r="O97" s="6" t="s">
        <v>49</v>
      </c>
      <c r="Q97" s="6" t="s">
        <v>58</v>
      </c>
      <c r="AI97" s="11">
        <v>1.2</v>
      </c>
      <c r="AJ97" s="1" t="s">
        <v>71</v>
      </c>
      <c r="AM97" s="1"/>
      <c r="AN97" s="1"/>
      <c r="AO97" s="1"/>
      <c r="AP97" s="1"/>
      <c r="AQ97" s="1"/>
      <c r="AR97" s="2" t="str">
        <f>AA82&amp;" "&amp;Z82</f>
        <v xml:space="preserve">Strimmel </v>
      </c>
      <c r="AS97" s="7" t="str">
        <f>IF(G70="dorn",AD82,"-")</f>
        <v>-</v>
      </c>
      <c r="AT97" s="66" t="str">
        <f>IF(I70="dorn",AE82,"-")</f>
        <v>-</v>
      </c>
      <c r="AU97" s="1"/>
      <c r="AV97" s="1"/>
      <c r="AW97" s="1"/>
      <c r="AY97" s="48"/>
      <c r="AZ97">
        <f>Z86</f>
        <v>0</v>
      </c>
      <c r="BA97" s="9">
        <f>IFERROR(INDEX(AZ118:BA119,MATCH(AZ92,AZ118:AZ119,0),2),0)</f>
        <v>0</v>
      </c>
      <c r="BB97" t="s">
        <v>41</v>
      </c>
      <c r="BC97" s="36" t="e">
        <f>AB86/2</f>
        <v>#N/A</v>
      </c>
      <c r="BD97" s="36" t="e">
        <f>BC97</f>
        <v>#N/A</v>
      </c>
      <c r="BE97" t="s">
        <v>37</v>
      </c>
      <c r="BF97" s="38" t="e">
        <f>BA97*(BC97-$AS$90)*10^-3</f>
        <v>#N/A</v>
      </c>
      <c r="BG97" s="36" t="e">
        <f t="shared" si="16"/>
        <v>#N/A</v>
      </c>
      <c r="BH97" s="52" t="e">
        <f t="shared" si="17"/>
        <v>#N/A</v>
      </c>
    </row>
    <row r="98" spans="4:60">
      <c r="I98" s="6" t="s">
        <v>45</v>
      </c>
      <c r="M98" s="109" t="e">
        <f>J94/J91</f>
        <v>#N/A</v>
      </c>
      <c r="N98" s="105" t="s">
        <v>46</v>
      </c>
      <c r="O98" s="109" t="e">
        <f>IF(AO89,AJ89,AJ88)</f>
        <v>#N/A</v>
      </c>
      <c r="P98" s="105" t="s">
        <v>18</v>
      </c>
      <c r="Q98" s="109" t="e">
        <f>M98*O98</f>
        <v>#N/A</v>
      </c>
      <c r="R98" s="6" t="s">
        <v>52</v>
      </c>
      <c r="AI98" s="11">
        <v>1.1000000000000001</v>
      </c>
      <c r="AJ98" s="1" t="s">
        <v>72</v>
      </c>
      <c r="AM98" s="1"/>
      <c r="AN98" s="1"/>
      <c r="AO98" s="1"/>
      <c r="AP98" s="1"/>
      <c r="AQ98" s="1"/>
      <c r="AR98" s="2" t="str">
        <f t="shared" ref="AR98:AR101" si="18">AA83&amp;" "&amp;Z83</f>
        <v xml:space="preserve">Strimmel </v>
      </c>
      <c r="AS98" s="7" t="str">
        <f>IF(G71="dorn",AD83,"-")</f>
        <v>-</v>
      </c>
      <c r="AT98" s="66" t="str">
        <f>IF(I71="dorn",AE83,"-")</f>
        <v>-</v>
      </c>
      <c r="AU98" s="1"/>
      <c r="AV98" s="1"/>
      <c r="AW98" s="1"/>
      <c r="AY98" s="48"/>
      <c r="AZ98" t="str">
        <f>"Punktlast fra "&amp;Z80</f>
        <v xml:space="preserve">Punktlast fra </v>
      </c>
      <c r="BA98" s="9" t="e">
        <f>AC80*0.5*AB80*AB84*10^-6</f>
        <v>#N/A</v>
      </c>
      <c r="BB98" t="s">
        <v>41</v>
      </c>
      <c r="BC98" s="36" t="e">
        <f>J87</f>
        <v>#N/A</v>
      </c>
      <c r="BD98" s="36" t="e">
        <f>BC98</f>
        <v>#N/A</v>
      </c>
      <c r="BE98" t="s">
        <v>37</v>
      </c>
      <c r="BF98" s="38" t="e">
        <f>BA98*(BC98-$AS$90)*10^-3</f>
        <v>#N/A</v>
      </c>
      <c r="BG98" s="36" t="e">
        <f t="shared" si="16"/>
        <v>#N/A</v>
      </c>
      <c r="BH98" s="52" t="e">
        <f t="shared" si="17"/>
        <v>#N/A</v>
      </c>
    </row>
    <row r="99" spans="4:60">
      <c r="I99" s="6" t="s">
        <v>50</v>
      </c>
      <c r="M99" s="207" t="e">
        <f>NA()</f>
        <v>#N/A</v>
      </c>
      <c r="N99" s="105" t="s">
        <v>46</v>
      </c>
      <c r="O99" s="109" t="e">
        <f>IF(AO89,AJ89,AJ88)</f>
        <v>#N/A</v>
      </c>
      <c r="P99" s="105" t="s">
        <v>18</v>
      </c>
      <c r="Q99" s="109" t="e">
        <f>M99*O99</f>
        <v>#N/A</v>
      </c>
      <c r="R99" s="6" t="s">
        <v>52</v>
      </c>
      <c r="AM99" s="1"/>
      <c r="AN99" s="1"/>
      <c r="AO99" s="1"/>
      <c r="AP99" s="1"/>
      <c r="AQ99" s="1"/>
      <c r="AR99" s="2" t="str">
        <f t="shared" si="18"/>
        <v xml:space="preserve">Strimmel </v>
      </c>
      <c r="AS99" s="7" t="str">
        <f>IF(G72="dorn",AD84,"-")</f>
        <v>-</v>
      </c>
      <c r="AT99" s="66" t="str">
        <f>IF(I72="dorn",AE84,"-")</f>
        <v>-</v>
      </c>
      <c r="AU99" s="1"/>
      <c r="AV99" s="1"/>
      <c r="AW99" s="1"/>
      <c r="AY99" s="48" t="s">
        <v>102</v>
      </c>
      <c r="BA99" s="9"/>
      <c r="BH99" s="49"/>
    </row>
    <row r="100" spans="4:60">
      <c r="I100" s="6" t="s">
        <v>51</v>
      </c>
      <c r="M100" s="109" t="e">
        <f>M98+M99</f>
        <v>#N/A</v>
      </c>
      <c r="N100" s="105" t="s">
        <v>46</v>
      </c>
      <c r="O100" s="109" t="e">
        <f>IF(AO89,AJ89,AJ88)</f>
        <v>#N/A</v>
      </c>
      <c r="P100" s="105" t="s">
        <v>18</v>
      </c>
      <c r="Q100" s="109" t="e">
        <f>Q98+Q99</f>
        <v>#N/A</v>
      </c>
      <c r="R100" s="6" t="s">
        <v>52</v>
      </c>
      <c r="AM100" s="1"/>
      <c r="AN100" s="1"/>
      <c r="AO100" s="1"/>
      <c r="AP100" s="1"/>
      <c r="AQ100" s="1"/>
      <c r="AR100" s="2" t="str">
        <f t="shared" si="18"/>
        <v xml:space="preserve">Strimmel </v>
      </c>
      <c r="AS100" s="7" t="str">
        <f>IF(G73="dorn",AD85,"-")</f>
        <v>-</v>
      </c>
      <c r="AT100" s="66" t="str">
        <f>IF(I73="dorn",AE85,"-")</f>
        <v>-</v>
      </c>
      <c r="AU100" s="1"/>
      <c r="AV100" s="1"/>
      <c r="AW100" s="1"/>
      <c r="AY100" s="48"/>
      <c r="AZ100">
        <f>G72</f>
        <v>0</v>
      </c>
      <c r="BA100" s="42" t="e">
        <f>BA94*(BH94-BG94)+BA95*(BH95-BG95)+BA96+BA97+BA98-BA101</f>
        <v>#N/A</v>
      </c>
      <c r="BB100" t="s">
        <v>41</v>
      </c>
      <c r="BC100" t="s">
        <v>111</v>
      </c>
      <c r="BH100" s="49"/>
    </row>
    <row r="101" spans="4:60">
      <c r="AM101" s="1"/>
      <c r="AN101" s="1"/>
      <c r="AO101" s="1"/>
      <c r="AP101" s="1"/>
      <c r="AQ101" s="1"/>
      <c r="AR101" s="205" t="str">
        <f t="shared" si="18"/>
        <v xml:space="preserve">Strimmel </v>
      </c>
      <c r="AS101" s="22" t="str">
        <f>IF(G74="dorn",AD86,"-")</f>
        <v>-</v>
      </c>
      <c r="AT101" s="63" t="str">
        <f>IF(I74="dorn",AE86,"-")</f>
        <v>-</v>
      </c>
      <c r="AU101" s="1"/>
      <c r="AV101" s="1"/>
      <c r="AW101" s="1"/>
      <c r="AY101" s="50"/>
      <c r="AZ101" s="40">
        <f>I72</f>
        <v>0</v>
      </c>
      <c r="BA101" s="41" t="e">
        <f>SUM(BF94:BF98)/(AT90*10^-3)</f>
        <v>#N/A</v>
      </c>
      <c r="BB101" s="40" t="s">
        <v>41</v>
      </c>
      <c r="BC101" s="40" t="s">
        <v>112</v>
      </c>
      <c r="BD101" s="40"/>
      <c r="BE101" s="40"/>
      <c r="BF101" s="40"/>
      <c r="BG101" s="40"/>
      <c r="BH101" s="51"/>
    </row>
    <row r="102" spans="4:60">
      <c r="I102" s="6" t="s">
        <v>53</v>
      </c>
      <c r="K102" s="153" t="s">
        <v>54</v>
      </c>
      <c r="L102" s="112"/>
      <c r="M102" s="109">
        <f>IF(RIGHT(K102)="A",3,5)</f>
        <v>3</v>
      </c>
      <c r="N102" s="105" t="s">
        <v>46</v>
      </c>
      <c r="O102" s="109" t="e">
        <f>IF(AO89,AL89,AL88)</f>
        <v>#N/A</v>
      </c>
      <c r="P102" s="105" t="s">
        <v>18</v>
      </c>
      <c r="Q102" s="109" t="e">
        <f>M102*O102</f>
        <v>#N/A</v>
      </c>
      <c r="R102" s="6" t="s">
        <v>52</v>
      </c>
      <c r="AY102" s="55" t="s">
        <v>30</v>
      </c>
      <c r="AZ102" s="54" t="str">
        <f>E73</f>
        <v/>
      </c>
      <c r="BA102" s="56"/>
      <c r="BB102" s="46"/>
      <c r="BC102" s="46"/>
      <c r="BD102" s="46"/>
      <c r="BE102" s="46"/>
      <c r="BF102" s="244" t="s">
        <v>108</v>
      </c>
      <c r="BG102" s="46"/>
      <c r="BH102" s="47"/>
    </row>
    <row r="103" spans="4:60">
      <c r="AY103" s="48" t="s">
        <v>101</v>
      </c>
      <c r="BA103" s="9"/>
      <c r="BC103" s="36" t="s">
        <v>103</v>
      </c>
      <c r="BD103" s="36" t="s">
        <v>104</v>
      </c>
      <c r="BF103" s="245"/>
      <c r="BH103" s="49"/>
    </row>
    <row r="104" spans="4:60">
      <c r="I104" s="6" t="s">
        <v>59</v>
      </c>
      <c r="M104" s="109"/>
      <c r="N104" s="113"/>
      <c r="P104" s="105" t="s">
        <v>18</v>
      </c>
      <c r="Q104" s="109" t="e">
        <f>Q100+Q102</f>
        <v>#N/A</v>
      </c>
      <c r="R104" s="6" t="s">
        <v>52</v>
      </c>
      <c r="AY104" s="48"/>
      <c r="AZ104" t="s">
        <v>109</v>
      </c>
      <c r="BA104" s="9" t="e">
        <f>Q104*AB85*10^-3</f>
        <v>#N/A</v>
      </c>
      <c r="BB104" t="s">
        <v>100</v>
      </c>
      <c r="BC104" s="36">
        <v>0</v>
      </c>
      <c r="BD104" s="36" t="e">
        <f>J88</f>
        <v>#N/A</v>
      </c>
      <c r="BE104" t="s">
        <v>37</v>
      </c>
      <c r="BF104" s="38" t="e">
        <f>BA104*(BH104-BG104)*((BH104-BG104)*0.5+(BC104-AS91)*10^-3)</f>
        <v>#N/A</v>
      </c>
      <c r="BG104" s="36">
        <f>BC104*10^-3</f>
        <v>0</v>
      </c>
      <c r="BH104" s="52" t="e">
        <f>BD104*10^-3</f>
        <v>#N/A</v>
      </c>
    </row>
    <row r="105" spans="4:60">
      <c r="I105" s="6" t="s">
        <v>305</v>
      </c>
      <c r="P105" s="105" t="s">
        <v>18</v>
      </c>
      <c r="Q105" s="109" t="e">
        <f>Q104*I111*10^-3</f>
        <v>#N/A</v>
      </c>
      <c r="R105" s="6" t="s">
        <v>100</v>
      </c>
      <c r="AY105" s="48"/>
      <c r="AZ105">
        <f>Z82</f>
        <v>0</v>
      </c>
      <c r="BA105" s="9" t="e">
        <f>INDEX(AZ80:BA81,MATCH(AZ102,AZ80:AZ81,0),2)</f>
        <v>#N/A</v>
      </c>
      <c r="BB105" t="e">
        <f>INDEX(AZ80:BB81,MATCH(AZ102,AZ80:AZ81,0),3)</f>
        <v>#N/A</v>
      </c>
      <c r="BC105" s="36">
        <f>IF(ISBLANK(Z86),0,AB86)</f>
        <v>0</v>
      </c>
      <c r="BD105" s="36" t="e">
        <f>BC105+AB82</f>
        <v>#N/A</v>
      </c>
      <c r="BE105" t="s">
        <v>37</v>
      </c>
      <c r="BF105" s="38" t="e">
        <f>BA105*(BH105-BG105)*((BH105-BG105)*0.5+(BC105-AS91)*10^-3)</f>
        <v>#N/A</v>
      </c>
      <c r="BG105" s="36">
        <f t="shared" ref="BG105:BG108" si="19">BC105*10^-3</f>
        <v>0</v>
      </c>
      <c r="BH105" s="52" t="e">
        <f t="shared" ref="BH105:BH108" si="20">BD105*10^-3</f>
        <v>#N/A</v>
      </c>
    </row>
    <row r="106" spans="4:60">
      <c r="AY106" s="48"/>
      <c r="AZ106">
        <f>Z83</f>
        <v>0</v>
      </c>
      <c r="BA106" s="9" t="e">
        <f>INDEX(AZ90:BA91,MATCH(AZ102,AZ90:AZ91,0),2)</f>
        <v>#N/A</v>
      </c>
      <c r="BB106" t="e">
        <f>INDEX(AZ90:BB91,MATCH(AZ102,AZ90:AZ91,0),3)</f>
        <v>#N/A</v>
      </c>
      <c r="BC106" s="36" t="e">
        <f>BD105+AB83/2</f>
        <v>#N/A</v>
      </c>
      <c r="BD106" s="36" t="e">
        <f>BC106</f>
        <v>#N/A</v>
      </c>
      <c r="BE106" t="s">
        <v>37</v>
      </c>
      <c r="BF106" s="38" t="e">
        <f>BA106*(BC106-$AS$91)*10^-3</f>
        <v>#N/A</v>
      </c>
      <c r="BG106" s="36" t="e">
        <f t="shared" si="19"/>
        <v>#N/A</v>
      </c>
      <c r="BH106" s="52" t="e">
        <f t="shared" si="20"/>
        <v>#N/A</v>
      </c>
    </row>
    <row r="107" spans="4:60">
      <c r="AY107" s="48"/>
      <c r="AZ107">
        <f>Z86</f>
        <v>0</v>
      </c>
      <c r="BA107" s="9">
        <f>IFERROR(INDEX(AZ118:BA119,MATCH(AZ102,AZ118:AZ119,0),2),0)</f>
        <v>0</v>
      </c>
      <c r="BB107" t="s">
        <v>41</v>
      </c>
      <c r="BC107" s="36" t="e">
        <f>AB86/2</f>
        <v>#N/A</v>
      </c>
      <c r="BD107" s="36" t="e">
        <f>BC107</f>
        <v>#N/A</v>
      </c>
      <c r="BE107" t="s">
        <v>37</v>
      </c>
      <c r="BF107" s="38" t="e">
        <f>BA107*(BC107-$AS$91)*10^-3</f>
        <v>#N/A</v>
      </c>
      <c r="BG107" s="36" t="e">
        <f t="shared" si="19"/>
        <v>#N/A</v>
      </c>
      <c r="BH107" s="52" t="e">
        <f t="shared" si="20"/>
        <v>#N/A</v>
      </c>
    </row>
    <row r="108" spans="4:60" ht="21">
      <c r="D108" s="134" t="s">
        <v>168</v>
      </c>
      <c r="AY108" s="48"/>
      <c r="AZ108" t="s">
        <v>110</v>
      </c>
      <c r="BA108" s="9" t="e">
        <f>AC81*0.5*AB81*AB85*10^-6</f>
        <v>#N/A</v>
      </c>
      <c r="BB108" t="s">
        <v>41</v>
      </c>
      <c r="BC108" s="36" t="e">
        <f>J88</f>
        <v>#N/A</v>
      </c>
      <c r="BD108" s="36" t="e">
        <f>BC108</f>
        <v>#N/A</v>
      </c>
      <c r="BE108" t="s">
        <v>37</v>
      </c>
      <c r="BF108" s="38" t="e">
        <f>BA108*(BC108-$AS$91)*10^-3</f>
        <v>#N/A</v>
      </c>
      <c r="BG108" s="36" t="e">
        <f t="shared" si="19"/>
        <v>#N/A</v>
      </c>
      <c r="BH108" s="52" t="e">
        <f t="shared" si="20"/>
        <v>#N/A</v>
      </c>
    </row>
    <row r="109" spans="4:60">
      <c r="F109" s="6" t="s">
        <v>308</v>
      </c>
      <c r="G109" s="6" t="s">
        <v>310</v>
      </c>
      <c r="H109" s="105" t="s">
        <v>18</v>
      </c>
      <c r="I109" s="150" t="e">
        <f>NA()</f>
        <v>#N/A</v>
      </c>
      <c r="J109" s="6" t="s">
        <v>37</v>
      </c>
      <c r="AC109" s="1"/>
      <c r="AD109" s="1"/>
      <c r="AE109" s="7" t="s">
        <v>325</v>
      </c>
      <c r="AF109" s="7" t="s">
        <v>324</v>
      </c>
      <c r="AG109" s="1"/>
      <c r="AH109" s="1"/>
      <c r="AY109" s="48" t="s">
        <v>102</v>
      </c>
      <c r="BA109" s="9"/>
      <c r="BH109" s="49"/>
    </row>
    <row r="110" spans="4:60" ht="19.5">
      <c r="F110" s="6" t="s">
        <v>309</v>
      </c>
      <c r="G110" s="6" t="s">
        <v>311</v>
      </c>
      <c r="H110" s="105" t="s">
        <v>18</v>
      </c>
      <c r="I110" s="150" t="e">
        <f>NA()</f>
        <v>#N/A</v>
      </c>
      <c r="J110" s="6" t="s">
        <v>37</v>
      </c>
      <c r="V110" s="1" t="s">
        <v>367</v>
      </c>
      <c r="W110" s="19" t="e">
        <f>I112+I110*COS(W111)/6-I112</f>
        <v>#N/A</v>
      </c>
      <c r="X110" s="1" t="s">
        <v>37</v>
      </c>
      <c r="Y110" s="135" t="s">
        <v>387</v>
      </c>
      <c r="Z110" t="s">
        <v>368</v>
      </c>
      <c r="AC110" s="1"/>
      <c r="AD110" s="1" t="s">
        <v>328</v>
      </c>
      <c r="AE110" s="1">
        <f>Q83+8</f>
        <v>38</v>
      </c>
      <c r="AF110" s="1">
        <f>AE110</f>
        <v>38</v>
      </c>
      <c r="AG110" s="1" t="s">
        <v>67</v>
      </c>
      <c r="AH110" s="1"/>
      <c r="AY110" s="48"/>
      <c r="AZ110">
        <f>G73</f>
        <v>0</v>
      </c>
      <c r="BA110" s="42" t="e">
        <f>BA104*(BH104-BG104)+BA105*(BH105-BG105)+BA106+BA107+BA108-BA111</f>
        <v>#N/A</v>
      </c>
      <c r="BB110" t="s">
        <v>41</v>
      </c>
      <c r="BC110" t="s">
        <v>111</v>
      </c>
      <c r="BH110" s="49"/>
    </row>
    <row r="111" spans="4:60" ht="19.5">
      <c r="F111" s="6" t="s">
        <v>301</v>
      </c>
      <c r="G111" s="6" t="s">
        <v>118</v>
      </c>
      <c r="H111" s="105" t="s">
        <v>18</v>
      </c>
      <c r="I111" s="110" t="e">
        <f>MAX(J84,J85,J89)</f>
        <v>#N/A</v>
      </c>
      <c r="J111" s="6" t="s">
        <v>37</v>
      </c>
      <c r="V111" s="1" t="s">
        <v>362</v>
      </c>
      <c r="W111" s="78" t="e">
        <f>ATAN(I110/I109)</f>
        <v>#N/A</v>
      </c>
      <c r="X111" s="1" t="s">
        <v>363</v>
      </c>
      <c r="AC111" s="1"/>
      <c r="AD111" s="1" t="s">
        <v>329</v>
      </c>
      <c r="AE111" s="19">
        <f>AF111/4</f>
        <v>8209.1420078326973</v>
      </c>
      <c r="AF111" s="19">
        <f>22000*(AE110/10)^0.3</f>
        <v>32836.568031330789</v>
      </c>
      <c r="AG111" s="1" t="s">
        <v>67</v>
      </c>
      <c r="AH111" s="1" t="s">
        <v>326</v>
      </c>
      <c r="AY111" s="50"/>
      <c r="AZ111" s="40">
        <f>I73</f>
        <v>0</v>
      </c>
      <c r="BA111" s="41" t="e">
        <f>SUM(BF104:BF108)/(AT91*10^-3)</f>
        <v>#N/A</v>
      </c>
      <c r="BB111" s="40" t="s">
        <v>41</v>
      </c>
      <c r="BC111" s="40" t="s">
        <v>112</v>
      </c>
      <c r="BD111" s="40"/>
      <c r="BE111" s="40"/>
      <c r="BF111" s="40"/>
      <c r="BG111" s="40"/>
      <c r="BH111" s="51"/>
    </row>
    <row r="112" spans="4:60">
      <c r="F112" s="6" t="s">
        <v>299</v>
      </c>
      <c r="G112" s="6" t="s">
        <v>302</v>
      </c>
      <c r="H112" s="105" t="s">
        <v>18</v>
      </c>
      <c r="I112" s="150" t="e">
        <f>NA()</f>
        <v>#N/A</v>
      </c>
      <c r="J112" s="6" t="s">
        <v>37</v>
      </c>
      <c r="V112" s="1" t="s">
        <v>182</v>
      </c>
      <c r="W112" s="1">
        <f>0.2*10^6</f>
        <v>200000</v>
      </c>
      <c r="X112" s="1" t="s">
        <v>67</v>
      </c>
      <c r="Y112" s="1"/>
      <c r="AC112" s="1"/>
      <c r="AD112" s="1" t="s">
        <v>120</v>
      </c>
      <c r="AE112" s="13" t="e">
        <f>I113+AI82</f>
        <v>#N/A</v>
      </c>
      <c r="AF112" s="13" t="e">
        <f>AE112</f>
        <v>#N/A</v>
      </c>
      <c r="AG112" s="1" t="s">
        <v>37</v>
      </c>
      <c r="AH112" s="1"/>
      <c r="AY112" s="55" t="s">
        <v>30</v>
      </c>
      <c r="AZ112" s="54">
        <f>Z86</f>
        <v>0</v>
      </c>
      <c r="BA112" s="56"/>
      <c r="BB112" s="46"/>
      <c r="BC112" s="46"/>
      <c r="BD112" s="46"/>
      <c r="BE112" s="46"/>
      <c r="BF112" s="244" t="s">
        <v>108</v>
      </c>
      <c r="BG112" s="46"/>
      <c r="BH112" s="47"/>
    </row>
    <row r="113" spans="3:60" ht="19.5" customHeight="1">
      <c r="C113" s="6" t="s">
        <v>312</v>
      </c>
      <c r="F113" s="6" t="s">
        <v>162</v>
      </c>
      <c r="G113" s="6" t="s">
        <v>120</v>
      </c>
      <c r="H113" s="105" t="s">
        <v>18</v>
      </c>
      <c r="I113" s="110" t="e">
        <f>I112-AI81-AI82-AI83-Q88/2</f>
        <v>#N/A</v>
      </c>
      <c r="J113" s="6" t="s">
        <v>37</v>
      </c>
      <c r="V113" s="1" t="s">
        <v>194</v>
      </c>
      <c r="W113" s="69">
        <f>Q90/W112*100</f>
        <v>0.20833333333333334</v>
      </c>
      <c r="X113" s="1" t="s">
        <v>183</v>
      </c>
      <c r="Y113" s="1"/>
      <c r="AC113" s="1"/>
      <c r="AD113" s="77" t="s">
        <v>330</v>
      </c>
      <c r="AE113" s="1">
        <f>IF(OR(RIGHT(K102,1)="A",RIGHT(K102,1)="B"),0.2,IF(OR(RIGHT(K102,1)="C",RIGHT(K102,1)="D"),0.5,NA()))</f>
        <v>0.2</v>
      </c>
      <c r="AF113" s="1">
        <f>AE113</f>
        <v>0.2</v>
      </c>
      <c r="AG113" s="1"/>
      <c r="AH113" s="1"/>
      <c r="AY113" s="48" t="s">
        <v>101</v>
      </c>
      <c r="BA113" s="9"/>
      <c r="BC113" s="36" t="s">
        <v>103</v>
      </c>
      <c r="BD113" s="36" t="s">
        <v>104</v>
      </c>
      <c r="BF113" s="245"/>
      <c r="BH113" s="49"/>
    </row>
    <row r="114" spans="3:60" ht="19.5">
      <c r="F114" s="6" t="s">
        <v>300</v>
      </c>
      <c r="G114" s="6" t="s">
        <v>303</v>
      </c>
      <c r="H114" s="105" t="s">
        <v>18</v>
      </c>
      <c r="I114" s="109" t="e">
        <f>MAX(J83,J87,J88)*10^-3</f>
        <v>#N/A</v>
      </c>
      <c r="J114" s="6" t="s">
        <v>304</v>
      </c>
      <c r="V114" s="1" t="s">
        <v>195</v>
      </c>
      <c r="W114" s="1">
        <v>0.35</v>
      </c>
      <c r="X114" s="1" t="s">
        <v>183</v>
      </c>
      <c r="Y114" s="1"/>
      <c r="AC114" s="1"/>
      <c r="AD114" s="1" t="s">
        <v>19</v>
      </c>
      <c r="AE114" s="13" t="e">
        <f>1/8*(M100+AE113*M102)*I111*10^-3*I114^2</f>
        <v>#N/A</v>
      </c>
      <c r="AF114" s="13" t="e">
        <f>1/8*(1-AF113)*M102*I111*10^-3*I114^2</f>
        <v>#N/A</v>
      </c>
      <c r="AG114" s="1" t="s">
        <v>145</v>
      </c>
      <c r="AH114" s="1"/>
      <c r="AY114" s="48"/>
      <c r="AZ114" t="s">
        <v>109</v>
      </c>
      <c r="BA114" s="9" t="e">
        <f>Q104*AB86*10^-3</f>
        <v>#N/A</v>
      </c>
      <c r="BB114" t="s">
        <v>100</v>
      </c>
      <c r="BC114" s="36" t="e">
        <f>AB85/2</f>
        <v>#N/A</v>
      </c>
      <c r="BD114" s="36" t="e">
        <f>AV92-AB84/2</f>
        <v>#N/A</v>
      </c>
      <c r="BE114" t="s">
        <v>37</v>
      </c>
      <c r="BF114" s="38" t="e">
        <f>BA114*(BH114-BG114)*((BH114-BG114)*0.5+(BC114-AS92)*10^-3)</f>
        <v>#N/A</v>
      </c>
      <c r="BG114" s="36" t="e">
        <f>BC114*10^-3</f>
        <v>#N/A</v>
      </c>
      <c r="BH114" s="52" t="e">
        <f>BD114*10^-3</f>
        <v>#N/A</v>
      </c>
    </row>
    <row r="115" spans="3:60" ht="19.5">
      <c r="H115" s="105"/>
      <c r="J115" s="114"/>
      <c r="V115" s="77" t="s">
        <v>321</v>
      </c>
      <c r="W115" s="13">
        <v>1</v>
      </c>
      <c r="X115" s="1"/>
      <c r="Y115" s="1"/>
      <c r="AC115" s="1" t="s">
        <v>323</v>
      </c>
      <c r="AD115" s="1" t="s">
        <v>364</v>
      </c>
      <c r="AE115" s="11" t="e">
        <f>AE114*10^6/(AE123*I111*AE112^2)</f>
        <v>#N/A</v>
      </c>
      <c r="AF115" s="11" t="e">
        <f>AF114*10^6/(AF123*I111*AF112^2)</f>
        <v>#N/A</v>
      </c>
      <c r="AG115" s="1" t="s">
        <v>67</v>
      </c>
      <c r="AH115" s="1"/>
      <c r="AY115" s="48"/>
      <c r="AZ115">
        <f>Z84</f>
        <v>0</v>
      </c>
      <c r="BA115" s="9">
        <f>IFERROR(INDEX(AZ100:BA101,MATCH(AZ112,AZ100:AZ101,0),2),0)</f>
        <v>0</v>
      </c>
      <c r="BB115" t="s">
        <v>41</v>
      </c>
      <c r="BC115" s="36" t="e">
        <f>AV92</f>
        <v>#N/A</v>
      </c>
      <c r="BD115" s="36" t="e">
        <f>BC115</f>
        <v>#N/A</v>
      </c>
      <c r="BE115" t="s">
        <v>37</v>
      </c>
      <c r="BF115" s="38" t="e">
        <f>BA115*(BC115-$AS$92)*10^-3</f>
        <v>#N/A</v>
      </c>
      <c r="BG115" s="36" t="e">
        <f t="shared" ref="BG115:BG116" si="21">BC115*10^-3</f>
        <v>#N/A</v>
      </c>
      <c r="BH115" s="52" t="e">
        <f t="shared" ref="BH115:BH116" si="22">BD115*10^-3</f>
        <v>#N/A</v>
      </c>
    </row>
    <row r="116" spans="3:60" ht="19.5">
      <c r="C116" s="6" t="s">
        <v>313</v>
      </c>
      <c r="F116" s="111" t="s">
        <v>177</v>
      </c>
      <c r="K116" s="6" t="s">
        <v>176</v>
      </c>
      <c r="V116" s="77" t="s">
        <v>184</v>
      </c>
      <c r="W116" s="1">
        <v>0.8</v>
      </c>
      <c r="X116" s="1"/>
      <c r="Y116" s="1"/>
      <c r="AC116" s="1" t="s">
        <v>323</v>
      </c>
      <c r="AD116" s="1" t="s">
        <v>365</v>
      </c>
      <c r="AE116" s="13" t="e">
        <f>AE115*AE119*(1-AE121)/AE121</f>
        <v>#N/A</v>
      </c>
      <c r="AF116" s="13" t="e">
        <f>AF115*AF119*(1-AF121)/AF121</f>
        <v>#N/A</v>
      </c>
      <c r="AG116" s="1" t="s">
        <v>67</v>
      </c>
      <c r="AH116" s="1"/>
      <c r="AY116" s="48"/>
      <c r="AZ116">
        <f>Z85</f>
        <v>0</v>
      </c>
      <c r="BA116" s="9">
        <f>IFERROR(INDEX(AZ110:BA111,MATCH(AZ112,AZ110:AZ111,0),2),0)</f>
        <v>0</v>
      </c>
      <c r="BB116" t="s">
        <v>41</v>
      </c>
      <c r="BC116" s="36">
        <v>0</v>
      </c>
      <c r="BD116" s="36">
        <f>BC116</f>
        <v>0</v>
      </c>
      <c r="BE116" t="s">
        <v>37</v>
      </c>
      <c r="BF116" s="38">
        <f>BA116*(BC116-$AS$92)*10^-3</f>
        <v>0</v>
      </c>
      <c r="BG116" s="36">
        <f t="shared" si="21"/>
        <v>0</v>
      </c>
      <c r="BH116" s="52">
        <f t="shared" si="22"/>
        <v>0</v>
      </c>
    </row>
    <row r="117" spans="3:60" ht="19.5">
      <c r="F117" s="115" t="s">
        <v>201</v>
      </c>
      <c r="G117" s="108" t="e">
        <f>W123</f>
        <v>#N/A</v>
      </c>
      <c r="I117" s="6" t="s">
        <v>145</v>
      </c>
      <c r="J117" s="105" t="e">
        <f>IF(G117&gt;K117,"&gt;","&lt;")</f>
        <v>#N/A</v>
      </c>
      <c r="K117" s="108" t="e">
        <f>1/8*Q105*I114^2</f>
        <v>#N/A</v>
      </c>
      <c r="M117" s="6" t="e">
        <f>IF(G117&gt;K117,"Accept","Forkast")</f>
        <v>#N/A</v>
      </c>
      <c r="N117" s="106" t="e">
        <f>IF(M117="Forkast","NB!","")</f>
        <v>#N/A</v>
      </c>
      <c r="V117" s="1" t="s">
        <v>196</v>
      </c>
      <c r="W117" s="78">
        <f>MAX(0.26*(Q85/Q89)*(Q90/Q84),0.0013*Q90/Q84)</f>
        <v>2.9286511333037432E-2</v>
      </c>
      <c r="X117" s="1"/>
      <c r="Y117" s="1"/>
      <c r="AC117" s="1"/>
      <c r="AD117" s="1" t="s">
        <v>331</v>
      </c>
      <c r="AE117" s="1">
        <v>0.4</v>
      </c>
      <c r="AF117" s="1">
        <v>0.6</v>
      </c>
      <c r="AG117" s="1"/>
      <c r="AH117" s="1"/>
      <c r="AY117" s="48" t="s">
        <v>102</v>
      </c>
      <c r="BA117" s="9"/>
      <c r="BH117" s="49"/>
    </row>
    <row r="118" spans="3:60" ht="19.5">
      <c r="C118" s="6" t="s">
        <v>314</v>
      </c>
      <c r="V118" s="1" t="s">
        <v>197</v>
      </c>
      <c r="W118" s="69">
        <f>(W116*W114)/(W114+W113)</f>
        <v>0.5014925373134328</v>
      </c>
      <c r="X118" s="1"/>
      <c r="Y118" s="1"/>
      <c r="AC118" s="1" t="s">
        <v>339</v>
      </c>
      <c r="AD118" s="1" t="s">
        <v>332</v>
      </c>
      <c r="AE118" s="11">
        <f>Q85</f>
        <v>2.896468153816889</v>
      </c>
      <c r="AF118" s="11">
        <f>AE118</f>
        <v>2.896468153816889</v>
      </c>
      <c r="AG118" s="1" t="s">
        <v>67</v>
      </c>
      <c r="AH118" s="1"/>
      <c r="AY118" s="48"/>
      <c r="AZ118">
        <f>G74</f>
        <v>0</v>
      </c>
      <c r="BA118" s="42" t="e">
        <f>BA114*(BH114-BG114)+BA115+BA116-BA119</f>
        <v>#N/A</v>
      </c>
      <c r="BC118" t="s">
        <v>111</v>
      </c>
      <c r="BF118" t="s">
        <v>388</v>
      </c>
      <c r="BG118" t="e">
        <f>BG114+(BH114-BG114)/2</f>
        <v>#N/A</v>
      </c>
      <c r="BH118" s="49"/>
    </row>
    <row r="119" spans="3:60" ht="19.5">
      <c r="F119" s="111" t="s">
        <v>177</v>
      </c>
      <c r="N119" s="116"/>
      <c r="V119" s="1" t="s">
        <v>190</v>
      </c>
      <c r="W119" s="1"/>
      <c r="X119" s="1"/>
      <c r="Y119" s="1"/>
      <c r="AC119" s="1"/>
      <c r="AD119" s="1" t="s">
        <v>333</v>
      </c>
      <c r="AE119" s="13">
        <f>$W$112/AE111</f>
        <v>24.363082013829381</v>
      </c>
      <c r="AF119" s="13">
        <f>$W$112/AF111</f>
        <v>6.0907705034573452</v>
      </c>
      <c r="AG119" s="1"/>
      <c r="AH119" s="1"/>
      <c r="AY119" s="48"/>
      <c r="AZ119">
        <f>I74</f>
        <v>0</v>
      </c>
      <c r="BA119" s="42" t="e">
        <f>SUM(BF114:BF116)/(AT92*10^-3)</f>
        <v>#N/A</v>
      </c>
      <c r="BC119" t="s">
        <v>112</v>
      </c>
      <c r="BH119" s="49"/>
    </row>
    <row r="120" spans="3:60">
      <c r="F120" s="111" t="s">
        <v>200</v>
      </c>
      <c r="G120" s="108" t="e">
        <f>MAX(W128,W129)</f>
        <v>#N/A</v>
      </c>
      <c r="I120" s="6" t="s">
        <v>41</v>
      </c>
      <c r="J120" s="105" t="e">
        <f t="shared" ref="J120:J123" si="23">IF(G120&gt;K120,"&gt;","&lt;")</f>
        <v>#N/A</v>
      </c>
      <c r="K120" s="108" t="e">
        <f>0.5*Q105*I114*COS(ATAN(I110/I109))</f>
        <v>#N/A</v>
      </c>
      <c r="M120" s="6" t="e">
        <f>IF(G120&gt;K120,"Accept","Forkast")</f>
        <v>#N/A</v>
      </c>
      <c r="N120" s="106" t="e">
        <f>IF(M120="Forkast","NB!","")</f>
        <v>#N/A</v>
      </c>
      <c r="V120" s="77" t="s">
        <v>185</v>
      </c>
      <c r="W120" s="69" t="e">
        <f>Q91*Q90/(I111*I113*W115*Q84)</f>
        <v>#N/A</v>
      </c>
      <c r="X120" s="1"/>
      <c r="Y120" s="1"/>
      <c r="AC120" s="1" t="s">
        <v>323</v>
      </c>
      <c r="AD120" s="77" t="s">
        <v>322</v>
      </c>
      <c r="AE120" s="92" t="e">
        <f>AE119*$Q$91/($I$111*$AE$112)</f>
        <v>#N/A</v>
      </c>
      <c r="AF120" s="92" t="e">
        <f>AF119*$Q$91/($I$111*$AE$112)</f>
        <v>#N/A</v>
      </c>
      <c r="AG120" s="1"/>
      <c r="AH120" s="1"/>
      <c r="AY120" s="91"/>
      <c r="AZ120" s="46"/>
      <c r="BA120" s="46"/>
      <c r="BB120" s="46"/>
      <c r="BC120" s="46"/>
      <c r="BD120" s="46"/>
      <c r="BE120" s="46"/>
      <c r="BF120" s="46"/>
      <c r="BG120" s="46"/>
      <c r="BH120" s="46"/>
    </row>
    <row r="121" spans="3:60">
      <c r="J121" s="105"/>
      <c r="V121" s="77" t="s">
        <v>185</v>
      </c>
      <c r="W121" s="69" t="e">
        <f>IF(AND(W120&gt;W117,W120&lt;W118),W120,0)</f>
        <v>#N/A</v>
      </c>
      <c r="X121" s="1" t="s">
        <v>343</v>
      </c>
      <c r="AC121" s="1" t="s">
        <v>323</v>
      </c>
      <c r="AD121" s="77" t="s">
        <v>327</v>
      </c>
      <c r="AE121" s="92" t="e">
        <f>AE120*(SQRT(2/AE120+1)-1)</f>
        <v>#N/A</v>
      </c>
      <c r="AF121" s="92" t="e">
        <f>AF120*(SQRT(2/AF120+1)-1)</f>
        <v>#N/A</v>
      </c>
      <c r="AG121" s="1"/>
      <c r="AH121" s="1"/>
      <c r="BA121" s="42"/>
    </row>
    <row r="122" spans="3:60">
      <c r="J122" s="105"/>
      <c r="V122" s="77" t="s">
        <v>187</v>
      </c>
      <c r="W122" s="69" t="e">
        <f>W121*(1-0.5*W121)</f>
        <v>#N/A</v>
      </c>
      <c r="X122" s="1"/>
      <c r="Y122" s="1"/>
      <c r="AC122" s="1" t="s">
        <v>323</v>
      </c>
      <c r="AD122" s="1" t="s">
        <v>46</v>
      </c>
      <c r="AE122" s="13" t="e">
        <f>AE121*$AE$112</f>
        <v>#N/A</v>
      </c>
      <c r="AF122" s="13" t="e">
        <f>AF121*$AE$112</f>
        <v>#N/A</v>
      </c>
      <c r="AG122" s="1" t="s">
        <v>37</v>
      </c>
      <c r="AH122" s="1"/>
      <c r="BA122" s="42"/>
    </row>
    <row r="123" spans="3:60" ht="19.5">
      <c r="D123" s="6" t="s">
        <v>315</v>
      </c>
      <c r="F123" s="111" t="s">
        <v>316</v>
      </c>
      <c r="G123" s="110" t="e">
        <f>MAX(0.26*Q85/Q89*I111*I113,0.0013*I111*I113)</f>
        <v>#N/A</v>
      </c>
      <c r="I123" s="6" t="s">
        <v>173</v>
      </c>
      <c r="J123" s="105" t="e">
        <f t="shared" si="23"/>
        <v>#N/A</v>
      </c>
      <c r="K123" s="6" t="e">
        <f>Q91</f>
        <v>#N/A</v>
      </c>
      <c r="M123" s="6" t="e">
        <f>IF(G123&lt;K123,"Accept","Forkast")</f>
        <v>#N/A</v>
      </c>
      <c r="N123" s="106" t="e">
        <f>IF(M123="Forkast","NB!","")</f>
        <v>#N/A</v>
      </c>
      <c r="V123" s="77" t="s">
        <v>198</v>
      </c>
      <c r="W123" s="11" t="e">
        <f>W122*I111*I113^2*W115*Q84*10^-6</f>
        <v>#N/A</v>
      </c>
      <c r="X123" s="1" t="s">
        <v>145</v>
      </c>
      <c r="Y123" s="1"/>
      <c r="AD123" s="1" t="s">
        <v>360</v>
      </c>
      <c r="AE123" s="69" t="e">
        <f>1/2*AE121*(1-1/3*AE121)</f>
        <v>#N/A</v>
      </c>
      <c r="AF123" s="69" t="e">
        <f>1/2*AF121*(1-1/3*AF121)</f>
        <v>#N/A</v>
      </c>
      <c r="AH123" s="1"/>
      <c r="BA123" s="42"/>
    </row>
    <row r="124" spans="3:60" ht="19.5">
      <c r="D124" s="6" t="s">
        <v>351</v>
      </c>
      <c r="AC124" s="1" t="s">
        <v>340</v>
      </c>
      <c r="AD124" s="1" t="s">
        <v>334</v>
      </c>
      <c r="AE124" s="13" t="e">
        <f>MIN(2.5*($I$112-AE112),($I$112-AE122)/3,$I$112/2)</f>
        <v>#N/A</v>
      </c>
      <c r="AF124" s="13" t="e">
        <f>MIN(2.5*($I$112-AF112),($I$112-AF122)/3,$I$112/2)</f>
        <v>#N/A</v>
      </c>
      <c r="AG124" s="1" t="s">
        <v>37</v>
      </c>
      <c r="AH124" s="1"/>
      <c r="BA124" s="42"/>
    </row>
    <row r="125" spans="3:60" ht="19.5">
      <c r="D125" s="6" t="e">
        <f>"   Kvasipermanent last, M = " &amp;ROUND($AE$114,1) &amp;" kNm"</f>
        <v>#N/A</v>
      </c>
      <c r="H125" s="109" t="e">
        <f>AE137</f>
        <v>#N/A</v>
      </c>
      <c r="I125" s="6" t="s">
        <v>37</v>
      </c>
      <c r="V125" s="1" t="s">
        <v>189</v>
      </c>
      <c r="W125" s="1"/>
      <c r="X125" s="1"/>
      <c r="Y125" s="1"/>
      <c r="AC125" s="1" t="s">
        <v>340</v>
      </c>
      <c r="AD125" s="1" t="s">
        <v>335</v>
      </c>
      <c r="AE125" s="19" t="e">
        <f>AE124*$I$111</f>
        <v>#N/A</v>
      </c>
      <c r="AF125" s="19" t="e">
        <f>AF124*$I$111</f>
        <v>#N/A</v>
      </c>
      <c r="AG125" s="1" t="s">
        <v>173</v>
      </c>
      <c r="AH125" s="1"/>
      <c r="BA125" s="42"/>
    </row>
    <row r="126" spans="3:60" ht="19.5">
      <c r="D126" s="6" t="e">
        <f>"   Korttidslast, M = " &amp;ROUND($AF$114,1) &amp;" kNm"</f>
        <v>#N/A</v>
      </c>
      <c r="H126" s="109" t="e">
        <f>AF137</f>
        <v>#N/A</v>
      </c>
      <c r="I126" s="6" t="s">
        <v>37</v>
      </c>
      <c r="T126" t="s">
        <v>359</v>
      </c>
      <c r="V126" s="1" t="s">
        <v>191</v>
      </c>
      <c r="W126" s="11" t="e">
        <f>MIN(2,1+SQRT(200/I113))</f>
        <v>#N/A</v>
      </c>
      <c r="X126" s="1"/>
      <c r="Y126" s="1"/>
      <c r="AC126" s="1" t="s">
        <v>341</v>
      </c>
      <c r="AD126" s="1" t="s">
        <v>336</v>
      </c>
      <c r="AE126" s="93" t="e">
        <f>$Q$91/AE125</f>
        <v>#N/A</v>
      </c>
      <c r="AF126" s="93" t="e">
        <f>$Q$91/AF125</f>
        <v>#N/A</v>
      </c>
      <c r="AG126" s="1"/>
      <c r="AH126" s="1"/>
      <c r="BA126" s="42"/>
    </row>
    <row r="127" spans="3:60" ht="19.5">
      <c r="D127" s="6" t="s">
        <v>357</v>
      </c>
      <c r="H127" s="109" t="e">
        <f>H125+H126</f>
        <v>#N/A</v>
      </c>
      <c r="I127" s="6" t="s">
        <v>37</v>
      </c>
      <c r="J127" s="105" t="e">
        <f>IF(H127&gt;K127,"&gt;","&lt;")</f>
        <v>#N/A</v>
      </c>
      <c r="K127" s="109" cm="1">
        <f t="array" ref="K127">_xlfn.IFS(G79="P",0.4,G79="M",0.4,G79="A",0.3,G79="E",0.2)</f>
        <v>0.4</v>
      </c>
      <c r="M127" s="6" t="e">
        <f>IF(H127&lt;K127,"Accept","Forkast")</f>
        <v>#N/A</v>
      </c>
      <c r="N127" s="106" t="e">
        <f>IF(M127="Forkast","NB!","")</f>
        <v>#N/A</v>
      </c>
      <c r="T127" t="s">
        <v>358</v>
      </c>
      <c r="V127" s="1" t="s">
        <v>199</v>
      </c>
      <c r="W127" s="148">
        <v>0</v>
      </c>
      <c r="X127" s="1"/>
      <c r="Y127" s="1" t="s">
        <v>193</v>
      </c>
      <c r="AC127" s="1" t="s">
        <v>342</v>
      </c>
      <c r="AD127" s="1" t="s">
        <v>337</v>
      </c>
      <c r="AE127" s="1" t="e">
        <f>(AE116-AE117*AE118/AE126*(1+AE119*AE126))/$W$112</f>
        <v>#N/A</v>
      </c>
      <c r="AF127" s="1" t="e">
        <f>(AF116-AF117*AF118/AF126*(1+AF119*AF126))/$W$112</f>
        <v>#N/A</v>
      </c>
      <c r="AG127" s="1"/>
      <c r="AH127" s="1"/>
      <c r="BA127" s="42"/>
    </row>
    <row r="128" spans="3:60" ht="19.5">
      <c r="T128" t="s">
        <v>339</v>
      </c>
      <c r="V128" s="76" t="s">
        <v>192</v>
      </c>
      <c r="W128" s="11" t="e">
        <f>0.035*W126^(3/2)*SQRT(Q83)*I111*I113*10^-3</f>
        <v>#N/A</v>
      </c>
      <c r="X128" s="1" t="s">
        <v>41</v>
      </c>
      <c r="Y128" s="1" t="s">
        <v>203</v>
      </c>
      <c r="AC128" s="1" t="s">
        <v>342</v>
      </c>
      <c r="AD128" s="1" t="s">
        <v>338</v>
      </c>
      <c r="AE128" s="1" t="e">
        <f>0.6*AE116/$W$112</f>
        <v>#N/A</v>
      </c>
      <c r="AF128" s="1" t="e">
        <f>0.6*AF116/$W$112</f>
        <v>#N/A</v>
      </c>
      <c r="AG128" s="1"/>
      <c r="AH128" s="1"/>
      <c r="BA128" s="42"/>
    </row>
    <row r="129" spans="3:53" ht="19.5">
      <c r="D129" s="6" t="s">
        <v>352</v>
      </c>
      <c r="H129" s="108" t="e">
        <f>AE149</f>
        <v>#N/A</v>
      </c>
      <c r="I129" s="6" t="s">
        <v>145</v>
      </c>
      <c r="V129" s="76" t="s">
        <v>192</v>
      </c>
      <c r="W129" s="11" t="e">
        <f>(0.18/$AI$95*W126*(100*W127/(I111*I113)*Q83)^(1/3))*I111*I113*10^-3</f>
        <v>#N/A</v>
      </c>
      <c r="X129" s="1" t="s">
        <v>41</v>
      </c>
      <c r="Y129" s="1" t="s">
        <v>202</v>
      </c>
      <c r="AC129" s="1" t="s">
        <v>349</v>
      </c>
      <c r="AD129" s="1" t="s">
        <v>317</v>
      </c>
      <c r="AE129" s="1">
        <v>1.6</v>
      </c>
      <c r="AF129" s="1">
        <v>1.6</v>
      </c>
      <c r="AG129" s="1"/>
      <c r="AH129" s="1"/>
      <c r="BA129" s="42"/>
    </row>
    <row r="130" spans="3:53">
      <c r="D130" s="6" t="s">
        <v>353</v>
      </c>
      <c r="AC130" s="1" t="s">
        <v>349</v>
      </c>
      <c r="AD130" s="1" t="s">
        <v>318</v>
      </c>
      <c r="AE130" s="1">
        <v>0.5</v>
      </c>
      <c r="AF130" s="1">
        <v>0.5</v>
      </c>
      <c r="AG130" s="1"/>
      <c r="AH130" s="1"/>
      <c r="BA130" s="42"/>
    </row>
    <row r="131" spans="3:53">
      <c r="D131" s="6" t="e">
        <f>"   Kvasipermanent last, M = " &amp;ROUND($AE$114,1) &amp;" kNm"</f>
        <v>#N/A</v>
      </c>
      <c r="H131" s="110" t="e">
        <f>MAX(AE152,AE151)</f>
        <v>#N/A</v>
      </c>
      <c r="I131" s="6" t="s">
        <v>37</v>
      </c>
      <c r="J131" s="105" t="e">
        <f>IF(V132=0,"",IF(H131&gt;K131,"&gt;","&lt;"))</f>
        <v>#N/A</v>
      </c>
      <c r="K131" s="6" t="e">
        <f>IF(V132=0," ",ROUND(($I$114*10^3/COS(W111))/V132,0))</f>
        <v>#N/A</v>
      </c>
      <c r="M131" s="6" t="e">
        <f>IF(V132=0,"",IF(H131&lt;K131,"Accept","Forkast"))</f>
        <v>#N/A</v>
      </c>
      <c r="N131" s="106" t="e">
        <f>IF(M131="Forkast","NB!","")</f>
        <v>#N/A</v>
      </c>
      <c r="AC131" s="1" t="s">
        <v>344</v>
      </c>
      <c r="AD131" s="1" t="s">
        <v>319</v>
      </c>
      <c r="AE131" s="69">
        <f>3.4*(25/AE134)^(2/3)</f>
        <v>2.7168160021976777</v>
      </c>
      <c r="AF131" s="69">
        <f>AE131</f>
        <v>2.7168160021976777</v>
      </c>
      <c r="AG131" s="1"/>
      <c r="AH131" s="1"/>
      <c r="BA131" s="42"/>
    </row>
    <row r="132" spans="3:53">
      <c r="D132" s="6" t="e">
        <f>"   Korttidslast, M = " &amp;ROUND($AF$114,1) &amp;" kNm"</f>
        <v>#N/A</v>
      </c>
      <c r="H132" s="110" t="e">
        <f>MAX(AF151,AF152)</f>
        <v>#N/A</v>
      </c>
      <c r="I132" s="6" t="s">
        <v>37</v>
      </c>
      <c r="J132" s="105" t="e">
        <f>IF(V133=0,"",IF(H132&gt;K132,"&gt;","&lt;"))</f>
        <v>#N/A</v>
      </c>
      <c r="K132" s="6" t="e">
        <f>IF(V133=0,"",ROUND(($I$114*10^3/COS(W111))/V133,0))</f>
        <v>#N/A</v>
      </c>
      <c r="M132" s="6" t="e">
        <f>IF(V133=0,"",IF(H132&lt;K132,"Accept","Forkast"))</f>
        <v>#N/A</v>
      </c>
      <c r="N132" s="106" t="e">
        <f>IF(M132="Forkast","NB!","")</f>
        <v>#N/A</v>
      </c>
      <c r="V132" s="154">
        <v>300</v>
      </c>
      <c r="W132" s="136" t="s">
        <v>354</v>
      </c>
      <c r="AC132" s="1" t="s">
        <v>349</v>
      </c>
      <c r="AD132" s="1" t="s">
        <v>320</v>
      </c>
      <c r="AE132" s="1">
        <v>0.42499999999999999</v>
      </c>
      <c r="AF132" s="1">
        <f>AE132</f>
        <v>0.42499999999999999</v>
      </c>
      <c r="AG132" s="1"/>
      <c r="AH132" s="1"/>
      <c r="BA132" s="42"/>
    </row>
    <row r="133" spans="3:53">
      <c r="D133" s="6" t="s">
        <v>357</v>
      </c>
      <c r="H133" s="110" t="e">
        <f>H131+H132</f>
        <v>#N/A</v>
      </c>
      <c r="I133" s="6" t="s">
        <v>37</v>
      </c>
      <c r="J133" s="105" t="str">
        <f>IF(V134=0,"",IF(H133&gt;K133,"&gt;","&lt;"))</f>
        <v/>
      </c>
      <c r="K133" s="6" t="str">
        <f>IF(V134=0,"",ROUND(($I$114*10^3/COS(ATAN($I$110/$I$109)))/V134,0))</f>
        <v/>
      </c>
      <c r="M133" s="6" t="str">
        <f>IF(V134=0,"",IF(I133&lt;K133,"Accept","Forkast"))</f>
        <v/>
      </c>
      <c r="N133" s="106" t="str">
        <f>IF(M133="Forkast","NB!","")</f>
        <v/>
      </c>
      <c r="V133" s="154">
        <v>400</v>
      </c>
      <c r="W133" s="136" t="s">
        <v>355</v>
      </c>
      <c r="AC133" s="1"/>
      <c r="AD133" s="1" t="s">
        <v>235</v>
      </c>
      <c r="AE133" s="11" t="e">
        <f>SQRT((Q91/O88)/PI())*2</f>
        <v>#N/A</v>
      </c>
      <c r="AF133" s="11" t="e">
        <f>AE133</f>
        <v>#N/A</v>
      </c>
      <c r="AG133" s="1" t="s">
        <v>37</v>
      </c>
      <c r="AH133" s="1"/>
      <c r="BA133" s="42"/>
    </row>
    <row r="134" spans="3:53">
      <c r="V134" s="154">
        <v>0</v>
      </c>
      <c r="W134" s="136" t="s">
        <v>356</v>
      </c>
      <c r="AC134" s="1"/>
      <c r="AD134" s="1" t="s">
        <v>119</v>
      </c>
      <c r="AE134" s="19">
        <f>AI81+AI82+AI83</f>
        <v>35</v>
      </c>
      <c r="AF134" s="19">
        <f>AE134</f>
        <v>35</v>
      </c>
      <c r="AG134" s="1" t="s">
        <v>37</v>
      </c>
      <c r="AH134" s="1"/>
      <c r="BA134" s="42"/>
    </row>
    <row r="135" spans="3:53" ht="19.5">
      <c r="C135" s="5"/>
      <c r="AC135" s="1" t="s">
        <v>348</v>
      </c>
      <c r="AD135" s="1" t="s">
        <v>345</v>
      </c>
      <c r="AE135" s="19" t="e">
        <f>AE131*AE134+AE129*AE130*AE132*AE133/AE126</f>
        <v>#N/A</v>
      </c>
      <c r="AF135" s="19" t="e">
        <f>AF131*AF134+AF129*AF130*AF132*AF133/AF126</f>
        <v>#N/A</v>
      </c>
      <c r="AG135" s="1" t="s">
        <v>37</v>
      </c>
    </row>
    <row r="136" spans="3:53" ht="19.5" customHeight="1">
      <c r="C136" s="5"/>
      <c r="D136" s="80" t="s">
        <v>30</v>
      </c>
      <c r="E136" s="79">
        <f>$Z$83</f>
        <v>0</v>
      </c>
      <c r="AC136" s="1" t="s">
        <v>350</v>
      </c>
      <c r="AD136" s="1" t="s">
        <v>345</v>
      </c>
      <c r="AE136" s="19" t="e">
        <f>1.3*($I$112-AE122)</f>
        <v>#N/A</v>
      </c>
      <c r="AF136" s="19" t="e">
        <f>1.3*($I$112-AF122)</f>
        <v>#N/A</v>
      </c>
      <c r="AG136" s="1" t="s">
        <v>37</v>
      </c>
    </row>
    <row r="137" spans="3:53" ht="19.5">
      <c r="AC137" s="1" t="s">
        <v>347</v>
      </c>
      <c r="AD137" s="1" t="s">
        <v>346</v>
      </c>
      <c r="AE137" s="11" t="e">
        <f>MAXA(AE135:AE136)*MAXA(AE127:AE128)</f>
        <v>#N/A</v>
      </c>
      <c r="AF137" s="11" t="e">
        <f>AF135*MAXA(AF127:AF128)</f>
        <v>#N/A</v>
      </c>
      <c r="AG137" s="1" t="s">
        <v>37</v>
      </c>
    </row>
    <row r="138" spans="3:53">
      <c r="AK138" t="s">
        <v>376</v>
      </c>
    </row>
    <row r="139" spans="3:53">
      <c r="AD139" s="1" t="s">
        <v>361</v>
      </c>
      <c r="AE139" s="10" t="e">
        <f>1/10*AE119*AE115*($I$114/COS($W$111))^2*10^6/($W$112*AE122)</f>
        <v>#N/A</v>
      </c>
      <c r="AF139" s="10" t="e">
        <f>1/10*AF119*AF115*($I$114/COS($W$111))^2*10^6/($W$112*AF122)</f>
        <v>#N/A</v>
      </c>
      <c r="AG139" s="1" t="s">
        <v>37</v>
      </c>
    </row>
    <row r="140" spans="3:53" ht="19.5">
      <c r="AA140" s="7" t="s">
        <v>385</v>
      </c>
      <c r="AD140" s="1"/>
      <c r="AK140" s="1" t="s">
        <v>371</v>
      </c>
      <c r="AL140" t="e">
        <f>I111*I112</f>
        <v>#N/A</v>
      </c>
      <c r="AN140" t="s">
        <v>173</v>
      </c>
    </row>
    <row r="141" spans="3:53" ht="19.5">
      <c r="AD141" s="1" t="s">
        <v>163</v>
      </c>
      <c r="AE141" s="19" t="e">
        <f>I112+W110</f>
        <v>#N/A</v>
      </c>
      <c r="AF141" s="19" t="e">
        <f>AE141</f>
        <v>#N/A</v>
      </c>
      <c r="AG141" s="1"/>
      <c r="AK141" s="1" t="s">
        <v>370</v>
      </c>
      <c r="AL141" s="81" t="e">
        <f>AL140+AE119*Q91</f>
        <v>#N/A</v>
      </c>
      <c r="AN141" t="s">
        <v>173</v>
      </c>
    </row>
    <row r="142" spans="3:53" ht="19.5">
      <c r="AA142" s="76" t="s">
        <v>384</v>
      </c>
      <c r="AD142" s="1" t="s">
        <v>371</v>
      </c>
      <c r="AE142" s="19" t="e">
        <f>I111*AE141</f>
        <v>#N/A</v>
      </c>
      <c r="AF142" s="19" t="e">
        <f>AE142</f>
        <v>#N/A</v>
      </c>
      <c r="AG142" s="1" t="s">
        <v>173</v>
      </c>
      <c r="AK142" s="1" t="s">
        <v>369</v>
      </c>
      <c r="AL142" t="e">
        <f>0.5*I111*I112^2+AE119*Q91*I113</f>
        <v>#N/A</v>
      </c>
      <c r="AN142" t="s">
        <v>238</v>
      </c>
    </row>
    <row r="143" spans="3:53" ht="19.5">
      <c r="AA143" s="7"/>
      <c r="AC143" s="1" t="s">
        <v>163</v>
      </c>
      <c r="AD143" s="1" t="s">
        <v>370</v>
      </c>
      <c r="AE143" s="19" t="e">
        <f>AE142+AE119*$Q$91</f>
        <v>#N/A</v>
      </c>
      <c r="AF143" s="19" t="e">
        <f>AF142+AF119*$Q$91</f>
        <v>#N/A</v>
      </c>
      <c r="AG143" s="1" t="s">
        <v>173</v>
      </c>
      <c r="AK143" s="1" t="s">
        <v>372</v>
      </c>
      <c r="AL143" s="10" t="e">
        <f>AL142/AL141</f>
        <v>#N/A</v>
      </c>
      <c r="AN143" t="s">
        <v>37</v>
      </c>
    </row>
    <row r="144" spans="3:53" ht="19.5">
      <c r="AD144" s="1" t="s">
        <v>369</v>
      </c>
      <c r="AE144" s="19" t="e">
        <f>0.5*I111*AE141^2+AE119*Q91*(W110+AE112)</f>
        <v>#N/A</v>
      </c>
      <c r="AF144" s="19" t="e">
        <f>AE144</f>
        <v>#N/A</v>
      </c>
      <c r="AG144" s="1" t="s">
        <v>238</v>
      </c>
      <c r="AK144" s="1" t="s">
        <v>373</v>
      </c>
      <c r="AL144" t="e">
        <f>1/3*I111*I112^3+AE119*Q91*I113^2-AL141*AL143^2</f>
        <v>#N/A</v>
      </c>
      <c r="AN144" t="s">
        <v>374</v>
      </c>
    </row>
    <row r="145" spans="22:33" ht="19.5">
      <c r="AD145" s="1" t="s">
        <v>372</v>
      </c>
      <c r="AE145" s="13" t="e">
        <f>AE144/AE143</f>
        <v>#N/A</v>
      </c>
      <c r="AF145" s="13" t="e">
        <f>AF144/AF143</f>
        <v>#N/A</v>
      </c>
      <c r="AG145" s="1" t="s">
        <v>37</v>
      </c>
    </row>
    <row r="146" spans="22:33" ht="19.5">
      <c r="AD146" s="1" t="s">
        <v>373</v>
      </c>
      <c r="AE146" s="1" t="e">
        <f>1/3*$I$111*AE141^3+AE119*$Q$91*($I$113+$W$110)^2-AE143*AE145^2</f>
        <v>#N/A</v>
      </c>
      <c r="AF146" s="1" t="e">
        <f>1/3*$I$111*AF141^3+AF119*$Q$91*($I$113+$W$110)^2-AF143*AF145^2</f>
        <v>#N/A</v>
      </c>
      <c r="AG146" s="1" t="s">
        <v>374</v>
      </c>
    </row>
    <row r="147" spans="22:33">
      <c r="AD147" s="1" t="s">
        <v>366</v>
      </c>
      <c r="AE147" s="13" t="e">
        <f>1/10*AE119*AE114*10^6*($I$114/COS($W$111)*10^3)^2/($W$112*AE146)</f>
        <v>#N/A</v>
      </c>
      <c r="AF147" s="13" t="e">
        <f>1/10*AF119*AF114*10^6*($I$114/COS($W$111)*10^3)^2/($W$112*AF146)</f>
        <v>#N/A</v>
      </c>
      <c r="AG147" s="1" t="s">
        <v>37</v>
      </c>
    </row>
    <row r="148" spans="22:33">
      <c r="AC148" s="1" t="s">
        <v>382</v>
      </c>
      <c r="AD148" s="1" t="s">
        <v>375</v>
      </c>
      <c r="AE148" s="1">
        <v>0.5</v>
      </c>
      <c r="AF148" s="11" t="e">
        <f>(0.5*AE114+AF114)/(AE114+AF114)</f>
        <v>#N/A</v>
      </c>
      <c r="AG148" s="1"/>
    </row>
    <row r="149" spans="22:33">
      <c r="AD149" s="1" t="s">
        <v>352</v>
      </c>
      <c r="AE149" s="10" t="e">
        <f>AL144/(I112-AL143)*Q85*10^-6</f>
        <v>#N/A</v>
      </c>
      <c r="AG149" s="1" t="s">
        <v>145</v>
      </c>
    </row>
    <row r="150" spans="22:33">
      <c r="AC150" s="1" t="s">
        <v>381</v>
      </c>
      <c r="AD150" s="1" t="s">
        <v>377</v>
      </c>
      <c r="AE150" t="e">
        <f>IF($AE$149&gt;AE114,0,1-AE148*(AE149/AE114)^2)</f>
        <v>#N/A</v>
      </c>
      <c r="AF150" t="e">
        <f>IF($AE$149&gt;AF114,0,1-AF148*(AF149/AF114)^2)</f>
        <v>#N/A</v>
      </c>
    </row>
    <row r="151" spans="22:33">
      <c r="AC151" s="1" t="s">
        <v>380</v>
      </c>
      <c r="AD151" s="1" t="s">
        <v>378</v>
      </c>
      <c r="AE151" s="10" t="e">
        <f>AE150*AE139+(1-AE150)*AE147</f>
        <v>#N/A</v>
      </c>
      <c r="AF151" s="10" t="e">
        <f>AF150*AF139+(1-AF150)*AF147</f>
        <v>#N/A</v>
      </c>
      <c r="AG151" s="1" t="s">
        <v>37</v>
      </c>
    </row>
    <row r="152" spans="22:33">
      <c r="AC152" s="82" t="s">
        <v>383</v>
      </c>
      <c r="AD152" s="82" t="s">
        <v>379</v>
      </c>
      <c r="AE152" s="95" t="e">
        <f>AE148*AE147+(1-AE148)*AE139</f>
        <v>#N/A</v>
      </c>
      <c r="AF152" s="95" t="e">
        <f>AF148*AF147+(1-AF148)*AF139</f>
        <v>#N/A</v>
      </c>
      <c r="AG152" s="82" t="s">
        <v>37</v>
      </c>
    </row>
    <row r="157" spans="22:33">
      <c r="V157" t="s">
        <v>515</v>
      </c>
      <c r="W157" s="211">
        <v>0.2</v>
      </c>
    </row>
    <row r="158" spans="22:33">
      <c r="V158" s="43" t="s">
        <v>516</v>
      </c>
      <c r="W158" s="211">
        <v>0.15</v>
      </c>
    </row>
    <row r="161" spans="4:81">
      <c r="AO161" s="40"/>
      <c r="AP161" s="40" t="s">
        <v>502</v>
      </c>
      <c r="AQ161" s="40"/>
      <c r="AR161" s="40" t="s">
        <v>505</v>
      </c>
      <c r="AS161" s="40"/>
      <c r="AT161" s="40"/>
      <c r="AU161" s="40"/>
      <c r="AV161" s="40" t="s">
        <v>504</v>
      </c>
      <c r="AW161" s="40"/>
      <c r="AX161" s="40"/>
      <c r="AY161" s="214"/>
      <c r="AZ161" t="s">
        <v>507</v>
      </c>
      <c r="BF161" t="s">
        <v>514</v>
      </c>
    </row>
    <row r="162" spans="4:81">
      <c r="AO162" s="128" t="s">
        <v>46</v>
      </c>
      <c r="AP162" s="36">
        <v>0</v>
      </c>
      <c r="AQ162" s="36" t="e">
        <f>AV89*10^-3</f>
        <v>#N/A</v>
      </c>
      <c r="AR162" s="219">
        <f>AS89*10^-3</f>
        <v>0</v>
      </c>
      <c r="AS162" s="127">
        <f>AR162-$W$158/2</f>
        <v>-7.4999999999999997E-2</v>
      </c>
      <c r="AT162" s="127">
        <f>AS162+$W$158</f>
        <v>7.4999999999999997E-2</v>
      </c>
      <c r="AU162" s="94">
        <f>AR162</f>
        <v>0</v>
      </c>
      <c r="AV162" s="212" t="e">
        <f>(AT89-AU89)*10^-3</f>
        <v>#N/A</v>
      </c>
      <c r="AW162" s="212" t="e">
        <f>AV162-$W$158/2</f>
        <v>#N/A</v>
      </c>
      <c r="AX162" s="36" t="e">
        <f>AW162+$W$158</f>
        <v>#N/A</v>
      </c>
      <c r="AY162" s="52" t="e">
        <f>AV162</f>
        <v>#N/A</v>
      </c>
      <c r="AZ162" s="126">
        <f>AS162+ABS(AS162)/3</f>
        <v>-0.05</v>
      </c>
      <c r="BA162" s="56">
        <f>AZ162-W158/3</f>
        <v>-0.1</v>
      </c>
      <c r="BB162" s="46">
        <f>AT162-AT162/3</f>
        <v>0.05</v>
      </c>
      <c r="BC162" s="56">
        <f>BB162-W158/3</f>
        <v>0</v>
      </c>
      <c r="BD162" s="56">
        <f>AZ162+(BB162-AZ162)/2</f>
        <v>0</v>
      </c>
      <c r="BE162" s="47">
        <f>BD162-W158/3</f>
        <v>-4.9999999999999996E-2</v>
      </c>
      <c r="BF162" s="227" t="e">
        <f>AW162</f>
        <v>#N/A</v>
      </c>
      <c r="BG162" s="228" t="e">
        <f>AX162</f>
        <v>#N/A</v>
      </c>
      <c r="BH162" s="229" t="e">
        <f>AZ162+(AV162-AR162)</f>
        <v>#N/A</v>
      </c>
      <c r="BI162" s="229" t="e">
        <f>BA162+(AV162-AR162)</f>
        <v>#N/A</v>
      </c>
      <c r="BJ162" s="229" t="e">
        <f>AX162-(AX162-AV162)/3</f>
        <v>#N/A</v>
      </c>
      <c r="BK162" s="229" t="e">
        <f>BJ162-W158/3</f>
        <v>#N/A</v>
      </c>
      <c r="BL162" s="56" t="e">
        <f>BH162+(BJ162-BH162)/2</f>
        <v>#N/A</v>
      </c>
      <c r="BM162" s="47" t="e">
        <f>BL162-W158/3</f>
        <v>#N/A</v>
      </c>
    </row>
    <row r="163" spans="4:81">
      <c r="AO163" s="57" t="s">
        <v>495</v>
      </c>
      <c r="AP163" s="129">
        <v>0</v>
      </c>
      <c r="AQ163" s="129">
        <v>0</v>
      </c>
      <c r="AR163" s="220">
        <v>0</v>
      </c>
      <c r="AS163" s="213">
        <f>2*$W$158*SIN(60)</f>
        <v>-9.1443186330665005E-2</v>
      </c>
      <c r="AT163" s="213">
        <f>AS163</f>
        <v>-9.1443186330665005E-2</v>
      </c>
      <c r="AU163" s="131">
        <f>AR163</f>
        <v>0</v>
      </c>
      <c r="AV163" s="129">
        <v>0</v>
      </c>
      <c r="AW163" s="213">
        <f>2*$W$158*SIN(60)</f>
        <v>-9.1443186330665005E-2</v>
      </c>
      <c r="AX163" s="213">
        <f>AW163</f>
        <v>-9.1443186330665005E-2</v>
      </c>
      <c r="AY163" s="131">
        <f>AV163</f>
        <v>0</v>
      </c>
      <c r="AZ163" s="217">
        <f>AS163</f>
        <v>-9.1443186330665005E-2</v>
      </c>
      <c r="BA163" s="37">
        <f>AZ163+AS163*2/3</f>
        <v>-0.15240531055110834</v>
      </c>
      <c r="BB163" s="37">
        <f>AT163</f>
        <v>-9.1443186330665005E-2</v>
      </c>
      <c r="BC163" s="37">
        <f>BA163</f>
        <v>-0.15240531055110834</v>
      </c>
      <c r="BD163" s="37">
        <f>BB163</f>
        <v>-9.1443186330665005E-2</v>
      </c>
      <c r="BE163" s="218">
        <f>BC163</f>
        <v>-0.15240531055110834</v>
      </c>
      <c r="BF163" s="230">
        <f>AW163-2*AQ165</f>
        <v>-0.12894318633066501</v>
      </c>
      <c r="BG163" s="215">
        <f>BF163</f>
        <v>-0.12894318633066501</v>
      </c>
      <c r="BH163" s="37">
        <f>BG163</f>
        <v>-0.12894318633066501</v>
      </c>
      <c r="BI163" s="231">
        <f>BA163-2*AQ165</f>
        <v>-0.18990531055110835</v>
      </c>
      <c r="BJ163" s="37">
        <f>BH163</f>
        <v>-0.12894318633066501</v>
      </c>
      <c r="BK163" s="231">
        <f>BI163</f>
        <v>-0.18990531055110835</v>
      </c>
      <c r="BL163" s="37">
        <f>BJ163</f>
        <v>-0.12894318633066501</v>
      </c>
      <c r="BM163" s="218">
        <f>BK163</f>
        <v>-0.18990531055110835</v>
      </c>
    </row>
    <row r="164" spans="4:81">
      <c r="T164" s="1"/>
      <c r="U164" s="1"/>
      <c r="V164" s="1"/>
      <c r="W164" s="1"/>
      <c r="X164" s="1"/>
      <c r="Y164" s="1"/>
      <c r="Z164" s="1"/>
    </row>
    <row r="165" spans="4:81">
      <c r="T165" s="1"/>
      <c r="U165" s="1"/>
      <c r="V165" s="1"/>
      <c r="W165" s="1"/>
      <c r="X165" s="1"/>
      <c r="Y165" s="1"/>
      <c r="Z165" s="1"/>
      <c r="AO165" s="126"/>
      <c r="AP165" s="223" t="s">
        <v>509</v>
      </c>
      <c r="AQ165" s="91">
        <f>W158/8</f>
        <v>1.8749999999999999E-2</v>
      </c>
      <c r="AR165" s="46" t="s">
        <v>511</v>
      </c>
      <c r="AS165" s="127">
        <v>0</v>
      </c>
      <c r="AT165" s="127">
        <v>10</v>
      </c>
      <c r="AU165" s="127">
        <v>20</v>
      </c>
      <c r="AV165" s="127">
        <v>30</v>
      </c>
      <c r="AW165" s="127">
        <v>40</v>
      </c>
      <c r="AX165" s="127">
        <v>50</v>
      </c>
      <c r="AY165" s="127">
        <v>60</v>
      </c>
      <c r="AZ165" s="127">
        <v>70</v>
      </c>
      <c r="BA165" s="127">
        <v>80</v>
      </c>
      <c r="BB165" s="127">
        <v>90</v>
      </c>
      <c r="BC165" s="127">
        <v>100</v>
      </c>
      <c r="BD165" s="127">
        <v>110</v>
      </c>
      <c r="BE165" s="127">
        <v>120</v>
      </c>
      <c r="BF165" s="127">
        <v>130</v>
      </c>
      <c r="BG165" s="127">
        <v>140</v>
      </c>
      <c r="BH165" s="127">
        <v>150</v>
      </c>
      <c r="BI165" s="127">
        <v>160</v>
      </c>
      <c r="BJ165" s="127">
        <v>170</v>
      </c>
      <c r="BK165" s="127">
        <v>180</v>
      </c>
      <c r="BL165" s="127">
        <v>190</v>
      </c>
      <c r="BM165" s="127">
        <v>200</v>
      </c>
      <c r="BN165" s="127">
        <v>210</v>
      </c>
      <c r="BO165" s="127">
        <v>220</v>
      </c>
      <c r="BP165" s="127">
        <v>230</v>
      </c>
      <c r="BQ165" s="127">
        <v>240</v>
      </c>
      <c r="BR165" s="127">
        <v>250</v>
      </c>
      <c r="BS165" s="127">
        <v>260</v>
      </c>
      <c r="BT165" s="127">
        <v>270</v>
      </c>
      <c r="BU165" s="127">
        <v>280</v>
      </c>
      <c r="BV165" s="127">
        <v>290</v>
      </c>
      <c r="BW165" s="127">
        <v>300</v>
      </c>
      <c r="BX165" s="127">
        <v>310</v>
      </c>
      <c r="BY165" s="127">
        <v>320</v>
      </c>
      <c r="BZ165" s="127">
        <v>330</v>
      </c>
      <c r="CA165" s="127">
        <v>340</v>
      </c>
      <c r="CB165" s="127">
        <v>350</v>
      </c>
      <c r="CC165" s="94">
        <v>360</v>
      </c>
    </row>
    <row r="166" spans="4:81">
      <c r="T166" s="1"/>
      <c r="U166" s="1"/>
      <c r="V166" s="1"/>
      <c r="W166" s="1"/>
      <c r="X166" s="1"/>
      <c r="Y166" s="1"/>
      <c r="Z166" s="1"/>
      <c r="AO166" s="128"/>
      <c r="AP166" t="s">
        <v>508</v>
      </c>
      <c r="AR166" s="135" t="s">
        <v>510</v>
      </c>
      <c r="AS166" s="38">
        <f>RADIANS(AS165)</f>
        <v>0</v>
      </c>
      <c r="AT166" s="38">
        <f>RADIANS(AT165)</f>
        <v>0.17453292519943295</v>
      </c>
      <c r="AU166" s="38">
        <f t="shared" ref="AU166:BQ166" si="24">RADIANS(AU165)</f>
        <v>0.3490658503988659</v>
      </c>
      <c r="AV166" s="38">
        <f t="shared" si="24"/>
        <v>0.52359877559829882</v>
      </c>
      <c r="AW166" s="38">
        <f t="shared" si="24"/>
        <v>0.69813170079773179</v>
      </c>
      <c r="AX166" s="38">
        <f t="shared" si="24"/>
        <v>0.87266462599716477</v>
      </c>
      <c r="AY166" s="38">
        <f t="shared" si="24"/>
        <v>1.0471975511965976</v>
      </c>
      <c r="AZ166" s="38">
        <f t="shared" si="24"/>
        <v>1.2217304763960306</v>
      </c>
      <c r="BA166" s="38">
        <f t="shared" si="24"/>
        <v>1.3962634015954636</v>
      </c>
      <c r="BB166" s="38">
        <f t="shared" si="24"/>
        <v>1.5707963267948966</v>
      </c>
      <c r="BC166" s="38">
        <f t="shared" si="24"/>
        <v>1.7453292519943295</v>
      </c>
      <c r="BD166" s="38">
        <f t="shared" si="24"/>
        <v>1.9198621771937625</v>
      </c>
      <c r="BE166" s="38">
        <f t="shared" si="24"/>
        <v>2.0943951023931953</v>
      </c>
      <c r="BF166" s="38">
        <f t="shared" si="24"/>
        <v>2.2689280275926285</v>
      </c>
      <c r="BG166" s="38">
        <f t="shared" si="24"/>
        <v>2.4434609527920612</v>
      </c>
      <c r="BH166" s="38">
        <f t="shared" si="24"/>
        <v>2.6179938779914944</v>
      </c>
      <c r="BI166" s="38">
        <f t="shared" si="24"/>
        <v>2.7925268031909272</v>
      </c>
      <c r="BJ166" s="38">
        <f t="shared" si="24"/>
        <v>2.9670597283903604</v>
      </c>
      <c r="BK166" s="38">
        <f t="shared" si="24"/>
        <v>3.1415926535897931</v>
      </c>
      <c r="BL166" s="38">
        <f t="shared" si="24"/>
        <v>3.3161255787892263</v>
      </c>
      <c r="BM166" s="38">
        <f t="shared" si="24"/>
        <v>3.4906585039886591</v>
      </c>
      <c r="BN166" s="38">
        <f t="shared" si="24"/>
        <v>3.6651914291880923</v>
      </c>
      <c r="BO166" s="38">
        <f t="shared" si="24"/>
        <v>3.839724354387525</v>
      </c>
      <c r="BP166" s="38">
        <f t="shared" si="24"/>
        <v>4.0142572795869578</v>
      </c>
      <c r="BQ166" s="38">
        <f t="shared" si="24"/>
        <v>4.1887902047863905</v>
      </c>
      <c r="BR166" s="38">
        <f>RADIANS(BR165)</f>
        <v>4.3633231299858242</v>
      </c>
      <c r="BS166" s="38">
        <f>RADIANS(BS165)</f>
        <v>4.5378560551852569</v>
      </c>
      <c r="BT166" s="38">
        <f t="shared" ref="BT166" si="25">RADIANS(BT165)</f>
        <v>4.7123889803846897</v>
      </c>
      <c r="BU166" s="38">
        <f t="shared" ref="BU166" si="26">RADIANS(BU165)</f>
        <v>4.8869219055841224</v>
      </c>
      <c r="BV166" s="38">
        <f t="shared" ref="BV166" si="27">RADIANS(BV165)</f>
        <v>5.0614548307835561</v>
      </c>
      <c r="BW166" s="38">
        <f t="shared" ref="BW166" si="28">RADIANS(BW165)</f>
        <v>5.2359877559829888</v>
      </c>
      <c r="BX166" s="38">
        <f t="shared" ref="BX166" si="29">RADIANS(BX165)</f>
        <v>5.4105206811824216</v>
      </c>
      <c r="BY166" s="38">
        <f t="shared" ref="BY166" si="30">RADIANS(BY165)</f>
        <v>5.5850536063818543</v>
      </c>
      <c r="BZ166" s="38">
        <f t="shared" ref="BZ166" si="31">RADIANS(BZ165)</f>
        <v>5.7595865315812871</v>
      </c>
      <c r="CA166" s="38">
        <f t="shared" ref="CA166" si="32">RADIANS(CA165)</f>
        <v>5.9341194567807207</v>
      </c>
      <c r="CB166" s="38">
        <f t="shared" ref="CB166" si="33">RADIANS(CB165)</f>
        <v>6.1086523819801535</v>
      </c>
      <c r="CC166" s="224">
        <f t="shared" ref="CC166" si="34">RADIANS(CC165)</f>
        <v>6.2831853071795862</v>
      </c>
    </row>
    <row r="167" spans="4:81">
      <c r="T167" s="1"/>
      <c r="U167" s="1"/>
      <c r="V167" s="1"/>
      <c r="W167" s="1"/>
      <c r="X167" s="1"/>
      <c r="Y167" s="1"/>
      <c r="Z167" s="1"/>
      <c r="AO167" s="128" t="s">
        <v>512</v>
      </c>
      <c r="AP167" s="212" t="e">
        <f>AX162-(AX162-AW162)/5</f>
        <v>#N/A</v>
      </c>
      <c r="AS167" s="210" t="e">
        <f>$AP$167+COS(AS166)*$AQ$165</f>
        <v>#N/A</v>
      </c>
      <c r="AT167" s="210" t="e">
        <f t="shared" ref="AT167:CC167" si="35">$AP$167+COS(AT166)*$AQ$165</f>
        <v>#N/A</v>
      </c>
      <c r="AU167" s="210" t="e">
        <f t="shared" si="35"/>
        <v>#N/A</v>
      </c>
      <c r="AV167" s="210" t="e">
        <f t="shared" si="35"/>
        <v>#N/A</v>
      </c>
      <c r="AW167" s="210" t="e">
        <f t="shared" si="35"/>
        <v>#N/A</v>
      </c>
      <c r="AX167" s="210" t="e">
        <f t="shared" si="35"/>
        <v>#N/A</v>
      </c>
      <c r="AY167" s="210" t="e">
        <f t="shared" si="35"/>
        <v>#N/A</v>
      </c>
      <c r="AZ167" s="210" t="e">
        <f t="shared" si="35"/>
        <v>#N/A</v>
      </c>
      <c r="BA167" s="210" t="e">
        <f t="shared" si="35"/>
        <v>#N/A</v>
      </c>
      <c r="BB167" s="210" t="e">
        <f t="shared" si="35"/>
        <v>#N/A</v>
      </c>
      <c r="BC167" s="210" t="e">
        <f t="shared" si="35"/>
        <v>#N/A</v>
      </c>
      <c r="BD167" s="210" t="e">
        <f t="shared" si="35"/>
        <v>#N/A</v>
      </c>
      <c r="BE167" s="210" t="e">
        <f t="shared" si="35"/>
        <v>#N/A</v>
      </c>
      <c r="BF167" s="210" t="e">
        <f t="shared" si="35"/>
        <v>#N/A</v>
      </c>
      <c r="BG167" s="210" t="e">
        <f t="shared" si="35"/>
        <v>#N/A</v>
      </c>
      <c r="BH167" s="210" t="e">
        <f t="shared" si="35"/>
        <v>#N/A</v>
      </c>
      <c r="BI167" s="210" t="e">
        <f t="shared" si="35"/>
        <v>#N/A</v>
      </c>
      <c r="BJ167" s="210" t="e">
        <f t="shared" si="35"/>
        <v>#N/A</v>
      </c>
      <c r="BK167" s="210" t="e">
        <f t="shared" si="35"/>
        <v>#N/A</v>
      </c>
      <c r="BL167" s="210" t="e">
        <f t="shared" si="35"/>
        <v>#N/A</v>
      </c>
      <c r="BM167" s="210" t="e">
        <f t="shared" si="35"/>
        <v>#N/A</v>
      </c>
      <c r="BN167" s="210" t="e">
        <f t="shared" si="35"/>
        <v>#N/A</v>
      </c>
      <c r="BO167" s="210" t="e">
        <f t="shared" si="35"/>
        <v>#N/A</v>
      </c>
      <c r="BP167" s="210" t="e">
        <f t="shared" si="35"/>
        <v>#N/A</v>
      </c>
      <c r="BQ167" s="210" t="e">
        <f t="shared" si="35"/>
        <v>#N/A</v>
      </c>
      <c r="BR167" s="210" t="e">
        <f t="shared" si="35"/>
        <v>#N/A</v>
      </c>
      <c r="BS167" s="210" t="e">
        <f t="shared" si="35"/>
        <v>#N/A</v>
      </c>
      <c r="BT167" s="210" t="e">
        <f t="shared" si="35"/>
        <v>#N/A</v>
      </c>
      <c r="BU167" s="210" t="e">
        <f t="shared" si="35"/>
        <v>#N/A</v>
      </c>
      <c r="BV167" s="210" t="e">
        <f t="shared" si="35"/>
        <v>#N/A</v>
      </c>
      <c r="BW167" s="210" t="e">
        <f t="shared" si="35"/>
        <v>#N/A</v>
      </c>
      <c r="BX167" s="210" t="e">
        <f t="shared" si="35"/>
        <v>#N/A</v>
      </c>
      <c r="BY167" s="210" t="e">
        <f t="shared" si="35"/>
        <v>#N/A</v>
      </c>
      <c r="BZ167" s="210" t="e">
        <f t="shared" si="35"/>
        <v>#N/A</v>
      </c>
      <c r="CA167" s="210" t="e">
        <f t="shared" si="35"/>
        <v>#N/A</v>
      </c>
      <c r="CB167" s="210" t="e">
        <f t="shared" si="35"/>
        <v>#N/A</v>
      </c>
      <c r="CC167" s="225" t="e">
        <f t="shared" si="35"/>
        <v>#N/A</v>
      </c>
    </row>
    <row r="168" spans="4:81">
      <c r="T168" s="1"/>
      <c r="U168" s="1"/>
      <c r="Z168" s="1"/>
      <c r="AO168" s="128" t="s">
        <v>513</v>
      </c>
      <c r="AP168" s="212" t="e">
        <f>AW162+(AX162-AW162)/5</f>
        <v>#N/A</v>
      </c>
      <c r="AS168" s="210" t="e">
        <f t="shared" ref="AS168:CC168" si="36">$AP$168+COS(AS166)*$AQ$165</f>
        <v>#N/A</v>
      </c>
      <c r="AT168" s="210" t="e">
        <f t="shared" si="36"/>
        <v>#N/A</v>
      </c>
      <c r="AU168" s="210" t="e">
        <f t="shared" si="36"/>
        <v>#N/A</v>
      </c>
      <c r="AV168" s="210" t="e">
        <f t="shared" si="36"/>
        <v>#N/A</v>
      </c>
      <c r="AW168" s="210" t="e">
        <f t="shared" si="36"/>
        <v>#N/A</v>
      </c>
      <c r="AX168" s="210" t="e">
        <f t="shared" si="36"/>
        <v>#N/A</v>
      </c>
      <c r="AY168" s="210" t="e">
        <f t="shared" si="36"/>
        <v>#N/A</v>
      </c>
      <c r="AZ168" s="210" t="e">
        <f t="shared" si="36"/>
        <v>#N/A</v>
      </c>
      <c r="BA168" s="210" t="e">
        <f t="shared" si="36"/>
        <v>#N/A</v>
      </c>
      <c r="BB168" s="210" t="e">
        <f t="shared" si="36"/>
        <v>#N/A</v>
      </c>
      <c r="BC168" s="210" t="e">
        <f t="shared" si="36"/>
        <v>#N/A</v>
      </c>
      <c r="BD168" s="210" t="e">
        <f t="shared" si="36"/>
        <v>#N/A</v>
      </c>
      <c r="BE168" s="210" t="e">
        <f t="shared" si="36"/>
        <v>#N/A</v>
      </c>
      <c r="BF168" s="210" t="e">
        <f t="shared" si="36"/>
        <v>#N/A</v>
      </c>
      <c r="BG168" s="210" t="e">
        <f t="shared" si="36"/>
        <v>#N/A</v>
      </c>
      <c r="BH168" s="210" t="e">
        <f t="shared" si="36"/>
        <v>#N/A</v>
      </c>
      <c r="BI168" s="210" t="e">
        <f t="shared" si="36"/>
        <v>#N/A</v>
      </c>
      <c r="BJ168" s="210" t="e">
        <f t="shared" si="36"/>
        <v>#N/A</v>
      </c>
      <c r="BK168" s="210" t="e">
        <f t="shared" si="36"/>
        <v>#N/A</v>
      </c>
      <c r="BL168" s="210" t="e">
        <f t="shared" si="36"/>
        <v>#N/A</v>
      </c>
      <c r="BM168" s="210" t="e">
        <f t="shared" si="36"/>
        <v>#N/A</v>
      </c>
      <c r="BN168" s="210" t="e">
        <f t="shared" si="36"/>
        <v>#N/A</v>
      </c>
      <c r="BO168" s="210" t="e">
        <f t="shared" si="36"/>
        <v>#N/A</v>
      </c>
      <c r="BP168" s="210" t="e">
        <f t="shared" si="36"/>
        <v>#N/A</v>
      </c>
      <c r="BQ168" s="210" t="e">
        <f t="shared" si="36"/>
        <v>#N/A</v>
      </c>
      <c r="BR168" s="210" t="e">
        <f t="shared" si="36"/>
        <v>#N/A</v>
      </c>
      <c r="BS168" s="210" t="e">
        <f t="shared" si="36"/>
        <v>#N/A</v>
      </c>
      <c r="BT168" s="210" t="e">
        <f t="shared" si="36"/>
        <v>#N/A</v>
      </c>
      <c r="BU168" s="210" t="e">
        <f t="shared" si="36"/>
        <v>#N/A</v>
      </c>
      <c r="BV168" s="210" t="e">
        <f t="shared" si="36"/>
        <v>#N/A</v>
      </c>
      <c r="BW168" s="210" t="e">
        <f t="shared" si="36"/>
        <v>#N/A</v>
      </c>
      <c r="BX168" s="210" t="e">
        <f t="shared" si="36"/>
        <v>#N/A</v>
      </c>
      <c r="BY168" s="210" t="e">
        <f t="shared" si="36"/>
        <v>#N/A</v>
      </c>
      <c r="BZ168" s="210" t="e">
        <f t="shared" si="36"/>
        <v>#N/A</v>
      </c>
      <c r="CA168" s="210" t="e">
        <f t="shared" si="36"/>
        <v>#N/A</v>
      </c>
      <c r="CB168" s="210" t="e">
        <f t="shared" si="36"/>
        <v>#N/A</v>
      </c>
      <c r="CC168" s="225" t="e">
        <f t="shared" si="36"/>
        <v>#N/A</v>
      </c>
    </row>
    <row r="169" spans="4:81">
      <c r="T169" s="1"/>
      <c r="U169" s="1"/>
      <c r="Z169" s="1"/>
      <c r="AO169" s="57" t="s">
        <v>495</v>
      </c>
      <c r="AP169" s="213">
        <f>AW163-AQ165</f>
        <v>-0.11019318633066501</v>
      </c>
      <c r="AQ169" s="40"/>
      <c r="AR169" s="40"/>
      <c r="AS169" s="213">
        <f t="shared" ref="AS169:CC169" si="37">$AP$169+SIN(AS166)*$AQ$165</f>
        <v>-0.11019318633066501</v>
      </c>
      <c r="AT169" s="213">
        <f t="shared" si="37"/>
        <v>-0.10693728299941006</v>
      </c>
      <c r="AU169" s="213">
        <f t="shared" si="37"/>
        <v>-0.10378030864330871</v>
      </c>
      <c r="AV169" s="213">
        <f t="shared" si="37"/>
        <v>-0.10081818633066501</v>
      </c>
      <c r="AW169" s="213">
        <f t="shared" si="37"/>
        <v>-9.8140918649042397E-2</v>
      </c>
      <c r="AX169" s="213">
        <f t="shared" si="37"/>
        <v>-9.5829853022184164E-2</v>
      </c>
      <c r="AY169" s="213">
        <f t="shared" si="37"/>
        <v>-9.3955210009706788E-2</v>
      </c>
      <c r="AZ169" s="213">
        <f t="shared" si="37"/>
        <v>-9.2573949690929219E-2</v>
      </c>
      <c r="BA169" s="213">
        <f t="shared" si="37"/>
        <v>-9.1728040961686103E-2</v>
      </c>
      <c r="BB169" s="213">
        <f t="shared" si="37"/>
        <v>-9.1443186330665005E-2</v>
      </c>
      <c r="BC169" s="213">
        <f t="shared" si="37"/>
        <v>-9.1728040961686103E-2</v>
      </c>
      <c r="BD169" s="213">
        <f t="shared" si="37"/>
        <v>-9.2573949690929219E-2</v>
      </c>
      <c r="BE169" s="213">
        <f t="shared" si="37"/>
        <v>-9.3955210009706774E-2</v>
      </c>
      <c r="BF169" s="213">
        <f t="shared" si="37"/>
        <v>-9.5829853022184164E-2</v>
      </c>
      <c r="BG169" s="213">
        <f t="shared" si="37"/>
        <v>-9.8140918649042397E-2</v>
      </c>
      <c r="BH169" s="213">
        <f t="shared" si="37"/>
        <v>-0.10081818633066501</v>
      </c>
      <c r="BI169" s="213">
        <f t="shared" si="37"/>
        <v>-0.10378030864330871</v>
      </c>
      <c r="BJ169" s="213">
        <f t="shared" si="37"/>
        <v>-0.10693728299941006</v>
      </c>
      <c r="BK169" s="213">
        <f t="shared" si="37"/>
        <v>-0.11019318633066501</v>
      </c>
      <c r="BL169" s="213">
        <f t="shared" si="37"/>
        <v>-0.11344908966191995</v>
      </c>
      <c r="BM169" s="213">
        <f t="shared" si="37"/>
        <v>-0.11660606401802129</v>
      </c>
      <c r="BN169" s="213">
        <f t="shared" si="37"/>
        <v>-0.11956818633066502</v>
      </c>
      <c r="BO169" s="213">
        <f t="shared" si="37"/>
        <v>-0.12224545401228762</v>
      </c>
      <c r="BP169" s="213">
        <f t="shared" si="37"/>
        <v>-0.12455651963914584</v>
      </c>
      <c r="BQ169" s="213">
        <f t="shared" si="37"/>
        <v>-0.12643116265162324</v>
      </c>
      <c r="BR169" s="213">
        <f t="shared" si="37"/>
        <v>-0.1278124229704008</v>
      </c>
      <c r="BS169" s="213">
        <f t="shared" si="37"/>
        <v>-0.12865833169964391</v>
      </c>
      <c r="BT169" s="213">
        <f t="shared" si="37"/>
        <v>-0.12894318633066501</v>
      </c>
      <c r="BU169" s="213">
        <f t="shared" si="37"/>
        <v>-0.12865833169964391</v>
      </c>
      <c r="BV169" s="213">
        <f t="shared" si="37"/>
        <v>-0.1278124229704008</v>
      </c>
      <c r="BW169" s="213">
        <f t="shared" si="37"/>
        <v>-0.12643116265162324</v>
      </c>
      <c r="BX169" s="213">
        <f t="shared" si="37"/>
        <v>-0.12455651963914585</v>
      </c>
      <c r="BY169" s="213">
        <f t="shared" si="37"/>
        <v>-0.12224545401228762</v>
      </c>
      <c r="BZ169" s="213">
        <f t="shared" si="37"/>
        <v>-0.11956818633066502</v>
      </c>
      <c r="CA169" s="213">
        <f t="shared" si="37"/>
        <v>-0.11660606401802129</v>
      </c>
      <c r="CB169" s="213">
        <f t="shared" si="37"/>
        <v>-0.11344908966191995</v>
      </c>
      <c r="CC169" s="226">
        <f t="shared" si="37"/>
        <v>-0.11019318633066501</v>
      </c>
    </row>
    <row r="170" spans="4:81">
      <c r="T170" s="1"/>
      <c r="U170" s="1"/>
      <c r="Z170" s="1"/>
      <c r="AY170" s="222"/>
    </row>
    <row r="171" spans="4:81">
      <c r="T171" s="1"/>
      <c r="U171" s="1"/>
      <c r="Z171" s="1"/>
      <c r="AP171" s="54" t="s">
        <v>503</v>
      </c>
    </row>
    <row r="172" spans="4:81">
      <c r="AO172" s="126"/>
      <c r="AP172" s="46" t="s">
        <v>33</v>
      </c>
      <c r="AQ172" s="46"/>
      <c r="AR172" s="47"/>
    </row>
    <row r="173" spans="4:81">
      <c r="AO173" s="128" t="s">
        <v>46</v>
      </c>
      <c r="AP173">
        <f>AP162</f>
        <v>0</v>
      </c>
      <c r="AQ173" t="e">
        <f>AR173/2</f>
        <v>#N/A</v>
      </c>
      <c r="AR173" s="49" t="e">
        <f>AQ162</f>
        <v>#N/A</v>
      </c>
      <c r="AT173" s="210">
        <f>AP173</f>
        <v>0</v>
      </c>
      <c r="AU173" s="210" t="e">
        <f>AP178</f>
        <v>#N/A</v>
      </c>
      <c r="AV173" s="210" t="e">
        <f>AZ182</f>
        <v>#N/A</v>
      </c>
      <c r="AW173" s="210" t="e">
        <f>AR182</f>
        <v>#N/A</v>
      </c>
      <c r="AX173" s="210" t="e">
        <f>AQ186</f>
        <v>#N/A</v>
      </c>
      <c r="AY173" s="210" t="e">
        <f>AR173</f>
        <v>#N/A</v>
      </c>
      <c r="BA173" s="210"/>
      <c r="BC173" s="210"/>
    </row>
    <row r="174" spans="4:81">
      <c r="AF174" s="210"/>
      <c r="AG174" s="210"/>
      <c r="AH174" s="210"/>
      <c r="AI174" s="210"/>
      <c r="AJ174" s="210"/>
      <c r="AO174" s="57" t="s">
        <v>495</v>
      </c>
      <c r="AP174" s="40">
        <v>-0.3</v>
      </c>
      <c r="AQ174" s="40">
        <f>AP174</f>
        <v>-0.3</v>
      </c>
      <c r="AR174" s="51">
        <f>AQ174</f>
        <v>-0.3</v>
      </c>
      <c r="AT174" s="36">
        <f>AP174-0.2</f>
        <v>-0.5</v>
      </c>
      <c r="AU174" s="36">
        <f>AT174</f>
        <v>-0.5</v>
      </c>
      <c r="AV174" s="36">
        <f>AU174</f>
        <v>-0.5</v>
      </c>
      <c r="AW174" s="36">
        <f>AV174</f>
        <v>-0.5</v>
      </c>
      <c r="AX174" s="36">
        <f>AW174</f>
        <v>-0.5</v>
      </c>
      <c r="AY174" s="36">
        <f>AX174</f>
        <v>-0.5</v>
      </c>
      <c r="BA174" s="36"/>
      <c r="BC174" s="36"/>
    </row>
    <row r="175" spans="4:81">
      <c r="AF175" s="210"/>
      <c r="AG175" s="210"/>
      <c r="AH175" s="210"/>
      <c r="AI175" s="210"/>
      <c r="AJ175" s="210"/>
    </row>
    <row r="176" spans="4:81">
      <c r="D176" s="6" t="s">
        <v>160</v>
      </c>
      <c r="T176" s="1"/>
      <c r="U176" s="1"/>
      <c r="V176" s="1" t="s">
        <v>182</v>
      </c>
      <c r="W176" s="1">
        <f>0.2*10^6</f>
        <v>200000</v>
      </c>
      <c r="X176" s="1" t="s">
        <v>67</v>
      </c>
      <c r="Y176" s="1"/>
      <c r="Z176" s="1"/>
      <c r="AP176" s="54" t="s">
        <v>506</v>
      </c>
    </row>
    <row r="177" spans="4:56" ht="19.5">
      <c r="D177" s="6" t="s">
        <v>161</v>
      </c>
      <c r="G177" s="6" t="s">
        <v>163</v>
      </c>
      <c r="H177" s="105" t="s">
        <v>18</v>
      </c>
      <c r="I177" s="150" t="e">
        <f>NA()</f>
        <v>#N/A</v>
      </c>
      <c r="J177" s="6" t="s">
        <v>37</v>
      </c>
      <c r="T177" s="1"/>
      <c r="U177" s="1"/>
      <c r="V177" s="1" t="s">
        <v>194</v>
      </c>
      <c r="W177" s="69">
        <f>I187/W176*100</f>
        <v>0.20833333333333334</v>
      </c>
      <c r="X177" s="1" t="s">
        <v>183</v>
      </c>
      <c r="Y177" s="1"/>
      <c r="Z177" s="1"/>
      <c r="AP177" s="9" t="e">
        <f>AZ84 &amp; ":  " &amp; FIXED(BA84,2) &amp; BB84</f>
        <v>#N/A</v>
      </c>
    </row>
    <row r="178" spans="4:56" ht="19.5">
      <c r="D178" s="6" t="s">
        <v>162</v>
      </c>
      <c r="G178" s="6" t="s">
        <v>120</v>
      </c>
      <c r="H178" s="105" t="s">
        <v>18</v>
      </c>
      <c r="I178" s="150" t="e">
        <f>NA()</f>
        <v>#N/A</v>
      </c>
      <c r="J178" s="6" t="s">
        <v>37</v>
      </c>
      <c r="T178" s="1"/>
      <c r="U178" s="1"/>
      <c r="V178" s="1" t="s">
        <v>195</v>
      </c>
      <c r="W178" s="1">
        <v>0.35</v>
      </c>
      <c r="X178" s="1" t="s">
        <v>183</v>
      </c>
      <c r="Y178" s="1"/>
      <c r="Z178" s="1"/>
      <c r="AO178" s="126" t="s">
        <v>46</v>
      </c>
      <c r="AP178" s="127" t="e">
        <f>BC84*10^-3</f>
        <v>#N/A</v>
      </c>
      <c r="AQ178" s="127" t="e">
        <f>BD84*10^-3</f>
        <v>#N/A</v>
      </c>
      <c r="AR178" s="127" t="e">
        <f>AQ178</f>
        <v>#N/A</v>
      </c>
      <c r="AS178" s="127" t="e">
        <f>AP178</f>
        <v>#N/A</v>
      </c>
      <c r="AT178" s="127" t="e">
        <f>AP178</f>
        <v>#N/A</v>
      </c>
      <c r="AU178" s="127"/>
      <c r="AV178" s="127" t="e">
        <f>($BC$84+($BD$84-$BC$84)/5)*10^-3</f>
        <v>#N/A</v>
      </c>
      <c r="AW178" s="127" t="e">
        <f t="shared" ref="AW178" si="38">($BC$84+($BD$84-$BC$84)/5)*10^-3</f>
        <v>#N/A</v>
      </c>
      <c r="AX178" s="127" t="e">
        <f>($BC$84+($BD$84-$BC$84)*2/5)*10^-3</f>
        <v>#N/A</v>
      </c>
      <c r="AY178" s="127" t="e">
        <f>($BC$84+($BD$84-$BC$84)*2/5)*10^-3</f>
        <v>#N/A</v>
      </c>
      <c r="AZ178" s="127" t="e">
        <f>($BC$84+($BD$84-$BC$84)*3/5)*10^-3</f>
        <v>#N/A</v>
      </c>
      <c r="BA178" s="127" t="e">
        <f t="shared" ref="BA178" si="39">($BC$84+($BD$84-$BC$84)*3/5)*10^-3</f>
        <v>#N/A</v>
      </c>
      <c r="BB178" s="127" t="e">
        <f>($BC$84+($BD$84-$BC$84)*4/5)*10^-3</f>
        <v>#N/A</v>
      </c>
      <c r="BC178" s="94" t="e">
        <f>($BC$84+($BD$84-$BC$84)*4/5)*10^-3</f>
        <v>#N/A</v>
      </c>
    </row>
    <row r="179" spans="4:56">
      <c r="D179" s="6" t="s">
        <v>164</v>
      </c>
      <c r="G179" s="6" t="s">
        <v>166</v>
      </c>
      <c r="H179" s="105" t="s">
        <v>18</v>
      </c>
      <c r="I179" s="150" t="e">
        <f>NA()</f>
        <v>#N/A</v>
      </c>
      <c r="J179" s="6" t="s">
        <v>37</v>
      </c>
      <c r="T179" s="1"/>
      <c r="U179" s="1"/>
      <c r="V179" s="1" t="s">
        <v>186</v>
      </c>
      <c r="W179" s="13">
        <v>1</v>
      </c>
      <c r="X179" s="1"/>
      <c r="Y179" s="1"/>
      <c r="Z179" s="1"/>
      <c r="AO179" s="57" t="s">
        <v>495</v>
      </c>
      <c r="AP179" s="215">
        <v>0</v>
      </c>
      <c r="AQ179" s="215">
        <f>AP179</f>
        <v>0</v>
      </c>
      <c r="AR179" s="215">
        <f>W157</f>
        <v>0.2</v>
      </c>
      <c r="AS179" s="215">
        <f>AR179</f>
        <v>0.2</v>
      </c>
      <c r="AT179" s="215">
        <v>0</v>
      </c>
      <c r="AU179" s="215"/>
      <c r="AV179" s="215">
        <f>AP179</f>
        <v>0</v>
      </c>
      <c r="AW179" s="215">
        <f>AR179</f>
        <v>0.2</v>
      </c>
      <c r="AX179" s="215">
        <f t="shared" ref="AX179:BC179" si="40">AV179</f>
        <v>0</v>
      </c>
      <c r="AY179" s="215">
        <f t="shared" si="40"/>
        <v>0.2</v>
      </c>
      <c r="AZ179" s="215">
        <f t="shared" si="40"/>
        <v>0</v>
      </c>
      <c r="BA179" s="215">
        <f t="shared" si="40"/>
        <v>0.2</v>
      </c>
      <c r="BB179" s="215">
        <f t="shared" si="40"/>
        <v>0</v>
      </c>
      <c r="BC179" s="216">
        <f t="shared" si="40"/>
        <v>0.2</v>
      </c>
    </row>
    <row r="180" spans="4:56">
      <c r="D180" s="6" t="s">
        <v>165</v>
      </c>
      <c r="G180" s="6" t="s">
        <v>167</v>
      </c>
      <c r="H180" s="105" t="s">
        <v>18</v>
      </c>
      <c r="I180" s="150" t="e">
        <f>NA()</f>
        <v>#N/A</v>
      </c>
      <c r="J180" s="6" t="s">
        <v>37</v>
      </c>
      <c r="T180" s="1"/>
      <c r="U180" s="1"/>
      <c r="V180" s="77" t="s">
        <v>184</v>
      </c>
      <c r="W180" s="1">
        <v>0.8</v>
      </c>
      <c r="X180" s="1"/>
      <c r="Y180" s="1"/>
      <c r="Z180" s="1"/>
    </row>
    <row r="181" spans="4:56" ht="19.5">
      <c r="D181" s="6" t="s">
        <v>65</v>
      </c>
      <c r="G181" s="6" t="s">
        <v>66</v>
      </c>
      <c r="H181" s="105" t="s">
        <v>18</v>
      </c>
      <c r="I181" s="110">
        <f>$Q$83</f>
        <v>30</v>
      </c>
      <c r="J181" s="6" t="s">
        <v>67</v>
      </c>
      <c r="T181" s="1"/>
      <c r="U181" s="1"/>
      <c r="V181" s="1" t="s">
        <v>196</v>
      </c>
      <c r="W181" s="78">
        <f>MAX(0.26*(I183/I186)*(I187/I182),0.0013*I187/I182)</f>
        <v>2.9286511333037432E-2</v>
      </c>
      <c r="X181" s="1"/>
      <c r="Y181" s="1"/>
      <c r="Z181" s="1"/>
      <c r="AP181" t="str">
        <f>IF(BA85=0,AZ85,AZ85 &amp; ":  " &amp; FIXED(BA85,2) &amp; BB85)</f>
        <v/>
      </c>
      <c r="AU181" t="e">
        <f>LEFT(AP181,FIND(":",AP181)-1) &amp; " mellem-pil"</f>
        <v>#VALUE!</v>
      </c>
      <c r="AX181" t="str">
        <f>IF(BA86=0,AZ86,AZ86 &amp; ":  " &amp; FIXED(BA86,2) &amp; BB86)</f>
        <v/>
      </c>
      <c r="BC181" t="e">
        <f>LEFT(AX181,FIND(":",AX181)-1) &amp; " mellem-pil"</f>
        <v>#VALUE!</v>
      </c>
    </row>
    <row r="182" spans="4:56" ht="19.5">
      <c r="G182" s="6" t="s">
        <v>68</v>
      </c>
      <c r="H182" s="105" t="s">
        <v>18</v>
      </c>
      <c r="I182" s="108">
        <f>$Q$84</f>
        <v>21.428571428571431</v>
      </c>
      <c r="J182" s="6" t="s">
        <v>67</v>
      </c>
      <c r="T182" s="1"/>
      <c r="U182" s="1"/>
      <c r="V182" s="1" t="s">
        <v>197</v>
      </c>
      <c r="W182" s="69">
        <f>(W180*W178)/(W178+W177)</f>
        <v>0.5014925373134328</v>
      </c>
      <c r="X182" s="1"/>
      <c r="Y182" s="1"/>
      <c r="Z182" s="1"/>
      <c r="AO182" s="126" t="s">
        <v>46</v>
      </c>
      <c r="AP182" s="127" t="e">
        <f>BD85*10^-3</f>
        <v>#N/A</v>
      </c>
      <c r="AQ182" s="127" t="e">
        <f>AP182</f>
        <v>#N/A</v>
      </c>
      <c r="AR182" s="127" t="e">
        <f>IF(BA85=0,AQ182,BC85*10^-3)</f>
        <v>#N/A</v>
      </c>
      <c r="AS182" s="127" t="e">
        <f>AR182</f>
        <v>#N/A</v>
      </c>
      <c r="AT182" s="127"/>
      <c r="AU182" s="127" t="e">
        <f>AQ182+(AR182-AQ182)/2</f>
        <v>#N/A</v>
      </c>
      <c r="AV182" s="127" t="e">
        <f>AU182</f>
        <v>#N/A</v>
      </c>
      <c r="AW182" s="47"/>
      <c r="AX182" s="127" t="e">
        <f>BC86*10^-3</f>
        <v>#N/A</v>
      </c>
      <c r="AY182" s="127" t="e">
        <f>AX182</f>
        <v>#N/A</v>
      </c>
      <c r="AZ182" s="127" t="e">
        <f>IF(BA86=0,AY182,BD86*10^-3)</f>
        <v>#N/A</v>
      </c>
      <c r="BA182" s="127" t="e">
        <f>AZ182</f>
        <v>#N/A</v>
      </c>
      <c r="BB182" s="127"/>
      <c r="BC182" s="127" t="e">
        <f>AY182+(AZ182-AY182)/2</f>
        <v>#N/A</v>
      </c>
      <c r="BD182" s="94" t="e">
        <f>BC182</f>
        <v>#N/A</v>
      </c>
    </row>
    <row r="183" spans="4:56">
      <c r="G183" s="6" t="s">
        <v>74</v>
      </c>
      <c r="H183" s="105" t="s">
        <v>18</v>
      </c>
      <c r="I183" s="108">
        <f>$Q$85</f>
        <v>2.896468153816889</v>
      </c>
      <c r="J183" s="6" t="s">
        <v>67</v>
      </c>
      <c r="T183" s="1"/>
      <c r="U183" s="1"/>
      <c r="V183" s="1" t="s">
        <v>190</v>
      </c>
      <c r="W183" s="1"/>
      <c r="X183" s="1"/>
      <c r="Y183" s="1"/>
      <c r="Z183" s="1"/>
      <c r="AO183" s="57" t="s">
        <v>495</v>
      </c>
      <c r="AP183" s="215">
        <f>AR179</f>
        <v>0.2</v>
      </c>
      <c r="AQ183" s="215">
        <f>IF(BA85=0,AP183,AR179+AP183)</f>
        <v>0.2</v>
      </c>
      <c r="AR183" s="215">
        <f>AQ183</f>
        <v>0.2</v>
      </c>
      <c r="AS183" s="215">
        <f>AP183</f>
        <v>0.2</v>
      </c>
      <c r="AT183" s="215"/>
      <c r="AU183" s="215">
        <f>AP183</f>
        <v>0.2</v>
      </c>
      <c r="AV183" s="215">
        <f>AQ183</f>
        <v>0.2</v>
      </c>
      <c r="AW183" s="218"/>
      <c r="AX183" s="215">
        <f>AR179</f>
        <v>0.2</v>
      </c>
      <c r="AY183" s="215">
        <f>IF(BA86=0,AX183,AX183+AR179)</f>
        <v>0.2</v>
      </c>
      <c r="AZ183" s="215">
        <f>AY183</f>
        <v>0.2</v>
      </c>
      <c r="BA183" s="215">
        <f>AX183</f>
        <v>0.2</v>
      </c>
      <c r="BB183" s="215"/>
      <c r="BC183" s="215">
        <f>AX183</f>
        <v>0.2</v>
      </c>
      <c r="BD183" s="216">
        <f>AY183</f>
        <v>0.2</v>
      </c>
    </row>
    <row r="184" spans="4:56">
      <c r="D184" s="6" t="s">
        <v>168</v>
      </c>
      <c r="G184" s="150" t="e">
        <f>NA()</f>
        <v>#N/A</v>
      </c>
      <c r="H184" s="105" t="s">
        <v>170</v>
      </c>
      <c r="I184" s="151">
        <v>8</v>
      </c>
      <c r="J184" s="6" t="s">
        <v>171</v>
      </c>
      <c r="T184" s="1"/>
      <c r="U184" s="1"/>
      <c r="V184" s="77" t="s">
        <v>185</v>
      </c>
      <c r="W184" s="69" t="e">
        <f>I188*I187/(I179*I178*W179*I182)</f>
        <v>#N/A</v>
      </c>
      <c r="X184" s="1"/>
      <c r="Y184" s="1"/>
      <c r="Z184" s="1"/>
    </row>
    <row r="185" spans="4:56">
      <c r="F185" s="111" t="s">
        <v>169</v>
      </c>
      <c r="G185" s="150" t="e">
        <f>NA()</f>
        <v>#N/A</v>
      </c>
      <c r="H185" s="105" t="s">
        <v>170</v>
      </c>
      <c r="I185" s="151">
        <v>8</v>
      </c>
      <c r="J185" s="6" t="s">
        <v>171</v>
      </c>
      <c r="T185" s="1"/>
      <c r="U185" s="1"/>
      <c r="V185" s="77" t="s">
        <v>185</v>
      </c>
      <c r="W185" s="69" t="e">
        <f>IF(AND(W184&gt;W181,W184&lt;W182),W184,0)</f>
        <v>#N/A</v>
      </c>
      <c r="X185" s="1"/>
      <c r="Y185" s="1" t="s">
        <v>188</v>
      </c>
      <c r="Z185" s="1"/>
      <c r="AP185" t="e">
        <f>IF(BA87=0,AZ87,AZ87 &amp; ":  " &amp; FIXED(BA87,2) &amp; BB87)</f>
        <v>#N/A</v>
      </c>
      <c r="AU185" t="e">
        <f>LEFT(AP185,FIND(":",AP185)-1) &amp; " mellem-pil"</f>
        <v>#N/A</v>
      </c>
      <c r="AX185" t="e">
        <f>IF(BA88=0,AZ88,AZ88 &amp; ":  " &amp; FIXED(BA88,2) &amp; BB88)</f>
        <v>#N/A</v>
      </c>
      <c r="BC185" t="e">
        <f>LEFT(AX185,FIND(":",AX185)-1) &amp; " mellem-pil"</f>
        <v>#N/A</v>
      </c>
    </row>
    <row r="186" spans="4:56">
      <c r="G186" s="6" t="s">
        <v>75</v>
      </c>
      <c r="H186" s="105" t="s">
        <v>18</v>
      </c>
      <c r="I186" s="6">
        <f>$Q$94</f>
        <v>500</v>
      </c>
      <c r="J186" s="6" t="s">
        <v>67</v>
      </c>
      <c r="T186" s="1"/>
      <c r="U186" s="1"/>
      <c r="V186" s="77" t="s">
        <v>187</v>
      </c>
      <c r="W186" s="69" t="e">
        <f>W185*(1-0.5*W185)</f>
        <v>#N/A</v>
      </c>
      <c r="X186" s="1"/>
      <c r="Y186" s="1"/>
      <c r="Z186" s="1"/>
      <c r="AO186" s="126" t="s">
        <v>46</v>
      </c>
      <c r="AP186" s="127" t="e">
        <f>BD87*10^-3</f>
        <v>#N/A</v>
      </c>
      <c r="AQ186" s="127" t="e">
        <f>AP186</f>
        <v>#N/A</v>
      </c>
      <c r="AR186" s="127" t="e">
        <f>IF(BA87=0,AQ186,BC87*10^-3)</f>
        <v>#N/A</v>
      </c>
      <c r="AS186" s="127" t="e">
        <f>AR186</f>
        <v>#N/A</v>
      </c>
      <c r="AT186" s="46"/>
      <c r="AU186" s="127" t="e">
        <f>AQ186+(AR186-AQ186)/2</f>
        <v>#N/A</v>
      </c>
      <c r="AV186" s="127" t="e">
        <f>AU186</f>
        <v>#N/A</v>
      </c>
      <c r="AW186" s="47"/>
      <c r="AX186" s="127" t="e">
        <f>BC88*10^-3</f>
        <v>#N/A</v>
      </c>
      <c r="AY186" s="127" t="e">
        <f>AX186</f>
        <v>#N/A</v>
      </c>
      <c r="AZ186" s="127" t="e">
        <f>IF(BA88=0,AY186,BD88*10^-3)</f>
        <v>#N/A</v>
      </c>
      <c r="BA186" s="127" t="e">
        <f>AZ186</f>
        <v>#N/A</v>
      </c>
      <c r="BB186" s="127"/>
      <c r="BC186" s="127" t="e">
        <f>AY186+(AZ186-AY186)/2</f>
        <v>#N/A</v>
      </c>
      <c r="BD186" s="94" t="e">
        <f>BC186</f>
        <v>#N/A</v>
      </c>
    </row>
    <row r="187" spans="4:56" ht="19.5">
      <c r="G187" s="6" t="s">
        <v>76</v>
      </c>
      <c r="H187" s="105" t="s">
        <v>18</v>
      </c>
      <c r="I187" s="110">
        <f>$Q$95</f>
        <v>416.66666666666669</v>
      </c>
      <c r="J187" s="6" t="s">
        <v>67</v>
      </c>
      <c r="T187" s="1"/>
      <c r="U187" s="1"/>
      <c r="V187" s="77" t="s">
        <v>198</v>
      </c>
      <c r="W187" s="11" t="e">
        <f>W186*I179*I178^2*W179*I182*10^-6</f>
        <v>#N/A</v>
      </c>
      <c r="X187" s="1" t="s">
        <v>145</v>
      </c>
      <c r="Y187" s="1"/>
      <c r="Z187" s="1"/>
      <c r="AO187" s="57" t="s">
        <v>495</v>
      </c>
      <c r="AP187" s="215">
        <f>AQ183</f>
        <v>0.2</v>
      </c>
      <c r="AQ187" s="215" t="e">
        <f>IF(BA87=0,AP187,AR179+AP187)</f>
        <v>#N/A</v>
      </c>
      <c r="AR187" s="215" t="e">
        <f>AQ187</f>
        <v>#N/A</v>
      </c>
      <c r="AS187" s="215">
        <f>AP187</f>
        <v>0.2</v>
      </c>
      <c r="AT187" s="37"/>
      <c r="AU187" s="215">
        <f>AP187</f>
        <v>0.2</v>
      </c>
      <c r="AV187" s="215" t="e">
        <f>AQ187</f>
        <v>#N/A</v>
      </c>
      <c r="AW187" s="218"/>
      <c r="AX187" s="215">
        <f>AY183</f>
        <v>0.2</v>
      </c>
      <c r="AY187" s="215" t="e">
        <f>IF(BA88=0,AX187,AX187+AR179)</f>
        <v>#N/A</v>
      </c>
      <c r="AZ187" s="215" t="e">
        <f>AY187</f>
        <v>#N/A</v>
      </c>
      <c r="BA187" s="215">
        <f>AX187</f>
        <v>0.2</v>
      </c>
      <c r="BB187" s="215"/>
      <c r="BC187" s="215">
        <f>AX187</f>
        <v>0.2</v>
      </c>
      <c r="BD187" s="216" t="e">
        <f>AY187</f>
        <v>#N/A</v>
      </c>
    </row>
    <row r="188" spans="4:56">
      <c r="G188" s="6" t="s">
        <v>172</v>
      </c>
      <c r="H188" s="105" t="s">
        <v>18</v>
      </c>
      <c r="I188" s="110" t="e">
        <f>PI()/4*I184^2*G184+PI()/4*I185^2*G185</f>
        <v>#N/A</v>
      </c>
      <c r="J188" s="6" t="s">
        <v>173</v>
      </c>
      <c r="T188" s="1"/>
      <c r="U188" s="1"/>
      <c r="V188" s="1"/>
      <c r="W188" s="1"/>
      <c r="X188" s="1"/>
      <c r="Y188" s="1"/>
      <c r="Z188" s="1"/>
    </row>
    <row r="189" spans="4:56">
      <c r="D189" s="6" t="s">
        <v>178</v>
      </c>
      <c r="H189" s="105" t="s">
        <v>170</v>
      </c>
      <c r="I189" s="151">
        <v>0</v>
      </c>
      <c r="J189" s="6" t="s">
        <v>179</v>
      </c>
      <c r="T189" s="1"/>
      <c r="U189" s="1"/>
      <c r="V189" s="1" t="s">
        <v>189</v>
      </c>
      <c r="W189" s="1"/>
      <c r="X189" s="1"/>
      <c r="Y189" s="1"/>
      <c r="Z189" s="1"/>
    </row>
    <row r="190" spans="4:56">
      <c r="E190" s="151">
        <v>1</v>
      </c>
      <c r="F190" s="118" t="s">
        <v>180</v>
      </c>
      <c r="H190" s="105"/>
      <c r="I190" s="150" t="e">
        <f>NA()</f>
        <v>#N/A</v>
      </c>
      <c r="J190" s="6" t="s">
        <v>37</v>
      </c>
      <c r="N190" s="106" t="e">
        <f>IF(I190&gt;0.7*I177,"For stor!","")</f>
        <v>#N/A</v>
      </c>
      <c r="T190" s="1"/>
      <c r="U190" s="1"/>
      <c r="V190" s="1" t="s">
        <v>191</v>
      </c>
      <c r="W190" s="11" t="e">
        <f>MIN(2,1+SQRT(200/I178))</f>
        <v>#N/A</v>
      </c>
      <c r="X190" s="1"/>
      <c r="Y190" s="1"/>
      <c r="Z190" s="1"/>
    </row>
    <row r="191" spans="4:56" ht="19.5">
      <c r="F191" s="118"/>
      <c r="G191" s="6" t="s">
        <v>75</v>
      </c>
      <c r="H191" s="105" t="s">
        <v>18</v>
      </c>
      <c r="I191" s="6">
        <f>$Q$94</f>
        <v>500</v>
      </c>
      <c r="J191" s="6" t="s">
        <v>67</v>
      </c>
      <c r="T191" s="1"/>
      <c r="U191" s="1"/>
      <c r="V191" s="1" t="s">
        <v>199</v>
      </c>
      <c r="W191" s="148">
        <v>0</v>
      </c>
      <c r="X191" s="1"/>
      <c r="Y191" s="1" t="s">
        <v>193</v>
      </c>
      <c r="Z191" s="1"/>
    </row>
    <row r="192" spans="4:56" ht="19.5">
      <c r="F192" s="118"/>
      <c r="G192" s="6" t="s">
        <v>181</v>
      </c>
      <c r="H192" s="105" t="s">
        <v>18</v>
      </c>
      <c r="I192" s="110">
        <f>$Q$95</f>
        <v>416.66666666666669</v>
      </c>
      <c r="J192" s="6" t="s">
        <v>67</v>
      </c>
      <c r="T192" s="1"/>
      <c r="U192" s="1"/>
      <c r="V192" s="76" t="s">
        <v>192</v>
      </c>
      <c r="W192" s="11" t="e">
        <f>0.035*W190^(3/2)*SQRT(I181)*I180*I178*10^-3</f>
        <v>#N/A</v>
      </c>
      <c r="X192" s="1" t="s">
        <v>41</v>
      </c>
      <c r="Y192" s="1" t="s">
        <v>203</v>
      </c>
      <c r="Z192" s="1"/>
    </row>
    <row r="193" spans="4:26" ht="19.5">
      <c r="T193" s="1"/>
      <c r="U193" s="1"/>
      <c r="V193" s="76" t="s">
        <v>192</v>
      </c>
      <c r="W193" s="11" t="e">
        <f>(0.18/$AI$95*W190*(100*W191/(I180*I178)*I181)^(1/3))*I180*I178*10^-3</f>
        <v>#N/A</v>
      </c>
      <c r="X193" s="1" t="s">
        <v>41</v>
      </c>
      <c r="Y193" s="1" t="s">
        <v>202</v>
      </c>
      <c r="Z193" s="1"/>
    </row>
    <row r="194" spans="4:26">
      <c r="D194" s="6" t="s">
        <v>174</v>
      </c>
      <c r="F194" s="111" t="s">
        <v>177</v>
      </c>
      <c r="K194" s="6" t="s">
        <v>176</v>
      </c>
      <c r="T194" s="1"/>
      <c r="U194" s="1"/>
      <c r="V194" s="1"/>
      <c r="W194" s="1"/>
      <c r="X194" s="1"/>
      <c r="Y194" s="1"/>
      <c r="Z194" s="1"/>
    </row>
    <row r="195" spans="4:26">
      <c r="F195" s="115" t="s">
        <v>201</v>
      </c>
      <c r="G195" s="108" t="e">
        <f>W187</f>
        <v>#N/A</v>
      </c>
      <c r="I195" s="6" t="s">
        <v>145</v>
      </c>
      <c r="J195" s="105" t="e">
        <f>IF(G195&gt;K195,"&gt;","&lt;")</f>
        <v>#N/A</v>
      </c>
      <c r="K195" s="108" t="e">
        <f>Snitkræfter!$D$21</f>
        <v>#N/A</v>
      </c>
      <c r="M195" s="6" t="e">
        <f>IF(G195&gt;K195,"Accept","Forkast")</f>
        <v>#N/A</v>
      </c>
      <c r="N195" s="106" t="e">
        <f>IF(M195="Forkast","NB!","")</f>
        <v>#N/A</v>
      </c>
      <c r="T195" s="1"/>
      <c r="U195" s="1"/>
      <c r="V195" s="1" t="s">
        <v>211</v>
      </c>
      <c r="W195" s="13">
        <v>1</v>
      </c>
      <c r="X195" s="1"/>
      <c r="Y195" s="1" t="s">
        <v>204</v>
      </c>
      <c r="Z195" s="1"/>
    </row>
    <row r="196" spans="4:26">
      <c r="F196" s="111"/>
      <c r="N196" s="116"/>
      <c r="T196" s="1"/>
      <c r="U196" s="1"/>
      <c r="V196" s="1" t="s">
        <v>205</v>
      </c>
      <c r="W196" s="11">
        <f>TAN(DEGREES(_xlfn.ACOT(W195)))</f>
        <v>1.6197751905438615</v>
      </c>
      <c r="X196" s="1"/>
      <c r="Y196" s="1"/>
      <c r="Z196" s="1"/>
    </row>
    <row r="197" spans="4:26" ht="19.5">
      <c r="D197" s="6" t="s">
        <v>175</v>
      </c>
      <c r="F197" s="111" t="s">
        <v>177</v>
      </c>
      <c r="N197" s="116"/>
      <c r="T197" s="1"/>
      <c r="U197" s="1"/>
      <c r="V197" s="1" t="s">
        <v>212</v>
      </c>
      <c r="W197" s="13">
        <v>1</v>
      </c>
      <c r="X197" s="1"/>
      <c r="Y197" s="1" t="s">
        <v>209</v>
      </c>
      <c r="Z197" s="1"/>
    </row>
    <row r="198" spans="4:26">
      <c r="F198" s="111" t="s">
        <v>200</v>
      </c>
      <c r="G198" s="108" t="e">
        <f>MAX(W192,W193)</f>
        <v>#N/A</v>
      </c>
      <c r="I198" s="6" t="s">
        <v>41</v>
      </c>
      <c r="J198" s="105" t="e">
        <f t="shared" ref="J198" si="41">IF(G198&gt;K198,"&gt;","&lt;")</f>
        <v>#N/A</v>
      </c>
      <c r="K198" s="108" t="e">
        <f>Snitkræfter!$D$22</f>
        <v>#N/A</v>
      </c>
      <c r="M198" s="6" t="e">
        <f>IF(I189&gt;0,"",IF(G198&gt;K198,"Accept","Forkast"))</f>
        <v>#N/A</v>
      </c>
      <c r="N198" s="106" t="e">
        <f>IF(M198="Forkast","NB!","")</f>
        <v>#N/A</v>
      </c>
      <c r="T198" s="1"/>
      <c r="U198" s="1"/>
      <c r="V198" s="1" t="s">
        <v>208</v>
      </c>
      <c r="W198" s="11">
        <f>0.6*(1-I181/250)</f>
        <v>0.52800000000000002</v>
      </c>
      <c r="X198" s="1"/>
      <c r="Y198" s="1" t="s">
        <v>210</v>
      </c>
      <c r="Z198" s="1"/>
    </row>
    <row r="199" spans="4:26" ht="19.5">
      <c r="F199" s="111" t="str">
        <f>IF(I189&gt;0,"V Rd,s =","")</f>
        <v/>
      </c>
      <c r="G199" s="119" t="str">
        <f>IF(I189&gt;0,MIN(W199,W200),"")</f>
        <v/>
      </c>
      <c r="H199" s="111"/>
      <c r="I199" s="113" t="str">
        <f>IF(I189&gt;0,"kN","")</f>
        <v/>
      </c>
      <c r="J199" s="105" t="str">
        <f>IF(I189&gt;0,IF(G199&gt;K199,"&gt;","&lt;"),"")</f>
        <v/>
      </c>
      <c r="K199" s="119" t="str">
        <f>IF(I189&gt;0,K198,"")</f>
        <v/>
      </c>
      <c r="M199" s="6" t="str">
        <f>IF(I189&gt;0,IF(G199&gt;K199,"Accept","Forkast"),"")</f>
        <v/>
      </c>
      <c r="N199" s="106" t="str">
        <f t="shared" ref="N199" si="42">IF(M199="Forkast","NB!","")</f>
        <v/>
      </c>
      <c r="T199" s="1"/>
      <c r="U199" s="1"/>
      <c r="V199" s="1" t="s">
        <v>213</v>
      </c>
      <c r="W199" s="13" t="e">
        <f>E190*I189^2*(PI()/4)/I190*I192*0.9*I178*10^-3</f>
        <v>#N/A</v>
      </c>
      <c r="X199" s="1" t="s">
        <v>41</v>
      </c>
      <c r="Y199" s="1" t="s">
        <v>206</v>
      </c>
      <c r="Z199" s="1"/>
    </row>
    <row r="200" spans="4:26" ht="19.5">
      <c r="T200" s="1"/>
      <c r="U200" s="1"/>
      <c r="V200" s="1" t="s">
        <v>214</v>
      </c>
      <c r="W200" s="13" t="e">
        <f>W197*I180*0.9*I178*W198*I182/(W195+W196)*10^-3</f>
        <v>#N/A</v>
      </c>
      <c r="X200" s="1" t="s">
        <v>41</v>
      </c>
      <c r="Y200" s="1" t="s">
        <v>207</v>
      </c>
      <c r="Z200" s="1"/>
    </row>
    <row r="201" spans="4:26" ht="23.25">
      <c r="D201" s="80" t="s">
        <v>30</v>
      </c>
      <c r="E201" s="79">
        <f>$Z$84</f>
        <v>0</v>
      </c>
    </row>
    <row r="202" spans="4:26" ht="23.25">
      <c r="D202" s="80"/>
      <c r="E202" s="79"/>
    </row>
    <row r="203" spans="4:26" ht="23.25">
      <c r="D203" s="80"/>
      <c r="E203" s="79"/>
    </row>
    <row r="204" spans="4:26" ht="23.25">
      <c r="D204" s="80"/>
      <c r="E204" s="79"/>
    </row>
    <row r="205" spans="4:26" ht="23.25">
      <c r="D205" s="80"/>
      <c r="E205" s="79"/>
    </row>
    <row r="206" spans="4:26" ht="23.25">
      <c r="D206" s="80"/>
      <c r="E206" s="79"/>
    </row>
    <row r="207" spans="4:26" ht="23.25">
      <c r="D207" s="80"/>
      <c r="E207" s="79"/>
      <c r="V207" t="s">
        <v>515</v>
      </c>
      <c r="W207" s="211">
        <v>0.15</v>
      </c>
    </row>
    <row r="208" spans="4:26" ht="23.25">
      <c r="D208" s="80"/>
      <c r="E208" s="79"/>
      <c r="V208" s="43" t="s">
        <v>516</v>
      </c>
      <c r="W208" s="211">
        <v>0.12</v>
      </c>
    </row>
    <row r="209" spans="4:81" ht="23.25">
      <c r="D209" s="80"/>
      <c r="E209" s="79"/>
    </row>
    <row r="210" spans="4:81" ht="23.25">
      <c r="D210" s="80"/>
      <c r="E210" s="79"/>
    </row>
    <row r="211" spans="4:81" ht="23.25">
      <c r="D211" s="80"/>
      <c r="E211" s="79"/>
    </row>
    <row r="212" spans="4:81" ht="23.25">
      <c r="D212" s="80"/>
      <c r="E212" s="79"/>
    </row>
    <row r="213" spans="4:81" ht="23.25">
      <c r="D213" s="80"/>
      <c r="E213" s="79"/>
    </row>
    <row r="214" spans="4:81" ht="23.25">
      <c r="D214" s="80"/>
      <c r="E214" s="79"/>
    </row>
    <row r="219" spans="4:81">
      <c r="AO219" s="40"/>
      <c r="AP219" s="40" t="s">
        <v>502</v>
      </c>
      <c r="AQ219" s="40"/>
      <c r="AR219" s="40" t="s">
        <v>505</v>
      </c>
      <c r="AS219" s="40"/>
      <c r="AT219" s="40"/>
      <c r="AU219" s="40"/>
      <c r="AV219" s="40" t="s">
        <v>504</v>
      </c>
      <c r="AW219" s="40"/>
      <c r="AX219" s="40"/>
      <c r="AY219" s="214"/>
      <c r="AZ219" t="s">
        <v>507</v>
      </c>
      <c r="BF219" t="s">
        <v>514</v>
      </c>
      <c r="BO219" t="s">
        <v>494</v>
      </c>
    </row>
    <row r="220" spans="4:81">
      <c r="AO220" s="128" t="s">
        <v>46</v>
      </c>
      <c r="AP220" s="36">
        <v>0</v>
      </c>
      <c r="AQ220" s="36" t="e">
        <f>AV90*10^-3</f>
        <v>#N/A</v>
      </c>
      <c r="AR220" s="219" t="e">
        <f>AS90*10^-3</f>
        <v>#N/A</v>
      </c>
      <c r="AS220" s="127" t="e">
        <f>AR220-$W$208/2</f>
        <v>#N/A</v>
      </c>
      <c r="AT220" s="228" t="e">
        <f>AS220+$W$208</f>
        <v>#N/A</v>
      </c>
      <c r="AU220" s="94" t="e">
        <f>AR220</f>
        <v>#N/A</v>
      </c>
      <c r="AV220" s="36" t="e">
        <f>(AV90-AU90)*10^-3</f>
        <v>#N/A</v>
      </c>
      <c r="AW220" s="36" t="e">
        <f>AV220-$W$208/2</f>
        <v>#N/A</v>
      </c>
      <c r="AX220" s="38" t="e">
        <f>AW220+$W$208</f>
        <v>#N/A</v>
      </c>
      <c r="AY220" s="52" t="e">
        <f>AV220</f>
        <v>#N/A</v>
      </c>
      <c r="AZ220" s="126" t="e">
        <f>AS220+(AT220-AR220)/3</f>
        <v>#N/A</v>
      </c>
      <c r="BA220" s="56" t="e">
        <f>AZ220-W208/3</f>
        <v>#N/A</v>
      </c>
      <c r="BB220" s="46" t="e">
        <f>AT220-(AT220-AR220)/3</f>
        <v>#N/A</v>
      </c>
      <c r="BC220" s="56" t="e">
        <f>BB220-W208/3</f>
        <v>#N/A</v>
      </c>
      <c r="BD220" s="56" t="e">
        <f>AZ220+(BB220-AZ220)/2</f>
        <v>#N/A</v>
      </c>
      <c r="BE220" s="47" t="e">
        <f>BD220-W208/3</f>
        <v>#N/A</v>
      </c>
      <c r="BF220" s="227" t="e">
        <f>AW220</f>
        <v>#N/A</v>
      </c>
      <c r="BG220" s="228" t="e">
        <f>AX220</f>
        <v>#N/A</v>
      </c>
      <c r="BH220" s="46" t="e">
        <f>AZ220+(AV220-AR220)</f>
        <v>#N/A</v>
      </c>
      <c r="BI220" s="229" t="e">
        <f>BA220+(AV220-AR220)</f>
        <v>#N/A</v>
      </c>
      <c r="BJ220" s="46" t="e">
        <f>AX220-(AX220-AV220)/3</f>
        <v>#N/A</v>
      </c>
      <c r="BK220" s="46" t="e">
        <f>BJ220-W208/3</f>
        <v>#N/A</v>
      </c>
      <c r="BL220" s="56" t="e">
        <f>BH220+(BJ220-BH220)/2</f>
        <v>#N/A</v>
      </c>
      <c r="BM220" s="47" t="e">
        <f>BL220-W208/3</f>
        <v>#N/A</v>
      </c>
      <c r="BO220" s="126" t="e">
        <f>AP220-AQ220/100</f>
        <v>#N/A</v>
      </c>
      <c r="BP220" s="47" t="e">
        <f>AQ220+AQ220/100</f>
        <v>#N/A</v>
      </c>
    </row>
    <row r="221" spans="4:81">
      <c r="AO221" s="57" t="s">
        <v>495</v>
      </c>
      <c r="AP221" s="129">
        <v>0</v>
      </c>
      <c r="AQ221" s="129">
        <v>0</v>
      </c>
      <c r="AR221" s="220">
        <v>0</v>
      </c>
      <c r="AS221" s="213">
        <f>2*$W$208*SIN(60)</f>
        <v>-7.3154549064532004E-2</v>
      </c>
      <c r="AT221" s="213">
        <f>AS221</f>
        <v>-7.3154549064532004E-2</v>
      </c>
      <c r="AU221" s="131">
        <f>AR221</f>
        <v>0</v>
      </c>
      <c r="AV221" s="129">
        <v>0</v>
      </c>
      <c r="AW221" s="213">
        <f>2*$W$208*SIN(60)</f>
        <v>-7.3154549064532004E-2</v>
      </c>
      <c r="AX221" s="213">
        <f>AW221</f>
        <v>-7.3154549064532004E-2</v>
      </c>
      <c r="AY221" s="131">
        <f>AV221</f>
        <v>0</v>
      </c>
      <c r="AZ221" s="217">
        <f>AS221</f>
        <v>-7.3154549064532004E-2</v>
      </c>
      <c r="BA221" s="37">
        <f>AZ221+AS221*2/3</f>
        <v>-0.12192424844088667</v>
      </c>
      <c r="BB221" s="37">
        <f>AT221</f>
        <v>-7.3154549064532004E-2</v>
      </c>
      <c r="BC221" s="37">
        <f>BA221</f>
        <v>-0.12192424844088667</v>
      </c>
      <c r="BD221" s="37">
        <f>BB221</f>
        <v>-7.3154549064532004E-2</v>
      </c>
      <c r="BE221" s="218">
        <f>BC221</f>
        <v>-0.12192424844088667</v>
      </c>
      <c r="BF221" s="230">
        <f>AW221-2*AQ223</f>
        <v>-0.103154549064532</v>
      </c>
      <c r="BG221" s="215">
        <f>BF221</f>
        <v>-0.103154549064532</v>
      </c>
      <c r="BH221" s="37">
        <f>BG221</f>
        <v>-0.103154549064532</v>
      </c>
      <c r="BI221" s="231">
        <f>BA221-2*AQ223</f>
        <v>-0.15192424844088667</v>
      </c>
      <c r="BJ221" s="37">
        <f>BH221</f>
        <v>-0.103154549064532</v>
      </c>
      <c r="BK221" s="231">
        <f>BI221</f>
        <v>-0.15192424844088667</v>
      </c>
      <c r="BL221" s="37">
        <f>BJ221</f>
        <v>-0.103154549064532</v>
      </c>
      <c r="BM221" s="218">
        <f>BK221</f>
        <v>-0.15192424844088667</v>
      </c>
      <c r="BO221" s="57">
        <v>0</v>
      </c>
      <c r="BP221" s="51">
        <v>0</v>
      </c>
    </row>
    <row r="223" spans="4:81">
      <c r="AO223" s="126"/>
      <c r="AP223" s="223" t="s">
        <v>509</v>
      </c>
      <c r="AQ223" s="91">
        <f>W208/8</f>
        <v>1.4999999999999999E-2</v>
      </c>
      <c r="AR223" s="46" t="s">
        <v>511</v>
      </c>
      <c r="AS223" s="127">
        <v>0</v>
      </c>
      <c r="AT223" s="127">
        <v>10</v>
      </c>
      <c r="AU223" s="127">
        <v>20</v>
      </c>
      <c r="AV223" s="127">
        <v>30</v>
      </c>
      <c r="AW223" s="127">
        <v>40</v>
      </c>
      <c r="AX223" s="127">
        <v>50</v>
      </c>
      <c r="AY223" s="127">
        <v>60</v>
      </c>
      <c r="AZ223" s="127">
        <v>70</v>
      </c>
      <c r="BA223" s="127">
        <v>80</v>
      </c>
      <c r="BB223" s="127">
        <v>90</v>
      </c>
      <c r="BC223" s="127">
        <v>100</v>
      </c>
      <c r="BD223" s="127">
        <v>110</v>
      </c>
      <c r="BE223" s="127">
        <v>120</v>
      </c>
      <c r="BF223" s="127">
        <v>130</v>
      </c>
      <c r="BG223" s="127">
        <v>140</v>
      </c>
      <c r="BH223" s="127">
        <v>150</v>
      </c>
      <c r="BI223" s="127">
        <v>160</v>
      </c>
      <c r="BJ223" s="127">
        <v>170</v>
      </c>
      <c r="BK223" s="127">
        <v>180</v>
      </c>
      <c r="BL223" s="127">
        <v>190</v>
      </c>
      <c r="BM223" s="127">
        <v>200</v>
      </c>
      <c r="BN223" s="127">
        <v>210</v>
      </c>
      <c r="BO223" s="127">
        <v>220</v>
      </c>
      <c r="BP223" s="127">
        <v>230</v>
      </c>
      <c r="BQ223" s="127">
        <v>240</v>
      </c>
      <c r="BR223" s="127">
        <v>250</v>
      </c>
      <c r="BS223" s="127">
        <v>260</v>
      </c>
      <c r="BT223" s="127">
        <v>270</v>
      </c>
      <c r="BU223" s="127">
        <v>280</v>
      </c>
      <c r="BV223" s="127">
        <v>290</v>
      </c>
      <c r="BW223" s="127">
        <v>300</v>
      </c>
      <c r="BX223" s="127">
        <v>310</v>
      </c>
      <c r="BY223" s="127">
        <v>320</v>
      </c>
      <c r="BZ223" s="127">
        <v>330</v>
      </c>
      <c r="CA223" s="127">
        <v>340</v>
      </c>
      <c r="CB223" s="127">
        <v>350</v>
      </c>
      <c r="CC223" s="94">
        <v>360</v>
      </c>
    </row>
    <row r="224" spans="4:81">
      <c r="AO224" s="128"/>
      <c r="AP224" t="s">
        <v>508</v>
      </c>
      <c r="AR224" s="135" t="s">
        <v>510</v>
      </c>
      <c r="AS224" s="38">
        <f>RADIANS(AS223)</f>
        <v>0</v>
      </c>
      <c r="AT224" s="38">
        <f>RADIANS(AT223)</f>
        <v>0.17453292519943295</v>
      </c>
      <c r="AU224" s="38">
        <f t="shared" ref="AU224" si="43">RADIANS(AU223)</f>
        <v>0.3490658503988659</v>
      </c>
      <c r="AV224" s="38">
        <f t="shared" ref="AV224" si="44">RADIANS(AV223)</f>
        <v>0.52359877559829882</v>
      </c>
      <c r="AW224" s="38">
        <f t="shared" ref="AW224" si="45">RADIANS(AW223)</f>
        <v>0.69813170079773179</v>
      </c>
      <c r="AX224" s="38">
        <f t="shared" ref="AX224" si="46">RADIANS(AX223)</f>
        <v>0.87266462599716477</v>
      </c>
      <c r="AY224" s="38">
        <f t="shared" ref="AY224" si="47">RADIANS(AY223)</f>
        <v>1.0471975511965976</v>
      </c>
      <c r="AZ224" s="38">
        <f t="shared" ref="AZ224" si="48">RADIANS(AZ223)</f>
        <v>1.2217304763960306</v>
      </c>
      <c r="BA224" s="38">
        <f t="shared" ref="BA224" si="49">RADIANS(BA223)</f>
        <v>1.3962634015954636</v>
      </c>
      <c r="BB224" s="38">
        <f t="shared" ref="BB224" si="50">RADIANS(BB223)</f>
        <v>1.5707963267948966</v>
      </c>
      <c r="BC224" s="38">
        <f t="shared" ref="BC224" si="51">RADIANS(BC223)</f>
        <v>1.7453292519943295</v>
      </c>
      <c r="BD224" s="38">
        <f t="shared" ref="BD224" si="52">RADIANS(BD223)</f>
        <v>1.9198621771937625</v>
      </c>
      <c r="BE224" s="38">
        <f t="shared" ref="BE224" si="53">RADIANS(BE223)</f>
        <v>2.0943951023931953</v>
      </c>
      <c r="BF224" s="38">
        <f t="shared" ref="BF224" si="54">RADIANS(BF223)</f>
        <v>2.2689280275926285</v>
      </c>
      <c r="BG224" s="38">
        <f t="shared" ref="BG224" si="55">RADIANS(BG223)</f>
        <v>2.4434609527920612</v>
      </c>
      <c r="BH224" s="38">
        <f t="shared" ref="BH224" si="56">RADIANS(BH223)</f>
        <v>2.6179938779914944</v>
      </c>
      <c r="BI224" s="38">
        <f t="shared" ref="BI224" si="57">RADIANS(BI223)</f>
        <v>2.7925268031909272</v>
      </c>
      <c r="BJ224" s="38">
        <f t="shared" ref="BJ224" si="58">RADIANS(BJ223)</f>
        <v>2.9670597283903604</v>
      </c>
      <c r="BK224" s="38">
        <f t="shared" ref="BK224" si="59">RADIANS(BK223)</f>
        <v>3.1415926535897931</v>
      </c>
      <c r="BL224" s="38">
        <f t="shared" ref="BL224" si="60">RADIANS(BL223)</f>
        <v>3.3161255787892263</v>
      </c>
      <c r="BM224" s="38">
        <f t="shared" ref="BM224" si="61">RADIANS(BM223)</f>
        <v>3.4906585039886591</v>
      </c>
      <c r="BN224" s="38">
        <f t="shared" ref="BN224" si="62">RADIANS(BN223)</f>
        <v>3.6651914291880923</v>
      </c>
      <c r="BO224" s="38">
        <f t="shared" ref="BO224" si="63">RADIANS(BO223)</f>
        <v>3.839724354387525</v>
      </c>
      <c r="BP224" s="38">
        <f t="shared" ref="BP224" si="64">RADIANS(BP223)</f>
        <v>4.0142572795869578</v>
      </c>
      <c r="BQ224" s="38">
        <f t="shared" ref="BQ224" si="65">RADIANS(BQ223)</f>
        <v>4.1887902047863905</v>
      </c>
      <c r="BR224" s="38">
        <f>RADIANS(BR223)</f>
        <v>4.3633231299858242</v>
      </c>
      <c r="BS224" s="38">
        <f>RADIANS(BS223)</f>
        <v>4.5378560551852569</v>
      </c>
      <c r="BT224" s="38">
        <f t="shared" ref="BT224" si="66">RADIANS(BT223)</f>
        <v>4.7123889803846897</v>
      </c>
      <c r="BU224" s="38">
        <f t="shared" ref="BU224" si="67">RADIANS(BU223)</f>
        <v>4.8869219055841224</v>
      </c>
      <c r="BV224" s="38">
        <f t="shared" ref="BV224" si="68">RADIANS(BV223)</f>
        <v>5.0614548307835561</v>
      </c>
      <c r="BW224" s="38">
        <f t="shared" ref="BW224" si="69">RADIANS(BW223)</f>
        <v>5.2359877559829888</v>
      </c>
      <c r="BX224" s="38">
        <f t="shared" ref="BX224" si="70">RADIANS(BX223)</f>
        <v>5.4105206811824216</v>
      </c>
      <c r="BY224" s="38">
        <f t="shared" ref="BY224" si="71">RADIANS(BY223)</f>
        <v>5.5850536063818543</v>
      </c>
      <c r="BZ224" s="38">
        <f t="shared" ref="BZ224" si="72">RADIANS(BZ223)</f>
        <v>5.7595865315812871</v>
      </c>
      <c r="CA224" s="38">
        <f t="shared" ref="CA224" si="73">RADIANS(CA223)</f>
        <v>5.9341194567807207</v>
      </c>
      <c r="CB224" s="38">
        <f t="shared" ref="CB224" si="74">RADIANS(CB223)</f>
        <v>6.1086523819801535</v>
      </c>
      <c r="CC224" s="224">
        <f t="shared" ref="CC224" si="75">RADIANS(CC223)</f>
        <v>6.2831853071795862</v>
      </c>
    </row>
    <row r="225" spans="4:81">
      <c r="AO225" s="128" t="s">
        <v>512</v>
      </c>
      <c r="AP225" s="36" t="e">
        <f>AX220-(AX220-AW220)/5</f>
        <v>#N/A</v>
      </c>
      <c r="AS225" s="210" t="e">
        <f>$AP$225+COS(AS224)*$AQ$223</f>
        <v>#N/A</v>
      </c>
      <c r="AT225" s="210" t="e">
        <f t="shared" ref="AT225:CC225" si="76">$AP$225+COS(AT224)*$AQ$223</f>
        <v>#N/A</v>
      </c>
      <c r="AU225" s="210" t="e">
        <f t="shared" si="76"/>
        <v>#N/A</v>
      </c>
      <c r="AV225" s="210" t="e">
        <f t="shared" si="76"/>
        <v>#N/A</v>
      </c>
      <c r="AW225" s="210" t="e">
        <f t="shared" si="76"/>
        <v>#N/A</v>
      </c>
      <c r="AX225" s="210" t="e">
        <f t="shared" si="76"/>
        <v>#N/A</v>
      </c>
      <c r="AY225" s="210" t="e">
        <f t="shared" si="76"/>
        <v>#N/A</v>
      </c>
      <c r="AZ225" s="210" t="e">
        <f t="shared" si="76"/>
        <v>#N/A</v>
      </c>
      <c r="BA225" s="210" t="e">
        <f t="shared" si="76"/>
        <v>#N/A</v>
      </c>
      <c r="BB225" s="210" t="e">
        <f t="shared" si="76"/>
        <v>#N/A</v>
      </c>
      <c r="BC225" s="210" t="e">
        <f t="shared" si="76"/>
        <v>#N/A</v>
      </c>
      <c r="BD225" s="210" t="e">
        <f t="shared" si="76"/>
        <v>#N/A</v>
      </c>
      <c r="BE225" s="210" t="e">
        <f t="shared" si="76"/>
        <v>#N/A</v>
      </c>
      <c r="BF225" s="210" t="e">
        <f t="shared" si="76"/>
        <v>#N/A</v>
      </c>
      <c r="BG225" s="210" t="e">
        <f t="shared" si="76"/>
        <v>#N/A</v>
      </c>
      <c r="BH225" s="210" t="e">
        <f t="shared" si="76"/>
        <v>#N/A</v>
      </c>
      <c r="BI225" s="210" t="e">
        <f t="shared" si="76"/>
        <v>#N/A</v>
      </c>
      <c r="BJ225" s="210" t="e">
        <f t="shared" si="76"/>
        <v>#N/A</v>
      </c>
      <c r="BK225" s="210" t="e">
        <f t="shared" si="76"/>
        <v>#N/A</v>
      </c>
      <c r="BL225" s="210" t="e">
        <f t="shared" si="76"/>
        <v>#N/A</v>
      </c>
      <c r="BM225" s="210" t="e">
        <f t="shared" si="76"/>
        <v>#N/A</v>
      </c>
      <c r="BN225" s="210" t="e">
        <f t="shared" si="76"/>
        <v>#N/A</v>
      </c>
      <c r="BO225" s="210" t="e">
        <f t="shared" si="76"/>
        <v>#N/A</v>
      </c>
      <c r="BP225" s="210" t="e">
        <f t="shared" si="76"/>
        <v>#N/A</v>
      </c>
      <c r="BQ225" s="210" t="e">
        <f t="shared" si="76"/>
        <v>#N/A</v>
      </c>
      <c r="BR225" s="210" t="e">
        <f t="shared" si="76"/>
        <v>#N/A</v>
      </c>
      <c r="BS225" s="210" t="e">
        <f t="shared" si="76"/>
        <v>#N/A</v>
      </c>
      <c r="BT225" s="210" t="e">
        <f t="shared" si="76"/>
        <v>#N/A</v>
      </c>
      <c r="BU225" s="210" t="e">
        <f t="shared" si="76"/>
        <v>#N/A</v>
      </c>
      <c r="BV225" s="210" t="e">
        <f t="shared" si="76"/>
        <v>#N/A</v>
      </c>
      <c r="BW225" s="210" t="e">
        <f t="shared" si="76"/>
        <v>#N/A</v>
      </c>
      <c r="BX225" s="210" t="e">
        <f t="shared" si="76"/>
        <v>#N/A</v>
      </c>
      <c r="BY225" s="210" t="e">
        <f t="shared" si="76"/>
        <v>#N/A</v>
      </c>
      <c r="BZ225" s="210" t="e">
        <f t="shared" si="76"/>
        <v>#N/A</v>
      </c>
      <c r="CA225" s="210" t="e">
        <f t="shared" si="76"/>
        <v>#N/A</v>
      </c>
      <c r="CB225" s="210" t="e">
        <f t="shared" si="76"/>
        <v>#N/A</v>
      </c>
      <c r="CC225" s="225" t="e">
        <f t="shared" si="76"/>
        <v>#N/A</v>
      </c>
    </row>
    <row r="226" spans="4:81">
      <c r="AO226" s="128" t="s">
        <v>513</v>
      </c>
      <c r="AP226" s="212" t="e">
        <f>AW220+(AX220-AW220)/5</f>
        <v>#N/A</v>
      </c>
      <c r="AS226" s="210" t="e">
        <f>$AP$226+COS(AS224)*$AQ$223</f>
        <v>#N/A</v>
      </c>
      <c r="AT226" s="210" t="e">
        <f t="shared" ref="AT226:CC226" si="77">$AP$226+COS(AT224)*$AQ$223</f>
        <v>#N/A</v>
      </c>
      <c r="AU226" s="210" t="e">
        <f t="shared" si="77"/>
        <v>#N/A</v>
      </c>
      <c r="AV226" s="210" t="e">
        <f t="shared" si="77"/>
        <v>#N/A</v>
      </c>
      <c r="AW226" s="210" t="e">
        <f t="shared" si="77"/>
        <v>#N/A</v>
      </c>
      <c r="AX226" s="210" t="e">
        <f t="shared" si="77"/>
        <v>#N/A</v>
      </c>
      <c r="AY226" s="210" t="e">
        <f t="shared" si="77"/>
        <v>#N/A</v>
      </c>
      <c r="AZ226" s="210" t="e">
        <f t="shared" si="77"/>
        <v>#N/A</v>
      </c>
      <c r="BA226" s="210" t="e">
        <f t="shared" si="77"/>
        <v>#N/A</v>
      </c>
      <c r="BB226" s="210" t="e">
        <f t="shared" si="77"/>
        <v>#N/A</v>
      </c>
      <c r="BC226" s="210" t="e">
        <f t="shared" si="77"/>
        <v>#N/A</v>
      </c>
      <c r="BD226" s="210" t="e">
        <f t="shared" si="77"/>
        <v>#N/A</v>
      </c>
      <c r="BE226" s="210" t="e">
        <f t="shared" si="77"/>
        <v>#N/A</v>
      </c>
      <c r="BF226" s="210" t="e">
        <f t="shared" si="77"/>
        <v>#N/A</v>
      </c>
      <c r="BG226" s="210" t="e">
        <f t="shared" si="77"/>
        <v>#N/A</v>
      </c>
      <c r="BH226" s="210" t="e">
        <f t="shared" si="77"/>
        <v>#N/A</v>
      </c>
      <c r="BI226" s="210" t="e">
        <f t="shared" si="77"/>
        <v>#N/A</v>
      </c>
      <c r="BJ226" s="210" t="e">
        <f t="shared" si="77"/>
        <v>#N/A</v>
      </c>
      <c r="BK226" s="210" t="e">
        <f t="shared" si="77"/>
        <v>#N/A</v>
      </c>
      <c r="BL226" s="210" t="e">
        <f t="shared" si="77"/>
        <v>#N/A</v>
      </c>
      <c r="BM226" s="210" t="e">
        <f t="shared" si="77"/>
        <v>#N/A</v>
      </c>
      <c r="BN226" s="210" t="e">
        <f t="shared" si="77"/>
        <v>#N/A</v>
      </c>
      <c r="BO226" s="210" t="e">
        <f t="shared" si="77"/>
        <v>#N/A</v>
      </c>
      <c r="BP226" s="210" t="e">
        <f t="shared" si="77"/>
        <v>#N/A</v>
      </c>
      <c r="BQ226" s="210" t="e">
        <f t="shared" si="77"/>
        <v>#N/A</v>
      </c>
      <c r="BR226" s="210" t="e">
        <f t="shared" si="77"/>
        <v>#N/A</v>
      </c>
      <c r="BS226" s="210" t="e">
        <f t="shared" si="77"/>
        <v>#N/A</v>
      </c>
      <c r="BT226" s="210" t="e">
        <f t="shared" si="77"/>
        <v>#N/A</v>
      </c>
      <c r="BU226" s="210" t="e">
        <f t="shared" si="77"/>
        <v>#N/A</v>
      </c>
      <c r="BV226" s="210" t="e">
        <f t="shared" si="77"/>
        <v>#N/A</v>
      </c>
      <c r="BW226" s="210" t="e">
        <f t="shared" si="77"/>
        <v>#N/A</v>
      </c>
      <c r="BX226" s="210" t="e">
        <f t="shared" si="77"/>
        <v>#N/A</v>
      </c>
      <c r="BY226" s="210" t="e">
        <f t="shared" si="77"/>
        <v>#N/A</v>
      </c>
      <c r="BZ226" s="210" t="e">
        <f t="shared" si="77"/>
        <v>#N/A</v>
      </c>
      <c r="CA226" s="210" t="e">
        <f t="shared" si="77"/>
        <v>#N/A</v>
      </c>
      <c r="CB226" s="210" t="e">
        <f t="shared" si="77"/>
        <v>#N/A</v>
      </c>
      <c r="CC226" s="225" t="e">
        <f t="shared" si="77"/>
        <v>#N/A</v>
      </c>
    </row>
    <row r="227" spans="4:81">
      <c r="AO227" s="57" t="s">
        <v>495</v>
      </c>
      <c r="AP227" s="213">
        <f>AW221-AQ223</f>
        <v>-8.8154549064532003E-2</v>
      </c>
      <c r="AQ227" s="40"/>
      <c r="AR227" s="40"/>
      <c r="AS227" s="213">
        <f>$AP$227+SIN(AS224)*$AQ$223</f>
        <v>-8.8154549064532003E-2</v>
      </c>
      <c r="AT227" s="213">
        <f t="shared" ref="AT227:CC227" si="78">$AP$227+SIN(AT224)*$AQ$223</f>
        <v>-8.5549826399528045E-2</v>
      </c>
      <c r="AU227" s="213">
        <f t="shared" si="78"/>
        <v>-8.3024246914646979E-2</v>
      </c>
      <c r="AV227" s="213">
        <f t="shared" si="78"/>
        <v>-8.0654549064532011E-2</v>
      </c>
      <c r="AW227" s="213">
        <f t="shared" si="78"/>
        <v>-7.8512734919233912E-2</v>
      </c>
      <c r="AX227" s="213">
        <f t="shared" si="78"/>
        <v>-7.6663882417747339E-2</v>
      </c>
      <c r="AY227" s="213">
        <f t="shared" si="78"/>
        <v>-7.5164168007765431E-2</v>
      </c>
      <c r="AZ227" s="213">
        <f t="shared" si="78"/>
        <v>-7.4059159752743381E-2</v>
      </c>
      <c r="BA227" s="213">
        <f t="shared" si="78"/>
        <v>-7.3382432769348888E-2</v>
      </c>
      <c r="BB227" s="213">
        <f t="shared" si="78"/>
        <v>-7.3154549064532004E-2</v>
      </c>
      <c r="BC227" s="213">
        <f t="shared" si="78"/>
        <v>-7.3382432769348888E-2</v>
      </c>
      <c r="BD227" s="213">
        <f t="shared" si="78"/>
        <v>-7.4059159752743381E-2</v>
      </c>
      <c r="BE227" s="213">
        <f t="shared" si="78"/>
        <v>-7.5164168007765431E-2</v>
      </c>
      <c r="BF227" s="213">
        <f t="shared" si="78"/>
        <v>-7.6663882417747339E-2</v>
      </c>
      <c r="BG227" s="213">
        <f t="shared" si="78"/>
        <v>-7.8512734919233912E-2</v>
      </c>
      <c r="BH227" s="213">
        <f t="shared" si="78"/>
        <v>-8.0654549064532011E-2</v>
      </c>
      <c r="BI227" s="213">
        <f t="shared" si="78"/>
        <v>-8.3024246914646965E-2</v>
      </c>
      <c r="BJ227" s="213">
        <f t="shared" si="78"/>
        <v>-8.5549826399528045E-2</v>
      </c>
      <c r="BK227" s="213">
        <f t="shared" si="78"/>
        <v>-8.8154549064532003E-2</v>
      </c>
      <c r="BL227" s="213">
        <f t="shared" si="78"/>
        <v>-9.0759271729535962E-2</v>
      </c>
      <c r="BM227" s="213">
        <f t="shared" si="78"/>
        <v>-9.3284851214417028E-2</v>
      </c>
      <c r="BN227" s="213">
        <f t="shared" si="78"/>
        <v>-9.565454906453201E-2</v>
      </c>
      <c r="BO227" s="213">
        <f t="shared" si="78"/>
        <v>-9.7796363209830095E-2</v>
      </c>
      <c r="BP227" s="213">
        <f t="shared" si="78"/>
        <v>-9.9645215711316668E-2</v>
      </c>
      <c r="BQ227" s="213">
        <f t="shared" si="78"/>
        <v>-0.10114493012129858</v>
      </c>
      <c r="BR227" s="213">
        <f t="shared" si="78"/>
        <v>-0.10224993837632063</v>
      </c>
      <c r="BS227" s="213">
        <f t="shared" si="78"/>
        <v>-0.10292666535971512</v>
      </c>
      <c r="BT227" s="213">
        <f t="shared" si="78"/>
        <v>-0.103154549064532</v>
      </c>
      <c r="BU227" s="213">
        <f t="shared" si="78"/>
        <v>-0.10292666535971512</v>
      </c>
      <c r="BV227" s="213">
        <f t="shared" si="78"/>
        <v>-0.10224993837632063</v>
      </c>
      <c r="BW227" s="213">
        <f t="shared" si="78"/>
        <v>-0.10114493012129858</v>
      </c>
      <c r="BX227" s="213">
        <f t="shared" si="78"/>
        <v>-9.9645215711316681E-2</v>
      </c>
      <c r="BY227" s="213">
        <f t="shared" si="78"/>
        <v>-9.7796363209830095E-2</v>
      </c>
      <c r="BZ227" s="213">
        <f t="shared" si="78"/>
        <v>-9.565454906453201E-2</v>
      </c>
      <c r="CA227" s="213">
        <f t="shared" si="78"/>
        <v>-9.3284851214417028E-2</v>
      </c>
      <c r="CB227" s="213">
        <f t="shared" si="78"/>
        <v>-9.0759271729535962E-2</v>
      </c>
      <c r="CC227" s="226">
        <f t="shared" si="78"/>
        <v>-8.8154549064532003E-2</v>
      </c>
    </row>
    <row r="228" spans="4:81">
      <c r="AY228" s="222"/>
    </row>
    <row r="229" spans="4:81">
      <c r="AP229" s="54" t="s">
        <v>503</v>
      </c>
    </row>
    <row r="230" spans="4:81">
      <c r="AO230" s="126"/>
      <c r="AP230" s="46" t="s">
        <v>33</v>
      </c>
      <c r="AQ230" s="46"/>
      <c r="AR230" s="47"/>
    </row>
    <row r="231" spans="4:81">
      <c r="AO231" s="128" t="s">
        <v>46</v>
      </c>
      <c r="AP231">
        <f>AP220</f>
        <v>0</v>
      </c>
      <c r="AQ231" t="e">
        <f>AR231/2</f>
        <v>#N/A</v>
      </c>
      <c r="AR231" s="49" t="e">
        <f>AQ220</f>
        <v>#N/A</v>
      </c>
      <c r="AT231" s="210">
        <f>AP231</f>
        <v>0</v>
      </c>
      <c r="AU231" s="210">
        <f>AP236</f>
        <v>0</v>
      </c>
      <c r="AV231" s="210">
        <f>BD240</f>
        <v>0</v>
      </c>
      <c r="AW231" s="210" t="e">
        <f>AR240</f>
        <v>#N/A</v>
      </c>
      <c r="AX231" s="210" t="e">
        <f>AQ244</f>
        <v>#N/A</v>
      </c>
      <c r="AY231" s="210" t="e">
        <f>AR231</f>
        <v>#N/A</v>
      </c>
      <c r="BA231" s="210"/>
      <c r="BC231" s="210"/>
    </row>
    <row r="232" spans="4:81">
      <c r="AO232" s="57" t="s">
        <v>495</v>
      </c>
      <c r="AP232" s="40">
        <v>-0.3</v>
      </c>
      <c r="AQ232" s="40">
        <f>AP232</f>
        <v>-0.3</v>
      </c>
      <c r="AR232" s="51">
        <f>AQ232</f>
        <v>-0.3</v>
      </c>
      <c r="AT232" s="36">
        <f>AP232-0.2</f>
        <v>-0.5</v>
      </c>
      <c r="AU232" s="36">
        <f>AT232</f>
        <v>-0.5</v>
      </c>
      <c r="AV232" s="36">
        <f>AU232</f>
        <v>-0.5</v>
      </c>
      <c r="AW232" s="36">
        <f>AV232</f>
        <v>-0.5</v>
      </c>
      <c r="AX232" s="36">
        <f>AW232</f>
        <v>-0.5</v>
      </c>
      <c r="AY232" s="36">
        <f>AX232</f>
        <v>-0.5</v>
      </c>
      <c r="BA232" s="36"/>
      <c r="BC232" s="36"/>
    </row>
    <row r="234" spans="4:81">
      <c r="AP234" s="54" t="s">
        <v>506</v>
      </c>
    </row>
    <row r="235" spans="4:81">
      <c r="AP235" s="9" t="e">
        <f>AZ94 &amp; ":  " &amp; FIXED(BA94,2) &amp; BB94</f>
        <v>#N/A</v>
      </c>
    </row>
    <row r="236" spans="4:81">
      <c r="AO236" s="126" t="s">
        <v>46</v>
      </c>
      <c r="AP236" s="127">
        <f>BC94*10^-3</f>
        <v>0</v>
      </c>
      <c r="AQ236" s="127">
        <f>AP236</f>
        <v>0</v>
      </c>
      <c r="AR236" s="127" t="e">
        <f>BD94*10^-3</f>
        <v>#N/A</v>
      </c>
      <c r="AS236" s="127" t="e">
        <f>AR236</f>
        <v>#N/A</v>
      </c>
      <c r="AT236" s="127"/>
      <c r="AU236" s="127"/>
      <c r="AV236" s="127" t="e">
        <f>($BC$94+($BD$94-$BC$94)/5)*10^-3</f>
        <v>#N/A</v>
      </c>
      <c r="AW236" s="127" t="e">
        <f>AV236</f>
        <v>#N/A</v>
      </c>
      <c r="AX236" s="127" t="e">
        <f>($BC$94+($BD$94-$BC$94)*2/5)*10^-3</f>
        <v>#N/A</v>
      </c>
      <c r="AY236" s="127" t="e">
        <f t="shared" ref="AY236" si="79">($BC$94+($BD$94-$BC$94)*2/5)*10^-3</f>
        <v>#N/A</v>
      </c>
      <c r="AZ236" s="127" t="e">
        <f>($BC$94+($BD$94-$BC$94)*3/5)*10^-3</f>
        <v>#N/A</v>
      </c>
      <c r="BA236" s="127" t="e">
        <f>($BC$94+($BD$94-$BC$94)*3/5)*10^-3</f>
        <v>#N/A</v>
      </c>
      <c r="BB236" s="127" t="e">
        <f>($BC$94+($BD$94-$BC$94)*4/5)*10^-3</f>
        <v>#N/A</v>
      </c>
      <c r="BC236" s="94" t="e">
        <f>BB236</f>
        <v>#N/A</v>
      </c>
    </row>
    <row r="237" spans="4:81">
      <c r="AO237" s="57" t="s">
        <v>495</v>
      </c>
      <c r="AP237" s="215">
        <v>0</v>
      </c>
      <c r="AQ237" s="215">
        <f>W207</f>
        <v>0.15</v>
      </c>
      <c r="AR237" s="215">
        <f>W207</f>
        <v>0.15</v>
      </c>
      <c r="AS237" s="215">
        <f>AP237</f>
        <v>0</v>
      </c>
      <c r="AT237" s="215"/>
      <c r="AU237" s="215"/>
      <c r="AV237" s="215">
        <f>AP237</f>
        <v>0</v>
      </c>
      <c r="AW237" s="215">
        <f>AR237</f>
        <v>0.15</v>
      </c>
      <c r="AX237" s="215">
        <f t="shared" ref="AX237" si="80">AV237</f>
        <v>0</v>
      </c>
      <c r="AY237" s="215">
        <f t="shared" ref="AY237" si="81">AW237</f>
        <v>0.15</v>
      </c>
      <c r="AZ237" s="215">
        <f t="shared" ref="AZ237" si="82">AX237</f>
        <v>0</v>
      </c>
      <c r="BA237" s="215">
        <f t="shared" ref="BA237" si="83">AY237</f>
        <v>0.15</v>
      </c>
      <c r="BB237" s="215">
        <f t="shared" ref="BB237" si="84">AZ237</f>
        <v>0</v>
      </c>
      <c r="BC237" s="216">
        <f t="shared" ref="BC237" si="85">BA237</f>
        <v>0.15</v>
      </c>
    </row>
    <row r="239" spans="4:81">
      <c r="AP239" t="e">
        <f>IF(BA95=0,AZ95,AZ95 &amp; ":  " &amp; FIXED(BA95,2) &amp; BB95)</f>
        <v>#N/A</v>
      </c>
      <c r="AU239" t="e">
        <f>LEFT(AP239,FIND(":",AP239)-1) &amp; " mellem-pil"</f>
        <v>#N/A</v>
      </c>
      <c r="AW239" t="e">
        <f>AU239&amp;" 2"</f>
        <v>#N/A</v>
      </c>
      <c r="AY239" s="43" t="e">
        <f>AU239 &amp;" 3"</f>
        <v>#N/A</v>
      </c>
      <c r="BB239" t="e">
        <f>IF(BA96=0,AZ96,AZ96 &amp; ":  " &amp; FIXED(BA96,2) &amp; BB96)</f>
        <v>#N/A</v>
      </c>
      <c r="BC239" s="43"/>
    </row>
    <row r="240" spans="4:81">
      <c r="D240" s="6" t="s">
        <v>160</v>
      </c>
      <c r="V240" s="1" t="s">
        <v>182</v>
      </c>
      <c r="W240" s="1">
        <f>0.2*10^6</f>
        <v>200000</v>
      </c>
      <c r="X240" s="1" t="s">
        <v>67</v>
      </c>
      <c r="Y240" s="1"/>
      <c r="Z240" s="1"/>
      <c r="AO240" s="126" t="s">
        <v>46</v>
      </c>
      <c r="AP240" s="127" t="e">
        <f>BD95*10^-3</f>
        <v>#N/A</v>
      </c>
      <c r="AQ240" s="127" t="e">
        <f>AP240</f>
        <v>#N/A</v>
      </c>
      <c r="AR240" s="127" t="e">
        <f>IF(BA95=0,AQ240,BC95*10^-3)</f>
        <v>#N/A</v>
      </c>
      <c r="AS240" s="127" t="e">
        <f>AR240</f>
        <v>#N/A</v>
      </c>
      <c r="AT240" s="127"/>
      <c r="AU240" s="127" t="e">
        <f>AQ240+(AR240-AQ240)/4</f>
        <v>#N/A</v>
      </c>
      <c r="AV240" s="127" t="e">
        <f>AU240</f>
        <v>#N/A</v>
      </c>
      <c r="AW240" s="127" t="e">
        <f>AQ240+(AR240-AQ240)/2</f>
        <v>#N/A</v>
      </c>
      <c r="AX240" s="127" t="e">
        <f>AW240</f>
        <v>#N/A</v>
      </c>
      <c r="AY240" s="228" t="e">
        <f>AQ240+(AR240-AQ240)*3/4</f>
        <v>#N/A</v>
      </c>
      <c r="AZ240" s="228" t="e">
        <f>AY240</f>
        <v>#N/A</v>
      </c>
      <c r="BA240" s="46"/>
      <c r="BB240" s="127" t="e">
        <f>BC96*10^-3</f>
        <v>#N/A</v>
      </c>
      <c r="BC240" s="94" t="e">
        <f>BB240</f>
        <v>#N/A</v>
      </c>
      <c r="BD240" s="36"/>
      <c r="BE240" s="36"/>
      <c r="BF240" s="36"/>
      <c r="BG240" s="36"/>
      <c r="BH240" s="36"/>
    </row>
    <row r="241" spans="4:60" ht="19.5">
      <c r="D241" s="6" t="s">
        <v>161</v>
      </c>
      <c r="G241" s="6" t="s">
        <v>163</v>
      </c>
      <c r="H241" s="105" t="s">
        <v>18</v>
      </c>
      <c r="I241" s="150" t="e">
        <f>NA()</f>
        <v>#N/A</v>
      </c>
      <c r="J241" s="6" t="s">
        <v>37</v>
      </c>
      <c r="V241" s="1" t="s">
        <v>194</v>
      </c>
      <c r="W241" s="69">
        <f>I251/W240*100</f>
        <v>0.20833333333333334</v>
      </c>
      <c r="X241" s="1" t="s">
        <v>183</v>
      </c>
      <c r="Y241" s="1"/>
      <c r="Z241" s="1"/>
      <c r="AO241" s="57" t="s">
        <v>495</v>
      </c>
      <c r="AP241" s="215">
        <f>AR237</f>
        <v>0.15</v>
      </c>
      <c r="AQ241" s="215" t="e">
        <f>IF(BA95=0,AP241,AR237+AP241)</f>
        <v>#N/A</v>
      </c>
      <c r="AR241" s="215" t="e">
        <f>AQ241</f>
        <v>#N/A</v>
      </c>
      <c r="AS241" s="215">
        <f>AP241</f>
        <v>0.15</v>
      </c>
      <c r="AT241" s="215"/>
      <c r="AU241" s="215">
        <f>AP241</f>
        <v>0.15</v>
      </c>
      <c r="AV241" s="215" t="e">
        <f>AQ241</f>
        <v>#N/A</v>
      </c>
      <c r="AW241" s="215">
        <f>AU241</f>
        <v>0.15</v>
      </c>
      <c r="AX241" s="215" t="e">
        <f>AV241</f>
        <v>#N/A</v>
      </c>
      <c r="AY241" s="215">
        <f>AU241</f>
        <v>0.15</v>
      </c>
      <c r="AZ241" s="215" t="e">
        <f>AV241</f>
        <v>#N/A</v>
      </c>
      <c r="BA241" s="40"/>
      <c r="BB241" s="215">
        <v>0</v>
      </c>
      <c r="BC241" s="216" t="e">
        <f>IF(BA96=0,BB241,BB241+3*$W$207)</f>
        <v>#N/A</v>
      </c>
      <c r="BD241" s="38"/>
      <c r="BE241" s="38"/>
      <c r="BF241" s="38"/>
      <c r="BG241" s="38"/>
      <c r="BH241" s="38"/>
    </row>
    <row r="242" spans="4:60" ht="19.5">
      <c r="D242" s="6" t="s">
        <v>162</v>
      </c>
      <c r="G242" s="6" t="s">
        <v>120</v>
      </c>
      <c r="H242" s="105" t="s">
        <v>18</v>
      </c>
      <c r="I242" s="150" t="e">
        <f>NA()</f>
        <v>#N/A</v>
      </c>
      <c r="J242" s="6" t="s">
        <v>37</v>
      </c>
      <c r="V242" s="1" t="s">
        <v>195</v>
      </c>
      <c r="W242" s="1">
        <v>0.35</v>
      </c>
      <c r="X242" s="1" t="s">
        <v>183</v>
      </c>
      <c r="Y242" s="1"/>
      <c r="Z242" s="1"/>
      <c r="BC242" s="43"/>
    </row>
    <row r="243" spans="4:60">
      <c r="D243" s="6" t="s">
        <v>164</v>
      </c>
      <c r="G243" s="6" t="s">
        <v>166</v>
      </c>
      <c r="H243" s="105" t="s">
        <v>18</v>
      </c>
      <c r="I243" s="150" t="e">
        <f>NA()</f>
        <v>#N/A</v>
      </c>
      <c r="J243" s="6" t="s">
        <v>37</v>
      </c>
      <c r="V243" s="1" t="s">
        <v>186</v>
      </c>
      <c r="W243" s="13">
        <v>1</v>
      </c>
      <c r="X243" s="1"/>
      <c r="Y243" s="1"/>
      <c r="Z243" s="1"/>
      <c r="AP243" t="str">
        <f>IF(BA97=0,"",AZ97 &amp; ":  " &amp; FIXED(BA97,2) &amp; BB97)</f>
        <v/>
      </c>
      <c r="AS243" t="e">
        <f>IF(BA98=0,"",AZ98 &amp; ":  " &amp; FIXED(BA98,2) &amp; BB98)</f>
        <v>#N/A</v>
      </c>
      <c r="BC243" s="43"/>
    </row>
    <row r="244" spans="4:60">
      <c r="D244" s="6" t="s">
        <v>165</v>
      </c>
      <c r="G244" s="6" t="s">
        <v>167</v>
      </c>
      <c r="H244" s="105" t="s">
        <v>18</v>
      </c>
      <c r="I244" s="150" t="e">
        <f>NA()</f>
        <v>#N/A</v>
      </c>
      <c r="J244" s="6" t="s">
        <v>37</v>
      </c>
      <c r="V244" s="77" t="s">
        <v>184</v>
      </c>
      <c r="W244" s="1">
        <v>0.8</v>
      </c>
      <c r="X244" s="1"/>
      <c r="Y244" s="1"/>
      <c r="Z244" s="1"/>
      <c r="AO244" s="126" t="s">
        <v>46</v>
      </c>
      <c r="AP244" s="127" t="e">
        <f>BD97*10^-3</f>
        <v>#N/A</v>
      </c>
      <c r="AQ244" s="127" t="e">
        <f>AP244</f>
        <v>#N/A</v>
      </c>
      <c r="AR244" s="127"/>
      <c r="AS244" s="127" t="e">
        <f>BD98*10^-3</f>
        <v>#N/A</v>
      </c>
      <c r="AT244" s="127" t="e">
        <f>AS244</f>
        <v>#N/A</v>
      </c>
      <c r="AU244" s="232"/>
      <c r="AV244" s="36"/>
      <c r="BB244" s="36"/>
      <c r="BC244" s="36"/>
      <c r="BD244" s="36"/>
      <c r="BE244" s="36"/>
      <c r="BF244" s="36"/>
      <c r="BG244" s="36"/>
      <c r="BH244" s="36"/>
    </row>
    <row r="245" spans="4:60" ht="19.5">
      <c r="D245" s="6" t="s">
        <v>65</v>
      </c>
      <c r="G245" s="6" t="s">
        <v>66</v>
      </c>
      <c r="H245" s="105" t="s">
        <v>18</v>
      </c>
      <c r="I245" s="110">
        <f>$Q$83</f>
        <v>30</v>
      </c>
      <c r="J245" s="6" t="s">
        <v>67</v>
      </c>
      <c r="V245" s="1" t="s">
        <v>196</v>
      </c>
      <c r="W245" s="78">
        <f>MAX(0.26*(I247/I250)*(I251/I246),0.0013*I251/I246)</f>
        <v>2.9286511333037432E-2</v>
      </c>
      <c r="X245" s="1"/>
      <c r="Y245" s="1"/>
      <c r="Z245" s="1"/>
      <c r="AO245" s="57" t="s">
        <v>495</v>
      </c>
      <c r="AP245" s="215">
        <v>0</v>
      </c>
      <c r="AQ245" s="215">
        <f>IF(BA97=0,AP245,AP245+2*$W$207)</f>
        <v>0</v>
      </c>
      <c r="AR245" s="215"/>
      <c r="AS245" s="215">
        <v>0</v>
      </c>
      <c r="AT245" s="215" t="e">
        <f>IF(BA98=0,AS245,AS245+1.5*$W$207)</f>
        <v>#N/A</v>
      </c>
      <c r="AU245" s="233"/>
      <c r="AV245" s="38"/>
      <c r="AW245" s="9"/>
      <c r="BB245" s="38"/>
      <c r="BC245" s="38"/>
      <c r="BD245" s="38"/>
      <c r="BE245" s="38"/>
      <c r="BF245" s="38"/>
      <c r="BG245" s="38"/>
      <c r="BH245" s="38"/>
    </row>
    <row r="246" spans="4:60" ht="19.5">
      <c r="G246" s="6" t="s">
        <v>68</v>
      </c>
      <c r="H246" s="105" t="s">
        <v>18</v>
      </c>
      <c r="I246" s="108">
        <f>$Q$84</f>
        <v>21.428571428571431</v>
      </c>
      <c r="J246" s="6" t="s">
        <v>67</v>
      </c>
      <c r="V246" s="1" t="s">
        <v>197</v>
      </c>
      <c r="W246" s="69">
        <f>(W244*W242)/(W242+W241)</f>
        <v>0.5014925373134328</v>
      </c>
      <c r="X246" s="1"/>
      <c r="Y246" s="1"/>
      <c r="Z246" s="1"/>
      <c r="BC246" s="43"/>
    </row>
    <row r="247" spans="4:60">
      <c r="G247" s="6" t="s">
        <v>74</v>
      </c>
      <c r="H247" s="105" t="s">
        <v>18</v>
      </c>
      <c r="I247" s="108">
        <f>$Q$85</f>
        <v>2.896468153816889</v>
      </c>
      <c r="J247" s="6" t="s">
        <v>67</v>
      </c>
      <c r="V247" s="1" t="s">
        <v>190</v>
      </c>
      <c r="W247" s="1"/>
      <c r="X247" s="1"/>
      <c r="Y247" s="1"/>
      <c r="Z247" s="1"/>
    </row>
    <row r="248" spans="4:60">
      <c r="D248" s="6" t="s">
        <v>168</v>
      </c>
      <c r="G248" s="150" t="e">
        <f>NA()</f>
        <v>#N/A</v>
      </c>
      <c r="H248" s="105" t="s">
        <v>170</v>
      </c>
      <c r="I248" s="151">
        <v>8</v>
      </c>
      <c r="J248" s="6" t="s">
        <v>171</v>
      </c>
      <c r="V248" s="77" t="s">
        <v>185</v>
      </c>
      <c r="W248" s="69" t="e">
        <f>I252*I251/(I243*I242*W243*I246)</f>
        <v>#N/A</v>
      </c>
      <c r="X248" s="1"/>
      <c r="Y248" s="1"/>
      <c r="Z248" s="1"/>
    </row>
    <row r="249" spans="4:60">
      <c r="F249" s="111" t="s">
        <v>169</v>
      </c>
      <c r="G249" s="150" t="e">
        <f>NA()</f>
        <v>#N/A</v>
      </c>
      <c r="H249" s="105" t="s">
        <v>170</v>
      </c>
      <c r="I249" s="151">
        <v>8</v>
      </c>
      <c r="J249" s="6" t="s">
        <v>171</v>
      </c>
      <c r="V249" s="77" t="s">
        <v>185</v>
      </c>
      <c r="W249" s="69" t="e">
        <f>IF(AND(W248&gt;W245,W248&lt;W246),W248,0)</f>
        <v>#N/A</v>
      </c>
      <c r="X249" s="1"/>
      <c r="Y249" s="1" t="s">
        <v>188</v>
      </c>
      <c r="Z249" s="1"/>
    </row>
    <row r="250" spans="4:60">
      <c r="G250" s="6" t="s">
        <v>75</v>
      </c>
      <c r="H250" s="105" t="s">
        <v>18</v>
      </c>
      <c r="I250" s="6">
        <f>$Q$94</f>
        <v>500</v>
      </c>
      <c r="J250" s="6" t="s">
        <v>67</v>
      </c>
      <c r="V250" s="77" t="s">
        <v>187</v>
      </c>
      <c r="W250" s="69" t="e">
        <f>W249*(1-0.5*W249)</f>
        <v>#N/A</v>
      </c>
      <c r="X250" s="1"/>
      <c r="Y250" s="1"/>
      <c r="Z250" s="1"/>
    </row>
    <row r="251" spans="4:60" ht="19.5">
      <c r="G251" s="6" t="s">
        <v>76</v>
      </c>
      <c r="H251" s="105" t="s">
        <v>18</v>
      </c>
      <c r="I251" s="110">
        <f>$Q$95</f>
        <v>416.66666666666669</v>
      </c>
      <c r="J251" s="6" t="s">
        <v>67</v>
      </c>
      <c r="V251" s="77" t="s">
        <v>198</v>
      </c>
      <c r="W251" s="11" t="e">
        <f>W250*I243*I242^2*W243*I246*10^-6</f>
        <v>#N/A</v>
      </c>
      <c r="X251" s="1" t="s">
        <v>145</v>
      </c>
      <c r="Y251" s="1"/>
      <c r="Z251" s="1"/>
    </row>
    <row r="252" spans="4:60">
      <c r="G252" s="6" t="s">
        <v>172</v>
      </c>
      <c r="H252" s="105" t="s">
        <v>18</v>
      </c>
      <c r="I252" s="110" t="e">
        <f>PI()/4*I248^2*G248+PI()/4*I249^2*G249</f>
        <v>#N/A</v>
      </c>
      <c r="J252" s="6" t="s">
        <v>173</v>
      </c>
      <c r="V252" s="1"/>
      <c r="W252" s="1"/>
      <c r="X252" s="1"/>
      <c r="Y252" s="1"/>
      <c r="Z252" s="1"/>
    </row>
    <row r="253" spans="4:60">
      <c r="D253" s="6" t="s">
        <v>178</v>
      </c>
      <c r="H253" s="105" t="s">
        <v>170</v>
      </c>
      <c r="I253" s="151">
        <v>0</v>
      </c>
      <c r="J253" s="6" t="s">
        <v>179</v>
      </c>
      <c r="V253" s="1" t="s">
        <v>189</v>
      </c>
      <c r="W253" s="1"/>
      <c r="X253" s="1"/>
      <c r="Y253" s="1"/>
      <c r="Z253" s="1"/>
    </row>
    <row r="254" spans="4:60">
      <c r="E254" s="151">
        <v>1</v>
      </c>
      <c r="F254" s="118" t="s">
        <v>180</v>
      </c>
      <c r="H254" s="105"/>
      <c r="I254" s="150" t="e">
        <f>NA()</f>
        <v>#N/A</v>
      </c>
      <c r="J254" s="6" t="s">
        <v>37</v>
      </c>
      <c r="N254" s="106" t="e">
        <f>IF(I254&gt;0.7*I241,"For stor!","")</f>
        <v>#N/A</v>
      </c>
      <c r="V254" s="1" t="s">
        <v>191</v>
      </c>
      <c r="W254" s="11" t="e">
        <f>MIN(2,1+SQRT(200/I242))</f>
        <v>#N/A</v>
      </c>
      <c r="X254" s="1"/>
      <c r="Y254" s="1"/>
      <c r="Z254" s="1"/>
    </row>
    <row r="255" spans="4:60" ht="19.5">
      <c r="F255" s="118"/>
      <c r="G255" s="6" t="s">
        <v>75</v>
      </c>
      <c r="H255" s="105" t="s">
        <v>18</v>
      </c>
      <c r="I255" s="6">
        <f>$Q$94</f>
        <v>500</v>
      </c>
      <c r="J255" s="6" t="s">
        <v>67</v>
      </c>
      <c r="V255" s="1" t="s">
        <v>199</v>
      </c>
      <c r="W255" s="148">
        <v>0</v>
      </c>
      <c r="X255" s="1"/>
      <c r="Y255" s="1" t="s">
        <v>193</v>
      </c>
      <c r="Z255" s="1"/>
    </row>
    <row r="256" spans="4:60" ht="19.5">
      <c r="F256" s="118"/>
      <c r="G256" s="6" t="s">
        <v>181</v>
      </c>
      <c r="H256" s="105" t="s">
        <v>18</v>
      </c>
      <c r="I256" s="110">
        <f>$Q$95</f>
        <v>416.66666666666669</v>
      </c>
      <c r="J256" s="6" t="s">
        <v>67</v>
      </c>
      <c r="V256" s="76" t="s">
        <v>192</v>
      </c>
      <c r="W256" s="11" t="e">
        <f>0.035*W254^(3/2)*SQRT(I245)*I244*I242*10^-3</f>
        <v>#N/A</v>
      </c>
      <c r="X256" s="1" t="s">
        <v>41</v>
      </c>
      <c r="Y256" s="1" t="s">
        <v>203</v>
      </c>
      <c r="Z256" s="1"/>
    </row>
    <row r="257" spans="4:26" ht="19.5">
      <c r="V257" s="76" t="s">
        <v>192</v>
      </c>
      <c r="W257" s="11" t="e">
        <f>(0.18/$AI$95*W254*(100*W255/(I244*I242)*I245)^(1/3))*I244*I242*10^-3</f>
        <v>#N/A</v>
      </c>
      <c r="X257" s="1" t="s">
        <v>41</v>
      </c>
      <c r="Y257" s="1" t="s">
        <v>202</v>
      </c>
      <c r="Z257" s="1"/>
    </row>
    <row r="258" spans="4:26">
      <c r="D258" s="6" t="s">
        <v>174</v>
      </c>
      <c r="F258" s="111" t="s">
        <v>177</v>
      </c>
      <c r="K258" s="6" t="s">
        <v>176</v>
      </c>
      <c r="V258" s="1"/>
      <c r="W258" s="1"/>
      <c r="X258" s="1"/>
      <c r="Y258" s="1"/>
      <c r="Z258" s="1"/>
    </row>
    <row r="259" spans="4:26">
      <c r="F259" s="115" t="s">
        <v>201</v>
      </c>
      <c r="G259" s="108" t="e">
        <f>W251</f>
        <v>#N/A</v>
      </c>
      <c r="I259" s="6" t="s">
        <v>145</v>
      </c>
      <c r="J259" s="105" t="e">
        <f>IF(G259&gt;K259,"&gt;","&lt;")</f>
        <v>#N/A</v>
      </c>
      <c r="K259" s="108" t="e">
        <f>MAX(Snitkræfter!$D$66,ABS(Snitkræfter!$D$67))</f>
        <v>#N/A</v>
      </c>
      <c r="M259" s="6" t="e">
        <f>IF(G259&gt;K259,"Accept","Forkast")</f>
        <v>#N/A</v>
      </c>
      <c r="N259" s="106" t="e">
        <f>IF(M259="Forkast","NB!","")</f>
        <v>#N/A</v>
      </c>
      <c r="V259" s="1" t="s">
        <v>211</v>
      </c>
      <c r="W259" s="13">
        <v>1</v>
      </c>
      <c r="X259" s="1"/>
      <c r="Y259" s="1" t="s">
        <v>204</v>
      </c>
      <c r="Z259" s="1"/>
    </row>
    <row r="260" spans="4:26">
      <c r="F260" s="111"/>
      <c r="N260" s="116"/>
      <c r="V260" s="1" t="s">
        <v>205</v>
      </c>
      <c r="W260" s="11">
        <f>TAN(DEGREES(_xlfn.ACOT(W259)))</f>
        <v>1.6197751905438615</v>
      </c>
      <c r="X260" s="1"/>
      <c r="Y260" s="1"/>
      <c r="Z260" s="1"/>
    </row>
    <row r="261" spans="4:26" ht="19.5">
      <c r="D261" s="6" t="s">
        <v>175</v>
      </c>
      <c r="F261" s="111" t="s">
        <v>177</v>
      </c>
      <c r="N261" s="116"/>
      <c r="V261" s="1" t="s">
        <v>212</v>
      </c>
      <c r="W261" s="13">
        <v>1</v>
      </c>
      <c r="X261" s="1"/>
      <c r="Y261" s="1" t="s">
        <v>209</v>
      </c>
      <c r="Z261" s="1"/>
    </row>
    <row r="262" spans="4:26">
      <c r="F262" s="111" t="s">
        <v>200</v>
      </c>
      <c r="G262" s="108" t="e">
        <f>MAX(W256,W257)</f>
        <v>#N/A</v>
      </c>
      <c r="I262" s="6" t="s">
        <v>41</v>
      </c>
      <c r="J262" s="105" t="e">
        <f t="shared" ref="J262" si="86">IF(G262&gt;K262,"&gt;","&lt;")</f>
        <v>#N/A</v>
      </c>
      <c r="K262" s="108" t="e">
        <f>Snitkræfter!$D$68</f>
        <v>#N/A</v>
      </c>
      <c r="M262" s="6" t="e">
        <f>IF(I253&gt;0,"",IF(G262&gt;K262,"Accept","Forkast"))</f>
        <v>#N/A</v>
      </c>
      <c r="N262" s="106" t="e">
        <f>IF(M262="Forkast","NB!","")</f>
        <v>#N/A</v>
      </c>
      <c r="V262" s="1" t="s">
        <v>208</v>
      </c>
      <c r="W262" s="11">
        <f>0.6*(1-I245/250)</f>
        <v>0.52800000000000002</v>
      </c>
      <c r="X262" s="1"/>
      <c r="Y262" s="1" t="s">
        <v>210</v>
      </c>
      <c r="Z262" s="1"/>
    </row>
    <row r="263" spans="4:26" ht="19.5">
      <c r="F263" s="111" t="str">
        <f>IF(I253&gt;0,"V Rd,s =","")</f>
        <v/>
      </c>
      <c r="G263" s="119" t="str">
        <f>IF(I253&gt;0,MIN(W263,W264),"")</f>
        <v/>
      </c>
      <c r="H263" s="111"/>
      <c r="I263" s="113" t="str">
        <f>IF(I253&gt;0,"kN","")</f>
        <v/>
      </c>
      <c r="J263" s="105" t="str">
        <f>IF(I253&gt;0,IF(G263&gt;K263,"&gt;","&lt;"),"")</f>
        <v/>
      </c>
      <c r="K263" s="119" t="str">
        <f>IF(I253&gt;0,K262,"")</f>
        <v/>
      </c>
      <c r="M263" s="6" t="str">
        <f>IF(I253&gt;0,IF(G263&gt;K263,"Accept","Forkast"),"")</f>
        <v/>
      </c>
      <c r="N263" s="106" t="str">
        <f>IF(M263="Forkast","NB!","")</f>
        <v/>
      </c>
      <c r="V263" s="1" t="s">
        <v>213</v>
      </c>
      <c r="W263" s="13" t="e">
        <f>E254*I253^2*(PI()/4)/I254*I256*0.9*I242*10^-3</f>
        <v>#N/A</v>
      </c>
      <c r="X263" s="1" t="s">
        <v>41</v>
      </c>
      <c r="Y263" s="1" t="s">
        <v>206</v>
      </c>
      <c r="Z263" s="1"/>
    </row>
    <row r="264" spans="4:26" ht="19.5">
      <c r="F264" s="111"/>
      <c r="G264" s="119"/>
      <c r="H264" s="111"/>
      <c r="I264" s="113"/>
      <c r="J264" s="105"/>
      <c r="K264" s="119"/>
      <c r="N264" s="106"/>
      <c r="V264" s="1" t="s">
        <v>214</v>
      </c>
      <c r="W264" s="13" t="e">
        <f>W261*I244*0.9*I242*W262*I246/(W259+W260)*10^-3</f>
        <v>#N/A</v>
      </c>
      <c r="X264" s="1" t="s">
        <v>41</v>
      </c>
      <c r="Y264" s="1" t="s">
        <v>207</v>
      </c>
      <c r="Z264" s="1"/>
    </row>
    <row r="266" spans="4:26" ht="23.25">
      <c r="D266" s="80" t="s">
        <v>30</v>
      </c>
      <c r="E266" s="79">
        <f>$Z$85</f>
        <v>0</v>
      </c>
    </row>
    <row r="267" spans="4:26" ht="23.25">
      <c r="D267" s="80"/>
      <c r="E267" s="79"/>
    </row>
    <row r="268" spans="4:26" ht="23.25">
      <c r="D268" s="80"/>
      <c r="E268" s="79"/>
    </row>
    <row r="269" spans="4:26" ht="23.25">
      <c r="D269" s="80"/>
      <c r="E269" s="79"/>
    </row>
    <row r="270" spans="4:26" ht="23.25">
      <c r="D270" s="80"/>
      <c r="E270" s="79"/>
    </row>
    <row r="271" spans="4:26" ht="23.25">
      <c r="D271" s="80"/>
      <c r="E271" s="79"/>
    </row>
    <row r="272" spans="4:26" ht="23.25">
      <c r="D272" s="80"/>
      <c r="E272" s="79"/>
    </row>
    <row r="273" spans="4:68" ht="23.25">
      <c r="D273" s="80"/>
      <c r="E273" s="79"/>
      <c r="V273" t="s">
        <v>515</v>
      </c>
      <c r="W273" s="211">
        <v>0.15</v>
      </c>
    </row>
    <row r="274" spans="4:68" ht="23.25">
      <c r="D274" s="80"/>
      <c r="E274" s="79"/>
      <c r="V274" s="43" t="s">
        <v>516</v>
      </c>
      <c r="W274" s="211">
        <v>0.12</v>
      </c>
    </row>
    <row r="275" spans="4:68" ht="23.25">
      <c r="D275" s="80"/>
      <c r="E275" s="79"/>
    </row>
    <row r="276" spans="4:68" ht="23.25">
      <c r="D276" s="80"/>
      <c r="E276" s="79"/>
    </row>
    <row r="277" spans="4:68" ht="23.25">
      <c r="D277" s="80"/>
      <c r="E277" s="79"/>
    </row>
    <row r="278" spans="4:68" ht="23.25">
      <c r="D278" s="80"/>
      <c r="E278" s="79"/>
    </row>
    <row r="279" spans="4:68" ht="23.25">
      <c r="D279" s="80"/>
      <c r="E279" s="79"/>
    </row>
    <row r="280" spans="4:68" ht="23.25">
      <c r="D280" s="80"/>
      <c r="E280" s="79"/>
    </row>
    <row r="285" spans="4:68">
      <c r="AO285" s="40"/>
      <c r="AP285" s="40" t="s">
        <v>502</v>
      </c>
      <c r="AQ285" s="40"/>
      <c r="AR285" s="40" t="s">
        <v>505</v>
      </c>
      <c r="AS285" s="40"/>
      <c r="AT285" s="40"/>
      <c r="AU285" s="40"/>
      <c r="AV285" s="40" t="s">
        <v>504</v>
      </c>
      <c r="AW285" s="40"/>
      <c r="AX285" s="40"/>
      <c r="AY285" s="214"/>
      <c r="AZ285" t="s">
        <v>507</v>
      </c>
      <c r="BF285" t="s">
        <v>514</v>
      </c>
      <c r="BO285" t="s">
        <v>494</v>
      </c>
    </row>
    <row r="286" spans="4:68">
      <c r="AO286" s="128" t="s">
        <v>46</v>
      </c>
      <c r="AP286" s="36">
        <v>0</v>
      </c>
      <c r="AQ286" s="36" t="e">
        <f>AV91*10^-3</f>
        <v>#N/A</v>
      </c>
      <c r="AR286" s="219" t="e">
        <f>AS91*10^-3</f>
        <v>#N/A</v>
      </c>
      <c r="AS286" s="127" t="e">
        <f>AR286-$W$274/2</f>
        <v>#N/A</v>
      </c>
      <c r="AT286" s="228" t="e">
        <f>AS286+$W$274</f>
        <v>#N/A</v>
      </c>
      <c r="AU286" s="94" t="e">
        <f>AR286</f>
        <v>#N/A</v>
      </c>
      <c r="AV286" s="36" t="e">
        <f>(AV91-AU91)*10^-3</f>
        <v>#N/A</v>
      </c>
      <c r="AW286" s="36" t="e">
        <f>AV286-$W$274/2</f>
        <v>#N/A</v>
      </c>
      <c r="AX286" s="38" t="e">
        <f>AW286+$W$274</f>
        <v>#N/A</v>
      </c>
      <c r="AY286" s="52" t="e">
        <f>AV286</f>
        <v>#N/A</v>
      </c>
      <c r="AZ286" s="234" t="e">
        <f>AS286+(AT286-AR286)/3</f>
        <v>#N/A</v>
      </c>
      <c r="BA286" s="56" t="e">
        <f>AZ286-W274/3</f>
        <v>#N/A</v>
      </c>
      <c r="BB286" s="46" t="e">
        <f>AT286-(AT286-AR286)/3</f>
        <v>#N/A</v>
      </c>
      <c r="BC286" s="56" t="e">
        <f>BB286-W274/3</f>
        <v>#N/A</v>
      </c>
      <c r="BD286" s="56" t="e">
        <f>AZ286+(BB286-AZ286)/2</f>
        <v>#N/A</v>
      </c>
      <c r="BE286" s="47" t="e">
        <f>BD286-W274/3</f>
        <v>#N/A</v>
      </c>
      <c r="BF286" s="227" t="e">
        <f>AW286</f>
        <v>#N/A</v>
      </c>
      <c r="BG286" s="228" t="e">
        <f>AX286</f>
        <v>#N/A</v>
      </c>
      <c r="BH286" s="235" t="e">
        <f>AZ286+(AV286-AR286)</f>
        <v>#N/A</v>
      </c>
      <c r="BI286" s="56" t="e">
        <f>BA286+(AV286-AR286)</f>
        <v>#N/A</v>
      </c>
      <c r="BJ286" s="46" t="e">
        <f>AX286-(AX286-AV286)/3</f>
        <v>#N/A</v>
      </c>
      <c r="BK286" s="46" t="e">
        <f>BJ286-W274/3</f>
        <v>#N/A</v>
      </c>
      <c r="BL286" s="56" t="e">
        <f>BH286+(BJ286-BH286)/2</f>
        <v>#N/A</v>
      </c>
      <c r="BM286" s="47" t="e">
        <f>BL286-W274/3</f>
        <v>#N/A</v>
      </c>
      <c r="BO286" s="126" t="e">
        <f>AP286-AQ286/100</f>
        <v>#N/A</v>
      </c>
      <c r="BP286" s="47" t="e">
        <f>AQ286+AQ286/100</f>
        <v>#N/A</v>
      </c>
    </row>
    <row r="287" spans="4:68">
      <c r="AO287" s="57" t="s">
        <v>495</v>
      </c>
      <c r="AP287" s="129">
        <v>0</v>
      </c>
      <c r="AQ287" s="129">
        <v>0</v>
      </c>
      <c r="AR287" s="220">
        <v>0</v>
      </c>
      <c r="AS287" s="213">
        <f>2*$W$274*SIN(60)</f>
        <v>-7.3154549064532004E-2</v>
      </c>
      <c r="AT287" s="213">
        <f>AS287</f>
        <v>-7.3154549064532004E-2</v>
      </c>
      <c r="AU287" s="131">
        <f>AR287</f>
        <v>0</v>
      </c>
      <c r="AV287" s="129">
        <v>0</v>
      </c>
      <c r="AW287" s="213">
        <f>2*$W$274*SIN(60)</f>
        <v>-7.3154549064532004E-2</v>
      </c>
      <c r="AX287" s="213">
        <f>AW287</f>
        <v>-7.3154549064532004E-2</v>
      </c>
      <c r="AY287" s="131">
        <f>AV287</f>
        <v>0</v>
      </c>
      <c r="AZ287" s="217">
        <f>AS287</f>
        <v>-7.3154549064532004E-2</v>
      </c>
      <c r="BA287" s="37">
        <f>AZ287+AS287*2/3</f>
        <v>-0.12192424844088667</v>
      </c>
      <c r="BB287" s="37">
        <f>AT287</f>
        <v>-7.3154549064532004E-2</v>
      </c>
      <c r="BC287" s="37">
        <f>BA287</f>
        <v>-0.12192424844088667</v>
      </c>
      <c r="BD287" s="37">
        <f>BB287</f>
        <v>-7.3154549064532004E-2</v>
      </c>
      <c r="BE287" s="218">
        <f>BC287</f>
        <v>-0.12192424844088667</v>
      </c>
      <c r="BF287" s="230">
        <f>AW287-2*AQ289</f>
        <v>-0.103154549064532</v>
      </c>
      <c r="BG287" s="215">
        <f>BF287</f>
        <v>-0.103154549064532</v>
      </c>
      <c r="BH287" s="37">
        <f>BG287</f>
        <v>-0.103154549064532</v>
      </c>
      <c r="BI287" s="231">
        <f>BA287-2*AQ289</f>
        <v>-0.15192424844088667</v>
      </c>
      <c r="BJ287" s="37">
        <f>BH287</f>
        <v>-0.103154549064532</v>
      </c>
      <c r="BK287" s="231">
        <f>BI287</f>
        <v>-0.15192424844088667</v>
      </c>
      <c r="BL287" s="37">
        <f>BJ287</f>
        <v>-0.103154549064532</v>
      </c>
      <c r="BM287" s="218">
        <f>BK287</f>
        <v>-0.15192424844088667</v>
      </c>
      <c r="BO287" s="57">
        <v>0</v>
      </c>
      <c r="BP287" s="51">
        <v>0</v>
      </c>
    </row>
    <row r="289" spans="41:81">
      <c r="AO289" s="126"/>
      <c r="AP289" s="223" t="s">
        <v>509</v>
      </c>
      <c r="AQ289" s="91">
        <f>W274/8</f>
        <v>1.4999999999999999E-2</v>
      </c>
      <c r="AR289" s="46" t="s">
        <v>511</v>
      </c>
      <c r="AS289" s="127">
        <v>0</v>
      </c>
      <c r="AT289" s="127">
        <v>10</v>
      </c>
      <c r="AU289" s="127">
        <v>20</v>
      </c>
      <c r="AV289" s="127">
        <v>30</v>
      </c>
      <c r="AW289" s="127">
        <v>40</v>
      </c>
      <c r="AX289" s="127">
        <v>50</v>
      </c>
      <c r="AY289" s="127">
        <v>60</v>
      </c>
      <c r="AZ289" s="127">
        <v>70</v>
      </c>
      <c r="BA289" s="127">
        <v>80</v>
      </c>
      <c r="BB289" s="127">
        <v>90</v>
      </c>
      <c r="BC289" s="127">
        <v>100</v>
      </c>
      <c r="BD289" s="127">
        <v>110</v>
      </c>
      <c r="BE289" s="127">
        <v>120</v>
      </c>
      <c r="BF289" s="127">
        <v>130</v>
      </c>
      <c r="BG289" s="127">
        <v>140</v>
      </c>
      <c r="BH289" s="127">
        <v>150</v>
      </c>
      <c r="BI289" s="127">
        <v>160</v>
      </c>
      <c r="BJ289" s="127">
        <v>170</v>
      </c>
      <c r="BK289" s="127">
        <v>180</v>
      </c>
      <c r="BL289" s="127">
        <v>190</v>
      </c>
      <c r="BM289" s="127">
        <v>200</v>
      </c>
      <c r="BN289" s="127">
        <v>210</v>
      </c>
      <c r="BO289" s="127">
        <v>220</v>
      </c>
      <c r="BP289" s="127">
        <v>230</v>
      </c>
      <c r="BQ289" s="127">
        <v>240</v>
      </c>
      <c r="BR289" s="127">
        <v>250</v>
      </c>
      <c r="BS289" s="127">
        <v>260</v>
      </c>
      <c r="BT289" s="127">
        <v>270</v>
      </c>
      <c r="BU289" s="127">
        <v>280</v>
      </c>
      <c r="BV289" s="127">
        <v>290</v>
      </c>
      <c r="BW289" s="127">
        <v>300</v>
      </c>
      <c r="BX289" s="127">
        <v>310</v>
      </c>
      <c r="BY289" s="127">
        <v>320</v>
      </c>
      <c r="BZ289" s="127">
        <v>330</v>
      </c>
      <c r="CA289" s="127">
        <v>340</v>
      </c>
      <c r="CB289" s="127">
        <v>350</v>
      </c>
      <c r="CC289" s="94">
        <v>360</v>
      </c>
    </row>
    <row r="290" spans="41:81">
      <c r="AO290" s="128"/>
      <c r="AP290" t="s">
        <v>508</v>
      </c>
      <c r="AR290" s="135" t="s">
        <v>510</v>
      </c>
      <c r="AS290" s="38">
        <f>RADIANS(AS289)</f>
        <v>0</v>
      </c>
      <c r="AT290" s="38">
        <f>RADIANS(AT289)</f>
        <v>0.17453292519943295</v>
      </c>
      <c r="AU290" s="38">
        <f t="shared" ref="AU290:BQ290" si="87">RADIANS(AU289)</f>
        <v>0.3490658503988659</v>
      </c>
      <c r="AV290" s="38">
        <f t="shared" si="87"/>
        <v>0.52359877559829882</v>
      </c>
      <c r="AW290" s="38">
        <f t="shared" si="87"/>
        <v>0.69813170079773179</v>
      </c>
      <c r="AX290" s="38">
        <f t="shared" si="87"/>
        <v>0.87266462599716477</v>
      </c>
      <c r="AY290" s="38">
        <f t="shared" si="87"/>
        <v>1.0471975511965976</v>
      </c>
      <c r="AZ290" s="38">
        <f t="shared" si="87"/>
        <v>1.2217304763960306</v>
      </c>
      <c r="BA290" s="38">
        <f t="shared" si="87"/>
        <v>1.3962634015954636</v>
      </c>
      <c r="BB290" s="38">
        <f t="shared" si="87"/>
        <v>1.5707963267948966</v>
      </c>
      <c r="BC290" s="38">
        <f t="shared" si="87"/>
        <v>1.7453292519943295</v>
      </c>
      <c r="BD290" s="38">
        <f t="shared" si="87"/>
        <v>1.9198621771937625</v>
      </c>
      <c r="BE290" s="38">
        <f t="shared" si="87"/>
        <v>2.0943951023931953</v>
      </c>
      <c r="BF290" s="38">
        <f t="shared" si="87"/>
        <v>2.2689280275926285</v>
      </c>
      <c r="BG290" s="38">
        <f t="shared" si="87"/>
        <v>2.4434609527920612</v>
      </c>
      <c r="BH290" s="38">
        <f t="shared" si="87"/>
        <v>2.6179938779914944</v>
      </c>
      <c r="BI290" s="38">
        <f t="shared" si="87"/>
        <v>2.7925268031909272</v>
      </c>
      <c r="BJ290" s="38">
        <f t="shared" si="87"/>
        <v>2.9670597283903604</v>
      </c>
      <c r="BK290" s="38">
        <f t="shared" si="87"/>
        <v>3.1415926535897931</v>
      </c>
      <c r="BL290" s="38">
        <f t="shared" si="87"/>
        <v>3.3161255787892263</v>
      </c>
      <c r="BM290" s="38">
        <f t="shared" si="87"/>
        <v>3.4906585039886591</v>
      </c>
      <c r="BN290" s="38">
        <f t="shared" si="87"/>
        <v>3.6651914291880923</v>
      </c>
      <c r="BO290" s="38">
        <f t="shared" si="87"/>
        <v>3.839724354387525</v>
      </c>
      <c r="BP290" s="38">
        <f t="shared" si="87"/>
        <v>4.0142572795869578</v>
      </c>
      <c r="BQ290" s="38">
        <f t="shared" si="87"/>
        <v>4.1887902047863905</v>
      </c>
      <c r="BR290" s="38">
        <f>RADIANS(BR289)</f>
        <v>4.3633231299858242</v>
      </c>
      <c r="BS290" s="38">
        <f>RADIANS(BS289)</f>
        <v>4.5378560551852569</v>
      </c>
      <c r="BT290" s="38">
        <f t="shared" ref="BT290:CC290" si="88">RADIANS(BT289)</f>
        <v>4.7123889803846897</v>
      </c>
      <c r="BU290" s="38">
        <f t="shared" si="88"/>
        <v>4.8869219055841224</v>
      </c>
      <c r="BV290" s="38">
        <f t="shared" si="88"/>
        <v>5.0614548307835561</v>
      </c>
      <c r="BW290" s="38">
        <f t="shared" si="88"/>
        <v>5.2359877559829888</v>
      </c>
      <c r="BX290" s="38">
        <f t="shared" si="88"/>
        <v>5.4105206811824216</v>
      </c>
      <c r="BY290" s="38">
        <f t="shared" si="88"/>
        <v>5.5850536063818543</v>
      </c>
      <c r="BZ290" s="38">
        <f t="shared" si="88"/>
        <v>5.7595865315812871</v>
      </c>
      <c r="CA290" s="38">
        <f t="shared" si="88"/>
        <v>5.9341194567807207</v>
      </c>
      <c r="CB290" s="38">
        <f t="shared" si="88"/>
        <v>6.1086523819801535</v>
      </c>
      <c r="CC290" s="224">
        <f t="shared" si="88"/>
        <v>6.2831853071795862</v>
      </c>
    </row>
    <row r="291" spans="41:81">
      <c r="AO291" s="128" t="s">
        <v>512</v>
      </c>
      <c r="AP291" s="36" t="e">
        <f>AX286-(AX286-AW286)/5</f>
        <v>#N/A</v>
      </c>
      <c r="AS291" s="210" t="e">
        <f>$AP$291+COS(AS290)*$AQ$289</f>
        <v>#N/A</v>
      </c>
      <c r="AT291" s="210" t="e">
        <f t="shared" ref="AT291:CC291" si="89">$AP$291+COS(AT290)*$AQ$289</f>
        <v>#N/A</v>
      </c>
      <c r="AU291" s="210" t="e">
        <f t="shared" si="89"/>
        <v>#N/A</v>
      </c>
      <c r="AV291" s="210" t="e">
        <f t="shared" si="89"/>
        <v>#N/A</v>
      </c>
      <c r="AW291" s="210" t="e">
        <f t="shared" si="89"/>
        <v>#N/A</v>
      </c>
      <c r="AX291" s="210" t="e">
        <f t="shared" si="89"/>
        <v>#N/A</v>
      </c>
      <c r="AY291" s="210" t="e">
        <f t="shared" si="89"/>
        <v>#N/A</v>
      </c>
      <c r="AZ291" s="210" t="e">
        <f t="shared" si="89"/>
        <v>#N/A</v>
      </c>
      <c r="BA291" s="210" t="e">
        <f t="shared" si="89"/>
        <v>#N/A</v>
      </c>
      <c r="BB291" s="210" t="e">
        <f t="shared" si="89"/>
        <v>#N/A</v>
      </c>
      <c r="BC291" s="210" t="e">
        <f t="shared" si="89"/>
        <v>#N/A</v>
      </c>
      <c r="BD291" s="210" t="e">
        <f t="shared" si="89"/>
        <v>#N/A</v>
      </c>
      <c r="BE291" s="210" t="e">
        <f t="shared" si="89"/>
        <v>#N/A</v>
      </c>
      <c r="BF291" s="210" t="e">
        <f t="shared" si="89"/>
        <v>#N/A</v>
      </c>
      <c r="BG291" s="210" t="e">
        <f t="shared" si="89"/>
        <v>#N/A</v>
      </c>
      <c r="BH291" s="210" t="e">
        <f t="shared" si="89"/>
        <v>#N/A</v>
      </c>
      <c r="BI291" s="210" t="e">
        <f t="shared" si="89"/>
        <v>#N/A</v>
      </c>
      <c r="BJ291" s="210" t="e">
        <f t="shared" si="89"/>
        <v>#N/A</v>
      </c>
      <c r="BK291" s="210" t="e">
        <f t="shared" si="89"/>
        <v>#N/A</v>
      </c>
      <c r="BL291" s="210" t="e">
        <f t="shared" si="89"/>
        <v>#N/A</v>
      </c>
      <c r="BM291" s="210" t="e">
        <f t="shared" si="89"/>
        <v>#N/A</v>
      </c>
      <c r="BN291" s="210" t="e">
        <f t="shared" si="89"/>
        <v>#N/A</v>
      </c>
      <c r="BO291" s="210" t="e">
        <f t="shared" si="89"/>
        <v>#N/A</v>
      </c>
      <c r="BP291" s="210" t="e">
        <f t="shared" si="89"/>
        <v>#N/A</v>
      </c>
      <c r="BQ291" s="210" t="e">
        <f t="shared" si="89"/>
        <v>#N/A</v>
      </c>
      <c r="BR291" s="210" t="e">
        <f t="shared" si="89"/>
        <v>#N/A</v>
      </c>
      <c r="BS291" s="210" t="e">
        <f t="shared" si="89"/>
        <v>#N/A</v>
      </c>
      <c r="BT291" s="210" t="e">
        <f t="shared" si="89"/>
        <v>#N/A</v>
      </c>
      <c r="BU291" s="210" t="e">
        <f t="shared" si="89"/>
        <v>#N/A</v>
      </c>
      <c r="BV291" s="210" t="e">
        <f t="shared" si="89"/>
        <v>#N/A</v>
      </c>
      <c r="BW291" s="210" t="e">
        <f t="shared" si="89"/>
        <v>#N/A</v>
      </c>
      <c r="BX291" s="210" t="e">
        <f t="shared" si="89"/>
        <v>#N/A</v>
      </c>
      <c r="BY291" s="210" t="e">
        <f t="shared" si="89"/>
        <v>#N/A</v>
      </c>
      <c r="BZ291" s="210" t="e">
        <f t="shared" si="89"/>
        <v>#N/A</v>
      </c>
      <c r="CA291" s="210" t="e">
        <f t="shared" si="89"/>
        <v>#N/A</v>
      </c>
      <c r="CB291" s="210" t="e">
        <f t="shared" si="89"/>
        <v>#N/A</v>
      </c>
      <c r="CC291" s="225" t="e">
        <f t="shared" si="89"/>
        <v>#N/A</v>
      </c>
    </row>
    <row r="292" spans="41:81">
      <c r="AO292" s="128" t="s">
        <v>513</v>
      </c>
      <c r="AP292" s="212" t="e">
        <f>AW286+(AX286-AW286)/5</f>
        <v>#N/A</v>
      </c>
      <c r="AS292" s="210" t="e">
        <f>$AP$292+COS(AS290)*$AQ$289</f>
        <v>#N/A</v>
      </c>
      <c r="AT292" s="210" t="e">
        <f t="shared" ref="AT292:CC292" si="90">$AP$292+COS(AT290)*$AQ$289</f>
        <v>#N/A</v>
      </c>
      <c r="AU292" s="210" t="e">
        <f t="shared" si="90"/>
        <v>#N/A</v>
      </c>
      <c r="AV292" s="210" t="e">
        <f t="shared" si="90"/>
        <v>#N/A</v>
      </c>
      <c r="AW292" s="210" t="e">
        <f t="shared" si="90"/>
        <v>#N/A</v>
      </c>
      <c r="AX292" s="210" t="e">
        <f t="shared" si="90"/>
        <v>#N/A</v>
      </c>
      <c r="AY292" s="210" t="e">
        <f t="shared" si="90"/>
        <v>#N/A</v>
      </c>
      <c r="AZ292" s="210" t="e">
        <f t="shared" si="90"/>
        <v>#N/A</v>
      </c>
      <c r="BA292" s="210" t="e">
        <f t="shared" si="90"/>
        <v>#N/A</v>
      </c>
      <c r="BB292" s="210" t="e">
        <f t="shared" si="90"/>
        <v>#N/A</v>
      </c>
      <c r="BC292" s="210" t="e">
        <f t="shared" si="90"/>
        <v>#N/A</v>
      </c>
      <c r="BD292" s="210" t="e">
        <f t="shared" si="90"/>
        <v>#N/A</v>
      </c>
      <c r="BE292" s="210" t="e">
        <f t="shared" si="90"/>
        <v>#N/A</v>
      </c>
      <c r="BF292" s="210" t="e">
        <f t="shared" si="90"/>
        <v>#N/A</v>
      </c>
      <c r="BG292" s="210" t="e">
        <f t="shared" si="90"/>
        <v>#N/A</v>
      </c>
      <c r="BH292" s="210" t="e">
        <f t="shared" si="90"/>
        <v>#N/A</v>
      </c>
      <c r="BI292" s="210" t="e">
        <f t="shared" si="90"/>
        <v>#N/A</v>
      </c>
      <c r="BJ292" s="210" t="e">
        <f t="shared" si="90"/>
        <v>#N/A</v>
      </c>
      <c r="BK292" s="210" t="e">
        <f t="shared" si="90"/>
        <v>#N/A</v>
      </c>
      <c r="BL292" s="210" t="e">
        <f t="shared" si="90"/>
        <v>#N/A</v>
      </c>
      <c r="BM292" s="210" t="e">
        <f t="shared" si="90"/>
        <v>#N/A</v>
      </c>
      <c r="BN292" s="210" t="e">
        <f t="shared" si="90"/>
        <v>#N/A</v>
      </c>
      <c r="BO292" s="210" t="e">
        <f t="shared" si="90"/>
        <v>#N/A</v>
      </c>
      <c r="BP292" s="210" t="e">
        <f t="shared" si="90"/>
        <v>#N/A</v>
      </c>
      <c r="BQ292" s="210" t="e">
        <f t="shared" si="90"/>
        <v>#N/A</v>
      </c>
      <c r="BR292" s="210" t="e">
        <f t="shared" si="90"/>
        <v>#N/A</v>
      </c>
      <c r="BS292" s="210" t="e">
        <f t="shared" si="90"/>
        <v>#N/A</v>
      </c>
      <c r="BT292" s="210" t="e">
        <f t="shared" si="90"/>
        <v>#N/A</v>
      </c>
      <c r="BU292" s="210" t="e">
        <f t="shared" si="90"/>
        <v>#N/A</v>
      </c>
      <c r="BV292" s="210" t="e">
        <f t="shared" si="90"/>
        <v>#N/A</v>
      </c>
      <c r="BW292" s="210" t="e">
        <f t="shared" si="90"/>
        <v>#N/A</v>
      </c>
      <c r="BX292" s="210" t="e">
        <f t="shared" si="90"/>
        <v>#N/A</v>
      </c>
      <c r="BY292" s="210" t="e">
        <f t="shared" si="90"/>
        <v>#N/A</v>
      </c>
      <c r="BZ292" s="210" t="e">
        <f t="shared" si="90"/>
        <v>#N/A</v>
      </c>
      <c r="CA292" s="210" t="e">
        <f t="shared" si="90"/>
        <v>#N/A</v>
      </c>
      <c r="CB292" s="210" t="e">
        <f t="shared" si="90"/>
        <v>#N/A</v>
      </c>
      <c r="CC292" s="225" t="e">
        <f t="shared" si="90"/>
        <v>#N/A</v>
      </c>
    </row>
    <row r="293" spans="41:81">
      <c r="AO293" s="57" t="s">
        <v>495</v>
      </c>
      <c r="AP293" s="213">
        <f>AW287-AQ289</f>
        <v>-8.8154549064532003E-2</v>
      </c>
      <c r="AQ293" s="40"/>
      <c r="AR293" s="40"/>
      <c r="AS293" s="213">
        <f>$AP$293+SIN(AS290)*$AQ$289</f>
        <v>-8.8154549064532003E-2</v>
      </c>
      <c r="AT293" s="213">
        <f t="shared" ref="AT293:CC293" si="91">$AP$293+SIN(AT290)*$AQ$289</f>
        <v>-8.5549826399528045E-2</v>
      </c>
      <c r="AU293" s="213">
        <f t="shared" si="91"/>
        <v>-8.3024246914646979E-2</v>
      </c>
      <c r="AV293" s="213">
        <f t="shared" si="91"/>
        <v>-8.0654549064532011E-2</v>
      </c>
      <c r="AW293" s="213">
        <f t="shared" si="91"/>
        <v>-7.8512734919233912E-2</v>
      </c>
      <c r="AX293" s="213">
        <f t="shared" si="91"/>
        <v>-7.6663882417747339E-2</v>
      </c>
      <c r="AY293" s="213">
        <f t="shared" si="91"/>
        <v>-7.5164168007765431E-2</v>
      </c>
      <c r="AZ293" s="213">
        <f t="shared" si="91"/>
        <v>-7.4059159752743381E-2</v>
      </c>
      <c r="BA293" s="213">
        <f t="shared" si="91"/>
        <v>-7.3382432769348888E-2</v>
      </c>
      <c r="BB293" s="213">
        <f t="shared" si="91"/>
        <v>-7.3154549064532004E-2</v>
      </c>
      <c r="BC293" s="213">
        <f t="shared" si="91"/>
        <v>-7.3382432769348888E-2</v>
      </c>
      <c r="BD293" s="213">
        <f t="shared" si="91"/>
        <v>-7.4059159752743381E-2</v>
      </c>
      <c r="BE293" s="213">
        <f t="shared" si="91"/>
        <v>-7.5164168007765431E-2</v>
      </c>
      <c r="BF293" s="213">
        <f t="shared" si="91"/>
        <v>-7.6663882417747339E-2</v>
      </c>
      <c r="BG293" s="213">
        <f t="shared" si="91"/>
        <v>-7.8512734919233912E-2</v>
      </c>
      <c r="BH293" s="213">
        <f t="shared" si="91"/>
        <v>-8.0654549064532011E-2</v>
      </c>
      <c r="BI293" s="213">
        <f t="shared" si="91"/>
        <v>-8.3024246914646965E-2</v>
      </c>
      <c r="BJ293" s="213">
        <f t="shared" si="91"/>
        <v>-8.5549826399528045E-2</v>
      </c>
      <c r="BK293" s="213">
        <f t="shared" si="91"/>
        <v>-8.8154549064532003E-2</v>
      </c>
      <c r="BL293" s="213">
        <f t="shared" si="91"/>
        <v>-9.0759271729535962E-2</v>
      </c>
      <c r="BM293" s="213">
        <f t="shared" si="91"/>
        <v>-9.3284851214417028E-2</v>
      </c>
      <c r="BN293" s="213">
        <f t="shared" si="91"/>
        <v>-9.565454906453201E-2</v>
      </c>
      <c r="BO293" s="213">
        <f t="shared" si="91"/>
        <v>-9.7796363209830095E-2</v>
      </c>
      <c r="BP293" s="213">
        <f t="shared" si="91"/>
        <v>-9.9645215711316668E-2</v>
      </c>
      <c r="BQ293" s="213">
        <f t="shared" si="91"/>
        <v>-0.10114493012129858</v>
      </c>
      <c r="BR293" s="213">
        <f t="shared" si="91"/>
        <v>-0.10224993837632063</v>
      </c>
      <c r="BS293" s="213">
        <f t="shared" si="91"/>
        <v>-0.10292666535971512</v>
      </c>
      <c r="BT293" s="213">
        <f t="shared" si="91"/>
        <v>-0.103154549064532</v>
      </c>
      <c r="BU293" s="213">
        <f t="shared" si="91"/>
        <v>-0.10292666535971512</v>
      </c>
      <c r="BV293" s="213">
        <f t="shared" si="91"/>
        <v>-0.10224993837632063</v>
      </c>
      <c r="BW293" s="213">
        <f t="shared" si="91"/>
        <v>-0.10114493012129858</v>
      </c>
      <c r="BX293" s="213">
        <f t="shared" si="91"/>
        <v>-9.9645215711316681E-2</v>
      </c>
      <c r="BY293" s="213">
        <f t="shared" si="91"/>
        <v>-9.7796363209830095E-2</v>
      </c>
      <c r="BZ293" s="213">
        <f t="shared" si="91"/>
        <v>-9.565454906453201E-2</v>
      </c>
      <c r="CA293" s="213">
        <f t="shared" si="91"/>
        <v>-9.3284851214417028E-2</v>
      </c>
      <c r="CB293" s="213">
        <f t="shared" si="91"/>
        <v>-9.0759271729535962E-2</v>
      </c>
      <c r="CC293" s="226">
        <f t="shared" si="91"/>
        <v>-8.8154549064532003E-2</v>
      </c>
    </row>
    <row r="294" spans="41:81">
      <c r="AY294" s="222"/>
    </row>
    <row r="295" spans="41:81">
      <c r="AP295" s="54" t="s">
        <v>503</v>
      </c>
    </row>
    <row r="296" spans="41:81">
      <c r="AO296" s="126"/>
      <c r="AP296" s="46" t="s">
        <v>33</v>
      </c>
      <c r="AQ296" s="46"/>
      <c r="AR296" s="47"/>
    </row>
    <row r="297" spans="41:81">
      <c r="AO297" s="128" t="s">
        <v>46</v>
      </c>
      <c r="AP297">
        <f>AP286</f>
        <v>0</v>
      </c>
      <c r="AQ297" t="e">
        <f>AR297/2</f>
        <v>#N/A</v>
      </c>
      <c r="AR297" s="49" t="e">
        <f>AQ286</f>
        <v>#N/A</v>
      </c>
      <c r="AT297" s="210">
        <f>AP297</f>
        <v>0</v>
      </c>
      <c r="AU297" s="210">
        <f>AP302</f>
        <v>0</v>
      </c>
      <c r="AV297" s="210">
        <f>BD306</f>
        <v>0</v>
      </c>
      <c r="AW297" s="210" t="e">
        <f>AR306</f>
        <v>#N/A</v>
      </c>
      <c r="AX297" s="210" t="e">
        <f>AQ310</f>
        <v>#N/A</v>
      </c>
      <c r="AY297" s="210" t="e">
        <f>AR297</f>
        <v>#N/A</v>
      </c>
      <c r="BA297" s="210"/>
      <c r="BC297" s="210"/>
    </row>
    <row r="298" spans="41:81">
      <c r="AO298" s="57" t="s">
        <v>495</v>
      </c>
      <c r="AP298" s="40">
        <v>-0.3</v>
      </c>
      <c r="AQ298" s="40">
        <f>AP298</f>
        <v>-0.3</v>
      </c>
      <c r="AR298" s="51">
        <f>AQ298</f>
        <v>-0.3</v>
      </c>
      <c r="AT298" s="36">
        <f>AP298-0.2</f>
        <v>-0.5</v>
      </c>
      <c r="AU298" s="36">
        <f>AT298</f>
        <v>-0.5</v>
      </c>
      <c r="AV298" s="36">
        <f>AU298</f>
        <v>-0.5</v>
      </c>
      <c r="AW298" s="36">
        <f>AV298</f>
        <v>-0.5</v>
      </c>
      <c r="AX298" s="36">
        <f>AW298</f>
        <v>-0.5</v>
      </c>
      <c r="AY298" s="36">
        <f>AX298</f>
        <v>-0.5</v>
      </c>
      <c r="BA298" s="36"/>
      <c r="BC298" s="36"/>
    </row>
    <row r="300" spans="41:81">
      <c r="AP300" s="54" t="s">
        <v>506</v>
      </c>
    </row>
    <row r="301" spans="41:81">
      <c r="AP301" s="9" t="e">
        <f>AZ104 &amp; ":  " &amp; FIXED(BA104,2) &amp; BB104</f>
        <v>#N/A</v>
      </c>
    </row>
    <row r="302" spans="41:81">
      <c r="AO302" s="126" t="s">
        <v>46</v>
      </c>
      <c r="AP302" s="127">
        <f>BC104*10^-3</f>
        <v>0</v>
      </c>
      <c r="AQ302" s="127">
        <f>AP302</f>
        <v>0</v>
      </c>
      <c r="AR302" s="127" t="e">
        <f>BD104*10^-3</f>
        <v>#N/A</v>
      </c>
      <c r="AS302" s="127" t="e">
        <f>AR302</f>
        <v>#N/A</v>
      </c>
      <c r="AT302" s="127"/>
      <c r="AU302" s="127"/>
      <c r="AV302" s="127" t="e">
        <f>($BC$104+($BD$104-$BC$104)/5)*10^-3</f>
        <v>#N/A</v>
      </c>
      <c r="AW302" s="127" t="e">
        <f>AV302</f>
        <v>#N/A</v>
      </c>
      <c r="AX302" s="127" t="e">
        <f>($BC$104+($BD$104-$BC$104)*2/5)*10^-3</f>
        <v>#N/A</v>
      </c>
      <c r="AY302" s="127" t="e">
        <f>($BC$104+($BD$104-$BC$104)*2/5)*10^-3</f>
        <v>#N/A</v>
      </c>
      <c r="AZ302" s="127" t="e">
        <f>($BC$104+($BD$104-$BC$104)*3/5)*10^-3</f>
        <v>#N/A</v>
      </c>
      <c r="BA302" s="127" t="e">
        <f>($BC$104+($BD$104-$BC$104)*3/5)*10^-3</f>
        <v>#N/A</v>
      </c>
      <c r="BB302" s="127" t="e">
        <f>($BC$104+($BD$104-$BC$104)*4/5)*10^-3</f>
        <v>#N/A</v>
      </c>
      <c r="BC302" s="94" t="e">
        <f>BB302</f>
        <v>#N/A</v>
      </c>
    </row>
    <row r="303" spans="41:81">
      <c r="AO303" s="57" t="s">
        <v>495</v>
      </c>
      <c r="AP303" s="215">
        <v>0</v>
      </c>
      <c r="AQ303" s="215">
        <f>W273</f>
        <v>0.15</v>
      </c>
      <c r="AR303" s="215">
        <f>W273</f>
        <v>0.15</v>
      </c>
      <c r="AS303" s="215">
        <f>AP303</f>
        <v>0</v>
      </c>
      <c r="AT303" s="215"/>
      <c r="AU303" s="215"/>
      <c r="AV303" s="215">
        <f>AP303</f>
        <v>0</v>
      </c>
      <c r="AW303" s="215">
        <f>AR303</f>
        <v>0.15</v>
      </c>
      <c r="AX303" s="215">
        <f t="shared" ref="AX303" si="92">AV303</f>
        <v>0</v>
      </c>
      <c r="AY303" s="215">
        <f t="shared" ref="AY303" si="93">AW303</f>
        <v>0.15</v>
      </c>
      <c r="AZ303" s="215">
        <f t="shared" ref="AZ303" si="94">AX303</f>
        <v>0</v>
      </c>
      <c r="BA303" s="215">
        <f t="shared" ref="BA303" si="95">AY303</f>
        <v>0.15</v>
      </c>
      <c r="BB303" s="215">
        <f t="shared" ref="BB303" si="96">AZ303</f>
        <v>0</v>
      </c>
      <c r="BC303" s="216">
        <f t="shared" ref="BC303" si="97">BA303</f>
        <v>0.15</v>
      </c>
    </row>
    <row r="305" spans="4:60">
      <c r="AP305" t="e">
        <f>IF(BA105=0,AZ105,AZ105 &amp; ":  " &amp; FIXED(BA105,2) &amp; BB105)</f>
        <v>#N/A</v>
      </c>
      <c r="AU305" t="e">
        <f>LEFT(AP305,FIND(":",AP305)-1) &amp; " mellem-pil"</f>
        <v>#N/A</v>
      </c>
      <c r="AW305" t="e">
        <f>AU305&amp;" 2"</f>
        <v>#N/A</v>
      </c>
      <c r="AY305" s="43" t="e">
        <f>AU305 &amp;" 3"</f>
        <v>#N/A</v>
      </c>
      <c r="BB305" t="e">
        <f>IF(BA106=0,AZ106,AZ106 &amp; ":  " &amp; FIXED(BA106,2) &amp; BB106)</f>
        <v>#N/A</v>
      </c>
      <c r="BC305" s="43"/>
    </row>
    <row r="306" spans="4:60">
      <c r="AO306" s="126" t="s">
        <v>46</v>
      </c>
      <c r="AP306" s="127" t="e">
        <f>BD105*10^-3</f>
        <v>#N/A</v>
      </c>
      <c r="AQ306" s="127" t="e">
        <f>AP306</f>
        <v>#N/A</v>
      </c>
      <c r="AR306" s="127" t="e">
        <f>IF(BA105=0,AQ306,BC105*10^-3)</f>
        <v>#N/A</v>
      </c>
      <c r="AS306" s="127" t="e">
        <f>AR306</f>
        <v>#N/A</v>
      </c>
      <c r="AT306" s="127"/>
      <c r="AU306" s="127" t="e">
        <f>AQ306+(AR306-AQ306)/4</f>
        <v>#N/A</v>
      </c>
      <c r="AV306" s="127" t="e">
        <f>AU306</f>
        <v>#N/A</v>
      </c>
      <c r="AW306" s="127" t="e">
        <f>AQ306+(AR306-AQ306)/2</f>
        <v>#N/A</v>
      </c>
      <c r="AX306" s="127" t="e">
        <f>AW306</f>
        <v>#N/A</v>
      </c>
      <c r="AY306" s="228" t="e">
        <f>AQ306+(AR306-AQ306)*3/4</f>
        <v>#N/A</v>
      </c>
      <c r="AZ306" s="228" t="e">
        <f>AY306</f>
        <v>#N/A</v>
      </c>
      <c r="BA306" s="46"/>
      <c r="BB306" s="127" t="e">
        <f>BC106*10^-3</f>
        <v>#N/A</v>
      </c>
      <c r="BC306" s="94" t="e">
        <f>BB306</f>
        <v>#N/A</v>
      </c>
      <c r="BD306" s="36"/>
      <c r="BE306" s="36"/>
      <c r="BF306" s="36"/>
      <c r="BG306" s="36"/>
      <c r="BH306" s="36"/>
    </row>
    <row r="307" spans="4:60">
      <c r="D307" s="6" t="s">
        <v>160</v>
      </c>
      <c r="V307" s="1" t="s">
        <v>182</v>
      </c>
      <c r="W307" s="1">
        <f>0.2*10^6</f>
        <v>200000</v>
      </c>
      <c r="X307" s="1" t="s">
        <v>67</v>
      </c>
      <c r="Y307" s="1"/>
      <c r="AO307" s="57" t="s">
        <v>495</v>
      </c>
      <c r="AP307" s="215">
        <f>AR303</f>
        <v>0.15</v>
      </c>
      <c r="AQ307" s="215" t="e">
        <f>IF(BA105=0,AP307,AR303+AP307)</f>
        <v>#N/A</v>
      </c>
      <c r="AR307" s="215" t="e">
        <f>AQ307</f>
        <v>#N/A</v>
      </c>
      <c r="AS307" s="215">
        <f>AP307</f>
        <v>0.15</v>
      </c>
      <c r="AT307" s="215"/>
      <c r="AU307" s="215">
        <f>AP307</f>
        <v>0.15</v>
      </c>
      <c r="AV307" s="215" t="e">
        <f>AQ307</f>
        <v>#N/A</v>
      </c>
      <c r="AW307" s="215">
        <f>AU307</f>
        <v>0.15</v>
      </c>
      <c r="AX307" s="215" t="e">
        <f>AV307</f>
        <v>#N/A</v>
      </c>
      <c r="AY307" s="215">
        <f>AU307</f>
        <v>0.15</v>
      </c>
      <c r="AZ307" s="215" t="e">
        <f>AV307</f>
        <v>#N/A</v>
      </c>
      <c r="BA307" s="40"/>
      <c r="BB307" s="215">
        <v>0</v>
      </c>
      <c r="BC307" s="216" t="e">
        <f>IF(BA106=0,BB307,BB307+3*$W$273)</f>
        <v>#N/A</v>
      </c>
      <c r="BD307" s="38"/>
      <c r="BE307" s="38"/>
      <c r="BF307" s="38"/>
      <c r="BG307" s="38"/>
      <c r="BH307" s="38"/>
    </row>
    <row r="308" spans="4:60" ht="19.5">
      <c r="D308" s="6" t="s">
        <v>161</v>
      </c>
      <c r="G308" s="6" t="s">
        <v>163</v>
      </c>
      <c r="H308" s="105" t="s">
        <v>18</v>
      </c>
      <c r="I308" s="150" t="e">
        <f>NA()</f>
        <v>#N/A</v>
      </c>
      <c r="J308" s="6" t="s">
        <v>37</v>
      </c>
      <c r="V308" s="1" t="s">
        <v>194</v>
      </c>
      <c r="W308" s="69">
        <f>I318/W307*100</f>
        <v>0.20833333333333334</v>
      </c>
      <c r="X308" s="1" t="s">
        <v>183</v>
      </c>
      <c r="Y308" s="1"/>
      <c r="BC308" s="43"/>
    </row>
    <row r="309" spans="4:60" ht="19.5">
      <c r="D309" s="6" t="s">
        <v>162</v>
      </c>
      <c r="G309" s="6" t="s">
        <v>120</v>
      </c>
      <c r="H309" s="105" t="s">
        <v>18</v>
      </c>
      <c r="I309" s="150" t="e">
        <f>NA()</f>
        <v>#N/A</v>
      </c>
      <c r="J309" s="6" t="s">
        <v>37</v>
      </c>
      <c r="V309" s="1" t="s">
        <v>195</v>
      </c>
      <c r="W309" s="1">
        <v>0.35</v>
      </c>
      <c r="X309" s="1" t="s">
        <v>183</v>
      </c>
      <c r="Y309" s="1"/>
      <c r="AP309">
        <f>IF(BA107=0,AZ107,AZ107 &amp; ":  " &amp; FIXED(BA107,2) &amp; BB107)</f>
        <v>0</v>
      </c>
      <c r="AS309" t="e">
        <f>IF(BA108=0,"",AZ108 &amp; ":  " &amp; FIXED(BA108,2) &amp; BB108)</f>
        <v>#N/A</v>
      </c>
      <c r="BC309" s="43"/>
    </row>
    <row r="310" spans="4:60">
      <c r="D310" s="6" t="s">
        <v>164</v>
      </c>
      <c r="G310" s="6" t="s">
        <v>166</v>
      </c>
      <c r="H310" s="105" t="s">
        <v>18</v>
      </c>
      <c r="I310" s="150" t="e">
        <f>NA()</f>
        <v>#N/A</v>
      </c>
      <c r="J310" s="6" t="s">
        <v>37</v>
      </c>
      <c r="V310" s="1" t="s">
        <v>186</v>
      </c>
      <c r="W310" s="13">
        <v>1</v>
      </c>
      <c r="X310" s="1"/>
      <c r="Y310" s="1"/>
      <c r="AO310" s="126" t="s">
        <v>46</v>
      </c>
      <c r="AP310" s="127" t="e">
        <f>BD107*10^-3</f>
        <v>#N/A</v>
      </c>
      <c r="AQ310" s="127" t="e">
        <f>AP310</f>
        <v>#N/A</v>
      </c>
      <c r="AR310" s="127"/>
      <c r="AS310" s="127" t="e">
        <f>BD108*10^-3</f>
        <v>#N/A</v>
      </c>
      <c r="AT310" s="127" t="e">
        <f>AS310</f>
        <v>#N/A</v>
      </c>
      <c r="AU310" s="232"/>
      <c r="AV310" s="36"/>
      <c r="BB310" s="36"/>
      <c r="BC310" s="36"/>
      <c r="BD310" s="36"/>
      <c r="BE310" s="36"/>
      <c r="BF310" s="36"/>
      <c r="BG310" s="36"/>
      <c r="BH310" s="36"/>
    </row>
    <row r="311" spans="4:60">
      <c r="D311" s="6" t="s">
        <v>165</v>
      </c>
      <c r="G311" s="6" t="s">
        <v>167</v>
      </c>
      <c r="H311" s="105" t="s">
        <v>18</v>
      </c>
      <c r="I311" s="150" t="e">
        <f>NA()</f>
        <v>#N/A</v>
      </c>
      <c r="J311" s="6" t="s">
        <v>37</v>
      </c>
      <c r="V311" s="77" t="s">
        <v>184</v>
      </c>
      <c r="W311" s="1">
        <v>0.8</v>
      </c>
      <c r="X311" s="1"/>
      <c r="Y311" s="1"/>
      <c r="AO311" s="57" t="s">
        <v>495</v>
      </c>
      <c r="AP311" s="215">
        <v>0</v>
      </c>
      <c r="AQ311" s="215">
        <f>IF(BA107=0,BB307,BB307+2*$W$273)</f>
        <v>0</v>
      </c>
      <c r="AR311" s="215"/>
      <c r="AS311" s="215">
        <v>0</v>
      </c>
      <c r="AT311" s="215" t="e">
        <f>IF(BA108=0,AS311,AS311+1.5*$W$273)</f>
        <v>#N/A</v>
      </c>
      <c r="AU311" s="233"/>
      <c r="AV311" s="38"/>
      <c r="AW311" s="9"/>
      <c r="BB311" s="38"/>
      <c r="BC311" s="38"/>
      <c r="BD311" s="38"/>
      <c r="BE311" s="38"/>
      <c r="BF311" s="38"/>
      <c r="BG311" s="38"/>
      <c r="BH311" s="38"/>
    </row>
    <row r="312" spans="4:60" ht="19.5">
      <c r="D312" s="6" t="s">
        <v>65</v>
      </c>
      <c r="G312" s="6" t="s">
        <v>66</v>
      </c>
      <c r="H312" s="105" t="s">
        <v>18</v>
      </c>
      <c r="I312" s="110">
        <f>$Q$83</f>
        <v>30</v>
      </c>
      <c r="J312" s="6" t="s">
        <v>67</v>
      </c>
      <c r="V312" s="1" t="s">
        <v>196</v>
      </c>
      <c r="W312" s="78">
        <f>MAX(0.26*(I314/I317)*(I318/I313),0.0013*I318/I313)</f>
        <v>2.9286511333037432E-2</v>
      </c>
      <c r="X312" s="1"/>
      <c r="Y312" s="1"/>
    </row>
    <row r="313" spans="4:60" ht="19.5">
      <c r="G313" s="6" t="s">
        <v>68</v>
      </c>
      <c r="H313" s="105" t="s">
        <v>18</v>
      </c>
      <c r="I313" s="108">
        <f>$Q$84</f>
        <v>21.428571428571431</v>
      </c>
      <c r="J313" s="6" t="s">
        <v>67</v>
      </c>
      <c r="V313" s="1" t="s">
        <v>197</v>
      </c>
      <c r="W313" s="69">
        <f>(W311*W309)/(W309+W308)</f>
        <v>0.5014925373134328</v>
      </c>
      <c r="X313" s="1"/>
      <c r="Y313" s="1"/>
    </row>
    <row r="314" spans="4:60">
      <c r="G314" s="6" t="s">
        <v>74</v>
      </c>
      <c r="H314" s="105" t="s">
        <v>18</v>
      </c>
      <c r="I314" s="108">
        <f>$Q$85</f>
        <v>2.896468153816889</v>
      </c>
      <c r="J314" s="6" t="s">
        <v>67</v>
      </c>
      <c r="V314" s="1" t="s">
        <v>190</v>
      </c>
      <c r="W314" s="1"/>
      <c r="X314" s="1"/>
      <c r="Y314" s="1"/>
    </row>
    <row r="315" spans="4:60">
      <c r="D315" s="6" t="s">
        <v>168</v>
      </c>
      <c r="G315" s="150" t="e">
        <f>NA()</f>
        <v>#N/A</v>
      </c>
      <c r="H315" s="105" t="s">
        <v>170</v>
      </c>
      <c r="I315" s="151">
        <v>8</v>
      </c>
      <c r="J315" s="6" t="s">
        <v>171</v>
      </c>
      <c r="V315" s="77" t="s">
        <v>185</v>
      </c>
      <c r="W315" s="69" t="e">
        <f>I319*I318/(I310*I309*W310*I313)</f>
        <v>#N/A</v>
      </c>
      <c r="X315" s="1"/>
      <c r="Y315" s="1"/>
    </row>
    <row r="316" spans="4:60">
      <c r="F316" s="111" t="s">
        <v>169</v>
      </c>
      <c r="G316" s="150" t="e">
        <f>NA()</f>
        <v>#N/A</v>
      </c>
      <c r="H316" s="105" t="s">
        <v>170</v>
      </c>
      <c r="I316" s="151">
        <v>8</v>
      </c>
      <c r="J316" s="6" t="s">
        <v>171</v>
      </c>
      <c r="V316" s="77" t="s">
        <v>185</v>
      </c>
      <c r="W316" s="69" t="e">
        <f>IF(AND(W315&gt;W312,W315&lt;W313),W315,0)</f>
        <v>#N/A</v>
      </c>
      <c r="X316" s="1"/>
      <c r="Y316" s="1" t="s">
        <v>188</v>
      </c>
    </row>
    <row r="317" spans="4:60">
      <c r="G317" s="6" t="s">
        <v>75</v>
      </c>
      <c r="H317" s="105" t="s">
        <v>18</v>
      </c>
      <c r="I317" s="6">
        <f>$Q$94</f>
        <v>500</v>
      </c>
      <c r="J317" s="6" t="s">
        <v>67</v>
      </c>
      <c r="V317" s="77" t="s">
        <v>187</v>
      </c>
      <c r="W317" s="69" t="e">
        <f>W316*(1-0.5*W316)</f>
        <v>#N/A</v>
      </c>
      <c r="X317" s="1"/>
      <c r="Y317" s="1"/>
    </row>
    <row r="318" spans="4:60" ht="19.5">
      <c r="G318" s="6" t="s">
        <v>76</v>
      </c>
      <c r="H318" s="105" t="s">
        <v>18</v>
      </c>
      <c r="I318" s="110">
        <f>$Q$95</f>
        <v>416.66666666666669</v>
      </c>
      <c r="J318" s="6" t="s">
        <v>67</v>
      </c>
      <c r="V318" s="77" t="s">
        <v>198</v>
      </c>
      <c r="W318" s="11" t="e">
        <f>W317*I310*I309^2*W310*I313*10^-6</f>
        <v>#N/A</v>
      </c>
      <c r="X318" s="1" t="s">
        <v>145</v>
      </c>
      <c r="Y318" s="1"/>
    </row>
    <row r="319" spans="4:60">
      <c r="G319" s="6" t="s">
        <v>172</v>
      </c>
      <c r="H319" s="105" t="s">
        <v>18</v>
      </c>
      <c r="I319" s="110" t="e">
        <f>PI()/4*I315^2*G315+PI()/4*I316^2*G316</f>
        <v>#N/A</v>
      </c>
      <c r="J319" s="6" t="s">
        <v>173</v>
      </c>
      <c r="V319" s="1"/>
      <c r="W319" s="1"/>
      <c r="X319" s="1"/>
      <c r="Y319" s="1"/>
    </row>
    <row r="320" spans="4:60">
      <c r="D320" s="6" t="s">
        <v>178</v>
      </c>
      <c r="H320" s="105" t="s">
        <v>170</v>
      </c>
      <c r="I320" s="151">
        <v>0</v>
      </c>
      <c r="J320" s="6" t="s">
        <v>179</v>
      </c>
      <c r="V320" s="1" t="s">
        <v>189</v>
      </c>
      <c r="W320" s="1"/>
      <c r="X320" s="1"/>
      <c r="Y320" s="1"/>
    </row>
    <row r="321" spans="4:25">
      <c r="E321" s="151">
        <v>1</v>
      </c>
      <c r="F321" s="118" t="s">
        <v>180</v>
      </c>
      <c r="H321" s="105"/>
      <c r="I321" s="150" t="e">
        <f>NA()</f>
        <v>#N/A</v>
      </c>
      <c r="J321" s="6" t="s">
        <v>37</v>
      </c>
      <c r="N321" s="106" t="e">
        <f>IF(I321&gt;0.7*I308,"For stor!","")</f>
        <v>#N/A</v>
      </c>
      <c r="V321" s="1" t="s">
        <v>191</v>
      </c>
      <c r="W321" s="11" t="e">
        <f>MIN(2,1+SQRT(200/I309))</f>
        <v>#N/A</v>
      </c>
      <c r="X321" s="1"/>
      <c r="Y321" s="1"/>
    </row>
    <row r="322" spans="4:25" ht="19.5">
      <c r="F322" s="118"/>
      <c r="G322" s="6" t="s">
        <v>75</v>
      </c>
      <c r="H322" s="105" t="s">
        <v>18</v>
      </c>
      <c r="I322" s="6">
        <f>$Q$94</f>
        <v>500</v>
      </c>
      <c r="J322" s="6" t="s">
        <v>67</v>
      </c>
      <c r="V322" s="1" t="s">
        <v>199</v>
      </c>
      <c r="W322" s="148">
        <v>0</v>
      </c>
      <c r="X322" s="1"/>
      <c r="Y322" s="1" t="s">
        <v>193</v>
      </c>
    </row>
    <row r="323" spans="4:25" ht="19.5">
      <c r="F323" s="118"/>
      <c r="G323" s="6" t="s">
        <v>181</v>
      </c>
      <c r="H323" s="105" t="s">
        <v>18</v>
      </c>
      <c r="I323" s="110">
        <f>$Q$95</f>
        <v>416.66666666666669</v>
      </c>
      <c r="J323" s="6" t="s">
        <v>67</v>
      </c>
      <c r="V323" s="76" t="s">
        <v>192</v>
      </c>
      <c r="W323" s="11" t="e">
        <f>0.035*W321^(3/2)*SQRT(I312)*I311*I309*10^-3</f>
        <v>#N/A</v>
      </c>
      <c r="X323" s="1" t="s">
        <v>41</v>
      </c>
      <c r="Y323" s="1" t="s">
        <v>203</v>
      </c>
    </row>
    <row r="324" spans="4:25" ht="19.5">
      <c r="V324" s="76" t="s">
        <v>192</v>
      </c>
      <c r="W324" s="11" t="e">
        <f>(0.18/$AI$95*W321*(100*W322/(I311*I309)*I312)^(1/3))*I311*I309*10^-3</f>
        <v>#N/A</v>
      </c>
      <c r="X324" s="1" t="s">
        <v>41</v>
      </c>
      <c r="Y324" s="1" t="s">
        <v>202</v>
      </c>
    </row>
    <row r="325" spans="4:25">
      <c r="D325" s="6" t="s">
        <v>174</v>
      </c>
      <c r="F325" s="111" t="s">
        <v>177</v>
      </c>
      <c r="K325" s="6" t="s">
        <v>176</v>
      </c>
      <c r="V325" s="1"/>
      <c r="W325" s="1"/>
      <c r="X325" s="1"/>
      <c r="Y325" s="1"/>
    </row>
    <row r="326" spans="4:25">
      <c r="F326" s="115" t="s">
        <v>201</v>
      </c>
      <c r="G326" s="108" t="e">
        <f>W318</f>
        <v>#N/A</v>
      </c>
      <c r="I326" s="6" t="s">
        <v>145</v>
      </c>
      <c r="J326" s="105" t="e">
        <f>IF(G326&gt;K326,"&gt;","&lt;")</f>
        <v>#N/A</v>
      </c>
      <c r="K326" s="108" t="e">
        <f>MAX(Snitkræfter!$D$109,ABS(Snitkræfter!$D$110))</f>
        <v>#N/A</v>
      </c>
      <c r="M326" s="6" t="e">
        <f>IF(G326&gt;K326,"Accept","Forkast")</f>
        <v>#N/A</v>
      </c>
      <c r="N326" s="106" t="e">
        <f>IF(M326="Forkast","NB!","")</f>
        <v>#N/A</v>
      </c>
      <c r="V326" s="1" t="s">
        <v>211</v>
      </c>
      <c r="W326" s="13">
        <v>1</v>
      </c>
      <c r="X326" s="1"/>
      <c r="Y326" s="1" t="s">
        <v>204</v>
      </c>
    </row>
    <row r="327" spans="4:25">
      <c r="F327" s="111"/>
      <c r="N327" s="116"/>
      <c r="V327" s="1" t="s">
        <v>205</v>
      </c>
      <c r="W327" s="11">
        <f>TAN(DEGREES(_xlfn.ACOT(W326)))</f>
        <v>1.6197751905438615</v>
      </c>
      <c r="X327" s="1"/>
      <c r="Y327" s="1"/>
    </row>
    <row r="328" spans="4:25" ht="19.5">
      <c r="D328" s="6" t="s">
        <v>175</v>
      </c>
      <c r="F328" s="111" t="s">
        <v>177</v>
      </c>
      <c r="N328" s="116"/>
      <c r="V328" s="1" t="s">
        <v>212</v>
      </c>
      <c r="W328" s="13">
        <v>1</v>
      </c>
      <c r="X328" s="1"/>
      <c r="Y328" s="1" t="s">
        <v>209</v>
      </c>
    </row>
    <row r="329" spans="4:25">
      <c r="F329" s="111" t="s">
        <v>200</v>
      </c>
      <c r="G329" s="108" t="e">
        <f>MAX(W323,W324)</f>
        <v>#N/A</v>
      </c>
      <c r="I329" s="6" t="s">
        <v>41</v>
      </c>
      <c r="J329" s="105" t="e">
        <f t="shared" ref="J329" si="98">IF(G329&gt;K329,"&gt;","&lt;")</f>
        <v>#N/A</v>
      </c>
      <c r="K329" s="108" t="e">
        <f>Snitkræfter!$D$111</f>
        <v>#N/A</v>
      </c>
      <c r="M329" s="6" t="e">
        <f>IF(I320&gt;0,"",IF(G329&gt;K329,"Accept","Forkast"))</f>
        <v>#N/A</v>
      </c>
      <c r="N329" s="106" t="e">
        <f t="shared" ref="N329" si="99">IF(M329="Forkast","NB!","")</f>
        <v>#N/A</v>
      </c>
      <c r="V329" s="1" t="s">
        <v>208</v>
      </c>
      <c r="W329" s="11">
        <f>0.6*(1-I312/250)</f>
        <v>0.52800000000000002</v>
      </c>
      <c r="X329" s="1"/>
      <c r="Y329" s="1" t="s">
        <v>210</v>
      </c>
    </row>
    <row r="330" spans="4:25" ht="19.5">
      <c r="F330" s="111" t="str">
        <f>IF(I320&gt;0,"V Rd,s =","")</f>
        <v/>
      </c>
      <c r="G330" s="119" t="str">
        <f>IF(I320&gt;0,MIN(W330,W331),"")</f>
        <v/>
      </c>
      <c r="H330" s="111"/>
      <c r="I330" s="113" t="str">
        <f>IF(I320&gt;0,"kN","")</f>
        <v/>
      </c>
      <c r="J330" s="105" t="str">
        <f>IF(I320&gt;0,IF(G330&gt;K330,"&gt;","&lt;"),"")</f>
        <v/>
      </c>
      <c r="K330" s="119" t="str">
        <f>IF(I320&gt;0,K329,"")</f>
        <v/>
      </c>
      <c r="M330" s="6" t="str">
        <f>IF(I320&gt;0,IF(G330&gt;K330,"Accept","Forkast"),"")</f>
        <v/>
      </c>
      <c r="N330" s="106" t="str">
        <f>IF(M330="Forkast","NB!","")</f>
        <v/>
      </c>
      <c r="V330" s="1" t="s">
        <v>213</v>
      </c>
      <c r="W330" s="13" t="e">
        <f>E321*I320^2*(PI()/4)/I321*I323*0.9*I309*10^-3</f>
        <v>#N/A</v>
      </c>
      <c r="X330" s="1" t="s">
        <v>41</v>
      </c>
      <c r="Y330" s="1" t="s">
        <v>206</v>
      </c>
    </row>
    <row r="331" spans="4:25" ht="19.5">
      <c r="V331" s="1" t="s">
        <v>214</v>
      </c>
      <c r="W331" s="13" t="e">
        <f>W328*I311*0.9*I309*W329*I313/(W326+W327)*10^-3</f>
        <v>#N/A</v>
      </c>
      <c r="X331" s="1" t="s">
        <v>41</v>
      </c>
      <c r="Y331" s="1" t="s">
        <v>207</v>
      </c>
    </row>
    <row r="334" spans="4:25" ht="23.25">
      <c r="D334" s="80" t="s">
        <v>30</v>
      </c>
      <c r="E334" s="79">
        <f>$Z$86</f>
        <v>0</v>
      </c>
    </row>
    <row r="335" spans="4:25" ht="23.25">
      <c r="D335" s="80"/>
      <c r="E335" s="79"/>
    </row>
    <row r="336" spans="4:25" ht="23.25">
      <c r="D336" s="80"/>
      <c r="E336" s="79"/>
    </row>
    <row r="337" spans="4:67" ht="23.25">
      <c r="D337" s="80"/>
      <c r="E337" s="79"/>
    </row>
    <row r="338" spans="4:67" ht="23.25">
      <c r="D338" s="80"/>
      <c r="E338" s="79"/>
    </row>
    <row r="339" spans="4:67" ht="23.25">
      <c r="D339" s="80"/>
      <c r="E339" s="79"/>
    </row>
    <row r="340" spans="4:67" ht="23.25">
      <c r="D340" s="80"/>
      <c r="E340" s="79"/>
      <c r="V340" t="s">
        <v>515</v>
      </c>
      <c r="W340" s="211">
        <v>0.2</v>
      </c>
    </row>
    <row r="341" spans="4:67" ht="23.25">
      <c r="D341" s="80"/>
      <c r="E341" s="79"/>
      <c r="V341" s="43" t="s">
        <v>516</v>
      </c>
      <c r="W341" s="211">
        <v>0.12</v>
      </c>
    </row>
    <row r="342" spans="4:67" ht="23.25">
      <c r="D342" s="80"/>
      <c r="E342" s="79"/>
    </row>
    <row r="343" spans="4:67" ht="23.25">
      <c r="D343" s="80"/>
      <c r="E343" s="79"/>
    </row>
    <row r="344" spans="4:67" ht="23.25">
      <c r="D344" s="80"/>
      <c r="E344" s="79"/>
    </row>
    <row r="345" spans="4:67" ht="23.25">
      <c r="D345" s="80"/>
      <c r="E345" s="79"/>
    </row>
    <row r="346" spans="4:67" ht="23.25">
      <c r="D346" s="80"/>
      <c r="E346" s="79"/>
    </row>
    <row r="347" spans="4:67" ht="23.25">
      <c r="D347" s="80"/>
      <c r="E347" s="79"/>
    </row>
    <row r="348" spans="4:67" ht="23.25">
      <c r="D348" s="80"/>
      <c r="E348" s="79"/>
    </row>
    <row r="349" spans="4:67" ht="23.25">
      <c r="D349" s="80"/>
      <c r="E349" s="79"/>
    </row>
    <row r="352" spans="4:67">
      <c r="AO352" s="40"/>
      <c r="AP352" s="40" t="s">
        <v>502</v>
      </c>
      <c r="AQ352" s="40"/>
      <c r="AR352" s="40" t="s">
        <v>505</v>
      </c>
      <c r="AS352" s="40"/>
      <c r="AT352" s="40"/>
      <c r="AU352" s="40"/>
      <c r="AV352" s="40" t="s">
        <v>504</v>
      </c>
      <c r="AW352" s="40"/>
      <c r="AX352" s="40"/>
      <c r="AY352" s="214"/>
      <c r="AZ352" t="s">
        <v>507</v>
      </c>
      <c r="BF352" t="s">
        <v>514</v>
      </c>
      <c r="BO352" t="s">
        <v>494</v>
      </c>
    </row>
    <row r="353" spans="38:81">
      <c r="AL353" s="10"/>
      <c r="AO353" s="128" t="s">
        <v>46</v>
      </c>
      <c r="AP353" s="36">
        <v>0</v>
      </c>
      <c r="AQ353" s="36" t="e">
        <f>AV92*10^-3</f>
        <v>#N/A</v>
      </c>
      <c r="AR353" s="219">
        <f>AS92*10^-3</f>
        <v>0</v>
      </c>
      <c r="AS353" s="127">
        <f>AR353-$W$341/2</f>
        <v>-0.06</v>
      </c>
      <c r="AT353" s="228">
        <f>AS353+$W$341</f>
        <v>0.06</v>
      </c>
      <c r="AU353" s="94">
        <f>AR353</f>
        <v>0</v>
      </c>
      <c r="AV353" s="36" t="e">
        <f>(AV92-AU92)*10^-3</f>
        <v>#N/A</v>
      </c>
      <c r="AW353" s="36" t="e">
        <f>AV353-$W$341/2</f>
        <v>#N/A</v>
      </c>
      <c r="AX353" s="38" t="e">
        <f>AW353+$W$341</f>
        <v>#N/A</v>
      </c>
      <c r="AY353" s="52" t="e">
        <f>AV353</f>
        <v>#N/A</v>
      </c>
      <c r="AZ353" s="234">
        <f>AS353+(AT353-AR353)/3</f>
        <v>-3.9999999999999994E-2</v>
      </c>
      <c r="BA353" s="56">
        <f>AZ353-W341/3</f>
        <v>-7.9999999999999988E-2</v>
      </c>
      <c r="BB353" s="46">
        <f>AT353-(AT353-AR353)/3</f>
        <v>3.9999999999999994E-2</v>
      </c>
      <c r="BC353" s="56">
        <f>BB353-W341/3</f>
        <v>0</v>
      </c>
      <c r="BD353" s="56">
        <f>AZ353+(BB353-AZ353)/2</f>
        <v>0</v>
      </c>
      <c r="BE353" s="47">
        <f>BD353-W341/3</f>
        <v>-0.04</v>
      </c>
      <c r="BF353" s="227" t="e">
        <f>AW353</f>
        <v>#N/A</v>
      </c>
      <c r="BG353" s="228" t="e">
        <f>AX353</f>
        <v>#N/A</v>
      </c>
      <c r="BH353" s="235" t="e">
        <f>AZ353+(AV353-AR353)</f>
        <v>#N/A</v>
      </c>
      <c r="BI353" s="56" t="e">
        <f>BA353+(AV353-AR353)</f>
        <v>#N/A</v>
      </c>
      <c r="BJ353" s="46" t="e">
        <f>AX353-(AX353-AV353)/3</f>
        <v>#N/A</v>
      </c>
      <c r="BK353" s="46" t="e">
        <f>BJ353-W341/3</f>
        <v>#N/A</v>
      </c>
      <c r="BL353" s="56" t="e">
        <f>BH353+(BJ353-BH353)/2</f>
        <v>#N/A</v>
      </c>
      <c r="BM353" s="47" t="e">
        <f>BL353-W341/3</f>
        <v>#N/A</v>
      </c>
      <c r="BO353" s="126" t="e">
        <f>AP353-AQ353/100</f>
        <v>#N/A</v>
      </c>
      <c r="BP353" s="47" t="e">
        <f>AQ353+AQ353/100</f>
        <v>#N/A</v>
      </c>
    </row>
    <row r="354" spans="38:81">
      <c r="AO354" s="57" t="s">
        <v>495</v>
      </c>
      <c r="AP354" s="129">
        <v>0</v>
      </c>
      <c r="AQ354" s="129">
        <v>0</v>
      </c>
      <c r="AR354" s="220">
        <v>0</v>
      </c>
      <c r="AS354" s="213">
        <f>2*$W$341*SIN(60)</f>
        <v>-7.3154549064532004E-2</v>
      </c>
      <c r="AT354" s="213">
        <f>AS354</f>
        <v>-7.3154549064532004E-2</v>
      </c>
      <c r="AU354" s="131">
        <f>AR354</f>
        <v>0</v>
      </c>
      <c r="AV354" s="129">
        <v>0</v>
      </c>
      <c r="AW354" s="213">
        <f>2*$W$341*SIN(60)</f>
        <v>-7.3154549064532004E-2</v>
      </c>
      <c r="AX354" s="213">
        <f>AW354</f>
        <v>-7.3154549064532004E-2</v>
      </c>
      <c r="AY354" s="131">
        <f>AV354</f>
        <v>0</v>
      </c>
      <c r="AZ354" s="217">
        <f>AS354</f>
        <v>-7.3154549064532004E-2</v>
      </c>
      <c r="BA354" s="37">
        <f>AZ354+AS354*2/3</f>
        <v>-0.12192424844088667</v>
      </c>
      <c r="BB354" s="37">
        <f>AT354</f>
        <v>-7.3154549064532004E-2</v>
      </c>
      <c r="BC354" s="37">
        <f>BA354</f>
        <v>-0.12192424844088667</v>
      </c>
      <c r="BD354" s="37">
        <f>BB354</f>
        <v>-7.3154549064532004E-2</v>
      </c>
      <c r="BE354" s="218">
        <f>BC354</f>
        <v>-0.12192424844088667</v>
      </c>
      <c r="BF354" s="230">
        <f>AW354-2*AQ356</f>
        <v>-0.103154549064532</v>
      </c>
      <c r="BG354" s="215">
        <f>BF354</f>
        <v>-0.103154549064532</v>
      </c>
      <c r="BH354" s="37">
        <f>BG354</f>
        <v>-0.103154549064532</v>
      </c>
      <c r="BI354" s="231">
        <f>BA354-2*AQ356</f>
        <v>-0.15192424844088667</v>
      </c>
      <c r="BJ354" s="37">
        <f>BH354</f>
        <v>-0.103154549064532</v>
      </c>
      <c r="BK354" s="231">
        <f>BI354</f>
        <v>-0.15192424844088667</v>
      </c>
      <c r="BL354" s="37">
        <f>BJ354</f>
        <v>-0.103154549064532</v>
      </c>
      <c r="BM354" s="218">
        <f>BK354</f>
        <v>-0.15192424844088667</v>
      </c>
      <c r="BO354" s="57">
        <v>0</v>
      </c>
      <c r="BP354" s="51">
        <v>0</v>
      </c>
    </row>
    <row r="356" spans="38:81">
      <c r="AO356" s="126"/>
      <c r="AP356" s="223" t="s">
        <v>509</v>
      </c>
      <c r="AQ356" s="91">
        <f>W341/8</f>
        <v>1.4999999999999999E-2</v>
      </c>
      <c r="AR356" s="46" t="s">
        <v>511</v>
      </c>
      <c r="AS356" s="127">
        <v>0</v>
      </c>
      <c r="AT356" s="127">
        <v>10</v>
      </c>
      <c r="AU356" s="127">
        <v>20</v>
      </c>
      <c r="AV356" s="127">
        <v>30</v>
      </c>
      <c r="AW356" s="127">
        <v>40</v>
      </c>
      <c r="AX356" s="127">
        <v>50</v>
      </c>
      <c r="AY356" s="127">
        <v>60</v>
      </c>
      <c r="AZ356" s="127">
        <v>70</v>
      </c>
      <c r="BA356" s="127">
        <v>80</v>
      </c>
      <c r="BB356" s="127">
        <v>90</v>
      </c>
      <c r="BC356" s="127">
        <v>100</v>
      </c>
      <c r="BD356" s="127">
        <v>110</v>
      </c>
      <c r="BE356" s="127">
        <v>120</v>
      </c>
      <c r="BF356" s="127">
        <v>130</v>
      </c>
      <c r="BG356" s="127">
        <v>140</v>
      </c>
      <c r="BH356" s="127">
        <v>150</v>
      </c>
      <c r="BI356" s="127">
        <v>160</v>
      </c>
      <c r="BJ356" s="127">
        <v>170</v>
      </c>
      <c r="BK356" s="127">
        <v>180</v>
      </c>
      <c r="BL356" s="127">
        <v>190</v>
      </c>
      <c r="BM356" s="127">
        <v>200</v>
      </c>
      <c r="BN356" s="127">
        <v>210</v>
      </c>
      <c r="BO356" s="127">
        <v>220</v>
      </c>
      <c r="BP356" s="127">
        <v>230</v>
      </c>
      <c r="BQ356" s="127">
        <v>240</v>
      </c>
      <c r="BR356" s="127">
        <v>250</v>
      </c>
      <c r="BS356" s="127">
        <v>260</v>
      </c>
      <c r="BT356" s="127">
        <v>270</v>
      </c>
      <c r="BU356" s="127">
        <v>280</v>
      </c>
      <c r="BV356" s="127">
        <v>290</v>
      </c>
      <c r="BW356" s="127">
        <v>300</v>
      </c>
      <c r="BX356" s="127">
        <v>310</v>
      </c>
      <c r="BY356" s="127">
        <v>320</v>
      </c>
      <c r="BZ356" s="127">
        <v>330</v>
      </c>
      <c r="CA356" s="127">
        <v>340</v>
      </c>
      <c r="CB356" s="127">
        <v>350</v>
      </c>
      <c r="CC356" s="94">
        <v>360</v>
      </c>
    </row>
    <row r="357" spans="38:81">
      <c r="AO357" s="128"/>
      <c r="AP357" t="s">
        <v>508</v>
      </c>
      <c r="AR357" s="135" t="s">
        <v>510</v>
      </c>
      <c r="AS357" s="38">
        <f>RADIANS(AS356)</f>
        <v>0</v>
      </c>
      <c r="AT357" s="38">
        <f>RADIANS(AT356)</f>
        <v>0.17453292519943295</v>
      </c>
      <c r="AU357" s="38">
        <f t="shared" ref="AU357:BQ357" si="100">RADIANS(AU356)</f>
        <v>0.3490658503988659</v>
      </c>
      <c r="AV357" s="38">
        <f t="shared" si="100"/>
        <v>0.52359877559829882</v>
      </c>
      <c r="AW357" s="38">
        <f t="shared" si="100"/>
        <v>0.69813170079773179</v>
      </c>
      <c r="AX357" s="38">
        <f t="shared" si="100"/>
        <v>0.87266462599716477</v>
      </c>
      <c r="AY357" s="38">
        <f t="shared" si="100"/>
        <v>1.0471975511965976</v>
      </c>
      <c r="AZ357" s="38">
        <f t="shared" si="100"/>
        <v>1.2217304763960306</v>
      </c>
      <c r="BA357" s="38">
        <f t="shared" si="100"/>
        <v>1.3962634015954636</v>
      </c>
      <c r="BB357" s="38">
        <f t="shared" si="100"/>
        <v>1.5707963267948966</v>
      </c>
      <c r="BC357" s="38">
        <f t="shared" si="100"/>
        <v>1.7453292519943295</v>
      </c>
      <c r="BD357" s="38">
        <f t="shared" si="100"/>
        <v>1.9198621771937625</v>
      </c>
      <c r="BE357" s="38">
        <f t="shared" si="100"/>
        <v>2.0943951023931953</v>
      </c>
      <c r="BF357" s="38">
        <f t="shared" si="100"/>
        <v>2.2689280275926285</v>
      </c>
      <c r="BG357" s="38">
        <f t="shared" si="100"/>
        <v>2.4434609527920612</v>
      </c>
      <c r="BH357" s="38">
        <f t="shared" si="100"/>
        <v>2.6179938779914944</v>
      </c>
      <c r="BI357" s="38">
        <f t="shared" si="100"/>
        <v>2.7925268031909272</v>
      </c>
      <c r="BJ357" s="38">
        <f t="shared" si="100"/>
        <v>2.9670597283903604</v>
      </c>
      <c r="BK357" s="38">
        <f t="shared" si="100"/>
        <v>3.1415926535897931</v>
      </c>
      <c r="BL357" s="38">
        <f t="shared" si="100"/>
        <v>3.3161255787892263</v>
      </c>
      <c r="BM357" s="38">
        <f t="shared" si="100"/>
        <v>3.4906585039886591</v>
      </c>
      <c r="BN357" s="38">
        <f t="shared" si="100"/>
        <v>3.6651914291880923</v>
      </c>
      <c r="BO357" s="38">
        <f t="shared" si="100"/>
        <v>3.839724354387525</v>
      </c>
      <c r="BP357" s="38">
        <f t="shared" si="100"/>
        <v>4.0142572795869578</v>
      </c>
      <c r="BQ357" s="38">
        <f t="shared" si="100"/>
        <v>4.1887902047863905</v>
      </c>
      <c r="BR357" s="38">
        <f>RADIANS(BR356)</f>
        <v>4.3633231299858242</v>
      </c>
      <c r="BS357" s="38">
        <f>RADIANS(BS356)</f>
        <v>4.5378560551852569</v>
      </c>
      <c r="BT357" s="38">
        <f t="shared" ref="BT357:CC357" si="101">RADIANS(BT356)</f>
        <v>4.7123889803846897</v>
      </c>
      <c r="BU357" s="38">
        <f t="shared" si="101"/>
        <v>4.8869219055841224</v>
      </c>
      <c r="BV357" s="38">
        <f t="shared" si="101"/>
        <v>5.0614548307835561</v>
      </c>
      <c r="BW357" s="38">
        <f t="shared" si="101"/>
        <v>5.2359877559829888</v>
      </c>
      <c r="BX357" s="38">
        <f t="shared" si="101"/>
        <v>5.4105206811824216</v>
      </c>
      <c r="BY357" s="38">
        <f t="shared" si="101"/>
        <v>5.5850536063818543</v>
      </c>
      <c r="BZ357" s="38">
        <f t="shared" si="101"/>
        <v>5.7595865315812871</v>
      </c>
      <c r="CA357" s="38">
        <f t="shared" si="101"/>
        <v>5.9341194567807207</v>
      </c>
      <c r="CB357" s="38">
        <f t="shared" si="101"/>
        <v>6.1086523819801535</v>
      </c>
      <c r="CC357" s="224">
        <f t="shared" si="101"/>
        <v>6.2831853071795862</v>
      </c>
    </row>
    <row r="358" spans="38:81">
      <c r="AO358" s="128" t="s">
        <v>512</v>
      </c>
      <c r="AP358" s="36" t="e">
        <f>AX353-(AX353-AW353)/5</f>
        <v>#N/A</v>
      </c>
      <c r="AS358" s="210" t="e">
        <f>$AP$358+COS(AS357)*$AQ$356</f>
        <v>#N/A</v>
      </c>
      <c r="AT358" s="210" t="e">
        <f t="shared" ref="AT358:CC358" si="102">$AP$358+COS(AT357)*$AQ$356</f>
        <v>#N/A</v>
      </c>
      <c r="AU358" s="210" t="e">
        <f t="shared" si="102"/>
        <v>#N/A</v>
      </c>
      <c r="AV358" s="210" t="e">
        <f t="shared" si="102"/>
        <v>#N/A</v>
      </c>
      <c r="AW358" s="210" t="e">
        <f t="shared" si="102"/>
        <v>#N/A</v>
      </c>
      <c r="AX358" s="210" t="e">
        <f t="shared" si="102"/>
        <v>#N/A</v>
      </c>
      <c r="AY358" s="210" t="e">
        <f t="shared" si="102"/>
        <v>#N/A</v>
      </c>
      <c r="AZ358" s="210" t="e">
        <f t="shared" si="102"/>
        <v>#N/A</v>
      </c>
      <c r="BA358" s="210" t="e">
        <f t="shared" si="102"/>
        <v>#N/A</v>
      </c>
      <c r="BB358" s="210" t="e">
        <f t="shared" si="102"/>
        <v>#N/A</v>
      </c>
      <c r="BC358" s="210" t="e">
        <f t="shared" si="102"/>
        <v>#N/A</v>
      </c>
      <c r="BD358" s="210" t="e">
        <f t="shared" si="102"/>
        <v>#N/A</v>
      </c>
      <c r="BE358" s="210" t="e">
        <f t="shared" si="102"/>
        <v>#N/A</v>
      </c>
      <c r="BF358" s="210" t="e">
        <f t="shared" si="102"/>
        <v>#N/A</v>
      </c>
      <c r="BG358" s="210" t="e">
        <f t="shared" si="102"/>
        <v>#N/A</v>
      </c>
      <c r="BH358" s="210" t="e">
        <f t="shared" si="102"/>
        <v>#N/A</v>
      </c>
      <c r="BI358" s="210" t="e">
        <f t="shared" si="102"/>
        <v>#N/A</v>
      </c>
      <c r="BJ358" s="210" t="e">
        <f t="shared" si="102"/>
        <v>#N/A</v>
      </c>
      <c r="BK358" s="210" t="e">
        <f t="shared" si="102"/>
        <v>#N/A</v>
      </c>
      <c r="BL358" s="210" t="e">
        <f t="shared" si="102"/>
        <v>#N/A</v>
      </c>
      <c r="BM358" s="210" t="e">
        <f t="shared" si="102"/>
        <v>#N/A</v>
      </c>
      <c r="BN358" s="210" t="e">
        <f t="shared" si="102"/>
        <v>#N/A</v>
      </c>
      <c r="BO358" s="210" t="e">
        <f t="shared" si="102"/>
        <v>#N/A</v>
      </c>
      <c r="BP358" s="210" t="e">
        <f t="shared" si="102"/>
        <v>#N/A</v>
      </c>
      <c r="BQ358" s="210" t="e">
        <f t="shared" si="102"/>
        <v>#N/A</v>
      </c>
      <c r="BR358" s="210" t="e">
        <f t="shared" si="102"/>
        <v>#N/A</v>
      </c>
      <c r="BS358" s="210" t="e">
        <f t="shared" si="102"/>
        <v>#N/A</v>
      </c>
      <c r="BT358" s="210" t="e">
        <f t="shared" si="102"/>
        <v>#N/A</v>
      </c>
      <c r="BU358" s="210" t="e">
        <f t="shared" si="102"/>
        <v>#N/A</v>
      </c>
      <c r="BV358" s="210" t="e">
        <f t="shared" si="102"/>
        <v>#N/A</v>
      </c>
      <c r="BW358" s="210" t="e">
        <f t="shared" si="102"/>
        <v>#N/A</v>
      </c>
      <c r="BX358" s="210" t="e">
        <f t="shared" si="102"/>
        <v>#N/A</v>
      </c>
      <c r="BY358" s="210" t="e">
        <f t="shared" si="102"/>
        <v>#N/A</v>
      </c>
      <c r="BZ358" s="210" t="e">
        <f t="shared" si="102"/>
        <v>#N/A</v>
      </c>
      <c r="CA358" s="210" t="e">
        <f t="shared" si="102"/>
        <v>#N/A</v>
      </c>
      <c r="CB358" s="210" t="e">
        <f t="shared" si="102"/>
        <v>#N/A</v>
      </c>
      <c r="CC358" s="225" t="e">
        <f t="shared" si="102"/>
        <v>#N/A</v>
      </c>
    </row>
    <row r="359" spans="38:81">
      <c r="AO359" s="128" t="s">
        <v>513</v>
      </c>
      <c r="AP359" s="36" t="e">
        <f>AW353+(AX353-AW353)/5</f>
        <v>#N/A</v>
      </c>
      <c r="AS359" s="210" t="e">
        <f>$AP$359+COS(AS357)*$AQ$356</f>
        <v>#N/A</v>
      </c>
      <c r="AT359" s="210" t="e">
        <f t="shared" ref="AT359:CC359" si="103">$AP$359+COS(AT357)*$AQ$356</f>
        <v>#N/A</v>
      </c>
      <c r="AU359" s="210" t="e">
        <f t="shared" si="103"/>
        <v>#N/A</v>
      </c>
      <c r="AV359" s="210" t="e">
        <f t="shared" si="103"/>
        <v>#N/A</v>
      </c>
      <c r="AW359" s="210" t="e">
        <f t="shared" si="103"/>
        <v>#N/A</v>
      </c>
      <c r="AX359" s="210" t="e">
        <f t="shared" si="103"/>
        <v>#N/A</v>
      </c>
      <c r="AY359" s="210" t="e">
        <f t="shared" si="103"/>
        <v>#N/A</v>
      </c>
      <c r="AZ359" s="210" t="e">
        <f t="shared" si="103"/>
        <v>#N/A</v>
      </c>
      <c r="BA359" s="210" t="e">
        <f t="shared" si="103"/>
        <v>#N/A</v>
      </c>
      <c r="BB359" s="210" t="e">
        <f t="shared" si="103"/>
        <v>#N/A</v>
      </c>
      <c r="BC359" s="210" t="e">
        <f t="shared" si="103"/>
        <v>#N/A</v>
      </c>
      <c r="BD359" s="210" t="e">
        <f t="shared" si="103"/>
        <v>#N/A</v>
      </c>
      <c r="BE359" s="210" t="e">
        <f t="shared" si="103"/>
        <v>#N/A</v>
      </c>
      <c r="BF359" s="210" t="e">
        <f t="shared" si="103"/>
        <v>#N/A</v>
      </c>
      <c r="BG359" s="210" t="e">
        <f t="shared" si="103"/>
        <v>#N/A</v>
      </c>
      <c r="BH359" s="210" t="e">
        <f t="shared" si="103"/>
        <v>#N/A</v>
      </c>
      <c r="BI359" s="210" t="e">
        <f t="shared" si="103"/>
        <v>#N/A</v>
      </c>
      <c r="BJ359" s="210" t="e">
        <f t="shared" si="103"/>
        <v>#N/A</v>
      </c>
      <c r="BK359" s="210" t="e">
        <f t="shared" si="103"/>
        <v>#N/A</v>
      </c>
      <c r="BL359" s="210" t="e">
        <f t="shared" si="103"/>
        <v>#N/A</v>
      </c>
      <c r="BM359" s="210" t="e">
        <f t="shared" si="103"/>
        <v>#N/A</v>
      </c>
      <c r="BN359" s="210" t="e">
        <f t="shared" si="103"/>
        <v>#N/A</v>
      </c>
      <c r="BO359" s="210" t="e">
        <f t="shared" si="103"/>
        <v>#N/A</v>
      </c>
      <c r="BP359" s="210" t="e">
        <f t="shared" si="103"/>
        <v>#N/A</v>
      </c>
      <c r="BQ359" s="210" t="e">
        <f t="shared" si="103"/>
        <v>#N/A</v>
      </c>
      <c r="BR359" s="210" t="e">
        <f t="shared" si="103"/>
        <v>#N/A</v>
      </c>
      <c r="BS359" s="210" t="e">
        <f t="shared" si="103"/>
        <v>#N/A</v>
      </c>
      <c r="BT359" s="210" t="e">
        <f t="shared" si="103"/>
        <v>#N/A</v>
      </c>
      <c r="BU359" s="210" t="e">
        <f t="shared" si="103"/>
        <v>#N/A</v>
      </c>
      <c r="BV359" s="210" t="e">
        <f t="shared" si="103"/>
        <v>#N/A</v>
      </c>
      <c r="BW359" s="210" t="e">
        <f t="shared" si="103"/>
        <v>#N/A</v>
      </c>
      <c r="BX359" s="210" t="e">
        <f t="shared" si="103"/>
        <v>#N/A</v>
      </c>
      <c r="BY359" s="210" t="e">
        <f t="shared" si="103"/>
        <v>#N/A</v>
      </c>
      <c r="BZ359" s="210" t="e">
        <f t="shared" si="103"/>
        <v>#N/A</v>
      </c>
      <c r="CA359" s="210" t="e">
        <f t="shared" si="103"/>
        <v>#N/A</v>
      </c>
      <c r="CB359" s="210" t="e">
        <f t="shared" si="103"/>
        <v>#N/A</v>
      </c>
      <c r="CC359" s="225" t="e">
        <f t="shared" si="103"/>
        <v>#N/A</v>
      </c>
    </row>
    <row r="360" spans="38:81">
      <c r="AO360" s="57" t="s">
        <v>495</v>
      </c>
      <c r="AP360" s="213">
        <f>AW354-AQ356</f>
        <v>-8.8154549064532003E-2</v>
      </c>
      <c r="AQ360" s="40"/>
      <c r="AR360" s="40"/>
      <c r="AS360" s="213">
        <f>$AP$360+SIN(AS357)*$AQ$356</f>
        <v>-8.8154549064532003E-2</v>
      </c>
      <c r="AT360" s="213">
        <f t="shared" ref="AT360:CC360" si="104">$AP$360+SIN(AT357)*$AQ$356</f>
        <v>-8.5549826399528045E-2</v>
      </c>
      <c r="AU360" s="213">
        <f t="shared" si="104"/>
        <v>-8.3024246914646979E-2</v>
      </c>
      <c r="AV360" s="213">
        <f t="shared" si="104"/>
        <v>-8.0654549064532011E-2</v>
      </c>
      <c r="AW360" s="213">
        <f t="shared" si="104"/>
        <v>-7.8512734919233912E-2</v>
      </c>
      <c r="AX360" s="213">
        <f t="shared" si="104"/>
        <v>-7.6663882417747339E-2</v>
      </c>
      <c r="AY360" s="213">
        <f t="shared" si="104"/>
        <v>-7.5164168007765431E-2</v>
      </c>
      <c r="AZ360" s="213">
        <f t="shared" si="104"/>
        <v>-7.4059159752743381E-2</v>
      </c>
      <c r="BA360" s="213">
        <f t="shared" si="104"/>
        <v>-7.3382432769348888E-2</v>
      </c>
      <c r="BB360" s="213">
        <f t="shared" si="104"/>
        <v>-7.3154549064532004E-2</v>
      </c>
      <c r="BC360" s="213">
        <f t="shared" si="104"/>
        <v>-7.3382432769348888E-2</v>
      </c>
      <c r="BD360" s="213">
        <f t="shared" si="104"/>
        <v>-7.4059159752743381E-2</v>
      </c>
      <c r="BE360" s="213">
        <f t="shared" si="104"/>
        <v>-7.5164168007765431E-2</v>
      </c>
      <c r="BF360" s="213">
        <f t="shared" si="104"/>
        <v>-7.6663882417747339E-2</v>
      </c>
      <c r="BG360" s="213">
        <f t="shared" si="104"/>
        <v>-7.8512734919233912E-2</v>
      </c>
      <c r="BH360" s="213">
        <f t="shared" si="104"/>
        <v>-8.0654549064532011E-2</v>
      </c>
      <c r="BI360" s="213">
        <f t="shared" si="104"/>
        <v>-8.3024246914646965E-2</v>
      </c>
      <c r="BJ360" s="213">
        <f t="shared" si="104"/>
        <v>-8.5549826399528045E-2</v>
      </c>
      <c r="BK360" s="213">
        <f t="shared" si="104"/>
        <v>-8.8154549064532003E-2</v>
      </c>
      <c r="BL360" s="213">
        <f t="shared" si="104"/>
        <v>-9.0759271729535962E-2</v>
      </c>
      <c r="BM360" s="213">
        <f t="shared" si="104"/>
        <v>-9.3284851214417028E-2</v>
      </c>
      <c r="BN360" s="213">
        <f t="shared" si="104"/>
        <v>-9.565454906453201E-2</v>
      </c>
      <c r="BO360" s="213">
        <f t="shared" si="104"/>
        <v>-9.7796363209830095E-2</v>
      </c>
      <c r="BP360" s="213">
        <f t="shared" si="104"/>
        <v>-9.9645215711316668E-2</v>
      </c>
      <c r="BQ360" s="213">
        <f t="shared" si="104"/>
        <v>-0.10114493012129858</v>
      </c>
      <c r="BR360" s="213">
        <f t="shared" si="104"/>
        <v>-0.10224993837632063</v>
      </c>
      <c r="BS360" s="213">
        <f t="shared" si="104"/>
        <v>-0.10292666535971512</v>
      </c>
      <c r="BT360" s="213">
        <f t="shared" si="104"/>
        <v>-0.103154549064532</v>
      </c>
      <c r="BU360" s="213">
        <f t="shared" si="104"/>
        <v>-0.10292666535971512</v>
      </c>
      <c r="BV360" s="213">
        <f t="shared" si="104"/>
        <v>-0.10224993837632063</v>
      </c>
      <c r="BW360" s="213">
        <f t="shared" si="104"/>
        <v>-0.10114493012129858</v>
      </c>
      <c r="BX360" s="213">
        <f t="shared" si="104"/>
        <v>-9.9645215711316681E-2</v>
      </c>
      <c r="BY360" s="213">
        <f t="shared" si="104"/>
        <v>-9.7796363209830095E-2</v>
      </c>
      <c r="BZ360" s="213">
        <f t="shared" si="104"/>
        <v>-9.565454906453201E-2</v>
      </c>
      <c r="CA360" s="213">
        <f t="shared" si="104"/>
        <v>-9.3284851214417028E-2</v>
      </c>
      <c r="CB360" s="213">
        <f t="shared" si="104"/>
        <v>-9.0759271729535962E-2</v>
      </c>
      <c r="CC360" s="226">
        <f t="shared" si="104"/>
        <v>-8.8154549064532003E-2</v>
      </c>
    </row>
    <row r="361" spans="38:81">
      <c r="AY361" s="222"/>
    </row>
    <row r="362" spans="38:81">
      <c r="AP362" s="54" t="s">
        <v>503</v>
      </c>
    </row>
    <row r="363" spans="38:81">
      <c r="AO363" s="126"/>
      <c r="AP363" s="46" t="s">
        <v>33</v>
      </c>
      <c r="AQ363" s="46"/>
      <c r="AR363" s="47"/>
    </row>
    <row r="364" spans="38:81">
      <c r="AO364" s="128" t="s">
        <v>46</v>
      </c>
      <c r="AP364">
        <f>AP353</f>
        <v>0</v>
      </c>
      <c r="AQ364" t="e">
        <f>AR364/2</f>
        <v>#N/A</v>
      </c>
      <c r="AR364" s="49" t="e">
        <f>AQ353</f>
        <v>#N/A</v>
      </c>
      <c r="AT364" s="210">
        <f>AP364</f>
        <v>0</v>
      </c>
      <c r="AU364" s="210" t="e">
        <f>AP369</f>
        <v>#N/A</v>
      </c>
      <c r="AV364" s="210">
        <f>BD373</f>
        <v>0</v>
      </c>
      <c r="AW364" s="210" t="e">
        <f>#REF!</f>
        <v>#REF!</v>
      </c>
      <c r="AX364" s="210" t="e">
        <f>AQ374</f>
        <v>#N/A</v>
      </c>
      <c r="AY364" s="210" t="e">
        <f>AR364</f>
        <v>#N/A</v>
      </c>
      <c r="BA364" s="210"/>
      <c r="BC364" s="210"/>
    </row>
    <row r="365" spans="38:81">
      <c r="AO365" s="57" t="s">
        <v>495</v>
      </c>
      <c r="AP365" s="40">
        <v>-0.3</v>
      </c>
      <c r="AQ365" s="40">
        <f>AP365</f>
        <v>-0.3</v>
      </c>
      <c r="AR365" s="51">
        <f>AQ365</f>
        <v>-0.3</v>
      </c>
      <c r="AT365" s="36">
        <f>AP365-0.2</f>
        <v>-0.5</v>
      </c>
      <c r="AU365" s="36">
        <f>AT365</f>
        <v>-0.5</v>
      </c>
      <c r="AV365" s="36">
        <f>AU365</f>
        <v>-0.5</v>
      </c>
      <c r="AW365" s="36">
        <f>AV365</f>
        <v>-0.5</v>
      </c>
      <c r="AX365" s="36">
        <f>AW365</f>
        <v>-0.5</v>
      </c>
      <c r="AY365" s="36">
        <f>AX365</f>
        <v>-0.5</v>
      </c>
      <c r="BA365" s="36"/>
      <c r="BC365" s="36"/>
    </row>
    <row r="367" spans="38:81">
      <c r="AP367" s="54" t="s">
        <v>506</v>
      </c>
    </row>
    <row r="368" spans="38:81">
      <c r="AP368" s="9" t="e">
        <f>AZ114 &amp; ":  " &amp; FIXED(BA114,2) &amp; BB114</f>
        <v>#N/A</v>
      </c>
    </row>
    <row r="369" spans="4:60">
      <c r="AO369" s="126" t="s">
        <v>46</v>
      </c>
      <c r="AP369" s="127" t="e">
        <f>BC114*10^-3</f>
        <v>#N/A</v>
      </c>
      <c r="AQ369" s="127" t="e">
        <f>AP369</f>
        <v>#N/A</v>
      </c>
      <c r="AR369" s="127" t="e">
        <f>BD114*10^-3</f>
        <v>#N/A</v>
      </c>
      <c r="AS369" s="127" t="e">
        <f>AR369</f>
        <v>#N/A</v>
      </c>
      <c r="AT369" s="127"/>
      <c r="AU369" s="127"/>
      <c r="AV369" s="127" t="e">
        <f>($BC$114+($BD$114-$BC$114)/6)*10^-3</f>
        <v>#N/A</v>
      </c>
      <c r="AW369" s="127" t="e">
        <f>AV369</f>
        <v>#N/A</v>
      </c>
      <c r="AX369" s="127" t="e">
        <f>($BC$114+($BD$114-$BC$114)*2/6)*10^-3</f>
        <v>#N/A</v>
      </c>
      <c r="AY369" s="127" t="e">
        <f>($BC$114+($BD$114-$BC$114)*2/6)*10^-3</f>
        <v>#N/A</v>
      </c>
      <c r="AZ369" s="236" t="e">
        <f>($BC$114+($BD$114-$BC$114)*3/6)*10^-3</f>
        <v>#N/A</v>
      </c>
      <c r="BA369" s="127" t="e">
        <f>($BC$114+($BD$114-$BC$114)*3/6)*10^-3</f>
        <v>#N/A</v>
      </c>
      <c r="BB369" s="127" t="e">
        <f>($BC$114+($BD$114-$BC$114)*4/6)*10^-3</f>
        <v>#N/A</v>
      </c>
      <c r="BC369" s="127" t="e">
        <f>BB369</f>
        <v>#N/A</v>
      </c>
      <c r="BD369" s="127" t="e">
        <f>($BC$114+($BD$114-$BC$114)*5/6)*10^-3</f>
        <v>#N/A</v>
      </c>
      <c r="BE369" s="94" t="e">
        <f>BD369</f>
        <v>#N/A</v>
      </c>
    </row>
    <row r="370" spans="4:60">
      <c r="AO370" s="57" t="s">
        <v>495</v>
      </c>
      <c r="AP370" s="215">
        <v>0</v>
      </c>
      <c r="AQ370" s="215">
        <f>W340</f>
        <v>0.2</v>
      </c>
      <c r="AR370" s="215">
        <f>W340</f>
        <v>0.2</v>
      </c>
      <c r="AS370" s="215">
        <f>AP370</f>
        <v>0</v>
      </c>
      <c r="AT370" s="215"/>
      <c r="AU370" s="215"/>
      <c r="AV370" s="215">
        <f>AP370</f>
        <v>0</v>
      </c>
      <c r="AW370" s="215">
        <f>AR370</f>
        <v>0.2</v>
      </c>
      <c r="AX370" s="215">
        <f t="shared" ref="AX370" si="105">AV370</f>
        <v>0</v>
      </c>
      <c r="AY370" s="215">
        <f t="shared" ref="AY370" si="106">AW370</f>
        <v>0.2</v>
      </c>
      <c r="AZ370" s="215">
        <f t="shared" ref="AZ370" si="107">AX370</f>
        <v>0</v>
      </c>
      <c r="BA370" s="215">
        <f t="shared" ref="BA370" si="108">AY370</f>
        <v>0.2</v>
      </c>
      <c r="BB370" s="215">
        <f t="shared" ref="BB370" si="109">AZ370</f>
        <v>0</v>
      </c>
      <c r="BC370" s="215">
        <f t="shared" ref="BC370" si="110">BA370</f>
        <v>0.2</v>
      </c>
      <c r="BD370" s="215">
        <f t="shared" ref="BD370" si="111">BB370</f>
        <v>0</v>
      </c>
      <c r="BE370" s="216">
        <f t="shared" ref="BE370" si="112">BC370</f>
        <v>0.2</v>
      </c>
    </row>
    <row r="372" spans="4:60">
      <c r="BC372" s="43"/>
    </row>
    <row r="373" spans="4:60">
      <c r="AP373" t="str">
        <f>IF(BA115=0,"",AZ115 &amp; ":  " &amp; FIXED(BA115,2) &amp; BB115)</f>
        <v/>
      </c>
      <c r="AS373" t="str">
        <f>IF(BA116=0,"",AZ116 &amp; ":  " &amp; FIXED(BA116,2) &amp; BB116)</f>
        <v/>
      </c>
      <c r="AU373" s="36"/>
      <c r="AV373" s="36"/>
      <c r="AW373" s="36"/>
      <c r="AX373" s="36"/>
      <c r="AY373" s="38"/>
      <c r="AZ373" s="38"/>
      <c r="BB373" s="36"/>
      <c r="BC373" s="36"/>
      <c r="BD373" s="36"/>
      <c r="BE373" s="36"/>
      <c r="BF373" s="36"/>
      <c r="BG373" s="36"/>
      <c r="BH373" s="36"/>
    </row>
    <row r="374" spans="4:60">
      <c r="AO374" s="126" t="s">
        <v>46</v>
      </c>
      <c r="AP374" s="127" t="e">
        <f>BD115*10^-3</f>
        <v>#N/A</v>
      </c>
      <c r="AQ374" s="127" t="e">
        <f>AP374</f>
        <v>#N/A</v>
      </c>
      <c r="AR374" s="127"/>
      <c r="AS374" s="127">
        <f>BD116*10^-3</f>
        <v>0</v>
      </c>
      <c r="AT374" s="94">
        <f>AS374</f>
        <v>0</v>
      </c>
      <c r="AU374" s="38"/>
      <c r="AV374" s="38"/>
      <c r="AW374" s="38"/>
      <c r="AX374" s="38"/>
      <c r="AY374" s="38"/>
      <c r="AZ374" s="38"/>
      <c r="BB374" s="38"/>
      <c r="BC374" s="38"/>
      <c r="BD374" s="38"/>
      <c r="BE374" s="38"/>
      <c r="BF374" s="38"/>
      <c r="BG374" s="38"/>
      <c r="BH374" s="38"/>
    </row>
    <row r="375" spans="4:60">
      <c r="D375" s="6" t="s">
        <v>160</v>
      </c>
      <c r="AO375" s="57" t="s">
        <v>495</v>
      </c>
      <c r="AP375" s="215">
        <v>0</v>
      </c>
      <c r="AQ375" s="215">
        <f>IF(BA115=0,BB374,BB374+2*$W$340)</f>
        <v>0</v>
      </c>
      <c r="AR375" s="215"/>
      <c r="AS375" s="215">
        <v>0</v>
      </c>
      <c r="AT375" s="216">
        <f>IF(BA116=0,AS375,AS375+2*$W$340)</f>
        <v>0</v>
      </c>
      <c r="BC375" s="43"/>
    </row>
    <row r="376" spans="4:60">
      <c r="D376" s="6" t="s">
        <v>161</v>
      </c>
      <c r="G376" s="6" t="s">
        <v>163</v>
      </c>
      <c r="H376" s="105" t="s">
        <v>18</v>
      </c>
      <c r="I376" s="150" t="e">
        <f>NA()</f>
        <v>#N/A</v>
      </c>
      <c r="J376" s="6" t="s">
        <v>37</v>
      </c>
      <c r="V376" s="1" t="s">
        <v>182</v>
      </c>
      <c r="W376" s="1">
        <f>0.2*10^6</f>
        <v>200000</v>
      </c>
      <c r="X376" s="1" t="s">
        <v>67</v>
      </c>
      <c r="Y376" s="1"/>
      <c r="BC376" s="43"/>
    </row>
    <row r="377" spans="4:60" ht="19.5">
      <c r="D377" s="6" t="s">
        <v>162</v>
      </c>
      <c r="G377" s="6" t="s">
        <v>120</v>
      </c>
      <c r="H377" s="105" t="s">
        <v>18</v>
      </c>
      <c r="I377" s="150" t="e">
        <f>NA()</f>
        <v>#N/A</v>
      </c>
      <c r="J377" s="6" t="s">
        <v>37</v>
      </c>
      <c r="V377" s="1" t="s">
        <v>194</v>
      </c>
      <c r="W377" s="69">
        <f>I386/W376*100</f>
        <v>0.20833333333333334</v>
      </c>
      <c r="X377" s="1" t="s">
        <v>183</v>
      </c>
      <c r="Y377" s="1"/>
      <c r="AU377" s="36"/>
      <c r="AV377" s="36"/>
      <c r="BB377" s="36"/>
      <c r="BC377" s="36"/>
      <c r="BD377" s="36"/>
      <c r="BE377" s="36"/>
      <c r="BF377" s="36"/>
      <c r="BG377" s="36"/>
      <c r="BH377" s="36"/>
    </row>
    <row r="378" spans="4:60" ht="19.5">
      <c r="D378" s="6" t="s">
        <v>164</v>
      </c>
      <c r="G378" s="6" t="s">
        <v>166</v>
      </c>
      <c r="H378" s="105" t="s">
        <v>18</v>
      </c>
      <c r="I378" s="150" t="e">
        <f>NA()</f>
        <v>#N/A</v>
      </c>
      <c r="J378" s="6" t="s">
        <v>37</v>
      </c>
      <c r="V378" s="1" t="s">
        <v>195</v>
      </c>
      <c r="W378" s="1">
        <v>0.35</v>
      </c>
      <c r="X378" s="1" t="s">
        <v>183</v>
      </c>
      <c r="Y378" s="1"/>
      <c r="AU378" s="38"/>
      <c r="AV378" s="38"/>
      <c r="AW378" s="9"/>
      <c r="BB378" s="38"/>
      <c r="BC378" s="38"/>
      <c r="BD378" s="38"/>
      <c r="BE378" s="38"/>
      <c r="BF378" s="38"/>
      <c r="BG378" s="38"/>
      <c r="BH378" s="38"/>
    </row>
    <row r="379" spans="4:60">
      <c r="D379" s="6" t="s">
        <v>165</v>
      </c>
      <c r="G379" s="6" t="s">
        <v>167</v>
      </c>
      <c r="H379" s="105" t="s">
        <v>18</v>
      </c>
      <c r="I379" s="150" t="e">
        <f>NA()</f>
        <v>#N/A</v>
      </c>
      <c r="J379" s="6" t="s">
        <v>37</v>
      </c>
      <c r="V379" s="1" t="s">
        <v>186</v>
      </c>
      <c r="W379" s="13">
        <v>1</v>
      </c>
      <c r="X379" s="1"/>
      <c r="Y379" s="1"/>
    </row>
    <row r="380" spans="4:60">
      <c r="D380" s="6" t="s">
        <v>65</v>
      </c>
      <c r="G380" s="6" t="s">
        <v>66</v>
      </c>
      <c r="H380" s="105" t="s">
        <v>18</v>
      </c>
      <c r="I380" s="110">
        <f>$Q$83</f>
        <v>30</v>
      </c>
      <c r="J380" s="6" t="s">
        <v>67</v>
      </c>
      <c r="V380" s="77" t="s">
        <v>184</v>
      </c>
      <c r="W380" s="1">
        <v>0.8</v>
      </c>
      <c r="X380" s="1"/>
      <c r="Y380" s="1"/>
    </row>
    <row r="381" spans="4:60" ht="19.5">
      <c r="G381" s="6" t="s">
        <v>68</v>
      </c>
      <c r="H381" s="105" t="s">
        <v>18</v>
      </c>
      <c r="I381" s="108">
        <f>$Q$84</f>
        <v>21.428571428571431</v>
      </c>
      <c r="J381" s="6" t="s">
        <v>67</v>
      </c>
      <c r="V381" s="1" t="s">
        <v>196</v>
      </c>
      <c r="W381" s="78">
        <f>MAX(0.26*(I382/I385)*(I386/I381),0.0013*I386/I381)</f>
        <v>2.5277777777777774E-2</v>
      </c>
      <c r="X381" s="1"/>
      <c r="Y381" s="1"/>
    </row>
    <row r="382" spans="4:60" ht="19.5">
      <c r="G382" s="6" t="s">
        <v>74</v>
      </c>
      <c r="H382" s="105" t="s">
        <v>18</v>
      </c>
      <c r="I382" s="108"/>
      <c r="J382" s="6" t="s">
        <v>67</v>
      </c>
      <c r="V382" s="1" t="s">
        <v>197</v>
      </c>
      <c r="W382" s="69">
        <f>(W380*W378)/(W378+W377)</f>
        <v>0.5014925373134328</v>
      </c>
      <c r="X382" s="1"/>
      <c r="Y382" s="1"/>
    </row>
    <row r="383" spans="4:60">
      <c r="D383" s="6" t="s">
        <v>168</v>
      </c>
      <c r="G383" s="150" t="e">
        <f>NA()</f>
        <v>#N/A</v>
      </c>
      <c r="H383" s="105" t="s">
        <v>170</v>
      </c>
      <c r="I383" s="151">
        <v>8</v>
      </c>
      <c r="J383" s="6" t="s">
        <v>171</v>
      </c>
      <c r="V383" s="1" t="s">
        <v>190</v>
      </c>
      <c r="W383" s="1"/>
      <c r="X383" s="1"/>
      <c r="Y383" s="1"/>
    </row>
    <row r="384" spans="4:60">
      <c r="F384" s="111" t="s">
        <v>169</v>
      </c>
      <c r="G384" s="150" t="e">
        <f>NA()</f>
        <v>#N/A</v>
      </c>
      <c r="H384" s="105" t="s">
        <v>170</v>
      </c>
      <c r="I384" s="151">
        <v>8</v>
      </c>
      <c r="J384" s="6" t="s">
        <v>171</v>
      </c>
      <c r="V384" s="77" t="s">
        <v>185</v>
      </c>
      <c r="W384" s="69" t="e">
        <f>I387*I386/(I378*I377*W379*I381)</f>
        <v>#N/A</v>
      </c>
      <c r="X384" s="1"/>
      <c r="Y384" s="1"/>
    </row>
    <row r="385" spans="4:25">
      <c r="G385" s="6" t="s">
        <v>75</v>
      </c>
      <c r="H385" s="105" t="s">
        <v>18</v>
      </c>
      <c r="I385" s="6">
        <f>$Q$94</f>
        <v>500</v>
      </c>
      <c r="J385" s="6" t="s">
        <v>67</v>
      </c>
      <c r="V385" s="77" t="s">
        <v>185</v>
      </c>
      <c r="W385" s="69" t="e">
        <f>IF(AND(W384&gt;W381,W384&lt;W382),W384,0)</f>
        <v>#N/A</v>
      </c>
      <c r="X385" s="1"/>
      <c r="Y385" s="1" t="s">
        <v>188</v>
      </c>
    </row>
    <row r="386" spans="4:25">
      <c r="G386" s="6" t="s">
        <v>76</v>
      </c>
      <c r="H386" s="105" t="s">
        <v>18</v>
      </c>
      <c r="I386" s="110">
        <f>$Q$95</f>
        <v>416.66666666666669</v>
      </c>
      <c r="J386" s="6" t="s">
        <v>67</v>
      </c>
      <c r="V386" s="77" t="s">
        <v>187</v>
      </c>
      <c r="W386" s="69" t="e">
        <f>W385*(1-0.5*W385)</f>
        <v>#N/A</v>
      </c>
      <c r="X386" s="1"/>
      <c r="Y386" s="1"/>
    </row>
    <row r="387" spans="4:25" ht="19.5">
      <c r="G387" s="6" t="s">
        <v>172</v>
      </c>
      <c r="H387" s="105" t="s">
        <v>18</v>
      </c>
      <c r="I387" s="110" t="e">
        <f>PI()/4*I383^2*G383+PI()/4*I384^2*G384</f>
        <v>#N/A</v>
      </c>
      <c r="J387" s="6" t="s">
        <v>173</v>
      </c>
      <c r="V387" s="77" t="s">
        <v>198</v>
      </c>
      <c r="W387" s="11" t="e">
        <f>W386*I378*I377^2*W379*I381*10^-6</f>
        <v>#N/A</v>
      </c>
      <c r="X387" s="1" t="s">
        <v>145</v>
      </c>
      <c r="Y387" s="1"/>
    </row>
    <row r="388" spans="4:25">
      <c r="D388" s="6" t="s">
        <v>178</v>
      </c>
      <c r="H388" s="105" t="s">
        <v>170</v>
      </c>
      <c r="I388" s="151">
        <v>0</v>
      </c>
      <c r="J388" s="6" t="s">
        <v>179</v>
      </c>
      <c r="V388" s="1"/>
      <c r="W388" s="1"/>
      <c r="X388" s="1"/>
      <c r="Y388" s="1"/>
    </row>
    <row r="389" spans="4:25">
      <c r="E389" s="151">
        <v>1</v>
      </c>
      <c r="F389" s="118" t="s">
        <v>180</v>
      </c>
      <c r="H389" s="105"/>
      <c r="I389" s="150" t="e">
        <f>NA()</f>
        <v>#N/A</v>
      </c>
      <c r="J389" s="6" t="s">
        <v>37</v>
      </c>
      <c r="N389" s="106" t="e">
        <f>IF(I389&gt;0.7*I376,"For stor!","")</f>
        <v>#N/A</v>
      </c>
      <c r="V389" s="1" t="s">
        <v>189</v>
      </c>
      <c r="W389" s="1"/>
      <c r="X389" s="1"/>
      <c r="Y389" s="1"/>
    </row>
    <row r="390" spans="4:25">
      <c r="F390" s="118"/>
      <c r="G390" s="6" t="s">
        <v>75</v>
      </c>
      <c r="H390" s="105" t="s">
        <v>18</v>
      </c>
      <c r="I390" s="6">
        <f>$Q$94</f>
        <v>500</v>
      </c>
      <c r="J390" s="6" t="s">
        <v>67</v>
      </c>
      <c r="V390" s="1" t="s">
        <v>191</v>
      </c>
      <c r="W390" s="11" t="e">
        <f>MIN(2,1+SQRT(200/I377))</f>
        <v>#N/A</v>
      </c>
      <c r="X390" s="1"/>
      <c r="Y390" s="1"/>
    </row>
    <row r="391" spans="4:25" ht="19.5">
      <c r="F391" s="118"/>
      <c r="G391" s="6" t="s">
        <v>181</v>
      </c>
      <c r="H391" s="105" t="s">
        <v>18</v>
      </c>
      <c r="I391" s="110">
        <f>$Q$95</f>
        <v>416.66666666666669</v>
      </c>
      <c r="J391" s="6" t="s">
        <v>67</v>
      </c>
      <c r="V391" s="1" t="s">
        <v>199</v>
      </c>
      <c r="W391" s="148">
        <v>0</v>
      </c>
      <c r="X391" s="1"/>
      <c r="Y391" s="1" t="s">
        <v>193</v>
      </c>
    </row>
    <row r="392" spans="4:25" ht="19.5">
      <c r="V392" s="76" t="s">
        <v>192</v>
      </c>
      <c r="W392" s="11" t="e">
        <f>0.035*W390^(3/2)*SQRT(I380)*I379*I377*10^-3</f>
        <v>#N/A</v>
      </c>
      <c r="X392" s="1" t="s">
        <v>41</v>
      </c>
      <c r="Y392" s="1" t="s">
        <v>203</v>
      </c>
    </row>
    <row r="393" spans="4:25" ht="19.5">
      <c r="D393" s="6" t="s">
        <v>174</v>
      </c>
      <c r="F393" s="111" t="s">
        <v>177</v>
      </c>
      <c r="K393" s="6" t="s">
        <v>176</v>
      </c>
      <c r="V393" s="76" t="s">
        <v>192</v>
      </c>
      <c r="W393" s="11" t="e">
        <f>(0.18/$AI$95*W390*(100*W391/(I379*I377)*I380)^(1/3))*I379*I377*10^-3</f>
        <v>#N/A</v>
      </c>
      <c r="X393" s="1" t="s">
        <v>41</v>
      </c>
      <c r="Y393" s="1" t="s">
        <v>202</v>
      </c>
    </row>
    <row r="394" spans="4:25">
      <c r="F394" s="115" t="s">
        <v>201</v>
      </c>
      <c r="G394" s="108" t="e">
        <f>W387</f>
        <v>#N/A</v>
      </c>
      <c r="I394" s="6" t="s">
        <v>145</v>
      </c>
      <c r="J394" s="105" t="e">
        <f>IF(G394&gt;K394,"&gt;","&lt;")</f>
        <v>#N/A</v>
      </c>
      <c r="K394" s="108" t="e">
        <f>MAX(Snitkræfter!$D$150,ABS(Snitkræfter!$D$151))</f>
        <v>#N/A</v>
      </c>
      <c r="M394" s="6" t="e">
        <f>IF(G394&gt;K394,"Accept","Forkast")</f>
        <v>#N/A</v>
      </c>
      <c r="N394" s="106" t="e">
        <f>IF(M394="Forkast","NB!","")</f>
        <v>#N/A</v>
      </c>
      <c r="V394" s="1"/>
      <c r="W394" s="1"/>
      <c r="X394" s="1"/>
      <c r="Y394" s="1"/>
    </row>
    <row r="395" spans="4:25">
      <c r="F395" s="111"/>
      <c r="N395" s="116"/>
      <c r="V395" s="1" t="s">
        <v>211</v>
      </c>
      <c r="W395" s="13">
        <v>1</v>
      </c>
      <c r="X395" s="1"/>
      <c r="Y395" s="1" t="s">
        <v>204</v>
      </c>
    </row>
    <row r="396" spans="4:25">
      <c r="D396" s="6" t="s">
        <v>175</v>
      </c>
      <c r="F396" s="111" t="s">
        <v>177</v>
      </c>
      <c r="N396" s="116"/>
      <c r="V396" s="1" t="s">
        <v>205</v>
      </c>
      <c r="W396" s="11">
        <f>TAN(DEGREES(_xlfn.ACOT(W395)))</f>
        <v>1.6197751905438615</v>
      </c>
      <c r="X396" s="1"/>
      <c r="Y396" s="1"/>
    </row>
    <row r="397" spans="4:25" ht="19.5">
      <c r="F397" s="111" t="s">
        <v>200</v>
      </c>
      <c r="G397" s="108" t="e">
        <f>MAX(W392,W393)</f>
        <v>#N/A</v>
      </c>
      <c r="I397" s="6" t="s">
        <v>41</v>
      </c>
      <c r="J397" s="105" t="e">
        <f t="shared" ref="J397" si="113">IF(G397&gt;K397,"&gt;","&lt;")</f>
        <v>#N/A</v>
      </c>
      <c r="K397" s="108" t="e">
        <f>Snitkræfter!$D$152</f>
        <v>#N/A</v>
      </c>
      <c r="M397" s="6" t="e">
        <f>IF(I388&gt;0,"",IF(G397&gt;K397,"Accept","Forkast"))</f>
        <v>#N/A</v>
      </c>
      <c r="N397" s="106" t="e">
        <f t="shared" ref="N397" si="114">IF(M397="Forkast","NB!","")</f>
        <v>#N/A</v>
      </c>
      <c r="V397" s="1" t="s">
        <v>212</v>
      </c>
      <c r="W397" s="13">
        <v>1</v>
      </c>
      <c r="X397" s="1"/>
      <c r="Y397" s="1" t="s">
        <v>209</v>
      </c>
    </row>
    <row r="398" spans="4:25">
      <c r="F398" s="111" t="str">
        <f>IF(I388&gt;0,"V Rd,s =","")</f>
        <v/>
      </c>
      <c r="G398" s="119" t="str">
        <f>IF(I388&gt;0,MIN(W399,W400),"")</f>
        <v/>
      </c>
      <c r="H398" s="111"/>
      <c r="I398" s="113" t="str">
        <f>IF(I388&gt;0,"kN","")</f>
        <v/>
      </c>
      <c r="J398" s="105" t="str">
        <f>IF(I388&gt;0,IF(G398&gt;K398,"&gt;","&lt;"),"")</f>
        <v/>
      </c>
      <c r="K398" s="119" t="str">
        <f>IF(I388&gt;0,K397,"")</f>
        <v/>
      </c>
      <c r="M398" s="6" t="str">
        <f>IF(I388&gt;0,IF(G398&gt;K398,"Accept","Forkast"),"")</f>
        <v/>
      </c>
      <c r="N398" s="106" t="str">
        <f>IF(M398="Forkast","NB!","")</f>
        <v/>
      </c>
      <c r="V398" s="1" t="s">
        <v>208</v>
      </c>
      <c r="W398" s="11">
        <f>0.6*(1-I380/250)</f>
        <v>0.52800000000000002</v>
      </c>
      <c r="X398" s="1"/>
      <c r="Y398" s="1" t="s">
        <v>210</v>
      </c>
    </row>
    <row r="399" spans="4:25" ht="19.5">
      <c r="V399" s="1" t="s">
        <v>213</v>
      </c>
      <c r="W399" s="13" t="e">
        <f>E389*I388^2*(PI()/4)/I389*I391*0.9*I377*10^-3</f>
        <v>#N/A</v>
      </c>
      <c r="X399" s="1" t="s">
        <v>41</v>
      </c>
      <c r="Y399" s="1" t="s">
        <v>206</v>
      </c>
    </row>
    <row r="400" spans="4:25" ht="19.5">
      <c r="V400" s="1" t="s">
        <v>214</v>
      </c>
      <c r="W400" s="13" t="e">
        <f>W397*I379*0.9*I377*W398*I381/(W395+W396)*10^-3</f>
        <v>#N/A</v>
      </c>
      <c r="X400" s="1" t="s">
        <v>41</v>
      </c>
      <c r="Y400" s="1" t="s">
        <v>207</v>
      </c>
    </row>
    <row r="402" spans="2:32" ht="23.25">
      <c r="D402" s="133" t="s">
        <v>215</v>
      </c>
    </row>
    <row r="403" spans="2:32" ht="15.75" customHeight="1">
      <c r="B403" s="106" t="str">
        <f>IF(AND(I409&gt;16,D404=300),"For lille dornlængde!","")</f>
        <v/>
      </c>
      <c r="D403" s="117"/>
    </row>
    <row r="404" spans="2:32">
      <c r="C404" s="111" t="s">
        <v>226</v>
      </c>
      <c r="D404" s="157">
        <v>300</v>
      </c>
      <c r="F404" s="6" t="s">
        <v>221</v>
      </c>
      <c r="G404" s="6" t="s">
        <v>216</v>
      </c>
      <c r="H404" s="105" t="s">
        <v>18</v>
      </c>
      <c r="I404" s="108">
        <f>BF78</f>
        <v>0</v>
      </c>
      <c r="J404" s="6" t="s">
        <v>41</v>
      </c>
      <c r="T404" s="1"/>
      <c r="U404" s="1"/>
      <c r="V404" s="1"/>
      <c r="W404" s="1"/>
      <c r="X404" s="1"/>
      <c r="Y404" s="1"/>
      <c r="Z404" s="1"/>
      <c r="AA404" s="1"/>
    </row>
    <row r="405" spans="2:32">
      <c r="B405" s="156">
        <v>50</v>
      </c>
      <c r="F405" s="6" t="s">
        <v>222</v>
      </c>
      <c r="G405" s="6" t="s">
        <v>217</v>
      </c>
      <c r="H405" s="105" t="s">
        <v>18</v>
      </c>
      <c r="I405" s="6">
        <f>B406+B405+C406</f>
        <v>150</v>
      </c>
      <c r="J405" s="6" t="s">
        <v>37</v>
      </c>
      <c r="T405" s="1"/>
      <c r="U405" s="1"/>
      <c r="V405" s="1"/>
      <c r="W405" s="1"/>
      <c r="X405" s="1"/>
      <c r="Y405" s="1"/>
      <c r="Z405" s="1"/>
      <c r="AA405" s="1"/>
    </row>
    <row r="406" spans="2:32">
      <c r="B406" s="155" t="s">
        <v>236</v>
      </c>
      <c r="C406" s="158">
        <f>25+10+G409/2*I409</f>
        <v>50</v>
      </c>
      <c r="D406" s="130"/>
      <c r="F406" s="6" t="s">
        <v>222</v>
      </c>
      <c r="G406" s="6" t="s">
        <v>218</v>
      </c>
      <c r="H406" s="105" t="s">
        <v>18</v>
      </c>
      <c r="I406" s="6">
        <f>D404-D407/2-B407-I405</f>
        <v>85</v>
      </c>
      <c r="J406" s="6" t="s">
        <v>37</v>
      </c>
      <c r="T406" s="1"/>
      <c r="U406" s="1"/>
      <c r="V406" s="1"/>
      <c r="W406" s="1"/>
      <c r="X406" s="1" t="s">
        <v>172</v>
      </c>
      <c r="Y406" s="7" t="s">
        <v>18</v>
      </c>
      <c r="Z406" s="19">
        <f>PI()/4*I416^2</f>
        <v>3318.3072403542192</v>
      </c>
      <c r="AA406" s="1" t="s">
        <v>173</v>
      </c>
    </row>
    <row r="407" spans="2:32">
      <c r="B407" s="155" t="s">
        <v>234</v>
      </c>
      <c r="D407" s="159">
        <v>30</v>
      </c>
      <c r="G407" s="6" t="s">
        <v>219</v>
      </c>
      <c r="H407" s="105" t="s">
        <v>18</v>
      </c>
      <c r="I407" s="108">
        <f>I404*(I405+I406)/I406</f>
        <v>0</v>
      </c>
      <c r="J407" s="6" t="s">
        <v>41</v>
      </c>
      <c r="T407" s="1"/>
      <c r="U407" s="1"/>
      <c r="V407" s="1"/>
      <c r="W407" s="1"/>
      <c r="X407" s="77" t="s">
        <v>247</v>
      </c>
      <c r="Y407" s="7" t="s">
        <v>18</v>
      </c>
      <c r="Z407" s="10">
        <f>I404*$I$405*10^3/$I$417</f>
        <v>0</v>
      </c>
      <c r="AA407" s="1" t="s">
        <v>67</v>
      </c>
    </row>
    <row r="408" spans="2:32">
      <c r="C408" s="118" t="s">
        <v>232</v>
      </c>
      <c r="G408" s="6" t="s">
        <v>220</v>
      </c>
      <c r="H408" s="105" t="s">
        <v>18</v>
      </c>
      <c r="I408" s="108">
        <f>I407-I404</f>
        <v>0</v>
      </c>
      <c r="J408" s="6" t="s">
        <v>41</v>
      </c>
      <c r="T408" s="1"/>
      <c r="U408" s="1"/>
      <c r="V408" s="1"/>
      <c r="W408" s="1"/>
      <c r="X408" s="77" t="s">
        <v>248</v>
      </c>
      <c r="Y408" s="7" t="s">
        <v>18</v>
      </c>
      <c r="Z408" s="10">
        <f>I404*10^3/$Z$406</f>
        <v>0</v>
      </c>
      <c r="AA408" s="1" t="s">
        <v>67</v>
      </c>
    </row>
    <row r="409" spans="2:32">
      <c r="F409" s="6" t="s">
        <v>223</v>
      </c>
      <c r="G409" s="160">
        <v>3</v>
      </c>
      <c r="H409" s="160" t="s">
        <v>396</v>
      </c>
      <c r="I409" s="151">
        <v>10</v>
      </c>
      <c r="J409" s="6" t="s">
        <v>171</v>
      </c>
      <c r="T409" s="1"/>
      <c r="U409" s="1"/>
      <c r="V409" s="1"/>
      <c r="W409" s="1"/>
      <c r="X409" s="1" t="s">
        <v>243</v>
      </c>
      <c r="Y409" s="7" t="s">
        <v>18</v>
      </c>
      <c r="Z409" s="19">
        <f>PI()/32*I416^3</f>
        <v>26961.246327878031</v>
      </c>
      <c r="AA409" s="1" t="s">
        <v>238</v>
      </c>
      <c r="AB409" s="82" t="s">
        <v>266</v>
      </c>
      <c r="AC409" s="1"/>
      <c r="AD409" s="1"/>
      <c r="AE409" s="1"/>
      <c r="AF409" s="1"/>
    </row>
    <row r="410" spans="2:32">
      <c r="D410" s="120" t="s">
        <v>231</v>
      </c>
      <c r="E410" s="6" t="s">
        <v>230</v>
      </c>
      <c r="G410" s="6" t="s">
        <v>75</v>
      </c>
      <c r="H410" s="105" t="s">
        <v>18</v>
      </c>
      <c r="I410" s="6">
        <f>IF(H409="R1",235,IF(I409&gt;16,345,355))</f>
        <v>235</v>
      </c>
      <c r="J410" s="6" t="s">
        <v>67</v>
      </c>
      <c r="T410" s="1"/>
      <c r="U410" s="1"/>
      <c r="V410" s="1"/>
      <c r="W410" s="1"/>
      <c r="X410" s="1" t="s">
        <v>244</v>
      </c>
      <c r="Y410" s="7" t="s">
        <v>18</v>
      </c>
      <c r="Z410" s="19">
        <f>1/6*I416^3</f>
        <v>45770.833333333328</v>
      </c>
      <c r="AA410" s="1" t="s">
        <v>238</v>
      </c>
      <c r="AB410" s="87" t="s">
        <v>276</v>
      </c>
      <c r="AC410" s="82"/>
      <c r="AD410" s="82"/>
      <c r="AE410" s="82"/>
      <c r="AF410" s="1"/>
    </row>
    <row r="411" spans="2:32">
      <c r="B411" s="6" t="s">
        <v>227</v>
      </c>
      <c r="G411" s="6" t="s">
        <v>76</v>
      </c>
      <c r="H411" s="105" t="s">
        <v>18</v>
      </c>
      <c r="I411" s="110">
        <f>I410/AI97</f>
        <v>195.83333333333334</v>
      </c>
      <c r="J411" s="6" t="s">
        <v>67</v>
      </c>
      <c r="T411" s="1"/>
      <c r="U411" s="90" t="s">
        <v>291</v>
      </c>
      <c r="V411" s="1"/>
      <c r="W411" s="1"/>
      <c r="X411" s="12" t="s">
        <v>250</v>
      </c>
      <c r="Y411" s="7" t="s">
        <v>18</v>
      </c>
      <c r="Z411" s="19">
        <f>3*(I404*10^3)^2/(4*I416*J418)</f>
        <v>0</v>
      </c>
      <c r="AA411" s="1" t="s">
        <v>251</v>
      </c>
      <c r="AB411" s="83" t="s">
        <v>258</v>
      </c>
      <c r="AC411" s="86" t="e">
        <f>SQRT((AC413+0.25*D407)*I419/(I416*D407))</f>
        <v>#N/A</v>
      </c>
      <c r="AD411" s="86">
        <f>0.7+0.5*AC413/I416</f>
        <v>1.1615384615384614</v>
      </c>
      <c r="AE411" s="86" t="e">
        <f>MAXA(AC411:AD411)</f>
        <v>#N/A</v>
      </c>
      <c r="AF411" s="1"/>
    </row>
    <row r="412" spans="2:32">
      <c r="B412" s="111"/>
      <c r="C412" s="111" t="s">
        <v>228</v>
      </c>
      <c r="D412" s="6" t="s">
        <v>229</v>
      </c>
      <c r="G412" s="6" t="s">
        <v>172</v>
      </c>
      <c r="H412" s="105" t="s">
        <v>18</v>
      </c>
      <c r="I412" s="110">
        <f>2*PI()/4*I409^2*G409</f>
        <v>471.23889803846896</v>
      </c>
      <c r="J412" s="6" t="s">
        <v>173</v>
      </c>
      <c r="T412" s="1"/>
      <c r="U412" s="1"/>
      <c r="V412" s="1"/>
      <c r="W412" s="1"/>
      <c r="X412" s="1"/>
      <c r="Y412" s="1"/>
      <c r="Z412" s="1"/>
      <c r="AA412" s="1"/>
      <c r="AB412" s="83" t="s">
        <v>259</v>
      </c>
      <c r="AC412" s="82">
        <f>4*D407</f>
        <v>120</v>
      </c>
      <c r="AD412" s="83" t="s">
        <v>261</v>
      </c>
      <c r="AE412" s="86">
        <f>SQRT(0.5*(2*AC413+I416)*(2*AC413+D407)/(I416*D407))</f>
        <v>2.6674678283691851</v>
      </c>
      <c r="AF412" s="1"/>
    </row>
    <row r="413" spans="2:32">
      <c r="F413" s="6" t="s">
        <v>268</v>
      </c>
      <c r="G413" s="108">
        <f>I412*I411*10^-3</f>
        <v>92.284284199200187</v>
      </c>
      <c r="H413" s="6" t="s">
        <v>41</v>
      </c>
      <c r="I413" s="105" t="str">
        <f>IF(G413&gt;J413,"&gt;","&lt;")</f>
        <v>&gt;</v>
      </c>
      <c r="J413" s="108">
        <f>I407</f>
        <v>0</v>
      </c>
      <c r="K413" s="121" t="s">
        <v>41</v>
      </c>
      <c r="M413" s="6" t="str">
        <f>IF(J413&lt;G413,"Accept","Forkast!")</f>
        <v>Accept</v>
      </c>
      <c r="N413" s="106" t="str">
        <f>IF(M413="Forkast!","NB!","")</f>
        <v/>
      </c>
      <c r="T413" s="1"/>
      <c r="U413" s="1"/>
      <c r="V413" s="12" t="s">
        <v>249</v>
      </c>
      <c r="W413" s="19">
        <f>J413/G413*100</f>
        <v>0</v>
      </c>
      <c r="X413" s="1" t="s">
        <v>183</v>
      </c>
      <c r="Y413" s="1"/>
      <c r="Z413" s="1"/>
      <c r="AA413" s="1"/>
      <c r="AB413" s="83" t="s">
        <v>260</v>
      </c>
      <c r="AC413" s="82">
        <f>AC412/2</f>
        <v>60</v>
      </c>
      <c r="AD413" s="82"/>
      <c r="AE413" s="86" t="e">
        <f>MINA(AE411:AE412)</f>
        <v>#N/A</v>
      </c>
      <c r="AF413" s="1"/>
    </row>
    <row r="414" spans="2:32">
      <c r="B414" s="6" t="s">
        <v>233</v>
      </c>
      <c r="C414" s="6" t="s">
        <v>218</v>
      </c>
      <c r="T414" s="1"/>
      <c r="U414" s="1"/>
      <c r="V414" s="1"/>
      <c r="W414" s="1"/>
      <c r="AB414" s="82"/>
      <c r="AC414" s="82"/>
      <c r="AD414" s="82"/>
      <c r="AE414" s="82"/>
      <c r="AF414" s="1"/>
    </row>
    <row r="415" spans="2:32">
      <c r="F415" s="6" t="s">
        <v>224</v>
      </c>
      <c r="H415" s="105" t="s">
        <v>43</v>
      </c>
      <c r="I415" s="151">
        <v>355</v>
      </c>
      <c r="T415" s="1"/>
      <c r="U415" s="161">
        <f>IF(AND(H415="S",I416&lt;=80),325,IF(AND(H415="S",I416&gt;80),315,"FEJL!"))</f>
        <v>325</v>
      </c>
      <c r="V415" s="1" t="s">
        <v>245</v>
      </c>
      <c r="W415" s="1"/>
      <c r="X415" s="1" t="s">
        <v>255</v>
      </c>
      <c r="Y415" s="1"/>
      <c r="Z415" s="1">
        <f>D407</f>
        <v>30</v>
      </c>
      <c r="AB415" s="83" t="s">
        <v>263</v>
      </c>
      <c r="AC415" s="84">
        <f>I404*10^3/(D407*I416)</f>
        <v>0</v>
      </c>
      <c r="AD415" s="85" t="e">
        <f>IF(AC415&gt;AE415,"&gt;","&lt;")</f>
        <v>#N/A</v>
      </c>
      <c r="AE415" s="84" t="e">
        <f>AE413*Q84</f>
        <v>#N/A</v>
      </c>
      <c r="AF415" s="82" t="e">
        <f>IF(AE415&gt;AC415,"OK!","IKKE OK!")</f>
        <v>#N/A</v>
      </c>
    </row>
    <row r="416" spans="2:32">
      <c r="C416" s="6">
        <f>D407</f>
        <v>30</v>
      </c>
      <c r="F416" s="6" t="s">
        <v>239</v>
      </c>
      <c r="H416" s="105" t="s">
        <v>235</v>
      </c>
      <c r="I416" s="151">
        <v>65</v>
      </c>
      <c r="J416" s="6" t="s">
        <v>37</v>
      </c>
      <c r="T416" s="1"/>
      <c r="U416" s="1"/>
      <c r="V416" s="1"/>
      <c r="W416" s="1"/>
      <c r="X416" s="1" t="s">
        <v>254</v>
      </c>
      <c r="Y416" s="1"/>
      <c r="Z416" s="19">
        <f>I416</f>
        <v>65</v>
      </c>
      <c r="AB416" s="88" t="s">
        <v>275</v>
      </c>
      <c r="AC416" s="1"/>
      <c r="AD416" s="1"/>
      <c r="AE416" s="1"/>
      <c r="AF416" s="1"/>
    </row>
    <row r="417" spans="2:32">
      <c r="G417" s="111" t="str">
        <f>IF(U417="Ja","Wplast","Welast")</f>
        <v>Welast</v>
      </c>
      <c r="H417" s="105" t="s">
        <v>18</v>
      </c>
      <c r="I417" s="110">
        <f>IF(U417="Ja",Z410,Z409)</f>
        <v>26961.246327878031</v>
      </c>
      <c r="J417" s="6" t="s">
        <v>238</v>
      </c>
      <c r="T417" s="1"/>
      <c r="U417" s="148" t="s">
        <v>242</v>
      </c>
      <c r="V417" s="1" t="s">
        <v>246</v>
      </c>
      <c r="W417" s="1"/>
      <c r="X417" s="1" t="s">
        <v>257</v>
      </c>
      <c r="Y417" s="1"/>
      <c r="Z417" s="1" t="e">
        <f>MIN(3*Z415,I419+Z415)</f>
        <v>#N/A</v>
      </c>
      <c r="AB417" s="83" t="s">
        <v>269</v>
      </c>
      <c r="AC417" s="86" t="e">
        <f>I408*10^3/(2*((2*AC413+I416)+(2*AC413+D407))*I419)</f>
        <v>#N/A</v>
      </c>
      <c r="AD417" s="85" t="e">
        <f t="shared" ref="AD417" si="115">IF(AC417&gt;AE417,"&gt;","&lt;")</f>
        <v>#N/A</v>
      </c>
      <c r="AE417" s="86">
        <f>0.12*2/SQRT(Q83)*Q84</f>
        <v>0.93895295572314208</v>
      </c>
      <c r="AF417" s="82" t="e">
        <f t="shared" ref="AF417" si="116">IF(AE417&gt;AC417,"OK!","IKKE OK!")</f>
        <v>#N/A</v>
      </c>
    </row>
    <row r="418" spans="2:32">
      <c r="C418" s="110">
        <f>I416</f>
        <v>65</v>
      </c>
      <c r="F418" s="6" t="s">
        <v>225</v>
      </c>
      <c r="G418" s="110">
        <f>IF(U417="Nej",SQRT(Z407^2+3*Z408^2),(I404*10^3*I405+Z411)/I417)</f>
        <v>0</v>
      </c>
      <c r="I418" s="105" t="str">
        <f>IF(G418&gt;J418,"&gt;","&lt;")</f>
        <v>&lt;</v>
      </c>
      <c r="J418" s="6">
        <f>U415/$AI$98</f>
        <v>295.45454545454544</v>
      </c>
      <c r="K418" s="6" t="s">
        <v>67</v>
      </c>
      <c r="M418" s="6" t="str">
        <f>IF(J418&gt;G418,"Accept","Forkast!")</f>
        <v>Accept</v>
      </c>
      <c r="N418" s="106" t="str">
        <f>IF(M418="Forkast!","NB!","")</f>
        <v/>
      </c>
      <c r="T418" s="1"/>
      <c r="U418" s="1"/>
      <c r="V418" s="1"/>
      <c r="W418" s="1"/>
      <c r="X418" s="1" t="s">
        <v>256</v>
      </c>
      <c r="Y418" s="1"/>
      <c r="Z418" s="1" t="e">
        <f>MIN(3*Z416,I419+Z416)</f>
        <v>#N/A</v>
      </c>
      <c r="AA418" s="1"/>
      <c r="AB418" t="s">
        <v>267</v>
      </c>
    </row>
    <row r="419" spans="2:32" ht="19.5">
      <c r="F419" s="6" t="s">
        <v>240</v>
      </c>
      <c r="G419" s="6" t="s">
        <v>163</v>
      </c>
      <c r="H419" s="105" t="s">
        <v>18</v>
      </c>
      <c r="I419" s="150" t="e">
        <f>NA()</f>
        <v>#N/A</v>
      </c>
      <c r="J419" s="6" t="s">
        <v>37</v>
      </c>
      <c r="T419" s="1"/>
      <c r="U419" s="1"/>
      <c r="V419" s="1"/>
      <c r="W419" s="1"/>
      <c r="X419" s="1" t="s">
        <v>252</v>
      </c>
      <c r="Y419" s="1"/>
      <c r="Z419" s="1">
        <f>D407*I416</f>
        <v>1950</v>
      </c>
      <c r="AA419" s="1"/>
      <c r="AB419" s="1" t="s">
        <v>264</v>
      </c>
      <c r="AC419" s="81" t="e">
        <f>Z419*Q84*SQRT(Z420/Z419)*10^-3</f>
        <v>#N/A</v>
      </c>
      <c r="AD419" t="s">
        <v>41</v>
      </c>
    </row>
    <row r="420" spans="2:32" ht="19.5">
      <c r="B420" s="6" t="s">
        <v>271</v>
      </c>
      <c r="F420" s="6" t="s">
        <v>262</v>
      </c>
      <c r="G420" s="108">
        <f>I408</f>
        <v>0</v>
      </c>
      <c r="H420" s="6" t="s">
        <v>41</v>
      </c>
      <c r="I420" s="105" t="e">
        <f>IF(G420&gt;J420,"&gt;","&lt;")</f>
        <v>#N/A</v>
      </c>
      <c r="J420" s="6" t="e">
        <f>MINA(AC419:AC420)</f>
        <v>#N/A</v>
      </c>
      <c r="K420" s="6" t="s">
        <v>41</v>
      </c>
      <c r="M420" s="6" t="e">
        <f>IF(J420&gt;G420,"Accept","Forkast!")</f>
        <v>#N/A</v>
      </c>
      <c r="N420" s="106" t="e">
        <f>IF(M420="Forkast!","NB!","")</f>
        <v>#N/A</v>
      </c>
      <c r="T420" s="1"/>
      <c r="U420" s="1"/>
      <c r="V420" s="1"/>
      <c r="W420" s="1"/>
      <c r="X420" s="1" t="s">
        <v>253</v>
      </c>
      <c r="Y420" s="1"/>
      <c r="Z420" s="1" t="e">
        <f>Z417*Z418</f>
        <v>#N/A</v>
      </c>
      <c r="AA420" s="12" t="s">
        <v>265</v>
      </c>
      <c r="AB420" s="1" t="s">
        <v>264</v>
      </c>
      <c r="AC420" s="81">
        <f>3*Q84*Z419*10^-3</f>
        <v>125.35714285714288</v>
      </c>
      <c r="AD420" t="s">
        <v>41</v>
      </c>
    </row>
    <row r="421" spans="2:32">
      <c r="B421" s="6" t="s">
        <v>272</v>
      </c>
      <c r="F421" s="122"/>
      <c r="G421" s="122"/>
      <c r="H421" s="122"/>
      <c r="I421" s="123"/>
      <c r="J421" s="122"/>
      <c r="K421" s="122"/>
      <c r="L421" s="122"/>
      <c r="M421" s="122"/>
      <c r="N421" s="124"/>
      <c r="T421" s="1"/>
      <c r="U421" s="1"/>
      <c r="V421" s="1"/>
      <c r="W421" s="1"/>
    </row>
    <row r="422" spans="2:32">
      <c r="F422" s="6" t="s">
        <v>270</v>
      </c>
      <c r="T422" s="1"/>
      <c r="U422" s="1"/>
      <c r="V422" t="s">
        <v>283</v>
      </c>
      <c r="W422" t="e">
        <f>I419-I424-I425/2</f>
        <v>#N/A</v>
      </c>
      <c r="X422" s="1" t="s">
        <v>37</v>
      </c>
      <c r="AE422" s="1"/>
    </row>
    <row r="423" spans="2:32">
      <c r="F423" s="113" t="s">
        <v>274</v>
      </c>
      <c r="G423" s="111"/>
      <c r="H423" s="151">
        <v>8</v>
      </c>
      <c r="I423" s="151">
        <v>150</v>
      </c>
      <c r="J423" s="6" t="s">
        <v>273</v>
      </c>
      <c r="R423" s="108"/>
      <c r="T423" s="1"/>
      <c r="U423" s="1"/>
      <c r="V423" t="s">
        <v>284</v>
      </c>
      <c r="W423" t="e">
        <f>I419-I424-I425-I426/2</f>
        <v>#N/A</v>
      </c>
      <c r="X423" s="1" t="s">
        <v>37</v>
      </c>
      <c r="AE423" s="81"/>
    </row>
    <row r="424" spans="2:32">
      <c r="F424" s="6" t="s">
        <v>282</v>
      </c>
      <c r="I424" s="151">
        <v>25</v>
      </c>
      <c r="J424" s="6" t="s">
        <v>37</v>
      </c>
      <c r="R424" s="108"/>
      <c r="T424" s="1"/>
      <c r="U424" s="1"/>
      <c r="V424" s="1" t="s">
        <v>281</v>
      </c>
      <c r="W424" s="69">
        <f>0.18/AI95</f>
        <v>0.12857142857142859</v>
      </c>
    </row>
    <row r="425" spans="2:32">
      <c r="F425" s="6" t="s">
        <v>286</v>
      </c>
      <c r="I425" s="151">
        <v>8</v>
      </c>
      <c r="J425" s="6" t="s">
        <v>37</v>
      </c>
      <c r="T425" s="1"/>
      <c r="U425" s="1"/>
      <c r="V425" s="1" t="s">
        <v>191</v>
      </c>
      <c r="W425" s="11" t="e">
        <f>MIN(2,1+SQRT(200/I427))</f>
        <v>#N/A</v>
      </c>
    </row>
    <row r="426" spans="2:32" ht="19.5">
      <c r="F426" s="6" t="s">
        <v>287</v>
      </c>
      <c r="I426" s="151">
        <v>8</v>
      </c>
      <c r="J426" s="6" t="s">
        <v>37</v>
      </c>
      <c r="T426" s="1"/>
      <c r="U426" s="1"/>
      <c r="V426" s="1" t="s">
        <v>288</v>
      </c>
      <c r="W426" s="89" t="e">
        <f>MIN(H423^2*PI()/4/(I423*I427),0.02)</f>
        <v>#N/A</v>
      </c>
    </row>
    <row r="427" spans="2:32" ht="19.5">
      <c r="B427" s="132" t="e">
        <f>2*I427+I416/2</f>
        <v>#N/A</v>
      </c>
      <c r="F427" s="6" t="s">
        <v>162</v>
      </c>
      <c r="G427" s="6" t="s">
        <v>120</v>
      </c>
      <c r="H427" s="105" t="s">
        <v>18</v>
      </c>
      <c r="I427" s="6" t="e">
        <f>(W422+W423)/2</f>
        <v>#N/A</v>
      </c>
      <c r="J427" s="6" t="s">
        <v>37</v>
      </c>
      <c r="T427" s="1"/>
      <c r="U427" s="1"/>
      <c r="V427" s="1" t="s">
        <v>290</v>
      </c>
      <c r="W427" s="69" t="e">
        <f>0.035*W425^(3/2)*SQRT(Q83)</f>
        <v>#N/A</v>
      </c>
      <c r="X427" s="1" t="s">
        <v>293</v>
      </c>
      <c r="Y427" s="1"/>
      <c r="Z427" s="1"/>
      <c r="AA427" s="1"/>
    </row>
    <row r="428" spans="2:32" ht="19.5">
      <c r="B428" s="162" t="e">
        <f>SMALL(AS97:AT101,1)</f>
        <v>#NUM!</v>
      </c>
      <c r="F428" s="6" t="s">
        <v>277</v>
      </c>
      <c r="G428" s="6" t="s">
        <v>278</v>
      </c>
      <c r="H428" s="105" t="s">
        <v>18</v>
      </c>
      <c r="I428" s="125">
        <v>0.6</v>
      </c>
      <c r="T428" s="1"/>
      <c r="U428" s="1"/>
      <c r="V428" s="1" t="s">
        <v>289</v>
      </c>
      <c r="W428" s="1" t="e">
        <f>MAX(W427,W424*W425*(100*W426*Q83)^(1/3))</f>
        <v>#N/A</v>
      </c>
      <c r="X428" s="1" t="s">
        <v>294</v>
      </c>
      <c r="Y428" s="1"/>
      <c r="Z428" s="1"/>
      <c r="AA428" s="1"/>
    </row>
    <row r="429" spans="2:32" ht="19.5">
      <c r="F429" s="6" t="s">
        <v>279</v>
      </c>
      <c r="H429" s="105" t="s">
        <v>18</v>
      </c>
      <c r="I429" s="110" t="e">
        <f>IF(B427&lt;B428,W430,W430/2+2*B428)</f>
        <v>#N/A</v>
      </c>
      <c r="J429" s="6" t="s">
        <v>37</v>
      </c>
      <c r="T429" s="1"/>
      <c r="U429" s="1"/>
      <c r="V429" s="1" t="s">
        <v>292</v>
      </c>
      <c r="W429" s="13" t="e">
        <f>W428*I429*I427*10^-3</f>
        <v>#N/A</v>
      </c>
      <c r="X429" s="1" t="s">
        <v>41</v>
      </c>
      <c r="Y429" s="243" t="s">
        <v>296</v>
      </c>
      <c r="Z429" s="243"/>
      <c r="AA429" s="12" t="s">
        <v>214</v>
      </c>
      <c r="AB429" s="10" t="e">
        <f>0.5*I428*Q83/AI95*2*(C416+C418)*I427*10^-3</f>
        <v>#N/A</v>
      </c>
      <c r="AC429" t="s">
        <v>41</v>
      </c>
    </row>
    <row r="430" spans="2:32">
      <c r="F430" s="111" t="s">
        <v>280</v>
      </c>
      <c r="G430" s="108" t="e">
        <f>MIN(W429,AB429)</f>
        <v>#N/A</v>
      </c>
      <c r="H430" s="6" t="s">
        <v>41</v>
      </c>
      <c r="I430" s="105" t="e">
        <f>IF(G430&gt;J430,"&gt;","&lt;")</f>
        <v>#N/A</v>
      </c>
      <c r="J430" s="108">
        <f>I408</f>
        <v>0</v>
      </c>
      <c r="K430" s="6" t="s">
        <v>41</v>
      </c>
      <c r="M430" s="6" t="e">
        <f>IF(J430&lt;G430,"Accept","Forkast!")</f>
        <v>#N/A</v>
      </c>
      <c r="N430" s="106" t="e">
        <f>IF(M430="Forkast!","NB!","")</f>
        <v>#N/A</v>
      </c>
      <c r="T430" s="1"/>
      <c r="U430" s="1"/>
      <c r="V430" s="1" t="s">
        <v>295</v>
      </c>
      <c r="W430" s="81" t="e">
        <f>2*(C416+C418+2*I427*PI())</f>
        <v>#N/A</v>
      </c>
      <c r="X430" s="1" t="s">
        <v>37</v>
      </c>
      <c r="Y430" s="1"/>
      <c r="Z430" s="1"/>
      <c r="AA430" s="1"/>
    </row>
    <row r="431" spans="2:32">
      <c r="T431" s="1"/>
      <c r="U431" s="1"/>
      <c r="X431" s="1"/>
      <c r="Y431" s="1"/>
      <c r="Z431" s="1"/>
      <c r="AA431" s="1"/>
    </row>
    <row r="432" spans="2:32">
      <c r="T432" s="1"/>
      <c r="U432" s="1"/>
      <c r="V432" s="1"/>
      <c r="W432" s="1"/>
      <c r="X432" s="1"/>
      <c r="Y432" s="1"/>
      <c r="Z432" s="1"/>
      <c r="AA432" s="1"/>
    </row>
    <row r="433" spans="6:51">
      <c r="T433" s="1"/>
      <c r="U433" s="1"/>
      <c r="V433" s="1"/>
      <c r="W433" s="1"/>
      <c r="X433" s="1"/>
      <c r="AC433" s="6"/>
    </row>
    <row r="434" spans="6:51">
      <c r="AC434" s="6"/>
    </row>
    <row r="435" spans="6:51">
      <c r="F435" s="6" t="s">
        <v>389</v>
      </c>
      <c r="AC435" s="6"/>
    </row>
    <row r="436" spans="6:51">
      <c r="F436" s="6" t="s">
        <v>390</v>
      </c>
      <c r="G436" s="6" t="s">
        <v>216</v>
      </c>
      <c r="H436" s="105" t="s">
        <v>18</v>
      </c>
      <c r="I436" s="140">
        <v>30.200818201819306</v>
      </c>
      <c r="J436" s="6" t="s">
        <v>41</v>
      </c>
      <c r="Z436" s="6"/>
      <c r="AA436" s="105"/>
      <c r="AB436" s="108"/>
      <c r="AC436" s="6"/>
    </row>
    <row r="437" spans="6:51">
      <c r="F437" s="6" t="s">
        <v>225</v>
      </c>
      <c r="G437" s="6">
        <f>IF(U417="Nej",SQRT(Z440^2+3*Z441^2),(I436*10^3*I405+Z411)/I417)</f>
        <v>168.76134929022183</v>
      </c>
      <c r="I437" s="105" t="str">
        <f>IF(G437&gt;J437,"&gt;","&lt;")</f>
        <v>&lt;</v>
      </c>
      <c r="J437" s="6">
        <f>U415</f>
        <v>325</v>
      </c>
      <c r="K437" s="6" t="s">
        <v>67</v>
      </c>
      <c r="M437" s="6" t="str">
        <f>IF(J437&gt;G437,"Accept","Forkast!")</f>
        <v>Accept</v>
      </c>
      <c r="N437" s="106" t="str">
        <f>IF(M437="Forkast!","NB!","")</f>
        <v/>
      </c>
      <c r="AO437" t="s">
        <v>409</v>
      </c>
      <c r="AR437" s="68" t="s">
        <v>410</v>
      </c>
      <c r="AY437"/>
    </row>
    <row r="438" spans="6:51" ht="20.25">
      <c r="F438" s="6" t="s">
        <v>391</v>
      </c>
      <c r="G438" s="6" t="s">
        <v>392</v>
      </c>
      <c r="H438" s="105" t="s">
        <v>18</v>
      </c>
      <c r="I438" s="108">
        <f>G437/J437*100</f>
        <v>51.926569012375943</v>
      </c>
      <c r="J438" s="6" t="s">
        <v>183</v>
      </c>
      <c r="AB438" s="135" t="s">
        <v>393</v>
      </c>
      <c r="AC438" s="135" t="s">
        <v>394</v>
      </c>
      <c r="AD438" s="138" t="s">
        <v>395</v>
      </c>
    </row>
    <row r="439" spans="6:51">
      <c r="AB439">
        <v>0</v>
      </c>
      <c r="AC439" s="137">
        <v>1</v>
      </c>
      <c r="AD439" s="135">
        <f t="shared" ref="AD439:AD452" si="117">$I$438/100</f>
        <v>0.51926569012375945</v>
      </c>
      <c r="AF439" s="139">
        <f t="shared" ref="AF439:AF452" si="118">AD439-AC439</f>
        <v>-0.48073430987624055</v>
      </c>
      <c r="AG439">
        <f t="shared" ref="AG439:AG452" si="119">IF(AF439&gt;0,1,0)</f>
        <v>0</v>
      </c>
    </row>
    <row r="440" spans="6:51">
      <c r="X440" s="77" t="s">
        <v>247</v>
      </c>
      <c r="Y440" s="7" t="s">
        <v>18</v>
      </c>
      <c r="Z440" s="10">
        <f>I436*$I$405*10^3/$I$417</f>
        <v>168.02349102047006</v>
      </c>
      <c r="AA440" s="1" t="s">
        <v>67</v>
      </c>
      <c r="AB440">
        <v>20</v>
      </c>
      <c r="AC440" s="137">
        <v>1</v>
      </c>
      <c r="AD440" s="135">
        <f t="shared" si="117"/>
        <v>0.51926569012375945</v>
      </c>
      <c r="AF440" s="139">
        <f t="shared" si="118"/>
        <v>-0.48073430987624055</v>
      </c>
      <c r="AG440">
        <f t="shared" si="119"/>
        <v>0</v>
      </c>
      <c r="AH440">
        <f t="shared" ref="AH440:AH452" si="120">IF(AG440-AG439=1,1,0)</f>
        <v>0</v>
      </c>
      <c r="AI440">
        <f t="shared" ref="AI440:AI452" si="121">IF(AH440=1,AB440,0)</f>
        <v>0</v>
      </c>
      <c r="AT440" t="s">
        <v>398</v>
      </c>
      <c r="AW440" t="s">
        <v>404</v>
      </c>
    </row>
    <row r="441" spans="6:51" ht="30.75">
      <c r="X441" s="77" t="s">
        <v>248</v>
      </c>
      <c r="Y441" s="7" t="s">
        <v>18</v>
      </c>
      <c r="Z441" s="10">
        <f>I436*10^3/$Z$406</f>
        <v>9.1012724302754631</v>
      </c>
      <c r="AA441" s="1" t="s">
        <v>67</v>
      </c>
      <c r="AB441">
        <v>100</v>
      </c>
      <c r="AC441" s="137">
        <v>1</v>
      </c>
      <c r="AD441" s="135">
        <f t="shared" si="117"/>
        <v>0.51926569012375945</v>
      </c>
      <c r="AF441" s="139">
        <f t="shared" si="118"/>
        <v>-0.48073430987624055</v>
      </c>
      <c r="AG441">
        <f t="shared" si="119"/>
        <v>0</v>
      </c>
      <c r="AH441">
        <f t="shared" si="120"/>
        <v>0</v>
      </c>
      <c r="AI441">
        <f t="shared" si="121"/>
        <v>0</v>
      </c>
      <c r="AT441" s="184" t="s">
        <v>401</v>
      </c>
      <c r="AU441" s="184" t="s">
        <v>402</v>
      </c>
      <c r="AV441" t="s">
        <v>403</v>
      </c>
      <c r="AW441" t="s">
        <v>400</v>
      </c>
    </row>
    <row r="442" spans="6:51">
      <c r="AB442">
        <v>200</v>
      </c>
      <c r="AC442" s="137">
        <v>1</v>
      </c>
      <c r="AD442" s="135">
        <f t="shared" si="117"/>
        <v>0.51926569012375945</v>
      </c>
      <c r="AF442" s="139">
        <f t="shared" si="118"/>
        <v>-0.48073430987624055</v>
      </c>
      <c r="AG442">
        <f t="shared" si="119"/>
        <v>0</v>
      </c>
      <c r="AH442">
        <f t="shared" si="120"/>
        <v>0</v>
      </c>
      <c r="AI442">
        <f t="shared" si="121"/>
        <v>0</v>
      </c>
      <c r="AO442" t="e">
        <f>IF(SUM(AP442:AS442)=4,AW442,0)</f>
        <v>#N/A</v>
      </c>
      <c r="AP442" t="e">
        <f>IF($E$458=30,1,0)</f>
        <v>#N/A</v>
      </c>
      <c r="AQ442">
        <f>IF($B$405=AT442,1,0)</f>
        <v>0</v>
      </c>
      <c r="AR442">
        <f>IF($I$416=AU442,1,0)</f>
        <v>1</v>
      </c>
      <c r="AS442">
        <f>IF($D$404=AV442,1,0)</f>
        <v>1</v>
      </c>
      <c r="AT442">
        <v>30</v>
      </c>
      <c r="AU442">
        <v>65</v>
      </c>
      <c r="AV442">
        <v>300</v>
      </c>
      <c r="AW442">
        <v>239</v>
      </c>
    </row>
    <row r="443" spans="6:51">
      <c r="AB443">
        <v>300</v>
      </c>
      <c r="AC443" s="137">
        <v>1</v>
      </c>
      <c r="AD443" s="135">
        <f t="shared" si="117"/>
        <v>0.51926569012375945</v>
      </c>
      <c r="AF443" s="139">
        <f t="shared" si="118"/>
        <v>-0.48073430987624055</v>
      </c>
      <c r="AG443">
        <f t="shared" si="119"/>
        <v>0</v>
      </c>
      <c r="AH443">
        <f t="shared" si="120"/>
        <v>0</v>
      </c>
      <c r="AI443">
        <f t="shared" si="121"/>
        <v>0</v>
      </c>
      <c r="AO443" t="e">
        <f t="shared" ref="AO443:AO452" si="122">IF(SUM(AP443:AS443)=4,AW443,0)</f>
        <v>#N/A</v>
      </c>
      <c r="AP443" t="e">
        <f>IF($E$458=30,1,0)</f>
        <v>#N/A</v>
      </c>
      <c r="AQ443">
        <f t="shared" ref="AQ443:AQ445" si="123">IF($B$405=AT443,1,0)</f>
        <v>1</v>
      </c>
      <c r="AR443">
        <f t="shared" ref="AR443:AR445" si="124">IF($I$416=AU443,1,0)</f>
        <v>1</v>
      </c>
      <c r="AS443">
        <f t="shared" ref="AS443:AS445" si="125">IF($D$404=AV443,1,0)</f>
        <v>1</v>
      </c>
      <c r="AT443">
        <v>50</v>
      </c>
      <c r="AU443">
        <v>65</v>
      </c>
      <c r="AV443">
        <v>300</v>
      </c>
      <c r="AW443">
        <v>304</v>
      </c>
    </row>
    <row r="444" spans="6:51">
      <c r="AB444">
        <v>400</v>
      </c>
      <c r="AC444" s="137">
        <v>1</v>
      </c>
      <c r="AD444" s="135">
        <f t="shared" si="117"/>
        <v>0.51926569012375945</v>
      </c>
      <c r="AF444" s="139">
        <f t="shared" si="118"/>
        <v>-0.48073430987624055</v>
      </c>
      <c r="AG444">
        <f t="shared" si="119"/>
        <v>0</v>
      </c>
      <c r="AH444">
        <f t="shared" si="120"/>
        <v>0</v>
      </c>
      <c r="AI444">
        <f t="shared" si="121"/>
        <v>0</v>
      </c>
      <c r="AO444" t="e">
        <f t="shared" si="122"/>
        <v>#N/A</v>
      </c>
      <c r="AP444" t="e">
        <f>IF($E$458=30,1,0)</f>
        <v>#N/A</v>
      </c>
      <c r="AQ444">
        <f t="shared" si="123"/>
        <v>1</v>
      </c>
      <c r="AR444">
        <f t="shared" si="124"/>
        <v>1</v>
      </c>
      <c r="AS444">
        <f t="shared" si="125"/>
        <v>0</v>
      </c>
      <c r="AT444">
        <v>50</v>
      </c>
      <c r="AU444">
        <v>65</v>
      </c>
      <c r="AV444">
        <v>400</v>
      </c>
      <c r="AW444">
        <v>301</v>
      </c>
    </row>
    <row r="445" spans="6:51">
      <c r="AB445">
        <v>500</v>
      </c>
      <c r="AC445" s="137">
        <v>0.78</v>
      </c>
      <c r="AD445" s="135">
        <f t="shared" si="117"/>
        <v>0.51926569012375945</v>
      </c>
      <c r="AF445" s="139">
        <f t="shared" si="118"/>
        <v>-0.26073430987624058</v>
      </c>
      <c r="AG445">
        <f t="shared" si="119"/>
        <v>0</v>
      </c>
      <c r="AH445">
        <f t="shared" si="120"/>
        <v>0</v>
      </c>
      <c r="AI445">
        <f t="shared" si="121"/>
        <v>0</v>
      </c>
      <c r="AO445" t="e">
        <f t="shared" si="122"/>
        <v>#N/A</v>
      </c>
      <c r="AP445" t="e">
        <f>IF($E$458=30,1,0)</f>
        <v>#N/A</v>
      </c>
      <c r="AQ445">
        <f t="shared" si="123"/>
        <v>1</v>
      </c>
      <c r="AR445">
        <f t="shared" si="124"/>
        <v>0</v>
      </c>
      <c r="AS445">
        <f t="shared" si="125"/>
        <v>0</v>
      </c>
      <c r="AT445">
        <v>50</v>
      </c>
      <c r="AU445">
        <v>80</v>
      </c>
      <c r="AV445">
        <v>400</v>
      </c>
      <c r="AW445">
        <v>268</v>
      </c>
    </row>
    <row r="446" spans="6:51">
      <c r="AB446">
        <v>600</v>
      </c>
      <c r="AC446" s="137">
        <v>0.47</v>
      </c>
      <c r="AD446" s="135">
        <f t="shared" si="117"/>
        <v>0.51926569012375945</v>
      </c>
      <c r="AF446" s="139">
        <f t="shared" si="118"/>
        <v>4.9265690123759476E-2</v>
      </c>
      <c r="AG446">
        <f t="shared" si="119"/>
        <v>1</v>
      </c>
      <c r="AH446">
        <f t="shared" si="120"/>
        <v>1</v>
      </c>
      <c r="AI446">
        <f t="shared" si="121"/>
        <v>600</v>
      </c>
    </row>
    <row r="447" spans="6:51">
      <c r="AB447">
        <v>700</v>
      </c>
      <c r="AC447" s="137">
        <v>0.23</v>
      </c>
      <c r="AD447" s="135">
        <f t="shared" si="117"/>
        <v>0.51926569012375945</v>
      </c>
      <c r="AF447" s="139">
        <f t="shared" si="118"/>
        <v>0.28926569012375947</v>
      </c>
      <c r="AG447">
        <f t="shared" si="119"/>
        <v>1</v>
      </c>
      <c r="AH447">
        <f t="shared" si="120"/>
        <v>0</v>
      </c>
      <c r="AI447">
        <f t="shared" si="121"/>
        <v>0</v>
      </c>
      <c r="AT447" t="s">
        <v>399</v>
      </c>
      <c r="AW447" t="s">
        <v>404</v>
      </c>
    </row>
    <row r="448" spans="6:51" ht="30.75">
      <c r="AB448">
        <v>800</v>
      </c>
      <c r="AC448" s="137">
        <v>0.11</v>
      </c>
      <c r="AD448" s="135">
        <f t="shared" si="117"/>
        <v>0.51926569012375945</v>
      </c>
      <c r="AF448" s="139">
        <f t="shared" si="118"/>
        <v>0.40926569012375946</v>
      </c>
      <c r="AG448">
        <f t="shared" si="119"/>
        <v>1</v>
      </c>
      <c r="AH448">
        <f t="shared" si="120"/>
        <v>0</v>
      </c>
      <c r="AI448">
        <f t="shared" si="121"/>
        <v>0</v>
      </c>
      <c r="AT448" s="184" t="s">
        <v>401</v>
      </c>
      <c r="AU448" s="184" t="s">
        <v>402</v>
      </c>
      <c r="AV448" t="s">
        <v>403</v>
      </c>
      <c r="AW448" t="s">
        <v>400</v>
      </c>
    </row>
    <row r="449" spans="5:49">
      <c r="AB449">
        <v>900</v>
      </c>
      <c r="AC449" s="137">
        <v>0.06</v>
      </c>
      <c r="AD449" s="135">
        <f t="shared" si="117"/>
        <v>0.51926569012375945</v>
      </c>
      <c r="AF449" s="139">
        <f t="shared" si="118"/>
        <v>0.45926569012375945</v>
      </c>
      <c r="AG449">
        <f t="shared" si="119"/>
        <v>1</v>
      </c>
      <c r="AH449">
        <f t="shared" si="120"/>
        <v>0</v>
      </c>
      <c r="AI449">
        <f t="shared" si="121"/>
        <v>0</v>
      </c>
      <c r="AO449" t="e">
        <f t="shared" si="122"/>
        <v>#N/A</v>
      </c>
      <c r="AP449" t="e">
        <f>IF($E$458=60,1,0)</f>
        <v>#N/A</v>
      </c>
      <c r="AQ449">
        <f>IF($B$405=AT449,1,0)</f>
        <v>0</v>
      </c>
      <c r="AR449">
        <f>IF($I$416=AU449,1,0)</f>
        <v>1</v>
      </c>
      <c r="AS449">
        <f>IF($D$404=AV449,1,0)</f>
        <v>1</v>
      </c>
      <c r="AT449">
        <v>30</v>
      </c>
      <c r="AU449">
        <v>65</v>
      </c>
      <c r="AV449">
        <v>300</v>
      </c>
      <c r="AW449">
        <v>435</v>
      </c>
    </row>
    <row r="450" spans="5:49">
      <c r="AB450">
        <v>1000</v>
      </c>
      <c r="AC450" s="137">
        <v>0.04</v>
      </c>
      <c r="AD450" s="135">
        <f t="shared" si="117"/>
        <v>0.51926569012375945</v>
      </c>
      <c r="AF450" s="139">
        <f t="shared" si="118"/>
        <v>0.47926569012375947</v>
      </c>
      <c r="AG450">
        <f t="shared" si="119"/>
        <v>1</v>
      </c>
      <c r="AH450">
        <f t="shared" si="120"/>
        <v>0</v>
      </c>
      <c r="AI450">
        <f t="shared" si="121"/>
        <v>0</v>
      </c>
      <c r="AO450" t="e">
        <f t="shared" si="122"/>
        <v>#N/A</v>
      </c>
      <c r="AP450" t="e">
        <f>IF($E$458=60,1,0)</f>
        <v>#N/A</v>
      </c>
      <c r="AQ450">
        <f t="shared" ref="AQ450:AQ452" si="126">IF($B$405=AT450,1,0)</f>
        <v>1</v>
      </c>
      <c r="AR450">
        <f t="shared" ref="AR450:AR452" si="127">IF($I$416=AU450,1,0)</f>
        <v>1</v>
      </c>
      <c r="AS450">
        <f t="shared" ref="AS450:AS452" si="128">IF($D$404=AV450,1,0)</f>
        <v>1</v>
      </c>
      <c r="AT450">
        <v>50</v>
      </c>
      <c r="AU450">
        <v>65</v>
      </c>
      <c r="AV450">
        <v>300</v>
      </c>
      <c r="AW450">
        <v>538</v>
      </c>
    </row>
    <row r="451" spans="5:49">
      <c r="AB451">
        <v>1100</v>
      </c>
      <c r="AC451" s="137">
        <v>0.02</v>
      </c>
      <c r="AD451" s="135">
        <f t="shared" si="117"/>
        <v>0.51926569012375945</v>
      </c>
      <c r="AF451" s="139">
        <f t="shared" si="118"/>
        <v>0.49926569012375943</v>
      </c>
      <c r="AG451">
        <f t="shared" si="119"/>
        <v>1</v>
      </c>
      <c r="AH451">
        <f t="shared" si="120"/>
        <v>0</v>
      </c>
      <c r="AI451">
        <f t="shared" si="121"/>
        <v>0</v>
      </c>
      <c r="AO451" t="e">
        <f t="shared" si="122"/>
        <v>#N/A</v>
      </c>
      <c r="AP451" t="e">
        <f>IF($E$458=60,1,0)</f>
        <v>#N/A</v>
      </c>
      <c r="AQ451">
        <f t="shared" si="126"/>
        <v>1</v>
      </c>
      <c r="AR451">
        <f t="shared" si="127"/>
        <v>1</v>
      </c>
      <c r="AS451">
        <f t="shared" si="128"/>
        <v>0</v>
      </c>
      <c r="AT451">
        <v>50</v>
      </c>
      <c r="AU451">
        <v>65</v>
      </c>
      <c r="AV451">
        <v>400</v>
      </c>
      <c r="AW451">
        <v>529</v>
      </c>
    </row>
    <row r="452" spans="5:49">
      <c r="AB452">
        <v>1200</v>
      </c>
      <c r="AC452" s="137">
        <v>0</v>
      </c>
      <c r="AD452" s="135">
        <f t="shared" si="117"/>
        <v>0.51926569012375945</v>
      </c>
      <c r="AF452" s="139">
        <f t="shared" si="118"/>
        <v>0.51926569012375945</v>
      </c>
      <c r="AG452">
        <f t="shared" si="119"/>
        <v>1</v>
      </c>
      <c r="AH452">
        <f t="shared" si="120"/>
        <v>0</v>
      </c>
      <c r="AI452">
        <f t="shared" si="121"/>
        <v>0</v>
      </c>
      <c r="AO452" t="e">
        <f t="shared" si="122"/>
        <v>#N/A</v>
      </c>
      <c r="AP452" t="e">
        <f>IF($E$458=60,1,0)</f>
        <v>#N/A</v>
      </c>
      <c r="AQ452">
        <f t="shared" si="126"/>
        <v>1</v>
      </c>
      <c r="AR452">
        <f t="shared" si="127"/>
        <v>0</v>
      </c>
      <c r="AS452">
        <f t="shared" si="128"/>
        <v>0</v>
      </c>
      <c r="AT452">
        <v>50</v>
      </c>
      <c r="AU452">
        <v>80</v>
      </c>
      <c r="AV452">
        <v>400</v>
      </c>
      <c r="AW452">
        <v>477</v>
      </c>
    </row>
    <row r="454" spans="5:49">
      <c r="AA454" t="s">
        <v>397</v>
      </c>
    </row>
    <row r="455" spans="5:49">
      <c r="AA455">
        <f>AA456-100</f>
        <v>500</v>
      </c>
      <c r="AB455">
        <f>VLOOKUP(AA455,AB439:AC452,2)</f>
        <v>0.78</v>
      </c>
    </row>
    <row r="456" spans="5:49">
      <c r="F456" s="6" t="s">
        <v>405</v>
      </c>
      <c r="K456" s="110">
        <f>AA457</f>
        <v>584.10784189556148</v>
      </c>
      <c r="L456" s="6" t="s">
        <v>406</v>
      </c>
      <c r="AA456">
        <f>MAXA(AI440:AI452)</f>
        <v>600</v>
      </c>
      <c r="AB456">
        <f>VLOOKUP(AA456,AB439:AC452,2)</f>
        <v>0.47</v>
      </c>
    </row>
    <row r="457" spans="5:49">
      <c r="AA457" s="81">
        <f>_xlfn.FORECAST.LINEAR(AB457,AA455:AA456,AB455:AB456)</f>
        <v>584.10784189556148</v>
      </c>
      <c r="AB457" s="9">
        <f>I438/100</f>
        <v>0.51926569012375945</v>
      </c>
    </row>
    <row r="458" spans="5:49">
      <c r="E458" s="163" t="e">
        <f>NA()</f>
        <v>#N/A</v>
      </c>
      <c r="F458" s="6" t="s">
        <v>407</v>
      </c>
    </row>
    <row r="459" spans="5:49">
      <c r="F459" s="6" t="s">
        <v>408</v>
      </c>
      <c r="K459" s="164" t="e">
        <f>IF(MAXA(AO442:AO452)&gt;0,MAXA(AO442:AO452),NA())</f>
        <v>#N/A</v>
      </c>
      <c r="L459" s="6" t="s">
        <v>406</v>
      </c>
    </row>
    <row r="460" spans="5:49">
      <c r="F460" s="6" t="e">
        <f>IF(K459="","",IF(K459&lt;K456,"   =&gt; Accept, brandbeskyttelse er ikke nødvendig","   =&gt; Forkast, det er nødvendigt at brandbeskytte dorn"))</f>
        <v>#N/A</v>
      </c>
    </row>
    <row r="463" spans="5:49">
      <c r="U463" s="106" t="str">
        <f>IF(SUM(W464:W467)&lt;2,"Kun én eller ingen detalje valgt!",IF(SUM(W464:W467)&gt;2,"Mere end to detaljer valgt!",""))</f>
        <v/>
      </c>
    </row>
    <row r="464" spans="5:49">
      <c r="T464" s="1" t="s">
        <v>490</v>
      </c>
      <c r="U464" s="151" t="s">
        <v>242</v>
      </c>
      <c r="V464" s="196" t="s">
        <v>491</v>
      </c>
      <c r="W464" s="191">
        <f>IF(U464="Ja",1,0)</f>
        <v>0</v>
      </c>
    </row>
    <row r="465" spans="2:28">
      <c r="T465" s="1" t="s">
        <v>490</v>
      </c>
      <c r="U465" s="151" t="s">
        <v>242</v>
      </c>
      <c r="V465" s="196" t="s">
        <v>492</v>
      </c>
      <c r="W465" s="192">
        <f t="shared" ref="W465:W467" si="129">IF(U465="Ja",1,0)</f>
        <v>0</v>
      </c>
    </row>
    <row r="466" spans="2:28">
      <c r="T466" s="1" t="s">
        <v>490</v>
      </c>
      <c r="U466" s="151" t="s">
        <v>241</v>
      </c>
      <c r="V466" s="196" t="s">
        <v>493</v>
      </c>
      <c r="W466" s="192">
        <f t="shared" si="129"/>
        <v>1</v>
      </c>
    </row>
    <row r="467" spans="2:28">
      <c r="T467" s="1" t="s">
        <v>490</v>
      </c>
      <c r="U467" s="151" t="s">
        <v>241</v>
      </c>
      <c r="V467" s="196" t="s">
        <v>517</v>
      </c>
      <c r="W467" s="193">
        <f t="shared" si="129"/>
        <v>1</v>
      </c>
    </row>
    <row r="473" spans="2:28" ht="23.25">
      <c r="D473" s="133" t="s">
        <v>411</v>
      </c>
      <c r="U473" s="151" t="s">
        <v>241</v>
      </c>
      <c r="V473" s="6" t="s">
        <v>428</v>
      </c>
    </row>
    <row r="475" spans="2:28">
      <c r="D475" s="6" t="s">
        <v>412</v>
      </c>
    </row>
    <row r="476" spans="2:28">
      <c r="C476" s="6">
        <v>1</v>
      </c>
      <c r="F476" s="6" t="s">
        <v>427</v>
      </c>
    </row>
    <row r="477" spans="2:28">
      <c r="E477" s="111" t="s">
        <v>415</v>
      </c>
      <c r="F477" s="6" t="s">
        <v>162</v>
      </c>
      <c r="G477" s="6" t="s">
        <v>254</v>
      </c>
      <c r="H477" s="105" t="s">
        <v>18</v>
      </c>
      <c r="I477" s="185" t="e">
        <f>15+D486-I483/2</f>
        <v>#N/A</v>
      </c>
      <c r="J477" s="6" t="s">
        <v>37</v>
      </c>
      <c r="V477" s="6" t="s">
        <v>429</v>
      </c>
      <c r="W477" s="6" t="e">
        <f>IF(U473="Ja",J84,J85)</f>
        <v>#N/A</v>
      </c>
      <c r="Z477" t="s">
        <v>434</v>
      </c>
      <c r="AA477" s="10" t="e">
        <f>AC80*0.5*AB80*J84*10^-6</f>
        <v>#N/A</v>
      </c>
      <c r="AB477" t="s">
        <v>41</v>
      </c>
    </row>
    <row r="478" spans="2:28">
      <c r="F478" s="6" t="s">
        <v>417</v>
      </c>
      <c r="G478" s="6" t="s">
        <v>418</v>
      </c>
      <c r="H478" s="105" t="s">
        <v>18</v>
      </c>
      <c r="I478" s="185" t="e">
        <f>W477</f>
        <v>#N/A</v>
      </c>
      <c r="J478" s="6" t="s">
        <v>37</v>
      </c>
      <c r="V478" s="6" t="s">
        <v>433</v>
      </c>
      <c r="W478" s="6" t="str">
        <f>IF(I72="repos","repos","Naboløb")</f>
        <v>Naboløb</v>
      </c>
      <c r="Z478" t="s">
        <v>435</v>
      </c>
      <c r="AA478" s="10" t="e">
        <f>0.5*J87*Q104*J84*10^-6</f>
        <v>#N/A</v>
      </c>
      <c r="AB478" t="s">
        <v>41</v>
      </c>
    </row>
    <row r="479" spans="2:28">
      <c r="B479" s="113">
        <v>2</v>
      </c>
      <c r="D479" s="6">
        <v>2</v>
      </c>
      <c r="F479" s="6" t="s">
        <v>419</v>
      </c>
      <c r="G479" s="6" t="s">
        <v>216</v>
      </c>
      <c r="H479" s="105" t="s">
        <v>18</v>
      </c>
      <c r="I479" s="186" t="e">
        <f>W479</f>
        <v>#N/A</v>
      </c>
      <c r="J479" s="6" t="s">
        <v>41</v>
      </c>
      <c r="V479" s="6" t="s">
        <v>430</v>
      </c>
      <c r="W479" s="108" t="e">
        <f>IF(W478="Repos",AA478,AA477)</f>
        <v>#N/A</v>
      </c>
    </row>
    <row r="480" spans="2:28">
      <c r="C480" s="6">
        <v>1</v>
      </c>
      <c r="F480" s="6" t="s">
        <v>420</v>
      </c>
      <c r="G480" s="6" t="s">
        <v>114</v>
      </c>
      <c r="H480" s="105" t="s">
        <v>18</v>
      </c>
      <c r="I480" s="185">
        <f>I483/2+15+20+5+2/3*(E481-20-2*5)</f>
        <v>103</v>
      </c>
      <c r="J480" s="6" t="s">
        <v>37</v>
      </c>
      <c r="V480" s="6" t="s">
        <v>431</v>
      </c>
      <c r="W480" s="6" t="e">
        <f>IF(U473="Nej",J84,J85)</f>
        <v>#N/A</v>
      </c>
      <c r="Z480" t="s">
        <v>434</v>
      </c>
      <c r="AA480" s="10" t="e">
        <f>AC81*0.5*AB81*J85*10^-6</f>
        <v>#N/A</v>
      </c>
      <c r="AB480" t="s">
        <v>41</v>
      </c>
    </row>
    <row r="481" spans="2:28">
      <c r="E481" s="158">
        <v>120</v>
      </c>
      <c r="F481" s="6" t="s">
        <v>162</v>
      </c>
      <c r="G481" s="6" t="s">
        <v>256</v>
      </c>
      <c r="H481" s="105" t="s">
        <v>18</v>
      </c>
      <c r="I481" s="185" t="e">
        <f>15+D488-I483/2</f>
        <v>#N/A</v>
      </c>
      <c r="J481" s="6" t="s">
        <v>37</v>
      </c>
      <c r="V481" s="6" t="s">
        <v>433</v>
      </c>
      <c r="W481" s="6" t="str">
        <f>IF(I73="repos","repos","Naboløb")</f>
        <v>Naboløb</v>
      </c>
      <c r="Z481" t="s">
        <v>435</v>
      </c>
      <c r="AA481" s="10" t="e">
        <f>0.5*J88*Q104*J85*10^-6</f>
        <v>#N/A</v>
      </c>
      <c r="AB481" t="s">
        <v>41</v>
      </c>
    </row>
    <row r="482" spans="2:28">
      <c r="B482" s="111" t="s">
        <v>413</v>
      </c>
      <c r="C482" s="6" t="s">
        <v>414</v>
      </c>
      <c r="F482" s="6" t="s">
        <v>421</v>
      </c>
      <c r="G482" s="6" t="s">
        <v>413</v>
      </c>
      <c r="H482" s="105" t="s">
        <v>18</v>
      </c>
      <c r="I482" s="110" t="e">
        <f>D488-I483</f>
        <v>#N/A</v>
      </c>
      <c r="J482" s="6" t="s">
        <v>37</v>
      </c>
      <c r="V482" s="6" t="s">
        <v>432</v>
      </c>
      <c r="W482" s="108" t="e">
        <f>IF(W481="Repos",AA481,AA480)</f>
        <v>#N/A</v>
      </c>
    </row>
    <row r="483" spans="2:28">
      <c r="B483" s="111" t="s">
        <v>256</v>
      </c>
      <c r="F483" s="6" t="s">
        <v>422</v>
      </c>
      <c r="G483" s="151" t="e">
        <f>O88</f>
        <v>#N/A</v>
      </c>
      <c r="H483" s="105" t="s">
        <v>170</v>
      </c>
      <c r="I483" s="151">
        <v>6</v>
      </c>
      <c r="J483" s="6" t="s">
        <v>171</v>
      </c>
    </row>
    <row r="484" spans="2:28">
      <c r="G484" s="6" t="s">
        <v>75</v>
      </c>
      <c r="H484" s="105" t="s">
        <v>18</v>
      </c>
      <c r="I484" s="6">
        <f>Q94</f>
        <v>500</v>
      </c>
      <c r="J484" s="6" t="s">
        <v>67</v>
      </c>
    </row>
    <row r="485" spans="2:28">
      <c r="G485" s="6" t="s">
        <v>76</v>
      </c>
      <c r="H485" s="105" t="s">
        <v>18</v>
      </c>
      <c r="I485" s="110">
        <f>Q95</f>
        <v>416.66666666666669</v>
      </c>
      <c r="J485" s="6" t="s">
        <v>67</v>
      </c>
      <c r="V485" s="1" t="s">
        <v>182</v>
      </c>
      <c r="W485" s="1">
        <f>0.2*10^6</f>
        <v>200000</v>
      </c>
      <c r="X485" s="1" t="s">
        <v>67</v>
      </c>
      <c r="Z485" s="1" t="s">
        <v>189</v>
      </c>
    </row>
    <row r="486" spans="2:28" ht="19.5">
      <c r="D486" s="159" t="e">
        <f>NA()</f>
        <v>#N/A</v>
      </c>
      <c r="G486" s="6" t="s">
        <v>172</v>
      </c>
      <c r="H486" s="105" t="s">
        <v>18</v>
      </c>
      <c r="I486" s="110" t="e">
        <f>PI()/4*I483^2*G483</f>
        <v>#N/A</v>
      </c>
      <c r="J486" s="6" t="s">
        <v>173</v>
      </c>
      <c r="V486" s="1" t="s">
        <v>194</v>
      </c>
      <c r="W486" s="69">
        <f>I485/W485*100</f>
        <v>0.20833333333333334</v>
      </c>
      <c r="X486" s="1" t="s">
        <v>183</v>
      </c>
      <c r="Z486" s="1" t="s">
        <v>191</v>
      </c>
      <c r="AA486" s="11" t="e">
        <f>MIN(2,1+SQRT(200/I477))</f>
        <v>#N/A</v>
      </c>
    </row>
    <row r="487" spans="2:28" ht="19.5">
      <c r="F487" s="6" t="s">
        <v>423</v>
      </c>
      <c r="V487" s="1" t="s">
        <v>195</v>
      </c>
      <c r="W487" s="1">
        <v>0.35</v>
      </c>
      <c r="X487" s="1" t="s">
        <v>183</v>
      </c>
      <c r="Z487" s="1" t="s">
        <v>199</v>
      </c>
      <c r="AA487" s="81" t="e">
        <f>I486</f>
        <v>#N/A</v>
      </c>
    </row>
    <row r="488" spans="2:28" ht="20.25">
      <c r="D488" s="156" t="e">
        <f>NA()</f>
        <v>#N/A</v>
      </c>
      <c r="G488" s="6" t="s">
        <v>463</v>
      </c>
      <c r="H488" s="105" t="s">
        <v>18</v>
      </c>
      <c r="I488" s="6" t="e">
        <f>Q84*COS(ATAN(0.8*I477/I480))</f>
        <v>#N/A</v>
      </c>
      <c r="J488" s="6" t="s">
        <v>67</v>
      </c>
      <c r="V488" s="1" t="s">
        <v>186</v>
      </c>
      <c r="W488" s="10">
        <v>1</v>
      </c>
      <c r="Z488" s="76" t="s">
        <v>192</v>
      </c>
      <c r="AA488" s="13" t="e">
        <f>0.035*AA486^(3/2)*SQRT(Q83)*I478*I477*10^-3</f>
        <v>#N/A</v>
      </c>
    </row>
    <row r="489" spans="2:28" ht="19.5">
      <c r="C489" s="6" t="s">
        <v>416</v>
      </c>
      <c r="F489" s="6" t="s">
        <v>424</v>
      </c>
      <c r="G489" s="108" t="e">
        <f>W496</f>
        <v>#N/A</v>
      </c>
      <c r="H489" s="6" t="s">
        <v>145</v>
      </c>
      <c r="I489" s="105" t="e">
        <f>IF(G489&gt;J489,"&gt;","&lt;")</f>
        <v>#N/A</v>
      </c>
      <c r="J489" s="108" t="e">
        <f>I479*I480*10^-3</f>
        <v>#N/A</v>
      </c>
      <c r="K489" s="121" t="s">
        <v>145</v>
      </c>
      <c r="M489" s="6" t="e">
        <f>IF(J489&lt;G489,"Accept","Forkast!")</f>
        <v>#N/A</v>
      </c>
      <c r="N489" s="106" t="e">
        <f>IF(M489="Forkast!","NB!","")</f>
        <v>#N/A</v>
      </c>
      <c r="V489" s="77" t="s">
        <v>184</v>
      </c>
      <c r="W489">
        <v>0.8</v>
      </c>
      <c r="Z489" s="76" t="s">
        <v>192</v>
      </c>
      <c r="AA489" s="13" t="e">
        <f>(0.18/$AI$95*AA486*(100*AA487/(I478*I477)*Q83)^(1/3))*I478*I477*10^-3</f>
        <v>#N/A</v>
      </c>
    </row>
    <row r="490" spans="2:28" ht="19.5">
      <c r="F490" s="6" t="s">
        <v>425</v>
      </c>
      <c r="G490" s="108" t="e">
        <f>MAX(AA488,AA489)</f>
        <v>#N/A</v>
      </c>
      <c r="H490" s="6" t="s">
        <v>41</v>
      </c>
      <c r="I490" s="105" t="e">
        <f>IF(G490&gt;J490,"&gt;","&lt;")</f>
        <v>#N/A</v>
      </c>
      <c r="J490" s="108" t="e">
        <f>I479</f>
        <v>#N/A</v>
      </c>
      <c r="K490" s="6" t="s">
        <v>41</v>
      </c>
      <c r="M490" s="6" t="e">
        <f>IF(J490&lt;G490,"Accept","Forkast!")</f>
        <v>#N/A</v>
      </c>
      <c r="N490" s="106" t="e">
        <f>IF(M490="Forkast!","NB!","")</f>
        <v>#N/A</v>
      </c>
      <c r="V490" s="1" t="s">
        <v>196</v>
      </c>
      <c r="W490" s="78">
        <f>MAX(0.26*(Q85/I484)*(I485/Q84),0.0013*I485/Q84)</f>
        <v>2.9286511333037432E-2</v>
      </c>
      <c r="X490" s="1"/>
      <c r="Z490" s="1"/>
    </row>
    <row r="491" spans="2:28" ht="19.5">
      <c r="F491" s="6" t="s">
        <v>426</v>
      </c>
      <c r="I491" s="105"/>
      <c r="N491" s="106"/>
      <c r="V491" s="1" t="s">
        <v>197</v>
      </c>
      <c r="W491" s="69">
        <f>($W$489*$W$487)/($W$487+$W$486)</f>
        <v>0.5014925373134328</v>
      </c>
      <c r="X491" s="1"/>
      <c r="Z491" s="1"/>
    </row>
    <row r="492" spans="2:28" ht="20.25">
      <c r="F492" s="6" t="s">
        <v>462</v>
      </c>
      <c r="G492" s="6" t="e">
        <f>(1+I480/I482)*I479*10^3/I486</f>
        <v>#N/A</v>
      </c>
      <c r="H492" s="6" t="s">
        <v>294</v>
      </c>
      <c r="I492" s="105" t="e">
        <f t="shared" ref="I492" si="130">IF(G492&gt;J492,"&gt;","&lt;")</f>
        <v>#N/A</v>
      </c>
      <c r="J492" s="110">
        <f>I485</f>
        <v>416.66666666666669</v>
      </c>
      <c r="K492" s="6" t="s">
        <v>294</v>
      </c>
      <c r="M492" s="6" t="e">
        <f>IF(J492&gt;G492,"Accept","Forkast!")</f>
        <v>#N/A</v>
      </c>
      <c r="N492" s="106" t="e">
        <f t="shared" ref="N492" si="131">IF(M492="Forkast!","NB!","")</f>
        <v>#N/A</v>
      </c>
      <c r="V492" s="1" t="s">
        <v>190</v>
      </c>
      <c r="W492" s="1"/>
      <c r="X492" s="1"/>
      <c r="Z492" s="1"/>
    </row>
    <row r="493" spans="2:28">
      <c r="V493" s="77" t="s">
        <v>185</v>
      </c>
      <c r="W493" s="69" t="e">
        <f>I486*I485/(I478*I477*W488*Q84)</f>
        <v>#N/A</v>
      </c>
      <c r="X493" s="1"/>
      <c r="Z493" s="1"/>
    </row>
    <row r="494" spans="2:28">
      <c r="V494" s="77" t="s">
        <v>185</v>
      </c>
      <c r="W494" s="69" t="e">
        <f>IF(AND(W493&gt;W490,W493&lt;W491),W493,0)</f>
        <v>#N/A</v>
      </c>
      <c r="X494" s="1"/>
      <c r="Z494" s="1"/>
    </row>
    <row r="495" spans="2:28">
      <c r="D495" s="6" t="s">
        <v>436</v>
      </c>
      <c r="V495" s="77" t="s">
        <v>187</v>
      </c>
      <c r="W495" s="69" t="e">
        <f>W494*(1-0.5*W494)</f>
        <v>#N/A</v>
      </c>
      <c r="X495" s="1"/>
      <c r="Z495" s="1"/>
    </row>
    <row r="496" spans="2:28" ht="19.5">
      <c r="F496" s="6" t="s">
        <v>427</v>
      </c>
      <c r="V496" s="77" t="s">
        <v>198</v>
      </c>
      <c r="W496" s="11" t="e">
        <f>W495*I478*I477^2*W488*I488*10^-6</f>
        <v>#N/A</v>
      </c>
      <c r="X496" s="1" t="s">
        <v>145</v>
      </c>
      <c r="Z496" s="1"/>
    </row>
    <row r="497" spans="2:27">
      <c r="C497" s="113">
        <v>1</v>
      </c>
      <c r="D497" s="188" t="s">
        <v>438</v>
      </c>
      <c r="F497" s="6" t="s">
        <v>162</v>
      </c>
      <c r="G497" s="6" t="s">
        <v>254</v>
      </c>
      <c r="H497" s="105" t="s">
        <v>18</v>
      </c>
      <c r="I497" s="185" t="e">
        <f>15+D506-I501/2</f>
        <v>#N/A</v>
      </c>
      <c r="J497" s="6" t="s">
        <v>37</v>
      </c>
      <c r="V497" s="1"/>
    </row>
    <row r="498" spans="2:27">
      <c r="F498" s="6" t="s">
        <v>417</v>
      </c>
      <c r="G498" s="6" t="s">
        <v>418</v>
      </c>
      <c r="H498" s="105" t="s">
        <v>18</v>
      </c>
      <c r="I498" s="185" t="e">
        <f>W480</f>
        <v>#N/A</v>
      </c>
      <c r="J498" s="6" t="s">
        <v>37</v>
      </c>
    </row>
    <row r="499" spans="2:27">
      <c r="E499" s="6" t="s">
        <v>254</v>
      </c>
      <c r="F499" s="6" t="s">
        <v>419</v>
      </c>
      <c r="G499" s="6" t="s">
        <v>216</v>
      </c>
      <c r="H499" s="105" t="s">
        <v>18</v>
      </c>
      <c r="I499" s="186" t="e">
        <f>W482</f>
        <v>#N/A</v>
      </c>
      <c r="J499" s="6" t="s">
        <v>41</v>
      </c>
    </row>
    <row r="500" spans="2:27">
      <c r="F500" s="6" t="s">
        <v>420</v>
      </c>
      <c r="G500" s="6" t="s">
        <v>114</v>
      </c>
      <c r="H500" s="105" t="s">
        <v>18</v>
      </c>
      <c r="I500" s="185">
        <f>I501/2+15+20+5+2/3*(D502-20-2*5)</f>
        <v>103</v>
      </c>
      <c r="J500" s="6" t="s">
        <v>37</v>
      </c>
    </row>
    <row r="501" spans="2:27">
      <c r="B501" s="187" t="s">
        <v>437</v>
      </c>
      <c r="C501" s="6" t="s">
        <v>227</v>
      </c>
      <c r="F501" s="6" t="s">
        <v>439</v>
      </c>
      <c r="G501" s="151" t="e">
        <f>G483</f>
        <v>#N/A</v>
      </c>
      <c r="H501" s="105" t="s">
        <v>170</v>
      </c>
      <c r="I501" s="151">
        <v>6</v>
      </c>
      <c r="J501" s="6" t="s">
        <v>171</v>
      </c>
      <c r="V501" s="1" t="s">
        <v>190</v>
      </c>
      <c r="W501" s="1"/>
      <c r="X501" s="1"/>
      <c r="Z501" s="1" t="s">
        <v>189</v>
      </c>
    </row>
    <row r="502" spans="2:27">
      <c r="C502" s="113">
        <v>1</v>
      </c>
      <c r="D502" s="159">
        <v>120</v>
      </c>
      <c r="G502" s="6" t="s">
        <v>75</v>
      </c>
      <c r="H502" s="105" t="s">
        <v>18</v>
      </c>
      <c r="I502" s="6">
        <f>Q94</f>
        <v>500</v>
      </c>
      <c r="J502" s="6" t="s">
        <v>67</v>
      </c>
      <c r="V502" s="77" t="s">
        <v>185</v>
      </c>
      <c r="W502" s="69" t="e">
        <f>I504*I503/(I498*I497*$W$488*$Q$84)</f>
        <v>#N/A</v>
      </c>
      <c r="X502" s="1"/>
      <c r="Z502" s="1" t="s">
        <v>191</v>
      </c>
      <c r="AA502" s="11" t="e">
        <f>MIN(2,1+SQRT(200/I497))</f>
        <v>#N/A</v>
      </c>
    </row>
    <row r="503" spans="2:27" ht="19.5">
      <c r="C503" s="6" t="s">
        <v>114</v>
      </c>
      <c r="G503" s="6" t="s">
        <v>76</v>
      </c>
      <c r="H503" s="105" t="s">
        <v>18</v>
      </c>
      <c r="I503" s="110">
        <f>Q95</f>
        <v>416.66666666666669</v>
      </c>
      <c r="J503" s="6" t="s">
        <v>67</v>
      </c>
      <c r="V503" s="77" t="s">
        <v>185</v>
      </c>
      <c r="W503" s="69" t="e">
        <f>IF(AND(W502&gt;$W$490,W502&lt;$W$491),W502,0)</f>
        <v>#N/A</v>
      </c>
      <c r="X503" s="1"/>
      <c r="Z503" s="1" t="s">
        <v>199</v>
      </c>
      <c r="AA503" s="81" t="e">
        <f>I504</f>
        <v>#N/A</v>
      </c>
    </row>
    <row r="504" spans="2:27" ht="19.5">
      <c r="G504" s="6" t="s">
        <v>172</v>
      </c>
      <c r="H504" s="105" t="s">
        <v>18</v>
      </c>
      <c r="I504" s="110" t="e">
        <f>PI()/4*I501^2*G501</f>
        <v>#N/A</v>
      </c>
      <c r="J504" s="6" t="s">
        <v>173</v>
      </c>
      <c r="V504" s="77" t="s">
        <v>187</v>
      </c>
      <c r="W504" s="69" t="e">
        <f>W503*(1-0.5*W503)</f>
        <v>#N/A</v>
      </c>
      <c r="X504" s="1"/>
      <c r="Z504" s="76" t="s">
        <v>192</v>
      </c>
      <c r="AA504" s="13" t="e">
        <f>0.035*AA502^(3/2)*SQRT($Q$83)*I498*I497*10^-3</f>
        <v>#N/A</v>
      </c>
    </row>
    <row r="505" spans="2:27" ht="19.5">
      <c r="F505" s="6" t="s">
        <v>423</v>
      </c>
      <c r="V505" s="77" t="s">
        <v>198</v>
      </c>
      <c r="W505" s="11" t="e">
        <f>W504*I498*I497^2*$W$488*I506*10^-6</f>
        <v>#N/A</v>
      </c>
      <c r="X505" s="1" t="s">
        <v>145</v>
      </c>
      <c r="Z505" s="76" t="s">
        <v>192</v>
      </c>
      <c r="AA505" s="13" t="e">
        <f>(0.18/$AI$95*AA502*(100*AA503/(I498*I497)*$Q$83)^(1/3))*I498*I497*10^-3</f>
        <v>#N/A</v>
      </c>
    </row>
    <row r="506" spans="2:27" ht="20.25">
      <c r="D506" s="159" t="e">
        <f>NA()</f>
        <v>#N/A</v>
      </c>
      <c r="G506" s="6" t="s">
        <v>463</v>
      </c>
      <c r="H506" s="105" t="s">
        <v>18</v>
      </c>
      <c r="I506" s="108" t="e">
        <f>Q84*COS(ATAN(0.8*I497/I500))</f>
        <v>#N/A</v>
      </c>
      <c r="J506" s="6" t="s">
        <v>67</v>
      </c>
    </row>
    <row r="507" spans="2:27">
      <c r="F507" s="6" t="s">
        <v>424</v>
      </c>
      <c r="G507" s="108" t="e">
        <f>W505</f>
        <v>#N/A</v>
      </c>
      <c r="H507" s="6" t="s">
        <v>145</v>
      </c>
      <c r="I507" s="105" t="e">
        <f>IF(G507&gt;J507,"&gt;","&lt;")</f>
        <v>#N/A</v>
      </c>
      <c r="J507" s="108" t="e">
        <f>I499*I500*10^-3</f>
        <v>#N/A</v>
      </c>
      <c r="K507" s="121" t="s">
        <v>145</v>
      </c>
      <c r="M507" s="6" t="e">
        <f>IF(J507&lt;G507,"Accept","Forkast!")</f>
        <v>#N/A</v>
      </c>
      <c r="N507" s="106" t="e">
        <f>IF(M507="Forkast!","NB!","")</f>
        <v>#N/A</v>
      </c>
    </row>
    <row r="508" spans="2:27">
      <c r="C508" s="6" t="s">
        <v>416</v>
      </c>
      <c r="F508" s="6" t="s">
        <v>425</v>
      </c>
      <c r="G508" s="108" t="e">
        <f>MAX(AA504,AA505)</f>
        <v>#N/A</v>
      </c>
      <c r="H508" s="6" t="s">
        <v>41</v>
      </c>
      <c r="I508" s="105" t="e">
        <f>IF(G508&gt;J508,"&gt;","&lt;")</f>
        <v>#N/A</v>
      </c>
      <c r="J508" s="108" t="e">
        <f>I499</f>
        <v>#N/A</v>
      </c>
      <c r="K508" s="6" t="s">
        <v>41</v>
      </c>
      <c r="M508" s="6" t="e">
        <f>IF(J508&lt;G508,"Accept","Forkast!")</f>
        <v>#N/A</v>
      </c>
      <c r="N508" s="106" t="e">
        <f>IF(M508="Forkast!","NB!","")</f>
        <v>#N/A</v>
      </c>
    </row>
    <row r="509" spans="2:27">
      <c r="F509" s="6" t="s">
        <v>440</v>
      </c>
      <c r="I509" s="105"/>
      <c r="N509" s="106"/>
    </row>
    <row r="510" spans="2:27" ht="20.25">
      <c r="F510" s="6" t="s">
        <v>462</v>
      </c>
      <c r="G510" s="110" t="e">
        <f>I499*10^3/I504</f>
        <v>#N/A</v>
      </c>
      <c r="H510" s="6" t="s">
        <v>294</v>
      </c>
      <c r="I510" s="105" t="e">
        <f t="shared" ref="I510" si="132">IF(G510&gt;J510,"&gt;","&lt;")</f>
        <v>#N/A</v>
      </c>
      <c r="J510" s="110">
        <f>I503</f>
        <v>416.66666666666669</v>
      </c>
      <c r="K510" s="6" t="s">
        <v>294</v>
      </c>
      <c r="M510" s="6" t="e">
        <f>IF(J510&gt;G510,"Accept","Forkast!")</f>
        <v>#N/A</v>
      </c>
      <c r="N510" s="106" t="e">
        <f t="shared" ref="N510" si="133">IF(M510="Forkast!","NB!","")</f>
        <v>#N/A</v>
      </c>
    </row>
    <row r="513" spans="2:27">
      <c r="D513" s="6" t="s">
        <v>436</v>
      </c>
    </row>
    <row r="514" spans="2:27">
      <c r="F514" s="6" t="s">
        <v>427</v>
      </c>
    </row>
    <row r="515" spans="2:27">
      <c r="F515" s="6" t="s">
        <v>308</v>
      </c>
      <c r="G515" s="6" t="s">
        <v>310</v>
      </c>
      <c r="H515" s="105" t="s">
        <v>18</v>
      </c>
      <c r="I515" s="6" t="e">
        <f>I109</f>
        <v>#N/A</v>
      </c>
      <c r="J515" s="6" t="s">
        <v>37</v>
      </c>
    </row>
    <row r="516" spans="2:27">
      <c r="D516" s="6" t="s">
        <v>441</v>
      </c>
      <c r="F516" s="6" t="s">
        <v>309</v>
      </c>
      <c r="G516" s="6" t="s">
        <v>311</v>
      </c>
      <c r="H516" s="105" t="s">
        <v>18</v>
      </c>
      <c r="I516" s="6" t="e">
        <f>I110</f>
        <v>#N/A</v>
      </c>
      <c r="J516" s="6" t="s">
        <v>37</v>
      </c>
    </row>
    <row r="517" spans="2:27">
      <c r="F517" s="6" t="s">
        <v>362</v>
      </c>
      <c r="G517" s="6" t="s">
        <v>443</v>
      </c>
      <c r="H517" s="105" t="s">
        <v>18</v>
      </c>
      <c r="I517" s="108" t="e">
        <f>180*ATAN(I516/I515)/PI()</f>
        <v>#N/A</v>
      </c>
      <c r="J517" s="6" t="s">
        <v>447</v>
      </c>
    </row>
    <row r="518" spans="2:27">
      <c r="C518" s="6" t="s">
        <v>302</v>
      </c>
      <c r="D518" s="111" t="s">
        <v>442</v>
      </c>
      <c r="F518" s="6" t="s">
        <v>299</v>
      </c>
      <c r="G518" s="6" t="s">
        <v>302</v>
      </c>
      <c r="H518" s="105" t="s">
        <v>18</v>
      </c>
      <c r="I518" s="151" t="e">
        <f>NA()</f>
        <v>#N/A</v>
      </c>
      <c r="J518" s="6" t="s">
        <v>37</v>
      </c>
    </row>
    <row r="519" spans="2:27">
      <c r="F519" s="6" t="s">
        <v>162</v>
      </c>
      <c r="G519" s="6" t="s">
        <v>120</v>
      </c>
      <c r="H519" s="105" t="s">
        <v>18</v>
      </c>
      <c r="I519" s="110" t="e">
        <f>I518-(U519+I523/2)/COS(ATAN(I516/I515))</f>
        <v>#N/A</v>
      </c>
      <c r="J519" s="6" t="s">
        <v>37</v>
      </c>
      <c r="U519" s="151">
        <v>15</v>
      </c>
      <c r="V519" s="6" t="s">
        <v>448</v>
      </c>
    </row>
    <row r="520" spans="2:27">
      <c r="B520" s="187" t="s">
        <v>437</v>
      </c>
      <c r="F520" s="6" t="s">
        <v>417</v>
      </c>
      <c r="G520" s="6" t="s">
        <v>418</v>
      </c>
      <c r="H520" s="105" t="s">
        <v>18</v>
      </c>
      <c r="I520" s="185" t="e">
        <f>W480</f>
        <v>#N/A</v>
      </c>
      <c r="J520" s="6" t="s">
        <v>37</v>
      </c>
      <c r="U520" s="151">
        <f>4*I523</f>
        <v>24</v>
      </c>
      <c r="V520" s="6" t="s">
        <v>449</v>
      </c>
    </row>
    <row r="521" spans="2:27">
      <c r="F521" s="6" t="s">
        <v>445</v>
      </c>
      <c r="G521" s="6" t="s">
        <v>28</v>
      </c>
      <c r="H521" s="105" t="s">
        <v>18</v>
      </c>
      <c r="I521" s="186" t="e">
        <f>W482</f>
        <v>#N/A</v>
      </c>
      <c r="J521" s="6" t="s">
        <v>41</v>
      </c>
      <c r="U521" s="6">
        <f>U520*2.5*I523*Q84/(PI()*I523^2/4)*COS(30/180*PI())</f>
        <v>236.28381232362523</v>
      </c>
      <c r="V521" s="6" t="s">
        <v>450</v>
      </c>
      <c r="X521" s="190" t="s">
        <v>383</v>
      </c>
      <c r="Y521" s="36" t="s">
        <v>18</v>
      </c>
      <c r="Z521" t="s">
        <v>451</v>
      </c>
    </row>
    <row r="522" spans="2:27">
      <c r="F522" s="6" t="s">
        <v>420</v>
      </c>
      <c r="G522" s="6" t="s">
        <v>114</v>
      </c>
      <c r="H522" s="105" t="s">
        <v>18</v>
      </c>
      <c r="I522" s="151">
        <v>150</v>
      </c>
      <c r="J522" s="6" t="s">
        <v>37</v>
      </c>
    </row>
    <row r="523" spans="2:27">
      <c r="D523" s="189" t="s">
        <v>438</v>
      </c>
      <c r="F523" s="6" t="s">
        <v>439</v>
      </c>
      <c r="G523" s="151" t="e">
        <f>G483</f>
        <v>#N/A</v>
      </c>
      <c r="H523" s="105" t="s">
        <v>170</v>
      </c>
      <c r="I523" s="151">
        <v>6</v>
      </c>
      <c r="J523" s="6" t="s">
        <v>171</v>
      </c>
    </row>
    <row r="524" spans="2:27" ht="19.5">
      <c r="G524" s="6" t="s">
        <v>75</v>
      </c>
      <c r="H524" s="105" t="s">
        <v>18</v>
      </c>
      <c r="I524" s="6">
        <f>Q89</f>
        <v>500</v>
      </c>
      <c r="J524" s="6" t="s">
        <v>67</v>
      </c>
      <c r="V524" s="1" t="s">
        <v>196</v>
      </c>
      <c r="W524" s="78">
        <f>MAX(0.26*(Q85/I524)*(I525/Q84),0.0013*I525/Q84)</f>
        <v>1.6607828513829935E-2</v>
      </c>
    </row>
    <row r="525" spans="2:27" ht="19.5">
      <c r="G525" s="6" t="s">
        <v>446</v>
      </c>
      <c r="H525" s="105" t="s">
        <v>18</v>
      </c>
      <c r="I525" s="110">
        <f>U521</f>
        <v>236.28381232362523</v>
      </c>
      <c r="J525" s="6" t="s">
        <v>67</v>
      </c>
      <c r="V525" s="1" t="s">
        <v>197</v>
      </c>
      <c r="W525" s="69">
        <f>($W$489*$W$487)/($W$487+$W$486)</f>
        <v>0.5014925373134328</v>
      </c>
    </row>
    <row r="526" spans="2:27">
      <c r="G526" s="6" t="s">
        <v>172</v>
      </c>
      <c r="H526" s="105" t="s">
        <v>18</v>
      </c>
      <c r="I526" s="110" t="e">
        <f>PI()/4*I523^2*G523</f>
        <v>#N/A</v>
      </c>
      <c r="J526" s="6" t="s">
        <v>173</v>
      </c>
      <c r="V526" s="1" t="s">
        <v>190</v>
      </c>
      <c r="W526" s="1"/>
      <c r="X526" s="1"/>
      <c r="Z526" s="1" t="s">
        <v>189</v>
      </c>
    </row>
    <row r="527" spans="2:27" ht="20.25">
      <c r="G527" s="6" t="s">
        <v>463</v>
      </c>
      <c r="H527" s="105" t="s">
        <v>18</v>
      </c>
      <c r="I527" s="108" t="e">
        <f>Q84*COS(ATAN(0.8*I519/I522))</f>
        <v>#N/A</v>
      </c>
      <c r="J527" s="6" t="s">
        <v>67</v>
      </c>
      <c r="V527" s="77" t="s">
        <v>185</v>
      </c>
      <c r="W527" s="69" t="e">
        <f>I526*I525/(I520*I519*$W$488*$Q$84)</f>
        <v>#N/A</v>
      </c>
      <c r="X527" s="1"/>
      <c r="Z527" s="1" t="s">
        <v>191</v>
      </c>
      <c r="AA527" s="11">
        <f>MIN(2,1+SQRT(200/I522))</f>
        <v>2</v>
      </c>
    </row>
    <row r="528" spans="2:27" ht="19.5">
      <c r="B528" s="135" t="s">
        <v>444</v>
      </c>
      <c r="V528" s="77" t="s">
        <v>185</v>
      </c>
      <c r="W528" s="69" t="e">
        <f>IF(AND(W527&gt;$W$524,W527&lt;$W$525),W527,0)</f>
        <v>#N/A</v>
      </c>
      <c r="X528" s="1"/>
      <c r="Z528" s="1" t="s">
        <v>199</v>
      </c>
      <c r="AA528" s="81" t="e">
        <f>I526</f>
        <v>#N/A</v>
      </c>
    </row>
    <row r="529" spans="2:28" ht="19.5">
      <c r="F529" s="6" t="s">
        <v>424</v>
      </c>
      <c r="G529" s="108" t="e">
        <f>W530</f>
        <v>#N/A</v>
      </c>
      <c r="H529" s="6" t="s">
        <v>145</v>
      </c>
      <c r="I529" s="105" t="e">
        <f>IF(G529&gt;J529,"&gt;","&lt;")</f>
        <v>#N/A</v>
      </c>
      <c r="J529" s="108" t="e">
        <f>I521*I522*10^-3</f>
        <v>#N/A</v>
      </c>
      <c r="K529" s="121" t="s">
        <v>145</v>
      </c>
      <c r="M529" s="6" t="e">
        <f>IF(J529&lt;G529,"Accept","Forkast!")</f>
        <v>#N/A</v>
      </c>
      <c r="N529" s="106" t="e">
        <f>IF(M529="Forkast!","NB!","")</f>
        <v>#N/A</v>
      </c>
      <c r="V529" s="77" t="s">
        <v>187</v>
      </c>
      <c r="W529" s="69" t="e">
        <f>W528*(1-0.5*W528)</f>
        <v>#N/A</v>
      </c>
      <c r="X529" s="1"/>
      <c r="Z529" s="76" t="s">
        <v>192</v>
      </c>
      <c r="AA529" s="13" t="e">
        <f>0.035*AA527^(3/2)*SQRT($Q$83)*I520*I519*10^-3</f>
        <v>#N/A</v>
      </c>
    </row>
    <row r="530" spans="2:28" ht="19.5">
      <c r="F530" s="6" t="s">
        <v>425</v>
      </c>
      <c r="G530" s="108" t="e">
        <f>MAX(AA529,AA530)</f>
        <v>#N/A</v>
      </c>
      <c r="H530" s="6" t="s">
        <v>41</v>
      </c>
      <c r="I530" s="105" t="e">
        <f>IF(G530&gt;J530,"&gt;","&lt;")</f>
        <v>#N/A</v>
      </c>
      <c r="J530" s="108" t="e">
        <f>I521*COS(ATAN(I516/I515))</f>
        <v>#N/A</v>
      </c>
      <c r="K530" s="6" t="s">
        <v>41</v>
      </c>
      <c r="M530" s="6" t="e">
        <f>IF(J530&lt;G530,"Accept","Forkast!")</f>
        <v>#N/A</v>
      </c>
      <c r="N530" s="106" t="e">
        <f>IF(M530="Forkast!","NB!","")</f>
        <v>#N/A</v>
      </c>
      <c r="V530" s="77" t="s">
        <v>198</v>
      </c>
      <c r="W530" s="11" t="e">
        <f>W529*I520*I519^2*$W$488*I527*10^-6</f>
        <v>#N/A</v>
      </c>
      <c r="X530" s="1" t="s">
        <v>145</v>
      </c>
      <c r="Z530" s="76" t="s">
        <v>192</v>
      </c>
      <c r="AA530" s="13" t="e">
        <f>(0.18/$AI$95*AA527*(100*AA528/(I520*I519)*$Q$83)^(1/3))*I520*I519*10^-3</f>
        <v>#N/A</v>
      </c>
    </row>
    <row r="531" spans="2:28">
      <c r="F531" s="6" t="s">
        <v>440</v>
      </c>
      <c r="I531" s="105"/>
      <c r="N531" s="106"/>
    </row>
    <row r="532" spans="2:28" ht="20.25">
      <c r="F532" s="6" t="s">
        <v>462</v>
      </c>
      <c r="G532" s="110" t="e">
        <f>J530*10^3/I526</f>
        <v>#N/A</v>
      </c>
      <c r="H532" s="6" t="s">
        <v>294</v>
      </c>
      <c r="I532" s="105" t="e">
        <f t="shared" ref="I532" si="134">IF(G532&gt;J532,"&gt;","&lt;")</f>
        <v>#N/A</v>
      </c>
      <c r="J532" s="110">
        <f>I525</f>
        <v>236.28381232362523</v>
      </c>
      <c r="K532" s="6" t="s">
        <v>294</v>
      </c>
      <c r="M532" s="6" t="e">
        <f>IF(J532&gt;G532,"Accept","Forkast!")</f>
        <v>#N/A</v>
      </c>
      <c r="N532" s="106" t="e">
        <f t="shared" ref="N532" si="135">IF(M532="Forkast!","NB!","")</f>
        <v>#N/A</v>
      </c>
    </row>
    <row r="535" spans="2:28">
      <c r="D535" s="6" t="s">
        <v>412</v>
      </c>
    </row>
    <row r="536" spans="2:28">
      <c r="F536" s="6" t="s">
        <v>427</v>
      </c>
    </row>
    <row r="537" spans="2:28">
      <c r="D537" s="6" t="s">
        <v>227</v>
      </c>
      <c r="F537" s="6" t="s">
        <v>419</v>
      </c>
      <c r="G537" s="6" t="s">
        <v>216</v>
      </c>
      <c r="H537" s="105" t="s">
        <v>18</v>
      </c>
      <c r="I537" s="186" t="e">
        <f>W479</f>
        <v>#N/A</v>
      </c>
      <c r="J537" s="6" t="s">
        <v>41</v>
      </c>
    </row>
    <row r="538" spans="2:28">
      <c r="B538" s="189" t="s">
        <v>232</v>
      </c>
      <c r="E538" s="189" t="s">
        <v>438</v>
      </c>
      <c r="F538" s="6" t="s">
        <v>452</v>
      </c>
      <c r="G538" s="6" t="s">
        <v>118</v>
      </c>
      <c r="H538" s="105" t="s">
        <v>18</v>
      </c>
      <c r="I538" s="185" t="e">
        <f>W477</f>
        <v>#N/A</v>
      </c>
      <c r="J538" s="6" t="s">
        <v>37</v>
      </c>
    </row>
    <row r="539" spans="2:28">
      <c r="F539" s="6" t="s">
        <v>65</v>
      </c>
      <c r="G539" s="6" t="s">
        <v>66</v>
      </c>
      <c r="H539" s="105" t="s">
        <v>18</v>
      </c>
      <c r="I539" s="110">
        <f>Q83</f>
        <v>30</v>
      </c>
      <c r="J539" s="6" t="s">
        <v>67</v>
      </c>
    </row>
    <row r="540" spans="2:28">
      <c r="G540" s="6" t="s">
        <v>68</v>
      </c>
      <c r="H540" s="105" t="s">
        <v>18</v>
      </c>
      <c r="I540" s="108">
        <f>Q84</f>
        <v>21.428571428571431</v>
      </c>
      <c r="J540" s="6" t="s">
        <v>67</v>
      </c>
    </row>
    <row r="541" spans="2:28">
      <c r="F541" s="6" t="s">
        <v>277</v>
      </c>
      <c r="G541" s="114" t="s">
        <v>453</v>
      </c>
      <c r="H541" s="105" t="s">
        <v>18</v>
      </c>
      <c r="I541" s="152">
        <v>0.8</v>
      </c>
      <c r="AA541" t="s">
        <v>472</v>
      </c>
    </row>
    <row r="542" spans="2:28">
      <c r="Z542" s="135" t="s">
        <v>473</v>
      </c>
      <c r="AA542" s="81" t="e">
        <f>I549</f>
        <v>#N/A</v>
      </c>
      <c r="AB542" t="s">
        <v>37</v>
      </c>
    </row>
    <row r="543" spans="2:28">
      <c r="E543" s="6" t="s">
        <v>464</v>
      </c>
      <c r="G543" s="6" t="s">
        <v>454</v>
      </c>
      <c r="H543" s="105" t="s">
        <v>18</v>
      </c>
      <c r="I543" s="108" t="e">
        <f>I537</f>
        <v>#N/A</v>
      </c>
      <c r="J543" s="6" t="s">
        <v>41</v>
      </c>
      <c r="Z543" s="135" t="s">
        <v>474</v>
      </c>
      <c r="AA543" s="10" t="e">
        <f>MIN(I540*I541,G552)</f>
        <v>#N/A</v>
      </c>
      <c r="AB543" t="s">
        <v>67</v>
      </c>
    </row>
    <row r="544" spans="2:28">
      <c r="G544" s="6" t="s">
        <v>455</v>
      </c>
      <c r="H544" s="105" t="s">
        <v>18</v>
      </c>
      <c r="I544" s="151" t="e">
        <f>NA()</f>
        <v>#N/A</v>
      </c>
      <c r="J544" s="6" t="s">
        <v>37</v>
      </c>
      <c r="U544" s="1" t="s">
        <v>465</v>
      </c>
      <c r="Z544" s="135" t="s">
        <v>480</v>
      </c>
      <c r="AA544" s="10">
        <f>AI97</f>
        <v>1.2</v>
      </c>
    </row>
    <row r="545" spans="2:29">
      <c r="G545" s="6" t="s">
        <v>114</v>
      </c>
      <c r="H545" s="105" t="s">
        <v>18</v>
      </c>
      <c r="I545" s="151" t="e">
        <f>NA()</f>
        <v>#N/A</v>
      </c>
      <c r="J545" s="6" t="s">
        <v>37</v>
      </c>
      <c r="U545" s="1" t="s">
        <v>466</v>
      </c>
      <c r="Z545" s="135" t="s">
        <v>481</v>
      </c>
      <c r="AA545" s="81">
        <f>I556</f>
        <v>6</v>
      </c>
      <c r="AB545" t="s">
        <v>37</v>
      </c>
      <c r="AC545" t="s">
        <v>482</v>
      </c>
    </row>
    <row r="546" spans="2:29">
      <c r="G546" s="111" t="s">
        <v>456</v>
      </c>
      <c r="H546" s="105" t="s">
        <v>18</v>
      </c>
      <c r="I546" s="108" t="e">
        <f>180*U546/PI()</f>
        <v>#N/A</v>
      </c>
      <c r="J546" s="6" t="s">
        <v>447</v>
      </c>
      <c r="U546" s="11" t="e">
        <f>ATAN(I544/I545)</f>
        <v>#N/A</v>
      </c>
      <c r="V546" t="s">
        <v>363</v>
      </c>
      <c r="AA546" s="135" t="s">
        <v>483</v>
      </c>
      <c r="AB546" s="81">
        <f>I558</f>
        <v>416.66666666666669</v>
      </c>
      <c r="AC546" t="s">
        <v>67</v>
      </c>
    </row>
    <row r="547" spans="2:29">
      <c r="G547" s="6" t="s">
        <v>457</v>
      </c>
      <c r="H547" s="105" t="s">
        <v>18</v>
      </c>
      <c r="I547" s="151">
        <v>8</v>
      </c>
      <c r="J547" s="6" t="s">
        <v>37</v>
      </c>
      <c r="Z547" s="135" t="s">
        <v>484</v>
      </c>
      <c r="AA547" s="135" t="s">
        <v>170</v>
      </c>
      <c r="AB547" s="81">
        <f>I555</f>
        <v>8</v>
      </c>
      <c r="AC547" t="s">
        <v>179</v>
      </c>
    </row>
    <row r="548" spans="2:29">
      <c r="B548" s="189" t="s">
        <v>437</v>
      </c>
      <c r="G548" s="6" t="s">
        <v>458</v>
      </c>
      <c r="H548" s="105" t="s">
        <v>18</v>
      </c>
      <c r="I548" s="6" t="e">
        <f>I547*TAN(U546)</f>
        <v>#N/A</v>
      </c>
      <c r="J548" s="6" t="s">
        <v>37</v>
      </c>
      <c r="AA548" s="135" t="s">
        <v>483</v>
      </c>
      <c r="AB548" s="81">
        <f>I558</f>
        <v>416.66666666666669</v>
      </c>
      <c r="AC548" t="s">
        <v>67</v>
      </c>
    </row>
    <row r="549" spans="2:29">
      <c r="C549" s="6" t="s">
        <v>114</v>
      </c>
      <c r="G549" s="6" t="s">
        <v>459</v>
      </c>
      <c r="H549" s="105" t="s">
        <v>18</v>
      </c>
      <c r="I549" s="110" t="e">
        <f>I547/COS(U546)</f>
        <v>#N/A</v>
      </c>
      <c r="J549" s="6" t="s">
        <v>37</v>
      </c>
      <c r="V549" s="135" t="s">
        <v>486</v>
      </c>
      <c r="W549" s="10" t="e">
        <f>I543*10^3/(MIN(AA551,AA552)*G556*I548)</f>
        <v>#N/A</v>
      </c>
      <c r="AA549" s="135" t="s">
        <v>485</v>
      </c>
      <c r="AB549" s="81">
        <f>AB547^3/6</f>
        <v>85.333333333333329</v>
      </c>
      <c r="AC549" t="s">
        <v>238</v>
      </c>
    </row>
    <row r="550" spans="2:29">
      <c r="G550" s="6" t="s">
        <v>460</v>
      </c>
      <c r="H550" s="105" t="s">
        <v>18</v>
      </c>
      <c r="I550" s="108" t="e">
        <f>I543/TAN(U546)</f>
        <v>#N/A</v>
      </c>
      <c r="J550" s="6" t="s">
        <v>41</v>
      </c>
      <c r="V550" s="135" t="s">
        <v>487</v>
      </c>
      <c r="W550" s="10" t="e">
        <f>I550*10^3/(MIN(AA551,AA552)*G556*I547)</f>
        <v>#N/A</v>
      </c>
    </row>
    <row r="551" spans="2:29">
      <c r="G551" s="6" t="s">
        <v>461</v>
      </c>
      <c r="H551" s="105" t="s">
        <v>18</v>
      </c>
      <c r="I551" s="108" t="e">
        <f>SQRT(I543^2+I550^2)</f>
        <v>#N/A</v>
      </c>
      <c r="J551" s="6" t="s">
        <v>41</v>
      </c>
      <c r="V551" s="135" t="s">
        <v>488</v>
      </c>
      <c r="W551" s="10" t="e">
        <f>I551*10^3/(MIN(AA551,AA552)*G556*I549)</f>
        <v>#N/A</v>
      </c>
      <c r="Z551" t="s">
        <v>479</v>
      </c>
      <c r="AA551" s="81" t="e">
        <f>SQRT(AB548*AB549/(0.107*AA542*I540*I541))*2</f>
        <v>#N/A</v>
      </c>
      <c r="AB551" t="s">
        <v>37</v>
      </c>
      <c r="AC551" t="s">
        <v>475</v>
      </c>
    </row>
    <row r="552" spans="2:29" ht="20.25">
      <c r="F552" s="115" t="s">
        <v>489</v>
      </c>
      <c r="G552" s="108" t="e">
        <f>W551</f>
        <v>#N/A</v>
      </c>
      <c r="H552" s="6" t="s">
        <v>294</v>
      </c>
      <c r="I552" s="105" t="e">
        <f>IF(G552&gt;L552,"&gt;","&lt;")</f>
        <v>#N/A</v>
      </c>
      <c r="J552" s="108">
        <f>I540*I541</f>
        <v>17.142857142857146</v>
      </c>
      <c r="K552" s="6" t="s">
        <v>294</v>
      </c>
      <c r="M552" s="6" t="e">
        <f>IF(J552&gt;G552,"Accept","Forkast!")</f>
        <v>#N/A</v>
      </c>
      <c r="N552" s="106" t="e">
        <f t="shared" ref="N552" si="136">IF(M552="Forkast!","NB!","")</f>
        <v>#N/A</v>
      </c>
      <c r="Z552" t="s">
        <v>478</v>
      </c>
      <c r="AA552" s="81" t="e">
        <f>I538/G556</f>
        <v>#N/A</v>
      </c>
      <c r="AB552" t="s">
        <v>37</v>
      </c>
      <c r="AC552" t="s">
        <v>476</v>
      </c>
    </row>
    <row r="553" spans="2:29">
      <c r="Z553" s="135" t="s">
        <v>477</v>
      </c>
      <c r="AA553" s="81" t="e">
        <f>MIN(AA551,AA552)*G556</f>
        <v>#N/A</v>
      </c>
      <c r="AB553" t="s">
        <v>37</v>
      </c>
    </row>
    <row r="555" spans="2:29">
      <c r="F555" s="111"/>
      <c r="G555" s="111" t="s">
        <v>467</v>
      </c>
      <c r="H555" s="105" t="s">
        <v>170</v>
      </c>
      <c r="I555" s="151">
        <v>8</v>
      </c>
      <c r="J555" s="6" t="s">
        <v>468</v>
      </c>
    </row>
    <row r="556" spans="2:29">
      <c r="F556" s="6" t="s">
        <v>471</v>
      </c>
      <c r="G556" s="151" t="e">
        <f>G483</f>
        <v>#N/A</v>
      </c>
      <c r="H556" s="105" t="s">
        <v>170</v>
      </c>
      <c r="I556" s="151">
        <v>6</v>
      </c>
      <c r="J556" s="6" t="s">
        <v>469</v>
      </c>
    </row>
    <row r="557" spans="2:29">
      <c r="G557" s="6" t="s">
        <v>75</v>
      </c>
      <c r="H557" s="105" t="s">
        <v>18</v>
      </c>
      <c r="I557" s="110">
        <f>Q89</f>
        <v>500</v>
      </c>
      <c r="J557" s="6" t="s">
        <v>67</v>
      </c>
    </row>
    <row r="558" spans="2:29">
      <c r="G558" s="6" t="s">
        <v>76</v>
      </c>
      <c r="H558" s="105" t="s">
        <v>18</v>
      </c>
      <c r="I558" s="110">
        <f>Q90</f>
        <v>416.66666666666669</v>
      </c>
      <c r="J558" s="6" t="s">
        <v>67</v>
      </c>
    </row>
    <row r="559" spans="2:29">
      <c r="G559" s="6" t="s">
        <v>172</v>
      </c>
      <c r="H559" s="105" t="s">
        <v>18</v>
      </c>
      <c r="I559" s="110" t="e">
        <f>PI()/4*I556^2*G556</f>
        <v>#N/A</v>
      </c>
      <c r="J559" s="6" t="s">
        <v>173</v>
      </c>
    </row>
    <row r="560" spans="2:29" ht="20.25">
      <c r="F560" s="111" t="s">
        <v>470</v>
      </c>
      <c r="G560" s="110" t="e">
        <f>MAX(I543,I550)*10^3/I559</f>
        <v>#N/A</v>
      </c>
      <c r="H560" s="6" t="s">
        <v>294</v>
      </c>
      <c r="I560" s="105" t="e">
        <f t="shared" ref="I560" si="137">IF(G560&gt;J560,"&gt;","&lt;")</f>
        <v>#N/A</v>
      </c>
      <c r="J560" s="110">
        <f>I558</f>
        <v>416.66666666666669</v>
      </c>
      <c r="K560" s="6" t="s">
        <v>294</v>
      </c>
      <c r="M560" s="6" t="e">
        <f>IF(J560&gt;G560,"Accept","Forkast!")</f>
        <v>#N/A</v>
      </c>
      <c r="N560" s="106" t="e">
        <f t="shared" ref="N560" si="138">IF(M560="Forkast!","NB!","")</f>
        <v>#N/A</v>
      </c>
    </row>
    <row r="561" spans="9:9">
      <c r="I561" s="109"/>
    </row>
  </sheetData>
  <mergeCells count="6">
    <mergeCell ref="O4:P4"/>
    <mergeCell ref="Y429:Z429"/>
    <mergeCell ref="BF82:BF83"/>
    <mergeCell ref="BF92:BF93"/>
    <mergeCell ref="BF102:BF103"/>
    <mergeCell ref="BF112:BF113"/>
  </mergeCells>
  <phoneticPr fontId="7" type="noConversion"/>
  <conditionalFormatting sqref="AO78:AP81">
    <cfRule type="cellIs" dxfId="13" priority="16" operator="lessThan">
      <formula>0</formula>
    </cfRule>
  </conditionalFormatting>
  <conditionalFormatting sqref="AO83:AP83">
    <cfRule type="cellIs" dxfId="12" priority="15" operator="lessThan">
      <formula>0</formula>
    </cfRule>
  </conditionalFormatting>
  <conditionalFormatting sqref="AO82:AP82">
    <cfRule type="cellIs" dxfId="11" priority="14" operator="lessThan">
      <formula>0</formula>
    </cfRule>
  </conditionalFormatting>
  <conditionalFormatting sqref="AB89 AD82:AE86">
    <cfRule type="containsErrors" dxfId="10" priority="5">
      <formula>ISERROR(AB82)</formula>
    </cfRule>
  </conditionalFormatting>
  <conditionalFormatting sqref="AD84:AE85">
    <cfRule type="cellIs" dxfId="9" priority="11" operator="equal">
      <formula>0</formula>
    </cfRule>
  </conditionalFormatting>
  <conditionalFormatting sqref="K459 I478 D486 D488">
    <cfRule type="containsErrors" dxfId="8" priority="10">
      <formula>ISERROR(D459)</formula>
    </cfRule>
  </conditionalFormatting>
  <conditionalFormatting sqref="D502">
    <cfRule type="containsErrors" dxfId="7" priority="8">
      <formula>ISERROR(D502)</formula>
    </cfRule>
  </conditionalFormatting>
  <conditionalFormatting sqref="D506">
    <cfRule type="containsErrors" dxfId="6" priority="7">
      <formula>ISERROR(D506)</formula>
    </cfRule>
  </conditionalFormatting>
  <conditionalFormatting sqref="AD86">
    <cfRule type="expression" dxfId="5" priority="13">
      <formula>$G$74="dorn"</formula>
    </cfRule>
  </conditionalFormatting>
  <conditionalFormatting sqref="AE86">
    <cfRule type="expression" dxfId="4" priority="6">
      <formula>$I$74="dorn"</formula>
    </cfRule>
  </conditionalFormatting>
  <conditionalFormatting sqref="AD84">
    <cfRule type="expression" dxfId="3" priority="4">
      <formula>$G$72="dorn"</formula>
    </cfRule>
  </conditionalFormatting>
  <conditionalFormatting sqref="AE84">
    <cfRule type="expression" dxfId="2" priority="3">
      <formula>$I$72="dorn"</formula>
    </cfRule>
  </conditionalFormatting>
  <conditionalFormatting sqref="AD85">
    <cfRule type="expression" dxfId="1" priority="2">
      <formula>$G$73="dorn"</formula>
    </cfRule>
  </conditionalFormatting>
  <conditionalFormatting sqref="AE85">
    <cfRule type="expression" dxfId="0" priority="1">
      <formula>$I$73="dorn"</formula>
    </cfRule>
  </conditionalFormatting>
  <dataValidations count="12">
    <dataValidation type="list" allowBlank="1" showInputMessage="1" showErrorMessage="1" sqref="G77" xr:uid="{B85F1FA3-BB1A-4B7D-8E47-D962118E9B45}">
      <formula1>$AT$2:$AT$3</formula1>
    </dataValidation>
    <dataValidation type="list" allowBlank="1" showInputMessage="1" showErrorMessage="1" sqref="G79" xr:uid="{6CEB0774-D8DF-4D3F-80AB-FA9A1CFAA167}">
      <formula1>$AS$2:$AS$5</formula1>
    </dataValidation>
    <dataValidation type="list" allowBlank="1" showInputMessage="1" showErrorMessage="1" sqref="G78" xr:uid="{DE8CE3A8-1B34-448C-A04E-942D8A3908F3}">
      <formula1>$AU$2:$AU$3</formula1>
    </dataValidation>
    <dataValidation type="list" allowBlank="1" showInputMessage="1" showErrorMessage="1" sqref="K102" xr:uid="{4CB6CE28-7A33-4970-B5EB-3308D6DDBEBF}">
      <formula1>$AV$2:$AV$5</formula1>
    </dataValidation>
    <dataValidation type="list" allowBlank="1" showInputMessage="1" showErrorMessage="1" sqref="U417" xr:uid="{7ABDDCD4-6F79-4BDE-A543-DDA42B73BDA9}">
      <formula1>$AW$2:$AW$4</formula1>
    </dataValidation>
    <dataValidation type="whole" allowBlank="1" showInputMessage="1" showErrorMessage="1" sqref="I416" xr:uid="{FB914EC1-D01B-4EAD-940B-B9AA67346340}">
      <formula1>0</formula1>
      <formula2>150</formula2>
    </dataValidation>
    <dataValidation type="list" allowBlank="1" showInputMessage="1" showErrorMessage="1" sqref="Q88" xr:uid="{A384D0D7-AC7D-4685-A4A4-1C1A9877B5D2}">
      <formula1>$AX$2:$AX$3</formula1>
    </dataValidation>
    <dataValidation type="list" allowBlank="1" showInputMessage="1" showErrorMessage="1" sqref="W475 U473 U464:U467" xr:uid="{67C432F6-5B87-4CFA-B77F-5BA9FA7FC336}">
      <formula1>$AW$2:$AW$3</formula1>
    </dataValidation>
    <dataValidation type="list" allowBlank="1" showInputMessage="1" showErrorMessage="1" sqref="L66 L76" xr:uid="{7277455F-5F1A-4386-BAE4-DA7F2C43F214}">
      <formula1>$AQ$4:$AQ$76</formula1>
    </dataValidation>
    <dataValidation type="list" allowBlank="1" showInputMessage="1" showErrorMessage="1" sqref="G70:G74 I70:I74" xr:uid="{92C45398-132F-46D6-B7E3-159046463B3D}">
      <formula1>$Z$78:$Z$89</formula1>
    </dataValidation>
    <dataValidation type="list" allowBlank="1" showInputMessage="1" showErrorMessage="1" sqref="G66:G69 I66:I69" xr:uid="{66E85D61-02B2-45B9-B231-A8EF98F0F55E}">
      <formula1>$Z$82:$Z$87</formula1>
    </dataValidation>
    <dataValidation type="list" allowBlank="1" showInputMessage="1" showErrorMessage="1" sqref="B6" xr:uid="{964F87A5-A187-4745-B3FB-FADDF9506670}">
      <formula1>$CG$82:$CG$93</formula1>
    </dataValidation>
  </dataValidations>
  <hyperlinks>
    <hyperlink ref="AR437" r:id="rId1" xr:uid="{47DA90CD-351B-4909-BCDD-9C11DF8650D9}"/>
  </hyperlinks>
  <pageMargins left="0.59055118110236227" right="0.27559055118110237" top="0.39370078740157483" bottom="0.19685039370078741" header="0.31496062992125984" footer="0.31496062992125984"/>
  <pageSetup paperSize="9" scale="56" orientation="portrait" verticalDpi="0" r:id="rId2"/>
  <rowBreaks count="7" manualBreakCount="7">
    <brk id="74" max="18" man="1"/>
    <brk id="134" max="18" man="1"/>
    <brk id="199" max="18" man="1"/>
    <brk id="264" max="18" man="1"/>
    <brk id="332" max="18" man="1"/>
    <brk id="400" max="18" man="1"/>
    <brk id="470" max="18" man="1"/>
  </row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estem_karakteristisk_reaktion">
                <anchor moveWithCells="1" sizeWithCells="1">
                  <from>
                    <xdr:col>20</xdr:col>
                    <xdr:colOff>390525</xdr:colOff>
                    <xdr:row>430</xdr:row>
                    <xdr:rowOff>95250</xdr:rowOff>
                  </from>
                  <to>
                    <xdr:col>22</xdr:col>
                    <xdr:colOff>209550</xdr:colOff>
                    <xdr:row>433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Udskriv">
                <anchor moveWithCells="1" sizeWithCells="1">
                  <from>
                    <xdr:col>21</xdr:col>
                    <xdr:colOff>57150</xdr:colOff>
                    <xdr:row>4</xdr:row>
                    <xdr:rowOff>133350</xdr:rowOff>
                  </from>
                  <to>
                    <xdr:col>21</xdr:col>
                    <xdr:colOff>1743075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Gåtilbunden">
                <anchor moveWithCells="1" sizeWithCells="1">
                  <from>
                    <xdr:col>21</xdr:col>
                    <xdr:colOff>66675</xdr:colOff>
                    <xdr:row>0</xdr:row>
                    <xdr:rowOff>104775</xdr:rowOff>
                  </from>
                  <to>
                    <xdr:col>21</xdr:col>
                    <xdr:colOff>1743075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GåTilToppen">
                <anchor moveWithCells="1" sizeWithCells="1">
                  <from>
                    <xdr:col>27</xdr:col>
                    <xdr:colOff>304800</xdr:colOff>
                    <xdr:row>469</xdr:row>
                    <xdr:rowOff>152400</xdr:rowOff>
                  </from>
                  <to>
                    <xdr:col>28</xdr:col>
                    <xdr:colOff>438150</xdr:colOff>
                    <xdr:row>472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Button 5">
              <controlPr defaultSize="0" print="0" autoFill="0" autoPict="0" macro="[0]!Retur">
                <anchor moveWithCells="1" sizeWithCells="1">
                  <from>
                    <xdr:col>22</xdr:col>
                    <xdr:colOff>238125</xdr:colOff>
                    <xdr:row>2</xdr:row>
                    <xdr:rowOff>76200</xdr:rowOff>
                  </from>
                  <to>
                    <xdr:col>25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0" name="Button 6">
              <controlPr defaultSize="0" print="0" autoFill="0" autoPict="0" macro="[0]!VisBøjleArmeringF">
                <anchor moveWithCells="1" sizeWithCells="1">
                  <from>
                    <xdr:col>25</xdr:col>
                    <xdr:colOff>152400</xdr:colOff>
                    <xdr:row>169</xdr:row>
                    <xdr:rowOff>209550</xdr:rowOff>
                  </from>
                  <to>
                    <xdr:col>27</xdr:col>
                    <xdr:colOff>95250</xdr:colOff>
                    <xdr:row>173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1" name="Button 7">
              <controlPr defaultSize="0" print="0" autoFill="0" autoPict="0" macro="[0]!VisBøjleArmeringTop">
                <anchor moveWithCells="1" sizeWithCells="1">
                  <from>
                    <xdr:col>25</xdr:col>
                    <xdr:colOff>47625</xdr:colOff>
                    <xdr:row>238</xdr:row>
                    <xdr:rowOff>47625</xdr:rowOff>
                  </from>
                  <to>
                    <xdr:col>26</xdr:col>
                    <xdr:colOff>876300</xdr:colOff>
                    <xdr:row>241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2" name="Button 8">
              <controlPr defaultSize="0" print="0" autoFill="0" autoPict="0" macro="[0]!VisBøjleArmeringBund">
                <anchor moveWithCells="1" sizeWithCells="1">
                  <from>
                    <xdr:col>25</xdr:col>
                    <xdr:colOff>47625</xdr:colOff>
                    <xdr:row>306</xdr:row>
                    <xdr:rowOff>47625</xdr:rowOff>
                  </from>
                  <to>
                    <xdr:col>26</xdr:col>
                    <xdr:colOff>876300</xdr:colOff>
                    <xdr:row>309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3" name="Button 9">
              <controlPr defaultSize="0" print="0" autoFill="0" autoPict="0" macro="[0]!VisBøjleArmeringSide5">
                <anchor moveWithCells="1" sizeWithCells="1">
                  <from>
                    <xdr:col>25</xdr:col>
                    <xdr:colOff>47625</xdr:colOff>
                    <xdr:row>374</xdr:row>
                    <xdr:rowOff>47625</xdr:rowOff>
                  </from>
                  <to>
                    <xdr:col>26</xdr:col>
                    <xdr:colOff>876300</xdr:colOff>
                    <xdr:row>377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4" name="Button 10">
              <controlPr defaultSize="0" print="0" autoFill="0" autoPict="0" macro="[0]!GåTilToppen">
                <anchor moveWithCells="1" sizeWithCells="1">
                  <from>
                    <xdr:col>27</xdr:col>
                    <xdr:colOff>495300</xdr:colOff>
                    <xdr:row>374</xdr:row>
                    <xdr:rowOff>28575</xdr:rowOff>
                  </from>
                  <to>
                    <xdr:col>28</xdr:col>
                    <xdr:colOff>628650</xdr:colOff>
                    <xdr:row>377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5" name="Button 11">
              <controlPr defaultSize="0" print="0" autoFill="0" autoPict="0" macro="[0]!GåTilToppen">
                <anchor moveWithCells="1" sizeWithCells="1">
                  <from>
                    <xdr:col>27</xdr:col>
                    <xdr:colOff>200025</xdr:colOff>
                    <xdr:row>306</xdr:row>
                    <xdr:rowOff>38100</xdr:rowOff>
                  </from>
                  <to>
                    <xdr:col>28</xdr:col>
                    <xdr:colOff>333375</xdr:colOff>
                    <xdr:row>309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6" name="Button 12">
              <controlPr defaultSize="0" print="0" autoFill="0" autoPict="0" macro="[0]!GåTilToppen">
                <anchor moveWithCells="1" sizeWithCells="1">
                  <from>
                    <xdr:col>27</xdr:col>
                    <xdr:colOff>209550</xdr:colOff>
                    <xdr:row>238</xdr:row>
                    <xdr:rowOff>47625</xdr:rowOff>
                  </from>
                  <to>
                    <xdr:col>28</xdr:col>
                    <xdr:colOff>342900</xdr:colOff>
                    <xdr:row>241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7" name="Button 13">
              <controlPr defaultSize="0" print="0" autoFill="0" autoPict="0" macro="[0]!GåTilToppen">
                <anchor moveWithCells="1" sizeWithCells="1">
                  <from>
                    <xdr:col>27</xdr:col>
                    <xdr:colOff>409575</xdr:colOff>
                    <xdr:row>169</xdr:row>
                    <xdr:rowOff>228600</xdr:rowOff>
                  </from>
                  <to>
                    <xdr:col>28</xdr:col>
                    <xdr:colOff>542925</xdr:colOff>
                    <xdr:row>173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8" name="Button 20">
              <controlPr defaultSize="0" print="0" autoFill="0" autoPict="0" macro="[0]!ReturBund">
                <anchor moveWithCells="1" sizeWithCells="1">
                  <from>
                    <xdr:col>28</xdr:col>
                    <xdr:colOff>962025</xdr:colOff>
                    <xdr:row>469</xdr:row>
                    <xdr:rowOff>152400</xdr:rowOff>
                  </from>
                  <to>
                    <xdr:col>29</xdr:col>
                    <xdr:colOff>1371600</xdr:colOff>
                    <xdr:row>472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9" name="Button 21">
              <controlPr defaultSize="0" print="0" autoFill="0" autoPict="0" macro="[0]!Ret_kurve">
                <anchor moveWithCells="1" sizeWithCells="1">
                  <from>
                    <xdr:col>21</xdr:col>
                    <xdr:colOff>695325</xdr:colOff>
                    <xdr:row>151</xdr:row>
                    <xdr:rowOff>104775</xdr:rowOff>
                  </from>
                  <to>
                    <xdr:col>23</xdr:col>
                    <xdr:colOff>85725</xdr:colOff>
                    <xdr:row>154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0" name="Button 22">
              <controlPr defaultSize="0" print="0" autoFill="0" autoPict="0" macro="[0]!Ret_kurve_Øverste_strimmel">
                <anchor moveWithCells="1" sizeWithCells="1">
                  <from>
                    <xdr:col>21</xdr:col>
                    <xdr:colOff>1190625</xdr:colOff>
                    <xdr:row>220</xdr:row>
                    <xdr:rowOff>9525</xdr:rowOff>
                  </from>
                  <to>
                    <xdr:col>23</xdr:col>
                    <xdr:colOff>285750</xdr:colOff>
                    <xdr:row>223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1" name="Button 23">
              <controlPr defaultSize="0" print="0" autoFill="0" autoPict="0" macro="[0]!Ret_kurve_Nederste_Strimmel">
                <anchor moveWithCells="1" sizeWithCells="1">
                  <from>
                    <xdr:col>23</xdr:col>
                    <xdr:colOff>171450</xdr:colOff>
                    <xdr:row>287</xdr:row>
                    <xdr:rowOff>9525</xdr:rowOff>
                  </from>
                  <to>
                    <xdr:col>26</xdr:col>
                    <xdr:colOff>0</xdr:colOff>
                    <xdr:row>290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2" name="Button 24">
              <controlPr defaultSize="0" print="0" autoFill="0" autoPict="0" macro="[0]!Skjul_vis_brand">
                <anchor moveWithCells="1" sizeWithCells="1">
                  <from>
                    <xdr:col>23</xdr:col>
                    <xdr:colOff>28575</xdr:colOff>
                    <xdr:row>430</xdr:row>
                    <xdr:rowOff>95250</xdr:rowOff>
                  </from>
                  <to>
                    <xdr:col>26</xdr:col>
                    <xdr:colOff>381000</xdr:colOff>
                    <xdr:row>433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3" name="Button 26">
              <controlPr defaultSize="0" print="0" autoFill="0" autoPict="0" macro="[0]!Ret_kurve_strimmel_bagerst">
                <anchor moveWithCells="1" sizeWithCells="1">
                  <from>
                    <xdr:col>23</xdr:col>
                    <xdr:colOff>171450</xdr:colOff>
                    <xdr:row>352</xdr:row>
                    <xdr:rowOff>9525</xdr:rowOff>
                  </from>
                  <to>
                    <xdr:col>26</xdr:col>
                    <xdr:colOff>0</xdr:colOff>
                    <xdr:row>355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3AC25-1E40-4785-9EF5-BE2C92683A91}">
  <sheetPr codeName="Ark2"/>
  <dimension ref="A2:BZ152"/>
  <sheetViews>
    <sheetView zoomScale="70" zoomScaleNormal="70" workbookViewId="0">
      <selection activeCell="BK33" sqref="BK33"/>
    </sheetView>
  </sheetViews>
  <sheetFormatPr defaultRowHeight="15.75"/>
  <cols>
    <col min="1" max="1" width="9.85546875" style="1" customWidth="1"/>
    <col min="2" max="2" width="8.7109375" style="1" customWidth="1"/>
    <col min="3" max="3" width="9.140625" style="1"/>
    <col min="4" max="4" width="16" style="1" bestFit="1" customWidth="1"/>
    <col min="5" max="5" width="9.140625" style="1"/>
    <col min="6" max="6" width="19.140625" style="1" bestFit="1" customWidth="1"/>
    <col min="7" max="8" width="15.7109375" style="1" customWidth="1"/>
    <col min="9" max="9" width="16.28515625" style="1" customWidth="1"/>
    <col min="10" max="10" width="16.7109375" style="1" customWidth="1"/>
    <col min="11" max="13" width="15.7109375" style="1" customWidth="1"/>
    <col min="14" max="14" width="16.42578125" style="1" customWidth="1"/>
    <col min="15" max="15" width="16.28515625" style="1" customWidth="1"/>
    <col min="16" max="39" width="15.7109375" style="1" customWidth="1"/>
    <col min="40" max="40" width="16" style="1" customWidth="1"/>
    <col min="41" max="55" width="15.7109375" style="1" customWidth="1"/>
    <col min="56" max="57" width="9.140625" style="1"/>
    <col min="58" max="58" width="18.85546875" style="1" bestFit="1" customWidth="1"/>
    <col min="59" max="61" width="9.140625" style="1"/>
    <col min="62" max="62" width="18.5703125" style="1" bestFit="1" customWidth="1"/>
    <col min="63" max="65" width="9.140625" style="1"/>
    <col min="66" max="66" width="20.42578125" style="1" bestFit="1" customWidth="1"/>
    <col min="67" max="67" width="16" style="1" bestFit="1" customWidth="1"/>
    <col min="68" max="69" width="9.140625" style="1"/>
    <col min="70" max="70" width="17" style="1" bestFit="1" customWidth="1"/>
    <col min="71" max="71" width="11.28515625" style="1" customWidth="1"/>
    <col min="72" max="73" width="9.140625" style="1"/>
    <col min="74" max="74" width="20.42578125" style="1" bestFit="1" customWidth="1"/>
    <col min="75" max="77" width="9.140625" style="1"/>
    <col min="78" max="78" width="17.5703125" style="1" bestFit="1" customWidth="1"/>
    <col min="79" max="79" width="12.140625" style="1" customWidth="1"/>
    <col min="80" max="16384" width="9.140625" style="1"/>
  </cols>
  <sheetData>
    <row r="2" spans="1:22">
      <c r="A2" s="3"/>
      <c r="B2" s="3"/>
      <c r="F2" s="67" t="s">
        <v>30</v>
      </c>
      <c r="G2" s="3" t="str">
        <f>A!AZ82</f>
        <v/>
      </c>
    </row>
    <row r="4" spans="1:22" s="7" customFormat="1">
      <c r="C4" s="7" t="s">
        <v>128</v>
      </c>
      <c r="D4" s="7" t="s">
        <v>129</v>
      </c>
      <c r="F4" s="59" t="s">
        <v>131</v>
      </c>
      <c r="G4" s="60">
        <v>0</v>
      </c>
      <c r="H4" s="60" t="s">
        <v>114</v>
      </c>
      <c r="I4" s="60" t="s">
        <v>115</v>
      </c>
      <c r="J4" s="60" t="s">
        <v>130</v>
      </c>
      <c r="K4" s="60" t="s">
        <v>116</v>
      </c>
      <c r="L4" s="60" t="s">
        <v>117</v>
      </c>
      <c r="M4" s="60" t="s">
        <v>138</v>
      </c>
      <c r="N4" s="60" t="s">
        <v>139</v>
      </c>
      <c r="O4" s="60" t="s">
        <v>140</v>
      </c>
      <c r="P4" s="60" t="s">
        <v>141</v>
      </c>
      <c r="Q4" s="60" t="s">
        <v>122</v>
      </c>
      <c r="R4" s="60" t="s">
        <v>123</v>
      </c>
      <c r="S4" s="60" t="s">
        <v>124</v>
      </c>
      <c r="T4" s="60" t="s">
        <v>125</v>
      </c>
      <c r="U4" s="60" t="s">
        <v>126</v>
      </c>
      <c r="V4" s="61" t="s">
        <v>127</v>
      </c>
    </row>
    <row r="5" spans="1:22">
      <c r="B5" s="1" t="s">
        <v>114</v>
      </c>
      <c r="C5" s="1" t="e">
        <f>A!BC84-A!AS88</f>
        <v>#N/A</v>
      </c>
      <c r="D5" s="1" t="e">
        <f>C5*10^-3</f>
        <v>#N/A</v>
      </c>
      <c r="F5" s="62" t="s">
        <v>132</v>
      </c>
      <c r="G5" s="22">
        <v>0</v>
      </c>
      <c r="H5" s="22" t="e">
        <f>D5</f>
        <v>#N/A</v>
      </c>
      <c r="I5" s="22" t="e">
        <f>D5+D6/4</f>
        <v>#N/A</v>
      </c>
      <c r="J5" s="22" t="e">
        <f>D5+D6/2</f>
        <v>#N/A</v>
      </c>
      <c r="K5" s="22" t="e">
        <f>D5+D6*3/4</f>
        <v>#N/A</v>
      </c>
      <c r="L5" s="22" t="e">
        <f>D5+D6</f>
        <v>#N/A</v>
      </c>
      <c r="M5" s="22" t="e">
        <f>L5+$D$7/5</f>
        <v>#N/A</v>
      </c>
      <c r="N5" s="22" t="e">
        <f t="shared" ref="N5:Q5" si="0">M5+$D$7/5</f>
        <v>#N/A</v>
      </c>
      <c r="O5" s="22" t="e">
        <f t="shared" si="0"/>
        <v>#N/A</v>
      </c>
      <c r="P5" s="22" t="e">
        <f t="shared" si="0"/>
        <v>#N/A</v>
      </c>
      <c r="Q5" s="22" t="e">
        <f t="shared" si="0"/>
        <v>#N/A</v>
      </c>
      <c r="R5" s="22" t="e">
        <f>Q5+D8/4</f>
        <v>#N/A</v>
      </c>
      <c r="S5" s="22" t="e">
        <f>R5+D8/4</f>
        <v>#N/A</v>
      </c>
      <c r="T5" s="22" t="e">
        <f>S5+D8/4</f>
        <v>#N/A</v>
      </c>
      <c r="U5" s="22" t="e">
        <f>T5+D8/4</f>
        <v>#N/A</v>
      </c>
      <c r="V5" s="63" t="e">
        <f>U5+D9</f>
        <v>#N/A</v>
      </c>
    </row>
    <row r="6" spans="1:22">
      <c r="B6" s="1" t="s">
        <v>118</v>
      </c>
      <c r="C6" s="1" t="e">
        <f>A!BD86-A!BC86</f>
        <v>#N/A</v>
      </c>
      <c r="D6" s="1" t="e">
        <f t="shared" ref="D6:D9" si="1">C6*10^-3</f>
        <v>#N/A</v>
      </c>
      <c r="F6" s="59" t="str">
        <f>A!AZ84&amp;" ["&amp;A!BB84&amp;"]"</f>
        <v>Fladelast [kN/m]</v>
      </c>
      <c r="G6" s="35">
        <v>0</v>
      </c>
      <c r="H6" s="35" t="e">
        <f>A!$BA$84</f>
        <v>#N/A</v>
      </c>
      <c r="I6" s="35" t="e">
        <f>A!$BA$84</f>
        <v>#N/A</v>
      </c>
      <c r="J6" s="35" t="e">
        <f>A!$BA$84</f>
        <v>#N/A</v>
      </c>
      <c r="K6" s="35" t="e">
        <f>A!$BA$84</f>
        <v>#N/A</v>
      </c>
      <c r="L6" s="35" t="e">
        <f>A!$BA$84</f>
        <v>#N/A</v>
      </c>
      <c r="M6" s="35" t="e">
        <f>A!$BA$84</f>
        <v>#N/A</v>
      </c>
      <c r="N6" s="35" t="e">
        <f>A!$BA$84</f>
        <v>#N/A</v>
      </c>
      <c r="O6" s="35" t="e">
        <f>A!$BA$84</f>
        <v>#N/A</v>
      </c>
      <c r="P6" s="35" t="e">
        <f>A!$BA$84</f>
        <v>#N/A</v>
      </c>
      <c r="Q6" s="35" t="e">
        <f>A!$BA$84</f>
        <v>#N/A</v>
      </c>
      <c r="R6" s="35" t="e">
        <f>A!$BA$84</f>
        <v>#N/A</v>
      </c>
      <c r="S6" s="35" t="e">
        <f>A!$BA$84</f>
        <v>#N/A</v>
      </c>
      <c r="T6" s="35" t="e">
        <f>A!$BA$84</f>
        <v>#N/A</v>
      </c>
      <c r="U6" s="35">
        <v>0</v>
      </c>
      <c r="V6" s="65">
        <v>0</v>
      </c>
    </row>
    <row r="7" spans="1:22">
      <c r="B7" s="1" t="s">
        <v>119</v>
      </c>
      <c r="C7" s="1" t="e">
        <f>A!BC85-A!BD86</f>
        <v>#N/A</v>
      </c>
      <c r="D7" s="1" t="e">
        <f t="shared" si="1"/>
        <v>#N/A</v>
      </c>
      <c r="F7" s="64" t="s">
        <v>133</v>
      </c>
      <c r="G7" s="21">
        <v>0</v>
      </c>
      <c r="H7" s="21" t="e">
        <f>G8*D5</f>
        <v>#N/A</v>
      </c>
      <c r="I7" s="21" t="e">
        <f>$G$8*I5-I6/2*(I5-$D$5)^2</f>
        <v>#N/A</v>
      </c>
      <c r="J7" s="21" t="e">
        <f t="shared" ref="J7:L7" si="2">$G$8*J5-J6/2*(J5-$D$5)^2</f>
        <v>#N/A</v>
      </c>
      <c r="K7" s="21" t="e">
        <f t="shared" si="2"/>
        <v>#N/A</v>
      </c>
      <c r="L7" s="21" t="e">
        <f t="shared" si="2"/>
        <v>#N/A</v>
      </c>
      <c r="M7" s="21" t="e">
        <f t="shared" ref="M7" si="3">$G$8*M5-M6/2*(M5-$D$5)^2</f>
        <v>#N/A</v>
      </c>
      <c r="N7" s="21" t="e">
        <f t="shared" ref="N7" si="4">$G$8*N5-N6/2*(N5-$D$5)^2</f>
        <v>#N/A</v>
      </c>
      <c r="O7" s="21" t="e">
        <f t="shared" ref="O7" si="5">$G$8*O5-O6/2*(O5-$D$5)^2</f>
        <v>#N/A</v>
      </c>
      <c r="P7" s="21" t="e">
        <f t="shared" ref="P7" si="6">$G$8*P5-P6/2*(P5-$D$5)^2</f>
        <v>#N/A</v>
      </c>
      <c r="Q7" s="21" t="e">
        <f t="shared" ref="Q7" si="7">$G$8*Q5-Q6/2*(Q5-$D$5)^2</f>
        <v>#N/A</v>
      </c>
      <c r="R7" s="21" t="e">
        <f t="shared" ref="R7" si="8">$G$8*R5-R6/2*(R5-$D$5)^2</f>
        <v>#N/A</v>
      </c>
      <c r="S7" s="21" t="e">
        <f t="shared" ref="S7" si="9">$G$8*S5-S6/2*(S5-$D$5)^2</f>
        <v>#N/A</v>
      </c>
      <c r="T7" s="21" t="e">
        <f t="shared" ref="T7" si="10">$G$8*T5-T6/2*(T5-$D$5)^2</f>
        <v>#N/A</v>
      </c>
      <c r="U7" s="21" t="e">
        <f>ABS(V8)*(V5-U5)</f>
        <v>#N/A</v>
      </c>
      <c r="V7" s="25">
        <v>0</v>
      </c>
    </row>
    <row r="8" spans="1:22">
      <c r="B8" s="1" t="s">
        <v>120</v>
      </c>
      <c r="C8" s="1" t="e">
        <f>A!BD85-A!BC85</f>
        <v>#N/A</v>
      </c>
      <c r="D8" s="1" t="e">
        <f t="shared" si="1"/>
        <v>#N/A</v>
      </c>
      <c r="F8" s="62" t="s">
        <v>134</v>
      </c>
      <c r="G8" s="23" t="e">
        <f>H6*(D6+D7+D8)*((D9+(D6+D7+D8)/2)/D10)</f>
        <v>#N/A</v>
      </c>
      <c r="H8" s="23" t="e">
        <f>G8-G6*($H$5-$G$5)</f>
        <v>#N/A</v>
      </c>
      <c r="I8" s="23" t="e">
        <f>H8-H6*(I5-H5)</f>
        <v>#N/A</v>
      </c>
      <c r="J8" s="23" t="e">
        <f t="shared" ref="J8:T8" si="11">I8-I6*(J5-I5)</f>
        <v>#N/A</v>
      </c>
      <c r="K8" s="23" t="e">
        <f t="shared" si="11"/>
        <v>#N/A</v>
      </c>
      <c r="L8" s="23" t="e">
        <f t="shared" si="11"/>
        <v>#N/A</v>
      </c>
      <c r="M8" s="23" t="e">
        <f t="shared" si="11"/>
        <v>#N/A</v>
      </c>
      <c r="N8" s="23" t="e">
        <f t="shared" si="11"/>
        <v>#N/A</v>
      </c>
      <c r="O8" s="23" t="e">
        <f t="shared" si="11"/>
        <v>#N/A</v>
      </c>
      <c r="P8" s="23" t="e">
        <f t="shared" si="11"/>
        <v>#N/A</v>
      </c>
      <c r="Q8" s="23" t="e">
        <f t="shared" si="11"/>
        <v>#N/A</v>
      </c>
      <c r="R8" s="23" t="e">
        <f t="shared" si="11"/>
        <v>#N/A</v>
      </c>
      <c r="S8" s="23" t="e">
        <f t="shared" si="11"/>
        <v>#N/A</v>
      </c>
      <c r="T8" s="23" t="e">
        <f t="shared" si="11"/>
        <v>#N/A</v>
      </c>
      <c r="U8" s="23" t="e">
        <f>T8-T6*(U5-T5)</f>
        <v>#N/A</v>
      </c>
      <c r="V8" s="24" t="e">
        <f>U8-U6*(V5-U5)</f>
        <v>#N/A</v>
      </c>
    </row>
    <row r="9" spans="1:22">
      <c r="B9" s="1" t="s">
        <v>121</v>
      </c>
      <c r="C9" s="1" t="e">
        <f>A!AV88-A!AU88-A!BD85</f>
        <v>#N/A</v>
      </c>
      <c r="D9" s="1" t="e">
        <f t="shared" si="1"/>
        <v>#N/A</v>
      </c>
      <c r="F9" s="64" t="str">
        <f>A!AZ86&amp; " &amp; " &amp;A!AZ88 &amp;" ["&amp; A!BB86 &amp;"]"</f>
        <v xml:space="preserve"> &amp;  [kN/m]</v>
      </c>
      <c r="G9" s="7"/>
      <c r="H9" s="21" t="e">
        <f>A!$BA$86+A!$BA$88</f>
        <v>#N/A</v>
      </c>
      <c r="I9" s="21" t="e">
        <f>A!$BA$86+A!$BA$88</f>
        <v>#N/A</v>
      </c>
      <c r="J9" s="21" t="e">
        <f>A!$BA$86+A!$BA$88</f>
        <v>#N/A</v>
      </c>
      <c r="K9" s="21" t="e">
        <f>A!$BA$86+A!$BA$88</f>
        <v>#N/A</v>
      </c>
      <c r="L9" s="7"/>
      <c r="M9" s="7"/>
      <c r="N9" s="7"/>
      <c r="O9" s="7"/>
      <c r="P9" s="7"/>
      <c r="Q9" s="7"/>
      <c r="R9" s="7"/>
      <c r="S9" s="7"/>
      <c r="T9" s="7"/>
      <c r="U9" s="7"/>
      <c r="V9" s="66"/>
    </row>
    <row r="10" spans="1:22">
      <c r="C10" s="1" t="e">
        <f>SUM(C5:C9)</f>
        <v>#N/A</v>
      </c>
      <c r="D10" s="1" t="e">
        <f>SUM(D5:D9)</f>
        <v>#N/A</v>
      </c>
      <c r="F10" s="64" t="s">
        <v>133</v>
      </c>
      <c r="G10" s="21">
        <v>0</v>
      </c>
      <c r="H10" s="21" t="e">
        <f>G11*D5</f>
        <v>#N/A</v>
      </c>
      <c r="I10" s="21" t="e">
        <f>$G$11*I5-I9/2*(I5-$D$5)^2</f>
        <v>#N/A</v>
      </c>
      <c r="J10" s="21" t="e">
        <f t="shared" ref="J10:K10" si="12">$G$11*J5-J9/2*(J5-$D$5)^2</f>
        <v>#N/A</v>
      </c>
      <c r="K10" s="21" t="e">
        <f t="shared" si="12"/>
        <v>#N/A</v>
      </c>
      <c r="L10" s="21" t="e">
        <f>ABS($V$11)*($D$10-L5)</f>
        <v>#N/A</v>
      </c>
      <c r="M10" s="21" t="e">
        <f t="shared" ref="M10:U10" si="13">ABS($V$11)*($D$10-M5)</f>
        <v>#N/A</v>
      </c>
      <c r="N10" s="21" t="e">
        <f t="shared" si="13"/>
        <v>#N/A</v>
      </c>
      <c r="O10" s="21" t="e">
        <f t="shared" si="13"/>
        <v>#N/A</v>
      </c>
      <c r="P10" s="21" t="e">
        <f t="shared" si="13"/>
        <v>#N/A</v>
      </c>
      <c r="Q10" s="21" t="e">
        <f t="shared" si="13"/>
        <v>#N/A</v>
      </c>
      <c r="R10" s="21" t="e">
        <f t="shared" si="13"/>
        <v>#N/A</v>
      </c>
      <c r="S10" s="21" t="e">
        <f t="shared" si="13"/>
        <v>#N/A</v>
      </c>
      <c r="T10" s="21" t="e">
        <f t="shared" si="13"/>
        <v>#N/A</v>
      </c>
      <c r="U10" s="21" t="e">
        <f t="shared" si="13"/>
        <v>#N/A</v>
      </c>
      <c r="V10" s="25">
        <v>0</v>
      </c>
    </row>
    <row r="11" spans="1:22">
      <c r="F11" s="62" t="s">
        <v>134</v>
      </c>
      <c r="G11" s="23" t="e">
        <f>H9*D6*((D7+D8+D9+D6/2)/D10)</f>
        <v>#N/A</v>
      </c>
      <c r="H11" s="23" t="e">
        <f>G11-G9*(H5-G5)</f>
        <v>#N/A</v>
      </c>
      <c r="I11" s="23" t="e">
        <f t="shared" ref="I11:V11" si="14">H11-H9*(I5-H5)</f>
        <v>#N/A</v>
      </c>
      <c r="J11" s="23" t="e">
        <f t="shared" si="14"/>
        <v>#N/A</v>
      </c>
      <c r="K11" s="23" t="e">
        <f t="shared" si="14"/>
        <v>#N/A</v>
      </c>
      <c r="L11" s="23" t="e">
        <f t="shared" si="14"/>
        <v>#N/A</v>
      </c>
      <c r="M11" s="23" t="e">
        <f t="shared" si="14"/>
        <v>#N/A</v>
      </c>
      <c r="N11" s="23" t="e">
        <f t="shared" si="14"/>
        <v>#N/A</v>
      </c>
      <c r="O11" s="23" t="e">
        <f t="shared" si="14"/>
        <v>#N/A</v>
      </c>
      <c r="P11" s="23" t="e">
        <f t="shared" si="14"/>
        <v>#N/A</v>
      </c>
      <c r="Q11" s="23" t="e">
        <f t="shared" si="14"/>
        <v>#N/A</v>
      </c>
      <c r="R11" s="23" t="e">
        <f t="shared" si="14"/>
        <v>#N/A</v>
      </c>
      <c r="S11" s="23" t="e">
        <f t="shared" si="14"/>
        <v>#N/A</v>
      </c>
      <c r="T11" s="23" t="e">
        <f t="shared" si="14"/>
        <v>#N/A</v>
      </c>
      <c r="U11" s="23" t="e">
        <f t="shared" si="14"/>
        <v>#N/A</v>
      </c>
      <c r="V11" s="24" t="e">
        <f t="shared" si="14"/>
        <v>#N/A</v>
      </c>
    </row>
    <row r="12" spans="1:22">
      <c r="F12" s="64" t="str">
        <f>A!AZ85&amp; " &amp; " &amp;A!AZ87 &amp;" ["&amp; A!BB85 &amp;"]"</f>
        <v xml:space="preserve"> &amp;  [kN/m]</v>
      </c>
      <c r="G12" s="7"/>
      <c r="H12" s="7"/>
      <c r="I12" s="7"/>
      <c r="J12" s="7"/>
      <c r="K12" s="7"/>
      <c r="L12" s="7"/>
      <c r="M12" s="7"/>
      <c r="N12" s="7"/>
      <c r="O12" s="7"/>
      <c r="P12" s="7"/>
      <c r="Q12" s="21" t="e">
        <f>A!$BA$85+A!$BA$87</f>
        <v>#N/A</v>
      </c>
      <c r="R12" s="21" t="e">
        <f>A!$BA$85+A!$BA$87</f>
        <v>#N/A</v>
      </c>
      <c r="S12" s="21" t="e">
        <f>A!$BA$85+A!$BA$87</f>
        <v>#N/A</v>
      </c>
      <c r="T12" s="21" t="e">
        <f>A!$BA$85+A!$BA$87</f>
        <v>#N/A</v>
      </c>
      <c r="U12" s="7"/>
      <c r="V12" s="66"/>
    </row>
    <row r="13" spans="1:22">
      <c r="F13" s="64" t="s">
        <v>133</v>
      </c>
      <c r="G13" s="7">
        <v>0</v>
      </c>
      <c r="H13" s="21" t="e">
        <f>$G$14*H5</f>
        <v>#N/A</v>
      </c>
      <c r="I13" s="21" t="e">
        <f t="shared" ref="I13:Q13" si="15">$G$14*I5</f>
        <v>#N/A</v>
      </c>
      <c r="J13" s="21" t="e">
        <f t="shared" si="15"/>
        <v>#N/A</v>
      </c>
      <c r="K13" s="21" t="e">
        <f t="shared" si="15"/>
        <v>#N/A</v>
      </c>
      <c r="L13" s="21" t="e">
        <f t="shared" si="15"/>
        <v>#N/A</v>
      </c>
      <c r="M13" s="21" t="e">
        <f t="shared" si="15"/>
        <v>#N/A</v>
      </c>
      <c r="N13" s="21" t="e">
        <f t="shared" si="15"/>
        <v>#N/A</v>
      </c>
      <c r="O13" s="21" t="e">
        <f t="shared" si="15"/>
        <v>#N/A</v>
      </c>
      <c r="P13" s="21" t="e">
        <f t="shared" si="15"/>
        <v>#N/A</v>
      </c>
      <c r="Q13" s="21" t="e">
        <f t="shared" si="15"/>
        <v>#N/A</v>
      </c>
      <c r="R13" s="21" t="e">
        <f>$G$14*R5-R12/2*(R5-SUM($D$5:$D$7))^2</f>
        <v>#N/A</v>
      </c>
      <c r="S13" s="21" t="e">
        <f t="shared" ref="S13:T13" si="16">$G$14*S5-S12/2*(S5-SUM($D$5:$D$7))^2</f>
        <v>#N/A</v>
      </c>
      <c r="T13" s="21" t="e">
        <f t="shared" si="16"/>
        <v>#N/A</v>
      </c>
      <c r="U13" s="21" t="e">
        <f>ABS(V14)*(D10-U5)</f>
        <v>#N/A</v>
      </c>
      <c r="V13" s="66">
        <v>0</v>
      </c>
    </row>
    <row r="14" spans="1:22">
      <c r="A14" s="1" t="str">
        <f>"     " &amp;A!AZ90 &amp;"      a       b     c      d      e       "&amp;A!AZ91</f>
        <v xml:space="preserve">     0      a       b     c      d      e       0</v>
      </c>
      <c r="F14" s="62" t="s">
        <v>134</v>
      </c>
      <c r="G14" s="23" t="e">
        <f>Q12*D8*((D9+D8/2)/D10)</f>
        <v>#N/A</v>
      </c>
      <c r="H14" s="23" t="e">
        <f>G14-G12*(H5-G5)</f>
        <v>#N/A</v>
      </c>
      <c r="I14" s="23" t="e">
        <f t="shared" ref="I14:V14" si="17">H14-H12*(I5-H5)</f>
        <v>#N/A</v>
      </c>
      <c r="J14" s="23" t="e">
        <f t="shared" si="17"/>
        <v>#N/A</v>
      </c>
      <c r="K14" s="23" t="e">
        <f t="shared" si="17"/>
        <v>#N/A</v>
      </c>
      <c r="L14" s="23" t="e">
        <f t="shared" si="17"/>
        <v>#N/A</v>
      </c>
      <c r="M14" s="23" t="e">
        <f t="shared" si="17"/>
        <v>#N/A</v>
      </c>
      <c r="N14" s="23" t="e">
        <f t="shared" si="17"/>
        <v>#N/A</v>
      </c>
      <c r="O14" s="23" t="e">
        <f t="shared" si="17"/>
        <v>#N/A</v>
      </c>
      <c r="P14" s="23" t="e">
        <f t="shared" si="17"/>
        <v>#N/A</v>
      </c>
      <c r="Q14" s="23" t="e">
        <f t="shared" si="17"/>
        <v>#N/A</v>
      </c>
      <c r="R14" s="23" t="e">
        <f t="shared" si="17"/>
        <v>#N/A</v>
      </c>
      <c r="S14" s="23" t="e">
        <f t="shared" si="17"/>
        <v>#N/A</v>
      </c>
      <c r="T14" s="23" t="e">
        <f t="shared" si="17"/>
        <v>#N/A</v>
      </c>
      <c r="U14" s="23" t="e">
        <f t="shared" si="17"/>
        <v>#N/A</v>
      </c>
      <c r="V14" s="24" t="e">
        <f t="shared" si="17"/>
        <v>#N/A</v>
      </c>
    </row>
    <row r="15" spans="1:22">
      <c r="F15" s="64"/>
      <c r="V15" s="32"/>
    </row>
    <row r="16" spans="1:22">
      <c r="F16" s="64" t="s">
        <v>135</v>
      </c>
      <c r="G16" s="21">
        <f>G7+G10+G13</f>
        <v>0</v>
      </c>
      <c r="H16" s="21" t="e">
        <f t="shared" ref="H16:P16" si="18">H7+H10+H13</f>
        <v>#N/A</v>
      </c>
      <c r="I16" s="21" t="e">
        <f t="shared" si="18"/>
        <v>#N/A</v>
      </c>
      <c r="J16" s="21" t="e">
        <f t="shared" si="18"/>
        <v>#N/A</v>
      </c>
      <c r="K16" s="21" t="e">
        <f t="shared" si="18"/>
        <v>#N/A</v>
      </c>
      <c r="L16" s="21" t="e">
        <f t="shared" si="18"/>
        <v>#N/A</v>
      </c>
      <c r="M16" s="21" t="e">
        <f t="shared" si="18"/>
        <v>#N/A</v>
      </c>
      <c r="N16" s="21" t="e">
        <f t="shared" si="18"/>
        <v>#N/A</v>
      </c>
      <c r="O16" s="21" t="e">
        <f t="shared" si="18"/>
        <v>#N/A</v>
      </c>
      <c r="P16" s="21" t="e">
        <f t="shared" si="18"/>
        <v>#N/A</v>
      </c>
      <c r="Q16" s="21" t="e">
        <f t="shared" ref="Q16:U16" si="19">Q7+Q10+Q13</f>
        <v>#N/A</v>
      </c>
      <c r="R16" s="21" t="e">
        <f t="shared" si="19"/>
        <v>#N/A</v>
      </c>
      <c r="S16" s="21" t="e">
        <f t="shared" si="19"/>
        <v>#N/A</v>
      </c>
      <c r="T16" s="21" t="e">
        <f t="shared" si="19"/>
        <v>#N/A</v>
      </c>
      <c r="U16" s="21" t="e">
        <f t="shared" si="19"/>
        <v>#N/A</v>
      </c>
      <c r="V16" s="25">
        <f t="shared" ref="Q16:V17" si="20">V7+V10+V13</f>
        <v>0</v>
      </c>
    </row>
    <row r="17" spans="3:22">
      <c r="F17" s="64" t="s">
        <v>136</v>
      </c>
      <c r="G17" s="21" t="e">
        <f>G8+G11+G14</f>
        <v>#N/A</v>
      </c>
      <c r="H17" s="21" t="e">
        <f t="shared" ref="H17:P17" si="21">H8+H11+H14</f>
        <v>#N/A</v>
      </c>
      <c r="I17" s="21" t="e">
        <f t="shared" si="21"/>
        <v>#N/A</v>
      </c>
      <c r="J17" s="21" t="e">
        <f t="shared" si="21"/>
        <v>#N/A</v>
      </c>
      <c r="K17" s="21" t="e">
        <f t="shared" si="21"/>
        <v>#N/A</v>
      </c>
      <c r="L17" s="21" t="e">
        <f t="shared" si="21"/>
        <v>#N/A</v>
      </c>
      <c r="M17" s="21" t="e">
        <f t="shared" si="21"/>
        <v>#N/A</v>
      </c>
      <c r="N17" s="21" t="e">
        <f t="shared" si="21"/>
        <v>#N/A</v>
      </c>
      <c r="O17" s="21" t="e">
        <f t="shared" si="21"/>
        <v>#N/A</v>
      </c>
      <c r="P17" s="21" t="e">
        <f t="shared" si="21"/>
        <v>#N/A</v>
      </c>
      <c r="Q17" s="21" t="e">
        <f t="shared" si="20"/>
        <v>#N/A</v>
      </c>
      <c r="R17" s="21" t="e">
        <f t="shared" si="20"/>
        <v>#N/A</v>
      </c>
      <c r="S17" s="21" t="e">
        <f t="shared" si="20"/>
        <v>#N/A</v>
      </c>
      <c r="T17" s="21" t="e">
        <f t="shared" si="20"/>
        <v>#N/A</v>
      </c>
      <c r="U17" s="21" t="e">
        <f t="shared" si="20"/>
        <v>#N/A</v>
      </c>
      <c r="V17" s="25" t="e">
        <f t="shared" si="20"/>
        <v>#N/A</v>
      </c>
    </row>
    <row r="18" spans="3:22">
      <c r="F18" s="62" t="s">
        <v>137</v>
      </c>
      <c r="G18" s="23" t="e">
        <f>ABS(G17)</f>
        <v>#N/A</v>
      </c>
      <c r="H18" s="23" t="e">
        <f t="shared" ref="H18:P18" si="22">ABS(H17)</f>
        <v>#N/A</v>
      </c>
      <c r="I18" s="23" t="e">
        <f t="shared" si="22"/>
        <v>#N/A</v>
      </c>
      <c r="J18" s="23" t="e">
        <f t="shared" si="22"/>
        <v>#N/A</v>
      </c>
      <c r="K18" s="23" t="e">
        <f t="shared" si="22"/>
        <v>#N/A</v>
      </c>
      <c r="L18" s="23" t="e">
        <f t="shared" si="22"/>
        <v>#N/A</v>
      </c>
      <c r="M18" s="23" t="e">
        <f t="shared" si="22"/>
        <v>#N/A</v>
      </c>
      <c r="N18" s="23" t="e">
        <f t="shared" si="22"/>
        <v>#N/A</v>
      </c>
      <c r="O18" s="23" t="e">
        <f t="shared" si="22"/>
        <v>#N/A</v>
      </c>
      <c r="P18" s="23" t="e">
        <f t="shared" si="22"/>
        <v>#N/A</v>
      </c>
      <c r="Q18" s="23" t="e">
        <f t="shared" ref="Q18:V18" si="23">ABS(Q17)</f>
        <v>#N/A</v>
      </c>
      <c r="R18" s="23" t="e">
        <f t="shared" si="23"/>
        <v>#N/A</v>
      </c>
      <c r="S18" s="23" t="e">
        <f t="shared" si="23"/>
        <v>#N/A</v>
      </c>
      <c r="T18" s="23" t="e">
        <f t="shared" si="23"/>
        <v>#N/A</v>
      </c>
      <c r="U18" s="23" t="e">
        <f t="shared" si="23"/>
        <v>#N/A</v>
      </c>
      <c r="V18" s="24" t="e">
        <f t="shared" si="23"/>
        <v>#N/A</v>
      </c>
    </row>
    <row r="19" spans="3:22">
      <c r="F19" s="12"/>
    </row>
    <row r="20" spans="3:22">
      <c r="F20" s="12"/>
    </row>
    <row r="21" spans="3:22">
      <c r="C21" s="12" t="s">
        <v>143</v>
      </c>
      <c r="D21" s="13" t="e">
        <f>MAX(G16:V16)</f>
        <v>#N/A</v>
      </c>
      <c r="E21" s="1" t="s">
        <v>145</v>
      </c>
      <c r="F21" s="12"/>
    </row>
    <row r="22" spans="3:22">
      <c r="C22" s="12" t="s">
        <v>144</v>
      </c>
      <c r="D22" s="13" t="e">
        <f>MAX(G18:V18)</f>
        <v>#N/A</v>
      </c>
      <c r="E22" s="1" t="s">
        <v>41</v>
      </c>
      <c r="F22" s="12"/>
      <c r="I22" s="68" t="s">
        <v>142</v>
      </c>
    </row>
    <row r="23" spans="3:22">
      <c r="F23" s="12"/>
    </row>
    <row r="24" spans="3:22">
      <c r="F24" s="12"/>
    </row>
    <row r="25" spans="3:22">
      <c r="F25" s="12"/>
    </row>
    <row r="26" spans="3:22">
      <c r="F26" s="12"/>
    </row>
    <row r="27" spans="3:22">
      <c r="F27" s="12"/>
    </row>
    <row r="28" spans="3:22">
      <c r="F28" s="12"/>
    </row>
    <row r="29" spans="3:22">
      <c r="F29" s="12"/>
    </row>
    <row r="43" spans="6:78">
      <c r="BF43" s="67" t="s">
        <v>148</v>
      </c>
      <c r="BG43" s="3" t="str">
        <f>A!AZ92</f>
        <v/>
      </c>
      <c r="BN43" s="67" t="s">
        <v>148</v>
      </c>
      <c r="BO43" s="3" t="str">
        <f>A!AZ102</f>
        <v/>
      </c>
      <c r="BV43" s="67" t="s">
        <v>148</v>
      </c>
      <c r="BW43" s="3">
        <f>A!AZ112</f>
        <v>0</v>
      </c>
    </row>
    <row r="45" spans="6:78">
      <c r="BF45" s="1" t="s">
        <v>103</v>
      </c>
      <c r="BG45" s="69">
        <v>0</v>
      </c>
      <c r="BJ45" s="1" t="e" cm="1">
        <f t="array" aca="1" ref="BJ45" ca="1">_xlfn._xlws.SORT(BF45:INDIRECT(CELL("adresse",INDEX(BF45:BG96,MATCH("Slut",BF45:BF96,0),2))),2,1)</f>
        <v>#N/A</v>
      </c>
      <c r="BN45" s="1" t="s">
        <v>103</v>
      </c>
      <c r="BO45" s="69">
        <v>0</v>
      </c>
      <c r="BR45" s="1" t="e" cm="1">
        <f t="array" aca="1" ref="BR45" ca="1">_xlfn._xlws.SORT(BN45:INDIRECT(CELL("adresse",INDEX(BN45:BO96,MATCH("Slut",BN45:BN96,0),2))),2,1)</f>
        <v>#N/A</v>
      </c>
      <c r="BV45" s="1" t="s">
        <v>103</v>
      </c>
      <c r="BW45" s="1">
        <v>0</v>
      </c>
      <c r="BZ45" s="1" t="e" cm="1">
        <f t="array" aca="1" ref="BZ45" ca="1">_xlfn._xlws.SORT(BV45:INDIRECT(CELL("adresse",INDEX(BV45:BW95,MATCH("Slut",BV45:BV95,0),2))),2,1)</f>
        <v>#N/A</v>
      </c>
    </row>
    <row r="46" spans="6:78">
      <c r="BF46" s="1" t="s">
        <v>153</v>
      </c>
      <c r="BG46" s="69" t="e">
        <f>A!AS90*10^-3</f>
        <v>#N/A</v>
      </c>
      <c r="BN46" s="1" t="s">
        <v>153</v>
      </c>
      <c r="BO46" s="69" t="e">
        <f>A!AS91*10^-3</f>
        <v>#N/A</v>
      </c>
      <c r="BV46" s="1" t="s">
        <v>153</v>
      </c>
      <c r="BW46" s="1">
        <f>A!AS92*10^-3</f>
        <v>0</v>
      </c>
    </row>
    <row r="47" spans="6:78">
      <c r="BF47" s="1" t="s">
        <v>150</v>
      </c>
      <c r="BG47" s="69" t="e">
        <f>A!AS90*10^-3</f>
        <v>#N/A</v>
      </c>
      <c r="BN47" s="1" t="s">
        <v>150</v>
      </c>
      <c r="BO47" s="69" t="e">
        <f>BO46</f>
        <v>#N/A</v>
      </c>
      <c r="BV47" s="1" t="s">
        <v>150</v>
      </c>
      <c r="BW47" s="1">
        <f>BW46</f>
        <v>0</v>
      </c>
    </row>
    <row r="48" spans="6:78">
      <c r="F48" s="67" t="s">
        <v>30</v>
      </c>
      <c r="G48" s="3" t="str">
        <f>A!AZ92</f>
        <v/>
      </c>
      <c r="BF48" s="1" t="str">
        <f>"Punkt fra " &amp;A!AZ97 &amp; ", v"</f>
        <v>Punkt fra 0, v</v>
      </c>
      <c r="BG48" s="69" t="e">
        <f>A!BC97*10^-3</f>
        <v>#N/A</v>
      </c>
      <c r="BN48" s="1" t="str">
        <f>"Punkt fra " &amp;A!AZ107 &amp; ", v"</f>
        <v>Punkt fra 0, v</v>
      </c>
      <c r="BO48" s="69" t="e">
        <f>A!BC107*10^-3</f>
        <v>#N/A</v>
      </c>
      <c r="BV48" s="1" t="str">
        <f>"Punkt fra " &amp;A!AZ115 &amp; ", v"</f>
        <v>Punkt fra 0, v</v>
      </c>
      <c r="BW48" s="1" t="e">
        <f>(A!BC115-0.0001)*10^-3</f>
        <v>#N/A</v>
      </c>
    </row>
    <row r="49" spans="2:75">
      <c r="BF49" s="1" t="str">
        <f>"Punkt fra " &amp;A!AZ97 &amp; ", h"</f>
        <v>Punkt fra 0, h</v>
      </c>
      <c r="BG49" s="69" t="e">
        <f>A!BC97*10^-3</f>
        <v>#N/A</v>
      </c>
      <c r="BN49" s="1" t="str">
        <f>"Punkt fra " &amp;A!AZ107 &amp; ", h"</f>
        <v>Punkt fra 0, h</v>
      </c>
      <c r="BO49" s="69" t="e">
        <f>BO48</f>
        <v>#N/A</v>
      </c>
      <c r="BV49" s="1" t="str">
        <f>"Punkt fra " &amp;A!AZ115 &amp; ", h"</f>
        <v>Punkt fra 0, h</v>
      </c>
      <c r="BW49" s="1" t="e">
        <f>BW48</f>
        <v>#N/A</v>
      </c>
    </row>
    <row r="50" spans="2:75">
      <c r="F50" s="59" t="s">
        <v>131</v>
      </c>
      <c r="G50" s="60" t="e" cm="1">
        <f t="array" aca="1" ref="G50" ca="1">TRANSPOSE(BJ45:INDIRECT(CELL("adresse",INDEX(BJ45:BK95,MATCH("Slut",BJ45:BJ95,0),2))))</f>
        <v>#N/A</v>
      </c>
      <c r="H50" s="60"/>
      <c r="I50" s="60"/>
      <c r="J50" s="60"/>
      <c r="K50" s="60"/>
      <c r="L50" s="60"/>
      <c r="M50" s="60"/>
      <c r="N50" s="60"/>
      <c r="O50" s="60"/>
      <c r="P50" s="60"/>
      <c r="Q50" s="60"/>
      <c r="R50" s="60"/>
      <c r="S50" s="60"/>
      <c r="T50" s="60"/>
      <c r="U50" s="60"/>
      <c r="V50" s="60"/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  <c r="AN50" s="60"/>
      <c r="AO50" s="60"/>
      <c r="AP50" s="60"/>
      <c r="AQ50" s="60"/>
      <c r="AR50" s="60"/>
      <c r="AS50" s="60"/>
      <c r="AT50" s="60"/>
      <c r="AU50" s="60"/>
      <c r="AV50" s="60"/>
      <c r="AW50" s="60"/>
      <c r="AX50" s="60"/>
      <c r="AY50" s="60"/>
      <c r="AZ50" s="60"/>
      <c r="BA50" s="60"/>
      <c r="BB50" s="60"/>
      <c r="BC50" s="61"/>
      <c r="BF50" s="1" t="str">
        <f>"Start " &amp;A!AZ95</f>
        <v>Start 0</v>
      </c>
      <c r="BG50" s="69">
        <f>A!BC95*10^-3</f>
        <v>0</v>
      </c>
      <c r="BN50" s="1" t="str">
        <f>"Start " &amp;A!AZ105</f>
        <v>Start 0</v>
      </c>
      <c r="BO50" s="69">
        <f>A!BC105*10^-3</f>
        <v>0</v>
      </c>
      <c r="BV50" s="1" t="s">
        <v>151</v>
      </c>
      <c r="BW50" s="1" t="e">
        <f>(A!AV92-A!AU92-0.0001)*10^-3</f>
        <v>#N/A</v>
      </c>
    </row>
    <row r="51" spans="2:75">
      <c r="F51" s="62" t="s">
        <v>132</v>
      </c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63"/>
      <c r="BF51" s="1" t="str">
        <f>"Slut " &amp;A!AZ95</f>
        <v>Slut 0</v>
      </c>
      <c r="BG51" s="69" t="e">
        <f>A!BD95*10^-3</f>
        <v>#N/A</v>
      </c>
      <c r="BN51" s="1" t="str">
        <f>"Slut " &amp;A!AZ105</f>
        <v>Slut 0</v>
      </c>
      <c r="BO51" s="69" t="e">
        <f>A!BD105*10^-3</f>
        <v>#N/A</v>
      </c>
      <c r="BV51" s="1" t="s">
        <v>152</v>
      </c>
      <c r="BW51" s="1" t="e">
        <f>BW50</f>
        <v>#N/A</v>
      </c>
    </row>
    <row r="52" spans="2:75">
      <c r="F52" s="59" t="str">
        <f>A!AZ94&amp;" ["&amp;A!BB94&amp;"]"</f>
        <v>Fladelast [kN/m]</v>
      </c>
      <c r="G52" s="35">
        <f>IF(ISBLANK(G51),0,A!$BA$94)</f>
        <v>0</v>
      </c>
      <c r="H52" s="35">
        <f>IF(ISBLANK(H51),0,A!$BA$94)</f>
        <v>0</v>
      </c>
      <c r="I52" s="35">
        <f>IF(ISBLANK(I51),0,A!$BA$94)</f>
        <v>0</v>
      </c>
      <c r="J52" s="35">
        <f>IF(ISBLANK(J51),0,A!$BA$94)</f>
        <v>0</v>
      </c>
      <c r="K52" s="35">
        <f>IF(ISBLANK(K51),0,A!$BA$94)</f>
        <v>0</v>
      </c>
      <c r="L52" s="35">
        <f>IF(ISBLANK(L51),0,A!$BA$94)</f>
        <v>0</v>
      </c>
      <c r="M52" s="35">
        <f>IF(ISBLANK(M51),0,A!$BA$94)</f>
        <v>0</v>
      </c>
      <c r="N52" s="35">
        <f>IF(ISBLANK(N51),0,A!$BA$94)</f>
        <v>0</v>
      </c>
      <c r="O52" s="35">
        <f>IF(ISBLANK(O51),0,A!$BA$94)</f>
        <v>0</v>
      </c>
      <c r="P52" s="35">
        <f>IF(ISBLANK(P51),0,A!$BA$94)</f>
        <v>0</v>
      </c>
      <c r="Q52" s="35">
        <f>IF(ISBLANK(Q51),0,A!$BA$94)</f>
        <v>0</v>
      </c>
      <c r="R52" s="35">
        <f>IF(ISBLANK(R51),0,A!$BA$94)</f>
        <v>0</v>
      </c>
      <c r="S52" s="35">
        <f>IF(ISBLANK(S51),0,A!$BA$94)</f>
        <v>0</v>
      </c>
      <c r="T52" s="35">
        <f>IF(ISBLANK(T51),0,A!$BA$94)</f>
        <v>0</v>
      </c>
      <c r="U52" s="35">
        <f>IF(ISBLANK(U51),0,A!$BA$94)</f>
        <v>0</v>
      </c>
      <c r="V52" s="35">
        <f>IF(ISBLANK(V51),0,A!$BA$94)</f>
        <v>0</v>
      </c>
      <c r="W52" s="35">
        <f>IF(ISBLANK(W51),0,A!$BA$94)</f>
        <v>0</v>
      </c>
      <c r="X52" s="35">
        <f>IF(ISBLANK(X51),0,A!$BA$94)</f>
        <v>0</v>
      </c>
      <c r="Y52" s="35">
        <f>IF(ISBLANK(Y51),0,A!$BA$94)</f>
        <v>0</v>
      </c>
      <c r="Z52" s="35">
        <f>IF(ISBLANK(Z51),0,A!$BA$94)</f>
        <v>0</v>
      </c>
      <c r="AA52" s="35">
        <f>IF(ISBLANK(AA51),0,A!$BA$94)</f>
        <v>0</v>
      </c>
      <c r="AB52" s="35">
        <f>IF(ISBLANK(AB51),0,A!$BA$94)</f>
        <v>0</v>
      </c>
      <c r="AC52" s="35">
        <f>IF(ISBLANK(AC51),0,A!$BA$94)</f>
        <v>0</v>
      </c>
      <c r="AD52" s="35">
        <f>IF(ISBLANK(AD51),0,A!$BA$94)</f>
        <v>0</v>
      </c>
      <c r="AE52" s="35">
        <f>IF(ISBLANK(AE51),0,A!$BA$94)</f>
        <v>0</v>
      </c>
      <c r="AF52" s="35">
        <f>IF(ISBLANK(AF51),0,A!$BA$94)</f>
        <v>0</v>
      </c>
      <c r="AG52" s="35">
        <f>IF(ISBLANK(AG51),0,A!$BA$94)</f>
        <v>0</v>
      </c>
      <c r="AH52" s="35">
        <f>IF(ISBLANK(AH51),0,A!$BA$94)</f>
        <v>0</v>
      </c>
      <c r="AI52" s="35">
        <f>IF(ISBLANK(AI51),0,A!$BA$94)</f>
        <v>0</v>
      </c>
      <c r="AJ52" s="35">
        <f>IF(ISBLANK(AJ51),0,A!$BA$94)</f>
        <v>0</v>
      </c>
      <c r="AK52" s="35">
        <f>IF(ISBLANK(AK51),0,A!$BA$94)</f>
        <v>0</v>
      </c>
      <c r="AL52" s="35">
        <f>IF(ISBLANK(AL51),0,A!$BA$94)</f>
        <v>0</v>
      </c>
      <c r="AM52" s="35">
        <f>IF(ISBLANK(AM51),0,A!$BA$94)</f>
        <v>0</v>
      </c>
      <c r="AN52" s="35">
        <f>IF(ISBLANK(AN51),0,A!$BA$94)</f>
        <v>0</v>
      </c>
      <c r="AO52" s="35">
        <f>IF(ISBLANK(AO51),0,A!$BA$94)</f>
        <v>0</v>
      </c>
      <c r="AP52" s="35">
        <f>IF(ISBLANK(AP51),0,A!$BA$94)</f>
        <v>0</v>
      </c>
      <c r="AQ52" s="35">
        <f>IF(ISBLANK(AQ51),0,A!$BA$94)</f>
        <v>0</v>
      </c>
      <c r="AR52" s="35">
        <f>IF(ISBLANK(AR51),0,A!$BA$94)</f>
        <v>0</v>
      </c>
      <c r="AS52" s="35">
        <f>IF(ISBLANK(AS51),0,A!$BA$94)</f>
        <v>0</v>
      </c>
      <c r="AT52" s="35">
        <f>IF(ISBLANK(AT51),0,A!$BA$94)</f>
        <v>0</v>
      </c>
      <c r="AU52" s="35">
        <f>IF(ISBLANK(AU51),0,A!$BA$94)</f>
        <v>0</v>
      </c>
      <c r="AV52" s="35">
        <f>IF(ISBLANK(AV51),0,A!$BA$94)</f>
        <v>0</v>
      </c>
      <c r="AW52" s="35">
        <f>IF(ISBLANK(AW51),0,A!$BA$94)</f>
        <v>0</v>
      </c>
      <c r="AX52" s="35">
        <f>IF(ISBLANK(AX51),0,A!$BA$94)</f>
        <v>0</v>
      </c>
      <c r="AY52" s="35">
        <f>IF(ISBLANK(AY51),0,A!$BA$94)</f>
        <v>0</v>
      </c>
      <c r="AZ52" s="35">
        <f>IF(ISBLANK(AZ51),0,A!$BA$94)</f>
        <v>0</v>
      </c>
      <c r="BA52" s="35">
        <f>IF(ISBLANK(BA51),0,A!$BA$94)</f>
        <v>0</v>
      </c>
      <c r="BB52" s="35">
        <f>IF(ISBLANK(BB51),0,A!$BA$94)</f>
        <v>0</v>
      </c>
      <c r="BC52" s="65">
        <f>IF(ISBLANK(BC51),0,A!$BA$94)</f>
        <v>0</v>
      </c>
      <c r="BF52" s="1" t="s">
        <v>151</v>
      </c>
      <c r="BG52" s="69" t="e">
        <f>(A!AV90-A!AU90-0.01)*10^-3</f>
        <v>#N/A</v>
      </c>
      <c r="BN52" s="1" t="s">
        <v>151</v>
      </c>
      <c r="BO52" s="69" t="e">
        <f>(A!AV91-A!AU91-0.01)*10^-3</f>
        <v>#N/A</v>
      </c>
      <c r="BV52" s="1" t="str">
        <f>"Punkt fra " &amp;A!AZ116 &amp; ", v"</f>
        <v>Punkt fra 0, v</v>
      </c>
      <c r="BW52" s="1">
        <f>A!BC116*10^-3</f>
        <v>0</v>
      </c>
    </row>
    <row r="53" spans="2:75">
      <c r="B53" s="1" t="s">
        <v>146</v>
      </c>
      <c r="D53" s="11" t="e">
        <f>A!BA94*(A!BH94-A!BG94)-D54</f>
        <v>#N/A</v>
      </c>
      <c r="E53" s="1" t="s">
        <v>41</v>
      </c>
      <c r="F53" s="64" t="s">
        <v>133</v>
      </c>
      <c r="G53" s="21" t="e">
        <f>IF(G51&lt;=$BG$46,-G52*G51^2*0.5,IF(AND(G51&gt;$BG$46,G51&lt;=$BG$52),$D$53*(G51-A!$AS$90*10^-3)-G52*G51^2*0.5,-G52*(A!$AV$90*10^-3-G51)^2*0.5))</f>
        <v>#N/A</v>
      </c>
      <c r="H53" s="21" t="e">
        <f>IF(H51&lt;=$BG$46,-H52*H51^2*0.5,IF(AND(H51&gt;$BG$46,H51&lt;=$BG$52),$D$53*(H51-A!$AS$90*10^-3)-H52*H51^2*0.5,-H52*(A!$AV$90*10^-3-H51)^2*0.5))</f>
        <v>#N/A</v>
      </c>
      <c r="I53" s="21" t="e">
        <f>IF(I51&lt;=$BG$46,-I52*I51^2*0.5,IF(AND(I51&gt;$BG$46,I51&lt;=$BG$52),$D$53*(I51-A!$AS$90*10^-3)-I52*I51^2*0.5,-I52*(A!$AV$90*10^-3-I51)^2*0.5))</f>
        <v>#N/A</v>
      </c>
      <c r="J53" s="21" t="e">
        <f>IF(J51&lt;=$BG$46,-J52*J51^2*0.5,IF(AND(J51&gt;$BG$46,J51&lt;=$BG$52),$D$53*(J51-A!$AS$90*10^-3)-J52*J51^2*0.5,-J52*(A!$AV$90*10^-3-J51)^2*0.5))</f>
        <v>#N/A</v>
      </c>
      <c r="K53" s="21" t="e">
        <f>IF(K51&lt;=$BG$46,-K52*K51^2*0.5,IF(AND(K51&gt;$BG$46,K51&lt;=$BG$52),$D$53*(K51-A!$AS$90*10^-3)-K52*K51^2*0.5,-K52*(A!$AV$90*10^-3-K51)^2*0.5))</f>
        <v>#N/A</v>
      </c>
      <c r="L53" s="21" t="e">
        <f>IF(L51&lt;=$BG$46,-L52*L51^2*0.5,IF(AND(L51&gt;$BG$46,L51&lt;=$BG$52),$D$53*(L51-A!$AS$90*10^-3)-L52*L51^2*0.5,-L52*(A!$AV$90*10^-3-L51)^2*0.5))</f>
        <v>#N/A</v>
      </c>
      <c r="M53" s="21" t="e">
        <f>IF(M51&lt;=$BG$46,-M52*M51^2*0.5,IF(AND(M51&gt;$BG$46,M51&lt;=$BG$52),$D$53*(M51-A!$AS$90*10^-3)-M52*M51^2*0.5,-M52*(A!$AV$90*10^-3-M51)^2*0.5))</f>
        <v>#N/A</v>
      </c>
      <c r="N53" s="21" t="e">
        <f>IF(N51&lt;=$BG$46,-N52*N51^2*0.5,IF(AND(N51&gt;$BG$46,N51&lt;=$BG$52),$D$53*(N51-A!$AS$90*10^-3)-N52*N51^2*0.5,-N52*(A!$AV$90*10^-3-N51)^2*0.5))</f>
        <v>#N/A</v>
      </c>
      <c r="O53" s="21" t="e">
        <f>IF(O51&lt;=$BG$46,-O52*O51^2*0.5,IF(AND(O51&gt;$BG$46,O51&lt;=$BG$52),$D$53*(O51-A!$AS$90*10^-3)-O52*O51^2*0.5,-O52*(A!$AV$90*10^-3-O51)^2*0.5))</f>
        <v>#N/A</v>
      </c>
      <c r="P53" s="21" t="e">
        <f>IF(P51&lt;=$BG$46,-P52*P51^2*0.5,IF(AND(P51&gt;$BG$46,P51&lt;=$BG$52),$D$53*(P51-A!$AS$90*10^-3)-P52*P51^2*0.5,-P52*(A!$AV$90*10^-3-P51)^2*0.5))</f>
        <v>#N/A</v>
      </c>
      <c r="Q53" s="21" t="e">
        <f>IF(Q51&lt;=$BG$46,-Q52*Q51^2*0.5,IF(AND(Q51&gt;$BG$46,Q51&lt;=$BG$52),$D$53*(Q51-A!$AS$90*10^-3)-Q52*Q51^2*0.5,-Q52*(A!$AV$90*10^-3-Q51)^2*0.5))</f>
        <v>#N/A</v>
      </c>
      <c r="R53" s="21" t="e">
        <f>IF(R51&lt;=$BG$46,-R52*R51^2*0.5,IF(AND(R51&gt;$BG$46,R51&lt;=$BG$52),$D$53*(R51-A!$AS$90*10^-3)-R52*R51^2*0.5,-R52*(A!$AV$90*10^-3-R51)^2*0.5))</f>
        <v>#N/A</v>
      </c>
      <c r="S53" s="21" t="e">
        <f>IF(S51&lt;=$BG$46,-S52*S51^2*0.5,IF(AND(S51&gt;$BG$46,S51&lt;=$BG$52),$D$53*(S51-A!$AS$90*10^-3)-S52*S51^2*0.5,-S52*(A!$AV$90*10^-3-S51)^2*0.5))</f>
        <v>#N/A</v>
      </c>
      <c r="T53" s="21" t="e">
        <f>IF(T51&lt;=$BG$46,-T52*T51^2*0.5,IF(AND(T51&gt;$BG$46,T51&lt;=$BG$52),$D$53*(T51-A!$AS$90*10^-3)-T52*T51^2*0.5,-T52*(A!$AV$90*10^-3-T51)^2*0.5))</f>
        <v>#N/A</v>
      </c>
      <c r="U53" s="21" t="e">
        <f>IF(U51&lt;=$BG$46,-U52*U51^2*0.5,IF(AND(U51&gt;$BG$46,U51&lt;=$BG$52),$D$53*(U51-A!$AS$90*10^-3)-U52*U51^2*0.5,-U52*(A!$AV$90*10^-3-U51)^2*0.5))</f>
        <v>#N/A</v>
      </c>
      <c r="V53" s="21" t="e">
        <f>IF(V51&lt;=$BG$46,-V52*V51^2*0.5,IF(AND(V51&gt;$BG$46,V51&lt;=$BG$52),$D$53*(V51-A!$AS$90*10^-3)-V52*V51^2*0.5,-V52*(A!$AV$90*10^-3-V51)^2*0.5))</f>
        <v>#N/A</v>
      </c>
      <c r="W53" s="21" t="e">
        <f>IF(W51&lt;=$BG$46,-W52*W51^2*0.5,IF(AND(W51&gt;$BG$46,W51&lt;=$BG$52),$D$53*(W51-A!$AS$90*10^-3)-W52*W51^2*0.5,-W52*(A!$AV$90*10^-3-W51)^2*0.5))</f>
        <v>#N/A</v>
      </c>
      <c r="X53" s="21" t="e">
        <f>IF(X51&lt;=$BG$46,-X52*X51^2*0.5,IF(AND(X51&gt;$BG$46,X51&lt;=$BG$52),$D$53*(X51-A!$AS$90*10^-3)-X52*X51^2*0.5,-X52*(A!$AV$90*10^-3-X51)^2*0.5))</f>
        <v>#N/A</v>
      </c>
      <c r="Y53" s="21" t="e">
        <f>IF(Y51&lt;=$BG$46,-Y52*Y51^2*0.5,IF(AND(Y51&gt;$BG$46,Y51&lt;=$BG$52),$D$53*(Y51-A!$AS$90*10^-3)-Y52*Y51^2*0.5,-Y52*(A!$AV$90*10^-3-Y51)^2*0.5))</f>
        <v>#N/A</v>
      </c>
      <c r="Z53" s="21" t="e">
        <f>IF(Z51&lt;=$BG$46,-Z52*Z51^2*0.5,IF(AND(Z51&gt;$BG$46,Z51&lt;=$BG$52),$D$53*(Z51-A!$AS$90*10^-3)-Z52*Z51^2*0.5,-Z52*(A!$AV$90*10^-3-Z51)^2*0.5))</f>
        <v>#N/A</v>
      </c>
      <c r="AA53" s="21" t="e">
        <f>IF(AA51&lt;=$BG$46,-AA52*AA51^2*0.5,IF(AND(AA51&gt;$BG$46,AA51&lt;=$BG$52),$D$53*(AA51-A!$AS$90*10^-3)-AA52*AA51^2*0.5,-AA52*(A!$AV$90*10^-3-AA51)^2*0.5))</f>
        <v>#N/A</v>
      </c>
      <c r="AB53" s="21" t="e">
        <f>IF(AB51&lt;=$BG$46,-AB52*AB51^2*0.5,IF(AND(AB51&gt;$BG$46,AB51&lt;=$BG$52),$D$53*(AB51-A!$AS$90*10^-3)-AB52*AB51^2*0.5,-AB52*(A!$AV$90*10^-3-AB51)^2*0.5))</f>
        <v>#N/A</v>
      </c>
      <c r="AC53" s="21" t="e">
        <f>IF(AC51&lt;=$BG$46,-AC52*AC51^2*0.5,IF(AND(AC51&gt;$BG$46,AC51&lt;=$BG$52),$D$53*(AC51-A!$AS$90*10^-3)-AC52*AC51^2*0.5,-AC52*(A!$AV$90*10^-3-AC51)^2*0.5))</f>
        <v>#N/A</v>
      </c>
      <c r="AD53" s="21" t="e">
        <f>IF(AD51&lt;=$BG$46,-AD52*AD51^2*0.5,IF(AND(AD51&gt;$BG$46,AD51&lt;=$BG$52),$D$53*(AD51-A!$AS$90*10^-3)-AD52*AD51^2*0.5,-AD52*(A!$AV$90*10^-3-AD51)^2*0.5))</f>
        <v>#N/A</v>
      </c>
      <c r="AE53" s="21" t="e">
        <f>IF(AE51&lt;=$BG$46,-AE52*AE51^2*0.5,IF(AND(AE51&gt;$BG$46,AE51&lt;=$BG$52),$D$53*(AE51-A!$AS$90*10^-3)-AE52*AE51^2*0.5,-AE52*(A!$AV$90*10^-3-AE51)^2*0.5))</f>
        <v>#N/A</v>
      </c>
      <c r="AF53" s="21" t="e">
        <f>IF(AF51&lt;=$BG$46,-AF52*AF51^2*0.5,IF(AND(AF51&gt;$BG$46,AF51&lt;=$BG$52),$D$53*(AF51-A!$AS$90*10^-3)-AF52*AF51^2*0.5,-AF52*(A!$AV$90*10^-3-AF51)^2*0.5))</f>
        <v>#N/A</v>
      </c>
      <c r="AG53" s="21" t="e">
        <f>IF(AG51&lt;=$BG$46,-AG52*AG51^2*0.5,IF(AND(AG51&gt;$BG$46,AG51&lt;=$BG$52),$D$53*(AG51-A!$AS$90*10^-3)-AG52*AG51^2*0.5,-AG52*(A!$AV$90*10^-3-AG51)^2*0.5))</f>
        <v>#N/A</v>
      </c>
      <c r="AH53" s="21" t="e">
        <f>IF(AH51&lt;=$BG$46,-AH52*AH51^2*0.5,IF(AND(AH51&gt;$BG$46,AH51&lt;=$BG$52),$D$53*(AH51-A!$AS$90*10^-3)-AH52*AH51^2*0.5,-AH52*(A!$AV$90*10^-3-AH51)^2*0.5))</f>
        <v>#N/A</v>
      </c>
      <c r="AI53" s="21" t="e">
        <f>IF(AI51&lt;=$BG$46,-AI52*AI51^2*0.5,IF(AND(AI51&gt;$BG$46,AI51&lt;=$BG$52),$D$53*(AI51-A!$AS$90*10^-3)-AI52*AI51^2*0.5,-AI52*(A!$AV$90*10^-3-AI51)^2*0.5))</f>
        <v>#N/A</v>
      </c>
      <c r="AJ53" s="21" t="e">
        <f>IF(AJ51&lt;=$BG$46,-AJ52*AJ51^2*0.5,IF(AND(AJ51&gt;$BG$46,AJ51&lt;=$BG$52),$D$53*(AJ51-A!$AS$90*10^-3)-AJ52*AJ51^2*0.5,-AJ52*(A!$AV$90*10^-3-AJ51)^2*0.5))</f>
        <v>#N/A</v>
      </c>
      <c r="AK53" s="21" t="e">
        <f>IF(AK51&lt;=$BG$46,-AK52*AK51^2*0.5,IF(AND(AK51&gt;$BG$46,AK51&lt;=$BG$52),$D$53*(AK51-A!$AS$90*10^-3)-AK52*AK51^2*0.5,-AK52*(A!$AV$90*10^-3-AK51)^2*0.5))</f>
        <v>#N/A</v>
      </c>
      <c r="AL53" s="21" t="e">
        <f>IF(AL51&lt;=$BG$46,-AL52*AL51^2*0.5,IF(AND(AL51&gt;$BG$46,AL51&lt;=$BG$52),$D$53*(AL51-A!$AS$90*10^-3)-AL52*AL51^2*0.5,-AL52*(A!$AV$90*10^-3-AL51)^2*0.5))</f>
        <v>#N/A</v>
      </c>
      <c r="AM53" s="21" t="e">
        <f>IF(AM51&lt;=$BG$46,-AM52*AM51^2*0.5,IF(AND(AM51&gt;$BG$46,AM51&lt;=$BG$52),$D$53*(AM51-A!$AS$90*10^-3)-AM52*AM51^2*0.5,-AM52*(A!$AV$90*10^-3-AM51)^2*0.5))</f>
        <v>#N/A</v>
      </c>
      <c r="AN53" s="21" t="e">
        <f>IF(AN51&lt;=$BG$46,-AN52*AN51^2*0.5,IF(AND(AN51&gt;$BG$46,AN51&lt;=$BG$52),$D$53*(AN51-A!$AS$90*10^-3)-AN52*AN51^2*0.5,-AN52*(A!$AV$90*10^-3-AN51)^2*0.5))</f>
        <v>#N/A</v>
      </c>
      <c r="AO53" s="21" t="e">
        <f>IF(AO51&lt;=$BG$46,-AO52*AO51^2*0.5,IF(AND(AO51&gt;$BG$46,AO51&lt;=$BG$52),$D$53*(AO51-A!$AS$90*10^-3)-AO52*AO51^2*0.5,-AO52*(A!$AV$90*10^-3-AO51)^2*0.5))</f>
        <v>#N/A</v>
      </c>
      <c r="AP53" s="21" t="e">
        <f>IF(AP51&lt;=$BG$46,-AP52*AP51^2*0.5,IF(AND(AP51&gt;$BG$46,AP51&lt;=$BG$52),$D$53*(AP51-A!$AS$90*10^-3)-AP52*AP51^2*0.5,-AP52*(A!$AV$90*10^-3-AP51)^2*0.5))</f>
        <v>#N/A</v>
      </c>
      <c r="AQ53" s="21" t="e">
        <f>IF(AQ51&lt;=$BG$46,-AQ52*AQ51^2*0.5,IF(AND(AQ51&gt;$BG$46,AQ51&lt;=$BG$52),$D$53*(AQ51-A!$AS$90*10^-3)-AQ52*AQ51^2*0.5,-AQ52*(A!$AV$90*10^-3-AQ51)^2*0.5))</f>
        <v>#N/A</v>
      </c>
      <c r="AR53" s="21" t="e">
        <f>IF(AR51&lt;=$BG$46,-AR52*AR51^2*0.5,IF(AND(AR51&gt;$BG$46,AR51&lt;=$BG$52),$D$53*(AR51-A!$AS$90*10^-3)-AR52*AR51^2*0.5,-AR52*(A!$AV$90*10^-3-AR51)^2*0.5))</f>
        <v>#N/A</v>
      </c>
      <c r="AS53" s="21" t="e">
        <f>IF(AS51&lt;=$BG$46,-AS52*AS51^2*0.5,IF(AND(AS51&gt;$BG$46,AS51&lt;=$BG$52),$D$53*(AS51-A!$AS$90*10^-3)-AS52*AS51^2*0.5,-AS52*(A!$AV$90*10^-3-AS51)^2*0.5))</f>
        <v>#N/A</v>
      </c>
      <c r="AT53" s="21" t="e">
        <f>IF(AT51&lt;=$BG$46,-AT52*AT51^2*0.5,IF(AND(AT51&gt;$BG$46,AT51&lt;=$BG$52),$D$53*(AT51-A!$AS$90*10^-3)-AT52*AT51^2*0.5,-AT52*(A!$AV$90*10^-3-AT51)^2*0.5))</f>
        <v>#N/A</v>
      </c>
      <c r="AU53" s="21" t="e">
        <f>IF(AU51&lt;=$BG$46,-AU52*AU51^2*0.5,IF(AND(AU51&gt;$BG$46,AU51&lt;=$BG$52),$D$53*(AU51-A!$AS$90*10^-3)-AU52*AU51^2*0.5,-AU52*(A!$AV$90*10^-3-AU51)^2*0.5))</f>
        <v>#N/A</v>
      </c>
      <c r="AV53" s="21" t="e">
        <f>IF(AV51&lt;=$BG$46,-AV52*AV51^2*0.5,IF(AND(AV51&gt;$BG$46,AV51&lt;=$BG$52),$D$53*(AV51-A!$AS$90*10^-3)-AV52*AV51^2*0.5,-AV52*(A!$AV$90*10^-3-AV51)^2*0.5))</f>
        <v>#N/A</v>
      </c>
      <c r="AW53" s="21" t="e">
        <f>IF(AW51&lt;=$BG$46,-AW52*AW51^2*0.5,IF(AND(AW51&gt;$BG$46,AW51&lt;=$BG$52),$D$53*(AW51-A!$AS$90*10^-3)-AW52*AW51^2*0.5,-AW52*(A!$AV$90*10^-3-AW51)^2*0.5))</f>
        <v>#N/A</v>
      </c>
      <c r="AX53" s="21" t="e">
        <f>IF(AX51&lt;=$BG$46,-AX52*AX51^2*0.5,IF(AND(AX51&gt;$BG$46,AX51&lt;=$BG$52),$D$53*(AX51-A!$AS$90*10^-3)-AX52*AX51^2*0.5,-AX52*(A!$AV$90*10^-3-AX51)^2*0.5))</f>
        <v>#N/A</v>
      </c>
      <c r="AY53" s="21" t="e">
        <f>IF(AY51&lt;=$BG$46,-AY52*AY51^2*0.5,IF(AND(AY51&gt;$BG$46,AY51&lt;=$BG$52),$D$53*(AY51-A!$AS$90*10^-3)-AY52*AY51^2*0.5,-AY52*(A!$AV$90*10^-3-AY51)^2*0.5))</f>
        <v>#N/A</v>
      </c>
      <c r="AZ53" s="21" t="e">
        <f>IF(AZ51&lt;=$BG$46,-AZ52*AZ51^2*0.5,IF(AND(AZ51&gt;$BG$46,AZ51&lt;=$BG$52),$D$53*(AZ51-A!$AS$90*10^-3)-AZ52*AZ51^2*0.5,-AZ52*(A!$AV$90*10^-3-AZ51)^2*0.5))</f>
        <v>#N/A</v>
      </c>
      <c r="BA53" s="21" t="e">
        <f>IF(BA51&lt;=$BG$46,-BA52*BA51^2*0.5,IF(AND(BA51&gt;$BG$46,BA51&lt;=$BG$52),$D$53*(BA51-A!$AS$90*10^-3)-BA52*BA51^2*0.5,-BA52*(A!$AV$90*10^-3-BA51)^2*0.5))</f>
        <v>#N/A</v>
      </c>
      <c r="BB53" s="21" t="e">
        <f>IF(BB51&lt;=$BG$46,-BB52*BB51^2*0.5,IF(AND(BB51&gt;$BG$46,BB51&lt;=$BG$52),$D$53*(BB51-A!$AS$90*10^-3)-BB52*BB51^2*0.5,-BB52*(A!$AV$90*10^-3-BB51)^2*0.5))</f>
        <v>#N/A</v>
      </c>
      <c r="BC53" s="25" t="e">
        <f>IF(BC51&lt;=$BG$46,-BC52*BC51^2*0.5,IF(AND(BC51&gt;$BG$46,BC51&lt;=$BG$52),$D$53*(BC51-A!$AS$90*10^-3)-BC52*BC51^2*0.5,-BC52*(A!$AV$90*10^-3-BC51)^2*0.5))</f>
        <v>#N/A</v>
      </c>
      <c r="BF53" s="1" t="s">
        <v>152</v>
      </c>
      <c r="BG53" s="69" t="e">
        <f>BG52</f>
        <v>#N/A</v>
      </c>
      <c r="BN53" s="1" t="s">
        <v>152</v>
      </c>
      <c r="BO53" s="69" t="e">
        <f>BO52</f>
        <v>#N/A</v>
      </c>
      <c r="BV53" s="1" t="str">
        <f>"Punkt fra " &amp;A!AZ116 &amp; ", h"</f>
        <v>Punkt fra 0, h</v>
      </c>
      <c r="BW53" s="1">
        <f>BW52</f>
        <v>0</v>
      </c>
    </row>
    <row r="54" spans="2:75">
      <c r="B54" s="1" t="s">
        <v>147</v>
      </c>
      <c r="D54" s="11" t="e">
        <f>A!BF94/(A!AT90*10^-3)</f>
        <v>#N/A</v>
      </c>
      <c r="E54" s="1" t="s">
        <v>41</v>
      </c>
      <c r="F54" s="62" t="s">
        <v>134</v>
      </c>
      <c r="G54" s="23">
        <v>0</v>
      </c>
      <c r="H54" s="23">
        <f>IF(H50="ven. u. støtn. h",G54+$D$53,IF(H50="høj. u. støtn. h",G54+$D$54,G54-H52*(H51-G51)))</f>
        <v>0</v>
      </c>
      <c r="I54" s="23">
        <f t="shared" ref="I54:BC54" si="24">IF(I50="ven. u. støtn. h",H54+$D$53,IF(I50="høj. u. støtn. h",H54+$D$54,H54-I52*(I51-H51)))</f>
        <v>0</v>
      </c>
      <c r="J54" s="23">
        <f t="shared" si="24"/>
        <v>0</v>
      </c>
      <c r="K54" s="23">
        <f t="shared" si="24"/>
        <v>0</v>
      </c>
      <c r="L54" s="23">
        <f t="shared" si="24"/>
        <v>0</v>
      </c>
      <c r="M54" s="23">
        <f t="shared" si="24"/>
        <v>0</v>
      </c>
      <c r="N54" s="23">
        <f t="shared" si="24"/>
        <v>0</v>
      </c>
      <c r="O54" s="23">
        <f t="shared" si="24"/>
        <v>0</v>
      </c>
      <c r="P54" s="23">
        <f t="shared" si="24"/>
        <v>0</v>
      </c>
      <c r="Q54" s="23">
        <f t="shared" si="24"/>
        <v>0</v>
      </c>
      <c r="R54" s="23">
        <f t="shared" si="24"/>
        <v>0</v>
      </c>
      <c r="S54" s="23">
        <f t="shared" si="24"/>
        <v>0</v>
      </c>
      <c r="T54" s="23">
        <f t="shared" si="24"/>
        <v>0</v>
      </c>
      <c r="U54" s="23">
        <f t="shared" si="24"/>
        <v>0</v>
      </c>
      <c r="V54" s="23">
        <f t="shared" si="24"/>
        <v>0</v>
      </c>
      <c r="W54" s="23">
        <f t="shared" si="24"/>
        <v>0</v>
      </c>
      <c r="X54" s="23">
        <f t="shared" si="24"/>
        <v>0</v>
      </c>
      <c r="Y54" s="23">
        <f t="shared" si="24"/>
        <v>0</v>
      </c>
      <c r="Z54" s="23">
        <f t="shared" si="24"/>
        <v>0</v>
      </c>
      <c r="AA54" s="23">
        <f t="shared" si="24"/>
        <v>0</v>
      </c>
      <c r="AB54" s="23">
        <f t="shared" si="24"/>
        <v>0</v>
      </c>
      <c r="AC54" s="23">
        <f t="shared" si="24"/>
        <v>0</v>
      </c>
      <c r="AD54" s="23">
        <f t="shared" si="24"/>
        <v>0</v>
      </c>
      <c r="AE54" s="23">
        <f t="shared" si="24"/>
        <v>0</v>
      </c>
      <c r="AF54" s="23">
        <f t="shared" si="24"/>
        <v>0</v>
      </c>
      <c r="AG54" s="23">
        <f t="shared" si="24"/>
        <v>0</v>
      </c>
      <c r="AH54" s="23">
        <f t="shared" si="24"/>
        <v>0</v>
      </c>
      <c r="AI54" s="23">
        <f t="shared" si="24"/>
        <v>0</v>
      </c>
      <c r="AJ54" s="23">
        <f t="shared" si="24"/>
        <v>0</v>
      </c>
      <c r="AK54" s="23">
        <f t="shared" si="24"/>
        <v>0</v>
      </c>
      <c r="AL54" s="23">
        <f t="shared" si="24"/>
        <v>0</v>
      </c>
      <c r="AM54" s="23">
        <f t="shared" si="24"/>
        <v>0</v>
      </c>
      <c r="AN54" s="23">
        <f t="shared" si="24"/>
        <v>0</v>
      </c>
      <c r="AO54" s="23">
        <f t="shared" si="24"/>
        <v>0</v>
      </c>
      <c r="AP54" s="23">
        <f t="shared" si="24"/>
        <v>0</v>
      </c>
      <c r="AQ54" s="23">
        <f t="shared" si="24"/>
        <v>0</v>
      </c>
      <c r="AR54" s="23">
        <f t="shared" si="24"/>
        <v>0</v>
      </c>
      <c r="AS54" s="23">
        <f t="shared" si="24"/>
        <v>0</v>
      </c>
      <c r="AT54" s="23">
        <f t="shared" si="24"/>
        <v>0</v>
      </c>
      <c r="AU54" s="23">
        <f t="shared" si="24"/>
        <v>0</v>
      </c>
      <c r="AV54" s="23">
        <f t="shared" si="24"/>
        <v>0</v>
      </c>
      <c r="AW54" s="23">
        <f t="shared" si="24"/>
        <v>0</v>
      </c>
      <c r="AX54" s="23">
        <f t="shared" si="24"/>
        <v>0</v>
      </c>
      <c r="AY54" s="23">
        <f t="shared" si="24"/>
        <v>0</v>
      </c>
      <c r="AZ54" s="23">
        <f t="shared" si="24"/>
        <v>0</v>
      </c>
      <c r="BA54" s="23">
        <f t="shared" si="24"/>
        <v>0</v>
      </c>
      <c r="BB54" s="23">
        <f t="shared" si="24"/>
        <v>0</v>
      </c>
      <c r="BC54" s="24">
        <f t="shared" si="24"/>
        <v>0</v>
      </c>
      <c r="BF54" s="1" t="str">
        <f>"Punkt fra " &amp;A!AZ96 &amp; ", v"</f>
        <v>Punkt fra 0, v</v>
      </c>
      <c r="BG54" s="69" t="e">
        <f>A!BC96*10^-3</f>
        <v>#N/A</v>
      </c>
      <c r="BN54" s="1" t="str">
        <f>"Punkt fra " &amp;A!AZ106 &amp; ", v"</f>
        <v>Punkt fra 0, v</v>
      </c>
      <c r="BO54" s="69" t="e">
        <f>A!BC106*10^-3</f>
        <v>#N/A</v>
      </c>
      <c r="BV54" s="1" t="s">
        <v>155</v>
      </c>
      <c r="BW54" s="1" t="e">
        <f>A!BG114</f>
        <v>#N/A</v>
      </c>
    </row>
    <row r="55" spans="2:75">
      <c r="F55" s="59" t="s">
        <v>154</v>
      </c>
      <c r="G55" s="35" t="e">
        <f ca="1">IF(G50="Punkt fra "&amp;A!$AZ$96&amp;", h",A!$BA$96,IF(G50="Punkt fra "&amp;A!$AZ$97&amp;", h",A!$BA$97,IF(G50="Slut",A!$BA$98,0)))</f>
        <v>#N/A</v>
      </c>
      <c r="H55" s="35">
        <f>IF(H50="Punkt fra "&amp;A!$AZ$96&amp;", h",A!$BA$96,IF(H50="Punkt fra "&amp;A!$AZ$97&amp;", h",A!$BA$97,IF(H50="Slut",A!$BA$98,0)))</f>
        <v>0</v>
      </c>
      <c r="I55" s="35">
        <f>IF(I50="Punkt fra "&amp;A!$AZ$96&amp;", h",A!$BA$96,IF(I50="Punkt fra "&amp;A!$AZ$97&amp;", h",A!$BA$97,IF(I50="Slut",A!$BA$98,0)))</f>
        <v>0</v>
      </c>
      <c r="J55" s="35">
        <f>IF(J50="Punkt fra "&amp;A!$AZ$96&amp;", h",A!$BA$96,IF(J50="Punkt fra "&amp;A!$AZ$97&amp;", h",A!$BA$97,IF(J50="Slut",A!$BA$98,0)))</f>
        <v>0</v>
      </c>
      <c r="K55" s="35">
        <f>IF(K50="Punkt fra "&amp;A!$AZ$96&amp;", h",A!$BA$96,IF(K50="Punkt fra "&amp;A!$AZ$97&amp;", h",A!$BA$97,IF(K50="Slut",A!$BA$98,0)))</f>
        <v>0</v>
      </c>
      <c r="L55" s="35">
        <f>IF(L50="Punkt fra "&amp;A!$AZ$96&amp;", h",A!$BA$96,IF(L50="Punkt fra "&amp;A!$AZ$97&amp;", h",A!$BA$97,IF(L50="Slut",A!$BA$98,0)))</f>
        <v>0</v>
      </c>
      <c r="M55" s="35">
        <f>IF(M50="Punkt fra "&amp;A!$AZ$96&amp;", h",A!$BA$96,IF(M50="Punkt fra "&amp;A!$AZ$97&amp;", h",A!$BA$97,IF(M50="Slut",A!$BA$98,0)))</f>
        <v>0</v>
      </c>
      <c r="N55" s="35">
        <f>IF(N50="Punkt fra "&amp;A!$AZ$96&amp;", h",A!$BA$96,IF(N50="Punkt fra "&amp;A!$AZ$97&amp;", h",A!$BA$97,IF(N50="Slut",A!$BA$98,0)))</f>
        <v>0</v>
      </c>
      <c r="O55" s="35">
        <f>IF(O50="Punkt fra "&amp;A!$AZ$96&amp;", h",A!$BA$96,IF(O50="Punkt fra "&amp;A!$AZ$97&amp;", h",A!$BA$97,IF(O50="Slut",A!$BA$98,0)))</f>
        <v>0</v>
      </c>
      <c r="P55" s="35">
        <f>IF(P50="Punkt fra "&amp;A!$AZ$96&amp;", h",A!$BA$96,IF(P50="Punkt fra "&amp;A!$AZ$97&amp;", h",A!$BA$97,IF(P50="Slut",A!$BA$98,0)))</f>
        <v>0</v>
      </c>
      <c r="Q55" s="35">
        <f>IF(Q50="Punkt fra "&amp;A!$AZ$96&amp;", h",A!$BA$96,IF(Q50="Punkt fra "&amp;A!$AZ$97&amp;", h",A!$BA$97,IF(Q50="Slut",A!$BA$98,0)))</f>
        <v>0</v>
      </c>
      <c r="R55" s="35">
        <f>IF(R50="Punkt fra "&amp;A!$AZ$96&amp;", h",A!$BA$96,IF(R50="Punkt fra "&amp;A!$AZ$97&amp;", h",A!$BA$97,IF(R50="Slut",A!$BA$98,0)))</f>
        <v>0</v>
      </c>
      <c r="S55" s="35">
        <f>IF(S50="Punkt fra "&amp;A!$AZ$96&amp;", h",A!$BA$96,IF(S50="Punkt fra "&amp;A!$AZ$97&amp;", h",A!$BA$97,IF(S50="Slut",A!$BA$98,0)))</f>
        <v>0</v>
      </c>
      <c r="T55" s="35">
        <f>IF(T50="Punkt fra "&amp;A!$AZ$96&amp;", h",A!$BA$96,IF(T50="Punkt fra "&amp;A!$AZ$97&amp;", h",A!$BA$97,IF(T50="Slut",A!$BA$98,0)))</f>
        <v>0</v>
      </c>
      <c r="U55" s="35">
        <f>IF(U50="Punkt fra "&amp;A!$AZ$96&amp;", h",A!$BA$96,IF(U50="Punkt fra "&amp;A!$AZ$97&amp;", h",A!$BA$97,IF(U50="Slut",A!$BA$98,0)))</f>
        <v>0</v>
      </c>
      <c r="V55" s="35">
        <f>IF(V50="Punkt fra "&amp;A!$AZ$96&amp;", h",A!$BA$96,IF(V50="Punkt fra "&amp;A!$AZ$97&amp;", h",A!$BA$97,IF(V50="Slut",A!$BA$98,0)))</f>
        <v>0</v>
      </c>
      <c r="W55" s="35">
        <f>IF(W50="Punkt fra "&amp;A!$AZ$96&amp;", h",A!$BA$96,IF(W50="Punkt fra "&amp;A!$AZ$97&amp;", h",A!$BA$97,IF(W50="Slut",A!$BA$98,0)))</f>
        <v>0</v>
      </c>
      <c r="X55" s="35">
        <f>IF(X50="Punkt fra "&amp;A!$AZ$96&amp;", h",A!$BA$96,IF(X50="Punkt fra "&amp;A!$AZ$97&amp;", h",A!$BA$97,IF(X50="Slut",A!$BA$98,0)))</f>
        <v>0</v>
      </c>
      <c r="Y55" s="35">
        <f>IF(Y50="Punkt fra "&amp;A!$AZ$96&amp;", h",A!$BA$96,IF(Y50="Punkt fra "&amp;A!$AZ$97&amp;", h",A!$BA$97,IF(Y50="Slut",A!$BA$98,0)))</f>
        <v>0</v>
      </c>
      <c r="Z55" s="35">
        <f>IF(Z50="Punkt fra "&amp;A!$AZ$96&amp;", h",A!$BA$96,IF(Z50="Punkt fra "&amp;A!$AZ$97&amp;", h",A!$BA$97,IF(Z50="Slut",A!$BA$98,0)))</f>
        <v>0</v>
      </c>
      <c r="AA55" s="35">
        <f>IF(AA50="Punkt fra "&amp;A!$AZ$96&amp;", h",A!$BA$96,IF(AA50="Punkt fra "&amp;A!$AZ$97&amp;", h",A!$BA$97,IF(AA50="Slut",A!$BA$98,0)))</f>
        <v>0</v>
      </c>
      <c r="AB55" s="35">
        <f>IF(AB50="Punkt fra "&amp;A!$AZ$96&amp;", h",A!$BA$96,IF(AB50="Punkt fra "&amp;A!$AZ$97&amp;", h",A!$BA$97,IF(AB50="Slut",A!$BA$98,0)))</f>
        <v>0</v>
      </c>
      <c r="AC55" s="35">
        <f>IF(AC50="Punkt fra "&amp;A!$AZ$96&amp;", h",A!$BA$96,IF(AC50="Punkt fra "&amp;A!$AZ$97&amp;", h",A!$BA$97,IF(AC50="Slut",A!$BA$98,0)))</f>
        <v>0</v>
      </c>
      <c r="AD55" s="35">
        <f>IF(AD50="Punkt fra "&amp;A!$AZ$96&amp;", h",A!$BA$96,IF(AD50="Punkt fra "&amp;A!$AZ$97&amp;", h",A!$BA$97,IF(AD50="Slut",A!$BA$98,0)))</f>
        <v>0</v>
      </c>
      <c r="AE55" s="35">
        <f>IF(AE50="Punkt fra "&amp;A!$AZ$96&amp;", h",A!$BA$96,IF(AE50="Punkt fra "&amp;A!$AZ$97&amp;", h",A!$BA$97,IF(AE50="Slut",A!$BA$98,0)))</f>
        <v>0</v>
      </c>
      <c r="AF55" s="35">
        <f>IF(AF50="Punkt fra "&amp;A!$AZ$96&amp;", h",A!$BA$96,IF(AF50="Punkt fra "&amp;A!$AZ$97&amp;", h",A!$BA$97,IF(AF50="Slut",A!$BA$98,0)))</f>
        <v>0</v>
      </c>
      <c r="AG55" s="35">
        <f>IF(AG50="Punkt fra "&amp;A!$AZ$96&amp;", h",A!$BA$96,IF(AG50="Punkt fra "&amp;A!$AZ$97&amp;", h",A!$BA$97,IF(AG50="Slut",A!$BA$98,0)))</f>
        <v>0</v>
      </c>
      <c r="AH55" s="35">
        <f>IF(AH50="Punkt fra "&amp;A!$AZ$96&amp;", h",A!$BA$96,IF(AH50="Punkt fra "&amp;A!$AZ$97&amp;", h",A!$BA$97,IF(AH50="Slut",A!$BA$98,0)))</f>
        <v>0</v>
      </c>
      <c r="AI55" s="35">
        <f>IF(AI50="Punkt fra "&amp;A!$AZ$96&amp;", h",A!$BA$96,IF(AI50="Punkt fra "&amp;A!$AZ$97&amp;", h",A!$BA$97,IF(AI50="Slut",A!$BA$98,0)))</f>
        <v>0</v>
      </c>
      <c r="AJ55" s="35">
        <f>IF(AJ50="Punkt fra "&amp;A!$AZ$96&amp;", h",A!$BA$96,IF(AJ50="Punkt fra "&amp;A!$AZ$97&amp;", h",A!$BA$97,IF(AJ50="Slut",A!$BA$98,0)))</f>
        <v>0</v>
      </c>
      <c r="AK55" s="35">
        <f>IF(AK50="Punkt fra "&amp;A!$AZ$96&amp;", h",A!$BA$96,IF(AK50="Punkt fra "&amp;A!$AZ$97&amp;", h",A!$BA$97,IF(AK50="Slut",A!$BA$98,0)))</f>
        <v>0</v>
      </c>
      <c r="AL55" s="35">
        <f>IF(AL50="Punkt fra "&amp;A!$AZ$96&amp;", h",A!$BA$96,IF(AL50="Punkt fra "&amp;A!$AZ$97&amp;", h",A!$BA$97,IF(AL50="Slut",A!$BA$98,0)))</f>
        <v>0</v>
      </c>
      <c r="AM55" s="35">
        <f>IF(AM50="Punkt fra "&amp;A!$AZ$96&amp;", h",A!$BA$96,IF(AM50="Punkt fra "&amp;A!$AZ$97&amp;", h",A!$BA$97,IF(AM50="Slut",A!$BA$98,0)))</f>
        <v>0</v>
      </c>
      <c r="AN55" s="35">
        <f>IF(AN50="Punkt fra "&amp;A!$AZ$96&amp;", h",A!$BA$96,IF(AN50="Punkt fra "&amp;A!$AZ$97&amp;", h",A!$BA$97,IF(AN50="Slut",A!$BA$98,0)))</f>
        <v>0</v>
      </c>
      <c r="AO55" s="35">
        <f>IF(AO50="Punkt fra "&amp;A!$AZ$96&amp;", h",A!$BA$96,IF(AO50="Punkt fra "&amp;A!$AZ$97&amp;", h",A!$BA$97,IF(AO50="Slut",A!$BA$98,0)))</f>
        <v>0</v>
      </c>
      <c r="AP55" s="35">
        <f>IF(AP50="Punkt fra "&amp;A!$AZ$96&amp;", h",A!$BA$96,IF(AP50="Punkt fra "&amp;A!$AZ$97&amp;", h",A!$BA$97,IF(AP50="Slut",A!$BA$98,0)))</f>
        <v>0</v>
      </c>
      <c r="AQ55" s="35">
        <f>IF(AQ50="Punkt fra "&amp;A!$AZ$96&amp;", h",A!$BA$96,IF(AQ50="Punkt fra "&amp;A!$AZ$97&amp;", h",A!$BA$97,IF(AQ50="Slut",A!$BA$98,0)))</f>
        <v>0</v>
      </c>
      <c r="AR55" s="35">
        <f>IF(AR50="Punkt fra "&amp;A!$AZ$96&amp;", h",A!$BA$96,IF(AR50="Punkt fra "&amp;A!$AZ$97&amp;", h",A!$BA$97,IF(AR50="Slut",A!$BA$98,0)))</f>
        <v>0</v>
      </c>
      <c r="AS55" s="35">
        <f>IF(AS50="Punkt fra "&amp;A!$AZ$96&amp;", h",A!$BA$96,IF(AS50="Punkt fra "&amp;A!$AZ$97&amp;", h",A!$BA$97,IF(AS50="Slut",A!$BA$98,0)))</f>
        <v>0</v>
      </c>
      <c r="AT55" s="35">
        <f>IF(AT50="Punkt fra "&amp;A!$AZ$96&amp;", h",A!$BA$96,IF(AT50="Punkt fra "&amp;A!$AZ$97&amp;", h",A!$BA$97,IF(AT50="Slut",A!$BA$98,0)))</f>
        <v>0</v>
      </c>
      <c r="AU55" s="35">
        <f>IF(AU50="Punkt fra "&amp;A!$AZ$96&amp;", h",A!$BA$96,IF(AU50="Punkt fra "&amp;A!$AZ$97&amp;", h",A!$BA$97,IF(AU50="Slut",A!$BA$98,0)))</f>
        <v>0</v>
      </c>
      <c r="AV55" s="35">
        <f>IF(AV50="Punkt fra "&amp;A!$AZ$96&amp;", h",A!$BA$96,IF(AV50="Punkt fra "&amp;A!$AZ$97&amp;", h",A!$BA$97,IF(AV50="Slut",A!$BA$98,0)))</f>
        <v>0</v>
      </c>
      <c r="AW55" s="35">
        <f>IF(AW50="Punkt fra "&amp;A!$AZ$96&amp;", h",A!$BA$96,IF(AW50="Punkt fra "&amp;A!$AZ$97&amp;", h",A!$BA$97,IF(AW50="Slut",A!$BA$98,0)))</f>
        <v>0</v>
      </c>
      <c r="AX55" s="35">
        <f>IF(AX50="Punkt fra "&amp;A!$AZ$96&amp;", h",A!$BA$96,IF(AX50="Punkt fra "&amp;A!$AZ$97&amp;", h",A!$BA$97,IF(AX50="Slut",A!$BA$98,0)))</f>
        <v>0</v>
      </c>
      <c r="AY55" s="35">
        <f>IF(AY50="Punkt fra "&amp;A!$AZ$96&amp;", h",A!$BA$96,IF(AY50="Punkt fra "&amp;A!$AZ$97&amp;", h",A!$BA$97,IF(AY50="Slut",A!$BA$98,0)))</f>
        <v>0</v>
      </c>
      <c r="AZ55" s="35">
        <f>IF(AZ50="Punkt fra "&amp;A!$AZ$96&amp;", h",A!$BA$96,IF(AZ50="Punkt fra "&amp;A!$AZ$97&amp;", h",A!$BA$97,IF(AZ50="Slut",A!$BA$98,0)))</f>
        <v>0</v>
      </c>
      <c r="BA55" s="35">
        <f>IF(BA50="Punkt fra "&amp;A!$AZ$96&amp;", h",A!$BA$96,IF(BA50="Punkt fra "&amp;A!$AZ$97&amp;", h",A!$BA$97,IF(BA50="Slut",A!$BA$98,0)))</f>
        <v>0</v>
      </c>
      <c r="BB55" s="35">
        <f>IF(BB50="Punkt fra "&amp;A!$AZ$96&amp;", h",A!$BA$96,IF(BB50="Punkt fra "&amp;A!$AZ$97&amp;", h",A!$BA$97,IF(BB50="Slut",A!$BA$98,0)))</f>
        <v>0</v>
      </c>
      <c r="BC55" s="65">
        <f>IF(BC50="Punkt fra "&amp;A!$AZ$96&amp;", h",A!$BA$96,IF(BC50="Punkt fra "&amp;A!$AZ$97&amp;", h",A!$BA$97,IF(BC50="Slut",A!$BA$98,0)))</f>
        <v>0</v>
      </c>
      <c r="BF55" s="1" t="str">
        <f>"Punkt fra " &amp;A!AZ96 &amp; ", h"</f>
        <v>Punkt fra 0, h</v>
      </c>
      <c r="BG55" s="69" t="e">
        <f>A!BD96*10^-3</f>
        <v>#N/A</v>
      </c>
      <c r="BN55" s="1" t="str">
        <f>"Punkt fra " &amp;A!AZ106 &amp; ", h"</f>
        <v>Punkt fra 0, h</v>
      </c>
      <c r="BO55" s="69" t="e">
        <f>BO54</f>
        <v>#N/A</v>
      </c>
      <c r="BV55" s="1" t="s">
        <v>156</v>
      </c>
      <c r="BW55" s="1" t="e">
        <f>A!BH114</f>
        <v>#N/A</v>
      </c>
    </row>
    <row r="56" spans="2:75">
      <c r="B56" s="1" t="s">
        <v>146</v>
      </c>
      <c r="D56" s="11" t="e">
        <f>SUM(A!BA96:BA98)-D57</f>
        <v>#N/A</v>
      </c>
      <c r="E56" s="1" t="s">
        <v>41</v>
      </c>
      <c r="F56" s="64" t="s">
        <v>133</v>
      </c>
      <c r="G56" s="21">
        <v>0</v>
      </c>
      <c r="H56" s="21">
        <f>IF(H50="Slut",0,G56+H57*(H51-G51))</f>
        <v>0</v>
      </c>
      <c r="I56" s="21">
        <f t="shared" ref="I56:W56" si="25">IF(I50="Slut",0,H56+I57*(I51-H51))</f>
        <v>0</v>
      </c>
      <c r="J56" s="21">
        <f t="shared" si="25"/>
        <v>0</v>
      </c>
      <c r="K56" s="21">
        <f t="shared" si="25"/>
        <v>0</v>
      </c>
      <c r="L56" s="21">
        <f t="shared" si="25"/>
        <v>0</v>
      </c>
      <c r="M56" s="21">
        <f t="shared" si="25"/>
        <v>0</v>
      </c>
      <c r="N56" s="21">
        <f t="shared" si="25"/>
        <v>0</v>
      </c>
      <c r="O56" s="21">
        <f t="shared" si="25"/>
        <v>0</v>
      </c>
      <c r="P56" s="21">
        <f t="shared" si="25"/>
        <v>0</v>
      </c>
      <c r="Q56" s="21">
        <f t="shared" si="25"/>
        <v>0</v>
      </c>
      <c r="R56" s="21">
        <f t="shared" si="25"/>
        <v>0</v>
      </c>
      <c r="S56" s="21">
        <f t="shared" si="25"/>
        <v>0</v>
      </c>
      <c r="T56" s="21">
        <f t="shared" si="25"/>
        <v>0</v>
      </c>
      <c r="U56" s="21">
        <f t="shared" si="25"/>
        <v>0</v>
      </c>
      <c r="V56" s="21">
        <f t="shared" si="25"/>
        <v>0</v>
      </c>
      <c r="W56" s="21">
        <f t="shared" si="25"/>
        <v>0</v>
      </c>
      <c r="X56" s="21">
        <f t="shared" ref="X56" si="26">IF(X50="Slut",0,W56+X57*(X51-W51))</f>
        <v>0</v>
      </c>
      <c r="Y56" s="21">
        <f t="shared" ref="Y56" si="27">IF(Y50="Slut",0,X56+Y57*(Y51-X51))</f>
        <v>0</v>
      </c>
      <c r="Z56" s="21">
        <f t="shared" ref="Z56" si="28">IF(Z50="Slut",0,Y56+Z57*(Z51-Y51))</f>
        <v>0</v>
      </c>
      <c r="AA56" s="21">
        <f t="shared" ref="AA56" si="29">IF(AA50="Slut",0,Z56+AA57*(AA51-Z51))</f>
        <v>0</v>
      </c>
      <c r="AB56" s="21">
        <f t="shared" ref="AB56" si="30">IF(AB50="Slut",0,AA56+AB57*(AB51-AA51))</f>
        <v>0</v>
      </c>
      <c r="AC56" s="21">
        <f t="shared" ref="AC56" si="31">IF(AC50="Slut",0,AB56+AC57*(AC51-AB51))</f>
        <v>0</v>
      </c>
      <c r="AD56" s="21">
        <f t="shared" ref="AD56" si="32">IF(AD50="Slut",0,AC56+AD57*(AD51-AC51))</f>
        <v>0</v>
      </c>
      <c r="AE56" s="21">
        <f t="shared" ref="AE56" si="33">IF(AE50="Slut",0,AD56+AE57*(AE51-AD51))</f>
        <v>0</v>
      </c>
      <c r="AF56" s="21">
        <f t="shared" ref="AF56" si="34">IF(AF50="Slut",0,AE56+AF57*(AF51-AE51))</f>
        <v>0</v>
      </c>
      <c r="AG56" s="21">
        <f t="shared" ref="AG56" si="35">IF(AG50="Slut",0,AF56+AG57*(AG51-AF51))</f>
        <v>0</v>
      </c>
      <c r="AH56" s="21">
        <f t="shared" ref="AH56" si="36">IF(AH50="Slut",0,AG56+AH57*(AH51-AG51))</f>
        <v>0</v>
      </c>
      <c r="AI56" s="21">
        <f t="shared" ref="AI56" si="37">IF(AI50="Slut",0,AH56+AI57*(AI51-AH51))</f>
        <v>0</v>
      </c>
      <c r="AJ56" s="21">
        <f t="shared" ref="AJ56" si="38">IF(AJ50="Slut",0,AI56+AJ57*(AJ51-AI51))</f>
        <v>0</v>
      </c>
      <c r="AK56" s="21">
        <f t="shared" ref="AK56:AL56" si="39">IF(AK50="Slut",0,AJ56+AK57*(AK51-AJ51))</f>
        <v>0</v>
      </c>
      <c r="AL56" s="21">
        <f t="shared" si="39"/>
        <v>0</v>
      </c>
      <c r="AM56" s="21">
        <f t="shared" ref="AM56" si="40">IF(AM50="Slut",0,AL56+AM57*(AM51-AL51))</f>
        <v>0</v>
      </c>
      <c r="AN56" s="21">
        <f t="shared" ref="AN56" si="41">IF(AN50="Slut",0,AM56+AN57*(AN51-AM51))</f>
        <v>0</v>
      </c>
      <c r="AO56" s="21">
        <f t="shared" ref="AO56" si="42">IF(AO50="Slut",0,AN56+AO57*(AO51-AN51))</f>
        <v>0</v>
      </c>
      <c r="AP56" s="21">
        <f t="shared" ref="AP56" si="43">IF(AP50="Slut",0,AO56+AP57*(AP51-AO51))</f>
        <v>0</v>
      </c>
      <c r="AQ56" s="21">
        <f t="shared" ref="AQ56" si="44">IF(AQ50="Slut",0,AP56+AQ57*(AQ51-AP51))</f>
        <v>0</v>
      </c>
      <c r="AR56" s="21">
        <f t="shared" ref="AR56" si="45">IF(AR50="Slut",0,AQ56+AR57*(AR51-AQ51))</f>
        <v>0</v>
      </c>
      <c r="AS56" s="21">
        <f t="shared" ref="AS56" si="46">IF(AS50="Slut",0,AR56+AS57*(AS51-AR51))</f>
        <v>0</v>
      </c>
      <c r="AT56" s="21">
        <f t="shared" ref="AT56" si="47">IF(AT50="Slut",0,AS56+AT57*(AT51-AS51))</f>
        <v>0</v>
      </c>
      <c r="AU56" s="21">
        <f t="shared" ref="AU56" si="48">IF(AU50="Slut",0,AT56+AU57*(AU51-AT51))</f>
        <v>0</v>
      </c>
      <c r="AV56" s="21">
        <f t="shared" ref="AV56" si="49">IF(AV50="Slut",0,AU56+AV57*(AV51-AU51))</f>
        <v>0</v>
      </c>
      <c r="AW56" s="21">
        <f t="shared" ref="AW56" si="50">IF(AW50="Slut",0,AV56+AW57*(AW51-AV51))</f>
        <v>0</v>
      </c>
      <c r="AX56" s="21">
        <f t="shared" ref="AX56" si="51">IF(AX50="Slut",0,AW56+AX57*(AX51-AW51))</f>
        <v>0</v>
      </c>
      <c r="AY56" s="21">
        <f t="shared" ref="AY56" si="52">IF(AY50="Slut",0,AX56+AY57*(AY51-AX51))</f>
        <v>0</v>
      </c>
      <c r="AZ56" s="21">
        <f t="shared" ref="AZ56:BA56" si="53">IF(AZ50="Slut",0,AY56+AZ57*(AZ51-AY51))</f>
        <v>0</v>
      </c>
      <c r="BA56" s="21">
        <f t="shared" si="53"/>
        <v>0</v>
      </c>
      <c r="BB56" s="21">
        <f t="shared" ref="BB56" si="54">IF(BB50="Slut",0,BA56+BB57*(BB51-BA51))</f>
        <v>0</v>
      </c>
      <c r="BC56" s="25">
        <f t="shared" ref="BC56" si="55">IF(BC50="Slut",0,BB56+BC57*(BC51-BB51))</f>
        <v>0</v>
      </c>
      <c r="BF56" s="1" t="s">
        <v>158</v>
      </c>
      <c r="BG56" s="69" t="e">
        <f>(A!BC98-0.01)*10^-3</f>
        <v>#N/A</v>
      </c>
      <c r="BN56" s="1" t="s">
        <v>158</v>
      </c>
      <c r="BO56" s="69" t="e">
        <f>(A!BC108-0.01)*10^-3</f>
        <v>#N/A</v>
      </c>
      <c r="BU56" s="1" t="e">
        <f>ROUND((A!AV92*10^-3)/0.1,0)</f>
        <v>#N/A</v>
      </c>
      <c r="BV56" s="1" t="s">
        <v>149</v>
      </c>
      <c r="BW56" s="1" t="e">
        <f>A!AV92*10^-3/BU56</f>
        <v>#N/A</v>
      </c>
    </row>
    <row r="57" spans="2:75">
      <c r="B57" s="1" t="s">
        <v>147</v>
      </c>
      <c r="D57" s="11" t="e">
        <f>SUM(A!BF96:BF98)/(A!AT90*10^-3)</f>
        <v>#N/A</v>
      </c>
      <c r="E57" s="1" t="s">
        <v>41</v>
      </c>
      <c r="F57" s="62" t="s">
        <v>134</v>
      </c>
      <c r="G57" s="23">
        <v>0</v>
      </c>
      <c r="H57" s="23">
        <f>IF(H50="ven. u. støtn. h",G57+$D$56,IF(H50="høj. u. støtn. h",G57+$D$57,G57-H55))</f>
        <v>0</v>
      </c>
      <c r="I57" s="23">
        <f t="shared" ref="I57:BC57" si="56">IF(I50="ven. u. støtn. h",H57+$D$56,IF(I50="høj. u. støtn. h",H57+$D$57,H57-I55))</f>
        <v>0</v>
      </c>
      <c r="J57" s="23">
        <f t="shared" si="56"/>
        <v>0</v>
      </c>
      <c r="K57" s="23">
        <f t="shared" si="56"/>
        <v>0</v>
      </c>
      <c r="L57" s="23">
        <f t="shared" si="56"/>
        <v>0</v>
      </c>
      <c r="M57" s="23">
        <f t="shared" si="56"/>
        <v>0</v>
      </c>
      <c r="N57" s="23">
        <f t="shared" si="56"/>
        <v>0</v>
      </c>
      <c r="O57" s="23">
        <f t="shared" si="56"/>
        <v>0</v>
      </c>
      <c r="P57" s="23">
        <f t="shared" si="56"/>
        <v>0</v>
      </c>
      <c r="Q57" s="23">
        <f t="shared" si="56"/>
        <v>0</v>
      </c>
      <c r="R57" s="23">
        <f t="shared" si="56"/>
        <v>0</v>
      </c>
      <c r="S57" s="23">
        <f t="shared" si="56"/>
        <v>0</v>
      </c>
      <c r="T57" s="23">
        <f t="shared" si="56"/>
        <v>0</v>
      </c>
      <c r="U57" s="23">
        <f t="shared" si="56"/>
        <v>0</v>
      </c>
      <c r="V57" s="23">
        <f t="shared" si="56"/>
        <v>0</v>
      </c>
      <c r="W57" s="23">
        <f t="shared" si="56"/>
        <v>0</v>
      </c>
      <c r="X57" s="23">
        <f t="shared" si="56"/>
        <v>0</v>
      </c>
      <c r="Y57" s="23">
        <f t="shared" si="56"/>
        <v>0</v>
      </c>
      <c r="Z57" s="23">
        <f t="shared" si="56"/>
        <v>0</v>
      </c>
      <c r="AA57" s="23">
        <f t="shared" si="56"/>
        <v>0</v>
      </c>
      <c r="AB57" s="23">
        <f t="shared" si="56"/>
        <v>0</v>
      </c>
      <c r="AC57" s="23">
        <f t="shared" si="56"/>
        <v>0</v>
      </c>
      <c r="AD57" s="23">
        <f t="shared" si="56"/>
        <v>0</v>
      </c>
      <c r="AE57" s="23">
        <f t="shared" si="56"/>
        <v>0</v>
      </c>
      <c r="AF57" s="23">
        <f t="shared" si="56"/>
        <v>0</v>
      </c>
      <c r="AG57" s="23">
        <f t="shared" si="56"/>
        <v>0</v>
      </c>
      <c r="AH57" s="23">
        <f t="shared" si="56"/>
        <v>0</v>
      </c>
      <c r="AI57" s="23">
        <f t="shared" si="56"/>
        <v>0</v>
      </c>
      <c r="AJ57" s="23">
        <f t="shared" si="56"/>
        <v>0</v>
      </c>
      <c r="AK57" s="23">
        <f t="shared" si="56"/>
        <v>0</v>
      </c>
      <c r="AL57" s="23">
        <f t="shared" si="56"/>
        <v>0</v>
      </c>
      <c r="AM57" s="23">
        <f t="shared" si="56"/>
        <v>0</v>
      </c>
      <c r="AN57" s="23">
        <f t="shared" si="56"/>
        <v>0</v>
      </c>
      <c r="AO57" s="23">
        <f t="shared" si="56"/>
        <v>0</v>
      </c>
      <c r="AP57" s="23">
        <f t="shared" si="56"/>
        <v>0</v>
      </c>
      <c r="AQ57" s="23">
        <f t="shared" si="56"/>
        <v>0</v>
      </c>
      <c r="AR57" s="23">
        <f t="shared" si="56"/>
        <v>0</v>
      </c>
      <c r="AS57" s="23">
        <f t="shared" si="56"/>
        <v>0</v>
      </c>
      <c r="AT57" s="23">
        <f t="shared" si="56"/>
        <v>0</v>
      </c>
      <c r="AU57" s="23">
        <f t="shared" si="56"/>
        <v>0</v>
      </c>
      <c r="AV57" s="23">
        <f t="shared" si="56"/>
        <v>0</v>
      </c>
      <c r="AW57" s="23">
        <f t="shared" si="56"/>
        <v>0</v>
      </c>
      <c r="AX57" s="23">
        <f t="shared" si="56"/>
        <v>0</v>
      </c>
      <c r="AY57" s="23">
        <f t="shared" si="56"/>
        <v>0</v>
      </c>
      <c r="AZ57" s="23">
        <f t="shared" si="56"/>
        <v>0</v>
      </c>
      <c r="BA57" s="23">
        <f t="shared" si="56"/>
        <v>0</v>
      </c>
      <c r="BB57" s="23">
        <f t="shared" si="56"/>
        <v>0</v>
      </c>
      <c r="BC57" s="24">
        <f t="shared" si="56"/>
        <v>0</v>
      </c>
      <c r="BF57" s="1" t="s">
        <v>159</v>
      </c>
      <c r="BG57" s="69" t="e">
        <f>BG56</f>
        <v>#N/A</v>
      </c>
      <c r="BN57" s="1" t="s">
        <v>159</v>
      </c>
      <c r="BO57" s="69" t="e">
        <f>BO56</f>
        <v>#N/A</v>
      </c>
      <c r="BV57" s="1" t="e">
        <f>IF(BW57=A!$AV$92*10^-3,"Slut","mel. punkt")</f>
        <v>#N/A</v>
      </c>
      <c r="BW57" s="1" t="e">
        <f>BW56+(A!$AV$92*10^-3)/$BU$56</f>
        <v>#N/A</v>
      </c>
    </row>
    <row r="58" spans="2:75">
      <c r="F58" s="59" t="str">
        <f>"Strimmel " &amp;A!AZ95&amp; " [kN/m]"</f>
        <v>Strimmel 0 [kN/m]</v>
      </c>
      <c r="G58" s="35" t="e">
        <f>IF(AND(G51&gt;A!$BG$95,G51&lt;=A!$BH$95),A!$BA$95,0)</f>
        <v>#N/A</v>
      </c>
      <c r="H58" s="35" t="e">
        <f>IF(AND(H51&gt;A!$BG$95,H51&lt;=A!$BH$95),A!$BA$95,0)</f>
        <v>#N/A</v>
      </c>
      <c r="I58" s="35" t="e">
        <f>IF(AND(I51&gt;A!$BG$95,I51&lt;=A!$BH$95),A!$BA$95,0)</f>
        <v>#N/A</v>
      </c>
      <c r="J58" s="35" t="e">
        <f>IF(AND(J51&gt;A!$BG$95,J51&lt;=A!$BH$95),A!$BA$95,0)</f>
        <v>#N/A</v>
      </c>
      <c r="K58" s="35" t="e">
        <f>IF(AND(K51&gt;A!$BG$95,K51&lt;=A!$BH$95),A!$BA$95,0)</f>
        <v>#N/A</v>
      </c>
      <c r="L58" s="35" t="e">
        <f>IF(AND(L51&gt;A!$BG$95,L51&lt;=A!$BH$95),A!$BA$95,0)</f>
        <v>#N/A</v>
      </c>
      <c r="M58" s="35" t="e">
        <f>IF(AND(M51&gt;A!$BG$95,M51&lt;=A!$BH$95),A!$BA$95,0)</f>
        <v>#N/A</v>
      </c>
      <c r="N58" s="35" t="e">
        <f>IF(AND(N51&gt;A!$BG$95,N51&lt;=A!$BH$95),A!$BA$95,0)</f>
        <v>#N/A</v>
      </c>
      <c r="O58" s="35" t="e">
        <f>IF(AND(O51&gt;A!$BG$95,O51&lt;=A!$BH$95),A!$BA$95,0)</f>
        <v>#N/A</v>
      </c>
      <c r="P58" s="35" t="e">
        <f>IF(AND(P51&gt;A!$BG$95,P51&lt;=A!$BH$95),A!$BA$95,0)</f>
        <v>#N/A</v>
      </c>
      <c r="Q58" s="35" t="e">
        <f>IF(AND(Q51&gt;A!$BG$95,Q51&lt;=A!$BH$95),A!$BA$95,0)</f>
        <v>#N/A</v>
      </c>
      <c r="R58" s="35" t="e">
        <f>IF(AND(R51&gt;A!$BG$95,R51&lt;=A!$BH$95),A!$BA$95,0)</f>
        <v>#N/A</v>
      </c>
      <c r="S58" s="35" t="e">
        <f>IF(AND(S51&gt;A!$BG$95,S51&lt;=A!$BH$95),A!$BA$95,0)</f>
        <v>#N/A</v>
      </c>
      <c r="T58" s="35" t="e">
        <f>IF(AND(T51&gt;A!$BG$95,T51&lt;=A!$BH$95),A!$BA$95,0)</f>
        <v>#N/A</v>
      </c>
      <c r="U58" s="35" t="e">
        <f>IF(AND(U51&gt;A!$BG$95,U51&lt;=A!$BH$95),A!$BA$95,0)</f>
        <v>#N/A</v>
      </c>
      <c r="V58" s="35" t="e">
        <f>IF(AND(V51&gt;A!$BG$95,V51&lt;=A!$BH$95),A!$BA$95,0)</f>
        <v>#N/A</v>
      </c>
      <c r="W58" s="35" t="e">
        <f>IF(AND(W51&gt;A!$BG$95,W51&lt;=A!$BH$95),A!$BA$95,0)</f>
        <v>#N/A</v>
      </c>
      <c r="X58" s="35" t="e">
        <f>IF(AND(X51&gt;A!$BG$95,X51&lt;=A!$BH$95),A!$BA$95,0)</f>
        <v>#N/A</v>
      </c>
      <c r="Y58" s="35" t="e">
        <f>IF(AND(Y51&gt;A!$BG$95,Y51&lt;=A!$BH$95),A!$BA$95,0)</f>
        <v>#N/A</v>
      </c>
      <c r="Z58" s="35" t="e">
        <f>IF(AND(Z51&gt;A!$BG$95,Z51&lt;=A!$BH$95),A!$BA$95,0)</f>
        <v>#N/A</v>
      </c>
      <c r="AA58" s="35" t="e">
        <f>IF(AND(AA51&gt;A!$BG$95,AA51&lt;=A!$BH$95),A!$BA$95,0)</f>
        <v>#N/A</v>
      </c>
      <c r="AB58" s="35" t="e">
        <f>IF(AND(AB51&gt;A!$BG$95,AB51&lt;=A!$BH$95),A!$BA$95,0)</f>
        <v>#N/A</v>
      </c>
      <c r="AC58" s="35" t="e">
        <f>IF(AND(AC51&gt;A!$BG$95,AC51&lt;=A!$BH$95),A!$BA$95,0)</f>
        <v>#N/A</v>
      </c>
      <c r="AD58" s="35" t="e">
        <f>IF(AND(AD51&gt;A!$BG$95,AD51&lt;=A!$BH$95),A!$BA$95,0)</f>
        <v>#N/A</v>
      </c>
      <c r="AE58" s="35" t="e">
        <f>IF(AND(AE51&gt;A!$BG$95,AE51&lt;=A!$BH$95),A!$BA$95,0)</f>
        <v>#N/A</v>
      </c>
      <c r="AF58" s="35" t="e">
        <f>IF(AND(AF51&gt;A!$BG$95,AF51&lt;=A!$BH$95),A!$BA$95,0)</f>
        <v>#N/A</v>
      </c>
      <c r="AG58" s="35" t="e">
        <f>IF(AND(AG51&gt;A!$BG$95,AG51&lt;=A!$BH$95),A!$BA$95,0)</f>
        <v>#N/A</v>
      </c>
      <c r="AH58" s="35" t="e">
        <f>IF(AND(AH51&gt;A!$BG$95,AH51&lt;=A!$BH$95),A!$BA$95,0)</f>
        <v>#N/A</v>
      </c>
      <c r="AI58" s="35" t="e">
        <f>IF(AND(AI51&gt;A!$BG$95,AI51&lt;=A!$BH$95),A!$BA$95,0)</f>
        <v>#N/A</v>
      </c>
      <c r="AJ58" s="35" t="e">
        <f>IF(AND(AJ51&gt;A!$BG$95,AJ51&lt;=A!$BH$95),A!$BA$95,0)</f>
        <v>#N/A</v>
      </c>
      <c r="AK58" s="35" t="e">
        <f>IF(AND(AK51&gt;A!$BG$95,AK51&lt;=A!$BH$95),A!$BA$95,0)</f>
        <v>#N/A</v>
      </c>
      <c r="AL58" s="35" t="e">
        <f>IF(AND(AL51&gt;A!$BG$95,AL51&lt;=A!$BH$95),A!$BA$95,0)</f>
        <v>#N/A</v>
      </c>
      <c r="AM58" s="35" t="e">
        <f>IF(AND(AM51&gt;A!$BG$95,AM51&lt;=A!$BH$95),A!$BA$95,0)</f>
        <v>#N/A</v>
      </c>
      <c r="AN58" s="35" t="e">
        <f>IF(AND(AN51&gt;A!$BG$95,AN51&lt;=A!$BH$95),A!$BA$95,0)</f>
        <v>#N/A</v>
      </c>
      <c r="AO58" s="35" t="e">
        <f>IF(AND(AO51&gt;A!$BG$95,AO51&lt;=A!$BH$95),A!$BA$95,0)</f>
        <v>#N/A</v>
      </c>
      <c r="AP58" s="35" t="e">
        <f>IF(AND(AP51&gt;A!$BG$95,AP51&lt;=A!$BH$95),A!$BA$95,0)</f>
        <v>#N/A</v>
      </c>
      <c r="AQ58" s="35" t="e">
        <f>IF(AND(AQ51&gt;A!$BG$95,AQ51&lt;=A!$BH$95),A!$BA$95,0)</f>
        <v>#N/A</v>
      </c>
      <c r="AR58" s="35" t="e">
        <f>IF(AND(AR51&gt;A!$BG$95,AR51&lt;=A!$BH$95),A!$BA$95,0)</f>
        <v>#N/A</v>
      </c>
      <c r="AS58" s="35" t="e">
        <f>IF(AND(AS51&gt;A!$BG$95,AS51&lt;=A!$BH$95),A!$BA$95,0)</f>
        <v>#N/A</v>
      </c>
      <c r="AT58" s="35" t="e">
        <f>IF(AND(AT51&gt;A!$BG$95,AT51&lt;=A!$BH$95),A!$BA$95,0)</f>
        <v>#N/A</v>
      </c>
      <c r="AU58" s="35" t="e">
        <f>IF(AND(AU51&gt;A!$BG$95,AU51&lt;=A!$BH$95),A!$BA$95,0)</f>
        <v>#N/A</v>
      </c>
      <c r="AV58" s="35" t="e">
        <f>IF(AND(AV51&gt;A!$BG$95,AV51&lt;=A!$BH$95),A!$BA$95,0)</f>
        <v>#N/A</v>
      </c>
      <c r="AW58" s="35" t="e">
        <f>IF(AND(AW51&gt;A!$BG$95,AW51&lt;=A!$BH$95),A!$BA$95,0)</f>
        <v>#N/A</v>
      </c>
      <c r="AX58" s="35" t="e">
        <f>IF(AND(AX51&gt;A!$BG$95,AX51&lt;=A!$BH$95),A!$BA$95,0)</f>
        <v>#N/A</v>
      </c>
      <c r="AY58" s="35" t="e">
        <f>IF(AND(AY51&gt;A!$BG$95,AY51&lt;=A!$BH$95),A!$BA$95,0)</f>
        <v>#N/A</v>
      </c>
      <c r="AZ58" s="35" t="e">
        <f>IF(AND(AZ51&gt;A!$BG$95,AZ51&lt;=A!$BH$95),A!$BA$95,0)</f>
        <v>#N/A</v>
      </c>
      <c r="BA58" s="35" t="e">
        <f>IF(AND(BA51&gt;A!$BG$95,BA51&lt;=A!$BH$95),A!$BA$95,0)</f>
        <v>#N/A</v>
      </c>
      <c r="BB58" s="35" t="e">
        <f>IF(AND(BB51&gt;A!$BG$95,BB51&lt;=A!$BH$95),A!$BA$95,0)</f>
        <v>#N/A</v>
      </c>
      <c r="BC58" s="65" t="e">
        <f>IF(AND(BC51&gt;A!$BG$95,BC51&lt;=A!$BH$95),A!$BA$95,0)</f>
        <v>#N/A</v>
      </c>
      <c r="BE58" s="1" t="e">
        <f>ROUND((A!AV90*10^-3)/0.12,0)</f>
        <v>#N/A</v>
      </c>
      <c r="BF58" s="1" t="s">
        <v>149</v>
      </c>
      <c r="BG58" s="69" t="e">
        <f>(A!$AV$90*10^-3)/$BE$58</f>
        <v>#N/A</v>
      </c>
      <c r="BM58" s="1" t="e">
        <f>ROUND((A!AV91*10^-3)/0.12,0)</f>
        <v>#N/A</v>
      </c>
      <c r="BN58" s="1" t="s">
        <v>149</v>
      </c>
      <c r="BO58" s="69" t="e">
        <f>A!AV91*10^-3/BM58</f>
        <v>#N/A</v>
      </c>
      <c r="BV58" s="1" t="e">
        <f>IF(BW58=A!$AV$92*10^-3,"Slut","mel. punkt")</f>
        <v>#N/A</v>
      </c>
      <c r="BW58" s="1" t="e">
        <f>BW57+(A!$AV$92*10^-3)/$BU$56</f>
        <v>#N/A</v>
      </c>
    </row>
    <row r="59" spans="2:75">
      <c r="B59" s="1" t="s">
        <v>146</v>
      </c>
      <c r="D59" s="11" t="e">
        <f>A!BA95*(A!BH95-A!BG95)-D60</f>
        <v>#N/A</v>
      </c>
      <c r="E59" s="1" t="s">
        <v>41</v>
      </c>
      <c r="F59" s="64" t="s">
        <v>133</v>
      </c>
      <c r="G59" s="21" t="e" cm="1">
        <f t="array" ref="G59">_xlfn.IFS(G51&lt;=$BG$46,-G58*G51^2*0.5,AND(G51&gt;$BG$46,G51&lt;=$BG$51),$D$59*(G51-$BG$46)-G58*(G51-$BG$50)^2*0.5,AND(G51&gt;$BG$51,G51&lt;=$BG$52),$D$59*(G51-$BG$46)-A!$BA$95*($BG$51-$BG$50)*(G51-$BG$50-($BG$51-$BG$50)*0.5),G51&gt;$BG$53,-G58*(A!$AV$90*10^-3-G51)^2*0.5)</f>
        <v>#N/A</v>
      </c>
      <c r="H59" s="21" t="e" cm="1">
        <f t="array" ref="H59">_xlfn.IFS(H51&lt;=$BG$46,-H58*H51^2*0.5,AND(H51&gt;$BG$46,H51&lt;=$BG$51),$D$59*(H51-$BG$46)-H58*(H51-$BG$50)^2*0.5,AND(H51&gt;$BG$51,H51&lt;=$BG$52),$D$59*(H51-$BG$46)-A!$BA$95*($BG$51-$BG$50)*(H51-$BG$50-($BG$51-$BG$50)*0.5),H51&gt;$BG$53,-H58*(A!$AV$90*10^-3-H51)^2*0.5)</f>
        <v>#N/A</v>
      </c>
      <c r="I59" s="21" t="e" cm="1">
        <f t="array" ref="I59">_xlfn.IFS(I51&lt;=$BG$46,-I58*I51^2*0.5,AND(I51&gt;$BG$46,I51&lt;=$BG$51),$D$59*(I51-$BG$46)-I58*(I51-$BG$50)^2*0.5,AND(I51&gt;$BG$51,I51&lt;=$BG$52),$D$59*(I51-$BG$46)-A!$BA$95*($BG$51-$BG$50)*(I51-$BG$50-($BG$51-$BG$50)*0.5),I51&gt;$BG$53,-I58*(A!$AV$90*10^-3-I51)^2*0.5)</f>
        <v>#N/A</v>
      </c>
      <c r="J59" s="21" t="e" cm="1">
        <f t="array" ref="J59">_xlfn.IFS(J51&lt;=$BG$46,-J58*J51^2*0.5,AND(J51&gt;$BG$46,J51&lt;=$BG$51),$D$59*(J51-$BG$46)-J58*(J51-$BG$50)^2*0.5,AND(J51&gt;$BG$51,J51&lt;=$BG$52),$D$59*(J51-$BG$46)-A!$BA$95*($BG$51-$BG$50)*(J51-$BG$50-($BG$51-$BG$50)*0.5),J51&gt;$BG$53,-J58*(A!$AV$90*10^-3-J51)^2*0.5)</f>
        <v>#N/A</v>
      </c>
      <c r="K59" s="21" t="e" cm="1">
        <f t="array" ref="K59">_xlfn.IFS(K51&lt;=$BG$46,-K58*K51^2*0.5,AND(K51&gt;$BG$46,K51&lt;=$BG$51),$D$59*(K51-$BG$46)-K58*(K51-$BG$50)^2*0.5,AND(K51&gt;$BG$51,K51&lt;=$BG$52),$D$59*(K51-$BG$46)-A!$BA$95*($BG$51-$BG$50)*(K51-$BG$50-($BG$51-$BG$50)*0.5),K51&gt;$BG$53,-K58*(A!$AV$90*10^-3-K51)^2*0.5)</f>
        <v>#N/A</v>
      </c>
      <c r="L59" s="21" t="e" cm="1">
        <f t="array" ref="L59">_xlfn.IFS(L51&lt;=$BG$46,-L58*L51^2*0.5,AND(L51&gt;$BG$46,L51&lt;=$BG$51),$D$59*(L51-$BG$46)-L58*(L51-$BG$50)^2*0.5,AND(L51&gt;$BG$51,L51&lt;=$BG$52),$D$59*(L51-$BG$46)-A!$BA$95*($BG$51-$BG$50)*(L51-$BG$50-($BG$51-$BG$50)*0.5),L51&gt;$BG$53,-L58*(A!$AV$90*10^-3-L51)^2*0.5)</f>
        <v>#N/A</v>
      </c>
      <c r="M59" s="21" t="e" cm="1">
        <f t="array" ref="M59">_xlfn.IFS(M51&lt;=$BG$46,-M58*M51^2*0.5,AND(M51&gt;$BG$46,M51&lt;=$BG$51),$D$59*(M51-$BG$46)-M58*(M51-$BG$50)^2*0.5,AND(M51&gt;$BG$51,M51&lt;=$BG$52),$D$59*(M51-$BG$46)-A!$BA$95*($BG$51-$BG$50)*(M51-$BG$50-($BG$51-$BG$50)*0.5),M51&gt;$BG$53,-M58*(A!$AV$90*10^-3-M51)^2*0.5)</f>
        <v>#N/A</v>
      </c>
      <c r="N59" s="21" t="e" cm="1">
        <f t="array" ref="N59">_xlfn.IFS(N51&lt;=$BG$46,-N58*N51^2*0.5,AND(N51&gt;$BG$46,N51&lt;=$BG$51),$D$59*(N51-$BG$46)-N58*(N51-$BG$50)^2*0.5,AND(N51&gt;$BG$51,N51&lt;=$BG$52),$D$59*(N51-$BG$46)-A!$BA$95*($BG$51-$BG$50)*(N51-$BG$50-($BG$51-$BG$50)*0.5),N51&gt;$BG$53,-N58*(A!$AV$90*10^-3-N51)^2*0.5)</f>
        <v>#N/A</v>
      </c>
      <c r="O59" s="21" t="e" cm="1">
        <f t="array" ref="O59">_xlfn.IFS(O51&lt;=$BG$46,-O58*O51^2*0.5,AND(O51&gt;$BG$46,O51&lt;=$BG$51),$D$59*(O51-$BG$46)-O58*(O51-$BG$50)^2*0.5,AND(O51&gt;$BG$51,O51&lt;=$BG$52),$D$59*(O51-$BG$46)-A!$BA$95*($BG$51-$BG$50)*(O51-$BG$50-($BG$51-$BG$50)*0.5),O51&gt;$BG$53,-O58*(A!$AV$90*10^-3-O51)^2*0.5)</f>
        <v>#N/A</v>
      </c>
      <c r="P59" s="21" t="e" cm="1">
        <f t="array" ref="P59">_xlfn.IFS(P51&lt;=$BG$46,-P58*P51^2*0.5,AND(P51&gt;$BG$46,P51&lt;=$BG$51),$D$59*(P51-$BG$46)-P58*(P51-$BG$50)^2*0.5,AND(P51&gt;$BG$51,P51&lt;=$BG$52),$D$59*(P51-$BG$46)-A!$BA$95*($BG$51-$BG$50)*(P51-$BG$50-($BG$51-$BG$50)*0.5),P51&gt;$BG$53,-P58*(A!$AV$90*10^-3-P51)^2*0.5)</f>
        <v>#N/A</v>
      </c>
      <c r="Q59" s="21" t="e" cm="1">
        <f t="array" ref="Q59">_xlfn.IFS(Q51&lt;=$BG$46,-Q58*Q51^2*0.5,AND(Q51&gt;$BG$46,Q51&lt;=$BG$51),$D$59*(Q51-$BG$46)-Q58*(Q51-$BG$50)^2*0.5,AND(Q51&gt;$BG$51,Q51&lt;=$BG$52),$D$59*(Q51-$BG$46)-A!$BA$95*($BG$51-$BG$50)*(Q51-$BG$50-($BG$51-$BG$50)*0.5),Q51&gt;$BG$53,-Q58*(A!$AV$90*10^-3-Q51)^2*0.5)</f>
        <v>#N/A</v>
      </c>
      <c r="R59" s="21" t="e" cm="1">
        <f t="array" ref="R59">_xlfn.IFS(R51&lt;=$BG$46,-R58*R51^2*0.5,AND(R51&gt;$BG$46,R51&lt;=$BG$51),$D$59*(R51-$BG$46)-R58*(R51-$BG$50)^2*0.5,AND(R51&gt;$BG$51,R51&lt;=$BG$52),$D$59*(R51-$BG$46)-A!$BA$95*($BG$51-$BG$50)*(R51-$BG$50-($BG$51-$BG$50)*0.5),R51&gt;$BG$53,-R58*(A!$AV$90*10^-3-R51)^2*0.5)</f>
        <v>#N/A</v>
      </c>
      <c r="S59" s="21" t="e" cm="1">
        <f t="array" ref="S59">_xlfn.IFS(S51&lt;=$BG$46,-S58*S51^2*0.5,AND(S51&gt;$BG$46,S51&lt;=$BG$51),$D$59*(S51-$BG$46)-S58*(S51-$BG$50)^2*0.5,AND(S51&gt;$BG$51,S51&lt;=$BG$52),$D$59*(S51-$BG$46)-A!$BA$95*($BG$51-$BG$50)*(S51-$BG$50-($BG$51-$BG$50)*0.5),S51&gt;$BG$53,-S58*(A!$AV$90*10^-3-S51)^2*0.5)</f>
        <v>#N/A</v>
      </c>
      <c r="T59" s="21" t="e" cm="1">
        <f t="array" ref="T59">_xlfn.IFS(T51&lt;=$BG$46,-T58*T51^2*0.5,AND(T51&gt;$BG$46,T51&lt;=$BG$51),$D$59*(T51-$BG$46)-T58*(T51-$BG$50)^2*0.5,AND(T51&gt;$BG$51,T51&lt;=$BG$52),$D$59*(T51-$BG$46)-A!$BA$95*($BG$51-$BG$50)*(T51-$BG$50-($BG$51-$BG$50)*0.5),T51&gt;$BG$53,-T58*(A!$AV$90*10^-3-T51)^2*0.5)</f>
        <v>#N/A</v>
      </c>
      <c r="U59" s="21" t="e" cm="1">
        <f t="array" ref="U59">_xlfn.IFS(U51&lt;=$BG$46,-U58*U51^2*0.5,AND(U51&gt;$BG$46,U51&lt;=$BG$51),$D$59*(U51-$BG$46)-U58*(U51-$BG$50)^2*0.5,AND(U51&gt;$BG$51,U51&lt;=$BG$52),$D$59*(U51-$BG$46)-A!$BA$95*($BG$51-$BG$50)*(U51-$BG$50-($BG$51-$BG$50)*0.5),U51&gt;$BG$53,-U58*(A!$AV$90*10^-3-U51)^2*0.5)</f>
        <v>#N/A</v>
      </c>
      <c r="V59" s="21" t="e" cm="1">
        <f t="array" ref="V59">_xlfn.IFS(V51&lt;=$BG$46,-V58*V51^2*0.5,AND(V51&gt;$BG$46,V51&lt;=$BG$51),$D$59*(V51-$BG$46)-V58*(V51-$BG$50)^2*0.5,AND(V51&gt;$BG$51,V51&lt;=$BG$52),$D$59*(V51-$BG$46)-A!$BA$95*($BG$51-$BG$50)*(V51-$BG$50-($BG$51-$BG$50)*0.5),V51&gt;$BG$53,-V58*(A!$AV$90*10^-3-V51)^2*0.5)</f>
        <v>#N/A</v>
      </c>
      <c r="W59" s="21" t="e" cm="1">
        <f t="array" ref="W59">_xlfn.IFS(W51&lt;=$BG$46,-W58*W51^2*0.5,AND(W51&gt;$BG$46,W51&lt;=$BG$51),$D$59*(W51-$BG$46)-W58*(W51-$BG$50)^2*0.5,AND(W51&gt;$BG$51,W51&lt;=$BG$52),$D$59*(W51-$BG$46)-A!$BA$95*($BG$51-$BG$50)*(W51-$BG$50-($BG$51-$BG$50)*0.5),W51&gt;$BG$53,-W58*(A!$AV$90*10^-3-W51)^2*0.5)</f>
        <v>#N/A</v>
      </c>
      <c r="X59" s="21" t="e" cm="1">
        <f t="array" ref="X59">_xlfn.IFS(X51&lt;=$BG$46,-X58*X51^2*0.5,AND(X51&gt;$BG$46,X51&lt;=$BG$51),$D$59*(X51-$BG$46)-X58*(X51-$BG$50)^2*0.5,AND(X51&gt;$BG$51,X51&lt;=$BG$52),$D$59*(X51-$BG$46)-A!$BA$95*($BG$51-$BG$50)*(X51-$BG$50-($BG$51-$BG$50)*0.5),X51&gt;$BG$53,-X58*(A!$AV$90*10^-3-X51)^2*0.5)</f>
        <v>#N/A</v>
      </c>
      <c r="Y59" s="21" t="e" cm="1">
        <f t="array" ref="Y59">_xlfn.IFS(Y51&lt;=$BG$46,-Y58*Y51^2*0.5,AND(Y51&gt;$BG$46,Y51&lt;=$BG$51),$D$59*(Y51-$BG$46)-Y58*(Y51-$BG$50)^2*0.5,AND(Y51&gt;$BG$51,Y51&lt;=$BG$52),$D$59*(Y51-$BG$46)-A!$BA$95*($BG$51-$BG$50)*(Y51-$BG$50-($BG$51-$BG$50)*0.5),Y51&gt;$BG$53,-Y58*(A!$AV$90*10^-3-Y51)^2*0.5)</f>
        <v>#N/A</v>
      </c>
      <c r="Z59" s="21" t="e" cm="1">
        <f t="array" ref="Z59">_xlfn.IFS(Z51&lt;=$BG$46,-Z58*Z51^2*0.5,AND(Z51&gt;$BG$46,Z51&lt;=$BG$51),$D$59*(Z51-$BG$46)-Z58*(Z51-$BG$50)^2*0.5,AND(Z51&gt;$BG$51,Z51&lt;=$BG$52),$D$59*(Z51-$BG$46)-A!$BA$95*($BG$51-$BG$50)*(Z51-$BG$50-($BG$51-$BG$50)*0.5),Z51&gt;$BG$53,-Z58*(A!$AV$90*10^-3-Z51)^2*0.5)</f>
        <v>#N/A</v>
      </c>
      <c r="AA59" s="21" t="e" cm="1">
        <f t="array" ref="AA59">_xlfn.IFS(AA51&lt;=$BG$46,-AA58*AA51^2*0.5,AND(AA51&gt;$BG$46,AA51&lt;=$BG$51),$D$59*(AA51-$BG$46)-AA58*(AA51-$BG$50)^2*0.5,AND(AA51&gt;$BG$51,AA51&lt;=$BG$52),$D$59*(AA51-$BG$46)-A!$BA$95*($BG$51-$BG$50)*(AA51-$BG$50-($BG$51-$BG$50)*0.5),AA51&gt;$BG$53,-AA58*(A!$AV$90*10^-3-AA51)^2*0.5)</f>
        <v>#N/A</v>
      </c>
      <c r="AB59" s="21" t="e" cm="1">
        <f t="array" ref="AB59">_xlfn.IFS(AB51&lt;=$BG$46,-AB58*AB51^2*0.5,AND(AB51&gt;$BG$46,AB51&lt;=$BG$51),$D$59*(AB51-$BG$46)-AB58*(AB51-$BG$50)^2*0.5,AND(AB51&gt;$BG$51,AB51&lt;=$BG$52),$D$59*(AB51-$BG$46)-A!$BA$95*($BG$51-$BG$50)*(AB51-$BG$50-($BG$51-$BG$50)*0.5),AB51&gt;$BG$53,-AB58*(A!$AV$90*10^-3-AB51)^2*0.5)</f>
        <v>#N/A</v>
      </c>
      <c r="AC59" s="21" t="e" cm="1">
        <f t="array" ref="AC59">_xlfn.IFS(AC51&lt;=$BG$46,-AC58*AC51^2*0.5,AND(AC51&gt;$BG$46,AC51&lt;=$BG$51),$D$59*(AC51-$BG$46)-AC58*(AC51-$BG$50)^2*0.5,AND(AC51&gt;$BG$51,AC51&lt;=$BG$52),$D$59*(AC51-$BG$46)-A!$BA$95*($BG$51-$BG$50)*(AC51-$BG$50-($BG$51-$BG$50)*0.5),AC51&gt;$BG$53,-AC58*(A!$AV$90*10^-3-AC51)^2*0.5)</f>
        <v>#N/A</v>
      </c>
      <c r="AD59" s="21" t="e" cm="1">
        <f t="array" ref="AD59">_xlfn.IFS(AD51&lt;=$BG$46,-AD58*AD51^2*0.5,AND(AD51&gt;$BG$46,AD51&lt;=$BG$51),$D$59*(AD51-$BG$46)-AD58*(AD51-$BG$50)^2*0.5,AND(AD51&gt;$BG$51,AD51&lt;=$BG$52),$D$59*(AD51-$BG$46)-A!$BA$95*($BG$51-$BG$50)*(AD51-$BG$50-($BG$51-$BG$50)*0.5),AD51&gt;$BG$53,-AD58*(A!$AV$90*10^-3-AD51)^2*0.5)</f>
        <v>#N/A</v>
      </c>
      <c r="AE59" s="21" t="e" cm="1">
        <f t="array" ref="AE59">_xlfn.IFS(AE51&lt;=$BG$46,-AE58*AE51^2*0.5,AND(AE51&gt;$BG$46,AE51&lt;=$BG$51),$D$59*(AE51-$BG$46)-AE58*(AE51-$BG$50)^2*0.5,AND(AE51&gt;$BG$51,AE51&lt;=$BG$52),$D$59*(AE51-$BG$46)-A!$BA$95*($BG$51-$BG$50)*(AE51-$BG$50-($BG$51-$BG$50)*0.5),AE51&gt;$BG$53,-AE58*(A!$AV$90*10^-3-AE51)^2*0.5)</f>
        <v>#N/A</v>
      </c>
      <c r="AF59" s="21" t="e" cm="1">
        <f t="array" ref="AF59">_xlfn.IFS(AF51&lt;=$BG$46,-AF58*AF51^2*0.5,AND(AF51&gt;$BG$46,AF51&lt;=$BG$51),$D$59*(AF51-$BG$46)-AF58*(AF51-$BG$50)^2*0.5,AND(AF51&gt;$BG$51,AF51&lt;=$BG$52),$D$59*(AF51-$BG$46)-A!$BA$95*($BG$51-$BG$50)*(AF51-$BG$50-($BG$51-$BG$50)*0.5),AF51&gt;$BG$53,-AF58*(A!$AV$90*10^-3-AF51)^2*0.5)</f>
        <v>#N/A</v>
      </c>
      <c r="AG59" s="21" t="e" cm="1">
        <f t="array" ref="AG59">_xlfn.IFS(AG51&lt;=$BG$46,-AG58*AG51^2*0.5,AND(AG51&gt;$BG$46,AG51&lt;=$BG$51),$D$59*(AG51-$BG$46)-AG58*(AG51-$BG$50)^2*0.5,AND(AG51&gt;$BG$51,AG51&lt;=$BG$52),$D$59*(AG51-$BG$46)-A!$BA$95*($BG$51-$BG$50)*(AG51-$BG$50-($BG$51-$BG$50)*0.5),AG51&gt;$BG$53,-AG58*(A!$AV$90*10^-3-AG51)^2*0.5)</f>
        <v>#N/A</v>
      </c>
      <c r="AH59" s="21" t="e" cm="1">
        <f t="array" ref="AH59">_xlfn.IFS(AH51&lt;=$BG$46,-AH58*AH51^2*0.5,AND(AH51&gt;$BG$46,AH51&lt;=$BG$51),$D$59*(AH51-$BG$46)-AH58*(AH51-$BG$50)^2*0.5,AND(AH51&gt;$BG$51,AH51&lt;=$BG$52),$D$59*(AH51-$BG$46)-A!$BA$95*($BG$51-$BG$50)*(AH51-$BG$50-($BG$51-$BG$50)*0.5),AH51&gt;$BG$53,-AH58*(A!$AV$90*10^-3-AH51)^2*0.5)</f>
        <v>#N/A</v>
      </c>
      <c r="AI59" s="21" t="e" cm="1">
        <f t="array" ref="AI59">_xlfn.IFS(AI51&lt;=$BG$46,-AI58*AI51^2*0.5,AND(AI51&gt;$BG$46,AI51&lt;=$BG$51),$D$59*(AI51-$BG$46)-AI58*(AI51-$BG$50)^2*0.5,AND(AI51&gt;$BG$51,AI51&lt;=$BG$52),$D$59*(AI51-$BG$46)-A!$BA$95*($BG$51-$BG$50)*(AI51-$BG$50-($BG$51-$BG$50)*0.5),AI51&gt;$BG$53,-AI58*(A!$AV$90*10^-3-AI51)^2*0.5)</f>
        <v>#N/A</v>
      </c>
      <c r="AJ59" s="21" t="e" cm="1">
        <f t="array" ref="AJ59">_xlfn.IFS(AJ51&lt;=$BG$46,-AJ58*AJ51^2*0.5,AND(AJ51&gt;$BG$46,AJ51&lt;=$BG$51),$D$59*(AJ51-$BG$46)-AJ58*(AJ51-$BG$50)^2*0.5,AND(AJ51&gt;$BG$51,AJ51&lt;=$BG$52),$D$59*(AJ51-$BG$46)-A!$BA$95*($BG$51-$BG$50)*(AJ51-$BG$50-($BG$51-$BG$50)*0.5),AJ51&gt;$BG$53,-AJ58*(A!$AV$90*10^-3-AJ51)^2*0.5)</f>
        <v>#N/A</v>
      </c>
      <c r="AK59" s="21" t="e" cm="1">
        <f t="array" ref="AK59">_xlfn.IFS(AK51&lt;=$BG$46,-AK58*AK51^2*0.5,AND(AK51&gt;$BG$46,AK51&lt;=$BG$51),$D$59*(AK51-$BG$46)-AK58*(AK51-$BG$50)^2*0.5,AND(AK51&gt;$BG$51,AK51&lt;=$BG$52),$D$59*(AK51-$BG$46)-A!$BA$95*($BG$51-$BG$50)*(AK51-$BG$50-($BG$51-$BG$50)*0.5),AK51&gt;$BG$53,-AK58*(A!$AV$90*10^-3-AK51)^2*0.5)</f>
        <v>#N/A</v>
      </c>
      <c r="AL59" s="21" t="e" cm="1">
        <f t="array" ref="AL59">_xlfn.IFS(AL51&lt;=$BG$46,-AL58*AL51^2*0.5,AND(AL51&gt;$BG$46,AL51&lt;=$BG$51),$D$59*(AL51-$BG$46)-AL58*(AL51-$BG$50)^2*0.5,AND(AL51&gt;$BG$51,AL51&lt;=$BG$52),$D$59*(AL51-$BG$46)-A!$BA$95*($BG$51-$BG$50)*(AL51-$BG$50-($BG$51-$BG$50)*0.5),AL51&gt;$BG$53,-AL58*(A!$AV$90*10^-3-AL51)^2*0.5)</f>
        <v>#N/A</v>
      </c>
      <c r="AM59" s="21" t="e" cm="1">
        <f t="array" ref="AM59">_xlfn.IFS(AM51&lt;=$BG$46,-AM58*AM51^2*0.5,AND(AM51&gt;$BG$46,AM51&lt;=$BG$51),$D$59*(AM51-$BG$46)-AM58*(AM51-$BG$50)^2*0.5,AND(AM51&gt;$BG$51,AM51&lt;=$BG$52),$D$59*(AM51-$BG$46)-A!$BA$95*($BG$51-$BG$50)*(AM51-$BG$50-($BG$51-$BG$50)*0.5),AM51&gt;$BG$53,-AM58*(A!$AV$90*10^-3-AM51)^2*0.5)</f>
        <v>#N/A</v>
      </c>
      <c r="AN59" s="21" t="e" cm="1">
        <f t="array" ref="AN59">_xlfn.IFS(AN51&lt;=$BG$46,-AN58*AN51^2*0.5,AND(AN51&gt;$BG$46,AN51&lt;=$BG$51),$D$59*(AN51-$BG$46)-AN58*(AN51-$BG$50)^2*0.5,AND(AN51&gt;$BG$51,AN51&lt;=$BG$52),$D$59*(AN51-$BG$46)-A!$BA$95*($BG$51-$BG$50)*(AN51-$BG$50-($BG$51-$BG$50)*0.5),AN51&gt;$BG$53,-AN58*(A!$AV$90*10^-3-AN51)^2*0.5)</f>
        <v>#N/A</v>
      </c>
      <c r="AO59" s="21" t="e" cm="1">
        <f t="array" ref="AO59">_xlfn.IFS(AO51&lt;=$BG$46,-AO58*AO51^2*0.5,AND(AO51&gt;$BG$46,AO51&lt;=$BG$51),$D$59*(AO51-$BG$46)-AO58*(AO51-$BG$50)^2*0.5,AND(AO51&gt;$BG$51,AO51&lt;=$BG$52),$D$59*(AO51-$BG$46)-A!$BA$95*($BG$51-$BG$50)*(AO51-$BG$50-($BG$51-$BG$50)*0.5),AO51&gt;$BG$53,-AO58*(A!$AV$90*10^-3-AO51)^2*0.5)</f>
        <v>#N/A</v>
      </c>
      <c r="AP59" s="21" t="e" cm="1">
        <f t="array" ref="AP59">_xlfn.IFS(AP51&lt;=$BG$46,-AP58*AP51^2*0.5,AND(AP51&gt;$BG$46,AP51&lt;=$BG$51),$D$59*(AP51-$BG$46)-AP58*(AP51-$BG$50)^2*0.5,AND(AP51&gt;$BG$51,AP51&lt;=$BG$52),$D$59*(AP51-$BG$46)-A!$BA$95*($BG$51-$BG$50)*(AP51-$BG$50-($BG$51-$BG$50)*0.5),AP51&gt;$BG$53,-AP58*(A!$AV$90*10^-3-AP51)^2*0.5)</f>
        <v>#N/A</v>
      </c>
      <c r="AQ59" s="21" t="e" cm="1">
        <f t="array" ref="AQ59">_xlfn.IFS(AQ51&lt;=$BG$46,-AQ58*AQ51^2*0.5,AND(AQ51&gt;$BG$46,AQ51&lt;=$BG$51),$D$59*(AQ51-$BG$46)-AQ58*(AQ51-$BG$50)^2*0.5,AND(AQ51&gt;$BG$51,AQ51&lt;=$BG$52),$D$59*(AQ51-$BG$46)-A!$BA$95*($BG$51-$BG$50)*(AQ51-$BG$50-($BG$51-$BG$50)*0.5),AQ51&gt;$BG$53,-AQ58*(A!$AV$90*10^-3-AQ51)^2*0.5)</f>
        <v>#N/A</v>
      </c>
      <c r="AR59" s="21" t="e" cm="1">
        <f t="array" ref="AR59">_xlfn.IFS(AR51&lt;=$BG$46,-AR58*AR51^2*0.5,AND(AR51&gt;$BG$46,AR51&lt;=$BG$51),$D$59*(AR51-$BG$46)-AR58*(AR51-$BG$50)^2*0.5,AND(AR51&gt;$BG$51,AR51&lt;=$BG$52),$D$59*(AR51-$BG$46)-A!$BA$95*($BG$51-$BG$50)*(AR51-$BG$50-($BG$51-$BG$50)*0.5),AR51&gt;$BG$53,-AR58*(A!$AV$90*10^-3-AR51)^2*0.5)</f>
        <v>#N/A</v>
      </c>
      <c r="AS59" s="21" t="e" cm="1">
        <f t="array" ref="AS59">_xlfn.IFS(AS51&lt;=$BG$46,-AS58*AS51^2*0.5,AND(AS51&gt;$BG$46,AS51&lt;=$BG$51),$D$59*(AS51-$BG$46)-AS58*(AS51-$BG$50)^2*0.5,AND(AS51&gt;$BG$51,AS51&lt;=$BG$52),$D$59*(AS51-$BG$46)-A!$BA$95*($BG$51-$BG$50)*(AS51-$BG$50-($BG$51-$BG$50)*0.5),AS51&gt;$BG$53,-AS58*(A!$AV$90*10^-3-AS51)^2*0.5)</f>
        <v>#N/A</v>
      </c>
      <c r="AT59" s="21" t="e" cm="1">
        <f t="array" ref="AT59">_xlfn.IFS(AT51&lt;=$BG$46,-AT58*AT51^2*0.5,AND(AT51&gt;$BG$46,AT51&lt;=$BG$51),$D$59*(AT51-$BG$46)-AT58*(AT51-$BG$50)^2*0.5,AND(AT51&gt;$BG$51,AT51&lt;=$BG$52),$D$59*(AT51-$BG$46)-A!$BA$95*($BG$51-$BG$50)*(AT51-$BG$50-($BG$51-$BG$50)*0.5),AT51&gt;$BG$53,-AT58*(A!$AV$90*10^-3-AT51)^2*0.5)</f>
        <v>#N/A</v>
      </c>
      <c r="AU59" s="21" t="e" cm="1">
        <f t="array" ref="AU59">_xlfn.IFS(AU51&lt;=$BG$46,-AU58*AU51^2*0.5,AND(AU51&gt;$BG$46,AU51&lt;=$BG$51),$D$59*(AU51-$BG$46)-AU58*(AU51-$BG$50)^2*0.5,AND(AU51&gt;$BG$51,AU51&lt;=$BG$52),$D$59*(AU51-$BG$46)-A!$BA$95*($BG$51-$BG$50)*(AU51-$BG$50-($BG$51-$BG$50)*0.5),AU51&gt;$BG$53,-AU58*(A!$AV$90*10^-3-AU51)^2*0.5)</f>
        <v>#N/A</v>
      </c>
      <c r="AV59" s="21" t="e" cm="1">
        <f t="array" ref="AV59">_xlfn.IFS(AV51&lt;=$BG$46,-AV58*AV51^2*0.5,AND(AV51&gt;$BG$46,AV51&lt;=$BG$51),$D$59*(AV51-$BG$46)-AV58*(AV51-$BG$50)^2*0.5,AND(AV51&gt;$BG$51,AV51&lt;=$BG$52),$D$59*(AV51-$BG$46)-A!$BA$95*($BG$51-$BG$50)*(AV51-$BG$50-($BG$51-$BG$50)*0.5),AV51&gt;$BG$53,-AV58*(A!$AV$90*10^-3-AV51)^2*0.5)</f>
        <v>#N/A</v>
      </c>
      <c r="AW59" s="21" t="e" cm="1">
        <f t="array" ref="AW59">_xlfn.IFS(AW51&lt;=$BG$46,-AW58*AW51^2*0.5,AND(AW51&gt;$BG$46,AW51&lt;=$BG$51),$D$59*(AW51-$BG$46)-AW58*(AW51-$BG$50)^2*0.5,AND(AW51&gt;$BG$51,AW51&lt;=$BG$52),$D$59*(AW51-$BG$46)-A!$BA$95*($BG$51-$BG$50)*(AW51-$BG$50-($BG$51-$BG$50)*0.5),AW51&gt;$BG$53,-AW58*(A!$AV$90*10^-3-AW51)^2*0.5)</f>
        <v>#N/A</v>
      </c>
      <c r="AX59" s="21" t="e" cm="1">
        <f t="array" ref="AX59">_xlfn.IFS(AX51&lt;=$BG$46,-AX58*AX51^2*0.5,AND(AX51&gt;$BG$46,AX51&lt;=$BG$51),$D$59*(AX51-$BG$46)-AX58*(AX51-$BG$50)^2*0.5,AND(AX51&gt;$BG$51,AX51&lt;=$BG$52),$D$59*(AX51-$BG$46)-A!$BA$95*($BG$51-$BG$50)*(AX51-$BG$50-($BG$51-$BG$50)*0.5),AX51&gt;$BG$53,-AX58*(A!$AV$90*10^-3-AX51)^2*0.5)</f>
        <v>#N/A</v>
      </c>
      <c r="AY59" s="21" t="e" cm="1">
        <f t="array" ref="AY59">_xlfn.IFS(AY51&lt;=$BG$46,-AY58*AY51^2*0.5,AND(AY51&gt;$BG$46,AY51&lt;=$BG$51),$D$59*(AY51-$BG$46)-AY58*(AY51-$BG$50)^2*0.5,AND(AY51&gt;$BG$51,AY51&lt;=$BG$52),$D$59*(AY51-$BG$46)-A!$BA$95*($BG$51-$BG$50)*(AY51-$BG$50-($BG$51-$BG$50)*0.5),AY51&gt;$BG$53,-AY58*(A!$AV$90*10^-3-AY51)^2*0.5)</f>
        <v>#N/A</v>
      </c>
      <c r="AZ59" s="21" t="e" cm="1">
        <f t="array" ref="AZ59">_xlfn.IFS(AZ51&lt;=$BG$46,-AZ58*AZ51^2*0.5,AND(AZ51&gt;$BG$46,AZ51&lt;=$BG$51),$D$59*(AZ51-$BG$46)-AZ58*(AZ51-$BG$50)^2*0.5,AND(AZ51&gt;$BG$51,AZ51&lt;=$BG$52),$D$59*(AZ51-$BG$46)-A!$BA$95*($BG$51-$BG$50)*(AZ51-$BG$50-($BG$51-$BG$50)*0.5),AZ51&gt;$BG$53,-AZ58*(A!$AV$90*10^-3-AZ51)^2*0.5)</f>
        <v>#N/A</v>
      </c>
      <c r="BA59" s="21" t="e" cm="1">
        <f t="array" ref="BA59">_xlfn.IFS(BA51&lt;=$BG$46,-BA58*BA51^2*0.5,AND(BA51&gt;$BG$46,BA51&lt;=$BG$51),$D$59*(BA51-$BG$46)-BA58*(BA51-$BG$50)^2*0.5,AND(BA51&gt;$BG$51,BA51&lt;=$BG$52),$D$59*(BA51-$BG$46)-A!$BA$95*($BG$51-$BG$50)*(BA51-$BG$50-($BG$51-$BG$50)*0.5),BA51&gt;$BG$53,-BA58*(A!$AV$90*10^-3-BA51)^2*0.5)</f>
        <v>#N/A</v>
      </c>
      <c r="BB59" s="21" t="e" cm="1">
        <f t="array" ref="BB59">_xlfn.IFS(BB51&lt;=$BG$46,-BB58*BB51^2*0.5,AND(BB51&gt;$BG$46,BB51&lt;=$BG$51),$D$59*(BB51-$BG$46)-BB58*(BB51-$BG$50)^2*0.5,AND(BB51&gt;$BG$51,BB51&lt;=$BG$52),$D$59*(BB51-$BG$46)-A!$BA$95*($BG$51-$BG$50)*(BB51-$BG$50-($BG$51-$BG$50)*0.5),BB51&gt;$BG$53,-BB58*(A!$AV$90*10^-3-BB51)^2*0.5)</f>
        <v>#N/A</v>
      </c>
      <c r="BC59" s="25" t="e" cm="1">
        <f t="array" ref="BC59">_xlfn.IFS(BC51&lt;=$BG$46,-BC58*BC51^2*0.5,AND(BC51&gt;$BG$46,BC51&lt;=$BG$51),$D$59*(BC51-$BG$46)-BC58*(BC51-$BG$50)^2*0.5,AND(BC51&gt;$BG$51,BC51&lt;=$BG$52),$D$59*(BC51-$BG$46)-A!$BA$95*($BG$51-$BG$50)*(BC51-$BG$50-($BG$51-$BG$50)*0.5),BC51&gt;$BG$53,-BC58*(A!$AV$90*10^-3-BC51)^2*0.5)</f>
        <v>#N/A</v>
      </c>
      <c r="BF59" s="1" t="e">
        <f>IF(BG59=A!$AV$90*10^-3,"Slut","mel. punkt")</f>
        <v>#N/A</v>
      </c>
      <c r="BG59" s="69" t="e">
        <f>BG58+(A!$AV$90*10^-3)/$BE$58</f>
        <v>#N/A</v>
      </c>
      <c r="BN59" s="1" t="e">
        <f>IF(BO59=A!$AV$91*10^-3,"Slut","mel. punkt")</f>
        <v>#N/A</v>
      </c>
      <c r="BO59" s="69" t="e">
        <f>BO58+(A!$AV$91*10^-3)/$BM$58</f>
        <v>#N/A</v>
      </c>
      <c r="BV59" s="1" t="e">
        <f>IF(BW59=A!$AV$92*10^-3,"Slut","mel. punkt")</f>
        <v>#N/A</v>
      </c>
      <c r="BW59" s="1" t="e">
        <f>BW58+(A!$AV$92*10^-3)/$BU$56</f>
        <v>#N/A</v>
      </c>
    </row>
    <row r="60" spans="2:75">
      <c r="B60" s="1" t="s">
        <v>147</v>
      </c>
      <c r="D60" s="11" t="e">
        <f>A!BF95/(A!AT90*10^-3)</f>
        <v>#N/A</v>
      </c>
      <c r="E60" s="1" t="s">
        <v>41</v>
      </c>
      <c r="F60" s="62" t="s">
        <v>134</v>
      </c>
      <c r="G60" s="23">
        <v>0</v>
      </c>
      <c r="H60" s="23" t="e">
        <f>IF(H50="ven. u. støtn. h",G60+$D$59,IF(H50="høj. u. støtn. h",G60+$D$60,G60-H58*(H51-G51)))</f>
        <v>#N/A</v>
      </c>
      <c r="I60" s="23" t="e">
        <f t="shared" ref="I60:BC60" si="57">IF(I50="ven. u. støtn. h",H60+$D$59,IF(I50="høj. u. støtn. h",H60+$D$60,H60-I58*(I51-H51)))</f>
        <v>#N/A</v>
      </c>
      <c r="J60" s="23" t="e">
        <f t="shared" si="57"/>
        <v>#N/A</v>
      </c>
      <c r="K60" s="23" t="e">
        <f t="shared" si="57"/>
        <v>#N/A</v>
      </c>
      <c r="L60" s="23" t="e">
        <f t="shared" si="57"/>
        <v>#N/A</v>
      </c>
      <c r="M60" s="23" t="e">
        <f t="shared" si="57"/>
        <v>#N/A</v>
      </c>
      <c r="N60" s="23" t="e">
        <f t="shared" si="57"/>
        <v>#N/A</v>
      </c>
      <c r="O60" s="23" t="e">
        <f t="shared" si="57"/>
        <v>#N/A</v>
      </c>
      <c r="P60" s="23" t="e">
        <f t="shared" si="57"/>
        <v>#N/A</v>
      </c>
      <c r="Q60" s="23" t="e">
        <f t="shared" si="57"/>
        <v>#N/A</v>
      </c>
      <c r="R60" s="23" t="e">
        <f t="shared" si="57"/>
        <v>#N/A</v>
      </c>
      <c r="S60" s="23" t="e">
        <f t="shared" si="57"/>
        <v>#N/A</v>
      </c>
      <c r="T60" s="23" t="e">
        <f t="shared" si="57"/>
        <v>#N/A</v>
      </c>
      <c r="U60" s="23" t="e">
        <f t="shared" si="57"/>
        <v>#N/A</v>
      </c>
      <c r="V60" s="23" t="e">
        <f t="shared" si="57"/>
        <v>#N/A</v>
      </c>
      <c r="W60" s="23" t="e">
        <f t="shared" si="57"/>
        <v>#N/A</v>
      </c>
      <c r="X60" s="23" t="e">
        <f t="shared" si="57"/>
        <v>#N/A</v>
      </c>
      <c r="Y60" s="23" t="e">
        <f t="shared" si="57"/>
        <v>#N/A</v>
      </c>
      <c r="Z60" s="23" t="e">
        <f t="shared" si="57"/>
        <v>#N/A</v>
      </c>
      <c r="AA60" s="23" t="e">
        <f t="shared" si="57"/>
        <v>#N/A</v>
      </c>
      <c r="AB60" s="23" t="e">
        <f t="shared" si="57"/>
        <v>#N/A</v>
      </c>
      <c r="AC60" s="23" t="e">
        <f t="shared" si="57"/>
        <v>#N/A</v>
      </c>
      <c r="AD60" s="23" t="e">
        <f t="shared" si="57"/>
        <v>#N/A</v>
      </c>
      <c r="AE60" s="23" t="e">
        <f t="shared" si="57"/>
        <v>#N/A</v>
      </c>
      <c r="AF60" s="23" t="e">
        <f t="shared" si="57"/>
        <v>#N/A</v>
      </c>
      <c r="AG60" s="23" t="e">
        <f t="shared" si="57"/>
        <v>#N/A</v>
      </c>
      <c r="AH60" s="23" t="e">
        <f t="shared" si="57"/>
        <v>#N/A</v>
      </c>
      <c r="AI60" s="23" t="e">
        <f t="shared" si="57"/>
        <v>#N/A</v>
      </c>
      <c r="AJ60" s="23" t="e">
        <f t="shared" si="57"/>
        <v>#N/A</v>
      </c>
      <c r="AK60" s="23" t="e">
        <f t="shared" si="57"/>
        <v>#N/A</v>
      </c>
      <c r="AL60" s="23" t="e">
        <f t="shared" si="57"/>
        <v>#N/A</v>
      </c>
      <c r="AM60" s="23" t="e">
        <f t="shared" si="57"/>
        <v>#N/A</v>
      </c>
      <c r="AN60" s="23" t="e">
        <f t="shared" si="57"/>
        <v>#N/A</v>
      </c>
      <c r="AO60" s="23" t="e">
        <f t="shared" si="57"/>
        <v>#N/A</v>
      </c>
      <c r="AP60" s="23" t="e">
        <f t="shared" si="57"/>
        <v>#N/A</v>
      </c>
      <c r="AQ60" s="23" t="e">
        <f t="shared" si="57"/>
        <v>#N/A</v>
      </c>
      <c r="AR60" s="23" t="e">
        <f t="shared" si="57"/>
        <v>#N/A</v>
      </c>
      <c r="AS60" s="23" t="e">
        <f t="shared" si="57"/>
        <v>#N/A</v>
      </c>
      <c r="AT60" s="23" t="e">
        <f t="shared" si="57"/>
        <v>#N/A</v>
      </c>
      <c r="AU60" s="23" t="e">
        <f t="shared" si="57"/>
        <v>#N/A</v>
      </c>
      <c r="AV60" s="23" t="e">
        <f t="shared" si="57"/>
        <v>#N/A</v>
      </c>
      <c r="AW60" s="23" t="e">
        <f t="shared" si="57"/>
        <v>#N/A</v>
      </c>
      <c r="AX60" s="23" t="e">
        <f t="shared" si="57"/>
        <v>#N/A</v>
      </c>
      <c r="AY60" s="23" t="e">
        <f t="shared" si="57"/>
        <v>#N/A</v>
      </c>
      <c r="AZ60" s="23" t="e">
        <f t="shared" si="57"/>
        <v>#N/A</v>
      </c>
      <c r="BA60" s="23" t="e">
        <f t="shared" si="57"/>
        <v>#N/A</v>
      </c>
      <c r="BB60" s="23" t="e">
        <f t="shared" si="57"/>
        <v>#N/A</v>
      </c>
      <c r="BC60" s="24" t="e">
        <f t="shared" si="57"/>
        <v>#N/A</v>
      </c>
      <c r="BF60" s="1" t="e">
        <f>IF(BG60=A!$AV$90*10^-3,"Slut","mel. punkt")</f>
        <v>#N/A</v>
      </c>
      <c r="BG60" s="69" t="e">
        <f>BG59+(A!$AV$90*10^-3)/$BE$58</f>
        <v>#N/A</v>
      </c>
      <c r="BN60" s="1" t="e">
        <f>IF(BO60=A!$AV$91*10^-3,"Slut","mel. punkt")</f>
        <v>#N/A</v>
      </c>
      <c r="BO60" s="69" t="e">
        <f>BO59+(A!$AV$91*10^-3)/$BM$58</f>
        <v>#N/A</v>
      </c>
      <c r="BV60" s="1" t="e">
        <f>IF(BW60=A!$AV$92*10^-3,"Slut","mel. punkt")</f>
        <v>#N/A</v>
      </c>
      <c r="BW60" s="1" t="e">
        <f>BW59+(A!$AV$92*10^-3)/$BU$56</f>
        <v>#N/A</v>
      </c>
    </row>
    <row r="61" spans="2:75">
      <c r="F61" s="59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1"/>
      <c r="BF61" s="1" t="e">
        <f>IF(BG61=A!$AV$90*10^-3,"Slut","mel. punkt")</f>
        <v>#N/A</v>
      </c>
      <c r="BG61" s="69" t="e">
        <f>BG60+(A!$AV$90*10^-3)/$BE$58</f>
        <v>#N/A</v>
      </c>
      <c r="BN61" s="1" t="e">
        <f>IF(BO61=A!$AV$91*10^-3,"Slut","mel. punkt")</f>
        <v>#N/A</v>
      </c>
      <c r="BO61" s="69" t="e">
        <f>BO60+(A!$AV$91*10^-3)/$BM$58</f>
        <v>#N/A</v>
      </c>
      <c r="BV61" s="1" t="e">
        <f>IF(BW61=A!$AV$92*10^-3,"Slut","mel. punkt")</f>
        <v>#N/A</v>
      </c>
      <c r="BW61" s="1" t="e">
        <f>BW60+(A!$AV$92*10^-3)/$BU$56</f>
        <v>#N/A</v>
      </c>
    </row>
    <row r="62" spans="2:75">
      <c r="F62" s="64" t="s">
        <v>135</v>
      </c>
      <c r="G62" s="21" t="e">
        <f>G53+G56+G59</f>
        <v>#N/A</v>
      </c>
      <c r="H62" s="21" t="e">
        <f t="shared" ref="H62:BC62" si="58">H53+H56+H59</f>
        <v>#N/A</v>
      </c>
      <c r="I62" s="21" t="e">
        <f t="shared" si="58"/>
        <v>#N/A</v>
      </c>
      <c r="J62" s="21" t="e">
        <f t="shared" si="58"/>
        <v>#N/A</v>
      </c>
      <c r="K62" s="21" t="e">
        <f t="shared" si="58"/>
        <v>#N/A</v>
      </c>
      <c r="L62" s="21" t="e">
        <f t="shared" si="58"/>
        <v>#N/A</v>
      </c>
      <c r="M62" s="21" t="e">
        <f t="shared" si="58"/>
        <v>#N/A</v>
      </c>
      <c r="N62" s="21" t="e">
        <f t="shared" si="58"/>
        <v>#N/A</v>
      </c>
      <c r="O62" s="21" t="e">
        <f t="shared" si="58"/>
        <v>#N/A</v>
      </c>
      <c r="P62" s="21" t="e">
        <f t="shared" si="58"/>
        <v>#N/A</v>
      </c>
      <c r="Q62" s="21" t="e">
        <f t="shared" si="58"/>
        <v>#N/A</v>
      </c>
      <c r="R62" s="21" t="e">
        <f t="shared" si="58"/>
        <v>#N/A</v>
      </c>
      <c r="S62" s="21" t="e">
        <f t="shared" si="58"/>
        <v>#N/A</v>
      </c>
      <c r="T62" s="21" t="e">
        <f t="shared" si="58"/>
        <v>#N/A</v>
      </c>
      <c r="U62" s="21" t="e">
        <f t="shared" si="58"/>
        <v>#N/A</v>
      </c>
      <c r="V62" s="21" t="e">
        <f t="shared" si="58"/>
        <v>#N/A</v>
      </c>
      <c r="W62" s="21" t="e">
        <f t="shared" si="58"/>
        <v>#N/A</v>
      </c>
      <c r="X62" s="21" t="e">
        <f t="shared" si="58"/>
        <v>#N/A</v>
      </c>
      <c r="Y62" s="21" t="e">
        <f t="shared" si="58"/>
        <v>#N/A</v>
      </c>
      <c r="Z62" s="21" t="e">
        <f t="shared" si="58"/>
        <v>#N/A</v>
      </c>
      <c r="AA62" s="21" t="e">
        <f t="shared" si="58"/>
        <v>#N/A</v>
      </c>
      <c r="AB62" s="21" t="e">
        <f t="shared" si="58"/>
        <v>#N/A</v>
      </c>
      <c r="AC62" s="21" t="e">
        <f t="shared" si="58"/>
        <v>#N/A</v>
      </c>
      <c r="AD62" s="21" t="e">
        <f t="shared" si="58"/>
        <v>#N/A</v>
      </c>
      <c r="AE62" s="21" t="e">
        <f t="shared" si="58"/>
        <v>#N/A</v>
      </c>
      <c r="AF62" s="21" t="e">
        <f t="shared" si="58"/>
        <v>#N/A</v>
      </c>
      <c r="AG62" s="21" t="e">
        <f t="shared" si="58"/>
        <v>#N/A</v>
      </c>
      <c r="AH62" s="21" t="e">
        <f t="shared" si="58"/>
        <v>#N/A</v>
      </c>
      <c r="AI62" s="21" t="e">
        <f t="shared" si="58"/>
        <v>#N/A</v>
      </c>
      <c r="AJ62" s="21" t="e">
        <f t="shared" si="58"/>
        <v>#N/A</v>
      </c>
      <c r="AK62" s="21" t="e">
        <f t="shared" si="58"/>
        <v>#N/A</v>
      </c>
      <c r="AL62" s="21" t="e">
        <f t="shared" si="58"/>
        <v>#N/A</v>
      </c>
      <c r="AM62" s="21" t="e">
        <f t="shared" si="58"/>
        <v>#N/A</v>
      </c>
      <c r="AN62" s="21" t="e">
        <f t="shared" si="58"/>
        <v>#N/A</v>
      </c>
      <c r="AO62" s="21" t="e">
        <f t="shared" si="58"/>
        <v>#N/A</v>
      </c>
      <c r="AP62" s="21" t="e">
        <f t="shared" si="58"/>
        <v>#N/A</v>
      </c>
      <c r="AQ62" s="21" t="e">
        <f t="shared" si="58"/>
        <v>#N/A</v>
      </c>
      <c r="AR62" s="21" t="e">
        <f t="shared" si="58"/>
        <v>#N/A</v>
      </c>
      <c r="AS62" s="21" t="e">
        <f t="shared" si="58"/>
        <v>#N/A</v>
      </c>
      <c r="AT62" s="21" t="e">
        <f t="shared" si="58"/>
        <v>#N/A</v>
      </c>
      <c r="AU62" s="21" t="e">
        <f t="shared" si="58"/>
        <v>#N/A</v>
      </c>
      <c r="AV62" s="21" t="e">
        <f t="shared" si="58"/>
        <v>#N/A</v>
      </c>
      <c r="AW62" s="21" t="e">
        <f t="shared" si="58"/>
        <v>#N/A</v>
      </c>
      <c r="AX62" s="21" t="e">
        <f t="shared" si="58"/>
        <v>#N/A</v>
      </c>
      <c r="AY62" s="21" t="e">
        <f t="shared" si="58"/>
        <v>#N/A</v>
      </c>
      <c r="AZ62" s="21" t="e">
        <f t="shared" si="58"/>
        <v>#N/A</v>
      </c>
      <c r="BA62" s="21" t="e">
        <f t="shared" si="58"/>
        <v>#N/A</v>
      </c>
      <c r="BB62" s="21" t="e">
        <f t="shared" si="58"/>
        <v>#N/A</v>
      </c>
      <c r="BC62" s="25" t="e">
        <f t="shared" si="58"/>
        <v>#N/A</v>
      </c>
      <c r="BF62" s="1" t="e">
        <f>IF(BG62=A!$AV$90*10^-3,"Slut","mel. punkt")</f>
        <v>#N/A</v>
      </c>
      <c r="BG62" s="69" t="e">
        <f>BG61+(A!$AV$90*10^-3)/$BE$58</f>
        <v>#N/A</v>
      </c>
      <c r="BN62" s="1" t="e">
        <f>IF(BO62=A!$AV$91*10^-3,"Slut","mel. punkt")</f>
        <v>#N/A</v>
      </c>
      <c r="BO62" s="69" t="e">
        <f>BO61+(A!$AV$91*10^-3)/$BM$58</f>
        <v>#N/A</v>
      </c>
      <c r="BV62" s="1" t="e">
        <f>IF(BW62=A!$AV$92*10^-3,"Slut","mel. punkt")</f>
        <v>#N/A</v>
      </c>
      <c r="BW62" s="1" t="e">
        <f>BW61+(A!$AV$92*10^-3)/$BU$56</f>
        <v>#N/A</v>
      </c>
    </row>
    <row r="63" spans="2:75">
      <c r="F63" s="64" t="s">
        <v>136</v>
      </c>
      <c r="G63" s="21">
        <f>G54+G57+G60</f>
        <v>0</v>
      </c>
      <c r="H63" s="21" t="e">
        <f t="shared" ref="H63:BC63" si="59">H54+H57+H60</f>
        <v>#N/A</v>
      </c>
      <c r="I63" s="21" t="e">
        <f t="shared" si="59"/>
        <v>#N/A</v>
      </c>
      <c r="J63" s="21" t="e">
        <f t="shared" si="59"/>
        <v>#N/A</v>
      </c>
      <c r="K63" s="21" t="e">
        <f t="shared" si="59"/>
        <v>#N/A</v>
      </c>
      <c r="L63" s="21" t="e">
        <f t="shared" si="59"/>
        <v>#N/A</v>
      </c>
      <c r="M63" s="21" t="e">
        <f t="shared" si="59"/>
        <v>#N/A</v>
      </c>
      <c r="N63" s="21" t="e">
        <f t="shared" si="59"/>
        <v>#N/A</v>
      </c>
      <c r="O63" s="21" t="e">
        <f t="shared" si="59"/>
        <v>#N/A</v>
      </c>
      <c r="P63" s="21" t="e">
        <f t="shared" si="59"/>
        <v>#N/A</v>
      </c>
      <c r="Q63" s="21" t="e">
        <f t="shared" si="59"/>
        <v>#N/A</v>
      </c>
      <c r="R63" s="21" t="e">
        <f t="shared" si="59"/>
        <v>#N/A</v>
      </c>
      <c r="S63" s="21" t="e">
        <f t="shared" si="59"/>
        <v>#N/A</v>
      </c>
      <c r="T63" s="21" t="e">
        <f t="shared" si="59"/>
        <v>#N/A</v>
      </c>
      <c r="U63" s="21" t="e">
        <f t="shared" si="59"/>
        <v>#N/A</v>
      </c>
      <c r="V63" s="21" t="e">
        <f t="shared" si="59"/>
        <v>#N/A</v>
      </c>
      <c r="W63" s="21" t="e">
        <f t="shared" si="59"/>
        <v>#N/A</v>
      </c>
      <c r="X63" s="21" t="e">
        <f t="shared" si="59"/>
        <v>#N/A</v>
      </c>
      <c r="Y63" s="21" t="e">
        <f t="shared" si="59"/>
        <v>#N/A</v>
      </c>
      <c r="Z63" s="21" t="e">
        <f t="shared" si="59"/>
        <v>#N/A</v>
      </c>
      <c r="AA63" s="21" t="e">
        <f t="shared" si="59"/>
        <v>#N/A</v>
      </c>
      <c r="AB63" s="21" t="e">
        <f t="shared" si="59"/>
        <v>#N/A</v>
      </c>
      <c r="AC63" s="21" t="e">
        <f t="shared" si="59"/>
        <v>#N/A</v>
      </c>
      <c r="AD63" s="21" t="e">
        <f t="shared" si="59"/>
        <v>#N/A</v>
      </c>
      <c r="AE63" s="21" t="e">
        <f t="shared" si="59"/>
        <v>#N/A</v>
      </c>
      <c r="AF63" s="21" t="e">
        <f t="shared" si="59"/>
        <v>#N/A</v>
      </c>
      <c r="AG63" s="21" t="e">
        <f t="shared" si="59"/>
        <v>#N/A</v>
      </c>
      <c r="AH63" s="21" t="e">
        <f t="shared" si="59"/>
        <v>#N/A</v>
      </c>
      <c r="AI63" s="21" t="e">
        <f t="shared" si="59"/>
        <v>#N/A</v>
      </c>
      <c r="AJ63" s="21" t="e">
        <f t="shared" si="59"/>
        <v>#N/A</v>
      </c>
      <c r="AK63" s="21" t="e">
        <f t="shared" si="59"/>
        <v>#N/A</v>
      </c>
      <c r="AL63" s="21" t="e">
        <f t="shared" si="59"/>
        <v>#N/A</v>
      </c>
      <c r="AM63" s="21" t="e">
        <f t="shared" si="59"/>
        <v>#N/A</v>
      </c>
      <c r="AN63" s="21" t="e">
        <f t="shared" si="59"/>
        <v>#N/A</v>
      </c>
      <c r="AO63" s="21" t="e">
        <f t="shared" si="59"/>
        <v>#N/A</v>
      </c>
      <c r="AP63" s="21" t="e">
        <f t="shared" si="59"/>
        <v>#N/A</v>
      </c>
      <c r="AQ63" s="21" t="e">
        <f t="shared" si="59"/>
        <v>#N/A</v>
      </c>
      <c r="AR63" s="21" t="e">
        <f t="shared" si="59"/>
        <v>#N/A</v>
      </c>
      <c r="AS63" s="21" t="e">
        <f t="shared" si="59"/>
        <v>#N/A</v>
      </c>
      <c r="AT63" s="21" t="e">
        <f t="shared" si="59"/>
        <v>#N/A</v>
      </c>
      <c r="AU63" s="21" t="e">
        <f t="shared" si="59"/>
        <v>#N/A</v>
      </c>
      <c r="AV63" s="21" t="e">
        <f t="shared" si="59"/>
        <v>#N/A</v>
      </c>
      <c r="AW63" s="21" t="e">
        <f t="shared" si="59"/>
        <v>#N/A</v>
      </c>
      <c r="AX63" s="21" t="e">
        <f t="shared" si="59"/>
        <v>#N/A</v>
      </c>
      <c r="AY63" s="21" t="e">
        <f t="shared" si="59"/>
        <v>#N/A</v>
      </c>
      <c r="AZ63" s="21" t="e">
        <f t="shared" si="59"/>
        <v>#N/A</v>
      </c>
      <c r="BA63" s="21" t="e">
        <f t="shared" si="59"/>
        <v>#N/A</v>
      </c>
      <c r="BB63" s="21" t="e">
        <f t="shared" si="59"/>
        <v>#N/A</v>
      </c>
      <c r="BC63" s="25" t="e">
        <f t="shared" si="59"/>
        <v>#N/A</v>
      </c>
      <c r="BF63" s="1" t="e">
        <f>IF(BG63=A!$AV$90*10^-3,"Slut","mel. punkt")</f>
        <v>#N/A</v>
      </c>
      <c r="BG63" s="69" t="e">
        <f>BG62+(A!$AV$90*10^-3)/$BE$58</f>
        <v>#N/A</v>
      </c>
      <c r="BN63" s="1" t="e">
        <f>IF(BO63=A!$AV$91*10^-3,"Slut","mel. punkt")</f>
        <v>#N/A</v>
      </c>
      <c r="BO63" s="69" t="e">
        <f>BO62+(A!$AV$91*10^-3)/$BM$58</f>
        <v>#N/A</v>
      </c>
      <c r="BV63" s="1" t="e">
        <f>IF(BW63=A!$AV$92*10^-3,"Slut","mel. punkt")</f>
        <v>#N/A</v>
      </c>
      <c r="BW63" s="1" t="e">
        <f>BW62+(A!$AV$92*10^-3)/$BU$56</f>
        <v>#N/A</v>
      </c>
    </row>
    <row r="64" spans="2:75">
      <c r="F64" s="62" t="s">
        <v>137</v>
      </c>
      <c r="G64" s="23">
        <f>ABS(G63)</f>
        <v>0</v>
      </c>
      <c r="H64" s="23" t="e">
        <f t="shared" ref="H64:BC64" si="60">ABS(H63)</f>
        <v>#N/A</v>
      </c>
      <c r="I64" s="23" t="e">
        <f t="shared" si="60"/>
        <v>#N/A</v>
      </c>
      <c r="J64" s="23" t="e">
        <f t="shared" si="60"/>
        <v>#N/A</v>
      </c>
      <c r="K64" s="23" t="e">
        <f t="shared" si="60"/>
        <v>#N/A</v>
      </c>
      <c r="L64" s="23" t="e">
        <f t="shared" si="60"/>
        <v>#N/A</v>
      </c>
      <c r="M64" s="23" t="e">
        <f t="shared" si="60"/>
        <v>#N/A</v>
      </c>
      <c r="N64" s="23" t="e">
        <f t="shared" si="60"/>
        <v>#N/A</v>
      </c>
      <c r="O64" s="23" t="e">
        <f t="shared" si="60"/>
        <v>#N/A</v>
      </c>
      <c r="P64" s="23" t="e">
        <f t="shared" si="60"/>
        <v>#N/A</v>
      </c>
      <c r="Q64" s="23" t="e">
        <f t="shared" si="60"/>
        <v>#N/A</v>
      </c>
      <c r="R64" s="23" t="e">
        <f t="shared" si="60"/>
        <v>#N/A</v>
      </c>
      <c r="S64" s="23" t="e">
        <f t="shared" si="60"/>
        <v>#N/A</v>
      </c>
      <c r="T64" s="23" t="e">
        <f t="shared" si="60"/>
        <v>#N/A</v>
      </c>
      <c r="U64" s="23" t="e">
        <f t="shared" si="60"/>
        <v>#N/A</v>
      </c>
      <c r="V64" s="23" t="e">
        <f t="shared" si="60"/>
        <v>#N/A</v>
      </c>
      <c r="W64" s="23" t="e">
        <f t="shared" si="60"/>
        <v>#N/A</v>
      </c>
      <c r="X64" s="23" t="e">
        <f t="shared" si="60"/>
        <v>#N/A</v>
      </c>
      <c r="Y64" s="23" t="e">
        <f t="shared" si="60"/>
        <v>#N/A</v>
      </c>
      <c r="Z64" s="23" t="e">
        <f t="shared" si="60"/>
        <v>#N/A</v>
      </c>
      <c r="AA64" s="23" t="e">
        <f t="shared" si="60"/>
        <v>#N/A</v>
      </c>
      <c r="AB64" s="23" t="e">
        <f t="shared" si="60"/>
        <v>#N/A</v>
      </c>
      <c r="AC64" s="23" t="e">
        <f t="shared" si="60"/>
        <v>#N/A</v>
      </c>
      <c r="AD64" s="23" t="e">
        <f t="shared" si="60"/>
        <v>#N/A</v>
      </c>
      <c r="AE64" s="23" t="e">
        <f t="shared" si="60"/>
        <v>#N/A</v>
      </c>
      <c r="AF64" s="23" t="e">
        <f t="shared" si="60"/>
        <v>#N/A</v>
      </c>
      <c r="AG64" s="23" t="e">
        <f t="shared" si="60"/>
        <v>#N/A</v>
      </c>
      <c r="AH64" s="23" t="e">
        <f t="shared" si="60"/>
        <v>#N/A</v>
      </c>
      <c r="AI64" s="23" t="e">
        <f t="shared" si="60"/>
        <v>#N/A</v>
      </c>
      <c r="AJ64" s="23" t="e">
        <f t="shared" si="60"/>
        <v>#N/A</v>
      </c>
      <c r="AK64" s="23" t="e">
        <f t="shared" si="60"/>
        <v>#N/A</v>
      </c>
      <c r="AL64" s="23" t="e">
        <f t="shared" si="60"/>
        <v>#N/A</v>
      </c>
      <c r="AM64" s="23" t="e">
        <f t="shared" si="60"/>
        <v>#N/A</v>
      </c>
      <c r="AN64" s="23" t="e">
        <f t="shared" si="60"/>
        <v>#N/A</v>
      </c>
      <c r="AO64" s="23" t="e">
        <f t="shared" si="60"/>
        <v>#N/A</v>
      </c>
      <c r="AP64" s="23" t="e">
        <f t="shared" si="60"/>
        <v>#N/A</v>
      </c>
      <c r="AQ64" s="23" t="e">
        <f t="shared" si="60"/>
        <v>#N/A</v>
      </c>
      <c r="AR64" s="23" t="e">
        <f t="shared" si="60"/>
        <v>#N/A</v>
      </c>
      <c r="AS64" s="23" t="e">
        <f t="shared" si="60"/>
        <v>#N/A</v>
      </c>
      <c r="AT64" s="23" t="e">
        <f t="shared" si="60"/>
        <v>#N/A</v>
      </c>
      <c r="AU64" s="23" t="e">
        <f t="shared" si="60"/>
        <v>#N/A</v>
      </c>
      <c r="AV64" s="23" t="e">
        <f t="shared" si="60"/>
        <v>#N/A</v>
      </c>
      <c r="AW64" s="23" t="e">
        <f t="shared" si="60"/>
        <v>#N/A</v>
      </c>
      <c r="AX64" s="23" t="e">
        <f t="shared" si="60"/>
        <v>#N/A</v>
      </c>
      <c r="AY64" s="23" t="e">
        <f t="shared" si="60"/>
        <v>#N/A</v>
      </c>
      <c r="AZ64" s="23" t="e">
        <f t="shared" si="60"/>
        <v>#N/A</v>
      </c>
      <c r="BA64" s="23" t="e">
        <f t="shared" si="60"/>
        <v>#N/A</v>
      </c>
      <c r="BB64" s="23" t="e">
        <f t="shared" si="60"/>
        <v>#N/A</v>
      </c>
      <c r="BC64" s="24" t="e">
        <f t="shared" si="60"/>
        <v>#N/A</v>
      </c>
      <c r="BF64" s="1" t="e">
        <f>IF(BG64=A!$AV$90*10^-3,"Slut","mel. punkt")</f>
        <v>#N/A</v>
      </c>
      <c r="BG64" s="69" t="e">
        <f>BG63+(A!$AV$90*10^-3)/$BE$58</f>
        <v>#N/A</v>
      </c>
      <c r="BN64" s="1" t="e">
        <f>IF(BO64=A!$AV$91*10^-3,"Slut","mel. punkt")</f>
        <v>#N/A</v>
      </c>
      <c r="BO64" s="69" t="e">
        <f>BO63+(A!$AV$91*10^-3)/$BM$58</f>
        <v>#N/A</v>
      </c>
      <c r="BV64" s="1" t="e">
        <f>IF(BW64=A!$AV$92*10^-3,"Slut","mel. punkt")</f>
        <v>#N/A</v>
      </c>
      <c r="BW64" s="1" t="e">
        <f>BW63+(A!$AV$92*10^-3)/$BU$56</f>
        <v>#N/A</v>
      </c>
    </row>
    <row r="65" spans="3:75">
      <c r="BF65" s="1" t="e">
        <f>IF(BG65=A!$AV$90*10^-3,"Slut","mel. punkt")</f>
        <v>#N/A</v>
      </c>
      <c r="BG65" s="69" t="e">
        <f>BG64+(A!$AV$90*10^-3)/$BE$58</f>
        <v>#N/A</v>
      </c>
      <c r="BN65" s="1" t="e">
        <f>IF(BO65=A!$AV$91*10^-3,"Slut","mel. punkt")</f>
        <v>#N/A</v>
      </c>
      <c r="BO65" s="69" t="e">
        <f>BO64+(A!$AV$91*10^-3)/$BM$58</f>
        <v>#N/A</v>
      </c>
      <c r="BV65" s="1" t="e">
        <f>IF(BW65=A!$AV$92*10^-3,"Slut","mel. punkt")</f>
        <v>#N/A</v>
      </c>
      <c r="BW65" s="1" t="e">
        <f>BW64+(A!$AV$92*10^-3)/$BU$56</f>
        <v>#N/A</v>
      </c>
    </row>
    <row r="66" spans="3:75">
      <c r="C66" s="12" t="s">
        <v>143</v>
      </c>
      <c r="D66" s="13" t="e">
        <f>MAX(G62:BC62)</f>
        <v>#N/A</v>
      </c>
      <c r="E66" s="1" t="s">
        <v>145</v>
      </c>
      <c r="BF66" s="1" t="e">
        <f>IF(BG66=A!$AV$90*10^-3,"Slut","mel. punkt")</f>
        <v>#N/A</v>
      </c>
      <c r="BG66" s="69" t="e">
        <f>BG65+(A!$AV$90*10^-3)/$BE$58</f>
        <v>#N/A</v>
      </c>
      <c r="BN66" s="1" t="e">
        <f>IF(BO66=A!$AV$91*10^-3,"Slut","mel. punkt")</f>
        <v>#N/A</v>
      </c>
      <c r="BO66" s="69" t="e">
        <f>BO65+(A!$AV$91*10^-3)/$BM$58</f>
        <v>#N/A</v>
      </c>
      <c r="BV66" s="1" t="e">
        <f>IF(BW66=A!$AV$92*10^-3,"Slut","mel. punkt")</f>
        <v>#N/A</v>
      </c>
      <c r="BW66" s="1" t="e">
        <f>BW65+(A!$AV$92*10^-3)/$BU$56</f>
        <v>#N/A</v>
      </c>
    </row>
    <row r="67" spans="3:75">
      <c r="C67" s="12" t="s">
        <v>157</v>
      </c>
      <c r="D67" s="11" t="e">
        <f>MIN(G62:BC62)</f>
        <v>#N/A</v>
      </c>
      <c r="E67" s="1" t="s">
        <v>145</v>
      </c>
      <c r="BF67" s="1" t="e">
        <f>IF(BG67=A!$AV$90*10^-3,"Slut","mel. punkt")</f>
        <v>#N/A</v>
      </c>
      <c r="BG67" s="69" t="e">
        <f>BG66+(A!$AV$90*10^-3)/$BE$58</f>
        <v>#N/A</v>
      </c>
      <c r="BN67" s="1" t="e">
        <f>IF(BO67=A!$AV$91*10^-3,"Slut","mel. punkt")</f>
        <v>#N/A</v>
      </c>
      <c r="BO67" s="69" t="e">
        <f>BO66+(A!$AV$91*10^-3)/$BM$58</f>
        <v>#N/A</v>
      </c>
      <c r="BV67" s="1" t="e">
        <f>IF(BW67=A!$AV$92*10^-3,"Slut","mel. punkt")</f>
        <v>#N/A</v>
      </c>
      <c r="BW67" s="1" t="e">
        <f>BW66+(A!$AV$92*10^-3)/$BU$56</f>
        <v>#N/A</v>
      </c>
    </row>
    <row r="68" spans="3:75">
      <c r="C68" s="12" t="s">
        <v>144</v>
      </c>
      <c r="D68" s="13" t="e">
        <f>MAX(G64:BC64)</f>
        <v>#N/A</v>
      </c>
      <c r="E68" s="1" t="s">
        <v>41</v>
      </c>
      <c r="BF68" s="1" t="e">
        <f>IF(BG68=A!$AV$90*10^-3,"Slut","mel. punkt")</f>
        <v>#N/A</v>
      </c>
      <c r="BG68" s="69" t="e">
        <f>BG67+(A!$AV$90*10^-3)/$BE$58</f>
        <v>#N/A</v>
      </c>
      <c r="BN68" s="1" t="e">
        <f>IF(BO68=A!$AV$91*10^-3,"Slut","mel. punkt")</f>
        <v>#N/A</v>
      </c>
      <c r="BO68" s="69" t="e">
        <f>BO67+(A!$AV$91*10^-3)/$BM$58</f>
        <v>#N/A</v>
      </c>
      <c r="BV68" s="1" t="e">
        <f>IF(BW68=A!$AV$92*10^-3,"Slut","mel. punkt")</f>
        <v>#N/A</v>
      </c>
      <c r="BW68" s="1" t="e">
        <f>BW67+(A!$AV$92*10^-3)/$BU$56</f>
        <v>#N/A</v>
      </c>
    </row>
    <row r="69" spans="3:75">
      <c r="BF69" s="1" t="e">
        <f>IF(BG69=A!$AV$90*10^-3,"Slut","mel. punkt")</f>
        <v>#N/A</v>
      </c>
      <c r="BG69" s="69" t="e">
        <f>BG68+(A!$AV$90*10^-3)/$BE$58</f>
        <v>#N/A</v>
      </c>
      <c r="BK69" s="69"/>
      <c r="BN69" s="1" t="e">
        <f>IF(BO69=A!$AV$91*10^-3,"Slut","mel. punkt")</f>
        <v>#N/A</v>
      </c>
      <c r="BO69" s="69" t="e">
        <f>BO68+(A!$AV$91*10^-3)/$BM$58</f>
        <v>#N/A</v>
      </c>
      <c r="BV69" s="1" t="e">
        <f>IF(BW69=A!$AV$92*10^-3,"Slut","mel. punkt")</f>
        <v>#N/A</v>
      </c>
      <c r="BW69" s="1" t="e">
        <f>BW68+(A!$AV$92*10^-3)/$BU$56</f>
        <v>#N/A</v>
      </c>
    </row>
    <row r="70" spans="3:75">
      <c r="BF70" s="1" t="e">
        <f>IF(BG70=A!$AV$90*10^-3,"Slut","mel. punkt")</f>
        <v>#N/A</v>
      </c>
      <c r="BG70" s="69" t="e">
        <f>BG69+(A!$AV$90*10^-3)/$BE$58</f>
        <v>#N/A</v>
      </c>
      <c r="BK70" s="69"/>
      <c r="BN70" s="1" t="e">
        <f>IF(BO70=A!$AV$91*10^-3,"Slut","mel. punkt")</f>
        <v>#N/A</v>
      </c>
      <c r="BO70" s="69" t="e">
        <f>BO69+(A!$AV$91*10^-3)/$BM$58</f>
        <v>#N/A</v>
      </c>
      <c r="BV70" s="1" t="e">
        <f>IF(BW70=A!$AV$92*10^-3,"Slut","mel. punkt")</f>
        <v>#N/A</v>
      </c>
      <c r="BW70" s="1" t="e">
        <f>BW69+(A!$AV$92*10^-3)/$BU$56</f>
        <v>#N/A</v>
      </c>
    </row>
    <row r="71" spans="3:75">
      <c r="BF71" s="1" t="e">
        <f>IF(BG71=A!$AV$90*10^-3,"Slut","mel. punkt")</f>
        <v>#N/A</v>
      </c>
      <c r="BG71" s="69" t="e">
        <f>BG70+(A!$AV$90*10^-3)/$BE$58</f>
        <v>#N/A</v>
      </c>
      <c r="BN71" s="1" t="e">
        <f>IF(BO71=A!$AV$91*10^-3,"Slut","mel. punkt")</f>
        <v>#N/A</v>
      </c>
      <c r="BO71" s="69" t="e">
        <f>BO70+(A!$AV$91*10^-3)/$BM$58</f>
        <v>#N/A</v>
      </c>
      <c r="BV71" s="1" t="e">
        <f>IF(BW71=A!$AV$92*10^-3,"Slut","mel. punkt")</f>
        <v>#N/A</v>
      </c>
      <c r="BW71" s="1" t="e">
        <f>BW70+(A!$AV$92*10^-3)/$BU$56</f>
        <v>#N/A</v>
      </c>
    </row>
    <row r="72" spans="3:75">
      <c r="BF72" s="1" t="e">
        <f>IF(BG72=A!$AV$90*10^-3,"Slut","mel. punkt")</f>
        <v>#N/A</v>
      </c>
      <c r="BG72" s="69" t="e">
        <f>BG71+(A!$AV$90*10^-3)/$BE$58</f>
        <v>#N/A</v>
      </c>
      <c r="BN72" s="1" t="e">
        <f>IF(BO72=A!$AV$91*10^-3,"Slut","mel. punkt")</f>
        <v>#N/A</v>
      </c>
      <c r="BO72" s="69" t="e">
        <f>BO71+(A!$AV$91*10^-3)/$BM$58</f>
        <v>#N/A</v>
      </c>
      <c r="BV72" s="1" t="e">
        <f>IF(BW72=A!$AV$92*10^-3,"Slut","mel. punkt")</f>
        <v>#N/A</v>
      </c>
      <c r="BW72" s="1" t="e">
        <f>BW71+(A!$AV$92*10^-3)/$BU$56</f>
        <v>#N/A</v>
      </c>
    </row>
    <row r="73" spans="3:75">
      <c r="BF73" s="1" t="e">
        <f>IF(BG73=A!$AV$90*10^-3,"Slut","mel. punkt")</f>
        <v>#N/A</v>
      </c>
      <c r="BG73" s="69" t="e">
        <f>BG72+(A!$AV$90*10^-3)/$BE$58</f>
        <v>#N/A</v>
      </c>
      <c r="BN73" s="1" t="e">
        <f>IF(BO73=A!$AV$91*10^-3,"Slut","mel. punkt")</f>
        <v>#N/A</v>
      </c>
      <c r="BO73" s="69" t="e">
        <f>BO72+(A!$AV$91*10^-3)/$BM$58</f>
        <v>#N/A</v>
      </c>
      <c r="BV73" s="1" t="e">
        <f>IF(BW73=A!$AV$92*10^-3,"Slut","mel. punkt")</f>
        <v>#N/A</v>
      </c>
      <c r="BW73" s="1" t="e">
        <f>BW72+(A!$AV$92*10^-3)/$BU$56</f>
        <v>#N/A</v>
      </c>
    </row>
    <row r="74" spans="3:75">
      <c r="BF74" s="1" t="e">
        <f>IF(BG74=A!$AV$90*10^-3,"Slut","mel. punkt")</f>
        <v>#N/A</v>
      </c>
      <c r="BG74" s="69" t="e">
        <f>BG73+(A!$AV$90*10^-3)/$BE$58</f>
        <v>#N/A</v>
      </c>
      <c r="BN74" s="1" t="e">
        <f>IF(BO74=A!$AV$91*10^-3,"Slut","mel. punkt")</f>
        <v>#N/A</v>
      </c>
      <c r="BO74" s="69" t="e">
        <f>BO73+(A!$AV$91*10^-3)/$BM$58</f>
        <v>#N/A</v>
      </c>
      <c r="BV74" s="1" t="e">
        <f>IF(BW74=A!$AV$92*10^-3,"Slut","mel. punkt")</f>
        <v>#N/A</v>
      </c>
      <c r="BW74" s="1" t="e">
        <f>BW73+(A!$AV$92*10^-3)/$BU$56</f>
        <v>#N/A</v>
      </c>
    </row>
    <row r="75" spans="3:75">
      <c r="BF75" s="1" t="e">
        <f>IF(BG75=A!$AV$90*10^-3,"Slut","mel. punkt")</f>
        <v>#N/A</v>
      </c>
      <c r="BG75" s="69" t="e">
        <f>BG74+(A!$AV$90*10^-3)/$BE$58</f>
        <v>#N/A</v>
      </c>
      <c r="BN75" s="1" t="e">
        <f>IF(BO75=A!$AV$91*10^-3,"Slut","mel. punkt")</f>
        <v>#N/A</v>
      </c>
      <c r="BO75" s="69" t="e">
        <f>BO74+(A!$AV$91*10^-3)/$BM$58</f>
        <v>#N/A</v>
      </c>
      <c r="BV75" s="1" t="e">
        <f>IF(BW75=A!$AV$92*10^-3,"Slut","mel. punkt")</f>
        <v>#N/A</v>
      </c>
      <c r="BW75" s="1" t="e">
        <f>BW74+(A!$AV$92*10^-3)/$BU$56</f>
        <v>#N/A</v>
      </c>
    </row>
    <row r="76" spans="3:75">
      <c r="BF76" s="1" t="e">
        <f>IF(BG76=A!$AV$90*10^-3,"Slut","mel. punkt")</f>
        <v>#N/A</v>
      </c>
      <c r="BG76" s="69" t="e">
        <f>BG75+(A!$AV$90*10^-3)/$BE$58</f>
        <v>#N/A</v>
      </c>
      <c r="BN76" s="1" t="e">
        <f>IF(BO76=A!$AV$91*10^-3,"Slut","mel. punkt")</f>
        <v>#N/A</v>
      </c>
      <c r="BO76" s="69" t="e">
        <f>BO75+(A!$AV$91*10^-3)/$BM$58</f>
        <v>#N/A</v>
      </c>
      <c r="BV76" s="1" t="e">
        <f>IF(BW76=A!$AV$92*10^-3,"Slut","mel. punkt")</f>
        <v>#N/A</v>
      </c>
      <c r="BW76" s="1" t="e">
        <f>BW75+(A!$AV$92*10^-3)/$BU$56</f>
        <v>#N/A</v>
      </c>
    </row>
    <row r="77" spans="3:75">
      <c r="BF77" s="1" t="e">
        <f>IF(BG77=A!$AV$90*10^-3,"Slut","mel. punkt")</f>
        <v>#N/A</v>
      </c>
      <c r="BG77" s="69" t="e">
        <f>BG76+(A!$AV$90*10^-3)/$BE$58</f>
        <v>#N/A</v>
      </c>
      <c r="BN77" s="1" t="e">
        <f>IF(BO77=A!$AV$91*10^-3,"Slut","mel. punkt")</f>
        <v>#N/A</v>
      </c>
      <c r="BO77" s="69" t="e">
        <f>BO76+(A!$AV$91*10^-3)/$BM$58</f>
        <v>#N/A</v>
      </c>
      <c r="BV77" s="1" t="e">
        <f>IF(BW77=A!$AV$92*10^-3,"Slut","mel. punkt")</f>
        <v>#N/A</v>
      </c>
      <c r="BW77" s="1" t="e">
        <f>BW76+(A!$AV$92*10^-3)/$BU$56</f>
        <v>#N/A</v>
      </c>
    </row>
    <row r="78" spans="3:75">
      <c r="BF78" s="1" t="e">
        <f>IF(BG78=A!$AV$90*10^-3,"Slut","mel. punkt")</f>
        <v>#N/A</v>
      </c>
      <c r="BG78" s="69" t="e">
        <f>BG77+(A!$AV$90*10^-3)/$BE$58</f>
        <v>#N/A</v>
      </c>
      <c r="BN78" s="1" t="e">
        <f>IF(BO78=A!$AV$91*10^-3,"Slut","mel. punkt")</f>
        <v>#N/A</v>
      </c>
      <c r="BO78" s="69" t="e">
        <f>BO77+(A!$AV$91*10^-3)/$BM$58</f>
        <v>#N/A</v>
      </c>
      <c r="BV78" s="1" t="e">
        <f>IF(BW78=A!$AV$92*10^-3,"Slut","mel. punkt")</f>
        <v>#N/A</v>
      </c>
      <c r="BW78" s="1" t="e">
        <f>BW77+(A!$AV$92*10^-3)/$BU$56</f>
        <v>#N/A</v>
      </c>
    </row>
    <row r="79" spans="3:75">
      <c r="BF79" s="1" t="e">
        <f>IF(BG79=A!$AV$90*10^-3,"Slut","mel. punkt")</f>
        <v>#N/A</v>
      </c>
      <c r="BG79" s="69" t="e">
        <f>BG78+(A!$AV$90*10^-3)/$BE$58</f>
        <v>#N/A</v>
      </c>
      <c r="BN79" s="1" t="e">
        <f>IF(BO79=A!$AV$91*10^-3,"Slut","mel. punkt")</f>
        <v>#N/A</v>
      </c>
      <c r="BO79" s="69" t="e">
        <f>BO78+(A!$AV$91*10^-3)/$BM$58</f>
        <v>#N/A</v>
      </c>
      <c r="BV79" s="1" t="e">
        <f>IF(BW79=A!$AV$92*10^-3,"Slut","mel. punkt")</f>
        <v>#N/A</v>
      </c>
      <c r="BW79" s="1" t="e">
        <f>BW78+(A!$AV$92*10^-3)/$BU$56</f>
        <v>#N/A</v>
      </c>
    </row>
    <row r="80" spans="3:75">
      <c r="BF80" s="1" t="e">
        <f>IF(BG80=A!$AV$90*10^-3,"Slut","mel. punkt")</f>
        <v>#N/A</v>
      </c>
      <c r="BG80" s="69" t="e">
        <f>BG79+(A!$AV$90*10^-3)/$BE$58</f>
        <v>#N/A</v>
      </c>
      <c r="BN80" s="1" t="e">
        <f>IF(BO80=A!$AV$91*10^-3,"Slut","mel. punkt")</f>
        <v>#N/A</v>
      </c>
      <c r="BO80" s="69" t="e">
        <f>BO79+(A!$AV$91*10^-3)/$BM$58</f>
        <v>#N/A</v>
      </c>
      <c r="BV80" s="1" t="e">
        <f>IF(BW80=A!$AV$92*10^-3,"Slut","mel. punkt")</f>
        <v>#N/A</v>
      </c>
      <c r="BW80" s="1" t="e">
        <f>BW79+(A!$AV$92*10^-3)/$BU$56</f>
        <v>#N/A</v>
      </c>
    </row>
    <row r="81" spans="2:75">
      <c r="BF81" s="1" t="e">
        <f>IF(BG81=A!$AV$90*10^-3,"Slut","mel. punkt")</f>
        <v>#N/A</v>
      </c>
      <c r="BG81" s="69" t="e">
        <f>BG80+(A!$AV$90*10^-3)/$BE$58</f>
        <v>#N/A</v>
      </c>
      <c r="BN81" s="1" t="e">
        <f>IF(BO81=A!$AV$91*10^-3,"Slut","mel. punkt")</f>
        <v>#N/A</v>
      </c>
      <c r="BO81" s="69" t="e">
        <f>BO80+(A!$AV$91*10^-3)/$BM$58</f>
        <v>#N/A</v>
      </c>
      <c r="BV81" s="1" t="e">
        <f>IF(BW81=A!$AV$92*10^-3,"Slut","mel. punkt")</f>
        <v>#N/A</v>
      </c>
      <c r="BW81" s="1" t="e">
        <f>BW80+(A!$AV$92*10^-3)/$BU$56</f>
        <v>#N/A</v>
      </c>
    </row>
    <row r="82" spans="2:75">
      <c r="BF82" s="1" t="e">
        <f>IF(BG82=A!$AV$90*10^-3,"Slut","mel. punkt")</f>
        <v>#N/A</v>
      </c>
      <c r="BG82" s="69" t="e">
        <f>BG81+(A!$AV$90*10^-3)/$BE$58</f>
        <v>#N/A</v>
      </c>
      <c r="BN82" s="1" t="e">
        <f>IF(BO82=A!$AV$91*10^-3,"Slut","mel. punkt")</f>
        <v>#N/A</v>
      </c>
      <c r="BO82" s="69" t="e">
        <f>BO81+(A!$AV$91*10^-3)/$BM$58</f>
        <v>#N/A</v>
      </c>
      <c r="BV82" s="1" t="e">
        <f>IF(BW82=A!$AV$92*10^-3,"Slut","mel. punkt")</f>
        <v>#N/A</v>
      </c>
      <c r="BW82" s="1" t="e">
        <f>BW81+(A!$AV$92*10^-3)/$BU$56</f>
        <v>#N/A</v>
      </c>
    </row>
    <row r="83" spans="2:75">
      <c r="BF83" s="1" t="e">
        <f>IF(BG83=A!$AV$90*10^-3,"Slut","mel. punkt")</f>
        <v>#N/A</v>
      </c>
      <c r="BG83" s="69" t="e">
        <f>BG82+(A!$AV$90*10^-3)/$BE$58</f>
        <v>#N/A</v>
      </c>
      <c r="BN83" s="1" t="e">
        <f>IF(BO83=A!$AV$91*10^-3,"Slut","mel. punkt")</f>
        <v>#N/A</v>
      </c>
      <c r="BO83" s="69" t="e">
        <f>BO82+(A!$AV$91*10^-3)/$BM$58</f>
        <v>#N/A</v>
      </c>
      <c r="BV83" s="1" t="e">
        <f>IF(BW83=A!$AV$92*10^-3,"Slut","mel. punkt")</f>
        <v>#N/A</v>
      </c>
      <c r="BW83" s="1" t="e">
        <f>BW82+(A!$AV$92*10^-3)/$BU$56</f>
        <v>#N/A</v>
      </c>
    </row>
    <row r="84" spans="2:75">
      <c r="BF84" s="1" t="e">
        <f>IF(BG84=A!$AV$90*10^-3,"Slut","mel. punkt")</f>
        <v>#N/A</v>
      </c>
      <c r="BG84" s="69" t="e">
        <f>BG83+(A!$AV$90*10^-3)/$BE$58</f>
        <v>#N/A</v>
      </c>
      <c r="BN84" s="1" t="e">
        <f>IF(BO84=A!$AV$91*10^-3,"Slut","mel. punkt")</f>
        <v>#N/A</v>
      </c>
      <c r="BO84" s="69" t="e">
        <f>BO83+(A!$AV$91*10^-3)/$BM$58</f>
        <v>#N/A</v>
      </c>
      <c r="BV84" s="1" t="e">
        <f>IF(BW84=A!$AV$92*10^-3,"Slut","mel. punkt")</f>
        <v>#N/A</v>
      </c>
      <c r="BW84" s="1" t="e">
        <f>BW83+(A!$AV$92*10^-3)/$BU$56</f>
        <v>#N/A</v>
      </c>
    </row>
    <row r="85" spans="2:75">
      <c r="BF85" s="1" t="e">
        <f>IF(BG85=A!$AV$90*10^-3,"Slut","mel. punkt")</f>
        <v>#N/A</v>
      </c>
      <c r="BG85" s="69" t="e">
        <f>BG84+(A!$AV$90*10^-3)/$BE$58</f>
        <v>#N/A</v>
      </c>
      <c r="BN85" s="1" t="e">
        <f>IF(BO85=A!$AV$91*10^-3,"Slut","mel. punkt")</f>
        <v>#N/A</v>
      </c>
      <c r="BO85" s="69" t="e">
        <f>BO84+(A!$AV$91*10^-3)/$BM$58</f>
        <v>#N/A</v>
      </c>
      <c r="BV85" s="1" t="e">
        <f>IF(BW85=A!$AV$92*10^-3,"Slut","mel. punkt")</f>
        <v>#N/A</v>
      </c>
      <c r="BW85" s="1" t="e">
        <f>BW84+(A!$AV$92*10^-3)/$BU$56</f>
        <v>#N/A</v>
      </c>
    </row>
    <row r="86" spans="2:75">
      <c r="BF86" s="1" t="e">
        <f>IF(BG86=A!$AV$90*10^-3,"Slut","mel. punkt")</f>
        <v>#N/A</v>
      </c>
      <c r="BG86" s="69" t="e">
        <f>BG85+(A!$AV$90*10^-3)/$BE$58</f>
        <v>#N/A</v>
      </c>
      <c r="BN86" s="1" t="e">
        <f>IF(BO86=A!$AV$91*10^-3,"Slut","mel. punkt")</f>
        <v>#N/A</v>
      </c>
      <c r="BO86" s="69" t="e">
        <f>BO85+(A!$AV$91*10^-3)/$BM$58</f>
        <v>#N/A</v>
      </c>
      <c r="BV86" s="1" t="e">
        <f>IF(BW86=A!$AV$92*10^-3,"Slut","mel. punkt")</f>
        <v>#N/A</v>
      </c>
      <c r="BW86" s="1" t="e">
        <f>BW85+(A!$AV$92*10^-3)/$BU$56</f>
        <v>#N/A</v>
      </c>
    </row>
    <row r="87" spans="2:75">
      <c r="BF87" s="1" t="e">
        <f>IF(BG87=A!$AV$90*10^-3,"Slut","mel. punkt")</f>
        <v>#N/A</v>
      </c>
      <c r="BG87" s="69" t="e">
        <f>BG86+(A!$AV$90*10^-3)/$BE$58</f>
        <v>#N/A</v>
      </c>
      <c r="BN87" s="1" t="e">
        <f>IF(BO87=A!$AV$91*10^-3,"Slut","mel. punkt")</f>
        <v>#N/A</v>
      </c>
      <c r="BO87" s="69" t="e">
        <f>BO86+(A!$AV$91*10^-3)/$BM$58</f>
        <v>#N/A</v>
      </c>
      <c r="BV87" s="1" t="e">
        <f>IF(BW87=A!$AV$92*10^-3,"Slut","mel. punkt")</f>
        <v>#N/A</v>
      </c>
      <c r="BW87" s="1" t="e">
        <f>BW86+(A!$AV$92*10^-3)/$BU$56</f>
        <v>#N/A</v>
      </c>
    </row>
    <row r="88" spans="2:75">
      <c r="BF88" s="1" t="e">
        <f>IF(BG88=A!$AV$90*10^-3,"Slut","mel. punkt")</f>
        <v>#N/A</v>
      </c>
      <c r="BG88" s="69" t="e">
        <f>BG87+(A!$AV$90*10^-3)/$BE$58</f>
        <v>#N/A</v>
      </c>
      <c r="BN88" s="1" t="e">
        <f>IF(BO88=A!$AV$91*10^-3,"Slut","mel. punkt")</f>
        <v>#N/A</v>
      </c>
      <c r="BO88" s="69" t="e">
        <f>BO87+(A!$AV$91*10^-3)/$BM$58</f>
        <v>#N/A</v>
      </c>
      <c r="BV88" s="1" t="e">
        <f>IF(BW88=A!$AV$92*10^-3,"Slut","mel. punkt")</f>
        <v>#N/A</v>
      </c>
      <c r="BW88" s="1" t="e">
        <f>BW87+(A!$AV$92*10^-3)/$BU$56</f>
        <v>#N/A</v>
      </c>
    </row>
    <row r="89" spans="2:75">
      <c r="BF89" s="1" t="e">
        <f>IF(BG89=A!$AV$90*10^-3,"Slut","mel. punkt")</f>
        <v>#N/A</v>
      </c>
      <c r="BG89" s="69" t="e">
        <f>BG88+(A!$AV$90*10^-3)/$BE$58</f>
        <v>#N/A</v>
      </c>
      <c r="BN89" s="1" t="e">
        <f>IF(BO89=A!$AV$91*10^-3,"Slut","mel. punkt")</f>
        <v>#N/A</v>
      </c>
      <c r="BO89" s="69" t="e">
        <f>BO88+(A!$AV$91*10^-3)/$BM$58</f>
        <v>#N/A</v>
      </c>
      <c r="BV89" s="1" t="e">
        <f>IF(BW89=A!$AV$92*10^-3,"Slut","mel. punkt")</f>
        <v>#N/A</v>
      </c>
      <c r="BW89" s="1" t="e">
        <f>BW88+(A!$AV$92*10^-3)/$BU$56</f>
        <v>#N/A</v>
      </c>
    </row>
    <row r="90" spans="2:75">
      <c r="BF90" s="1" t="e">
        <f>IF(BG90=A!$AV$90*10^-3,"Slut","mel. punkt")</f>
        <v>#N/A</v>
      </c>
      <c r="BG90" s="69" t="e">
        <f>BG89+(A!$AV$90*10^-3)/$BE$58</f>
        <v>#N/A</v>
      </c>
      <c r="BN90" s="1" t="e">
        <f>IF(BO90=A!$AV$91*10^-3,"Slut","mel. punkt")</f>
        <v>#N/A</v>
      </c>
      <c r="BO90" s="69" t="e">
        <f>BO89+(A!$AV$91*10^-3)/$BM$58</f>
        <v>#N/A</v>
      </c>
      <c r="BV90" s="1" t="e">
        <f>IF(BW90=A!$AV$92*10^-3,"Slut","mel. punkt")</f>
        <v>#N/A</v>
      </c>
      <c r="BW90" s="1" t="e">
        <f>BW89+(A!$AV$92*10^-3)/$BU$56</f>
        <v>#N/A</v>
      </c>
    </row>
    <row r="91" spans="2:75">
      <c r="F91" s="67" t="s">
        <v>30</v>
      </c>
      <c r="G91" s="3" t="str">
        <f>A!AZ102</f>
        <v/>
      </c>
      <c r="BF91" s="1" t="e">
        <f>IF(BG91=A!$AV$90*10^-3,"Slut","mel. punkt")</f>
        <v>#N/A</v>
      </c>
      <c r="BG91" s="69" t="e">
        <f>BG90+(A!$AV$90*10^-3)/$BE$58</f>
        <v>#N/A</v>
      </c>
      <c r="BN91" s="1" t="e">
        <f>IF(BO91=A!$AV$91*10^-3,"Slut","mel. punkt")</f>
        <v>#N/A</v>
      </c>
      <c r="BO91" s="69" t="e">
        <f>BO90+(A!$AV$91*10^-3)/$BM$58</f>
        <v>#N/A</v>
      </c>
      <c r="BV91" s="1" t="e">
        <f>IF(BW91=A!$AV$92*10^-3,"Slut","mel. punkt")</f>
        <v>#N/A</v>
      </c>
      <c r="BW91" s="1" t="e">
        <f>BW90+(A!$AV$92*10^-3)/$BU$56</f>
        <v>#N/A</v>
      </c>
    </row>
    <row r="92" spans="2:75">
      <c r="BF92" s="1" t="e">
        <f>IF(BG92=A!$AV$90*10^-3,"Slut","mel. punkt")</f>
        <v>#N/A</v>
      </c>
      <c r="BG92" s="69" t="e">
        <f>BG91+(A!$AV$90*10^-3)/$BE$58</f>
        <v>#N/A</v>
      </c>
      <c r="BN92" s="1" t="e">
        <f>IF(BO92=A!$AV$91*10^-3,"Slut","mel. punkt")</f>
        <v>#N/A</v>
      </c>
      <c r="BO92" s="69" t="e">
        <f>BO91+(A!$AV$91*10^-3)/$BM$58</f>
        <v>#N/A</v>
      </c>
      <c r="BV92" s="1" t="e">
        <f>IF(BW92=A!$AV$92*10^-3,"Slut","mel. punkt")</f>
        <v>#N/A</v>
      </c>
      <c r="BW92" s="1" t="e">
        <f>BW91+(A!$AV$92*10^-3)/$BU$56</f>
        <v>#N/A</v>
      </c>
    </row>
    <row r="93" spans="2:75">
      <c r="F93" s="59" t="s">
        <v>131</v>
      </c>
      <c r="G93" s="60" t="e" cm="1">
        <f t="array" aca="1" ref="G93" ca="1">TRANSPOSE(BR45:INDIRECT(CELL("adresse",INDEX(BR45:BS95,MATCH("Slut",BR45:BR95,0),2))))</f>
        <v>#N/A</v>
      </c>
      <c r="H93" s="60"/>
      <c r="I93" s="60"/>
      <c r="J93" s="60"/>
      <c r="K93" s="60"/>
      <c r="L93" s="60"/>
      <c r="M93" s="60"/>
      <c r="N93" s="60"/>
      <c r="O93" s="60"/>
      <c r="P93" s="60"/>
      <c r="Q93" s="60"/>
      <c r="R93" s="60"/>
      <c r="S93" s="60"/>
      <c r="T93" s="60"/>
      <c r="U93" s="60"/>
      <c r="V93" s="60"/>
      <c r="W93" s="60"/>
      <c r="X93" s="60"/>
      <c r="Y93" s="60"/>
      <c r="Z93" s="60"/>
      <c r="AA93" s="60"/>
      <c r="AB93" s="60"/>
      <c r="AC93" s="60"/>
      <c r="AD93" s="60"/>
      <c r="AE93" s="60"/>
      <c r="AF93" s="60"/>
      <c r="AG93" s="60"/>
      <c r="AH93" s="60"/>
      <c r="AI93" s="60"/>
      <c r="AJ93" s="60"/>
      <c r="AK93" s="60"/>
      <c r="AL93" s="60"/>
      <c r="AM93" s="60"/>
      <c r="AN93" s="60"/>
      <c r="AO93" s="60"/>
      <c r="AP93" s="60"/>
      <c r="AQ93" s="60"/>
      <c r="AR93" s="60"/>
      <c r="AS93" s="60"/>
      <c r="AT93" s="60"/>
      <c r="AU93" s="60"/>
      <c r="AV93" s="60"/>
      <c r="AW93" s="60"/>
      <c r="AX93" s="60"/>
      <c r="AY93" s="60"/>
      <c r="AZ93" s="60"/>
      <c r="BA93" s="60"/>
      <c r="BB93" s="60"/>
      <c r="BC93" s="61"/>
      <c r="BF93" s="1" t="e">
        <f>IF(BG93=A!$AV$90*10^-3,"Slut","mel. punkt")</f>
        <v>#N/A</v>
      </c>
      <c r="BG93" s="69" t="e">
        <f>BG92+(A!$AV$90*10^-3)/$BE$58</f>
        <v>#N/A</v>
      </c>
      <c r="BN93" s="1" t="e">
        <f>IF(BO93=A!$AV$91*10^-3,"Slut","mel. punkt")</f>
        <v>#N/A</v>
      </c>
      <c r="BO93" s="69" t="e">
        <f>BO92+(A!$AV$91*10^-3)/$BM$58</f>
        <v>#N/A</v>
      </c>
      <c r="BV93" s="1" t="e">
        <f>IF(BW93=A!$AV$92*10^-3,"Slut","mel. punkt")</f>
        <v>#N/A</v>
      </c>
      <c r="BW93" s="1" t="e">
        <f>BW92+(A!$AV$92*10^-3)/$BU$56</f>
        <v>#N/A</v>
      </c>
    </row>
    <row r="94" spans="2:75">
      <c r="F94" s="62" t="s">
        <v>132</v>
      </c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2"/>
      <c r="AP94" s="22"/>
      <c r="AQ94" s="22"/>
      <c r="AR94" s="22"/>
      <c r="AS94" s="22"/>
      <c r="AT94" s="22"/>
      <c r="AU94" s="22"/>
      <c r="AV94" s="22"/>
      <c r="AW94" s="22"/>
      <c r="AX94" s="22"/>
      <c r="AY94" s="22"/>
      <c r="AZ94" s="22"/>
      <c r="BA94" s="22"/>
      <c r="BB94" s="22"/>
      <c r="BC94" s="63"/>
      <c r="BF94" s="1" t="e">
        <f>IF(BG94=A!$AV$90*10^-3,"Slut","mel. punkt")</f>
        <v>#N/A</v>
      </c>
      <c r="BG94" s="69" t="e">
        <f>BG93+(A!$AV$90*10^-3)/$BE$58</f>
        <v>#N/A</v>
      </c>
      <c r="BN94" s="1" t="e">
        <f>IF(BO94=A!$AV$91*10^-3,"Slut","mel. punkt")</f>
        <v>#N/A</v>
      </c>
      <c r="BO94" s="69" t="e">
        <f>BO93+(A!$AV$91*10^-3)/$BM$58</f>
        <v>#N/A</v>
      </c>
      <c r="BV94" s="1" t="e">
        <f>IF(BW94=A!$AV$92*10^-3,"Slut","mel. punkt")</f>
        <v>#N/A</v>
      </c>
      <c r="BW94" s="1" t="e">
        <f>BW93+(A!$AV$92*10^-3)/$BU$56</f>
        <v>#N/A</v>
      </c>
    </row>
    <row r="95" spans="2:75">
      <c r="F95" s="59" t="str">
        <f>A!AZ104&amp;" ["&amp;A!BB104&amp;"]"</f>
        <v>Fladelast [kN/m]</v>
      </c>
      <c r="G95" s="35">
        <f>IF(ISBLANK(G94),0,A!$BA$104)</f>
        <v>0</v>
      </c>
      <c r="H95" s="35">
        <f>IF(ISBLANK(H94),0,A!$BA$104)</f>
        <v>0</v>
      </c>
      <c r="I95" s="35">
        <f>IF(ISBLANK(I94),0,A!$BA$104)</f>
        <v>0</v>
      </c>
      <c r="J95" s="35">
        <f>IF(ISBLANK(J94),0,A!$BA$104)</f>
        <v>0</v>
      </c>
      <c r="K95" s="35">
        <f>IF(ISBLANK(K94),0,A!$BA$104)</f>
        <v>0</v>
      </c>
      <c r="L95" s="35">
        <f>IF(ISBLANK(L94),0,A!$BA$104)</f>
        <v>0</v>
      </c>
      <c r="M95" s="35">
        <f>IF(ISBLANK(M94),0,A!$BA$104)</f>
        <v>0</v>
      </c>
      <c r="N95" s="35">
        <f>IF(ISBLANK(N94),0,A!$BA$104)</f>
        <v>0</v>
      </c>
      <c r="O95" s="35">
        <f>IF(ISBLANK(O94),0,A!$BA$104)</f>
        <v>0</v>
      </c>
      <c r="P95" s="35">
        <f>IF(ISBLANK(P94),0,A!$BA$104)</f>
        <v>0</v>
      </c>
      <c r="Q95" s="35">
        <f>IF(ISBLANK(Q94),0,A!$BA$104)</f>
        <v>0</v>
      </c>
      <c r="R95" s="35">
        <f>IF(ISBLANK(R94),0,A!$BA$104)</f>
        <v>0</v>
      </c>
      <c r="S95" s="35">
        <f>IF(ISBLANK(S94),0,A!$BA$104)</f>
        <v>0</v>
      </c>
      <c r="T95" s="35">
        <f>IF(ISBLANK(T94),0,A!$BA$104)</f>
        <v>0</v>
      </c>
      <c r="U95" s="35">
        <f>IF(ISBLANK(U94),0,A!$BA$104)</f>
        <v>0</v>
      </c>
      <c r="V95" s="35">
        <f>IF(ISBLANK(V94),0,A!$BA$104)</f>
        <v>0</v>
      </c>
      <c r="W95" s="35">
        <f>IF(ISBLANK(W94),0,A!$BA$104)</f>
        <v>0</v>
      </c>
      <c r="X95" s="35">
        <f>IF(ISBLANK(X94),0,A!$BA$104)</f>
        <v>0</v>
      </c>
      <c r="Y95" s="35">
        <f>IF(ISBLANK(Y94),0,A!$BA$104)</f>
        <v>0</v>
      </c>
      <c r="Z95" s="35">
        <f>IF(ISBLANK(Z94),0,A!$BA$104)</f>
        <v>0</v>
      </c>
      <c r="AA95" s="35">
        <f>IF(ISBLANK(AA94),0,A!$BA$104)</f>
        <v>0</v>
      </c>
      <c r="AB95" s="35">
        <f>IF(ISBLANK(AB94),0,A!$BA$104)</f>
        <v>0</v>
      </c>
      <c r="AC95" s="35">
        <f>IF(ISBLANK(AC94),0,A!$BA$104)</f>
        <v>0</v>
      </c>
      <c r="AD95" s="35">
        <f>IF(ISBLANK(AD94),0,A!$BA$104)</f>
        <v>0</v>
      </c>
      <c r="AE95" s="35">
        <f>IF(ISBLANK(AE94),0,A!$BA$104)</f>
        <v>0</v>
      </c>
      <c r="AF95" s="35">
        <f>IF(ISBLANK(AF94),0,A!$BA$104)</f>
        <v>0</v>
      </c>
      <c r="AG95" s="35">
        <f>IF(ISBLANK(AG94),0,A!$BA$104)</f>
        <v>0</v>
      </c>
      <c r="AH95" s="35">
        <f>IF(ISBLANK(AH94),0,A!$BA$104)</f>
        <v>0</v>
      </c>
      <c r="AI95" s="35">
        <f>IF(ISBLANK(AI94),0,A!$BA$104)</f>
        <v>0</v>
      </c>
      <c r="AJ95" s="35">
        <f>IF(ISBLANK(AJ94),0,A!$BA$104)</f>
        <v>0</v>
      </c>
      <c r="AK95" s="35">
        <f>IF(ISBLANK(AK94),0,A!$BA$104)</f>
        <v>0</v>
      </c>
      <c r="AL95" s="35">
        <f>IF(ISBLANK(AL94),0,A!$BA$104)</f>
        <v>0</v>
      </c>
      <c r="AM95" s="35">
        <f>IF(ISBLANK(AM94),0,A!$BA$104)</f>
        <v>0</v>
      </c>
      <c r="AN95" s="35">
        <f>IF(ISBLANK(AN94),0,A!$BA$104)</f>
        <v>0</v>
      </c>
      <c r="AO95" s="35">
        <f>IF(ISBLANK(AO94),0,A!$BA$104)</f>
        <v>0</v>
      </c>
      <c r="AP95" s="35">
        <f>IF(ISBLANK(AP94),0,A!$BA$104)</f>
        <v>0</v>
      </c>
      <c r="AQ95" s="35">
        <f>IF(ISBLANK(AQ94),0,A!$BA$104)</f>
        <v>0</v>
      </c>
      <c r="AR95" s="35">
        <f>IF(ISBLANK(AR94),0,A!$BA$104)</f>
        <v>0</v>
      </c>
      <c r="AS95" s="35">
        <f>IF(ISBLANK(AS94),0,A!$BA$104)</f>
        <v>0</v>
      </c>
      <c r="AT95" s="35">
        <f>IF(ISBLANK(AT94),0,A!$BA$104)</f>
        <v>0</v>
      </c>
      <c r="AU95" s="35">
        <f>IF(ISBLANK(AU94),0,A!$BA$104)</f>
        <v>0</v>
      </c>
      <c r="AV95" s="35">
        <f>IF(ISBLANK(AV94),0,A!$BA$104)</f>
        <v>0</v>
      </c>
      <c r="AW95" s="35">
        <f>IF(ISBLANK(AW94),0,A!$BA$104)</f>
        <v>0</v>
      </c>
      <c r="AX95" s="35">
        <f>IF(ISBLANK(AX94),0,A!$BA$104)</f>
        <v>0</v>
      </c>
      <c r="AY95" s="35">
        <f>IF(ISBLANK(AY94),0,A!$BA$104)</f>
        <v>0</v>
      </c>
      <c r="AZ95" s="35">
        <f>IF(ISBLANK(AZ94),0,A!$BA$104)</f>
        <v>0</v>
      </c>
      <c r="BA95" s="35">
        <f>IF(ISBLANK(BA94),0,A!$BA$104)</f>
        <v>0</v>
      </c>
      <c r="BB95" s="35">
        <f>IF(ISBLANK(BB94),0,A!$BA$104)</f>
        <v>0</v>
      </c>
      <c r="BC95" s="65">
        <f>IF(ISBLANK(BC94),0,A!$BA$104)</f>
        <v>0</v>
      </c>
      <c r="BF95" s="1" t="e">
        <f>IF(BG95=A!$AV$90*10^-3,"Slut","mel. punkt")</f>
        <v>#N/A</v>
      </c>
      <c r="BG95" s="11" t="e">
        <f>BG94+(A!$AV$90*10^-3)/$BE$58</f>
        <v>#N/A</v>
      </c>
      <c r="BN95" s="1" t="e">
        <f>IF(BO95=A!$AV$91*10^-3,"Slut","mel. punkt")</f>
        <v>#N/A</v>
      </c>
      <c r="BO95" s="69" t="e">
        <f>BO94+(A!$AV$91*10^-3)/$BM$58</f>
        <v>#N/A</v>
      </c>
      <c r="BV95" s="1" t="e">
        <f>IF(BW95=A!$AV$92*10^-3,"Slut","mel. punkt")</f>
        <v>#N/A</v>
      </c>
      <c r="BW95" s="1" t="e">
        <f>BW94+(A!$AV$92*10^-3)/$BU$56</f>
        <v>#N/A</v>
      </c>
    </row>
    <row r="96" spans="2:75">
      <c r="B96" s="1" t="s">
        <v>146</v>
      </c>
      <c r="D96" s="11" t="e">
        <f>A!BA104*(A!BH104-A!BG104)-D97</f>
        <v>#N/A</v>
      </c>
      <c r="E96" s="1" t="s">
        <v>41</v>
      </c>
      <c r="F96" s="64" t="s">
        <v>133</v>
      </c>
      <c r="G96" s="21" t="e">
        <f>IF(G94&lt;=$BO$46,-G95*G94^2*0.5,IF(AND(G94&gt;$BO$46,G94&lt;=$BO$52),$D$96*(G94-A!$AS$91*10^-3)-G95*G94^2*0.5,-G95*(A!$AV$91*10^-3-G94)^2*0.5))</f>
        <v>#N/A</v>
      </c>
      <c r="H96" s="21" t="e">
        <f>IF(H94&lt;=$BO$46,-H95*H94^2*0.5,IF(AND(H94&gt;$BO$46,H94&lt;=$BO$52),$D$96*(H94-A!$AS$91*10^-3)-H95*H94^2*0.5,-H95*(A!$AV$91*10^-3-H94)^2*0.5))</f>
        <v>#N/A</v>
      </c>
      <c r="I96" s="21" t="e">
        <f>IF(I94&lt;=$BO$46,-I95*I94^2*0.5,IF(AND(I94&gt;$BO$46,I94&lt;=$BO$52),$D$96*(I94-A!$AS$91*10^-3)-I95*I94^2*0.5,-I95*(A!$AV$91*10^-3-I94)^2*0.5))</f>
        <v>#N/A</v>
      </c>
      <c r="J96" s="21" t="e">
        <f>IF(J94&lt;=$BO$46,-J95*J94^2*0.5,IF(AND(J94&gt;$BO$46,J94&lt;=$BO$52),$D$96*(J94-A!$AS$91*10^-3)-J95*J94^2*0.5,-J95*(A!$AV$91*10^-3-J94)^2*0.5))</f>
        <v>#N/A</v>
      </c>
      <c r="K96" s="21" t="e">
        <f>IF(K94&lt;=$BO$46,-K95*K94^2*0.5,IF(AND(K94&gt;$BO$46,K94&lt;=$BO$52),$D$96*(K94-A!$AS$91*10^-3)-K95*K94^2*0.5,-K95*(A!$AV$91*10^-3-K94)^2*0.5))</f>
        <v>#N/A</v>
      </c>
      <c r="L96" s="21" t="e">
        <f>IF(L94&lt;=$BO$46,-L95*L94^2*0.5,IF(AND(L94&gt;$BO$46,L94&lt;=$BO$52),$D$96*(L94-A!$AS$91*10^-3)-L95*L94^2*0.5,-L95*(A!$AV$91*10^-3-L94)^2*0.5))</f>
        <v>#N/A</v>
      </c>
      <c r="M96" s="21" t="e">
        <f>IF(M94&lt;=$BO$46,-M95*M94^2*0.5,IF(AND(M94&gt;$BO$46,M94&lt;=$BO$52),$D$96*(M94-A!$AS$91*10^-3)-M95*M94^2*0.5,-M95*(A!$AV$91*10^-3-M94)^2*0.5))</f>
        <v>#N/A</v>
      </c>
      <c r="N96" s="21" t="e">
        <f>IF(N94&lt;=$BO$46,-N95*N94^2*0.5,IF(AND(N94&gt;$BO$46,N94&lt;=$BO$52),$D$96*(N94-A!$AS$91*10^-3)-N95*N94^2*0.5,-N95*(A!$AV$91*10^-3-N94)^2*0.5))</f>
        <v>#N/A</v>
      </c>
      <c r="O96" s="21" t="e">
        <f>IF(O94&lt;=$BO$46,-O95*O94^2*0.5,IF(AND(O94&gt;$BO$46,O94&lt;=$BO$52),$D$96*(O94-A!$AS$91*10^-3)-O95*O94^2*0.5,-O95*(A!$AV$91*10^-3-O94)^2*0.5))</f>
        <v>#N/A</v>
      </c>
      <c r="P96" s="21" t="e">
        <f>IF(P94&lt;=$BO$46,-P95*P94^2*0.5,IF(AND(P94&gt;$BO$46,P94&lt;=$BO$52),$D$96*(P94-A!$AS$91*10^-3)-P95*P94^2*0.5,-P95*(A!$AV$91*10^-3-P94)^2*0.5))</f>
        <v>#N/A</v>
      </c>
      <c r="Q96" s="21" t="e">
        <f>IF(Q94&lt;=$BO$46,-Q95*Q94^2*0.5,IF(AND(Q94&gt;$BO$46,Q94&lt;=$BO$52),$D$96*(Q94-A!$AS$91*10^-3)-Q95*Q94^2*0.5,-Q95*(A!$AV$91*10^-3-Q94)^2*0.5))</f>
        <v>#N/A</v>
      </c>
      <c r="R96" s="21" t="e">
        <f>IF(R94&lt;=$BO$46,-R95*R94^2*0.5,IF(AND(R94&gt;$BO$46,R94&lt;=$BO$52),$D$96*(R94-A!$AS$91*10^-3)-R95*R94^2*0.5,-R95*(A!$AV$91*10^-3-R94)^2*0.5))</f>
        <v>#N/A</v>
      </c>
      <c r="S96" s="21" t="e">
        <f>IF(S94&lt;=$BO$46,-S95*S94^2*0.5,IF(AND(S94&gt;$BO$46,S94&lt;=$BO$52),$D$96*(S94-A!$AS$91*10^-3)-S95*S94^2*0.5,-S95*(A!$AV$91*10^-3-S94)^2*0.5))</f>
        <v>#N/A</v>
      </c>
      <c r="T96" s="21" t="e">
        <f>IF(T94&lt;=$BO$46,-T95*T94^2*0.5,IF(AND(T94&gt;$BO$46,T94&lt;=$BO$52),$D$96*(T94-A!$AS$91*10^-3)-T95*T94^2*0.5,-T95*(A!$AV$91*10^-3-T94)^2*0.5))</f>
        <v>#N/A</v>
      </c>
      <c r="U96" s="21" t="e">
        <f>IF(U94&lt;=$BO$46,-U95*U94^2*0.5,IF(AND(U94&gt;$BO$46,U94&lt;=$BO$52),$D$96*(U94-A!$AS$91*10^-3)-U95*U94^2*0.5,-U95*(A!$AV$91*10^-3-U94)^2*0.5))</f>
        <v>#N/A</v>
      </c>
      <c r="V96" s="21" t="e">
        <f>IF(V94&lt;=$BO$46,-V95*V94^2*0.5,IF(AND(V94&gt;$BO$46,V94&lt;=$BO$52),$D$96*(V94-A!$AS$91*10^-3)-V95*V94^2*0.5,-V95*(A!$AV$91*10^-3-V94)^2*0.5))</f>
        <v>#N/A</v>
      </c>
      <c r="W96" s="21" t="e">
        <f>IF(W94&lt;=$BO$46,-W95*W94^2*0.5,IF(AND(W94&gt;$BO$46,W94&lt;=$BO$52),$D$96*(W94-A!$AS$91*10^-3)-W95*W94^2*0.5,-W95*(A!$AV$91*10^-3-W94)^2*0.5))</f>
        <v>#N/A</v>
      </c>
      <c r="X96" s="21" t="e">
        <f>IF(X94&lt;=$BO$46,-X95*X94^2*0.5,IF(AND(X94&gt;$BO$46,X94&lt;=$BO$52),$D$96*(X94-A!$AS$91*10^-3)-X95*X94^2*0.5,-X95*(A!$AV$91*10^-3-X94)^2*0.5))</f>
        <v>#N/A</v>
      </c>
      <c r="Y96" s="21" t="e">
        <f>IF(Y94&lt;=$BO$46,-Y95*Y94^2*0.5,IF(AND(Y94&gt;$BO$46,Y94&lt;=$BO$52),$D$96*(Y94-A!$AS$91*10^-3)-Y95*Y94^2*0.5,-Y95*(A!$AV$91*10^-3-Y94)^2*0.5))</f>
        <v>#N/A</v>
      </c>
      <c r="Z96" s="21" t="e">
        <f>IF(Z94&lt;=$BO$46,-Z95*Z94^2*0.5,IF(AND(Z94&gt;$BO$46,Z94&lt;=$BO$52),$D$96*(Z94-A!$AS$91*10^-3)-Z95*Z94^2*0.5,-Z95*(A!$AV$91*10^-3-Z94)^2*0.5))</f>
        <v>#N/A</v>
      </c>
      <c r="AA96" s="21" t="e">
        <f>IF(AA94&lt;=$BO$46,-AA95*AA94^2*0.5,IF(AND(AA94&gt;$BO$46,AA94&lt;=$BO$52),$D$96*(AA94-A!$AS$91*10^-3)-AA95*AA94^2*0.5,-AA95*(A!$AV$91*10^-3-AA94)^2*0.5))</f>
        <v>#N/A</v>
      </c>
      <c r="AB96" s="21" t="e">
        <f>IF(AB94&lt;=$BO$46,-AB95*AB94^2*0.5,IF(AND(AB94&gt;$BO$46,AB94&lt;=$BO$52),$D$96*(AB94-A!$AS$91*10^-3)-AB95*AB94^2*0.5,-AB95*(A!$AV$91*10^-3-AB94)^2*0.5))</f>
        <v>#N/A</v>
      </c>
      <c r="AC96" s="21" t="e">
        <f>IF(AC94&lt;=$BO$46,-AC95*AC94^2*0.5,IF(AND(AC94&gt;$BO$46,AC94&lt;=$BO$52),$D$96*(AC94-A!$AS$91*10^-3)-AC95*AC94^2*0.5,-AC95*(A!$AV$91*10^-3-AC94)^2*0.5))</f>
        <v>#N/A</v>
      </c>
      <c r="AD96" s="21" t="e">
        <f>IF(AD94&lt;=$BO$46,-AD95*AD94^2*0.5,IF(AND(AD94&gt;$BO$46,AD94&lt;=$BO$52),$D$96*(AD94-A!$AS$91*10^-3)-AD95*AD94^2*0.5,-AD95*(A!$AV$91*10^-3-AD94)^2*0.5))</f>
        <v>#N/A</v>
      </c>
      <c r="AE96" s="21" t="e">
        <f>IF(AE94&lt;=$BO$46,-AE95*AE94^2*0.5,IF(AND(AE94&gt;$BO$46,AE94&lt;=$BO$52),$D$96*(AE94-A!$AS$91*10^-3)-AE95*AE94^2*0.5,-AE95*(A!$AV$91*10^-3-AE94)^2*0.5))</f>
        <v>#N/A</v>
      </c>
      <c r="AF96" s="21" t="e">
        <f>IF(AF94&lt;=$BO$46,-AF95*AF94^2*0.5,IF(AND(AF94&gt;$BO$46,AF94&lt;=$BO$52),$D$96*(AF94-A!$AS$91*10^-3)-AF95*AF94^2*0.5,-AF95*(A!$AV$91*10^-3-AF94)^2*0.5))</f>
        <v>#N/A</v>
      </c>
      <c r="AG96" s="21" t="e">
        <f>IF(AG94&lt;=$BO$46,-AG95*AG94^2*0.5,IF(AND(AG94&gt;$BO$46,AG94&lt;=$BO$52),$D$96*(AG94-A!$AS$91*10^-3)-AG95*AG94^2*0.5,-AG95*(A!$AV$91*10^-3-AG94)^2*0.5))</f>
        <v>#N/A</v>
      </c>
      <c r="AH96" s="21" t="e">
        <f>IF(AH94&lt;=$BO$46,-AH95*AH94^2*0.5,IF(AND(AH94&gt;$BO$46,AH94&lt;=$BO$52),$D$96*(AH94-A!$AS$91*10^-3)-AH95*AH94^2*0.5,-AH95*(A!$AV$91*10^-3-AH94)^2*0.5))</f>
        <v>#N/A</v>
      </c>
      <c r="AI96" s="21" t="e">
        <f>IF(AI94&lt;=$BO$46,-AI95*AI94^2*0.5,IF(AND(AI94&gt;$BO$46,AI94&lt;=$BO$52),$D$96*(AI94-A!$AS$91*10^-3)-AI95*AI94^2*0.5,-AI95*(A!$AV$91*10^-3-AI94)^2*0.5))</f>
        <v>#N/A</v>
      </c>
      <c r="AJ96" s="21" t="e">
        <f>IF(AJ94&lt;=$BO$46,-AJ95*AJ94^2*0.5,IF(AND(AJ94&gt;$BO$46,AJ94&lt;=$BO$52),$D$96*(AJ94-A!$AS$91*10^-3)-AJ95*AJ94^2*0.5,-AJ95*(A!$AV$91*10^-3-AJ94)^2*0.5))</f>
        <v>#N/A</v>
      </c>
      <c r="AK96" s="21" t="e">
        <f>IF(AK94&lt;=$BO$46,-AK95*AK94^2*0.5,IF(AND(AK94&gt;$BO$46,AK94&lt;=$BO$52),$D$96*(AK94-A!$AS$91*10^-3)-AK95*AK94^2*0.5,-AK95*(A!$AV$91*10^-3-AK94)^2*0.5))</f>
        <v>#N/A</v>
      </c>
      <c r="AL96" s="21" t="e">
        <f>IF(AL94&lt;=$BO$46,-AL95*AL94^2*0.5,IF(AND(AL94&gt;$BO$46,AL94&lt;=$BO$52),$D$96*(AL94-A!$AS$91*10^-3)-AL95*AL94^2*0.5,-AL95*(A!$AV$91*10^-3-AL94)^2*0.5))</f>
        <v>#N/A</v>
      </c>
      <c r="AM96" s="21" t="e">
        <f>IF(AM94&lt;=$BO$46,-AM95*AM94^2*0.5,IF(AND(AM94&gt;$BO$46,AM94&lt;=$BO$52),$D$96*(AM94-A!$AS$91*10^-3)-AM95*AM94^2*0.5,-AM95*(A!$AV$91*10^-3-AM94)^2*0.5))</f>
        <v>#N/A</v>
      </c>
      <c r="AN96" s="21" t="e">
        <f>IF(AN94&lt;=$BO$46,-AN95*AN94^2*0.5,IF(AND(AN94&gt;$BO$46,AN94&lt;=$BO$52),$D$96*(AN94-A!$AS$91*10^-3)-AN95*AN94^2*0.5,-AN95*(A!$AV$91*10^-3-AN94)^2*0.5))</f>
        <v>#N/A</v>
      </c>
      <c r="AO96" s="21" t="e">
        <f>IF(AO94&lt;=$BO$46,-AO95*AO94^2*0.5,IF(AND(AO94&gt;$BO$46,AO94&lt;=$BO$52),$D$96*(AO94-A!$AS$91*10^-3)-AO95*AO94^2*0.5,-AO95*(A!$AV$91*10^-3-AO94)^2*0.5))</f>
        <v>#N/A</v>
      </c>
      <c r="AP96" s="21" t="e">
        <f>IF(AP94&lt;=$BO$46,-AP95*AP94^2*0.5,IF(AND(AP94&gt;$BO$46,AP94&lt;=$BO$52),$D$96*(AP94-A!$AS$91*10^-3)-AP95*AP94^2*0.5,-AP95*(A!$AV$91*10^-3-AP94)^2*0.5))</f>
        <v>#N/A</v>
      </c>
      <c r="AQ96" s="21" t="e">
        <f>IF(AQ94&lt;=$BO$46,-AQ95*AQ94^2*0.5,IF(AND(AQ94&gt;$BO$46,AQ94&lt;=$BO$52),$D$96*(AQ94-A!$AS$91*10^-3)-AQ95*AQ94^2*0.5,-AQ95*(A!$AV$91*10^-3-AQ94)^2*0.5))</f>
        <v>#N/A</v>
      </c>
      <c r="AR96" s="21" t="e">
        <f>IF(AR94&lt;=$BO$46,-AR95*AR94^2*0.5,IF(AND(AR94&gt;$BO$46,AR94&lt;=$BO$52),$D$96*(AR94-A!$AS$91*10^-3)-AR95*AR94^2*0.5,-AR95*(A!$AV$91*10^-3-AR94)^2*0.5))</f>
        <v>#N/A</v>
      </c>
      <c r="AS96" s="21" t="e">
        <f>IF(AS94&lt;=$BO$46,-AS95*AS94^2*0.5,IF(AND(AS94&gt;$BO$46,AS94&lt;=$BO$52),$D$96*(AS94-A!$AS$91*10^-3)-AS95*AS94^2*0.5,-AS95*(A!$AV$91*10^-3-AS94)^2*0.5))</f>
        <v>#N/A</v>
      </c>
      <c r="AT96" s="21" t="e">
        <f>IF(AT94&lt;=$BO$46,-AT95*AT94^2*0.5,IF(AND(AT94&gt;$BO$46,AT94&lt;=$BO$52),$D$96*(AT94-A!$AS$91*10^-3)-AT95*AT94^2*0.5,-AT95*(A!$AV$91*10^-3-AT94)^2*0.5))</f>
        <v>#N/A</v>
      </c>
      <c r="AU96" s="21" t="e">
        <f>IF(AU94&lt;=$BO$46,-AU95*AU94^2*0.5,IF(AND(AU94&gt;$BO$46,AU94&lt;=$BO$52),$D$96*(AU94-A!$AS$91*10^-3)-AU95*AU94^2*0.5,-AU95*(A!$AV$91*10^-3-AU94)^2*0.5))</f>
        <v>#N/A</v>
      </c>
      <c r="AV96" s="21" t="e">
        <f>IF(AV94&lt;=$BO$46,-AV95*AV94^2*0.5,IF(AND(AV94&gt;$BO$46,AV94&lt;=$BO$52),$D$96*(AV94-A!$AS$91*10^-3)-AV95*AV94^2*0.5,-AV95*(A!$AV$91*10^-3-AV94)^2*0.5))</f>
        <v>#N/A</v>
      </c>
      <c r="AW96" s="21" t="e">
        <f>IF(AW94&lt;=$BO$46,-AW95*AW94^2*0.5,IF(AND(AW94&gt;$BO$46,AW94&lt;=$BO$52),$D$96*(AW94-A!$AS$91*10^-3)-AW95*AW94^2*0.5,-AW95*(A!$AV$91*10^-3-AW94)^2*0.5))</f>
        <v>#N/A</v>
      </c>
      <c r="AX96" s="21" t="e">
        <f>IF(AX94&lt;=$BO$46,-AX95*AX94^2*0.5,IF(AND(AX94&gt;$BO$46,AX94&lt;=$BO$52),$D$96*(AX94-A!$AS$91*10^-3)-AX95*AX94^2*0.5,-AX95*(A!$AV$91*10^-3-AX94)^2*0.5))</f>
        <v>#N/A</v>
      </c>
      <c r="AY96" s="21" t="e">
        <f>IF(AY94&lt;=$BO$46,-AY95*AY94^2*0.5,IF(AND(AY94&gt;$BO$46,AY94&lt;=$BO$52),$D$96*(AY94-A!$AS$91*10^-3)-AY95*AY94^2*0.5,-AY95*(A!$AV$91*10^-3-AY94)^2*0.5))</f>
        <v>#N/A</v>
      </c>
      <c r="AZ96" s="21" t="e">
        <f>IF(AZ94&lt;=$BO$46,-AZ95*AZ94^2*0.5,IF(AND(AZ94&gt;$BO$46,AZ94&lt;=$BO$52),$D$96*(AZ94-A!$AS$91*10^-3)-AZ95*AZ94^2*0.5,-AZ95*(A!$AV$91*10^-3-AZ94)^2*0.5))</f>
        <v>#N/A</v>
      </c>
      <c r="BA96" s="21" t="e">
        <f>IF(BA94&lt;=$BO$46,-BA95*BA94^2*0.5,IF(AND(BA94&gt;$BO$46,BA94&lt;=$BO$52),$D$96*(BA94-A!$AS$91*10^-3)-BA95*BA94^2*0.5,-BA95*(A!$AV$91*10^-3-BA94)^2*0.5))</f>
        <v>#N/A</v>
      </c>
      <c r="BB96" s="21" t="e">
        <f>IF(BB94&lt;=$BO$46,-BB95*BB94^2*0.5,IF(AND(BB94&gt;$BO$46,BB94&lt;=$BO$52),$D$96*(BB94-A!$AS$91*10^-3)-BB95*BB94^2*0.5,-BB95*(A!$AV$91*10^-3-BB94)^2*0.5))</f>
        <v>#N/A</v>
      </c>
      <c r="BC96" s="25" t="e">
        <f>IF(BC94&lt;=$BO$46,-BC95*BC94^2*0.5,IF(AND(BC94&gt;$BO$46,BC94&lt;=$BO$52),$D$96*(BC94-A!$AS$91*10^-3)-BC95*BC94^2*0.5,-BC95*(A!$AV$91*10^-3-BC94)^2*0.5))</f>
        <v>#N/A</v>
      </c>
      <c r="BF96" s="1" t="e">
        <f>IF(BG96=A!$AV$90*10^-3,"Slut","mel. punkt")</f>
        <v>#N/A</v>
      </c>
      <c r="BG96" s="11" t="e">
        <f>BG95+(A!$AV$90*10^-3)/$BE$58</f>
        <v>#N/A</v>
      </c>
      <c r="BN96" s="1" t="e">
        <f>IF(BO96=A!$AV$91*10^-3,"Slut","mel. punkt")</f>
        <v>#N/A</v>
      </c>
      <c r="BO96" s="69" t="e">
        <f>BO95+(A!$AV$91*10^-3)/$BM$58</f>
        <v>#N/A</v>
      </c>
      <c r="BV96" s="1" t="e">
        <f>IF(BW96=A!$AV$92*10^-3,"Slut","mel. punkt")</f>
        <v>#N/A</v>
      </c>
      <c r="BW96" s="1" t="e">
        <f>BW95+(A!$AV$92*10^-3)/$BU$56</f>
        <v>#N/A</v>
      </c>
    </row>
    <row r="97" spans="2:59">
      <c r="B97" s="1" t="s">
        <v>147</v>
      </c>
      <c r="D97" s="11" t="e">
        <f>A!BF104/(A!AT91*10^-3)</f>
        <v>#N/A</v>
      </c>
      <c r="E97" s="1" t="s">
        <v>41</v>
      </c>
      <c r="F97" s="64" t="s">
        <v>134</v>
      </c>
      <c r="G97" s="23">
        <v>0</v>
      </c>
      <c r="H97" s="23">
        <f>IF(H93="ven. u. støtn. h",G97+$D$96,IF(H93="høj. u. støtn. h",G97+$D$97,G97-H95*(H94-G94)))</f>
        <v>0</v>
      </c>
      <c r="I97" s="23">
        <f t="shared" ref="I97:BC97" si="61">IF(I93="ven. u. støtn. h",H97+$D$96,IF(I93="høj. u. støtn. h",H97+$D$97,H97-I95*(I94-H94)))</f>
        <v>0</v>
      </c>
      <c r="J97" s="23">
        <f t="shared" si="61"/>
        <v>0</v>
      </c>
      <c r="K97" s="23">
        <f t="shared" si="61"/>
        <v>0</v>
      </c>
      <c r="L97" s="23">
        <f t="shared" si="61"/>
        <v>0</v>
      </c>
      <c r="M97" s="23">
        <f t="shared" si="61"/>
        <v>0</v>
      </c>
      <c r="N97" s="23">
        <f t="shared" si="61"/>
        <v>0</v>
      </c>
      <c r="O97" s="23">
        <f t="shared" si="61"/>
        <v>0</v>
      </c>
      <c r="P97" s="23">
        <f t="shared" si="61"/>
        <v>0</v>
      </c>
      <c r="Q97" s="23">
        <f t="shared" si="61"/>
        <v>0</v>
      </c>
      <c r="R97" s="23">
        <f t="shared" si="61"/>
        <v>0</v>
      </c>
      <c r="S97" s="23">
        <f t="shared" si="61"/>
        <v>0</v>
      </c>
      <c r="T97" s="23">
        <f t="shared" si="61"/>
        <v>0</v>
      </c>
      <c r="U97" s="23">
        <f t="shared" si="61"/>
        <v>0</v>
      </c>
      <c r="V97" s="23">
        <f t="shared" si="61"/>
        <v>0</v>
      </c>
      <c r="W97" s="23">
        <f t="shared" si="61"/>
        <v>0</v>
      </c>
      <c r="X97" s="23">
        <f t="shared" si="61"/>
        <v>0</v>
      </c>
      <c r="Y97" s="23">
        <f t="shared" si="61"/>
        <v>0</v>
      </c>
      <c r="Z97" s="23">
        <f t="shared" si="61"/>
        <v>0</v>
      </c>
      <c r="AA97" s="23">
        <f t="shared" si="61"/>
        <v>0</v>
      </c>
      <c r="AB97" s="23">
        <f t="shared" si="61"/>
        <v>0</v>
      </c>
      <c r="AC97" s="23">
        <f t="shared" si="61"/>
        <v>0</v>
      </c>
      <c r="AD97" s="23">
        <f t="shared" si="61"/>
        <v>0</v>
      </c>
      <c r="AE97" s="23">
        <f t="shared" si="61"/>
        <v>0</v>
      </c>
      <c r="AF97" s="23">
        <f t="shared" si="61"/>
        <v>0</v>
      </c>
      <c r="AG97" s="23">
        <f t="shared" si="61"/>
        <v>0</v>
      </c>
      <c r="AH97" s="23">
        <f t="shared" si="61"/>
        <v>0</v>
      </c>
      <c r="AI97" s="23">
        <f t="shared" si="61"/>
        <v>0</v>
      </c>
      <c r="AJ97" s="23">
        <f t="shared" si="61"/>
        <v>0</v>
      </c>
      <c r="AK97" s="23">
        <f t="shared" si="61"/>
        <v>0</v>
      </c>
      <c r="AL97" s="23">
        <f t="shared" si="61"/>
        <v>0</v>
      </c>
      <c r="AM97" s="23">
        <f t="shared" si="61"/>
        <v>0</v>
      </c>
      <c r="AN97" s="23">
        <f t="shared" si="61"/>
        <v>0</v>
      </c>
      <c r="AO97" s="23">
        <f t="shared" si="61"/>
        <v>0</v>
      </c>
      <c r="AP97" s="23">
        <f t="shared" si="61"/>
        <v>0</v>
      </c>
      <c r="AQ97" s="23">
        <f t="shared" si="61"/>
        <v>0</v>
      </c>
      <c r="AR97" s="23">
        <f t="shared" si="61"/>
        <v>0</v>
      </c>
      <c r="AS97" s="23">
        <f t="shared" si="61"/>
        <v>0</v>
      </c>
      <c r="AT97" s="23">
        <f t="shared" si="61"/>
        <v>0</v>
      </c>
      <c r="AU97" s="23">
        <f t="shared" si="61"/>
        <v>0</v>
      </c>
      <c r="AV97" s="23">
        <f t="shared" si="61"/>
        <v>0</v>
      </c>
      <c r="AW97" s="23">
        <f t="shared" si="61"/>
        <v>0</v>
      </c>
      <c r="AX97" s="23">
        <f t="shared" si="61"/>
        <v>0</v>
      </c>
      <c r="AY97" s="23">
        <f t="shared" si="61"/>
        <v>0</v>
      </c>
      <c r="AZ97" s="23">
        <f t="shared" si="61"/>
        <v>0</v>
      </c>
      <c r="BA97" s="23">
        <f t="shared" si="61"/>
        <v>0</v>
      </c>
      <c r="BB97" s="23">
        <f t="shared" si="61"/>
        <v>0</v>
      </c>
      <c r="BC97" s="24">
        <f t="shared" si="61"/>
        <v>0</v>
      </c>
      <c r="BG97" s="69"/>
    </row>
    <row r="98" spans="2:59">
      <c r="F98" s="59" t="s">
        <v>154</v>
      </c>
      <c r="G98" s="35" t="e">
        <f ca="1">IF(G93="Punkt fra "&amp;A!$AZ$106&amp;", h",A!$BA$106,IF(G93="Punkt fra "&amp;A!$AZ$107&amp;", h",A!$BA$107,IF(G93="Slut",A!$BA$108,0)))</f>
        <v>#N/A</v>
      </c>
      <c r="H98" s="35">
        <f>IF(H93="Punkt fra "&amp;A!$AZ$106&amp;", h",A!$BA$106,IF(H93="Punkt fra "&amp;A!$AZ$107&amp;", h",A!$BA$107,IF(H93="Slut",A!$BA$108,0)))</f>
        <v>0</v>
      </c>
      <c r="I98" s="35">
        <f>IF(I93="Punkt fra "&amp;A!$AZ$106&amp;", h",A!$BA$106,IF(I93="Punkt fra "&amp;A!$AZ$107&amp;", h",A!$BA$107,IF(I93="Slut",A!$BA$108,0)))</f>
        <v>0</v>
      </c>
      <c r="J98" s="35">
        <f>IF(J93="Punkt fra "&amp;A!$AZ$106&amp;", h",A!$BA$106,IF(J93="Punkt fra "&amp;A!$AZ$107&amp;", h",A!$BA$107,IF(J93="Slut",A!$BA$108,0)))</f>
        <v>0</v>
      </c>
      <c r="K98" s="35">
        <f>IF(K93="Punkt fra "&amp;A!$AZ$106&amp;", h",A!$BA$106,IF(K93="Punkt fra "&amp;A!$AZ$107&amp;", h",A!$BA$107,IF(K93="Slut",A!$BA$108,0)))</f>
        <v>0</v>
      </c>
      <c r="L98" s="35">
        <f>IF(L93="Punkt fra "&amp;A!$AZ$106&amp;", h",A!$BA$106,IF(L93="Punkt fra "&amp;A!$AZ$107&amp;", h",A!$BA$107,IF(L93="Slut",A!$BA$108,0)))</f>
        <v>0</v>
      </c>
      <c r="M98" s="35">
        <f>IF(M93="Punkt fra "&amp;A!$AZ$106&amp;", h",A!$BA$106,IF(M93="Punkt fra "&amp;A!$AZ$107&amp;", h",A!$BA$107,IF(M93="Slut",A!$BA$108,0)))</f>
        <v>0</v>
      </c>
      <c r="N98" s="35">
        <f>IF(N93="Punkt fra "&amp;A!$AZ$106&amp;", h",A!$BA$106,IF(N93="Punkt fra "&amp;A!$AZ$107&amp;", h",A!$BA$107,IF(N93="Slut",A!$BA$108,0)))</f>
        <v>0</v>
      </c>
      <c r="O98" s="35">
        <f>IF(O93="Punkt fra "&amp;A!$AZ$106&amp;", h",A!$BA$106,IF(O93="Punkt fra "&amp;A!$AZ$107&amp;", h",A!$BA$107,IF(O93="Slut",A!$BA$108,0)))</f>
        <v>0</v>
      </c>
      <c r="P98" s="35">
        <f>IF(P93="Punkt fra "&amp;A!$AZ$106&amp;", h",A!$BA$106,IF(P93="Punkt fra "&amp;A!$AZ$107&amp;", h",A!$BA$107,IF(P93="Slut",A!$BA$108,0)))</f>
        <v>0</v>
      </c>
      <c r="Q98" s="35">
        <f>IF(Q93="Punkt fra "&amp;A!$AZ$106&amp;", h",A!$BA$106,IF(Q93="Punkt fra "&amp;A!$AZ$107&amp;", h",A!$BA$107,IF(Q93="Slut",A!$BA$108,0)))</f>
        <v>0</v>
      </c>
      <c r="R98" s="35">
        <f>IF(R93="Punkt fra "&amp;A!$AZ$106&amp;", h",A!$BA$106,IF(R93="Punkt fra "&amp;A!$AZ$107&amp;", h",A!$BA$107,IF(R93="Slut",A!$BA$108,0)))</f>
        <v>0</v>
      </c>
      <c r="S98" s="35">
        <f>IF(S93="Punkt fra "&amp;A!$AZ$106&amp;", h",A!$BA$106,IF(S93="Punkt fra "&amp;A!$AZ$107&amp;", h",A!$BA$107,IF(S93="Slut",A!$BA$108,0)))</f>
        <v>0</v>
      </c>
      <c r="T98" s="35">
        <f>IF(T93="Punkt fra "&amp;A!$AZ$106&amp;", h",A!$BA$106,IF(T93="Punkt fra "&amp;A!$AZ$107&amp;", h",A!$BA$107,IF(T93="Slut",A!$BA$108,0)))</f>
        <v>0</v>
      </c>
      <c r="U98" s="35">
        <f>IF(U93="Punkt fra "&amp;A!$AZ$106&amp;", h",A!$BA$106,IF(U93="Punkt fra "&amp;A!$AZ$107&amp;", h",A!$BA$107,IF(U93="Slut",A!$BA$108,0)))</f>
        <v>0</v>
      </c>
      <c r="V98" s="35">
        <f>IF(V93="Punkt fra "&amp;A!$AZ$106&amp;", h",A!$BA$106,IF(V93="Punkt fra "&amp;A!$AZ$107&amp;", h",A!$BA$107,IF(V93="Slut",A!$BA$108,0)))</f>
        <v>0</v>
      </c>
      <c r="W98" s="35">
        <f>IF(W93="Punkt fra "&amp;A!$AZ$106&amp;", h",A!$BA$106,IF(W93="Punkt fra "&amp;A!$AZ$107&amp;", h",A!$BA$107,IF(W93="Slut",A!$BA$108,0)))</f>
        <v>0</v>
      </c>
      <c r="X98" s="35">
        <f>IF(X93="Punkt fra "&amp;A!$AZ$106&amp;", h",A!$BA$106,IF(X93="Punkt fra "&amp;A!$AZ$107&amp;", h",A!$BA$107,IF(X93="Slut",A!$BA$108,0)))</f>
        <v>0</v>
      </c>
      <c r="Y98" s="35">
        <f>IF(Y93="Punkt fra "&amp;A!$AZ$106&amp;", h",A!$BA$106,IF(Y93="Punkt fra "&amp;A!$AZ$107&amp;", h",A!$BA$107,IF(Y93="Slut",A!$BA$108,0)))</f>
        <v>0</v>
      </c>
      <c r="Z98" s="35">
        <f>IF(Z93="Punkt fra "&amp;A!$AZ$106&amp;", h",A!$BA$106,IF(Z93="Punkt fra "&amp;A!$AZ$107&amp;", h",A!$BA$107,IF(Z93="Slut",A!$BA$108,0)))</f>
        <v>0</v>
      </c>
      <c r="AA98" s="35">
        <f>IF(AA93="Punkt fra "&amp;A!$AZ$106&amp;", h",A!$BA$106,IF(AA93="Punkt fra "&amp;A!$AZ$107&amp;", h",A!$BA$107,IF(AA93="Slut",A!$BA$108,0)))</f>
        <v>0</v>
      </c>
      <c r="AB98" s="35">
        <f>IF(AB93="Punkt fra "&amp;A!$AZ$106&amp;", h",A!$BA$106,IF(AB93="Punkt fra "&amp;A!$AZ$107&amp;", h",A!$BA$107,IF(AB93="Slut",A!$BA$108,0)))</f>
        <v>0</v>
      </c>
      <c r="AC98" s="35">
        <f>IF(AC93="Punkt fra "&amp;A!$AZ$106&amp;", h",A!$BA$106,IF(AC93="Punkt fra "&amp;A!$AZ$107&amp;", h",A!$BA$107,IF(AC93="Slut",A!$BA$108,0)))</f>
        <v>0</v>
      </c>
      <c r="AD98" s="35">
        <f>IF(AD93="Punkt fra "&amp;A!$AZ$106&amp;", h",A!$BA$106,IF(AD93="Punkt fra "&amp;A!$AZ$107&amp;", h",A!$BA$107,IF(AD93="Slut",A!$BA$108,0)))</f>
        <v>0</v>
      </c>
      <c r="AE98" s="35">
        <f>IF(AE93="Punkt fra "&amp;A!$AZ$106&amp;", h",A!$BA$106,IF(AE93="Punkt fra "&amp;A!$AZ$107&amp;", h",A!$BA$107,IF(AE93="Slut",A!$BA$108,0)))</f>
        <v>0</v>
      </c>
      <c r="AF98" s="35">
        <f>IF(AF93="Punkt fra "&amp;A!$AZ$106&amp;", h",A!$BA$106,IF(AF93="Punkt fra "&amp;A!$AZ$107&amp;", h",A!$BA$107,IF(AF93="Slut",A!$BA$108,0)))</f>
        <v>0</v>
      </c>
      <c r="AG98" s="35">
        <f>IF(AG93="Punkt fra "&amp;A!$AZ$106&amp;", h",A!$BA$106,IF(AG93="Punkt fra "&amp;A!$AZ$107&amp;", h",A!$BA$107,IF(AG93="Slut",A!$BA$108,0)))</f>
        <v>0</v>
      </c>
      <c r="AH98" s="35">
        <f>IF(AH93="Punkt fra "&amp;A!$AZ$106&amp;", h",A!$BA$106,IF(AH93="Punkt fra "&amp;A!$AZ$107&amp;", h",A!$BA$107,IF(AH93="Slut",A!$BA$108,0)))</f>
        <v>0</v>
      </c>
      <c r="AI98" s="35">
        <f>IF(AI93="Punkt fra "&amp;A!$AZ$106&amp;", h",A!$BA$106,IF(AI93="Punkt fra "&amp;A!$AZ$107&amp;", h",A!$BA$107,IF(AI93="Slut",A!$BA$108,0)))</f>
        <v>0</v>
      </c>
      <c r="AJ98" s="35">
        <f>IF(AJ93="Punkt fra "&amp;A!$AZ$106&amp;", h",A!$BA$106,IF(AJ93="Punkt fra "&amp;A!$AZ$107&amp;", h",A!$BA$107,IF(AJ93="Slut",A!$BA$108,0)))</f>
        <v>0</v>
      </c>
      <c r="AK98" s="35">
        <f>IF(AK93="Punkt fra "&amp;A!$AZ$106&amp;", h",A!$BA$106,IF(AK93="Punkt fra "&amp;A!$AZ$107&amp;", h",A!$BA$107,IF(AK93="Slut",A!$BA$108,0)))</f>
        <v>0</v>
      </c>
      <c r="AL98" s="35">
        <f>IF(AL93="Punkt fra "&amp;A!$AZ$106&amp;", h",A!$BA$106,IF(AL93="Punkt fra "&amp;A!$AZ$107&amp;", h",A!$BA$107,IF(AL93="Slut",A!$BA$108,0)))</f>
        <v>0</v>
      </c>
      <c r="AM98" s="35">
        <f>IF(AM93="Punkt fra "&amp;A!$AZ$106&amp;", h",A!$BA$106,IF(AM93="Punkt fra "&amp;A!$AZ$107&amp;", h",A!$BA$107,IF(AM93="Slut",A!$BA$108,0)))</f>
        <v>0</v>
      </c>
      <c r="AN98" s="35">
        <f>IF(AN93="Punkt fra "&amp;A!$AZ$106&amp;", h",A!$BA$106,IF(AN93="Punkt fra "&amp;A!$AZ$107&amp;", h",A!$BA$107,IF(AN93="Slut",A!$BA$108,0)))</f>
        <v>0</v>
      </c>
      <c r="AO98" s="35">
        <f>IF(AO93="Punkt fra "&amp;A!$AZ$106&amp;", h",A!$BA$106,IF(AO93="Punkt fra "&amp;A!$AZ$107&amp;", h",A!$BA$107,IF(AO93="Slut",A!$BA$108,0)))</f>
        <v>0</v>
      </c>
      <c r="AP98" s="35">
        <f>IF(AP93="Punkt fra "&amp;A!$AZ$106&amp;", h",A!$BA$106,IF(AP93="Punkt fra "&amp;A!$AZ$107&amp;", h",A!$BA$107,IF(AP93="Slut",A!$BA$108,0)))</f>
        <v>0</v>
      </c>
      <c r="AQ98" s="35">
        <f>IF(AQ93="Punkt fra "&amp;A!$AZ$106&amp;", h",A!$BA$106,IF(AQ93="Punkt fra "&amp;A!$AZ$107&amp;", h",A!$BA$107,IF(AQ93="Slut",A!$BA$108,0)))</f>
        <v>0</v>
      </c>
      <c r="AR98" s="35">
        <f>IF(AR93="Punkt fra "&amp;A!$AZ$106&amp;", h",A!$BA$106,IF(AR93="Punkt fra "&amp;A!$AZ$107&amp;", h",A!$BA$107,IF(AR93="Slut",A!$BA$108,0)))</f>
        <v>0</v>
      </c>
      <c r="AS98" s="35">
        <f>IF(AS93="Punkt fra "&amp;A!$AZ$106&amp;", h",A!$BA$106,IF(AS93="Punkt fra "&amp;A!$AZ$107&amp;", h",A!$BA$107,IF(AS93="Slut",A!$BA$108,0)))</f>
        <v>0</v>
      </c>
      <c r="AT98" s="35">
        <f>IF(AT93="Punkt fra "&amp;A!$AZ$106&amp;", h",A!$BA$106,IF(AT93="Punkt fra "&amp;A!$AZ$107&amp;", h",A!$BA$107,IF(AT93="Slut",A!$BA$108,0)))</f>
        <v>0</v>
      </c>
      <c r="AU98" s="35">
        <f>IF(AU93="Punkt fra "&amp;A!$AZ$106&amp;", h",A!$BA$106,IF(AU93="Punkt fra "&amp;A!$AZ$107&amp;", h",A!$BA$107,IF(AU93="Slut",A!$BA$108,0)))</f>
        <v>0</v>
      </c>
      <c r="AV98" s="35">
        <f>IF(AV93="Punkt fra "&amp;A!$AZ$106&amp;", h",A!$BA$106,IF(AV93="Punkt fra "&amp;A!$AZ$107&amp;", h",A!$BA$107,IF(AV93="Slut",A!$BA$108,0)))</f>
        <v>0</v>
      </c>
      <c r="AW98" s="35">
        <f>IF(AW93="Punkt fra "&amp;A!$AZ$106&amp;", h",A!$BA$106,IF(AW93="Punkt fra "&amp;A!$AZ$107&amp;", h",A!$BA$107,IF(AW93="Slut",A!$BA$108,0)))</f>
        <v>0</v>
      </c>
      <c r="AX98" s="35">
        <f>IF(AX93="Punkt fra "&amp;A!$AZ$106&amp;", h",A!$BA$106,IF(AX93="Punkt fra "&amp;A!$AZ$107&amp;", h",A!$BA$107,IF(AX93="Slut",A!$BA$108,0)))</f>
        <v>0</v>
      </c>
      <c r="AY98" s="35">
        <f>IF(AY93="Punkt fra "&amp;A!$AZ$106&amp;", h",A!$BA$106,IF(AY93="Punkt fra "&amp;A!$AZ$107&amp;", h",A!$BA$107,IF(AY93="Slut",A!$BA$108,0)))</f>
        <v>0</v>
      </c>
      <c r="AZ98" s="35">
        <f>IF(AZ93="Punkt fra "&amp;A!$AZ$106&amp;", h",A!$BA$106,IF(AZ93="Punkt fra "&amp;A!$AZ$107&amp;", h",A!$BA$107,IF(AZ93="Slut",A!$BA$108,0)))</f>
        <v>0</v>
      </c>
      <c r="BA98" s="35">
        <f>IF(BA93="Punkt fra "&amp;A!$AZ$106&amp;", h",A!$BA$106,IF(BA93="Punkt fra "&amp;A!$AZ$107&amp;", h",A!$BA$107,IF(BA93="Slut",A!$BA$108,0)))</f>
        <v>0</v>
      </c>
      <c r="BB98" s="35">
        <f>IF(BB93="Punkt fra "&amp;A!$AZ$106&amp;", h",A!$BA$106,IF(BB93="Punkt fra "&amp;A!$AZ$107&amp;", h",A!$BA$107,IF(BB93="Slut",A!$BA$108,0)))</f>
        <v>0</v>
      </c>
      <c r="BC98" s="65">
        <f>IF(BC93="Punkt fra "&amp;A!$AZ$106&amp;", h",A!$BA$106,IF(BC93="Punkt fra "&amp;A!$AZ$107&amp;", h",A!$BA$107,IF(BC93="Slut",A!$BA$108,0)))</f>
        <v>0</v>
      </c>
      <c r="BG98" s="69"/>
    </row>
    <row r="99" spans="2:59">
      <c r="B99" s="1" t="s">
        <v>146</v>
      </c>
      <c r="D99" s="11" t="e">
        <f>SUM(A!BA106:BA108)-D100</f>
        <v>#N/A</v>
      </c>
      <c r="E99" s="1" t="s">
        <v>41</v>
      </c>
      <c r="F99" s="64" t="s">
        <v>133</v>
      </c>
      <c r="G99" s="21">
        <v>0</v>
      </c>
      <c r="H99" s="21">
        <f>IF(H93="Slut",0,G99+H100*(H94-G94))</f>
        <v>0</v>
      </c>
      <c r="I99" s="21">
        <f t="shared" ref="I99:BC99" si="62">IF(I93="Slut",0,H99+I100*(I94-H94))</f>
        <v>0</v>
      </c>
      <c r="J99" s="21">
        <f t="shared" si="62"/>
        <v>0</v>
      </c>
      <c r="K99" s="21">
        <f t="shared" si="62"/>
        <v>0</v>
      </c>
      <c r="L99" s="21">
        <f t="shared" si="62"/>
        <v>0</v>
      </c>
      <c r="M99" s="21">
        <f t="shared" si="62"/>
        <v>0</v>
      </c>
      <c r="N99" s="21">
        <f t="shared" si="62"/>
        <v>0</v>
      </c>
      <c r="O99" s="21">
        <f t="shared" si="62"/>
        <v>0</v>
      </c>
      <c r="P99" s="21">
        <f t="shared" si="62"/>
        <v>0</v>
      </c>
      <c r="Q99" s="21">
        <f t="shared" si="62"/>
        <v>0</v>
      </c>
      <c r="R99" s="21">
        <f t="shared" si="62"/>
        <v>0</v>
      </c>
      <c r="S99" s="21">
        <f t="shared" si="62"/>
        <v>0</v>
      </c>
      <c r="T99" s="21">
        <f t="shared" si="62"/>
        <v>0</v>
      </c>
      <c r="U99" s="21">
        <f t="shared" si="62"/>
        <v>0</v>
      </c>
      <c r="V99" s="21">
        <f t="shared" si="62"/>
        <v>0</v>
      </c>
      <c r="W99" s="21">
        <f t="shared" si="62"/>
        <v>0</v>
      </c>
      <c r="X99" s="21">
        <f t="shared" si="62"/>
        <v>0</v>
      </c>
      <c r="Y99" s="21">
        <f t="shared" si="62"/>
        <v>0</v>
      </c>
      <c r="Z99" s="21">
        <f t="shared" si="62"/>
        <v>0</v>
      </c>
      <c r="AA99" s="21">
        <f t="shared" si="62"/>
        <v>0</v>
      </c>
      <c r="AB99" s="21">
        <f t="shared" si="62"/>
        <v>0</v>
      </c>
      <c r="AC99" s="21">
        <f t="shared" si="62"/>
        <v>0</v>
      </c>
      <c r="AD99" s="21">
        <f t="shared" si="62"/>
        <v>0</v>
      </c>
      <c r="AE99" s="21">
        <f t="shared" si="62"/>
        <v>0</v>
      </c>
      <c r="AF99" s="21">
        <f t="shared" si="62"/>
        <v>0</v>
      </c>
      <c r="AG99" s="21">
        <f t="shared" si="62"/>
        <v>0</v>
      </c>
      <c r="AH99" s="21">
        <f t="shared" si="62"/>
        <v>0</v>
      </c>
      <c r="AI99" s="21">
        <f t="shared" si="62"/>
        <v>0</v>
      </c>
      <c r="AJ99" s="21">
        <f t="shared" si="62"/>
        <v>0</v>
      </c>
      <c r="AK99" s="21">
        <f t="shared" si="62"/>
        <v>0</v>
      </c>
      <c r="AL99" s="21">
        <f t="shared" si="62"/>
        <v>0</v>
      </c>
      <c r="AM99" s="21">
        <f t="shared" si="62"/>
        <v>0</v>
      </c>
      <c r="AN99" s="21">
        <f t="shared" si="62"/>
        <v>0</v>
      </c>
      <c r="AO99" s="21">
        <f t="shared" si="62"/>
        <v>0</v>
      </c>
      <c r="AP99" s="21">
        <f t="shared" si="62"/>
        <v>0</v>
      </c>
      <c r="AQ99" s="21">
        <f t="shared" si="62"/>
        <v>0</v>
      </c>
      <c r="AR99" s="21">
        <f t="shared" si="62"/>
        <v>0</v>
      </c>
      <c r="AS99" s="21">
        <f t="shared" si="62"/>
        <v>0</v>
      </c>
      <c r="AT99" s="21">
        <f t="shared" si="62"/>
        <v>0</v>
      </c>
      <c r="AU99" s="21">
        <f t="shared" si="62"/>
        <v>0</v>
      </c>
      <c r="AV99" s="21">
        <f t="shared" si="62"/>
        <v>0</v>
      </c>
      <c r="AW99" s="21">
        <f t="shared" si="62"/>
        <v>0</v>
      </c>
      <c r="AX99" s="21">
        <f t="shared" si="62"/>
        <v>0</v>
      </c>
      <c r="AY99" s="21">
        <f t="shared" si="62"/>
        <v>0</v>
      </c>
      <c r="AZ99" s="21">
        <f t="shared" si="62"/>
        <v>0</v>
      </c>
      <c r="BA99" s="21">
        <f t="shared" si="62"/>
        <v>0</v>
      </c>
      <c r="BB99" s="21">
        <f t="shared" si="62"/>
        <v>0</v>
      </c>
      <c r="BC99" s="25">
        <f t="shared" si="62"/>
        <v>0</v>
      </c>
      <c r="BG99" s="69"/>
    </row>
    <row r="100" spans="2:59">
      <c r="B100" s="1" t="s">
        <v>147</v>
      </c>
      <c r="D100" s="11" t="e">
        <f>SUM(A!BF106:BF108)/(A!AT91*10^-3)</f>
        <v>#N/A</v>
      </c>
      <c r="E100" s="1" t="s">
        <v>41</v>
      </c>
      <c r="F100" s="64" t="s">
        <v>134</v>
      </c>
      <c r="G100" s="23">
        <v>0</v>
      </c>
      <c r="H100" s="23">
        <f>IF(H93="ven. u. støtn. h",G100+$D$99,IF(H93="høj. u. støtn. h",G100+$D$100,G100-H98))</f>
        <v>0</v>
      </c>
      <c r="I100" s="23">
        <f t="shared" ref="I100:BC100" si="63">IF(I93="ven. u. støtn. h",H100+$D$99,IF(I93="høj. u. støtn. h",H100+$D$100,H100-I98))</f>
        <v>0</v>
      </c>
      <c r="J100" s="23">
        <f t="shared" si="63"/>
        <v>0</v>
      </c>
      <c r="K100" s="23">
        <f t="shared" si="63"/>
        <v>0</v>
      </c>
      <c r="L100" s="23">
        <f t="shared" si="63"/>
        <v>0</v>
      </c>
      <c r="M100" s="23">
        <f t="shared" si="63"/>
        <v>0</v>
      </c>
      <c r="N100" s="23">
        <f t="shared" si="63"/>
        <v>0</v>
      </c>
      <c r="O100" s="23">
        <f t="shared" si="63"/>
        <v>0</v>
      </c>
      <c r="P100" s="23">
        <f t="shared" si="63"/>
        <v>0</v>
      </c>
      <c r="Q100" s="23">
        <f t="shared" si="63"/>
        <v>0</v>
      </c>
      <c r="R100" s="23">
        <f t="shared" si="63"/>
        <v>0</v>
      </c>
      <c r="S100" s="23">
        <f t="shared" si="63"/>
        <v>0</v>
      </c>
      <c r="T100" s="23">
        <f t="shared" si="63"/>
        <v>0</v>
      </c>
      <c r="U100" s="23">
        <f t="shared" si="63"/>
        <v>0</v>
      </c>
      <c r="V100" s="23">
        <f t="shared" si="63"/>
        <v>0</v>
      </c>
      <c r="W100" s="23">
        <f t="shared" si="63"/>
        <v>0</v>
      </c>
      <c r="X100" s="23">
        <f t="shared" si="63"/>
        <v>0</v>
      </c>
      <c r="Y100" s="23">
        <f t="shared" si="63"/>
        <v>0</v>
      </c>
      <c r="Z100" s="23">
        <f t="shared" si="63"/>
        <v>0</v>
      </c>
      <c r="AA100" s="23">
        <f t="shared" si="63"/>
        <v>0</v>
      </c>
      <c r="AB100" s="23">
        <f t="shared" si="63"/>
        <v>0</v>
      </c>
      <c r="AC100" s="23">
        <f t="shared" si="63"/>
        <v>0</v>
      </c>
      <c r="AD100" s="23">
        <f t="shared" si="63"/>
        <v>0</v>
      </c>
      <c r="AE100" s="23">
        <f t="shared" si="63"/>
        <v>0</v>
      </c>
      <c r="AF100" s="23">
        <f t="shared" si="63"/>
        <v>0</v>
      </c>
      <c r="AG100" s="23">
        <f t="shared" si="63"/>
        <v>0</v>
      </c>
      <c r="AH100" s="23">
        <f t="shared" si="63"/>
        <v>0</v>
      </c>
      <c r="AI100" s="23">
        <f t="shared" si="63"/>
        <v>0</v>
      </c>
      <c r="AJ100" s="23">
        <f t="shared" si="63"/>
        <v>0</v>
      </c>
      <c r="AK100" s="23">
        <f t="shared" si="63"/>
        <v>0</v>
      </c>
      <c r="AL100" s="23">
        <f t="shared" si="63"/>
        <v>0</v>
      </c>
      <c r="AM100" s="23">
        <f t="shared" si="63"/>
        <v>0</v>
      </c>
      <c r="AN100" s="23">
        <f t="shared" si="63"/>
        <v>0</v>
      </c>
      <c r="AO100" s="23">
        <f t="shared" si="63"/>
        <v>0</v>
      </c>
      <c r="AP100" s="23">
        <f t="shared" si="63"/>
        <v>0</v>
      </c>
      <c r="AQ100" s="23">
        <f t="shared" si="63"/>
        <v>0</v>
      </c>
      <c r="AR100" s="23">
        <f t="shared" si="63"/>
        <v>0</v>
      </c>
      <c r="AS100" s="23">
        <f t="shared" si="63"/>
        <v>0</v>
      </c>
      <c r="AT100" s="23">
        <f t="shared" si="63"/>
        <v>0</v>
      </c>
      <c r="AU100" s="23">
        <f t="shared" si="63"/>
        <v>0</v>
      </c>
      <c r="AV100" s="23">
        <f t="shared" si="63"/>
        <v>0</v>
      </c>
      <c r="AW100" s="23">
        <f t="shared" si="63"/>
        <v>0</v>
      </c>
      <c r="AX100" s="23">
        <f t="shared" si="63"/>
        <v>0</v>
      </c>
      <c r="AY100" s="23">
        <f t="shared" si="63"/>
        <v>0</v>
      </c>
      <c r="AZ100" s="23">
        <f t="shared" si="63"/>
        <v>0</v>
      </c>
      <c r="BA100" s="23">
        <f t="shared" si="63"/>
        <v>0</v>
      </c>
      <c r="BB100" s="23">
        <f t="shared" si="63"/>
        <v>0</v>
      </c>
      <c r="BC100" s="24">
        <f t="shared" si="63"/>
        <v>0</v>
      </c>
      <c r="BG100" s="69"/>
    </row>
    <row r="101" spans="2:59">
      <c r="F101" s="59" t="str">
        <f>"Strimmel " &amp;A!AZ105&amp; " [kN/m]"</f>
        <v>Strimmel 0 [kN/m]</v>
      </c>
      <c r="G101" s="35" t="e">
        <f>IF(AND(G94&gt;A!$BG$105,G94&lt;=A!$BH$105),A!$BA$105,0)</f>
        <v>#N/A</v>
      </c>
      <c r="H101" s="35" t="e">
        <f>IF(AND(H94&gt;A!$BG$105,H94&lt;=A!$BH$105),A!$BA$105,0)</f>
        <v>#N/A</v>
      </c>
      <c r="I101" s="35" t="e">
        <f>IF(AND(I94&gt;A!$BG$105,I94&lt;=A!$BH$105),A!$BA$105,0)</f>
        <v>#N/A</v>
      </c>
      <c r="J101" s="35" t="e">
        <f>IF(AND(J94&gt;A!$BG$105,J94&lt;=A!$BH$105),A!$BA$105,0)</f>
        <v>#N/A</v>
      </c>
      <c r="K101" s="35" t="e">
        <f>IF(AND(K94&gt;A!$BG$105,K94&lt;=A!$BH$105),A!$BA$105,0)</f>
        <v>#N/A</v>
      </c>
      <c r="L101" s="35" t="e">
        <f>IF(AND(L94&gt;A!$BG$105,L94&lt;=A!$BH$105),A!$BA$105,0)</f>
        <v>#N/A</v>
      </c>
      <c r="M101" s="35" t="e">
        <f>IF(AND(M94&gt;A!$BG$105,M94&lt;=A!$BH$105),A!$BA$105,0)</f>
        <v>#N/A</v>
      </c>
      <c r="N101" s="35" t="e">
        <f>IF(AND(N94&gt;A!$BG$105,N94&lt;=A!$BH$105),A!$BA$105,0)</f>
        <v>#N/A</v>
      </c>
      <c r="O101" s="35" t="e">
        <f>IF(AND(O94&gt;A!$BG$105,O94&lt;=A!$BH$105),A!$BA$105,0)</f>
        <v>#N/A</v>
      </c>
      <c r="P101" s="35" t="e">
        <f>IF(AND(P94&gt;A!$BG$105,P94&lt;=A!$BH$105),A!$BA$105,0)</f>
        <v>#N/A</v>
      </c>
      <c r="Q101" s="35" t="e">
        <f>IF(AND(Q94&gt;A!$BG$105,Q94&lt;=A!$BH$105),A!$BA$105,0)</f>
        <v>#N/A</v>
      </c>
      <c r="R101" s="35" t="e">
        <f>IF(AND(R94&gt;A!$BG$105,R94&lt;=A!$BH$105),A!$BA$105,0)</f>
        <v>#N/A</v>
      </c>
      <c r="S101" s="35" t="e">
        <f>IF(AND(S94&gt;A!$BG$105,S94&lt;=A!$BH$105),A!$BA$105,0)</f>
        <v>#N/A</v>
      </c>
      <c r="T101" s="35" t="e">
        <f>IF(AND(T94&gt;A!$BG$105,T94&lt;=A!$BH$105),A!$BA$105,0)</f>
        <v>#N/A</v>
      </c>
      <c r="U101" s="35" t="e">
        <f>IF(AND(U94&gt;A!$BG$105,U94&lt;=A!$BH$105),A!$BA$105,0)</f>
        <v>#N/A</v>
      </c>
      <c r="V101" s="35" t="e">
        <f>IF(AND(V94&gt;A!$BG$105,V94&lt;=A!$BH$105),A!$BA$105,0)</f>
        <v>#N/A</v>
      </c>
      <c r="W101" s="35" t="e">
        <f>IF(AND(W94&gt;A!$BG$105,W94&lt;=A!$BH$105),A!$BA$105,0)</f>
        <v>#N/A</v>
      </c>
      <c r="X101" s="35" t="e">
        <f>IF(AND(X94&gt;A!$BG$105,X94&lt;=A!$BH$105),A!$BA$105,0)</f>
        <v>#N/A</v>
      </c>
      <c r="Y101" s="35" t="e">
        <f>IF(AND(Y94&gt;A!$BG$105,Y94&lt;=A!$BH$105),A!$BA$105,0)</f>
        <v>#N/A</v>
      </c>
      <c r="Z101" s="35" t="e">
        <f>IF(AND(Z94&gt;A!$BG$105,Z94&lt;=A!$BH$105),A!$BA$105,0)</f>
        <v>#N/A</v>
      </c>
      <c r="AA101" s="35" t="e">
        <f>IF(AND(AA94&gt;A!$BG$105,AA94&lt;=A!$BH$105),A!$BA$105,0)</f>
        <v>#N/A</v>
      </c>
      <c r="AB101" s="35" t="e">
        <f>IF(AND(AB94&gt;A!$BG$105,AB94&lt;=A!$BH$105),A!$BA$105,0)</f>
        <v>#N/A</v>
      </c>
      <c r="AC101" s="35" t="e">
        <f>IF(AND(AC94&gt;A!$BG$105,AC94&lt;=A!$BH$105),A!$BA$105,0)</f>
        <v>#N/A</v>
      </c>
      <c r="AD101" s="35" t="e">
        <f>IF(AND(AD94&gt;A!$BG$105,AD94&lt;=A!$BH$105),A!$BA$105,0)</f>
        <v>#N/A</v>
      </c>
      <c r="AE101" s="35" t="e">
        <f>IF(AND(AE94&gt;A!$BG$105,AE94&lt;=A!$BH$105),A!$BA$105,0)</f>
        <v>#N/A</v>
      </c>
      <c r="AF101" s="35" t="e">
        <f>IF(AND(AF94&gt;A!$BG$105,AF94&lt;=A!$BH$105),A!$BA$105,0)</f>
        <v>#N/A</v>
      </c>
      <c r="AG101" s="35" t="e">
        <f>IF(AND(AG94&gt;A!$BG$105,AG94&lt;=A!$BH$105),A!$BA$105,0)</f>
        <v>#N/A</v>
      </c>
      <c r="AH101" s="35" t="e">
        <f>IF(AND(AH94&gt;A!$BG$105,AH94&lt;=A!$BH$105),A!$BA$105,0)</f>
        <v>#N/A</v>
      </c>
      <c r="AI101" s="35" t="e">
        <f>IF(AND(AI94&gt;A!$BG$105,AI94&lt;=A!$BH$105),A!$BA$105,0)</f>
        <v>#N/A</v>
      </c>
      <c r="AJ101" s="35" t="e">
        <f>IF(AND(AJ94&gt;A!$BG$105,AJ94&lt;=A!$BH$105),A!$BA$105,0)</f>
        <v>#N/A</v>
      </c>
      <c r="AK101" s="35" t="e">
        <f>IF(AND(AK94&gt;A!$BG$105,AK94&lt;=A!$BH$105),A!$BA$105,0)</f>
        <v>#N/A</v>
      </c>
      <c r="AL101" s="35" t="e">
        <f>IF(AND(AL94&gt;A!$BG$105,AL94&lt;=A!$BH$105),A!$BA$105,0)</f>
        <v>#N/A</v>
      </c>
      <c r="AM101" s="35" t="e">
        <f>IF(AND(AM94&gt;A!$BG$105,AM94&lt;=A!$BH$105),A!$BA$105,0)</f>
        <v>#N/A</v>
      </c>
      <c r="AN101" s="35" t="e">
        <f>IF(AND(AN94&gt;A!$BG$105,AN94&lt;=A!$BH$105),A!$BA$105,0)</f>
        <v>#N/A</v>
      </c>
      <c r="AO101" s="35" t="e">
        <f>IF(AND(AO94&gt;A!$BG$105,AO94&lt;=A!$BH$105),A!$BA$105,0)</f>
        <v>#N/A</v>
      </c>
      <c r="AP101" s="35" t="e">
        <f>IF(AND(AP94&gt;A!$BG$105,AP94&lt;=A!$BH$105),A!$BA$105,0)</f>
        <v>#N/A</v>
      </c>
      <c r="AQ101" s="35" t="e">
        <f>IF(AND(AQ94&gt;A!$BG$105,AQ94&lt;=A!$BH$105),A!$BA$105,0)</f>
        <v>#N/A</v>
      </c>
      <c r="AR101" s="35" t="e">
        <f>IF(AND(AR94&gt;A!$BG$105,AR94&lt;=A!$BH$105),A!$BA$105,0)</f>
        <v>#N/A</v>
      </c>
      <c r="AS101" s="35" t="e">
        <f>IF(AND(AS94&gt;A!$BG$105,AS94&lt;=A!$BH$105),A!$BA$105,0)</f>
        <v>#N/A</v>
      </c>
      <c r="AT101" s="35" t="e">
        <f>IF(AND(AT94&gt;A!$BG$105,AT94&lt;=A!$BH$105),A!$BA$105,0)</f>
        <v>#N/A</v>
      </c>
      <c r="AU101" s="35" t="e">
        <f>IF(AND(AU94&gt;A!$BG$105,AU94&lt;=A!$BH$105),A!$BA$105,0)</f>
        <v>#N/A</v>
      </c>
      <c r="AV101" s="35" t="e">
        <f>IF(AND(AV94&gt;A!$BG$105,AV94&lt;=A!$BH$105),A!$BA$105,0)</f>
        <v>#N/A</v>
      </c>
      <c r="AW101" s="35" t="e">
        <f>IF(AND(AW94&gt;A!$BG$105,AW94&lt;=A!$BH$105),A!$BA$105,0)</f>
        <v>#N/A</v>
      </c>
      <c r="AX101" s="35" t="e">
        <f>IF(AND(AX94&gt;A!$BG$105,AX94&lt;=A!$BH$105),A!$BA$105,0)</f>
        <v>#N/A</v>
      </c>
      <c r="AY101" s="35" t="e">
        <f>IF(AND(AY94&gt;A!$BG$105,AY94&lt;=A!$BH$105),A!$BA$105,0)</f>
        <v>#N/A</v>
      </c>
      <c r="AZ101" s="35" t="e">
        <f>IF(AND(AZ94&gt;A!$BG$105,AZ94&lt;=A!$BH$105),A!$BA$105,0)</f>
        <v>#N/A</v>
      </c>
      <c r="BA101" s="35" t="e">
        <f>IF(AND(BA94&gt;A!$BG$105,BA94&lt;=A!$BH$105),A!$BA$105,0)</f>
        <v>#N/A</v>
      </c>
      <c r="BB101" s="35" t="e">
        <f>IF(AND(BB94&gt;A!$BG$105,BB94&lt;=A!$BH$105),A!$BA$105,0)</f>
        <v>#N/A</v>
      </c>
      <c r="BC101" s="65" t="e">
        <f>IF(AND(BC94&gt;A!$BG$105,BC94&lt;=A!$BH$105),A!$BA$105,0)</f>
        <v>#N/A</v>
      </c>
      <c r="BG101" s="69"/>
    </row>
    <row r="102" spans="2:59">
      <c r="B102" s="1" t="s">
        <v>146</v>
      </c>
      <c r="D102" s="11" t="e">
        <f>A!BA105*(A!BH105-A!BG105)-D103</f>
        <v>#N/A</v>
      </c>
      <c r="E102" s="1" t="s">
        <v>41</v>
      </c>
      <c r="F102" s="64" t="s">
        <v>133</v>
      </c>
      <c r="G102" s="21" t="e" cm="1">
        <f t="array" ref="G102">_xlfn.IFS(G94&lt;=$BO$46,-G101*G94^2*0.5,AND(G94&gt;$BO$46,G94&lt;=$BO$51),$D$102*(G94-$BO$46)-G101*(G94-$BO$50)^2*0.5,AND(G94&gt;$BO$51,G94&lt;=$BO$52),$D$102*(G94-$BO$46)-A!$BA$105*($BO$51-$BO$50)*(G94-$BO$50-($BO$51-$BO$50)*0.5),G94&gt;$BO$53,-G101*(A!$AV$90*10^-3-G94)^2*0.5)</f>
        <v>#N/A</v>
      </c>
      <c r="H102" s="21" t="e" cm="1">
        <f t="array" ref="H102">_xlfn.IFS(H94&lt;=$BO$46,-H101*H94^2*0.5,AND(H94&gt;$BO$46,H94&lt;=$BO$51),$D$102*(H94-$BO$46)-H101*(H94-$BO$50)^2*0.5,AND(H94&gt;$BO$51,H94&lt;=$BO$52),$D$102*(H94-$BO$46)-A!$BA$105*($BO$51-$BO$50)*(H94-$BO$50-($BO$51-$BO$50)*0.5),H94&gt;$BO$53,-H101*(A!$AV$90*10^-3-H94)^2*0.5)</f>
        <v>#N/A</v>
      </c>
      <c r="I102" s="21" t="e" cm="1">
        <f t="array" ref="I102">_xlfn.IFS(I94&lt;=$BO$46,-I101*I94^2*0.5,AND(I94&gt;$BO$46,I94&lt;=$BO$51),$D$102*(I94-$BO$46)-I101*(I94-$BO$50)^2*0.5,AND(I94&gt;$BO$51,I94&lt;=$BO$52),$D$102*(I94-$BO$46)-A!$BA$105*($BO$51-$BO$50)*(I94-$BO$50-($BO$51-$BO$50)*0.5),I94&gt;$BO$53,-I101*(A!$AV$90*10^-3-I94)^2*0.5)</f>
        <v>#N/A</v>
      </c>
      <c r="J102" s="21" t="e" cm="1">
        <f t="array" ref="J102">_xlfn.IFS(J94&lt;=$BO$46,-J101*J94^2*0.5,AND(J94&gt;$BO$46,J94&lt;=$BO$51),$D$102*(J94-$BO$46)-J101*(J94-$BO$50)^2*0.5,AND(J94&gt;$BO$51,J94&lt;=$BO$52),$D$102*(J94-$BO$46)-A!$BA$105*($BO$51-$BO$50)*(J94-$BO$50-($BO$51-$BO$50)*0.5),J94&gt;$BO$53,-J101*(A!$AV$90*10^-3-J94)^2*0.5)</f>
        <v>#N/A</v>
      </c>
      <c r="K102" s="21" t="e" cm="1">
        <f t="array" ref="K102">_xlfn.IFS(K94&lt;=$BO$46,-K101*K94^2*0.5,AND(K94&gt;$BO$46,K94&lt;=$BO$51),$D$102*(K94-$BO$46)-K101*(K94-$BO$50)^2*0.5,AND(K94&gt;$BO$51,K94&lt;=$BO$52),$D$102*(K94-$BO$46)-A!$BA$105*($BO$51-$BO$50)*(K94-$BO$50-($BO$51-$BO$50)*0.5),K94&gt;$BO$53,-K101*(A!$AV$90*10^-3-K94)^2*0.5)</f>
        <v>#N/A</v>
      </c>
      <c r="L102" s="21" t="e" cm="1">
        <f t="array" ref="L102">_xlfn.IFS(L94&lt;=$BO$46,-L101*L94^2*0.5,AND(L94&gt;$BO$46,L94&lt;=$BO$51),$D$102*(L94-$BO$46)-L101*(L94-$BO$50)^2*0.5,AND(L94&gt;$BO$51,L94&lt;=$BO$52),$D$102*(L94-$BO$46)-A!$BA$105*($BO$51-$BO$50)*(L94-$BO$50-($BO$51-$BO$50)*0.5),L94&gt;$BO$53,-L101*(A!$AV$90*10^-3-L94)^2*0.5)</f>
        <v>#N/A</v>
      </c>
      <c r="M102" s="21" t="e" cm="1">
        <f t="array" ref="M102">_xlfn.IFS(M94&lt;=$BO$46,-M101*M94^2*0.5,AND(M94&gt;$BO$46,M94&lt;=$BO$51),$D$102*(M94-$BO$46)-M101*(M94-$BO$50)^2*0.5,AND(M94&gt;$BO$51,M94&lt;=$BO$52),$D$102*(M94-$BO$46)-A!$BA$105*($BO$51-$BO$50)*(M94-$BO$50-($BO$51-$BO$50)*0.5),M94&gt;$BO$53,-M101*(A!$AV$90*10^-3-M94)^2*0.5)</f>
        <v>#N/A</v>
      </c>
      <c r="N102" s="21" t="e" cm="1">
        <f t="array" ref="N102">_xlfn.IFS(N94&lt;=$BO$46,-N101*N94^2*0.5,AND(N94&gt;$BO$46,N94&lt;=$BO$51),$D$102*(N94-$BO$46)-N101*(N94-$BO$50)^2*0.5,AND(N94&gt;$BO$51,N94&lt;=$BO$52),$D$102*(N94-$BO$46)-A!$BA$105*($BO$51-$BO$50)*(N94-$BO$50-($BO$51-$BO$50)*0.5),N94&gt;$BO$53,-N101*(A!$AV$90*10^-3-N94)^2*0.5)</f>
        <v>#N/A</v>
      </c>
      <c r="O102" s="21" t="e" cm="1">
        <f t="array" ref="O102">_xlfn.IFS(O94&lt;=$BO$46,-O101*O94^2*0.5,AND(O94&gt;$BO$46,O94&lt;=$BO$51),$D$102*(O94-$BO$46)-O101*(O94-$BO$50)^2*0.5,AND(O94&gt;$BO$51,O94&lt;=$BO$52),$D$102*(O94-$BO$46)-A!$BA$105*($BO$51-$BO$50)*(O94-$BO$50-($BO$51-$BO$50)*0.5),O94&gt;$BO$53,-O101*(A!$AV$90*10^-3-O94)^2*0.5)</f>
        <v>#N/A</v>
      </c>
      <c r="P102" s="21" t="e" cm="1">
        <f t="array" ref="P102">_xlfn.IFS(P94&lt;=$BO$46,-P101*P94^2*0.5,AND(P94&gt;$BO$46,P94&lt;=$BO$51),$D$102*(P94-$BO$46)-P101*(P94-$BO$50)^2*0.5,AND(P94&gt;$BO$51,P94&lt;=$BO$52),$D$102*(P94-$BO$46)-A!$BA$105*($BO$51-$BO$50)*(P94-$BO$50-($BO$51-$BO$50)*0.5),P94&gt;$BO$53,-P101*(A!$AV$90*10^-3-P94)^2*0.5)</f>
        <v>#N/A</v>
      </c>
      <c r="Q102" s="21" t="e" cm="1">
        <f t="array" ref="Q102">_xlfn.IFS(Q94&lt;=$BO$46,-Q101*Q94^2*0.5,AND(Q94&gt;$BO$46,Q94&lt;=$BO$51),$D$102*(Q94-$BO$46)-Q101*(Q94-$BO$50)^2*0.5,AND(Q94&gt;$BO$51,Q94&lt;=$BO$52),$D$102*(Q94-$BO$46)-A!$BA$105*($BO$51-$BO$50)*(Q94-$BO$50-($BO$51-$BO$50)*0.5),Q94&gt;$BO$53,-Q101*(A!$AV$90*10^-3-Q94)^2*0.5)</f>
        <v>#N/A</v>
      </c>
      <c r="R102" s="21" t="e" cm="1">
        <f t="array" ref="R102">_xlfn.IFS(R94&lt;=$BO$46,-R101*R94^2*0.5,AND(R94&gt;$BO$46,R94&lt;=$BO$51),$D$102*(R94-$BO$46)-R101*(R94-$BO$50)^2*0.5,AND(R94&gt;$BO$51,R94&lt;=$BO$52),$D$102*(R94-$BO$46)-A!$BA$105*($BO$51-$BO$50)*(R94-$BO$50-($BO$51-$BO$50)*0.5),R94&gt;$BO$53,-R101*(A!$AV$90*10^-3-R94)^2*0.5)</f>
        <v>#N/A</v>
      </c>
      <c r="S102" s="21" t="e" cm="1">
        <f t="array" ref="S102">_xlfn.IFS(S94&lt;=$BO$46,-S101*S94^2*0.5,AND(S94&gt;$BO$46,S94&lt;=$BO$51),$D$102*(S94-$BO$46)-S101*(S94-$BO$50)^2*0.5,AND(S94&gt;$BO$51,S94&lt;=$BO$52),$D$102*(S94-$BO$46)-A!$BA$105*($BO$51-$BO$50)*(S94-$BO$50-($BO$51-$BO$50)*0.5),S94&gt;$BO$53,-S101*(A!$AV$90*10^-3-S94)^2*0.5)</f>
        <v>#N/A</v>
      </c>
      <c r="T102" s="21" t="e" cm="1">
        <f t="array" ref="T102">_xlfn.IFS(T94&lt;=$BO$46,-T101*T94^2*0.5,AND(T94&gt;$BO$46,T94&lt;=$BO$51),$D$102*(T94-$BO$46)-T101*(T94-$BO$50)^2*0.5,AND(T94&gt;$BO$51,T94&lt;=$BO$52),$D$102*(T94-$BO$46)-A!$BA$105*($BO$51-$BO$50)*(T94-$BO$50-($BO$51-$BO$50)*0.5),T94&gt;$BO$53,-T101*(A!$AV$90*10^-3-T94)^2*0.5)</f>
        <v>#N/A</v>
      </c>
      <c r="U102" s="21" t="e" cm="1">
        <f t="array" ref="U102">_xlfn.IFS(U94&lt;=$BO$46,-U101*U94^2*0.5,AND(U94&gt;$BO$46,U94&lt;=$BO$51),$D$102*(U94-$BO$46)-U101*(U94-$BO$50)^2*0.5,AND(U94&gt;$BO$51,U94&lt;=$BO$52),$D$102*(U94-$BO$46)-A!$BA$105*($BO$51-$BO$50)*(U94-$BO$50-($BO$51-$BO$50)*0.5),U94&gt;$BO$53,-U101*(A!$AV$90*10^-3-U94)^2*0.5)</f>
        <v>#N/A</v>
      </c>
      <c r="V102" s="21" t="e" cm="1">
        <f t="array" ref="V102">_xlfn.IFS(V94&lt;=$BO$46,-V101*V94^2*0.5,AND(V94&gt;$BO$46,V94&lt;=$BO$51),$D$102*(V94-$BO$46)-V101*(V94-$BO$50)^2*0.5,AND(V94&gt;$BO$51,V94&lt;=$BO$52),$D$102*(V94-$BO$46)-A!$BA$105*($BO$51-$BO$50)*(V94-$BO$50-($BO$51-$BO$50)*0.5),V94&gt;$BO$53,-V101*(A!$AV$90*10^-3-V94)^2*0.5)</f>
        <v>#N/A</v>
      </c>
      <c r="W102" s="21" t="e" cm="1">
        <f t="array" ref="W102">_xlfn.IFS(W94&lt;=$BO$46,-W101*W94^2*0.5,AND(W94&gt;$BO$46,W94&lt;=$BO$51),$D$102*(W94-$BO$46)-W101*(W94-$BO$50)^2*0.5,AND(W94&gt;$BO$51,W94&lt;=$BO$52),$D$102*(W94-$BO$46)-A!$BA$105*($BO$51-$BO$50)*(W94-$BO$50-($BO$51-$BO$50)*0.5),W94&gt;$BO$53,-W101*(A!$AV$90*10^-3-W94)^2*0.5)</f>
        <v>#N/A</v>
      </c>
      <c r="X102" s="21" t="e" cm="1">
        <f t="array" ref="X102">_xlfn.IFS(X94&lt;=$BO$46,-X101*X94^2*0.5,AND(X94&gt;$BO$46,X94&lt;=$BO$51),$D$102*(X94-$BO$46)-X101*(X94-$BO$50)^2*0.5,AND(X94&gt;$BO$51,X94&lt;=$BO$52),$D$102*(X94-$BO$46)-A!$BA$105*($BO$51-$BO$50)*(X94-$BO$50-($BO$51-$BO$50)*0.5),X94&gt;$BO$53,-X101*(A!$AV$90*10^-3-X94)^2*0.5)</f>
        <v>#N/A</v>
      </c>
      <c r="Y102" s="21" t="e" cm="1">
        <f t="array" ref="Y102">_xlfn.IFS(Y94&lt;=$BO$46,-Y101*Y94^2*0.5,AND(Y94&gt;$BO$46,Y94&lt;=$BO$51),$D$102*(Y94-$BO$46)-Y101*(Y94-$BO$50)^2*0.5,AND(Y94&gt;$BO$51,Y94&lt;=$BO$52),$D$102*(Y94-$BO$46)-A!$BA$105*($BO$51-$BO$50)*(Y94-$BO$50-($BO$51-$BO$50)*0.5),Y94&gt;$BO$53,-Y101*(A!$AV$90*10^-3-Y94)^2*0.5)</f>
        <v>#N/A</v>
      </c>
      <c r="Z102" s="21" t="e" cm="1">
        <f t="array" ref="Z102">_xlfn.IFS(Z94&lt;=$BO$46,-Z101*Z94^2*0.5,AND(Z94&gt;$BO$46,Z94&lt;=$BO$51),$D$102*(Z94-$BO$46)-Z101*(Z94-$BO$50)^2*0.5,AND(Z94&gt;$BO$51,Z94&lt;=$BO$52),$D$102*(Z94-$BO$46)-A!$BA$105*($BO$51-$BO$50)*(Z94-$BO$50-($BO$51-$BO$50)*0.5),Z94&gt;$BO$53,-Z101*(A!$AV$90*10^-3-Z94)^2*0.5)</f>
        <v>#N/A</v>
      </c>
      <c r="AA102" s="21" t="e" cm="1">
        <f t="array" ref="AA102">_xlfn.IFS(AA94&lt;=$BO$46,-AA101*AA94^2*0.5,AND(AA94&gt;$BO$46,AA94&lt;=$BO$51),$D$102*(AA94-$BO$46)-AA101*(AA94-$BO$50)^2*0.5,AND(AA94&gt;$BO$51,AA94&lt;=$BO$52),$D$102*(AA94-$BO$46)-A!$BA$105*($BO$51-$BO$50)*(AA94-$BO$50-($BO$51-$BO$50)*0.5),AA94&gt;$BO$53,-AA101*(A!$AV$90*10^-3-AA94)^2*0.5)</f>
        <v>#N/A</v>
      </c>
      <c r="AB102" s="21" t="e" cm="1">
        <f t="array" ref="AB102">_xlfn.IFS(AB94&lt;=$BO$46,-AB101*AB94^2*0.5,AND(AB94&gt;$BO$46,AB94&lt;=$BO$51),$D$102*(AB94-$BO$46)-AB101*(AB94-$BO$50)^2*0.5,AND(AB94&gt;$BO$51,AB94&lt;=$BO$52),$D$102*(AB94-$BO$46)-A!$BA$105*($BO$51-$BO$50)*(AB94-$BO$50-($BO$51-$BO$50)*0.5),AB94&gt;$BO$53,-AB101*(A!$AV$90*10^-3-AB94)^2*0.5)</f>
        <v>#N/A</v>
      </c>
      <c r="AC102" s="21" t="e" cm="1">
        <f t="array" ref="AC102">_xlfn.IFS(AC94&lt;=$BO$46,-AC101*AC94^2*0.5,AND(AC94&gt;$BO$46,AC94&lt;=$BO$51),$D$102*(AC94-$BO$46)-AC101*(AC94-$BO$50)^2*0.5,AND(AC94&gt;$BO$51,AC94&lt;=$BO$52),$D$102*(AC94-$BO$46)-A!$BA$105*($BO$51-$BO$50)*(AC94-$BO$50-($BO$51-$BO$50)*0.5),AC94&gt;$BO$53,-AC101*(A!$AV$90*10^-3-AC94)^2*0.5)</f>
        <v>#N/A</v>
      </c>
      <c r="AD102" s="21" t="e" cm="1">
        <f t="array" ref="AD102">_xlfn.IFS(AD94&lt;=$BO$46,-AD101*AD94^2*0.5,AND(AD94&gt;$BO$46,AD94&lt;=$BO$51),$D$102*(AD94-$BO$46)-AD101*(AD94-$BO$50)^2*0.5,AND(AD94&gt;$BO$51,AD94&lt;=$BO$52),$D$102*(AD94-$BO$46)-A!$BA$105*($BO$51-$BO$50)*(AD94-$BO$50-($BO$51-$BO$50)*0.5),AD94&gt;$BO$53,-AD101*(A!$AV$90*10^-3-AD94)^2*0.5)</f>
        <v>#N/A</v>
      </c>
      <c r="AE102" s="21" t="e" cm="1">
        <f t="array" ref="AE102">_xlfn.IFS(AE94&lt;=$BO$46,-AE101*AE94^2*0.5,AND(AE94&gt;$BO$46,AE94&lt;=$BO$51),$D$102*(AE94-$BO$46)-AE101*(AE94-$BO$50)^2*0.5,AND(AE94&gt;$BO$51,AE94&lt;=$BO$52),$D$102*(AE94-$BO$46)-A!$BA$105*($BO$51-$BO$50)*(AE94-$BO$50-($BO$51-$BO$50)*0.5),AE94&gt;$BO$53,-AE101*(A!$AV$90*10^-3-AE94)^2*0.5)</f>
        <v>#N/A</v>
      </c>
      <c r="AF102" s="21" t="e" cm="1">
        <f t="array" ref="AF102">_xlfn.IFS(AF94&lt;=$BO$46,-AF101*AF94^2*0.5,AND(AF94&gt;$BO$46,AF94&lt;=$BO$51),$D$102*(AF94-$BO$46)-AF101*(AF94-$BO$50)^2*0.5,AND(AF94&gt;$BO$51,AF94&lt;=$BO$52),$D$102*(AF94-$BO$46)-A!$BA$105*($BO$51-$BO$50)*(AF94-$BO$50-($BO$51-$BO$50)*0.5),AF94&gt;$BO$53,-AF101*(A!$AV$90*10^-3-AF94)^2*0.5)</f>
        <v>#N/A</v>
      </c>
      <c r="AG102" s="21" t="e" cm="1">
        <f t="array" ref="AG102">_xlfn.IFS(AG94&lt;=$BO$46,-AG101*AG94^2*0.5,AND(AG94&gt;$BO$46,AG94&lt;=$BO$51),$D$102*(AG94-$BO$46)-AG101*(AG94-$BO$50)^2*0.5,AND(AG94&gt;$BO$51,AG94&lt;=$BO$52),$D$102*(AG94-$BO$46)-A!$BA$105*($BO$51-$BO$50)*(AG94-$BO$50-($BO$51-$BO$50)*0.5),AG94&gt;$BO$53,-AG101*(A!$AV$90*10^-3-AG94)^2*0.5)</f>
        <v>#N/A</v>
      </c>
      <c r="AH102" s="21" t="e" cm="1">
        <f t="array" ref="AH102">_xlfn.IFS(AH94&lt;=$BO$46,-AH101*AH94^2*0.5,AND(AH94&gt;$BO$46,AH94&lt;=$BO$51),$D$102*(AH94-$BO$46)-AH101*(AH94-$BO$50)^2*0.5,AND(AH94&gt;$BO$51,AH94&lt;=$BO$52),$D$102*(AH94-$BO$46)-A!$BA$105*($BO$51-$BO$50)*(AH94-$BO$50-($BO$51-$BO$50)*0.5),AH94&gt;$BO$53,-AH101*(A!$AV$90*10^-3-AH94)^2*0.5)</f>
        <v>#N/A</v>
      </c>
      <c r="AI102" s="21" t="e" cm="1">
        <f t="array" ref="AI102">_xlfn.IFS(AI94&lt;=$BO$46,-AI101*AI94^2*0.5,AND(AI94&gt;$BO$46,AI94&lt;=$BO$51),$D$102*(AI94-$BO$46)-AI101*(AI94-$BO$50)^2*0.5,AND(AI94&gt;$BO$51,AI94&lt;=$BO$52),$D$102*(AI94-$BO$46)-A!$BA$105*($BO$51-$BO$50)*(AI94-$BO$50-($BO$51-$BO$50)*0.5),AI94&gt;$BO$53,-AI101*(A!$AV$90*10^-3-AI94)^2*0.5)</f>
        <v>#N/A</v>
      </c>
      <c r="AJ102" s="21" t="e" cm="1">
        <f t="array" ref="AJ102">_xlfn.IFS(AJ94&lt;=$BO$46,-AJ101*AJ94^2*0.5,AND(AJ94&gt;$BO$46,AJ94&lt;=$BO$51),$D$102*(AJ94-$BO$46)-AJ101*(AJ94-$BO$50)^2*0.5,AND(AJ94&gt;$BO$51,AJ94&lt;=$BO$52),$D$102*(AJ94-$BO$46)-A!$BA$105*($BO$51-$BO$50)*(AJ94-$BO$50-($BO$51-$BO$50)*0.5),AJ94&gt;$BO$53,-AJ101*(A!$AV$90*10^-3-AJ94)^2*0.5)</f>
        <v>#N/A</v>
      </c>
      <c r="AK102" s="21" t="e" cm="1">
        <f t="array" ref="AK102">_xlfn.IFS(AK94&lt;=$BO$46,-AK101*AK94^2*0.5,AND(AK94&gt;$BO$46,AK94&lt;=$BO$51),$D$102*(AK94-$BO$46)-AK101*(AK94-$BO$50)^2*0.5,AND(AK94&gt;$BO$51,AK94&lt;=$BO$52),$D$102*(AK94-$BO$46)-A!$BA$105*($BO$51-$BO$50)*(AK94-$BO$50-($BO$51-$BO$50)*0.5),AK94&gt;$BO$53,-AK101*(A!$AV$90*10^-3-AK94)^2*0.5)</f>
        <v>#N/A</v>
      </c>
      <c r="AL102" s="21" t="e" cm="1">
        <f t="array" ref="AL102">_xlfn.IFS(AL94&lt;=$BO$46,-AL101*AL94^2*0.5,AND(AL94&gt;$BO$46,AL94&lt;=$BO$51),$D$102*(AL94-$BO$46)-AL101*(AL94-$BO$50)^2*0.5,AND(AL94&gt;$BO$51,AL94&lt;=$BO$52),$D$102*(AL94-$BO$46)-A!$BA$105*($BO$51-$BO$50)*(AL94-$BO$50-($BO$51-$BO$50)*0.5),AL94&gt;$BO$53,-AL101*(A!$AV$90*10^-3-AL94)^2*0.5)</f>
        <v>#N/A</v>
      </c>
      <c r="AM102" s="21" t="e" cm="1">
        <f t="array" ref="AM102">_xlfn.IFS(AM94&lt;=$BO$46,-AM101*AM94^2*0.5,AND(AM94&gt;$BO$46,AM94&lt;=$BO$51),$D$102*(AM94-$BO$46)-AM101*(AM94-$BO$50)^2*0.5,AND(AM94&gt;$BO$51,AM94&lt;=$BO$52),$D$102*(AM94-$BO$46)-A!$BA$105*($BO$51-$BO$50)*(AM94-$BO$50-($BO$51-$BO$50)*0.5),AM94&gt;$BO$53,-AM101*(A!$AV$90*10^-3-AM94)^2*0.5)</f>
        <v>#N/A</v>
      </c>
      <c r="AN102" s="21" t="e" cm="1">
        <f t="array" ref="AN102">_xlfn.IFS(AN94&lt;=$BO$46,-AN101*AN94^2*0.5,AND(AN94&gt;$BO$46,AN94&lt;=$BO$51),$D$102*(AN94-$BO$46)-AN101*(AN94-$BO$50)^2*0.5,AND(AN94&gt;$BO$51,AN94&lt;=$BO$52),$D$102*(AN94-$BO$46)-A!$BA$105*($BO$51-$BO$50)*(AN94-$BO$50-($BO$51-$BO$50)*0.5),AN94&gt;$BO$53,-AN101*(A!$AV$90*10^-3-AN94)^2*0.5)</f>
        <v>#N/A</v>
      </c>
      <c r="AO102" s="21" t="e" cm="1">
        <f t="array" ref="AO102">_xlfn.IFS(AO94&lt;=$BO$46,-AO101*AO94^2*0.5,AND(AO94&gt;$BO$46,AO94&lt;=$BO$51),$D$102*(AO94-$BO$46)-AO101*(AO94-$BO$50)^2*0.5,AND(AO94&gt;$BO$51,AO94&lt;=$BO$52),$D$102*(AO94-$BO$46)-A!$BA$105*($BO$51-$BO$50)*(AO94-$BO$50-($BO$51-$BO$50)*0.5),AO94&gt;$BO$53,-AO101*(A!$AV$90*10^-3-AO94)^2*0.5)</f>
        <v>#N/A</v>
      </c>
      <c r="AP102" s="21" t="e" cm="1">
        <f t="array" ref="AP102">_xlfn.IFS(AP94&lt;=$BO$46,-AP101*AP94^2*0.5,AND(AP94&gt;$BO$46,AP94&lt;=$BO$51),$D$102*(AP94-$BO$46)-AP101*(AP94-$BO$50)^2*0.5,AND(AP94&gt;$BO$51,AP94&lt;=$BO$52),$D$102*(AP94-$BO$46)-A!$BA$105*($BO$51-$BO$50)*(AP94-$BO$50-($BO$51-$BO$50)*0.5),AP94&gt;$BO$53,-AP101*(A!$AV$90*10^-3-AP94)^2*0.5)</f>
        <v>#N/A</v>
      </c>
      <c r="AQ102" s="21" t="e" cm="1">
        <f t="array" ref="AQ102">_xlfn.IFS(AQ94&lt;=$BO$46,-AQ101*AQ94^2*0.5,AND(AQ94&gt;$BO$46,AQ94&lt;=$BO$51),$D$102*(AQ94-$BO$46)-AQ101*(AQ94-$BO$50)^2*0.5,AND(AQ94&gt;$BO$51,AQ94&lt;=$BO$52),$D$102*(AQ94-$BO$46)-A!$BA$105*($BO$51-$BO$50)*(AQ94-$BO$50-($BO$51-$BO$50)*0.5),AQ94&gt;$BO$53,-AQ101*(A!$AV$90*10^-3-AQ94)^2*0.5)</f>
        <v>#N/A</v>
      </c>
      <c r="AR102" s="21" t="e" cm="1">
        <f t="array" ref="AR102">_xlfn.IFS(AR94&lt;=$BO$46,-AR101*AR94^2*0.5,AND(AR94&gt;$BO$46,AR94&lt;=$BO$51),$D$102*(AR94-$BO$46)-AR101*(AR94-$BO$50)^2*0.5,AND(AR94&gt;$BO$51,AR94&lt;=$BO$52),$D$102*(AR94-$BO$46)-A!$BA$105*($BO$51-$BO$50)*(AR94-$BO$50-($BO$51-$BO$50)*0.5),AR94&gt;$BO$53,-AR101*(A!$AV$90*10^-3-AR94)^2*0.5)</f>
        <v>#N/A</v>
      </c>
      <c r="AS102" s="21" t="e" cm="1">
        <f t="array" ref="AS102">_xlfn.IFS(AS94&lt;=$BO$46,-AS101*AS94^2*0.5,AND(AS94&gt;$BO$46,AS94&lt;=$BO$51),$D$102*(AS94-$BO$46)-AS101*(AS94-$BO$50)^2*0.5,AND(AS94&gt;$BO$51,AS94&lt;=$BO$52),$D$102*(AS94-$BO$46)-A!$BA$105*($BO$51-$BO$50)*(AS94-$BO$50-($BO$51-$BO$50)*0.5),AS94&gt;$BO$53,-AS101*(A!$AV$90*10^-3-AS94)^2*0.5)</f>
        <v>#N/A</v>
      </c>
      <c r="AT102" s="21" t="e" cm="1">
        <f t="array" ref="AT102">_xlfn.IFS(AT94&lt;=$BO$46,-AT101*AT94^2*0.5,AND(AT94&gt;$BO$46,AT94&lt;=$BO$51),$D$102*(AT94-$BO$46)-AT101*(AT94-$BO$50)^2*0.5,AND(AT94&gt;$BO$51,AT94&lt;=$BO$52),$D$102*(AT94-$BO$46)-A!$BA$105*($BO$51-$BO$50)*(AT94-$BO$50-($BO$51-$BO$50)*0.5),AT94&gt;$BO$53,-AT101*(A!$AV$90*10^-3-AT94)^2*0.5)</f>
        <v>#N/A</v>
      </c>
      <c r="AU102" s="21" t="e" cm="1">
        <f t="array" ref="AU102">_xlfn.IFS(AU94&lt;=$BO$46,-AU101*AU94^2*0.5,AND(AU94&gt;$BO$46,AU94&lt;=$BO$51),$D$102*(AU94-$BO$46)-AU101*(AU94-$BO$50)^2*0.5,AND(AU94&gt;$BO$51,AU94&lt;=$BO$52),$D$102*(AU94-$BO$46)-A!$BA$105*($BO$51-$BO$50)*(AU94-$BO$50-($BO$51-$BO$50)*0.5),AU94&gt;$BO$53,-AU101*(A!$AV$90*10^-3-AU94)^2*0.5)</f>
        <v>#N/A</v>
      </c>
      <c r="AV102" s="21" t="e" cm="1">
        <f t="array" ref="AV102">_xlfn.IFS(AV94&lt;=$BO$46,-AV101*AV94^2*0.5,AND(AV94&gt;$BO$46,AV94&lt;=$BO$51),$D$102*(AV94-$BO$46)-AV101*(AV94-$BO$50)^2*0.5,AND(AV94&gt;$BO$51,AV94&lt;=$BO$52),$D$102*(AV94-$BO$46)-A!$BA$105*($BO$51-$BO$50)*(AV94-$BO$50-($BO$51-$BO$50)*0.5),AV94&gt;$BO$53,-AV101*(A!$AV$90*10^-3-AV94)^2*0.5)</f>
        <v>#N/A</v>
      </c>
      <c r="AW102" s="21" t="e" cm="1">
        <f t="array" ref="AW102">_xlfn.IFS(AW94&lt;=$BO$46,-AW101*AW94^2*0.5,AND(AW94&gt;$BO$46,AW94&lt;=$BO$51),$D$102*(AW94-$BO$46)-AW101*(AW94-$BO$50)^2*0.5,AND(AW94&gt;$BO$51,AW94&lt;=$BO$52),$D$102*(AW94-$BO$46)-A!$BA$105*($BO$51-$BO$50)*(AW94-$BO$50-($BO$51-$BO$50)*0.5),AW94&gt;$BO$53,-AW101*(A!$AV$90*10^-3-AW94)^2*0.5)</f>
        <v>#N/A</v>
      </c>
      <c r="AX102" s="21" t="e" cm="1">
        <f t="array" ref="AX102">_xlfn.IFS(AX94&lt;=$BO$46,-AX101*AX94^2*0.5,AND(AX94&gt;$BO$46,AX94&lt;=$BO$51),$D$102*(AX94-$BO$46)-AX101*(AX94-$BO$50)^2*0.5,AND(AX94&gt;$BO$51,AX94&lt;=$BO$52),$D$102*(AX94-$BO$46)-A!$BA$105*($BO$51-$BO$50)*(AX94-$BO$50-($BO$51-$BO$50)*0.5),AX94&gt;$BO$53,-AX101*(A!$AV$90*10^-3-AX94)^2*0.5)</f>
        <v>#N/A</v>
      </c>
      <c r="AY102" s="21" t="e" cm="1">
        <f t="array" ref="AY102">_xlfn.IFS(AY94&lt;=$BO$46,-AY101*AY94^2*0.5,AND(AY94&gt;$BO$46,AY94&lt;=$BO$51),$D$102*(AY94-$BO$46)-AY101*(AY94-$BO$50)^2*0.5,AND(AY94&gt;$BO$51,AY94&lt;=$BO$52),$D$102*(AY94-$BO$46)-A!$BA$105*($BO$51-$BO$50)*(AY94-$BO$50-($BO$51-$BO$50)*0.5),AY94&gt;$BO$53,-AY101*(A!$AV$90*10^-3-AY94)^2*0.5)</f>
        <v>#N/A</v>
      </c>
      <c r="AZ102" s="21" t="e" cm="1">
        <f t="array" ref="AZ102">_xlfn.IFS(AZ94&lt;=$BO$46,-AZ101*AZ94^2*0.5,AND(AZ94&gt;$BO$46,AZ94&lt;=$BO$51),$D$102*(AZ94-$BO$46)-AZ101*(AZ94-$BO$50)^2*0.5,AND(AZ94&gt;$BO$51,AZ94&lt;=$BO$52),$D$102*(AZ94-$BO$46)-A!$BA$105*($BO$51-$BO$50)*(AZ94-$BO$50-($BO$51-$BO$50)*0.5),AZ94&gt;$BO$53,-AZ101*(A!$AV$90*10^-3-AZ94)^2*0.5)</f>
        <v>#N/A</v>
      </c>
      <c r="BA102" s="21" t="e" cm="1">
        <f t="array" ref="BA102">_xlfn.IFS(BA94&lt;=$BO$46,-BA101*BA94^2*0.5,AND(BA94&gt;$BO$46,BA94&lt;=$BO$51),$D$102*(BA94-$BO$46)-BA101*(BA94-$BO$50)^2*0.5,AND(BA94&gt;$BO$51,BA94&lt;=$BO$52),$D$102*(BA94-$BO$46)-A!$BA$105*($BO$51-$BO$50)*(BA94-$BO$50-($BO$51-$BO$50)*0.5),BA94&gt;$BO$53,-BA101*(A!$AV$90*10^-3-BA94)^2*0.5)</f>
        <v>#N/A</v>
      </c>
      <c r="BB102" s="21" t="e" cm="1">
        <f t="array" ref="BB102">_xlfn.IFS(BB94&lt;=$BO$46,-BB101*BB94^2*0.5,AND(BB94&gt;$BO$46,BB94&lt;=$BO$51),$D$102*(BB94-$BO$46)-BB101*(BB94-$BO$50)^2*0.5,AND(BB94&gt;$BO$51,BB94&lt;=$BO$52),$D$102*(BB94-$BO$46)-A!$BA$105*($BO$51-$BO$50)*(BB94-$BO$50-($BO$51-$BO$50)*0.5),BB94&gt;$BO$53,-BB101*(A!$AV$90*10^-3-BB94)^2*0.5)</f>
        <v>#N/A</v>
      </c>
      <c r="BC102" s="25" t="e" cm="1">
        <f t="array" ref="BC102">_xlfn.IFS(BC94&lt;=$BO$46,-BC101*BC94^2*0.5,AND(BC94&gt;$BO$46,BC94&lt;=$BO$51),$D$102*(BC94-$BO$46)-BC101*(BC94-$BO$50)^2*0.5,AND(BC94&gt;$BO$51,BC94&lt;=$BO$52),$D$102*(BC94-$BO$46)-A!$BA$105*($BO$51-$BO$50)*(BC94-$BO$50-($BO$51-$BO$50)*0.5),BC94&gt;$BO$53,-BC101*(A!$AV$90*10^-3-BC94)^2*0.5)</f>
        <v>#N/A</v>
      </c>
      <c r="BG102" s="69"/>
    </row>
    <row r="103" spans="2:59">
      <c r="B103" s="1" t="s">
        <v>147</v>
      </c>
      <c r="D103" s="11" t="e">
        <f>A!BF105/(A!AT91*10^-3)</f>
        <v>#N/A</v>
      </c>
      <c r="E103" s="1" t="s">
        <v>41</v>
      </c>
      <c r="F103" s="62" t="s">
        <v>134</v>
      </c>
      <c r="G103" s="23">
        <v>0</v>
      </c>
      <c r="H103" s="23" t="e">
        <f>IF(H93="ven. u. støtn. h",G103+$D$102,IF(H93="høj. u. støtn. h",G103+$D$103,G103-H101*(H94-G94)))</f>
        <v>#N/A</v>
      </c>
      <c r="I103" s="23" t="e">
        <f t="shared" ref="I103:BC103" si="64">IF(I93="ven. u. støtn. h",H103+$D$102,IF(I93="høj. u. støtn. h",H103+$D$103,H103-I101*(I94-H94)))</f>
        <v>#N/A</v>
      </c>
      <c r="J103" s="23" t="e">
        <f t="shared" si="64"/>
        <v>#N/A</v>
      </c>
      <c r="K103" s="23" t="e">
        <f t="shared" si="64"/>
        <v>#N/A</v>
      </c>
      <c r="L103" s="23" t="e">
        <f t="shared" si="64"/>
        <v>#N/A</v>
      </c>
      <c r="M103" s="23" t="e">
        <f t="shared" si="64"/>
        <v>#N/A</v>
      </c>
      <c r="N103" s="23" t="e">
        <f t="shared" si="64"/>
        <v>#N/A</v>
      </c>
      <c r="O103" s="23" t="e">
        <f t="shared" si="64"/>
        <v>#N/A</v>
      </c>
      <c r="P103" s="23" t="e">
        <f t="shared" si="64"/>
        <v>#N/A</v>
      </c>
      <c r="Q103" s="23" t="e">
        <f t="shared" si="64"/>
        <v>#N/A</v>
      </c>
      <c r="R103" s="23" t="e">
        <f t="shared" si="64"/>
        <v>#N/A</v>
      </c>
      <c r="S103" s="23" t="e">
        <f t="shared" si="64"/>
        <v>#N/A</v>
      </c>
      <c r="T103" s="23" t="e">
        <f t="shared" si="64"/>
        <v>#N/A</v>
      </c>
      <c r="U103" s="23" t="e">
        <f t="shared" si="64"/>
        <v>#N/A</v>
      </c>
      <c r="V103" s="23" t="e">
        <f t="shared" si="64"/>
        <v>#N/A</v>
      </c>
      <c r="W103" s="23" t="e">
        <f t="shared" si="64"/>
        <v>#N/A</v>
      </c>
      <c r="X103" s="23" t="e">
        <f t="shared" si="64"/>
        <v>#N/A</v>
      </c>
      <c r="Y103" s="23" t="e">
        <f t="shared" si="64"/>
        <v>#N/A</v>
      </c>
      <c r="Z103" s="23" t="e">
        <f t="shared" si="64"/>
        <v>#N/A</v>
      </c>
      <c r="AA103" s="23" t="e">
        <f t="shared" si="64"/>
        <v>#N/A</v>
      </c>
      <c r="AB103" s="23" t="e">
        <f t="shared" si="64"/>
        <v>#N/A</v>
      </c>
      <c r="AC103" s="23" t="e">
        <f t="shared" si="64"/>
        <v>#N/A</v>
      </c>
      <c r="AD103" s="23" t="e">
        <f t="shared" si="64"/>
        <v>#N/A</v>
      </c>
      <c r="AE103" s="23" t="e">
        <f t="shared" si="64"/>
        <v>#N/A</v>
      </c>
      <c r="AF103" s="23" t="e">
        <f t="shared" si="64"/>
        <v>#N/A</v>
      </c>
      <c r="AG103" s="23" t="e">
        <f t="shared" si="64"/>
        <v>#N/A</v>
      </c>
      <c r="AH103" s="23" t="e">
        <f t="shared" si="64"/>
        <v>#N/A</v>
      </c>
      <c r="AI103" s="23" t="e">
        <f t="shared" si="64"/>
        <v>#N/A</v>
      </c>
      <c r="AJ103" s="23" t="e">
        <f t="shared" si="64"/>
        <v>#N/A</v>
      </c>
      <c r="AK103" s="23" t="e">
        <f t="shared" si="64"/>
        <v>#N/A</v>
      </c>
      <c r="AL103" s="23" t="e">
        <f t="shared" si="64"/>
        <v>#N/A</v>
      </c>
      <c r="AM103" s="23" t="e">
        <f t="shared" si="64"/>
        <v>#N/A</v>
      </c>
      <c r="AN103" s="23" t="e">
        <f t="shared" si="64"/>
        <v>#N/A</v>
      </c>
      <c r="AO103" s="23" t="e">
        <f t="shared" si="64"/>
        <v>#N/A</v>
      </c>
      <c r="AP103" s="23" t="e">
        <f t="shared" si="64"/>
        <v>#N/A</v>
      </c>
      <c r="AQ103" s="23" t="e">
        <f t="shared" si="64"/>
        <v>#N/A</v>
      </c>
      <c r="AR103" s="23" t="e">
        <f t="shared" si="64"/>
        <v>#N/A</v>
      </c>
      <c r="AS103" s="23" t="e">
        <f t="shared" si="64"/>
        <v>#N/A</v>
      </c>
      <c r="AT103" s="23" t="e">
        <f t="shared" si="64"/>
        <v>#N/A</v>
      </c>
      <c r="AU103" s="23" t="e">
        <f t="shared" si="64"/>
        <v>#N/A</v>
      </c>
      <c r="AV103" s="23" t="e">
        <f t="shared" si="64"/>
        <v>#N/A</v>
      </c>
      <c r="AW103" s="23" t="e">
        <f t="shared" si="64"/>
        <v>#N/A</v>
      </c>
      <c r="AX103" s="23" t="e">
        <f t="shared" si="64"/>
        <v>#N/A</v>
      </c>
      <c r="AY103" s="23" t="e">
        <f t="shared" si="64"/>
        <v>#N/A</v>
      </c>
      <c r="AZ103" s="23" t="e">
        <f t="shared" si="64"/>
        <v>#N/A</v>
      </c>
      <c r="BA103" s="23" t="e">
        <f t="shared" si="64"/>
        <v>#N/A</v>
      </c>
      <c r="BB103" s="23" t="e">
        <f t="shared" si="64"/>
        <v>#N/A</v>
      </c>
      <c r="BC103" s="24" t="e">
        <f t="shared" si="64"/>
        <v>#N/A</v>
      </c>
      <c r="BG103" s="69"/>
    </row>
    <row r="104" spans="2:59">
      <c r="F104" s="59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1"/>
      <c r="BG104" s="69"/>
    </row>
    <row r="105" spans="2:59">
      <c r="F105" s="64" t="s">
        <v>135</v>
      </c>
      <c r="G105" s="21" t="e">
        <f>G96+G99+G102</f>
        <v>#N/A</v>
      </c>
      <c r="H105" s="21" t="e">
        <f t="shared" ref="H105:BC105" si="65">H96+H99+H102</f>
        <v>#N/A</v>
      </c>
      <c r="I105" s="21" t="e">
        <f t="shared" si="65"/>
        <v>#N/A</v>
      </c>
      <c r="J105" s="21" t="e">
        <f t="shared" si="65"/>
        <v>#N/A</v>
      </c>
      <c r="K105" s="21" t="e">
        <f t="shared" si="65"/>
        <v>#N/A</v>
      </c>
      <c r="L105" s="21" t="e">
        <f t="shared" si="65"/>
        <v>#N/A</v>
      </c>
      <c r="M105" s="21" t="e">
        <f t="shared" si="65"/>
        <v>#N/A</v>
      </c>
      <c r="N105" s="21" t="e">
        <f t="shared" si="65"/>
        <v>#N/A</v>
      </c>
      <c r="O105" s="21" t="e">
        <f t="shared" si="65"/>
        <v>#N/A</v>
      </c>
      <c r="P105" s="21" t="e">
        <f t="shared" si="65"/>
        <v>#N/A</v>
      </c>
      <c r="Q105" s="21" t="e">
        <f t="shared" si="65"/>
        <v>#N/A</v>
      </c>
      <c r="R105" s="21" t="e">
        <f t="shared" si="65"/>
        <v>#N/A</v>
      </c>
      <c r="S105" s="21" t="e">
        <f t="shared" si="65"/>
        <v>#N/A</v>
      </c>
      <c r="T105" s="21" t="e">
        <f t="shared" si="65"/>
        <v>#N/A</v>
      </c>
      <c r="U105" s="21" t="e">
        <f t="shared" si="65"/>
        <v>#N/A</v>
      </c>
      <c r="V105" s="21" t="e">
        <f t="shared" si="65"/>
        <v>#N/A</v>
      </c>
      <c r="W105" s="21" t="e">
        <f t="shared" si="65"/>
        <v>#N/A</v>
      </c>
      <c r="X105" s="21" t="e">
        <f t="shared" si="65"/>
        <v>#N/A</v>
      </c>
      <c r="Y105" s="21" t="e">
        <f t="shared" si="65"/>
        <v>#N/A</v>
      </c>
      <c r="Z105" s="21" t="e">
        <f t="shared" si="65"/>
        <v>#N/A</v>
      </c>
      <c r="AA105" s="21" t="e">
        <f t="shared" si="65"/>
        <v>#N/A</v>
      </c>
      <c r="AB105" s="21" t="e">
        <f t="shared" si="65"/>
        <v>#N/A</v>
      </c>
      <c r="AC105" s="21" t="e">
        <f t="shared" si="65"/>
        <v>#N/A</v>
      </c>
      <c r="AD105" s="21" t="e">
        <f t="shared" si="65"/>
        <v>#N/A</v>
      </c>
      <c r="AE105" s="21" t="e">
        <f t="shared" si="65"/>
        <v>#N/A</v>
      </c>
      <c r="AF105" s="21" t="e">
        <f t="shared" si="65"/>
        <v>#N/A</v>
      </c>
      <c r="AG105" s="21" t="e">
        <f t="shared" si="65"/>
        <v>#N/A</v>
      </c>
      <c r="AH105" s="21" t="e">
        <f t="shared" si="65"/>
        <v>#N/A</v>
      </c>
      <c r="AI105" s="21" t="e">
        <f t="shared" si="65"/>
        <v>#N/A</v>
      </c>
      <c r="AJ105" s="21" t="e">
        <f t="shared" si="65"/>
        <v>#N/A</v>
      </c>
      <c r="AK105" s="21" t="e">
        <f t="shared" si="65"/>
        <v>#N/A</v>
      </c>
      <c r="AL105" s="21" t="e">
        <f t="shared" si="65"/>
        <v>#N/A</v>
      </c>
      <c r="AM105" s="21" t="e">
        <f t="shared" si="65"/>
        <v>#N/A</v>
      </c>
      <c r="AN105" s="21" t="e">
        <f t="shared" si="65"/>
        <v>#N/A</v>
      </c>
      <c r="AO105" s="21" t="e">
        <f t="shared" si="65"/>
        <v>#N/A</v>
      </c>
      <c r="AP105" s="21" t="e">
        <f t="shared" si="65"/>
        <v>#N/A</v>
      </c>
      <c r="AQ105" s="21" t="e">
        <f t="shared" si="65"/>
        <v>#N/A</v>
      </c>
      <c r="AR105" s="21" t="e">
        <f t="shared" si="65"/>
        <v>#N/A</v>
      </c>
      <c r="AS105" s="21" t="e">
        <f t="shared" si="65"/>
        <v>#N/A</v>
      </c>
      <c r="AT105" s="21" t="e">
        <f t="shared" si="65"/>
        <v>#N/A</v>
      </c>
      <c r="AU105" s="21" t="e">
        <f t="shared" si="65"/>
        <v>#N/A</v>
      </c>
      <c r="AV105" s="21" t="e">
        <f t="shared" si="65"/>
        <v>#N/A</v>
      </c>
      <c r="AW105" s="21" t="e">
        <f t="shared" si="65"/>
        <v>#N/A</v>
      </c>
      <c r="AX105" s="21" t="e">
        <f t="shared" si="65"/>
        <v>#N/A</v>
      </c>
      <c r="AY105" s="21" t="e">
        <f t="shared" si="65"/>
        <v>#N/A</v>
      </c>
      <c r="AZ105" s="21" t="e">
        <f t="shared" si="65"/>
        <v>#N/A</v>
      </c>
      <c r="BA105" s="21" t="e">
        <f t="shared" si="65"/>
        <v>#N/A</v>
      </c>
      <c r="BB105" s="21" t="e">
        <f t="shared" si="65"/>
        <v>#N/A</v>
      </c>
      <c r="BC105" s="25" t="e">
        <f t="shared" si="65"/>
        <v>#N/A</v>
      </c>
      <c r="BG105" s="69"/>
    </row>
    <row r="106" spans="2:59">
      <c r="F106" s="64" t="s">
        <v>136</v>
      </c>
      <c r="G106" s="21">
        <f>G97+G100+G103</f>
        <v>0</v>
      </c>
      <c r="H106" s="21" t="e">
        <f t="shared" ref="H106:BC106" si="66">H97+H100+H103</f>
        <v>#N/A</v>
      </c>
      <c r="I106" s="21" t="e">
        <f t="shared" si="66"/>
        <v>#N/A</v>
      </c>
      <c r="J106" s="21" t="e">
        <f t="shared" si="66"/>
        <v>#N/A</v>
      </c>
      <c r="K106" s="21" t="e">
        <f t="shared" si="66"/>
        <v>#N/A</v>
      </c>
      <c r="L106" s="21" t="e">
        <f t="shared" si="66"/>
        <v>#N/A</v>
      </c>
      <c r="M106" s="21" t="e">
        <f t="shared" si="66"/>
        <v>#N/A</v>
      </c>
      <c r="N106" s="21" t="e">
        <f t="shared" si="66"/>
        <v>#N/A</v>
      </c>
      <c r="O106" s="21" t="e">
        <f t="shared" si="66"/>
        <v>#N/A</v>
      </c>
      <c r="P106" s="21" t="e">
        <f t="shared" si="66"/>
        <v>#N/A</v>
      </c>
      <c r="Q106" s="21" t="e">
        <f t="shared" si="66"/>
        <v>#N/A</v>
      </c>
      <c r="R106" s="21" t="e">
        <f t="shared" si="66"/>
        <v>#N/A</v>
      </c>
      <c r="S106" s="21" t="e">
        <f t="shared" si="66"/>
        <v>#N/A</v>
      </c>
      <c r="T106" s="21" t="e">
        <f t="shared" si="66"/>
        <v>#N/A</v>
      </c>
      <c r="U106" s="21" t="e">
        <f t="shared" si="66"/>
        <v>#N/A</v>
      </c>
      <c r="V106" s="21" t="e">
        <f t="shared" si="66"/>
        <v>#N/A</v>
      </c>
      <c r="W106" s="21" t="e">
        <f t="shared" si="66"/>
        <v>#N/A</v>
      </c>
      <c r="X106" s="21" t="e">
        <f t="shared" si="66"/>
        <v>#N/A</v>
      </c>
      <c r="Y106" s="21" t="e">
        <f t="shared" si="66"/>
        <v>#N/A</v>
      </c>
      <c r="Z106" s="21" t="e">
        <f t="shared" si="66"/>
        <v>#N/A</v>
      </c>
      <c r="AA106" s="21" t="e">
        <f t="shared" si="66"/>
        <v>#N/A</v>
      </c>
      <c r="AB106" s="21" t="e">
        <f t="shared" si="66"/>
        <v>#N/A</v>
      </c>
      <c r="AC106" s="21" t="e">
        <f t="shared" si="66"/>
        <v>#N/A</v>
      </c>
      <c r="AD106" s="21" t="e">
        <f t="shared" si="66"/>
        <v>#N/A</v>
      </c>
      <c r="AE106" s="21" t="e">
        <f t="shared" si="66"/>
        <v>#N/A</v>
      </c>
      <c r="AF106" s="21" t="e">
        <f t="shared" si="66"/>
        <v>#N/A</v>
      </c>
      <c r="AG106" s="21" t="e">
        <f t="shared" si="66"/>
        <v>#N/A</v>
      </c>
      <c r="AH106" s="21" t="e">
        <f t="shared" si="66"/>
        <v>#N/A</v>
      </c>
      <c r="AI106" s="21" t="e">
        <f t="shared" si="66"/>
        <v>#N/A</v>
      </c>
      <c r="AJ106" s="21" t="e">
        <f t="shared" si="66"/>
        <v>#N/A</v>
      </c>
      <c r="AK106" s="21" t="e">
        <f t="shared" si="66"/>
        <v>#N/A</v>
      </c>
      <c r="AL106" s="21" t="e">
        <f t="shared" si="66"/>
        <v>#N/A</v>
      </c>
      <c r="AM106" s="21" t="e">
        <f t="shared" si="66"/>
        <v>#N/A</v>
      </c>
      <c r="AN106" s="21" t="e">
        <f t="shared" si="66"/>
        <v>#N/A</v>
      </c>
      <c r="AO106" s="21" t="e">
        <f t="shared" si="66"/>
        <v>#N/A</v>
      </c>
      <c r="AP106" s="21" t="e">
        <f t="shared" si="66"/>
        <v>#N/A</v>
      </c>
      <c r="AQ106" s="21" t="e">
        <f t="shared" si="66"/>
        <v>#N/A</v>
      </c>
      <c r="AR106" s="21" t="e">
        <f t="shared" si="66"/>
        <v>#N/A</v>
      </c>
      <c r="AS106" s="21" t="e">
        <f t="shared" si="66"/>
        <v>#N/A</v>
      </c>
      <c r="AT106" s="21" t="e">
        <f t="shared" si="66"/>
        <v>#N/A</v>
      </c>
      <c r="AU106" s="21" t="e">
        <f t="shared" si="66"/>
        <v>#N/A</v>
      </c>
      <c r="AV106" s="21" t="e">
        <f t="shared" si="66"/>
        <v>#N/A</v>
      </c>
      <c r="AW106" s="21" t="e">
        <f t="shared" si="66"/>
        <v>#N/A</v>
      </c>
      <c r="AX106" s="21" t="e">
        <f t="shared" si="66"/>
        <v>#N/A</v>
      </c>
      <c r="AY106" s="21" t="e">
        <f t="shared" si="66"/>
        <v>#N/A</v>
      </c>
      <c r="AZ106" s="21" t="e">
        <f t="shared" si="66"/>
        <v>#N/A</v>
      </c>
      <c r="BA106" s="21" t="e">
        <f t="shared" si="66"/>
        <v>#N/A</v>
      </c>
      <c r="BB106" s="21" t="e">
        <f t="shared" si="66"/>
        <v>#N/A</v>
      </c>
      <c r="BC106" s="25" t="e">
        <f t="shared" si="66"/>
        <v>#N/A</v>
      </c>
    </row>
    <row r="107" spans="2:59">
      <c r="F107" s="62" t="s">
        <v>137</v>
      </c>
      <c r="G107" s="23">
        <f>ABS(G106)</f>
        <v>0</v>
      </c>
      <c r="H107" s="23" t="e">
        <f t="shared" ref="H107:BC107" si="67">ABS(H106)</f>
        <v>#N/A</v>
      </c>
      <c r="I107" s="23" t="e">
        <f t="shared" si="67"/>
        <v>#N/A</v>
      </c>
      <c r="J107" s="23" t="e">
        <f t="shared" si="67"/>
        <v>#N/A</v>
      </c>
      <c r="K107" s="23" t="e">
        <f t="shared" si="67"/>
        <v>#N/A</v>
      </c>
      <c r="L107" s="23" t="e">
        <f t="shared" si="67"/>
        <v>#N/A</v>
      </c>
      <c r="M107" s="23" t="e">
        <f t="shared" si="67"/>
        <v>#N/A</v>
      </c>
      <c r="N107" s="23" t="e">
        <f t="shared" si="67"/>
        <v>#N/A</v>
      </c>
      <c r="O107" s="23" t="e">
        <f t="shared" si="67"/>
        <v>#N/A</v>
      </c>
      <c r="P107" s="23" t="e">
        <f t="shared" si="67"/>
        <v>#N/A</v>
      </c>
      <c r="Q107" s="23" t="e">
        <f t="shared" si="67"/>
        <v>#N/A</v>
      </c>
      <c r="R107" s="23" t="e">
        <f t="shared" si="67"/>
        <v>#N/A</v>
      </c>
      <c r="S107" s="23" t="e">
        <f t="shared" si="67"/>
        <v>#N/A</v>
      </c>
      <c r="T107" s="23" t="e">
        <f t="shared" si="67"/>
        <v>#N/A</v>
      </c>
      <c r="U107" s="23" t="e">
        <f t="shared" si="67"/>
        <v>#N/A</v>
      </c>
      <c r="V107" s="23" t="e">
        <f t="shared" si="67"/>
        <v>#N/A</v>
      </c>
      <c r="W107" s="23" t="e">
        <f t="shared" si="67"/>
        <v>#N/A</v>
      </c>
      <c r="X107" s="23" t="e">
        <f t="shared" si="67"/>
        <v>#N/A</v>
      </c>
      <c r="Y107" s="23" t="e">
        <f t="shared" si="67"/>
        <v>#N/A</v>
      </c>
      <c r="Z107" s="23" t="e">
        <f t="shared" si="67"/>
        <v>#N/A</v>
      </c>
      <c r="AA107" s="23" t="e">
        <f t="shared" si="67"/>
        <v>#N/A</v>
      </c>
      <c r="AB107" s="23" t="e">
        <f t="shared" si="67"/>
        <v>#N/A</v>
      </c>
      <c r="AC107" s="23" t="e">
        <f t="shared" si="67"/>
        <v>#N/A</v>
      </c>
      <c r="AD107" s="23" t="e">
        <f t="shared" si="67"/>
        <v>#N/A</v>
      </c>
      <c r="AE107" s="23" t="e">
        <f t="shared" si="67"/>
        <v>#N/A</v>
      </c>
      <c r="AF107" s="23" t="e">
        <f t="shared" si="67"/>
        <v>#N/A</v>
      </c>
      <c r="AG107" s="23" t="e">
        <f t="shared" si="67"/>
        <v>#N/A</v>
      </c>
      <c r="AH107" s="23" t="e">
        <f t="shared" si="67"/>
        <v>#N/A</v>
      </c>
      <c r="AI107" s="23" t="e">
        <f t="shared" si="67"/>
        <v>#N/A</v>
      </c>
      <c r="AJ107" s="23" t="e">
        <f t="shared" si="67"/>
        <v>#N/A</v>
      </c>
      <c r="AK107" s="23" t="e">
        <f t="shared" si="67"/>
        <v>#N/A</v>
      </c>
      <c r="AL107" s="23" t="e">
        <f t="shared" si="67"/>
        <v>#N/A</v>
      </c>
      <c r="AM107" s="23" t="e">
        <f t="shared" si="67"/>
        <v>#N/A</v>
      </c>
      <c r="AN107" s="23" t="e">
        <f t="shared" si="67"/>
        <v>#N/A</v>
      </c>
      <c r="AO107" s="23" t="e">
        <f t="shared" si="67"/>
        <v>#N/A</v>
      </c>
      <c r="AP107" s="23" t="e">
        <f t="shared" si="67"/>
        <v>#N/A</v>
      </c>
      <c r="AQ107" s="23" t="e">
        <f t="shared" si="67"/>
        <v>#N/A</v>
      </c>
      <c r="AR107" s="23" t="e">
        <f t="shared" si="67"/>
        <v>#N/A</v>
      </c>
      <c r="AS107" s="23" t="e">
        <f t="shared" si="67"/>
        <v>#N/A</v>
      </c>
      <c r="AT107" s="23" t="e">
        <f t="shared" si="67"/>
        <v>#N/A</v>
      </c>
      <c r="AU107" s="23" t="e">
        <f t="shared" si="67"/>
        <v>#N/A</v>
      </c>
      <c r="AV107" s="23" t="e">
        <f t="shared" si="67"/>
        <v>#N/A</v>
      </c>
      <c r="AW107" s="23" t="e">
        <f t="shared" si="67"/>
        <v>#N/A</v>
      </c>
      <c r="AX107" s="23" t="e">
        <f t="shared" si="67"/>
        <v>#N/A</v>
      </c>
      <c r="AY107" s="23" t="e">
        <f t="shared" si="67"/>
        <v>#N/A</v>
      </c>
      <c r="AZ107" s="23" t="e">
        <f t="shared" si="67"/>
        <v>#N/A</v>
      </c>
      <c r="BA107" s="23" t="e">
        <f t="shared" si="67"/>
        <v>#N/A</v>
      </c>
      <c r="BB107" s="23" t="e">
        <f t="shared" si="67"/>
        <v>#N/A</v>
      </c>
      <c r="BC107" s="24" t="e">
        <f t="shared" si="67"/>
        <v>#N/A</v>
      </c>
    </row>
    <row r="109" spans="2:59">
      <c r="C109" s="12" t="s">
        <v>143</v>
      </c>
      <c r="D109" s="13" t="e">
        <f>MAX(G105:BC105)</f>
        <v>#N/A</v>
      </c>
      <c r="E109" s="1" t="s">
        <v>145</v>
      </c>
    </row>
    <row r="110" spans="2:59">
      <c r="C110" s="12" t="s">
        <v>157</v>
      </c>
      <c r="D110" s="11" t="e">
        <f>MIN(G105:BC105)</f>
        <v>#N/A</v>
      </c>
      <c r="E110" s="1" t="s">
        <v>145</v>
      </c>
    </row>
    <row r="111" spans="2:59">
      <c r="C111" s="12" t="s">
        <v>144</v>
      </c>
      <c r="D111" s="13" t="e">
        <f>MAX(G107:BC107)</f>
        <v>#N/A</v>
      </c>
      <c r="E111" s="1" t="s">
        <v>41</v>
      </c>
    </row>
    <row r="134" spans="2:55">
      <c r="F134" s="67" t="s">
        <v>30</v>
      </c>
      <c r="G134" s="3">
        <f>A!AZ112</f>
        <v>0</v>
      </c>
    </row>
    <row r="136" spans="2:55">
      <c r="F136" s="70" t="s">
        <v>131</v>
      </c>
      <c r="G136" s="60" t="e" cm="1">
        <f t="array" aca="1" ref="G136" ca="1">TRANSPOSE(BZ45:INDIRECT(CELL("adresse",INDEX(BZ45:CA95,MATCH("Slut",BZ45:BZ95,0),2))))</f>
        <v>#N/A</v>
      </c>
      <c r="H136" s="60"/>
      <c r="I136" s="60"/>
      <c r="J136" s="60"/>
      <c r="K136" s="60"/>
      <c r="L136" s="60"/>
      <c r="M136" s="60"/>
      <c r="N136" s="60"/>
      <c r="O136" s="60"/>
      <c r="P136" s="60"/>
      <c r="Q136" s="60"/>
      <c r="R136" s="60"/>
      <c r="S136" s="60"/>
      <c r="T136" s="60"/>
      <c r="U136" s="60"/>
      <c r="V136" s="60"/>
      <c r="W136" s="60"/>
      <c r="X136" s="60"/>
      <c r="Y136" s="60"/>
      <c r="Z136" s="60"/>
      <c r="AA136" s="60"/>
      <c r="AB136" s="60"/>
      <c r="AC136" s="60"/>
      <c r="AD136" s="60"/>
      <c r="AE136" s="60"/>
      <c r="AF136" s="60"/>
      <c r="AG136" s="60"/>
      <c r="AH136" s="60"/>
      <c r="AI136" s="60"/>
      <c r="AJ136" s="60"/>
      <c r="AK136" s="60"/>
      <c r="AL136" s="60"/>
      <c r="AM136" s="60"/>
      <c r="AN136" s="60"/>
      <c r="AO136" s="60"/>
      <c r="AP136" s="60"/>
      <c r="AQ136" s="60"/>
      <c r="AR136" s="60"/>
      <c r="AS136" s="60"/>
      <c r="AT136" s="60"/>
      <c r="AU136" s="60"/>
      <c r="AV136" s="60"/>
      <c r="AW136" s="60"/>
      <c r="AX136" s="60"/>
      <c r="AY136" s="60"/>
      <c r="AZ136" s="60"/>
      <c r="BA136" s="60"/>
      <c r="BB136" s="60"/>
      <c r="BC136" s="61"/>
    </row>
    <row r="137" spans="2:55">
      <c r="F137" s="72" t="s">
        <v>132</v>
      </c>
      <c r="G137" s="74"/>
      <c r="H137" s="7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2"/>
      <c r="AP137" s="22"/>
      <c r="AQ137" s="22"/>
      <c r="AR137" s="22"/>
      <c r="AS137" s="22"/>
      <c r="AT137" s="22"/>
      <c r="AU137" s="22"/>
      <c r="AV137" s="22"/>
      <c r="AW137" s="22"/>
      <c r="AX137" s="22"/>
      <c r="AY137" s="22"/>
      <c r="AZ137" s="22"/>
      <c r="BA137" s="22"/>
      <c r="BB137" s="22"/>
      <c r="BC137" s="63"/>
    </row>
    <row r="138" spans="2:55">
      <c r="F138" s="64" t="str">
        <f>A!AZ114&amp;" [" &amp;A!BB114&amp;"]"</f>
        <v>Fladelast [kN/m]</v>
      </c>
      <c r="G138" s="73" t="e">
        <f>IF(AND(G137&gt;$BW$54,G137&lt;=$BW$55),A!$BA$114,0)</f>
        <v>#N/A</v>
      </c>
      <c r="H138" s="35" t="e">
        <f>IF(AND(H137&gt;$BW$54,H137&lt;=$BW$55),A!$BA$114,0)</f>
        <v>#N/A</v>
      </c>
      <c r="I138" s="35" t="e">
        <f>IF(AND(I137&gt;$BW$54,I137&lt;=$BW$55),A!$BA$114,0)</f>
        <v>#N/A</v>
      </c>
      <c r="J138" s="35" t="e">
        <f>IF(AND(J137&gt;$BW$54,J137&lt;=$BW$55),A!$BA$114,0)</f>
        <v>#N/A</v>
      </c>
      <c r="K138" s="35" t="e">
        <f>IF(AND(K137&gt;$BW$54,K137&lt;=$BW$55),A!$BA$114,0)</f>
        <v>#N/A</v>
      </c>
      <c r="L138" s="35" t="e">
        <f>IF(AND(L137&gt;$BW$54,L137&lt;=$BW$55),A!$BA$114,0)</f>
        <v>#N/A</v>
      </c>
      <c r="M138" s="35" t="e">
        <f>IF(AND(M137&gt;$BW$54,M137&lt;=$BW$55),A!$BA$114,0)</f>
        <v>#N/A</v>
      </c>
      <c r="N138" s="35" t="e">
        <f>IF(AND(N137&gt;$BW$54,N137&lt;=$BW$55),A!$BA$114,0)</f>
        <v>#N/A</v>
      </c>
      <c r="O138" s="35" t="e">
        <f>IF(AND(O137&gt;$BW$54,O137&lt;=$BW$55),A!$BA$114,0)</f>
        <v>#N/A</v>
      </c>
      <c r="P138" s="35" t="e">
        <f>IF(AND(P137&gt;$BW$54,P137&lt;=$BW$55),A!$BA$114,0)</f>
        <v>#N/A</v>
      </c>
      <c r="Q138" s="35" t="e">
        <f>IF(AND(Q137&gt;$BW$54,Q137&lt;=$BW$55),A!$BA$114,0)</f>
        <v>#N/A</v>
      </c>
      <c r="R138" s="35" t="e">
        <f>IF(AND(R137&gt;$BW$54,R137&lt;=$BW$55),A!$BA$114,0)</f>
        <v>#N/A</v>
      </c>
      <c r="S138" s="35" t="e">
        <f>IF(AND(S137&gt;$BW$54,S137&lt;=$BW$55),A!$BA$114,0)</f>
        <v>#N/A</v>
      </c>
      <c r="T138" s="35" t="e">
        <f>IF(AND(T137&gt;$BW$54,T137&lt;=$BW$55),A!$BA$114,0)</f>
        <v>#N/A</v>
      </c>
      <c r="U138" s="35" t="e">
        <f>IF(AND(U137&gt;$BW$54,U137&lt;=$BW$55),A!$BA$114,0)</f>
        <v>#N/A</v>
      </c>
      <c r="V138" s="35" t="e">
        <f>IF(AND(V137&gt;$BW$54,V137&lt;=$BW$55),A!$BA$114,0)</f>
        <v>#N/A</v>
      </c>
      <c r="W138" s="35" t="e">
        <f>IF(AND(W137&gt;$BW$54,W137&lt;=$BW$55),A!$BA$114,0)</f>
        <v>#N/A</v>
      </c>
      <c r="X138" s="35" t="e">
        <f>IF(AND(X137&gt;$BW$54,X137&lt;=$BW$55),A!$BA$114,0)</f>
        <v>#N/A</v>
      </c>
      <c r="Y138" s="35" t="e">
        <f>IF(AND(Y137&gt;$BW$54,Y137&lt;=$BW$55),A!$BA$114,0)</f>
        <v>#N/A</v>
      </c>
      <c r="Z138" s="35" t="e">
        <f>IF(AND(Z137&gt;$BW$54,Z137&lt;=$BW$55),A!$BA$114,0)</f>
        <v>#N/A</v>
      </c>
      <c r="AA138" s="35" t="e">
        <f>IF(AND(AA137&gt;$BW$54,AA137&lt;=$BW$55),A!$BA$114,0)</f>
        <v>#N/A</v>
      </c>
      <c r="AB138" s="35" t="e">
        <f>IF(AND(AB137&gt;$BW$54,AB137&lt;=$BW$55),A!$BA$114,0)</f>
        <v>#N/A</v>
      </c>
      <c r="AC138" s="35" t="e">
        <f>IF(AND(AC137&gt;$BW$54,AC137&lt;=$BW$55),A!$BA$114,0)</f>
        <v>#N/A</v>
      </c>
      <c r="AD138" s="35" t="e">
        <f>IF(AND(AD137&gt;$BW$54,AD137&lt;=$BW$55),A!$BA$114,0)</f>
        <v>#N/A</v>
      </c>
      <c r="AE138" s="35" t="e">
        <f>IF(AND(AE137&gt;$BW$54,AE137&lt;=$BW$55),A!$BA$114,0)</f>
        <v>#N/A</v>
      </c>
      <c r="AF138" s="35" t="e">
        <f>IF(AND(AF137&gt;$BW$54,AF137&lt;=$BW$55),A!$BA$114,0)</f>
        <v>#N/A</v>
      </c>
      <c r="AG138" s="35" t="e">
        <f>IF(AND(AG137&gt;$BW$54,AG137&lt;=$BW$55),A!$BA$114,0)</f>
        <v>#N/A</v>
      </c>
      <c r="AH138" s="35" t="e">
        <f>IF(AND(AH137&gt;$BW$54,AH137&lt;=$BW$55),A!$BA$114,0)</f>
        <v>#N/A</v>
      </c>
      <c r="AI138" s="35" t="e">
        <f>IF(AND(AI137&gt;$BW$54,AI137&lt;=$BW$55),A!$BA$114,0)</f>
        <v>#N/A</v>
      </c>
      <c r="AJ138" s="35" t="e">
        <f>IF(AND(AJ137&gt;$BW$54,AJ137&lt;=$BW$55),A!$BA$114,0)</f>
        <v>#N/A</v>
      </c>
      <c r="AK138" s="35" t="e">
        <f>IF(AND(AK137&gt;$BW$54,AK137&lt;=$BW$55),A!$BA$114,0)</f>
        <v>#N/A</v>
      </c>
      <c r="AL138" s="35" t="e">
        <f>IF(AND(AL137&gt;$BW$54,AL137&lt;=$BW$55),A!$BA$114,0)</f>
        <v>#N/A</v>
      </c>
      <c r="AM138" s="35" t="e">
        <f>IF(AND(AM137&gt;$BW$54,AM137&lt;=$BW$55),A!$BA$114,0)</f>
        <v>#N/A</v>
      </c>
      <c r="AN138" s="35" t="e">
        <f>IF(AND(AN137&gt;$BW$54,AN137&lt;=$BW$55),A!$BA$114,0)</f>
        <v>#N/A</v>
      </c>
      <c r="AO138" s="35" t="e">
        <f>IF(AND(AO137&gt;$BW$54,AO137&lt;=$BW$55),A!$BA$114,0)</f>
        <v>#N/A</v>
      </c>
      <c r="AP138" s="35" t="e">
        <f>IF(AND(AP137&gt;$BW$54,AP137&lt;=$BW$55),A!$BA$114,0)</f>
        <v>#N/A</v>
      </c>
      <c r="AQ138" s="35" t="e">
        <f>IF(AND(AQ137&gt;$BW$54,AQ137&lt;=$BW$55),A!$BA$114,0)</f>
        <v>#N/A</v>
      </c>
      <c r="AR138" s="35" t="e">
        <f>IF(AND(AR137&gt;$BW$54,AR137&lt;=$BW$55),A!$BA$114,0)</f>
        <v>#N/A</v>
      </c>
      <c r="AS138" s="35" t="e">
        <f>IF(AND(AS137&gt;$BW$54,AS137&lt;=$BW$55),A!$BA$114,0)</f>
        <v>#N/A</v>
      </c>
      <c r="AT138" s="35" t="e">
        <f>IF(AND(AT137&gt;$BW$54,AT137&lt;=$BW$55),A!$BA$114,0)</f>
        <v>#N/A</v>
      </c>
      <c r="AU138" s="35" t="e">
        <f>IF(AND(AU137&gt;$BW$54,AU137&lt;=$BW$55),A!$BA$114,0)</f>
        <v>#N/A</v>
      </c>
      <c r="AV138" s="35" t="e">
        <f>IF(AND(AV137&gt;$BW$54,AV137&lt;=$BW$55),A!$BA$114,0)</f>
        <v>#N/A</v>
      </c>
      <c r="AW138" s="35" t="e">
        <f>IF(AND(AW137&gt;$BW$54,AW137&lt;=$BW$55),A!$BA$114,0)</f>
        <v>#N/A</v>
      </c>
      <c r="AX138" s="35" t="e">
        <f>IF(AND(AX137&gt;$BW$54,AX137&lt;=$BW$55),A!$BA$114,0)</f>
        <v>#N/A</v>
      </c>
      <c r="AY138" s="35" t="e">
        <f>IF(AND(AY137&gt;$BW$54,AY137&lt;=$BW$55),A!$BA$114,0)</f>
        <v>#N/A</v>
      </c>
      <c r="AZ138" s="35" t="e">
        <f>IF(AND(AZ137&gt;$BW$54,AZ137&lt;=$BW$55),A!$BA$114,0)</f>
        <v>#N/A</v>
      </c>
      <c r="BA138" s="35" t="e">
        <f>IF(AND(BA137&gt;$BW$54,BA137&lt;=$BW$55),A!$BA$114,0)</f>
        <v>#N/A</v>
      </c>
      <c r="BB138" s="35" t="e">
        <f>IF(AND(BB137&gt;$BW$54,BB137&lt;=$BW$55),A!$BA$114,0)</f>
        <v>#N/A</v>
      </c>
      <c r="BC138" s="65" t="e">
        <f>IF(AND(BC137&gt;$BW$54,BC137&lt;=$BW$55),A!$BA$114,0)</f>
        <v>#N/A</v>
      </c>
    </row>
    <row r="139" spans="2:55">
      <c r="B139" s="1" t="s">
        <v>146</v>
      </c>
      <c r="D139" s="11" t="e">
        <f>A!BA114*(A!BH114-A!BG114)-D140</f>
        <v>#N/A</v>
      </c>
      <c r="E139" s="1" t="s">
        <v>41</v>
      </c>
      <c r="F139" s="71" t="s">
        <v>133</v>
      </c>
      <c r="G139" s="21" t="e" cm="1">
        <f t="array" ref="G139">_xlfn.IFS(ROUND(G137,3)=A!$AV$92*10^-3,0,G137&lt;=$BW$46,-G138*(G137-$BW$54)^2*0.5,AND(G137&gt;$BW$46,G137&gt;$BW$55,G137&lt;=$BW$50),$D$139*(G137-$BW$46)-A!$BA$114*(A!$BH$114-A!$BG$114)*(G137-A!$BG$118),AND(G137&gt;$BW$46,G137&lt;=$BW$50),$D$139*(G137-$BW$46)-G138*(G137-$BW$54)^2*0.5,AND(G137&gt;$BW$50,G137&lt;=A!$BH$115),$D$139*(G137-$BW$46)+$D$140*(G137-$BW$50)-G138*(G137-$BW$54)^2*0.5,G137&gt;A!$BH$115,0)</f>
        <v>#N/A</v>
      </c>
      <c r="H139" s="21" t="e" cm="1">
        <f t="array" ref="H139">_xlfn.IFS(ROUND(H137,3)=A!$AV$92*10^-3,0,H137&lt;=$BW$46,-H138*(H137-$BW$54)^2*0.5,AND(H137&gt;$BW$46,H137&gt;$BW$55,H137&lt;=$BW$50),$D$139*(H137-$BW$46)-A!$BA$114*(A!$BH$114-A!$BG$114)*(H137-A!$BG$118),AND(H137&gt;$BW$46,H137&lt;=$BW$50),$D$139*(H137-$BW$46)-H138*(H137-$BW$54)^2*0.5,AND(H137&gt;$BW$50,H137&lt;=A!$BH$115),$D$139*(H137-$BW$46)+$D$140*(H137-$BW$50)-H138*(H137-$BW$54)^2*0.5,H137&gt;A!$BH$115,0)</f>
        <v>#N/A</v>
      </c>
      <c r="I139" s="21" t="e" cm="1">
        <f t="array" ref="I139">_xlfn.IFS(ROUND(I137,3)=A!$AV$92*10^-3,0,I137&lt;=$BW$46,-I138*(I137-$BW$54)^2*0.5,AND(I137&gt;$BW$46,I137&gt;$BW$55,I137&lt;=$BW$50),$D$139*(I137-$BW$46)-A!$BA$114*(A!$BH$114-A!$BG$114)*(I137-A!$BG$118),AND(I137&gt;$BW$46,I137&lt;=$BW$50),$D$139*(I137-$BW$46)-I138*(I137-$BW$54)^2*0.5,AND(I137&gt;$BW$50,I137&lt;=A!$BH$115),$D$139*(I137-$BW$46)+$D$140*(I137-$BW$50)-I138*(I137-$BW$54)^2*0.5,I137&gt;A!$BH$115,0)</f>
        <v>#N/A</v>
      </c>
      <c r="J139" s="21" t="e" cm="1">
        <f t="array" ref="J139">_xlfn.IFS(ROUND(J137,3)=A!$AV$92*10^-3,0,J137&lt;=$BW$46,-J138*(J137-$BW$54)^2*0.5,AND(J137&gt;$BW$46,J137&gt;$BW$55,J137&lt;=$BW$50),$D$139*(J137-$BW$46)-A!$BA$114*(A!$BH$114-A!$BG$114)*(J137-A!$BG$118),AND(J137&gt;$BW$46,J137&lt;=$BW$50),$D$139*(J137-$BW$46)-J138*(J137-$BW$54)^2*0.5,AND(J137&gt;$BW$50,J137&lt;=A!$BH$115),$D$139*(J137-$BW$46)+$D$140*(J137-$BW$50)-J138*(J137-$BW$54)^2*0.5,J137&gt;A!$BH$115,0)</f>
        <v>#N/A</v>
      </c>
      <c r="K139" s="21" t="e" cm="1">
        <f t="array" ref="K139">_xlfn.IFS(ROUND(K137,3)=A!$AV$92*10^-3,0,K137&lt;=$BW$46,-K138*(K137-$BW$54)^2*0.5,AND(K137&gt;$BW$46,K137&gt;$BW$55,K137&lt;=$BW$50),$D$139*(K137-$BW$46)-A!$BA$114*(A!$BH$114-A!$BG$114)*(K137-A!$BG$118),AND(K137&gt;$BW$46,K137&lt;=$BW$50),$D$139*(K137-$BW$46)-K138*(K137-$BW$54)^2*0.5,AND(K137&gt;$BW$50,K137&lt;=A!$BH$115),$D$139*(K137-$BW$46)+$D$140*(K137-$BW$50)-K138*(K137-$BW$54)^2*0.5,K137&gt;A!$BH$115,0)</f>
        <v>#N/A</v>
      </c>
      <c r="L139" s="21" t="e" cm="1">
        <f t="array" ref="L139">_xlfn.IFS(ROUND(L137,3)=A!$AV$92*10^-3,0,L137&lt;=$BW$46,-L138*(L137-$BW$54)^2*0.5,AND(L137&gt;$BW$46,L137&gt;$BW$55,L137&lt;=$BW$50),$D$139*(L137-$BW$46)-A!$BA$114*(A!$BH$114-A!$BG$114)*(L137-A!$BG$118),AND(L137&gt;$BW$46,L137&lt;=$BW$50),$D$139*(L137-$BW$46)-L138*(L137-$BW$54)^2*0.5,AND(L137&gt;$BW$50,L137&lt;=A!$BH$115),$D$139*(L137-$BW$46)+$D$140*(L137-$BW$50)-L138*(L137-$BW$54)^2*0.5,L137&gt;A!$BH$115,0)</f>
        <v>#N/A</v>
      </c>
      <c r="M139" s="21" t="e" cm="1">
        <f t="array" ref="M139">_xlfn.IFS(ROUND(M137,3)=A!$AV$92*10^-3,0,M137&lt;=$BW$46,-M138*(M137-$BW$54)^2*0.5,AND(M137&gt;$BW$46,M137&gt;$BW$55,M137&lt;=$BW$50),$D$139*(M137-$BW$46)-A!$BA$114*(A!$BH$114-A!$BG$114)*(M137-A!$BG$118),AND(M137&gt;$BW$46,M137&lt;=$BW$50),$D$139*(M137-$BW$46)-M138*(M137-$BW$54)^2*0.5,AND(M137&gt;$BW$50,M137&lt;=A!$BH$115),$D$139*(M137-$BW$46)+$D$140*(M137-$BW$50)-M138*(M137-$BW$54)^2*0.5,M137&gt;A!$BH$115,0)</f>
        <v>#N/A</v>
      </c>
      <c r="N139" s="21" t="e" cm="1">
        <f t="array" ref="N139">_xlfn.IFS(ROUND(N137,3)=A!$AV$92*10^-3,0,N137&lt;=$BW$46,-N138*(N137-$BW$54)^2*0.5,AND(N137&gt;$BW$46,N137&gt;$BW$55,N137&lt;=$BW$50),$D$139*(N137-$BW$46)-A!$BA$114*(A!$BH$114-A!$BG$114)*(N137-A!$BG$118),AND(N137&gt;$BW$46,N137&lt;=$BW$50),$D$139*(N137-$BW$46)-N138*(N137-$BW$54)^2*0.5,AND(N137&gt;$BW$50,N137&lt;=A!$BH$115),$D$139*(N137-$BW$46)+$D$140*(N137-$BW$50)-N138*(N137-$BW$54)^2*0.5,N137&gt;A!$BH$115,0)</f>
        <v>#N/A</v>
      </c>
      <c r="O139" s="21" t="e" cm="1">
        <f t="array" ref="O139">_xlfn.IFS(ROUND(O137,3)=A!$AV$92*10^-3,0,O137&lt;=$BW$46,-O138*(O137-$BW$54)^2*0.5,AND(O137&gt;$BW$46,O137&gt;$BW$55,O137&lt;=$BW$50),$D$139*(O137-$BW$46)-A!$BA$114*(A!$BH$114-A!$BG$114)*(O137-A!$BG$118),AND(O137&gt;$BW$46,O137&lt;=$BW$50),$D$139*(O137-$BW$46)-O138*(O137-$BW$54)^2*0.5,AND(O137&gt;$BW$50,O137&lt;=A!$BH$115),$D$139*(O137-$BW$46)+$D$140*(O137-$BW$50)-O138*(O137-$BW$54)^2*0.5,O137&gt;A!$BH$115,0)</f>
        <v>#N/A</v>
      </c>
      <c r="P139" s="21" t="e" cm="1">
        <f t="array" ref="P139">_xlfn.IFS(ROUND(P137,3)=A!$AV$92*10^-3,0,P137&lt;=$BW$46,-P138*(P137-$BW$54)^2*0.5,AND(P137&gt;$BW$46,P137&gt;$BW$55,P137&lt;=$BW$50),$D$139*(P137-$BW$46)-A!$BA$114*(A!$BH$114-A!$BG$114)*(P137-A!$BG$118),AND(P137&gt;$BW$46,P137&lt;=$BW$50),$D$139*(P137-$BW$46)-P138*(P137-$BW$54)^2*0.5,AND(P137&gt;$BW$50,P137&lt;=A!$BH$115),$D$139*(P137-$BW$46)+$D$140*(P137-$BW$50)-P138*(P137-$BW$54)^2*0.5,P137&gt;A!$BH$115,0)</f>
        <v>#N/A</v>
      </c>
      <c r="Q139" s="21" t="e" cm="1">
        <f t="array" ref="Q139">_xlfn.IFS(ROUND(Q137,3)=A!$AV$92*10^-3,0,Q137&lt;=$BW$46,-Q138*(Q137-$BW$54)^2*0.5,AND(Q137&gt;$BW$46,Q137&gt;$BW$55,Q137&lt;=$BW$50),$D$139*(Q137-$BW$46)-A!$BA$114*(A!$BH$114-A!$BG$114)*(Q137-A!$BG$118),AND(Q137&gt;$BW$46,Q137&lt;=$BW$50),$D$139*(Q137-$BW$46)-Q138*(Q137-$BW$54)^2*0.5,AND(Q137&gt;$BW$50,Q137&lt;=A!$BH$115),$D$139*(Q137-$BW$46)+$D$140*(Q137-$BW$50)-Q138*(Q137-$BW$54)^2*0.5,Q137&gt;A!$BH$115,0)</f>
        <v>#N/A</v>
      </c>
      <c r="R139" s="21" t="e" cm="1">
        <f t="array" ref="R139">_xlfn.IFS(ROUND(R137,3)=A!$AV$92*10^-3,0,R137&lt;=$BW$46,-R138*(R137-$BW$54)^2*0.5,AND(R137&gt;$BW$46,R137&gt;$BW$55,R137&lt;=$BW$50),$D$139*(R137-$BW$46)-A!$BA$114*(A!$BH$114-A!$BG$114)*(R137-A!$BG$118),AND(R137&gt;$BW$46,R137&lt;=$BW$50),$D$139*(R137-$BW$46)-R138*(R137-$BW$54)^2*0.5,AND(R137&gt;$BW$50,R137&lt;=A!$BH$115),$D$139*(R137-$BW$46)+$D$140*(R137-$BW$50)-R138*(R137-$BW$54)^2*0.5,R137&gt;A!$BH$115,0)</f>
        <v>#N/A</v>
      </c>
      <c r="S139" s="21" t="e" cm="1">
        <f t="array" ref="S139">_xlfn.IFS(ROUND(S137,3)=A!$AV$92*10^-3,0,S137&lt;=$BW$46,-S138*(S137-$BW$54)^2*0.5,AND(S137&gt;$BW$46,S137&gt;$BW$55,S137&lt;=$BW$50),$D$139*(S137-$BW$46)-A!$BA$114*(A!$BH$114-A!$BG$114)*(S137-A!$BG$118),AND(S137&gt;$BW$46,S137&lt;=$BW$50),$D$139*(S137-$BW$46)-S138*(S137-$BW$54)^2*0.5,AND(S137&gt;$BW$50,S137&lt;=A!$BH$115),$D$139*(S137-$BW$46)+$D$140*(S137-$BW$50)-S138*(S137-$BW$54)^2*0.5,S137&gt;A!$BH$115,0)</f>
        <v>#N/A</v>
      </c>
      <c r="T139" s="21" t="e" cm="1">
        <f t="array" ref="T139">_xlfn.IFS(ROUND(T137,3)=A!$AV$92*10^-3,0,T137&lt;=$BW$46,-T138*(T137-$BW$54)^2*0.5,AND(T137&gt;$BW$46,T137&gt;$BW$55,T137&lt;=$BW$50),$D$139*(T137-$BW$46)-A!$BA$114*(A!$BH$114-A!$BG$114)*(T137-A!$BG$118),AND(T137&gt;$BW$46,T137&lt;=$BW$50),$D$139*(T137-$BW$46)-T138*(T137-$BW$54)^2*0.5,AND(T137&gt;$BW$50,T137&lt;=A!$BH$115),$D$139*(T137-$BW$46)+$D$140*(T137-$BW$50)-T138*(T137-$BW$54)^2*0.5,T137&gt;A!$BH$115,0)</f>
        <v>#N/A</v>
      </c>
      <c r="U139" s="21" t="e" cm="1">
        <f t="array" ref="U139">_xlfn.IFS(ROUND(U137,3)=A!$AV$92*10^-3,0,U137&lt;=$BW$46,-U138*(U137-$BW$54)^2*0.5,AND(U137&gt;$BW$46,U137&gt;$BW$55,U137&lt;=$BW$50),$D$139*(U137-$BW$46)-A!$BA$114*(A!$BH$114-A!$BG$114)*(U137-A!$BG$118),AND(U137&gt;$BW$46,U137&lt;=$BW$50),$D$139*(U137-$BW$46)-U138*(U137-$BW$54)^2*0.5,AND(U137&gt;$BW$50,U137&lt;=A!$BH$115),$D$139*(U137-$BW$46)+$D$140*(U137-$BW$50)-U138*(U137-$BW$54)^2*0.5,U137&gt;A!$BH$115,0)</f>
        <v>#N/A</v>
      </c>
      <c r="V139" s="21" t="e" cm="1">
        <f t="array" ref="V139">_xlfn.IFS(ROUND(V137,3)=A!$AV$92*10^-3,0,V137&lt;=$BW$46,-V138*(V137-$BW$54)^2*0.5,AND(V137&gt;$BW$46,V137&gt;$BW$55,V137&lt;=$BW$50),$D$139*(V137-$BW$46)-A!$BA$114*(A!$BH$114-A!$BG$114)*(V137-A!$BG$118),AND(V137&gt;$BW$46,V137&lt;=$BW$50),$D$139*(V137-$BW$46)-V138*(V137-$BW$54)^2*0.5,AND(V137&gt;$BW$50,V137&lt;=A!$BH$115),$D$139*(V137-$BW$46)+$D$140*(V137-$BW$50)-V138*(V137-$BW$54)^2*0.5,V137&gt;A!$BH$115,0)</f>
        <v>#N/A</v>
      </c>
      <c r="W139" s="21" t="e" cm="1">
        <f t="array" ref="W139">_xlfn.IFS(ROUND(W137,3)=A!$AV$92*10^-3,0,W137&lt;=$BW$46,-W138*(W137-$BW$54)^2*0.5,AND(W137&gt;$BW$46,W137&gt;$BW$55,W137&lt;=$BW$50),$D$139*(W137-$BW$46)-A!$BA$114*(A!$BH$114-A!$BG$114)*(W137-A!$BG$118),AND(W137&gt;$BW$46,W137&lt;=$BW$50),$D$139*(W137-$BW$46)-W138*(W137-$BW$54)^2*0.5,AND(W137&gt;$BW$50,W137&lt;=A!$BH$115),$D$139*(W137-$BW$46)+$D$140*(W137-$BW$50)-W138*(W137-$BW$54)^2*0.5,W137&gt;A!$BH$115,0)</f>
        <v>#N/A</v>
      </c>
      <c r="X139" s="21" t="e" cm="1">
        <f t="array" ref="X139">_xlfn.IFS(ROUND(X137,3)=A!$AV$92*10^-3,0,X137&lt;=$BW$46,-X138*(X137-$BW$54)^2*0.5,AND(X137&gt;$BW$46,X137&gt;$BW$55,X137&lt;=$BW$50),$D$139*(X137-$BW$46)-A!$BA$114*(A!$BH$114-A!$BG$114)*(X137-A!$BG$118),AND(X137&gt;$BW$46,X137&lt;=$BW$50),$D$139*(X137-$BW$46)-X138*(X137-$BW$54)^2*0.5,AND(X137&gt;$BW$50,X137&lt;=A!$BH$115),$D$139*(X137-$BW$46)+$D$140*(X137-$BW$50)-X138*(X137-$BW$54)^2*0.5,X137&gt;A!$BH$115,0)</f>
        <v>#N/A</v>
      </c>
      <c r="Y139" s="21" t="e" cm="1">
        <f t="array" ref="Y139">_xlfn.IFS(ROUND(Y137,3)=A!$AV$92*10^-3,0,Y137&lt;=$BW$46,-Y138*(Y137-$BW$54)^2*0.5,AND(Y137&gt;$BW$46,Y137&gt;$BW$55,Y137&lt;=$BW$50),$D$139*(Y137-$BW$46)-A!$BA$114*(A!$BH$114-A!$BG$114)*(Y137-A!$BG$118),AND(Y137&gt;$BW$46,Y137&lt;=$BW$50),$D$139*(Y137-$BW$46)-Y138*(Y137-$BW$54)^2*0.5,AND(Y137&gt;$BW$50,Y137&lt;=A!$BH$115),$D$139*(Y137-$BW$46)+$D$140*(Y137-$BW$50)-Y138*(Y137-$BW$54)^2*0.5,Y137&gt;A!$BH$115,0)</f>
        <v>#N/A</v>
      </c>
      <c r="Z139" s="21" t="e" cm="1">
        <f t="array" ref="Z139">_xlfn.IFS(ROUND(Z137,3)=A!$AV$92*10^-3,0,Z137&lt;=$BW$46,-Z138*(Z137-$BW$54)^2*0.5,AND(Z137&gt;$BW$46,Z137&gt;$BW$55,Z137&lt;=$BW$50),$D$139*(Z137-$BW$46)-A!$BA$114*(A!$BH$114-A!$BG$114)*(Z137-A!$BG$118),AND(Z137&gt;$BW$46,Z137&lt;=$BW$50),$D$139*(Z137-$BW$46)-Z138*(Z137-$BW$54)^2*0.5,AND(Z137&gt;$BW$50,Z137&lt;=A!$BH$115),$D$139*(Z137-$BW$46)+$D$140*(Z137-$BW$50)-Z138*(Z137-$BW$54)^2*0.5,Z137&gt;A!$BH$115,0)</f>
        <v>#N/A</v>
      </c>
      <c r="AA139" s="21" t="e" cm="1">
        <f t="array" ref="AA139">_xlfn.IFS(ROUND(AA137,3)=A!$AV$92*10^-3,0,AA137&lt;=$BW$46,-AA138*(AA137-$BW$54)^2*0.5,AND(AA137&gt;$BW$46,AA137&gt;$BW$55,AA137&lt;=$BW$50),$D$139*(AA137-$BW$46)-A!$BA$114*(A!$BH$114-A!$BG$114)*(AA137-A!$BG$118),AND(AA137&gt;$BW$46,AA137&lt;=$BW$50),$D$139*(AA137-$BW$46)-AA138*(AA137-$BW$54)^2*0.5,AND(AA137&gt;$BW$50,AA137&lt;=A!$BH$115),$D$139*(AA137-$BW$46)+$D$140*(AA137-$BW$50)-AA138*(AA137-$BW$54)^2*0.5,AA137&gt;A!$BH$115,0)</f>
        <v>#N/A</v>
      </c>
      <c r="AB139" s="21" t="e" cm="1">
        <f t="array" ref="AB139">_xlfn.IFS(ROUND(AB137,3)=A!$AV$92*10^-3,0,AB137&lt;=$BW$46,-AB138*(AB137-$BW$54)^2*0.5,AND(AB137&gt;$BW$46,AB137&gt;$BW$55,AB137&lt;=$BW$50),$D$139*(AB137-$BW$46)-A!$BA$114*(A!$BH$114-A!$BG$114)*(AB137-A!$BG$118),AND(AB137&gt;$BW$46,AB137&lt;=$BW$50),$D$139*(AB137-$BW$46)-AB138*(AB137-$BW$54)^2*0.5,AND(AB137&gt;$BW$50,AB137&lt;=A!$BH$115),$D$139*(AB137-$BW$46)+$D$140*(AB137-$BW$50)-AB138*(AB137-$BW$54)^2*0.5,AB137&gt;A!$BH$115,0)</f>
        <v>#N/A</v>
      </c>
      <c r="AC139" s="21" t="e" cm="1">
        <f t="array" ref="AC139">_xlfn.IFS(ROUND(AC137,3)=A!$AV$92*10^-3,0,AC137&lt;=$BW$46,-AC138*(AC137-$BW$54)^2*0.5,AND(AC137&gt;$BW$46,AC137&gt;$BW$55,AC137&lt;=$BW$50),$D$139*(AC137-$BW$46)-A!$BA$114*(A!$BH$114-A!$BG$114)*(AC137-A!$BG$118),AND(AC137&gt;$BW$46,AC137&lt;=$BW$50),$D$139*(AC137-$BW$46)-AC138*(AC137-$BW$54)^2*0.5,AND(AC137&gt;$BW$50,AC137&lt;=A!$BH$115),$D$139*(AC137-$BW$46)+$D$140*(AC137-$BW$50)-AC138*(AC137-$BW$54)^2*0.5,AC137&gt;A!$BH$115,0)</f>
        <v>#N/A</v>
      </c>
      <c r="AD139" s="21" t="e" cm="1">
        <f t="array" ref="AD139">_xlfn.IFS(ROUND(AD137,3)=A!$AV$92*10^-3,0,AD137&lt;=$BW$46,-AD138*(AD137-$BW$54)^2*0.5,AND(AD137&gt;$BW$46,AD137&gt;$BW$55,AD137&lt;=$BW$50),$D$139*(AD137-$BW$46)-A!$BA$114*(A!$BH$114-A!$BG$114)*(AD137-A!$BG$118),AND(AD137&gt;$BW$46,AD137&lt;=$BW$50),$D$139*(AD137-$BW$46)-AD138*(AD137-$BW$54)^2*0.5,AND(AD137&gt;$BW$50,AD137&lt;=A!$BH$115),$D$139*(AD137-$BW$46)+$D$140*(AD137-$BW$50)-AD138*(AD137-$BW$54)^2*0.5,AD137&gt;A!$BH$115,0)</f>
        <v>#N/A</v>
      </c>
      <c r="AE139" s="21" t="e" cm="1">
        <f t="array" ref="AE139">_xlfn.IFS(ROUND(AE137,3)=A!$AV$92*10^-3,0,AE137&lt;=$BW$46,-AE138*(AE137-$BW$54)^2*0.5,AND(AE137&gt;$BW$46,AE137&gt;$BW$55,AE137&lt;=$BW$50),$D$139*(AE137-$BW$46)-A!$BA$114*(A!$BH$114-A!$BG$114)*(AE137-A!$BG$118),AND(AE137&gt;$BW$46,AE137&lt;=$BW$50),$D$139*(AE137-$BW$46)-AE138*(AE137-$BW$54)^2*0.5,AND(AE137&gt;$BW$50,AE137&lt;=A!$BH$115),$D$139*(AE137-$BW$46)+$D$140*(AE137-$BW$50)-AE138*(AE137-$BW$54)^2*0.5,AE137&gt;A!$BH$115,0)</f>
        <v>#N/A</v>
      </c>
      <c r="AF139" s="21" t="e" cm="1">
        <f t="array" ref="AF139">_xlfn.IFS(ROUND(AF137,3)=A!$AV$92*10^-3,0,AF137&lt;=$BW$46,-AF138*(AF137-$BW$54)^2*0.5,AND(AF137&gt;$BW$46,AF137&gt;$BW$55,AF137&lt;=$BW$50),$D$139*(AF137-$BW$46)-A!$BA$114*(A!$BH$114-A!$BG$114)*(AF137-A!$BG$118),AND(AF137&gt;$BW$46,AF137&lt;=$BW$50),$D$139*(AF137-$BW$46)-AF138*(AF137-$BW$54)^2*0.5,AND(AF137&gt;$BW$50,AF137&lt;=A!$BH$115),$D$139*(AF137-$BW$46)+$D$140*(AF137-$BW$50)-AF138*(AF137-$BW$54)^2*0.5,AF137&gt;A!$BH$115,0)</f>
        <v>#N/A</v>
      </c>
      <c r="AG139" s="21" t="e" cm="1">
        <f t="array" ref="AG139">_xlfn.IFS(ROUND(AG137,3)=A!$AV$92*10^-3,0,AG137&lt;=$BW$46,-AG138*(AG137-$BW$54)^2*0.5,AND(AG137&gt;$BW$46,AG137&gt;$BW$55,AG137&lt;=$BW$50),$D$139*(AG137-$BW$46)-A!$BA$114*(A!$BH$114-A!$BG$114)*(AG137-A!$BG$118),AND(AG137&gt;$BW$46,AG137&lt;=$BW$50),$D$139*(AG137-$BW$46)-AG138*(AG137-$BW$54)^2*0.5,AND(AG137&gt;$BW$50,AG137&lt;=A!$BH$115),$D$139*(AG137-$BW$46)+$D$140*(AG137-$BW$50)-AG138*(AG137-$BW$54)^2*0.5,AG137&gt;A!$BH$115,0)</f>
        <v>#N/A</v>
      </c>
      <c r="AH139" s="21" t="e" cm="1">
        <f t="array" ref="AH139">_xlfn.IFS(ROUND(AH137,3)=A!$AV$92*10^-3,0,AH137&lt;=$BW$46,-AH138*(AH137-$BW$54)^2*0.5,AND(AH137&gt;$BW$46,AH137&gt;$BW$55,AH137&lt;=$BW$50),$D$139*(AH137-$BW$46)-A!$BA$114*(A!$BH$114-A!$BG$114)*(AH137-A!$BG$118),AND(AH137&gt;$BW$46,AH137&lt;=$BW$50),$D$139*(AH137-$BW$46)-AH138*(AH137-$BW$54)^2*0.5,AND(AH137&gt;$BW$50,AH137&lt;=A!$BH$115),$D$139*(AH137-$BW$46)+$D$140*(AH137-$BW$50)-AH138*(AH137-$BW$54)^2*0.5,AH137&gt;A!$BH$115,0)</f>
        <v>#N/A</v>
      </c>
      <c r="AI139" s="21" t="e" cm="1">
        <f t="array" ref="AI139">_xlfn.IFS(ROUND(AI137,3)=A!$AV$92*10^-3,0,AI137&lt;=$BW$46,-AI138*(AI137-$BW$54)^2*0.5,AND(AI137&gt;$BW$46,AI137&gt;$BW$55,AI137&lt;=$BW$50),$D$139*(AI137-$BW$46)-A!$BA$114*(A!$BH$114-A!$BG$114)*(AI137-A!$BG$118),AND(AI137&gt;$BW$46,AI137&lt;=$BW$50),$D$139*(AI137-$BW$46)-AI138*(AI137-$BW$54)^2*0.5,AND(AI137&gt;$BW$50,AI137&lt;=A!$BH$115),$D$139*(AI137-$BW$46)+$D$140*(AI137-$BW$50)-AI138*(AI137-$BW$54)^2*0.5,AI137&gt;A!$BH$115,0)</f>
        <v>#N/A</v>
      </c>
      <c r="AJ139" s="21" t="e" cm="1">
        <f t="array" ref="AJ139">_xlfn.IFS(ROUND(AJ137,3)=A!$AV$92*10^-3,0,AJ137&lt;=$BW$46,-AJ138*(AJ137-$BW$54)^2*0.5,AND(AJ137&gt;$BW$46,AJ137&gt;$BW$55,AJ137&lt;=$BW$50),$D$139*(AJ137-$BW$46)-A!$BA$114*(A!$BH$114-A!$BG$114)*(AJ137-A!$BG$118),AND(AJ137&gt;$BW$46,AJ137&lt;=$BW$50),$D$139*(AJ137-$BW$46)-AJ138*(AJ137-$BW$54)^2*0.5,AND(AJ137&gt;$BW$50,AJ137&lt;=A!$BH$115),$D$139*(AJ137-$BW$46)+$D$140*(AJ137-$BW$50)-AJ138*(AJ137-$BW$54)^2*0.5,AJ137&gt;A!$BH$115,0)</f>
        <v>#N/A</v>
      </c>
      <c r="AK139" s="21" t="e" cm="1">
        <f t="array" ref="AK139">_xlfn.IFS(ROUND(AK137,3)=A!$AV$92*10^-3,0,AK137&lt;=$BW$46,-AK138*(AK137-$BW$54)^2*0.5,AND(AK137&gt;$BW$46,AK137&gt;$BW$55,AK137&lt;=$BW$50),$D$139*(AK137-$BW$46)-A!$BA$114*(A!$BH$114-A!$BG$114)*(AK137-A!$BG$118),AND(AK137&gt;$BW$46,AK137&lt;=$BW$50),$D$139*(AK137-$BW$46)-AK138*(AK137-$BW$54)^2*0.5,AND(AK137&gt;$BW$50,AK137&lt;=A!$BH$115),$D$139*(AK137-$BW$46)+$D$140*(AK137-$BW$50)-AK138*(AK137-$BW$54)^2*0.5,AK137&gt;A!$BH$115,0)</f>
        <v>#N/A</v>
      </c>
      <c r="AL139" s="21" t="e" cm="1">
        <f t="array" ref="AL139">_xlfn.IFS(ROUND(AL137,3)=A!$AV$92*10^-3,0,AL137&lt;=$BW$46,-AL138*(AL137-$BW$54)^2*0.5,AND(AL137&gt;$BW$46,AL137&gt;$BW$55,AL137&lt;=$BW$50),$D$139*(AL137-$BW$46)-A!$BA$114*(A!$BH$114-A!$BG$114)*(AL137-A!$BG$118),AND(AL137&gt;$BW$46,AL137&lt;=$BW$50),$D$139*(AL137-$BW$46)-AL138*(AL137-$BW$54)^2*0.5,AND(AL137&gt;$BW$50,AL137&lt;=A!$BH$115),$D$139*(AL137-$BW$46)+$D$140*(AL137-$BW$50)-AL138*(AL137-$BW$54)^2*0.5,AL137&gt;A!$BH$115,0)</f>
        <v>#N/A</v>
      </c>
      <c r="AM139" s="21" t="e" cm="1">
        <f t="array" ref="AM139">_xlfn.IFS(ROUND(AM137,3)=A!$AV$92*10^-3,0,AM137&lt;=$BW$46,-AM138*(AM137-$BW$54)^2*0.5,AND(AM137&gt;$BW$46,AM137&gt;$BW$55,AM137&lt;=$BW$50),$D$139*(AM137-$BW$46)-A!$BA$114*(A!$BH$114-A!$BG$114)*(AM137-A!$BG$118),AND(AM137&gt;$BW$46,AM137&lt;=$BW$50),$D$139*(AM137-$BW$46)-AM138*(AM137-$BW$54)^2*0.5,AND(AM137&gt;$BW$50,AM137&lt;=A!$BH$115),$D$139*(AM137-$BW$46)+$D$140*(AM137-$BW$50)-AM138*(AM137-$BW$54)^2*0.5,AM137&gt;A!$BH$115,0)</f>
        <v>#N/A</v>
      </c>
      <c r="AN139" s="21" t="e" cm="1">
        <f t="array" ref="AN139">_xlfn.IFS(ROUND(AN137,3)=A!$AV$92*10^-3,0,AN137&lt;=$BW$46,-AN138*(AN137-$BW$54)^2*0.5,AND(AN137&gt;$BW$46,AN137&gt;$BW$55,AN137&lt;=$BW$50),$D$139*(AN137-$BW$46)-A!$BA$114*(A!$BH$114-A!$BG$114)*(AN137-A!$BG$118),AND(AN137&gt;$BW$46,AN137&lt;=$BW$50),$D$139*(AN137-$BW$46)-AN138*(AN137-$BW$54)^2*0.5,AND(AN137&gt;$BW$50,AN137&lt;=A!$BH$115),$D$139*(AN137-$BW$46)+$D$140*(AN137-$BW$50)-AN138*(AN137-$BW$54)^2*0.5,AN137&gt;A!$BH$115,0)</f>
        <v>#N/A</v>
      </c>
      <c r="AO139" s="21" t="e" cm="1">
        <f t="array" ref="AO139">_xlfn.IFS(ROUND(AO137,3)=A!$AV$92*10^-3,0,AO137&lt;=$BW$46,-AO138*(AO137-$BW$54)^2*0.5,AND(AO137&gt;$BW$46,AO137&gt;$BW$55,AO137&lt;=$BW$50),$D$139*(AO137-$BW$46)-A!$BA$114*(A!$BH$114-A!$BG$114)*(AO137-A!$BG$118),AND(AO137&gt;$BW$46,AO137&lt;=$BW$50),$D$139*(AO137-$BW$46)-AO138*(AO137-$BW$54)^2*0.5,AND(AO137&gt;$BW$50,AO137&lt;=A!$BH$115),$D$139*(AO137-$BW$46)+$D$140*(AO137-$BW$50)-AO138*(AO137-$BW$54)^2*0.5,AO137&gt;A!$BH$115,0)</f>
        <v>#N/A</v>
      </c>
      <c r="AP139" s="21" t="e" cm="1">
        <f t="array" ref="AP139">_xlfn.IFS(ROUND(AP137,3)=A!$AV$92*10^-3,0,AP137&lt;=$BW$46,-AP138*(AP137-$BW$54)^2*0.5,AND(AP137&gt;$BW$46,AP137&gt;$BW$55,AP137&lt;=$BW$50),$D$139*(AP137-$BW$46)-A!$BA$114*(A!$BH$114-A!$BG$114)*(AP137-A!$BG$118),AND(AP137&gt;$BW$46,AP137&lt;=$BW$50),$D$139*(AP137-$BW$46)-AP138*(AP137-$BW$54)^2*0.5,AND(AP137&gt;$BW$50,AP137&lt;=A!$BH$115),$D$139*(AP137-$BW$46)+$D$140*(AP137-$BW$50)-AP138*(AP137-$BW$54)^2*0.5,AP137&gt;A!$BH$115,0)</f>
        <v>#N/A</v>
      </c>
      <c r="AQ139" s="21" t="e" cm="1">
        <f t="array" ref="AQ139">_xlfn.IFS(ROUND(AQ137,3)=A!$AV$92*10^-3,0,AQ137&lt;=$BW$46,-AQ138*(AQ137-$BW$54)^2*0.5,AND(AQ137&gt;$BW$46,AQ137&gt;$BW$55,AQ137&lt;=$BW$50),$D$139*(AQ137-$BW$46)-A!$BA$114*(A!$BH$114-A!$BG$114)*(AQ137-A!$BG$118),AND(AQ137&gt;$BW$46,AQ137&lt;=$BW$50),$D$139*(AQ137-$BW$46)-AQ138*(AQ137-$BW$54)^2*0.5,AND(AQ137&gt;$BW$50,AQ137&lt;=A!$BH$115),$D$139*(AQ137-$BW$46)+$D$140*(AQ137-$BW$50)-AQ138*(AQ137-$BW$54)^2*0.5,AQ137&gt;A!$BH$115,0)</f>
        <v>#N/A</v>
      </c>
      <c r="AR139" s="21" t="e" cm="1">
        <f t="array" ref="AR139">_xlfn.IFS(ROUND(AR137,3)=A!$AV$92*10^-3,0,AR137&lt;=$BW$46,-AR138*(AR137-$BW$54)^2*0.5,AND(AR137&gt;$BW$46,AR137&gt;$BW$55,AR137&lt;=$BW$50),$D$139*(AR137-$BW$46)-A!$BA$114*(A!$BH$114-A!$BG$114)*(AR137-A!$BG$118),AND(AR137&gt;$BW$46,AR137&lt;=$BW$50),$D$139*(AR137-$BW$46)-AR138*(AR137-$BW$54)^2*0.5,AND(AR137&gt;$BW$50,AR137&lt;=A!$BH$115),$D$139*(AR137-$BW$46)+$D$140*(AR137-$BW$50)-AR138*(AR137-$BW$54)^2*0.5,AR137&gt;A!$BH$115,0)</f>
        <v>#N/A</v>
      </c>
      <c r="AS139" s="21" t="e" cm="1">
        <f t="array" ref="AS139">_xlfn.IFS(ROUND(AS137,3)=A!$AV$92*10^-3,0,AS137&lt;=$BW$46,-AS138*(AS137-$BW$54)^2*0.5,AND(AS137&gt;$BW$46,AS137&gt;$BW$55,AS137&lt;=$BW$50),$D$139*(AS137-$BW$46)-A!$BA$114*(A!$BH$114-A!$BG$114)*(AS137-A!$BG$118),AND(AS137&gt;$BW$46,AS137&lt;=$BW$50),$D$139*(AS137-$BW$46)-AS138*(AS137-$BW$54)^2*0.5,AND(AS137&gt;$BW$50,AS137&lt;=A!$BH$115),$D$139*(AS137-$BW$46)+$D$140*(AS137-$BW$50)-AS138*(AS137-$BW$54)^2*0.5,AS137&gt;A!$BH$115,0)</f>
        <v>#N/A</v>
      </c>
      <c r="AT139" s="21" t="e" cm="1">
        <f t="array" ref="AT139">_xlfn.IFS(ROUND(AT137,3)=A!$AV$92*10^-3,0,AT137&lt;=$BW$46,-AT138*(AT137-$BW$54)^2*0.5,AND(AT137&gt;$BW$46,AT137&gt;$BW$55,AT137&lt;=$BW$50),$D$139*(AT137-$BW$46)-A!$BA$114*(A!$BH$114-A!$BG$114)*(AT137-A!$BG$118),AND(AT137&gt;$BW$46,AT137&lt;=$BW$50),$D$139*(AT137-$BW$46)-AT138*(AT137-$BW$54)^2*0.5,AND(AT137&gt;$BW$50,AT137&lt;=A!$BH$115),$D$139*(AT137-$BW$46)+$D$140*(AT137-$BW$50)-AT138*(AT137-$BW$54)^2*0.5,AT137&gt;A!$BH$115,0)</f>
        <v>#N/A</v>
      </c>
      <c r="AU139" s="21" t="e" cm="1">
        <f t="array" ref="AU139">_xlfn.IFS(ROUND(AU137,3)=A!$AV$92*10^-3,0,AU137&lt;=$BW$46,-AU138*(AU137-$BW$54)^2*0.5,AND(AU137&gt;$BW$46,AU137&gt;$BW$55,AU137&lt;=$BW$50),$D$139*(AU137-$BW$46)-A!$BA$114*(A!$BH$114-A!$BG$114)*(AU137-A!$BG$118),AND(AU137&gt;$BW$46,AU137&lt;=$BW$50),$D$139*(AU137-$BW$46)-AU138*(AU137-$BW$54)^2*0.5,AND(AU137&gt;$BW$50,AU137&lt;=A!$BH$115),$D$139*(AU137-$BW$46)+$D$140*(AU137-$BW$50)-AU138*(AU137-$BW$54)^2*0.5,AU137&gt;A!$BH$115,0)</f>
        <v>#N/A</v>
      </c>
      <c r="AV139" s="21" t="e" cm="1">
        <f t="array" ref="AV139">_xlfn.IFS(ROUND(AV137,3)=A!$AV$92*10^-3,0,AV137&lt;=$BW$46,-AV138*(AV137-$BW$54)^2*0.5,AND(AV137&gt;$BW$46,AV137&gt;$BW$55,AV137&lt;=$BW$50),$D$139*(AV137-$BW$46)-A!$BA$114*(A!$BH$114-A!$BG$114)*(AV137-A!$BG$118),AND(AV137&gt;$BW$46,AV137&lt;=$BW$50),$D$139*(AV137-$BW$46)-AV138*(AV137-$BW$54)^2*0.5,AND(AV137&gt;$BW$50,AV137&lt;=A!$BH$115),$D$139*(AV137-$BW$46)+$D$140*(AV137-$BW$50)-AV138*(AV137-$BW$54)^2*0.5,AV137&gt;A!$BH$115,0)</f>
        <v>#N/A</v>
      </c>
      <c r="AW139" s="21" t="e" cm="1">
        <f t="array" ref="AW139">_xlfn.IFS(ROUND(AW137,3)=A!$AV$92*10^-3,0,AW137&lt;=$BW$46,-AW138*(AW137-$BW$54)^2*0.5,AND(AW137&gt;$BW$46,AW137&gt;$BW$55,AW137&lt;=$BW$50),$D$139*(AW137-$BW$46)-A!$BA$114*(A!$BH$114-A!$BG$114)*(AW137-A!$BG$118),AND(AW137&gt;$BW$46,AW137&lt;=$BW$50),$D$139*(AW137-$BW$46)-AW138*(AW137-$BW$54)^2*0.5,AND(AW137&gt;$BW$50,AW137&lt;=A!$BH$115),$D$139*(AW137-$BW$46)+$D$140*(AW137-$BW$50)-AW138*(AW137-$BW$54)^2*0.5,AW137&gt;A!$BH$115,0)</f>
        <v>#N/A</v>
      </c>
      <c r="AX139" s="21" t="e" cm="1">
        <f t="array" ref="AX139">_xlfn.IFS(ROUND(AX137,3)=A!$AV$92*10^-3,0,AX137&lt;=$BW$46,-AX138*(AX137-$BW$54)^2*0.5,AND(AX137&gt;$BW$46,AX137&gt;$BW$55,AX137&lt;=$BW$50),$D$139*(AX137-$BW$46)-A!$BA$114*(A!$BH$114-A!$BG$114)*(AX137-A!$BG$118),AND(AX137&gt;$BW$46,AX137&lt;=$BW$50),$D$139*(AX137-$BW$46)-AX138*(AX137-$BW$54)^2*0.5,AND(AX137&gt;$BW$50,AX137&lt;=A!$BH$115),$D$139*(AX137-$BW$46)+$D$140*(AX137-$BW$50)-AX138*(AX137-$BW$54)^2*0.5,AX137&gt;A!$BH$115,0)</f>
        <v>#N/A</v>
      </c>
      <c r="AY139" s="21" t="e" cm="1">
        <f t="array" ref="AY139">_xlfn.IFS(ROUND(AY137,3)=A!$AV$92*10^-3,0,AY137&lt;=$BW$46,-AY138*(AY137-$BW$54)^2*0.5,AND(AY137&gt;$BW$46,AY137&gt;$BW$55,AY137&lt;=$BW$50),$D$139*(AY137-$BW$46)-A!$BA$114*(A!$BH$114-A!$BG$114)*(AY137-A!$BG$118),AND(AY137&gt;$BW$46,AY137&lt;=$BW$50),$D$139*(AY137-$BW$46)-AY138*(AY137-$BW$54)^2*0.5,AND(AY137&gt;$BW$50,AY137&lt;=A!$BH$115),$D$139*(AY137-$BW$46)+$D$140*(AY137-$BW$50)-AY138*(AY137-$BW$54)^2*0.5,AY137&gt;A!$BH$115,0)</f>
        <v>#N/A</v>
      </c>
      <c r="AZ139" s="21" t="e" cm="1">
        <f t="array" ref="AZ139">_xlfn.IFS(ROUND(AZ137,3)=A!$AV$92*10^-3,0,AZ137&lt;=$BW$46,-AZ138*(AZ137-$BW$54)^2*0.5,AND(AZ137&gt;$BW$46,AZ137&gt;$BW$55,AZ137&lt;=$BW$50),$D$139*(AZ137-$BW$46)-A!$BA$114*(A!$BH$114-A!$BG$114)*(AZ137-A!$BG$118),AND(AZ137&gt;$BW$46,AZ137&lt;=$BW$50),$D$139*(AZ137-$BW$46)-AZ138*(AZ137-$BW$54)^2*0.5,AND(AZ137&gt;$BW$50,AZ137&lt;=A!$BH$115),$D$139*(AZ137-$BW$46)+$D$140*(AZ137-$BW$50)-AZ138*(AZ137-$BW$54)^2*0.5,AZ137&gt;A!$BH$115,0)</f>
        <v>#N/A</v>
      </c>
      <c r="BA139" s="21" t="e" cm="1">
        <f t="array" ref="BA139">_xlfn.IFS(ROUND(BA137,3)=A!$AV$92*10^-3,0,BA137&lt;=$BW$46,-BA138*(BA137-$BW$54)^2*0.5,AND(BA137&gt;$BW$46,BA137&gt;$BW$55,BA137&lt;=$BW$50),$D$139*(BA137-$BW$46)-A!$BA$114*(A!$BH$114-A!$BG$114)*(BA137-A!$BG$118),AND(BA137&gt;$BW$46,BA137&lt;=$BW$50),$D$139*(BA137-$BW$46)-BA138*(BA137-$BW$54)^2*0.5,AND(BA137&gt;$BW$50,BA137&lt;=A!$BH$115),$D$139*(BA137-$BW$46)+$D$140*(BA137-$BW$50)-BA138*(BA137-$BW$54)^2*0.5,BA137&gt;A!$BH$115,0)</f>
        <v>#N/A</v>
      </c>
      <c r="BB139" s="21" t="e" cm="1">
        <f t="array" ref="BB139">_xlfn.IFS(ROUND(BB137,3)=A!$AV$92*10^-3,0,BB137&lt;=$BW$46,-BB138*(BB137-$BW$54)^2*0.5,AND(BB137&gt;$BW$46,BB137&gt;$BW$55,BB137&lt;=$BW$50),$D$139*(BB137-$BW$46)-A!$BA$114*(A!$BH$114-A!$BG$114)*(BB137-A!$BG$118),AND(BB137&gt;$BW$46,BB137&lt;=$BW$50),$D$139*(BB137-$BW$46)-BB138*(BB137-$BW$54)^2*0.5,AND(BB137&gt;$BW$50,BB137&lt;=A!$BH$115),$D$139*(BB137-$BW$46)+$D$140*(BB137-$BW$50)-BB138*(BB137-$BW$54)^2*0.5,BB137&gt;A!$BH$115,0)</f>
        <v>#N/A</v>
      </c>
      <c r="BC139" s="25" t="e" cm="1">
        <f t="array" ref="BC139">_xlfn.IFS(ROUND(BC137,3)=A!$AV$92*10^-3,0,BC137&lt;=$BW$46,-BC138*(BC137-$BW$54)^2*0.5,AND(BC137&gt;$BW$46,BC137&gt;$BW$55,BC137&lt;=$BW$50),$D$139*(BC137-$BW$46)-A!$BA$114*(A!$BH$114-A!$BG$114)*(BC137-A!$BG$118),AND(BC137&gt;$BW$46,BC137&lt;=$BW$50),$D$139*(BC137-$BW$46)-BC138*(BC137-$BW$54)^2*0.5,AND(BC137&gt;$BW$50,BC137&lt;=A!$BH$115),$D$139*(BC137-$BW$46)+$D$140*(BC137-$BW$50)-BC138*(BC137-$BW$54)^2*0.5,BC137&gt;A!$BH$115,0)</f>
        <v>#N/A</v>
      </c>
    </row>
    <row r="140" spans="2:55">
      <c r="B140" s="1" t="s">
        <v>147</v>
      </c>
      <c r="D140" s="11" t="e">
        <f>A!BF114/(A!AT92*10^-3)</f>
        <v>#N/A</v>
      </c>
      <c r="E140" s="1" t="s">
        <v>41</v>
      </c>
      <c r="F140" s="72" t="s">
        <v>134</v>
      </c>
      <c r="G140" s="23">
        <v>0</v>
      </c>
      <c r="H140" s="23" t="e">
        <f>IF(H136="ven. u. støtn. h",G140+$D$139,IF(H136="høj. u. støtn. h",G140+$D$140,G140-H138*(H137-G137)))</f>
        <v>#N/A</v>
      </c>
      <c r="I140" s="23" t="e">
        <f t="shared" ref="I140:BC140" si="68">IF(I136="ven. u. støtn. h",H140+$D$139,IF(I136="høj. u. støtn. h",H140+$D$140,H140-I138*(I137-H137)))</f>
        <v>#N/A</v>
      </c>
      <c r="J140" s="23" t="e">
        <f t="shared" si="68"/>
        <v>#N/A</v>
      </c>
      <c r="K140" s="23" t="e">
        <f t="shared" si="68"/>
        <v>#N/A</v>
      </c>
      <c r="L140" s="23" t="e">
        <f t="shared" si="68"/>
        <v>#N/A</v>
      </c>
      <c r="M140" s="23" t="e">
        <f t="shared" si="68"/>
        <v>#N/A</v>
      </c>
      <c r="N140" s="23" t="e">
        <f t="shared" si="68"/>
        <v>#N/A</v>
      </c>
      <c r="O140" s="23" t="e">
        <f t="shared" si="68"/>
        <v>#N/A</v>
      </c>
      <c r="P140" s="23" t="e">
        <f t="shared" si="68"/>
        <v>#N/A</v>
      </c>
      <c r="Q140" s="23" t="e">
        <f t="shared" si="68"/>
        <v>#N/A</v>
      </c>
      <c r="R140" s="23" t="e">
        <f t="shared" si="68"/>
        <v>#N/A</v>
      </c>
      <c r="S140" s="23" t="e">
        <f t="shared" si="68"/>
        <v>#N/A</v>
      </c>
      <c r="T140" s="23" t="e">
        <f t="shared" si="68"/>
        <v>#N/A</v>
      </c>
      <c r="U140" s="23" t="e">
        <f t="shared" si="68"/>
        <v>#N/A</v>
      </c>
      <c r="V140" s="23" t="e">
        <f t="shared" si="68"/>
        <v>#N/A</v>
      </c>
      <c r="W140" s="23" t="e">
        <f t="shared" si="68"/>
        <v>#N/A</v>
      </c>
      <c r="X140" s="23" t="e">
        <f t="shared" si="68"/>
        <v>#N/A</v>
      </c>
      <c r="Y140" s="23" t="e">
        <f t="shared" si="68"/>
        <v>#N/A</v>
      </c>
      <c r="Z140" s="23" t="e">
        <f t="shared" si="68"/>
        <v>#N/A</v>
      </c>
      <c r="AA140" s="23" t="e">
        <f t="shared" si="68"/>
        <v>#N/A</v>
      </c>
      <c r="AB140" s="23" t="e">
        <f t="shared" si="68"/>
        <v>#N/A</v>
      </c>
      <c r="AC140" s="23" t="e">
        <f t="shared" si="68"/>
        <v>#N/A</v>
      </c>
      <c r="AD140" s="23" t="e">
        <f t="shared" si="68"/>
        <v>#N/A</v>
      </c>
      <c r="AE140" s="23" t="e">
        <f t="shared" si="68"/>
        <v>#N/A</v>
      </c>
      <c r="AF140" s="23" t="e">
        <f t="shared" si="68"/>
        <v>#N/A</v>
      </c>
      <c r="AG140" s="23" t="e">
        <f t="shared" si="68"/>
        <v>#N/A</v>
      </c>
      <c r="AH140" s="23" t="e">
        <f t="shared" si="68"/>
        <v>#N/A</v>
      </c>
      <c r="AI140" s="23" t="e">
        <f t="shared" si="68"/>
        <v>#N/A</v>
      </c>
      <c r="AJ140" s="23" t="e">
        <f t="shared" si="68"/>
        <v>#N/A</v>
      </c>
      <c r="AK140" s="23" t="e">
        <f t="shared" si="68"/>
        <v>#N/A</v>
      </c>
      <c r="AL140" s="23" t="e">
        <f t="shared" si="68"/>
        <v>#N/A</v>
      </c>
      <c r="AM140" s="23" t="e">
        <f t="shared" si="68"/>
        <v>#N/A</v>
      </c>
      <c r="AN140" s="23" t="e">
        <f t="shared" si="68"/>
        <v>#N/A</v>
      </c>
      <c r="AO140" s="23" t="e">
        <f t="shared" si="68"/>
        <v>#N/A</v>
      </c>
      <c r="AP140" s="23" t="e">
        <f t="shared" si="68"/>
        <v>#N/A</v>
      </c>
      <c r="AQ140" s="23" t="e">
        <f t="shared" si="68"/>
        <v>#N/A</v>
      </c>
      <c r="AR140" s="23" t="e">
        <f t="shared" si="68"/>
        <v>#N/A</v>
      </c>
      <c r="AS140" s="23" t="e">
        <f t="shared" si="68"/>
        <v>#N/A</v>
      </c>
      <c r="AT140" s="23" t="e">
        <f t="shared" si="68"/>
        <v>#N/A</v>
      </c>
      <c r="AU140" s="23" t="e">
        <f t="shared" si="68"/>
        <v>#N/A</v>
      </c>
      <c r="AV140" s="23" t="e">
        <f t="shared" si="68"/>
        <v>#N/A</v>
      </c>
      <c r="AW140" s="23" t="e">
        <f t="shared" si="68"/>
        <v>#N/A</v>
      </c>
      <c r="AX140" s="23" t="e">
        <f t="shared" si="68"/>
        <v>#N/A</v>
      </c>
      <c r="AY140" s="23" t="e">
        <f t="shared" si="68"/>
        <v>#N/A</v>
      </c>
      <c r="AZ140" s="23" t="e">
        <f t="shared" si="68"/>
        <v>#N/A</v>
      </c>
      <c r="BA140" s="23" t="e">
        <f t="shared" si="68"/>
        <v>#N/A</v>
      </c>
      <c r="BB140" s="23" t="e">
        <f t="shared" si="68"/>
        <v>#N/A</v>
      </c>
      <c r="BC140" s="24" t="e">
        <f t="shared" si="68"/>
        <v>#N/A</v>
      </c>
    </row>
    <row r="141" spans="2:55">
      <c r="F141" s="70" t="s">
        <v>154</v>
      </c>
      <c r="G141" s="35" t="e">
        <f ca="1">IF(G136="Punkt fra "&amp;A!$AZ$116&amp;", h",A!$BA$116,IF(G136="Punkt fra "&amp;A!$AZ$115&amp;", h",A!$BA$115,0))</f>
        <v>#N/A</v>
      </c>
      <c r="H141" s="35">
        <f>IF(H136="Punkt fra "&amp;A!$AZ$116&amp;", h",A!$BA$116,IF(H136="Punkt fra "&amp;A!$AZ$115&amp;", h",A!$BA$115,0))</f>
        <v>0</v>
      </c>
      <c r="I141" s="35">
        <f>IF(I136="Punkt fra "&amp;A!$AZ$116&amp;", h",A!$BA$116,IF(I136="Punkt fra "&amp;A!$AZ$115&amp;", h",A!$BA$115,0))</f>
        <v>0</v>
      </c>
      <c r="J141" s="35">
        <f>IF(J136="Punkt fra "&amp;A!$AZ$116&amp;", h",A!$BA$116,IF(J136="Punkt fra "&amp;A!$AZ$115&amp;", h",A!$BA$115,0))</f>
        <v>0</v>
      </c>
      <c r="K141" s="35">
        <f>IF(K136="Punkt fra "&amp;A!$AZ$116&amp;", h",A!$BA$116,IF(K136="Punkt fra "&amp;A!$AZ$115&amp;", h",A!$BA$115,0))</f>
        <v>0</v>
      </c>
      <c r="L141" s="35">
        <f>IF(L136="Punkt fra "&amp;A!$AZ$116&amp;", h",A!$BA$116,IF(L136="Punkt fra "&amp;A!$AZ$115&amp;", h",A!$BA$115,0))</f>
        <v>0</v>
      </c>
      <c r="M141" s="35">
        <f>IF(M136="Punkt fra "&amp;A!$AZ$116&amp;", h",A!$BA$116,IF(M136="Punkt fra "&amp;A!$AZ$115&amp;", h",A!$BA$115,0))</f>
        <v>0</v>
      </c>
      <c r="N141" s="35">
        <f>IF(N136="Punkt fra "&amp;A!$AZ$116&amp;", h",A!$BA$116,IF(N136="Punkt fra "&amp;A!$AZ$115&amp;", h",A!$BA$115,0))</f>
        <v>0</v>
      </c>
      <c r="O141" s="35">
        <f>IF(O136="Punkt fra "&amp;A!$AZ$116&amp;", h",A!$BA$116,IF(O136="Punkt fra "&amp;A!$AZ$115&amp;", h",A!$BA$115,0))</f>
        <v>0</v>
      </c>
      <c r="P141" s="35">
        <f>IF(P136="Punkt fra "&amp;A!$AZ$116&amp;", h",A!$BA$116,IF(P136="Punkt fra "&amp;A!$AZ$115&amp;", h",A!$BA$115,0))</f>
        <v>0</v>
      </c>
      <c r="Q141" s="35">
        <f>IF(Q136="Punkt fra "&amp;A!$AZ$116&amp;", h",A!$BA$116,IF(Q136="Punkt fra "&amp;A!$AZ$115&amp;", h",A!$BA$115,0))</f>
        <v>0</v>
      </c>
      <c r="R141" s="35">
        <f>IF(R136="Punkt fra "&amp;A!$AZ$116&amp;", h",A!$BA$116,IF(R136="Punkt fra "&amp;A!$AZ$115&amp;", h",A!$BA$115,0))</f>
        <v>0</v>
      </c>
      <c r="S141" s="35">
        <f>IF(S136="Punkt fra "&amp;A!$AZ$116&amp;", h",A!$BA$116,IF(S136="Punkt fra "&amp;A!$AZ$115&amp;", h",A!$BA$115,0))</f>
        <v>0</v>
      </c>
      <c r="T141" s="35">
        <f>IF(T136="Punkt fra "&amp;A!$AZ$116&amp;", h",A!$BA$116,IF(T136="Punkt fra "&amp;A!$AZ$115&amp;", h",A!$BA$115,0))</f>
        <v>0</v>
      </c>
      <c r="U141" s="35">
        <f>IF(U136="Punkt fra "&amp;A!$AZ$116&amp;", h",A!$BA$116,IF(U136="Punkt fra "&amp;A!$AZ$115&amp;", h",A!$BA$115,0))</f>
        <v>0</v>
      </c>
      <c r="V141" s="35">
        <f>IF(V136="Punkt fra "&amp;A!$AZ$116&amp;", h",A!$BA$116,IF(V136="Punkt fra "&amp;A!$AZ$115&amp;", h",A!$BA$115,0))</f>
        <v>0</v>
      </c>
      <c r="W141" s="35">
        <f>IF(W136="Punkt fra "&amp;A!$AZ$116&amp;", h",A!$BA$116,IF(W136="Punkt fra "&amp;A!$AZ$115&amp;", h",A!$BA$115,0))</f>
        <v>0</v>
      </c>
      <c r="X141" s="35">
        <f>IF(X136="Punkt fra "&amp;A!$AZ$116&amp;", h",A!$BA$116,IF(X136="Punkt fra "&amp;A!$AZ$115&amp;", h",A!$BA$115,0))</f>
        <v>0</v>
      </c>
      <c r="Y141" s="35">
        <f>IF(Y136="Punkt fra "&amp;A!$AZ$116&amp;", h",A!$BA$116,IF(Y136="Punkt fra "&amp;A!$AZ$115&amp;", h",A!$BA$115,0))</f>
        <v>0</v>
      </c>
      <c r="Z141" s="35">
        <f>IF(Z136="Punkt fra "&amp;A!$AZ$116&amp;", h",A!$BA$116,IF(Z136="Punkt fra "&amp;A!$AZ$115&amp;", h",A!$BA$115,0))</f>
        <v>0</v>
      </c>
      <c r="AA141" s="35">
        <f>IF(AA136="Punkt fra "&amp;A!$AZ$116&amp;", h",A!$BA$116,IF(AA136="Punkt fra "&amp;A!$AZ$115&amp;", h",A!$BA$115,0))</f>
        <v>0</v>
      </c>
      <c r="AB141" s="35">
        <f>IF(AB136="Punkt fra "&amp;A!$AZ$116&amp;", h",A!$BA$116,IF(AB136="Punkt fra "&amp;A!$AZ$115&amp;", h",A!$BA$115,0))</f>
        <v>0</v>
      </c>
      <c r="AC141" s="35">
        <f>IF(AC136="Punkt fra "&amp;A!$AZ$116&amp;", h",A!$BA$116,IF(AC136="Punkt fra "&amp;A!$AZ$115&amp;", h",A!$BA$115,0))</f>
        <v>0</v>
      </c>
      <c r="AD141" s="35">
        <f>IF(AD136="Punkt fra "&amp;A!$AZ$116&amp;", h",A!$BA$116,IF(AD136="Punkt fra "&amp;A!$AZ$115&amp;", h",A!$BA$115,0))</f>
        <v>0</v>
      </c>
      <c r="AE141" s="35">
        <f>IF(AE136="Punkt fra "&amp;A!$AZ$116&amp;", h",A!$BA$116,IF(AE136="Punkt fra "&amp;A!$AZ$115&amp;", h",A!$BA$115,0))</f>
        <v>0</v>
      </c>
      <c r="AF141" s="35">
        <f>IF(AF136="Punkt fra "&amp;A!$AZ$116&amp;", h",A!$BA$116,IF(AF136="Punkt fra "&amp;A!$AZ$115&amp;", h",A!$BA$115,0))</f>
        <v>0</v>
      </c>
      <c r="AG141" s="35">
        <f>IF(AG136="Punkt fra "&amp;A!$AZ$116&amp;", h",A!$BA$116,IF(AG136="Punkt fra "&amp;A!$AZ$115&amp;", h",A!$BA$115,0))</f>
        <v>0</v>
      </c>
      <c r="AH141" s="35">
        <f>IF(AH136="Punkt fra "&amp;A!$AZ$116&amp;", h",A!$BA$116,IF(AH136="Punkt fra "&amp;A!$AZ$115&amp;", h",A!$BA$115,0))</f>
        <v>0</v>
      </c>
      <c r="AI141" s="35">
        <f>IF(AI136="Punkt fra "&amp;A!$AZ$116&amp;", h",A!$BA$116,IF(AI136="Punkt fra "&amp;A!$AZ$115&amp;", h",A!$BA$115,0))</f>
        <v>0</v>
      </c>
      <c r="AJ141" s="35">
        <f>IF(AJ136="Punkt fra "&amp;A!$AZ$116&amp;", h",A!$BA$116,IF(AJ136="Punkt fra "&amp;A!$AZ$115&amp;", h",A!$BA$115,0))</f>
        <v>0</v>
      </c>
      <c r="AK141" s="35">
        <f>IF(AK136="Punkt fra "&amp;A!$AZ$116&amp;", h",A!$BA$116,IF(AK136="Punkt fra "&amp;A!$AZ$115&amp;", h",A!$BA$115,0))</f>
        <v>0</v>
      </c>
      <c r="AL141" s="35">
        <f>IF(AL136="Punkt fra "&amp;A!$AZ$116&amp;", h",A!$BA$116,IF(AL136="Punkt fra "&amp;A!$AZ$115&amp;", h",A!$BA$115,0))</f>
        <v>0</v>
      </c>
      <c r="AM141" s="35">
        <f>IF(AM136="Punkt fra "&amp;A!$AZ$116&amp;", h",A!$BA$116,IF(AM136="Punkt fra "&amp;A!$AZ$115&amp;", h",A!$BA$115,0))</f>
        <v>0</v>
      </c>
      <c r="AN141" s="35">
        <f>IF(AN136="Punkt fra "&amp;A!$AZ$116&amp;", h",A!$BA$116,IF(AN136="Punkt fra "&amp;A!$AZ$115&amp;", h",A!$BA$115,0))</f>
        <v>0</v>
      </c>
      <c r="AO141" s="35">
        <f>IF(AO136="Punkt fra "&amp;A!$AZ$116&amp;", h",A!$BA$116,IF(AO136="Punkt fra "&amp;A!$AZ$115&amp;", h",A!$BA$115,0))</f>
        <v>0</v>
      </c>
      <c r="AP141" s="35">
        <f>IF(AP136="Punkt fra "&amp;A!$AZ$116&amp;", h",A!$BA$116,IF(AP136="Punkt fra "&amp;A!$AZ$115&amp;", h",A!$BA$115,0))</f>
        <v>0</v>
      </c>
      <c r="AQ141" s="35">
        <f>IF(AQ136="Punkt fra "&amp;A!$AZ$116&amp;", h",A!$BA$116,IF(AQ136="Punkt fra "&amp;A!$AZ$115&amp;", h",A!$BA$115,0))</f>
        <v>0</v>
      </c>
      <c r="AR141" s="35">
        <f>IF(AR136="Punkt fra "&amp;A!$AZ$116&amp;", h",A!$BA$116,IF(AR136="Punkt fra "&amp;A!$AZ$115&amp;", h",A!$BA$115,0))</f>
        <v>0</v>
      </c>
      <c r="AS141" s="35">
        <f>IF(AS136="Punkt fra "&amp;A!$AZ$116&amp;", h",A!$BA$116,IF(AS136="Punkt fra "&amp;A!$AZ$115&amp;", h",A!$BA$115,0))</f>
        <v>0</v>
      </c>
      <c r="AT141" s="35">
        <f>IF(AT136="Punkt fra "&amp;A!$AZ$116&amp;", h",A!$BA$116,IF(AT136="Punkt fra "&amp;A!$AZ$115&amp;", h",A!$BA$115,0))</f>
        <v>0</v>
      </c>
      <c r="AU141" s="35">
        <f>IF(AU136="Punkt fra "&amp;A!$AZ$116&amp;", h",A!$BA$116,IF(AU136="Punkt fra "&amp;A!$AZ$115&amp;", h",A!$BA$115,0))</f>
        <v>0</v>
      </c>
      <c r="AV141" s="35">
        <f>IF(AV136="Punkt fra "&amp;A!$AZ$116&amp;", h",A!$BA$116,IF(AV136="Punkt fra "&amp;A!$AZ$115&amp;", h",A!$BA$115,0))</f>
        <v>0</v>
      </c>
      <c r="AW141" s="35">
        <f>IF(AW136="Punkt fra "&amp;A!$AZ$116&amp;", h",A!$BA$116,IF(AW136="Punkt fra "&amp;A!$AZ$115&amp;", h",A!$BA$115,0))</f>
        <v>0</v>
      </c>
      <c r="AX141" s="35">
        <f>IF(AX136="Punkt fra "&amp;A!$AZ$116&amp;", h",A!$BA$116,IF(AX136="Punkt fra "&amp;A!$AZ$115&amp;", h",A!$BA$115,0))</f>
        <v>0</v>
      </c>
      <c r="AY141" s="35">
        <f>IF(AY136="Punkt fra "&amp;A!$AZ$116&amp;", h",A!$BA$116,IF(AY136="Punkt fra "&amp;A!$AZ$115&amp;", h",A!$BA$115,0))</f>
        <v>0</v>
      </c>
      <c r="AZ141" s="35">
        <f>IF(AZ136="Punkt fra "&amp;A!$AZ$116&amp;", h",A!$BA$116,IF(AZ136="Punkt fra "&amp;A!$AZ$115&amp;", h",A!$BA$115,0))</f>
        <v>0</v>
      </c>
      <c r="BA141" s="35">
        <f>IF(BA136="Punkt fra "&amp;A!$AZ$116&amp;", h",A!$BA$116,IF(BA136="Punkt fra "&amp;A!$AZ$115&amp;", h",A!$BA$115,0))</f>
        <v>0</v>
      </c>
      <c r="BB141" s="35">
        <f>IF(BB136="Punkt fra "&amp;A!$AZ$116&amp;", h",A!$BA$116,IF(BB136="Punkt fra "&amp;A!$AZ$115&amp;", h",A!$BA$115,0))</f>
        <v>0</v>
      </c>
      <c r="BC141" s="65">
        <f>IF(BC136="Punkt fra "&amp;A!$AZ$116&amp;", h",A!$BA$116,IF(BC136="Punkt fra "&amp;A!$AZ$115&amp;", h",A!$BA$115,0))</f>
        <v>0</v>
      </c>
    </row>
    <row r="142" spans="2:55">
      <c r="B142" s="1" t="s">
        <v>146</v>
      </c>
      <c r="D142" s="11" t="e">
        <f>A!BA116+A!BA115-D143</f>
        <v>#N/A</v>
      </c>
      <c r="E142" s="1" t="s">
        <v>41</v>
      </c>
      <c r="F142" s="71" t="s">
        <v>133</v>
      </c>
      <c r="G142" s="21">
        <v>0</v>
      </c>
      <c r="H142" s="21">
        <f>IF(H136="Slut",0,G142+H143*(H137-G137))</f>
        <v>0</v>
      </c>
      <c r="I142" s="21">
        <f t="shared" ref="I142:BC142" si="69">IF(I136="Slut",0,H142+I143*(I137-H137))</f>
        <v>0</v>
      </c>
      <c r="J142" s="21">
        <f t="shared" si="69"/>
        <v>0</v>
      </c>
      <c r="K142" s="21">
        <f t="shared" si="69"/>
        <v>0</v>
      </c>
      <c r="L142" s="21">
        <f t="shared" si="69"/>
        <v>0</v>
      </c>
      <c r="M142" s="21">
        <f t="shared" si="69"/>
        <v>0</v>
      </c>
      <c r="N142" s="21">
        <f t="shared" si="69"/>
        <v>0</v>
      </c>
      <c r="O142" s="21">
        <f t="shared" si="69"/>
        <v>0</v>
      </c>
      <c r="P142" s="21">
        <f t="shared" si="69"/>
        <v>0</v>
      </c>
      <c r="Q142" s="21">
        <f t="shared" si="69"/>
        <v>0</v>
      </c>
      <c r="R142" s="21">
        <f t="shared" si="69"/>
        <v>0</v>
      </c>
      <c r="S142" s="21">
        <f t="shared" si="69"/>
        <v>0</v>
      </c>
      <c r="T142" s="21">
        <f t="shared" si="69"/>
        <v>0</v>
      </c>
      <c r="U142" s="21">
        <f t="shared" si="69"/>
        <v>0</v>
      </c>
      <c r="V142" s="21">
        <f t="shared" si="69"/>
        <v>0</v>
      </c>
      <c r="W142" s="21">
        <f t="shared" si="69"/>
        <v>0</v>
      </c>
      <c r="X142" s="21">
        <f t="shared" si="69"/>
        <v>0</v>
      </c>
      <c r="Y142" s="21">
        <f t="shared" si="69"/>
        <v>0</v>
      </c>
      <c r="Z142" s="21">
        <f t="shared" si="69"/>
        <v>0</v>
      </c>
      <c r="AA142" s="21">
        <f t="shared" si="69"/>
        <v>0</v>
      </c>
      <c r="AB142" s="21">
        <f t="shared" si="69"/>
        <v>0</v>
      </c>
      <c r="AC142" s="21">
        <f t="shared" si="69"/>
        <v>0</v>
      </c>
      <c r="AD142" s="21">
        <f t="shared" si="69"/>
        <v>0</v>
      </c>
      <c r="AE142" s="21">
        <f t="shared" si="69"/>
        <v>0</v>
      </c>
      <c r="AF142" s="21">
        <f t="shared" si="69"/>
        <v>0</v>
      </c>
      <c r="AG142" s="21">
        <f t="shared" si="69"/>
        <v>0</v>
      </c>
      <c r="AH142" s="21">
        <f t="shared" si="69"/>
        <v>0</v>
      </c>
      <c r="AI142" s="21">
        <f t="shared" si="69"/>
        <v>0</v>
      </c>
      <c r="AJ142" s="21">
        <f t="shared" si="69"/>
        <v>0</v>
      </c>
      <c r="AK142" s="21">
        <f t="shared" si="69"/>
        <v>0</v>
      </c>
      <c r="AL142" s="21">
        <f t="shared" si="69"/>
        <v>0</v>
      </c>
      <c r="AM142" s="21">
        <f t="shared" si="69"/>
        <v>0</v>
      </c>
      <c r="AN142" s="21">
        <f t="shared" si="69"/>
        <v>0</v>
      </c>
      <c r="AO142" s="21">
        <f t="shared" si="69"/>
        <v>0</v>
      </c>
      <c r="AP142" s="21">
        <f t="shared" si="69"/>
        <v>0</v>
      </c>
      <c r="AQ142" s="21">
        <f t="shared" si="69"/>
        <v>0</v>
      </c>
      <c r="AR142" s="21">
        <f t="shared" si="69"/>
        <v>0</v>
      </c>
      <c r="AS142" s="21">
        <f t="shared" si="69"/>
        <v>0</v>
      </c>
      <c r="AT142" s="21">
        <f t="shared" si="69"/>
        <v>0</v>
      </c>
      <c r="AU142" s="21">
        <f t="shared" si="69"/>
        <v>0</v>
      </c>
      <c r="AV142" s="21">
        <f t="shared" si="69"/>
        <v>0</v>
      </c>
      <c r="AW142" s="21">
        <f t="shared" si="69"/>
        <v>0</v>
      </c>
      <c r="AX142" s="21">
        <f t="shared" si="69"/>
        <v>0</v>
      </c>
      <c r="AY142" s="21">
        <f t="shared" si="69"/>
        <v>0</v>
      </c>
      <c r="AZ142" s="21">
        <f t="shared" si="69"/>
        <v>0</v>
      </c>
      <c r="BA142" s="21">
        <f t="shared" si="69"/>
        <v>0</v>
      </c>
      <c r="BB142" s="21">
        <f t="shared" si="69"/>
        <v>0</v>
      </c>
      <c r="BC142" s="25">
        <f t="shared" si="69"/>
        <v>0</v>
      </c>
    </row>
    <row r="143" spans="2:55">
      <c r="B143" s="1" t="s">
        <v>147</v>
      </c>
      <c r="D143" s="11" t="e">
        <f>(A!BF115+A!BF116)/(A!AT92*10^-3)</f>
        <v>#N/A</v>
      </c>
      <c r="E143" s="1" t="s">
        <v>41</v>
      </c>
      <c r="F143" s="72" t="s">
        <v>134</v>
      </c>
      <c r="G143" s="75">
        <v>0</v>
      </c>
      <c r="H143" s="23">
        <f>IF(H136="ven. u. støtn. h",G143+$D$142,IF(H136="høj. u. støtn. h",G143+$D$143,G143-H141))</f>
        <v>0</v>
      </c>
      <c r="I143" s="23">
        <f t="shared" ref="I143:BC143" si="70">IF(I136="ven. u. støtn. h",H143+$D$142,IF(I136="høj. u. støtn. h",H143+$D$143,H143-I141))</f>
        <v>0</v>
      </c>
      <c r="J143" s="23">
        <f t="shared" si="70"/>
        <v>0</v>
      </c>
      <c r="K143" s="23">
        <f t="shared" si="70"/>
        <v>0</v>
      </c>
      <c r="L143" s="23">
        <f t="shared" si="70"/>
        <v>0</v>
      </c>
      <c r="M143" s="23">
        <f t="shared" si="70"/>
        <v>0</v>
      </c>
      <c r="N143" s="23">
        <f t="shared" si="70"/>
        <v>0</v>
      </c>
      <c r="O143" s="23">
        <f t="shared" si="70"/>
        <v>0</v>
      </c>
      <c r="P143" s="23">
        <f t="shared" si="70"/>
        <v>0</v>
      </c>
      <c r="Q143" s="23">
        <f t="shared" si="70"/>
        <v>0</v>
      </c>
      <c r="R143" s="23">
        <f t="shared" si="70"/>
        <v>0</v>
      </c>
      <c r="S143" s="23">
        <f t="shared" si="70"/>
        <v>0</v>
      </c>
      <c r="T143" s="23">
        <f t="shared" si="70"/>
        <v>0</v>
      </c>
      <c r="U143" s="23">
        <f t="shared" si="70"/>
        <v>0</v>
      </c>
      <c r="V143" s="23">
        <f t="shared" si="70"/>
        <v>0</v>
      </c>
      <c r="W143" s="23">
        <f t="shared" si="70"/>
        <v>0</v>
      </c>
      <c r="X143" s="23">
        <f t="shared" si="70"/>
        <v>0</v>
      </c>
      <c r="Y143" s="23">
        <f t="shared" si="70"/>
        <v>0</v>
      </c>
      <c r="Z143" s="23">
        <f t="shared" si="70"/>
        <v>0</v>
      </c>
      <c r="AA143" s="23">
        <f t="shared" si="70"/>
        <v>0</v>
      </c>
      <c r="AB143" s="23">
        <f t="shared" si="70"/>
        <v>0</v>
      </c>
      <c r="AC143" s="23">
        <f t="shared" si="70"/>
        <v>0</v>
      </c>
      <c r="AD143" s="23">
        <f t="shared" si="70"/>
        <v>0</v>
      </c>
      <c r="AE143" s="23">
        <f t="shared" si="70"/>
        <v>0</v>
      </c>
      <c r="AF143" s="23">
        <f t="shared" si="70"/>
        <v>0</v>
      </c>
      <c r="AG143" s="23">
        <f t="shared" si="70"/>
        <v>0</v>
      </c>
      <c r="AH143" s="23">
        <f t="shared" si="70"/>
        <v>0</v>
      </c>
      <c r="AI143" s="23">
        <f t="shared" si="70"/>
        <v>0</v>
      </c>
      <c r="AJ143" s="23">
        <f t="shared" si="70"/>
        <v>0</v>
      </c>
      <c r="AK143" s="23">
        <f t="shared" si="70"/>
        <v>0</v>
      </c>
      <c r="AL143" s="23">
        <f t="shared" si="70"/>
        <v>0</v>
      </c>
      <c r="AM143" s="23">
        <f t="shared" si="70"/>
        <v>0</v>
      </c>
      <c r="AN143" s="23">
        <f t="shared" si="70"/>
        <v>0</v>
      </c>
      <c r="AO143" s="23">
        <f t="shared" si="70"/>
        <v>0</v>
      </c>
      <c r="AP143" s="23">
        <f t="shared" si="70"/>
        <v>0</v>
      </c>
      <c r="AQ143" s="23">
        <f t="shared" si="70"/>
        <v>0</v>
      </c>
      <c r="AR143" s="23">
        <f t="shared" si="70"/>
        <v>0</v>
      </c>
      <c r="AS143" s="23">
        <f t="shared" si="70"/>
        <v>0</v>
      </c>
      <c r="AT143" s="23">
        <f t="shared" si="70"/>
        <v>0</v>
      </c>
      <c r="AU143" s="23">
        <f t="shared" si="70"/>
        <v>0</v>
      </c>
      <c r="AV143" s="23">
        <f t="shared" si="70"/>
        <v>0</v>
      </c>
      <c r="AW143" s="23">
        <f t="shared" si="70"/>
        <v>0</v>
      </c>
      <c r="AX143" s="23">
        <f t="shared" si="70"/>
        <v>0</v>
      </c>
      <c r="AY143" s="23">
        <f t="shared" si="70"/>
        <v>0</v>
      </c>
      <c r="AZ143" s="23">
        <f t="shared" si="70"/>
        <v>0</v>
      </c>
      <c r="BA143" s="23">
        <f t="shared" si="70"/>
        <v>0</v>
      </c>
      <c r="BB143" s="23">
        <f t="shared" si="70"/>
        <v>0</v>
      </c>
      <c r="BC143" s="24">
        <f t="shared" si="70"/>
        <v>0</v>
      </c>
    </row>
    <row r="144" spans="2:55">
      <c r="C144" s="12"/>
      <c r="D144" s="11"/>
      <c r="F144" s="70"/>
      <c r="BC144" s="31"/>
    </row>
    <row r="145" spans="3:55">
      <c r="C145" s="12"/>
      <c r="D145" s="11"/>
      <c r="F145" s="71" t="s">
        <v>135</v>
      </c>
      <c r="G145" s="21" t="e">
        <f>G139+G142</f>
        <v>#N/A</v>
      </c>
      <c r="H145" s="21" t="e">
        <f t="shared" ref="H145:BC145" si="71">H139+H142</f>
        <v>#N/A</v>
      </c>
      <c r="I145" s="21" t="e">
        <f t="shared" si="71"/>
        <v>#N/A</v>
      </c>
      <c r="J145" s="21" t="e">
        <f>J139+J142</f>
        <v>#N/A</v>
      </c>
      <c r="K145" s="21" t="e">
        <f t="shared" si="71"/>
        <v>#N/A</v>
      </c>
      <c r="L145" s="21" t="e">
        <f t="shared" si="71"/>
        <v>#N/A</v>
      </c>
      <c r="M145" s="21" t="e">
        <f t="shared" si="71"/>
        <v>#N/A</v>
      </c>
      <c r="N145" s="21" t="e">
        <f t="shared" si="71"/>
        <v>#N/A</v>
      </c>
      <c r="O145" s="21" t="e">
        <f t="shared" si="71"/>
        <v>#N/A</v>
      </c>
      <c r="P145" s="21" t="e">
        <f t="shared" si="71"/>
        <v>#N/A</v>
      </c>
      <c r="Q145" s="21" t="e">
        <f t="shared" si="71"/>
        <v>#N/A</v>
      </c>
      <c r="R145" s="21" t="e">
        <f t="shared" si="71"/>
        <v>#N/A</v>
      </c>
      <c r="S145" s="21" t="e">
        <f t="shared" si="71"/>
        <v>#N/A</v>
      </c>
      <c r="T145" s="21" t="e">
        <f t="shared" si="71"/>
        <v>#N/A</v>
      </c>
      <c r="U145" s="21" t="e">
        <f t="shared" si="71"/>
        <v>#N/A</v>
      </c>
      <c r="V145" s="21" t="e">
        <f t="shared" si="71"/>
        <v>#N/A</v>
      </c>
      <c r="W145" s="21" t="e">
        <f t="shared" si="71"/>
        <v>#N/A</v>
      </c>
      <c r="X145" s="21" t="e">
        <f t="shared" si="71"/>
        <v>#N/A</v>
      </c>
      <c r="Y145" s="21" t="e">
        <f t="shared" si="71"/>
        <v>#N/A</v>
      </c>
      <c r="Z145" s="21" t="e">
        <f t="shared" si="71"/>
        <v>#N/A</v>
      </c>
      <c r="AA145" s="21" t="e">
        <f t="shared" si="71"/>
        <v>#N/A</v>
      </c>
      <c r="AB145" s="21" t="e">
        <f t="shared" si="71"/>
        <v>#N/A</v>
      </c>
      <c r="AC145" s="21" t="e">
        <f t="shared" si="71"/>
        <v>#N/A</v>
      </c>
      <c r="AD145" s="21" t="e">
        <f t="shared" si="71"/>
        <v>#N/A</v>
      </c>
      <c r="AE145" s="21" t="e">
        <f t="shared" si="71"/>
        <v>#N/A</v>
      </c>
      <c r="AF145" s="21" t="e">
        <f t="shared" si="71"/>
        <v>#N/A</v>
      </c>
      <c r="AG145" s="21" t="e">
        <f t="shared" si="71"/>
        <v>#N/A</v>
      </c>
      <c r="AH145" s="21" t="e">
        <f t="shared" si="71"/>
        <v>#N/A</v>
      </c>
      <c r="AI145" s="21" t="e">
        <f t="shared" si="71"/>
        <v>#N/A</v>
      </c>
      <c r="AJ145" s="21" t="e">
        <f t="shared" si="71"/>
        <v>#N/A</v>
      </c>
      <c r="AK145" s="21" t="e">
        <f t="shared" si="71"/>
        <v>#N/A</v>
      </c>
      <c r="AL145" s="21" t="e">
        <f t="shared" si="71"/>
        <v>#N/A</v>
      </c>
      <c r="AM145" s="21" t="e">
        <f t="shared" si="71"/>
        <v>#N/A</v>
      </c>
      <c r="AN145" s="21" t="e">
        <f t="shared" si="71"/>
        <v>#N/A</v>
      </c>
      <c r="AO145" s="21" t="e">
        <f t="shared" si="71"/>
        <v>#N/A</v>
      </c>
      <c r="AP145" s="21" t="e">
        <f t="shared" si="71"/>
        <v>#N/A</v>
      </c>
      <c r="AQ145" s="21" t="e">
        <f t="shared" si="71"/>
        <v>#N/A</v>
      </c>
      <c r="AR145" s="21" t="e">
        <f t="shared" si="71"/>
        <v>#N/A</v>
      </c>
      <c r="AS145" s="21" t="e">
        <f t="shared" si="71"/>
        <v>#N/A</v>
      </c>
      <c r="AT145" s="21" t="e">
        <f t="shared" si="71"/>
        <v>#N/A</v>
      </c>
      <c r="AU145" s="21" t="e">
        <f t="shared" si="71"/>
        <v>#N/A</v>
      </c>
      <c r="AV145" s="21" t="e">
        <f t="shared" si="71"/>
        <v>#N/A</v>
      </c>
      <c r="AW145" s="21" t="e">
        <f t="shared" si="71"/>
        <v>#N/A</v>
      </c>
      <c r="AX145" s="21" t="e">
        <f t="shared" si="71"/>
        <v>#N/A</v>
      </c>
      <c r="AY145" s="21" t="e">
        <f t="shared" si="71"/>
        <v>#N/A</v>
      </c>
      <c r="AZ145" s="21" t="e">
        <f t="shared" si="71"/>
        <v>#N/A</v>
      </c>
      <c r="BA145" s="21" t="e">
        <f t="shared" si="71"/>
        <v>#N/A</v>
      </c>
      <c r="BB145" s="21" t="e">
        <f t="shared" si="71"/>
        <v>#N/A</v>
      </c>
      <c r="BC145" s="25" t="e">
        <f t="shared" si="71"/>
        <v>#N/A</v>
      </c>
    </row>
    <row r="146" spans="3:55">
      <c r="F146" s="71" t="s">
        <v>136</v>
      </c>
      <c r="G146" s="21">
        <f>G140+G143</f>
        <v>0</v>
      </c>
      <c r="H146" s="21" t="e">
        <f>H140+H143</f>
        <v>#N/A</v>
      </c>
      <c r="I146" s="21" t="e">
        <f t="shared" ref="I146:BC146" si="72">I140+I143</f>
        <v>#N/A</v>
      </c>
      <c r="J146" s="21" t="e">
        <f t="shared" si="72"/>
        <v>#N/A</v>
      </c>
      <c r="K146" s="21" t="e">
        <f t="shared" si="72"/>
        <v>#N/A</v>
      </c>
      <c r="L146" s="21" t="e">
        <f t="shared" si="72"/>
        <v>#N/A</v>
      </c>
      <c r="M146" s="21" t="e">
        <f t="shared" si="72"/>
        <v>#N/A</v>
      </c>
      <c r="N146" s="21" t="e">
        <f t="shared" si="72"/>
        <v>#N/A</v>
      </c>
      <c r="O146" s="21" t="e">
        <f t="shared" si="72"/>
        <v>#N/A</v>
      </c>
      <c r="P146" s="21" t="e">
        <f t="shared" si="72"/>
        <v>#N/A</v>
      </c>
      <c r="Q146" s="21" t="e">
        <f t="shared" si="72"/>
        <v>#N/A</v>
      </c>
      <c r="R146" s="21" t="e">
        <f t="shared" si="72"/>
        <v>#N/A</v>
      </c>
      <c r="S146" s="21" t="e">
        <f t="shared" si="72"/>
        <v>#N/A</v>
      </c>
      <c r="T146" s="21" t="e">
        <f t="shared" si="72"/>
        <v>#N/A</v>
      </c>
      <c r="U146" s="21" t="e">
        <f t="shared" si="72"/>
        <v>#N/A</v>
      </c>
      <c r="V146" s="21" t="e">
        <f t="shared" si="72"/>
        <v>#N/A</v>
      </c>
      <c r="W146" s="21" t="e">
        <f t="shared" si="72"/>
        <v>#N/A</v>
      </c>
      <c r="X146" s="21" t="e">
        <f t="shared" si="72"/>
        <v>#N/A</v>
      </c>
      <c r="Y146" s="21" t="e">
        <f t="shared" si="72"/>
        <v>#N/A</v>
      </c>
      <c r="Z146" s="21" t="e">
        <f t="shared" si="72"/>
        <v>#N/A</v>
      </c>
      <c r="AA146" s="21" t="e">
        <f t="shared" si="72"/>
        <v>#N/A</v>
      </c>
      <c r="AB146" s="21" t="e">
        <f t="shared" si="72"/>
        <v>#N/A</v>
      </c>
      <c r="AC146" s="21" t="e">
        <f t="shared" si="72"/>
        <v>#N/A</v>
      </c>
      <c r="AD146" s="21" t="e">
        <f t="shared" si="72"/>
        <v>#N/A</v>
      </c>
      <c r="AE146" s="21" t="e">
        <f t="shared" si="72"/>
        <v>#N/A</v>
      </c>
      <c r="AF146" s="21" t="e">
        <f t="shared" si="72"/>
        <v>#N/A</v>
      </c>
      <c r="AG146" s="21" t="e">
        <f t="shared" si="72"/>
        <v>#N/A</v>
      </c>
      <c r="AH146" s="21" t="e">
        <f t="shared" si="72"/>
        <v>#N/A</v>
      </c>
      <c r="AI146" s="21" t="e">
        <f t="shared" si="72"/>
        <v>#N/A</v>
      </c>
      <c r="AJ146" s="21" t="e">
        <f t="shared" si="72"/>
        <v>#N/A</v>
      </c>
      <c r="AK146" s="21" t="e">
        <f t="shared" si="72"/>
        <v>#N/A</v>
      </c>
      <c r="AL146" s="21" t="e">
        <f t="shared" si="72"/>
        <v>#N/A</v>
      </c>
      <c r="AM146" s="21" t="e">
        <f t="shared" si="72"/>
        <v>#N/A</v>
      </c>
      <c r="AN146" s="21" t="e">
        <f t="shared" si="72"/>
        <v>#N/A</v>
      </c>
      <c r="AO146" s="21" t="e">
        <f t="shared" si="72"/>
        <v>#N/A</v>
      </c>
      <c r="AP146" s="21" t="e">
        <f t="shared" si="72"/>
        <v>#N/A</v>
      </c>
      <c r="AQ146" s="21" t="e">
        <f t="shared" si="72"/>
        <v>#N/A</v>
      </c>
      <c r="AR146" s="21" t="e">
        <f t="shared" si="72"/>
        <v>#N/A</v>
      </c>
      <c r="AS146" s="21" t="e">
        <f t="shared" si="72"/>
        <v>#N/A</v>
      </c>
      <c r="AT146" s="21" t="e">
        <f t="shared" si="72"/>
        <v>#N/A</v>
      </c>
      <c r="AU146" s="21" t="e">
        <f t="shared" si="72"/>
        <v>#N/A</v>
      </c>
      <c r="AV146" s="21" t="e">
        <f t="shared" si="72"/>
        <v>#N/A</v>
      </c>
      <c r="AW146" s="21" t="e">
        <f t="shared" si="72"/>
        <v>#N/A</v>
      </c>
      <c r="AX146" s="21" t="e">
        <f t="shared" si="72"/>
        <v>#N/A</v>
      </c>
      <c r="AY146" s="21" t="e">
        <f t="shared" si="72"/>
        <v>#N/A</v>
      </c>
      <c r="AZ146" s="21" t="e">
        <f t="shared" si="72"/>
        <v>#N/A</v>
      </c>
      <c r="BA146" s="21" t="e">
        <f t="shared" si="72"/>
        <v>#N/A</v>
      </c>
      <c r="BB146" s="21" t="e">
        <f t="shared" si="72"/>
        <v>#N/A</v>
      </c>
      <c r="BC146" s="25" t="e">
        <f t="shared" si="72"/>
        <v>#N/A</v>
      </c>
    </row>
    <row r="147" spans="3:55">
      <c r="F147" s="72" t="s">
        <v>137</v>
      </c>
      <c r="G147" s="23">
        <f>ABS(G146)</f>
        <v>0</v>
      </c>
      <c r="H147" s="23" t="e">
        <f t="shared" ref="H147:BC147" si="73">ABS(H146)</f>
        <v>#N/A</v>
      </c>
      <c r="I147" s="23" t="e">
        <f t="shared" si="73"/>
        <v>#N/A</v>
      </c>
      <c r="J147" s="23" t="e">
        <f t="shared" si="73"/>
        <v>#N/A</v>
      </c>
      <c r="K147" s="23" t="e">
        <f t="shared" si="73"/>
        <v>#N/A</v>
      </c>
      <c r="L147" s="23" t="e">
        <f t="shared" si="73"/>
        <v>#N/A</v>
      </c>
      <c r="M147" s="23" t="e">
        <f t="shared" si="73"/>
        <v>#N/A</v>
      </c>
      <c r="N147" s="23" t="e">
        <f t="shared" si="73"/>
        <v>#N/A</v>
      </c>
      <c r="O147" s="23" t="e">
        <f t="shared" si="73"/>
        <v>#N/A</v>
      </c>
      <c r="P147" s="23" t="e">
        <f t="shared" si="73"/>
        <v>#N/A</v>
      </c>
      <c r="Q147" s="23" t="e">
        <f t="shared" si="73"/>
        <v>#N/A</v>
      </c>
      <c r="R147" s="23" t="e">
        <f t="shared" si="73"/>
        <v>#N/A</v>
      </c>
      <c r="S147" s="23" t="e">
        <f t="shared" si="73"/>
        <v>#N/A</v>
      </c>
      <c r="T147" s="23" t="e">
        <f t="shared" si="73"/>
        <v>#N/A</v>
      </c>
      <c r="U147" s="23" t="e">
        <f t="shared" si="73"/>
        <v>#N/A</v>
      </c>
      <c r="V147" s="23" t="e">
        <f t="shared" si="73"/>
        <v>#N/A</v>
      </c>
      <c r="W147" s="23" t="e">
        <f t="shared" si="73"/>
        <v>#N/A</v>
      </c>
      <c r="X147" s="23" t="e">
        <f t="shared" si="73"/>
        <v>#N/A</v>
      </c>
      <c r="Y147" s="23" t="e">
        <f t="shared" si="73"/>
        <v>#N/A</v>
      </c>
      <c r="Z147" s="23" t="e">
        <f t="shared" si="73"/>
        <v>#N/A</v>
      </c>
      <c r="AA147" s="23" t="e">
        <f t="shared" si="73"/>
        <v>#N/A</v>
      </c>
      <c r="AB147" s="23" t="e">
        <f t="shared" si="73"/>
        <v>#N/A</v>
      </c>
      <c r="AC147" s="23" t="e">
        <f t="shared" si="73"/>
        <v>#N/A</v>
      </c>
      <c r="AD147" s="23" t="e">
        <f t="shared" si="73"/>
        <v>#N/A</v>
      </c>
      <c r="AE147" s="23" t="e">
        <f t="shared" si="73"/>
        <v>#N/A</v>
      </c>
      <c r="AF147" s="23" t="e">
        <f t="shared" si="73"/>
        <v>#N/A</v>
      </c>
      <c r="AG147" s="23" t="e">
        <f t="shared" si="73"/>
        <v>#N/A</v>
      </c>
      <c r="AH147" s="23" t="e">
        <f t="shared" si="73"/>
        <v>#N/A</v>
      </c>
      <c r="AI147" s="23" t="e">
        <f t="shared" si="73"/>
        <v>#N/A</v>
      </c>
      <c r="AJ147" s="23" t="e">
        <f t="shared" si="73"/>
        <v>#N/A</v>
      </c>
      <c r="AK147" s="23" t="e">
        <f t="shared" si="73"/>
        <v>#N/A</v>
      </c>
      <c r="AL147" s="23" t="e">
        <f t="shared" si="73"/>
        <v>#N/A</v>
      </c>
      <c r="AM147" s="23" t="e">
        <f t="shared" si="73"/>
        <v>#N/A</v>
      </c>
      <c r="AN147" s="23" t="e">
        <f t="shared" si="73"/>
        <v>#N/A</v>
      </c>
      <c r="AO147" s="23" t="e">
        <f t="shared" si="73"/>
        <v>#N/A</v>
      </c>
      <c r="AP147" s="23" t="e">
        <f t="shared" si="73"/>
        <v>#N/A</v>
      </c>
      <c r="AQ147" s="23" t="e">
        <f t="shared" si="73"/>
        <v>#N/A</v>
      </c>
      <c r="AR147" s="23" t="e">
        <f t="shared" si="73"/>
        <v>#N/A</v>
      </c>
      <c r="AS147" s="23" t="e">
        <f t="shared" si="73"/>
        <v>#N/A</v>
      </c>
      <c r="AT147" s="23" t="e">
        <f t="shared" si="73"/>
        <v>#N/A</v>
      </c>
      <c r="AU147" s="23" t="e">
        <f t="shared" si="73"/>
        <v>#N/A</v>
      </c>
      <c r="AV147" s="23" t="e">
        <f t="shared" si="73"/>
        <v>#N/A</v>
      </c>
      <c r="AW147" s="23" t="e">
        <f t="shared" si="73"/>
        <v>#N/A</v>
      </c>
      <c r="AX147" s="23" t="e">
        <f t="shared" si="73"/>
        <v>#N/A</v>
      </c>
      <c r="AY147" s="23" t="e">
        <f t="shared" si="73"/>
        <v>#N/A</v>
      </c>
      <c r="AZ147" s="23" t="e">
        <f t="shared" si="73"/>
        <v>#N/A</v>
      </c>
      <c r="BA147" s="23" t="e">
        <f t="shared" si="73"/>
        <v>#N/A</v>
      </c>
      <c r="BB147" s="23" t="e">
        <f t="shared" si="73"/>
        <v>#N/A</v>
      </c>
      <c r="BC147" s="24" t="e">
        <f t="shared" si="73"/>
        <v>#N/A</v>
      </c>
    </row>
    <row r="150" spans="3:55">
      <c r="C150" s="12" t="s">
        <v>143</v>
      </c>
      <c r="D150" s="13" t="e">
        <f>MAX(G145:BC145)</f>
        <v>#N/A</v>
      </c>
      <c r="E150" s="1" t="s">
        <v>145</v>
      </c>
    </row>
    <row r="151" spans="3:55">
      <c r="C151" s="12" t="s">
        <v>157</v>
      </c>
      <c r="D151" s="11" t="e">
        <f>MIN(G145:BC145)</f>
        <v>#N/A</v>
      </c>
      <c r="E151" s="1" t="s">
        <v>145</v>
      </c>
    </row>
    <row r="152" spans="3:55">
      <c r="C152" s="12" t="s">
        <v>144</v>
      </c>
      <c r="D152" s="13" t="e">
        <f>MAX(G147:BC147)</f>
        <v>#N/A</v>
      </c>
      <c r="E152" s="1" t="s">
        <v>41</v>
      </c>
    </row>
  </sheetData>
  <phoneticPr fontId="7" type="noConversion"/>
  <hyperlinks>
    <hyperlink ref="I22" r:id="rId1" xr:uid="{523CFADC-BA5B-4D24-95C3-63E6FC897DF3}"/>
  </hyperlinks>
  <pageMargins left="0.7" right="0.7" top="0.75" bottom="0.75" header="0.3" footer="0.3"/>
  <pageSetup paperSize="9" orientation="portrait" verticalDpi="0" r:id="rId2"/>
  <ignoredErrors>
    <ignoredError sqref="BO48 BO54 BW52 D110" formula="1"/>
  </ignoredError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2</vt:i4>
      </vt:variant>
      <vt:variant>
        <vt:lpstr>Navngivne områder</vt:lpstr>
      </vt:variant>
      <vt:variant>
        <vt:i4>2</vt:i4>
      </vt:variant>
    </vt:vector>
  </HeadingPairs>
  <TitlesOfParts>
    <vt:vector size="4" baseType="lpstr">
      <vt:lpstr>A</vt:lpstr>
      <vt:lpstr>Snitkræfter</vt:lpstr>
      <vt:lpstr>A!Udskriftsområde</vt:lpstr>
      <vt:lpstr>A!Udskriftstitler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Laugesen, Kristian Damgaard</dc:creator>
  <cp:lastModifiedBy>Laugesen, Kristian Damgaard</cp:lastModifiedBy>
  <cp:lastPrinted>2022-10-24T11:17:05Z</cp:lastPrinted>
  <dcterms:created xsi:type="dcterms:W3CDTF">2021-12-09T08:02:40Z</dcterms:created>
  <dcterms:modified xsi:type="dcterms:W3CDTF">2024-12-17T10:25:27Z</dcterms:modified>
</cp:coreProperties>
</file>